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omments2.xml" ContentType="application/vnd.openxmlformats-officedocument.spreadsheetml.comments+xml"/>
  <Override PartName="/xl/drawings/drawing5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6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tg-my.sharepoint.com/personal/culh_duytanrecycling_com/Documents/Consolidate_Nhóm tái chế/Dư báo 2026_FC Rolling/"/>
    </mc:Choice>
  </mc:AlternateContent>
  <xr:revisionPtr revIDLastSave="189" documentId="8_{8EB11D17-1E15-4B01-AC35-1F6CF1FC32B7}" xr6:coauthVersionLast="47" xr6:coauthVersionMax="47" xr10:uidLastSave="{51B8E564-BC9C-49B3-8624-E5EC8BDBFB0C}"/>
  <bookViews>
    <workbookView xWindow="-110" yWindow="-110" windowWidth="19420" windowHeight="10300" tabRatio="863" firstSheet="1" activeTab="2" xr2:uid="{A13438B8-0EA7-45D2-B5AB-834A60669422}"/>
  </bookViews>
  <sheets>
    <sheet name="BÌA" sheetId="12" r:id="rId1"/>
    <sheet name="Giá công thức" sheetId="8" r:id="rId2"/>
    <sheet name="Price" sheetId="10" r:id="rId3"/>
    <sheet name="Biểu đồ" sheetId="14" r:id="rId4"/>
    <sheet name="Vẽ Biểu đồ" sheetId="13" r:id="rId5"/>
    <sheet name="Price_cũ" sheetId="11" state="hidden" r:id="rId6"/>
    <sheet name="General Data" sheetId="4" r:id="rId7"/>
    <sheet name="Note" sheetId="5" r:id="rId8"/>
    <sheet name="||" sheetId="7" state="hidden" r:id="rId9"/>
    <sheet name="Rebate-Suntory" sheetId="6" r:id="rId10"/>
    <sheet name="Ghi chú-Màu" sheetId="15" r:id="rId11"/>
    <sheet name="Chart-Price-BCKQKD" sheetId="16" r:id="rId12"/>
  </sheets>
  <definedNames>
    <definedName name="_xlnm._FilterDatabase" localSheetId="7" hidden="1">Note!$A$2:$Q$101</definedName>
    <definedName name="Code_General_Data">'General Data'!$A$9:$A$120</definedName>
    <definedName name="Code_General_Item">'General Data'!$C$9:$C$120</definedName>
    <definedName name="General_Data">'General Data'!$F$9:$BB$120</definedName>
    <definedName name="Month">'General Data'!$F$4:$BB$4</definedName>
    <definedName name="_xlnm.Print_Area" localSheetId="3">'Biểu đồ'!$A$1:$O$175</definedName>
    <definedName name="_xlnm.Print_Area" localSheetId="1">'Giá công thức'!$D$5:$AD$104</definedName>
    <definedName name="_xlnm.Print_Area" localSheetId="2">Price!$F$6:$AL$112</definedName>
    <definedName name="_xlnm.Print_Titles" localSheetId="1">'Giá công thức'!$A:$F,'Giá công thức'!$5:$9</definedName>
    <definedName name="_xlnm.Print_Titles" localSheetId="2">Price!$F:$J,Price!$6:$9</definedName>
    <definedName name="Year">'General Data'!$F$3:$BB$3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76" i="10" l="1" a="1"/>
  <c r="AJ76" i="10" s="1"/>
  <c r="P71" i="10"/>
  <c r="AL67" i="10" a="1"/>
  <c r="AL67" i="10" s="1"/>
  <c r="AL56" i="10" a="1"/>
  <c r="AL56" i="10" s="1"/>
  <c r="AL61" i="10" a="1"/>
  <c r="AL61" i="10" s="1"/>
  <c r="AL29" i="10" a="1"/>
  <c r="AL29" i="10" s="1"/>
  <c r="AL43" i="10" a="1"/>
  <c r="AL43" i="10" s="1"/>
  <c r="AV2" i="4"/>
  <c r="AU2" i="4"/>
  <c r="AT2" i="4"/>
  <c r="AS2" i="4"/>
  <c r="AR2" i="4"/>
  <c r="AQ2" i="4"/>
  <c r="AP2" i="4"/>
  <c r="BA1" i="4"/>
  <c r="BA2" i="4" s="1"/>
  <c r="AZ1" i="4"/>
  <c r="AZ2" i="4" s="1"/>
  <c r="AY1" i="4"/>
  <c r="AY2" i="4" s="1"/>
  <c r="AX1" i="4"/>
  <c r="AX2" i="4" s="1"/>
  <c r="AW1" i="4"/>
  <c r="AW2" i="4" s="1"/>
  <c r="AV1" i="4"/>
  <c r="AU1" i="4"/>
  <c r="AT1" i="4"/>
  <c r="AS1" i="4"/>
  <c r="AR1" i="4"/>
  <c r="AQ1" i="4"/>
  <c r="AP1" i="4"/>
  <c r="AL106" i="10" l="1" a="1"/>
  <c r="AL106" i="10" s="1"/>
  <c r="AL92" i="10" a="1"/>
  <c r="AL92" i="10" s="1"/>
  <c r="AL89" i="10" a="1"/>
  <c r="AL89" i="10" s="1"/>
  <c r="AL79" i="10" a="1"/>
  <c r="AL79" i="10" s="1"/>
  <c r="AL76" i="10" a="1"/>
  <c r="AL76" i="10" s="1"/>
  <c r="AL21" i="10" a="1"/>
  <c r="AL21" i="10" s="1"/>
  <c r="AL17" i="10" a="1"/>
  <c r="AL17" i="10" s="1"/>
  <c r="AO16" i="4"/>
  <c r="AN16" i="4" l="1"/>
  <c r="AM16" i="4" l="1"/>
  <c r="Y6" i="16" l="1"/>
  <c r="X6" i="16"/>
  <c r="W6" i="16"/>
  <c r="V6" i="16"/>
  <c r="U6" i="16"/>
  <c r="T6" i="16"/>
  <c r="S6" i="16"/>
  <c r="R6" i="16"/>
  <c r="Q6" i="16"/>
  <c r="P6" i="16"/>
  <c r="O6" i="16"/>
  <c r="N6" i="16"/>
  <c r="M6" i="16"/>
  <c r="L6" i="16"/>
  <c r="K6" i="16"/>
  <c r="J6" i="16"/>
  <c r="I6" i="16"/>
  <c r="H6" i="16"/>
  <c r="G6" i="16"/>
  <c r="F6" i="16"/>
  <c r="E6" i="16"/>
  <c r="D6" i="16"/>
  <c r="C6" i="16"/>
  <c r="B6" i="16"/>
  <c r="R8" i="16" l="1"/>
  <c r="R7" i="16"/>
  <c r="S8" i="16"/>
  <c r="S7" i="16"/>
  <c r="K8" i="16"/>
  <c r="K7" i="16"/>
  <c r="M8" i="16"/>
  <c r="M7" i="16"/>
  <c r="P8" i="16"/>
  <c r="P7" i="16"/>
  <c r="D8" i="16"/>
  <c r="D7" i="16"/>
  <c r="T8" i="16"/>
  <c r="T7" i="16"/>
  <c r="L8" i="16"/>
  <c r="L7" i="16"/>
  <c r="O8" i="16"/>
  <c r="O7" i="16"/>
  <c r="B8" i="16"/>
  <c r="B7" i="16"/>
  <c r="E8" i="16"/>
  <c r="E7" i="16"/>
  <c r="U8" i="16"/>
  <c r="U7" i="16"/>
  <c r="V8" i="16"/>
  <c r="V7" i="16"/>
  <c r="C8" i="16"/>
  <c r="C7" i="16"/>
  <c r="F8" i="16"/>
  <c r="F7" i="16"/>
  <c r="G8" i="16"/>
  <c r="G7" i="16"/>
  <c r="W8" i="16"/>
  <c r="W7" i="16"/>
  <c r="X8" i="16"/>
  <c r="X7" i="16"/>
  <c r="H8" i="16"/>
  <c r="H7" i="16"/>
  <c r="I8" i="16"/>
  <c r="I7" i="16"/>
  <c r="Y8" i="16"/>
  <c r="Y7" i="16"/>
  <c r="N8" i="16"/>
  <c r="N7" i="16"/>
  <c r="Q8" i="16"/>
  <c r="Q7" i="16"/>
  <c r="J8" i="16"/>
  <c r="J7" i="16"/>
  <c r="AL97" i="10" l="1"/>
  <c r="AK97" i="10"/>
  <c r="AJ97" i="10"/>
  <c r="AI97" i="10"/>
  <c r="AH97" i="10"/>
  <c r="AH98" i="10"/>
  <c r="AL98" i="10"/>
  <c r="AK98" i="10"/>
  <c r="AJ98" i="10"/>
  <c r="AI98" i="10"/>
  <c r="AL16" i="4" l="1"/>
  <c r="AK16" i="4"/>
  <c r="AJ16" i="4" l="1"/>
  <c r="AI16" i="4" l="1"/>
  <c r="Q101" i="5" l="1"/>
  <c r="P101" i="5"/>
  <c r="O101" i="5"/>
  <c r="N101" i="5"/>
  <c r="M101" i="5"/>
  <c r="F101" i="5"/>
  <c r="Q100" i="5"/>
  <c r="P100" i="5"/>
  <c r="O100" i="5"/>
  <c r="N100" i="5"/>
  <c r="M100" i="5"/>
  <c r="F100" i="5"/>
  <c r="Q99" i="5"/>
  <c r="P99" i="5"/>
  <c r="O99" i="5"/>
  <c r="N99" i="5"/>
  <c r="M99" i="5"/>
  <c r="F99" i="5"/>
  <c r="Q98" i="5"/>
  <c r="P98" i="5"/>
  <c r="O98" i="5"/>
  <c r="N98" i="5"/>
  <c r="M98" i="5"/>
  <c r="F98" i="5"/>
  <c r="Q97" i="5"/>
  <c r="P97" i="5"/>
  <c r="O97" i="5"/>
  <c r="N97" i="5"/>
  <c r="M97" i="5"/>
  <c r="F97" i="5"/>
  <c r="Q96" i="5"/>
  <c r="P96" i="5"/>
  <c r="O96" i="5"/>
  <c r="N96" i="5"/>
  <c r="M96" i="5"/>
  <c r="F96" i="5"/>
  <c r="Q95" i="5"/>
  <c r="P95" i="5"/>
  <c r="O95" i="5"/>
  <c r="N95" i="5"/>
  <c r="M95" i="5"/>
  <c r="F95" i="5"/>
  <c r="Q94" i="5"/>
  <c r="P94" i="5"/>
  <c r="O94" i="5"/>
  <c r="N94" i="5"/>
  <c r="M94" i="5"/>
  <c r="F94" i="5"/>
  <c r="Q93" i="5"/>
  <c r="P93" i="5"/>
  <c r="O93" i="5"/>
  <c r="N93" i="5"/>
  <c r="M93" i="5"/>
  <c r="F93" i="5"/>
  <c r="Q92" i="5"/>
  <c r="P92" i="5"/>
  <c r="O92" i="5"/>
  <c r="N92" i="5"/>
  <c r="M92" i="5"/>
  <c r="F92" i="5"/>
  <c r="Q91" i="5"/>
  <c r="P91" i="5"/>
  <c r="O91" i="5"/>
  <c r="N91" i="5"/>
  <c r="M91" i="5"/>
  <c r="F91" i="5"/>
  <c r="Q90" i="5"/>
  <c r="P90" i="5"/>
  <c r="O90" i="5"/>
  <c r="N90" i="5"/>
  <c r="M90" i="5"/>
  <c r="F90" i="5"/>
  <c r="Q89" i="5"/>
  <c r="P89" i="5"/>
  <c r="O89" i="5"/>
  <c r="N89" i="5"/>
  <c r="M89" i="5"/>
  <c r="F89" i="5"/>
  <c r="Q88" i="5"/>
  <c r="P88" i="5"/>
  <c r="O88" i="5"/>
  <c r="N88" i="5"/>
  <c r="M88" i="5"/>
  <c r="F88" i="5"/>
  <c r="Q87" i="5"/>
  <c r="P87" i="5"/>
  <c r="O87" i="5"/>
  <c r="N87" i="5"/>
  <c r="M87" i="5"/>
  <c r="F87" i="5"/>
  <c r="Q86" i="5"/>
  <c r="P86" i="5"/>
  <c r="O86" i="5"/>
  <c r="N86" i="5"/>
  <c r="M86" i="5"/>
  <c r="F86" i="5"/>
  <c r="Q85" i="5"/>
  <c r="P85" i="5"/>
  <c r="O85" i="5"/>
  <c r="N85" i="5"/>
  <c r="M85" i="5"/>
  <c r="F85" i="5"/>
  <c r="Q84" i="5"/>
  <c r="P84" i="5"/>
  <c r="O84" i="5"/>
  <c r="N84" i="5"/>
  <c r="M84" i="5"/>
  <c r="F84" i="5"/>
  <c r="Q83" i="5"/>
  <c r="P83" i="5"/>
  <c r="O83" i="5"/>
  <c r="N83" i="5"/>
  <c r="M83" i="5"/>
  <c r="F83" i="5"/>
  <c r="Q82" i="5"/>
  <c r="P82" i="5"/>
  <c r="O82" i="5"/>
  <c r="N82" i="5"/>
  <c r="M82" i="5"/>
  <c r="F82" i="5"/>
  <c r="Q81" i="5"/>
  <c r="P81" i="5"/>
  <c r="O81" i="5"/>
  <c r="N81" i="5"/>
  <c r="M81" i="5"/>
  <c r="F81" i="5"/>
  <c r="Q80" i="5"/>
  <c r="P80" i="5"/>
  <c r="O80" i="5"/>
  <c r="N80" i="5"/>
  <c r="M80" i="5"/>
  <c r="F80" i="5"/>
  <c r="Q79" i="5"/>
  <c r="P79" i="5"/>
  <c r="O79" i="5"/>
  <c r="N79" i="5"/>
  <c r="M79" i="5"/>
  <c r="F79" i="5"/>
  <c r="Q78" i="5"/>
  <c r="P78" i="5"/>
  <c r="O78" i="5"/>
  <c r="N78" i="5"/>
  <c r="M78" i="5"/>
  <c r="F78" i="5"/>
  <c r="Q77" i="5"/>
  <c r="P77" i="5"/>
  <c r="O77" i="5"/>
  <c r="N77" i="5"/>
  <c r="M77" i="5"/>
  <c r="F77" i="5"/>
  <c r="Q76" i="5"/>
  <c r="P76" i="5"/>
  <c r="O76" i="5"/>
  <c r="N76" i="5"/>
  <c r="M76" i="5"/>
  <c r="F76" i="5"/>
  <c r="Q75" i="5"/>
  <c r="P75" i="5"/>
  <c r="O75" i="5"/>
  <c r="N75" i="5"/>
  <c r="M75" i="5"/>
  <c r="F75" i="5"/>
  <c r="Q74" i="5"/>
  <c r="P74" i="5"/>
  <c r="O74" i="5"/>
  <c r="N74" i="5"/>
  <c r="M74" i="5"/>
  <c r="F74" i="5"/>
  <c r="Q73" i="5"/>
  <c r="P73" i="5"/>
  <c r="O73" i="5"/>
  <c r="N73" i="5"/>
  <c r="M73" i="5"/>
  <c r="F73" i="5"/>
  <c r="Q72" i="5"/>
  <c r="P72" i="5"/>
  <c r="O72" i="5"/>
  <c r="N72" i="5"/>
  <c r="M72" i="5"/>
  <c r="F72" i="5"/>
  <c r="Q71" i="5"/>
  <c r="P71" i="5"/>
  <c r="O71" i="5"/>
  <c r="N71" i="5"/>
  <c r="M71" i="5"/>
  <c r="F71" i="5"/>
  <c r="Q70" i="5"/>
  <c r="P70" i="5"/>
  <c r="O70" i="5"/>
  <c r="N70" i="5"/>
  <c r="M70" i="5"/>
  <c r="F70" i="5"/>
  <c r="Q69" i="5"/>
  <c r="P69" i="5"/>
  <c r="O69" i="5"/>
  <c r="N69" i="5"/>
  <c r="M69" i="5"/>
  <c r="F69" i="5"/>
  <c r="Q68" i="5"/>
  <c r="P68" i="5"/>
  <c r="O68" i="5"/>
  <c r="N68" i="5"/>
  <c r="M68" i="5"/>
  <c r="F68" i="5"/>
  <c r="Q67" i="5"/>
  <c r="P67" i="5"/>
  <c r="O67" i="5"/>
  <c r="N67" i="5"/>
  <c r="M67" i="5"/>
  <c r="F67" i="5"/>
  <c r="Q66" i="5"/>
  <c r="P66" i="5"/>
  <c r="O66" i="5"/>
  <c r="N66" i="5"/>
  <c r="M66" i="5"/>
  <c r="F66" i="5"/>
  <c r="Q65" i="5"/>
  <c r="P65" i="5"/>
  <c r="O65" i="5"/>
  <c r="N65" i="5"/>
  <c r="M65" i="5"/>
  <c r="F65" i="5"/>
  <c r="Q64" i="5"/>
  <c r="P64" i="5"/>
  <c r="O64" i="5"/>
  <c r="N64" i="5"/>
  <c r="M64" i="5"/>
  <c r="F64" i="5"/>
  <c r="Q63" i="5"/>
  <c r="P63" i="5"/>
  <c r="O63" i="5"/>
  <c r="N63" i="5"/>
  <c r="M63" i="5"/>
  <c r="F63" i="5"/>
  <c r="Q62" i="5"/>
  <c r="P62" i="5"/>
  <c r="O62" i="5"/>
  <c r="N62" i="5"/>
  <c r="M62" i="5"/>
  <c r="F62" i="5"/>
  <c r="Q61" i="5"/>
  <c r="P61" i="5"/>
  <c r="O61" i="5"/>
  <c r="N61" i="5"/>
  <c r="M61" i="5"/>
  <c r="F61" i="5"/>
  <c r="Q60" i="5"/>
  <c r="P60" i="5"/>
  <c r="O60" i="5"/>
  <c r="N60" i="5"/>
  <c r="M60" i="5"/>
  <c r="F60" i="5"/>
  <c r="Q59" i="5"/>
  <c r="P59" i="5"/>
  <c r="O59" i="5"/>
  <c r="N59" i="5"/>
  <c r="M59" i="5"/>
  <c r="F59" i="5"/>
  <c r="Q58" i="5"/>
  <c r="P58" i="5"/>
  <c r="O58" i="5"/>
  <c r="N58" i="5"/>
  <c r="M58" i="5"/>
  <c r="F58" i="5"/>
  <c r="Q57" i="5"/>
  <c r="P57" i="5"/>
  <c r="O57" i="5"/>
  <c r="N57" i="5"/>
  <c r="M57" i="5"/>
  <c r="F57" i="5"/>
  <c r="Q56" i="5"/>
  <c r="P56" i="5"/>
  <c r="O56" i="5"/>
  <c r="N56" i="5"/>
  <c r="M56" i="5"/>
  <c r="F56" i="5"/>
  <c r="Q55" i="5"/>
  <c r="P55" i="5"/>
  <c r="O55" i="5"/>
  <c r="N55" i="5"/>
  <c r="M55" i="5"/>
  <c r="F55" i="5"/>
  <c r="Q54" i="5"/>
  <c r="P54" i="5"/>
  <c r="O54" i="5"/>
  <c r="N54" i="5"/>
  <c r="M54" i="5"/>
  <c r="F54" i="5"/>
  <c r="Q53" i="5"/>
  <c r="P53" i="5"/>
  <c r="O53" i="5"/>
  <c r="N53" i="5"/>
  <c r="M53" i="5"/>
  <c r="F53" i="5"/>
  <c r="Q52" i="5"/>
  <c r="P52" i="5"/>
  <c r="O52" i="5"/>
  <c r="N52" i="5"/>
  <c r="M52" i="5"/>
  <c r="F52" i="5"/>
  <c r="Q51" i="5"/>
  <c r="P51" i="5"/>
  <c r="O51" i="5"/>
  <c r="N51" i="5"/>
  <c r="M51" i="5"/>
  <c r="F51" i="5"/>
  <c r="Q50" i="5"/>
  <c r="P50" i="5"/>
  <c r="O50" i="5"/>
  <c r="N50" i="5"/>
  <c r="M50" i="5"/>
  <c r="F50" i="5"/>
  <c r="Q49" i="5"/>
  <c r="P49" i="5"/>
  <c r="O49" i="5"/>
  <c r="N49" i="5"/>
  <c r="M49" i="5"/>
  <c r="F49" i="5"/>
  <c r="Q48" i="5"/>
  <c r="P48" i="5"/>
  <c r="O48" i="5"/>
  <c r="N48" i="5"/>
  <c r="M48" i="5"/>
  <c r="F48" i="5"/>
  <c r="Q47" i="5"/>
  <c r="P47" i="5"/>
  <c r="O47" i="5"/>
  <c r="N47" i="5"/>
  <c r="M47" i="5"/>
  <c r="F47" i="5"/>
  <c r="Q46" i="5"/>
  <c r="P46" i="5"/>
  <c r="O46" i="5"/>
  <c r="N46" i="5"/>
  <c r="M46" i="5"/>
  <c r="F46" i="5"/>
  <c r="Q45" i="5"/>
  <c r="P45" i="5"/>
  <c r="O45" i="5"/>
  <c r="N45" i="5"/>
  <c r="M45" i="5"/>
  <c r="F45" i="5"/>
  <c r="Q44" i="5"/>
  <c r="P44" i="5"/>
  <c r="O44" i="5"/>
  <c r="N44" i="5"/>
  <c r="M44" i="5"/>
  <c r="F44" i="5"/>
  <c r="Q43" i="5"/>
  <c r="P43" i="5"/>
  <c r="O43" i="5"/>
  <c r="N43" i="5"/>
  <c r="M43" i="5"/>
  <c r="F43" i="5"/>
  <c r="Q42" i="5"/>
  <c r="P42" i="5"/>
  <c r="O42" i="5"/>
  <c r="N42" i="5"/>
  <c r="M42" i="5"/>
  <c r="F42" i="5"/>
  <c r="Q41" i="5"/>
  <c r="P41" i="5"/>
  <c r="O41" i="5"/>
  <c r="N41" i="5"/>
  <c r="M41" i="5"/>
  <c r="F41" i="5"/>
  <c r="Q40" i="5"/>
  <c r="P40" i="5"/>
  <c r="O40" i="5"/>
  <c r="N40" i="5"/>
  <c r="M40" i="5"/>
  <c r="F40" i="5"/>
  <c r="Q39" i="5"/>
  <c r="P39" i="5"/>
  <c r="O39" i="5"/>
  <c r="N39" i="5"/>
  <c r="M39" i="5"/>
  <c r="F39" i="5"/>
  <c r="Q38" i="5"/>
  <c r="P38" i="5"/>
  <c r="O38" i="5"/>
  <c r="N38" i="5"/>
  <c r="M38" i="5"/>
  <c r="F38" i="5"/>
  <c r="Q37" i="5"/>
  <c r="P37" i="5"/>
  <c r="O37" i="5"/>
  <c r="N37" i="5"/>
  <c r="M37" i="5"/>
  <c r="F37" i="5"/>
  <c r="Q36" i="5"/>
  <c r="P36" i="5"/>
  <c r="O36" i="5"/>
  <c r="N36" i="5"/>
  <c r="M36" i="5"/>
  <c r="F36" i="5"/>
  <c r="Q35" i="5"/>
  <c r="P35" i="5"/>
  <c r="O35" i="5"/>
  <c r="N35" i="5"/>
  <c r="M35" i="5"/>
  <c r="F35" i="5"/>
  <c r="Q34" i="5"/>
  <c r="P34" i="5"/>
  <c r="O34" i="5"/>
  <c r="N34" i="5"/>
  <c r="M34" i="5"/>
  <c r="F34" i="5"/>
  <c r="Q33" i="5"/>
  <c r="P33" i="5"/>
  <c r="O33" i="5"/>
  <c r="N33" i="5"/>
  <c r="M33" i="5"/>
  <c r="F33" i="5"/>
  <c r="Q32" i="5"/>
  <c r="P32" i="5"/>
  <c r="O32" i="5"/>
  <c r="N32" i="5"/>
  <c r="M32" i="5"/>
  <c r="F32" i="5"/>
  <c r="Q31" i="5"/>
  <c r="P31" i="5"/>
  <c r="O31" i="5"/>
  <c r="N31" i="5"/>
  <c r="M31" i="5"/>
  <c r="F31" i="5"/>
  <c r="Q30" i="5"/>
  <c r="P30" i="5"/>
  <c r="O30" i="5"/>
  <c r="N30" i="5"/>
  <c r="M30" i="5"/>
  <c r="F30" i="5"/>
  <c r="Q29" i="5"/>
  <c r="P29" i="5"/>
  <c r="O29" i="5"/>
  <c r="N29" i="5"/>
  <c r="M29" i="5"/>
  <c r="F29" i="5"/>
  <c r="Q28" i="5"/>
  <c r="P28" i="5"/>
  <c r="O28" i="5"/>
  <c r="N28" i="5"/>
  <c r="M28" i="5"/>
  <c r="F28" i="5"/>
  <c r="Q27" i="5"/>
  <c r="P27" i="5"/>
  <c r="O27" i="5"/>
  <c r="N27" i="5"/>
  <c r="M27" i="5"/>
  <c r="F27" i="5"/>
  <c r="Q26" i="5"/>
  <c r="P26" i="5"/>
  <c r="O26" i="5"/>
  <c r="N26" i="5"/>
  <c r="M26" i="5"/>
  <c r="F26" i="5"/>
  <c r="Q25" i="5"/>
  <c r="P25" i="5"/>
  <c r="O25" i="5"/>
  <c r="N25" i="5"/>
  <c r="M25" i="5"/>
  <c r="F25" i="5"/>
  <c r="Q24" i="5"/>
  <c r="P24" i="5"/>
  <c r="F23" i="5" s="1"/>
  <c r="O24" i="5"/>
  <c r="N24" i="5"/>
  <c r="M24" i="5"/>
  <c r="F24" i="5"/>
  <c r="Q23" i="5"/>
  <c r="P23" i="5"/>
  <c r="O23" i="5"/>
  <c r="N23" i="5"/>
  <c r="M23" i="5"/>
  <c r="Q22" i="5"/>
  <c r="O22" i="5"/>
  <c r="P22" i="5" s="1"/>
  <c r="N22" i="5"/>
  <c r="M22" i="5"/>
  <c r="F22" i="5"/>
  <c r="Q21" i="5"/>
  <c r="O21" i="5"/>
  <c r="F14" i="5" s="1"/>
  <c r="N21" i="5"/>
  <c r="M21" i="5"/>
  <c r="F21" i="5"/>
  <c r="Q20" i="5"/>
  <c r="P20" i="5"/>
  <c r="O20" i="5"/>
  <c r="N20" i="5"/>
  <c r="M20" i="5"/>
  <c r="Q19" i="5"/>
  <c r="P19" i="5"/>
  <c r="O19" i="5"/>
  <c r="N19" i="5"/>
  <c r="M19" i="5"/>
  <c r="Q18" i="5"/>
  <c r="P18" i="5"/>
  <c r="O18" i="5"/>
  <c r="N18" i="5"/>
  <c r="M18" i="5"/>
  <c r="Q17" i="5"/>
  <c r="P17" i="5"/>
  <c r="O17" i="5"/>
  <c r="N17" i="5"/>
  <c r="M17" i="5"/>
  <c r="Q16" i="5"/>
  <c r="P16" i="5"/>
  <c r="O16" i="5"/>
  <c r="N16" i="5"/>
  <c r="M16" i="5"/>
  <c r="F16" i="5"/>
  <c r="Q15" i="5"/>
  <c r="P15" i="5"/>
  <c r="O15" i="5"/>
  <c r="N15" i="5"/>
  <c r="M15" i="5"/>
  <c r="Q14" i="5"/>
  <c r="P14" i="5"/>
  <c r="O14" i="5"/>
  <c r="N14" i="5"/>
  <c r="M14" i="5"/>
  <c r="Q13" i="5"/>
  <c r="P13" i="5"/>
  <c r="O13" i="5"/>
  <c r="N13" i="5"/>
  <c r="M13" i="5"/>
  <c r="F13" i="5"/>
  <c r="Q12" i="5"/>
  <c r="P12" i="5"/>
  <c r="O12" i="5"/>
  <c r="N12" i="5"/>
  <c r="M12" i="5"/>
  <c r="Q11" i="5"/>
  <c r="P11" i="5"/>
  <c r="O11" i="5"/>
  <c r="N11" i="5"/>
  <c r="M11" i="5"/>
  <c r="Q10" i="5"/>
  <c r="P10" i="5"/>
  <c r="O10" i="5"/>
  <c r="N10" i="5"/>
  <c r="M10" i="5"/>
  <c r="Q9" i="5"/>
  <c r="P9" i="5"/>
  <c r="O9" i="5"/>
  <c r="N9" i="5"/>
  <c r="M9" i="5"/>
  <c r="F9" i="5"/>
  <c r="Q8" i="5"/>
  <c r="P8" i="5"/>
  <c r="O8" i="5"/>
  <c r="N8" i="5"/>
  <c r="M8" i="5"/>
  <c r="Q7" i="5"/>
  <c r="P7" i="5"/>
  <c r="O7" i="5"/>
  <c r="N7" i="5"/>
  <c r="M7" i="5"/>
  <c r="Q6" i="5"/>
  <c r="P6" i="5"/>
  <c r="O6" i="5"/>
  <c r="N6" i="5"/>
  <c r="M6" i="5"/>
  <c r="F6" i="5"/>
  <c r="Q5" i="5"/>
  <c r="P5" i="5"/>
  <c r="O5" i="5"/>
  <c r="N5" i="5"/>
  <c r="M5" i="5"/>
  <c r="Q4" i="5"/>
  <c r="P4" i="5"/>
  <c r="O4" i="5"/>
  <c r="N4" i="5"/>
  <c r="M4" i="5"/>
  <c r="Q3" i="5"/>
  <c r="P3" i="5"/>
  <c r="O3" i="5"/>
  <c r="N3" i="5"/>
  <c r="M3" i="5"/>
  <c r="AH16" i="4"/>
  <c r="AG16" i="4"/>
  <c r="AF16" i="4"/>
  <c r="AE16" i="4"/>
  <c r="AD16" i="4"/>
  <c r="U103" i="11" s="1" a="1"/>
  <c r="U103" i="11" s="1"/>
  <c r="AC16" i="4"/>
  <c r="AB16" i="4"/>
  <c r="AA16" i="4"/>
  <c r="Z16" i="4"/>
  <c r="Y16" i="4"/>
  <c r="X16" i="4"/>
  <c r="W16" i="4"/>
  <c r="T111" i="11" s="1" a="1"/>
  <c r="T111" i="11" s="1"/>
  <c r="V16" i="4"/>
  <c r="U16" i="4"/>
  <c r="T16" i="4"/>
  <c r="R121" i="11" s="1" a="1"/>
  <c r="R121" i="11" s="1"/>
  <c r="S16" i="4"/>
  <c r="R16" i="4"/>
  <c r="AG61" i="10" s="1" a="1"/>
  <c r="AG61" i="10" s="1"/>
  <c r="AO2" i="4"/>
  <c r="AL2" i="4"/>
  <c r="AH2" i="4"/>
  <c r="AG2" i="4"/>
  <c r="AF2" i="4"/>
  <c r="AE2" i="4"/>
  <c r="AD2" i="4"/>
  <c r="AB2" i="4"/>
  <c r="Y2" i="4"/>
  <c r="V2" i="4"/>
  <c r="R2" i="4"/>
  <c r="Q2" i="4"/>
  <c r="P2" i="4"/>
  <c r="O2" i="4"/>
  <c r="N2" i="4"/>
  <c r="L2" i="4"/>
  <c r="I2" i="4"/>
  <c r="F2" i="4"/>
  <c r="AO1" i="4"/>
  <c r="AN1" i="4"/>
  <c r="AN2" i="4" s="1"/>
  <c r="AM1" i="4"/>
  <c r="AM2" i="4" s="1"/>
  <c r="AL1" i="4"/>
  <c r="AK1" i="4"/>
  <c r="AK2" i="4" s="1"/>
  <c r="AJ1" i="4"/>
  <c r="AJ2" i="4" s="1"/>
  <c r="AI1" i="4"/>
  <c r="AI2" i="4" s="1"/>
  <c r="AH1" i="4"/>
  <c r="AG1" i="4"/>
  <c r="AF1" i="4"/>
  <c r="AE1" i="4"/>
  <c r="AD1" i="4"/>
  <c r="AC1" i="4"/>
  <c r="AC2" i="4" s="1"/>
  <c r="AB1" i="4"/>
  <c r="AA1" i="4"/>
  <c r="AA2" i="4" s="1"/>
  <c r="Z1" i="4"/>
  <c r="Z2" i="4" s="1"/>
  <c r="Y1" i="4"/>
  <c r="X1" i="4"/>
  <c r="X2" i="4" s="1"/>
  <c r="W1" i="4"/>
  <c r="W2" i="4" s="1"/>
  <c r="V1" i="4"/>
  <c r="U1" i="4"/>
  <c r="U2" i="4" s="1"/>
  <c r="T1" i="4"/>
  <c r="T2" i="4" s="1"/>
  <c r="S1" i="4"/>
  <c r="S2" i="4" s="1"/>
  <c r="R1" i="4"/>
  <c r="Q1" i="4"/>
  <c r="P1" i="4"/>
  <c r="O1" i="4"/>
  <c r="N1" i="4"/>
  <c r="M1" i="4"/>
  <c r="M2" i="4" s="1"/>
  <c r="L1" i="4"/>
  <c r="K1" i="4"/>
  <c r="K2" i="4" s="1"/>
  <c r="J1" i="4"/>
  <c r="J2" i="4" s="1"/>
  <c r="I1" i="4"/>
  <c r="H1" i="4"/>
  <c r="H2" i="4" s="1"/>
  <c r="G1" i="4"/>
  <c r="G2" i="4" s="1"/>
  <c r="F1" i="4"/>
  <c r="Z125" i="11"/>
  <c r="Y125" i="11"/>
  <c r="X125" i="11"/>
  <c r="T121" i="11" a="1"/>
  <c r="T121" i="11" s="1"/>
  <c r="AL117" i="11"/>
  <c r="AK117" i="11"/>
  <c r="AJ117" i="11"/>
  <c r="AI117" i="11"/>
  <c r="AH117" i="11"/>
  <c r="AG117" i="11"/>
  <c r="AF117" i="11"/>
  <c r="AE117" i="11"/>
  <c r="AD117" i="11"/>
  <c r="AC117" i="11"/>
  <c r="AB117" i="11"/>
  <c r="AA117" i="11"/>
  <c r="AL115" i="11"/>
  <c r="AK115" i="11"/>
  <c r="AJ115" i="11"/>
  <c r="AI115" i="11"/>
  <c r="AH115" i="11"/>
  <c r="AG115" i="11"/>
  <c r="AF115" i="11"/>
  <c r="AE115" i="11"/>
  <c r="AD115" i="11"/>
  <c r="AC115" i="11"/>
  <c r="AB115" i="11"/>
  <c r="AA115" i="11"/>
  <c r="Z115" i="11"/>
  <c r="Y115" i="11"/>
  <c r="X115" i="11"/>
  <c r="W115" i="11"/>
  <c r="V115" i="11"/>
  <c r="U115" i="11"/>
  <c r="T115" i="11"/>
  <c r="S115" i="11"/>
  <c r="R115" i="11"/>
  <c r="Q115" i="11"/>
  <c r="P115" i="11"/>
  <c r="O115" i="11"/>
  <c r="U111" i="11" a="1"/>
  <c r="U111" i="11" s="1"/>
  <c r="AF107" i="11"/>
  <c r="AE107" i="11"/>
  <c r="AD107" i="11"/>
  <c r="AC107" i="11"/>
  <c r="AB107" i="11"/>
  <c r="AA107" i="11"/>
  <c r="Z107" i="11"/>
  <c r="Y107" i="11"/>
  <c r="X107" i="11"/>
  <c r="W107" i="11"/>
  <c r="V107" i="11"/>
  <c r="U107" i="11"/>
  <c r="T107" i="11"/>
  <c r="S107" i="11"/>
  <c r="R107" i="11"/>
  <c r="Q107" i="11"/>
  <c r="P107" i="11"/>
  <c r="O107" i="11"/>
  <c r="V103" i="11" a="1"/>
  <c r="V103" i="11" s="1"/>
  <c r="S97" i="11" a="1"/>
  <c r="S97" i="11" s="1"/>
  <c r="Z94" i="11"/>
  <c r="Y94" i="11"/>
  <c r="X94" i="11"/>
  <c r="W94" i="11"/>
  <c r="V94" i="11"/>
  <c r="U94" i="11"/>
  <c r="T94" i="11"/>
  <c r="S94" i="11"/>
  <c r="R94" i="11"/>
  <c r="Q94" i="11"/>
  <c r="P94" i="11"/>
  <c r="O94" i="11"/>
  <c r="Q89" i="11" a="1"/>
  <c r="Q89" i="11" s="1"/>
  <c r="O83" i="11" a="1"/>
  <c r="O83" i="11" s="1"/>
  <c r="Z80" i="11"/>
  <c r="Y80" i="11"/>
  <c r="X80" i="11"/>
  <c r="W80" i="11"/>
  <c r="V80" i="11"/>
  <c r="U80" i="11"/>
  <c r="T80" i="11"/>
  <c r="S80" i="11"/>
  <c r="R80" i="11"/>
  <c r="Q80" i="11"/>
  <c r="P80" i="11"/>
  <c r="O80" i="11"/>
  <c r="AC74" i="11" a="1"/>
  <c r="AC74" i="11" s="1"/>
  <c r="AL70" i="11"/>
  <c r="AK70" i="11"/>
  <c r="AJ70" i="11"/>
  <c r="AI70" i="11"/>
  <c r="AH70" i="11"/>
  <c r="AG70" i="11"/>
  <c r="AF70" i="11"/>
  <c r="AE70" i="11"/>
  <c r="AD70" i="11"/>
  <c r="AC70" i="11"/>
  <c r="AB70" i="11"/>
  <c r="AA70" i="11"/>
  <c r="Z70" i="11"/>
  <c r="Y70" i="11"/>
  <c r="X70" i="11"/>
  <c r="W70" i="11"/>
  <c r="V70" i="11"/>
  <c r="U70" i="11"/>
  <c r="T70" i="11"/>
  <c r="S70" i="11"/>
  <c r="R70" i="11"/>
  <c r="Q70" i="11"/>
  <c r="P70" i="11"/>
  <c r="O70" i="11"/>
  <c r="AL68" i="11"/>
  <c r="AK68" i="11"/>
  <c r="AJ68" i="11"/>
  <c r="AI68" i="11"/>
  <c r="AH68" i="11"/>
  <c r="AG68" i="11"/>
  <c r="AF68" i="11"/>
  <c r="AE68" i="11"/>
  <c r="AD68" i="11"/>
  <c r="AC68" i="11"/>
  <c r="AB68" i="11"/>
  <c r="AA68" i="11"/>
  <c r="Z68" i="11"/>
  <c r="Y68" i="11"/>
  <c r="X68" i="11"/>
  <c r="W68" i="11"/>
  <c r="V68" i="11"/>
  <c r="U68" i="11"/>
  <c r="T68" i="11"/>
  <c r="S68" i="11"/>
  <c r="R68" i="11"/>
  <c r="Q68" i="11"/>
  <c r="P68" i="11"/>
  <c r="O68" i="11"/>
  <c r="AL67" i="11"/>
  <c r="AK67" i="11"/>
  <c r="AJ67" i="11"/>
  <c r="AI67" i="11"/>
  <c r="AH67" i="11"/>
  <c r="AG67" i="11"/>
  <c r="AF67" i="11"/>
  <c r="AE67" i="11"/>
  <c r="AD67" i="11"/>
  <c r="AC67" i="11"/>
  <c r="AB67" i="11"/>
  <c r="AA67" i="11"/>
  <c r="Z67" i="11"/>
  <c r="Y67" i="11"/>
  <c r="X67" i="11"/>
  <c r="W67" i="11"/>
  <c r="V67" i="11"/>
  <c r="U67" i="11"/>
  <c r="T67" i="11"/>
  <c r="S67" i="11"/>
  <c r="R67" i="11"/>
  <c r="Q67" i="11"/>
  <c r="P67" i="11"/>
  <c r="O67" i="11"/>
  <c r="AL61" i="11"/>
  <c r="AK61" i="11"/>
  <c r="AJ61" i="11"/>
  <c r="AI61" i="11"/>
  <c r="AH61" i="11"/>
  <c r="AG61" i="11"/>
  <c r="AF61" i="11"/>
  <c r="AE61" i="11"/>
  <c r="AD61" i="11"/>
  <c r="AC61" i="11"/>
  <c r="AB61" i="11"/>
  <c r="AA61" i="11"/>
  <c r="AL60" i="11"/>
  <c r="AK60" i="11"/>
  <c r="AJ60" i="11"/>
  <c r="AI60" i="11"/>
  <c r="AH60" i="11"/>
  <c r="AG60" i="11"/>
  <c r="AF60" i="11"/>
  <c r="AE60" i="11"/>
  <c r="AD60" i="11"/>
  <c r="AC60" i="11"/>
  <c r="AB60" i="11"/>
  <c r="AA60" i="11"/>
  <c r="AL59" i="11"/>
  <c r="AK59" i="11"/>
  <c r="AJ59" i="11"/>
  <c r="AI59" i="11"/>
  <c r="AH59" i="11"/>
  <c r="AG59" i="11"/>
  <c r="AF59" i="11"/>
  <c r="AE59" i="11"/>
  <c r="AD59" i="11"/>
  <c r="AC59" i="11"/>
  <c r="AB59" i="11"/>
  <c r="AA59" i="11"/>
  <c r="AA57" i="11" a="1"/>
  <c r="AA57" i="11" s="1"/>
  <c r="AL53" i="11"/>
  <c r="AK53" i="11"/>
  <c r="AJ53" i="11"/>
  <c r="AI53" i="11"/>
  <c r="AH53" i="11"/>
  <c r="AG53" i="11"/>
  <c r="AF53" i="11"/>
  <c r="AE53" i="11"/>
  <c r="AD53" i="11"/>
  <c r="AC53" i="11"/>
  <c r="AB53" i="11"/>
  <c r="AA53" i="11"/>
  <c r="Z53" i="11"/>
  <c r="Y53" i="11"/>
  <c r="X53" i="11"/>
  <c r="W53" i="11"/>
  <c r="V53" i="11"/>
  <c r="U53" i="11"/>
  <c r="T53" i="11"/>
  <c r="S53" i="11"/>
  <c r="R53" i="11"/>
  <c r="Q53" i="11"/>
  <c r="P53" i="11"/>
  <c r="O53" i="11"/>
  <c r="AL49" i="11"/>
  <c r="AK49" i="11"/>
  <c r="AJ49" i="11"/>
  <c r="AI49" i="11"/>
  <c r="AH49" i="11"/>
  <c r="AG49" i="11"/>
  <c r="AF49" i="11"/>
  <c r="AE49" i="11"/>
  <c r="AD49" i="11"/>
  <c r="AC49" i="11"/>
  <c r="AB49" i="11"/>
  <c r="AA49" i="11"/>
  <c r="Z49" i="11"/>
  <c r="Y49" i="11"/>
  <c r="X49" i="11"/>
  <c r="W49" i="11"/>
  <c r="V49" i="11"/>
  <c r="U49" i="11"/>
  <c r="T49" i="11"/>
  <c r="S49" i="11"/>
  <c r="R49" i="11"/>
  <c r="Q49" i="11"/>
  <c r="P49" i="11"/>
  <c r="O49" i="11"/>
  <c r="AL48" i="11"/>
  <c r="AK48" i="11"/>
  <c r="AJ48" i="11"/>
  <c r="AI48" i="11"/>
  <c r="AH48" i="11"/>
  <c r="AG48" i="11"/>
  <c r="AF48" i="11"/>
  <c r="AE48" i="11"/>
  <c r="AD48" i="11"/>
  <c r="AC48" i="11"/>
  <c r="AB48" i="11"/>
  <c r="AA48" i="11"/>
  <c r="Z48" i="11"/>
  <c r="Y48" i="11"/>
  <c r="X48" i="11"/>
  <c r="W48" i="11"/>
  <c r="V48" i="11"/>
  <c r="U48" i="11"/>
  <c r="T48" i="11"/>
  <c r="S48" i="11"/>
  <c r="R48" i="11"/>
  <c r="Q48" i="11"/>
  <c r="P48" i="11"/>
  <c r="O48" i="11"/>
  <c r="AL47" i="11"/>
  <c r="AK47" i="11"/>
  <c r="AJ47" i="11"/>
  <c r="AI47" i="11"/>
  <c r="AH47" i="11"/>
  <c r="AG47" i="11"/>
  <c r="AF47" i="11"/>
  <c r="AE47" i="11"/>
  <c r="AD47" i="11"/>
  <c r="AC47" i="11"/>
  <c r="AB47" i="11"/>
  <c r="AA47" i="11"/>
  <c r="Z47" i="11"/>
  <c r="Y47" i="11"/>
  <c r="X47" i="11"/>
  <c r="W47" i="11"/>
  <c r="V47" i="11"/>
  <c r="U47" i="11"/>
  <c r="T47" i="11"/>
  <c r="S47" i="11"/>
  <c r="R47" i="11"/>
  <c r="Q47" i="11"/>
  <c r="P47" i="11"/>
  <c r="O47" i="11"/>
  <c r="AL46" i="11"/>
  <c r="AK46" i="11"/>
  <c r="AJ46" i="11"/>
  <c r="AI46" i="11"/>
  <c r="AH46" i="11"/>
  <c r="AG46" i="11"/>
  <c r="AF46" i="11"/>
  <c r="AE46" i="11"/>
  <c r="AD46" i="11"/>
  <c r="AC46" i="11"/>
  <c r="AB46" i="11"/>
  <c r="AA46" i="11"/>
  <c r="Z46" i="11"/>
  <c r="Y46" i="11"/>
  <c r="X46" i="11"/>
  <c r="W46" i="11"/>
  <c r="V46" i="11"/>
  <c r="U46" i="11"/>
  <c r="T46" i="11"/>
  <c r="S46" i="11"/>
  <c r="R46" i="11"/>
  <c r="Q46" i="11"/>
  <c r="P46" i="11"/>
  <c r="O46" i="11"/>
  <c r="AL45" i="11"/>
  <c r="AK45" i="11"/>
  <c r="AJ45" i="11"/>
  <c r="AI45" i="11"/>
  <c r="AH45" i="11"/>
  <c r="AG45" i="11"/>
  <c r="AF45" i="11"/>
  <c r="AE45" i="11"/>
  <c r="AD45" i="11"/>
  <c r="AC45" i="11"/>
  <c r="AB45" i="11"/>
  <c r="AA45" i="11"/>
  <c r="Z45" i="11"/>
  <c r="Y45" i="11"/>
  <c r="X45" i="11"/>
  <c r="W45" i="11"/>
  <c r="V45" i="11"/>
  <c r="U45" i="11"/>
  <c r="T45" i="11"/>
  <c r="S45" i="11"/>
  <c r="R45" i="11"/>
  <c r="Q45" i="11"/>
  <c r="P45" i="11"/>
  <c r="O45" i="11"/>
  <c r="AL44" i="11"/>
  <c r="AK44" i="11"/>
  <c r="AJ44" i="11"/>
  <c r="AI44" i="11"/>
  <c r="AH44" i="11"/>
  <c r="AG44" i="11"/>
  <c r="AF44" i="11"/>
  <c r="AE44" i="11"/>
  <c r="AD44" i="11"/>
  <c r="AC44" i="11"/>
  <c r="AB44" i="11"/>
  <c r="AA44" i="11"/>
  <c r="Z44" i="11"/>
  <c r="Y44" i="11"/>
  <c r="X44" i="11"/>
  <c r="W44" i="11"/>
  <c r="V44" i="11"/>
  <c r="U44" i="11"/>
  <c r="T44" i="11"/>
  <c r="S44" i="11"/>
  <c r="R44" i="11"/>
  <c r="Q44" i="11"/>
  <c r="P44" i="11"/>
  <c r="O44" i="11"/>
  <c r="AL43" i="11"/>
  <c r="AK43" i="11"/>
  <c r="AJ43" i="11"/>
  <c r="AI43" i="11"/>
  <c r="AH43" i="11"/>
  <c r="AG43" i="11"/>
  <c r="AF43" i="11"/>
  <c r="AE43" i="11"/>
  <c r="AD43" i="11"/>
  <c r="AC43" i="11"/>
  <c r="AB43" i="11"/>
  <c r="AA43" i="11"/>
  <c r="Z43" i="11"/>
  <c r="Y43" i="11"/>
  <c r="X43" i="11"/>
  <c r="W43" i="11"/>
  <c r="V43" i="11"/>
  <c r="U43" i="11"/>
  <c r="T43" i="11"/>
  <c r="S43" i="11"/>
  <c r="R43" i="11"/>
  <c r="Q43" i="11"/>
  <c r="P43" i="11"/>
  <c r="O43" i="11"/>
  <c r="Z41" i="11" a="1"/>
  <c r="Z41" i="11" s="1"/>
  <c r="AL37" i="11"/>
  <c r="AK37" i="11"/>
  <c r="AJ37" i="11"/>
  <c r="AI37" i="11"/>
  <c r="AH37" i="11"/>
  <c r="AG37" i="11"/>
  <c r="AF37" i="11"/>
  <c r="AE37" i="11"/>
  <c r="AD37" i="11"/>
  <c r="AC37" i="11"/>
  <c r="AB37" i="11"/>
  <c r="AA37" i="11"/>
  <c r="Z37" i="11"/>
  <c r="Y37" i="11"/>
  <c r="X37" i="11"/>
  <c r="W37" i="11"/>
  <c r="V37" i="11"/>
  <c r="U37" i="11"/>
  <c r="T37" i="11"/>
  <c r="S37" i="11"/>
  <c r="R37" i="11"/>
  <c r="Q37" i="11"/>
  <c r="P37" i="11"/>
  <c r="O37" i="11"/>
  <c r="AL33" i="11"/>
  <c r="AK33" i="11"/>
  <c r="AJ33" i="11"/>
  <c r="AI33" i="11"/>
  <c r="AH33" i="11"/>
  <c r="AG33" i="11"/>
  <c r="AF33" i="11"/>
  <c r="AE33" i="11"/>
  <c r="AD33" i="11"/>
  <c r="AC33" i="11"/>
  <c r="AB33" i="11"/>
  <c r="AA33" i="11"/>
  <c r="Z33" i="11"/>
  <c r="Y33" i="11"/>
  <c r="X33" i="11"/>
  <c r="W33" i="11"/>
  <c r="V33" i="11"/>
  <c r="U33" i="11"/>
  <c r="T33" i="11"/>
  <c r="S33" i="11"/>
  <c r="R33" i="11"/>
  <c r="Q33" i="11"/>
  <c r="P33" i="11"/>
  <c r="O33" i="11"/>
  <c r="AL32" i="11"/>
  <c r="AK32" i="11"/>
  <c r="AJ32" i="11"/>
  <c r="AI32" i="11"/>
  <c r="AH32" i="11"/>
  <c r="AG32" i="11"/>
  <c r="AF32" i="11"/>
  <c r="AE32" i="11"/>
  <c r="AD32" i="11"/>
  <c r="AC32" i="11"/>
  <c r="AB32" i="11"/>
  <c r="AA32" i="11"/>
  <c r="Z32" i="11"/>
  <c r="Y32" i="11"/>
  <c r="X32" i="11"/>
  <c r="W32" i="11"/>
  <c r="V32" i="11"/>
  <c r="U32" i="11"/>
  <c r="T32" i="11"/>
  <c r="S32" i="11"/>
  <c r="R32" i="11"/>
  <c r="Q32" i="11"/>
  <c r="P32" i="11"/>
  <c r="O32" i="11"/>
  <c r="AL31" i="11"/>
  <c r="AK31" i="11"/>
  <c r="AJ31" i="11"/>
  <c r="AI31" i="11"/>
  <c r="AH31" i="11"/>
  <c r="AG31" i="11"/>
  <c r="AF31" i="11"/>
  <c r="AE31" i="11"/>
  <c r="AD31" i="11"/>
  <c r="AC31" i="11"/>
  <c r="AB31" i="11"/>
  <c r="AA31" i="11"/>
  <c r="Z31" i="11"/>
  <c r="Y31" i="11"/>
  <c r="X31" i="11"/>
  <c r="W31" i="11"/>
  <c r="V31" i="11"/>
  <c r="U31" i="11"/>
  <c r="T31" i="11"/>
  <c r="S31" i="11"/>
  <c r="R31" i="11"/>
  <c r="Q31" i="11"/>
  <c r="P31" i="11"/>
  <c r="O31" i="11"/>
  <c r="AL30" i="11"/>
  <c r="AK30" i="11"/>
  <c r="AJ30" i="11"/>
  <c r="AI30" i="11"/>
  <c r="AH30" i="11"/>
  <c r="AG30" i="11"/>
  <c r="AF30" i="11"/>
  <c r="AE30" i="11"/>
  <c r="AD30" i="11"/>
  <c r="AC30" i="11"/>
  <c r="AB30" i="11"/>
  <c r="AA30" i="11"/>
  <c r="Z30" i="11"/>
  <c r="Y30" i="11"/>
  <c r="X30" i="11"/>
  <c r="W30" i="11"/>
  <c r="V30" i="11"/>
  <c r="U30" i="11"/>
  <c r="T30" i="11"/>
  <c r="S30" i="11"/>
  <c r="R30" i="11"/>
  <c r="Q30" i="11"/>
  <c r="P30" i="11"/>
  <c r="O30" i="11"/>
  <c r="AL29" i="11"/>
  <c r="AK29" i="11"/>
  <c r="AJ29" i="11"/>
  <c r="AI29" i="11"/>
  <c r="AH29" i="11"/>
  <c r="AG29" i="11"/>
  <c r="AF29" i="11"/>
  <c r="AE29" i="11"/>
  <c r="AD29" i="11"/>
  <c r="AC29" i="11"/>
  <c r="AB29" i="11"/>
  <c r="AA29" i="11"/>
  <c r="Z29" i="11"/>
  <c r="Y29" i="11"/>
  <c r="X29" i="11"/>
  <c r="W29" i="11"/>
  <c r="V29" i="11"/>
  <c r="U29" i="11"/>
  <c r="T29" i="11"/>
  <c r="S29" i="11"/>
  <c r="R29" i="11"/>
  <c r="Q29" i="11"/>
  <c r="P29" i="11"/>
  <c r="O29" i="11"/>
  <c r="AL28" i="11"/>
  <c r="AK28" i="11"/>
  <c r="AJ28" i="11"/>
  <c r="AI28" i="11"/>
  <c r="AH28" i="11"/>
  <c r="AG28" i="11"/>
  <c r="AF28" i="11"/>
  <c r="AE28" i="11"/>
  <c r="AD28" i="11"/>
  <c r="AC28" i="11"/>
  <c r="AB28" i="11"/>
  <c r="AA28" i="11"/>
  <c r="Z28" i="11"/>
  <c r="Y28" i="11"/>
  <c r="X28" i="11"/>
  <c r="W28" i="11"/>
  <c r="V28" i="11"/>
  <c r="U28" i="11"/>
  <c r="T28" i="11"/>
  <c r="S28" i="11"/>
  <c r="R28" i="11"/>
  <c r="Q28" i="11"/>
  <c r="P28" i="11"/>
  <c r="O28" i="11"/>
  <c r="AL27" i="11"/>
  <c r="AK27" i="11"/>
  <c r="AJ27" i="11"/>
  <c r="AI27" i="11"/>
  <c r="AH27" i="11"/>
  <c r="AG27" i="11"/>
  <c r="AF27" i="11"/>
  <c r="AE27" i="11"/>
  <c r="AD27" i="11"/>
  <c r="AC27" i="11"/>
  <c r="AB27" i="11"/>
  <c r="AA27" i="11"/>
  <c r="Z27" i="11"/>
  <c r="Y27" i="11"/>
  <c r="X27" i="11"/>
  <c r="W27" i="11"/>
  <c r="V27" i="11"/>
  <c r="U27" i="11"/>
  <c r="T27" i="11"/>
  <c r="S27" i="11"/>
  <c r="R27" i="11"/>
  <c r="Q27" i="11"/>
  <c r="P27" i="11"/>
  <c r="O27" i="11"/>
  <c r="Y24" i="11" a="1"/>
  <c r="Y24" i="11" s="1"/>
  <c r="W17" i="11" a="1"/>
  <c r="W17" i="11" s="1"/>
  <c r="AL2" i="11"/>
  <c r="AK2" i="11"/>
  <c r="AJ2" i="11"/>
  <c r="AI2" i="11"/>
  <c r="AH2" i="11"/>
  <c r="AG2" i="11"/>
  <c r="AF2" i="11"/>
  <c r="AE2" i="11"/>
  <c r="AD2" i="11"/>
  <c r="AC2" i="11"/>
  <c r="AB2" i="11"/>
  <c r="AA2" i="11"/>
  <c r="Z2" i="11"/>
  <c r="Y2" i="11"/>
  <c r="X2" i="11"/>
  <c r="W2" i="11"/>
  <c r="V2" i="11"/>
  <c r="U2" i="11"/>
  <c r="T2" i="11"/>
  <c r="S2" i="11"/>
  <c r="R2" i="11"/>
  <c r="Q2" i="11"/>
  <c r="P2" i="11"/>
  <c r="O2" i="11"/>
  <c r="N2" i="11"/>
  <c r="M2" i="11"/>
  <c r="L2" i="11"/>
  <c r="AL1" i="11"/>
  <c r="AK1" i="11"/>
  <c r="AJ1" i="11"/>
  <c r="AI1" i="11"/>
  <c r="AH1" i="11"/>
  <c r="AG1" i="11"/>
  <c r="AF1" i="11"/>
  <c r="AE1" i="11"/>
  <c r="AD1" i="11"/>
  <c r="AC1" i="11"/>
  <c r="AB1" i="11"/>
  <c r="AA1" i="11"/>
  <c r="Z1" i="11"/>
  <c r="Y1" i="11"/>
  <c r="X1" i="11"/>
  <c r="W1" i="11"/>
  <c r="V1" i="11"/>
  <c r="U1" i="11"/>
  <c r="T1" i="11"/>
  <c r="S1" i="11"/>
  <c r="R1" i="11"/>
  <c r="Q1" i="11"/>
  <c r="P1" i="11"/>
  <c r="O1" i="11"/>
  <c r="N1" i="11"/>
  <c r="M1" i="11"/>
  <c r="L1" i="11"/>
  <c r="M31" i="13" a="1"/>
  <c r="M31" i="13" s="1"/>
  <c r="T30" i="13" a="1"/>
  <c r="T30" i="13" s="1"/>
  <c r="V12" i="13" a="1"/>
  <c r="V12" i="13" s="1"/>
  <c r="F12" i="13" a="1"/>
  <c r="F12" i="13" s="1"/>
  <c r="H11" i="13" a="1"/>
  <c r="H11" i="13" s="1"/>
  <c r="Z110" i="10"/>
  <c r="Y110" i="10"/>
  <c r="X110" i="10"/>
  <c r="Y106" i="10" a="1"/>
  <c r="Y106" i="10" s="1"/>
  <c r="AL105" i="10"/>
  <c r="AL103" i="10" s="1"/>
  <c r="AD91" i="8" s="1" a="1"/>
  <c r="AD91" i="8" s="1"/>
  <c r="AK105" i="10"/>
  <c r="AK103" i="10" s="1"/>
  <c r="AC91" i="8" s="1" a="1"/>
  <c r="AC91" i="8" s="1"/>
  <c r="AJ105" i="10"/>
  <c r="AJ103" i="10" s="1"/>
  <c r="AB91" i="8" s="1" a="1"/>
  <c r="AB91" i="8" s="1"/>
  <c r="AI105" i="10"/>
  <c r="AI103" i="10" s="1"/>
  <c r="AA91" i="8" s="1" a="1"/>
  <c r="AA91" i="8" s="1"/>
  <c r="AH105" i="10"/>
  <c r="AH103" i="10" s="1"/>
  <c r="Z91" i="8" s="1" a="1"/>
  <c r="Z91" i="8" s="1"/>
  <c r="AG105" i="10"/>
  <c r="AG103" i="10" s="1"/>
  <c r="Y91" i="8" s="1" a="1"/>
  <c r="Y91" i="8" s="1"/>
  <c r="AF105" i="10"/>
  <c r="AF103" i="10" s="1"/>
  <c r="X91" i="8" s="1" a="1"/>
  <c r="X91" i="8" s="1"/>
  <c r="AE105" i="10"/>
  <c r="AE103" i="10" s="1"/>
  <c r="W91" i="8" s="1" a="1"/>
  <c r="W91" i="8" s="1"/>
  <c r="AD105" i="10"/>
  <c r="AD103" i="10" s="1"/>
  <c r="V91" i="8" s="1" a="1"/>
  <c r="V91" i="8" s="1"/>
  <c r="AC105" i="10"/>
  <c r="AC103" i="10" s="1"/>
  <c r="U91" i="8" s="1" a="1"/>
  <c r="U91" i="8" s="1"/>
  <c r="AB105" i="10"/>
  <c r="AB103" i="10" s="1"/>
  <c r="T91" i="8" s="1" a="1"/>
  <c r="T91" i="8" s="1"/>
  <c r="AA105" i="10"/>
  <c r="AA103" i="10" s="1"/>
  <c r="S91" i="8" s="1" a="1"/>
  <c r="S91" i="8" s="1"/>
  <c r="Z103" i="10"/>
  <c r="R91" i="8" s="1" a="1"/>
  <c r="R91" i="8" s="1"/>
  <c r="Y103" i="10"/>
  <c r="Q91" i="8" s="1" a="1"/>
  <c r="Q91" i="8" s="1"/>
  <c r="X103" i="10"/>
  <c r="W103" i="10"/>
  <c r="O91" i="8" s="1" a="1"/>
  <c r="O91" i="8" s="1"/>
  <c r="V103" i="10"/>
  <c r="N91" i="8" s="1" a="1"/>
  <c r="N91" i="8" s="1"/>
  <c r="U103" i="10"/>
  <c r="T103" i="10"/>
  <c r="S103" i="10"/>
  <c r="K91" i="8" s="1" a="1"/>
  <c r="K91" i="8" s="1"/>
  <c r="R103" i="10"/>
  <c r="Q103" i="10"/>
  <c r="P103" i="10"/>
  <c r="O103" i="10"/>
  <c r="G91" i="8" s="1" a="1"/>
  <c r="G91" i="8" s="1"/>
  <c r="R99" i="10" a="1"/>
  <c r="R99" i="10" s="1"/>
  <c r="AF98" i="10"/>
  <c r="AE98" i="10"/>
  <c r="W82" i="8" s="1" a="1"/>
  <c r="W82" i="8" s="1"/>
  <c r="AD98" i="10"/>
  <c r="V82" i="8" s="1" a="1"/>
  <c r="V82" i="8" s="1"/>
  <c r="AC98" i="10"/>
  <c r="U82" i="8" s="1" a="1"/>
  <c r="U82" i="8" s="1"/>
  <c r="AB98" i="10"/>
  <c r="T82" i="8" s="1" a="1"/>
  <c r="T82" i="8" s="1"/>
  <c r="AA98" i="10"/>
  <c r="Z98" i="10"/>
  <c r="R82" i="8" s="1" a="1"/>
  <c r="R82" i="8" s="1"/>
  <c r="Y98" i="10"/>
  <c r="Q82" i="8" s="1" a="1"/>
  <c r="Q82" i="8" s="1"/>
  <c r="X98" i="10"/>
  <c r="W98" i="10"/>
  <c r="O82" i="8" s="1" a="1"/>
  <c r="O82" i="8" s="1"/>
  <c r="V98" i="10"/>
  <c r="N82" i="8" s="1" a="1"/>
  <c r="N82" i="8" s="1"/>
  <c r="U98" i="10"/>
  <c r="T98" i="10"/>
  <c r="S98" i="10"/>
  <c r="R98" i="10"/>
  <c r="J82" i="8" s="1" a="1"/>
  <c r="J82" i="8" s="1"/>
  <c r="Q98" i="10"/>
  <c r="I82" i="8" s="1" a="1"/>
  <c r="I82" i="8" s="1"/>
  <c r="P98" i="10"/>
  <c r="H82" i="8" s="1" a="1"/>
  <c r="H82" i="8" s="1"/>
  <c r="O98" i="10"/>
  <c r="G82" i="8" s="1" a="1"/>
  <c r="G82" i="8" s="1"/>
  <c r="U92" i="10" a="1"/>
  <c r="U92" i="10" s="1"/>
  <c r="V89" i="10" a="1"/>
  <c r="V89" i="10" s="1"/>
  <c r="Z86" i="10"/>
  <c r="Y86" i="10"/>
  <c r="X86" i="10"/>
  <c r="W86" i="10"/>
  <c r="V86" i="10"/>
  <c r="U86" i="10"/>
  <c r="T86" i="10"/>
  <c r="S86" i="10"/>
  <c r="R86" i="10"/>
  <c r="Q86" i="10"/>
  <c r="P86" i="10"/>
  <c r="O86" i="10"/>
  <c r="V79" i="10" a="1"/>
  <c r="V79" i="10" s="1"/>
  <c r="W76" i="10" a="1"/>
  <c r="W76" i="10" s="1"/>
  <c r="Z73" i="10"/>
  <c r="Y73" i="10"/>
  <c r="X73" i="10"/>
  <c r="W73" i="10"/>
  <c r="V73" i="10"/>
  <c r="U73" i="10"/>
  <c r="T73" i="10"/>
  <c r="S73" i="10"/>
  <c r="R73" i="10"/>
  <c r="Q73" i="10"/>
  <c r="P73" i="10"/>
  <c r="O73" i="10"/>
  <c r="W67" i="10" a="1"/>
  <c r="W67" i="10" s="1"/>
  <c r="AC56" i="10" a="1"/>
  <c r="AC56" i="10" s="1"/>
  <c r="AL50" i="10"/>
  <c r="AK50" i="10"/>
  <c r="AJ50" i="10"/>
  <c r="AI50" i="10"/>
  <c r="AH50" i="10"/>
  <c r="AG50" i="10"/>
  <c r="AF50" i="10"/>
  <c r="AE50" i="10"/>
  <c r="AD50" i="10"/>
  <c r="AC50" i="10"/>
  <c r="AB50" i="10"/>
  <c r="AA50" i="10"/>
  <c r="Z50" i="10"/>
  <c r="Y50" i="10"/>
  <c r="X50" i="10"/>
  <c r="W50" i="10"/>
  <c r="V50" i="10"/>
  <c r="U50" i="10"/>
  <c r="T50" i="10"/>
  <c r="S50" i="10"/>
  <c r="R50" i="10"/>
  <c r="Q50" i="10"/>
  <c r="P50" i="10"/>
  <c r="O50" i="10"/>
  <c r="AL49" i="10"/>
  <c r="AK49" i="10"/>
  <c r="AJ49" i="10"/>
  <c r="AI49" i="10"/>
  <c r="AH49" i="10"/>
  <c r="AG49" i="10"/>
  <c r="AF49" i="10"/>
  <c r="AE49" i="10"/>
  <c r="AD49" i="10"/>
  <c r="AC49" i="10"/>
  <c r="AB49" i="10"/>
  <c r="AA49" i="10"/>
  <c r="Z49" i="10"/>
  <c r="Y49" i="10"/>
  <c r="X49" i="10"/>
  <c r="W49" i="10"/>
  <c r="V49" i="10"/>
  <c r="U49" i="10"/>
  <c r="T49" i="10"/>
  <c r="S49" i="10"/>
  <c r="R49" i="10"/>
  <c r="Q49" i="10"/>
  <c r="P49" i="10"/>
  <c r="O49" i="10"/>
  <c r="AL48" i="10"/>
  <c r="AK48" i="10"/>
  <c r="AJ48" i="10"/>
  <c r="AI48" i="10"/>
  <c r="AH48" i="10"/>
  <c r="AG48" i="10"/>
  <c r="AF48" i="10"/>
  <c r="AE48" i="10"/>
  <c r="AD48" i="10"/>
  <c r="AC48" i="10"/>
  <c r="AB48" i="10"/>
  <c r="AA48" i="10"/>
  <c r="Z48" i="10"/>
  <c r="Y48" i="10"/>
  <c r="X48" i="10"/>
  <c r="W48" i="10"/>
  <c r="V48" i="10"/>
  <c r="U48" i="10"/>
  <c r="T48" i="10"/>
  <c r="S48" i="10"/>
  <c r="R48" i="10"/>
  <c r="Q48" i="10"/>
  <c r="P48" i="10"/>
  <c r="O48" i="10"/>
  <c r="AL46" i="10"/>
  <c r="AK46" i="10"/>
  <c r="AJ46" i="10"/>
  <c r="AI46" i="10"/>
  <c r="AH46" i="10"/>
  <c r="AG46" i="10"/>
  <c r="AF46" i="10"/>
  <c r="AE46" i="10"/>
  <c r="AE47" i="10" s="1"/>
  <c r="AD46" i="10"/>
  <c r="AD47" i="10" s="1"/>
  <c r="AC46" i="10"/>
  <c r="AC47" i="10" s="1"/>
  <c r="AB46" i="10"/>
  <c r="AB47" i="10" s="1"/>
  <c r="AA46" i="10"/>
  <c r="AA47" i="10" s="1"/>
  <c r="Z46" i="10"/>
  <c r="Z47" i="10" s="1"/>
  <c r="Y46" i="10"/>
  <c r="Y47" i="10" s="1"/>
  <c r="X46" i="10"/>
  <c r="X47" i="10" s="1"/>
  <c r="W46" i="10"/>
  <c r="V46" i="10"/>
  <c r="U46" i="10"/>
  <c r="T46" i="10"/>
  <c r="S46" i="10"/>
  <c r="R46" i="10"/>
  <c r="Q46" i="10"/>
  <c r="P46" i="10"/>
  <c r="O46" i="10"/>
  <c r="O47" i="10" s="1"/>
  <c r="AD43" i="10" a="1"/>
  <c r="AD43" i="10" s="1"/>
  <c r="AL37" i="10"/>
  <c r="AK37" i="10"/>
  <c r="AJ37" i="10"/>
  <c r="AI37" i="10"/>
  <c r="AH37" i="10"/>
  <c r="AG37" i="10"/>
  <c r="AF37" i="10"/>
  <c r="AE37" i="10"/>
  <c r="AD37" i="10"/>
  <c r="AC37" i="10"/>
  <c r="AB37" i="10"/>
  <c r="AA37" i="10"/>
  <c r="Z37" i="10"/>
  <c r="Y37" i="10"/>
  <c r="X37" i="10"/>
  <c r="W37" i="10"/>
  <c r="V37" i="10"/>
  <c r="U37" i="10"/>
  <c r="T37" i="10"/>
  <c r="S37" i="10"/>
  <c r="R37" i="10"/>
  <c r="Q37" i="10"/>
  <c r="P37" i="10"/>
  <c r="O37" i="10"/>
  <c r="AL36" i="10"/>
  <c r="AK36" i="10"/>
  <c r="AJ36" i="10"/>
  <c r="AI36" i="10"/>
  <c r="AH36" i="10"/>
  <c r="AG36" i="10"/>
  <c r="AF36" i="10"/>
  <c r="AE36" i="10"/>
  <c r="AD36" i="10"/>
  <c r="AC36" i="10"/>
  <c r="AB36" i="10"/>
  <c r="AA36" i="10"/>
  <c r="Z36" i="10"/>
  <c r="Y36" i="10"/>
  <c r="X36" i="10"/>
  <c r="W36" i="10"/>
  <c r="V36" i="10"/>
  <c r="U36" i="10"/>
  <c r="T36" i="10"/>
  <c r="S36" i="10"/>
  <c r="R36" i="10"/>
  <c r="Q36" i="10"/>
  <c r="P36" i="10"/>
  <c r="O36" i="10"/>
  <c r="AL35" i="10"/>
  <c r="AK35" i="10"/>
  <c r="AJ35" i="10"/>
  <c r="AI35" i="10"/>
  <c r="AH35" i="10"/>
  <c r="AG35" i="10"/>
  <c r="AF35" i="10"/>
  <c r="AE35" i="10"/>
  <c r="AD35" i="10"/>
  <c r="AC35" i="10"/>
  <c r="AB35" i="10"/>
  <c r="AA35" i="10"/>
  <c r="Z35" i="10"/>
  <c r="Y35" i="10"/>
  <c r="X35" i="10"/>
  <c r="W35" i="10"/>
  <c r="V35" i="10"/>
  <c r="U35" i="10"/>
  <c r="T35" i="10"/>
  <c r="S35" i="10"/>
  <c r="R35" i="10"/>
  <c r="Q35" i="10"/>
  <c r="P35" i="10"/>
  <c r="O35" i="10"/>
  <c r="AL33" i="10"/>
  <c r="AK33" i="10"/>
  <c r="AJ33" i="10"/>
  <c r="AI33" i="10"/>
  <c r="AH33" i="10"/>
  <c r="AG33" i="10"/>
  <c r="AF33" i="10"/>
  <c r="AF34" i="10" s="1"/>
  <c r="AE33" i="10"/>
  <c r="AE34" i="10" s="1"/>
  <c r="AD33" i="10"/>
  <c r="AD34" i="10" s="1"/>
  <c r="AC33" i="10"/>
  <c r="AC34" i="10" s="1"/>
  <c r="AB33" i="10"/>
  <c r="AB34" i="10" s="1"/>
  <c r="AA33" i="10"/>
  <c r="AA34" i="10" s="1"/>
  <c r="Z33" i="10"/>
  <c r="Z34" i="10" s="1"/>
  <c r="Y33" i="10"/>
  <c r="Y34" i="10" s="1"/>
  <c r="X33" i="10"/>
  <c r="W33" i="10"/>
  <c r="V33" i="10"/>
  <c r="U33" i="10"/>
  <c r="T33" i="10"/>
  <c r="S33" i="10"/>
  <c r="R33" i="10"/>
  <c r="Q33" i="10"/>
  <c r="P33" i="10"/>
  <c r="P34" i="10" s="1"/>
  <c r="O33" i="10"/>
  <c r="O34" i="10" s="1"/>
  <c r="AE29" i="10" a="1"/>
  <c r="AE29" i="10" s="1"/>
  <c r="AD27" i="10"/>
  <c r="V23" i="8" s="1" a="1"/>
  <c r="V23" i="8" s="1"/>
  <c r="AC27" i="10"/>
  <c r="U23" i="8" s="1" a="1"/>
  <c r="U23" i="8" s="1"/>
  <c r="AB27" i="10"/>
  <c r="T23" i="8" s="1" a="1"/>
  <c r="T23" i="8" s="1"/>
  <c r="AA27" i="10"/>
  <c r="X21" i="10" a="1"/>
  <c r="X21" i="10" s="1"/>
  <c r="Y17" i="10" a="1"/>
  <c r="Y17" i="10" s="1"/>
  <c r="AL1" i="10"/>
  <c r="AK1" i="10"/>
  <c r="AJ1" i="10"/>
  <c r="AI1" i="10"/>
  <c r="AI2" i="10" s="1"/>
  <c r="AH1" i="10"/>
  <c r="AH2" i="10" s="1"/>
  <c r="AG1" i="10"/>
  <c r="AF1" i="10"/>
  <c r="AE1" i="10"/>
  <c r="AE2" i="10" s="1"/>
  <c r="AD1" i="10"/>
  <c r="AD2" i="10" s="1"/>
  <c r="AC1" i="10"/>
  <c r="AC2" i="10" s="1"/>
  <c r="AB1" i="10"/>
  <c r="AB2" i="10" s="1"/>
  <c r="AA1" i="10"/>
  <c r="AA2" i="10" s="1"/>
  <c r="Z1" i="10"/>
  <c r="Z2" i="10" s="1"/>
  <c r="Y1" i="10"/>
  <c r="Y2" i="10" s="1"/>
  <c r="X1" i="10"/>
  <c r="X2" i="10" s="1"/>
  <c r="W1" i="10"/>
  <c r="W2" i="10" s="1"/>
  <c r="V1" i="10"/>
  <c r="V2" i="10" s="1"/>
  <c r="U1" i="10"/>
  <c r="U2" i="10" s="1"/>
  <c r="T1" i="10"/>
  <c r="T2" i="10" s="1"/>
  <c r="S1" i="10"/>
  <c r="S2" i="10" s="1"/>
  <c r="R1" i="10"/>
  <c r="R2" i="10" s="1"/>
  <c r="Q1" i="10"/>
  <c r="Q2" i="10" s="1"/>
  <c r="P1" i="10"/>
  <c r="P2" i="10" s="1"/>
  <c r="O1" i="10"/>
  <c r="O2" i="10" s="1"/>
  <c r="N1" i="10"/>
  <c r="N2" i="10" s="1"/>
  <c r="M1" i="10"/>
  <c r="M2" i="10" s="1"/>
  <c r="L1" i="10"/>
  <c r="L2" i="10" s="1"/>
  <c r="W104" i="8" a="1"/>
  <c r="W104" i="8" s="1"/>
  <c r="V101" i="8" a="1"/>
  <c r="V101" i="8" s="1"/>
  <c r="AD100" i="8" a="1"/>
  <c r="AD100" i="8" s="1"/>
  <c r="AC100" i="8" a="1"/>
  <c r="AC100" i="8" s="1"/>
  <c r="AB100" i="8" a="1"/>
  <c r="AB100" i="8" s="1"/>
  <c r="AA100" i="8" a="1"/>
  <c r="AA100" i="8" s="1"/>
  <c r="Z100" i="8" a="1"/>
  <c r="Z100" i="8" s="1"/>
  <c r="Y100" i="8" a="1"/>
  <c r="Y100" i="8" s="1"/>
  <c r="X100" i="8" a="1"/>
  <c r="X100" i="8" s="1"/>
  <c r="W100" i="8" a="1"/>
  <c r="W100" i="8" s="1"/>
  <c r="V100" i="8" a="1"/>
  <c r="V100" i="8" s="1"/>
  <c r="U100" i="8" a="1"/>
  <c r="U100" i="8" s="1"/>
  <c r="T100" i="8" a="1"/>
  <c r="T100" i="8" s="1"/>
  <c r="S100" i="8" a="1"/>
  <c r="S100" i="8" s="1"/>
  <c r="R100" i="8" a="1"/>
  <c r="R100" i="8" s="1"/>
  <c r="Q100" i="8" a="1"/>
  <c r="Q100" i="8" s="1"/>
  <c r="P100" i="8" a="1"/>
  <c r="P100" i="8" s="1"/>
  <c r="O100" i="8" a="1"/>
  <c r="O100" i="8" s="1"/>
  <c r="N100" i="8" a="1"/>
  <c r="N100" i="8" s="1"/>
  <c r="M100" i="8" a="1"/>
  <c r="M100" i="8" s="1"/>
  <c r="L100" i="8" a="1"/>
  <c r="L100" i="8" s="1"/>
  <c r="K100" i="8" a="1"/>
  <c r="K100" i="8" s="1"/>
  <c r="J100" i="8" a="1"/>
  <c r="J100" i="8" s="1"/>
  <c r="I100" i="8" a="1"/>
  <c r="I100" i="8" s="1"/>
  <c r="H100" i="8" a="1"/>
  <c r="H100" i="8" s="1"/>
  <c r="G100" i="8" a="1"/>
  <c r="G100" i="8" s="1"/>
  <c r="AD99" i="8" a="1"/>
  <c r="AD99" i="8" s="1"/>
  <c r="AC99" i="8" a="1"/>
  <c r="AC99" i="8" s="1"/>
  <c r="AB99" i="8" a="1"/>
  <c r="AB99" i="8" s="1"/>
  <c r="AA99" i="8" a="1"/>
  <c r="AA99" i="8" s="1"/>
  <c r="Z99" i="8" a="1"/>
  <c r="Z99" i="8" s="1"/>
  <c r="Y99" i="8" a="1"/>
  <c r="Y99" i="8" s="1"/>
  <c r="X99" i="8" a="1"/>
  <c r="X99" i="8" s="1"/>
  <c r="W99" i="8" a="1"/>
  <c r="W99" i="8" s="1"/>
  <c r="V99" i="8" a="1"/>
  <c r="V99" i="8" s="1"/>
  <c r="U99" i="8" a="1"/>
  <c r="U99" i="8" s="1"/>
  <c r="T99" i="8" a="1"/>
  <c r="T99" i="8" s="1"/>
  <c r="S99" i="8" a="1"/>
  <c r="S99" i="8" s="1"/>
  <c r="R99" i="8" a="1"/>
  <c r="R99" i="8" s="1"/>
  <c r="Q99" i="8" a="1"/>
  <c r="Q99" i="8" s="1"/>
  <c r="P99" i="8" a="1"/>
  <c r="P99" i="8" s="1"/>
  <c r="O99" i="8" a="1"/>
  <c r="O99" i="8" s="1"/>
  <c r="N99" i="8" a="1"/>
  <c r="N99" i="8" s="1"/>
  <c r="M99" i="8" a="1"/>
  <c r="M99" i="8" s="1"/>
  <c r="L99" i="8" a="1"/>
  <c r="L99" i="8" s="1"/>
  <c r="K99" i="8" a="1"/>
  <c r="K99" i="8" s="1"/>
  <c r="J99" i="8" a="1"/>
  <c r="J99" i="8" s="1"/>
  <c r="I99" i="8" a="1"/>
  <c r="I99" i="8" s="1"/>
  <c r="H99" i="8" a="1"/>
  <c r="H99" i="8" s="1"/>
  <c r="G99" i="8" a="1"/>
  <c r="G99" i="8" s="1"/>
  <c r="U95" i="8" a="1"/>
  <c r="U95" i="8" s="1"/>
  <c r="AC92" i="8" a="1"/>
  <c r="AC92" i="8" s="1"/>
  <c r="AA92" i="8" a="1"/>
  <c r="AA92" i="8" s="1"/>
  <c r="Z92" i="8" a="1"/>
  <c r="Z92" i="8" s="1"/>
  <c r="Y92" i="8" a="1"/>
  <c r="Y92" i="8" s="1"/>
  <c r="M92" i="8" a="1"/>
  <c r="M92" i="8" s="1"/>
  <c r="K92" i="8" a="1"/>
  <c r="K92" i="8" s="1"/>
  <c r="J92" i="8" a="1"/>
  <c r="J92" i="8" s="1"/>
  <c r="I92" i="8" a="1"/>
  <c r="I92" i="8" s="1"/>
  <c r="H92" i="8" a="1"/>
  <c r="H92" i="8" s="1"/>
  <c r="G92" i="8" a="1"/>
  <c r="G92" i="8" s="1"/>
  <c r="P91" i="8" a="1"/>
  <c r="P91" i="8" s="1"/>
  <c r="M91" i="8" a="1"/>
  <c r="M91" i="8" s="1"/>
  <c r="L91" i="8" a="1"/>
  <c r="L91" i="8" s="1"/>
  <c r="J91" i="8" a="1"/>
  <c r="J91" i="8" s="1"/>
  <c r="I91" i="8" a="1"/>
  <c r="I91" i="8" s="1"/>
  <c r="H91" i="8" a="1"/>
  <c r="H91" i="8" s="1"/>
  <c r="AD90" i="8" a="1"/>
  <c r="AD90" i="8" s="1"/>
  <c r="AC90" i="8" a="1"/>
  <c r="AC90" i="8" s="1"/>
  <c r="AB90" i="8" a="1"/>
  <c r="AB90" i="8" s="1"/>
  <c r="AA90" i="8" a="1"/>
  <c r="AA90" i="8" s="1"/>
  <c r="Z90" i="8" a="1"/>
  <c r="Z90" i="8" s="1"/>
  <c r="Y90" i="8" a="1"/>
  <c r="Y90" i="8" s="1"/>
  <c r="X90" i="8" a="1"/>
  <c r="X90" i="8" s="1"/>
  <c r="W90" i="8" a="1"/>
  <c r="W90" i="8" s="1"/>
  <c r="V90" i="8" a="1"/>
  <c r="V90" i="8" s="1"/>
  <c r="U90" i="8" a="1"/>
  <c r="U90" i="8" s="1"/>
  <c r="T90" i="8" a="1"/>
  <c r="T90" i="8" s="1"/>
  <c r="S90" i="8" a="1"/>
  <c r="S90" i="8" s="1"/>
  <c r="R90" i="8" a="1"/>
  <c r="R90" i="8" s="1"/>
  <c r="Q90" i="8" a="1"/>
  <c r="Q90" i="8" s="1"/>
  <c r="P90" i="8" a="1"/>
  <c r="P90" i="8" s="1"/>
  <c r="O90" i="8" a="1"/>
  <c r="O90" i="8" s="1"/>
  <c r="N90" i="8" a="1"/>
  <c r="N90" i="8" s="1"/>
  <c r="M90" i="8" a="1"/>
  <c r="M90" i="8" s="1"/>
  <c r="L90" i="8" a="1"/>
  <c r="L90" i="8" s="1"/>
  <c r="K90" i="8" a="1"/>
  <c r="K90" i="8" s="1"/>
  <c r="J90" i="8" a="1"/>
  <c r="J90" i="8" s="1"/>
  <c r="I90" i="8" a="1"/>
  <c r="I90" i="8" s="1"/>
  <c r="H90" i="8" a="1"/>
  <c r="H90" i="8" s="1"/>
  <c r="G90" i="8" a="1"/>
  <c r="G90" i="8" s="1"/>
  <c r="AD86" i="8" a="1"/>
  <c r="AD86" i="8" s="1"/>
  <c r="X86" i="8" a="1"/>
  <c r="X86" i="8" s="1"/>
  <c r="W86" i="8" a="1"/>
  <c r="W86" i="8" s="1"/>
  <c r="U86" i="8" a="1"/>
  <c r="U86" i="8" s="1"/>
  <c r="S86" i="8" a="1"/>
  <c r="S86" i="8" s="1"/>
  <c r="R86" i="8" a="1"/>
  <c r="R86" i="8" s="1"/>
  <c r="Q86" i="8" a="1"/>
  <c r="Q86" i="8" s="1"/>
  <c r="P86" i="8" a="1"/>
  <c r="P86" i="8" s="1"/>
  <c r="O86" i="8" a="1"/>
  <c r="O86" i="8" s="1"/>
  <c r="N86" i="8" a="1"/>
  <c r="N86" i="8" s="1"/>
  <c r="H86" i="8" a="1"/>
  <c r="H86" i="8" s="1"/>
  <c r="G86" i="8" a="1"/>
  <c r="G86" i="8" s="1"/>
  <c r="AC83" i="8" a="1"/>
  <c r="AC83" i="8" s="1"/>
  <c r="AA83" i="8" a="1"/>
  <c r="AA83" i="8" s="1"/>
  <c r="Z83" i="8" a="1"/>
  <c r="Z83" i="8" s="1"/>
  <c r="Y83" i="8" a="1"/>
  <c r="Y83" i="8" s="1"/>
  <c r="X83" i="8" a="1"/>
  <c r="X83" i="8" s="1"/>
  <c r="W83" i="8" a="1"/>
  <c r="W83" i="8" s="1"/>
  <c r="V83" i="8" a="1"/>
  <c r="V83" i="8" s="1"/>
  <c r="P83" i="8" a="1"/>
  <c r="P83" i="8" s="1"/>
  <c r="O83" i="8" a="1"/>
  <c r="O83" i="8" s="1"/>
  <c r="M83" i="8" a="1"/>
  <c r="M83" i="8" s="1"/>
  <c r="K83" i="8" a="1"/>
  <c r="K83" i="8" s="1"/>
  <c r="J83" i="8" a="1"/>
  <c r="J83" i="8" s="1"/>
  <c r="I83" i="8" a="1"/>
  <c r="I83" i="8" s="1"/>
  <c r="H83" i="8" a="1"/>
  <c r="H83" i="8" s="1"/>
  <c r="G83" i="8" a="1"/>
  <c r="G83" i="8" s="1"/>
  <c r="AD82" i="8" a="1"/>
  <c r="AD82" i="8" s="1"/>
  <c r="AC82" i="8" a="1"/>
  <c r="AC82" i="8" s="1"/>
  <c r="AB82" i="8" a="1"/>
  <c r="AB82" i="8" s="1"/>
  <c r="AA82" i="8" a="1"/>
  <c r="AA82" i="8" s="1"/>
  <c r="Z82" i="8" a="1"/>
  <c r="Z82" i="8" s="1"/>
  <c r="Y82" i="8" a="1"/>
  <c r="Y82" i="8" s="1"/>
  <c r="X82" i="8" a="1"/>
  <c r="X82" i="8" s="1"/>
  <c r="S82" i="8" a="1"/>
  <c r="S82" i="8" s="1"/>
  <c r="P82" i="8" a="1"/>
  <c r="P82" i="8" s="1"/>
  <c r="M82" i="8" a="1"/>
  <c r="M82" i="8" s="1"/>
  <c r="L82" i="8" a="1"/>
  <c r="L82" i="8" s="1"/>
  <c r="K82" i="8" a="1"/>
  <c r="K82" i="8" s="1"/>
  <c r="AD81" i="8" a="1"/>
  <c r="AD81" i="8" s="1"/>
  <c r="AC81" i="8" a="1"/>
  <c r="AC81" i="8" s="1"/>
  <c r="AB81" i="8" a="1"/>
  <c r="AB81" i="8" s="1"/>
  <c r="AA81" i="8" a="1"/>
  <c r="AA81" i="8" s="1"/>
  <c r="Z81" i="8" a="1"/>
  <c r="Z81" i="8" s="1"/>
  <c r="Y81" i="8" a="1"/>
  <c r="Y81" i="8" s="1"/>
  <c r="X81" i="8" a="1"/>
  <c r="X81" i="8" s="1"/>
  <c r="W81" i="8" a="1"/>
  <c r="W81" i="8" s="1"/>
  <c r="V81" i="8" a="1"/>
  <c r="V81" i="8" s="1"/>
  <c r="U81" i="8" a="1"/>
  <c r="U81" i="8" s="1"/>
  <c r="T81" i="8" a="1"/>
  <c r="T81" i="8" s="1"/>
  <c r="S81" i="8" a="1"/>
  <c r="S81" i="8" s="1"/>
  <c r="R81" i="8" a="1"/>
  <c r="R81" i="8" s="1"/>
  <c r="Q81" i="8" a="1"/>
  <c r="Q81" i="8" s="1"/>
  <c r="P81" i="8" a="1"/>
  <c r="P81" i="8" s="1"/>
  <c r="O81" i="8" a="1"/>
  <c r="O81" i="8" s="1"/>
  <c r="N81" i="8" a="1"/>
  <c r="N81" i="8" s="1"/>
  <c r="M81" i="8" a="1"/>
  <c r="M81" i="8" s="1"/>
  <c r="L81" i="8" a="1"/>
  <c r="L81" i="8" s="1"/>
  <c r="K81" i="8" a="1"/>
  <c r="K81" i="8" s="1"/>
  <c r="J81" i="8" a="1"/>
  <c r="J81" i="8" s="1"/>
  <c r="I81" i="8" a="1"/>
  <c r="I81" i="8" s="1"/>
  <c r="H81" i="8" a="1"/>
  <c r="H81" i="8" s="1"/>
  <c r="G81" i="8" a="1"/>
  <c r="G81" i="8" s="1"/>
  <c r="AC77" i="8" a="1"/>
  <c r="AC77" i="8" s="1"/>
  <c r="AA77" i="8" a="1"/>
  <c r="AA77" i="8" s="1"/>
  <c r="Z77" i="8" a="1"/>
  <c r="Z77" i="8" s="1"/>
  <c r="Y77" i="8" a="1"/>
  <c r="Y77" i="8" s="1"/>
  <c r="X77" i="8" a="1"/>
  <c r="X77" i="8" s="1"/>
  <c r="W77" i="8" a="1"/>
  <c r="W77" i="8" s="1"/>
  <c r="V77" i="8" a="1"/>
  <c r="V77" i="8" s="1"/>
  <c r="P77" i="8" a="1"/>
  <c r="P77" i="8" s="1"/>
  <c r="O77" i="8" a="1"/>
  <c r="O77" i="8" s="1"/>
  <c r="M77" i="8" a="1"/>
  <c r="M77" i="8" s="1"/>
  <c r="K77" i="8" a="1"/>
  <c r="K77" i="8" s="1"/>
  <c r="J77" i="8" a="1"/>
  <c r="J77" i="8" s="1"/>
  <c r="I77" i="8" a="1"/>
  <c r="I77" i="8" s="1"/>
  <c r="H77" i="8" a="1"/>
  <c r="H77" i="8" s="1"/>
  <c r="G77" i="8" a="1"/>
  <c r="G77" i="8" s="1"/>
  <c r="AD74" i="8" a="1"/>
  <c r="AD74" i="8" s="1"/>
  <c r="X74" i="8" a="1"/>
  <c r="X74" i="8" s="1"/>
  <c r="W74" i="8" a="1"/>
  <c r="W74" i="8" s="1"/>
  <c r="U74" i="8" a="1"/>
  <c r="U74" i="8" s="1"/>
  <c r="S74" i="8" a="1"/>
  <c r="S74" i="8" s="1"/>
  <c r="R74" i="8" a="1"/>
  <c r="R74" i="8" s="1"/>
  <c r="Q74" i="8" a="1"/>
  <c r="Q74" i="8" s="1"/>
  <c r="P74" i="8" a="1"/>
  <c r="P74" i="8" s="1"/>
  <c r="O74" i="8" a="1"/>
  <c r="O74" i="8" s="1"/>
  <c r="N74" i="8" a="1"/>
  <c r="N74" i="8" s="1"/>
  <c r="H74" i="8" a="1"/>
  <c r="H74" i="8" s="1"/>
  <c r="G74" i="8" a="1"/>
  <c r="G74" i="8" s="1"/>
  <c r="AC69" i="8" a="1"/>
  <c r="AC69" i="8" s="1"/>
  <c r="AB69" i="8" a="1"/>
  <c r="AB69" i="8" s="1"/>
  <c r="AA69" i="8" a="1"/>
  <c r="AA69" i="8" s="1"/>
  <c r="Z69" i="8" a="1"/>
  <c r="Z69" i="8" s="1"/>
  <c r="Y69" i="8" a="1"/>
  <c r="Y69" i="8" s="1"/>
  <c r="X69" i="8" a="1"/>
  <c r="X69" i="8" s="1"/>
  <c r="R69" i="8" a="1"/>
  <c r="R69" i="8" s="1"/>
  <c r="Q69" i="8" a="1"/>
  <c r="Q69" i="8" s="1"/>
  <c r="O69" i="8" a="1"/>
  <c r="O69" i="8" s="1"/>
  <c r="M69" i="8" a="1"/>
  <c r="M69" i="8" s="1"/>
  <c r="L69" i="8" a="1"/>
  <c r="L69" i="8" s="1"/>
  <c r="K69" i="8" a="1"/>
  <c r="K69" i="8" s="1"/>
  <c r="J69" i="8" a="1"/>
  <c r="J69" i="8" s="1"/>
  <c r="I69" i="8" a="1"/>
  <c r="I69" i="8" s="1"/>
  <c r="H69" i="8" a="1"/>
  <c r="H69" i="8" s="1"/>
  <c r="Z66" i="8" a="1"/>
  <c r="Z66" i="8" s="1"/>
  <c r="Y66" i="8" a="1"/>
  <c r="Y66" i="8" s="1"/>
  <c r="W66" i="8" a="1"/>
  <c r="W66" i="8" s="1"/>
  <c r="U66" i="8" a="1"/>
  <c r="U66" i="8" s="1"/>
  <c r="T66" i="8" a="1"/>
  <c r="T66" i="8" s="1"/>
  <c r="S66" i="8" a="1"/>
  <c r="S66" i="8" s="1"/>
  <c r="R66" i="8" a="1"/>
  <c r="R66" i="8" s="1"/>
  <c r="Q66" i="8" a="1"/>
  <c r="Q66" i="8" s="1"/>
  <c r="P66" i="8" a="1"/>
  <c r="P66" i="8" s="1"/>
  <c r="J66" i="8" a="1"/>
  <c r="J66" i="8" s="1"/>
  <c r="I66" i="8" a="1"/>
  <c r="I66" i="8" s="1"/>
  <c r="G66" i="8" a="1"/>
  <c r="G66" i="8" s="1"/>
  <c r="AD60" i="8" a="1"/>
  <c r="AD60" i="8" s="1"/>
  <c r="AC60" i="8" a="1"/>
  <c r="AC60" i="8" s="1"/>
  <c r="AB60" i="8" a="1"/>
  <c r="AB60" i="8" s="1"/>
  <c r="AA60" i="8" a="1"/>
  <c r="AA60" i="8" s="1"/>
  <c r="Z60" i="8" a="1"/>
  <c r="Z60" i="8" s="1"/>
  <c r="T60" i="8" a="1"/>
  <c r="T60" i="8" s="1"/>
  <c r="S60" i="8" a="1"/>
  <c r="S60" i="8" s="1"/>
  <c r="Q60" i="8" a="1"/>
  <c r="Q60" i="8" s="1"/>
  <c r="O60" i="8" a="1"/>
  <c r="O60" i="8" s="1"/>
  <c r="N60" i="8" a="1"/>
  <c r="N60" i="8" s="1"/>
  <c r="M60" i="8" a="1"/>
  <c r="M60" i="8" s="1"/>
  <c r="L60" i="8" a="1"/>
  <c r="L60" i="8" s="1"/>
  <c r="K60" i="8" a="1"/>
  <c r="K60" i="8" s="1"/>
  <c r="J60" i="8" a="1"/>
  <c r="J60" i="8" s="1"/>
  <c r="AB57" i="8" a="1"/>
  <c r="AB57" i="8" s="1"/>
  <c r="AA57" i="8" a="1"/>
  <c r="AA57" i="8" s="1"/>
  <c r="Y57" i="8" a="1"/>
  <c r="Y57" i="8" s="1"/>
  <c r="W57" i="8" a="1"/>
  <c r="W57" i="8" s="1"/>
  <c r="V57" i="8" a="1"/>
  <c r="V57" i="8" s="1"/>
  <c r="U57" i="8" a="1"/>
  <c r="U57" i="8" s="1"/>
  <c r="T57" i="8" a="1"/>
  <c r="T57" i="8" s="1"/>
  <c r="S57" i="8" a="1"/>
  <c r="S57" i="8" s="1"/>
  <c r="R57" i="8" a="1"/>
  <c r="R57" i="8" s="1"/>
  <c r="L57" i="8" a="1"/>
  <c r="L57" i="8" s="1"/>
  <c r="K57" i="8" a="1"/>
  <c r="K57" i="8" s="1"/>
  <c r="I57" i="8" a="1"/>
  <c r="I57" i="8" s="1"/>
  <c r="G57" i="8" a="1"/>
  <c r="G57" i="8" s="1"/>
  <c r="AD44" i="8" a="1"/>
  <c r="AD44" i="8" s="1"/>
  <c r="AC44" i="8" a="1"/>
  <c r="AC44" i="8" s="1"/>
  <c r="AB44" i="8" a="1"/>
  <c r="AB44" i="8" s="1"/>
  <c r="AA44" i="8" a="1"/>
  <c r="AA44" i="8" s="1"/>
  <c r="Z44" i="8" a="1"/>
  <c r="Z44" i="8" s="1"/>
  <c r="W44" i="8" a="1"/>
  <c r="W44" i="8" s="1"/>
  <c r="T44" i="8" a="1"/>
  <c r="T44" i="8" s="1"/>
  <c r="S44" i="8" a="1"/>
  <c r="S44" i="8" s="1"/>
  <c r="Q44" i="8" a="1"/>
  <c r="Q44" i="8" s="1"/>
  <c r="O44" i="8" a="1"/>
  <c r="O44" i="8" s="1"/>
  <c r="N44" i="8" a="1"/>
  <c r="N44" i="8" s="1"/>
  <c r="M44" i="8" a="1"/>
  <c r="M44" i="8" s="1"/>
  <c r="L44" i="8" a="1"/>
  <c r="L44" i="8" s="1"/>
  <c r="K44" i="8" a="1"/>
  <c r="K44" i="8" s="1"/>
  <c r="J44" i="8" a="1"/>
  <c r="J44" i="8" s="1"/>
  <c r="G44" i="8" a="1"/>
  <c r="G44" i="8" s="1"/>
  <c r="AB41" i="8" a="1"/>
  <c r="AB41" i="8" s="1"/>
  <c r="AA41" i="8" a="1"/>
  <c r="AA41" i="8" s="1"/>
  <c r="Y41" i="8" a="1"/>
  <c r="Y41" i="8" s="1"/>
  <c r="W41" i="8" a="1"/>
  <c r="W41" i="8" s="1"/>
  <c r="V41" i="8" a="1"/>
  <c r="V41" i="8" s="1"/>
  <c r="U41" i="8" a="1"/>
  <c r="U41" i="8" s="1"/>
  <c r="T41" i="8" a="1"/>
  <c r="T41" i="8" s="1"/>
  <c r="S41" i="8" a="1"/>
  <c r="S41" i="8" s="1"/>
  <c r="R41" i="8" a="1"/>
  <c r="R41" i="8" s="1"/>
  <c r="P41" i="8" a="1"/>
  <c r="P41" i="8" s="1"/>
  <c r="O41" i="8" a="1"/>
  <c r="O41" i="8" s="1"/>
  <c r="L41" i="8" a="1"/>
  <c r="L41" i="8" s="1"/>
  <c r="K41" i="8" a="1"/>
  <c r="K41" i="8" s="1"/>
  <c r="I41" i="8" a="1"/>
  <c r="I41" i="8" s="1"/>
  <c r="G41" i="8" a="1"/>
  <c r="G41" i="8" s="1"/>
  <c r="AD52" i="8" a="1"/>
  <c r="AD52" i="8" s="1"/>
  <c r="AC52" i="8" a="1"/>
  <c r="AC52" i="8" s="1"/>
  <c r="AB52" i="8" a="1"/>
  <c r="AB52" i="8" s="1"/>
  <c r="AA52" i="8" a="1"/>
  <c r="AA52" i="8" s="1"/>
  <c r="Z52" i="8" a="1"/>
  <c r="Z52" i="8" s="1"/>
  <c r="X52" i="8" a="1"/>
  <c r="X52" i="8" s="1"/>
  <c r="W52" i="8" a="1"/>
  <c r="W52" i="8" s="1"/>
  <c r="T52" i="8" a="1"/>
  <c r="T52" i="8" s="1"/>
  <c r="S52" i="8" a="1"/>
  <c r="S52" i="8" s="1"/>
  <c r="AC49" i="8" a="1"/>
  <c r="AC49" i="8" s="1"/>
  <c r="AA49" i="8" a="1"/>
  <c r="AA49" i="8" s="1"/>
  <c r="Z49" i="8" a="1"/>
  <c r="Z49" i="8" s="1"/>
  <c r="Y49" i="8" a="1"/>
  <c r="Y49" i="8" s="1"/>
  <c r="X49" i="8" a="1"/>
  <c r="X49" i="8" s="1"/>
  <c r="W49" i="8" a="1"/>
  <c r="W49" i="8" s="1"/>
  <c r="V49" i="8" a="1"/>
  <c r="V49" i="8" s="1"/>
  <c r="T49" i="8" a="1"/>
  <c r="T49" i="8" s="1"/>
  <c r="S49" i="8" a="1"/>
  <c r="S49" i="8" s="1"/>
  <c r="R48" i="8" a="1"/>
  <c r="R48" i="8" s="1"/>
  <c r="Q48" i="8" a="1"/>
  <c r="Q48" i="8" s="1"/>
  <c r="P48" i="8" a="1"/>
  <c r="P48" i="8" s="1"/>
  <c r="O48" i="8" a="1"/>
  <c r="O48" i="8" s="1"/>
  <c r="N48" i="8" a="1"/>
  <c r="N48" i="8" s="1"/>
  <c r="M48" i="8" a="1"/>
  <c r="M48" i="8" s="1"/>
  <c r="L48" i="8" a="1"/>
  <c r="L48" i="8" s="1"/>
  <c r="K48" i="8" a="1"/>
  <c r="K48" i="8" s="1"/>
  <c r="J48" i="8" a="1"/>
  <c r="J48" i="8" s="1"/>
  <c r="I48" i="8" a="1"/>
  <c r="I48" i="8" s="1"/>
  <c r="H48" i="8" a="1"/>
  <c r="H48" i="8" s="1"/>
  <c r="G48" i="8" a="1"/>
  <c r="G48" i="8" s="1"/>
  <c r="R47" i="8" a="1"/>
  <c r="R47" i="8" s="1"/>
  <c r="Q47" i="8" a="1"/>
  <c r="Q47" i="8" s="1"/>
  <c r="P47" i="8" a="1"/>
  <c r="P47" i="8" s="1"/>
  <c r="O47" i="8" a="1"/>
  <c r="O47" i="8" s="1"/>
  <c r="N47" i="8" a="1"/>
  <c r="N47" i="8" s="1"/>
  <c r="M47" i="8" a="1"/>
  <c r="M47" i="8" s="1"/>
  <c r="L47" i="8" a="1"/>
  <c r="L47" i="8" s="1"/>
  <c r="K47" i="8" a="1"/>
  <c r="K47" i="8" s="1"/>
  <c r="J47" i="8" a="1"/>
  <c r="J47" i="8" s="1"/>
  <c r="I47" i="8" a="1"/>
  <c r="I47" i="8" s="1"/>
  <c r="H47" i="8" a="1"/>
  <c r="H47" i="8" s="1"/>
  <c r="G47" i="8" a="1"/>
  <c r="G47" i="8" s="1"/>
  <c r="AD36" i="8" a="1"/>
  <c r="AD36" i="8" s="1"/>
  <c r="AC36" i="8" a="1"/>
  <c r="AC36" i="8" s="1"/>
  <c r="AB36" i="8" a="1"/>
  <c r="AB36" i="8" s="1"/>
  <c r="AA36" i="8" a="1"/>
  <c r="AA36" i="8" s="1"/>
  <c r="Z36" i="8" a="1"/>
  <c r="Z36" i="8" s="1"/>
  <c r="X36" i="8" a="1"/>
  <c r="X36" i="8" s="1"/>
  <c r="W36" i="8" a="1"/>
  <c r="W36" i="8" s="1"/>
  <c r="V36" i="8" a="1"/>
  <c r="V36" i="8" s="1"/>
  <c r="T36" i="8" a="1"/>
  <c r="T36" i="8" s="1"/>
  <c r="S36" i="8" a="1"/>
  <c r="S36" i="8" s="1"/>
  <c r="Q36" i="8" a="1"/>
  <c r="Q36" i="8" s="1"/>
  <c r="O36" i="8" a="1"/>
  <c r="O36" i="8" s="1"/>
  <c r="N36" i="8" a="1"/>
  <c r="N36" i="8" s="1"/>
  <c r="M36" i="8" a="1"/>
  <c r="M36" i="8" s="1"/>
  <c r="L36" i="8" a="1"/>
  <c r="L36" i="8" s="1"/>
  <c r="K36" i="8" a="1"/>
  <c r="K36" i="8" s="1"/>
  <c r="J36" i="8" a="1"/>
  <c r="J36" i="8" s="1"/>
  <c r="I36" i="8" a="1"/>
  <c r="I36" i="8" s="1"/>
  <c r="H36" i="8" a="1"/>
  <c r="H36" i="8" s="1"/>
  <c r="G36" i="8" a="1"/>
  <c r="G36" i="8" s="1"/>
  <c r="AD33" i="8" a="1"/>
  <c r="AD33" i="8" s="1"/>
  <c r="AC33" i="8" a="1"/>
  <c r="AC33" i="8" s="1"/>
  <c r="AB33" i="8" a="1"/>
  <c r="AB33" i="8" s="1"/>
  <c r="AA33" i="8" a="1"/>
  <c r="AA33" i="8" s="1"/>
  <c r="Y33" i="8" a="1"/>
  <c r="Y33" i="8" s="1"/>
  <c r="X33" i="8" a="1"/>
  <c r="X33" i="8" s="1"/>
  <c r="W33" i="8" a="1"/>
  <c r="W33" i="8" s="1"/>
  <c r="V33" i="8" a="1"/>
  <c r="V33" i="8" s="1"/>
  <c r="U33" i="8" a="1"/>
  <c r="U33" i="8" s="1"/>
  <c r="T33" i="8" a="1"/>
  <c r="T33" i="8" s="1"/>
  <c r="S33" i="8" a="1"/>
  <c r="S33" i="8" s="1"/>
  <c r="R33" i="8" a="1"/>
  <c r="R33" i="8" s="1"/>
  <c r="Q33" i="8" a="1"/>
  <c r="Q33" i="8" s="1"/>
  <c r="P33" i="8" a="1"/>
  <c r="P33" i="8" s="1"/>
  <c r="O33" i="8" a="1"/>
  <c r="O33" i="8" s="1"/>
  <c r="N33" i="8" a="1"/>
  <c r="N33" i="8" s="1"/>
  <c r="M33" i="8" a="1"/>
  <c r="M33" i="8" s="1"/>
  <c r="L33" i="8" a="1"/>
  <c r="L33" i="8" s="1"/>
  <c r="K33" i="8" a="1"/>
  <c r="K33" i="8" s="1"/>
  <c r="I33" i="8" a="1"/>
  <c r="I33" i="8" s="1"/>
  <c r="H33" i="8" a="1"/>
  <c r="H33" i="8" s="1"/>
  <c r="G33" i="8" a="1"/>
  <c r="G33" i="8" s="1"/>
  <c r="AD27" i="8" a="1"/>
  <c r="AD27" i="8" s="1"/>
  <c r="AC27" i="8" a="1"/>
  <c r="AC27" i="8" s="1"/>
  <c r="AB27" i="8" a="1"/>
  <c r="AB27" i="8" s="1"/>
  <c r="AA27" i="8" a="1"/>
  <c r="AA27" i="8" s="1"/>
  <c r="Z27" i="8" a="1"/>
  <c r="Z27" i="8" s="1"/>
  <c r="Y27" i="8" a="1"/>
  <c r="Y27" i="8" s="1"/>
  <c r="X27" i="8" a="1"/>
  <c r="X27" i="8" s="1"/>
  <c r="W27" i="8" a="1"/>
  <c r="W27" i="8" s="1"/>
  <c r="V27" i="8" a="1"/>
  <c r="V27" i="8" s="1"/>
  <c r="U27" i="8" a="1"/>
  <c r="U27" i="8" s="1"/>
  <c r="T27" i="8" a="1"/>
  <c r="T27" i="8" s="1"/>
  <c r="S27" i="8" a="1"/>
  <c r="S27" i="8" s="1"/>
  <c r="AC24" i="8" a="1"/>
  <c r="AC24" i="8" s="1"/>
  <c r="AB24" i="8" a="1"/>
  <c r="AB24" i="8" s="1"/>
  <c r="AA24" i="8" a="1"/>
  <c r="AA24" i="8" s="1"/>
  <c r="Z24" i="8" a="1"/>
  <c r="Z24" i="8" s="1"/>
  <c r="Y24" i="8" a="1"/>
  <c r="Y24" i="8" s="1"/>
  <c r="X24" i="8" a="1"/>
  <c r="X24" i="8" s="1"/>
  <c r="W24" i="8" a="1"/>
  <c r="W24" i="8" s="1"/>
  <c r="V24" i="8" a="1"/>
  <c r="V24" i="8" s="1"/>
  <c r="U24" i="8" a="1"/>
  <c r="U24" i="8" s="1"/>
  <c r="T24" i="8" a="1"/>
  <c r="T24" i="8" s="1"/>
  <c r="S24" i="8" a="1"/>
  <c r="S24" i="8" s="1"/>
  <c r="AD23" i="8" a="1"/>
  <c r="AD23" i="8" s="1"/>
  <c r="AC23" i="8" a="1"/>
  <c r="AC23" i="8" s="1"/>
  <c r="AB23" i="8" a="1"/>
  <c r="AB23" i="8" s="1"/>
  <c r="AA23" i="8" a="1"/>
  <c r="AA23" i="8" s="1"/>
  <c r="Z23" i="8" a="1"/>
  <c r="Z23" i="8" s="1"/>
  <c r="Y23" i="8" a="1"/>
  <c r="Y23" i="8" s="1"/>
  <c r="X23" i="8" a="1"/>
  <c r="X23" i="8" s="1"/>
  <c r="W23" i="8" a="1"/>
  <c r="W23" i="8" s="1"/>
  <c r="S23" i="8" a="1"/>
  <c r="S23" i="8" s="1"/>
  <c r="O23" i="8" a="1"/>
  <c r="O23" i="8" s="1"/>
  <c r="N23" i="8" a="1"/>
  <c r="N23" i="8" s="1"/>
  <c r="M23" i="8" a="1"/>
  <c r="M23" i="8" s="1"/>
  <c r="L23" i="8" a="1"/>
  <c r="L23" i="8" s="1"/>
  <c r="K23" i="8" a="1"/>
  <c r="K23" i="8" s="1"/>
  <c r="J23" i="8" a="1"/>
  <c r="J23" i="8" s="1"/>
  <c r="I23" i="8" a="1"/>
  <c r="I23" i="8" s="1"/>
  <c r="H23" i="8" a="1"/>
  <c r="H23" i="8" s="1"/>
  <c r="G23" i="8" a="1"/>
  <c r="G23" i="8" s="1"/>
  <c r="AD22" i="8" a="1"/>
  <c r="AD22" i="8" s="1"/>
  <c r="AC22" i="8" a="1"/>
  <c r="AC22" i="8" s="1"/>
  <c r="AB22" i="8" a="1"/>
  <c r="AB22" i="8" s="1"/>
  <c r="AA22" i="8" a="1"/>
  <c r="AA22" i="8" s="1"/>
  <c r="Z22" i="8" a="1"/>
  <c r="Z22" i="8" s="1"/>
  <c r="Y22" i="8" a="1"/>
  <c r="Y22" i="8" s="1"/>
  <c r="X22" i="8" a="1"/>
  <c r="X22" i="8" s="1"/>
  <c r="W22" i="8" a="1"/>
  <c r="W22" i="8" s="1"/>
  <c r="V22" i="8" a="1"/>
  <c r="V22" i="8" s="1"/>
  <c r="U22" i="8" a="1"/>
  <c r="U22" i="8" s="1"/>
  <c r="T22" i="8" a="1"/>
  <c r="T22" i="8" s="1"/>
  <c r="S22" i="8" a="1"/>
  <c r="S22" i="8" s="1"/>
  <c r="O22" i="8" a="1"/>
  <c r="O22" i="8" s="1"/>
  <c r="N22" i="8" a="1"/>
  <c r="N22" i="8" s="1"/>
  <c r="M22" i="8" a="1"/>
  <c r="M22" i="8" s="1"/>
  <c r="L22" i="8" a="1"/>
  <c r="L22" i="8" s="1"/>
  <c r="K22" i="8" a="1"/>
  <c r="K22" i="8" s="1"/>
  <c r="J22" i="8" a="1"/>
  <c r="J22" i="8" s="1"/>
  <c r="I22" i="8" a="1"/>
  <c r="I22" i="8" s="1"/>
  <c r="H22" i="8" a="1"/>
  <c r="H22" i="8" s="1"/>
  <c r="G22" i="8" a="1"/>
  <c r="G22" i="8" s="1"/>
  <c r="AD18" i="8" a="1"/>
  <c r="AD18" i="8" s="1"/>
  <c r="AC18" i="8" a="1"/>
  <c r="AC18" i="8" s="1"/>
  <c r="AB18" i="8" a="1"/>
  <c r="AB18" i="8" s="1"/>
  <c r="AA18" i="8" a="1"/>
  <c r="AA18" i="8" s="1"/>
  <c r="Z18" i="8" a="1"/>
  <c r="Z18" i="8" s="1"/>
  <c r="Y18" i="8" a="1"/>
  <c r="Y18" i="8" s="1"/>
  <c r="X18" i="8" a="1"/>
  <c r="X18" i="8" s="1"/>
  <c r="W18" i="8" a="1"/>
  <c r="W18" i="8" s="1"/>
  <c r="V18" i="8" a="1"/>
  <c r="V18" i="8" s="1"/>
  <c r="U18" i="8" a="1"/>
  <c r="U18" i="8" s="1"/>
  <c r="T18" i="8" a="1"/>
  <c r="T18" i="8" s="1"/>
  <c r="S18" i="8" a="1"/>
  <c r="S18" i="8" s="1"/>
  <c r="R18" i="8" a="1"/>
  <c r="R18" i="8" s="1"/>
  <c r="P18" i="8" a="1"/>
  <c r="P18" i="8" s="1"/>
  <c r="O18" i="8" a="1"/>
  <c r="O18" i="8" s="1"/>
  <c r="N18" i="8" a="1"/>
  <c r="N18" i="8" s="1"/>
  <c r="M18" i="8" a="1"/>
  <c r="M18" i="8" s="1"/>
  <c r="L18" i="8" a="1"/>
  <c r="L18" i="8" s="1"/>
  <c r="K18" i="8" a="1"/>
  <c r="K18" i="8" s="1"/>
  <c r="J18" i="8" a="1"/>
  <c r="J18" i="8" s="1"/>
  <c r="I18" i="8" a="1"/>
  <c r="I18" i="8" s="1"/>
  <c r="H18" i="8" a="1"/>
  <c r="H18" i="8" s="1"/>
  <c r="G18" i="8" a="1"/>
  <c r="G18" i="8" s="1"/>
  <c r="AD15" i="8" a="1"/>
  <c r="AD15" i="8" s="1"/>
  <c r="AC15" i="8" a="1"/>
  <c r="AC15" i="8" s="1"/>
  <c r="AB15" i="8" a="1"/>
  <c r="AB15" i="8" s="1"/>
  <c r="AA15" i="8" a="1"/>
  <c r="AA15" i="8" s="1"/>
  <c r="Z15" i="8" a="1"/>
  <c r="Z15" i="8" s="1"/>
  <c r="X15" i="8" a="1"/>
  <c r="X15" i="8" s="1"/>
  <c r="W15" i="8" a="1"/>
  <c r="W15" i="8" s="1"/>
  <c r="V15" i="8" a="1"/>
  <c r="V15" i="8" s="1"/>
  <c r="U15" i="8" a="1"/>
  <c r="U15" i="8" s="1"/>
  <c r="T15" i="8" a="1"/>
  <c r="T15" i="8" s="1"/>
  <c r="S15" i="8" a="1"/>
  <c r="S15" i="8" s="1"/>
  <c r="R15" i="8" a="1"/>
  <c r="R15" i="8" s="1"/>
  <c r="Q15" i="8" a="1"/>
  <c r="Q15" i="8" s="1"/>
  <c r="P15" i="8" a="1"/>
  <c r="P15" i="8" s="1"/>
  <c r="O15" i="8" a="1"/>
  <c r="O15" i="8" s="1"/>
  <c r="N15" i="8" a="1"/>
  <c r="N15" i="8" s="1"/>
  <c r="M15" i="8" a="1"/>
  <c r="M15" i="8" s="1"/>
  <c r="L15" i="8" a="1"/>
  <c r="L15" i="8" s="1"/>
  <c r="K15" i="8" a="1"/>
  <c r="K15" i="8" s="1"/>
  <c r="J15" i="8" a="1"/>
  <c r="J15" i="8" s="1"/>
  <c r="H15" i="8" a="1"/>
  <c r="H15" i="8" s="1"/>
  <c r="G15" i="8" a="1"/>
  <c r="G15" i="8" s="1"/>
  <c r="Z2" i="8"/>
  <c r="Y2" i="8"/>
  <c r="L2" i="8"/>
  <c r="K2" i="8"/>
  <c r="J2" i="8"/>
  <c r="I2" i="8"/>
  <c r="H2" i="8"/>
  <c r="G2" i="8"/>
  <c r="AD1" i="8"/>
  <c r="AD2" i="8" s="1"/>
  <c r="AC1" i="8"/>
  <c r="AC2" i="8" s="1"/>
  <c r="AB1" i="8"/>
  <c r="AB2" i="8" s="1"/>
  <c r="AA1" i="8"/>
  <c r="AA2" i="8" s="1"/>
  <c r="Z1" i="8"/>
  <c r="Y1" i="8"/>
  <c r="X1" i="8"/>
  <c r="X2" i="8" s="1"/>
  <c r="W1" i="8"/>
  <c r="W2" i="8" s="1"/>
  <c r="V1" i="8"/>
  <c r="V2" i="8" s="1"/>
  <c r="U1" i="8"/>
  <c r="U2" i="8" s="1"/>
  <c r="T1" i="8"/>
  <c r="T2" i="8" s="1"/>
  <c r="S1" i="8"/>
  <c r="S2" i="8" s="1"/>
  <c r="R1" i="8"/>
  <c r="R2" i="8" s="1"/>
  <c r="Q1" i="8"/>
  <c r="Q2" i="8" s="1"/>
  <c r="P1" i="8"/>
  <c r="P2" i="8" s="1"/>
  <c r="O1" i="8"/>
  <c r="O2" i="8" s="1"/>
  <c r="N1" i="8"/>
  <c r="N2" i="8" s="1"/>
  <c r="M1" i="8"/>
  <c r="M2" i="8" s="1"/>
  <c r="L1" i="8"/>
  <c r="K1" i="8"/>
  <c r="J1" i="8"/>
  <c r="I1" i="8"/>
  <c r="H1" i="8"/>
  <c r="G1" i="8"/>
  <c r="AL2" i="10" l="1"/>
  <c r="AL90" i="10" a="1"/>
  <c r="AL90" i="10" s="1"/>
  <c r="AL91" i="10" a="1"/>
  <c r="AL91" i="10" s="1"/>
  <c r="AL78" i="10" a="1"/>
  <c r="AL78" i="10" s="1"/>
  <c r="AL19" i="10" a="1"/>
  <c r="AL19" i="10" s="1"/>
  <c r="AL22" i="10" s="1"/>
  <c r="AL77" i="10" a="1"/>
  <c r="AL77" i="10" s="1"/>
  <c r="AL20" i="10" a="1"/>
  <c r="AL20" i="10" s="1"/>
  <c r="AL23" i="10" s="1"/>
  <c r="AB30" i="13" a="1"/>
  <c r="AB30" i="13" s="1"/>
  <c r="AG21" i="10" a="1"/>
  <c r="AG21" i="10" s="1"/>
  <c r="I15" i="8" a="1"/>
  <c r="I15" i="8" s="1"/>
  <c r="Y15" i="8" a="1"/>
  <c r="Y15" i="8" s="1"/>
  <c r="Q18" i="8" a="1"/>
  <c r="Q18" i="8" s="1"/>
  <c r="AD24" i="8" a="1"/>
  <c r="AD24" i="8" s="1"/>
  <c r="AD25" i="8" s="1"/>
  <c r="AD26" i="8" s="1"/>
  <c r="J33" i="8" a="1"/>
  <c r="J33" i="8" s="1"/>
  <c r="Z33" i="8" a="1"/>
  <c r="Z33" i="8" s="1"/>
  <c r="R36" i="8" a="1"/>
  <c r="R36" i="8" s="1"/>
  <c r="AD49" i="8" a="1"/>
  <c r="AD49" i="8" s="1"/>
  <c r="J41" i="8" a="1"/>
  <c r="J41" i="8" s="1"/>
  <c r="Z41" i="8" a="1"/>
  <c r="Z41" i="8" s="1"/>
  <c r="R44" i="8" a="1"/>
  <c r="R44" i="8" s="1"/>
  <c r="J57" i="8" a="1"/>
  <c r="J57" i="8" s="1"/>
  <c r="Z57" i="8" a="1"/>
  <c r="Z57" i="8" s="1"/>
  <c r="R60" i="8" a="1"/>
  <c r="R60" i="8" s="1"/>
  <c r="H66" i="8" a="1"/>
  <c r="H66" i="8" s="1"/>
  <c r="X66" i="8" a="1"/>
  <c r="X66" i="8" s="1"/>
  <c r="P69" i="8" a="1"/>
  <c r="P69" i="8" s="1"/>
  <c r="V74" i="8" a="1"/>
  <c r="V74" i="8" s="1"/>
  <c r="N77" i="8" a="1"/>
  <c r="N77" i="8" s="1"/>
  <c r="AD77" i="8" a="1"/>
  <c r="AD77" i="8" s="1"/>
  <c r="N83" i="8" a="1"/>
  <c r="N83" i="8" s="1"/>
  <c r="AD83" i="8" a="1"/>
  <c r="AD83" i="8" s="1"/>
  <c r="V86" i="8" a="1"/>
  <c r="V86" i="8" s="1"/>
  <c r="N92" i="8" a="1"/>
  <c r="N92" i="8" s="1"/>
  <c r="AD92" i="8" a="1"/>
  <c r="AD92" i="8" s="1"/>
  <c r="V95" i="8" a="1"/>
  <c r="V95" i="8" s="1"/>
  <c r="W101" i="8" a="1"/>
  <c r="W101" i="8" s="1"/>
  <c r="X104" i="8" a="1"/>
  <c r="X104" i="8" s="1"/>
  <c r="Z17" i="10" a="1"/>
  <c r="Z17" i="10" s="1"/>
  <c r="Y21" i="10" a="1"/>
  <c r="Y21" i="10" s="1"/>
  <c r="O43" i="10" a="1"/>
  <c r="O43" i="10" s="1"/>
  <c r="AE43" i="10" a="1"/>
  <c r="AE43" i="10" s="1"/>
  <c r="AD56" i="10" a="1"/>
  <c r="AD56" i="10" s="1"/>
  <c r="X67" i="10" a="1"/>
  <c r="X67" i="10" s="1"/>
  <c r="X76" i="10" a="1"/>
  <c r="X76" i="10" s="1"/>
  <c r="W79" i="10" a="1"/>
  <c r="W79" i="10" s="1"/>
  <c r="W89" i="10" a="1"/>
  <c r="W89" i="10" s="1"/>
  <c r="V92" i="10" a="1"/>
  <c r="V92" i="10" s="1"/>
  <c r="S99" i="10" a="1"/>
  <c r="S99" i="10" s="1"/>
  <c r="Z106" i="10" a="1"/>
  <c r="Z106" i="10" s="1"/>
  <c r="I11" i="13" a="1"/>
  <c r="I11" i="13" s="1"/>
  <c r="G12" i="13" a="1"/>
  <c r="G12" i="13" s="1"/>
  <c r="E30" i="13" a="1"/>
  <c r="E30" i="13" s="1"/>
  <c r="U30" i="13" a="1"/>
  <c r="U30" i="13" s="1"/>
  <c r="N31" i="13" a="1"/>
  <c r="N31" i="13" s="1"/>
  <c r="N37" i="13" s="1"/>
  <c r="X17" i="11" a="1"/>
  <c r="X17" i="11" s="1"/>
  <c r="Z24" i="11" a="1"/>
  <c r="Z24" i="11" s="1"/>
  <c r="AA41" i="11" a="1"/>
  <c r="AA41" i="11" s="1"/>
  <c r="AB57" i="11" a="1"/>
  <c r="AB57" i="11" s="1"/>
  <c r="P83" i="11" a="1"/>
  <c r="P83" i="11" s="1"/>
  <c r="R89" i="11" a="1"/>
  <c r="R89" i="11" s="1"/>
  <c r="T97" i="11" a="1"/>
  <c r="T97" i="11" s="1"/>
  <c r="W103" i="11" a="1"/>
  <c r="W103" i="11" s="1"/>
  <c r="V111" i="11" a="1"/>
  <c r="V111" i="11" s="1"/>
  <c r="U121" i="11" a="1"/>
  <c r="U121" i="11" s="1"/>
  <c r="AB31" i="13" a="1"/>
  <c r="AB31" i="13" s="1"/>
  <c r="AG43" i="10" a="1"/>
  <c r="AG43" i="10" s="1"/>
  <c r="O92" i="8" a="1"/>
  <c r="O92" i="8" s="1"/>
  <c r="O93" i="8" s="1"/>
  <c r="O94" i="8" s="1"/>
  <c r="G95" i="8" a="1"/>
  <c r="G95" i="8" s="1"/>
  <c r="W95" i="8" a="1"/>
  <c r="W95" i="8" s="1"/>
  <c r="X101" i="8" a="1"/>
  <c r="X101" i="8" s="1"/>
  <c r="X102" i="8" s="1"/>
  <c r="X103" i="8" s="1"/>
  <c r="Y104" i="8" a="1"/>
  <c r="Y104" i="8" s="1"/>
  <c r="AA17" i="10" a="1"/>
  <c r="AA17" i="10" s="1"/>
  <c r="Z21" i="10" a="1"/>
  <c r="Z21" i="10" s="1"/>
  <c r="P43" i="10" a="1"/>
  <c r="P43" i="10" s="1"/>
  <c r="O56" i="10" a="1"/>
  <c r="O56" i="10" s="1"/>
  <c r="AE56" i="10" a="1"/>
  <c r="AE56" i="10" s="1"/>
  <c r="Y67" i="10" a="1"/>
  <c r="Y67" i="10" s="1"/>
  <c r="Y76" i="10" a="1"/>
  <c r="Y76" i="10" s="1"/>
  <c r="X79" i="10" a="1"/>
  <c r="X79" i="10" s="1"/>
  <c r="X89" i="10" a="1"/>
  <c r="X89" i="10" s="1"/>
  <c r="W92" i="10" a="1"/>
  <c r="W92" i="10" s="1"/>
  <c r="T99" i="10" a="1"/>
  <c r="T99" i="10" s="1"/>
  <c r="AA106" i="10" a="1"/>
  <c r="AA106" i="10" s="1"/>
  <c r="J11" i="13" a="1"/>
  <c r="J11" i="13" s="1"/>
  <c r="H12" i="13" a="1"/>
  <c r="H12" i="13" s="1"/>
  <c r="F30" i="13" a="1"/>
  <c r="F30" i="13" s="1"/>
  <c r="F40" i="13" s="1"/>
  <c r="V30" i="13" a="1"/>
  <c r="V30" i="13" s="1"/>
  <c r="V36" i="13" s="1"/>
  <c r="O31" i="13" a="1"/>
  <c r="O31" i="13" s="1"/>
  <c r="Y17" i="11" a="1"/>
  <c r="Y17" i="11" s="1"/>
  <c r="AA24" i="11" a="1"/>
  <c r="AA24" i="11" s="1"/>
  <c r="AB41" i="11" a="1"/>
  <c r="AB41" i="11" s="1"/>
  <c r="AC57" i="11" a="1"/>
  <c r="AC57" i="11" s="1"/>
  <c r="O74" i="11" a="1"/>
  <c r="O74" i="11" s="1"/>
  <c r="Q83" i="11" a="1"/>
  <c r="Q83" i="11" s="1"/>
  <c r="S89" i="11" a="1"/>
  <c r="S89" i="11" s="1"/>
  <c r="U97" i="11" a="1"/>
  <c r="U97" i="11" s="1"/>
  <c r="X103" i="11" a="1"/>
  <c r="X103" i="11" s="1"/>
  <c r="X111" i="11" a="1"/>
  <c r="X111" i="11" s="1"/>
  <c r="V121" i="11" a="1"/>
  <c r="V121" i="11" s="1"/>
  <c r="AB48" i="13" a="1"/>
  <c r="AB48" i="13" s="1"/>
  <c r="AF67" i="10" a="1"/>
  <c r="AF67" i="10" s="1"/>
  <c r="P92" i="8" a="1"/>
  <c r="P92" i="8" s="1"/>
  <c r="P93" i="8" s="1"/>
  <c r="P94" i="8" s="1"/>
  <c r="H95" i="8" a="1"/>
  <c r="H95" i="8" s="1"/>
  <c r="X95" i="8" a="1"/>
  <c r="X95" i="8" s="1"/>
  <c r="Y101" i="8" a="1"/>
  <c r="Y101" i="8" s="1"/>
  <c r="Z104" i="8" a="1"/>
  <c r="Z104" i="8" s="1"/>
  <c r="L17" i="10" a="1"/>
  <c r="L17" i="10" s="1"/>
  <c r="AB17" i="10" a="1"/>
  <c r="AB17" i="10" s="1"/>
  <c r="AA21" i="10" a="1"/>
  <c r="AA21" i="10" s="1"/>
  <c r="Q43" i="10" a="1"/>
  <c r="Q43" i="10" s="1"/>
  <c r="P56" i="10" a="1"/>
  <c r="P56" i="10" s="1"/>
  <c r="AA61" i="10" a="1"/>
  <c r="AA61" i="10" s="1"/>
  <c r="Z67" i="10" a="1"/>
  <c r="Z67" i="10" s="1"/>
  <c r="Z76" i="10" a="1"/>
  <c r="Z76" i="10" s="1"/>
  <c r="Y79" i="10" a="1"/>
  <c r="Y79" i="10" s="1"/>
  <c r="Y89" i="10" a="1"/>
  <c r="Y89" i="10" s="1"/>
  <c r="X92" i="10" a="1"/>
  <c r="X92" i="10" s="1"/>
  <c r="U99" i="10" a="1"/>
  <c r="U99" i="10" s="1"/>
  <c r="AB106" i="10" a="1"/>
  <c r="AB106" i="10" s="1"/>
  <c r="K11" i="13" a="1"/>
  <c r="K11" i="13" s="1"/>
  <c r="I12" i="13" a="1"/>
  <c r="I12" i="13" s="1"/>
  <c r="G30" i="13" a="1"/>
  <c r="G30" i="13" s="1"/>
  <c r="W30" i="13" a="1"/>
  <c r="W30" i="13" s="1"/>
  <c r="P31" i="13" a="1"/>
  <c r="P31" i="13" s="1"/>
  <c r="Z17" i="11" a="1"/>
  <c r="Z17" i="11" s="1"/>
  <c r="AB24" i="11" a="1"/>
  <c r="AB24" i="11" s="1"/>
  <c r="AC41" i="11" a="1"/>
  <c r="AC41" i="11" s="1"/>
  <c r="P74" i="11" a="1"/>
  <c r="P74" i="11" s="1"/>
  <c r="R83" i="11" a="1"/>
  <c r="R83" i="11" s="1"/>
  <c r="T89" i="11" a="1"/>
  <c r="T89" i="11" s="1"/>
  <c r="V97" i="11" a="1"/>
  <c r="V97" i="11" s="1"/>
  <c r="Y103" i="11" a="1"/>
  <c r="Y103" i="11" s="1"/>
  <c r="Y111" i="11" a="1"/>
  <c r="Y111" i="11" s="1"/>
  <c r="W121" i="11" a="1"/>
  <c r="W121" i="11" s="1"/>
  <c r="O103" i="11" a="1"/>
  <c r="O103" i="11" s="1"/>
  <c r="AB49" i="13" a="1"/>
  <c r="AB49" i="13" s="1"/>
  <c r="U36" i="8" a="1"/>
  <c r="U36" i="8" s="1"/>
  <c r="U52" i="8" a="1"/>
  <c r="U52" i="8" s="1"/>
  <c r="M41" i="8" a="1"/>
  <c r="M41" i="8" s="1"/>
  <c r="AC41" i="8" a="1"/>
  <c r="AC41" i="8" s="1"/>
  <c r="U44" i="8" a="1"/>
  <c r="U44" i="8" s="1"/>
  <c r="M57" i="8" a="1"/>
  <c r="M57" i="8" s="1"/>
  <c r="AC57" i="8" a="1"/>
  <c r="AC57" i="8" s="1"/>
  <c r="U60" i="8" a="1"/>
  <c r="U60" i="8" s="1"/>
  <c r="K66" i="8" a="1"/>
  <c r="K66" i="8" s="1"/>
  <c r="AA66" i="8" a="1"/>
  <c r="AA66" i="8" s="1"/>
  <c r="S69" i="8" a="1"/>
  <c r="S69" i="8" s="1"/>
  <c r="I74" i="8" a="1"/>
  <c r="I74" i="8" s="1"/>
  <c r="Y74" i="8" a="1"/>
  <c r="Y74" i="8" s="1"/>
  <c r="Q77" i="8" a="1"/>
  <c r="Q77" i="8" s="1"/>
  <c r="Q83" i="8" a="1"/>
  <c r="Q83" i="8" s="1"/>
  <c r="Q84" i="8" s="1"/>
  <c r="Q85" i="8" s="1"/>
  <c r="I86" i="8" a="1"/>
  <c r="I86" i="8" s="1"/>
  <c r="Y86" i="8" a="1"/>
  <c r="Y86" i="8" s="1"/>
  <c r="Q92" i="8" a="1"/>
  <c r="Q92" i="8" s="1"/>
  <c r="I95" i="8" a="1"/>
  <c r="I95" i="8" s="1"/>
  <c r="Y95" i="8" a="1"/>
  <c r="Y95" i="8" s="1"/>
  <c r="Z101" i="8" a="1"/>
  <c r="Z101" i="8" s="1"/>
  <c r="AA104" i="8" a="1"/>
  <c r="AA104" i="8" s="1"/>
  <c r="M17" i="10" a="1"/>
  <c r="M17" i="10" s="1"/>
  <c r="AC17" i="10" a="1"/>
  <c r="AC17" i="10" s="1"/>
  <c r="AB21" i="10" a="1"/>
  <c r="AB21" i="10" s="1"/>
  <c r="R43" i="10" a="1"/>
  <c r="R43" i="10" s="1"/>
  <c r="Q56" i="10" a="1"/>
  <c r="Q56" i="10" s="1"/>
  <c r="AB61" i="10" a="1"/>
  <c r="AB61" i="10" s="1"/>
  <c r="AA67" i="10" a="1"/>
  <c r="AA67" i="10" s="1"/>
  <c r="AA76" i="10" a="1"/>
  <c r="AA76" i="10" s="1"/>
  <c r="AB71" i="10" s="1"/>
  <c r="AB73" i="10" s="1"/>
  <c r="Z79" i="10" a="1"/>
  <c r="Z79" i="10" s="1"/>
  <c r="Z89" i="10" a="1"/>
  <c r="Z89" i="10" s="1"/>
  <c r="Y92" i="10" a="1"/>
  <c r="Y92" i="10" s="1"/>
  <c r="V99" i="10" a="1"/>
  <c r="V99" i="10" s="1"/>
  <c r="AC106" i="10" a="1"/>
  <c r="AC106" i="10" s="1"/>
  <c r="L11" i="13" a="1"/>
  <c r="L11" i="13" s="1"/>
  <c r="J12" i="13" a="1"/>
  <c r="J12" i="13" s="1"/>
  <c r="H30" i="13" a="1"/>
  <c r="H30" i="13" s="1"/>
  <c r="X30" i="13" a="1"/>
  <c r="X30" i="13" s="1"/>
  <c r="Q31" i="13" a="1"/>
  <c r="Q31" i="13" s="1"/>
  <c r="AA17" i="11" a="1"/>
  <c r="AA17" i="11" s="1"/>
  <c r="AB13" i="11" s="1"/>
  <c r="AB14" i="11" s="1"/>
  <c r="AC24" i="11" a="1"/>
  <c r="AC24" i="11" s="1"/>
  <c r="O57" i="11" a="1"/>
  <c r="O57" i="11" s="1"/>
  <c r="Q74" i="11" a="1"/>
  <c r="Q74" i="11" s="1"/>
  <c r="S83" i="11" a="1"/>
  <c r="S83" i="11" s="1"/>
  <c r="U89" i="11" a="1"/>
  <c r="U89" i="11" s="1"/>
  <c r="W97" i="11" a="1"/>
  <c r="W97" i="11" s="1"/>
  <c r="Z103" i="11" a="1"/>
  <c r="Z103" i="11" s="1"/>
  <c r="Z111" i="11" a="1"/>
  <c r="Z111" i="11" s="1"/>
  <c r="X121" i="11" a="1"/>
  <c r="X121" i="11" s="1"/>
  <c r="AK89" i="10" a="1"/>
  <c r="AK89" i="10" s="1"/>
  <c r="AK76" i="10" a="1"/>
  <c r="AK76" i="10" s="1"/>
  <c r="AK43" i="10" a="1"/>
  <c r="AK43" i="10" s="1"/>
  <c r="AK106" i="10" a="1"/>
  <c r="AK106" i="10" s="1"/>
  <c r="AK92" i="10" a="1"/>
  <c r="AK92" i="10" s="1"/>
  <c r="AK79" i="10" a="1"/>
  <c r="AK79" i="10" s="1"/>
  <c r="AK67" i="10" a="1"/>
  <c r="AK67" i="10" s="1"/>
  <c r="AK21" i="10" a="1"/>
  <c r="AK21" i="10" s="1"/>
  <c r="AK17" i="10" a="1"/>
  <c r="AK17" i="10" s="1"/>
  <c r="AK61" i="10" a="1"/>
  <c r="AK61" i="10" s="1"/>
  <c r="AK56" i="10" a="1"/>
  <c r="AK56" i="10" s="1"/>
  <c r="AK29" i="10" a="1"/>
  <c r="AK29" i="10" s="1"/>
  <c r="AI61" i="10" a="1"/>
  <c r="AI61" i="10" s="1"/>
  <c r="AI43" i="10" a="1"/>
  <c r="AI43" i="10" s="1"/>
  <c r="AI106" i="10" a="1"/>
  <c r="AI106" i="10" s="1"/>
  <c r="AJ89" i="10" a="1"/>
  <c r="AJ89" i="10" s="1"/>
  <c r="AI92" i="10" a="1"/>
  <c r="AI92" i="10" s="1"/>
  <c r="AJ79" i="10" a="1"/>
  <c r="AJ79" i="10" s="1"/>
  <c r="AI79" i="10" a="1"/>
  <c r="AI79" i="10" s="1"/>
  <c r="AJ106" i="10" a="1"/>
  <c r="AJ106" i="10" s="1"/>
  <c r="AI89" i="10" a="1"/>
  <c r="AI89" i="10" s="1"/>
  <c r="AJ17" i="10" a="1"/>
  <c r="AJ17" i="10" s="1"/>
  <c r="AJ99" i="10" a="1"/>
  <c r="AJ99" i="10" s="1"/>
  <c r="AJ61" i="10" a="1"/>
  <c r="AJ61" i="10" s="1"/>
  <c r="AI76" i="10" a="1"/>
  <c r="AI76" i="10" s="1"/>
  <c r="AJ21" i="10" a="1"/>
  <c r="AJ21" i="10" s="1"/>
  <c r="AK99" i="10" a="1"/>
  <c r="AK99" i="10" s="1"/>
  <c r="AJ43" i="10" a="1"/>
  <c r="AJ43" i="10" s="1"/>
  <c r="AJ92" i="10" a="1"/>
  <c r="AJ92" i="10" s="1"/>
  <c r="AL99" i="10" a="1"/>
  <c r="AL99" i="10" s="1"/>
  <c r="AJ67" i="10" a="1"/>
  <c r="AJ67" i="10" s="1"/>
  <c r="AJ29" i="10" a="1"/>
  <c r="AJ29" i="10" s="1"/>
  <c r="AH99" i="10" a="1"/>
  <c r="AH99" i="10" s="1"/>
  <c r="AJ56" i="10" a="1"/>
  <c r="AJ56" i="10" s="1"/>
  <c r="AI67" i="10" a="1"/>
  <c r="AI67" i="10" s="1"/>
  <c r="AI21" i="10" a="1"/>
  <c r="AI21" i="10" s="1"/>
  <c r="AI99" i="10" a="1"/>
  <c r="AI99" i="10" s="1"/>
  <c r="AI29" i="10" a="1"/>
  <c r="AI29" i="10" s="1"/>
  <c r="AI17" i="10" a="1"/>
  <c r="AI17" i="10" s="1"/>
  <c r="AI56" i="10" a="1"/>
  <c r="AI56" i="10" s="1"/>
  <c r="AH92" i="10" a="1"/>
  <c r="AH92" i="10" s="1"/>
  <c r="AH17" i="10" a="1"/>
  <c r="AH17" i="10" s="1"/>
  <c r="AH89" i="10" a="1"/>
  <c r="AH89" i="10" s="1"/>
  <c r="AF17" i="10" a="1"/>
  <c r="AF17" i="10" s="1"/>
  <c r="AH56" i="10" a="1"/>
  <c r="AH56" i="10" s="1"/>
  <c r="AH79" i="10" a="1"/>
  <c r="AH79" i="10" s="1"/>
  <c r="AH43" i="10" a="1"/>
  <c r="AH43" i="10" s="1"/>
  <c r="AH76" i="10" a="1"/>
  <c r="AH76" i="10" s="1"/>
  <c r="AH21" i="10" a="1"/>
  <c r="AH21" i="10" s="1"/>
  <c r="AH67" i="10" a="1"/>
  <c r="AH67" i="10" s="1"/>
  <c r="AH29" i="10" a="1"/>
  <c r="AH29" i="10" s="1"/>
  <c r="AH61" i="10" a="1"/>
  <c r="AH61" i="10" s="1"/>
  <c r="AH106" i="10" a="1"/>
  <c r="AH106" i="10" s="1"/>
  <c r="AF43" i="10" a="1"/>
  <c r="AF43" i="10" s="1"/>
  <c r="AF29" i="10" a="1"/>
  <c r="AF29" i="10" s="1"/>
  <c r="AF21" i="10" a="1"/>
  <c r="AF21" i="10" s="1"/>
  <c r="W11" i="13" a="1"/>
  <c r="W11" i="13" s="1"/>
  <c r="AG76" i="10" a="1"/>
  <c r="AG76" i="10" s="1"/>
  <c r="V52" i="8" a="1"/>
  <c r="V52" i="8" s="1"/>
  <c r="N41" i="8" a="1"/>
  <c r="N41" i="8" s="1"/>
  <c r="AD41" i="8" a="1"/>
  <c r="AD41" i="8" s="1"/>
  <c r="V44" i="8" a="1"/>
  <c r="V44" i="8" s="1"/>
  <c r="N57" i="8" a="1"/>
  <c r="N57" i="8" s="1"/>
  <c r="AD57" i="8" a="1"/>
  <c r="AD57" i="8" s="1"/>
  <c r="V60" i="8" a="1"/>
  <c r="V60" i="8" s="1"/>
  <c r="L66" i="8" a="1"/>
  <c r="L66" i="8" s="1"/>
  <c r="AB66" i="8" a="1"/>
  <c r="AB66" i="8" s="1"/>
  <c r="T69" i="8" a="1"/>
  <c r="T69" i="8" s="1"/>
  <c r="J74" i="8" a="1"/>
  <c r="J74" i="8" s="1"/>
  <c r="Z74" i="8" a="1"/>
  <c r="Z74" i="8" s="1"/>
  <c r="R77" i="8" a="1"/>
  <c r="R77" i="8" s="1"/>
  <c r="R83" i="8" a="1"/>
  <c r="R83" i="8" s="1"/>
  <c r="J86" i="8" a="1"/>
  <c r="J86" i="8" s="1"/>
  <c r="Z86" i="8" a="1"/>
  <c r="Z86" i="8" s="1"/>
  <c r="R92" i="8" a="1"/>
  <c r="R92" i="8" s="1"/>
  <c r="R93" i="8" s="1"/>
  <c r="R94" i="8" s="1"/>
  <c r="J95" i="8" a="1"/>
  <c r="J95" i="8" s="1"/>
  <c r="Z95" i="8" a="1"/>
  <c r="Z95" i="8" s="1"/>
  <c r="AA101" i="8" a="1"/>
  <c r="AA101" i="8" s="1"/>
  <c r="AA102" i="8" s="1"/>
  <c r="AA103" i="8" s="1"/>
  <c r="AB104" i="8" a="1"/>
  <c r="AB104" i="8" s="1"/>
  <c r="N17" i="10" a="1"/>
  <c r="N17" i="10" s="1"/>
  <c r="AD17" i="10" a="1"/>
  <c r="AD17" i="10" s="1"/>
  <c r="AC21" i="10" a="1"/>
  <c r="AC21" i="10" s="1"/>
  <c r="S43" i="10" a="1"/>
  <c r="S43" i="10" s="1"/>
  <c r="R56" i="10" a="1"/>
  <c r="R56" i="10" s="1"/>
  <c r="AC61" i="10" a="1"/>
  <c r="AC61" i="10" s="1"/>
  <c r="AB67" i="10" a="1"/>
  <c r="AB67" i="10" s="1"/>
  <c r="L76" i="10" a="1"/>
  <c r="L76" i="10" s="1"/>
  <c r="AB76" i="10" a="1"/>
  <c r="AB76" i="10" s="1"/>
  <c r="AA79" i="10" a="1"/>
  <c r="AA79" i="10" s="1"/>
  <c r="AA89" i="10" a="1"/>
  <c r="AA89" i="10" s="1"/>
  <c r="Z92" i="10" a="1"/>
  <c r="Z92" i="10" s="1"/>
  <c r="W99" i="10" a="1"/>
  <c r="W99" i="10" s="1"/>
  <c r="AD106" i="10" a="1"/>
  <c r="AD106" i="10" s="1"/>
  <c r="M11" i="13" a="1"/>
  <c r="M11" i="13" s="1"/>
  <c r="K12" i="13" a="1"/>
  <c r="K12" i="13" s="1"/>
  <c r="I30" i="13" a="1"/>
  <c r="I30" i="13" s="1"/>
  <c r="Y30" i="13" a="1"/>
  <c r="Y30" i="13" s="1"/>
  <c r="R31" i="13" a="1"/>
  <c r="R31" i="13" s="1"/>
  <c r="L17" i="11" a="1"/>
  <c r="L17" i="11" s="1"/>
  <c r="AB17" i="11" a="1"/>
  <c r="AB17" i="11" s="1"/>
  <c r="O41" i="11" a="1"/>
  <c r="O41" i="11" s="1"/>
  <c r="P57" i="11" a="1"/>
  <c r="P57" i="11" s="1"/>
  <c r="R74" i="11" a="1"/>
  <c r="R74" i="11" s="1"/>
  <c r="T83" i="11" a="1"/>
  <c r="T83" i="11" s="1"/>
  <c r="V89" i="11" a="1"/>
  <c r="V89" i="11" s="1"/>
  <c r="X97" i="11" a="1"/>
  <c r="X97" i="11" s="1"/>
  <c r="AA103" i="11" a="1"/>
  <c r="AA103" i="11" s="1"/>
  <c r="AA111" i="11" a="1"/>
  <c r="AA111" i="11" s="1"/>
  <c r="Y121" i="11" a="1"/>
  <c r="Y121" i="11" s="1"/>
  <c r="Y11" i="13" a="1"/>
  <c r="Y11" i="13" s="1"/>
  <c r="AG17" i="10" a="1"/>
  <c r="AG17" i="10" s="1"/>
  <c r="O57" i="8" a="1"/>
  <c r="O57" i="8" s="1"/>
  <c r="G60" i="8" a="1"/>
  <c r="G60" i="8" s="1"/>
  <c r="W60" i="8" a="1"/>
  <c r="W60" i="8" s="1"/>
  <c r="M66" i="8" a="1"/>
  <c r="M66" i="8" s="1"/>
  <c r="AC66" i="8" a="1"/>
  <c r="AC66" i="8" s="1"/>
  <c r="U69" i="8" a="1"/>
  <c r="U69" i="8" s="1"/>
  <c r="K74" i="8" a="1"/>
  <c r="K74" i="8" s="1"/>
  <c r="AA74" i="8" a="1"/>
  <c r="AA74" i="8" s="1"/>
  <c r="S77" i="8" a="1"/>
  <c r="S77" i="8" s="1"/>
  <c r="S83" i="8" a="1"/>
  <c r="S83" i="8" s="1"/>
  <c r="S84" i="8" s="1"/>
  <c r="S85" i="8" s="1"/>
  <c r="K86" i="8" a="1"/>
  <c r="K86" i="8" s="1"/>
  <c r="AA86" i="8" a="1"/>
  <c r="AA86" i="8" s="1"/>
  <c r="S92" i="8" a="1"/>
  <c r="S92" i="8" s="1"/>
  <c r="S93" i="8" s="1"/>
  <c r="S94" i="8" s="1"/>
  <c r="K95" i="8" a="1"/>
  <c r="K95" i="8" s="1"/>
  <c r="AA95" i="8" a="1"/>
  <c r="AA95" i="8" s="1"/>
  <c r="AB101" i="8" a="1"/>
  <c r="AB101" i="8" s="1"/>
  <c r="AC104" i="8" a="1"/>
  <c r="AC104" i="8" s="1"/>
  <c r="O17" i="10" a="1"/>
  <c r="O17" i="10" s="1"/>
  <c r="AE17" i="10" a="1"/>
  <c r="AE17" i="10" s="1"/>
  <c r="AD21" i="10" a="1"/>
  <c r="AD21" i="10" s="1"/>
  <c r="T43" i="10" a="1"/>
  <c r="T43" i="10" s="1"/>
  <c r="S56" i="10" a="1"/>
  <c r="S56" i="10" s="1"/>
  <c r="AD61" i="10" a="1"/>
  <c r="AD61" i="10" s="1"/>
  <c r="AC67" i="10" a="1"/>
  <c r="AC67" i="10" s="1"/>
  <c r="M76" i="10" a="1"/>
  <c r="M76" i="10" s="1"/>
  <c r="AC76" i="10" a="1"/>
  <c r="AC76" i="10" s="1"/>
  <c r="AB79" i="10" a="1"/>
  <c r="AB79" i="10" s="1"/>
  <c r="L89" i="10" a="1"/>
  <c r="L89" i="10" s="1"/>
  <c r="AB89" i="10" a="1"/>
  <c r="AB89" i="10" s="1"/>
  <c r="AA92" i="10" a="1"/>
  <c r="AA92" i="10" s="1"/>
  <c r="X99" i="10" a="1"/>
  <c r="X99" i="10" s="1"/>
  <c r="O106" i="10" a="1"/>
  <c r="O106" i="10" s="1"/>
  <c r="AE106" i="10" a="1"/>
  <c r="AE106" i="10" s="1"/>
  <c r="N11" i="13" a="1"/>
  <c r="N11" i="13" s="1"/>
  <c r="L12" i="13" a="1"/>
  <c r="L12" i="13" s="1"/>
  <c r="J30" i="13" a="1"/>
  <c r="J30" i="13" s="1"/>
  <c r="Z30" i="13" a="1"/>
  <c r="Z30" i="13" s="1"/>
  <c r="S31" i="13" a="1"/>
  <c r="S31" i="13" s="1"/>
  <c r="S37" i="13" s="1"/>
  <c r="M17" i="11" a="1"/>
  <c r="M17" i="11" s="1"/>
  <c r="O24" i="11" a="1"/>
  <c r="O24" i="11" s="1"/>
  <c r="P41" i="11" a="1"/>
  <c r="P41" i="11" s="1"/>
  <c r="Q57" i="11" a="1"/>
  <c r="Q57" i="11" s="1"/>
  <c r="S74" i="11" a="1"/>
  <c r="S74" i="11" s="1"/>
  <c r="U83" i="11" a="1"/>
  <c r="U83" i="11" s="1"/>
  <c r="W89" i="11" a="1"/>
  <c r="W89" i="11" s="1"/>
  <c r="Y97" i="11" a="1"/>
  <c r="Y97" i="11" s="1"/>
  <c r="AB103" i="11" a="1"/>
  <c r="AB103" i="11" s="1"/>
  <c r="AB111" i="11" a="1"/>
  <c r="AB111" i="11" s="1"/>
  <c r="Z121" i="11" a="1"/>
  <c r="Z121" i="11" s="1"/>
  <c r="AB66" i="13" a="1"/>
  <c r="AB66" i="13" s="1"/>
  <c r="X11" i="13" a="1"/>
  <c r="X11" i="13" s="1"/>
  <c r="AG79" i="10" a="1"/>
  <c r="AG79" i="10" s="1"/>
  <c r="H44" i="8" a="1"/>
  <c r="H44" i="8" s="1"/>
  <c r="X44" i="8" a="1"/>
  <c r="X44" i="8" s="1"/>
  <c r="P57" i="8" a="1"/>
  <c r="P57" i="8" s="1"/>
  <c r="H60" i="8" a="1"/>
  <c r="H60" i="8" s="1"/>
  <c r="X60" i="8" a="1"/>
  <c r="X60" i="8" s="1"/>
  <c r="N66" i="8" a="1"/>
  <c r="N66" i="8" s="1"/>
  <c r="AD66" i="8" a="1"/>
  <c r="AD66" i="8" s="1"/>
  <c r="V69" i="8" a="1"/>
  <c r="V69" i="8" s="1"/>
  <c r="L74" i="8" a="1"/>
  <c r="L74" i="8" s="1"/>
  <c r="AB74" i="8" a="1"/>
  <c r="AB74" i="8" s="1"/>
  <c r="T77" i="8" a="1"/>
  <c r="T77" i="8" s="1"/>
  <c r="T83" i="8" a="1"/>
  <c r="T83" i="8" s="1"/>
  <c r="T84" i="8" s="1"/>
  <c r="T85" i="8" s="1"/>
  <c r="L86" i="8" a="1"/>
  <c r="L86" i="8" s="1"/>
  <c r="AB86" i="8" a="1"/>
  <c r="AB86" i="8" s="1"/>
  <c r="T92" i="8" a="1"/>
  <c r="T92" i="8" s="1"/>
  <c r="T93" i="8" s="1"/>
  <c r="T94" i="8" s="1"/>
  <c r="L95" i="8" a="1"/>
  <c r="L95" i="8" s="1"/>
  <c r="AB95" i="8" a="1"/>
  <c r="AB95" i="8" s="1"/>
  <c r="AC101" i="8" a="1"/>
  <c r="AC101" i="8" s="1"/>
  <c r="AD104" i="8" a="1"/>
  <c r="AD104" i="8" s="1"/>
  <c r="P17" i="10" a="1"/>
  <c r="P17" i="10" s="1"/>
  <c r="O21" i="10" a="1"/>
  <c r="O21" i="10" s="1"/>
  <c r="AE21" i="10" a="1"/>
  <c r="AE21" i="10" s="1"/>
  <c r="U43" i="10" a="1"/>
  <c r="U43" i="10" s="1"/>
  <c r="T56" i="10" a="1"/>
  <c r="T56" i="10" s="1"/>
  <c r="AE61" i="10" a="1"/>
  <c r="AE61" i="10" s="1"/>
  <c r="AD67" i="10" a="1"/>
  <c r="AD67" i="10" s="1"/>
  <c r="N76" i="10" a="1"/>
  <c r="N76" i="10" s="1"/>
  <c r="AD76" i="10" a="1"/>
  <c r="AD76" i="10" s="1"/>
  <c r="AC79" i="10" a="1"/>
  <c r="AC79" i="10" s="1"/>
  <c r="M89" i="10" a="1"/>
  <c r="M89" i="10" s="1"/>
  <c r="AC89" i="10" a="1"/>
  <c r="AC89" i="10" s="1"/>
  <c r="AB92" i="10" a="1"/>
  <c r="AB92" i="10" s="1"/>
  <c r="Y99" i="10" a="1"/>
  <c r="Y99" i="10" s="1"/>
  <c r="P106" i="10" a="1"/>
  <c r="P106" i="10" s="1"/>
  <c r="O11" i="13" a="1"/>
  <c r="O11" i="13" s="1"/>
  <c r="O22" i="13" s="1"/>
  <c r="M12" i="13" a="1"/>
  <c r="M12" i="13" s="1"/>
  <c r="M13" i="13" s="1"/>
  <c r="M14" i="13" s="1"/>
  <c r="K30" i="13" a="1"/>
  <c r="K30" i="13" s="1"/>
  <c r="K40" i="13" s="1"/>
  <c r="AA30" i="13" a="1"/>
  <c r="AA30" i="13" s="1"/>
  <c r="AA34" i="13" s="1"/>
  <c r="T31" i="13" a="1"/>
  <c r="T31" i="13" s="1"/>
  <c r="N17" i="11" a="1"/>
  <c r="N17" i="11" s="1"/>
  <c r="P24" i="11" a="1"/>
  <c r="P24" i="11" s="1"/>
  <c r="Q41" i="11" a="1"/>
  <c r="Q41" i="11" s="1"/>
  <c r="R57" i="11" a="1"/>
  <c r="R57" i="11" s="1"/>
  <c r="AA65" i="11" a="1"/>
  <c r="AA65" i="11" s="1"/>
  <c r="T74" i="11" a="1"/>
  <c r="T74" i="11" s="1"/>
  <c r="V83" i="11" a="1"/>
  <c r="V83" i="11" s="1"/>
  <c r="X89" i="11" a="1"/>
  <c r="X89" i="11" s="1"/>
  <c r="Z97" i="11" a="1"/>
  <c r="Z97" i="11" s="1"/>
  <c r="AC103" i="11" a="1"/>
  <c r="AC103" i="11" s="1"/>
  <c r="AC111" i="11" a="1"/>
  <c r="AC111" i="11" s="1"/>
  <c r="AB82" i="13" a="1"/>
  <c r="AB82" i="13" s="1"/>
  <c r="AB88" i="13" s="1"/>
  <c r="W12" i="13" a="1"/>
  <c r="W12" i="13" s="1"/>
  <c r="AF61" i="10" a="1"/>
  <c r="AF61" i="10" s="1"/>
  <c r="Y36" i="8" a="1"/>
  <c r="Y36" i="8" s="1"/>
  <c r="U49" i="8" a="1"/>
  <c r="U49" i="8" s="1"/>
  <c r="Y52" i="8" a="1"/>
  <c r="Y52" i="8" s="1"/>
  <c r="Q41" i="8" a="1"/>
  <c r="Q41" i="8" s="1"/>
  <c r="I44" i="8" a="1"/>
  <c r="I44" i="8" s="1"/>
  <c r="Y44" i="8" a="1"/>
  <c r="Y44" i="8" s="1"/>
  <c r="Q57" i="8" a="1"/>
  <c r="Q57" i="8" s="1"/>
  <c r="I60" i="8" a="1"/>
  <c r="I60" i="8" s="1"/>
  <c r="Y60" i="8" a="1"/>
  <c r="Y60" i="8" s="1"/>
  <c r="O66" i="8" a="1"/>
  <c r="O66" i="8" s="1"/>
  <c r="G69" i="8" a="1"/>
  <c r="G69" i="8" s="1"/>
  <c r="W69" i="8" a="1"/>
  <c r="W69" i="8" s="1"/>
  <c r="M74" i="8" a="1"/>
  <c r="M74" i="8" s="1"/>
  <c r="AC74" i="8" a="1"/>
  <c r="AC74" i="8" s="1"/>
  <c r="U77" i="8" a="1"/>
  <c r="U77" i="8" s="1"/>
  <c r="U83" i="8" a="1"/>
  <c r="U83" i="8" s="1"/>
  <c r="U84" i="8" s="1"/>
  <c r="U85" i="8" s="1"/>
  <c r="M86" i="8" a="1"/>
  <c r="M86" i="8" s="1"/>
  <c r="AC86" i="8" a="1"/>
  <c r="AC86" i="8" s="1"/>
  <c r="U92" i="8" a="1"/>
  <c r="U92" i="8" s="1"/>
  <c r="U93" i="8" s="1"/>
  <c r="U94" i="8" s="1"/>
  <c r="M95" i="8" a="1"/>
  <c r="M95" i="8" s="1"/>
  <c r="AC95" i="8" a="1"/>
  <c r="AC95" i="8" s="1"/>
  <c r="AD101" i="8" a="1"/>
  <c r="AD101" i="8" s="1"/>
  <c r="Q17" i="10" a="1"/>
  <c r="Q17" i="10" s="1"/>
  <c r="P21" i="10" a="1"/>
  <c r="P21" i="10" s="1"/>
  <c r="V43" i="10" a="1"/>
  <c r="V43" i="10" s="1"/>
  <c r="U56" i="10" a="1"/>
  <c r="U56" i="10" s="1"/>
  <c r="O67" i="10" a="1"/>
  <c r="O67" i="10" s="1"/>
  <c r="AE67" i="10" a="1"/>
  <c r="AE67" i="10" s="1"/>
  <c r="O76" i="10" a="1"/>
  <c r="O76" i="10" s="1"/>
  <c r="Q71" i="10" s="1"/>
  <c r="Q70" i="10" s="1"/>
  <c r="AE76" i="10" a="1"/>
  <c r="AE76" i="10" s="1"/>
  <c r="AD79" i="10" a="1"/>
  <c r="AD79" i="10" s="1"/>
  <c r="N89" i="10" a="1"/>
  <c r="N89" i="10" s="1"/>
  <c r="AD89" i="10" a="1"/>
  <c r="AD89" i="10" s="1"/>
  <c r="AC92" i="10" a="1"/>
  <c r="AC92" i="10" s="1"/>
  <c r="Z99" i="10" a="1"/>
  <c r="Z99" i="10" s="1"/>
  <c r="Q106" i="10" a="1"/>
  <c r="Q106" i="10" s="1"/>
  <c r="P11" i="13" a="1"/>
  <c r="P11" i="13" s="1"/>
  <c r="N12" i="13" a="1"/>
  <c r="N12" i="13" s="1"/>
  <c r="L30" i="13" a="1"/>
  <c r="L30" i="13" s="1"/>
  <c r="E31" i="13" a="1"/>
  <c r="E31" i="13" s="1"/>
  <c r="E37" i="13" s="1"/>
  <c r="U31" i="13" a="1"/>
  <c r="U31" i="13" s="1"/>
  <c r="O17" i="11" a="1"/>
  <c r="O17" i="11" s="1"/>
  <c r="Q24" i="11" a="1"/>
  <c r="Q24" i="11" s="1"/>
  <c r="R41" i="11" a="1"/>
  <c r="R41" i="11" s="1"/>
  <c r="S57" i="11" a="1"/>
  <c r="S57" i="11" s="1"/>
  <c r="AB65" i="11" a="1"/>
  <c r="AB65" i="11" s="1"/>
  <c r="U74" i="11" a="1"/>
  <c r="U74" i="11" s="1"/>
  <c r="W83" i="11" a="1"/>
  <c r="W83" i="11" s="1"/>
  <c r="Y89" i="11" a="1"/>
  <c r="Y89" i="11" s="1"/>
  <c r="AA97" i="11" a="1"/>
  <c r="AA97" i="11" s="1"/>
  <c r="AB81" i="13" a="1"/>
  <c r="AB81" i="13" s="1"/>
  <c r="AB85" i="13" s="1"/>
  <c r="AB11" i="13" a="1"/>
  <c r="AB11" i="13" s="1"/>
  <c r="AB22" i="13" s="1"/>
  <c r="AG89" i="10" a="1"/>
  <c r="AG89" i="10" s="1"/>
  <c r="V92" i="8" a="1"/>
  <c r="V92" i="8" s="1"/>
  <c r="N95" i="8" a="1"/>
  <c r="N95" i="8" s="1"/>
  <c r="AD95" i="8" a="1"/>
  <c r="AD95" i="8" s="1"/>
  <c r="P104" i="8" a="1"/>
  <c r="P104" i="8" s="1"/>
  <c r="R17" i="10" a="1"/>
  <c r="R17" i="10" s="1"/>
  <c r="Q21" i="10" a="1"/>
  <c r="Q21" i="10" s="1"/>
  <c r="W43" i="10" a="1"/>
  <c r="W43" i="10" s="1"/>
  <c r="V56" i="10" a="1"/>
  <c r="V56" i="10" s="1"/>
  <c r="P67" i="10" a="1"/>
  <c r="P67" i="10" s="1"/>
  <c r="P76" i="10" a="1"/>
  <c r="P76" i="10" s="1"/>
  <c r="O79" i="10" a="1"/>
  <c r="O79" i="10" s="1"/>
  <c r="AE79" i="10" a="1"/>
  <c r="AE79" i="10" s="1"/>
  <c r="O89" i="10" a="1"/>
  <c r="O89" i="10" s="1"/>
  <c r="AE89" i="10" a="1"/>
  <c r="AE89" i="10" s="1"/>
  <c r="AD92" i="10" a="1"/>
  <c r="AD92" i="10" s="1"/>
  <c r="AA99" i="10" a="1"/>
  <c r="AA99" i="10" s="1"/>
  <c r="R106" i="10" a="1"/>
  <c r="R106" i="10" s="1"/>
  <c r="Q11" i="13" a="1"/>
  <c r="Q11" i="13" s="1"/>
  <c r="Q22" i="13" s="1"/>
  <c r="O12" i="13" a="1"/>
  <c r="O12" i="13" s="1"/>
  <c r="O23" i="13" s="1"/>
  <c r="M30" i="13" a="1"/>
  <c r="M30" i="13" s="1"/>
  <c r="M40" i="13" s="1"/>
  <c r="F31" i="13" a="1"/>
  <c r="F31" i="13" s="1"/>
  <c r="F41" i="13" s="1"/>
  <c r="V31" i="13" a="1"/>
  <c r="V31" i="13" s="1"/>
  <c r="V41" i="13" s="1"/>
  <c r="P17" i="11" a="1"/>
  <c r="P17" i="11" s="1"/>
  <c r="R24" i="11" a="1"/>
  <c r="R24" i="11" s="1"/>
  <c r="S41" i="11" a="1"/>
  <c r="S41" i="11" s="1"/>
  <c r="T57" i="11" a="1"/>
  <c r="T57" i="11" s="1"/>
  <c r="AC65" i="11" a="1"/>
  <c r="AC65" i="11" s="1"/>
  <c r="V74" i="11" a="1"/>
  <c r="V74" i="11" s="1"/>
  <c r="X83" i="11" a="1"/>
  <c r="X83" i="11" s="1"/>
  <c r="Z89" i="11" a="1"/>
  <c r="Z89" i="11" s="1"/>
  <c r="L97" i="11" a="1"/>
  <c r="L97" i="11" s="1"/>
  <c r="AB97" i="11" a="1"/>
  <c r="AB97" i="11" s="1"/>
  <c r="AF76" i="10" a="1"/>
  <c r="AF76" i="10" s="1"/>
  <c r="Y12" i="13" a="1"/>
  <c r="Y12" i="13" s="1"/>
  <c r="Y23" i="13" s="1"/>
  <c r="AG29" i="10" a="1"/>
  <c r="AG29" i="10" s="1"/>
  <c r="W92" i="8" a="1"/>
  <c r="W92" i="8" s="1"/>
  <c r="O95" i="8" a="1"/>
  <c r="O95" i="8" s="1"/>
  <c r="P101" i="8" a="1"/>
  <c r="P101" i="8" s="1"/>
  <c r="Q104" i="8" a="1"/>
  <c r="Q104" i="8" s="1"/>
  <c r="S17" i="10" a="1"/>
  <c r="S17" i="10" s="1"/>
  <c r="T13" i="10" s="1"/>
  <c r="T14" i="10" s="1"/>
  <c r="R21" i="10" a="1"/>
  <c r="R21" i="10" s="1"/>
  <c r="X43" i="10" a="1"/>
  <c r="X43" i="10" s="1"/>
  <c r="W56" i="10" a="1"/>
  <c r="W56" i="10" s="1"/>
  <c r="Q67" i="10" a="1"/>
  <c r="Q67" i="10" s="1"/>
  <c r="Q76" i="10" a="1"/>
  <c r="Q76" i="10" s="1"/>
  <c r="P79" i="10" a="1"/>
  <c r="P79" i="10" s="1"/>
  <c r="P89" i="10" a="1"/>
  <c r="P89" i="10" s="1"/>
  <c r="O92" i="10" a="1"/>
  <c r="O92" i="10" s="1"/>
  <c r="AE92" i="10" a="1"/>
  <c r="AE92" i="10" s="1"/>
  <c r="AB99" i="10" a="1"/>
  <c r="AB99" i="10" s="1"/>
  <c r="S106" i="10" a="1"/>
  <c r="S106" i="10" s="1"/>
  <c r="X112" i="10" a="1"/>
  <c r="X112" i="10" s="1"/>
  <c r="R11" i="13" a="1"/>
  <c r="R11" i="13" s="1"/>
  <c r="R22" i="13" s="1"/>
  <c r="P12" i="13" a="1"/>
  <c r="P12" i="13" s="1"/>
  <c r="P13" i="13" s="1"/>
  <c r="P14" i="13" s="1"/>
  <c r="N30" i="13" a="1"/>
  <c r="N30" i="13" s="1"/>
  <c r="N34" i="13" s="1"/>
  <c r="G31" i="13" a="1"/>
  <c r="G31" i="13" s="1"/>
  <c r="W31" i="13" a="1"/>
  <c r="W31" i="13" s="1"/>
  <c r="W32" i="13" s="1"/>
  <c r="W33" i="13" s="1"/>
  <c r="Q17" i="11" a="1"/>
  <c r="Q17" i="11" s="1"/>
  <c r="S24" i="11" a="1"/>
  <c r="S24" i="11" s="1"/>
  <c r="T41" i="11" a="1"/>
  <c r="T41" i="11" s="1"/>
  <c r="U57" i="11" a="1"/>
  <c r="U57" i="11" s="1"/>
  <c r="W74" i="11" a="1"/>
  <c r="W74" i="11" s="1"/>
  <c r="Y83" i="11" a="1"/>
  <c r="Y83" i="11" s="1"/>
  <c r="AA89" i="11" a="1"/>
  <c r="AA89" i="11" s="1"/>
  <c r="M97" i="11" a="1"/>
  <c r="M97" i="11" s="1"/>
  <c r="P103" i="11" a="1"/>
  <c r="P103" i="11" s="1"/>
  <c r="O111" i="11" a="1"/>
  <c r="O111" i="11" s="1"/>
  <c r="Y130" i="11" a="1"/>
  <c r="Y130" i="11" s="1"/>
  <c r="AF79" i="10" a="1"/>
  <c r="AF79" i="10" s="1"/>
  <c r="Z12" i="13" a="1"/>
  <c r="Z12" i="13" s="1"/>
  <c r="Z23" i="13" s="1"/>
  <c r="AG67" i="10" a="1"/>
  <c r="AG67" i="10" s="1"/>
  <c r="X92" i="8" a="1"/>
  <c r="X92" i="8" s="1"/>
  <c r="P95" i="8" a="1"/>
  <c r="P95" i="8" s="1"/>
  <c r="Q101" i="8" a="1"/>
  <c r="Q101" i="8" s="1"/>
  <c r="Q102" i="8" s="1"/>
  <c r="Q103" i="8" s="1"/>
  <c r="R104" i="8" a="1"/>
  <c r="R104" i="8" s="1"/>
  <c r="T17" i="10" a="1"/>
  <c r="T17" i="10" s="1"/>
  <c r="S21" i="10" a="1"/>
  <c r="S21" i="10" s="1"/>
  <c r="Y43" i="10" a="1"/>
  <c r="Y43" i="10" s="1"/>
  <c r="X56" i="10" a="1"/>
  <c r="X56" i="10" s="1"/>
  <c r="R67" i="10" a="1"/>
  <c r="R67" i="10" s="1"/>
  <c r="R76" i="10" a="1"/>
  <c r="R76" i="10" s="1"/>
  <c r="Q79" i="10" a="1"/>
  <c r="Q79" i="10" s="1"/>
  <c r="Q89" i="10" a="1"/>
  <c r="Q89" i="10" s="1"/>
  <c r="P92" i="10" a="1"/>
  <c r="P92" i="10" s="1"/>
  <c r="AC99" i="10" a="1"/>
  <c r="AC99" i="10" s="1"/>
  <c r="T106" i="10" a="1"/>
  <c r="T106" i="10" s="1"/>
  <c r="Y112" i="10" a="1"/>
  <c r="Y112" i="10" s="1"/>
  <c r="S11" i="13" a="1"/>
  <c r="S11" i="13" s="1"/>
  <c r="S22" i="13" s="1"/>
  <c r="Q12" i="13" a="1"/>
  <c r="Q12" i="13" s="1"/>
  <c r="Q23" i="13" s="1"/>
  <c r="O30" i="13" a="1"/>
  <c r="O30" i="13" s="1"/>
  <c r="O34" i="13" s="1"/>
  <c r="H31" i="13" a="1"/>
  <c r="H31" i="13" s="1"/>
  <c r="H41" i="13" s="1"/>
  <c r="X31" i="13" a="1"/>
  <c r="X31" i="13" s="1"/>
  <c r="X41" i="13" s="1"/>
  <c r="R17" i="11" a="1"/>
  <c r="R17" i="11" s="1"/>
  <c r="T24" i="11" a="1"/>
  <c r="T24" i="11" s="1"/>
  <c r="U41" i="11" a="1"/>
  <c r="U41" i="11" s="1"/>
  <c r="V57" i="11" a="1"/>
  <c r="V57" i="11" s="1"/>
  <c r="X74" i="11" a="1"/>
  <c r="X74" i="11" s="1"/>
  <c r="Z83" i="11" a="1"/>
  <c r="Z83" i="11" s="1"/>
  <c r="AB89" i="11" a="1"/>
  <c r="AB89" i="11" s="1"/>
  <c r="N97" i="11" a="1"/>
  <c r="N97" i="11" s="1"/>
  <c r="Q103" i="11" a="1"/>
  <c r="Q103" i="11" s="1"/>
  <c r="P111" i="11" a="1"/>
  <c r="P111" i="11" s="1"/>
  <c r="Z130" i="11" a="1"/>
  <c r="Z130" i="11" s="1"/>
  <c r="AF89" i="10" a="1"/>
  <c r="AF89" i="10" s="1"/>
  <c r="AH84" i="10" s="1"/>
  <c r="AH86" i="10" s="1"/>
  <c r="AA11" i="13" a="1"/>
  <c r="AA11" i="13" s="1"/>
  <c r="AA22" i="13" s="1"/>
  <c r="AG92" i="10" a="1"/>
  <c r="AG92" i="10" s="1"/>
  <c r="Q95" i="8" a="1"/>
  <c r="Q95" i="8" s="1"/>
  <c r="R101" i="8" a="1"/>
  <c r="R101" i="8" s="1"/>
  <c r="R102" i="8" s="1"/>
  <c r="R103" i="8" s="1"/>
  <c r="S104" i="8" a="1"/>
  <c r="S104" i="8" s="1"/>
  <c r="U17" i="10" a="1"/>
  <c r="U17" i="10" s="1"/>
  <c r="T21" i="10" a="1"/>
  <c r="T21" i="10" s="1"/>
  <c r="AA29" i="10" a="1"/>
  <c r="AA29" i="10" s="1"/>
  <c r="Z43" i="10" a="1"/>
  <c r="Z43" i="10" s="1"/>
  <c r="Y56" i="10" a="1"/>
  <c r="Y56" i="10" s="1"/>
  <c r="S67" i="10" a="1"/>
  <c r="S67" i="10" s="1"/>
  <c r="S76" i="10" a="1"/>
  <c r="S76" i="10" s="1"/>
  <c r="T71" i="10" s="1"/>
  <c r="T70" i="10" s="1"/>
  <c r="R79" i="10" a="1"/>
  <c r="R79" i="10" s="1"/>
  <c r="R89" i="10" a="1"/>
  <c r="R89" i="10" s="1"/>
  <c r="S84" i="10" s="1"/>
  <c r="S83" i="10" s="1"/>
  <c r="Q92" i="10" a="1"/>
  <c r="Q92" i="10" s="1"/>
  <c r="AD99" i="10" a="1"/>
  <c r="AD99" i="10" s="1"/>
  <c r="U106" i="10" a="1"/>
  <c r="U106" i="10" s="1"/>
  <c r="Z112" i="10" a="1"/>
  <c r="Z112" i="10" s="1"/>
  <c r="T11" i="13" a="1"/>
  <c r="T11" i="13" s="1"/>
  <c r="T17" i="13" s="1"/>
  <c r="R12" i="13" a="1"/>
  <c r="R12" i="13" s="1"/>
  <c r="R23" i="13" s="1"/>
  <c r="P30" i="13" a="1"/>
  <c r="P30" i="13" s="1"/>
  <c r="P34" i="13" s="1"/>
  <c r="I31" i="13" a="1"/>
  <c r="I31" i="13" s="1"/>
  <c r="I41" i="13" s="1"/>
  <c r="Y31" i="13" a="1"/>
  <c r="Y31" i="13" s="1"/>
  <c r="Y41" i="13" s="1"/>
  <c r="S17" i="11" a="1"/>
  <c r="S17" i="11" s="1"/>
  <c r="U24" i="11" a="1"/>
  <c r="U24" i="11" s="1"/>
  <c r="V41" i="11" a="1"/>
  <c r="V41" i="11" s="1"/>
  <c r="W57" i="11" a="1"/>
  <c r="W57" i="11" s="1"/>
  <c r="Y74" i="11" a="1"/>
  <c r="Y74" i="11" s="1"/>
  <c r="AA83" i="11" a="1"/>
  <c r="AA83" i="11" s="1"/>
  <c r="AC89" i="11" a="1"/>
  <c r="AC89" i="11" s="1"/>
  <c r="O97" i="11" a="1"/>
  <c r="O97" i="11" s="1"/>
  <c r="R103" i="11" a="1"/>
  <c r="R103" i="11" s="1"/>
  <c r="Q111" i="11" a="1"/>
  <c r="Q111" i="11" s="1"/>
  <c r="O121" i="11" a="1"/>
  <c r="O121" i="11" s="1"/>
  <c r="AF92" i="10" a="1"/>
  <c r="AF92" i="10" s="1"/>
  <c r="AA12" i="13" a="1"/>
  <c r="AA12" i="13" s="1"/>
  <c r="AA23" i="13" s="1"/>
  <c r="AF56" i="10" a="1"/>
  <c r="AF56" i="10" s="1"/>
  <c r="R95" i="8" a="1"/>
  <c r="R95" i="8" s="1"/>
  <c r="S101" i="8" a="1"/>
  <c r="S101" i="8" s="1"/>
  <c r="S102" i="8" s="1"/>
  <c r="S103" i="8" s="1"/>
  <c r="T104" i="8" a="1"/>
  <c r="T104" i="8" s="1"/>
  <c r="V17" i="10" a="1"/>
  <c r="V17" i="10" s="1"/>
  <c r="U21" i="10" a="1"/>
  <c r="U21" i="10" s="1"/>
  <c r="AB29" i="10" a="1"/>
  <c r="AB29" i="10" s="1"/>
  <c r="AA43" i="10" a="1"/>
  <c r="AA43" i="10" s="1"/>
  <c r="Z56" i="10" a="1"/>
  <c r="Z56" i="10" s="1"/>
  <c r="T67" i="10" a="1"/>
  <c r="T67" i="10" s="1"/>
  <c r="T76" i="10" a="1"/>
  <c r="T76" i="10" s="1"/>
  <c r="S79" i="10" a="1"/>
  <c r="S79" i="10" s="1"/>
  <c r="S89" i="10" a="1"/>
  <c r="S89" i="10" s="1"/>
  <c r="R92" i="10" a="1"/>
  <c r="R92" i="10" s="1"/>
  <c r="O99" i="10" a="1"/>
  <c r="O99" i="10" s="1"/>
  <c r="AE99" i="10" a="1"/>
  <c r="AE99" i="10" s="1"/>
  <c r="V106" i="10" a="1"/>
  <c r="V106" i="10" s="1"/>
  <c r="E11" i="13" a="1"/>
  <c r="E11" i="13" s="1"/>
  <c r="E17" i="13" s="1"/>
  <c r="U11" i="13" a="1"/>
  <c r="U11" i="13" s="1"/>
  <c r="S12" i="13" a="1"/>
  <c r="S12" i="13" s="1"/>
  <c r="S23" i="13" s="1"/>
  <c r="Q30" i="13" a="1"/>
  <c r="Q30" i="13" s="1"/>
  <c r="J31" i="13" a="1"/>
  <c r="J31" i="13" s="1"/>
  <c r="J41" i="13" s="1"/>
  <c r="Z31" i="13" a="1"/>
  <c r="Z31" i="13" s="1"/>
  <c r="Z41" i="13" s="1"/>
  <c r="T17" i="11" a="1"/>
  <c r="T17" i="11" s="1"/>
  <c r="V24" i="11" a="1"/>
  <c r="V24" i="11" s="1"/>
  <c r="W41" i="11" a="1"/>
  <c r="W41" i="11" s="1"/>
  <c r="X57" i="11" a="1"/>
  <c r="X57" i="11" s="1"/>
  <c r="Z74" i="11" a="1"/>
  <c r="Z74" i="11" s="1"/>
  <c r="L83" i="11" a="1"/>
  <c r="L83" i="11" s="1"/>
  <c r="AB83" i="11" a="1"/>
  <c r="AB83" i="11" s="1"/>
  <c r="P97" i="11" a="1"/>
  <c r="P97" i="11" s="1"/>
  <c r="S103" i="11" a="1"/>
  <c r="S103" i="11" s="1"/>
  <c r="R111" i="11" a="1"/>
  <c r="R111" i="11" s="1"/>
  <c r="P121" i="11" a="1"/>
  <c r="P121" i="11" s="1"/>
  <c r="AF99" i="10" a="1"/>
  <c r="AF99" i="10" s="1"/>
  <c r="Z11" i="13" a="1"/>
  <c r="Z11" i="13" s="1"/>
  <c r="Z17" i="13" s="1"/>
  <c r="AG56" i="10" a="1"/>
  <c r="AG56" i="10" s="1"/>
  <c r="S95" i="8" a="1"/>
  <c r="S95" i="8" s="1"/>
  <c r="T101" i="8" a="1"/>
  <c r="T101" i="8" s="1"/>
  <c r="T102" i="8" s="1"/>
  <c r="T103" i="8" s="1"/>
  <c r="U104" i="8" a="1"/>
  <c r="U104" i="8" s="1"/>
  <c r="W17" i="10" a="1"/>
  <c r="W17" i="10" s="1"/>
  <c r="V21" i="10" a="1"/>
  <c r="V21" i="10" s="1"/>
  <c r="AC29" i="10" a="1"/>
  <c r="AC29" i="10" s="1"/>
  <c r="AB43" i="10" a="1"/>
  <c r="AB43" i="10" s="1"/>
  <c r="AA56" i="10" a="1"/>
  <c r="AA56" i="10" s="1"/>
  <c r="U67" i="10" a="1"/>
  <c r="U67" i="10" s="1"/>
  <c r="U76" i="10" a="1"/>
  <c r="U76" i="10" s="1"/>
  <c r="T79" i="10" a="1"/>
  <c r="T79" i="10" s="1"/>
  <c r="T89" i="10" a="1"/>
  <c r="T89" i="10" s="1"/>
  <c r="S92" i="10" a="1"/>
  <c r="S92" i="10" s="1"/>
  <c r="P99" i="10" a="1"/>
  <c r="P99" i="10" s="1"/>
  <c r="W106" i="10" a="1"/>
  <c r="W106" i="10" s="1"/>
  <c r="F11" i="13" a="1"/>
  <c r="F11" i="13" s="1"/>
  <c r="F17" i="13" s="1"/>
  <c r="V11" i="13" a="1"/>
  <c r="V11" i="13" s="1"/>
  <c r="V22" i="13" s="1"/>
  <c r="T12" i="13" a="1"/>
  <c r="T12" i="13" s="1"/>
  <c r="T18" i="13" s="1"/>
  <c r="R30" i="13" a="1"/>
  <c r="R30" i="13" s="1"/>
  <c r="R32" i="13" s="1"/>
  <c r="R33" i="13" s="1"/>
  <c r="K31" i="13" a="1"/>
  <c r="K31" i="13" s="1"/>
  <c r="K37" i="13" s="1"/>
  <c r="AA31" i="13" a="1"/>
  <c r="AA31" i="13" s="1"/>
  <c r="AA32" i="13" s="1"/>
  <c r="AA33" i="13" s="1"/>
  <c r="U17" i="11" a="1"/>
  <c r="U17" i="11" s="1"/>
  <c r="W24" i="11" a="1"/>
  <c r="W24" i="11" s="1"/>
  <c r="X41" i="11" a="1"/>
  <c r="X41" i="11" s="1"/>
  <c r="Y57" i="11" a="1"/>
  <c r="Y57" i="11" s="1"/>
  <c r="AA74" i="11" a="1"/>
  <c r="AA74" i="11" s="1"/>
  <c r="M83" i="11" a="1"/>
  <c r="M83" i="11" s="1"/>
  <c r="O89" i="11" a="1"/>
  <c r="O89" i="11" s="1"/>
  <c r="Q97" i="11" a="1"/>
  <c r="Q97" i="11" s="1"/>
  <c r="T103" i="11" a="1"/>
  <c r="T103" i="11" s="1"/>
  <c r="S111" i="11" a="1"/>
  <c r="S111" i="11" s="1"/>
  <c r="Q121" i="11" a="1"/>
  <c r="Q121" i="11" s="1"/>
  <c r="AB65" i="13" a="1"/>
  <c r="AB65" i="13" s="1"/>
  <c r="AB71" i="13" s="1"/>
  <c r="X12" i="13" a="1"/>
  <c r="X12" i="13" s="1"/>
  <c r="X13" i="13" s="1"/>
  <c r="X14" i="13" s="1"/>
  <c r="AG106" i="10" a="1"/>
  <c r="AG106" i="10" s="1"/>
  <c r="P36" i="8" a="1"/>
  <c r="P36" i="8" s="1"/>
  <c r="AB49" i="8" a="1"/>
  <c r="AB49" i="8" s="1"/>
  <c r="H41" i="8" a="1"/>
  <c r="H41" i="8" s="1"/>
  <c r="X41" i="8" a="1"/>
  <c r="X41" i="8" s="1"/>
  <c r="P44" i="8" a="1"/>
  <c r="P44" i="8" s="1"/>
  <c r="H57" i="8" a="1"/>
  <c r="H57" i="8" s="1"/>
  <c r="X57" i="8" a="1"/>
  <c r="X57" i="8" s="1"/>
  <c r="P60" i="8" a="1"/>
  <c r="P60" i="8" s="1"/>
  <c r="V66" i="8" a="1"/>
  <c r="V66" i="8" s="1"/>
  <c r="N69" i="8" a="1"/>
  <c r="N69" i="8" s="1"/>
  <c r="AD69" i="8" a="1"/>
  <c r="AD69" i="8" s="1"/>
  <c r="T74" i="8" a="1"/>
  <c r="T74" i="8" s="1"/>
  <c r="L77" i="8" a="1"/>
  <c r="L77" i="8" s="1"/>
  <c r="AB77" i="8" a="1"/>
  <c r="AB77" i="8" s="1"/>
  <c r="L83" i="8" a="1"/>
  <c r="L83" i="8" s="1"/>
  <c r="L84" i="8" s="1"/>
  <c r="L85" i="8" s="1"/>
  <c r="AB83" i="8" a="1"/>
  <c r="AB83" i="8" s="1"/>
  <c r="AB84" i="8" s="1"/>
  <c r="AB85" i="8" s="1"/>
  <c r="T86" i="8" a="1"/>
  <c r="T86" i="8" s="1"/>
  <c r="L92" i="8" a="1"/>
  <c r="L92" i="8" s="1"/>
  <c r="L93" i="8" s="1"/>
  <c r="L94" i="8" s="1"/>
  <c r="AB92" i="8" a="1"/>
  <c r="AB92" i="8" s="1"/>
  <c r="AB93" i="8" s="1"/>
  <c r="AB94" i="8" s="1"/>
  <c r="T95" i="8" a="1"/>
  <c r="T95" i="8" s="1"/>
  <c r="U101" i="8" a="1"/>
  <c r="U101" i="8" s="1"/>
  <c r="U102" i="8" s="1"/>
  <c r="U103" i="8" s="1"/>
  <c r="V104" i="8" a="1"/>
  <c r="V104" i="8" s="1"/>
  <c r="X17" i="10" a="1"/>
  <c r="X17" i="10" s="1"/>
  <c r="W21" i="10" a="1"/>
  <c r="W21" i="10" s="1"/>
  <c r="AD29" i="10" a="1"/>
  <c r="AD29" i="10" s="1"/>
  <c r="AC43" i="10" a="1"/>
  <c r="AC43" i="10" s="1"/>
  <c r="AB56" i="10" a="1"/>
  <c r="AB56" i="10" s="1"/>
  <c r="V67" i="10" a="1"/>
  <c r="V67" i="10" s="1"/>
  <c r="V76" i="10" a="1"/>
  <c r="V76" i="10" s="1"/>
  <c r="X71" i="10" s="1"/>
  <c r="X70" i="10" s="1"/>
  <c r="X75" i="10" s="1"/>
  <c r="P65" i="8" s="1" a="1"/>
  <c r="P65" i="8" s="1"/>
  <c r="U79" i="10" a="1"/>
  <c r="U79" i="10" s="1"/>
  <c r="U89" i="10" a="1"/>
  <c r="U89" i="10" s="1"/>
  <c r="W84" i="10" s="1"/>
  <c r="W83" i="10" s="1"/>
  <c r="W88" i="10" s="1"/>
  <c r="O73" i="8" s="1" a="1"/>
  <c r="O73" i="8" s="1"/>
  <c r="T92" i="10" a="1"/>
  <c r="T92" i="10" s="1"/>
  <c r="Q99" i="10" a="1"/>
  <c r="Q99" i="10" s="1"/>
  <c r="X106" i="10" a="1"/>
  <c r="X106" i="10" s="1"/>
  <c r="G11" i="13" a="1"/>
  <c r="G11" i="13" s="1"/>
  <c r="G17" i="13" s="1"/>
  <c r="E12" i="13" a="1"/>
  <c r="E12" i="13" s="1"/>
  <c r="E18" i="13" s="1"/>
  <c r="U12" i="13" a="1"/>
  <c r="U12" i="13" s="1"/>
  <c r="U23" i="13" s="1"/>
  <c r="S30" i="13" a="1"/>
  <c r="S30" i="13" s="1"/>
  <c r="S32" i="13" s="1"/>
  <c r="S33" i="13" s="1"/>
  <c r="L31" i="13" a="1"/>
  <c r="L31" i="13" s="1"/>
  <c r="L32" i="13" s="1"/>
  <c r="L33" i="13" s="1"/>
  <c r="V17" i="11" a="1"/>
  <c r="V17" i="11" s="1"/>
  <c r="X24" i="11" a="1"/>
  <c r="X24" i="11" s="1"/>
  <c r="Y41" i="11" a="1"/>
  <c r="Y41" i="11" s="1"/>
  <c r="Z57" i="11" a="1"/>
  <c r="Z57" i="11" s="1"/>
  <c r="AB74" i="11" a="1"/>
  <c r="AB74" i="11" s="1"/>
  <c r="N83" i="11" a="1"/>
  <c r="N83" i="11" s="1"/>
  <c r="P89" i="11" a="1"/>
  <c r="P89" i="11" s="1"/>
  <c r="R97" i="11" a="1"/>
  <c r="R97" i="11" s="1"/>
  <c r="T92" i="11" s="1"/>
  <c r="T91" i="11" s="1"/>
  <c r="T96" i="11" s="1"/>
  <c r="AF106" i="10" a="1"/>
  <c r="AF106" i="10" s="1"/>
  <c r="AB12" i="13" a="1"/>
  <c r="AB12" i="13" s="1"/>
  <c r="AB23" i="13" s="1"/>
  <c r="AG99" i="10" a="1"/>
  <c r="AG99" i="10" s="1"/>
  <c r="AJ2" i="10"/>
  <c r="AJ90" i="10" s="1" a="1"/>
  <c r="AJ90" i="10" s="1"/>
  <c r="AJ91" i="10" a="1"/>
  <c r="AJ91" i="10" s="1"/>
  <c r="AJ77" i="10" a="1"/>
  <c r="AJ77" i="10" s="1"/>
  <c r="AK2" i="10"/>
  <c r="AK91" i="10" s="1" a="1"/>
  <c r="AK91" i="10" s="1"/>
  <c r="AK90" i="10" a="1"/>
  <c r="AK90" i="10" s="1"/>
  <c r="AK78" i="10" a="1"/>
  <c r="AK78" i="10" s="1"/>
  <c r="AK77" i="10" a="1"/>
  <c r="AK77" i="10" s="1"/>
  <c r="AK20" i="10" a="1"/>
  <c r="AK20" i="10" s="1"/>
  <c r="O51" i="10"/>
  <c r="O45" i="10" s="1"/>
  <c r="O55" i="10" s="1"/>
  <c r="G40" i="8" s="1" a="1"/>
  <c r="G40" i="8" s="1"/>
  <c r="AE51" i="10"/>
  <c r="AE45" i="10" s="1"/>
  <c r="AE59" i="10" s="1"/>
  <c r="AE58" i="10" s="1"/>
  <c r="AJ13" i="10"/>
  <c r="AB40" i="13"/>
  <c r="AB32" i="13"/>
  <c r="AB33" i="13" s="1"/>
  <c r="AB36" i="13"/>
  <c r="AB34" i="13"/>
  <c r="AB41" i="13"/>
  <c r="AB37" i="13"/>
  <c r="AB50" i="13"/>
  <c r="AB54" i="13"/>
  <c r="AB52" i="13"/>
  <c r="AB58" i="13"/>
  <c r="AB59" i="13"/>
  <c r="AB55" i="13"/>
  <c r="W15" i="13"/>
  <c r="W22" i="13"/>
  <c r="W13" i="13"/>
  <c r="W14" i="13" s="1"/>
  <c r="W17" i="13"/>
  <c r="Y15" i="13"/>
  <c r="Y17" i="13"/>
  <c r="Y22" i="13"/>
  <c r="Y13" i="13"/>
  <c r="Y14" i="13" s="1"/>
  <c r="AB75" i="13"/>
  <c r="AB72" i="13"/>
  <c r="X15" i="13"/>
  <c r="X17" i="13"/>
  <c r="X22" i="13"/>
  <c r="W23" i="13"/>
  <c r="W18" i="13"/>
  <c r="Y18" i="13"/>
  <c r="Z15" i="13"/>
  <c r="Z13" i="13"/>
  <c r="Z14" i="13" s="1"/>
  <c r="AB38" i="10"/>
  <c r="AB32" i="10" s="1"/>
  <c r="T31" i="8" s="1" a="1"/>
  <c r="T31" i="8" s="1"/>
  <c r="P38" i="10"/>
  <c r="P32" i="10" s="1"/>
  <c r="H31" i="8" s="1" a="1"/>
  <c r="H31" i="8" s="1"/>
  <c r="AC38" i="10"/>
  <c r="AC32" i="10" s="1"/>
  <c r="AC42" i="10" s="1"/>
  <c r="U32" i="8" s="1" a="1"/>
  <c r="U32" i="8" s="1"/>
  <c r="AF2" i="10"/>
  <c r="AG2" i="10"/>
  <c r="AD38" i="10"/>
  <c r="AD32" i="10" s="1"/>
  <c r="V31" i="8" s="1" a="1"/>
  <c r="V31" i="8" s="1"/>
  <c r="AA51" i="10"/>
  <c r="AA45" i="10" s="1"/>
  <c r="AA59" i="10" s="1"/>
  <c r="AA58" i="10" s="1"/>
  <c r="Y38" i="10"/>
  <c r="Y32" i="10" s="1"/>
  <c r="Z38" i="10"/>
  <c r="Z32" i="10" s="1"/>
  <c r="AA38" i="10"/>
  <c r="AA32" i="10" s="1"/>
  <c r="AE38" i="10"/>
  <c r="AE32" i="10" s="1"/>
  <c r="W31" i="8" s="1" a="1"/>
  <c r="W31" i="8" s="1"/>
  <c r="AB51" i="10"/>
  <c r="AB45" i="10" s="1"/>
  <c r="T39" i="8" s="1" a="1"/>
  <c r="T39" i="8" s="1"/>
  <c r="AF38" i="10"/>
  <c r="AF32" i="10" s="1"/>
  <c r="AC51" i="10"/>
  <c r="AC45" i="10" s="1"/>
  <c r="AC55" i="10" s="1"/>
  <c r="AD51" i="10"/>
  <c r="AD45" i="10" s="1"/>
  <c r="V39" i="8" s="1" a="1"/>
  <c r="V39" i="8" s="1"/>
  <c r="AF13" i="10"/>
  <c r="AF14" i="10" s="1"/>
  <c r="H37" i="13"/>
  <c r="G41" i="13"/>
  <c r="G37" i="13"/>
  <c r="Q34" i="13"/>
  <c r="Q40" i="13"/>
  <c r="Q36" i="13"/>
  <c r="AO31" i="13"/>
  <c r="V37" i="13"/>
  <c r="T34" i="13"/>
  <c r="T40" i="13"/>
  <c r="T36" i="13"/>
  <c r="M37" i="13"/>
  <c r="M41" i="13"/>
  <c r="E36" i="13"/>
  <c r="E34" i="13"/>
  <c r="E40" i="13"/>
  <c r="U36" i="13"/>
  <c r="U34" i="13"/>
  <c r="U40" i="13"/>
  <c r="AO30" i="13"/>
  <c r="O37" i="13"/>
  <c r="O41" i="13"/>
  <c r="G36" i="13"/>
  <c r="G34" i="13"/>
  <c r="G40" i="13"/>
  <c r="W36" i="13"/>
  <c r="W34" i="13"/>
  <c r="W40" i="13"/>
  <c r="P37" i="13"/>
  <c r="P41" i="13"/>
  <c r="H36" i="13"/>
  <c r="H34" i="13"/>
  <c r="H40" i="13"/>
  <c r="X36" i="13"/>
  <c r="X34" i="13"/>
  <c r="X40" i="13"/>
  <c r="Q37" i="13"/>
  <c r="Q41" i="13"/>
  <c r="I36" i="13"/>
  <c r="I34" i="13"/>
  <c r="I40" i="13"/>
  <c r="Y36" i="13"/>
  <c r="Y34" i="13"/>
  <c r="Y40" i="13"/>
  <c r="R37" i="13"/>
  <c r="R41" i="13"/>
  <c r="J36" i="13"/>
  <c r="J34" i="13"/>
  <c r="J40" i="13"/>
  <c r="Z36" i="13"/>
  <c r="Z34" i="13"/>
  <c r="Z40" i="13"/>
  <c r="S41" i="13"/>
  <c r="K36" i="13"/>
  <c r="K34" i="13"/>
  <c r="AA36" i="13"/>
  <c r="AA40" i="13"/>
  <c r="T37" i="13"/>
  <c r="T41" i="13"/>
  <c r="L36" i="13"/>
  <c r="L34" i="13"/>
  <c r="L40" i="13"/>
  <c r="E41" i="13"/>
  <c r="U41" i="13"/>
  <c r="U37" i="13"/>
  <c r="N23" i="13"/>
  <c r="V23" i="13"/>
  <c r="G23" i="13"/>
  <c r="H23" i="13"/>
  <c r="I23" i="13"/>
  <c r="J23" i="13"/>
  <c r="K23" i="13"/>
  <c r="L23" i="13"/>
  <c r="F23" i="13"/>
  <c r="P22" i="13"/>
  <c r="P15" i="13"/>
  <c r="J15" i="13"/>
  <c r="J22" i="13"/>
  <c r="K15" i="13"/>
  <c r="K22" i="13"/>
  <c r="I15" i="13"/>
  <c r="I22" i="13"/>
  <c r="L15" i="13"/>
  <c r="L22" i="13"/>
  <c r="M22" i="13"/>
  <c r="M15" i="13"/>
  <c r="N22" i="13"/>
  <c r="N15" i="13"/>
  <c r="H15" i="13"/>
  <c r="H22" i="13"/>
  <c r="O15" i="13"/>
  <c r="Q17" i="13"/>
  <c r="P18" i="13"/>
  <c r="P17" i="13"/>
  <c r="G18" i="13"/>
  <c r="V18" i="13"/>
  <c r="H18" i="13"/>
  <c r="L17" i="13"/>
  <c r="M17" i="13"/>
  <c r="K18" i="13"/>
  <c r="N18" i="13"/>
  <c r="H17" i="13"/>
  <c r="J17" i="13"/>
  <c r="I18" i="13"/>
  <c r="N17" i="13"/>
  <c r="L18" i="13"/>
  <c r="F18" i="13"/>
  <c r="I17" i="13"/>
  <c r="K17" i="13"/>
  <c r="J18" i="13"/>
  <c r="M18" i="13"/>
  <c r="J13" i="13"/>
  <c r="J14" i="13" s="1"/>
  <c r="I13" i="13"/>
  <c r="I14" i="13" s="1"/>
  <c r="L13" i="13"/>
  <c r="L14" i="13" s="1"/>
  <c r="H13" i="13"/>
  <c r="H14" i="13" s="1"/>
  <c r="K13" i="13"/>
  <c r="K14" i="13" s="1"/>
  <c r="N13" i="13"/>
  <c r="N14" i="13" s="1"/>
  <c r="O38" i="10"/>
  <c r="O32" i="10" s="1"/>
  <c r="G31" i="8" s="1" a="1"/>
  <c r="G31" i="8" s="1"/>
  <c r="AA121" i="11" a="1"/>
  <c r="AA121" i="11" s="1"/>
  <c r="AB121" i="11" a="1"/>
  <c r="AB121" i="11" s="1"/>
  <c r="S78" i="11"/>
  <c r="S77" i="11" s="1"/>
  <c r="S82" i="11" s="1"/>
  <c r="U78" i="11"/>
  <c r="U77" i="11" s="1"/>
  <c r="U82" i="11" s="1"/>
  <c r="T32" i="13"/>
  <c r="T33" i="13" s="1"/>
  <c r="Q78" i="11"/>
  <c r="Q77" i="11" s="1"/>
  <c r="Q82" i="11" s="1"/>
  <c r="U92" i="11"/>
  <c r="U91" i="11" s="1"/>
  <c r="U96" i="11" s="1"/>
  <c r="N82" i="13" a="1"/>
  <c r="N82" i="13" s="1"/>
  <c r="W81" i="13" a="1"/>
  <c r="W81" i="13" s="1"/>
  <c r="G81" i="13" a="1"/>
  <c r="G81" i="13" s="1"/>
  <c r="O65" i="13" a="1"/>
  <c r="O65" i="13" s="1"/>
  <c r="O74" i="13" s="1"/>
  <c r="W66" i="13" a="1"/>
  <c r="W66" i="13" s="1"/>
  <c r="W75" i="13" s="1"/>
  <c r="G66" i="13" a="1"/>
  <c r="G66" i="13" s="1"/>
  <c r="G75" i="13" s="1"/>
  <c r="M82" i="13" a="1"/>
  <c r="M82" i="13" s="1"/>
  <c r="V81" i="13" a="1"/>
  <c r="V81" i="13" s="1"/>
  <c r="F81" i="13" a="1"/>
  <c r="F81" i="13" s="1"/>
  <c r="N65" i="13" a="1"/>
  <c r="N65" i="13" s="1"/>
  <c r="N74" i="13" s="1"/>
  <c r="V66" i="13" a="1"/>
  <c r="V66" i="13" s="1"/>
  <c r="F66" i="13" a="1"/>
  <c r="F66" i="13" s="1"/>
  <c r="F75" i="13" s="1"/>
  <c r="Z82" i="13" a="1"/>
  <c r="Z82" i="13" s="1"/>
  <c r="J82" i="13" a="1"/>
  <c r="J82" i="13" s="1"/>
  <c r="AA65" i="13" a="1"/>
  <c r="AA65" i="13" s="1"/>
  <c r="AA74" i="13" s="1"/>
  <c r="S66" i="13" a="1"/>
  <c r="S66" i="13" s="1"/>
  <c r="S75" i="13" s="1"/>
  <c r="Q66" i="13" a="1"/>
  <c r="Q66" i="13" s="1"/>
  <c r="Q75" i="13" s="1"/>
  <c r="P81" i="13" a="1"/>
  <c r="P81" i="13" s="1"/>
  <c r="H65" i="13" a="1"/>
  <c r="H65" i="13" s="1"/>
  <c r="H74" i="13" s="1"/>
  <c r="G82" i="13" a="1"/>
  <c r="G82" i="13" s="1"/>
  <c r="W65" i="13" a="1"/>
  <c r="W65" i="13" s="1"/>
  <c r="W74" i="13" s="1"/>
  <c r="U82" i="13" a="1"/>
  <c r="U82" i="13" s="1"/>
  <c r="N81" i="13" a="1"/>
  <c r="N81" i="13" s="1"/>
  <c r="N66" i="13" a="1"/>
  <c r="N66" i="13" s="1"/>
  <c r="N75" i="13" s="1"/>
  <c r="E82" i="13" a="1"/>
  <c r="E82" i="13" s="1"/>
  <c r="E65" i="13" a="1"/>
  <c r="E65" i="13" s="1"/>
  <c r="E74" i="13" s="1"/>
  <c r="S82" i="13" a="1"/>
  <c r="S82" i="13" s="1"/>
  <c r="L66" i="13" a="1"/>
  <c r="L66" i="13" s="1"/>
  <c r="L75" i="13" s="1"/>
  <c r="S65" i="13" a="1"/>
  <c r="S65" i="13" s="1"/>
  <c r="S74" i="13" s="1"/>
  <c r="Q82" i="13" a="1"/>
  <c r="Q82" i="13" s="1"/>
  <c r="Z66" i="13" a="1"/>
  <c r="Z66" i="13" s="1"/>
  <c r="Z75" i="13" s="1"/>
  <c r="Y81" i="13" a="1"/>
  <c r="Y81" i="13" s="1"/>
  <c r="I66" i="13" a="1"/>
  <c r="I66" i="13" s="1"/>
  <c r="I75" i="13" s="1"/>
  <c r="H81" i="13" a="1"/>
  <c r="H81" i="13" s="1"/>
  <c r="T65" i="13" a="1"/>
  <c r="T65" i="13" s="1"/>
  <c r="T74" i="13" s="1"/>
  <c r="AA81" i="13" a="1"/>
  <c r="AA81" i="13" s="1"/>
  <c r="AA66" i="13" a="1"/>
  <c r="AA66" i="13" s="1"/>
  <c r="AA75" i="13" s="1"/>
  <c r="J81" i="13" a="1"/>
  <c r="J81" i="13" s="1"/>
  <c r="P82" i="13" a="1"/>
  <c r="P82" i="13" s="1"/>
  <c r="Q65" i="13" a="1"/>
  <c r="Q65" i="13" s="1"/>
  <c r="Q74" i="13" s="1"/>
  <c r="X81" i="13" a="1"/>
  <c r="X81" i="13" s="1"/>
  <c r="X66" i="13" a="1"/>
  <c r="X66" i="13" s="1"/>
  <c r="X75" i="13" s="1"/>
  <c r="L82" i="13" a="1"/>
  <c r="L82" i="13" s="1"/>
  <c r="U81" i="13" a="1"/>
  <c r="U81" i="13" s="1"/>
  <c r="E81" i="13" a="1"/>
  <c r="E81" i="13" s="1"/>
  <c r="M65" i="13" a="1"/>
  <c r="M65" i="13" s="1"/>
  <c r="M74" i="13" s="1"/>
  <c r="U66" i="13" a="1"/>
  <c r="U66" i="13" s="1"/>
  <c r="U75" i="13" s="1"/>
  <c r="E66" i="13" a="1"/>
  <c r="E66" i="13" s="1"/>
  <c r="E75" i="13" s="1"/>
  <c r="AA82" i="13" a="1"/>
  <c r="AA82" i="13" s="1"/>
  <c r="K82" i="13" a="1"/>
  <c r="K82" i="13" s="1"/>
  <c r="T81" i="13" a="1"/>
  <c r="T81" i="13" s="1"/>
  <c r="L65" i="13" a="1"/>
  <c r="L65" i="13" s="1"/>
  <c r="L74" i="13" s="1"/>
  <c r="T66" i="13" a="1"/>
  <c r="T66" i="13" s="1"/>
  <c r="T75" i="13" s="1"/>
  <c r="S81" i="13" a="1"/>
  <c r="S81" i="13" s="1"/>
  <c r="K65" i="13" a="1"/>
  <c r="K65" i="13" s="1"/>
  <c r="K74" i="13" s="1"/>
  <c r="Y65" i="13" a="1"/>
  <c r="Y65" i="13" s="1"/>
  <c r="Y74" i="13" s="1"/>
  <c r="I65" i="13" a="1"/>
  <c r="I65" i="13" s="1"/>
  <c r="I74" i="13" s="1"/>
  <c r="H82" i="13" a="1"/>
  <c r="H82" i="13" s="1"/>
  <c r="X65" i="13" a="1"/>
  <c r="X65" i="13" s="1"/>
  <c r="X74" i="13" s="1"/>
  <c r="V82" i="13" a="1"/>
  <c r="V82" i="13" s="1"/>
  <c r="O81" i="13" a="1"/>
  <c r="O81" i="13" s="1"/>
  <c r="O66" i="13" a="1"/>
  <c r="O66" i="13" s="1"/>
  <c r="O75" i="13" s="1"/>
  <c r="F82" i="13" a="1"/>
  <c r="F82" i="13" s="1"/>
  <c r="F65" i="13" a="1"/>
  <c r="F65" i="13" s="1"/>
  <c r="F74" i="13" s="1"/>
  <c r="T82" i="13" a="1"/>
  <c r="T82" i="13" s="1"/>
  <c r="U65" i="13" a="1"/>
  <c r="U65" i="13" s="1"/>
  <c r="U74" i="13" s="1"/>
  <c r="M66" i="13" a="1"/>
  <c r="M66" i="13" s="1"/>
  <c r="M75" i="13" s="1"/>
  <c r="L81" i="13" a="1"/>
  <c r="L81" i="13" s="1"/>
  <c r="K81" i="13" a="1"/>
  <c r="K81" i="13" s="1"/>
  <c r="K66" i="13" a="1"/>
  <c r="K66" i="13" s="1"/>
  <c r="K75" i="13" s="1"/>
  <c r="R65" i="13" a="1"/>
  <c r="R65" i="13" s="1"/>
  <c r="R74" i="13" s="1"/>
  <c r="J66" i="13" a="1"/>
  <c r="J66" i="13" s="1"/>
  <c r="J75" i="13" s="1"/>
  <c r="I81" i="13" a="1"/>
  <c r="I81" i="13" s="1"/>
  <c r="O82" i="13" a="1"/>
  <c r="O82" i="13" s="1"/>
  <c r="P65" i="13" a="1"/>
  <c r="P65" i="13" s="1"/>
  <c r="P74" i="13" s="1"/>
  <c r="Y82" i="13" a="1"/>
  <c r="Y82" i="13" s="1"/>
  <c r="I82" i="13" a="1"/>
  <c r="I82" i="13" s="1"/>
  <c r="R81" i="13" a="1"/>
  <c r="R81" i="13" s="1"/>
  <c r="Z65" i="13" a="1"/>
  <c r="Z65" i="13" s="1"/>
  <c r="Z74" i="13" s="1"/>
  <c r="J65" i="13" a="1"/>
  <c r="J65" i="13" s="1"/>
  <c r="J74" i="13" s="1"/>
  <c r="R66" i="13" a="1"/>
  <c r="R66" i="13" s="1"/>
  <c r="R75" i="13" s="1"/>
  <c r="X82" i="13" a="1"/>
  <c r="X82" i="13" s="1"/>
  <c r="Q81" i="13" a="1"/>
  <c r="Q81" i="13" s="1"/>
  <c r="W82" i="13" a="1"/>
  <c r="W82" i="13" s="1"/>
  <c r="P66" i="13" a="1"/>
  <c r="P66" i="13" s="1"/>
  <c r="P75" i="13" s="1"/>
  <c r="G65" i="13" a="1"/>
  <c r="G65" i="13" s="1"/>
  <c r="G74" i="13" s="1"/>
  <c r="V65" i="13" a="1"/>
  <c r="V65" i="13" s="1"/>
  <c r="M81" i="13" a="1"/>
  <c r="M81" i="13" s="1"/>
  <c r="R82" i="13" a="1"/>
  <c r="R82" i="13" s="1"/>
  <c r="Z81" i="13" a="1"/>
  <c r="Z81" i="13" s="1"/>
  <c r="Y66" i="13" a="1"/>
  <c r="Y66" i="13" s="1"/>
  <c r="Y75" i="13" s="1"/>
  <c r="H66" i="13" a="1"/>
  <c r="H66" i="13" s="1"/>
  <c r="H75" i="13" s="1"/>
  <c r="Z49" i="13" a="1"/>
  <c r="Z49" i="13" s="1"/>
  <c r="J49" i="13" a="1"/>
  <c r="J49" i="13" s="1"/>
  <c r="R48" i="13" a="1"/>
  <c r="R48" i="13" s="1"/>
  <c r="I48" i="13" a="1"/>
  <c r="I48" i="13" s="1"/>
  <c r="Y49" i="13" a="1"/>
  <c r="Y49" i="13" s="1"/>
  <c r="I49" i="13" a="1"/>
  <c r="I49" i="13" s="1"/>
  <c r="Q48" i="13" a="1"/>
  <c r="Q48" i="13" s="1"/>
  <c r="O48" i="13" a="1"/>
  <c r="O48" i="13" s="1"/>
  <c r="K48" i="13" a="1"/>
  <c r="K48" i="13" s="1"/>
  <c r="J48" i="13" a="1"/>
  <c r="J48" i="13" s="1"/>
  <c r="N49" i="13" a="1"/>
  <c r="N49" i="13" s="1"/>
  <c r="S48" i="13" a="1"/>
  <c r="S48" i="13" s="1"/>
  <c r="X49" i="13" a="1"/>
  <c r="X49" i="13" s="1"/>
  <c r="H49" i="13" a="1"/>
  <c r="H49" i="13" s="1"/>
  <c r="P48" i="13" a="1"/>
  <c r="P48" i="13" s="1"/>
  <c r="E49" i="13" a="1"/>
  <c r="E49" i="13" s="1"/>
  <c r="L48" i="13" a="1"/>
  <c r="L48" i="13" s="1"/>
  <c r="R49" i="13" a="1"/>
  <c r="R49" i="13" s="1"/>
  <c r="Q49" i="13" a="1"/>
  <c r="Q49" i="13" s="1"/>
  <c r="V48" i="13" a="1"/>
  <c r="V48" i="13" s="1"/>
  <c r="E48" i="13" a="1"/>
  <c r="E48" i="13" s="1"/>
  <c r="K49" i="13" a="1"/>
  <c r="K49" i="13" s="1"/>
  <c r="W49" i="13" a="1"/>
  <c r="W49" i="13" s="1"/>
  <c r="G49" i="13" a="1"/>
  <c r="G49" i="13" s="1"/>
  <c r="AA48" i="13" a="1"/>
  <c r="AA48" i="13" s="1"/>
  <c r="U48" i="13" a="1"/>
  <c r="U48" i="13" s="1"/>
  <c r="V49" i="13" a="1"/>
  <c r="V49" i="13" s="1"/>
  <c r="F49" i="13" a="1"/>
  <c r="F49" i="13" s="1"/>
  <c r="N48" i="13" a="1"/>
  <c r="N48" i="13" s="1"/>
  <c r="M48" i="13" a="1"/>
  <c r="M48" i="13" s="1"/>
  <c r="S49" i="13" a="1"/>
  <c r="S49" i="13" s="1"/>
  <c r="Z48" i="13" a="1"/>
  <c r="Z48" i="13" s="1"/>
  <c r="Y48" i="13" a="1"/>
  <c r="Y48" i="13" s="1"/>
  <c r="M49" i="13" a="1"/>
  <c r="M49" i="13" s="1"/>
  <c r="L49" i="13" a="1"/>
  <c r="L49" i="13" s="1"/>
  <c r="U49" i="13" a="1"/>
  <c r="U49" i="13" s="1"/>
  <c r="T49" i="13" a="1"/>
  <c r="T49" i="13" s="1"/>
  <c r="F48" i="13" a="1"/>
  <c r="F48" i="13" s="1"/>
  <c r="P49" i="13" a="1"/>
  <c r="P49" i="13" s="1"/>
  <c r="X48" i="13" a="1"/>
  <c r="X48" i="13" s="1"/>
  <c r="H48" i="13" a="1"/>
  <c r="H48" i="13" s="1"/>
  <c r="AA49" i="13" a="1"/>
  <c r="AA49" i="13" s="1"/>
  <c r="O49" i="13" a="1"/>
  <c r="O49" i="13" s="1"/>
  <c r="W48" i="13" a="1"/>
  <c r="W48" i="13" s="1"/>
  <c r="G48" i="13" a="1"/>
  <c r="G48" i="13" s="1"/>
  <c r="T48" i="13" a="1"/>
  <c r="T48" i="13" s="1"/>
  <c r="AC121" i="11" a="1"/>
  <c r="AC121" i="11" s="1"/>
  <c r="W111" i="11" a="1"/>
  <c r="W111" i="11" s="1"/>
  <c r="S121" i="11" a="1"/>
  <c r="S121" i="11" s="1"/>
  <c r="O71" i="10"/>
  <c r="O70" i="10" s="1"/>
  <c r="O75" i="10" s="1"/>
  <c r="G65" i="8" s="1" a="1"/>
  <c r="G65" i="8" s="1"/>
  <c r="AE71" i="10"/>
  <c r="AE73" i="10" s="1"/>
  <c r="X130" i="11" a="1"/>
  <c r="X130" i="11" s="1"/>
  <c r="R13" i="10"/>
  <c r="R14" i="10" s="1"/>
  <c r="W102" i="8"/>
  <c r="W103" i="8" s="1"/>
  <c r="X78" i="11"/>
  <c r="X77" i="11" s="1"/>
  <c r="X82" i="11" s="1"/>
  <c r="V92" i="11"/>
  <c r="V91" i="11" s="1"/>
  <c r="V96" i="11" s="1"/>
  <c r="W92" i="11"/>
  <c r="W91" i="11" s="1"/>
  <c r="W96" i="11" s="1"/>
  <c r="R13" i="11"/>
  <c r="R14" i="11" s="1"/>
  <c r="Z92" i="11"/>
  <c r="Z91" i="11" s="1"/>
  <c r="Z96" i="11" s="1"/>
  <c r="AA92" i="11"/>
  <c r="AA94" i="11" s="1"/>
  <c r="U13" i="11"/>
  <c r="U14" i="11" s="1"/>
  <c r="P78" i="11"/>
  <c r="P77" i="11" s="1"/>
  <c r="P82" i="11" s="1"/>
  <c r="AB92" i="11"/>
  <c r="AB94" i="11" s="1"/>
  <c r="O13" i="10"/>
  <c r="O14" i="10" s="1"/>
  <c r="AE13" i="10"/>
  <c r="AE14" i="10" s="1"/>
  <c r="Z71" i="10"/>
  <c r="Z70" i="10" s="1"/>
  <c r="Z75" i="10" s="1"/>
  <c r="R65" i="8" s="1" a="1"/>
  <c r="R65" i="8" s="1"/>
  <c r="Y84" i="10"/>
  <c r="Y83" i="10" s="1"/>
  <c r="Q72" i="8" s="1" a="1"/>
  <c r="Q72" i="8" s="1"/>
  <c r="R78" i="11"/>
  <c r="R77" i="11" s="1"/>
  <c r="R82" i="11" s="1"/>
  <c r="P70" i="10"/>
  <c r="P75" i="10" s="1"/>
  <c r="H65" i="8" s="1" a="1"/>
  <c r="H65" i="8" s="1"/>
  <c r="O84" i="10"/>
  <c r="O83" i="10" s="1"/>
  <c r="O88" i="10" s="1"/>
  <c r="G73" i="8" s="1" a="1"/>
  <c r="G73" i="8" s="1"/>
  <c r="AE84" i="10"/>
  <c r="AE86" i="10" s="1"/>
  <c r="AD13" i="10"/>
  <c r="AD14" i="10" s="1"/>
  <c r="X32" i="13"/>
  <c r="X33" i="13" s="1"/>
  <c r="P47" i="10"/>
  <c r="P51" i="10" s="1"/>
  <c r="P45" i="10" s="1"/>
  <c r="AF47" i="10"/>
  <c r="AF51" i="10" s="1"/>
  <c r="AF45" i="10" s="1"/>
  <c r="Q47" i="10"/>
  <c r="Q51" i="10" s="1"/>
  <c r="AG47" i="10"/>
  <c r="AG51" i="10" s="1"/>
  <c r="AG45" i="10" s="1"/>
  <c r="Y51" i="10"/>
  <c r="Y45" i="10" s="1"/>
  <c r="Q34" i="10"/>
  <c r="Q38" i="10" s="1"/>
  <c r="Q32" i="10" s="1"/>
  <c r="AG34" i="10"/>
  <c r="Z51" i="10"/>
  <c r="Z45" i="10" s="1"/>
  <c r="X51" i="10"/>
  <c r="X45" i="10" s="1"/>
  <c r="R34" i="10"/>
  <c r="R38" i="10" s="1"/>
  <c r="AH34" i="10"/>
  <c r="AH38" i="10" s="1"/>
  <c r="AH32" i="10" s="1"/>
  <c r="R47" i="10"/>
  <c r="R51" i="10" s="1"/>
  <c r="AH47" i="10"/>
  <c r="AH51" i="10" s="1"/>
  <c r="AH45" i="10" s="1"/>
  <c r="S34" i="10"/>
  <c r="AI34" i="10"/>
  <c r="W34" i="10"/>
  <c r="W38" i="10" s="1"/>
  <c r="V47" i="10"/>
  <c r="AL47" i="10"/>
  <c r="AL51" i="10" s="1"/>
  <c r="X34" i="10"/>
  <c r="W47" i="10"/>
  <c r="W51" i="10" s="1"/>
  <c r="AA84" i="10"/>
  <c r="AA86" i="10" s="1"/>
  <c r="X93" i="8"/>
  <c r="X94" i="8" s="1"/>
  <c r="T34" i="10"/>
  <c r="AJ34" i="10"/>
  <c r="S47" i="10"/>
  <c r="S51" i="10" s="1"/>
  <c r="AI47" i="10"/>
  <c r="S71" i="10"/>
  <c r="S70" i="10" s="1"/>
  <c r="S75" i="10" s="1"/>
  <c r="K65" i="8" s="1" a="1"/>
  <c r="K65" i="8" s="1"/>
  <c r="Y84" i="8"/>
  <c r="Y85" i="8" s="1"/>
  <c r="U34" i="10"/>
  <c r="U38" i="10" s="1"/>
  <c r="U32" i="10" s="1"/>
  <c r="AK34" i="10"/>
  <c r="AK38" i="10" s="1"/>
  <c r="AK32" i="10" s="1"/>
  <c r="T47" i="10"/>
  <c r="T51" i="10" s="1"/>
  <c r="AJ47" i="10"/>
  <c r="Z25" i="8"/>
  <c r="Z26" i="8" s="1"/>
  <c r="V34" i="10"/>
  <c r="V38" i="10" s="1"/>
  <c r="V32" i="10" s="1"/>
  <c r="AL34" i="10"/>
  <c r="U47" i="10"/>
  <c r="U51" i="10" s="1"/>
  <c r="AK47" i="10"/>
  <c r="Y71" i="10"/>
  <c r="Y70" i="10" s="1"/>
  <c r="X84" i="10"/>
  <c r="X83" i="10" s="1"/>
  <c r="AA71" i="10"/>
  <c r="AA73" i="10" s="1"/>
  <c r="Z84" i="10"/>
  <c r="Z83" i="10" s="1"/>
  <c r="AB13" i="10"/>
  <c r="AB14" i="10" s="1"/>
  <c r="AB84" i="10"/>
  <c r="AB86" i="10" s="1"/>
  <c r="AD71" i="10"/>
  <c r="AD73" i="10" s="1"/>
  <c r="P13" i="10"/>
  <c r="P14" i="10" s="1"/>
  <c r="P84" i="10"/>
  <c r="P83" i="10" s="1"/>
  <c r="Q13" i="10"/>
  <c r="Q14" i="10" s="1"/>
  <c r="R71" i="10"/>
  <c r="R70" i="10" s="1"/>
  <c r="AC25" i="8"/>
  <c r="AC26" i="8" s="1"/>
  <c r="Y102" i="8"/>
  <c r="Y103" i="8" s="1"/>
  <c r="V102" i="8"/>
  <c r="V103" i="8" s="1"/>
  <c r="AD102" i="8"/>
  <c r="AD103" i="8" s="1"/>
  <c r="Y25" i="8"/>
  <c r="Y26" i="8" s="1"/>
  <c r="AA25" i="8"/>
  <c r="AA26" i="8" s="1"/>
  <c r="Z84" i="8"/>
  <c r="Z85" i="8" s="1"/>
  <c r="G32" i="13"/>
  <c r="G33" i="13" s="1"/>
  <c r="M32" i="13"/>
  <c r="M33" i="13" s="1"/>
  <c r="N32" i="13"/>
  <c r="N33" i="13" s="1"/>
  <c r="O32" i="13"/>
  <c r="O33" i="13" s="1"/>
  <c r="Q32" i="13"/>
  <c r="Q33" i="13" s="1"/>
  <c r="E32" i="13"/>
  <c r="E33" i="13" s="1"/>
  <c r="F32" i="13"/>
  <c r="F33" i="13" s="1"/>
  <c r="U32" i="13"/>
  <c r="U33" i="13" s="1"/>
  <c r="H84" i="8"/>
  <c r="H85" i="8" s="1"/>
  <c r="Q93" i="8"/>
  <c r="Q94" i="8" s="1"/>
  <c r="I84" i="8"/>
  <c r="I85" i="8" s="1"/>
  <c r="R84" i="8"/>
  <c r="R85" i="8" s="1"/>
  <c r="J84" i="8"/>
  <c r="J85" i="8" s="1"/>
  <c r="O84" i="8"/>
  <c r="O85" i="8" s="1"/>
  <c r="AC102" i="8"/>
  <c r="AC103" i="8" s="1"/>
  <c r="AB102" i="8"/>
  <c r="AB103" i="8" s="1"/>
  <c r="M93" i="8"/>
  <c r="M94" i="8" s="1"/>
  <c r="AD84" i="8"/>
  <c r="AD85" i="8" s="1"/>
  <c r="AA84" i="8"/>
  <c r="AA85" i="8" s="1"/>
  <c r="K84" i="8"/>
  <c r="K85" i="8" s="1"/>
  <c r="P84" i="8"/>
  <c r="P85" i="8" s="1"/>
  <c r="S25" i="8"/>
  <c r="S26" i="8" s="1"/>
  <c r="AC84" i="8"/>
  <c r="AC85" i="8" s="1"/>
  <c r="G84" i="8"/>
  <c r="G85" i="8" s="1"/>
  <c r="N93" i="8"/>
  <c r="N94" i="8" s="1"/>
  <c r="AD93" i="8"/>
  <c r="AD94" i="8" s="1"/>
  <c r="Z102" i="8"/>
  <c r="Z103" i="8" s="1"/>
  <c r="W25" i="8"/>
  <c r="W26" i="8" s="1"/>
  <c r="V84" i="8"/>
  <c r="V85" i="8" s="1"/>
  <c r="F5" i="5"/>
  <c r="F8" i="5"/>
  <c r="T25" i="8"/>
  <c r="T26" i="8" s="1"/>
  <c r="U25" i="8"/>
  <c r="U26" i="8" s="1"/>
  <c r="X84" i="8"/>
  <c r="X85" i="8" s="1"/>
  <c r="V25" i="8"/>
  <c r="V26" i="8" s="1"/>
  <c r="X25" i="8"/>
  <c r="X26" i="8" s="1"/>
  <c r="N84" i="8"/>
  <c r="N85" i="8" s="1"/>
  <c r="M84" i="8"/>
  <c r="M85" i="8" s="1"/>
  <c r="W84" i="8"/>
  <c r="W85" i="8" s="1"/>
  <c r="AC93" i="8"/>
  <c r="AC94" i="8" s="1"/>
  <c r="AB25" i="8"/>
  <c r="AB26" i="8" s="1"/>
  <c r="P102" i="8"/>
  <c r="P103" i="8" s="1"/>
  <c r="F15" i="5"/>
  <c r="F7" i="5"/>
  <c r="F20" i="5"/>
  <c r="F12" i="5"/>
  <c r="F4" i="5"/>
  <c r="P21" i="5"/>
  <c r="F19" i="5"/>
  <c r="F11" i="5"/>
  <c r="F3" i="5"/>
  <c r="F18" i="5"/>
  <c r="F10" i="5"/>
  <c r="F17" i="5"/>
  <c r="G93" i="8"/>
  <c r="G94" i="8" s="1"/>
  <c r="H93" i="8"/>
  <c r="H94" i="8" s="1"/>
  <c r="V93" i="8"/>
  <c r="V94" i="8" s="1"/>
  <c r="I93" i="8"/>
  <c r="I94" i="8" s="1"/>
  <c r="W93" i="8"/>
  <c r="W94" i="8" s="1"/>
  <c r="J93" i="8"/>
  <c r="J94" i="8" s="1"/>
  <c r="K93" i="8"/>
  <c r="K94" i="8" s="1"/>
  <c r="Y93" i="8"/>
  <c r="Y94" i="8" s="1"/>
  <c r="Z93" i="8"/>
  <c r="Z94" i="8" s="1"/>
  <c r="AA93" i="8"/>
  <c r="AA94" i="8" s="1"/>
  <c r="T84" i="10" l="1"/>
  <c r="T83" i="10" s="1"/>
  <c r="AL84" i="10"/>
  <c r="AL86" i="10" s="1"/>
  <c r="U31" i="8" a="1"/>
  <c r="U31" i="8" s="1"/>
  <c r="U34" i="8" s="1"/>
  <c r="U35" i="8" s="1"/>
  <c r="AD55" i="10"/>
  <c r="AK19" i="10" a="1"/>
  <c r="AK19" i="10" s="1"/>
  <c r="AK22" i="10" s="1"/>
  <c r="W39" i="8" a="1"/>
  <c r="W39" i="8" s="1"/>
  <c r="AC84" i="10"/>
  <c r="AC86" i="10" s="1"/>
  <c r="AD59" i="10"/>
  <c r="AD58" i="10" s="1"/>
  <c r="U39" i="8" a="1"/>
  <c r="U39" i="8" s="1"/>
  <c r="P42" i="10"/>
  <c r="H32" i="8" s="1" a="1"/>
  <c r="H32" i="8" s="1"/>
  <c r="H34" i="8" s="1"/>
  <c r="H35" i="8" s="1"/>
  <c r="AJ20" i="10" a="1"/>
  <c r="AJ20" i="10" s="1"/>
  <c r="AJ23" i="10" s="1"/>
  <c r="AJ19" i="10" a="1"/>
  <c r="AJ19" i="10" s="1"/>
  <c r="AJ22" i="10" s="1"/>
  <c r="U13" i="10"/>
  <c r="U14" i="10" s="1"/>
  <c r="W71" i="10"/>
  <c r="W70" i="10" s="1"/>
  <c r="W75" i="10" s="1"/>
  <c r="O65" i="8" s="1" a="1"/>
  <c r="O65" i="8" s="1"/>
  <c r="AJ78" i="10" a="1"/>
  <c r="AJ78" i="10" s="1"/>
  <c r="AL13" i="10"/>
  <c r="AL14" i="10" s="1"/>
  <c r="AL12" i="10" s="1"/>
  <c r="AL15" i="10" s="1"/>
  <c r="AD14" i="8" s="1" a="1"/>
  <c r="AD14" i="8" s="1"/>
  <c r="Z78" i="11"/>
  <c r="Z77" i="11" s="1"/>
  <c r="Z82" i="11" s="1"/>
  <c r="Q84" i="10"/>
  <c r="Q83" i="10" s="1"/>
  <c r="N36" i="13"/>
  <c r="W13" i="10"/>
  <c r="W14" i="10" s="1"/>
  <c r="AF84" i="10"/>
  <c r="AF86" i="10" s="1"/>
  <c r="V78" i="11"/>
  <c r="V77" i="11" s="1"/>
  <c r="V82" i="11" s="1"/>
  <c r="AG71" i="10"/>
  <c r="AG73" i="10" s="1"/>
  <c r="T78" i="11"/>
  <c r="T77" i="11" s="1"/>
  <c r="T82" i="11" s="1"/>
  <c r="AL71" i="10"/>
  <c r="AL73" i="10" s="1"/>
  <c r="AL83" i="10"/>
  <c r="AL94" i="10"/>
  <c r="AL93" i="10"/>
  <c r="S17" i="13"/>
  <c r="F22" i="13"/>
  <c r="E23" i="13"/>
  <c r="F15" i="13"/>
  <c r="N41" i="13"/>
  <c r="F13" i="13"/>
  <c r="F14" i="13" s="1"/>
  <c r="S15" i="13"/>
  <c r="O13" i="11"/>
  <c r="O14" i="11" s="1"/>
  <c r="AC13" i="10"/>
  <c r="AC14" i="10" s="1"/>
  <c r="AB91" i="13"/>
  <c r="Q18" i="13"/>
  <c r="V13" i="10"/>
  <c r="V14" i="10" s="1"/>
  <c r="AA13" i="10"/>
  <c r="AA14" i="10" s="1"/>
  <c r="Z22" i="13"/>
  <c r="AC71" i="10"/>
  <c r="AC73" i="10" s="1"/>
  <c r="U71" i="10"/>
  <c r="U70" i="10" s="1"/>
  <c r="O92" i="11"/>
  <c r="O91" i="11" s="1"/>
  <c r="O96" i="11" s="1"/>
  <c r="X13" i="10"/>
  <c r="X14" i="10" s="1"/>
  <c r="F34" i="13"/>
  <c r="F36" i="13"/>
  <c r="AA15" i="13"/>
  <c r="W13" i="11"/>
  <c r="W14" i="11" s="1"/>
  <c r="O78" i="11"/>
  <c r="O77" i="11" s="1"/>
  <c r="O82" i="11" s="1"/>
  <c r="AA37" i="13"/>
  <c r="AB87" i="13"/>
  <c r="AB90" i="13"/>
  <c r="AB83" i="13"/>
  <c r="AB84" i="13" s="1"/>
  <c r="AG84" i="10"/>
  <c r="AG86" i="10" s="1"/>
  <c r="Q13" i="11"/>
  <c r="Q14" i="11" s="1"/>
  <c r="W78" i="11"/>
  <c r="W77" i="11" s="1"/>
  <c r="W82" i="11" s="1"/>
  <c r="M34" i="13"/>
  <c r="P13" i="11"/>
  <c r="P14" i="11" s="1"/>
  <c r="O36" i="13"/>
  <c r="U13" i="13"/>
  <c r="U14" i="13" s="1"/>
  <c r="Y78" i="11"/>
  <c r="Y77" i="11" s="1"/>
  <c r="Y82" i="11" s="1"/>
  <c r="AI71" i="10"/>
  <c r="AI73" i="10" s="1"/>
  <c r="W37" i="13"/>
  <c r="AO11" i="13"/>
  <c r="W41" i="13"/>
  <c r="O18" i="13"/>
  <c r="X13" i="11"/>
  <c r="X14" i="11" s="1"/>
  <c r="Z13" i="11"/>
  <c r="Z14" i="11" s="1"/>
  <c r="S92" i="11"/>
  <c r="S91" i="11" s="1"/>
  <c r="S96" i="11" s="1"/>
  <c r="S13" i="11"/>
  <c r="S14" i="11" s="1"/>
  <c r="J32" i="13"/>
  <c r="J33" i="13" s="1"/>
  <c r="X18" i="13"/>
  <c r="V15" i="13"/>
  <c r="X23" i="13"/>
  <c r="Q13" i="13"/>
  <c r="Q14" i="13" s="1"/>
  <c r="V17" i="13"/>
  <c r="L41" i="13"/>
  <c r="AB67" i="13"/>
  <c r="AB68" i="13" s="1"/>
  <c r="AK84" i="10"/>
  <c r="AK86" i="10" s="1"/>
  <c r="AK94" i="10" s="1"/>
  <c r="Q15" i="13"/>
  <c r="AB69" i="13"/>
  <c r="AB74" i="13"/>
  <c r="AB78" i="11"/>
  <c r="AB80" i="11" s="1"/>
  <c r="S13" i="10"/>
  <c r="S14" i="10" s="1"/>
  <c r="V13" i="13"/>
  <c r="V16" i="13" s="1"/>
  <c r="T13" i="13"/>
  <c r="T14" i="13" s="1"/>
  <c r="O13" i="13"/>
  <c r="O14" i="13" s="1"/>
  <c r="AA18" i="13"/>
  <c r="V84" i="10"/>
  <c r="V83" i="10" s="1"/>
  <c r="V88" i="10" s="1"/>
  <c r="N73" i="8" s="1" a="1"/>
  <c r="N73" i="8" s="1"/>
  <c r="AA41" i="13"/>
  <c r="T15" i="13"/>
  <c r="T23" i="13"/>
  <c r="K41" i="13"/>
  <c r="H32" i="13"/>
  <c r="H33" i="13" s="1"/>
  <c r="S18" i="13"/>
  <c r="R18" i="13"/>
  <c r="T22" i="13"/>
  <c r="R36" i="13"/>
  <c r="AO12" i="13"/>
  <c r="AO14" i="13" s="1"/>
  <c r="AF71" i="10"/>
  <c r="AF73" i="10" s="1"/>
  <c r="U84" i="10"/>
  <c r="U83" i="10" s="1"/>
  <c r="M72" i="8" s="1" a="1"/>
  <c r="M72" i="8" s="1"/>
  <c r="Z37" i="13"/>
  <c r="R92" i="11"/>
  <c r="R91" i="11" s="1"/>
  <c r="R96" i="11" s="1"/>
  <c r="V71" i="10"/>
  <c r="V70" i="10" s="1"/>
  <c r="N64" i="8" s="1" a="1"/>
  <c r="N64" i="8" s="1"/>
  <c r="Z32" i="13"/>
  <c r="Z33" i="13" s="1"/>
  <c r="P32" i="13"/>
  <c r="P33" i="13" s="1"/>
  <c r="AA78" i="11"/>
  <c r="AA80" i="11" s="1"/>
  <c r="R17" i="13"/>
  <c r="S36" i="13"/>
  <c r="P36" i="13"/>
  <c r="P23" i="13"/>
  <c r="S40" i="13"/>
  <c r="Z18" i="13"/>
  <c r="AA13" i="11"/>
  <c r="AA14" i="11" s="1"/>
  <c r="R15" i="13"/>
  <c r="S34" i="13"/>
  <c r="AG13" i="10"/>
  <c r="AG14" i="10" s="1"/>
  <c r="Y92" i="11"/>
  <c r="Y91" i="11" s="1"/>
  <c r="Y96" i="11" s="1"/>
  <c r="AJ84" i="10"/>
  <c r="AJ86" i="10" s="1"/>
  <c r="AJ94" i="10" s="1"/>
  <c r="AK13" i="10"/>
  <c r="AK14" i="10" s="1"/>
  <c r="AK71" i="10"/>
  <c r="AK73" i="10" s="1"/>
  <c r="AK80" i="10" s="1"/>
  <c r="X37" i="13"/>
  <c r="Q92" i="11"/>
  <c r="Q91" i="11" s="1"/>
  <c r="Q96" i="11" s="1"/>
  <c r="K32" i="13"/>
  <c r="K33" i="13" s="1"/>
  <c r="P92" i="11"/>
  <c r="P91" i="11" s="1"/>
  <c r="P96" i="11" s="1"/>
  <c r="O17" i="13"/>
  <c r="M23" i="13"/>
  <c r="N40" i="13"/>
  <c r="Y13" i="10"/>
  <c r="Y14" i="10" s="1"/>
  <c r="AA17" i="13"/>
  <c r="Z13" i="10"/>
  <c r="Z14" i="10" s="1"/>
  <c r="I32" i="13"/>
  <c r="I33" i="13" s="1"/>
  <c r="F37" i="13"/>
  <c r="O40" i="13"/>
  <c r="G13" i="13"/>
  <c r="G14" i="13" s="1"/>
  <c r="U18" i="13"/>
  <c r="E22" i="13"/>
  <c r="J37" i="13"/>
  <c r="AH71" i="10"/>
  <c r="AH73" i="10" s="1"/>
  <c r="Y13" i="11"/>
  <c r="Y14" i="11" s="1"/>
  <c r="E15" i="13"/>
  <c r="L37" i="13"/>
  <c r="AB18" i="13"/>
  <c r="T13" i="11"/>
  <c r="T14" i="11" s="1"/>
  <c r="AI84" i="10"/>
  <c r="AI86" i="10" s="1"/>
  <c r="Y32" i="13"/>
  <c r="Y33" i="13" s="1"/>
  <c r="U17" i="13"/>
  <c r="AA13" i="13"/>
  <c r="AA14" i="13" s="1"/>
  <c r="R13" i="13"/>
  <c r="R14" i="13" s="1"/>
  <c r="U22" i="13"/>
  <c r="Y37" i="13"/>
  <c r="V32" i="13"/>
  <c r="V33" i="13" s="1"/>
  <c r="AD84" i="10"/>
  <c r="AD86" i="10" s="1"/>
  <c r="U15" i="13"/>
  <c r="AI13" i="10"/>
  <c r="AI14" i="10" s="1"/>
  <c r="S13" i="13"/>
  <c r="S14" i="13" s="1"/>
  <c r="G22" i="13"/>
  <c r="M36" i="13"/>
  <c r="V40" i="13"/>
  <c r="I37" i="13"/>
  <c r="R84" i="10"/>
  <c r="R83" i="10" s="1"/>
  <c r="R88" i="10" s="1"/>
  <c r="J73" i="8" s="1" a="1"/>
  <c r="J73" i="8" s="1"/>
  <c r="V13" i="11"/>
  <c r="V14" i="11" s="1"/>
  <c r="G15" i="13"/>
  <c r="V34" i="13"/>
  <c r="AH13" i="10"/>
  <c r="AH14" i="10" s="1"/>
  <c r="E13" i="13"/>
  <c r="E14" i="13" s="1"/>
  <c r="R40" i="13"/>
  <c r="P40" i="13"/>
  <c r="AJ71" i="10"/>
  <c r="AJ73" i="10" s="1"/>
  <c r="AJ80" i="10" s="1"/>
  <c r="X92" i="11"/>
  <c r="X91" i="11" s="1"/>
  <c r="X96" i="11" s="1"/>
  <c r="R34" i="13"/>
  <c r="AB13" i="13"/>
  <c r="AB14" i="13" s="1"/>
  <c r="AB17" i="13"/>
  <c r="AB15" i="13"/>
  <c r="AK23" i="10"/>
  <c r="AE55" i="10"/>
  <c r="AK83" i="10"/>
  <c r="G39" i="8" a="1"/>
  <c r="G39" i="8" s="1"/>
  <c r="G42" i="8" s="1"/>
  <c r="G43" i="8" s="1"/>
  <c r="AB42" i="10"/>
  <c r="T32" i="8" s="1" a="1"/>
  <c r="T32" i="8" s="1"/>
  <c r="T34" i="8" s="1"/>
  <c r="T35" i="8" s="1"/>
  <c r="O64" i="10"/>
  <c r="O63" i="10" s="1"/>
  <c r="AJ14" i="10"/>
  <c r="AJ12" i="10" s="1"/>
  <c r="AF91" i="10" a="1"/>
  <c r="AF91" i="10" s="1"/>
  <c r="AF19" i="10" a="1"/>
  <c r="AF19" i="10" s="1"/>
  <c r="AF22" i="10" s="1"/>
  <c r="AF20" i="10" a="1"/>
  <c r="AF20" i="10" s="1"/>
  <c r="AF23" i="10" s="1"/>
  <c r="AF78" i="10" a="1"/>
  <c r="AF78" i="10" s="1"/>
  <c r="AF77" i="10" a="1"/>
  <c r="AF77" i="10" s="1"/>
  <c r="AF90" i="10" a="1"/>
  <c r="AF90" i="10" s="1"/>
  <c r="AI78" i="10" a="1"/>
  <c r="AI78" i="10" s="1"/>
  <c r="AI91" i="10" a="1"/>
  <c r="AI91" i="10" s="1"/>
  <c r="AI77" i="10" a="1"/>
  <c r="AI77" i="10" s="1"/>
  <c r="AI80" i="10" s="1"/>
  <c r="AI90" i="10" a="1"/>
  <c r="AI90" i="10" s="1"/>
  <c r="AI20" i="10" a="1"/>
  <c r="AI20" i="10" s="1"/>
  <c r="AI19" i="10" a="1"/>
  <c r="AI19" i="10" s="1"/>
  <c r="AI22" i="10" s="1"/>
  <c r="AH90" i="10" a="1"/>
  <c r="AH90" i="10" s="1"/>
  <c r="AH93" i="10" s="1"/>
  <c r="AH78" i="10" a="1"/>
  <c r="AH78" i="10" s="1"/>
  <c r="AH77" i="10" a="1"/>
  <c r="AH77" i="10" s="1"/>
  <c r="AH91" i="10" a="1"/>
  <c r="AH91" i="10" s="1"/>
  <c r="AH94" i="10" s="1"/>
  <c r="AH20" i="10" a="1"/>
  <c r="AH20" i="10" s="1"/>
  <c r="AH19" i="10" a="1"/>
  <c r="AH19" i="10" s="1"/>
  <c r="AH22" i="10" s="1"/>
  <c r="AG78" i="10" a="1"/>
  <c r="AG78" i="10" s="1"/>
  <c r="Z16" i="13"/>
  <c r="Y16" i="13"/>
  <c r="AB51" i="13"/>
  <c r="AB53" i="13"/>
  <c r="AB35" i="13"/>
  <c r="X16" i="13"/>
  <c r="W16" i="13"/>
  <c r="AG90" i="10" a="1"/>
  <c r="AG90" i="10" s="1"/>
  <c r="AG91" i="10" a="1"/>
  <c r="AG91" i="10" s="1"/>
  <c r="S39" i="8" a="1"/>
  <c r="S39" i="8" s="1"/>
  <c r="AG19" i="10" a="1"/>
  <c r="AG19" i="10" s="1"/>
  <c r="AG22" i="10" s="1"/>
  <c r="AA55" i="10"/>
  <c r="AD42" i="10"/>
  <c r="V32" i="8" s="1" a="1"/>
  <c r="V32" i="8" s="1"/>
  <c r="V34" i="8" s="1"/>
  <c r="V35" i="8" s="1"/>
  <c r="AC59" i="10"/>
  <c r="AC58" i="10" s="1"/>
  <c r="AE42" i="10"/>
  <c r="W32" i="8" s="1" a="1"/>
  <c r="W32" i="8" s="1"/>
  <c r="W34" i="8" s="1"/>
  <c r="W35" i="8" s="1"/>
  <c r="AB59" i="10"/>
  <c r="AB58" i="10" s="1"/>
  <c r="AG20" i="10" a="1"/>
  <c r="AG20" i="10" s="1"/>
  <c r="AB55" i="10"/>
  <c r="T40" i="8" s="1" a="1"/>
  <c r="T40" i="8" s="1"/>
  <c r="T42" i="8" s="1"/>
  <c r="T43" i="8" s="1"/>
  <c r="O42" i="10"/>
  <c r="G32" i="8" s="1" a="1"/>
  <c r="G32" i="8" s="1"/>
  <c r="G34" i="8" s="1"/>
  <c r="G35" i="8" s="1"/>
  <c r="AG77" i="10" a="1"/>
  <c r="AG77" i="10" s="1"/>
  <c r="I91" i="13"/>
  <c r="I88" i="13"/>
  <c r="O87" i="13"/>
  <c r="O85" i="13"/>
  <c r="O90" i="13"/>
  <c r="E90" i="13"/>
  <c r="E87" i="13"/>
  <c r="E85" i="13"/>
  <c r="Z91" i="13"/>
  <c r="Z88" i="13"/>
  <c r="Q88" i="13"/>
  <c r="Q91" i="13"/>
  <c r="Y88" i="13"/>
  <c r="Y91" i="13"/>
  <c r="AO82" i="13"/>
  <c r="V91" i="13"/>
  <c r="V88" i="13"/>
  <c r="U90" i="13"/>
  <c r="U87" i="13"/>
  <c r="U85" i="13"/>
  <c r="L91" i="13"/>
  <c r="L88" i="13"/>
  <c r="S88" i="13"/>
  <c r="S91" i="13"/>
  <c r="V75" i="13"/>
  <c r="AO66" i="13"/>
  <c r="R90" i="13"/>
  <c r="R87" i="13"/>
  <c r="R85" i="13"/>
  <c r="J88" i="13"/>
  <c r="J91" i="13"/>
  <c r="Z87" i="13"/>
  <c r="Z85" i="13"/>
  <c r="Z90" i="13"/>
  <c r="O91" i="13"/>
  <c r="O88" i="13"/>
  <c r="H91" i="13"/>
  <c r="H88" i="13"/>
  <c r="R88" i="13"/>
  <c r="R91" i="13"/>
  <c r="I87" i="13"/>
  <c r="I85" i="13"/>
  <c r="I90" i="13"/>
  <c r="X87" i="13"/>
  <c r="X85" i="13"/>
  <c r="X90" i="13"/>
  <c r="E88" i="13"/>
  <c r="E91" i="13"/>
  <c r="F87" i="13"/>
  <c r="F90" i="13"/>
  <c r="F85" i="13"/>
  <c r="M83" i="13"/>
  <c r="M84" i="13" s="1"/>
  <c r="M87" i="13"/>
  <c r="M85" i="13"/>
  <c r="M90" i="13"/>
  <c r="AO81" i="13"/>
  <c r="V90" i="13"/>
  <c r="V87" i="13"/>
  <c r="V85" i="13"/>
  <c r="V74" i="13"/>
  <c r="AO65" i="13"/>
  <c r="P91" i="13"/>
  <c r="P88" i="13"/>
  <c r="N87" i="13"/>
  <c r="N85" i="13"/>
  <c r="N90" i="13"/>
  <c r="M91" i="13"/>
  <c r="M88" i="13"/>
  <c r="S90" i="13"/>
  <c r="S87" i="13"/>
  <c r="S85" i="13"/>
  <c r="J87" i="13"/>
  <c r="J85" i="13"/>
  <c r="J90" i="13"/>
  <c r="U88" i="13"/>
  <c r="U91" i="13"/>
  <c r="K85" i="13"/>
  <c r="K87" i="13"/>
  <c r="K90" i="13"/>
  <c r="W88" i="13"/>
  <c r="W91" i="13"/>
  <c r="L87" i="13"/>
  <c r="L85" i="13"/>
  <c r="L90" i="13"/>
  <c r="AA87" i="13"/>
  <c r="AA90" i="13"/>
  <c r="AA85" i="13"/>
  <c r="G88" i="13"/>
  <c r="G91" i="13"/>
  <c r="Q90" i="13"/>
  <c r="Q87" i="13"/>
  <c r="Q85" i="13"/>
  <c r="T90" i="13"/>
  <c r="T87" i="13"/>
  <c r="T85" i="13"/>
  <c r="G90" i="13"/>
  <c r="G87" i="13"/>
  <c r="G85" i="13"/>
  <c r="K91" i="13"/>
  <c r="K88" i="13"/>
  <c r="H85" i="13"/>
  <c r="H87" i="13"/>
  <c r="H90" i="13"/>
  <c r="P90" i="13"/>
  <c r="P87" i="13"/>
  <c r="P85" i="13"/>
  <c r="W90" i="13"/>
  <c r="W85" i="13"/>
  <c r="W87" i="13"/>
  <c r="T91" i="13"/>
  <c r="T88" i="13"/>
  <c r="AA91" i="13"/>
  <c r="AA88" i="13"/>
  <c r="N91" i="13"/>
  <c r="N88" i="13"/>
  <c r="Y85" i="13"/>
  <c r="Y87" i="13"/>
  <c r="Y90" i="13"/>
  <c r="X91" i="13"/>
  <c r="X88" i="13"/>
  <c r="F88" i="13"/>
  <c r="F91" i="13"/>
  <c r="P16" i="13"/>
  <c r="R71" i="13"/>
  <c r="R69" i="13"/>
  <c r="W58" i="13"/>
  <c r="W54" i="13"/>
  <c r="W52" i="13"/>
  <c r="N72" i="13"/>
  <c r="V71" i="13"/>
  <c r="V69" i="13"/>
  <c r="K71" i="13"/>
  <c r="K69" i="13"/>
  <c r="AA59" i="13"/>
  <c r="AA55" i="13"/>
  <c r="U58" i="13"/>
  <c r="U54" i="13"/>
  <c r="U52" i="13"/>
  <c r="J58" i="13"/>
  <c r="J54" i="13"/>
  <c r="J52" i="13"/>
  <c r="G67" i="13"/>
  <c r="G68" i="13" s="1"/>
  <c r="G71" i="13"/>
  <c r="G69" i="13"/>
  <c r="K72" i="13"/>
  <c r="G72" i="13"/>
  <c r="P72" i="13"/>
  <c r="T72" i="13"/>
  <c r="AA72" i="13"/>
  <c r="W67" i="13"/>
  <c r="W68" i="13" s="1"/>
  <c r="W71" i="13"/>
  <c r="W69" i="13"/>
  <c r="W72" i="13"/>
  <c r="T35" i="13"/>
  <c r="N59" i="13"/>
  <c r="N55" i="13"/>
  <c r="O58" i="13"/>
  <c r="O54" i="13"/>
  <c r="O52" i="13"/>
  <c r="L71" i="13"/>
  <c r="L69" i="13"/>
  <c r="O71" i="13"/>
  <c r="O69" i="13"/>
  <c r="O59" i="13"/>
  <c r="O55" i="13"/>
  <c r="T71" i="13"/>
  <c r="T69" i="13"/>
  <c r="H71" i="13"/>
  <c r="H69" i="13"/>
  <c r="Q71" i="13"/>
  <c r="Q69" i="13"/>
  <c r="W59" i="13"/>
  <c r="W55" i="13"/>
  <c r="K59" i="13"/>
  <c r="K55" i="13"/>
  <c r="K58" i="13"/>
  <c r="K54" i="13"/>
  <c r="K52" i="13"/>
  <c r="M72" i="13"/>
  <c r="U71" i="13"/>
  <c r="U69" i="13"/>
  <c r="T59" i="13"/>
  <c r="T55" i="13"/>
  <c r="E58" i="13"/>
  <c r="E54" i="13"/>
  <c r="E52" i="13"/>
  <c r="Y59" i="13"/>
  <c r="Y55" i="13"/>
  <c r="R72" i="13"/>
  <c r="I72" i="13"/>
  <c r="Q72" i="13"/>
  <c r="J16" i="13"/>
  <c r="S58" i="13"/>
  <c r="S54" i="13"/>
  <c r="S52" i="13"/>
  <c r="H58" i="13"/>
  <c r="H54" i="13"/>
  <c r="H52" i="13"/>
  <c r="Q58" i="13"/>
  <c r="Q54" i="13"/>
  <c r="Q52" i="13"/>
  <c r="F58" i="13"/>
  <c r="F54" i="13"/>
  <c r="F52" i="13"/>
  <c r="I59" i="13"/>
  <c r="I55" i="13"/>
  <c r="U59" i="13"/>
  <c r="U55" i="13"/>
  <c r="AO48" i="13"/>
  <c r="V58" i="13"/>
  <c r="V54" i="13"/>
  <c r="V52" i="13"/>
  <c r="I58" i="13"/>
  <c r="I54" i="13"/>
  <c r="I52" i="13"/>
  <c r="J71" i="13"/>
  <c r="J69" i="13"/>
  <c r="F71" i="13"/>
  <c r="F69" i="13"/>
  <c r="E72" i="13"/>
  <c r="S72" i="13"/>
  <c r="AA58" i="13"/>
  <c r="AA54" i="13"/>
  <c r="AA52" i="13"/>
  <c r="L59" i="13"/>
  <c r="L55" i="13"/>
  <c r="Q59" i="13"/>
  <c r="Q55" i="13"/>
  <c r="R58" i="13"/>
  <c r="R54" i="13"/>
  <c r="R52" i="13"/>
  <c r="Z71" i="13"/>
  <c r="Z69" i="13"/>
  <c r="U72" i="13"/>
  <c r="Z72" i="13"/>
  <c r="AA71" i="13"/>
  <c r="AA69" i="13"/>
  <c r="J72" i="13"/>
  <c r="P59" i="13"/>
  <c r="P55" i="13"/>
  <c r="R59" i="13"/>
  <c r="R55" i="13"/>
  <c r="J59" i="13"/>
  <c r="J55" i="13"/>
  <c r="O72" i="13"/>
  <c r="M71" i="13"/>
  <c r="M69" i="13"/>
  <c r="Y71" i="13"/>
  <c r="Y69" i="13"/>
  <c r="G59" i="13"/>
  <c r="G55" i="13"/>
  <c r="Y58" i="13"/>
  <c r="Y54" i="13"/>
  <c r="Y52" i="13"/>
  <c r="Z59" i="13"/>
  <c r="Z55" i="13"/>
  <c r="S71" i="13"/>
  <c r="S69" i="13"/>
  <c r="AO49" i="13"/>
  <c r="V59" i="13"/>
  <c r="V55" i="13"/>
  <c r="M59" i="13"/>
  <c r="M55" i="13"/>
  <c r="L58" i="13"/>
  <c r="L54" i="13"/>
  <c r="L52" i="13"/>
  <c r="Z58" i="13"/>
  <c r="Z54" i="13"/>
  <c r="Z52" i="13"/>
  <c r="E59" i="13"/>
  <c r="E55" i="13"/>
  <c r="H72" i="13"/>
  <c r="L72" i="13"/>
  <c r="F72" i="13"/>
  <c r="X58" i="13"/>
  <c r="X54" i="13"/>
  <c r="X52" i="13"/>
  <c r="S59" i="13"/>
  <c r="S55" i="13"/>
  <c r="P58" i="13"/>
  <c r="P54" i="13"/>
  <c r="P52" i="13"/>
  <c r="Y72" i="13"/>
  <c r="P71" i="13"/>
  <c r="P69" i="13"/>
  <c r="X71" i="13"/>
  <c r="X69" i="13"/>
  <c r="V72" i="13"/>
  <c r="F59" i="13"/>
  <c r="F55" i="13"/>
  <c r="T58" i="13"/>
  <c r="T54" i="13"/>
  <c r="T52" i="13"/>
  <c r="M58" i="13"/>
  <c r="M54" i="13"/>
  <c r="M52" i="13"/>
  <c r="H59" i="13"/>
  <c r="H55" i="13"/>
  <c r="X72" i="13"/>
  <c r="E71" i="13"/>
  <c r="E69" i="13"/>
  <c r="N71" i="13"/>
  <c r="N69" i="13"/>
  <c r="G58" i="13"/>
  <c r="G54" i="13"/>
  <c r="G52" i="13"/>
  <c r="N58" i="13"/>
  <c r="N54" i="13"/>
  <c r="N52" i="13"/>
  <c r="X59" i="13"/>
  <c r="X55" i="13"/>
  <c r="I71" i="13"/>
  <c r="I69" i="13"/>
  <c r="O35" i="13"/>
  <c r="R35" i="13"/>
  <c r="M35" i="13"/>
  <c r="U35" i="13"/>
  <c r="G35" i="13"/>
  <c r="AA35" i="13"/>
  <c r="E35" i="13"/>
  <c r="X35" i="13"/>
  <c r="S35" i="13"/>
  <c r="W35" i="13"/>
  <c r="N35" i="13"/>
  <c r="F35" i="13"/>
  <c r="K35" i="13"/>
  <c r="Q35" i="13"/>
  <c r="L16" i="13"/>
  <c r="L35" i="13"/>
  <c r="K16" i="13"/>
  <c r="I16" i="13"/>
  <c r="H16" i="13"/>
  <c r="M16" i="13"/>
  <c r="N16" i="13"/>
  <c r="S67" i="13"/>
  <c r="S68" i="13" s="1"/>
  <c r="Q67" i="13"/>
  <c r="Q68" i="13" s="1"/>
  <c r="U67" i="13"/>
  <c r="U68" i="13" s="1"/>
  <c r="N83" i="13"/>
  <c r="N84" i="13" s="1"/>
  <c r="U83" i="13"/>
  <c r="U84" i="13" s="1"/>
  <c r="W32" i="10"/>
  <c r="W42" i="10" s="1"/>
  <c r="O32" i="8" s="1" a="1"/>
  <c r="O32" i="8" s="1"/>
  <c r="V51" i="10"/>
  <c r="V45" i="10" s="1"/>
  <c r="AI51" i="10"/>
  <c r="AI45" i="10" s="1"/>
  <c r="S45" i="10"/>
  <c r="Q45" i="10"/>
  <c r="Q64" i="10" s="1"/>
  <c r="Q63" i="10" s="1"/>
  <c r="AL45" i="10"/>
  <c r="AL59" i="10" s="1"/>
  <c r="AL58" i="10" s="1"/>
  <c r="Y50" i="13"/>
  <c r="Y51" i="13" s="1"/>
  <c r="X67" i="13"/>
  <c r="X68" i="13" s="1"/>
  <c r="H50" i="13"/>
  <c r="H51" i="13" s="1"/>
  <c r="V67" i="13"/>
  <c r="V68" i="13" s="1"/>
  <c r="T67" i="13"/>
  <c r="T68" i="13" s="1"/>
  <c r="W50" i="13"/>
  <c r="W51" i="13" s="1"/>
  <c r="E83" i="13"/>
  <c r="E84" i="13" s="1"/>
  <c r="S83" i="13"/>
  <c r="S84" i="13" s="1"/>
  <c r="J67" i="13"/>
  <c r="J68" i="13" s="1"/>
  <c r="G83" i="13"/>
  <c r="G84" i="13" s="1"/>
  <c r="P50" i="13"/>
  <c r="P51" i="13" s="1"/>
  <c r="L50" i="13"/>
  <c r="L51" i="13" s="1"/>
  <c r="L83" i="13"/>
  <c r="L84" i="13" s="1"/>
  <c r="L67" i="13"/>
  <c r="L68" i="13" s="1"/>
  <c r="G64" i="8" a="1"/>
  <c r="G64" i="8" s="1"/>
  <c r="G67" i="8" s="1"/>
  <c r="G68" i="8" s="1"/>
  <c r="I50" i="13"/>
  <c r="I51" i="13" s="1"/>
  <c r="F67" i="13"/>
  <c r="F68" i="13" s="1"/>
  <c r="H83" i="13"/>
  <c r="H84" i="13" s="1"/>
  <c r="G50" i="13"/>
  <c r="G51" i="13" s="1"/>
  <c r="Z83" i="13"/>
  <c r="Z84" i="13" s="1"/>
  <c r="I83" i="13"/>
  <c r="I84" i="13" s="1"/>
  <c r="G72" i="8" a="1"/>
  <c r="G72" i="8" s="1"/>
  <c r="G75" i="8" s="1"/>
  <c r="G76" i="8" s="1"/>
  <c r="X50" i="13"/>
  <c r="X51" i="13" s="1"/>
  <c r="H64" i="8" a="1"/>
  <c r="H64" i="8" s="1"/>
  <c r="H67" i="8" s="1"/>
  <c r="H68" i="8" s="1"/>
  <c r="F50" i="13"/>
  <c r="F51" i="13" s="1"/>
  <c r="O50" i="13"/>
  <c r="O51" i="13" s="1"/>
  <c r="K83" i="13"/>
  <c r="K84" i="13" s="1"/>
  <c r="Q83" i="13"/>
  <c r="Q84" i="13" s="1"/>
  <c r="J83" i="13"/>
  <c r="J84" i="13" s="1"/>
  <c r="Z50" i="13"/>
  <c r="Z51" i="13" s="1"/>
  <c r="Z67" i="13"/>
  <c r="Z68" i="13" s="1"/>
  <c r="V83" i="13"/>
  <c r="V84" i="13" s="1"/>
  <c r="E50" i="13"/>
  <c r="E51" i="13" s="1"/>
  <c r="Q50" i="13"/>
  <c r="Q51" i="13" s="1"/>
  <c r="V50" i="13"/>
  <c r="V51" i="13" s="1"/>
  <c r="T83" i="13"/>
  <c r="T84" i="13" s="1"/>
  <c r="AA83" i="13"/>
  <c r="AA84" i="13" s="1"/>
  <c r="O67" i="13"/>
  <c r="O68" i="13" s="1"/>
  <c r="R50" i="13"/>
  <c r="R51" i="13" s="1"/>
  <c r="H67" i="13"/>
  <c r="H68" i="13" s="1"/>
  <c r="P83" i="13"/>
  <c r="P84" i="13" s="1"/>
  <c r="W83" i="13"/>
  <c r="W84" i="13" s="1"/>
  <c r="R83" i="13"/>
  <c r="R84" i="13" s="1"/>
  <c r="Y88" i="10"/>
  <c r="Q73" i="8" s="1" a="1"/>
  <c r="Q73" i="8" s="1"/>
  <c r="Q75" i="8" s="1"/>
  <c r="Q76" i="8" s="1"/>
  <c r="R64" i="8" a="1"/>
  <c r="R64" i="8" s="1"/>
  <c r="R67" i="8" s="1"/>
  <c r="R68" i="8" s="1"/>
  <c r="T50" i="13"/>
  <c r="T51" i="13" s="1"/>
  <c r="M50" i="13"/>
  <c r="M51" i="13" s="1"/>
  <c r="Y83" i="13"/>
  <c r="Y84" i="13" s="1"/>
  <c r="N50" i="13"/>
  <c r="N51" i="13" s="1"/>
  <c r="O83" i="13"/>
  <c r="O84" i="13" s="1"/>
  <c r="M67" i="13"/>
  <c r="M68" i="13" s="1"/>
  <c r="AA67" i="13"/>
  <c r="AA68" i="13" s="1"/>
  <c r="S50" i="13"/>
  <c r="S51" i="13" s="1"/>
  <c r="P67" i="13"/>
  <c r="P68" i="13" s="1"/>
  <c r="U50" i="13"/>
  <c r="U51" i="13" s="1"/>
  <c r="AA50" i="13"/>
  <c r="AA51" i="13" s="1"/>
  <c r="J50" i="13"/>
  <c r="J51" i="13" s="1"/>
  <c r="I67" i="13"/>
  <c r="I68" i="13" s="1"/>
  <c r="O72" i="8" a="1"/>
  <c r="O72" i="8" s="1"/>
  <c r="O75" i="8" s="1"/>
  <c r="O76" i="8" s="1"/>
  <c r="K50" i="13"/>
  <c r="K51" i="13" s="1"/>
  <c r="R67" i="13"/>
  <c r="R68" i="13" s="1"/>
  <c r="Y67" i="13"/>
  <c r="Y68" i="13" s="1"/>
  <c r="E67" i="13"/>
  <c r="E68" i="13" s="1"/>
  <c r="N67" i="13"/>
  <c r="N68" i="13" s="1"/>
  <c r="K67" i="13"/>
  <c r="K68" i="13" s="1"/>
  <c r="X83" i="13"/>
  <c r="X84" i="13" s="1"/>
  <c r="F83" i="13"/>
  <c r="F84" i="13" s="1"/>
  <c r="P64" i="8" a="1"/>
  <c r="P64" i="8" s="1"/>
  <c r="P67" i="8" s="1"/>
  <c r="P68" i="8" s="1"/>
  <c r="M31" i="8" a="1"/>
  <c r="M31" i="8" s="1"/>
  <c r="U42" i="10"/>
  <c r="M32" i="8" s="1" a="1"/>
  <c r="M32" i="8" s="1"/>
  <c r="Z39" i="8" a="1"/>
  <c r="Z39" i="8" s="1"/>
  <c r="AH59" i="10"/>
  <c r="AH58" i="10" s="1"/>
  <c r="AH55" i="10"/>
  <c r="P64" i="10"/>
  <c r="P63" i="10" s="1"/>
  <c r="H39" i="8" a="1"/>
  <c r="H39" i="8" s="1"/>
  <c r="P55" i="10"/>
  <c r="H40" i="8" s="1" a="1"/>
  <c r="H40" i="8" s="1"/>
  <c r="Z31" i="8" a="1"/>
  <c r="Z31" i="8" s="1"/>
  <c r="AH42" i="10"/>
  <c r="Z32" i="8" s="1" a="1"/>
  <c r="Z32" i="8" s="1"/>
  <c r="X55" i="10"/>
  <c r="P40" i="8" s="1" a="1"/>
  <c r="P40" i="8" s="1"/>
  <c r="X64" i="10"/>
  <c r="X63" i="10" s="1"/>
  <c r="P39" i="8" a="1"/>
  <c r="P39" i="8" s="1"/>
  <c r="Y39" i="8" a="1"/>
  <c r="Y39" i="8" s="1"/>
  <c r="AG59" i="10"/>
  <c r="AG58" i="10" s="1"/>
  <c r="AG55" i="10"/>
  <c r="V42" i="10"/>
  <c r="N32" i="8" s="1" a="1"/>
  <c r="N32" i="8" s="1"/>
  <c r="N31" i="8" a="1"/>
  <c r="N31" i="8" s="1"/>
  <c r="I31" i="8" a="1"/>
  <c r="I31" i="8" s="1"/>
  <c r="Q42" i="10"/>
  <c r="I32" i="8" s="1" a="1"/>
  <c r="I32" i="8" s="1"/>
  <c r="AC31" i="8" a="1"/>
  <c r="AC31" i="8" s="1"/>
  <c r="AK42" i="10"/>
  <c r="AC32" i="8" s="1" a="1"/>
  <c r="AC32" i="8" s="1"/>
  <c r="AI38" i="10"/>
  <c r="AI32" i="10" s="1"/>
  <c r="R32" i="10"/>
  <c r="X31" i="8" a="1"/>
  <c r="X31" i="8" s="1"/>
  <c r="AF42" i="10"/>
  <c r="X32" i="8" s="1" a="1"/>
  <c r="X32" i="8" s="1"/>
  <c r="U47" i="8" a="1"/>
  <c r="U47" i="8" s="1"/>
  <c r="AC64" i="10"/>
  <c r="AC63" i="10" s="1"/>
  <c r="AE60" i="10"/>
  <c r="W48" i="8" s="1" a="1"/>
  <c r="W48" i="8" s="1"/>
  <c r="W40" i="8" a="1"/>
  <c r="W40" i="8" s="1"/>
  <c r="W42" i="8" s="1"/>
  <c r="W43" i="8" s="1"/>
  <c r="S38" i="10"/>
  <c r="S32" i="10" s="1"/>
  <c r="X38" i="10"/>
  <c r="X32" i="10" s="1"/>
  <c r="AK51" i="10"/>
  <c r="AK45" i="10" s="1"/>
  <c r="U40" i="8" a="1"/>
  <c r="U40" i="8" s="1"/>
  <c r="AC60" i="10"/>
  <c r="U48" i="8" s="1" a="1"/>
  <c r="U48" i="8" s="1"/>
  <c r="Z42" i="10"/>
  <c r="R32" i="8" s="1" a="1"/>
  <c r="R32" i="8" s="1"/>
  <c r="R31" i="8" a="1"/>
  <c r="R31" i="8" s="1"/>
  <c r="X39" i="8" a="1"/>
  <c r="X39" i="8" s="1"/>
  <c r="AF59" i="10"/>
  <c r="AF58" i="10" s="1"/>
  <c r="AF55" i="10"/>
  <c r="O64" i="8" a="1"/>
  <c r="O64" i="8" s="1"/>
  <c r="U45" i="10"/>
  <c r="W45" i="10"/>
  <c r="AE64" i="10"/>
  <c r="AE63" i="10" s="1"/>
  <c r="W47" i="8" a="1"/>
  <c r="W47" i="8" s="1"/>
  <c r="AJ38" i="10"/>
  <c r="AJ32" i="10" s="1"/>
  <c r="K64" i="8" a="1"/>
  <c r="K64" i="8" s="1"/>
  <c r="K67" i="8" s="1"/>
  <c r="K68" i="8" s="1"/>
  <c r="AL38" i="10"/>
  <c r="AL32" i="10" s="1"/>
  <c r="T38" i="10"/>
  <c r="T32" i="10" s="1"/>
  <c r="AA42" i="10"/>
  <c r="S32" i="8" s="1" a="1"/>
  <c r="S32" i="8" s="1"/>
  <c r="S31" i="8" a="1"/>
  <c r="S31" i="8" s="1"/>
  <c r="V47" i="8" a="1"/>
  <c r="V47" i="8" s="1"/>
  <c r="AD64" i="10"/>
  <c r="AD63" i="10" s="1"/>
  <c r="R45" i="10"/>
  <c r="S64" i="10"/>
  <c r="S63" i="10" s="1"/>
  <c r="K39" i="8" a="1"/>
  <c r="K39" i="8" s="1"/>
  <c r="S55" i="10"/>
  <c r="K40" i="8" s="1" a="1"/>
  <c r="K40" i="8" s="1"/>
  <c r="AD60" i="10"/>
  <c r="V48" i="8" s="1" a="1"/>
  <c r="V48" i="8" s="1"/>
  <c r="V40" i="8" a="1"/>
  <c r="V40" i="8" s="1"/>
  <c r="V42" i="8" s="1"/>
  <c r="V43" i="8" s="1"/>
  <c r="G55" i="8" a="1"/>
  <c r="G55" i="8" s="1"/>
  <c r="O66" i="10"/>
  <c r="G56" i="8" s="1" a="1"/>
  <c r="G56" i="8" s="1"/>
  <c r="AG38" i="10"/>
  <c r="AG32" i="10" s="1"/>
  <c r="AA64" i="10"/>
  <c r="AA63" i="10" s="1"/>
  <c r="S47" i="8" a="1"/>
  <c r="S47" i="8" s="1"/>
  <c r="N72" i="8" a="1"/>
  <c r="N72" i="8" s="1"/>
  <c r="T45" i="10"/>
  <c r="AJ51" i="10"/>
  <c r="AJ45" i="10" s="1"/>
  <c r="Y55" i="10"/>
  <c r="Q40" i="8" s="1" a="1"/>
  <c r="Q40" i="8" s="1"/>
  <c r="Y64" i="10"/>
  <c r="Y63" i="10" s="1"/>
  <c r="Q39" i="8" a="1"/>
  <c r="Q39" i="8" s="1"/>
  <c r="Y42" i="10"/>
  <c r="Q32" i="8" s="1" a="1"/>
  <c r="Q32" i="8" s="1"/>
  <c r="Q31" i="8" a="1"/>
  <c r="Q31" i="8" s="1"/>
  <c r="T47" i="8" a="1"/>
  <c r="T47" i="8" s="1"/>
  <c r="AB64" i="10"/>
  <c r="AB63" i="10" s="1"/>
  <c r="S40" i="8" a="1"/>
  <c r="S40" i="8" s="1"/>
  <c r="AA60" i="10"/>
  <c r="S48" i="8" s="1" a="1"/>
  <c r="S48" i="8" s="1"/>
  <c r="R39" i="8" a="1"/>
  <c r="R39" i="8" s="1"/>
  <c r="Z55" i="10"/>
  <c r="R40" i="8" s="1" a="1"/>
  <c r="R40" i="8" s="1"/>
  <c r="Z64" i="10"/>
  <c r="Z63" i="10" s="1"/>
  <c r="X88" i="10"/>
  <c r="P73" i="8" s="1" a="1"/>
  <c r="P73" i="8" s="1"/>
  <c r="P72" i="8" a="1"/>
  <c r="P72" i="8" s="1"/>
  <c r="Y75" i="10"/>
  <c r="Q65" i="8" s="1" a="1"/>
  <c r="Q65" i="8" s="1"/>
  <c r="Q64" i="8" a="1"/>
  <c r="Q64" i="8" s="1"/>
  <c r="K72" i="8" a="1"/>
  <c r="K72" i="8" s="1"/>
  <c r="S88" i="10"/>
  <c r="K73" i="8" s="1" a="1"/>
  <c r="K73" i="8" s="1"/>
  <c r="L64" i="8" a="1"/>
  <c r="L64" i="8" s="1"/>
  <c r="T75" i="10"/>
  <c r="L65" i="8" s="1" a="1"/>
  <c r="L65" i="8" s="1"/>
  <c r="P88" i="10"/>
  <c r="H73" i="8" s="1" a="1"/>
  <c r="H73" i="8" s="1"/>
  <c r="H72" i="8" a="1"/>
  <c r="H72" i="8" s="1"/>
  <c r="Z88" i="10"/>
  <c r="R73" i="8" s="1" a="1"/>
  <c r="R73" i="8" s="1"/>
  <c r="R72" i="8" a="1"/>
  <c r="R72" i="8" s="1"/>
  <c r="T88" i="10"/>
  <c r="L73" i="8" s="1" a="1"/>
  <c r="L73" i="8" s="1"/>
  <c r="L72" i="8" a="1"/>
  <c r="L72" i="8" s="1"/>
  <c r="U75" i="10"/>
  <c r="M65" i="8" s="1" a="1"/>
  <c r="M65" i="8" s="1"/>
  <c r="M64" i="8" a="1"/>
  <c r="M64" i="8" s="1"/>
  <c r="Q88" i="10"/>
  <c r="I73" i="8" s="1" a="1"/>
  <c r="I73" i="8" s="1"/>
  <c r="I72" i="8" a="1"/>
  <c r="I72" i="8" s="1"/>
  <c r="J64" i="8" a="1"/>
  <c r="J64" i="8" s="1"/>
  <c r="R75" i="10"/>
  <c r="J65" i="8" s="1" a="1"/>
  <c r="J65" i="8" s="1"/>
  <c r="Q75" i="10"/>
  <c r="I65" i="8" s="1" a="1"/>
  <c r="I65" i="8" s="1"/>
  <c r="I64" i="8" a="1"/>
  <c r="I64" i="8" s="1"/>
  <c r="Z128" i="11" a="1"/>
  <c r="Z128" i="11" s="1"/>
  <c r="AB91" i="10" a="1"/>
  <c r="AB91" i="10" s="1"/>
  <c r="AB94" i="10" s="1"/>
  <c r="T91" i="10" a="1"/>
  <c r="T91" i="10" s="1"/>
  <c r="AC90" i="10" a="1"/>
  <c r="AC90" i="10" s="1"/>
  <c r="AC93" i="10" s="1"/>
  <c r="U90" i="10" a="1"/>
  <c r="U90" i="10" s="1"/>
  <c r="AC78" i="10" a="1"/>
  <c r="AC78" i="10" s="1"/>
  <c r="AC81" i="10" s="1"/>
  <c r="U78" i="10" a="1"/>
  <c r="U78" i="10" s="1"/>
  <c r="AD77" i="10" a="1"/>
  <c r="AD77" i="10" s="1"/>
  <c r="AD80" i="10" s="1"/>
  <c r="AJ120" i="11" a="1"/>
  <c r="AJ120" i="11" s="1"/>
  <c r="AB120" i="11" a="1"/>
  <c r="AB120" i="11" s="1"/>
  <c r="T120" i="11" a="1"/>
  <c r="T120" i="11" s="1"/>
  <c r="Y128" i="11" a="1"/>
  <c r="Y128" i="11" s="1"/>
  <c r="AA91" i="10" a="1"/>
  <c r="AA91" i="10" s="1"/>
  <c r="AA94" i="10" s="1"/>
  <c r="S91" i="10" a="1"/>
  <c r="S91" i="10" s="1"/>
  <c r="AB90" i="10" a="1"/>
  <c r="AB90" i="10" s="1"/>
  <c r="AB93" i="10" s="1"/>
  <c r="T90" i="10" a="1"/>
  <c r="T90" i="10" s="1"/>
  <c r="AB78" i="10" a="1"/>
  <c r="AB78" i="10" s="1"/>
  <c r="AB81" i="10" s="1"/>
  <c r="T78" i="10" a="1"/>
  <c r="T78" i="10" s="1"/>
  <c r="AI120" i="11" a="1"/>
  <c r="AI120" i="11" s="1"/>
  <c r="AA120" i="11" a="1"/>
  <c r="AA120" i="11" s="1"/>
  <c r="S120" i="11" a="1"/>
  <c r="S120" i="11" s="1"/>
  <c r="AI119" i="11" a="1"/>
  <c r="AI119" i="11" s="1"/>
  <c r="AA119" i="11" a="1"/>
  <c r="AA119" i="11" s="1"/>
  <c r="S119" i="11" a="1"/>
  <c r="S119" i="11" s="1"/>
  <c r="AI118" i="11" a="1"/>
  <c r="AI118" i="11" s="1"/>
  <c r="AA118" i="11" a="1"/>
  <c r="AA118" i="11" s="1"/>
  <c r="X128" i="11" a="1"/>
  <c r="X128" i="11" s="1"/>
  <c r="AF120" i="11" a="1"/>
  <c r="AF120" i="11" s="1"/>
  <c r="X120" i="11" a="1"/>
  <c r="X120" i="11" s="1"/>
  <c r="P120" i="11" a="1"/>
  <c r="P120" i="11" s="1"/>
  <c r="AF119" i="11" a="1"/>
  <c r="AF119" i="11" s="1"/>
  <c r="X119" i="11" a="1"/>
  <c r="X119" i="11" s="1"/>
  <c r="X129" i="11" a="1"/>
  <c r="X129" i="11" s="1"/>
  <c r="AC91" i="10" a="1"/>
  <c r="AC91" i="10" s="1"/>
  <c r="AC94" i="10" s="1"/>
  <c r="U91" i="10" a="1"/>
  <c r="U91" i="10" s="1"/>
  <c r="AD90" i="10" a="1"/>
  <c r="AD90" i="10" s="1"/>
  <c r="AD93" i="10" s="1"/>
  <c r="AK120" i="11" a="1"/>
  <c r="AK120" i="11" s="1"/>
  <c r="AC120" i="11" a="1"/>
  <c r="AC120" i="11" s="1"/>
  <c r="U120" i="11" a="1"/>
  <c r="U120" i="11" s="1"/>
  <c r="Y129" i="11" a="1"/>
  <c r="Y129" i="11" s="1"/>
  <c r="Y119" i="11" a="1"/>
  <c r="Y119" i="11" s="1"/>
  <c r="AL118" i="11" a="1"/>
  <c r="AL118" i="11" s="1"/>
  <c r="Y118" i="11" a="1"/>
  <c r="Y118" i="11" s="1"/>
  <c r="O118" i="11" a="1"/>
  <c r="O118" i="11" s="1"/>
  <c r="W110" i="11" a="1"/>
  <c r="W110" i="11" s="1"/>
  <c r="AD109" i="11" a="1"/>
  <c r="AD109" i="11" s="1"/>
  <c r="T109" i="11" a="1"/>
  <c r="T109" i="11" s="1"/>
  <c r="AA108" i="11" a="1"/>
  <c r="AA108" i="11" s="1"/>
  <c r="P108" i="11" a="1"/>
  <c r="P108" i="11" s="1"/>
  <c r="T102" i="11" a="1"/>
  <c r="T102" i="11" s="1"/>
  <c r="W101" i="11" a="1"/>
  <c r="W101" i="11" s="1"/>
  <c r="Z100" i="11" a="1"/>
  <c r="Z100" i="11" s="1"/>
  <c r="P100" i="11" a="1"/>
  <c r="P100" i="11" s="1"/>
  <c r="S99" i="11" a="1"/>
  <c r="S99" i="11" s="1"/>
  <c r="V98" i="11" a="1"/>
  <c r="V98" i="11" s="1"/>
  <c r="R88" i="11" a="1"/>
  <c r="R88" i="11" s="1"/>
  <c r="AB85" i="11" a="1"/>
  <c r="AB85" i="11" s="1"/>
  <c r="U73" i="11" a="1"/>
  <c r="U73" i="11" s="1"/>
  <c r="Z72" i="11" a="1"/>
  <c r="Z72" i="11" s="1"/>
  <c r="O72" i="11" a="1"/>
  <c r="O72" i="11" s="1"/>
  <c r="T71" i="11" a="1"/>
  <c r="T71" i="11" s="1"/>
  <c r="AG64" i="11" a="1"/>
  <c r="AG64" i="11" s="1"/>
  <c r="AH63" i="11" a="1"/>
  <c r="AH63" i="11" s="1"/>
  <c r="AA62" i="11" a="1"/>
  <c r="AA62" i="11" s="1"/>
  <c r="T56" i="11" a="1"/>
  <c r="T56" i="11" s="1"/>
  <c r="AH55" i="11" a="1"/>
  <c r="AH55" i="11" s="1"/>
  <c r="O55" i="11" a="1"/>
  <c r="O55" i="11" s="1"/>
  <c r="AC54" i="11" a="1"/>
  <c r="AC54" i="11" s="1"/>
  <c r="AF40" i="11" a="1"/>
  <c r="AF40" i="11" s="1"/>
  <c r="AK39" i="11" a="1"/>
  <c r="AK39" i="11" s="1"/>
  <c r="Z39" i="11" a="1"/>
  <c r="Z39" i="11" s="1"/>
  <c r="AE38" i="11" a="1"/>
  <c r="AE38" i="11" s="1"/>
  <c r="X23" i="11" a="1"/>
  <c r="X23" i="11" s="1"/>
  <c r="AB22" i="11" a="1"/>
  <c r="AB22" i="11" s="1"/>
  <c r="W21" i="11" a="1"/>
  <c r="W21" i="11" s="1"/>
  <c r="AA20" i="11" a="1"/>
  <c r="AA20" i="11" s="1"/>
  <c r="U19" i="11" a="1"/>
  <c r="U19" i="11" s="1"/>
  <c r="Y90" i="10" a="1"/>
  <c r="Y90" i="10" s="1"/>
  <c r="P90" i="10" a="1"/>
  <c r="P90" i="10" s="1"/>
  <c r="AD120" i="11" a="1"/>
  <c r="AD120" i="11" s="1"/>
  <c r="AL119" i="11" a="1"/>
  <c r="AL119" i="11" s="1"/>
  <c r="AK118" i="11" a="1"/>
  <c r="AK118" i="11" s="1"/>
  <c r="V110" i="11" a="1"/>
  <c r="V110" i="11" s="1"/>
  <c r="Z108" i="11" a="1"/>
  <c r="Z108" i="11" s="1"/>
  <c r="V101" i="11" a="1"/>
  <c r="V101" i="11" s="1"/>
  <c r="R99" i="11" a="1"/>
  <c r="R99" i="11" s="1"/>
  <c r="Q88" i="11" a="1"/>
  <c r="Q88" i="11" s="1"/>
  <c r="U87" i="11" a="1"/>
  <c r="U87" i="11" s="1"/>
  <c r="Y86" i="11" a="1"/>
  <c r="Y86" i="11" s="1"/>
  <c r="AA85" i="11" a="1"/>
  <c r="AA85" i="11" s="1"/>
  <c r="Q85" i="11" a="1"/>
  <c r="Q85" i="11" s="1"/>
  <c r="U84" i="11" a="1"/>
  <c r="U84" i="11" s="1"/>
  <c r="AD73" i="11" a="1"/>
  <c r="AD73" i="11" s="1"/>
  <c r="AI72" i="11" a="1"/>
  <c r="AI72" i="11" s="1"/>
  <c r="Y72" i="11" a="1"/>
  <c r="Y72" i="11" s="1"/>
  <c r="AC71" i="11" a="1"/>
  <c r="AC71" i="11" s="1"/>
  <c r="AF64" i="11" a="1"/>
  <c r="AF64" i="11" s="1"/>
  <c r="AJ62" i="11" a="1"/>
  <c r="AJ62" i="11" s="1"/>
  <c r="AD56" i="11" a="1"/>
  <c r="AD56" i="11" s="1"/>
  <c r="S56" i="11" a="1"/>
  <c r="S56" i="11" s="1"/>
  <c r="X55" i="11" a="1"/>
  <c r="X55" i="11" s="1"/>
  <c r="AB54" i="11" a="1"/>
  <c r="AB54" i="11" s="1"/>
  <c r="R54" i="11" a="1"/>
  <c r="R54" i="11" s="1"/>
  <c r="V40" i="11" a="1"/>
  <c r="V40" i="11" s="1"/>
  <c r="AJ39" i="11" a="1"/>
  <c r="AJ39" i="11" s="1"/>
  <c r="P39" i="11" a="1"/>
  <c r="P39" i="11" s="1"/>
  <c r="U38" i="11" a="1"/>
  <c r="U38" i="11" s="1"/>
  <c r="W23" i="11" a="1"/>
  <c r="W23" i="11" s="1"/>
  <c r="R22" i="11" a="1"/>
  <c r="R22" i="11" s="1"/>
  <c r="Z20" i="11" a="1"/>
  <c r="Z20" i="11" s="1"/>
  <c r="P20" i="11" a="1"/>
  <c r="P20" i="11" s="1"/>
  <c r="Q91" i="10" a="1"/>
  <c r="Q91" i="10" s="1"/>
  <c r="V77" i="10" a="1"/>
  <c r="V77" i="10" s="1"/>
  <c r="AA20" i="10" a="1"/>
  <c r="AA20" i="10" s="1"/>
  <c r="AA23" i="10" s="1"/>
  <c r="S20" i="10" a="1"/>
  <c r="S20" i="10" s="1"/>
  <c r="S23" i="10" s="1"/>
  <c r="AB19" i="10" a="1"/>
  <c r="AB19" i="10" s="1"/>
  <c r="AB22" i="10" s="1"/>
  <c r="T19" i="10" a="1"/>
  <c r="T19" i="10" s="1"/>
  <c r="T22" i="10" s="1"/>
  <c r="Z120" i="11" a="1"/>
  <c r="Z120" i="11" s="1"/>
  <c r="AK119" i="11" a="1"/>
  <c r="AK119" i="11" s="1"/>
  <c r="AJ118" i="11" a="1"/>
  <c r="AJ118" i="11" s="1"/>
  <c r="X118" i="11" a="1"/>
  <c r="X118" i="11" s="1"/>
  <c r="U110" i="11" a="1"/>
  <c r="U110" i="11" s="1"/>
  <c r="AC109" i="11" a="1"/>
  <c r="AC109" i="11" s="1"/>
  <c r="S109" i="11" a="1"/>
  <c r="S109" i="11" s="1"/>
  <c r="Y108" i="11" a="1"/>
  <c r="Y108" i="11" s="1"/>
  <c r="O108" i="11" a="1"/>
  <c r="O108" i="11" s="1"/>
  <c r="S102" i="11" a="1"/>
  <c r="S102" i="11" s="1"/>
  <c r="U101" i="11" a="1"/>
  <c r="U101" i="11" s="1"/>
  <c r="Y100" i="11" a="1"/>
  <c r="Y100" i="11" s="1"/>
  <c r="O100" i="11" a="1"/>
  <c r="O100" i="11" s="1"/>
  <c r="Q99" i="11" a="1"/>
  <c r="Q99" i="11" s="1"/>
  <c r="U98" i="11" a="1"/>
  <c r="U98" i="11" s="1"/>
  <c r="AB88" i="11" a="1"/>
  <c r="AB88" i="11" s="1"/>
  <c r="X86" i="11" a="1"/>
  <c r="X86" i="11" s="1"/>
  <c r="T84" i="11" a="1"/>
  <c r="T84" i="11" s="1"/>
  <c r="Z127" i="11" a="1"/>
  <c r="Z127" i="11" s="1"/>
  <c r="AJ119" i="11" a="1"/>
  <c r="AJ119" i="11" s="1"/>
  <c r="W119" i="11" a="1"/>
  <c r="W119" i="11" s="1"/>
  <c r="AH118" i="11" a="1"/>
  <c r="AH118" i="11" s="1"/>
  <c r="AF110" i="11" a="1"/>
  <c r="AF110" i="11" s="1"/>
  <c r="R109" i="11" a="1"/>
  <c r="R109" i="11" s="1"/>
  <c r="R102" i="11" a="1"/>
  <c r="R102" i="11" s="1"/>
  <c r="AB99" i="11" a="1"/>
  <c r="AB99" i="11" s="1"/>
  <c r="AA88" i="11" a="1"/>
  <c r="AA88" i="11" s="1"/>
  <c r="P88" i="11" a="1"/>
  <c r="P88" i="11" s="1"/>
  <c r="T87" i="11" a="1"/>
  <c r="T87" i="11" s="1"/>
  <c r="W86" i="11" a="1"/>
  <c r="W86" i="11" s="1"/>
  <c r="Z85" i="11" a="1"/>
  <c r="Z85" i="11" s="1"/>
  <c r="P85" i="11" a="1"/>
  <c r="P85" i="11" s="1"/>
  <c r="S84" i="11" a="1"/>
  <c r="S84" i="11" s="1"/>
  <c r="AC73" i="11" a="1"/>
  <c r="AC73" i="11" s="1"/>
  <c r="AH72" i="11" a="1"/>
  <c r="AH72" i="11" s="1"/>
  <c r="W72" i="11" a="1"/>
  <c r="W72" i="11" s="1"/>
  <c r="Y120" i="11" a="1"/>
  <c r="Y120" i="11" s="1"/>
  <c r="AH119" i="11" a="1"/>
  <c r="AH119" i="11" s="1"/>
  <c r="W118" i="11" a="1"/>
  <c r="W118" i="11" s="1"/>
  <c r="AE110" i="11" a="1"/>
  <c r="AE110" i="11" s="1"/>
  <c r="T110" i="11" a="1"/>
  <c r="T110" i="11" s="1"/>
  <c r="AB109" i="11" a="1"/>
  <c r="AB109" i="11" s="1"/>
  <c r="Q109" i="11" a="1"/>
  <c r="Q109" i="11" s="1"/>
  <c r="X108" i="11" a="1"/>
  <c r="X108" i="11" s="1"/>
  <c r="AB102" i="11" a="1"/>
  <c r="AB102" i="11" s="1"/>
  <c r="Q102" i="11" a="1"/>
  <c r="Q102" i="11" s="1"/>
  <c r="T101" i="11" a="1"/>
  <c r="T101" i="11" s="1"/>
  <c r="X100" i="11" a="1"/>
  <c r="X100" i="11" s="1"/>
  <c r="AA99" i="11" a="1"/>
  <c r="AA99" i="11" s="1"/>
  <c r="P99" i="11" a="1"/>
  <c r="P99" i="11" s="1"/>
  <c r="T98" i="11" a="1"/>
  <c r="T98" i="11" s="1"/>
  <c r="Z88" i="11" a="1"/>
  <c r="Z88" i="11" s="1"/>
  <c r="V86" i="11" a="1"/>
  <c r="V86" i="11" s="1"/>
  <c r="R84" i="11" a="1"/>
  <c r="R84" i="11" s="1"/>
  <c r="Y127" i="11" a="1"/>
  <c r="Y127" i="11" s="1"/>
  <c r="V119" i="11" a="1"/>
  <c r="V119" i="11" s="1"/>
  <c r="AG118" i="11" a="1"/>
  <c r="AG118" i="11" s="1"/>
  <c r="AD110" i="11" a="1"/>
  <c r="AD110" i="11" s="1"/>
  <c r="P109" i="11" a="1"/>
  <c r="P109" i="11" s="1"/>
  <c r="P102" i="11" a="1"/>
  <c r="P102" i="11" s="1"/>
  <c r="Z99" i="11" a="1"/>
  <c r="Z99" i="11" s="1"/>
  <c r="Y88" i="11" a="1"/>
  <c r="Y88" i="11" s="1"/>
  <c r="O88" i="11" a="1"/>
  <c r="O88" i="11" s="1"/>
  <c r="S87" i="11" a="1"/>
  <c r="S87" i="11" s="1"/>
  <c r="U86" i="11" a="1"/>
  <c r="U86" i="11" s="1"/>
  <c r="Y85" i="11" a="1"/>
  <c r="Y85" i="11" s="1"/>
  <c r="O85" i="11" a="1"/>
  <c r="O85" i="11" s="1"/>
  <c r="Q84" i="11" a="1"/>
  <c r="Q84" i="11" s="1"/>
  <c r="AB73" i="11" a="1"/>
  <c r="AB73" i="11" s="1"/>
  <c r="AF72" i="11" a="1"/>
  <c r="AF72" i="11" s="1"/>
  <c r="V72" i="11" a="1"/>
  <c r="V72" i="11" s="1"/>
  <c r="AA71" i="11" a="1"/>
  <c r="AA71" i="11" s="1"/>
  <c r="X127" i="11" a="1"/>
  <c r="X127" i="11" s="1"/>
  <c r="AG119" i="11" a="1"/>
  <c r="AG119" i="11" s="1"/>
  <c r="U119" i="11" a="1"/>
  <c r="U119" i="11" s="1"/>
  <c r="V118" i="11" a="1"/>
  <c r="V118" i="11" s="1"/>
  <c r="AC110" i="11" a="1"/>
  <c r="AC110" i="11" s="1"/>
  <c r="S110" i="11" a="1"/>
  <c r="S110" i="11" s="1"/>
  <c r="AA109" i="11" a="1"/>
  <c r="AA109" i="11" s="1"/>
  <c r="O109" i="11" a="1"/>
  <c r="O109" i="11" s="1"/>
  <c r="W108" i="11" a="1"/>
  <c r="W108" i="11" s="1"/>
  <c r="AA102" i="11" a="1"/>
  <c r="AA102" i="11" s="1"/>
  <c r="O102" i="11" a="1"/>
  <c r="O102" i="11" s="1"/>
  <c r="S101" i="11" a="1"/>
  <c r="S101" i="11" s="1"/>
  <c r="W100" i="11" a="1"/>
  <c r="W100" i="11" s="1"/>
  <c r="Y99" i="11" a="1"/>
  <c r="Y99" i="11" s="1"/>
  <c r="O99" i="11" a="1"/>
  <c r="O99" i="11" s="1"/>
  <c r="S98" i="11" a="1"/>
  <c r="S98" i="11" s="1"/>
  <c r="R87" i="11" a="1"/>
  <c r="R87" i="11" s="1"/>
  <c r="AB84" i="11" a="1"/>
  <c r="AB84" i="11" s="1"/>
  <c r="AK73" i="11" a="1"/>
  <c r="AK73" i="11" s="1"/>
  <c r="R73" i="11" a="1"/>
  <c r="R73" i="11" s="1"/>
  <c r="AE72" i="11" a="1"/>
  <c r="AE72" i="11" s="1"/>
  <c r="AJ71" i="11" a="1"/>
  <c r="AJ71" i="11" s="1"/>
  <c r="P71" i="11" a="1"/>
  <c r="P71" i="11" s="1"/>
  <c r="AL64" i="11" a="1"/>
  <c r="AL64" i="11" s="1"/>
  <c r="AE63" i="11" a="1"/>
  <c r="AE63" i="11" s="1"/>
  <c r="AJ56" i="11" a="1"/>
  <c r="AJ56" i="11" s="1"/>
  <c r="Z56" i="11" a="1"/>
  <c r="Z56" i="11" s="1"/>
  <c r="AE55" i="11" a="1"/>
  <c r="AE55" i="11" s="1"/>
  <c r="U55" i="11" a="1"/>
  <c r="U55" i="11" s="1"/>
  <c r="Y54" i="11" a="1"/>
  <c r="Y54" i="11" s="1"/>
  <c r="AC40" i="11" a="1"/>
  <c r="AC40" i="11" s="1"/>
  <c r="R40" i="11" a="1"/>
  <c r="R40" i="11" s="1"/>
  <c r="W39" i="11" a="1"/>
  <c r="W39" i="11" s="1"/>
  <c r="AA38" i="11" a="1"/>
  <c r="AA38" i="11" s="1"/>
  <c r="Q38" i="11" a="1"/>
  <c r="Q38" i="11" s="1"/>
  <c r="Y22" i="11" a="1"/>
  <c r="Y22" i="11" s="1"/>
  <c r="O22" i="11" a="1"/>
  <c r="O22" i="11" s="1"/>
  <c r="W20" i="11" a="1"/>
  <c r="W20" i="11" s="1"/>
  <c r="R19" i="11" a="1"/>
  <c r="R19" i="11" s="1"/>
  <c r="X91" i="10" a="1"/>
  <c r="X91" i="10" s="1"/>
  <c r="V90" i="10" a="1"/>
  <c r="V90" i="10" s="1"/>
  <c r="S78" i="10" a="1"/>
  <c r="S78" i="10" s="1"/>
  <c r="AL120" i="11" a="1"/>
  <c r="AL120" i="11" s="1"/>
  <c r="V120" i="11" a="1"/>
  <c r="V120" i="11" s="1"/>
  <c r="AE119" i="11" a="1"/>
  <c r="AE119" i="11" s="1"/>
  <c r="AE118" i="11" a="1"/>
  <c r="AE118" i="11" s="1"/>
  <c r="S118" i="11" a="1"/>
  <c r="S118" i="11" s="1"/>
  <c r="X109" i="11" a="1"/>
  <c r="X109" i="11" s="1"/>
  <c r="X102" i="11" a="1"/>
  <c r="X102" i="11" s="1"/>
  <c r="T100" i="11" a="1"/>
  <c r="T100" i="11" s="1"/>
  <c r="P98" i="11" a="1"/>
  <c r="P98" i="11" s="1"/>
  <c r="W88" i="11" a="1"/>
  <c r="W88" i="11" s="1"/>
  <c r="AA87" i="11" a="1"/>
  <c r="AA87" i="11" s="1"/>
  <c r="O87" i="11" a="1"/>
  <c r="O87" i="11" s="1"/>
  <c r="S86" i="11" a="1"/>
  <c r="S86" i="11" s="1"/>
  <c r="W85" i="11" a="1"/>
  <c r="W85" i="11" s="1"/>
  <c r="Y84" i="11" a="1"/>
  <c r="Y84" i="11" s="1"/>
  <c r="O84" i="11" a="1"/>
  <c r="O84" i="11" s="1"/>
  <c r="Z73" i="11" a="1"/>
  <c r="Z73" i="11" s="1"/>
  <c r="O73" i="11" a="1"/>
  <c r="O73" i="11" s="1"/>
  <c r="T72" i="11" a="1"/>
  <c r="T72" i="11" s="1"/>
  <c r="Z129" i="11" a="1"/>
  <c r="Z129" i="11" s="1"/>
  <c r="Z119" i="11" a="1"/>
  <c r="Z119" i="11" s="1"/>
  <c r="O119" i="11" a="1"/>
  <c r="O119" i="11" s="1"/>
  <c r="Z118" i="11" a="1"/>
  <c r="Z118" i="11" s="1"/>
  <c r="P118" i="11" a="1"/>
  <c r="P118" i="11" s="1"/>
  <c r="Y110" i="11" a="1"/>
  <c r="Y110" i="11" s="1"/>
  <c r="AE109" i="11" a="1"/>
  <c r="AE109" i="11" s="1"/>
  <c r="U109" i="11" a="1"/>
  <c r="U109" i="11" s="1"/>
  <c r="AC108" i="11" a="1"/>
  <c r="AC108" i="11" s="1"/>
  <c r="Q108" i="11" a="1"/>
  <c r="Q108" i="11" s="1"/>
  <c r="U102" i="11" a="1"/>
  <c r="U102" i="11" s="1"/>
  <c r="Y101" i="11" a="1"/>
  <c r="Y101" i="11" s="1"/>
  <c r="AA100" i="11" a="1"/>
  <c r="AA100" i="11" s="1"/>
  <c r="Q100" i="11" a="1"/>
  <c r="Q100" i="11" s="1"/>
  <c r="U99" i="11" a="1"/>
  <c r="U99" i="11" s="1"/>
  <c r="W98" i="11" a="1"/>
  <c r="W98" i="11" s="1"/>
  <c r="T88" i="11" a="1"/>
  <c r="T88" i="11" s="1"/>
  <c r="P86" i="11" a="1"/>
  <c r="P86" i="11" s="1"/>
  <c r="AE120" i="11" a="1"/>
  <c r="AE120" i="11" s="1"/>
  <c r="O120" i="11" a="1"/>
  <c r="O120" i="11" s="1"/>
  <c r="X110" i="11" a="1"/>
  <c r="X110" i="11" s="1"/>
  <c r="AB108" i="11" a="1"/>
  <c r="AB108" i="11" s="1"/>
  <c r="X101" i="11" a="1"/>
  <c r="X101" i="11" s="1"/>
  <c r="T99" i="11" a="1"/>
  <c r="T99" i="11" s="1"/>
  <c r="S88" i="11" a="1"/>
  <c r="S88" i="11" s="1"/>
  <c r="V87" i="11" a="1"/>
  <c r="V87" i="11" s="1"/>
  <c r="Z86" i="11" a="1"/>
  <c r="Z86" i="11" s="1"/>
  <c r="O86" i="11" a="1"/>
  <c r="O86" i="11" s="1"/>
  <c r="R85" i="11" a="1"/>
  <c r="R85" i="11" s="1"/>
  <c r="V84" i="11" a="1"/>
  <c r="V84" i="11" s="1"/>
  <c r="AE73" i="11" a="1"/>
  <c r="AE73" i="11" s="1"/>
  <c r="AJ72" i="11" a="1"/>
  <c r="AJ72" i="11" s="1"/>
  <c r="P72" i="11" a="1"/>
  <c r="P72" i="11" s="1"/>
  <c r="AD71" i="11" a="1"/>
  <c r="AD71" i="11" s="1"/>
  <c r="AI63" i="11" a="1"/>
  <c r="AI63" i="11" s="1"/>
  <c r="R119" i="11" a="1"/>
  <c r="R119" i="11" s="1"/>
  <c r="Y109" i="11" a="1"/>
  <c r="Y109" i="11" s="1"/>
  <c r="R108" i="11" a="1"/>
  <c r="R108" i="11" s="1"/>
  <c r="P101" i="11" a="1"/>
  <c r="P101" i="11" s="1"/>
  <c r="AB98" i="11" a="1"/>
  <c r="AB98" i="11" s="1"/>
  <c r="T86" i="11" a="1"/>
  <c r="T86" i="11" s="1"/>
  <c r="X84" i="11" a="1"/>
  <c r="X84" i="11" s="1"/>
  <c r="AJ73" i="11" a="1"/>
  <c r="AJ73" i="11" s="1"/>
  <c r="S73" i="11" a="1"/>
  <c r="S73" i="11" s="1"/>
  <c r="AA72" i="11" a="1"/>
  <c r="AA72" i="11" s="1"/>
  <c r="AH71" i="11" a="1"/>
  <c r="AH71" i="11" s="1"/>
  <c r="S71" i="11" a="1"/>
  <c r="S71" i="11" s="1"/>
  <c r="AA63" i="11" a="1"/>
  <c r="AA63" i="11" s="1"/>
  <c r="AB56" i="11" a="1"/>
  <c r="AB56" i="11" s="1"/>
  <c r="P56" i="11" a="1"/>
  <c r="P56" i="11" s="1"/>
  <c r="AB55" i="11" a="1"/>
  <c r="AB55" i="11" s="1"/>
  <c r="AA54" i="11" a="1"/>
  <c r="AA54" i="11" s="1"/>
  <c r="P54" i="11" a="1"/>
  <c r="P54" i="11" s="1"/>
  <c r="AL40" i="11" a="1"/>
  <c r="AL40" i="11" s="1"/>
  <c r="Y39" i="11" a="1"/>
  <c r="Y39" i="11" s="1"/>
  <c r="AL38" i="11" a="1"/>
  <c r="AL38" i="11" s="1"/>
  <c r="Y38" i="11" a="1"/>
  <c r="Y38" i="11" s="1"/>
  <c r="AA23" i="11" a="1"/>
  <c r="AA23" i="11" s="1"/>
  <c r="V19" i="11" a="1"/>
  <c r="V19" i="11" s="1"/>
  <c r="W91" i="10" a="1"/>
  <c r="W91" i="10" s="1"/>
  <c r="Q90" i="10" a="1"/>
  <c r="Q90" i="10" s="1"/>
  <c r="AE78" i="10" a="1"/>
  <c r="AE78" i="10" s="1"/>
  <c r="AE81" i="10" s="1"/>
  <c r="AA77" i="10" a="1"/>
  <c r="AA77" i="10" s="1"/>
  <c r="AA80" i="10" s="1"/>
  <c r="R77" i="10" a="1"/>
  <c r="R77" i="10" s="1"/>
  <c r="AE20" i="10" a="1"/>
  <c r="AE20" i="10" s="1"/>
  <c r="AE23" i="10" s="1"/>
  <c r="V20" i="10" a="1"/>
  <c r="V20" i="10" s="1"/>
  <c r="V23" i="10" s="1"/>
  <c r="AD19" i="10" a="1"/>
  <c r="AD19" i="10" s="1"/>
  <c r="AD22" i="10" s="1"/>
  <c r="U19" i="10" a="1"/>
  <c r="U19" i="10" s="1"/>
  <c r="U22" i="10" s="1"/>
  <c r="AG120" i="11" a="1"/>
  <c r="AG120" i="11" s="1"/>
  <c r="Q119" i="11" a="1"/>
  <c r="Q119" i="11" s="1"/>
  <c r="W109" i="11" a="1"/>
  <c r="W109" i="11" s="1"/>
  <c r="Z102" i="11" a="1"/>
  <c r="Z102" i="11" s="1"/>
  <c r="O101" i="11" a="1"/>
  <c r="O101" i="11" s="1"/>
  <c r="AA98" i="11" a="1"/>
  <c r="AA98" i="11" s="1"/>
  <c r="V88" i="11" a="1"/>
  <c r="V88" i="11" s="1"/>
  <c r="AI73" i="11" a="1"/>
  <c r="AI73" i="11" s="1"/>
  <c r="Q73" i="11" a="1"/>
  <c r="Q73" i="11" s="1"/>
  <c r="X72" i="11" a="1"/>
  <c r="X72" i="11" s="1"/>
  <c r="AG71" i="11" a="1"/>
  <c r="AG71" i="11" s="1"/>
  <c r="AA64" i="11" a="1"/>
  <c r="AA64" i="11" s="1"/>
  <c r="AL62" i="11" a="1"/>
  <c r="AL62" i="11" s="1"/>
  <c r="AA56" i="11" a="1"/>
  <c r="AA56" i="11" s="1"/>
  <c r="AA55" i="11" a="1"/>
  <c r="AA55" i="11" s="1"/>
  <c r="P55" i="11" a="1"/>
  <c r="P55" i="11" s="1"/>
  <c r="O54" i="11" a="1"/>
  <c r="O54" i="11" s="1"/>
  <c r="Y40" i="11" a="1"/>
  <c r="Y40" i="11" s="1"/>
  <c r="AL39" i="11" a="1"/>
  <c r="AL39" i="11" s="1"/>
  <c r="AK38" i="11" a="1"/>
  <c r="AK38" i="11" s="1"/>
  <c r="AA22" i="11" a="1"/>
  <c r="AA22" i="11" s="1"/>
  <c r="P22" i="11" a="1"/>
  <c r="P22" i="11" s="1"/>
  <c r="Q21" i="11" a="1"/>
  <c r="Q21" i="11" s="1"/>
  <c r="T20" i="11" a="1"/>
  <c r="T20" i="11" s="1"/>
  <c r="AA90" i="10" a="1"/>
  <c r="AA90" i="10" s="1"/>
  <c r="AA93" i="10" s="1"/>
  <c r="Y102" i="11" a="1"/>
  <c r="Y102" i="11" s="1"/>
  <c r="AB100" i="11" a="1"/>
  <c r="AB100" i="11" s="1"/>
  <c r="Z98" i="11" a="1"/>
  <c r="Z98" i="11" s="1"/>
  <c r="W84" i="11" a="1"/>
  <c r="W84" i="11" s="1"/>
  <c r="P73" i="11" a="1"/>
  <c r="P73" i="11" s="1"/>
  <c r="AF71" i="11" a="1"/>
  <c r="AF71" i="11" s="1"/>
  <c r="R71" i="11" a="1"/>
  <c r="R71" i="11" s="1"/>
  <c r="O56" i="11" a="1"/>
  <c r="O56" i="11" s="1"/>
  <c r="Z54" i="11" a="1"/>
  <c r="Z54" i="11" s="1"/>
  <c r="AK40" i="11" a="1"/>
  <c r="AK40" i="11" s="1"/>
  <c r="X39" i="11" a="1"/>
  <c r="X39" i="11" s="1"/>
  <c r="AJ38" i="11" a="1"/>
  <c r="AJ38" i="11" s="1"/>
  <c r="X38" i="11" a="1"/>
  <c r="X38" i="11" s="1"/>
  <c r="Z23" i="11" a="1"/>
  <c r="Z23" i="11" s="1"/>
  <c r="AB21" i="11" a="1"/>
  <c r="AB21" i="11" s="1"/>
  <c r="S20" i="11" a="1"/>
  <c r="S20" i="11" s="1"/>
  <c r="T19" i="11" a="1"/>
  <c r="T19" i="11" s="1"/>
  <c r="V91" i="10" a="1"/>
  <c r="V91" i="10" s="1"/>
  <c r="O90" i="10" a="1"/>
  <c r="O90" i="10" s="1"/>
  <c r="AD78" i="10" a="1"/>
  <c r="AD78" i="10" s="1"/>
  <c r="AD81" i="10" s="1"/>
  <c r="Z77" i="10" a="1"/>
  <c r="Z77" i="10" s="1"/>
  <c r="Q77" i="10" a="1"/>
  <c r="Q77" i="10" s="1"/>
  <c r="AD20" i="10" a="1"/>
  <c r="AD20" i="10" s="1"/>
  <c r="AD23" i="10" s="1"/>
  <c r="U20" i="10" a="1"/>
  <c r="U20" i="10" s="1"/>
  <c r="U23" i="10" s="1"/>
  <c r="AC19" i="10" a="1"/>
  <c r="AC19" i="10" s="1"/>
  <c r="AC22" i="10" s="1"/>
  <c r="AI39" i="11" a="1"/>
  <c r="AI39" i="11" s="1"/>
  <c r="Y23" i="11" a="1"/>
  <c r="Y23" i="11" s="1"/>
  <c r="AA21" i="11" a="1"/>
  <c r="AA21" i="11" s="1"/>
  <c r="P21" i="11" a="1"/>
  <c r="P21" i="11" s="1"/>
  <c r="Z90" i="10" a="1"/>
  <c r="Z90" i="10" s="1"/>
  <c r="R78" i="10" a="1"/>
  <c r="R78" i="10" s="1"/>
  <c r="S19" i="10" a="1"/>
  <c r="S19" i="10" s="1"/>
  <c r="S22" i="10" s="1"/>
  <c r="W120" i="11" a="1"/>
  <c r="W120" i="11" s="1"/>
  <c r="P119" i="11" a="1"/>
  <c r="P119" i="11" s="1"/>
  <c r="V109" i="11" a="1"/>
  <c r="V109" i="11" s="1"/>
  <c r="W102" i="11" a="1"/>
  <c r="W102" i="11" s="1"/>
  <c r="V100" i="11" a="1"/>
  <c r="V100" i="11" s="1"/>
  <c r="Y98" i="11" a="1"/>
  <c r="Y98" i="11" s="1"/>
  <c r="U88" i="11" a="1"/>
  <c r="U88" i="11" s="1"/>
  <c r="R86" i="11" a="1"/>
  <c r="R86" i="11" s="1"/>
  <c r="AH73" i="11" a="1"/>
  <c r="AH73" i="11" s="1"/>
  <c r="U72" i="11" a="1"/>
  <c r="U72" i="11" s="1"/>
  <c r="AE71" i="11" a="1"/>
  <c r="AE71" i="11" s="1"/>
  <c r="Q71" i="11" a="1"/>
  <c r="Q71" i="11" s="1"/>
  <c r="AL63" i="11" a="1"/>
  <c r="AL63" i="11" s="1"/>
  <c r="AK62" i="11" a="1"/>
  <c r="AK62" i="11" s="1"/>
  <c r="Z55" i="11" a="1"/>
  <c r="Z55" i="11" s="1"/>
  <c r="AL54" i="11" a="1"/>
  <c r="AL54" i="11" s="1"/>
  <c r="AJ40" i="11" a="1"/>
  <c r="AJ40" i="11" s="1"/>
  <c r="X40" i="11" a="1"/>
  <c r="X40" i="11" s="1"/>
  <c r="AI38" i="11" a="1"/>
  <c r="AI38" i="11" s="1"/>
  <c r="Z22" i="11" a="1"/>
  <c r="Z22" i="11" s="1"/>
  <c r="R20" i="11" a="1"/>
  <c r="R20" i="11" s="1"/>
  <c r="AB110" i="11" a="1"/>
  <c r="AB110" i="11" s="1"/>
  <c r="U100" i="11" a="1"/>
  <c r="U100" i="11" s="1"/>
  <c r="X98" i="11" a="1"/>
  <c r="X98" i="11" s="1"/>
  <c r="AB87" i="11" a="1"/>
  <c r="AB87" i="11" s="1"/>
  <c r="P84" i="11" a="1"/>
  <c r="P84" i="11" s="1"/>
  <c r="AG73" i="11" a="1"/>
  <c r="AG73" i="11" s="1"/>
  <c r="AL72" i="11" a="1"/>
  <c r="AL72" i="11" s="1"/>
  <c r="O71" i="11" a="1"/>
  <c r="O71" i="11" s="1"/>
  <c r="AK64" i="11" a="1"/>
  <c r="AK64" i="11" s="1"/>
  <c r="AL56" i="11" a="1"/>
  <c r="AL56" i="11" s="1"/>
  <c r="Y56" i="11" a="1"/>
  <c r="Y56" i="11" s="1"/>
  <c r="AL55" i="11" a="1"/>
  <c r="AL55" i="11" s="1"/>
  <c r="AK54" i="11" a="1"/>
  <c r="AK54" i="11" s="1"/>
  <c r="AI40" i="11" a="1"/>
  <c r="AI40" i="11" s="1"/>
  <c r="AH39" i="11" a="1"/>
  <c r="AH39" i="11" s="1"/>
  <c r="AH38" i="11" a="1"/>
  <c r="AH38" i="11" s="1"/>
  <c r="W38" i="11" a="1"/>
  <c r="W38" i="11" s="1"/>
  <c r="Q20" i="11" a="1"/>
  <c r="Q20" i="11" s="1"/>
  <c r="S19" i="11" a="1"/>
  <c r="S19" i="11" s="1"/>
  <c r="Y77" i="10" a="1"/>
  <c r="Y77" i="10" s="1"/>
  <c r="P77" i="10" a="1"/>
  <c r="P77" i="10" s="1"/>
  <c r="AC20" i="10" a="1"/>
  <c r="AC20" i="10" s="1"/>
  <c r="AC23" i="10" s="1"/>
  <c r="T20" i="10" a="1"/>
  <c r="T20" i="10" s="1"/>
  <c r="T23" i="10" s="1"/>
  <c r="R120" i="11" a="1"/>
  <c r="R120" i="11" s="1"/>
  <c r="AF118" i="11" a="1"/>
  <c r="AF118" i="11" s="1"/>
  <c r="AA110" i="11" a="1"/>
  <c r="AA110" i="11" s="1"/>
  <c r="V102" i="11" a="1"/>
  <c r="V102" i="11" s="1"/>
  <c r="S100" i="11" a="1"/>
  <c r="S100" i="11" s="1"/>
  <c r="R98" i="11" a="1"/>
  <c r="R98" i="11" s="1"/>
  <c r="Q86" i="11" a="1"/>
  <c r="Q86" i="11" s="1"/>
  <c r="AF73" i="11" a="1"/>
  <c r="AF73" i="11" s="1"/>
  <c r="AK63" i="11" a="1"/>
  <c r="AK63" i="11" s="1"/>
  <c r="AI62" i="11" a="1"/>
  <c r="AI62" i="11" s="1"/>
  <c r="AK56" i="11" a="1"/>
  <c r="AK56" i="11" s="1"/>
  <c r="AK55" i="11" a="1"/>
  <c r="AK55" i="11" s="1"/>
  <c r="Y55" i="11" a="1"/>
  <c r="Y55" i="11" s="1"/>
  <c r="AJ54" i="11" a="1"/>
  <c r="AJ54" i="11" s="1"/>
  <c r="X54" i="11" a="1"/>
  <c r="X54" i="11" s="1"/>
  <c r="AH40" i="11" a="1"/>
  <c r="AH40" i="11" s="1"/>
  <c r="W40" i="11" a="1"/>
  <c r="W40" i="11" s="1"/>
  <c r="V39" i="11" a="1"/>
  <c r="V39" i="11" s="1"/>
  <c r="V23" i="11" a="1"/>
  <c r="V23" i="11" s="1"/>
  <c r="Z21" i="11" a="1"/>
  <c r="Z21" i="11" s="1"/>
  <c r="O21" i="11" a="1"/>
  <c r="O21" i="11" s="1"/>
  <c r="X90" i="10" a="1"/>
  <c r="X90" i="10" s="1"/>
  <c r="AA78" i="10" a="1"/>
  <c r="AA78" i="10" s="1"/>
  <c r="Q78" i="10" a="1"/>
  <c r="Q78" i="10" s="1"/>
  <c r="AA19" i="10" a="1"/>
  <c r="AA19" i="10" s="1"/>
  <c r="AA22" i="10" s="1"/>
  <c r="R19" i="10" a="1"/>
  <c r="R19" i="10" s="1"/>
  <c r="R22" i="10" s="1"/>
  <c r="AF108" i="11" a="1"/>
  <c r="AF108" i="11" s="1"/>
  <c r="Q98" i="11" a="1"/>
  <c r="Q98" i="11" s="1"/>
  <c r="Z87" i="11" a="1"/>
  <c r="Z87" i="11" s="1"/>
  <c r="X85" i="11" a="1"/>
  <c r="X85" i="11" s="1"/>
  <c r="AK72" i="11" a="1"/>
  <c r="AK72" i="11" s="1"/>
  <c r="S72" i="11" a="1"/>
  <c r="S72" i="11" s="1"/>
  <c r="AB71" i="11" a="1"/>
  <c r="AB71" i="11" s="1"/>
  <c r="AJ64" i="11" a="1"/>
  <c r="AJ64" i="11" s="1"/>
  <c r="AJ63" i="11" a="1"/>
  <c r="AJ63" i="11" s="1"/>
  <c r="AI56" i="11" a="1"/>
  <c r="AI56" i="11" s="1"/>
  <c r="X56" i="11" a="1"/>
  <c r="X56" i="11" s="1"/>
  <c r="AJ55" i="11" a="1"/>
  <c r="AJ55" i="11" s="1"/>
  <c r="AI54" i="11" a="1"/>
  <c r="AI54" i="11" s="1"/>
  <c r="AG39" i="11" a="1"/>
  <c r="AG39" i="11" s="1"/>
  <c r="AG38" i="11" a="1"/>
  <c r="AG38" i="11" s="1"/>
  <c r="V38" i="11" a="1"/>
  <c r="V38" i="11" s="1"/>
  <c r="X22" i="11" a="1"/>
  <c r="X22" i="11" s="1"/>
  <c r="O20" i="11" a="1"/>
  <c r="O20" i="11" s="1"/>
  <c r="Q19" i="11" a="1"/>
  <c r="Q19" i="11" s="1"/>
  <c r="AE91" i="10" a="1"/>
  <c r="AE91" i="10" s="1"/>
  <c r="AE94" i="10" s="1"/>
  <c r="X77" i="10" a="1"/>
  <c r="X77" i="10" s="1"/>
  <c r="O77" i="10" a="1"/>
  <c r="O77" i="10" s="1"/>
  <c r="AB20" i="10" a="1"/>
  <c r="AB20" i="10" s="1"/>
  <c r="Q19" i="10" a="1"/>
  <c r="Q19" i="10" s="1"/>
  <c r="Q22" i="10" s="1"/>
  <c r="W22" i="11" a="1"/>
  <c r="W22" i="11" s="1"/>
  <c r="AB20" i="11" a="1"/>
  <c r="AB20" i="11" s="1"/>
  <c r="R91" i="10" a="1"/>
  <c r="R91" i="10" s="1"/>
  <c r="W90" i="10" a="1"/>
  <c r="W90" i="10" s="1"/>
  <c r="P78" i="10" a="1"/>
  <c r="P78" i="10" s="1"/>
  <c r="R20" i="10" a="1"/>
  <c r="R20" i="10" s="1"/>
  <c r="R23" i="10" s="1"/>
  <c r="Q120" i="11" a="1"/>
  <c r="Q120" i="11" s="1"/>
  <c r="Z110" i="11" a="1"/>
  <c r="Z110" i="11" s="1"/>
  <c r="AE108" i="11" a="1"/>
  <c r="AE108" i="11" s="1"/>
  <c r="R100" i="11" a="1"/>
  <c r="R100" i="11" s="1"/>
  <c r="O98" i="11" a="1"/>
  <c r="O98" i="11" s="1"/>
  <c r="Y87" i="11" a="1"/>
  <c r="Y87" i="11" s="1"/>
  <c r="AG63" i="11" a="1"/>
  <c r="AG63" i="11" s="1"/>
  <c r="AH62" i="11" a="1"/>
  <c r="AH62" i="11" s="1"/>
  <c r="AI55" i="11" a="1"/>
  <c r="AI55" i="11" s="1"/>
  <c r="W55" i="11" a="1"/>
  <c r="W55" i="11" s="1"/>
  <c r="AH54" i="11" a="1"/>
  <c r="AH54" i="11" s="1"/>
  <c r="W54" i="11" a="1"/>
  <c r="W54" i="11" s="1"/>
  <c r="AG40" i="11" a="1"/>
  <c r="AG40" i="11" s="1"/>
  <c r="U40" i="11" a="1"/>
  <c r="U40" i="11" s="1"/>
  <c r="AF39" i="11" a="1"/>
  <c r="AF39" i="11" s="1"/>
  <c r="U39" i="11" a="1"/>
  <c r="U39" i="11" s="1"/>
  <c r="T38" i="11" a="1"/>
  <c r="T38" i="11" s="1"/>
  <c r="U23" i="11" a="1"/>
  <c r="U23" i="11" s="1"/>
  <c r="Y21" i="11" a="1"/>
  <c r="Y21" i="11" s="1"/>
  <c r="P19" i="11" a="1"/>
  <c r="P19" i="11" s="1"/>
  <c r="Z78" i="10" a="1"/>
  <c r="Z78" i="10" s="1"/>
  <c r="Z19" i="10" a="1"/>
  <c r="Z19" i="10" s="1"/>
  <c r="Z22" i="10" s="1"/>
  <c r="AD118" i="11" a="1"/>
  <c r="AD118" i="11" s="1"/>
  <c r="AB101" i="11" a="1"/>
  <c r="AB101" i="11" s="1"/>
  <c r="X87" i="11" a="1"/>
  <c r="X87" i="11" s="1"/>
  <c r="V85" i="11" a="1"/>
  <c r="V85" i="11" s="1"/>
  <c r="AA73" i="11" a="1"/>
  <c r="AA73" i="11" s="1"/>
  <c r="R72" i="11" a="1"/>
  <c r="R72" i="11" s="1"/>
  <c r="Z71" i="11" a="1"/>
  <c r="Z71" i="11" s="1"/>
  <c r="AI64" i="11" a="1"/>
  <c r="AI64" i="11" s="1"/>
  <c r="AG62" i="11" a="1"/>
  <c r="AG62" i="11" s="1"/>
  <c r="AH56" i="11" a="1"/>
  <c r="AH56" i="11" s="1"/>
  <c r="W56" i="11" a="1"/>
  <c r="W56" i="11" s="1"/>
  <c r="T40" i="11" a="1"/>
  <c r="T40" i="11" s="1"/>
  <c r="T39" i="11" a="1"/>
  <c r="T39" i="11" s="1"/>
  <c r="AF38" i="11" a="1"/>
  <c r="AF38" i="11" s="1"/>
  <c r="S38" i="11" a="1"/>
  <c r="S38" i="11" s="1"/>
  <c r="T23" i="11" a="1"/>
  <c r="T23" i="11" s="1"/>
  <c r="V22" i="11" a="1"/>
  <c r="V22" i="11" s="1"/>
  <c r="Y20" i="11" a="1"/>
  <c r="Y20" i="11" s="1"/>
  <c r="AB19" i="11" a="1"/>
  <c r="AB19" i="11" s="1"/>
  <c r="O19" i="11" a="1"/>
  <c r="O19" i="11" s="1"/>
  <c r="AD91" i="10" a="1"/>
  <c r="AD91" i="10" s="1"/>
  <c r="AD94" i="10" s="1"/>
  <c r="W77" i="10" a="1"/>
  <c r="W77" i="10" s="1"/>
  <c r="Y19" i="10" a="1"/>
  <c r="Y19" i="10" s="1"/>
  <c r="Y22" i="10" s="1"/>
  <c r="P19" i="10" a="1"/>
  <c r="P19" i="10" s="1"/>
  <c r="P22" i="10" s="1"/>
  <c r="AC118" i="11" a="1"/>
  <c r="AC118" i="11" s="1"/>
  <c r="AD108" i="11" a="1"/>
  <c r="AD108" i="11" s="1"/>
  <c r="AA101" i="11" a="1"/>
  <c r="AA101" i="11" s="1"/>
  <c r="W87" i="11" a="1"/>
  <c r="W87" i="11" s="1"/>
  <c r="U85" i="11" a="1"/>
  <c r="U85" i="11" s="1"/>
  <c r="AG72" i="11" a="1"/>
  <c r="AG72" i="11" s="1"/>
  <c r="Q72" i="11" a="1"/>
  <c r="Q72" i="11" s="1"/>
  <c r="Y71" i="11" a="1"/>
  <c r="Y71" i="11" s="1"/>
  <c r="AF63" i="11" a="1"/>
  <c r="AF63" i="11" s="1"/>
  <c r="AF62" i="11" a="1"/>
  <c r="AF62" i="11" s="1"/>
  <c r="AG55" i="11" a="1"/>
  <c r="AG55" i="11" s="1"/>
  <c r="V55" i="11" a="1"/>
  <c r="V55" i="11" s="1"/>
  <c r="AG54" i="11" a="1"/>
  <c r="AG54" i="11" s="1"/>
  <c r="V54" i="11" a="1"/>
  <c r="V54" i="11" s="1"/>
  <c r="AE40" i="11" a="1"/>
  <c r="AE40" i="11" s="1"/>
  <c r="S40" i="11" a="1"/>
  <c r="S40" i="11" s="1"/>
  <c r="AE39" i="11" a="1"/>
  <c r="AE39" i="11" s="1"/>
  <c r="S39" i="11" a="1"/>
  <c r="S39" i="11" s="1"/>
  <c r="R38" i="11" a="1"/>
  <c r="R38" i="11" s="1"/>
  <c r="U22" i="11" a="1"/>
  <c r="U22" i="11" s="1"/>
  <c r="X21" i="11" a="1"/>
  <c r="X21" i="11" s="1"/>
  <c r="AA19" i="11" a="1"/>
  <c r="AA19" i="11" s="1"/>
  <c r="P91" i="10" a="1"/>
  <c r="P91" i="10" s="1"/>
  <c r="Y78" i="10" a="1"/>
  <c r="Y78" i="10" s="1"/>
  <c r="O78" i="10" a="1"/>
  <c r="O78" i="10" s="1"/>
  <c r="Z20" i="10" a="1"/>
  <c r="Z20" i="10" s="1"/>
  <c r="Z23" i="10" s="1"/>
  <c r="AB118" i="11" a="1"/>
  <c r="AB118" i="11" s="1"/>
  <c r="R110" i="11" a="1"/>
  <c r="R110" i="11" s="1"/>
  <c r="X99" i="11" a="1"/>
  <c r="X99" i="11" s="1"/>
  <c r="Q87" i="11" a="1"/>
  <c r="Q87" i="11" s="1"/>
  <c r="T85" i="11" a="1"/>
  <c r="T85" i="11" s="1"/>
  <c r="Y73" i="11" a="1"/>
  <c r="Y73" i="11" s="1"/>
  <c r="AL71" i="11" a="1"/>
  <c r="AL71" i="11" s="1"/>
  <c r="X71" i="11" a="1"/>
  <c r="X71" i="11" s="1"/>
  <c r="AH64" i="11" a="1"/>
  <c r="AH64" i="11" s="1"/>
  <c r="AE62" i="11" a="1"/>
  <c r="AE62" i="11" s="1"/>
  <c r="AG56" i="11" a="1"/>
  <c r="AG56" i="11" s="1"/>
  <c r="V56" i="11" a="1"/>
  <c r="V56" i="11" s="1"/>
  <c r="T55" i="11" a="1"/>
  <c r="T55" i="11" s="1"/>
  <c r="U54" i="11" a="1"/>
  <c r="U54" i="11" s="1"/>
  <c r="R39" i="11" a="1"/>
  <c r="R39" i="11" s="1"/>
  <c r="AD38" i="11" a="1"/>
  <c r="AD38" i="11" s="1"/>
  <c r="S23" i="11" a="1"/>
  <c r="S23" i="11" s="1"/>
  <c r="X20" i="11" a="1"/>
  <c r="X20" i="11" s="1"/>
  <c r="P20" i="10" a="1"/>
  <c r="P20" i="10" s="1"/>
  <c r="P23" i="10" s="1"/>
  <c r="X19" i="10" a="1"/>
  <c r="X19" i="10" s="1"/>
  <c r="X22" i="10" s="1"/>
  <c r="O19" i="10" a="1"/>
  <c r="O19" i="10" s="1"/>
  <c r="O22" i="10" s="1"/>
  <c r="AB119" i="11" a="1"/>
  <c r="AB119" i="11" s="1"/>
  <c r="AF109" i="11" a="1"/>
  <c r="AF109" i="11" s="1"/>
  <c r="T108" i="11" a="1"/>
  <c r="T108" i="11" s="1"/>
  <c r="R101" i="11" a="1"/>
  <c r="R101" i="11" s="1"/>
  <c r="X88" i="11" a="1"/>
  <c r="X88" i="11" s="1"/>
  <c r="Z84" i="11" a="1"/>
  <c r="Z84" i="11" s="1"/>
  <c r="AL73" i="11" a="1"/>
  <c r="AL73" i="11" s="1"/>
  <c r="V73" i="11" a="1"/>
  <c r="V73" i="11" s="1"/>
  <c r="AB72" i="11" a="1"/>
  <c r="AB72" i="11" s="1"/>
  <c r="AI71" i="11" a="1"/>
  <c r="AI71" i="11" s="1"/>
  <c r="AC64" i="11" a="1"/>
  <c r="AC64" i="11" s="1"/>
  <c r="AC63" i="11" a="1"/>
  <c r="AC63" i="11" s="1"/>
  <c r="AE56" i="11" a="1"/>
  <c r="AE56" i="11" s="1"/>
  <c r="AD55" i="11" a="1"/>
  <c r="AD55" i="11" s="1"/>
  <c r="Q54" i="11" a="1"/>
  <c r="Q54" i="11" s="1"/>
  <c r="AA40" i="11" a="1"/>
  <c r="AA40" i="11" s="1"/>
  <c r="AB39" i="11" a="1"/>
  <c r="AB39" i="11" s="1"/>
  <c r="O39" i="11" a="1"/>
  <c r="O39" i="11" s="1"/>
  <c r="Z38" i="11" a="1"/>
  <c r="Z38" i="11" s="1"/>
  <c r="O38" i="11" a="1"/>
  <c r="O38" i="11" s="1"/>
  <c r="AB23" i="11" a="1"/>
  <c r="AB23" i="11" s="1"/>
  <c r="AB12" i="11" s="1"/>
  <c r="AB15" i="11" s="1"/>
  <c r="P23" i="11" a="1"/>
  <c r="P23" i="11" s="1"/>
  <c r="S21" i="11" a="1"/>
  <c r="S21" i="11" s="1"/>
  <c r="W19" i="11" a="1"/>
  <c r="W19" i="11" s="1"/>
  <c r="R90" i="10" a="1"/>
  <c r="R90" i="10" s="1"/>
  <c r="V78" i="10" a="1"/>
  <c r="V78" i="10" s="1"/>
  <c r="AH120" i="11" a="1"/>
  <c r="AH120" i="11" s="1"/>
  <c r="T119" i="11" a="1"/>
  <c r="T119" i="11" s="1"/>
  <c r="Q118" i="11" a="1"/>
  <c r="Q118" i="11" s="1"/>
  <c r="Z109" i="11" a="1"/>
  <c r="Z109" i="11" s="1"/>
  <c r="S108" i="11" a="1"/>
  <c r="S108" i="11" s="1"/>
  <c r="Q101" i="11" a="1"/>
  <c r="Q101" i="11" s="1"/>
  <c r="AA86" i="11" a="1"/>
  <c r="AA86" i="11" s="1"/>
  <c r="T73" i="11" a="1"/>
  <c r="T73" i="11" s="1"/>
  <c r="U71" i="11" a="1"/>
  <c r="U71" i="11" s="1"/>
  <c r="AB64" i="11" a="1"/>
  <c r="AB64" i="11" s="1"/>
  <c r="AB63" i="11" a="1"/>
  <c r="AB63" i="11" s="1"/>
  <c r="AB62" i="11" a="1"/>
  <c r="AB62" i="11" s="1"/>
  <c r="AC56" i="11" a="1"/>
  <c r="AC56" i="11" s="1"/>
  <c r="Q56" i="11" a="1"/>
  <c r="Q56" i="11" s="1"/>
  <c r="AC55" i="11" a="1"/>
  <c r="AC55" i="11" s="1"/>
  <c r="Q55" i="11" a="1"/>
  <c r="Q55" i="11" s="1"/>
  <c r="AD54" i="11" a="1"/>
  <c r="AD54" i="11" s="1"/>
  <c r="Z40" i="11" a="1"/>
  <c r="Z40" i="11" s="1"/>
  <c r="O40" i="11" a="1"/>
  <c r="O40" i="11" s="1"/>
  <c r="AA39" i="11" a="1"/>
  <c r="AA39" i="11" s="1"/>
  <c r="O23" i="11" a="1"/>
  <c r="O23" i="11" s="1"/>
  <c r="Q22" i="11" a="1"/>
  <c r="Q22" i="11" s="1"/>
  <c r="R21" i="11" a="1"/>
  <c r="R21" i="11" s="1"/>
  <c r="U20" i="11" a="1"/>
  <c r="U20" i="11" s="1"/>
  <c r="AB77" i="10" a="1"/>
  <c r="AB77" i="10" s="1"/>
  <c r="AB80" i="10" s="1"/>
  <c r="AC119" i="11" a="1"/>
  <c r="AC119" i="11" s="1"/>
  <c r="X73" i="11" a="1"/>
  <c r="X73" i="11" s="1"/>
  <c r="AD62" i="11" a="1"/>
  <c r="AD62" i="11" s="1"/>
  <c r="R55" i="11" a="1"/>
  <c r="R55" i="11" s="1"/>
  <c r="W20" i="10" a="1"/>
  <c r="W20" i="10" s="1"/>
  <c r="W23" i="10" s="1"/>
  <c r="P38" i="11" a="1"/>
  <c r="P38" i="11" s="1"/>
  <c r="Q110" i="11" a="1"/>
  <c r="Q110" i="11" s="1"/>
  <c r="U118" i="11" a="1"/>
  <c r="U118" i="11" s="1"/>
  <c r="V99" i="11" a="1"/>
  <c r="V99" i="11" s="1"/>
  <c r="W73" i="11" a="1"/>
  <c r="W73" i="11" s="1"/>
  <c r="AF54" i="11" a="1"/>
  <c r="AF54" i="11" s="1"/>
  <c r="V20" i="11" a="1"/>
  <c r="V20" i="11" s="1"/>
  <c r="Z91" i="10" a="1"/>
  <c r="Z91" i="10" s="1"/>
  <c r="X78" i="10" a="1"/>
  <c r="X78" i="10" s="1"/>
  <c r="P87" i="11" a="1"/>
  <c r="P87" i="11" s="1"/>
  <c r="T118" i="11" a="1"/>
  <c r="T118" i="11" s="1"/>
  <c r="AC62" i="11" a="1"/>
  <c r="AC62" i="11" s="1"/>
  <c r="AC38" i="11" a="1"/>
  <c r="AC38" i="11" s="1"/>
  <c r="Z19" i="11" a="1"/>
  <c r="Z19" i="11" s="1"/>
  <c r="Q20" i="10" a="1"/>
  <c r="Q20" i="10" s="1"/>
  <c r="Q23" i="10" s="1"/>
  <c r="S54" i="11" a="1"/>
  <c r="S54" i="11" s="1"/>
  <c r="AE90" i="10" a="1"/>
  <c r="AE90" i="10" s="1"/>
  <c r="AE93" i="10" s="1"/>
  <c r="R118" i="11" a="1"/>
  <c r="R118" i="11" s="1"/>
  <c r="AD72" i="11" a="1"/>
  <c r="AD72" i="11" s="1"/>
  <c r="AE54" i="11" a="1"/>
  <c r="AE54" i="11" s="1"/>
  <c r="AB38" i="11" a="1"/>
  <c r="AB38" i="11" s="1"/>
  <c r="Y19" i="11" a="1"/>
  <c r="Y19" i="11" s="1"/>
  <c r="Y91" i="10" a="1"/>
  <c r="Y91" i="10" s="1"/>
  <c r="W78" i="10" a="1"/>
  <c r="W78" i="10" s="1"/>
  <c r="AC72" i="11" a="1"/>
  <c r="AC72" i="11" s="1"/>
  <c r="T54" i="11" a="1"/>
  <c r="T54" i="11" s="1"/>
  <c r="X19" i="11" a="1"/>
  <c r="X19" i="11" s="1"/>
  <c r="O91" i="10" a="1"/>
  <c r="O91" i="10" s="1"/>
  <c r="AE77" i="10" a="1"/>
  <c r="AE77" i="10" s="1"/>
  <c r="AE80" i="10" s="1"/>
  <c r="O20" i="10" a="1"/>
  <c r="O20" i="10" s="1"/>
  <c r="AD40" i="11" a="1"/>
  <c r="AD40" i="11" s="1"/>
  <c r="P110" i="11" a="1"/>
  <c r="P110" i="11" s="1"/>
  <c r="AK71" i="11" a="1"/>
  <c r="AK71" i="11" s="1"/>
  <c r="AB40" i="11" a="1"/>
  <c r="AB40" i="11" s="1"/>
  <c r="R23" i="11" a="1"/>
  <c r="R23" i="11" s="1"/>
  <c r="S85" i="11" a="1"/>
  <c r="S85" i="11" s="1"/>
  <c r="W71" i="11" a="1"/>
  <c r="W71" i="11" s="1"/>
  <c r="T22" i="11" a="1"/>
  <c r="T22" i="11" s="1"/>
  <c r="U108" i="11" a="1"/>
  <c r="U108" i="11" s="1"/>
  <c r="AA84" i="11" a="1"/>
  <c r="AA84" i="11" s="1"/>
  <c r="V71" i="11" a="1"/>
  <c r="V71" i="11" s="1"/>
  <c r="AD64" i="11" a="1"/>
  <c r="AD64" i="11" s="1"/>
  <c r="AF55" i="11" a="1"/>
  <c r="AF55" i="11" s="1"/>
  <c r="AD39" i="11" a="1"/>
  <c r="AD39" i="11" s="1"/>
  <c r="S22" i="11" a="1"/>
  <c r="S22" i="11" s="1"/>
  <c r="S77" i="10" a="1"/>
  <c r="S77" i="10" s="1"/>
  <c r="Z101" i="11" a="1"/>
  <c r="Z101" i="11" s="1"/>
  <c r="V21" i="11" a="1"/>
  <c r="V21" i="11" s="1"/>
  <c r="V19" i="10" a="1"/>
  <c r="V19" i="10" s="1"/>
  <c r="V22" i="10" s="1"/>
  <c r="AC39" i="11" a="1"/>
  <c r="AC39" i="11" s="1"/>
  <c r="AD63" i="11" a="1"/>
  <c r="AD63" i="11" s="1"/>
  <c r="S55" i="11" a="1"/>
  <c r="S55" i="11" s="1"/>
  <c r="T21" i="11" a="1"/>
  <c r="T21" i="11" s="1"/>
  <c r="X20" i="10" a="1"/>
  <c r="X20" i="10" s="1"/>
  <c r="X23" i="10" s="1"/>
  <c r="AD119" i="11" a="1"/>
  <c r="AD119" i="11" s="1"/>
  <c r="W99" i="11" a="1"/>
  <c r="W99" i="11" s="1"/>
  <c r="Q39" i="11" a="1"/>
  <c r="Q39" i="11" s="1"/>
  <c r="O110" i="11" a="1"/>
  <c r="O110" i="11" s="1"/>
  <c r="U56" i="11" a="1"/>
  <c r="U56" i="11" s="1"/>
  <c r="V108" i="11" a="1"/>
  <c r="V108" i="11" s="1"/>
  <c r="R56" i="11" a="1"/>
  <c r="R56" i="11" s="1"/>
  <c r="Q40" i="11" a="1"/>
  <c r="Q40" i="11" s="1"/>
  <c r="S90" i="10" a="1"/>
  <c r="S90" i="10" s="1"/>
  <c r="P40" i="11" a="1"/>
  <c r="P40" i="11" s="1"/>
  <c r="Q23" i="11" a="1"/>
  <c r="Q23" i="11" s="1"/>
  <c r="AE64" i="11" a="1"/>
  <c r="AE64" i="11" s="1"/>
  <c r="AB86" i="11" a="1"/>
  <c r="AB86" i="11" s="1"/>
  <c r="U21" i="11" a="1"/>
  <c r="U21" i="11" s="1"/>
  <c r="AC77" i="10" a="1"/>
  <c r="AC77" i="10" s="1"/>
  <c r="AC80" i="10" s="1"/>
  <c r="U77" i="10" a="1"/>
  <c r="U77" i="10" s="1"/>
  <c r="Y20" i="10" a="1"/>
  <c r="Y20" i="10" s="1"/>
  <c r="Y23" i="10" s="1"/>
  <c r="T77" i="10" a="1"/>
  <c r="T77" i="10" s="1"/>
  <c r="AE19" i="10" a="1"/>
  <c r="AE19" i="10" s="1"/>
  <c r="AE22" i="10" s="1"/>
  <c r="W19" i="10" a="1"/>
  <c r="W19" i="10" s="1"/>
  <c r="W22" i="10" s="1"/>
  <c r="AF56" i="11" a="1"/>
  <c r="AF56" i="11" s="1"/>
  <c r="O67" i="8" l="1"/>
  <c r="O68" i="8" s="1"/>
  <c r="U42" i="8"/>
  <c r="U43" i="8" s="1"/>
  <c r="AF94" i="10"/>
  <c r="AF81" i="10"/>
  <c r="AD13" i="8" a="1"/>
  <c r="AD13" i="8" s="1"/>
  <c r="AD16" i="8" s="1"/>
  <c r="AD17" i="8" s="1"/>
  <c r="I39" i="8" a="1"/>
  <c r="I39" i="8" s="1"/>
  <c r="J72" i="8" a="1"/>
  <c r="J72" i="8" s="1"/>
  <c r="J75" i="8" s="1"/>
  <c r="J76" i="8" s="1"/>
  <c r="AF12" i="10"/>
  <c r="AG81" i="10"/>
  <c r="AL88" i="10"/>
  <c r="AD73" i="8" s="1" a="1"/>
  <c r="AD73" i="8" s="1"/>
  <c r="AD72" i="8" a="1"/>
  <c r="AD72" i="8" s="1"/>
  <c r="AL70" i="10"/>
  <c r="AL80" i="10"/>
  <c r="AL81" i="10"/>
  <c r="S16" i="13"/>
  <c r="F16" i="13"/>
  <c r="O16" i="13"/>
  <c r="AB86" i="13"/>
  <c r="H35" i="13"/>
  <c r="I35" i="13"/>
  <c r="N75" i="8"/>
  <c r="N76" i="8" s="1"/>
  <c r="T16" i="13"/>
  <c r="AF80" i="10"/>
  <c r="U88" i="10"/>
  <c r="M73" i="8" s="1" a="1"/>
  <c r="M73" i="8" s="1"/>
  <c r="M75" i="8" s="1"/>
  <c r="M76" i="8" s="1"/>
  <c r="V14" i="13"/>
  <c r="AG93" i="10"/>
  <c r="AB70" i="13"/>
  <c r="J35" i="13"/>
  <c r="AK93" i="10"/>
  <c r="Q16" i="13"/>
  <c r="U16" i="13"/>
  <c r="P35" i="13"/>
  <c r="AI93" i="10"/>
  <c r="V35" i="13"/>
  <c r="AJ70" i="10"/>
  <c r="AJ75" i="10" s="1"/>
  <c r="AB65" i="8" s="1" a="1"/>
  <c r="AB65" i="8" s="1"/>
  <c r="AA16" i="13"/>
  <c r="Z35" i="13"/>
  <c r="AK81" i="10"/>
  <c r="G16" i="13"/>
  <c r="AK12" i="10"/>
  <c r="AK15" i="10" s="1"/>
  <c r="AC14" i="8" s="1" a="1"/>
  <c r="AC14" i="8" s="1"/>
  <c r="R16" i="13"/>
  <c r="AJ93" i="10"/>
  <c r="V75" i="10"/>
  <c r="N65" i="8" s="1" a="1"/>
  <c r="N65" i="8" s="1"/>
  <c r="N67" i="8" s="1"/>
  <c r="N68" i="8" s="1"/>
  <c r="AJ83" i="10"/>
  <c r="AJ88" i="10" s="1"/>
  <c r="AB73" i="8" s="1" a="1"/>
  <c r="AB73" i="8" s="1"/>
  <c r="AH80" i="10"/>
  <c r="Y35" i="13"/>
  <c r="AK70" i="10"/>
  <c r="AK75" i="10" s="1"/>
  <c r="AC65" i="8" s="1" a="1"/>
  <c r="AC65" i="8" s="1"/>
  <c r="AJ81" i="10"/>
  <c r="E16" i="13"/>
  <c r="AB16" i="13"/>
  <c r="AK88" i="10"/>
  <c r="AC73" i="8" s="1" a="1"/>
  <c r="AC73" i="8" s="1"/>
  <c r="AC72" i="8" a="1"/>
  <c r="AC72" i="8" s="1"/>
  <c r="AF83" i="10"/>
  <c r="AF88" i="10" s="1"/>
  <c r="X73" i="8" s="1" a="1"/>
  <c r="X73" i="8" s="1"/>
  <c r="Q55" i="10"/>
  <c r="I40" i="8" s="1" a="1"/>
  <c r="I40" i="8" s="1"/>
  <c r="AJ15" i="10"/>
  <c r="AB14" i="8" s="1" a="1"/>
  <c r="AB14" i="8" s="1"/>
  <c r="AB13" i="8" a="1"/>
  <c r="AB13" i="8" s="1"/>
  <c r="AF70" i="10"/>
  <c r="AF75" i="10" s="1"/>
  <c r="X65" i="8" s="1" a="1"/>
  <c r="X65" i="8" s="1"/>
  <c r="AF93" i="10"/>
  <c r="O12" i="11"/>
  <c r="O15" i="11" s="1"/>
  <c r="Y12" i="11"/>
  <c r="Y15" i="11" s="1"/>
  <c r="AH83" i="10"/>
  <c r="AH23" i="10"/>
  <c r="AH12" i="10"/>
  <c r="AH70" i="10"/>
  <c r="AH81" i="10"/>
  <c r="AI83" i="10"/>
  <c r="AI94" i="10"/>
  <c r="AI81" i="10"/>
  <c r="AI70" i="10"/>
  <c r="AI23" i="10"/>
  <c r="AI12" i="10"/>
  <c r="AA77" i="11"/>
  <c r="AA82" i="11" s="1"/>
  <c r="AA76" i="11" s="1"/>
  <c r="P12" i="11"/>
  <c r="P15" i="11" s="1"/>
  <c r="S42" i="8"/>
  <c r="S43" i="8" s="1"/>
  <c r="AA70" i="10"/>
  <c r="AA75" i="10" s="1"/>
  <c r="S65" i="8" s="1" a="1"/>
  <c r="S65" i="8" s="1"/>
  <c r="AA81" i="10"/>
  <c r="AG70" i="10"/>
  <c r="AG75" i="10" s="1"/>
  <c r="Y65" i="8" s="1" a="1"/>
  <c r="Y65" i="8" s="1"/>
  <c r="AG80" i="10"/>
  <c r="AD39" i="8" a="1"/>
  <c r="AD39" i="8" s="1"/>
  <c r="AG83" i="10"/>
  <c r="AG94" i="10"/>
  <c r="AL55" i="10"/>
  <c r="O12" i="10"/>
  <c r="O15" i="10" s="1"/>
  <c r="G14" i="8" s="1" a="1"/>
  <c r="G14" i="8" s="1"/>
  <c r="O23" i="10"/>
  <c r="AG12" i="10"/>
  <c r="AG15" i="10" s="1"/>
  <c r="Y14" i="8" s="1" a="1"/>
  <c r="Y14" i="8" s="1"/>
  <c r="AG23" i="10"/>
  <c r="AB12" i="10"/>
  <c r="AB15" i="10" s="1"/>
  <c r="T14" i="8" s="1" a="1"/>
  <c r="T14" i="8" s="1"/>
  <c r="AB23" i="10"/>
  <c r="AF15" i="10"/>
  <c r="X14" i="8" s="1" a="1"/>
  <c r="X14" i="8" s="1"/>
  <c r="X13" i="8" a="1"/>
  <c r="X13" i="8" s="1"/>
  <c r="AB60" i="10"/>
  <c r="T48" i="8" s="1" a="1"/>
  <c r="T48" i="8" s="1"/>
  <c r="T50" i="8" s="1"/>
  <c r="T51" i="8" s="1"/>
  <c r="O31" i="8" a="1"/>
  <c r="O31" i="8" s="1"/>
  <c r="O34" i="8" s="1"/>
  <c r="O35" i="8" s="1"/>
  <c r="Q86" i="13"/>
  <c r="Z86" i="13"/>
  <c r="X86" i="13"/>
  <c r="H86" i="13"/>
  <c r="W86" i="13"/>
  <c r="G70" i="13"/>
  <c r="W53" i="13"/>
  <c r="K70" i="13"/>
  <c r="N53" i="13"/>
  <c r="S86" i="13"/>
  <c r="AA86" i="13"/>
  <c r="F86" i="13"/>
  <c r="N70" i="13"/>
  <c r="O86" i="13"/>
  <c r="L86" i="13"/>
  <c r="U86" i="13"/>
  <c r="E86" i="13"/>
  <c r="V53" i="13"/>
  <c r="P86" i="13"/>
  <c r="W70" i="13"/>
  <c r="G86" i="13"/>
  <c r="L53" i="13"/>
  <c r="N86" i="13"/>
  <c r="K86" i="13"/>
  <c r="J86" i="13"/>
  <c r="V86" i="13"/>
  <c r="E53" i="13"/>
  <c r="I86" i="13"/>
  <c r="T86" i="13"/>
  <c r="M86" i="13"/>
  <c r="R86" i="13"/>
  <c r="Y86" i="13"/>
  <c r="O70" i="13"/>
  <c r="X70" i="13"/>
  <c r="Q70" i="13"/>
  <c r="T70" i="13"/>
  <c r="X53" i="13"/>
  <c r="M70" i="13"/>
  <c r="J70" i="13"/>
  <c r="U70" i="13"/>
  <c r="P70" i="13"/>
  <c r="AA53" i="13"/>
  <c r="H53" i="13"/>
  <c r="L70" i="13"/>
  <c r="H70" i="13"/>
  <c r="Z70" i="13"/>
  <c r="T53" i="13"/>
  <c r="Y70" i="13"/>
  <c r="U53" i="13"/>
  <c r="S70" i="13"/>
  <c r="J53" i="13"/>
  <c r="E70" i="13"/>
  <c r="S53" i="13"/>
  <c r="R53" i="13"/>
  <c r="I70" i="13"/>
  <c r="O53" i="13"/>
  <c r="F53" i="13"/>
  <c r="R70" i="13"/>
  <c r="P53" i="13"/>
  <c r="Q53" i="13"/>
  <c r="F70" i="13"/>
  <c r="Z53" i="13"/>
  <c r="I53" i="13"/>
  <c r="G53" i="13"/>
  <c r="Y53" i="13"/>
  <c r="K53" i="13"/>
  <c r="AA70" i="13"/>
  <c r="V70" i="13"/>
  <c r="M53" i="13"/>
  <c r="N39" i="8" a="1"/>
  <c r="N39" i="8" s="1"/>
  <c r="V55" i="10"/>
  <c r="N40" i="8" s="1" a="1"/>
  <c r="N40" i="8" s="1"/>
  <c r="V64" i="10"/>
  <c r="V63" i="10" s="1"/>
  <c r="AA39" i="8" a="1"/>
  <c r="AA39" i="8" s="1"/>
  <c r="AI59" i="10"/>
  <c r="AI58" i="10" s="1"/>
  <c r="AI64" i="10" s="1"/>
  <c r="AI63" i="10" s="1"/>
  <c r="AI55" i="10"/>
  <c r="AI60" i="10" s="1"/>
  <c r="AA48" i="8" s="1" a="1"/>
  <c r="AA48" i="8" s="1"/>
  <c r="P12" i="10"/>
  <c r="P15" i="10" s="1"/>
  <c r="H14" i="8" s="1" a="1"/>
  <c r="H14" i="8" s="1"/>
  <c r="AD83" i="10"/>
  <c r="V72" i="8" s="1" a="1"/>
  <c r="V72" i="8" s="1"/>
  <c r="T12" i="10"/>
  <c r="L13" i="8" s="1" a="1"/>
  <c r="L13" i="8" s="1"/>
  <c r="I67" i="8"/>
  <c r="I68" i="8" s="1"/>
  <c r="R34" i="8"/>
  <c r="R35" i="8" s="1"/>
  <c r="P42" i="8"/>
  <c r="P43" i="8" s="1"/>
  <c r="G58" i="8"/>
  <c r="G59" i="8" s="1"/>
  <c r="V50" i="8"/>
  <c r="V51" i="8" s="1"/>
  <c r="K42" i="8"/>
  <c r="K43" i="8" s="1"/>
  <c r="S50" i="8"/>
  <c r="S51" i="8" s="1"/>
  <c r="AC34" i="8"/>
  <c r="AC35" i="8" s="1"/>
  <c r="R42" i="8"/>
  <c r="R43" i="8" s="1"/>
  <c r="Z34" i="8"/>
  <c r="Z35" i="8" s="1"/>
  <c r="Q42" i="8"/>
  <c r="Q43" i="8" s="1"/>
  <c r="Y31" i="8" a="1"/>
  <c r="Y31" i="8" s="1"/>
  <c r="AG42" i="10"/>
  <c r="Y32" i="8" s="1" a="1"/>
  <c r="Y32" i="8" s="1"/>
  <c r="K31" i="8" a="1"/>
  <c r="K31" i="8" s="1"/>
  <c r="S42" i="10"/>
  <c r="K32" i="8" s="1" a="1"/>
  <c r="K32" i="8" s="1"/>
  <c r="AB31" i="8" a="1"/>
  <c r="AB31" i="8" s="1"/>
  <c r="AJ42" i="10"/>
  <c r="AB32" i="8" s="1" a="1"/>
  <c r="AB32" i="8" s="1"/>
  <c r="AA31" i="8" a="1"/>
  <c r="AA31" i="8" s="1"/>
  <c r="AI42" i="10"/>
  <c r="AA32" i="8" s="1" a="1"/>
  <c r="AA32" i="8" s="1"/>
  <c r="AJ59" i="10"/>
  <c r="AJ58" i="10" s="1"/>
  <c r="AJ55" i="10"/>
  <c r="AB39" i="8" a="1"/>
  <c r="AB39" i="8" s="1"/>
  <c r="L31" i="8" a="1"/>
  <c r="L31" i="8" s="1"/>
  <c r="T42" i="10"/>
  <c r="L32" i="8" s="1" a="1"/>
  <c r="L32" i="8" s="1"/>
  <c r="AK55" i="10"/>
  <c r="AC39" i="8" a="1"/>
  <c r="AC39" i="8" s="1"/>
  <c r="AK59" i="10"/>
  <c r="AK58" i="10" s="1"/>
  <c r="X42" i="10"/>
  <c r="P32" i="8" s="1" a="1"/>
  <c r="P32" i="8" s="1"/>
  <c r="P31" i="8" a="1"/>
  <c r="P31" i="8" s="1"/>
  <c r="Z66" i="10"/>
  <c r="R56" i="8" s="1" a="1"/>
  <c r="R56" i="8" s="1"/>
  <c r="R55" i="8" a="1"/>
  <c r="R55" i="8" s="1"/>
  <c r="S34" i="8"/>
  <c r="S35" i="8" s="1"/>
  <c r="H42" i="8"/>
  <c r="H43" i="8" s="1"/>
  <c r="AD47" i="8" a="1"/>
  <c r="AD47" i="8" s="1"/>
  <c r="AL64" i="10"/>
  <c r="AL63" i="10" s="1"/>
  <c r="AG64" i="10"/>
  <c r="AG63" i="10" s="1"/>
  <c r="Y47" i="8" a="1"/>
  <c r="Y47" i="8" s="1"/>
  <c r="Q34" i="8"/>
  <c r="Q35" i="8" s="1"/>
  <c r="K75" i="8"/>
  <c r="K76" i="8" s="1"/>
  <c r="W55" i="10"/>
  <c r="O40" i="8" s="1" a="1"/>
  <c r="O40" i="8" s="1"/>
  <c r="W64" i="10"/>
  <c r="W63" i="10" s="1"/>
  <c r="O39" i="8" a="1"/>
  <c r="O39" i="8" s="1"/>
  <c r="M34" i="8"/>
  <c r="M35" i="8" s="1"/>
  <c r="AL42" i="10"/>
  <c r="AD32" i="8" s="1" a="1"/>
  <c r="AD32" i="8" s="1"/>
  <c r="AD31" i="8" a="1"/>
  <c r="AD31" i="8" s="1"/>
  <c r="Y40" i="8" a="1"/>
  <c r="Y40" i="8" s="1"/>
  <c r="Y42" i="8" s="1"/>
  <c r="Y43" i="8" s="1"/>
  <c r="AG60" i="10"/>
  <c r="Y48" i="8" s="1" a="1"/>
  <c r="Y48" i="8" s="1"/>
  <c r="Y66" i="10"/>
  <c r="Q56" i="8" s="1" a="1"/>
  <c r="Q56" i="8" s="1"/>
  <c r="Q55" i="8" a="1"/>
  <c r="Q55" i="8" s="1"/>
  <c r="U50" i="8"/>
  <c r="U51" i="8" s="1"/>
  <c r="X66" i="10"/>
  <c r="P56" i="8" s="1" a="1"/>
  <c r="P56" i="8" s="1"/>
  <c r="P55" i="8" a="1"/>
  <c r="P55" i="8" s="1"/>
  <c r="I75" i="8"/>
  <c r="I76" i="8" s="1"/>
  <c r="U55" i="10"/>
  <c r="M40" i="8" s="1" a="1"/>
  <c r="M40" i="8" s="1"/>
  <c r="U64" i="10"/>
  <c r="U63" i="10" s="1"/>
  <c r="M39" i="8" a="1"/>
  <c r="M39" i="8" s="1"/>
  <c r="X34" i="8"/>
  <c r="X35" i="8" s="1"/>
  <c r="I34" i="8"/>
  <c r="I35" i="8" s="1"/>
  <c r="Z40" i="8" a="1"/>
  <c r="Z40" i="8" s="1"/>
  <c r="Z42" i="8" s="1"/>
  <c r="Z43" i="8" s="1"/>
  <c r="AH60" i="10"/>
  <c r="Z48" i="8" s="1" a="1"/>
  <c r="Z48" i="8" s="1"/>
  <c r="W50" i="8"/>
  <c r="W51" i="8" s="1"/>
  <c r="AA47" i="8" a="1"/>
  <c r="AA47" i="8" s="1"/>
  <c r="W55" i="8" a="1"/>
  <c r="W55" i="8" s="1"/>
  <c r="AE66" i="10"/>
  <c r="W56" i="8" s="1" a="1"/>
  <c r="W56" i="8" s="1"/>
  <c r="U55" i="8" a="1"/>
  <c r="U55" i="8" s="1"/>
  <c r="AC66" i="10"/>
  <c r="U56" i="8" s="1" a="1"/>
  <c r="U56" i="8" s="1"/>
  <c r="M67" i="8"/>
  <c r="M68" i="8" s="1"/>
  <c r="P75" i="8"/>
  <c r="P76" i="8" s="1"/>
  <c r="K55" i="8" a="1"/>
  <c r="K55" i="8" s="1"/>
  <c r="S66" i="10"/>
  <c r="K56" i="8" s="1" a="1"/>
  <c r="K56" i="8" s="1"/>
  <c r="AF60" i="10"/>
  <c r="X48" i="8" s="1" a="1"/>
  <c r="X48" i="8" s="1"/>
  <c r="X40" i="8" a="1"/>
  <c r="X40" i="8" s="1"/>
  <c r="X42" i="8" s="1"/>
  <c r="X43" i="8" s="1"/>
  <c r="J31" i="8" a="1"/>
  <c r="J31" i="8" s="1"/>
  <c r="R42" i="10"/>
  <c r="J32" i="8" s="1" a="1"/>
  <c r="J32" i="8" s="1"/>
  <c r="V66" i="10"/>
  <c r="N56" i="8" s="1" a="1"/>
  <c r="N56" i="8" s="1"/>
  <c r="N55" i="8" a="1"/>
  <c r="N55" i="8" s="1"/>
  <c r="I55" i="8" a="1"/>
  <c r="I55" i="8" s="1"/>
  <c r="Q66" i="10"/>
  <c r="I56" i="8" s="1" a="1"/>
  <c r="I56" i="8" s="1"/>
  <c r="H55" i="8" a="1"/>
  <c r="H55" i="8" s="1"/>
  <c r="P66" i="10"/>
  <c r="H56" i="8" s="1" a="1"/>
  <c r="H56" i="8" s="1"/>
  <c r="AA66" i="10"/>
  <c r="S56" i="8" s="1" a="1"/>
  <c r="S56" i="8" s="1"/>
  <c r="S55" i="8" a="1"/>
  <c r="S55" i="8" s="1"/>
  <c r="AH64" i="10"/>
  <c r="AH63" i="10" s="1"/>
  <c r="Z47" i="8" a="1"/>
  <c r="Z47" i="8" s="1"/>
  <c r="T55" i="8" a="1"/>
  <c r="T55" i="8" s="1"/>
  <c r="AB66" i="10"/>
  <c r="T56" i="8" s="1" a="1"/>
  <c r="T56" i="8" s="1"/>
  <c r="AL60" i="10"/>
  <c r="AD48" i="8" s="1" a="1"/>
  <c r="AD48" i="8" s="1"/>
  <c r="AD40" i="8" a="1"/>
  <c r="AD40" i="8" s="1"/>
  <c r="R64" i="10"/>
  <c r="R63" i="10" s="1"/>
  <c r="J39" i="8" a="1"/>
  <c r="J39" i="8" s="1"/>
  <c r="R55" i="10"/>
  <c r="J40" i="8" s="1" a="1"/>
  <c r="J40" i="8" s="1"/>
  <c r="AF64" i="10"/>
  <c r="AF63" i="10" s="1"/>
  <c r="X47" i="8" a="1"/>
  <c r="X47" i="8" s="1"/>
  <c r="L75" i="8"/>
  <c r="L76" i="8" s="1"/>
  <c r="L39" i="8" a="1"/>
  <c r="L39" i="8" s="1"/>
  <c r="T55" i="10"/>
  <c r="L40" i="8" s="1" a="1"/>
  <c r="L40" i="8" s="1"/>
  <c r="T64" i="10"/>
  <c r="T63" i="10" s="1"/>
  <c r="V55" i="8" a="1"/>
  <c r="V55" i="8" s="1"/>
  <c r="AD66" i="10"/>
  <c r="V56" i="8" s="1" a="1"/>
  <c r="V56" i="8" s="1"/>
  <c r="N34" i="8"/>
  <c r="N35" i="8" s="1"/>
  <c r="R75" i="8"/>
  <c r="R76" i="8" s="1"/>
  <c r="H75" i="8"/>
  <c r="H76" i="8" s="1"/>
  <c r="Y12" i="10"/>
  <c r="Y15" i="10" s="1"/>
  <c r="Q14" i="8" s="1" a="1"/>
  <c r="Q14" i="8" s="1"/>
  <c r="Z12" i="10"/>
  <c r="Z15" i="10" s="1"/>
  <c r="R14" i="8" s="1" a="1"/>
  <c r="R14" i="8" s="1"/>
  <c r="L67" i="8"/>
  <c r="L68" i="8" s="1"/>
  <c r="W12" i="10"/>
  <c r="W15" i="10" s="1"/>
  <c r="O14" i="8" s="1" a="1"/>
  <c r="O14" i="8" s="1"/>
  <c r="Q12" i="10"/>
  <c r="Q15" i="10" s="1"/>
  <c r="I14" i="8" s="1" a="1"/>
  <c r="I14" i="8" s="1"/>
  <c r="U12" i="10"/>
  <c r="U15" i="10" s="1"/>
  <c r="M14" i="8" s="1" a="1"/>
  <c r="M14" i="8" s="1"/>
  <c r="J67" i="8"/>
  <c r="J68" i="8" s="1"/>
  <c r="Q67" i="8"/>
  <c r="Q68" i="8" s="1"/>
  <c r="AD70" i="10"/>
  <c r="V64" i="8" s="1" a="1"/>
  <c r="V64" i="8" s="1"/>
  <c r="AD12" i="10"/>
  <c r="AD15" i="10" s="1"/>
  <c r="V14" i="8" s="1" a="1"/>
  <c r="V14" i="8" s="1"/>
  <c r="R12" i="11"/>
  <c r="R15" i="11" s="1"/>
  <c r="R12" i="10"/>
  <c r="J13" i="8" s="1" a="1"/>
  <c r="J13" i="8" s="1"/>
  <c r="V12" i="11"/>
  <c r="V15" i="11" s="1"/>
  <c r="X12" i="10"/>
  <c r="X15" i="10" s="1"/>
  <c r="P14" i="8" s="1" a="1"/>
  <c r="P14" i="8" s="1"/>
  <c r="Q12" i="11"/>
  <c r="Q15" i="11" s="1"/>
  <c r="U12" i="11"/>
  <c r="U15" i="11" s="1"/>
  <c r="AA83" i="10"/>
  <c r="V12" i="10"/>
  <c r="W12" i="11"/>
  <c r="W15" i="11" s="1"/>
  <c r="AE12" i="10"/>
  <c r="X12" i="11"/>
  <c r="X15" i="11" s="1"/>
  <c r="AE70" i="10"/>
  <c r="AA91" i="11"/>
  <c r="AA96" i="11" s="1"/>
  <c r="AC70" i="10"/>
  <c r="Z12" i="11"/>
  <c r="Z15" i="11" s="1"/>
  <c r="AB77" i="11"/>
  <c r="AB82" i="11" s="1"/>
  <c r="AB76" i="11" s="1"/>
  <c r="S12" i="11"/>
  <c r="S15" i="11" s="1"/>
  <c r="AA12" i="11"/>
  <c r="AA15" i="11" s="1"/>
  <c r="S12" i="10"/>
  <c r="AC12" i="10"/>
  <c r="AB91" i="11"/>
  <c r="AB96" i="11" s="1"/>
  <c r="AA12" i="10"/>
  <c r="AC83" i="10"/>
  <c r="AB83" i="10"/>
  <c r="T12" i="11"/>
  <c r="T15" i="11" s="1"/>
  <c r="AE83" i="10"/>
  <c r="AB70" i="10"/>
  <c r="I42" i="8" l="1"/>
  <c r="I43" i="8" s="1"/>
  <c r="AA40" i="8" a="1"/>
  <c r="AA40" i="8" s="1"/>
  <c r="AA42" i="8" s="1"/>
  <c r="AA43" i="8" s="1"/>
  <c r="AD75" i="8"/>
  <c r="AD76" i="8" s="1"/>
  <c r="AL75" i="10"/>
  <c r="AD65" i="8" s="1" a="1"/>
  <c r="AD65" i="8" s="1"/>
  <c r="AD64" i="8" a="1"/>
  <c r="AD64" i="8" s="1"/>
  <c r="X72" i="8" a="1"/>
  <c r="X72" i="8" s="1"/>
  <c r="X75" i="8" s="1"/>
  <c r="X76" i="8" s="1"/>
  <c r="AB72" i="8" a="1"/>
  <c r="AB72" i="8" s="1"/>
  <c r="AB75" i="8" s="1"/>
  <c r="AB76" i="8" s="1"/>
  <c r="AB64" i="8" a="1"/>
  <c r="AB64" i="8" s="1"/>
  <c r="AB67" i="8" s="1"/>
  <c r="AB68" i="8" s="1"/>
  <c r="S64" i="8" a="1"/>
  <c r="S64" i="8" s="1"/>
  <c r="S67" i="8" s="1"/>
  <c r="S68" i="8" s="1"/>
  <c r="AC13" i="8" a="1"/>
  <c r="AC13" i="8" s="1"/>
  <c r="AC16" i="8" s="1"/>
  <c r="AC17" i="8" s="1"/>
  <c r="AC64" i="8" a="1"/>
  <c r="AC64" i="8" s="1"/>
  <c r="AC67" i="8" s="1"/>
  <c r="AC68" i="8" s="1"/>
  <c r="AC75" i="8"/>
  <c r="AC76" i="8" s="1"/>
  <c r="X64" i="8" a="1"/>
  <c r="X64" i="8" s="1"/>
  <c r="X67" i="8" s="1"/>
  <c r="X68" i="8" s="1"/>
  <c r="AB16" i="8"/>
  <c r="AB17" i="8" s="1"/>
  <c r="G13" i="8" a="1"/>
  <c r="G13" i="8" s="1"/>
  <c r="T15" i="10"/>
  <c r="L14" i="8" s="1" a="1"/>
  <c r="L14" i="8" s="1"/>
  <c r="L16" i="8" s="1"/>
  <c r="L17" i="8" s="1"/>
  <c r="AI15" i="10"/>
  <c r="AA14" i="8" s="1" a="1"/>
  <c r="AA14" i="8" s="1"/>
  <c r="AA13" i="8" a="1"/>
  <c r="AA13" i="8" s="1"/>
  <c r="AI75" i="10"/>
  <c r="AA65" i="8" s="1" a="1"/>
  <c r="AA65" i="8" s="1"/>
  <c r="AA64" i="8" a="1"/>
  <c r="AA64" i="8" s="1"/>
  <c r="AI88" i="10"/>
  <c r="AA73" i="8" s="1" a="1"/>
  <c r="AA73" i="8" s="1"/>
  <c r="AA72" i="8" a="1"/>
  <c r="AA72" i="8" s="1"/>
  <c r="AH75" i="10"/>
  <c r="Z65" i="8" s="1" a="1"/>
  <c r="Z65" i="8" s="1"/>
  <c r="Z70" i="8" s="1"/>
  <c r="Z64" i="8" a="1"/>
  <c r="Z64" i="8" s="1"/>
  <c r="AH15" i="10"/>
  <c r="Z14" i="8" s="1" a="1"/>
  <c r="Z14" i="8" s="1"/>
  <c r="Z13" i="8" a="1"/>
  <c r="Z13" i="8" s="1"/>
  <c r="AH88" i="10"/>
  <c r="Z73" i="8" s="1" a="1"/>
  <c r="Z73" i="8" s="1"/>
  <c r="Z72" i="8" a="1"/>
  <c r="Z72" i="8" s="1"/>
  <c r="AD42" i="8"/>
  <c r="AD43" i="8" s="1"/>
  <c r="Y64" i="8" a="1"/>
  <c r="Y64" i="8" s="1"/>
  <c r="Y67" i="8" s="1"/>
  <c r="Y68" i="8" s="1"/>
  <c r="T13" i="8" a="1"/>
  <c r="T13" i="8" s="1"/>
  <c r="T16" i="8" s="1"/>
  <c r="T17" i="8" s="1"/>
  <c r="Y13" i="8" a="1"/>
  <c r="Y13" i="8" s="1"/>
  <c r="Y16" i="8" s="1"/>
  <c r="Y17" i="8" s="1"/>
  <c r="AG88" i="10"/>
  <c r="Y73" i="8" s="1" a="1"/>
  <c r="Y73" i="8" s="1"/>
  <c r="Y72" i="8" a="1"/>
  <c r="Y72" i="8" s="1"/>
  <c r="AD88" i="10"/>
  <c r="V73" i="8" s="1" a="1"/>
  <c r="V73" i="8" s="1"/>
  <c r="V75" i="8" s="1"/>
  <c r="V76" i="8" s="1"/>
  <c r="X16" i="8"/>
  <c r="X17" i="8" s="1"/>
  <c r="K58" i="8"/>
  <c r="K59" i="8" s="1"/>
  <c r="H13" i="8" a="1"/>
  <c r="H13" i="8" s="1"/>
  <c r="H16" i="8" s="1"/>
  <c r="H17" i="8" s="1"/>
  <c r="N42" i="8"/>
  <c r="N43" i="8" s="1"/>
  <c r="R58" i="8"/>
  <c r="R59" i="8" s="1"/>
  <c r="I13" i="8" a="1"/>
  <c r="I13" i="8" s="1"/>
  <c r="I16" i="8" s="1"/>
  <c r="I17" i="8" s="1"/>
  <c r="M13" i="8" a="1"/>
  <c r="M13" i="8" s="1"/>
  <c r="M16" i="8" s="1"/>
  <c r="M17" i="8" s="1"/>
  <c r="Z50" i="8"/>
  <c r="Z51" i="8" s="1"/>
  <c r="V58" i="8"/>
  <c r="V59" i="8" s="1"/>
  <c r="S58" i="8"/>
  <c r="S59" i="8" s="1"/>
  <c r="X50" i="8"/>
  <c r="X51" i="8" s="1"/>
  <c r="P13" i="8" a="1"/>
  <c r="P13" i="8" s="1"/>
  <c r="P16" i="8" s="1"/>
  <c r="P17" i="8" s="1"/>
  <c r="Y50" i="8"/>
  <c r="Y51" i="8" s="1"/>
  <c r="R15" i="10"/>
  <c r="J14" i="8" s="1" a="1"/>
  <c r="J14" i="8" s="1"/>
  <c r="J16" i="8" s="1"/>
  <c r="J17" i="8" s="1"/>
  <c r="AD50" i="8"/>
  <c r="AD51" i="8" s="1"/>
  <c r="AA34" i="8"/>
  <c r="AA35" i="8" s="1"/>
  <c r="I58" i="8"/>
  <c r="I59" i="8" s="1"/>
  <c r="N58" i="8"/>
  <c r="N59" i="8" s="1"/>
  <c r="AD34" i="8"/>
  <c r="AD35" i="8" s="1"/>
  <c r="Y34" i="8"/>
  <c r="Y35" i="8" s="1"/>
  <c r="Q13" i="8" a="1"/>
  <c r="Q13" i="8" s="1"/>
  <c r="Q16" i="8" s="1"/>
  <c r="Q17" i="8" s="1"/>
  <c r="P58" i="8"/>
  <c r="P59" i="8" s="1"/>
  <c r="Q58" i="8"/>
  <c r="Q59" i="8" s="1"/>
  <c r="AD75" i="10"/>
  <c r="V65" i="8" s="1" a="1"/>
  <c r="V65" i="8" s="1"/>
  <c r="V67" i="8" s="1"/>
  <c r="V68" i="8" s="1"/>
  <c r="T58" i="8"/>
  <c r="T59" i="8" s="1"/>
  <c r="U66" i="10"/>
  <c r="M56" i="8" s="1" a="1"/>
  <c r="M56" i="8" s="1"/>
  <c r="M55" i="8" a="1"/>
  <c r="M55" i="8" s="1"/>
  <c r="AC47" i="8" a="1"/>
  <c r="AC47" i="8" s="1"/>
  <c r="AK64" i="10"/>
  <c r="AK63" i="10" s="1"/>
  <c r="Y55" i="8" a="1"/>
  <c r="Y55" i="8" s="1"/>
  <c r="AG66" i="10"/>
  <c r="Y56" i="8" s="1" a="1"/>
  <c r="Y56" i="8" s="1"/>
  <c r="AJ60" i="10"/>
  <c r="AB48" i="8" s="1" a="1"/>
  <c r="AB48" i="8" s="1"/>
  <c r="AB40" i="8" a="1"/>
  <c r="AB40" i="8" s="1"/>
  <c r="AB42" i="8" s="1"/>
  <c r="AB43" i="8" s="1"/>
  <c r="Z55" i="8" a="1"/>
  <c r="Z55" i="8" s="1"/>
  <c r="AH66" i="10"/>
  <c r="Z56" i="8" s="1" a="1"/>
  <c r="Z56" i="8" s="1"/>
  <c r="L34" i="8"/>
  <c r="L35" i="8" s="1"/>
  <c r="H58" i="8"/>
  <c r="H59" i="8" s="1"/>
  <c r="W58" i="8"/>
  <c r="W59" i="8" s="1"/>
  <c r="AL66" i="10"/>
  <c r="AD56" i="8" s="1" a="1"/>
  <c r="AD56" i="8" s="1"/>
  <c r="AD55" i="8" a="1"/>
  <c r="AD55" i="8" s="1"/>
  <c r="AB47" i="8" a="1"/>
  <c r="AB47" i="8" s="1"/>
  <c r="AJ64" i="10"/>
  <c r="AJ63" i="10" s="1"/>
  <c r="L55" i="8" a="1"/>
  <c r="L55" i="8" s="1"/>
  <c r="T66" i="10"/>
  <c r="L56" i="8" s="1" a="1"/>
  <c r="L56" i="8" s="1"/>
  <c r="L42" i="8"/>
  <c r="L43" i="8" s="1"/>
  <c r="AA50" i="8"/>
  <c r="AA51" i="8" s="1"/>
  <c r="AA55" i="8" a="1"/>
  <c r="AA55" i="8" s="1"/>
  <c r="AI66" i="10"/>
  <c r="AA56" i="8" s="1" a="1"/>
  <c r="AA56" i="8" s="1"/>
  <c r="J55" i="8" a="1"/>
  <c r="J55" i="8" s="1"/>
  <c r="R66" i="10"/>
  <c r="J56" i="8" s="1" a="1"/>
  <c r="J56" i="8" s="1"/>
  <c r="AB34" i="8"/>
  <c r="AB35" i="8" s="1"/>
  <c r="AK60" i="10"/>
  <c r="AC48" i="8" s="1" a="1"/>
  <c r="AC48" i="8" s="1"/>
  <c r="AC40" i="8" a="1"/>
  <c r="AC40" i="8" s="1"/>
  <c r="AC42" i="8" s="1"/>
  <c r="AC43" i="8" s="1"/>
  <c r="U58" i="8"/>
  <c r="U59" i="8" s="1"/>
  <c r="X55" i="8" a="1"/>
  <c r="X55" i="8" s="1"/>
  <c r="AF66" i="10"/>
  <c r="X56" i="8" s="1" a="1"/>
  <c r="X56" i="8" s="1"/>
  <c r="O13" i="8" a="1"/>
  <c r="O13" i="8" s="1"/>
  <c r="O16" i="8" s="1"/>
  <c r="O17" i="8" s="1"/>
  <c r="J34" i="8"/>
  <c r="J35" i="8" s="1"/>
  <c r="O42" i="8"/>
  <c r="O43" i="8" s="1"/>
  <c r="K34" i="8"/>
  <c r="K35" i="8" s="1"/>
  <c r="W66" i="10"/>
  <c r="O56" i="8" s="1" a="1"/>
  <c r="O56" i="8" s="1"/>
  <c r="O55" i="8" a="1"/>
  <c r="O55" i="8" s="1"/>
  <c r="P34" i="8"/>
  <c r="P35" i="8" s="1"/>
  <c r="J42" i="8"/>
  <c r="J43" i="8" s="1"/>
  <c r="M42" i="8"/>
  <c r="M43" i="8" s="1"/>
  <c r="V13" i="8" a="1"/>
  <c r="V13" i="8" s="1"/>
  <c r="V16" i="8" s="1"/>
  <c r="V17" i="8" s="1"/>
  <c r="R13" i="8" a="1"/>
  <c r="R13" i="8" s="1"/>
  <c r="R16" i="8" s="1"/>
  <c r="R17" i="8" s="1"/>
  <c r="AE75" i="10"/>
  <c r="W65" i="8" s="1" a="1"/>
  <c r="W65" i="8" s="1"/>
  <c r="W64" i="8" a="1"/>
  <c r="W64" i="8" s="1"/>
  <c r="AB75" i="10"/>
  <c r="T65" i="8" s="1" a="1"/>
  <c r="T65" i="8" s="1"/>
  <c r="T64" i="8" a="1"/>
  <c r="T64" i="8" s="1"/>
  <c r="AC15" i="10"/>
  <c r="U14" i="8" s="1" a="1"/>
  <c r="U14" i="8" s="1"/>
  <c r="U13" i="8" a="1"/>
  <c r="U13" i="8" s="1"/>
  <c r="V15" i="10"/>
  <c r="N14" i="8" s="1" a="1"/>
  <c r="N14" i="8" s="1"/>
  <c r="N13" i="8" a="1"/>
  <c r="N13" i="8" s="1"/>
  <c r="AE88" i="10"/>
  <c r="W73" i="8" s="1" a="1"/>
  <c r="W73" i="8" s="1"/>
  <c r="W72" i="8" a="1"/>
  <c r="W72" i="8" s="1"/>
  <c r="U72" i="8" a="1"/>
  <c r="U72" i="8" s="1"/>
  <c r="AC88" i="10"/>
  <c r="U73" i="8" s="1" a="1"/>
  <c r="U73" i="8" s="1"/>
  <c r="S15" i="10"/>
  <c r="K14" i="8" s="1" a="1"/>
  <c r="K14" i="8" s="1"/>
  <c r="K13" i="8" a="1"/>
  <c r="K13" i="8" s="1"/>
  <c r="AA88" i="10"/>
  <c r="S73" i="8" s="1" a="1"/>
  <c r="S73" i="8" s="1"/>
  <c r="S72" i="8" a="1"/>
  <c r="S72" i="8" s="1"/>
  <c r="AA15" i="10"/>
  <c r="S14" i="8" s="1" a="1"/>
  <c r="S14" i="8" s="1"/>
  <c r="S13" i="8" a="1"/>
  <c r="S13" i="8" s="1"/>
  <c r="AE15" i="10"/>
  <c r="W14" i="8" s="1" a="1"/>
  <c r="W14" i="8" s="1"/>
  <c r="W13" i="8" a="1"/>
  <c r="W13" i="8" s="1"/>
  <c r="AB88" i="10"/>
  <c r="T73" i="8" s="1" a="1"/>
  <c r="T73" i="8" s="1"/>
  <c r="T72" i="8" a="1"/>
  <c r="T72" i="8" s="1"/>
  <c r="AC75" i="10"/>
  <c r="U65" i="8" s="1" a="1"/>
  <c r="U65" i="8" s="1"/>
  <c r="U64" i="8" a="1"/>
  <c r="U64" i="8" s="1"/>
  <c r="AD67" i="8" l="1"/>
  <c r="AD68" i="8" s="1"/>
  <c r="G16" i="8"/>
  <c r="G17" i="8" s="1"/>
  <c r="Z75" i="8"/>
  <c r="Z76" i="8" s="1"/>
  <c r="Z67" i="8"/>
  <c r="Z68" i="8" s="1"/>
  <c r="AA16" i="8"/>
  <c r="AA17" i="8" s="1"/>
  <c r="Z16" i="8"/>
  <c r="Z17" i="8" s="1"/>
  <c r="AA67" i="8"/>
  <c r="AA68" i="8" s="1"/>
  <c r="AA75" i="8"/>
  <c r="AA76" i="8" s="1"/>
  <c r="Y75" i="8"/>
  <c r="Y76" i="8" s="1"/>
  <c r="O58" i="8"/>
  <c r="O59" i="8" s="1"/>
  <c r="X58" i="8"/>
  <c r="X59" i="8" s="1"/>
  <c r="M58" i="8"/>
  <c r="M59" i="8" s="1"/>
  <c r="L58" i="8"/>
  <c r="L59" i="8" s="1"/>
  <c r="Z58" i="8"/>
  <c r="Z59" i="8" s="1"/>
  <c r="J58" i="8"/>
  <c r="J59" i="8" s="1"/>
  <c r="N16" i="8"/>
  <c r="N17" i="8" s="1"/>
  <c r="AA58" i="8"/>
  <c r="AA59" i="8" s="1"/>
  <c r="U16" i="8"/>
  <c r="U17" i="8" s="1"/>
  <c r="Y58" i="8"/>
  <c r="Y59" i="8" s="1"/>
  <c r="AK66" i="10"/>
  <c r="AC56" i="8" s="1" a="1"/>
  <c r="AC56" i="8" s="1"/>
  <c r="AC55" i="8" a="1"/>
  <c r="AC55" i="8" s="1"/>
  <c r="AB55" i="8" a="1"/>
  <c r="AB55" i="8" s="1"/>
  <c r="AJ66" i="10"/>
  <c r="AB56" i="8" s="1" a="1"/>
  <c r="AB56" i="8" s="1"/>
  <c r="AC50" i="8"/>
  <c r="AC51" i="8" s="1"/>
  <c r="AB50" i="8"/>
  <c r="AB51" i="8" s="1"/>
  <c r="AD58" i="8"/>
  <c r="AD59" i="8" s="1"/>
  <c r="W16" i="8"/>
  <c r="W17" i="8" s="1"/>
  <c r="S16" i="8"/>
  <c r="S17" i="8" s="1"/>
  <c r="S75" i="8"/>
  <c r="S76" i="8" s="1"/>
  <c r="U75" i="8"/>
  <c r="U76" i="8" s="1"/>
  <c r="W67" i="8"/>
  <c r="W68" i="8" s="1"/>
  <c r="U67" i="8"/>
  <c r="U68" i="8" s="1"/>
  <c r="K16" i="8"/>
  <c r="K17" i="8" s="1"/>
  <c r="T75" i="8"/>
  <c r="T76" i="8" s="1"/>
  <c r="W75" i="8"/>
  <c r="W76" i="8" s="1"/>
  <c r="T67" i="8"/>
  <c r="AB58" i="8" l="1"/>
  <c r="AB59" i="8" s="1"/>
  <c r="AC58" i="8"/>
  <c r="AC59" i="8" s="1"/>
  <c r="T68" i="8"/>
  <c r="G9" i="13" l="1" a="1"/>
  <c r="G9" i="13" s="1"/>
  <c r="G20" i="13" s="1"/>
  <c r="AB9" i="13" a="1"/>
  <c r="AB9" i="13" s="1"/>
  <c r="AB20" i="13" s="1"/>
  <c r="AA8" i="13" a="1"/>
  <c r="AA8" i="13" s="1"/>
  <c r="AA19" i="13" s="1"/>
  <c r="AB10" i="13" a="1"/>
  <c r="AB10" i="13" s="1"/>
  <c r="AB21" i="13" s="1"/>
  <c r="AB8" i="13" a="1"/>
  <c r="AB8" i="13" s="1"/>
  <c r="AB19" i="13" s="1"/>
  <c r="AA10" i="13" a="1"/>
  <c r="AA10" i="13" s="1"/>
  <c r="AA21" i="13" s="1"/>
  <c r="AA9" i="13" a="1"/>
  <c r="AA9" i="13" s="1"/>
  <c r="AA20" i="13" s="1"/>
  <c r="E9" i="13" a="1"/>
  <c r="E9" i="13" s="1"/>
  <c r="E20" i="13" s="1"/>
  <c r="I9" i="13" a="1"/>
  <c r="I9" i="13" s="1"/>
  <c r="I20" i="13" s="1"/>
  <c r="T9" i="13" a="1"/>
  <c r="T9" i="13" s="1"/>
  <c r="T20" i="13" s="1"/>
  <c r="V9" i="13" a="1"/>
  <c r="V9" i="13" s="1"/>
  <c r="V20" i="13" s="1"/>
  <c r="S9" i="13" a="1"/>
  <c r="S9" i="13" s="1"/>
  <c r="S20" i="13" s="1"/>
  <c r="X9" i="13" a="1"/>
  <c r="X9" i="13" s="1"/>
  <c r="X20" i="13" s="1"/>
  <c r="Y9" i="13" a="1"/>
  <c r="Y9" i="13" s="1"/>
  <c r="J9" i="13" a="1"/>
  <c r="J9" i="13" s="1"/>
  <c r="J20" i="13" s="1"/>
  <c r="O9" i="13" a="1"/>
  <c r="O9" i="13" s="1"/>
  <c r="O20" i="13" s="1"/>
  <c r="Q46" i="13" a="1"/>
  <c r="Q46" i="13" s="1"/>
  <c r="Q56" i="13" s="1"/>
  <c r="P9" i="13" a="1"/>
  <c r="P9" i="13" s="1"/>
  <c r="P20" i="13" s="1"/>
  <c r="W9" i="13" a="1"/>
  <c r="W9" i="13" s="1"/>
  <c r="W20" i="13" s="1"/>
  <c r="K9" i="13" a="1"/>
  <c r="K9" i="13" s="1"/>
  <c r="K20" i="13" s="1"/>
  <c r="U9" i="13" a="1"/>
  <c r="U9" i="13" s="1"/>
  <c r="U20" i="13" s="1"/>
  <c r="H9" i="13" a="1"/>
  <c r="H9" i="13" s="1"/>
  <c r="H20" i="13" s="1"/>
  <c r="N9" i="13" a="1"/>
  <c r="N9" i="13" s="1"/>
  <c r="N20" i="13" s="1"/>
  <c r="F9" i="13" a="1"/>
  <c r="F9" i="13" s="1"/>
  <c r="F20" i="13" s="1"/>
  <c r="L9" i="13" a="1"/>
  <c r="L9" i="13" s="1"/>
  <c r="L20" i="13" s="1"/>
  <c r="M9" i="13" a="1"/>
  <c r="M9" i="13" s="1"/>
  <c r="M20" i="13" s="1"/>
  <c r="Q9" i="13" a="1"/>
  <c r="Q9" i="13" s="1"/>
  <c r="Q20" i="13" s="1"/>
  <c r="R9" i="13" a="1"/>
  <c r="R9" i="13" s="1"/>
  <c r="R20" i="13" s="1"/>
  <c r="Z9" i="13" a="1"/>
  <c r="Z9" i="13" s="1"/>
  <c r="Z20" i="13" s="1"/>
  <c r="I46" i="13" a="1"/>
  <c r="I46" i="13" s="1"/>
  <c r="I56" i="13" s="1"/>
  <c r="L8" i="13" a="1"/>
  <c r="L8" i="13" s="1"/>
  <c r="L19" i="13" s="1"/>
  <c r="P8" i="13" a="1"/>
  <c r="P8" i="13" s="1"/>
  <c r="P19" i="13" s="1"/>
  <c r="O47" i="13" a="1"/>
  <c r="O47" i="13" s="1"/>
  <c r="O57" i="13" s="1"/>
  <c r="Y8" i="13" a="1"/>
  <c r="Y8" i="13" s="1"/>
  <c r="Y19" i="13" s="1"/>
  <c r="AB46" i="13" a="1"/>
  <c r="AB46" i="13" s="1"/>
  <c r="AB56" i="13" s="1"/>
  <c r="AB28" i="13" a="1"/>
  <c r="AB28" i="13" s="1"/>
  <c r="AB38" i="13" s="1"/>
  <c r="AB47" i="13" a="1"/>
  <c r="AB47" i="13" s="1"/>
  <c r="AB57" i="13" s="1"/>
  <c r="AB80" i="13" a="1"/>
  <c r="AB80" i="13" s="1"/>
  <c r="AB89" i="13" s="1"/>
  <c r="AB29" i="13" a="1"/>
  <c r="AB29" i="13" s="1"/>
  <c r="AB39" i="13" s="1"/>
  <c r="Z8" i="13" a="1"/>
  <c r="Z8" i="13" s="1"/>
  <c r="Z19" i="13" s="1"/>
  <c r="T8" i="13" a="1"/>
  <c r="T8" i="13" s="1"/>
  <c r="T19" i="13" s="1"/>
  <c r="W10" i="13" a="1"/>
  <c r="W10" i="13" s="1"/>
  <c r="X10" i="13" a="1"/>
  <c r="X10" i="13" s="1"/>
  <c r="X21" i="13" s="1"/>
  <c r="Y10" i="13" a="1"/>
  <c r="Y10" i="13" s="1"/>
  <c r="Y21" i="13" s="1"/>
  <c r="Z10" i="13" a="1"/>
  <c r="Z10" i="13" s="1"/>
  <c r="Z21" i="13" s="1"/>
  <c r="X8" i="13" a="1"/>
  <c r="X8" i="13" s="1"/>
  <c r="X19" i="13" s="1"/>
  <c r="W8" i="13" a="1"/>
  <c r="W8" i="13" s="1"/>
  <c r="AB64" i="13" a="1"/>
  <c r="AB64" i="13" s="1"/>
  <c r="AB73" i="13" s="1"/>
  <c r="S46" i="13" a="1"/>
  <c r="S46" i="13" s="1"/>
  <c r="S56" i="13" s="1"/>
  <c r="M80" i="13" a="1"/>
  <c r="M80" i="13" s="1"/>
  <c r="M89" i="13" s="1"/>
  <c r="J28" i="13" a="1"/>
  <c r="J28" i="13" s="1"/>
  <c r="J38" i="13" s="1"/>
  <c r="G10" i="13" a="1"/>
  <c r="G10" i="13" s="1"/>
  <c r="G21" i="13" s="1"/>
  <c r="L46" i="13" a="1"/>
  <c r="L46" i="13" s="1"/>
  <c r="L56" i="13" s="1"/>
  <c r="H28" i="13" a="1"/>
  <c r="H28" i="13" s="1"/>
  <c r="H38" i="13" s="1"/>
  <c r="M46" i="13" a="1"/>
  <c r="M46" i="13" s="1"/>
  <c r="M56" i="13" s="1"/>
  <c r="V10" i="13" a="1"/>
  <c r="V10" i="13" s="1"/>
  <c r="V21" i="13" s="1"/>
  <c r="T29" i="13" a="1"/>
  <c r="T29" i="13" s="1"/>
  <c r="T39" i="13" s="1"/>
  <c r="E10" i="13" a="1"/>
  <c r="E10" i="13" s="1"/>
  <c r="E21" i="13" s="1"/>
  <c r="V28" i="13" a="1"/>
  <c r="V28" i="13" s="1"/>
  <c r="T47" i="13" a="1"/>
  <c r="T47" i="13" s="1"/>
  <c r="T57" i="13" s="1"/>
  <c r="J29" i="13" a="1"/>
  <c r="J29" i="13" s="1"/>
  <c r="J39" i="13" s="1"/>
  <c r="H47" i="13" a="1"/>
  <c r="H47" i="13" s="1"/>
  <c r="H57" i="13" s="1"/>
  <c r="V46" i="13" a="1"/>
  <c r="V46" i="13" s="1"/>
  <c r="K10" i="13" a="1"/>
  <c r="K10" i="13" s="1"/>
  <c r="K21" i="13" s="1"/>
  <c r="J47" i="13" a="1"/>
  <c r="J47" i="13" s="1"/>
  <c r="J57" i="13" s="1"/>
  <c r="H8" i="13" a="1"/>
  <c r="H8" i="13" s="1"/>
  <c r="H19" i="13" s="1"/>
  <c r="Q29" i="13" a="1"/>
  <c r="Q29" i="13" s="1"/>
  <c r="Q39" i="13" s="1"/>
  <c r="P80" i="13" a="1"/>
  <c r="P80" i="13" s="1"/>
  <c r="P89" i="13" s="1"/>
  <c r="G29" i="13" a="1"/>
  <c r="G29" i="13" s="1"/>
  <c r="G39" i="13" s="1"/>
  <c r="O29" i="13" a="1"/>
  <c r="O29" i="13" s="1"/>
  <c r="O39" i="13" s="1"/>
  <c r="Y64" i="13" a="1"/>
  <c r="Y64" i="13" s="1"/>
  <c r="Y73" i="13" s="1"/>
  <c r="O10" i="13" a="1"/>
  <c r="O10" i="13" s="1"/>
  <c r="O21" i="13" s="1"/>
  <c r="J80" i="13" a="1"/>
  <c r="J80" i="13" s="1"/>
  <c r="J89" i="13" s="1"/>
  <c r="T46" i="13" a="1"/>
  <c r="T46" i="13" s="1"/>
  <c r="T56" i="13" s="1"/>
  <c r="Y46" i="13" a="1"/>
  <c r="Y46" i="13" s="1"/>
  <c r="Y56" i="13" s="1"/>
  <c r="F80" i="13" a="1"/>
  <c r="F80" i="13" s="1"/>
  <c r="F89" i="13" s="1"/>
  <c r="W29" i="13" a="1"/>
  <c r="W29" i="13" s="1"/>
  <c r="W39" i="13" s="1"/>
  <c r="E64" i="13" a="1"/>
  <c r="E64" i="13" s="1"/>
  <c r="E73" i="13" s="1"/>
  <c r="I29" i="13" a="1"/>
  <c r="I29" i="13" s="1"/>
  <c r="I39" i="13" s="1"/>
  <c r="W46" i="13" a="1"/>
  <c r="W46" i="13" s="1"/>
  <c r="W56" i="13" s="1"/>
  <c r="S10" i="13" a="1"/>
  <c r="S10" i="13" s="1"/>
  <c r="S21" i="13" s="1"/>
  <c r="I8" i="13" a="1"/>
  <c r="I8" i="13" s="1"/>
  <c r="I19" i="13" s="1"/>
  <c r="V47" i="13" a="1"/>
  <c r="V47" i="13" s="1"/>
  <c r="R80" i="13" a="1"/>
  <c r="R80" i="13" s="1"/>
  <c r="R89" i="13" s="1"/>
  <c r="U46" i="13" a="1"/>
  <c r="U46" i="13" s="1"/>
  <c r="U56" i="13" s="1"/>
  <c r="N8" i="13" a="1"/>
  <c r="N8" i="13" s="1"/>
  <c r="N19" i="13" s="1"/>
  <c r="P64" i="13" a="1"/>
  <c r="P64" i="13" s="1"/>
  <c r="P73" i="13" s="1"/>
  <c r="R8" i="13" a="1"/>
  <c r="R8" i="13" s="1"/>
  <c r="R19" i="13" s="1"/>
  <c r="H80" i="13" a="1"/>
  <c r="H80" i="13" s="1"/>
  <c r="H89" i="13" s="1"/>
  <c r="R47" i="13" a="1"/>
  <c r="R47" i="13" s="1"/>
  <c r="R57" i="13" s="1"/>
  <c r="F46" i="13" a="1"/>
  <c r="F46" i="13" s="1"/>
  <c r="F56" i="13" s="1"/>
  <c r="G64" i="13" a="1"/>
  <c r="G64" i="13" s="1"/>
  <c r="G73" i="13" s="1"/>
  <c r="T64" i="13" a="1"/>
  <c r="T64" i="13" s="1"/>
  <c r="T73" i="13" s="1"/>
  <c r="T80" i="13" a="1"/>
  <c r="T80" i="13" s="1"/>
  <c r="T89" i="13" s="1"/>
  <c r="J64" i="13" a="1"/>
  <c r="J64" i="13" s="1"/>
  <c r="J73" i="13" s="1"/>
  <c r="H64" i="13" a="1"/>
  <c r="H64" i="13" s="1"/>
  <c r="H73" i="13" s="1"/>
  <c r="G80" i="13" a="1"/>
  <c r="G80" i="13" s="1"/>
  <c r="G89" i="13" s="1"/>
  <c r="N80" i="13" a="1"/>
  <c r="N80" i="13" s="1"/>
  <c r="N89" i="13" s="1"/>
  <c r="O80" i="13" a="1"/>
  <c r="O80" i="13" s="1"/>
  <c r="O89" i="13" s="1"/>
  <c r="M64" i="13" a="1"/>
  <c r="M64" i="13" s="1"/>
  <c r="M73" i="13" s="1"/>
  <c r="V80" i="13" a="1"/>
  <c r="V80" i="13" s="1"/>
  <c r="K80" i="13" a="1"/>
  <c r="K80" i="13" s="1"/>
  <c r="K89" i="13" s="1"/>
  <c r="S64" i="13" a="1"/>
  <c r="S64" i="13" s="1"/>
  <c r="S73" i="13" s="1"/>
  <c r="V64" i="13" a="1"/>
  <c r="V64" i="13" s="1"/>
  <c r="N64" i="13" a="1"/>
  <c r="N64" i="13" s="1"/>
  <c r="N73" i="13" s="1"/>
  <c r="W64" i="13" a="1"/>
  <c r="W64" i="13" s="1"/>
  <c r="W73" i="13" s="1"/>
  <c r="O64" i="13" a="1"/>
  <c r="O64" i="13" s="1"/>
  <c r="O73" i="13" s="1"/>
  <c r="X64" i="13" a="1"/>
  <c r="X64" i="13" s="1"/>
  <c r="X73" i="13" s="1"/>
  <c r="Q80" i="13" a="1"/>
  <c r="Q80" i="13" s="1"/>
  <c r="Q89" i="13" s="1"/>
  <c r="F64" i="13" a="1"/>
  <c r="F64" i="13" s="1"/>
  <c r="F73" i="13" s="1"/>
  <c r="AA64" i="13" a="1"/>
  <c r="AA64" i="13" s="1"/>
  <c r="AA73" i="13" s="1"/>
  <c r="U80" i="13" a="1"/>
  <c r="U80" i="13" s="1"/>
  <c r="U89" i="13" s="1"/>
  <c r="G46" i="13" a="1"/>
  <c r="G46" i="13" s="1"/>
  <c r="G56" i="13" s="1"/>
  <c r="AA80" i="13" a="1"/>
  <c r="AA80" i="13" s="1"/>
  <c r="AA89" i="13" s="1"/>
  <c r="E80" i="13" a="1"/>
  <c r="E80" i="13" s="1"/>
  <c r="E89" i="13" s="1"/>
  <c r="R64" i="13" a="1"/>
  <c r="R64" i="13" s="1"/>
  <c r="R73" i="13" s="1"/>
  <c r="Z64" i="13" a="1"/>
  <c r="Z64" i="13" s="1"/>
  <c r="Z73" i="13" s="1"/>
  <c r="I64" i="13" a="1"/>
  <c r="I64" i="13" s="1"/>
  <c r="I73" i="13" s="1"/>
  <c r="Y80" i="13" a="1"/>
  <c r="Y80" i="13" s="1"/>
  <c r="Y89" i="13" s="1"/>
  <c r="S80" i="13" a="1"/>
  <c r="S80" i="13" s="1"/>
  <c r="S89" i="13" s="1"/>
  <c r="K64" i="13" a="1"/>
  <c r="K64" i="13" s="1"/>
  <c r="K73" i="13" s="1"/>
  <c r="Z80" i="13" a="1"/>
  <c r="Z80" i="13" s="1"/>
  <c r="Z89" i="13" s="1"/>
  <c r="X80" i="13" a="1"/>
  <c r="X80" i="13" s="1"/>
  <c r="X89" i="13" s="1"/>
  <c r="U64" i="13" a="1"/>
  <c r="U64" i="13" s="1"/>
  <c r="U73" i="13" s="1"/>
  <c r="W80" i="13" a="1"/>
  <c r="W80" i="13" s="1"/>
  <c r="W89" i="13" s="1"/>
  <c r="Q64" i="13" a="1"/>
  <c r="Q64" i="13" s="1"/>
  <c r="Q73" i="13" s="1"/>
  <c r="L64" i="13" a="1"/>
  <c r="L64" i="13" s="1"/>
  <c r="L73" i="13" s="1"/>
  <c r="L80" i="13" a="1"/>
  <c r="L80" i="13" s="1"/>
  <c r="L89" i="13" s="1"/>
  <c r="I80" i="13" a="1"/>
  <c r="I80" i="13" s="1"/>
  <c r="I89" i="13" s="1"/>
  <c r="Z29" i="13" a="1"/>
  <c r="Z29" i="13" s="1"/>
  <c r="Z39" i="13" s="1"/>
  <c r="X28" i="13" a="1"/>
  <c r="X28" i="13" s="1"/>
  <c r="X38" i="13" s="1"/>
  <c r="K47" i="13" a="1"/>
  <c r="K47" i="13" s="1"/>
  <c r="K57" i="13" s="1"/>
  <c r="Y47" i="13" a="1"/>
  <c r="Y47" i="13" s="1"/>
  <c r="Y57" i="13" s="1"/>
  <c r="J8" i="13" a="1"/>
  <c r="J8" i="13" s="1"/>
  <c r="J19" i="13" s="1"/>
  <c r="L29" i="13" a="1"/>
  <c r="L29" i="13" s="1"/>
  <c r="L39" i="13" s="1"/>
  <c r="E8" i="13" a="1"/>
  <c r="E8" i="13" s="1"/>
  <c r="E19" i="13" s="1"/>
  <c r="P28" i="13" a="1"/>
  <c r="P28" i="13" s="1"/>
  <c r="P38" i="13" s="1"/>
  <c r="X47" i="13" a="1"/>
  <c r="X47" i="13" s="1"/>
  <c r="X57" i="13" s="1"/>
  <c r="F29" i="13" a="1"/>
  <c r="F29" i="13" s="1"/>
  <c r="F39" i="13" s="1"/>
  <c r="J46" i="13" a="1"/>
  <c r="J46" i="13" s="1"/>
  <c r="J56" i="13" s="1"/>
  <c r="T10" i="13" a="1"/>
  <c r="T10" i="13" s="1"/>
  <c r="T21" i="13" s="1"/>
  <c r="U10" i="13" a="1"/>
  <c r="U10" i="13" s="1"/>
  <c r="U21" i="13" s="1"/>
  <c r="U8" i="13" a="1"/>
  <c r="U8" i="13" s="1"/>
  <c r="U19" i="13" s="1"/>
  <c r="L28" i="13" a="1"/>
  <c r="L28" i="13" s="1"/>
  <c r="L38" i="13" s="1"/>
  <c r="M28" i="13" a="1"/>
  <c r="M28" i="13" s="1"/>
  <c r="M38" i="13" s="1"/>
  <c r="Q8" i="13" a="1"/>
  <c r="Q8" i="13" s="1"/>
  <c r="Q19" i="13" s="1"/>
  <c r="N46" i="13" a="1"/>
  <c r="N46" i="13" s="1"/>
  <c r="N56" i="13" s="1"/>
  <c r="P10" i="13" a="1"/>
  <c r="P10" i="13" s="1"/>
  <c r="P21" i="13" s="1"/>
  <c r="Z47" i="13" a="1"/>
  <c r="Z47" i="13" s="1"/>
  <c r="Z57" i="13" s="1"/>
  <c r="P29" i="13" a="1"/>
  <c r="P29" i="13" s="1"/>
  <c r="P39" i="13" s="1"/>
  <c r="K28" i="13" a="1"/>
  <c r="K28" i="13" s="1"/>
  <c r="K38" i="13" s="1"/>
  <c r="P46" i="13" a="1"/>
  <c r="P46" i="13" s="1"/>
  <c r="P56" i="13" s="1"/>
  <c r="Y28" i="13" a="1"/>
  <c r="Y28" i="13" s="1"/>
  <c r="Y38" i="13" s="1"/>
  <c r="L47" i="13" a="1"/>
  <c r="L47" i="13" s="1"/>
  <c r="L57" i="13" s="1"/>
  <c r="Y29" i="13" a="1"/>
  <c r="Y29" i="13" s="1"/>
  <c r="Y39" i="13" s="1"/>
  <c r="Z46" i="13" a="1"/>
  <c r="Z46" i="13" s="1"/>
  <c r="Z56" i="13" s="1"/>
  <c r="M47" i="13" a="1"/>
  <c r="M47" i="13" s="1"/>
  <c r="M57" i="13" s="1"/>
  <c r="I28" i="13" a="1"/>
  <c r="I28" i="13" s="1"/>
  <c r="I38" i="13" s="1"/>
  <c r="W28" i="13" a="1"/>
  <c r="W28" i="13" s="1"/>
  <c r="W38" i="13" s="1"/>
  <c r="F47" i="13" a="1"/>
  <c r="F47" i="13" s="1"/>
  <c r="F57" i="13" s="1"/>
  <c r="J10" i="13" a="1"/>
  <c r="J10" i="13" s="1"/>
  <c r="J21" i="13" s="1"/>
  <c r="S29" i="13" a="1"/>
  <c r="S29" i="13" s="1"/>
  <c r="S39" i="13" s="1"/>
  <c r="E47" i="13" a="1"/>
  <c r="E47" i="13" s="1"/>
  <c r="E57" i="13" s="1"/>
  <c r="O46" i="13" a="1"/>
  <c r="O46" i="13" s="1"/>
  <c r="O56" i="13" s="1"/>
  <c r="R28" i="13" a="1"/>
  <c r="R28" i="13" s="1"/>
  <c r="R38" i="13" s="1"/>
  <c r="G47" i="13" a="1"/>
  <c r="G47" i="13" s="1"/>
  <c r="G57" i="13" s="1"/>
  <c r="R29" i="13" a="1"/>
  <c r="R29" i="13" s="1"/>
  <c r="R39" i="13" s="1"/>
  <c r="T28" i="13" a="1"/>
  <c r="T28" i="13" s="1"/>
  <c r="T38" i="13" s="1"/>
  <c r="U28" i="13" a="1"/>
  <c r="U28" i="13" s="1"/>
  <c r="U38" i="13" s="1"/>
  <c r="P47" i="13" a="1"/>
  <c r="P47" i="13" s="1"/>
  <c r="P57" i="13" s="1"/>
  <c r="AA29" i="13" a="1"/>
  <c r="AA29" i="13" s="1"/>
  <c r="AA39" i="13" s="1"/>
  <c r="K29" i="13" a="1"/>
  <c r="K29" i="13" s="1"/>
  <c r="K39" i="13" s="1"/>
  <c r="R46" i="13" a="1"/>
  <c r="R46" i="13" s="1"/>
  <c r="R56" i="13" s="1"/>
  <c r="E46" i="13" a="1"/>
  <c r="E46" i="13" s="1"/>
  <c r="E56" i="13" s="1"/>
  <c r="AA47" i="13" a="1"/>
  <c r="AA47" i="13" s="1"/>
  <c r="AA57" i="13" s="1"/>
  <c r="N10" i="13" a="1"/>
  <c r="N10" i="13" s="1"/>
  <c r="N21" i="13" s="1"/>
  <c r="S8" i="13" a="1"/>
  <c r="S8" i="13" s="1"/>
  <c r="S19" i="13" s="1"/>
  <c r="N29" i="13" a="1"/>
  <c r="N29" i="13" s="1"/>
  <c r="N39" i="13" s="1"/>
  <c r="H29" i="13" a="1"/>
  <c r="H29" i="13" s="1"/>
  <c r="H39" i="13" s="1"/>
  <c r="W47" i="13" a="1"/>
  <c r="W47" i="13" s="1"/>
  <c r="W57" i="13" s="1"/>
  <c r="M8" i="13" a="1"/>
  <c r="M8" i="13" s="1"/>
  <c r="M19" i="13" s="1"/>
  <c r="F28" i="13" a="1"/>
  <c r="F28" i="13" s="1"/>
  <c r="F38" i="13" s="1"/>
  <c r="Q10" i="13" a="1"/>
  <c r="Q10" i="13" s="1"/>
  <c r="Q21" i="13" s="1"/>
  <c r="G28" i="13" a="1"/>
  <c r="G28" i="13" s="1"/>
  <c r="G38" i="13" s="1"/>
  <c r="R10" i="13" a="1"/>
  <c r="R10" i="13" s="1"/>
  <c r="R21" i="13" s="1"/>
  <c r="L10" i="13" a="1"/>
  <c r="L10" i="13" s="1"/>
  <c r="L21" i="13" s="1"/>
  <c r="X29" i="13" a="1"/>
  <c r="X29" i="13" s="1"/>
  <c r="X39" i="13" s="1"/>
  <c r="N28" i="13" a="1"/>
  <c r="N28" i="13" s="1"/>
  <c r="N38" i="13" s="1"/>
  <c r="I47" i="13" a="1"/>
  <c r="I47" i="13" s="1"/>
  <c r="I57" i="13" s="1"/>
  <c r="Q28" i="13" a="1"/>
  <c r="Q28" i="13" s="1"/>
  <c r="Q38" i="13" s="1"/>
  <c r="O8" i="13" a="1"/>
  <c r="O8" i="13" s="1"/>
  <c r="O19" i="13" s="1"/>
  <c r="M29" i="13" a="1"/>
  <c r="M29" i="13" s="1"/>
  <c r="M39" i="13" s="1"/>
  <c r="V8" i="13" a="1"/>
  <c r="V8" i="13" s="1"/>
  <c r="V19" i="13" s="1"/>
  <c r="N47" i="13" a="1"/>
  <c r="N47" i="13" s="1"/>
  <c r="N57" i="13" s="1"/>
  <c r="E28" i="13" a="1"/>
  <c r="E28" i="13" s="1"/>
  <c r="E38" i="13" s="1"/>
  <c r="O28" i="13" a="1"/>
  <c r="O28" i="13" s="1"/>
  <c r="O38" i="13" s="1"/>
  <c r="M10" i="13" a="1"/>
  <c r="M10" i="13" s="1"/>
  <c r="M21" i="13" s="1"/>
  <c r="AA28" i="13" a="1"/>
  <c r="AA28" i="13" s="1"/>
  <c r="AA38" i="13" s="1"/>
  <c r="V29" i="13" a="1"/>
  <c r="V29" i="13" s="1"/>
  <c r="U47" i="13" a="1"/>
  <c r="U47" i="13" s="1"/>
  <c r="U57" i="13" s="1"/>
  <c r="H10" i="13" a="1"/>
  <c r="H10" i="13" s="1"/>
  <c r="H21" i="13" s="1"/>
  <c r="I10" i="13" a="1"/>
  <c r="I10" i="13" s="1"/>
  <c r="I21" i="13" s="1"/>
  <c r="G8" i="13" a="1"/>
  <c r="G8" i="13" s="1"/>
  <c r="G19" i="13" s="1"/>
  <c r="X46" i="13" a="1"/>
  <c r="X46" i="13" s="1"/>
  <c r="X56" i="13" s="1"/>
  <c r="K8" i="13" a="1"/>
  <c r="K8" i="13" s="1"/>
  <c r="K19" i="13" s="1"/>
  <c r="Q47" i="13" a="1"/>
  <c r="Q47" i="13" s="1"/>
  <c r="Q57" i="13" s="1"/>
  <c r="F10" i="13" a="1"/>
  <c r="F10" i="13" s="1"/>
  <c r="F21" i="13" s="1"/>
  <c r="S47" i="13" a="1"/>
  <c r="S47" i="13" s="1"/>
  <c r="S57" i="13" s="1"/>
  <c r="F8" i="13" a="1"/>
  <c r="F8" i="13" s="1"/>
  <c r="F19" i="13" s="1"/>
  <c r="K46" i="13" a="1"/>
  <c r="K46" i="13" s="1"/>
  <c r="K56" i="13" s="1"/>
  <c r="AA46" i="13" a="1"/>
  <c r="AA46" i="13" s="1"/>
  <c r="AA56" i="13" s="1"/>
  <c r="E29" i="13" a="1"/>
  <c r="E29" i="13" s="1"/>
  <c r="E39" i="13" s="1"/>
  <c r="H46" i="13" a="1"/>
  <c r="H46" i="13" s="1"/>
  <c r="H56" i="13" s="1"/>
  <c r="S28" i="13" a="1"/>
  <c r="S28" i="13" s="1"/>
  <c r="S38" i="13" s="1"/>
  <c r="Z28" i="13" a="1"/>
  <c r="Z28" i="13" s="1"/>
  <c r="Z38" i="13" s="1"/>
  <c r="U29" i="13" a="1"/>
  <c r="U29" i="13" s="1"/>
  <c r="U39" i="13" s="1"/>
  <c r="Y20" i="13" l="1"/>
  <c r="AO9" i="13"/>
  <c r="W21" i="13"/>
  <c r="AO10" i="13"/>
  <c r="W19" i="13"/>
  <c r="AO8" i="13"/>
  <c r="V73" i="13"/>
  <c r="AO64" i="13"/>
  <c r="V89" i="13"/>
  <c r="AO80" i="13"/>
  <c r="V56" i="13"/>
  <c r="AO46" i="13"/>
  <c r="AO47" i="13"/>
  <c r="V57" i="13"/>
  <c r="AO28" i="13"/>
  <c r="V38" i="13"/>
  <c r="AO29" i="13"/>
  <c r="V39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Danh, Hoàng Duy</author>
  </authors>
  <commentList>
    <comment ref="X32" authorId="0" shapeId="0" xr:uid="{B036A888-0A06-4495-8C6E-1EC82C3C4E1D}">
      <text>
        <r>
          <rPr>
            <b/>
            <sz val="9"/>
            <color indexed="81"/>
            <rFont val="Tahoma"/>
            <family val="2"/>
          </rPr>
          <t>Danh, Hoàng Duy:</t>
        </r>
        <r>
          <rPr>
            <sz val="9"/>
            <color indexed="81"/>
            <rFont val="Tahoma"/>
            <family val="2"/>
          </rPr>
          <t xml:space="preserve">
giữ giá bán như Quý 3 (theo giá VND: 32,493 đ/kg). 
Do kinh doanh lấy tỷ giá khi làm tờ trình là 24,615 nên trong tờ trình sẽ là $1320; còn KTQT là tỷ giá lúc làm Q3 mặc định là 25,000.</t>
        </r>
      </text>
    </comment>
    <comment ref="Y32" authorId="0" shapeId="0" xr:uid="{3E0D4EBA-79AE-433E-9C98-64EE9FCC37AD}">
      <text>
        <r>
          <rPr>
            <b/>
            <sz val="9"/>
            <color indexed="81"/>
            <rFont val="Tahoma"/>
            <family val="2"/>
          </rPr>
          <t>Danh, Hoàng Duy:</t>
        </r>
        <r>
          <rPr>
            <sz val="9"/>
            <color indexed="81"/>
            <rFont val="Tahoma"/>
            <family val="2"/>
          </rPr>
          <t xml:space="preserve">
giữ giá bán như Quý 3 (theo giá VND: 32,493 đ/kg). 
Do kinh doanh lấy tỷ giá khi làm tờ trình là 24,615 nên trong tờ trình sẽ là $1320; còn KTQT là tỷ giá lúc làm Q3 mặc định là 25,000.</t>
        </r>
      </text>
    </comment>
    <comment ref="Z32" authorId="0" shapeId="0" xr:uid="{8E2D3F52-9A43-4721-A940-742B79FF58E2}">
      <text>
        <r>
          <rPr>
            <b/>
            <sz val="9"/>
            <color indexed="81"/>
            <rFont val="Tahoma"/>
            <family val="2"/>
          </rPr>
          <t>Danh, Hoàng Duy:</t>
        </r>
        <r>
          <rPr>
            <sz val="9"/>
            <color indexed="81"/>
            <rFont val="Tahoma"/>
            <family val="2"/>
          </rPr>
          <t xml:space="preserve">
giữ giá bán như Quý 3 (theo giá VND: 32,493 đ/kg). 
Do kinh doanh lấy tỷ giá khi làm tờ trình là 24,615 nên trong tờ trình sẽ là $1320; còn KTQT là tỷ giá lúc làm Q3 mặc định là 25,000.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Danh, Hoàng Duy</author>
  </authors>
  <commentList>
    <comment ref="X27" authorId="0" shapeId="0" xr:uid="{007B5EE9-7A45-4BCD-8026-DDC50B2FE99E}">
      <text>
        <r>
          <rPr>
            <b/>
            <sz val="9"/>
            <color indexed="81"/>
            <rFont val="Tahoma"/>
            <family val="2"/>
          </rPr>
          <t>Danh, Hoàng Duy:</t>
        </r>
        <r>
          <rPr>
            <sz val="9"/>
            <color indexed="81"/>
            <rFont val="Tahoma"/>
            <family val="2"/>
          </rPr>
          <t xml:space="preserve">
giữ giá bán như Quý 3 (theo giá VND: 32,493 đ/kg). 
Do kinh doanh lấy tỷ giá khi làm tờ trình là 24,615 nên trong tờ trình sẽ là $1320; còn KTQT là tỷ giá lúc làm Q3 mặc định là 25,000.</t>
        </r>
      </text>
    </comment>
    <comment ref="Y27" authorId="0" shapeId="0" xr:uid="{1EAF65D7-B621-4AC7-B8FE-B577758AA98F}">
      <text>
        <r>
          <rPr>
            <b/>
            <sz val="9"/>
            <color indexed="81"/>
            <rFont val="Tahoma"/>
            <family val="2"/>
          </rPr>
          <t>Danh, Hoàng Duy:</t>
        </r>
        <r>
          <rPr>
            <sz val="9"/>
            <color indexed="81"/>
            <rFont val="Tahoma"/>
            <family val="2"/>
          </rPr>
          <t xml:space="preserve">
giữ giá bán như Quý 3 (theo giá VND: 32,493 đ/kg). 
Do kinh doanh lấy tỷ giá khi làm tờ trình là 24,615 nên trong tờ trình sẽ là $1320; còn KTQT là tỷ giá lúc làm Q3 mặc định là 25,000.</t>
        </r>
      </text>
    </comment>
    <comment ref="Z27" authorId="0" shapeId="0" xr:uid="{F7833159-4F0E-4679-9335-833874F7D6EF}">
      <text>
        <r>
          <rPr>
            <b/>
            <sz val="9"/>
            <color indexed="81"/>
            <rFont val="Tahoma"/>
            <family val="2"/>
          </rPr>
          <t>Danh, Hoàng Duy:</t>
        </r>
        <r>
          <rPr>
            <sz val="9"/>
            <color indexed="81"/>
            <rFont val="Tahoma"/>
            <family val="2"/>
          </rPr>
          <t xml:space="preserve">
giữ giá bán như Quý 3 (theo giá VND: 32,493 đ/kg). 
Do kinh doanh lấy tỷ giá khi làm tờ trình là 24,615 nên trong tờ trình sẽ là $1320; còn KTQT là tỷ giá lúc làm Q3 mặc định là 25,000.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6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</futureMetadata>
  <cellMetadata count="1">
    <bk>
      <rc t="1" v="0"/>
    </bk>
  </cellMetadata>
  <valueMetadata count="6">
    <bk>
      <rc t="2" v="0"/>
    </bk>
    <bk>
      <rc t="2" v="1"/>
    </bk>
    <bk>
      <rc t="2" v="2"/>
    </bk>
    <bk>
      <rc t="2" v="3"/>
    </bk>
    <bk>
      <rc t="2" v="4"/>
    </bk>
    <bk>
      <rc t="2" v="5"/>
    </bk>
  </valueMetadata>
</metadata>
</file>

<file path=xl/sharedStrings.xml><?xml version="1.0" encoding="utf-8"?>
<sst xmlns="http://schemas.openxmlformats.org/spreadsheetml/2006/main" count="1665" uniqueCount="454">
  <si>
    <t>STT</t>
  </si>
  <si>
    <t>KHÁCH HÀNG/SẢN PHẨM</t>
  </si>
  <si>
    <t>1</t>
  </si>
  <si>
    <t>NIAGARA</t>
  </si>
  <si>
    <t>WSS01G</t>
  </si>
  <si>
    <t>1.1</t>
  </si>
  <si>
    <t>Giá bán - FOB</t>
  </si>
  <si>
    <t>1.2</t>
  </si>
  <si>
    <t>Giá bán quy đổi EXW</t>
  </si>
  <si>
    <t>PETVirgin</t>
  </si>
  <si>
    <t>1.3</t>
  </si>
  <si>
    <t>Giá chính phẩm</t>
  </si>
  <si>
    <t>1.4</t>
  </si>
  <si>
    <t>1.5</t>
  </si>
  <si>
    <t>% +/-</t>
  </si>
  <si>
    <t>110000354</t>
  </si>
  <si>
    <t>1.6</t>
  </si>
  <si>
    <t>Giá duyệt</t>
  </si>
  <si>
    <t>UNILEVER VIET NAM</t>
  </si>
  <si>
    <t>Giá bán - DDP</t>
  </si>
  <si>
    <t>PCF01</t>
  </si>
  <si>
    <t>HDPEVirgin</t>
  </si>
  <si>
    <t>110000481</t>
  </si>
  <si>
    <t>MBF01</t>
  </si>
  <si>
    <t>110000339</t>
  </si>
  <si>
    <t>3</t>
  </si>
  <si>
    <t>SUNTORY VIET NAM</t>
  </si>
  <si>
    <t>iSS1084G</t>
  </si>
  <si>
    <t>Giá bán-DDP</t>
  </si>
  <si>
    <t>110000332</t>
  </si>
  <si>
    <t>iSS01G</t>
  </si>
  <si>
    <t>110000355</t>
  </si>
  <si>
    <t>LAVIE VIET NAM</t>
  </si>
  <si>
    <t>WSS01</t>
  </si>
  <si>
    <t>Giá bán-EXW</t>
  </si>
  <si>
    <t>110000329</t>
  </si>
  <si>
    <t>COCA VIET NAM</t>
  </si>
  <si>
    <t>NESTLE VIET NAM</t>
  </si>
  <si>
    <t>ĐƠN GIÁ (USD/tấn)</t>
  </si>
  <si>
    <t>KHÁCH HÀNG/NỘI DUNG</t>
  </si>
  <si>
    <t>105194</t>
  </si>
  <si>
    <t>[+]</t>
  </si>
  <si>
    <t>CP vận chuyển-Miền Bắc</t>
  </si>
  <si>
    <t>Incoterms</t>
  </si>
  <si>
    <t>04</t>
  </si>
  <si>
    <t>Công thức</t>
  </si>
  <si>
    <t>Tần suất tính</t>
  </si>
  <si>
    <t>Giá trần</t>
  </si>
  <si>
    <t>Giá sàn</t>
  </si>
  <si>
    <t>102990</t>
  </si>
  <si>
    <t>Chi phí vận chuyển</t>
  </si>
  <si>
    <t>Rebate</t>
  </si>
  <si>
    <t>200319</t>
  </si>
  <si>
    <t>Chiết khấu</t>
  </si>
  <si>
    <t>%Chiết khấu</t>
  </si>
  <si>
    <t>Bales DTR</t>
  </si>
  <si>
    <t>Hao hụt</t>
  </si>
  <si>
    <t>Conversion cost</t>
  </si>
  <si>
    <t>Lợi nhuận trước thuế (EBT)</t>
  </si>
  <si>
    <t>Interest (lãi vay)</t>
  </si>
  <si>
    <t>Exchange rate</t>
  </si>
  <si>
    <t>%Hao hụt</t>
  </si>
  <si>
    <t>104909</t>
  </si>
  <si>
    <t>105217</t>
  </si>
  <si>
    <t>105263</t>
  </si>
  <si>
    <t>RHDPETHOI-MAU</t>
  </si>
  <si>
    <t>KHOẢN MỤC</t>
  </si>
  <si>
    <t>Đvt</t>
  </si>
  <si>
    <t>01</t>
  </si>
  <si>
    <t>ICIS Bales Thailand</t>
  </si>
  <si>
    <t>USD/ton</t>
  </si>
  <si>
    <t>02</t>
  </si>
  <si>
    <t>ICIS Bales Malaysia</t>
  </si>
  <si>
    <t>03</t>
  </si>
  <si>
    <t>ICIS Bales Indonesia</t>
  </si>
  <si>
    <t>ICIS Bales - SEA</t>
  </si>
  <si>
    <t>05</t>
  </si>
  <si>
    <t>ICIS Pellet USA - Bờ Đông</t>
  </si>
  <si>
    <t>06</t>
  </si>
  <si>
    <t>ICIS Pellet USA - Bờ Tây</t>
  </si>
  <si>
    <t>07</t>
  </si>
  <si>
    <t>VND/kg</t>
  </si>
  <si>
    <t>08</t>
  </si>
  <si>
    <t>EXR</t>
  </si>
  <si>
    <t>Tỷ giá</t>
  </si>
  <si>
    <t>VND</t>
  </si>
  <si>
    <t>EXR-SELL</t>
  </si>
  <si>
    <t>EXR-BUY</t>
  </si>
  <si>
    <t>GIÁ EXW CHUNG</t>
  </si>
  <si>
    <t>Hạt nhựa rPET iSS01084G</t>
  </si>
  <si>
    <t>110000330</t>
  </si>
  <si>
    <t>Hạt nhựa rPET iSS01</t>
  </si>
  <si>
    <t>Hạt nhựa rPET iSS01G 1</t>
  </si>
  <si>
    <t>110000378</t>
  </si>
  <si>
    <t>Hạt nhựa rPET iSS01G 2</t>
  </si>
  <si>
    <t>Hạt nhựa rPET WSS01G 1</t>
  </si>
  <si>
    <t>110000377</t>
  </si>
  <si>
    <t>Hạt nhựa rPET WSS01G 2</t>
  </si>
  <si>
    <t>Hạt nhựa rPET WSS01</t>
  </si>
  <si>
    <t>110000331</t>
  </si>
  <si>
    <t>Hạt nhựa rPET WSS02</t>
  </si>
  <si>
    <t>110000358</t>
  </si>
  <si>
    <t>Hạt nhựa rPET WSS02G</t>
  </si>
  <si>
    <t>110000333</t>
  </si>
  <si>
    <t>Hạt nhựa rPET WSS03</t>
  </si>
  <si>
    <t>110000359</t>
  </si>
  <si>
    <t>Hạt nhựa rPET WSS03G</t>
  </si>
  <si>
    <t>110000376</t>
  </si>
  <si>
    <t>Hạt nhựa rPET iSS01L</t>
  </si>
  <si>
    <t>110000387</t>
  </si>
  <si>
    <t>Hạt nhựa rPET WSS03SD</t>
  </si>
  <si>
    <t>110000381</t>
  </si>
  <si>
    <t>Hạt nhựa rPET WSS04SD</t>
  </si>
  <si>
    <t>110000382</t>
  </si>
  <si>
    <t>Hạt nhựa rPET WSS04SB</t>
  </si>
  <si>
    <t>110000488</t>
  </si>
  <si>
    <t>Hạt Nhựa rPET iSS01084G PL</t>
  </si>
  <si>
    <t>110000486</t>
  </si>
  <si>
    <t>Hạt Nhựa rPET iSS01G 1 PL</t>
  </si>
  <si>
    <t>110000484</t>
  </si>
  <si>
    <t>Hạt Nhựa rPET WSS01G 1 PL</t>
  </si>
  <si>
    <t>110000493</t>
  </si>
  <si>
    <t>Hạt Nhựa rPET WSS01 PL</t>
  </si>
  <si>
    <t>Hạt rPET WSS02 PL</t>
  </si>
  <si>
    <t>Hạt nhựa rPET WSS02G PL</t>
  </si>
  <si>
    <t>Hạt rPET WSS03 PL</t>
  </si>
  <si>
    <t>110000492</t>
  </si>
  <si>
    <t>Hạt Nhựa rPET WSS03G PL</t>
  </si>
  <si>
    <t>Hạt Nhựa rHDPE PCF01</t>
  </si>
  <si>
    <t>Hạt Nhựa rHDPE MBF01</t>
  </si>
  <si>
    <t>Hạt nhựa rHDPE màu</t>
  </si>
  <si>
    <t>KHÁC</t>
  </si>
  <si>
    <t>VC01</t>
  </si>
  <si>
    <t>Kéo cont từ DTR đến cảng HCM</t>
  </si>
  <si>
    <t>Giá chính phẩm PET</t>
  </si>
  <si>
    <t>Giá chính phẩm HDPE</t>
  </si>
  <si>
    <t>PPVirgin</t>
  </si>
  <si>
    <t>Giá chính phẩm PP</t>
  </si>
  <si>
    <t>KHÔNG PHẢI TABLE</t>
  </si>
  <si>
    <t>(chưa làm)</t>
  </si>
  <si>
    <t>Check trùng</t>
  </si>
  <si>
    <t>Mã khách hàng</t>
  </si>
  <si>
    <t>Tên khách hàng</t>
  </si>
  <si>
    <t>Mã hàng</t>
  </si>
  <si>
    <t>Tên hàng</t>
  </si>
  <si>
    <t>Bắt đầu</t>
  </si>
  <si>
    <t>Kết thúc</t>
  </si>
  <si>
    <t>Cách tính</t>
  </si>
  <si>
    <t>Payment Term</t>
  </si>
  <si>
    <t>Year-Start</t>
  </si>
  <si>
    <t>Month-Start</t>
  </si>
  <si>
    <t>Mã khách | Mã hàng</t>
  </si>
  <si>
    <t>Mã khách | Mã hàng | Count</t>
  </si>
  <si>
    <t>Check</t>
  </si>
  <si>
    <t>Niagara Bottling, LLC</t>
  </si>
  <si>
    <t>Giá ICIS rPET ĐNA trung bình 3 tháng trước đó với chiết khấu 10%. Giá trần $1,600; giá sàn $1,200</t>
  </si>
  <si>
    <t>FOB</t>
  </si>
  <si>
    <t>Tháng</t>
  </si>
  <si>
    <t>200350</t>
  </si>
  <si>
    <t>Niagara Mexico</t>
  </si>
  <si>
    <t>Công ty TNHH La Vie</t>
  </si>
  <si>
    <t>Giá cố định</t>
  </si>
  <si>
    <t>EXW</t>
  </si>
  <si>
    <t>Lần</t>
  </si>
  <si>
    <t>Suntory Việt Nam</t>
  </si>
  <si>
    <t>Giá ICIS rPET ĐNA trung bình từ ngày 16 tháng (X-2) đến ngày 15 tháng (X-1) +Premium ( Chi phí tăng IV ) - REBATE + Cp vận chuyển</t>
  </si>
  <si>
    <t>DDP</t>
  </si>
  <si>
    <t>Unilever Duy Tân</t>
  </si>
  <si>
    <t>Giá Bales DTR +% Hao Hụt + Conversion cost</t>
  </si>
  <si>
    <t>Quý</t>
  </si>
  <si>
    <t>Năm</t>
  </si>
  <si>
    <t>Giá Bales DTR Mua +% Hao Hụt + Conversion cost</t>
  </si>
  <si>
    <t>Giá MBF01 trừ $50</t>
  </si>
  <si>
    <t>Giá ICIS rPET ĐNA trung bình từ ngày 16 tháng (X-2) đến ngày 15 tháng (X-1) +Premium ( Chi phí tăng IV ) - REBATE + Cp vận chuyển. Giá trần $1,550; giá sàn $1,330</t>
  </si>
  <si>
    <t>105222</t>
  </si>
  <si>
    <t>CN Cty Coca - Hà Nội</t>
  </si>
  <si>
    <t>Coca-Cola Thủ Đức</t>
  </si>
  <si>
    <t>Giá cố định (đã thanh toán 100% trong năm 2024)</t>
  </si>
  <si>
    <t>H1.25</t>
  </si>
  <si>
    <t xml:space="preserve">Nestle Việt Nam </t>
  </si>
  <si>
    <t>Năm 2024</t>
  </si>
  <si>
    <t>Năm 2025</t>
  </si>
  <si>
    <t>Từ</t>
  </si>
  <si>
    <t>Đến dưới</t>
  </si>
  <si>
    <t>Sản phẩm áp dụng:</t>
  </si>
  <si>
    <t xml:space="preserve">iSS01084G, iSS01G  </t>
  </si>
  <si>
    <t>Khoảng 1</t>
  </si>
  <si>
    <t>/tấn</t>
  </si>
  <si>
    <t>giá trị</t>
  </si>
  <si>
    <t>Khoảng 2</t>
  </si>
  <si>
    <t>Khoảng 3</t>
  </si>
  <si>
    <t>Khoảng 4</t>
  </si>
  <si>
    <t>Khoảng 5</t>
  </si>
  <si>
    <t>N/A</t>
  </si>
  <si>
    <t>Khoảng 6</t>
  </si>
  <si>
    <t>Sản lượng đạt:</t>
  </si>
  <si>
    <t>tấn</t>
  </si>
  <si>
    <t>Chiết khấu đạt:</t>
  </si>
  <si>
    <t>(ko đạt)</t>
  </si>
  <si>
    <t>Chiết khấu chốt:</t>
  </si>
  <si>
    <t>(nếu có thay đổi)</t>
  </si>
  <si>
    <t>1.1.1</t>
  </si>
  <si>
    <t>1.1.2</t>
  </si>
  <si>
    <t>Giá duyệt tháng</t>
  </si>
  <si>
    <t>ICIS Bales - SEA trung bình 3 tháng gần nhất</t>
  </si>
  <si>
    <t>Chiết khấu 10%</t>
  </si>
  <si>
    <t>GIÁ BÁN WSS01G (FOB)</t>
  </si>
  <si>
    <t>UNILEVER VIỆT NAM</t>
  </si>
  <si>
    <t>GIÁ BÁN WSS01G (DDP)</t>
  </si>
  <si>
    <t>GIÁ BÁN MBF01 (DDP)</t>
  </si>
  <si>
    <t>2.1.1</t>
  </si>
  <si>
    <t>2.1.2</t>
  </si>
  <si>
    <t>2.1.3</t>
  </si>
  <si>
    <t>2.1.4</t>
  </si>
  <si>
    <t>2.1.5</t>
  </si>
  <si>
    <t>2.1.6</t>
  </si>
  <si>
    <t>2.1.7</t>
  </si>
  <si>
    <t>1.1.3</t>
  </si>
  <si>
    <t>1.1.4</t>
  </si>
  <si>
    <t>1.1.5</t>
  </si>
  <si>
    <t>1.1.6</t>
  </si>
  <si>
    <t>1.1.7</t>
  </si>
  <si>
    <t>1.1.8</t>
  </si>
  <si>
    <t>1.1.9</t>
  </si>
  <si>
    <t>1.1.10</t>
  </si>
  <si>
    <t>1.1.11</t>
  </si>
  <si>
    <t>2.1.8</t>
  </si>
  <si>
    <t>2.1.9</t>
  </si>
  <si>
    <t>2.1.10</t>
  </si>
  <si>
    <t>2.1.11</t>
  </si>
  <si>
    <t>2.1.12</t>
  </si>
  <si>
    <t>2.1.13</t>
  </si>
  <si>
    <t>2.2.1</t>
  </si>
  <si>
    <t>2.2.2</t>
  </si>
  <si>
    <t>2.2.3</t>
  </si>
  <si>
    <t>2.2.4</t>
  </si>
  <si>
    <t>2.2.5</t>
  </si>
  <si>
    <t>2.2.6</t>
  </si>
  <si>
    <t>2.2.7</t>
  </si>
  <si>
    <t>2.2.8</t>
  </si>
  <si>
    <t>2.2.9</t>
  </si>
  <si>
    <t>2.2.10</t>
  </si>
  <si>
    <t>2.2.11</t>
  </si>
  <si>
    <t>2.2.12</t>
  </si>
  <si>
    <t>2.2.13</t>
  </si>
  <si>
    <t>GIÁ BÁN PCF01 (DDP)</t>
  </si>
  <si>
    <t>Giá bán MBF01</t>
  </si>
  <si>
    <t>2.3.1</t>
  </si>
  <si>
    <t>2.3.2</t>
  </si>
  <si>
    <t>2.3.3</t>
  </si>
  <si>
    <t>2.3.4</t>
  </si>
  <si>
    <t>2.3.5</t>
  </si>
  <si>
    <t>GIÁ BÁN rHDPE thổi màu (DDP)</t>
  </si>
  <si>
    <t>Giá PCF01 trừ $50</t>
  </si>
  <si>
    <t>Giá PCF01/MBF01</t>
  </si>
  <si>
    <t>2.4.1</t>
  </si>
  <si>
    <t>2.4.2</t>
  </si>
  <si>
    <t>2.4.3</t>
  </si>
  <si>
    <t>2.4.4</t>
  </si>
  <si>
    <t>2.4.5</t>
  </si>
  <si>
    <t>2.4.6</t>
  </si>
  <si>
    <t>GIÁ BÁN iSS1084G (DDP)</t>
  </si>
  <si>
    <t>1.1.12</t>
  </si>
  <si>
    <t>2.1.14</t>
  </si>
  <si>
    <t>2.3.6</t>
  </si>
  <si>
    <t>2.2.14</t>
  </si>
  <si>
    <t>2.4.7</t>
  </si>
  <si>
    <t>ICIS Bales - SEA trung bình 2 tháng gần nhất</t>
  </si>
  <si>
    <t>Premium (2025: $20; 2024: $50)</t>
  </si>
  <si>
    <t>Premium (2025: $20; 2024: $30)</t>
  </si>
  <si>
    <t>GIÁ BÁN iSS01G (DDP)</t>
  </si>
  <si>
    <t>3.1.1</t>
  </si>
  <si>
    <t>3.1.2</t>
  </si>
  <si>
    <t>3.1.3</t>
  </si>
  <si>
    <t>3.1.4</t>
  </si>
  <si>
    <t>3.1.5</t>
  </si>
  <si>
    <t>3.1.6</t>
  </si>
  <si>
    <t>3.1.7</t>
  </si>
  <si>
    <t>3.1.8</t>
  </si>
  <si>
    <t>3.1.9</t>
  </si>
  <si>
    <t>3.1.10</t>
  </si>
  <si>
    <t>3.1.11</t>
  </si>
  <si>
    <t>3.1.12</t>
  </si>
  <si>
    <t>3.2.1</t>
  </si>
  <si>
    <t>3.2.2</t>
  </si>
  <si>
    <t>3.2.3</t>
  </si>
  <si>
    <t>3.2.4</t>
  </si>
  <si>
    <t>3.2.5</t>
  </si>
  <si>
    <t>3.2.6</t>
  </si>
  <si>
    <t>3.2.7</t>
  </si>
  <si>
    <t>3.2.8</t>
  </si>
  <si>
    <t>3.2.9</t>
  </si>
  <si>
    <t>3.2.10</t>
  </si>
  <si>
    <t>3.2.11</t>
  </si>
  <si>
    <t>3.2.12</t>
  </si>
  <si>
    <t>LA VIE VIỆT NAM</t>
  </si>
  <si>
    <t>GIÁ BÁN WSS01 (DDP)</t>
  </si>
  <si>
    <t>GIÁ BÁN WSS01 (EXW)</t>
  </si>
  <si>
    <t>COCA VIỆT NAM</t>
  </si>
  <si>
    <t>5.1.1</t>
  </si>
  <si>
    <t>5.1.2</t>
  </si>
  <si>
    <t>5.1.3</t>
  </si>
  <si>
    <t>5.1.4</t>
  </si>
  <si>
    <t>5.1.5</t>
  </si>
  <si>
    <t>5.1.6</t>
  </si>
  <si>
    <t>5.1.7</t>
  </si>
  <si>
    <t>4.1.1</t>
  </si>
  <si>
    <t>4.1.2</t>
  </si>
  <si>
    <t>4.1.3</t>
  </si>
  <si>
    <t>4.1.4</t>
  </si>
  <si>
    <t>4.1.5</t>
  </si>
  <si>
    <t>NESTLE VIỆT NAM</t>
  </si>
  <si>
    <t>6.1.1</t>
  </si>
  <si>
    <t>6.1.2</t>
  </si>
  <si>
    <t>6.1.3</t>
  </si>
  <si>
    <t>6.1.4</t>
  </si>
  <si>
    <t>6.1.5</t>
  </si>
  <si>
    <t>6.1.6</t>
  </si>
  <si>
    <t>Khách</t>
  </si>
  <si>
    <t>SKU</t>
  </si>
  <si>
    <t>Code</t>
  </si>
  <si>
    <t>Link</t>
  </si>
  <si>
    <t>GB</t>
  </si>
  <si>
    <t>Rebate (2025: sản lượng dự tính 6000-7000 tấn ~ 5% giá trị)</t>
  </si>
  <si>
    <t>SUNTORY VIỆT NAM</t>
  </si>
  <si>
    <t>1.1.A</t>
  </si>
  <si>
    <t>1.1.B</t>
  </si>
  <si>
    <t>3.1.A</t>
  </si>
  <si>
    <t>3.2.B</t>
  </si>
  <si>
    <t>3.2.C</t>
  </si>
  <si>
    <t>3.1.B</t>
  </si>
  <si>
    <t>3.1.C</t>
  </si>
  <si>
    <t>3.1.D</t>
  </si>
  <si>
    <t>3.2.A</t>
  </si>
  <si>
    <t>3.2.D</t>
  </si>
  <si>
    <t>CHI TIẾT GIÁ CÔNG THỨC THEO KHÁCH HÀNG</t>
  </si>
  <si>
    <t>Chiết khấu (10%)</t>
  </si>
  <si>
    <t>Hao hụt (30%)</t>
  </si>
  <si>
    <t>Hao hụt (21.27%)</t>
  </si>
  <si>
    <t>ICIS Bales - SEA trung bình 3 tháng trước</t>
  </si>
  <si>
    <t>Rebate (2025: 6000-7000 tấn ~ 5% giá trị)</t>
  </si>
  <si>
    <t>ICIS Bales - SEA trung bình 2 tháng trước</t>
  </si>
  <si>
    <t>I. GIÁ CÔNG THỨC THEO KHÁCH HÀNG</t>
  </si>
  <si>
    <t>MA TRẬN KHÁCH HÀNG</t>
  </si>
  <si>
    <t>I.</t>
  </si>
  <si>
    <t>TỔNG QUAN GIÁ CÔNG THỨC THEO KHÁCH HÀNG</t>
  </si>
  <si>
    <t>II.</t>
  </si>
  <si>
    <t>II. CHI TIẾT GIÁ CÔNG THỨC THEO KHÁCH HÀNG</t>
  </si>
  <si>
    <t>Giá cố định (KD đề xuất)</t>
  </si>
  <si>
    <t>Bằng giá MBF01 (KD đề xuất)</t>
  </si>
  <si>
    <t>Chi phí vận chuyển - Miền Nam</t>
  </si>
  <si>
    <t>Rebate (2025: 3% giá EXW)</t>
  </si>
  <si>
    <t>110000499</t>
  </si>
  <si>
    <t>Hạt Nhựa rPET WSS01L</t>
  </si>
  <si>
    <t>Niagara</t>
  </si>
  <si>
    <t>Unilever</t>
  </si>
  <si>
    <t>Tỷ giá bán USD-trung bình (VCB)</t>
  </si>
  <si>
    <t>Tỷ giá mua USD-trung bình (VCB)</t>
  </si>
  <si>
    <t>Genearal Data</t>
  </si>
  <si>
    <t>Price</t>
  </si>
  <si>
    <t>OUTEIRINHO</t>
  </si>
  <si>
    <t>GIÁ BÁN iSS01G (FOB)</t>
  </si>
  <si>
    <t>200332</t>
  </si>
  <si>
    <t>3.1.E</t>
  </si>
  <si>
    <t>3.1.F</t>
  </si>
  <si>
    <t>3.1.G</t>
  </si>
  <si>
    <t>3.2.E</t>
  </si>
  <si>
    <t>3.2.F</t>
  </si>
  <si>
    <t>3.2.G</t>
  </si>
  <si>
    <t>3.3.A</t>
  </si>
  <si>
    <t>3.3.1</t>
  </si>
  <si>
    <t>3.3.2</t>
  </si>
  <si>
    <t>3.4.A</t>
  </si>
  <si>
    <t>3.4.B</t>
  </si>
  <si>
    <t>3.4.1</t>
  </si>
  <si>
    <t>3.4.2</t>
  </si>
  <si>
    <t>4.1.A</t>
  </si>
  <si>
    <t>4.1.B</t>
  </si>
  <si>
    <t>4.1.C</t>
  </si>
  <si>
    <t>4.1.D</t>
  </si>
  <si>
    <t>4.2.A</t>
  </si>
  <si>
    <t>4.2.B</t>
  </si>
  <si>
    <t>4.2.C</t>
  </si>
  <si>
    <t>4.2.D</t>
  </si>
  <si>
    <t>4.2.1</t>
  </si>
  <si>
    <t>4.2.2</t>
  </si>
  <si>
    <t>4.2.3</t>
  </si>
  <si>
    <t>4.2.4</t>
  </si>
  <si>
    <t>7.1.1</t>
  </si>
  <si>
    <t>7.1.2</t>
  </si>
  <si>
    <t>7.1.3</t>
  </si>
  <si>
    <t>Giá bán-FOB</t>
  </si>
  <si>
    <t>4</t>
  </si>
  <si>
    <t>BIỂU ĐỒ</t>
  </si>
  <si>
    <t>%Chênh lệch</t>
  </si>
  <si>
    <t>Chênh lệch-Area</t>
  </si>
  <si>
    <t>#54C1DE</t>
  </si>
  <si>
    <t>Suntory</t>
  </si>
  <si>
    <t>#F37736</t>
  </si>
  <si>
    <t>#0F0E9A</t>
  </si>
  <si>
    <t>Outeirinho</t>
  </si>
  <si>
    <t>#007DC4</t>
  </si>
  <si>
    <t>Coca</t>
  </si>
  <si>
    <t>#F40000</t>
  </si>
  <si>
    <t>màu đỏ nhiều quá nên chuyển sang màu khác</t>
  </si>
  <si>
    <t>#F3D3DC</t>
  </si>
  <si>
    <t>Giá cố định: $1250 với sản lượng cam kết 10 ngàn tấn; nếu như sản lượng đạt 16 ngàn tấn thì giá $1230</t>
  </si>
  <si>
    <t>III.</t>
  </si>
  <si>
    <t>III. BIỂU ĐỒ</t>
  </si>
  <si>
    <t xml:space="preserve"> </t>
  </si>
  <si>
    <t>Niagara-Label</t>
  </si>
  <si>
    <t>Unilever-Label</t>
  </si>
  <si>
    <t>Giá duyệt-Label</t>
  </si>
  <si>
    <t>Giá chính phẩm-Label</t>
  </si>
  <si>
    <t>x</t>
  </si>
  <si>
    <t>X dòng này làm lable -&gt;</t>
  </si>
  <si>
    <t>Chênh lệch</t>
  </si>
  <si>
    <t>Giá duyệt-Area</t>
  </si>
  <si>
    <t>Giá chính phẩm-Area</t>
  </si>
  <si>
    <t>Chênh lệch-Line Drop</t>
  </si>
  <si>
    <t>Chênh lệch-Label</t>
  </si>
  <si>
    <t>UNILERVER</t>
  </si>
  <si>
    <t>SUNTORY VN</t>
  </si>
  <si>
    <t>Outeirinho-Label</t>
  </si>
  <si>
    <t>Suntory VN-Label</t>
  </si>
  <si>
    <t>Coca VN-Label</t>
  </si>
  <si>
    <t>COCA VN</t>
  </si>
  <si>
    <t>UNILEVER</t>
  </si>
  <si>
    <t>GIÁ BÁN rHDPE thổi màu-khử mùi (DDP)</t>
  </si>
  <si>
    <t>rHDPE thổi màu - khử mùi</t>
  </si>
  <si>
    <t>Chênh lệch giữa R sv Virgin</t>
  </si>
  <si>
    <t>Giá trần - quy đổi EXW</t>
  </si>
  <si>
    <t>Giá sàn - quy đổi EXW</t>
  </si>
  <si>
    <t>Bales B1 ĐNA - VND</t>
  </si>
  <si>
    <t>Bales B1 ĐNA - USD</t>
  </si>
  <si>
    <t>Hạt nhựa rHDPE màu (khử mùi)</t>
  </si>
  <si>
    <t>Giá cố định (VND34,382,040/tấn ~ tỷ giá deal lúc ký hợp đồng là 26,370)</t>
  </si>
  <si>
    <t>110000506</t>
  </si>
  <si>
    <t>Hạt Nhựa rPET WSS01 &amp; WSS01G-L</t>
  </si>
  <si>
    <t>Giá cố định (VND36,726,270/tấn ~ tỷ giá deal lúc ký hợp đồng là 26,370)-Tỷ lệ phối trộn 50:50 (hoặc theo tỷ lệ khác theo yêu cầu)</t>
  </si>
  <si>
    <t>Hạt Nhựa rPET WSS01G-L</t>
  </si>
  <si>
    <t>Giá cố định (VND37,507,680/tấn ~ tỷ giá deal lúc ký hợp đồng là 26,370)</t>
  </si>
  <si>
    <t>Lavie</t>
  </si>
  <si>
    <t>Laive-Label</t>
  </si>
  <si>
    <t>LAVIE</t>
  </si>
  <si>
    <t>#D42216</t>
  </si>
  <si>
    <t>#999900</t>
  </si>
  <si>
    <t>Giá thực tế</t>
  </si>
  <si>
    <t>Giá kế hoạch</t>
  </si>
  <si>
    <t>MỤC</t>
  </si>
  <si>
    <t>+/- TT vs Chính phẩm</t>
  </si>
  <si>
    <t>Line-Label +/- TT vs Chính phẩm</t>
  </si>
  <si>
    <t>%</t>
  </si>
  <si>
    <t>#7030A0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</si>
</sst>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5" formatCode="&quot;$&quot;#,##0_);\(&quot;$&quot;#,##0\)"/>
    <numFmt numFmtId="6" formatCode="&quot;$&quot;#,##0_);[Red]\(&quot;$&quot;#,##0\)"/>
    <numFmt numFmtId="43" formatCode="_(* #,##0.00_);_(* \(#,##0.00\);_(* &quot;-&quot;??_);_(@_)"/>
    <numFmt numFmtId="164" formatCode="_(* #,##0_);_(* \(#,##0\);_(* &quot;-&quot;??_);_(@_)"/>
    <numFmt numFmtId="165" formatCode="&quot;$&quot;#,##0_);\(&quot;$&quot;#,##0\);;"/>
    <numFmt numFmtId="166" formatCode="0.0%"/>
    <numFmt numFmtId="167" formatCode="[$$-409]#,##0_);\([$$-409]#,##0\);;"/>
    <numFmt numFmtId="168" formatCode="0.0%;;;"/>
    <numFmt numFmtId="169" formatCode="&quot;$&quot;#,##0"/>
    <numFmt numFmtId="170" formatCode="&quot;$&quot;#,##0.00_);\(&quot;$&quot;#,##0.00\);"/>
    <numFmt numFmtId="171" formatCode="\+0.0%;\-0.0%;;"/>
    <numFmt numFmtId="172" formatCode="_(* #,##0_);_(* \(#,##0\);;_(@_)"/>
  </numFmts>
  <fonts count="71" x14ac:knownFonts="1">
    <font>
      <sz val="11"/>
      <color theme="1"/>
      <name val="Aptos Display"/>
      <family val="2"/>
      <scheme val="major"/>
    </font>
    <font>
      <b/>
      <sz val="11"/>
      <color theme="1"/>
      <name val="Aptos Display"/>
      <family val="2"/>
      <scheme val="major"/>
    </font>
    <font>
      <sz val="11"/>
      <color theme="1"/>
      <name val="Aptos Display"/>
      <family val="2"/>
      <scheme val="major"/>
    </font>
    <font>
      <b/>
      <sz val="15"/>
      <color theme="3"/>
      <name val="Aptos Display"/>
      <family val="2"/>
      <scheme val="major"/>
    </font>
    <font>
      <b/>
      <sz val="11"/>
      <color theme="0"/>
      <name val="Aptos Display"/>
      <family val="2"/>
      <scheme val="major"/>
    </font>
    <font>
      <b/>
      <sz val="13"/>
      <color theme="1"/>
      <name val="Aptos Display"/>
      <family val="2"/>
      <scheme val="major"/>
    </font>
    <font>
      <b/>
      <i/>
      <sz val="9"/>
      <color theme="0"/>
      <name val="Aptos Display"/>
      <family val="2"/>
      <scheme val="major"/>
    </font>
    <font>
      <i/>
      <sz val="9"/>
      <color theme="1"/>
      <name val="Aptos Display"/>
      <family val="2"/>
      <scheme val="major"/>
    </font>
    <font>
      <b/>
      <i/>
      <sz val="9"/>
      <color theme="1"/>
      <name val="Aptos Display"/>
      <family val="2"/>
      <scheme val="major"/>
    </font>
    <font>
      <sz val="8"/>
      <name val="Aptos Display"/>
      <family val="2"/>
      <scheme val="major"/>
    </font>
    <font>
      <b/>
      <sz val="11"/>
      <color theme="0" tint="-0.249977111117893"/>
      <name val="Aptos Display"/>
      <family val="2"/>
      <scheme val="major"/>
    </font>
    <font>
      <sz val="11"/>
      <color theme="0" tint="-0.249977111117893"/>
      <name val="Aptos Display"/>
      <family val="2"/>
      <scheme val="major"/>
    </font>
    <font>
      <sz val="11"/>
      <color theme="2"/>
      <name val="Aptos Display"/>
      <family val="2"/>
      <scheme val="major"/>
    </font>
    <font>
      <i/>
      <sz val="9"/>
      <color theme="2"/>
      <name val="Aptos Display"/>
      <family val="2"/>
      <scheme val="major"/>
    </font>
    <font>
      <b/>
      <sz val="13"/>
      <color theme="0"/>
      <name val="Aptos Display"/>
      <family val="2"/>
      <scheme val="major"/>
    </font>
    <font>
      <i/>
      <sz val="11"/>
      <color rgb="FFFF33CC"/>
      <name val="Aptos Display"/>
      <family val="2"/>
      <scheme val="major"/>
    </font>
    <font>
      <sz val="11"/>
      <color rgb="FF0000FF"/>
      <name val="Aptos Display"/>
      <family val="2"/>
      <scheme val="major"/>
    </font>
    <font>
      <sz val="9"/>
      <color theme="2"/>
      <name val="Aptos Display"/>
      <family val="2"/>
      <scheme val="major"/>
    </font>
    <font>
      <sz val="9"/>
      <color theme="1"/>
      <name val="Aptos Display"/>
      <family val="2"/>
      <scheme val="major"/>
    </font>
    <font>
      <b/>
      <sz val="9"/>
      <color theme="1"/>
      <name val="Aptos Display"/>
      <family val="2"/>
      <scheme val="major"/>
    </font>
    <font>
      <b/>
      <sz val="9"/>
      <color theme="2"/>
      <name val="Aptos Display"/>
      <family val="2"/>
      <scheme val="major"/>
    </font>
    <font>
      <b/>
      <sz val="9"/>
      <color theme="3"/>
      <name val="Aptos Display"/>
      <family val="2"/>
      <scheme val="major"/>
    </font>
    <font>
      <i/>
      <sz val="9"/>
      <color rgb="FFFF33CC"/>
      <name val="Aptos Display"/>
      <family val="2"/>
      <scheme val="major"/>
    </font>
    <font>
      <u/>
      <sz val="11"/>
      <color theme="10"/>
      <name val="Aptos Display"/>
      <family val="2"/>
      <scheme val="major"/>
    </font>
    <font>
      <sz val="11"/>
      <color rgb="FFC00000"/>
      <name val="Aptos Display"/>
      <family val="2"/>
      <scheme val="major"/>
    </font>
    <font>
      <sz val="11"/>
      <color theme="7" tint="0.39997558519241921"/>
      <name val="Aptos Display"/>
      <family val="2"/>
      <scheme val="major"/>
    </font>
    <font>
      <u/>
      <sz val="11"/>
      <color rgb="FFFF33CC"/>
      <name val="Aptos Display"/>
      <family val="2"/>
      <scheme val="major"/>
    </font>
    <font>
      <b/>
      <sz val="11"/>
      <color rgb="FFFF0000"/>
      <name val="Aptos Display"/>
      <family val="2"/>
      <scheme val="maj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3"/>
      <color theme="0" tint="-0.249977111117893"/>
      <name val="Aptos Display"/>
      <family val="2"/>
      <scheme val="major"/>
    </font>
    <font>
      <b/>
      <sz val="12"/>
      <color rgb="FF0000FF"/>
      <name val="Aptos Display"/>
      <family val="2"/>
      <scheme val="major"/>
    </font>
    <font>
      <i/>
      <sz val="11"/>
      <color theme="3" tint="0.39997558519241921"/>
      <name val="Aptos Display"/>
      <family val="2"/>
      <scheme val="major"/>
    </font>
    <font>
      <b/>
      <i/>
      <sz val="11"/>
      <color theme="3" tint="0.39997558519241921"/>
      <name val="Aptos Display"/>
      <family val="2"/>
      <scheme val="major"/>
    </font>
    <font>
      <b/>
      <sz val="13"/>
      <color rgb="FF0000FF"/>
      <name val="Aptos Display"/>
      <family val="2"/>
      <scheme val="major"/>
    </font>
    <font>
      <sz val="9"/>
      <color theme="0" tint="-0.249977111117893"/>
      <name val="Aptos Display"/>
      <family val="2"/>
      <scheme val="major"/>
    </font>
    <font>
      <sz val="9"/>
      <color theme="4"/>
      <name val="Aptos Display"/>
      <family val="2"/>
      <scheme val="major"/>
    </font>
    <font>
      <sz val="11"/>
      <color theme="4"/>
      <name val="Aptos Display"/>
      <family val="2"/>
      <scheme val="major"/>
    </font>
    <font>
      <sz val="9"/>
      <color rgb="FFDC8198"/>
      <name val="Aptos Display"/>
      <family val="2"/>
      <scheme val="major"/>
    </font>
    <font>
      <sz val="11"/>
      <color rgb="FFDC8198"/>
      <name val="Aptos Display"/>
      <family val="2"/>
      <scheme val="major"/>
    </font>
    <font>
      <sz val="9"/>
      <color theme="4" tint="0.39997558519241921"/>
      <name val="Aptos Display"/>
      <family val="2"/>
      <scheme val="major"/>
    </font>
    <font>
      <sz val="11"/>
      <color theme="4" tint="0.39997558519241921"/>
      <name val="Aptos Display"/>
      <family val="2"/>
      <scheme val="major"/>
    </font>
    <font>
      <sz val="17"/>
      <color rgb="FF0000FF"/>
      <name val="Aptos Display"/>
      <family val="2"/>
      <scheme val="major"/>
    </font>
    <font>
      <sz val="17"/>
      <color theme="2"/>
      <name val="Aptos Display"/>
      <family val="2"/>
      <scheme val="major"/>
    </font>
    <font>
      <b/>
      <sz val="17"/>
      <color rgb="FF0000FF"/>
      <name val="Aptos Display"/>
      <family val="2"/>
      <scheme val="major"/>
    </font>
    <font>
      <sz val="11"/>
      <color theme="1"/>
      <name val="Wingdings 3"/>
      <family val="1"/>
      <charset val="2"/>
    </font>
    <font>
      <b/>
      <sz val="13"/>
      <color theme="3"/>
      <name val="Aptos Display"/>
      <family val="2"/>
      <scheme val="major"/>
    </font>
    <font>
      <sz val="9"/>
      <color theme="9" tint="-0.249977111117893"/>
      <name val="Aptos Display"/>
      <family val="2"/>
      <scheme val="major"/>
    </font>
    <font>
      <sz val="11"/>
      <color theme="9" tint="-0.249977111117893"/>
      <name val="Aptos Display"/>
      <family val="2"/>
      <scheme val="major"/>
    </font>
    <font>
      <u/>
      <sz val="11"/>
      <color theme="9" tint="-0.249977111117893"/>
      <name val="Aptos Display"/>
      <family val="2"/>
      <scheme val="major"/>
    </font>
    <font>
      <b/>
      <sz val="22"/>
      <color theme="0"/>
      <name val="Aptos Display"/>
      <family val="2"/>
      <scheme val="major"/>
    </font>
    <font>
      <b/>
      <sz val="20"/>
      <color theme="1"/>
      <name val="Aptos Display"/>
      <family val="2"/>
      <scheme val="major"/>
    </font>
    <font>
      <sz val="11"/>
      <color theme="4" tint="-0.499984740745262"/>
      <name val="Aptos Display"/>
      <family val="2"/>
      <scheme val="major"/>
    </font>
    <font>
      <b/>
      <sz val="22"/>
      <color rgb="FF119303"/>
      <name val="Aptos Display"/>
      <family val="2"/>
      <scheme val="major"/>
    </font>
    <font>
      <sz val="11"/>
      <color rgb="FF00B0F0"/>
      <name val="Aptos Display"/>
      <family val="2"/>
      <scheme val="major"/>
    </font>
    <font>
      <i/>
      <sz val="11"/>
      <color theme="0" tint="-0.499984740745262"/>
      <name val="Aptos Display"/>
      <family val="2"/>
      <scheme val="major"/>
    </font>
    <font>
      <b/>
      <sz val="15"/>
      <color theme="5"/>
      <name val="Aptos Display"/>
      <family val="2"/>
      <scheme val="major"/>
    </font>
    <font>
      <b/>
      <sz val="22"/>
      <color theme="5"/>
      <name val="Aptos Display"/>
      <family val="2"/>
      <scheme val="major"/>
    </font>
    <font>
      <sz val="17"/>
      <color theme="5"/>
      <name val="Aptos Display"/>
      <family val="2"/>
      <scheme val="major"/>
    </font>
    <font>
      <b/>
      <sz val="17"/>
      <color theme="5"/>
      <name val="Aptos Display"/>
      <family val="2"/>
      <scheme val="major"/>
    </font>
    <font>
      <sz val="22"/>
      <color theme="5"/>
      <name val="Aptos Display"/>
      <family val="2"/>
      <scheme val="major"/>
    </font>
    <font>
      <sz val="11"/>
      <color theme="3" tint="0.59999389629810485"/>
      <name val="Aptos Display"/>
      <family val="2"/>
      <scheme val="major"/>
    </font>
    <font>
      <sz val="11"/>
      <color theme="0" tint="-0.499984740745262"/>
      <name val="Aptos Display"/>
      <family val="2"/>
      <scheme val="major"/>
    </font>
    <font>
      <b/>
      <sz val="11"/>
      <color theme="7" tint="0.39997558519241921"/>
      <name val="Aptos Display"/>
      <family val="2"/>
      <scheme val="major"/>
    </font>
    <font>
      <b/>
      <sz val="11"/>
      <color theme="4" tint="-0.499984740745262"/>
      <name val="Aptos Display"/>
      <family val="2"/>
      <scheme val="major"/>
    </font>
    <font>
      <b/>
      <sz val="11"/>
      <color rgb="FF00B0F0"/>
      <name val="Aptos Display"/>
      <family val="2"/>
      <scheme val="major"/>
    </font>
    <font>
      <b/>
      <i/>
      <sz val="11"/>
      <color theme="0" tint="-0.499984740745262"/>
      <name val="Aptos Display"/>
      <family val="2"/>
      <scheme val="major"/>
    </font>
    <font>
      <b/>
      <sz val="11"/>
      <color theme="3" tint="0.59999389629810485"/>
      <name val="Aptos Display"/>
      <family val="2"/>
      <scheme val="major"/>
    </font>
    <font>
      <sz val="11"/>
      <color theme="3" tint="-0.249977111117893"/>
      <name val="Aptos Display"/>
      <family val="2"/>
      <scheme val="major"/>
    </font>
    <font>
      <b/>
      <sz val="11"/>
      <color theme="3" tint="-0.249977111117893"/>
      <name val="Aptos Display"/>
      <family val="2"/>
      <scheme val="major"/>
    </font>
    <font>
      <b/>
      <sz val="11"/>
      <color theme="0" tint="-0.499984740745262"/>
      <name val="Aptos Display"/>
      <family val="2"/>
      <scheme val="major"/>
    </font>
  </fonts>
  <fills count="27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924622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lightUp"/>
    </fill>
    <fill>
      <patternFill patternType="lightUp">
        <bgColor theme="0" tint="-4.9989318521683403E-2"/>
      </patternFill>
    </fill>
    <fill>
      <patternFill patternType="solid">
        <fgColor indexed="6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54C1DE"/>
        <bgColor indexed="64"/>
      </patternFill>
    </fill>
    <fill>
      <patternFill patternType="solid">
        <fgColor rgb="FFF37736"/>
        <bgColor indexed="64"/>
      </patternFill>
    </fill>
    <fill>
      <patternFill patternType="solid">
        <fgColor rgb="FF0F0E9A"/>
        <bgColor indexed="64"/>
      </patternFill>
    </fill>
    <fill>
      <patternFill patternType="solid">
        <fgColor rgb="FF007DC4"/>
        <bgColor indexed="64"/>
      </patternFill>
    </fill>
    <fill>
      <patternFill patternType="solid">
        <fgColor rgb="FFF4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42216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7C7F70"/>
        <bgColor indexed="64"/>
      </patternFill>
    </fill>
  </fills>
  <borders count="46">
    <border>
      <left/>
      <right/>
      <top/>
      <bottom/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/>
      <top style="medium">
        <color auto="1"/>
      </top>
      <bottom/>
      <diagonal/>
    </border>
    <border>
      <left/>
      <right/>
      <top style="hair">
        <color theme="0" tint="-0.14996795556505021"/>
      </top>
      <bottom style="hair">
        <color theme="0" tint="-0.14996795556505021"/>
      </bottom>
      <diagonal/>
    </border>
    <border>
      <left style="medium">
        <color auto="1"/>
      </left>
      <right/>
      <top/>
      <bottom style="thin">
        <color theme="0"/>
      </bottom>
      <diagonal/>
    </border>
    <border>
      <left/>
      <right style="medium">
        <color auto="1"/>
      </right>
      <top/>
      <bottom style="thin">
        <color theme="0"/>
      </bottom>
      <diagonal/>
    </border>
    <border>
      <left style="medium">
        <color auto="1"/>
      </left>
      <right/>
      <top style="thin">
        <color theme="0"/>
      </top>
      <bottom/>
      <diagonal/>
    </border>
    <border>
      <left/>
      <right style="medium">
        <color auto="1"/>
      </right>
      <top style="thin">
        <color theme="0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hair">
        <color theme="0" tint="-0.14996795556505021"/>
      </top>
      <bottom style="hair">
        <color theme="0" tint="-0.14996795556505021"/>
      </bottom>
      <diagonal/>
    </border>
    <border>
      <left/>
      <right style="medium">
        <color auto="1"/>
      </right>
      <top style="hair">
        <color theme="0" tint="-0.14996795556505021"/>
      </top>
      <bottom style="hair">
        <color theme="0" tint="-0.1499679555650502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hair">
        <color theme="0" tint="-0.24994659260841701"/>
      </top>
      <bottom style="hair">
        <color theme="0" tint="-0.24994659260841701"/>
      </bottom>
      <diagonal/>
    </border>
    <border>
      <left/>
      <right style="medium">
        <color auto="1"/>
      </right>
      <top/>
      <bottom style="hair">
        <color theme="0" tint="-0.14996795556505021"/>
      </bottom>
      <diagonal/>
    </border>
    <border>
      <left/>
      <right/>
      <top/>
      <bottom style="hair">
        <color theme="0" tint="-0.14996795556505021"/>
      </bottom>
      <diagonal/>
    </border>
    <border>
      <left style="medium">
        <color auto="1"/>
      </left>
      <right/>
      <top/>
      <bottom style="hair">
        <color theme="0" tint="-0.14996795556505021"/>
      </bottom>
      <diagonal/>
    </border>
    <border>
      <left/>
      <right/>
      <top style="hair">
        <color theme="0" tint="-0.14996795556505021"/>
      </top>
      <bottom style="hair">
        <color theme="0" tint="-0.14993743705557422"/>
      </bottom>
      <diagonal/>
    </border>
    <border>
      <left style="medium">
        <color auto="1"/>
      </left>
      <right/>
      <top style="hair">
        <color theme="0" tint="-0.14996795556505021"/>
      </top>
      <bottom style="hair">
        <color theme="0" tint="-0.14993743705557422"/>
      </bottom>
      <diagonal/>
    </border>
    <border>
      <left/>
      <right style="medium">
        <color auto="1"/>
      </right>
      <top style="hair">
        <color theme="0" tint="-0.14996795556505021"/>
      </top>
      <bottom style="hair">
        <color theme="0" tint="-0.14993743705557422"/>
      </bottom>
      <diagonal/>
    </border>
    <border>
      <left/>
      <right/>
      <top/>
      <bottom style="hair">
        <color theme="0" tint="-0.14993743705557422"/>
      </bottom>
      <diagonal/>
    </border>
    <border>
      <left/>
      <right/>
      <top style="hair">
        <color theme="0" tint="-0.14993743705557422"/>
      </top>
      <bottom style="hair">
        <color theme="0" tint="-0.14993743705557422"/>
      </bottom>
      <diagonal/>
    </border>
    <border>
      <left/>
      <right/>
      <top style="hair">
        <color theme="0" tint="-0.14993743705557422"/>
      </top>
      <bottom style="hair">
        <color theme="0" tint="-0.14996795556505021"/>
      </bottom>
      <diagonal/>
    </border>
    <border>
      <left/>
      <right style="medium">
        <color auto="1"/>
      </right>
      <top/>
      <bottom style="hair">
        <color theme="0" tint="-0.14993743705557422"/>
      </bottom>
      <diagonal/>
    </border>
    <border>
      <left/>
      <right style="medium">
        <color auto="1"/>
      </right>
      <top style="hair">
        <color theme="0" tint="-0.14993743705557422"/>
      </top>
      <bottom style="hair">
        <color theme="0" tint="-0.14993743705557422"/>
      </bottom>
      <diagonal/>
    </border>
    <border>
      <left/>
      <right style="medium">
        <color auto="1"/>
      </right>
      <top style="hair">
        <color theme="0" tint="-0.14993743705557422"/>
      </top>
      <bottom style="hair">
        <color theme="0" tint="-0.14996795556505021"/>
      </bottom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 style="hair">
        <color theme="0" tint="-0.14996795556505021"/>
      </bottom>
      <diagonal/>
    </border>
    <border>
      <left/>
      <right style="thick">
        <color auto="1"/>
      </right>
      <top style="hair">
        <color theme="0" tint="-0.14996795556505021"/>
      </top>
      <bottom style="hair">
        <color theme="0" tint="-0.14996795556505021"/>
      </bottom>
      <diagonal/>
    </border>
    <border>
      <left/>
      <right style="thick">
        <color auto="1"/>
      </right>
      <top style="hair">
        <color theme="0" tint="-0.14996795556505021"/>
      </top>
      <bottom style="hair">
        <color theme="0" tint="-0.14993743705557422"/>
      </bottom>
      <diagonal/>
    </border>
    <border>
      <left/>
      <right style="thick">
        <color auto="1"/>
      </right>
      <top/>
      <bottom style="hair">
        <color theme="0" tint="-0.14993743705557422"/>
      </bottom>
      <diagonal/>
    </border>
    <border>
      <left/>
      <right style="thick">
        <color auto="1"/>
      </right>
      <top style="hair">
        <color theme="0" tint="-0.14993743705557422"/>
      </top>
      <bottom style="hair">
        <color theme="0" tint="-0.14993743705557422"/>
      </bottom>
      <diagonal/>
    </border>
    <border>
      <left/>
      <right style="thick">
        <color auto="1"/>
      </right>
      <top style="hair">
        <color theme="0" tint="-0.14993743705557422"/>
      </top>
      <bottom style="hair">
        <color theme="0" tint="-0.14996795556505021"/>
      </bottom>
      <diagonal/>
    </border>
    <border>
      <left/>
      <right style="thick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hair">
        <color theme="0" tint="-0.14996795556505021"/>
      </top>
      <bottom style="medium">
        <color auto="1"/>
      </bottom>
      <diagonal/>
    </border>
    <border>
      <left/>
      <right/>
      <top style="hair">
        <color theme="0" tint="-0.14996795556505021"/>
      </top>
      <bottom style="medium">
        <color auto="1"/>
      </bottom>
      <diagonal/>
    </border>
    <border>
      <left/>
      <right style="medium">
        <color theme="1"/>
      </right>
      <top style="hair">
        <color theme="0" tint="-0.14996795556505021"/>
      </top>
      <bottom style="hair">
        <color theme="0" tint="-0.14996795556505021"/>
      </bottom>
      <diagonal/>
    </border>
    <border>
      <left/>
      <right style="medium">
        <color theme="1"/>
      </right>
      <top/>
      <bottom/>
      <diagonal/>
    </border>
    <border>
      <left/>
      <right style="medium">
        <color theme="1"/>
      </right>
      <top/>
      <bottom style="hair">
        <color theme="0" tint="-0.14996795556505021"/>
      </bottom>
      <diagonal/>
    </border>
    <border>
      <left/>
      <right style="medium">
        <color auto="1"/>
      </right>
      <top style="hair">
        <color theme="0" tint="-0.14996795556505021"/>
      </top>
      <bottom style="medium">
        <color auto="1"/>
      </bottom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0" fontId="23" fillId="0" borderId="0" applyNumberFormat="0" applyFill="0" applyBorder="0" applyAlignment="0" applyProtection="0"/>
    <xf numFmtId="9" fontId="2" fillId="0" borderId="0" applyFont="0" applyFill="0" applyBorder="0" applyAlignment="0" applyProtection="0"/>
  </cellStyleXfs>
  <cellXfs count="496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Continuous" vertical="center"/>
    </xf>
    <xf numFmtId="0" fontId="4" fillId="3" borderId="1" xfId="0" applyFont="1" applyFill="1" applyBorder="1" applyAlignment="1">
      <alignment horizontal="centerContinuous" vertical="center"/>
    </xf>
    <xf numFmtId="0" fontId="4" fillId="2" borderId="2" xfId="0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0" fontId="0" fillId="0" borderId="3" xfId="0" applyBorder="1"/>
    <xf numFmtId="0" fontId="0" fillId="0" borderId="4" xfId="0" applyBorder="1"/>
    <xf numFmtId="0" fontId="7" fillId="0" borderId="0" xfId="0" applyFont="1"/>
    <xf numFmtId="0" fontId="7" fillId="0" borderId="4" xfId="0" applyFont="1" applyBorder="1"/>
    <xf numFmtId="0" fontId="7" fillId="0" borderId="3" xfId="0" applyFont="1" applyBorder="1"/>
    <xf numFmtId="0" fontId="0" fillId="0" borderId="0" xfId="0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/>
    <xf numFmtId="49" fontId="11" fillId="0" borderId="0" xfId="0" quotePrefix="1" applyNumberFormat="1" applyFont="1"/>
    <xf numFmtId="49" fontId="11" fillId="0" borderId="0" xfId="0" applyNumberFormat="1" applyFont="1"/>
    <xf numFmtId="49" fontId="10" fillId="0" borderId="0" xfId="0" applyNumberFormat="1" applyFont="1"/>
    <xf numFmtId="0" fontId="11" fillId="0" borderId="3" xfId="0" applyFont="1" applyBorder="1"/>
    <xf numFmtId="164" fontId="0" fillId="0" borderId="4" xfId="0" applyNumberFormat="1" applyBorder="1"/>
    <xf numFmtId="164" fontId="2" fillId="0" borderId="4" xfId="1" applyNumberFormat="1" applyFont="1" applyBorder="1"/>
    <xf numFmtId="0" fontId="12" fillId="0" borderId="0" xfId="0" applyFont="1"/>
    <xf numFmtId="0" fontId="0" fillId="5" borderId="0" xfId="0" applyFill="1"/>
    <xf numFmtId="0" fontId="13" fillId="0" borderId="0" xfId="0" applyFont="1"/>
    <xf numFmtId="0" fontId="12" fillId="5" borderId="0" xfId="0" applyFont="1" applyFill="1"/>
    <xf numFmtId="0" fontId="1" fillId="5" borderId="0" xfId="0" applyFont="1" applyFill="1" applyAlignment="1">
      <alignment vertical="center"/>
    </xf>
    <xf numFmtId="0" fontId="0" fillId="0" borderId="4" xfId="0" applyBorder="1" applyAlignment="1">
      <alignment vertical="center"/>
    </xf>
    <xf numFmtId="0" fontId="0" fillId="0" borderId="4" xfId="0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14" fillId="2" borderId="1" xfId="0" applyFont="1" applyFill="1" applyBorder="1" applyAlignment="1">
      <alignment horizontal="centerContinuous" vertical="center"/>
    </xf>
    <xf numFmtId="0" fontId="14" fillId="3" borderId="1" xfId="0" applyFont="1" applyFill="1" applyBorder="1" applyAlignment="1">
      <alignment horizontal="centerContinuous" vertical="center"/>
    </xf>
    <xf numFmtId="0" fontId="14" fillId="2" borderId="2" xfId="0" applyFont="1" applyFill="1" applyBorder="1" applyAlignment="1">
      <alignment vertical="center"/>
    </xf>
    <xf numFmtId="0" fontId="14" fillId="3" borderId="2" xfId="0" applyFont="1" applyFill="1" applyBorder="1" applyAlignment="1">
      <alignment vertical="center"/>
    </xf>
    <xf numFmtId="164" fontId="0" fillId="0" borderId="4" xfId="1" applyNumberFormat="1" applyFont="1" applyBorder="1"/>
    <xf numFmtId="0" fontId="15" fillId="0" borderId="0" xfId="0" applyFont="1" applyAlignment="1">
      <alignment vertical="center"/>
    </xf>
    <xf numFmtId="0" fontId="15" fillId="0" borderId="4" xfId="0" applyFont="1" applyBorder="1" applyAlignment="1">
      <alignment vertical="center"/>
    </xf>
    <xf numFmtId="0" fontId="4" fillId="6" borderId="1" xfId="0" applyFont="1" applyFill="1" applyBorder="1" applyAlignment="1">
      <alignment horizontal="centerContinuous" vertical="center"/>
    </xf>
    <xf numFmtId="0" fontId="4" fillId="6" borderId="2" xfId="0" applyFont="1" applyFill="1" applyBorder="1" applyAlignment="1">
      <alignment vertical="center"/>
    </xf>
    <xf numFmtId="0" fontId="14" fillId="6" borderId="2" xfId="0" applyFont="1" applyFill="1" applyBorder="1" applyAlignment="1">
      <alignment vertical="center"/>
    </xf>
    <xf numFmtId="0" fontId="14" fillId="6" borderId="0" xfId="0" applyFont="1" applyFill="1" applyAlignment="1">
      <alignment horizontal="centerContinuous" vertical="center"/>
    </xf>
    <xf numFmtId="0" fontId="5" fillId="6" borderId="0" xfId="0" applyFont="1" applyFill="1" applyAlignment="1">
      <alignment horizontal="centerContinuous" vertical="center"/>
    </xf>
    <xf numFmtId="0" fontId="1" fillId="5" borderId="0" xfId="0" applyFont="1" applyFill="1"/>
    <xf numFmtId="0" fontId="4" fillId="7" borderId="0" xfId="0" applyFont="1" applyFill="1"/>
    <xf numFmtId="0" fontId="4" fillId="8" borderId="0" xfId="0" applyFont="1" applyFill="1"/>
    <xf numFmtId="14" fontId="0" fillId="0" borderId="0" xfId="0" applyNumberFormat="1"/>
    <xf numFmtId="0" fontId="4" fillId="6" borderId="5" xfId="0" applyFont="1" applyFill="1" applyBorder="1" applyAlignment="1">
      <alignment horizontal="centerContinuous" vertical="center"/>
    </xf>
    <xf numFmtId="0" fontId="4" fillId="6" borderId="7" xfId="0" applyFont="1" applyFill="1" applyBorder="1" applyAlignment="1">
      <alignment vertical="center"/>
    </xf>
    <xf numFmtId="0" fontId="0" fillId="0" borderId="9" xfId="0" applyBorder="1"/>
    <xf numFmtId="0" fontId="0" fillId="0" borderId="10" xfId="0" applyBorder="1"/>
    <xf numFmtId="164" fontId="0" fillId="0" borderId="11" xfId="1" applyNumberFormat="1" applyFont="1" applyBorder="1"/>
    <xf numFmtId="164" fontId="0" fillId="0" borderId="12" xfId="1" applyNumberFormat="1" applyFont="1" applyBorder="1"/>
    <xf numFmtId="164" fontId="2" fillId="0" borderId="11" xfId="1" applyNumberFormat="1" applyFont="1" applyBorder="1"/>
    <xf numFmtId="164" fontId="2" fillId="0" borderId="12" xfId="1" applyNumberFormat="1" applyFont="1" applyBorder="1"/>
    <xf numFmtId="164" fontId="0" fillId="0" borderId="11" xfId="0" applyNumberFormat="1" applyBorder="1"/>
    <xf numFmtId="164" fontId="0" fillId="0" borderId="12" xfId="0" applyNumberFormat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4" fillId="2" borderId="5" xfId="0" applyFont="1" applyFill="1" applyBorder="1" applyAlignment="1">
      <alignment horizontal="centerContinuous" vertical="center"/>
    </xf>
    <xf numFmtId="0" fontId="4" fillId="2" borderId="6" xfId="0" applyFont="1" applyFill="1" applyBorder="1" applyAlignment="1">
      <alignment horizontal="centerContinuous" vertical="center"/>
    </xf>
    <xf numFmtId="0" fontId="4" fillId="2" borderId="7" xfId="0" applyFont="1" applyFill="1" applyBorder="1" applyAlignment="1">
      <alignment vertical="center"/>
    </xf>
    <xf numFmtId="0" fontId="4" fillId="2" borderId="8" xfId="0" applyFont="1" applyFill="1" applyBorder="1" applyAlignment="1">
      <alignment vertical="center"/>
    </xf>
    <xf numFmtId="0" fontId="1" fillId="9" borderId="4" xfId="0" applyFont="1" applyFill="1" applyBorder="1"/>
    <xf numFmtId="0" fontId="8" fillId="9" borderId="4" xfId="0" applyFont="1" applyFill="1" applyBorder="1"/>
    <xf numFmtId="0" fontId="1" fillId="9" borderId="0" xfId="0" applyFont="1" applyFill="1"/>
    <xf numFmtId="0" fontId="1" fillId="9" borderId="11" xfId="0" applyFont="1" applyFill="1" applyBorder="1"/>
    <xf numFmtId="0" fontId="1" fillId="9" borderId="12" xfId="0" applyFont="1" applyFill="1" applyBorder="1"/>
    <xf numFmtId="0" fontId="16" fillId="0" borderId="0" xfId="0" applyFont="1"/>
    <xf numFmtId="0" fontId="4" fillId="3" borderId="6" xfId="0" applyFont="1" applyFill="1" applyBorder="1" applyAlignment="1">
      <alignment horizontal="centerContinuous" vertical="center"/>
    </xf>
    <xf numFmtId="0" fontId="4" fillId="3" borderId="8" xfId="0" applyFont="1" applyFill="1" applyBorder="1" applyAlignment="1">
      <alignment vertical="center"/>
    </xf>
    <xf numFmtId="0" fontId="12" fillId="0" borderId="9" xfId="0" applyFont="1" applyBorder="1"/>
    <xf numFmtId="0" fontId="12" fillId="0" borderId="10" xfId="0" applyFont="1" applyBorder="1"/>
    <xf numFmtId="0" fontId="12" fillId="10" borderId="0" xfId="0" applyFont="1" applyFill="1"/>
    <xf numFmtId="0" fontId="12" fillId="10" borderId="9" xfId="0" applyFont="1" applyFill="1" applyBorder="1"/>
    <xf numFmtId="0" fontId="12" fillId="10" borderId="10" xfId="0" applyFont="1" applyFill="1" applyBorder="1"/>
    <xf numFmtId="14" fontId="12" fillId="0" borderId="0" xfId="0" applyNumberFormat="1" applyFont="1"/>
    <xf numFmtId="14" fontId="12" fillId="0" borderId="9" xfId="0" applyNumberFormat="1" applyFont="1" applyBorder="1"/>
    <xf numFmtId="14" fontId="12" fillId="0" borderId="10" xfId="0" applyNumberFormat="1" applyFont="1" applyBorder="1"/>
    <xf numFmtId="0" fontId="0" fillId="10" borderId="0" xfId="0" applyFill="1"/>
    <xf numFmtId="14" fontId="0" fillId="10" borderId="0" xfId="0" applyNumberFormat="1" applyFill="1"/>
    <xf numFmtId="14" fontId="0" fillId="0" borderId="0" xfId="0" quotePrefix="1" applyNumberFormat="1"/>
    <xf numFmtId="11" fontId="0" fillId="0" borderId="9" xfId="0" applyNumberFormat="1" applyBorder="1"/>
    <xf numFmtId="0" fontId="14" fillId="2" borderId="5" xfId="0" applyFont="1" applyFill="1" applyBorder="1" applyAlignment="1">
      <alignment horizontal="centerContinuous" vertical="center"/>
    </xf>
    <xf numFmtId="0" fontId="14" fillId="2" borderId="6" xfId="0" applyFont="1" applyFill="1" applyBorder="1" applyAlignment="1">
      <alignment horizontal="centerContinuous" vertical="center"/>
    </xf>
    <xf numFmtId="0" fontId="14" fillId="2" borderId="7" xfId="0" applyFont="1" applyFill="1" applyBorder="1" applyAlignment="1">
      <alignment vertical="center"/>
    </xf>
    <xf numFmtId="0" fontId="14" fillId="2" borderId="8" xfId="0" applyFont="1" applyFill="1" applyBorder="1" applyAlignment="1">
      <alignment vertical="center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6" xfId="0" applyBorder="1"/>
    <xf numFmtId="0" fontId="0" fillId="0" borderId="17" xfId="0" applyBorder="1"/>
    <xf numFmtId="0" fontId="17" fillId="0" borderId="0" xfId="0" applyFont="1"/>
    <xf numFmtId="0" fontId="18" fillId="0" borderId="0" xfId="0" applyFont="1"/>
    <xf numFmtId="0" fontId="19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18" fillId="0" borderId="3" xfId="0" applyFont="1" applyBorder="1"/>
    <xf numFmtId="0" fontId="17" fillId="0" borderId="3" xfId="0" applyFont="1" applyBorder="1"/>
    <xf numFmtId="5" fontId="0" fillId="0" borderId="11" xfId="1" applyNumberFormat="1" applyFont="1" applyBorder="1"/>
    <xf numFmtId="5" fontId="0" fillId="0" borderId="4" xfId="1" applyNumberFormat="1" applyFont="1" applyBorder="1"/>
    <xf numFmtId="5" fontId="0" fillId="0" borderId="12" xfId="1" applyNumberFormat="1" applyFont="1" applyBorder="1"/>
    <xf numFmtId="5" fontId="0" fillId="0" borderId="11" xfId="0" applyNumberFormat="1" applyBorder="1"/>
    <xf numFmtId="5" fontId="0" fillId="0" borderId="4" xfId="0" applyNumberFormat="1" applyBorder="1"/>
    <xf numFmtId="5" fontId="0" fillId="0" borderId="12" xfId="0" applyNumberFormat="1" applyBorder="1"/>
    <xf numFmtId="0" fontId="12" fillId="0" borderId="4" xfId="0" applyFont="1" applyBorder="1" applyAlignment="1">
      <alignment vertical="center"/>
    </xf>
    <xf numFmtId="0" fontId="12" fillId="0" borderId="11" xfId="0" applyFont="1" applyBorder="1" applyAlignment="1">
      <alignment horizontal="center" vertical="center" wrapText="1"/>
    </xf>
    <xf numFmtId="0" fontId="12" fillId="0" borderId="0" xfId="0" applyFont="1" applyAlignment="1">
      <alignment vertical="center"/>
    </xf>
    <xf numFmtId="0" fontId="4" fillId="11" borderId="0" xfId="0" applyFont="1" applyFill="1" applyAlignment="1">
      <alignment horizontal="right"/>
    </xf>
    <xf numFmtId="0" fontId="4" fillId="11" borderId="1" xfId="0" applyFont="1" applyFill="1" applyBorder="1" applyAlignment="1">
      <alignment horizontal="centerContinuous"/>
    </xf>
    <xf numFmtId="0" fontId="4" fillId="11" borderId="0" xfId="0" applyFont="1" applyFill="1" applyAlignment="1">
      <alignment horizontal="centerContinuous"/>
    </xf>
    <xf numFmtId="0" fontId="0" fillId="0" borderId="18" xfId="0" applyBorder="1"/>
    <xf numFmtId="164" fontId="0" fillId="0" borderId="18" xfId="1" applyNumberFormat="1" applyFont="1" applyBorder="1" applyAlignment="1"/>
    <xf numFmtId="6" fontId="0" fillId="0" borderId="18" xfId="0" applyNumberFormat="1" applyBorder="1"/>
    <xf numFmtId="0" fontId="0" fillId="0" borderId="18" xfId="0" quotePrefix="1" applyBorder="1"/>
    <xf numFmtId="10" fontId="0" fillId="0" borderId="18" xfId="0" applyNumberFormat="1" applyBorder="1"/>
    <xf numFmtId="164" fontId="0" fillId="0" borderId="0" xfId="1" applyNumberFormat="1" applyFont="1" applyBorder="1" applyAlignment="1"/>
    <xf numFmtId="10" fontId="0" fillId="0" borderId="0" xfId="0" applyNumberFormat="1"/>
    <xf numFmtId="164" fontId="1" fillId="5" borderId="0" xfId="1" applyNumberFormat="1" applyFont="1" applyFill="1"/>
    <xf numFmtId="0" fontId="24" fillId="5" borderId="0" xfId="0" applyFont="1" applyFill="1"/>
    <xf numFmtId="0" fontId="24" fillId="0" borderId="0" xfId="0" applyFont="1"/>
    <xf numFmtId="0" fontId="4" fillId="2" borderId="1" xfId="0" applyFont="1" applyFill="1" applyBorder="1" applyAlignment="1">
      <alignment horizontal="centerContinuous"/>
    </xf>
    <xf numFmtId="0" fontId="4" fillId="2" borderId="0" xfId="0" applyFont="1" applyFill="1" applyAlignment="1">
      <alignment horizontal="right"/>
    </xf>
    <xf numFmtId="0" fontId="4" fillId="2" borderId="0" xfId="0" applyFont="1" applyFill="1" applyAlignment="1">
      <alignment horizontal="centerContinuous"/>
    </xf>
    <xf numFmtId="0" fontId="27" fillId="0" borderId="0" xfId="0" applyFont="1"/>
    <xf numFmtId="0" fontId="5" fillId="0" borderId="0" xfId="0" applyFont="1"/>
    <xf numFmtId="0" fontId="14" fillId="3" borderId="6" xfId="0" applyFont="1" applyFill="1" applyBorder="1" applyAlignment="1">
      <alignment horizontal="centerContinuous" vertical="center"/>
    </xf>
    <xf numFmtId="0" fontId="14" fillId="3" borderId="8" xfId="0" applyFont="1" applyFill="1" applyBorder="1" applyAlignment="1">
      <alignment vertical="center"/>
    </xf>
    <xf numFmtId="0" fontId="5" fillId="12" borderId="0" xfId="0" applyFont="1" applyFill="1"/>
    <xf numFmtId="0" fontId="30" fillId="0" borderId="0" xfId="0" applyFont="1"/>
    <xf numFmtId="167" fontId="0" fillId="0" borderId="4" xfId="0" applyNumberFormat="1" applyBorder="1"/>
    <xf numFmtId="167" fontId="0" fillId="0" borderId="12" xfId="0" applyNumberFormat="1" applyBorder="1"/>
    <xf numFmtId="0" fontId="16" fillId="0" borderId="4" xfId="0" applyFont="1" applyBorder="1"/>
    <xf numFmtId="167" fontId="16" fillId="0" borderId="4" xfId="0" applyNumberFormat="1" applyFont="1" applyBorder="1"/>
    <xf numFmtId="167" fontId="16" fillId="0" borderId="12" xfId="0" applyNumberFormat="1" applyFont="1" applyBorder="1"/>
    <xf numFmtId="0" fontId="25" fillId="0" borderId="0" xfId="0" applyFont="1"/>
    <xf numFmtId="0" fontId="25" fillId="0" borderId="4" xfId="0" applyFont="1" applyBorder="1"/>
    <xf numFmtId="167" fontId="25" fillId="0" borderId="4" xfId="0" applyNumberFormat="1" applyFont="1" applyBorder="1"/>
    <xf numFmtId="167" fontId="25" fillId="0" borderId="12" xfId="0" applyNumberFormat="1" applyFont="1" applyBorder="1"/>
    <xf numFmtId="6" fontId="24" fillId="5" borderId="0" xfId="0" applyNumberFormat="1" applyFont="1" applyFill="1"/>
    <xf numFmtId="9" fontId="24" fillId="5" borderId="0" xfId="0" applyNumberFormat="1" applyFont="1" applyFill="1"/>
    <xf numFmtId="0" fontId="10" fillId="0" borderId="0" xfId="0" applyFont="1"/>
    <xf numFmtId="0" fontId="1" fillId="0" borderId="4" xfId="0" applyFont="1" applyBorder="1"/>
    <xf numFmtId="167" fontId="1" fillId="0" borderId="4" xfId="0" applyNumberFormat="1" applyFont="1" applyBorder="1"/>
    <xf numFmtId="167" fontId="1" fillId="0" borderId="12" xfId="0" applyNumberFormat="1" applyFont="1" applyBorder="1"/>
    <xf numFmtId="169" fontId="0" fillId="10" borderId="0" xfId="0" applyNumberFormat="1" applyFill="1"/>
    <xf numFmtId="0" fontId="31" fillId="0" borderId="0" xfId="0" applyFont="1"/>
    <xf numFmtId="0" fontId="31" fillId="0" borderId="20" xfId="0" applyFont="1" applyBorder="1"/>
    <xf numFmtId="0" fontId="31" fillId="0" borderId="19" xfId="0" applyFont="1" applyBorder="1"/>
    <xf numFmtId="167" fontId="31" fillId="0" borderId="20" xfId="0" applyNumberFormat="1" applyFont="1" applyBorder="1"/>
    <xf numFmtId="0" fontId="32" fillId="0" borderId="0" xfId="0" applyFont="1"/>
    <xf numFmtId="0" fontId="32" fillId="0" borderId="4" xfId="0" applyFont="1" applyBorder="1"/>
    <xf numFmtId="167" fontId="32" fillId="0" borderId="4" xfId="0" applyNumberFormat="1" applyFont="1" applyBorder="1"/>
    <xf numFmtId="167" fontId="32" fillId="0" borderId="12" xfId="0" applyNumberFormat="1" applyFont="1" applyBorder="1"/>
    <xf numFmtId="0" fontId="33" fillId="0" borderId="0" xfId="0" applyFont="1"/>
    <xf numFmtId="0" fontId="33" fillId="0" borderId="4" xfId="0" applyFont="1" applyBorder="1"/>
    <xf numFmtId="168" fontId="33" fillId="0" borderId="4" xfId="0" applyNumberFormat="1" applyFont="1" applyBorder="1"/>
    <xf numFmtId="168" fontId="33" fillId="0" borderId="12" xfId="0" applyNumberFormat="1" applyFont="1" applyBorder="1"/>
    <xf numFmtId="0" fontId="5" fillId="12" borderId="0" xfId="0" applyFont="1" applyFill="1" applyAlignment="1">
      <alignment horizontal="center"/>
    </xf>
    <xf numFmtId="0" fontId="31" fillId="0" borderId="20" xfId="0" applyFont="1" applyBorder="1" applyAlignment="1">
      <alignment horizontal="center"/>
    </xf>
    <xf numFmtId="0" fontId="16" fillId="0" borderId="4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32" fillId="0" borderId="4" xfId="0" applyFont="1" applyBorder="1" applyAlignment="1">
      <alignment horizontal="center"/>
    </xf>
    <xf numFmtId="0" fontId="33" fillId="0" borderId="4" xfId="0" applyFont="1" applyBorder="1" applyAlignment="1">
      <alignment horizontal="center"/>
    </xf>
    <xf numFmtId="0" fontId="25" fillId="0" borderId="4" xfId="0" applyFont="1" applyBorder="1" applyAlignment="1">
      <alignment horizontal="center"/>
    </xf>
    <xf numFmtId="0" fontId="0" fillId="0" borderId="0" xfId="0" applyAlignment="1">
      <alignment horizontal="center"/>
    </xf>
    <xf numFmtId="49" fontId="5" fillId="12" borderId="0" xfId="0" applyNumberFormat="1" applyFont="1" applyFill="1" applyAlignment="1">
      <alignment horizontal="center"/>
    </xf>
    <xf numFmtId="49" fontId="16" fillId="0" borderId="4" xfId="0" applyNumberFormat="1" applyFont="1" applyBorder="1" applyAlignment="1">
      <alignment horizontal="center"/>
    </xf>
    <xf numFmtId="49" fontId="1" fillId="0" borderId="4" xfId="0" applyNumberFormat="1" applyFont="1" applyBorder="1" applyAlignment="1">
      <alignment horizontal="center"/>
    </xf>
    <xf numFmtId="49" fontId="0" fillId="0" borderId="4" xfId="0" applyNumberFormat="1" applyBorder="1" applyAlignment="1">
      <alignment horizontal="center"/>
    </xf>
    <xf numFmtId="49" fontId="32" fillId="0" borderId="4" xfId="0" applyNumberFormat="1" applyFont="1" applyBorder="1" applyAlignment="1">
      <alignment horizontal="center"/>
    </xf>
    <xf numFmtId="49" fontId="33" fillId="0" borderId="4" xfId="0" applyNumberFormat="1" applyFont="1" applyBorder="1" applyAlignment="1">
      <alignment horizontal="center"/>
    </xf>
    <xf numFmtId="49" fontId="25" fillId="0" borderId="4" xfId="0" applyNumberFormat="1" applyFont="1" applyBorder="1" applyAlignment="1">
      <alignment horizontal="center"/>
    </xf>
    <xf numFmtId="0" fontId="21" fillId="0" borderId="0" xfId="0" applyFont="1" applyAlignment="1">
      <alignment vertical="center"/>
    </xf>
    <xf numFmtId="0" fontId="3" fillId="9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5" fontId="3" fillId="9" borderId="9" xfId="1" applyNumberFormat="1" applyFont="1" applyFill="1" applyBorder="1" applyAlignment="1">
      <alignment vertical="center"/>
    </xf>
    <xf numFmtId="5" fontId="3" fillId="9" borderId="0" xfId="1" applyNumberFormat="1" applyFont="1" applyFill="1" applyBorder="1" applyAlignment="1">
      <alignment vertical="center"/>
    </xf>
    <xf numFmtId="5" fontId="3" fillId="9" borderId="10" xfId="1" applyNumberFormat="1" applyFont="1" applyFill="1" applyBorder="1" applyAlignment="1">
      <alignment vertical="center"/>
    </xf>
    <xf numFmtId="5" fontId="3" fillId="9" borderId="0" xfId="1" applyNumberFormat="1" applyFont="1" applyFill="1" applyAlignment="1">
      <alignment vertical="center"/>
    </xf>
    <xf numFmtId="0" fontId="34" fillId="0" borderId="0" xfId="0" applyFont="1" applyAlignment="1">
      <alignment vertical="center"/>
    </xf>
    <xf numFmtId="0" fontId="35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36" fillId="0" borderId="0" xfId="0" applyFont="1" applyAlignment="1">
      <alignment vertical="center"/>
    </xf>
    <xf numFmtId="0" fontId="37" fillId="0" borderId="0" xfId="0" applyFont="1" applyAlignment="1">
      <alignment vertical="center"/>
    </xf>
    <xf numFmtId="0" fontId="38" fillId="0" borderId="0" xfId="0" applyFont="1" applyAlignment="1">
      <alignment vertical="center"/>
    </xf>
    <xf numFmtId="0" fontId="39" fillId="0" borderId="0" xfId="0" applyFont="1" applyAlignment="1">
      <alignment vertical="center"/>
    </xf>
    <xf numFmtId="0" fontId="34" fillId="0" borderId="20" xfId="0" applyFont="1" applyBorder="1" applyAlignment="1">
      <alignment vertical="center"/>
    </xf>
    <xf numFmtId="0" fontId="11" fillId="0" borderId="20" xfId="0" applyFont="1" applyBorder="1" applyAlignment="1">
      <alignment vertical="center"/>
    </xf>
    <xf numFmtId="0" fontId="37" fillId="0" borderId="4" xfId="0" applyFont="1" applyBorder="1" applyAlignment="1">
      <alignment vertical="center"/>
    </xf>
    <xf numFmtId="0" fontId="39" fillId="0" borderId="4" xfId="0" applyFont="1" applyBorder="1" applyAlignment="1">
      <alignment vertical="center"/>
    </xf>
    <xf numFmtId="0" fontId="15" fillId="0" borderId="12" xfId="0" applyFont="1" applyBorder="1" applyAlignment="1">
      <alignment vertical="center"/>
    </xf>
    <xf numFmtId="0" fontId="0" fillId="0" borderId="4" xfId="0" applyBorder="1" applyAlignment="1">
      <alignment vertical="center" wrapText="1"/>
    </xf>
    <xf numFmtId="0" fontId="12" fillId="0" borderId="4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165" fontId="12" fillId="0" borderId="11" xfId="0" applyNumberFormat="1" applyFont="1" applyBorder="1" applyAlignment="1">
      <alignment horizontal="center" vertical="center"/>
    </xf>
    <xf numFmtId="165" fontId="12" fillId="0" borderId="4" xfId="0" applyNumberFormat="1" applyFont="1" applyBorder="1" applyAlignment="1">
      <alignment horizontal="center" vertical="center"/>
    </xf>
    <xf numFmtId="165" fontId="12" fillId="0" borderId="12" xfId="0" applyNumberFormat="1" applyFont="1" applyBorder="1" applyAlignment="1">
      <alignment horizontal="center" vertical="center"/>
    </xf>
    <xf numFmtId="165" fontId="39" fillId="0" borderId="11" xfId="0" applyNumberFormat="1" applyFont="1" applyBorder="1" applyAlignment="1">
      <alignment horizontal="center" vertical="center"/>
    </xf>
    <xf numFmtId="165" fontId="39" fillId="0" borderId="4" xfId="0" applyNumberFormat="1" applyFont="1" applyBorder="1" applyAlignment="1">
      <alignment horizontal="center" vertical="center"/>
    </xf>
    <xf numFmtId="165" fontId="39" fillId="0" borderId="12" xfId="0" applyNumberFormat="1" applyFont="1" applyBorder="1" applyAlignment="1">
      <alignment horizontal="center" vertical="center"/>
    </xf>
    <xf numFmtId="165" fontId="37" fillId="0" borderId="4" xfId="0" applyNumberFormat="1" applyFont="1" applyBorder="1" applyAlignment="1">
      <alignment vertical="center"/>
    </xf>
    <xf numFmtId="165" fontId="37" fillId="0" borderId="11" xfId="0" applyNumberFormat="1" applyFont="1" applyBorder="1" applyAlignment="1">
      <alignment vertical="center"/>
    </xf>
    <xf numFmtId="165" fontId="37" fillId="0" borderId="12" xfId="0" applyNumberFormat="1" applyFont="1" applyBorder="1" applyAlignment="1">
      <alignment vertical="center"/>
    </xf>
    <xf numFmtId="166" fontId="15" fillId="0" borderId="11" xfId="0" applyNumberFormat="1" applyFont="1" applyBorder="1" applyAlignment="1">
      <alignment vertical="center"/>
    </xf>
    <xf numFmtId="166" fontId="15" fillId="0" borderId="4" xfId="0" applyNumberFormat="1" applyFont="1" applyBorder="1" applyAlignment="1">
      <alignment vertical="center"/>
    </xf>
    <xf numFmtId="166" fontId="15" fillId="0" borderId="12" xfId="0" applyNumberFormat="1" applyFont="1" applyBorder="1" applyAlignment="1">
      <alignment vertical="center"/>
    </xf>
    <xf numFmtId="165" fontId="11" fillId="0" borderId="20" xfId="0" applyNumberFormat="1" applyFont="1" applyBorder="1" applyAlignment="1">
      <alignment vertical="center"/>
    </xf>
    <xf numFmtId="165" fontId="11" fillId="0" borderId="21" xfId="0" applyNumberFormat="1" applyFont="1" applyBorder="1" applyAlignment="1">
      <alignment vertical="center"/>
    </xf>
    <xf numFmtId="165" fontId="11" fillId="0" borderId="19" xfId="0" applyNumberFormat="1" applyFont="1" applyBorder="1" applyAlignment="1">
      <alignment vertical="center"/>
    </xf>
    <xf numFmtId="165" fontId="0" fillId="0" borderId="11" xfId="0" applyNumberFormat="1" applyBorder="1" applyAlignment="1">
      <alignment vertical="center"/>
    </xf>
    <xf numFmtId="165" fontId="0" fillId="0" borderId="4" xfId="0" applyNumberFormat="1" applyBorder="1" applyAlignment="1">
      <alignment vertical="center"/>
    </xf>
    <xf numFmtId="165" fontId="0" fillId="0" borderId="12" xfId="0" applyNumberFormat="1" applyBorder="1" applyAlignment="1">
      <alignment vertical="center"/>
    </xf>
    <xf numFmtId="165" fontId="34" fillId="0" borderId="21" xfId="0" applyNumberFormat="1" applyFont="1" applyBorder="1" applyAlignment="1">
      <alignment vertical="center"/>
    </xf>
    <xf numFmtId="165" fontId="34" fillId="0" borderId="20" xfId="0" applyNumberFormat="1" applyFont="1" applyBorder="1" applyAlignment="1">
      <alignment vertical="center"/>
    </xf>
    <xf numFmtId="165" fontId="34" fillId="0" borderId="19" xfId="0" applyNumberFormat="1" applyFont="1" applyBorder="1" applyAlignment="1">
      <alignment vertical="center"/>
    </xf>
    <xf numFmtId="0" fontId="3" fillId="9" borderId="0" xfId="0" applyFont="1" applyFill="1" applyAlignment="1">
      <alignment horizontal="center" vertical="center"/>
    </xf>
    <xf numFmtId="0" fontId="34" fillId="0" borderId="20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37" fillId="0" borderId="4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39" fillId="0" borderId="4" xfId="0" quotePrefix="1" applyFont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vertical="center"/>
    </xf>
    <xf numFmtId="165" fontId="1" fillId="5" borderId="11" xfId="0" applyNumberFormat="1" applyFont="1" applyFill="1" applyBorder="1" applyAlignment="1">
      <alignment vertical="center"/>
    </xf>
    <xf numFmtId="165" fontId="1" fillId="5" borderId="4" xfId="0" applyNumberFormat="1" applyFont="1" applyFill="1" applyBorder="1" applyAlignment="1">
      <alignment vertical="center"/>
    </xf>
    <xf numFmtId="165" fontId="1" fillId="5" borderId="12" xfId="0" applyNumberFormat="1" applyFont="1" applyFill="1" applyBorder="1" applyAlignment="1">
      <alignment vertical="center"/>
    </xf>
    <xf numFmtId="0" fontId="1" fillId="5" borderId="22" xfId="0" applyFont="1" applyFill="1" applyBorder="1" applyAlignment="1">
      <alignment horizontal="center" vertical="center"/>
    </xf>
    <xf numFmtId="0" fontId="1" fillId="5" borderId="22" xfId="0" applyFont="1" applyFill="1" applyBorder="1" applyAlignment="1">
      <alignment vertical="center"/>
    </xf>
    <xf numFmtId="165" fontId="1" fillId="5" borderId="23" xfId="0" applyNumberFormat="1" applyFont="1" applyFill="1" applyBorder="1" applyAlignment="1">
      <alignment vertical="center"/>
    </xf>
    <xf numFmtId="165" fontId="1" fillId="5" borderId="22" xfId="0" applyNumberFormat="1" applyFont="1" applyFill="1" applyBorder="1" applyAlignment="1">
      <alignment vertical="center"/>
    </xf>
    <xf numFmtId="165" fontId="1" fillId="5" borderId="24" xfId="0" applyNumberFormat="1" applyFont="1" applyFill="1" applyBorder="1" applyAlignment="1">
      <alignment vertical="center"/>
    </xf>
    <xf numFmtId="0" fontId="12" fillId="0" borderId="11" xfId="0" applyFont="1" applyBorder="1" applyAlignment="1">
      <alignment horizontal="center" vertical="center"/>
    </xf>
    <xf numFmtId="0" fontId="40" fillId="0" borderId="0" xfId="0" applyFont="1" applyAlignment="1">
      <alignment vertical="center"/>
    </xf>
    <xf numFmtId="0" fontId="41" fillId="0" borderId="4" xfId="0" applyFont="1" applyBorder="1" applyAlignment="1">
      <alignment vertical="center"/>
    </xf>
    <xf numFmtId="0" fontId="41" fillId="0" borderId="0" xfId="0" applyFont="1" applyAlignment="1">
      <alignment vertical="center"/>
    </xf>
    <xf numFmtId="164" fontId="41" fillId="0" borderId="11" xfId="1" applyNumberFormat="1" applyFont="1" applyBorder="1" applyAlignment="1">
      <alignment vertical="center"/>
    </xf>
    <xf numFmtId="164" fontId="41" fillId="0" borderId="4" xfId="1" applyNumberFormat="1" applyFont="1" applyBorder="1" applyAlignment="1">
      <alignment vertical="center"/>
    </xf>
    <xf numFmtId="164" fontId="41" fillId="0" borderId="12" xfId="1" applyNumberFormat="1" applyFont="1" applyBorder="1" applyAlignment="1">
      <alignment vertical="center"/>
    </xf>
    <xf numFmtId="166" fontId="41" fillId="0" borderId="11" xfId="0" applyNumberFormat="1" applyFont="1" applyBorder="1" applyAlignment="1">
      <alignment vertical="center"/>
    </xf>
    <xf numFmtId="166" fontId="41" fillId="0" borderId="4" xfId="0" applyNumberFormat="1" applyFont="1" applyBorder="1" applyAlignment="1">
      <alignment vertical="center"/>
    </xf>
    <xf numFmtId="166" fontId="41" fillId="0" borderId="12" xfId="0" applyNumberFormat="1" applyFont="1" applyBorder="1" applyAlignment="1">
      <alignment vertical="center"/>
    </xf>
    <xf numFmtId="0" fontId="12" fillId="0" borderId="0" xfId="0" applyFont="1" applyAlignment="1">
      <alignment horizontal="center"/>
    </xf>
    <xf numFmtId="0" fontId="41" fillId="0" borderId="4" xfId="0" applyFont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42" fillId="0" borderId="0" xfId="0" applyFont="1"/>
    <xf numFmtId="0" fontId="43" fillId="0" borderId="0" xfId="0" applyFont="1"/>
    <xf numFmtId="0" fontId="44" fillId="0" borderId="0" xfId="0" applyFont="1" applyAlignment="1">
      <alignment horizontal="left"/>
    </xf>
    <xf numFmtId="0" fontId="42" fillId="0" borderId="9" xfId="0" applyFont="1" applyBorder="1"/>
    <xf numFmtId="0" fontId="42" fillId="0" borderId="10" xfId="0" applyFont="1" applyBorder="1"/>
    <xf numFmtId="165" fontId="34" fillId="13" borderId="21" xfId="0" applyNumberFormat="1" applyFont="1" applyFill="1" applyBorder="1" applyAlignment="1">
      <alignment vertical="center"/>
    </xf>
    <xf numFmtId="165" fontId="34" fillId="13" borderId="20" xfId="0" applyNumberFormat="1" applyFont="1" applyFill="1" applyBorder="1" applyAlignment="1">
      <alignment vertical="center"/>
    </xf>
    <xf numFmtId="165" fontId="34" fillId="13" borderId="19" xfId="0" applyNumberFormat="1" applyFont="1" applyFill="1" applyBorder="1" applyAlignment="1">
      <alignment vertical="center"/>
    </xf>
    <xf numFmtId="165" fontId="0" fillId="13" borderId="11" xfId="0" applyNumberFormat="1" applyFill="1" applyBorder="1" applyAlignment="1">
      <alignment vertical="center"/>
    </xf>
    <xf numFmtId="165" fontId="0" fillId="13" borderId="4" xfId="0" applyNumberFormat="1" applyFill="1" applyBorder="1" applyAlignment="1">
      <alignment vertical="center"/>
    </xf>
    <xf numFmtId="165" fontId="0" fillId="13" borderId="12" xfId="0" applyNumberFormat="1" applyFill="1" applyBorder="1" applyAlignment="1">
      <alignment vertical="center"/>
    </xf>
    <xf numFmtId="165" fontId="1" fillId="14" borderId="11" xfId="0" applyNumberFormat="1" applyFont="1" applyFill="1" applyBorder="1" applyAlignment="1">
      <alignment vertical="center"/>
    </xf>
    <xf numFmtId="165" fontId="1" fillId="14" borderId="4" xfId="0" applyNumberFormat="1" applyFont="1" applyFill="1" applyBorder="1" applyAlignment="1">
      <alignment vertical="center"/>
    </xf>
    <xf numFmtId="165" fontId="1" fillId="14" borderId="12" xfId="0" applyNumberFormat="1" applyFont="1" applyFill="1" applyBorder="1" applyAlignment="1">
      <alignment vertical="center"/>
    </xf>
    <xf numFmtId="0" fontId="0" fillId="13" borderId="11" xfId="0" applyFill="1" applyBorder="1" applyAlignment="1">
      <alignment vertical="center" wrapText="1"/>
    </xf>
    <xf numFmtId="0" fontId="0" fillId="13" borderId="4" xfId="0" applyFill="1" applyBorder="1" applyAlignment="1">
      <alignment vertical="center" wrapText="1"/>
    </xf>
    <xf numFmtId="0" fontId="0" fillId="13" borderId="12" xfId="0" applyFill="1" applyBorder="1" applyAlignment="1">
      <alignment vertical="center" wrapText="1"/>
    </xf>
    <xf numFmtId="0" fontId="12" fillId="13" borderId="11" xfId="0" applyFont="1" applyFill="1" applyBorder="1" applyAlignment="1">
      <alignment horizontal="center" vertical="center"/>
    </xf>
    <xf numFmtId="0" fontId="12" fillId="13" borderId="4" xfId="0" applyFont="1" applyFill="1" applyBorder="1" applyAlignment="1">
      <alignment horizontal="center" vertical="center"/>
    </xf>
    <xf numFmtId="0" fontId="12" fillId="13" borderId="12" xfId="0" applyFont="1" applyFill="1" applyBorder="1" applyAlignment="1">
      <alignment horizontal="center" vertical="center"/>
    </xf>
    <xf numFmtId="165" fontId="39" fillId="13" borderId="11" xfId="0" applyNumberFormat="1" applyFont="1" applyFill="1" applyBorder="1" applyAlignment="1">
      <alignment horizontal="center" vertical="center"/>
    </xf>
    <xf numFmtId="165" fontId="39" fillId="13" borderId="4" xfId="0" applyNumberFormat="1" applyFont="1" applyFill="1" applyBorder="1" applyAlignment="1">
      <alignment horizontal="center" vertical="center"/>
    </xf>
    <xf numFmtId="165" fontId="39" fillId="13" borderId="12" xfId="0" applyNumberFormat="1" applyFont="1" applyFill="1" applyBorder="1" applyAlignment="1">
      <alignment horizontal="center" vertical="center"/>
    </xf>
    <xf numFmtId="0" fontId="45" fillId="0" borderId="0" xfId="0" applyFont="1"/>
    <xf numFmtId="0" fontId="34" fillId="0" borderId="25" xfId="0" applyFont="1" applyBorder="1" applyAlignment="1">
      <alignment horizontal="center" vertical="center"/>
    </xf>
    <xf numFmtId="0" fontId="34" fillId="0" borderId="25" xfId="0" applyFont="1" applyBorder="1" applyAlignment="1">
      <alignment vertical="center"/>
    </xf>
    <xf numFmtId="0" fontId="0" fillId="0" borderId="26" xfId="0" applyBorder="1" applyAlignment="1">
      <alignment horizontal="center"/>
    </xf>
    <xf numFmtId="0" fontId="0" fillId="0" borderId="26" xfId="0" applyBorder="1"/>
    <xf numFmtId="0" fontId="26" fillId="0" borderId="26" xfId="2" applyFont="1" applyBorder="1"/>
    <xf numFmtId="0" fontId="1" fillId="5" borderId="26" xfId="0" applyFont="1" applyFill="1" applyBorder="1" applyAlignment="1">
      <alignment horizontal="center" vertical="center"/>
    </xf>
    <xf numFmtId="0" fontId="1" fillId="5" borderId="26" xfId="0" applyFont="1" applyFill="1" applyBorder="1" applyAlignment="1">
      <alignment vertical="center"/>
    </xf>
    <xf numFmtId="0" fontId="37" fillId="0" borderId="26" xfId="0" applyFont="1" applyBorder="1" applyAlignment="1">
      <alignment horizontal="center" vertical="center"/>
    </xf>
    <xf numFmtId="0" fontId="37" fillId="0" borderId="26" xfId="0" applyFont="1" applyBorder="1" applyAlignment="1">
      <alignment vertical="center"/>
    </xf>
    <xf numFmtId="0" fontId="0" fillId="0" borderId="26" xfId="0" applyBorder="1" applyAlignment="1">
      <alignment horizontal="center" vertical="center"/>
    </xf>
    <xf numFmtId="0" fontId="0" fillId="0" borderId="26" xfId="0" applyBorder="1" applyAlignment="1">
      <alignment vertical="center"/>
    </xf>
    <xf numFmtId="0" fontId="12" fillId="0" borderId="26" xfId="0" applyFont="1" applyBorder="1" applyAlignment="1">
      <alignment horizontal="center" vertical="center"/>
    </xf>
    <xf numFmtId="0" fontId="12" fillId="0" borderId="26" xfId="0" applyFont="1" applyBorder="1" applyAlignment="1">
      <alignment vertical="center"/>
    </xf>
    <xf numFmtId="0" fontId="39" fillId="0" borderId="27" xfId="0" quotePrefix="1" applyFont="1" applyBorder="1" applyAlignment="1">
      <alignment horizontal="center" vertical="center"/>
    </xf>
    <xf numFmtId="0" fontId="39" fillId="0" borderId="27" xfId="0" applyFont="1" applyBorder="1" applyAlignment="1">
      <alignment vertical="center"/>
    </xf>
    <xf numFmtId="0" fontId="34" fillId="0" borderId="28" xfId="0" applyFont="1" applyBorder="1" applyAlignment="1">
      <alignment vertical="center"/>
    </xf>
    <xf numFmtId="0" fontId="0" fillId="0" borderId="29" xfId="0" applyBorder="1"/>
    <xf numFmtId="0" fontId="1" fillId="5" borderId="29" xfId="0" applyFont="1" applyFill="1" applyBorder="1" applyAlignment="1">
      <alignment vertical="center"/>
    </xf>
    <xf numFmtId="165" fontId="37" fillId="0" borderId="26" xfId="0" applyNumberFormat="1" applyFont="1" applyBorder="1" applyAlignment="1">
      <alignment vertical="center"/>
    </xf>
    <xf numFmtId="165" fontId="37" fillId="0" borderId="29" xfId="0" applyNumberFormat="1" applyFont="1" applyBorder="1" applyAlignment="1">
      <alignment vertical="center"/>
    </xf>
    <xf numFmtId="0" fontId="0" fillId="0" borderId="29" xfId="0" applyBorder="1" applyAlignment="1">
      <alignment vertical="center"/>
    </xf>
    <xf numFmtId="0" fontId="12" fillId="0" borderId="29" xfId="0" applyFont="1" applyBorder="1" applyAlignment="1">
      <alignment vertical="center"/>
    </xf>
    <xf numFmtId="165" fontId="39" fillId="0" borderId="27" xfId="0" applyNumberFormat="1" applyFont="1" applyBorder="1" applyAlignment="1">
      <alignment horizontal="center" vertical="center"/>
    </xf>
    <xf numFmtId="165" fontId="39" fillId="0" borderId="30" xfId="0" applyNumberFormat="1" applyFont="1" applyBorder="1" applyAlignment="1">
      <alignment horizontal="center" vertical="center"/>
    </xf>
    <xf numFmtId="170" fontId="0" fillId="0" borderId="11" xfId="0" applyNumberFormat="1" applyBorder="1" applyAlignment="1">
      <alignment vertical="center"/>
    </xf>
    <xf numFmtId="170" fontId="0" fillId="0" borderId="4" xfId="0" applyNumberFormat="1" applyBorder="1" applyAlignment="1">
      <alignment vertical="center"/>
    </xf>
    <xf numFmtId="170" fontId="0" fillId="0" borderId="12" xfId="0" applyNumberFormat="1" applyBorder="1" applyAlignment="1">
      <alignment vertical="center"/>
    </xf>
    <xf numFmtId="49" fontId="19" fillId="0" borderId="0" xfId="0" applyNumberFormat="1" applyFont="1" applyAlignment="1">
      <alignment vertical="center"/>
    </xf>
    <xf numFmtId="49" fontId="18" fillId="0" borderId="0" xfId="0" applyNumberFormat="1" applyFont="1" applyAlignment="1">
      <alignment vertical="center"/>
    </xf>
    <xf numFmtId="49" fontId="17" fillId="0" borderId="0" xfId="0" applyNumberFormat="1" applyFont="1" applyAlignment="1">
      <alignment vertical="center"/>
    </xf>
    <xf numFmtId="49" fontId="38" fillId="0" borderId="0" xfId="0" applyNumberFormat="1" applyFont="1" applyAlignment="1">
      <alignment vertical="center"/>
    </xf>
    <xf numFmtId="0" fontId="39" fillId="0" borderId="20" xfId="0" quotePrefix="1" applyFont="1" applyBorder="1" applyAlignment="1">
      <alignment horizontal="center" vertical="center"/>
    </xf>
    <xf numFmtId="0" fontId="39" fillId="0" borderId="20" xfId="0" applyFont="1" applyBorder="1" applyAlignment="1">
      <alignment vertical="center"/>
    </xf>
    <xf numFmtId="165" fontId="39" fillId="0" borderId="20" xfId="0" applyNumberFormat="1" applyFont="1" applyBorder="1" applyAlignment="1">
      <alignment horizontal="center" vertical="center"/>
    </xf>
    <xf numFmtId="165" fontId="39" fillId="0" borderId="21" xfId="0" applyNumberFormat="1" applyFont="1" applyBorder="1" applyAlignment="1">
      <alignment horizontal="center" vertical="center"/>
    </xf>
    <xf numFmtId="165" fontId="39" fillId="0" borderId="19" xfId="0" applyNumberFormat="1" applyFont="1" applyBorder="1" applyAlignment="1">
      <alignment horizontal="center" vertical="center"/>
    </xf>
    <xf numFmtId="49" fontId="31" fillId="0" borderId="20" xfId="0" applyNumberFormat="1" applyFont="1" applyBorder="1" applyAlignment="1">
      <alignment horizontal="center"/>
    </xf>
    <xf numFmtId="0" fontId="39" fillId="0" borderId="0" xfId="0" quotePrefix="1" applyFont="1" applyAlignment="1">
      <alignment horizontal="center" vertical="center"/>
    </xf>
    <xf numFmtId="165" fontId="39" fillId="0" borderId="0" xfId="0" applyNumberFormat="1" applyFont="1" applyAlignment="1">
      <alignment horizontal="center" vertical="center"/>
    </xf>
    <xf numFmtId="165" fontId="39" fillId="0" borderId="10" xfId="0" applyNumberFormat="1" applyFont="1" applyBorder="1" applyAlignment="1">
      <alignment horizontal="center" vertical="center"/>
    </xf>
    <xf numFmtId="165" fontId="12" fillId="0" borderId="4" xfId="0" applyNumberFormat="1" applyFont="1" applyBorder="1" applyAlignment="1">
      <alignment horizontal="right" vertical="center"/>
    </xf>
    <xf numFmtId="165" fontId="12" fillId="0" borderId="12" xfId="0" applyNumberFormat="1" applyFont="1" applyBorder="1" applyAlignment="1">
      <alignment horizontal="right" vertical="center"/>
    </xf>
    <xf numFmtId="165" fontId="39" fillId="0" borderId="4" xfId="0" applyNumberFormat="1" applyFont="1" applyBorder="1" applyAlignment="1">
      <alignment horizontal="right" vertical="center"/>
    </xf>
    <xf numFmtId="165" fontId="39" fillId="0" borderId="12" xfId="0" applyNumberFormat="1" applyFont="1" applyBorder="1" applyAlignment="1">
      <alignment horizontal="right" vertical="center"/>
    </xf>
    <xf numFmtId="165" fontId="39" fillId="15" borderId="4" xfId="0" applyNumberFormat="1" applyFont="1" applyFill="1" applyBorder="1" applyAlignment="1">
      <alignment horizontal="right" vertical="center"/>
    </xf>
    <xf numFmtId="165" fontId="39" fillId="15" borderId="12" xfId="0" applyNumberFormat="1" applyFont="1" applyFill="1" applyBorder="1" applyAlignment="1">
      <alignment horizontal="right" vertical="center"/>
    </xf>
    <xf numFmtId="0" fontId="5" fillId="12" borderId="10" xfId="0" applyFont="1" applyFill="1" applyBorder="1"/>
    <xf numFmtId="167" fontId="0" fillId="0" borderId="4" xfId="0" quotePrefix="1" applyNumberFormat="1" applyBorder="1"/>
    <xf numFmtId="0" fontId="0" fillId="0" borderId="31" xfId="0" applyBorder="1"/>
    <xf numFmtId="0" fontId="5" fillId="12" borderId="31" xfId="0" applyFont="1" applyFill="1" applyBorder="1"/>
    <xf numFmtId="0" fontId="31" fillId="0" borderId="32" xfId="0" applyFont="1" applyBorder="1"/>
    <xf numFmtId="0" fontId="16" fillId="0" borderId="33" xfId="0" applyFont="1" applyBorder="1" applyAlignment="1">
      <alignment horizontal="left" indent="2"/>
    </xf>
    <xf numFmtId="0" fontId="1" fillId="0" borderId="33" xfId="0" applyFont="1" applyBorder="1" applyAlignment="1">
      <alignment horizontal="left" indent="2"/>
    </xf>
    <xf numFmtId="0" fontId="0" fillId="0" borderId="33" xfId="0" applyBorder="1" applyAlignment="1">
      <alignment horizontal="left" indent="2"/>
    </xf>
    <xf numFmtId="0" fontId="32" fillId="0" borderId="33" xfId="0" quotePrefix="1" applyFont="1" applyBorder="1" applyAlignment="1">
      <alignment horizontal="left" indent="2"/>
    </xf>
    <xf numFmtId="0" fontId="33" fillId="0" borderId="33" xfId="0" quotePrefix="1" applyFont="1" applyBorder="1" applyAlignment="1">
      <alignment horizontal="left" indent="2"/>
    </xf>
    <xf numFmtId="0" fontId="25" fillId="0" borderId="33" xfId="0" applyFont="1" applyBorder="1" applyAlignment="1">
      <alignment horizontal="left" indent="2"/>
    </xf>
    <xf numFmtId="0" fontId="31" fillId="0" borderId="0" xfId="0" applyFont="1" applyAlignment="1">
      <alignment vertical="center"/>
    </xf>
    <xf numFmtId="0" fontId="31" fillId="0" borderId="20" xfId="0" applyFont="1" applyBorder="1" applyAlignment="1">
      <alignment horizontal="center" vertical="center"/>
    </xf>
    <xf numFmtId="0" fontId="31" fillId="0" borderId="20" xfId="0" applyFont="1" applyBorder="1" applyAlignment="1">
      <alignment vertical="center"/>
    </xf>
    <xf numFmtId="165" fontId="31" fillId="0" borderId="21" xfId="0" applyNumberFormat="1" applyFont="1" applyBorder="1" applyAlignment="1">
      <alignment vertical="center"/>
    </xf>
    <xf numFmtId="165" fontId="31" fillId="0" borderId="20" xfId="0" applyNumberFormat="1" applyFont="1" applyBorder="1" applyAlignment="1">
      <alignment vertical="center"/>
    </xf>
    <xf numFmtId="165" fontId="31" fillId="0" borderId="19" xfId="0" applyNumberFormat="1" applyFont="1" applyBorder="1" applyAlignment="1">
      <alignment vertical="center"/>
    </xf>
    <xf numFmtId="0" fontId="46" fillId="0" borderId="0" xfId="0" applyFont="1" applyAlignment="1">
      <alignment vertical="center"/>
    </xf>
    <xf numFmtId="0" fontId="46" fillId="9" borderId="0" xfId="0" applyFont="1" applyFill="1" applyAlignment="1">
      <alignment horizontal="center" vertical="center"/>
    </xf>
    <xf numFmtId="5" fontId="46" fillId="9" borderId="0" xfId="1" applyNumberFormat="1" applyFont="1" applyFill="1" applyBorder="1" applyAlignment="1">
      <alignment vertical="center"/>
    </xf>
    <xf numFmtId="5" fontId="46" fillId="9" borderId="10" xfId="1" applyNumberFormat="1" applyFont="1" applyFill="1" applyBorder="1" applyAlignment="1">
      <alignment vertical="center"/>
    </xf>
    <xf numFmtId="5" fontId="46" fillId="9" borderId="0" xfId="1" applyNumberFormat="1" applyFont="1" applyFill="1" applyAlignment="1">
      <alignment vertical="center"/>
    </xf>
    <xf numFmtId="165" fontId="31" fillId="15" borderId="20" xfId="0" applyNumberFormat="1" applyFont="1" applyFill="1" applyBorder="1" applyAlignment="1">
      <alignment vertical="center"/>
    </xf>
    <xf numFmtId="165" fontId="31" fillId="15" borderId="19" xfId="0" applyNumberFormat="1" applyFont="1" applyFill="1" applyBorder="1" applyAlignment="1">
      <alignment vertical="center"/>
    </xf>
    <xf numFmtId="0" fontId="31" fillId="0" borderId="25" xfId="0" applyFont="1" applyBorder="1" applyAlignment="1">
      <alignment horizontal="center" vertical="center"/>
    </xf>
    <xf numFmtId="0" fontId="31" fillId="0" borderId="25" xfId="0" applyFont="1" applyBorder="1" applyAlignment="1">
      <alignment vertical="center"/>
    </xf>
    <xf numFmtId="0" fontId="47" fillId="0" borderId="0" xfId="0" applyFont="1" applyAlignment="1">
      <alignment vertical="center"/>
    </xf>
    <xf numFmtId="0" fontId="48" fillId="0" borderId="4" xfId="0" applyFont="1" applyBorder="1" applyAlignment="1">
      <alignment horizontal="center" vertical="center"/>
    </xf>
    <xf numFmtId="0" fontId="48" fillId="0" borderId="4" xfId="0" applyFont="1" applyBorder="1" applyAlignment="1">
      <alignment vertical="center"/>
    </xf>
    <xf numFmtId="0" fontId="48" fillId="0" borderId="0" xfId="0" applyFont="1" applyAlignment="1">
      <alignment vertical="center"/>
    </xf>
    <xf numFmtId="165" fontId="48" fillId="0" borderId="11" xfId="0" applyNumberFormat="1" applyFont="1" applyBorder="1" applyAlignment="1">
      <alignment vertical="center"/>
    </xf>
    <xf numFmtId="165" fontId="48" fillId="0" borderId="4" xfId="0" applyNumberFormat="1" applyFont="1" applyBorder="1" applyAlignment="1">
      <alignment vertical="center"/>
    </xf>
    <xf numFmtId="165" fontId="48" fillId="0" borderId="12" xfId="0" applyNumberFormat="1" applyFont="1" applyBorder="1" applyAlignment="1">
      <alignment vertical="center"/>
    </xf>
    <xf numFmtId="165" fontId="48" fillId="15" borderId="4" xfId="0" applyNumberFormat="1" applyFont="1" applyFill="1" applyBorder="1" applyAlignment="1">
      <alignment vertical="center"/>
    </xf>
    <xf numFmtId="165" fontId="48" fillId="15" borderId="12" xfId="0" applyNumberFormat="1" applyFont="1" applyFill="1" applyBorder="1" applyAlignment="1">
      <alignment vertical="center"/>
    </xf>
    <xf numFmtId="0" fontId="47" fillId="0" borderId="0" xfId="0" applyFont="1"/>
    <xf numFmtId="0" fontId="48" fillId="0" borderId="26" xfId="0" applyFont="1" applyBorder="1" applyAlignment="1">
      <alignment horizontal="center"/>
    </xf>
    <xf numFmtId="0" fontId="48" fillId="0" borderId="26" xfId="0" applyFont="1" applyBorder="1"/>
    <xf numFmtId="0" fontId="48" fillId="0" borderId="0" xfId="0" applyFont="1"/>
    <xf numFmtId="0" fontId="49" fillId="0" borderId="26" xfId="2" applyFont="1" applyBorder="1"/>
    <xf numFmtId="165" fontId="48" fillId="0" borderId="4" xfId="0" applyNumberFormat="1" applyFont="1" applyBorder="1"/>
    <xf numFmtId="165" fontId="48" fillId="0" borderId="12" xfId="0" applyNumberFormat="1" applyFont="1" applyBorder="1"/>
    <xf numFmtId="0" fontId="48" fillId="0" borderId="4" xfId="0" applyFont="1" applyBorder="1"/>
    <xf numFmtId="0" fontId="48" fillId="0" borderId="12" xfId="0" applyFont="1" applyBorder="1"/>
    <xf numFmtId="11" fontId="0" fillId="0" borderId="0" xfId="0" applyNumberFormat="1"/>
    <xf numFmtId="0" fontId="46" fillId="9" borderId="0" xfId="0" applyFont="1" applyFill="1" applyAlignment="1">
      <alignment vertical="center"/>
    </xf>
    <xf numFmtId="0" fontId="46" fillId="9" borderId="31" xfId="0" applyFont="1" applyFill="1" applyBorder="1" applyAlignment="1">
      <alignment vertical="center"/>
    </xf>
    <xf numFmtId="0" fontId="31" fillId="0" borderId="32" xfId="0" applyFont="1" applyBorder="1" applyAlignment="1">
      <alignment vertical="center"/>
    </xf>
    <xf numFmtId="0" fontId="48" fillId="0" borderId="33" xfId="0" applyFont="1" applyBorder="1" applyAlignment="1">
      <alignment vertical="center"/>
    </xf>
    <xf numFmtId="9" fontId="48" fillId="0" borderId="33" xfId="0" applyNumberFormat="1" applyFont="1" applyBorder="1" applyAlignment="1">
      <alignment horizontal="left" vertical="center"/>
    </xf>
    <xf numFmtId="0" fontId="1" fillId="5" borderId="34" xfId="0" applyFont="1" applyFill="1" applyBorder="1" applyAlignment="1">
      <alignment vertical="center"/>
    </xf>
    <xf numFmtId="0" fontId="11" fillId="0" borderId="32" xfId="0" applyFont="1" applyBorder="1" applyAlignment="1">
      <alignment vertical="center"/>
    </xf>
    <xf numFmtId="0" fontId="37" fillId="0" borderId="33" xfId="0" applyFont="1" applyBorder="1" applyAlignment="1">
      <alignment vertical="center"/>
    </xf>
    <xf numFmtId="0" fontId="15" fillId="0" borderId="33" xfId="0" applyFont="1" applyBorder="1" applyAlignment="1">
      <alignment vertical="center"/>
    </xf>
    <xf numFmtId="0" fontId="12" fillId="0" borderId="33" xfId="0" applyFont="1" applyBorder="1" applyAlignment="1">
      <alignment vertical="center"/>
    </xf>
    <xf numFmtId="0" fontId="39" fillId="0" borderId="33" xfId="0" applyFont="1" applyBorder="1" applyAlignment="1">
      <alignment vertical="center"/>
    </xf>
    <xf numFmtId="0" fontId="41" fillId="0" borderId="33" xfId="0" applyFont="1" applyBorder="1" applyAlignment="1">
      <alignment vertical="center"/>
    </xf>
    <xf numFmtId="0" fontId="1" fillId="5" borderId="33" xfId="0" applyFont="1" applyFill="1" applyBorder="1" applyAlignment="1">
      <alignment vertical="center"/>
    </xf>
    <xf numFmtId="0" fontId="39" fillId="0" borderId="31" xfId="0" applyFont="1" applyBorder="1" applyAlignment="1">
      <alignment vertical="center"/>
    </xf>
    <xf numFmtId="10" fontId="48" fillId="0" borderId="33" xfId="0" applyNumberFormat="1" applyFont="1" applyBorder="1" applyAlignment="1">
      <alignment horizontal="left" vertical="center"/>
    </xf>
    <xf numFmtId="0" fontId="31" fillId="0" borderId="35" xfId="0" applyFont="1" applyBorder="1" applyAlignment="1">
      <alignment vertical="center"/>
    </xf>
    <xf numFmtId="0" fontId="48" fillId="0" borderId="36" xfId="0" applyFont="1" applyBorder="1"/>
    <xf numFmtId="0" fontId="1" fillId="5" borderId="36" xfId="0" applyFont="1" applyFill="1" applyBorder="1" applyAlignment="1">
      <alignment vertical="center"/>
    </xf>
    <xf numFmtId="0" fontId="37" fillId="0" borderId="36" xfId="0" applyFont="1" applyBorder="1" applyAlignment="1">
      <alignment vertical="center"/>
    </xf>
    <xf numFmtId="0" fontId="39" fillId="0" borderId="37" xfId="0" applyFont="1" applyBorder="1" applyAlignment="1">
      <alignment vertical="center"/>
    </xf>
    <xf numFmtId="0" fontId="0" fillId="0" borderId="38" xfId="0" applyBorder="1"/>
    <xf numFmtId="0" fontId="51" fillId="0" borderId="0" xfId="0" applyFont="1"/>
    <xf numFmtId="0" fontId="51" fillId="0" borderId="0" xfId="0" applyFont="1" applyAlignment="1">
      <alignment horizontal="center"/>
    </xf>
    <xf numFmtId="0" fontId="51" fillId="0" borderId="39" xfId="0" applyFont="1" applyBorder="1" applyAlignment="1">
      <alignment horizontal="center"/>
    </xf>
    <xf numFmtId="0" fontId="51" fillId="0" borderId="0" xfId="0" applyFont="1" applyAlignment="1">
      <alignment horizontal="left" indent="3"/>
    </xf>
    <xf numFmtId="0" fontId="8" fillId="0" borderId="4" xfId="0" applyFont="1" applyBorder="1"/>
    <xf numFmtId="5" fontId="1" fillId="0" borderId="11" xfId="0" applyNumberFormat="1" applyFont="1" applyBorder="1"/>
    <xf numFmtId="5" fontId="1" fillId="0" borderId="4" xfId="0" applyNumberFormat="1" applyFont="1" applyBorder="1"/>
    <xf numFmtId="5" fontId="1" fillId="0" borderId="12" xfId="0" applyNumberFormat="1" applyFont="1" applyBorder="1"/>
    <xf numFmtId="5" fontId="1" fillId="0" borderId="11" xfId="1" applyNumberFormat="1" applyFont="1" applyBorder="1"/>
    <xf numFmtId="5" fontId="1" fillId="0" borderId="4" xfId="1" applyNumberFormat="1" applyFont="1" applyBorder="1"/>
    <xf numFmtId="5" fontId="1" fillId="0" borderId="12" xfId="1" applyNumberFormat="1" applyFont="1" applyBorder="1"/>
    <xf numFmtId="5" fontId="2" fillId="0" borderId="11" xfId="1" applyNumberFormat="1" applyFont="1" applyBorder="1"/>
    <xf numFmtId="5" fontId="2" fillId="0" borderId="4" xfId="1" applyNumberFormat="1" applyFont="1" applyBorder="1"/>
    <xf numFmtId="5" fontId="2" fillId="0" borderId="12" xfId="1" applyNumberFormat="1" applyFont="1" applyBorder="1"/>
    <xf numFmtId="0" fontId="34" fillId="0" borderId="0" xfId="0" applyFont="1"/>
    <xf numFmtId="164" fontId="0" fillId="0" borderId="0" xfId="1" applyNumberFormat="1" applyFont="1"/>
    <xf numFmtId="0" fontId="52" fillId="0" borderId="0" xfId="0" applyFont="1"/>
    <xf numFmtId="164" fontId="52" fillId="0" borderId="0" xfId="1" applyNumberFormat="1" applyFont="1"/>
    <xf numFmtId="164" fontId="25" fillId="0" borderId="0" xfId="1" applyNumberFormat="1" applyFont="1"/>
    <xf numFmtId="49" fontId="46" fillId="0" borderId="0" xfId="0" applyNumberFormat="1" applyFont="1" applyAlignment="1">
      <alignment vertical="center"/>
    </xf>
    <xf numFmtId="49" fontId="31" fillId="0" borderId="0" xfId="0" applyNumberFormat="1" applyFont="1" applyAlignment="1">
      <alignment vertical="center"/>
    </xf>
    <xf numFmtId="49" fontId="35" fillId="0" borderId="0" xfId="0" applyNumberFormat="1" applyFont="1" applyAlignment="1">
      <alignment vertical="center"/>
    </xf>
    <xf numFmtId="0" fontId="53" fillId="0" borderId="0" xfId="0" applyFont="1" applyAlignment="1">
      <alignment vertical="center"/>
    </xf>
    <xf numFmtId="0" fontId="54" fillId="0" borderId="0" xfId="0" applyFont="1"/>
    <xf numFmtId="164" fontId="54" fillId="0" borderId="0" xfId="0" applyNumberFormat="1" applyFont="1"/>
    <xf numFmtId="0" fontId="55" fillId="0" borderId="0" xfId="0" applyFont="1"/>
    <xf numFmtId="171" fontId="55" fillId="0" borderId="0" xfId="0" applyNumberFormat="1" applyFont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0" fontId="0" fillId="21" borderId="0" xfId="0" applyFill="1"/>
    <xf numFmtId="0" fontId="0" fillId="22" borderId="0" xfId="0" applyFill="1"/>
    <xf numFmtId="0" fontId="56" fillId="0" borderId="0" xfId="0" applyFont="1"/>
    <xf numFmtId="0" fontId="57" fillId="0" borderId="0" xfId="0" applyFont="1" applyAlignment="1">
      <alignment horizontal="left" indent="7"/>
    </xf>
    <xf numFmtId="0" fontId="58" fillId="0" borderId="0" xfId="0" applyFont="1"/>
    <xf numFmtId="0" fontId="59" fillId="0" borderId="0" xfId="0" applyFont="1" applyAlignment="1">
      <alignment horizontal="left"/>
    </xf>
    <xf numFmtId="0" fontId="60" fillId="0" borderId="0" xfId="0" applyFont="1"/>
    <xf numFmtId="0" fontId="57" fillId="0" borderId="0" xfId="0" applyFont="1" applyAlignment="1">
      <alignment horizontal="left"/>
    </xf>
    <xf numFmtId="0" fontId="61" fillId="0" borderId="0" xfId="0" applyFont="1"/>
    <xf numFmtId="0" fontId="11" fillId="0" borderId="0" xfId="0" applyFont="1" applyAlignment="1">
      <alignment horizontal="right"/>
    </xf>
    <xf numFmtId="0" fontId="62" fillId="0" borderId="0" xfId="0" applyFont="1"/>
    <xf numFmtId="164" fontId="62" fillId="0" borderId="0" xfId="1" applyNumberFormat="1" applyFont="1"/>
    <xf numFmtId="164" fontId="1" fillId="0" borderId="0" xfId="1" applyNumberFormat="1" applyFont="1"/>
    <xf numFmtId="164" fontId="63" fillId="0" borderId="0" xfId="1" applyNumberFormat="1" applyFont="1"/>
    <xf numFmtId="164" fontId="64" fillId="0" borderId="0" xfId="1" applyNumberFormat="1" applyFont="1"/>
    <xf numFmtId="164" fontId="65" fillId="0" borderId="0" xfId="0" applyNumberFormat="1" applyFont="1"/>
    <xf numFmtId="171" fontId="66" fillId="0" borderId="0" xfId="0" applyNumberFormat="1" applyFont="1"/>
    <xf numFmtId="0" fontId="67" fillId="0" borderId="0" xfId="0" applyFont="1"/>
    <xf numFmtId="0" fontId="68" fillId="0" borderId="0" xfId="0" applyFont="1"/>
    <xf numFmtId="164" fontId="68" fillId="0" borderId="0" xfId="1" applyNumberFormat="1" applyFont="1"/>
    <xf numFmtId="0" fontId="69" fillId="0" borderId="0" xfId="0" applyFont="1"/>
    <xf numFmtId="171" fontId="70" fillId="0" borderId="0" xfId="0" applyNumberFormat="1" applyFont="1"/>
    <xf numFmtId="172" fontId="61" fillId="0" borderId="0" xfId="1" applyNumberFormat="1" applyFont="1"/>
    <xf numFmtId="164" fontId="2" fillId="23" borderId="12" xfId="1" applyNumberFormat="1" applyFont="1" applyFill="1" applyBorder="1"/>
    <xf numFmtId="49" fontId="0" fillId="10" borderId="0" xfId="0" applyNumberFormat="1" applyFill="1"/>
    <xf numFmtId="0" fontId="0" fillId="23" borderId="0" xfId="0" applyFill="1"/>
    <xf numFmtId="0" fontId="0" fillId="24" borderId="0" xfId="0" applyFill="1"/>
    <xf numFmtId="0" fontId="0" fillId="25" borderId="0" xfId="0" applyFill="1"/>
    <xf numFmtId="0" fontId="4" fillId="2" borderId="1" xfId="0" applyFont="1" applyFill="1" applyBorder="1"/>
    <xf numFmtId="0" fontId="4" fillId="2" borderId="2" xfId="0" applyFont="1" applyFill="1" applyBorder="1"/>
    <xf numFmtId="0" fontId="0" fillId="0" borderId="20" xfId="0" applyBorder="1"/>
    <xf numFmtId="164" fontId="0" fillId="0" borderId="20" xfId="1" applyNumberFormat="1" applyFont="1" applyBorder="1"/>
    <xf numFmtId="164" fontId="0" fillId="0" borderId="0" xfId="0" applyNumberFormat="1"/>
    <xf numFmtId="0" fontId="0" fillId="0" borderId="0" xfId="0" quotePrefix="1"/>
    <xf numFmtId="166" fontId="0" fillId="0" borderId="0" xfId="0" applyNumberFormat="1"/>
    <xf numFmtId="164" fontId="0" fillId="0" borderId="4" xfId="1" applyNumberFormat="1" applyFont="1" applyFill="1" applyBorder="1"/>
    <xf numFmtId="5" fontId="0" fillId="0" borderId="4" xfId="1" applyNumberFormat="1" applyFont="1" applyFill="1" applyBorder="1"/>
    <xf numFmtId="164" fontId="2" fillId="0" borderId="4" xfId="1" applyNumberFormat="1" applyFont="1" applyFill="1" applyBorder="1"/>
    <xf numFmtId="0" fontId="4" fillId="26" borderId="0" xfId="0" applyFont="1" applyFill="1" applyAlignment="1">
      <alignment horizontal="centerContinuous" vertical="center"/>
    </xf>
    <xf numFmtId="0" fontId="4" fillId="26" borderId="7" xfId="0" applyFont="1" applyFill="1" applyBorder="1" applyAlignment="1">
      <alignment vertical="center"/>
    </xf>
    <xf numFmtId="0" fontId="4" fillId="26" borderId="2" xfId="0" applyFont="1" applyFill="1" applyBorder="1" applyAlignment="1">
      <alignment vertical="center"/>
    </xf>
    <xf numFmtId="164" fontId="0" fillId="0" borderId="11" xfId="1" applyNumberFormat="1" applyFont="1" applyFill="1" applyBorder="1"/>
    <xf numFmtId="164" fontId="2" fillId="0" borderId="11" xfId="1" applyNumberFormat="1" applyFont="1" applyFill="1" applyBorder="1"/>
    <xf numFmtId="0" fontId="0" fillId="0" borderId="40" xfId="0" applyBorder="1"/>
    <xf numFmtId="0" fontId="0" fillId="0" borderId="41" xfId="0" applyBorder="1"/>
    <xf numFmtId="5" fontId="0" fillId="23" borderId="12" xfId="0" applyNumberFormat="1" applyFill="1" applyBorder="1"/>
    <xf numFmtId="164" fontId="0" fillId="23" borderId="12" xfId="1" applyNumberFormat="1" applyFont="1" applyFill="1" applyBorder="1"/>
    <xf numFmtId="5" fontId="0" fillId="23" borderId="12" xfId="1" applyNumberFormat="1" applyFont="1" applyFill="1" applyBorder="1"/>
    <xf numFmtId="0" fontId="14" fillId="26" borderId="1" xfId="0" applyFont="1" applyFill="1" applyBorder="1" applyAlignment="1">
      <alignment horizontal="centerContinuous" vertical="center"/>
    </xf>
    <xf numFmtId="0" fontId="14" fillId="26" borderId="6" xfId="0" applyFont="1" applyFill="1" applyBorder="1" applyAlignment="1">
      <alignment horizontal="centerContinuous" vertical="center"/>
    </xf>
    <xf numFmtId="0" fontId="14" fillId="26" borderId="2" xfId="0" applyFont="1" applyFill="1" applyBorder="1" applyAlignment="1">
      <alignment vertical="center"/>
    </xf>
    <xf numFmtId="0" fontId="14" fillId="26" borderId="8" xfId="0" applyFont="1" applyFill="1" applyBorder="1" applyAlignment="1">
      <alignment vertical="center"/>
    </xf>
    <xf numFmtId="165" fontId="48" fillId="0" borderId="42" xfId="0" applyNumberFormat="1" applyFont="1" applyBorder="1" applyAlignment="1">
      <alignment vertical="center"/>
    </xf>
    <xf numFmtId="165" fontId="48" fillId="0" borderId="42" xfId="0" applyNumberFormat="1" applyFont="1" applyBorder="1"/>
    <xf numFmtId="165" fontId="1" fillId="5" borderId="42" xfId="0" applyNumberFormat="1" applyFont="1" applyFill="1" applyBorder="1" applyAlignment="1">
      <alignment vertical="center"/>
    </xf>
    <xf numFmtId="165" fontId="37" fillId="0" borderId="42" xfId="0" applyNumberFormat="1" applyFont="1" applyBorder="1" applyAlignment="1">
      <alignment vertical="center"/>
    </xf>
    <xf numFmtId="165" fontId="12" fillId="0" borderId="42" xfId="0" applyNumberFormat="1" applyFont="1" applyBorder="1" applyAlignment="1">
      <alignment horizontal="right" vertical="center"/>
    </xf>
    <xf numFmtId="165" fontId="39" fillId="0" borderId="42" xfId="0" applyNumberFormat="1" applyFont="1" applyBorder="1" applyAlignment="1">
      <alignment horizontal="right" vertical="center"/>
    </xf>
    <xf numFmtId="165" fontId="39" fillId="0" borderId="43" xfId="0" applyNumberFormat="1" applyFont="1" applyBorder="1" applyAlignment="1">
      <alignment horizontal="center" vertical="center"/>
    </xf>
    <xf numFmtId="165" fontId="31" fillId="0" borderId="44" xfId="0" applyNumberFormat="1" applyFont="1" applyBorder="1" applyAlignment="1">
      <alignment vertical="center"/>
    </xf>
    <xf numFmtId="0" fontId="48" fillId="0" borderId="42" xfId="0" applyFont="1" applyBorder="1"/>
    <xf numFmtId="0" fontId="0" fillId="0" borderId="43" xfId="0" applyBorder="1"/>
    <xf numFmtId="5" fontId="46" fillId="9" borderId="43" xfId="1" applyNumberFormat="1" applyFont="1" applyFill="1" applyBorder="1" applyAlignment="1">
      <alignment vertical="center"/>
    </xf>
    <xf numFmtId="165" fontId="11" fillId="0" borderId="44" xfId="0" applyNumberFormat="1" applyFont="1" applyBorder="1" applyAlignment="1">
      <alignment vertical="center"/>
    </xf>
    <xf numFmtId="0" fontId="4" fillId="26" borderId="10" xfId="0" applyFont="1" applyFill="1" applyBorder="1" applyAlignment="1">
      <alignment horizontal="centerContinuous" vertical="center"/>
    </xf>
    <xf numFmtId="0" fontId="4" fillId="26" borderId="8" xfId="0" applyFont="1" applyFill="1" applyBorder="1" applyAlignment="1">
      <alignment vertical="center"/>
    </xf>
    <xf numFmtId="164" fontId="0" fillId="0" borderId="12" xfId="1" applyNumberFormat="1" applyFont="1" applyFill="1" applyBorder="1"/>
    <xf numFmtId="164" fontId="2" fillId="0" borderId="12" xfId="1" applyNumberFormat="1" applyFont="1" applyFill="1" applyBorder="1"/>
    <xf numFmtId="0" fontId="0" fillId="0" borderId="45" xfId="0" applyBorder="1"/>
    <xf numFmtId="0" fontId="14" fillId="11" borderId="0" xfId="0" applyFont="1" applyFill="1" applyAlignment="1">
      <alignment vertical="center"/>
    </xf>
    <xf numFmtId="0" fontId="14" fillId="11" borderId="31" xfId="0" applyFont="1" applyFill="1" applyBorder="1" applyAlignment="1">
      <alignment vertical="center"/>
    </xf>
    <xf numFmtId="0" fontId="14" fillId="4" borderId="0" xfId="0" applyFont="1" applyFill="1" applyAlignment="1">
      <alignment vertical="center"/>
    </xf>
    <xf numFmtId="0" fontId="50" fillId="16" borderId="0" xfId="0" applyFont="1" applyFill="1" applyAlignment="1">
      <alignment horizontal="center" vertical="center"/>
    </xf>
    <xf numFmtId="0" fontId="14" fillId="4" borderId="0" xfId="0" applyFont="1" applyFill="1" applyAlignment="1">
      <alignment horizontal="center" vertical="center"/>
    </xf>
    <xf numFmtId="0" fontId="14" fillId="4" borderId="31" xfId="0" applyFont="1" applyFill="1" applyBorder="1" applyAlignment="1">
      <alignment vertical="center"/>
    </xf>
    <xf numFmtId="0" fontId="4" fillId="4" borderId="0" xfId="0" applyFont="1" applyFill="1" applyAlignment="1">
      <alignment vertical="center"/>
    </xf>
    <xf numFmtId="0" fontId="6" fillId="4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167" fontId="0" fillId="0" borderId="0" xfId="0" applyNumberFormat="1"/>
    <xf numFmtId="10" fontId="37" fillId="0" borderId="4" xfId="3" applyNumberFormat="1" applyFont="1" applyBorder="1" applyAlignment="1">
      <alignment vertical="center"/>
    </xf>
  </cellXfs>
  <cellStyles count="4">
    <cellStyle name="Comma" xfId="1" builtinId="3"/>
    <cellStyle name="Hyperlink" xfId="2" builtinId="8"/>
    <cellStyle name="Normal" xfId="0" builtinId="0"/>
    <cellStyle name="Percent" xfId="3" builtinId="5"/>
  </cellStyles>
  <dxfs count="2">
    <dxf>
      <font>
        <color rgb="FF9C0006"/>
      </font>
      <fill>
        <patternFill>
          <bgColor rgb="FFFFC7CE"/>
        </patternFill>
      </fill>
    </dxf>
    <dxf>
      <font>
        <color theme="3" tint="-0.499984740745262"/>
      </font>
      <fill>
        <patternFill>
          <bgColor theme="0" tint="-4.9989318521683403E-2"/>
        </patternFill>
      </fill>
    </dxf>
  </dxfs>
  <tableStyles count="0" defaultTableStyle="TableStyleMedium2" defaultPivotStyle="PivotStyleLight16"/>
  <colors>
    <mruColors>
      <color rgb="FF7C7F70"/>
      <color rgb="FF278A5B"/>
      <color rgb="FFC9C8CA"/>
      <color rgb="FFE3CAAF"/>
      <color rgb="FF999900"/>
      <color rgb="FF0F0E9A"/>
      <color rgb="FFFF3399"/>
      <color rgb="FFFF33CC"/>
      <color rgb="FFFFF2CC"/>
      <color rgb="FFD4221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microsoft.com/office/2017/06/relationships/rdRichValue" Target="richData/rdrichvalue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20" Type="http://schemas.microsoft.com/office/2017/06/relationships/rdRichValueTypes" Target="richData/rdRichValueTyp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microsoft.com/office/2017/06/relationships/rdRichValueStructure" Target="richData/rdrichvaluestructure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500" b="1" i="0" u="none" strike="noStrike" kern="1200" spc="0" baseline="0">
                <a:solidFill>
                  <a:schemeClr val="accent2"/>
                </a:solidFill>
                <a:latin typeface="+mj-lt"/>
                <a:ea typeface="+mn-ea"/>
                <a:cs typeface="+mn-cs"/>
              </a:defRPr>
            </a:pPr>
            <a:r>
              <a:rPr lang="en-US" sz="2500" b="1">
                <a:solidFill>
                  <a:schemeClr val="accent2"/>
                </a:solidFill>
              </a:rPr>
              <a:t>GIÁ BÁN EXW - WSS01G</a:t>
            </a:r>
          </a:p>
        </c:rich>
      </c:tx>
      <c:layout>
        <c:manualLayout>
          <c:xMode val="edge"/>
          <c:yMode val="edge"/>
          <c:x val="0.31738209513508642"/>
          <c:y val="1.1606654803156453E-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500" b="1" i="0" u="none" strike="noStrike" kern="1200" spc="0" baseline="0">
              <a:solidFill>
                <a:schemeClr val="accent2"/>
              </a:solidFill>
              <a:latin typeface="+mj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"/>
          <c:y val="5.5139226488226507E-2"/>
          <c:w val="0.96006059276030531"/>
          <c:h val="0.84182644630684578"/>
        </c:manualLayout>
      </c:layout>
      <c:areaChart>
        <c:grouping val="standard"/>
        <c:varyColors val="0"/>
        <c:ser>
          <c:idx val="5"/>
          <c:order val="6"/>
          <c:tx>
            <c:strRef>
              <c:f>'Vẽ Biểu đồ'!$D$17</c:f>
              <c:strCache>
                <c:ptCount val="1"/>
                <c:pt idx="0">
                  <c:v>Giá duyệt-Area</c:v>
                </c:pt>
              </c:strCache>
            </c:strRef>
          </c:tx>
          <c:spPr>
            <a:solidFill>
              <a:srgbClr val="FFF2CC"/>
            </a:solidFill>
            <a:ln w="25400">
              <a:noFill/>
            </a:ln>
            <a:effectLst/>
          </c:spPr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đồ'!$E$6:$AO$7</c15:sqref>
                  </c15:fullRef>
                </c:ext>
              </c:extLst>
              <c:f>'Vẽ Biểu đồ'!$E$6:$AO$7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đồ'!$E$17:$AO$17</c15:sqref>
                  </c15:fullRef>
                </c:ext>
              </c:extLst>
              <c:f>('Vẽ Biểu đồ'!$E$17:$AB$17,'Vẽ Biểu đồ'!$AO$17)</c:f>
              <c:numCache>
                <c:formatCode>_(* #,##0_);_(* \(#,##0\);_(* "-"??_);_(@_)</c:formatCode>
                <c:ptCount val="25"/>
                <c:pt idx="0">
                  <c:v>1250</c:v>
                </c:pt>
                <c:pt idx="1">
                  <c:v>1250</c:v>
                </c:pt>
                <c:pt idx="2">
                  <c:v>1250</c:v>
                </c:pt>
                <c:pt idx="3">
                  <c:v>1250</c:v>
                </c:pt>
                <c:pt idx="4">
                  <c:v>1300</c:v>
                </c:pt>
                <c:pt idx="5">
                  <c:v>1300</c:v>
                </c:pt>
                <c:pt idx="6">
                  <c:v>1300</c:v>
                </c:pt>
                <c:pt idx="7">
                  <c:v>1300</c:v>
                </c:pt>
                <c:pt idx="8">
                  <c:v>1310</c:v>
                </c:pt>
                <c:pt idx="9">
                  <c:v>1325</c:v>
                </c:pt>
                <c:pt idx="10">
                  <c:v>1325</c:v>
                </c:pt>
                <c:pt idx="11">
                  <c:v>1275</c:v>
                </c:pt>
                <c:pt idx="12">
                  <c:v>1230</c:v>
                </c:pt>
                <c:pt idx="13">
                  <c:v>1230</c:v>
                </c:pt>
                <c:pt idx="14">
                  <c:v>1230</c:v>
                </c:pt>
                <c:pt idx="15">
                  <c:v>1250</c:v>
                </c:pt>
                <c:pt idx="16">
                  <c:v>1250</c:v>
                </c:pt>
                <c:pt idx="17">
                  <c:v>1250</c:v>
                </c:pt>
                <c:pt idx="18">
                  <c:v>1250</c:v>
                </c:pt>
                <c:pt idx="19">
                  <c:v>1220</c:v>
                </c:pt>
                <c:pt idx="20">
                  <c:v>1220</c:v>
                </c:pt>
                <c:pt idx="21">
                  <c:v>1210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14-46B0-9772-0AB88141E4EF}"/>
            </c:ext>
          </c:extLst>
        </c:ser>
        <c:ser>
          <c:idx val="4"/>
          <c:order val="7"/>
          <c:tx>
            <c:strRef>
              <c:f>'Vẽ Biểu đồ'!$D$18</c:f>
              <c:strCache>
                <c:ptCount val="1"/>
                <c:pt idx="0">
                  <c:v>Giá chính phẩm-Area</c:v>
                </c:pt>
              </c:strCache>
            </c:strRef>
          </c:tx>
          <c:spPr>
            <a:solidFill>
              <a:schemeClr val="bg1"/>
            </a:solidFill>
            <a:ln w="25400">
              <a:noFill/>
            </a:ln>
            <a:effectLst/>
          </c:spPr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đồ'!$E$6:$AO$7</c15:sqref>
                  </c15:fullRef>
                </c:ext>
              </c:extLst>
              <c:f>'Vẽ Biểu đồ'!$E$6:$AO$7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đồ'!$E$18:$AO$18</c15:sqref>
                  </c15:fullRef>
                </c:ext>
              </c:extLst>
              <c:f>('Vẽ Biểu đồ'!$E$18:$AB$18,'Vẽ Biểu đồ'!$AO$18)</c:f>
              <c:numCache>
                <c:formatCode>_(* #,##0_);_(* \(#,##0\);_(* "-"??_);_(@_)</c:formatCode>
                <c:ptCount val="25"/>
                <c:pt idx="0">
                  <c:v>930</c:v>
                </c:pt>
                <c:pt idx="1">
                  <c:v>943.33333333333337</c:v>
                </c:pt>
                <c:pt idx="2">
                  <c:v>940</c:v>
                </c:pt>
                <c:pt idx="3">
                  <c:v>940</c:v>
                </c:pt>
                <c:pt idx="4">
                  <c:v>942</c:v>
                </c:pt>
                <c:pt idx="5">
                  <c:v>950</c:v>
                </c:pt>
                <c:pt idx="6">
                  <c:v>947.5</c:v>
                </c:pt>
                <c:pt idx="7">
                  <c:v>930</c:v>
                </c:pt>
                <c:pt idx="8">
                  <c:v>880</c:v>
                </c:pt>
                <c:pt idx="9">
                  <c:v>862.5</c:v>
                </c:pt>
                <c:pt idx="10">
                  <c:v>852</c:v>
                </c:pt>
                <c:pt idx="11">
                  <c:v>830</c:v>
                </c:pt>
                <c:pt idx="12">
                  <c:v>828</c:v>
                </c:pt>
                <c:pt idx="13">
                  <c:v>840</c:v>
                </c:pt>
                <c:pt idx="14">
                  <c:v>823</c:v>
                </c:pt>
                <c:pt idx="15">
                  <c:v>765</c:v>
                </c:pt>
                <c:pt idx="16">
                  <c:v>782</c:v>
                </c:pt>
                <c:pt idx="17">
                  <c:v>807.5</c:v>
                </c:pt>
                <c:pt idx="18">
                  <c:v>802</c:v>
                </c:pt>
                <c:pt idx="19">
                  <c:v>795</c:v>
                </c:pt>
                <c:pt idx="20">
                  <c:v>783</c:v>
                </c:pt>
                <c:pt idx="21">
                  <c:v>772</c:v>
                </c:pt>
                <c:pt idx="22">
                  <c:v>770</c:v>
                </c:pt>
                <c:pt idx="23">
                  <c:v>770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814-46B0-9772-0AB88141E4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6623744"/>
        <c:axId val="516630464"/>
      </c:areaChart>
      <c:lineChart>
        <c:grouping val="standard"/>
        <c:varyColors val="0"/>
        <c:ser>
          <c:idx val="0"/>
          <c:order val="0"/>
          <c:tx>
            <c:strRef>
              <c:f>'Vẽ Biểu đồ'!$D$8</c:f>
              <c:strCache>
                <c:ptCount val="1"/>
                <c:pt idx="0">
                  <c:v>Niagara</c:v>
                </c:pt>
              </c:strCache>
            </c:strRef>
          </c:tx>
          <c:spPr>
            <a:ln w="28575" cap="rnd">
              <a:solidFill>
                <a:srgbClr val="F37736"/>
              </a:solidFill>
              <a:round/>
            </a:ln>
            <a:effectLst/>
          </c:spPr>
          <c:marker>
            <c:symbol val="none"/>
          </c:marker>
          <c:dPt>
            <c:idx val="24"/>
            <c:marker>
              <c:symbol val="none"/>
            </c:marker>
            <c:bubble3D val="0"/>
            <c:spPr>
              <a:ln w="952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46C9-465F-A2F4-AF2DDC49DC18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78AFB606-694A-4B87-9157-96A9453FD6D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D814-46B0-9772-0AB88141E4EF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9C9E6551-6D08-408B-BFDF-CB5851E72D7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D814-46B0-9772-0AB88141E4EF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AFD85EDB-620C-42C7-9E7A-42C961C21EF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D814-46B0-9772-0AB88141E4EF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E6AEF594-588A-42C0-B5EB-2F0F3299A50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D814-46B0-9772-0AB88141E4EF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031DCAD8-37AC-4174-AA51-CFAE3D059D5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D814-46B0-9772-0AB88141E4EF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3D2D022F-CF77-4340-853F-E1ECD4DEE08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D814-46B0-9772-0AB88141E4EF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CECE1CD4-F49D-4B63-8076-794F9F99FA5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D814-46B0-9772-0AB88141E4EF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B623450F-9536-4CED-A793-EA108E78D82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D814-46B0-9772-0AB88141E4EF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75D17EEF-FCAD-41B3-A1F0-A47165B6355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D814-46B0-9772-0AB88141E4EF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878B4E7D-7003-4E6A-ACBF-8AC6D28DF9C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D814-46B0-9772-0AB88141E4EF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9244ADD0-5C10-470B-8C8B-B5C97F69A92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D814-46B0-9772-0AB88141E4EF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4F1A04C0-DF54-4ECF-A912-3405B3C8435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D814-46B0-9772-0AB88141E4EF}"/>
                </c:ext>
              </c:extLst>
            </c:dLbl>
            <c:dLbl>
              <c:idx val="12"/>
              <c:layout>
                <c:manualLayout>
                  <c:x val="-1.257160038153248E-2"/>
                  <c:y val="-3.1472688990824399E-3"/>
                </c:manualLayout>
              </c:layout>
              <c:tx>
                <c:rich>
                  <a:bodyPr/>
                  <a:lstStyle/>
                  <a:p>
                    <a:fld id="{D018318C-7D0E-4AB0-9BB9-405069059EF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0-D814-46B0-9772-0AB88141E4EF}"/>
                </c:ext>
              </c:extLst>
            </c:dLbl>
            <c:dLbl>
              <c:idx val="13"/>
              <c:layout>
                <c:manualLayout>
                  <c:x val="-2.2110985433498622E-2"/>
                  <c:y val="-1.5023755310714326E-2"/>
                </c:manualLayout>
              </c:layout>
              <c:tx>
                <c:rich>
                  <a:bodyPr/>
                  <a:lstStyle/>
                  <a:p>
                    <a:fld id="{AEF7AB64-9397-4579-8171-5D3FBD4E944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1-D814-46B0-9772-0AB88141E4EF}"/>
                </c:ext>
              </c:extLst>
            </c:dLbl>
            <c:dLbl>
              <c:idx val="14"/>
              <c:layout>
                <c:manualLayout>
                  <c:x val="-3.7101447658016685E-2"/>
                  <c:y val="1.629315566323444E-2"/>
                </c:manualLayout>
              </c:layout>
              <c:tx>
                <c:rich>
                  <a:bodyPr/>
                  <a:lstStyle/>
                  <a:p>
                    <a:fld id="{77E6FDE7-DE96-4236-A87D-E3888333AA6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2-D814-46B0-9772-0AB88141E4EF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B3611377-576C-4E84-83C6-D4908952024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D814-46B0-9772-0AB88141E4EF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4A067FEE-B975-4F44-BF35-4485C197096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D814-46B0-9772-0AB88141E4EF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BEC70B66-2DD4-4168-9843-7171C00310B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D814-46B0-9772-0AB88141E4EF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16C3D63F-C611-46F4-8CA4-3FA45B69662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807A-4BDB-A89D-5D8574AA9D2F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D2B61803-C88D-45CF-B04F-FD49587045C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06D2-4C24-B444-ACF105804A17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D1D60422-F227-4C01-AC7D-8DABC35361F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42D2-40DD-9085-C3216CCAF616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F30F692F-9464-4E5C-BF02-71D4D951E7C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F729-4E64-A9C4-DAB080EBEFC0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60C9C0A2-EDFC-4FAB-AA82-47F10263528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34F7-48F2-AB81-746310F65B6F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0566E39E-5345-4CA5-B775-DAEF6D01D51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C658-4173-887D-D0A79A793F31}"/>
                </c:ext>
              </c:extLst>
            </c:dLbl>
            <c:dLbl>
              <c:idx val="24"/>
              <c:layout>
                <c:manualLayout>
                  <c:x val="-9.7714718132802456E-3"/>
                  <c:y val="1.1918951132300321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200" b="1" i="0" u="none" strike="noStrike" kern="1200" baseline="0">
                        <a:solidFill>
                          <a:srgbClr val="F37736"/>
                        </a:solidFill>
                        <a:latin typeface="+mj-lt"/>
                        <a:ea typeface="+mn-ea"/>
                        <a:cs typeface="+mn-cs"/>
                      </a:defRPr>
                    </a:pPr>
                    <a:fld id="{6D8C682A-C912-47FA-83BB-AD352B605E50}" type="CELLRANGE">
                      <a:rPr lang="en-US"/>
                      <a:pPr>
                        <a:defRPr sz="1200" b="1">
                          <a:solidFill>
                            <a:srgbClr val="F37736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rgbClr val="F37736"/>
                      </a:solidFill>
                      <a:latin typeface="+mj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46C9-465F-A2F4-AF2DDC49DC1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rgbClr val="F37736"/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đồ'!$E$6:$AO$7</c15:sqref>
                  </c15:fullRef>
                </c:ext>
              </c:extLst>
              <c:f>'Vẽ Biểu đồ'!$E$6:$AO$7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đồ'!$E$8:$AO$8</c15:sqref>
                  </c15:fullRef>
                </c:ext>
              </c:extLst>
              <c:f>('Vẽ Biểu đồ'!$E$8:$AB$8,'Vẽ Biểu đồ'!$AO$8)</c:f>
              <c:numCache>
                <c:formatCode>_(* #,##0_);_(* \(#,##0\);_(* "-"??_);_(@_)</c:formatCode>
                <c:ptCount val="25"/>
                <c:pt idx="0">
                  <c:v>1180</c:v>
                </c:pt>
                <c:pt idx="1">
                  <c:v>1180</c:v>
                </c:pt>
                <c:pt idx="2">
                  <c:v>1180</c:v>
                </c:pt>
                <c:pt idx="3">
                  <c:v>1180</c:v>
                </c:pt>
                <c:pt idx="4">
                  <c:v>1180</c:v>
                </c:pt>
                <c:pt idx="5">
                  <c:v>1180.8999999999999</c:v>
                </c:pt>
                <c:pt idx="6">
                  <c:v>1194.3999999999999</c:v>
                </c:pt>
                <c:pt idx="7">
                  <c:v>1206.0999999999999</c:v>
                </c:pt>
                <c:pt idx="8">
                  <c:v>1222.6000000000001</c:v>
                </c:pt>
                <c:pt idx="9">
                  <c:v>1241.3499999999999</c:v>
                </c:pt>
                <c:pt idx="10">
                  <c:v>1261.75</c:v>
                </c:pt>
                <c:pt idx="11">
                  <c:v>1270.75</c:v>
                </c:pt>
                <c:pt idx="12">
                  <c:v>1268.875</c:v>
                </c:pt>
                <c:pt idx="13">
                  <c:v>1244.3749999999991</c:v>
                </c:pt>
                <c:pt idx="14">
                  <c:v>1218.8749999999991</c:v>
                </c:pt>
                <c:pt idx="15">
                  <c:v>1197.8800000000001</c:v>
                </c:pt>
                <c:pt idx="16">
                  <c:v>1199</c:v>
                </c:pt>
                <c:pt idx="17">
                  <c:v>1202</c:v>
                </c:pt>
                <c:pt idx="18">
                  <c:v>1202</c:v>
                </c:pt>
                <c:pt idx="19">
                  <c:v>1193.2</c:v>
                </c:pt>
                <c:pt idx="20">
                  <c:v>1180</c:v>
                </c:pt>
                <c:pt idx="21">
                  <c:v>1180</c:v>
                </c:pt>
                <c:pt idx="22">
                  <c:v>1180</c:v>
                </c:pt>
                <c:pt idx="23">
                  <c:v>1180</c:v>
                </c:pt>
                <c:pt idx="24">
                  <c:v>1180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đồ'!$E$19:$AO$19</c15:f>
                <c15:dlblRangeCache>
                  <c:ptCount val="37"/>
                  <c:pt idx="0">
                    <c:v> 1,180 </c:v>
                  </c:pt>
                  <c:pt idx="1">
                    <c:v> 1,180 </c:v>
                  </c:pt>
                  <c:pt idx="2">
                    <c:v> 1,180 </c:v>
                  </c:pt>
                  <c:pt idx="3">
                    <c:v> 1,180 </c:v>
                  </c:pt>
                  <c:pt idx="4">
                    <c:v> 1,180 </c:v>
                  </c:pt>
                  <c:pt idx="5">
                    <c:v> 1,181 </c:v>
                  </c:pt>
                  <c:pt idx="6">
                    <c:v> 1,194 </c:v>
                  </c:pt>
                  <c:pt idx="7">
                    <c:v> 1,206 </c:v>
                  </c:pt>
                  <c:pt idx="8">
                    <c:v> 1,223 </c:v>
                  </c:pt>
                  <c:pt idx="9">
                    <c:v> 1,241 </c:v>
                  </c:pt>
                  <c:pt idx="10">
                    <c:v> 1,262 </c:v>
                  </c:pt>
                  <c:pt idx="11">
                    <c:v> 1,271 </c:v>
                  </c:pt>
                  <c:pt idx="12">
                    <c:v> 1,269 </c:v>
                  </c:pt>
                  <c:pt idx="13">
                    <c:v> 1,244 </c:v>
                  </c:pt>
                  <c:pt idx="14">
                    <c:v> 1,219 </c:v>
                  </c:pt>
                  <c:pt idx="15">
                    <c:v> 1,198 </c:v>
                  </c:pt>
                  <c:pt idx="16">
                    <c:v> 1,199 </c:v>
                  </c:pt>
                  <c:pt idx="17">
                    <c:v> 1,202 </c:v>
                  </c:pt>
                  <c:pt idx="18">
                    <c:v> 1,202 </c:v>
                  </c:pt>
                  <c:pt idx="19">
                    <c:v> 1,193 </c:v>
                  </c:pt>
                  <c:pt idx="20">
                    <c:v> 1,180 </c:v>
                  </c:pt>
                  <c:pt idx="21">
                    <c:v> 1,180 </c:v>
                  </c:pt>
                  <c:pt idx="22">
                    <c:v> 1,180 </c:v>
                  </c:pt>
                  <c:pt idx="23">
                    <c:v> 1,180 </c:v>
                  </c:pt>
                  <c:pt idx="36">
                    <c:v>NIAGARA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6-D814-46B0-9772-0AB88141E4EF}"/>
            </c:ext>
          </c:extLst>
        </c:ser>
        <c:ser>
          <c:idx val="8"/>
          <c:order val="1"/>
          <c:tx>
            <c:strRef>
              <c:f>'Vẽ Biểu đồ'!$D$9</c:f>
              <c:strCache>
                <c:ptCount val="1"/>
                <c:pt idx="0">
                  <c:v>Unilever</c:v>
                </c:pt>
              </c:strCache>
            </c:strRef>
          </c:tx>
          <c:spPr>
            <a:ln w="28575" cap="rnd">
              <a:solidFill>
                <a:srgbClr val="0F0E9A"/>
              </a:solidFill>
              <a:round/>
            </a:ln>
            <a:effectLst/>
          </c:spPr>
          <c:marker>
            <c:symbol val="none"/>
          </c:marker>
          <c:dPt>
            <c:idx val="24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46C9-465F-A2F4-AF2DDC49DC18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B336DCC4-2D0F-47B0-9445-0F5F8EE2EB1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BB98-45F4-A574-517C82556AD3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2A30B726-45E1-45F4-9127-52200AE943C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BB98-45F4-A574-517C82556AD3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8E834AA5-20F7-4615-971B-90FB7531550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BB98-45F4-A574-517C82556AD3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4ACD4B01-D8FB-4193-9192-49441C06985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BB98-45F4-A574-517C82556AD3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B49856A6-2803-4A42-840A-FE815141110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BB98-45F4-A574-517C82556AD3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67830E91-4940-4DF5-8021-F9B8CE4B400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BB98-45F4-A574-517C82556AD3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42329E79-CB39-4E78-80BD-7ABF32F29C0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BB98-45F4-A574-517C82556AD3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3B2880E6-6272-4EBA-846F-DF6B6242F4A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BB98-45F4-A574-517C82556AD3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1695206C-BBAB-4038-8C94-CE1ACA69018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BB98-45F4-A574-517C82556AD3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B5E48C88-FB4C-484E-8522-D47FE25057A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4-BB98-45F4-A574-517C82556AD3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28828ABD-EAC4-431B-AB81-8A0B04E427B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5-BB98-45F4-A574-517C82556AD3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47DEE134-5F8B-4F87-8451-9401D3667D4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BB98-45F4-A574-517C82556AD3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EB76D7B9-0CB1-4F52-ADB5-D3243751219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BB98-45F4-A574-517C82556AD3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16EC3EBB-7D14-4752-BBD3-C386596D542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BB98-45F4-A574-517C82556AD3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D4D3FACC-B761-45E1-8686-DD173C849FC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BB98-45F4-A574-517C82556AD3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ED70C728-17E7-4A31-9EA2-3DDCDD3306E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A-BB98-45F4-A574-517C82556AD3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DCDBD274-374E-4749-915E-413C9D4743D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B-BB98-45F4-A574-517C82556AD3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618331E8-CB45-4F20-AFB7-EA497A913F4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C-BB98-45F4-A574-517C82556AD3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5089A21F-A747-4F29-9395-545505884DD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BB98-45F4-A574-517C82556AD3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AEEDCB8F-9A93-4686-94D6-3496D778779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BB98-45F4-A574-517C82556AD3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4518DFD8-FBFE-40AD-A9BF-259ACE31601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BB98-45F4-A574-517C82556AD3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DA7E58B2-0695-453A-9171-125C7AE6719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BB98-45F4-A574-517C82556AD3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11BEB3A7-B2FD-4B46-AA82-F69D2349114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34F7-48F2-AB81-746310F65B6F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D0E4FD87-521C-415E-BA62-190EBD180C8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C658-4173-887D-D0A79A793F31}"/>
                </c:ext>
              </c:extLst>
            </c:dLbl>
            <c:dLbl>
              <c:idx val="24"/>
              <c:layout>
                <c:manualLayout>
                  <c:x val="-2.3803506800549638E-4"/>
                  <c:y val="-1.0746920937624155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200" b="1" i="0" u="none" strike="noStrike" kern="1200" baseline="0">
                        <a:solidFill>
                          <a:srgbClr val="0F0E9A"/>
                        </a:solidFill>
                        <a:latin typeface="+mj-lt"/>
                        <a:ea typeface="+mn-ea"/>
                        <a:cs typeface="+mn-cs"/>
                      </a:defRPr>
                    </a:pPr>
                    <a:fld id="{15CA7B81-4E39-49E4-91EC-59CE08BAE597}" type="CELLRANGE">
                      <a:rPr lang="en-US"/>
                      <a:pPr>
                        <a:defRPr sz="1200" b="1">
                          <a:solidFill>
                            <a:srgbClr val="0F0E9A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rgbClr val="0F0E9A"/>
                      </a:solidFill>
                      <a:latin typeface="+mj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46C9-465F-A2F4-AF2DDC49DC1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rgbClr val="0F0E9A"/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đồ'!$E$6:$AO$7</c15:sqref>
                  </c15:fullRef>
                </c:ext>
              </c:extLst>
              <c:f>'Vẽ Biểu đồ'!$E$6:$AO$7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đồ'!$E$9:$AO$9</c15:sqref>
                  </c15:fullRef>
                </c:ext>
              </c:extLst>
              <c:f>('Vẽ Biểu đồ'!$E$9:$AB$9,'Vẽ Biểu đồ'!$AO$9)</c:f>
              <c:numCache>
                <c:formatCode>_(* #,##0_);_(* \(#,##0\);_(* "-"??_);_(@_)</c:formatCode>
                <c:ptCount val="25"/>
                <c:pt idx="0">
                  <c:v>1307.795918367347</c:v>
                </c:pt>
                <c:pt idx="1">
                  <c:v>1307.795918367347</c:v>
                </c:pt>
                <c:pt idx="2">
                  <c:v>1307.795918367347</c:v>
                </c:pt>
                <c:pt idx="3">
                  <c:v>1307.795918367347</c:v>
                </c:pt>
                <c:pt idx="4">
                  <c:v>1307.795918367347</c:v>
                </c:pt>
                <c:pt idx="5">
                  <c:v>1307.795918367347</c:v>
                </c:pt>
                <c:pt idx="6">
                  <c:v>1308.04</c:v>
                </c:pt>
                <c:pt idx="7">
                  <c:v>1308.04</c:v>
                </c:pt>
                <c:pt idx="8">
                  <c:v>1308.04</c:v>
                </c:pt>
                <c:pt idx="9">
                  <c:v>1288.04</c:v>
                </c:pt>
                <c:pt idx="10">
                  <c:v>1288.04</c:v>
                </c:pt>
                <c:pt idx="11">
                  <c:v>1288.04</c:v>
                </c:pt>
                <c:pt idx="12">
                  <c:v>1288.04</c:v>
                </c:pt>
                <c:pt idx="13">
                  <c:v>1288.04</c:v>
                </c:pt>
                <c:pt idx="14">
                  <c:v>1288.04</c:v>
                </c:pt>
                <c:pt idx="15">
                  <c:v>1238.04</c:v>
                </c:pt>
                <c:pt idx="16">
                  <c:v>1238.04</c:v>
                </c:pt>
                <c:pt idx="17">
                  <c:v>1238.04</c:v>
                </c:pt>
                <c:pt idx="18">
                  <c:v>1268.04</c:v>
                </c:pt>
                <c:pt idx="19">
                  <c:v>1268.04</c:v>
                </c:pt>
                <c:pt idx="20">
                  <c:v>1268.04</c:v>
                </c:pt>
                <c:pt idx="21">
                  <c:v>1268.04</c:v>
                </c:pt>
                <c:pt idx="22">
                  <c:v>1268.04</c:v>
                </c:pt>
                <c:pt idx="23">
                  <c:v>1268.04</c:v>
                </c:pt>
                <c:pt idx="24">
                  <c:v>1268.04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đồ'!$E$20:$AO$20</c15:f>
                <c15:dlblRangeCache>
                  <c:ptCount val="37"/>
                  <c:pt idx="0">
                    <c:v> 1,308 </c:v>
                  </c:pt>
                  <c:pt idx="1">
                    <c:v> 1,308 </c:v>
                  </c:pt>
                  <c:pt idx="2">
                    <c:v> 1,308 </c:v>
                  </c:pt>
                  <c:pt idx="3">
                    <c:v> 1,308 </c:v>
                  </c:pt>
                  <c:pt idx="4">
                    <c:v> 1,308 </c:v>
                  </c:pt>
                  <c:pt idx="5">
                    <c:v> 1,308 </c:v>
                  </c:pt>
                  <c:pt idx="6">
                    <c:v> 1,308 </c:v>
                  </c:pt>
                  <c:pt idx="7">
                    <c:v> 1,308 </c:v>
                  </c:pt>
                  <c:pt idx="8">
                    <c:v> 1,308 </c:v>
                  </c:pt>
                  <c:pt idx="9">
                    <c:v> 1,288 </c:v>
                  </c:pt>
                  <c:pt idx="10">
                    <c:v> 1,288 </c:v>
                  </c:pt>
                  <c:pt idx="11">
                    <c:v> 1,288 </c:v>
                  </c:pt>
                  <c:pt idx="12">
                    <c:v> 1,288 </c:v>
                  </c:pt>
                  <c:pt idx="13">
                    <c:v> 1,288 </c:v>
                  </c:pt>
                  <c:pt idx="14">
                    <c:v> 1,288 </c:v>
                  </c:pt>
                  <c:pt idx="15">
                    <c:v> 1,238 </c:v>
                  </c:pt>
                  <c:pt idx="16">
                    <c:v> 1,238 </c:v>
                  </c:pt>
                  <c:pt idx="17">
                    <c:v> 1,238 </c:v>
                  </c:pt>
                  <c:pt idx="18">
                    <c:v> 1,268 </c:v>
                  </c:pt>
                  <c:pt idx="19">
                    <c:v> 1,268 </c:v>
                  </c:pt>
                  <c:pt idx="20">
                    <c:v> 1,268 </c:v>
                  </c:pt>
                  <c:pt idx="21">
                    <c:v> 1,268 </c:v>
                  </c:pt>
                  <c:pt idx="22">
                    <c:v> 1,268 </c:v>
                  </c:pt>
                  <c:pt idx="23">
                    <c:v> 1,268 </c:v>
                  </c:pt>
                  <c:pt idx="36">
                    <c:v>UNILERVER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8-BB98-45F4-A574-517C82556AD3}"/>
            </c:ext>
          </c:extLst>
        </c:ser>
        <c:ser>
          <c:idx val="1"/>
          <c:order val="2"/>
          <c:tx>
            <c:strRef>
              <c:f>'Vẽ Biểu đồ'!$D$10</c:f>
              <c:strCache>
                <c:ptCount val="1"/>
                <c:pt idx="0">
                  <c:v>Lavie</c:v>
                </c:pt>
              </c:strCache>
            </c:strRef>
          </c:tx>
          <c:spPr>
            <a:ln w="28575" cap="rnd">
              <a:solidFill>
                <a:srgbClr val="999900"/>
              </a:solidFill>
              <a:round/>
            </a:ln>
            <a:effectLst/>
          </c:spPr>
          <c:marker>
            <c:symbol val="none"/>
          </c:marker>
          <c:dPt>
            <c:idx val="24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46C9-465F-A2F4-AF2DDC49DC18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BA2AECAB-B8D2-41A1-85F6-99D8094BBDB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D814-46B0-9772-0AB88141E4EF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80BDD191-89D1-4580-8814-4C6B5E9641A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D814-46B0-9772-0AB88141E4EF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454A8B8A-E4D2-4E5B-8EF9-56E27C723E8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D814-46B0-9772-0AB88141E4EF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87197091-991D-49F8-BCCF-507C264AD17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D814-46B0-9772-0AB88141E4EF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418A6159-8C20-4521-A64F-F2EC548D1B5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D814-46B0-9772-0AB88141E4EF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EBFE175C-BF04-4DED-A843-955E20B3AFA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D814-46B0-9772-0AB88141E4EF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283D548B-64E3-402B-938F-2500A8F9DCD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D814-46B0-9772-0AB88141E4EF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B53523B5-C277-4582-8D12-E600D5E3A10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D814-46B0-9772-0AB88141E4EF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C6A27DF2-AD18-43BF-975F-73A38466041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D814-46B0-9772-0AB88141E4EF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F5573B29-4E0A-4D08-9947-215A7C60325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D814-46B0-9772-0AB88141E4EF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11111E21-D5FE-4240-9581-F7721B0DC3C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D814-46B0-9772-0AB88141E4EF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24C0CB98-FC89-4C3C-94EB-BAE8D13C235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D814-46B0-9772-0AB88141E4EF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C54E991A-38E8-4F6B-9D9C-D0FA1CC88DC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D814-46B0-9772-0AB88141E4EF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73D13D13-F299-4772-B36F-18D5DE80848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D814-46B0-9772-0AB88141E4EF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F3F4428F-BDD7-4849-8412-A1B5DDBDFB3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D814-46B0-9772-0AB88141E4EF}"/>
                </c:ext>
              </c:extLst>
            </c:dLbl>
            <c:dLbl>
              <c:idx val="15"/>
              <c:layout>
                <c:manualLayout>
                  <c:x val="-2.5862255889329139E-2"/>
                  <c:y val="-1.2733412793007548E-2"/>
                </c:manualLayout>
              </c:layout>
              <c:tx>
                <c:rich>
                  <a:bodyPr/>
                  <a:lstStyle/>
                  <a:p>
                    <a:fld id="{32915B14-2E12-446E-AB13-5A74087A209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8-D814-46B0-9772-0AB88141E4EF}"/>
                </c:ext>
              </c:extLst>
            </c:dLbl>
            <c:dLbl>
              <c:idx val="16"/>
              <c:layout>
                <c:manualLayout>
                  <c:x val="-2.7080734472025556E-2"/>
                  <c:y val="-1.0746920937624155E-2"/>
                </c:manualLayout>
              </c:layout>
              <c:tx>
                <c:rich>
                  <a:bodyPr/>
                  <a:lstStyle/>
                  <a:p>
                    <a:fld id="{7A13AD40-6E2E-43D7-8A91-18CE3D274D9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9-D814-46B0-9772-0AB88141E4EF}"/>
                </c:ext>
              </c:extLst>
            </c:dLbl>
            <c:dLbl>
              <c:idx val="17"/>
              <c:layout>
                <c:manualLayout>
                  <c:x val="-2.7080734472025556E-2"/>
                  <c:y val="-1.0746920937624155E-2"/>
                </c:manualLayout>
              </c:layout>
              <c:tx>
                <c:rich>
                  <a:bodyPr/>
                  <a:lstStyle/>
                  <a:p>
                    <a:fld id="{19736CB4-55E3-4159-9999-AE84A4D3ABF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A-D814-46B0-9772-0AB88141E4EF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807A-4BDB-A89D-5D8574AA9D2F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90C3BE19-1D32-4B58-87AB-12B1505CBBE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06D2-4C24-B444-ACF105804A17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30B8F9F0-494E-4146-8641-CEFC2F3C9C5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42D2-40DD-9085-C3216CCAF616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44CF830A-45F0-4871-85F7-300137E7A6C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F729-4E64-A9C4-DAB080EBEFC0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ACD47A53-91AD-4920-A65C-1F67F804CFC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34F7-48F2-AB81-746310F65B6F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22690564-9F10-4A9F-AA10-239795A47CC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C658-4173-887D-D0A79A793F31}"/>
                </c:ext>
              </c:extLst>
            </c:dLbl>
            <c:dLbl>
              <c:idx val="24"/>
              <c:layout>
                <c:manualLayout>
                  <c:x val="0"/>
                  <c:y val="-2.3837902264600735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200" b="1" i="0" u="none" strike="noStrike" kern="1200" baseline="0">
                        <a:solidFill>
                          <a:srgbClr val="999900"/>
                        </a:solidFill>
                        <a:latin typeface="+mj-lt"/>
                        <a:ea typeface="+mn-ea"/>
                        <a:cs typeface="+mn-cs"/>
                      </a:defRPr>
                    </a:pPr>
                    <a:fld id="{AB145542-21F0-4BB2-A78C-BC1BCD0DD955}" type="CELLRANGE">
                      <a:rPr lang="en-US"/>
                      <a:pPr>
                        <a:defRPr sz="1200" b="1">
                          <a:solidFill>
                            <a:srgbClr val="999900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rgbClr val="999900"/>
                      </a:solidFill>
                      <a:latin typeface="+mj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46C9-465F-A2F4-AF2DDC49DC1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rgbClr val="999900"/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đồ'!$E$6:$AO$7</c15:sqref>
                  </c15:fullRef>
                </c:ext>
              </c:extLst>
              <c:f>'Vẽ Biểu đồ'!$E$6:$AO$7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đồ'!$E$10:$AO$10</c15:sqref>
                  </c15:fullRef>
                </c:ext>
              </c:extLst>
              <c:f>('Vẽ Biểu đồ'!$E$10:$AB$10,'Vẽ Biểu đồ'!$AO$10)</c:f>
              <c:numCache>
                <c:formatCode>_(* #,##0_);_(* \(#,##0\);_(* "-"??_);_(@_)</c:formatCode>
                <c:ptCount val="25"/>
                <c:pt idx="0">
                  <c:v>1250</c:v>
                </c:pt>
                <c:pt idx="1">
                  <c:v>1250</c:v>
                </c:pt>
                <c:pt idx="2">
                  <c:v>1250</c:v>
                </c:pt>
                <c:pt idx="3">
                  <c:v>1250</c:v>
                </c:pt>
                <c:pt idx="4">
                  <c:v>1250</c:v>
                </c:pt>
                <c:pt idx="5">
                  <c:v>1250</c:v>
                </c:pt>
                <c:pt idx="6">
                  <c:v>1330</c:v>
                </c:pt>
                <c:pt idx="7">
                  <c:v>1330</c:v>
                </c:pt>
                <c:pt idx="8">
                  <c:v>1330</c:v>
                </c:pt>
                <c:pt idx="9">
                  <c:v>1330</c:v>
                </c:pt>
                <c:pt idx="10">
                  <c:v>1330</c:v>
                </c:pt>
                <c:pt idx="11">
                  <c:v>1330</c:v>
                </c:pt>
                <c:pt idx="12">
                  <c:v>1250</c:v>
                </c:pt>
                <c:pt idx="13">
                  <c:v>1250</c:v>
                </c:pt>
                <c:pt idx="14">
                  <c:v>1250</c:v>
                </c:pt>
                <c:pt idx="15">
                  <c:v>1250</c:v>
                </c:pt>
                <c:pt idx="16">
                  <c:v>1250</c:v>
                </c:pt>
                <c:pt idx="17">
                  <c:v>1250</c:v>
                </c:pt>
                <c:pt idx="18">
                  <c:v>#N/A</c:v>
                </c:pt>
                <c:pt idx="19">
                  <c:v>1303.8316268486917</c:v>
                </c:pt>
                <c:pt idx="20">
                  <c:v>1303.8316268486917</c:v>
                </c:pt>
                <c:pt idx="21">
                  <c:v>1303.8316268486917</c:v>
                </c:pt>
                <c:pt idx="22">
                  <c:v>1303.8316268486917</c:v>
                </c:pt>
                <c:pt idx="23">
                  <c:v>1303.8316268486917</c:v>
                </c:pt>
                <c:pt idx="24">
                  <c:v>1303.8316268486917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đồ'!$E$21:$AO$21</c15:f>
                <c15:dlblRangeCache>
                  <c:ptCount val="37"/>
                  <c:pt idx="0">
                    <c:v> 1,250 </c:v>
                  </c:pt>
                  <c:pt idx="1">
                    <c:v> 1,250 </c:v>
                  </c:pt>
                  <c:pt idx="2">
                    <c:v> 1,250 </c:v>
                  </c:pt>
                  <c:pt idx="3">
                    <c:v> 1,250 </c:v>
                  </c:pt>
                  <c:pt idx="4">
                    <c:v> 1,250 </c:v>
                  </c:pt>
                  <c:pt idx="5">
                    <c:v> 1,250 </c:v>
                  </c:pt>
                  <c:pt idx="6">
                    <c:v> 1,330 </c:v>
                  </c:pt>
                  <c:pt idx="7">
                    <c:v> 1,330 </c:v>
                  </c:pt>
                  <c:pt idx="8">
                    <c:v> 1,330 </c:v>
                  </c:pt>
                  <c:pt idx="9">
                    <c:v> 1,330 </c:v>
                  </c:pt>
                  <c:pt idx="10">
                    <c:v> 1,330 </c:v>
                  </c:pt>
                  <c:pt idx="11">
                    <c:v> 1,330 </c:v>
                  </c:pt>
                  <c:pt idx="12">
                    <c:v> 1,250 </c:v>
                  </c:pt>
                  <c:pt idx="13">
                    <c:v> 1,250 </c:v>
                  </c:pt>
                  <c:pt idx="14">
                    <c:v> 1,250 </c:v>
                  </c:pt>
                  <c:pt idx="15">
                    <c:v> 1,250 </c:v>
                  </c:pt>
                  <c:pt idx="16">
                    <c:v> 1,250 </c:v>
                  </c:pt>
                  <c:pt idx="17">
                    <c:v> 1,250 </c:v>
                  </c:pt>
                  <c:pt idx="19">
                    <c:v> 1,304 </c:v>
                  </c:pt>
                  <c:pt idx="20">
                    <c:v> 1,304 </c:v>
                  </c:pt>
                  <c:pt idx="21">
                    <c:v> 1,304 </c:v>
                  </c:pt>
                  <c:pt idx="22">
                    <c:v> 1,304 </c:v>
                  </c:pt>
                  <c:pt idx="23">
                    <c:v> 1,304 </c:v>
                  </c:pt>
                  <c:pt idx="36">
                    <c:v>LAVIE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2B-D814-46B0-9772-0AB88141E4EF}"/>
            </c:ext>
          </c:extLst>
        </c:ser>
        <c:ser>
          <c:idx val="2"/>
          <c:order val="3"/>
          <c:tx>
            <c:strRef>
              <c:f>'Vẽ Biểu đồ'!$D$11</c:f>
              <c:strCache>
                <c:ptCount val="1"/>
                <c:pt idx="0">
                  <c:v>Giá duyệt</c:v>
                </c:pt>
              </c:strCache>
            </c:strRef>
          </c:tx>
          <c:spPr>
            <a:ln w="34925" cap="rnd">
              <a:solidFill>
                <a:schemeClr val="accent1">
                  <a:lumMod val="75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dPt>
            <c:idx val="24"/>
            <c:marker>
              <c:symbol val="none"/>
            </c:marker>
            <c:bubble3D val="0"/>
            <c:spPr>
              <a:ln w="12700" cap="rnd">
                <a:noFill/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46C9-465F-A2F4-AF2DDC49DC18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4A689949-7131-46C9-8B89-5D1C9879177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D814-46B0-9772-0AB88141E4EF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70A5BEA6-6FEA-496A-9AFA-7547B233F59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D814-46B0-9772-0AB88141E4EF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70DCC155-FF36-4D1A-A2AC-3C701D9452E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D814-46B0-9772-0AB88141E4EF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F6A6E724-BBFA-407C-9601-262EC644FFB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D814-46B0-9772-0AB88141E4EF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A4192201-6231-4427-ACC8-E1BF37AD151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D814-46B0-9772-0AB88141E4EF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695A053B-6B8F-40DE-B3B5-3FCA158F775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D814-46B0-9772-0AB88141E4EF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253A3A1C-55A3-4074-AB6B-50E0ECCBB7E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D814-46B0-9772-0AB88141E4EF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A3C43164-062C-4CB8-9EB4-76061C55AF1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D814-46B0-9772-0AB88141E4EF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FA47D806-B911-48E4-8372-8637E76AEFA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D814-46B0-9772-0AB88141E4EF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4A81E2E2-6832-4AA4-9003-6E9AD546E6B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D814-46B0-9772-0AB88141E4EF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7B14351D-CB8B-4982-A1FC-9B88A623DCD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D814-46B0-9772-0AB88141E4EF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85D2208B-0A8A-44D3-829C-7EC992943A2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9-D814-46B0-9772-0AB88141E4EF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B6003360-7FF3-4020-BA1D-05BFDE66607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A-D814-46B0-9772-0AB88141E4EF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B90017B8-9784-45D7-B9AC-C08C0E80677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B-D814-46B0-9772-0AB88141E4EF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1BA5F9FB-7769-4013-BE89-2C2F7003FEB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C-D814-46B0-9772-0AB88141E4EF}"/>
                </c:ext>
              </c:extLst>
            </c:dLbl>
            <c:dLbl>
              <c:idx val="15"/>
              <c:layout>
                <c:manualLayout>
                  <c:x val="-2.6182130503085821E-2"/>
                  <c:y val="-4.0544298768375051E-2"/>
                </c:manualLayout>
              </c:layout>
              <c:tx>
                <c:rich>
                  <a:bodyPr/>
                  <a:lstStyle/>
                  <a:p>
                    <a:fld id="{CF1F0369-0C14-46BE-AC27-BA558C22420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D-D814-46B0-9772-0AB88141E4EF}"/>
                </c:ext>
              </c:extLst>
            </c:dLbl>
            <c:dLbl>
              <c:idx val="16"/>
              <c:layout>
                <c:manualLayout>
                  <c:x val="-2.6182130503085821E-2"/>
                  <c:y val="-4.0544298768375051E-2"/>
                </c:manualLayout>
              </c:layout>
              <c:tx>
                <c:rich>
                  <a:bodyPr/>
                  <a:lstStyle/>
                  <a:p>
                    <a:fld id="{E37ACE8F-60E5-407C-9060-8B7BB344085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E-D814-46B0-9772-0AB88141E4EF}"/>
                </c:ext>
              </c:extLst>
            </c:dLbl>
            <c:dLbl>
              <c:idx val="17"/>
              <c:layout>
                <c:manualLayout>
                  <c:x val="-2.6182130503085821E-2"/>
                  <c:y val="-4.0544298768375051E-2"/>
                </c:manualLayout>
              </c:layout>
              <c:tx>
                <c:rich>
                  <a:bodyPr/>
                  <a:lstStyle/>
                  <a:p>
                    <a:fld id="{432C9C44-2534-4548-8244-232F137624B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F-D814-46B0-9772-0AB88141E4EF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B453A025-9CD8-4C15-AA04-00230663F87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807A-4BDB-A89D-5D8574AA9D2F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7C650C81-5B5C-4B94-AC07-65B85AB3144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06D2-4C24-B444-ACF105804A17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D3397F25-3B32-4939-996A-2737DBEEF0C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42D2-40DD-9085-C3216CCAF616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5A2E3250-23F5-4ABA-8885-5D24A386CE3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F729-4E64-A9C4-DAB080EBEFC0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99473A12-8ED6-43E7-9D67-AA20E81AB20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34F7-48F2-AB81-746310F65B6F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794D305A-FA62-40FE-A190-27F775025A9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C658-4173-887D-D0A79A793F31}"/>
                </c:ext>
              </c:extLst>
            </c:dLbl>
            <c:dLbl>
              <c:idx val="24"/>
              <c:layout>
                <c:manualLayout>
                  <c:x val="-1.7907812757146556E-16"/>
                  <c:y val="-1.986491855383393E-3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300" b="1" i="0" u="none" strike="noStrike" kern="1200" baseline="0">
                        <a:solidFill>
                          <a:schemeClr val="accent1">
                            <a:lumMod val="7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41163ADC-B424-40E5-B5D5-B3F4F8802A3E}" type="CELLRANGE">
                      <a:rPr lang="en-US"/>
                      <a:pPr>
                        <a:defRPr sz="1300" b="1">
                          <a:solidFill>
                            <a:schemeClr val="accent1">
                              <a:lumMod val="75000"/>
                            </a:schemeClr>
                          </a:solidFill>
                          <a:latin typeface="+mn-lt"/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solidFill>
                  <a:schemeClr val="lt1"/>
                </a:solidFill>
                <a:ln w="19050" cap="flat" cmpd="sng" algn="ctr">
                  <a:solidFill>
                    <a:schemeClr val="accent1">
                      <a:lumMod val="75000"/>
                    </a:schemeClr>
                  </a:solidFill>
                  <a:prstDash val="solid"/>
                  <a:miter lim="800000"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300" b="1" i="0" u="none" strike="noStrike" kern="1200" baseline="0">
                      <a:solidFill>
                        <a:schemeClr val="accent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46C9-465F-A2F4-AF2DDC49DC18}"/>
                </c:ext>
              </c:extLst>
            </c:dLbl>
            <c:spPr>
              <a:solidFill>
                <a:schemeClr val="lt1"/>
              </a:solidFill>
              <a:ln w="19050" cap="flat" cmpd="sng" algn="ctr">
                <a:solidFill>
                  <a:schemeClr val="accent1">
                    <a:lumMod val="75000"/>
                  </a:schemeClr>
                </a:solidFill>
                <a:prstDash val="solid"/>
                <a:miter lim="800000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accen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đồ'!$E$6:$AO$7</c15:sqref>
                  </c15:fullRef>
                </c:ext>
              </c:extLst>
              <c:f>'Vẽ Biểu đồ'!$E$6:$AO$7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đồ'!$E$11:$AO$11</c15:sqref>
                  </c15:fullRef>
                </c:ext>
              </c:extLst>
              <c:f>('Vẽ Biểu đồ'!$E$11:$AB$11,'Vẽ Biểu đồ'!$AO$11)</c:f>
              <c:numCache>
                <c:formatCode>_(* #,##0_);_(* \(#,##0\);_(* "-"??_);_(@_)</c:formatCode>
                <c:ptCount val="25"/>
                <c:pt idx="0">
                  <c:v>1250</c:v>
                </c:pt>
                <c:pt idx="1">
                  <c:v>1250</c:v>
                </c:pt>
                <c:pt idx="2">
                  <c:v>1250</c:v>
                </c:pt>
                <c:pt idx="3">
                  <c:v>1250</c:v>
                </c:pt>
                <c:pt idx="4">
                  <c:v>1300</c:v>
                </c:pt>
                <c:pt idx="5">
                  <c:v>1300</c:v>
                </c:pt>
                <c:pt idx="6">
                  <c:v>1300</c:v>
                </c:pt>
                <c:pt idx="7">
                  <c:v>1300</c:v>
                </c:pt>
                <c:pt idx="8">
                  <c:v>1310</c:v>
                </c:pt>
                <c:pt idx="9">
                  <c:v>1325</c:v>
                </c:pt>
                <c:pt idx="10">
                  <c:v>1325</c:v>
                </c:pt>
                <c:pt idx="11">
                  <c:v>1275</c:v>
                </c:pt>
                <c:pt idx="12">
                  <c:v>1230</c:v>
                </c:pt>
                <c:pt idx="13">
                  <c:v>1230</c:v>
                </c:pt>
                <c:pt idx="14">
                  <c:v>1230</c:v>
                </c:pt>
                <c:pt idx="15">
                  <c:v>1250</c:v>
                </c:pt>
                <c:pt idx="16">
                  <c:v>1250</c:v>
                </c:pt>
                <c:pt idx="17">
                  <c:v>1250</c:v>
                </c:pt>
                <c:pt idx="18">
                  <c:v>1250</c:v>
                </c:pt>
                <c:pt idx="19">
                  <c:v>1220</c:v>
                </c:pt>
                <c:pt idx="20">
                  <c:v>1220</c:v>
                </c:pt>
                <c:pt idx="21">
                  <c:v>1210</c:v>
                </c:pt>
                <c:pt idx="22">
                  <c:v>1200</c:v>
                </c:pt>
                <c:pt idx="23">
                  <c:v>1200</c:v>
                </c:pt>
                <c:pt idx="24">
                  <c:v>1200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đồ'!$E$22:$AO$22</c15:f>
                <c15:dlblRangeCache>
                  <c:ptCount val="37"/>
                  <c:pt idx="0">
                    <c:v> 1,250 </c:v>
                  </c:pt>
                  <c:pt idx="1">
                    <c:v> 1,250 </c:v>
                  </c:pt>
                  <c:pt idx="2">
                    <c:v> 1,250 </c:v>
                  </c:pt>
                  <c:pt idx="3">
                    <c:v> 1,250 </c:v>
                  </c:pt>
                  <c:pt idx="4">
                    <c:v> 1,300 </c:v>
                  </c:pt>
                  <c:pt idx="5">
                    <c:v> 1,300 </c:v>
                  </c:pt>
                  <c:pt idx="6">
                    <c:v> 1,300 </c:v>
                  </c:pt>
                  <c:pt idx="7">
                    <c:v> 1,300 </c:v>
                  </c:pt>
                  <c:pt idx="8">
                    <c:v> 1,310 </c:v>
                  </c:pt>
                  <c:pt idx="9">
                    <c:v> 1,325 </c:v>
                  </c:pt>
                  <c:pt idx="10">
                    <c:v> 1,325 </c:v>
                  </c:pt>
                  <c:pt idx="11">
                    <c:v> 1,275 </c:v>
                  </c:pt>
                  <c:pt idx="12">
                    <c:v> 1,230 </c:v>
                  </c:pt>
                  <c:pt idx="13">
                    <c:v> 1,230 </c:v>
                  </c:pt>
                  <c:pt idx="14">
                    <c:v> 1,230 </c:v>
                  </c:pt>
                  <c:pt idx="15">
                    <c:v> 1,250 </c:v>
                  </c:pt>
                  <c:pt idx="16">
                    <c:v> 1,250 </c:v>
                  </c:pt>
                  <c:pt idx="17">
                    <c:v> 1,250 </c:v>
                  </c:pt>
                  <c:pt idx="18">
                    <c:v> 1,250 </c:v>
                  </c:pt>
                  <c:pt idx="19">
                    <c:v> 1,220 </c:v>
                  </c:pt>
                  <c:pt idx="20">
                    <c:v> 1,220 </c:v>
                  </c:pt>
                  <c:pt idx="21">
                    <c:v> 1,210 </c:v>
                  </c:pt>
                  <c:pt idx="22">
                    <c:v> 1,200 </c:v>
                  </c:pt>
                  <c:pt idx="23">
                    <c:v> 1,200 </c:v>
                  </c:pt>
                  <c:pt idx="36">
                    <c:v>Giá duyệt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40-D814-46B0-9772-0AB88141E4EF}"/>
            </c:ext>
          </c:extLst>
        </c:ser>
        <c:ser>
          <c:idx val="3"/>
          <c:order val="4"/>
          <c:tx>
            <c:strRef>
              <c:f>'Vẽ Biểu đồ'!$D$12</c:f>
              <c:strCache>
                <c:ptCount val="1"/>
                <c:pt idx="0">
                  <c:v>Giá chính phẩm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Pt>
            <c:idx val="24"/>
            <c:marker>
              <c:symbol val="none"/>
            </c:marker>
            <c:bubble3D val="0"/>
            <c:spPr>
              <a:ln w="127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46C9-465F-A2F4-AF2DDC49DC18}"/>
              </c:ext>
            </c:extLst>
          </c:dPt>
          <c:dLbls>
            <c:dLbl>
              <c:idx val="17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3.9831290240567301E-2"/>
                      <c:h val="2.537869285648627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43-D814-46B0-9772-0AB88141E4EF}"/>
                </c:ext>
              </c:extLst>
            </c:dLbl>
            <c:dLbl>
              <c:idx val="24"/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300" b="1" i="0" u="none" strike="noStrike" kern="1200" baseline="0">
                        <a:solidFill>
                          <a:schemeClr val="accent4"/>
                        </a:solidFill>
                        <a:latin typeface="+mj-lt"/>
                        <a:ea typeface="+mn-ea"/>
                        <a:cs typeface="+mn-cs"/>
                      </a:defRPr>
                    </a:pPr>
                    <a:fld id="{3E02FFFA-E770-4FD7-BFF1-4B46DBD977E1}" type="CELLRANGE">
                      <a:rPr lang="en-US"/>
                      <a:pPr>
                        <a:defRPr sz="1300" b="1">
                          <a:solidFill>
                            <a:schemeClr val="accent4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300" b="1" i="0" u="none" strike="noStrike" kern="1200" baseline="0">
                      <a:solidFill>
                        <a:schemeClr val="accent4"/>
                      </a:solidFill>
                      <a:latin typeface="+mj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0251101998886833"/>
                      <c:h val="0.11615765472675635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46C9-465F-A2F4-AF2DDC49DC1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horzOverflow="clip" vert="horz" wrap="square" lIns="38100" tIns="19050" rIns="38100" bIns="19050" anchor="ctr" anchorCtr="1">
                <a:no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accent4"/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đồ'!$E$6:$AO$7</c15:sqref>
                  </c15:fullRef>
                </c:ext>
              </c:extLst>
              <c:f>'Vẽ Biểu đồ'!$E$6:$AO$7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đồ'!$E$12:$AO$12</c15:sqref>
                  </c15:fullRef>
                </c:ext>
              </c:extLst>
              <c:f>('Vẽ Biểu đồ'!$E$12:$AB$12,'Vẽ Biểu đồ'!$AO$12)</c:f>
              <c:numCache>
                <c:formatCode>_(* #,##0_);_(* \(#,##0\);_(* "-"??_);_(@_)</c:formatCode>
                <c:ptCount val="25"/>
                <c:pt idx="0">
                  <c:v>930</c:v>
                </c:pt>
                <c:pt idx="1">
                  <c:v>943.33333333333337</c:v>
                </c:pt>
                <c:pt idx="2">
                  <c:v>940</c:v>
                </c:pt>
                <c:pt idx="3">
                  <c:v>940</c:v>
                </c:pt>
                <c:pt idx="4">
                  <c:v>942</c:v>
                </c:pt>
                <c:pt idx="5">
                  <c:v>950</c:v>
                </c:pt>
                <c:pt idx="6">
                  <c:v>947.5</c:v>
                </c:pt>
                <c:pt idx="7">
                  <c:v>930</c:v>
                </c:pt>
                <c:pt idx="8">
                  <c:v>880</c:v>
                </c:pt>
                <c:pt idx="9">
                  <c:v>862.5</c:v>
                </c:pt>
                <c:pt idx="10">
                  <c:v>852</c:v>
                </c:pt>
                <c:pt idx="11">
                  <c:v>830</c:v>
                </c:pt>
                <c:pt idx="12">
                  <c:v>828</c:v>
                </c:pt>
                <c:pt idx="13">
                  <c:v>840</c:v>
                </c:pt>
                <c:pt idx="14">
                  <c:v>823</c:v>
                </c:pt>
                <c:pt idx="15">
                  <c:v>765</c:v>
                </c:pt>
                <c:pt idx="16">
                  <c:v>782</c:v>
                </c:pt>
                <c:pt idx="17">
                  <c:v>807.5</c:v>
                </c:pt>
                <c:pt idx="18">
                  <c:v>802</c:v>
                </c:pt>
                <c:pt idx="19">
                  <c:v>795</c:v>
                </c:pt>
                <c:pt idx="20">
                  <c:v>783</c:v>
                </c:pt>
                <c:pt idx="21">
                  <c:v>772</c:v>
                </c:pt>
                <c:pt idx="22">
                  <c:v>770</c:v>
                </c:pt>
                <c:pt idx="23">
                  <c:v>770</c:v>
                </c:pt>
                <c:pt idx="24">
                  <c:v>770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đồ'!$E$23:$AO$23</c15:f>
                <c15:dlblRangeCache>
                  <c:ptCount val="37"/>
                  <c:pt idx="0">
                    <c:v> 930 </c:v>
                  </c:pt>
                  <c:pt idx="1">
                    <c:v> 943 </c:v>
                  </c:pt>
                  <c:pt idx="2">
                    <c:v> 940 </c:v>
                  </c:pt>
                  <c:pt idx="3">
                    <c:v> 940 </c:v>
                  </c:pt>
                  <c:pt idx="4">
                    <c:v> 942 </c:v>
                  </c:pt>
                  <c:pt idx="5">
                    <c:v> 950 </c:v>
                  </c:pt>
                  <c:pt idx="6">
                    <c:v> 948 </c:v>
                  </c:pt>
                  <c:pt idx="7">
                    <c:v> 930 </c:v>
                  </c:pt>
                  <c:pt idx="8">
                    <c:v> 880 </c:v>
                  </c:pt>
                  <c:pt idx="9">
                    <c:v> 863 </c:v>
                  </c:pt>
                  <c:pt idx="10">
                    <c:v> 852 </c:v>
                  </c:pt>
                  <c:pt idx="11">
                    <c:v> 830 </c:v>
                  </c:pt>
                  <c:pt idx="12">
                    <c:v> 828 </c:v>
                  </c:pt>
                  <c:pt idx="13">
                    <c:v> 840 </c:v>
                  </c:pt>
                  <c:pt idx="14">
                    <c:v> 823 </c:v>
                  </c:pt>
                  <c:pt idx="15">
                    <c:v> 765 </c:v>
                  </c:pt>
                  <c:pt idx="16">
                    <c:v> 782 </c:v>
                  </c:pt>
                  <c:pt idx="17">
                    <c:v> 808 </c:v>
                  </c:pt>
                  <c:pt idx="18">
                    <c:v> 802 </c:v>
                  </c:pt>
                  <c:pt idx="19">
                    <c:v> 795 </c:v>
                  </c:pt>
                  <c:pt idx="20">
                    <c:v> 783 </c:v>
                  </c:pt>
                  <c:pt idx="21">
                    <c:v> 772 </c:v>
                  </c:pt>
                  <c:pt idx="22">
                    <c:v> 770 </c:v>
                  </c:pt>
                  <c:pt idx="23">
                    <c:v> 770 </c:v>
                  </c:pt>
                  <c:pt idx="36">
                    <c:v>Giá chính phẩm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44-D814-46B0-9772-0AB88141E4EF}"/>
            </c:ext>
          </c:extLst>
        </c:ser>
        <c:ser>
          <c:idx val="6"/>
          <c:order val="5"/>
          <c:tx>
            <c:strRef>
              <c:f>'Vẽ Biểu đồ'!$D$15</c:f>
              <c:strCache>
                <c:ptCount val="1"/>
                <c:pt idx="0">
                  <c:v>Chênh lệch-Line Drop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errBars>
            <c:errDir val="y"/>
            <c:errBarType val="minus"/>
            <c:errValType val="cust"/>
            <c:noEndCap val="1"/>
            <c:plus>
              <c:numRef>
                <c:extLst>
                  <c:ext xmlns:c15="http://schemas.microsoft.com/office/drawing/2012/chart" uri="{02D57815-91ED-43cb-92C2-25804820EDAC}">
                    <c15:fullRef>
                      <c15:sqref>'Vẽ Biểu đồ'!$E$13:$AO$13</c15:sqref>
                    </c15:fullRef>
                  </c:ext>
                </c:extLst>
                <c:f>('Vẽ Biểu đồ'!$E$13:$AB$13,'Vẽ Biểu đồ'!$AO$13)</c:f>
                <c:numCache>
                  <c:formatCode>General</c:formatCode>
                  <c:ptCount val="25"/>
                  <c:pt idx="0">
                    <c:v>320</c:v>
                  </c:pt>
                  <c:pt idx="1">
                    <c:v>306.66666666666663</c:v>
                  </c:pt>
                  <c:pt idx="2">
                    <c:v>310</c:v>
                  </c:pt>
                  <c:pt idx="3">
                    <c:v>310</c:v>
                  </c:pt>
                  <c:pt idx="4">
                    <c:v>358</c:v>
                  </c:pt>
                  <c:pt idx="5">
                    <c:v>350</c:v>
                  </c:pt>
                  <c:pt idx="6">
                    <c:v>352.5</c:v>
                  </c:pt>
                  <c:pt idx="7">
                    <c:v>370</c:v>
                  </c:pt>
                  <c:pt idx="8">
                    <c:v>430</c:v>
                  </c:pt>
                  <c:pt idx="9">
                    <c:v>462.5</c:v>
                  </c:pt>
                  <c:pt idx="10">
                    <c:v>473</c:v>
                  </c:pt>
                  <c:pt idx="11">
                    <c:v>445</c:v>
                  </c:pt>
                  <c:pt idx="12">
                    <c:v>402</c:v>
                  </c:pt>
                  <c:pt idx="13">
                    <c:v>390</c:v>
                  </c:pt>
                  <c:pt idx="14">
                    <c:v>407</c:v>
                  </c:pt>
                  <c:pt idx="15">
                    <c:v>485</c:v>
                  </c:pt>
                  <c:pt idx="16">
                    <c:v>468</c:v>
                  </c:pt>
                  <c:pt idx="17">
                    <c:v>442.5</c:v>
                  </c:pt>
                  <c:pt idx="18">
                    <c:v>448</c:v>
                  </c:pt>
                  <c:pt idx="19">
                    <c:v>425</c:v>
                  </c:pt>
                  <c:pt idx="20">
                    <c:v>437</c:v>
                  </c:pt>
                  <c:pt idx="21">
                    <c:v>438</c:v>
                  </c:pt>
                  <c:pt idx="22">
                    <c:v>430</c:v>
                  </c:pt>
                  <c:pt idx="23">
                    <c:v>430</c:v>
                  </c:pt>
                </c:numCache>
              </c:numRef>
            </c:plus>
            <c:minus>
              <c:numRef>
                <c:extLst>
                  <c:ext xmlns:c15="http://schemas.microsoft.com/office/drawing/2012/chart" uri="{02D57815-91ED-43cb-92C2-25804820EDAC}">
                    <c15:fullRef>
                      <c15:sqref>'Vẽ Biểu đồ'!$E$13:$AO$13</c15:sqref>
                    </c15:fullRef>
                  </c:ext>
                </c:extLst>
                <c:f>('Vẽ Biểu đồ'!$E$13:$AB$13,'Vẽ Biểu đồ'!$AO$13)</c:f>
                <c:numCache>
                  <c:formatCode>General</c:formatCode>
                  <c:ptCount val="25"/>
                  <c:pt idx="0">
                    <c:v>320</c:v>
                  </c:pt>
                  <c:pt idx="1">
                    <c:v>306.66666666666663</c:v>
                  </c:pt>
                  <c:pt idx="2">
                    <c:v>310</c:v>
                  </c:pt>
                  <c:pt idx="3">
                    <c:v>310</c:v>
                  </c:pt>
                  <c:pt idx="4">
                    <c:v>358</c:v>
                  </c:pt>
                  <c:pt idx="5">
                    <c:v>350</c:v>
                  </c:pt>
                  <c:pt idx="6">
                    <c:v>352.5</c:v>
                  </c:pt>
                  <c:pt idx="7">
                    <c:v>370</c:v>
                  </c:pt>
                  <c:pt idx="8">
                    <c:v>430</c:v>
                  </c:pt>
                  <c:pt idx="9">
                    <c:v>462.5</c:v>
                  </c:pt>
                  <c:pt idx="10">
                    <c:v>473</c:v>
                  </c:pt>
                  <c:pt idx="11">
                    <c:v>445</c:v>
                  </c:pt>
                  <c:pt idx="12">
                    <c:v>402</c:v>
                  </c:pt>
                  <c:pt idx="13">
                    <c:v>390</c:v>
                  </c:pt>
                  <c:pt idx="14">
                    <c:v>407</c:v>
                  </c:pt>
                  <c:pt idx="15">
                    <c:v>485</c:v>
                  </c:pt>
                  <c:pt idx="16">
                    <c:v>468</c:v>
                  </c:pt>
                  <c:pt idx="17">
                    <c:v>442.5</c:v>
                  </c:pt>
                  <c:pt idx="18">
                    <c:v>448</c:v>
                  </c:pt>
                  <c:pt idx="19">
                    <c:v>425</c:v>
                  </c:pt>
                  <c:pt idx="20">
                    <c:v>437</c:v>
                  </c:pt>
                  <c:pt idx="21">
                    <c:v>438</c:v>
                  </c:pt>
                  <c:pt idx="22">
                    <c:v>430</c:v>
                  </c:pt>
                  <c:pt idx="23">
                    <c:v>430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bg1">
                    <a:lumMod val="85000"/>
                  </a:schemeClr>
                </a:solidFill>
                <a:prstDash val="sysDot"/>
                <a:round/>
                <a:headEnd type="triangle"/>
                <a:tailEnd type="triangle"/>
              </a:ln>
              <a:effectLst/>
            </c:spPr>
          </c:errBar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đồ'!$E$6:$AO$7</c15:sqref>
                  </c15:fullRef>
                </c:ext>
              </c:extLst>
              <c:f>'Vẽ Biểu đồ'!$E$6:$AO$7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đồ'!$E$15:$AO$15</c15:sqref>
                  </c15:fullRef>
                </c:ext>
              </c:extLst>
              <c:f>('Vẽ Biểu đồ'!$E$15:$AB$15,'Vẽ Biểu đồ'!$AO$15)</c:f>
              <c:numCache>
                <c:formatCode>_(* #,##0_);_(* \(#,##0\);_(* "-"??_);_(@_)</c:formatCode>
                <c:ptCount val="25"/>
                <c:pt idx="0">
                  <c:v>1250</c:v>
                </c:pt>
                <c:pt idx="1">
                  <c:v>1250</c:v>
                </c:pt>
                <c:pt idx="2">
                  <c:v>1250</c:v>
                </c:pt>
                <c:pt idx="3">
                  <c:v>1250</c:v>
                </c:pt>
                <c:pt idx="4">
                  <c:v>1300</c:v>
                </c:pt>
                <c:pt idx="5">
                  <c:v>1300</c:v>
                </c:pt>
                <c:pt idx="6">
                  <c:v>1300</c:v>
                </c:pt>
                <c:pt idx="7">
                  <c:v>1300</c:v>
                </c:pt>
                <c:pt idx="8">
                  <c:v>1310</c:v>
                </c:pt>
                <c:pt idx="9">
                  <c:v>1325</c:v>
                </c:pt>
                <c:pt idx="10">
                  <c:v>1325</c:v>
                </c:pt>
                <c:pt idx="11">
                  <c:v>1275</c:v>
                </c:pt>
                <c:pt idx="12">
                  <c:v>1230</c:v>
                </c:pt>
                <c:pt idx="13">
                  <c:v>1230</c:v>
                </c:pt>
                <c:pt idx="14">
                  <c:v>1230</c:v>
                </c:pt>
                <c:pt idx="15">
                  <c:v>1250</c:v>
                </c:pt>
                <c:pt idx="16">
                  <c:v>1250</c:v>
                </c:pt>
                <c:pt idx="17">
                  <c:v>1250</c:v>
                </c:pt>
                <c:pt idx="18">
                  <c:v>1250</c:v>
                </c:pt>
                <c:pt idx="19">
                  <c:v>1220</c:v>
                </c:pt>
                <c:pt idx="20">
                  <c:v>1220</c:v>
                </c:pt>
                <c:pt idx="21">
                  <c:v>1210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D814-46B0-9772-0AB88141E4EF}"/>
            </c:ext>
          </c:extLst>
        </c:ser>
        <c:ser>
          <c:idx val="7"/>
          <c:order val="8"/>
          <c:tx>
            <c:strRef>
              <c:f>'Vẽ Biểu đồ'!$D$16</c:f>
              <c:strCache>
                <c:ptCount val="1"/>
                <c:pt idx="0">
                  <c:v>Chênh lệch-Label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fld id="{EBAB2CDA-641A-4D84-98D3-F199B4803E1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6-D814-46B0-9772-0AB88141E4EF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8C6BC261-95CB-4A65-9D28-D06FC95D33C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7-D814-46B0-9772-0AB88141E4EF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92D98183-7ACF-4E51-9610-8C65A25B12C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8-D814-46B0-9772-0AB88141E4EF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7D0566B1-F97C-465A-B34C-247DEAC0E66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9-D814-46B0-9772-0AB88141E4EF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FBB16056-CA64-4D89-A358-477898C33D8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A-D814-46B0-9772-0AB88141E4EF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7486A340-AA43-46D6-9D80-2F5F14BA661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B-D814-46B0-9772-0AB88141E4EF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4678B72D-E88F-4389-8395-5361EB01BB2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C-D814-46B0-9772-0AB88141E4EF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FDF472C3-F269-44BC-B9EF-A1BEAF3EE3F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D-D814-46B0-9772-0AB88141E4EF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789204EE-35C0-4091-B82D-E9B075FD84D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E-D814-46B0-9772-0AB88141E4EF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8632263B-26ED-4167-9E07-837AE1C8860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F-D814-46B0-9772-0AB88141E4EF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43F92809-C690-43D1-9E9A-D8A734B6B6A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0-D814-46B0-9772-0AB88141E4EF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A2A19A04-4458-4259-B0D6-A68CB93EDF1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1-D814-46B0-9772-0AB88141E4EF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E27AC0B7-6F30-48DD-B286-58BF359580F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2-D814-46B0-9772-0AB88141E4EF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17DCFDEE-FB00-4E53-8341-43632CCDBCE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3-D814-46B0-9772-0AB88141E4EF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6A30C571-2B9F-47FD-AE8D-76F029B591D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4-D814-46B0-9772-0AB88141E4EF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F00002B7-03AC-471E-B81A-9E1A98DAFD8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5-D814-46B0-9772-0AB88141E4EF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0EA78B26-18E4-48B5-9E60-FF7464004A2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6-D814-46B0-9772-0AB88141E4EF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69872981-56DE-4C76-9D67-3AE302B7AFB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7-D814-46B0-9772-0AB88141E4EF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3DB671C1-0D17-4862-A9DF-0A88AF04182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807A-4BDB-A89D-5D8574AA9D2F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20009800-244B-4DA8-BE3B-D5BD2C1F9A5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06D2-4C24-B444-ACF105804A17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69998D3C-07E6-4ADB-A2B5-EBE1CAFC6B5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42D2-40DD-9085-C3216CCAF616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97629195-AFE0-4B9B-872C-BE14192640E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F729-4E64-A9C4-DAB080EBEFC0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520166E1-CC23-4C77-81AB-BA1DCA2ED03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34F7-48F2-AB81-746310F65B6F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7D393B2D-DE32-4ADA-87F6-F080246E96D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C658-4173-887D-D0A79A793F31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6-C658-4173-887D-D0A79A793F31}"/>
                </c:ext>
              </c:extLst>
            </c:dLbl>
            <c:spPr>
              <a:solidFill>
                <a:schemeClr val="bg1"/>
              </a:solidFill>
              <a:ln w="9525" cap="flat" cmpd="sng" algn="ctr">
                <a:solidFill>
                  <a:schemeClr val="bg1">
                    <a:lumMod val="75000"/>
                  </a:schemeClr>
                </a:solidFill>
                <a:prstDash val="solid"/>
                <a:miter lim="800000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1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đồ'!$E$6:$AO$7</c15:sqref>
                  </c15:fullRef>
                </c:ext>
              </c:extLst>
              <c:f>'Vẽ Biểu đồ'!$E$6:$AO$7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đồ'!$E$16:$AO$16</c15:sqref>
                  </c15:fullRef>
                </c:ext>
              </c:extLst>
              <c:f>('Vẽ Biểu đồ'!$E$16:$AB$16,'Vẽ Biểu đồ'!$AO$16)</c:f>
              <c:numCache>
                <c:formatCode>_(* #,##0_);_(* \(#,##0\);_(* "-"??_);_(@_)</c:formatCode>
                <c:ptCount val="25"/>
                <c:pt idx="0">
                  <c:v>1090</c:v>
                </c:pt>
                <c:pt idx="1">
                  <c:v>1096.6666666666667</c:v>
                </c:pt>
                <c:pt idx="2">
                  <c:v>1095</c:v>
                </c:pt>
                <c:pt idx="3">
                  <c:v>1095</c:v>
                </c:pt>
                <c:pt idx="4">
                  <c:v>1121</c:v>
                </c:pt>
                <c:pt idx="5">
                  <c:v>1125</c:v>
                </c:pt>
                <c:pt idx="6">
                  <c:v>1123.75</c:v>
                </c:pt>
                <c:pt idx="7">
                  <c:v>1115</c:v>
                </c:pt>
                <c:pt idx="8">
                  <c:v>1095</c:v>
                </c:pt>
                <c:pt idx="9">
                  <c:v>1093.75</c:v>
                </c:pt>
                <c:pt idx="10">
                  <c:v>1088.5</c:v>
                </c:pt>
                <c:pt idx="11">
                  <c:v>1052.5</c:v>
                </c:pt>
                <c:pt idx="12">
                  <c:v>1029</c:v>
                </c:pt>
                <c:pt idx="13">
                  <c:v>1035</c:v>
                </c:pt>
                <c:pt idx="14">
                  <c:v>1026.5</c:v>
                </c:pt>
                <c:pt idx="15">
                  <c:v>1007.5</c:v>
                </c:pt>
                <c:pt idx="16">
                  <c:v>1016</c:v>
                </c:pt>
                <c:pt idx="17">
                  <c:v>1028.75</c:v>
                </c:pt>
                <c:pt idx="18">
                  <c:v>1026</c:v>
                </c:pt>
                <c:pt idx="19">
                  <c:v>1007.5</c:v>
                </c:pt>
                <c:pt idx="20">
                  <c:v>1001.5</c:v>
                </c:pt>
                <c:pt idx="21">
                  <c:v>991</c:v>
                </c:pt>
                <c:pt idx="22">
                  <c:v>985</c:v>
                </c:pt>
                <c:pt idx="23">
                  <c:v>985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đồ'!$E$14:$AO$14</c15:f>
                <c15:dlblRangeCache>
                  <c:ptCount val="37"/>
                  <c:pt idx="0">
                    <c:v>+34.4%</c:v>
                  </c:pt>
                  <c:pt idx="1">
                    <c:v>+32.5%</c:v>
                  </c:pt>
                  <c:pt idx="2">
                    <c:v>+33.0%</c:v>
                  </c:pt>
                  <c:pt idx="3">
                    <c:v>+33.0%</c:v>
                  </c:pt>
                  <c:pt idx="4">
                    <c:v>+38.0%</c:v>
                  </c:pt>
                  <c:pt idx="5">
                    <c:v>+36.8%</c:v>
                  </c:pt>
                  <c:pt idx="6">
                    <c:v>+37.2%</c:v>
                  </c:pt>
                  <c:pt idx="7">
                    <c:v>+39.8%</c:v>
                  </c:pt>
                  <c:pt idx="8">
                    <c:v>+48.9%</c:v>
                  </c:pt>
                  <c:pt idx="9">
                    <c:v>+53.6%</c:v>
                  </c:pt>
                  <c:pt idx="10">
                    <c:v>+55.5%</c:v>
                  </c:pt>
                  <c:pt idx="11">
                    <c:v>+53.6%</c:v>
                  </c:pt>
                  <c:pt idx="12">
                    <c:v>+48.6%</c:v>
                  </c:pt>
                  <c:pt idx="13">
                    <c:v>+46.4%</c:v>
                  </c:pt>
                  <c:pt idx="14">
                    <c:v>+49.5%</c:v>
                  </c:pt>
                  <c:pt idx="15">
                    <c:v>+63.4%</c:v>
                  </c:pt>
                  <c:pt idx="16">
                    <c:v>+59.8%</c:v>
                  </c:pt>
                  <c:pt idx="17">
                    <c:v>+54.8%</c:v>
                  </c:pt>
                  <c:pt idx="18">
                    <c:v>+55.9%</c:v>
                  </c:pt>
                  <c:pt idx="19">
                    <c:v>+53.5%</c:v>
                  </c:pt>
                  <c:pt idx="20">
                    <c:v>+55.8%</c:v>
                  </c:pt>
                  <c:pt idx="21">
                    <c:v>+56.7%</c:v>
                  </c:pt>
                  <c:pt idx="22">
                    <c:v>+55.8%</c:v>
                  </c:pt>
                  <c:pt idx="23">
                    <c:v>+55.8%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59-D814-46B0-9772-0AB88141E4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6623744"/>
        <c:axId val="516630464"/>
      </c:lineChart>
      <c:catAx>
        <c:axId val="516623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1" i="0" u="none" strike="noStrike" kern="1200" baseline="0">
                <a:solidFill>
                  <a:schemeClr val="bg1">
                    <a:lumMod val="65000"/>
                  </a:schemeClr>
                </a:solidFill>
                <a:latin typeface="+mj-lt"/>
                <a:ea typeface="+mn-ea"/>
                <a:cs typeface="+mn-cs"/>
              </a:defRPr>
            </a:pPr>
            <a:endParaRPr lang="en-US"/>
          </a:p>
        </c:txPr>
        <c:crossAx val="516630464"/>
        <c:crosses val="autoZero"/>
        <c:auto val="1"/>
        <c:lblAlgn val="ctr"/>
        <c:lblOffset val="100"/>
        <c:noMultiLvlLbl val="0"/>
      </c:catAx>
      <c:valAx>
        <c:axId val="516630464"/>
        <c:scaling>
          <c:orientation val="minMax"/>
          <c:max val="1380"/>
          <c:min val="730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65000"/>
                  </a:schemeClr>
                </a:solidFill>
                <a:latin typeface="+mj-lt"/>
                <a:ea typeface="+mn-ea"/>
                <a:cs typeface="+mn-cs"/>
              </a:defRPr>
            </a:pPr>
            <a:endParaRPr lang="en-US"/>
          </a:p>
        </c:txPr>
        <c:crossAx val="516623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accent2"/>
      </a:solidFill>
      <a:round/>
    </a:ln>
    <a:effectLst/>
  </c:spPr>
  <c:txPr>
    <a:bodyPr/>
    <a:lstStyle/>
    <a:p>
      <a:pPr>
        <a:defRPr>
          <a:latin typeface="+mj-lt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500" b="1" i="0" u="none" strike="noStrike" kern="1200" spc="0" baseline="0">
                <a:solidFill>
                  <a:schemeClr val="accent2"/>
                </a:solidFill>
                <a:latin typeface="+mj-lt"/>
                <a:ea typeface="+mn-ea"/>
                <a:cs typeface="+mn-cs"/>
              </a:defRPr>
            </a:pPr>
            <a:r>
              <a:rPr lang="en-US" sz="2500" b="1">
                <a:solidFill>
                  <a:schemeClr val="accent2"/>
                </a:solidFill>
              </a:rPr>
              <a:t>GIÁ BÁN EXW - MBF01</a:t>
            </a:r>
          </a:p>
        </c:rich>
      </c:tx>
      <c:layout>
        <c:manualLayout>
          <c:xMode val="edge"/>
          <c:yMode val="edge"/>
          <c:x val="0.31738212133497329"/>
          <c:y val="1.1600789312461526E-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500" b="1" i="0" u="none" strike="noStrike" kern="1200" spc="0" baseline="0">
              <a:solidFill>
                <a:schemeClr val="accent2"/>
              </a:solidFill>
              <a:latin typeface="+mj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"/>
          <c:y val="1.5409387430806942E-2"/>
          <c:w val="0.96006059276030531"/>
          <c:h val="0.88155626882568061"/>
        </c:manualLayout>
      </c:layout>
      <c:areaChart>
        <c:grouping val="standard"/>
        <c:varyColors val="0"/>
        <c:ser>
          <c:idx val="5"/>
          <c:order val="4"/>
          <c:tx>
            <c:strRef>
              <c:f>'Vẽ Biểu đồ'!$D$87</c:f>
              <c:strCache>
                <c:ptCount val="1"/>
                <c:pt idx="0">
                  <c:v>Giá duyệt-Area</c:v>
                </c:pt>
              </c:strCache>
            </c:strRef>
          </c:tx>
          <c:spPr>
            <a:solidFill>
              <a:srgbClr val="FFF2CC"/>
            </a:solidFill>
            <a:ln w="25400">
              <a:noFill/>
            </a:ln>
            <a:effectLst/>
          </c:spPr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đồ'!$E$78:$AO$79</c15:sqref>
                  </c15:fullRef>
                </c:ext>
              </c:extLst>
              <c:f>'Vẽ Biểu đồ'!$E$78:$AO$79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đồ'!$E$87:$AO$87</c15:sqref>
                  </c15:fullRef>
                </c:ext>
              </c:extLst>
              <c:f>('Vẽ Biểu đồ'!$E$87:$AB$87,'Vẽ Biểu đồ'!$AO$87)</c:f>
              <c:numCache>
                <c:formatCode>_(* #,##0_);_(* \(#,##0\);_(* "-"??_);_(@_)</c:formatCode>
                <c:ptCount val="25"/>
                <c:pt idx="0">
                  <c:v>1350</c:v>
                </c:pt>
                <c:pt idx="1">
                  <c:v>1350</c:v>
                </c:pt>
                <c:pt idx="2">
                  <c:v>1350</c:v>
                </c:pt>
                <c:pt idx="3">
                  <c:v>1350</c:v>
                </c:pt>
                <c:pt idx="4">
                  <c:v>1350</c:v>
                </c:pt>
                <c:pt idx="5">
                  <c:v>1350</c:v>
                </c:pt>
                <c:pt idx="6">
                  <c:v>1350</c:v>
                </c:pt>
                <c:pt idx="7">
                  <c:v>1350</c:v>
                </c:pt>
                <c:pt idx="8">
                  <c:v>1350</c:v>
                </c:pt>
                <c:pt idx="9">
                  <c:v>1350</c:v>
                </c:pt>
                <c:pt idx="10">
                  <c:v>1350</c:v>
                </c:pt>
                <c:pt idx="11">
                  <c:v>1350</c:v>
                </c:pt>
                <c:pt idx="12">
                  <c:v>1350</c:v>
                </c:pt>
                <c:pt idx="13">
                  <c:v>1300</c:v>
                </c:pt>
                <c:pt idx="14">
                  <c:v>1250</c:v>
                </c:pt>
                <c:pt idx="15">
                  <c:v>1250</c:v>
                </c:pt>
                <c:pt idx="16">
                  <c:v>1250</c:v>
                </c:pt>
                <c:pt idx="17">
                  <c:v>1250</c:v>
                </c:pt>
                <c:pt idx="18">
                  <c:v>1250</c:v>
                </c:pt>
                <c:pt idx="19">
                  <c:v>1230</c:v>
                </c:pt>
                <c:pt idx="20">
                  <c:v>1210</c:v>
                </c:pt>
                <c:pt idx="21">
                  <c:v>1210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A8-4C7A-ACC6-45C713076D1E}"/>
            </c:ext>
          </c:extLst>
        </c:ser>
        <c:ser>
          <c:idx val="4"/>
          <c:order val="5"/>
          <c:tx>
            <c:strRef>
              <c:f>'Vẽ Biểu đồ'!$D$88</c:f>
              <c:strCache>
                <c:ptCount val="1"/>
                <c:pt idx="0">
                  <c:v>Giá chính phẩm-Area</c:v>
                </c:pt>
              </c:strCache>
            </c:strRef>
          </c:tx>
          <c:spPr>
            <a:solidFill>
              <a:schemeClr val="bg1"/>
            </a:solidFill>
            <a:ln w="25400">
              <a:noFill/>
            </a:ln>
            <a:effectLst/>
          </c:spPr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đồ'!$E$78:$AO$79</c15:sqref>
                  </c15:fullRef>
                </c:ext>
              </c:extLst>
              <c:f>'Vẽ Biểu đồ'!$E$78:$AO$79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đồ'!$E$88:$AO$88</c15:sqref>
                  </c15:fullRef>
                </c:ext>
              </c:extLst>
              <c:f>('Vẽ Biểu đồ'!$E$88:$AB$88,'Vẽ Biểu đồ'!$AO$88)</c:f>
              <c:numCache>
                <c:formatCode>_(* #,##0_);_(* \(#,##0\);_(* "-"??_);_(@_)</c:formatCode>
                <c:ptCount val="25"/>
                <c:pt idx="0">
                  <c:v>940</c:v>
                </c:pt>
                <c:pt idx="1">
                  <c:v>993.33333333333337</c:v>
                </c:pt>
                <c:pt idx="2">
                  <c:v>985</c:v>
                </c:pt>
                <c:pt idx="3">
                  <c:v>962.5</c:v>
                </c:pt>
                <c:pt idx="4">
                  <c:v>982</c:v>
                </c:pt>
                <c:pt idx="5">
                  <c:v>1000</c:v>
                </c:pt>
                <c:pt idx="6">
                  <c:v>1000</c:v>
                </c:pt>
                <c:pt idx="7">
                  <c:v>984</c:v>
                </c:pt>
                <c:pt idx="8">
                  <c:v>967.5</c:v>
                </c:pt>
                <c:pt idx="9">
                  <c:v>965</c:v>
                </c:pt>
                <c:pt idx="10">
                  <c:v>974</c:v>
                </c:pt>
                <c:pt idx="11">
                  <c:v>956</c:v>
                </c:pt>
                <c:pt idx="12">
                  <c:v>940</c:v>
                </c:pt>
                <c:pt idx="13">
                  <c:v>918</c:v>
                </c:pt>
                <c:pt idx="14">
                  <c:v>896</c:v>
                </c:pt>
                <c:pt idx="15">
                  <c:v>891.5</c:v>
                </c:pt>
                <c:pt idx="16">
                  <c:v>864</c:v>
                </c:pt>
                <c:pt idx="17">
                  <c:v>833</c:v>
                </c:pt>
                <c:pt idx="18">
                  <c:v>833</c:v>
                </c:pt>
                <c:pt idx="19">
                  <c:v>815</c:v>
                </c:pt>
                <c:pt idx="20">
                  <c:v>813</c:v>
                </c:pt>
                <c:pt idx="21">
                  <c:v>805</c:v>
                </c:pt>
                <c:pt idx="22">
                  <c:v>805</c:v>
                </c:pt>
                <c:pt idx="23">
                  <c:v>805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EA8-4C7A-ACC6-45C713076D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6623744"/>
        <c:axId val="516630464"/>
      </c:areaChart>
      <c:lineChart>
        <c:grouping val="standard"/>
        <c:varyColors val="0"/>
        <c:ser>
          <c:idx val="1"/>
          <c:order val="0"/>
          <c:tx>
            <c:strRef>
              <c:f>'Vẽ Biểu đồ'!$D$80</c:f>
              <c:strCache>
                <c:ptCount val="1"/>
                <c:pt idx="0">
                  <c:v>Unilever</c:v>
                </c:pt>
              </c:strCache>
            </c:strRef>
          </c:tx>
          <c:spPr>
            <a:ln w="28575" cap="rnd">
              <a:solidFill>
                <a:srgbClr val="0F0E9A"/>
              </a:solidFill>
              <a:round/>
            </a:ln>
            <a:effectLst/>
          </c:spPr>
          <c:marker>
            <c:symbol val="none"/>
          </c:marker>
          <c:dPt>
            <c:idx val="24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EF53-4463-8A1B-1FB504415EB1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D7FC4E3F-C7FB-4A9F-B2E2-DB9AF6B4EF8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EEA8-4C7A-ACC6-45C713076D1E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68E3057A-FC52-4B9F-9AE5-8C257DD3885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EEA8-4C7A-ACC6-45C713076D1E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56E63AC4-7851-41C1-9146-0294B65AB9E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EEA8-4C7A-ACC6-45C713076D1E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392F725C-B6A3-49B8-AD0E-798FB82F1E9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EEA8-4C7A-ACC6-45C713076D1E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BD454F52-567B-4304-BD96-B9D1CEC2617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EEA8-4C7A-ACC6-45C713076D1E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9BF765F9-42EC-4005-9648-EA625326C9F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EEA8-4C7A-ACC6-45C713076D1E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44E234BD-B900-48D7-AFD3-C5FEB7FD73E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EEA8-4C7A-ACC6-45C713076D1E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C7C1B04D-C399-4CD8-950A-67463F70446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EEA8-4C7A-ACC6-45C713076D1E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E805D3F4-2F91-4D72-A8F2-E7023F82232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EEA8-4C7A-ACC6-45C713076D1E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2E0D950C-24F5-4D84-95A4-47762084104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EEA8-4C7A-ACC6-45C713076D1E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437EAEC6-DDE4-488E-B05B-666ED243592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EEA8-4C7A-ACC6-45C713076D1E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1D413536-5E6F-4963-BFC7-FD996452BB3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EEA8-4C7A-ACC6-45C713076D1E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CD5F062D-5976-4A16-BC86-8B86CD3EA17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EEA8-4C7A-ACC6-45C713076D1E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EDF8FF1C-989C-4C99-9E26-9405A2585A5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EEA8-4C7A-ACC6-45C713076D1E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8501BED9-7546-4A20-B4AC-AEA4EDE225B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EEA8-4C7A-ACC6-45C713076D1E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2CAD01D3-A543-4C5D-80F9-96F86BB7FA7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EEA8-4C7A-ACC6-45C713076D1E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C34AA0D3-25C2-4DCA-BA9E-7CC730E7578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EEA8-4C7A-ACC6-45C713076D1E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A077FD72-46EC-4410-8B4A-0AD7F066CC8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EEA8-4C7A-ACC6-45C713076D1E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4D55F304-56F0-403F-B8E1-5B42779C293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C9E1-4CE5-9CC4-F8B3A34851D6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AFDFFA43-AA90-4209-BD58-1D8B07E97F5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37AF-4373-BA0F-E75DC9A6289B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0C9EFC0A-6056-4459-8A4D-D85C04DBB52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8541-4ACF-8AC5-9CF50789BC53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D4D626FE-439B-4762-A124-991FC1AF8CC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DA83-460C-ACA7-5210AF6F5814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BFFE9ECE-D9D4-4F6B-9DEE-C7363642F8A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5B19-4DB0-8040-BC9C424DA050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75DD50D1-41AB-458F-B939-84C62F370F6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1CEB-4898-A113-A23567AE0805}"/>
                </c:ext>
              </c:extLst>
            </c:dLbl>
            <c:dLbl>
              <c:idx val="24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200" b="1" i="0" u="none" strike="noStrike" kern="1200" baseline="0">
                        <a:solidFill>
                          <a:srgbClr val="0F0E9A"/>
                        </a:solidFill>
                        <a:latin typeface="+mj-lt"/>
                        <a:ea typeface="+mn-ea"/>
                        <a:cs typeface="+mn-cs"/>
                      </a:defRPr>
                    </a:pPr>
                    <a:fld id="{AF3AF0DE-AC16-47A1-8CF4-B9A808B4D97B}" type="CELLRANGE">
                      <a:rPr lang="en-US"/>
                      <a:pPr>
                        <a:defRPr sz="1200" b="1">
                          <a:solidFill>
                            <a:srgbClr val="0F0E9A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rgbClr val="0F0E9A"/>
                      </a:solidFill>
                      <a:latin typeface="+mj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EF53-4463-8A1B-1FB504415EB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rgbClr val="0F0E9A"/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đồ'!$E$78:$AO$79</c15:sqref>
                  </c15:fullRef>
                </c:ext>
              </c:extLst>
              <c:f>'Vẽ Biểu đồ'!$E$78:$AO$79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đồ'!$E$80:$AO$80</c15:sqref>
                  </c15:fullRef>
                </c:ext>
              </c:extLst>
              <c:f>('Vẽ Biểu đồ'!$E$80:$AB$80,'Vẽ Biểu đồ'!$AO$80)</c:f>
              <c:numCache>
                <c:formatCode>_(* #,##0_);_(* \(#,##0\);_(* "-"??_);_(@_)</c:formatCode>
                <c:ptCount val="25"/>
                <c:pt idx="0">
                  <c:v>1487.795918367347</c:v>
                </c:pt>
                <c:pt idx="1">
                  <c:v>1487.795918367347</c:v>
                </c:pt>
                <c:pt idx="2">
                  <c:v>1487.795918367347</c:v>
                </c:pt>
                <c:pt idx="3">
                  <c:v>1417.795918367347</c:v>
                </c:pt>
                <c:pt idx="4">
                  <c:v>1417.795918367347</c:v>
                </c:pt>
                <c:pt idx="5">
                  <c:v>1417.795918367347</c:v>
                </c:pt>
                <c:pt idx="6">
                  <c:v>1418.04</c:v>
                </c:pt>
                <c:pt idx="7">
                  <c:v>1418.04</c:v>
                </c:pt>
                <c:pt idx="8">
                  <c:v>1418.04</c:v>
                </c:pt>
                <c:pt idx="9">
                  <c:v>1418.04</c:v>
                </c:pt>
                <c:pt idx="10">
                  <c:v>1418.04</c:v>
                </c:pt>
                <c:pt idx="11">
                  <c:v>1418.04</c:v>
                </c:pt>
                <c:pt idx="12">
                  <c:v>1388.04</c:v>
                </c:pt>
                <c:pt idx="13">
                  <c:v>1388.04</c:v>
                </c:pt>
                <c:pt idx="14">
                  <c:v>1388.04</c:v>
                </c:pt>
                <c:pt idx="15">
                  <c:v>1338.04</c:v>
                </c:pt>
                <c:pt idx="16">
                  <c:v>1338.04</c:v>
                </c:pt>
                <c:pt idx="17">
                  <c:v>1338.04</c:v>
                </c:pt>
                <c:pt idx="18">
                  <c:v>1368.04</c:v>
                </c:pt>
                <c:pt idx="19">
                  <c:v>1368.04</c:v>
                </c:pt>
                <c:pt idx="20">
                  <c:v>1368.04</c:v>
                </c:pt>
                <c:pt idx="21">
                  <c:v>1368.04</c:v>
                </c:pt>
                <c:pt idx="22">
                  <c:v>1368.04</c:v>
                </c:pt>
                <c:pt idx="23">
                  <c:v>1368.04</c:v>
                </c:pt>
                <c:pt idx="24">
                  <c:v>1368.04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đồ'!$E$89:$AO$89</c15:f>
                <c15:dlblRangeCache>
                  <c:ptCount val="37"/>
                  <c:pt idx="0">
                    <c:v> 1,488 </c:v>
                  </c:pt>
                  <c:pt idx="1">
                    <c:v> 1,488 </c:v>
                  </c:pt>
                  <c:pt idx="2">
                    <c:v> 1,488 </c:v>
                  </c:pt>
                  <c:pt idx="3">
                    <c:v> 1,418 </c:v>
                  </c:pt>
                  <c:pt idx="4">
                    <c:v> 1,418 </c:v>
                  </c:pt>
                  <c:pt idx="5">
                    <c:v> 1,418 </c:v>
                  </c:pt>
                  <c:pt idx="6">
                    <c:v> 1,418 </c:v>
                  </c:pt>
                  <c:pt idx="7">
                    <c:v> 1,418 </c:v>
                  </c:pt>
                  <c:pt idx="8">
                    <c:v> 1,418 </c:v>
                  </c:pt>
                  <c:pt idx="9">
                    <c:v> 1,418 </c:v>
                  </c:pt>
                  <c:pt idx="10">
                    <c:v> 1,418 </c:v>
                  </c:pt>
                  <c:pt idx="11">
                    <c:v> 1,418 </c:v>
                  </c:pt>
                  <c:pt idx="12">
                    <c:v> 1,388 </c:v>
                  </c:pt>
                  <c:pt idx="13">
                    <c:v> 1,388 </c:v>
                  </c:pt>
                  <c:pt idx="14">
                    <c:v> 1,388 </c:v>
                  </c:pt>
                  <c:pt idx="15">
                    <c:v> 1,338 </c:v>
                  </c:pt>
                  <c:pt idx="16">
                    <c:v> 1,338 </c:v>
                  </c:pt>
                  <c:pt idx="17">
                    <c:v> 1,338 </c:v>
                  </c:pt>
                  <c:pt idx="18">
                    <c:v> 1,368 </c:v>
                  </c:pt>
                  <c:pt idx="19">
                    <c:v> 1,368 </c:v>
                  </c:pt>
                  <c:pt idx="20">
                    <c:v> 1,368 </c:v>
                  </c:pt>
                  <c:pt idx="21">
                    <c:v> 1,368 </c:v>
                  </c:pt>
                  <c:pt idx="22">
                    <c:v> 1,368 </c:v>
                  </c:pt>
                  <c:pt idx="23">
                    <c:v> 1,368 </c:v>
                  </c:pt>
                  <c:pt idx="36">
                    <c:v>UNILEVER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6-EEA8-4C7A-ACC6-45C713076D1E}"/>
            </c:ext>
          </c:extLst>
        </c:ser>
        <c:ser>
          <c:idx val="2"/>
          <c:order val="1"/>
          <c:tx>
            <c:strRef>
              <c:f>'Vẽ Biểu đồ'!$D$81</c:f>
              <c:strCache>
                <c:ptCount val="1"/>
                <c:pt idx="0">
                  <c:v>Giá duyệt</c:v>
                </c:pt>
              </c:strCache>
            </c:strRef>
          </c:tx>
          <c:spPr>
            <a:ln w="28575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Pt>
            <c:idx val="24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EF53-4463-8A1B-1FB504415EB1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623D0265-7482-4BE9-B786-63E6416ED3C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EEA8-4C7A-ACC6-45C713076D1E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6D8F9256-2C8F-4271-B83A-D740F9F4AB7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EEA8-4C7A-ACC6-45C713076D1E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51FE745D-69B0-41B0-A500-07B6B6CAE41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EEA8-4C7A-ACC6-45C713076D1E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9B5CEB76-61C9-4347-9C0D-560A46D827B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EEA8-4C7A-ACC6-45C713076D1E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22DA8652-39B1-4CF1-9D83-8840810829C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EEA8-4C7A-ACC6-45C713076D1E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52B180B8-2AF7-4E2F-ADA4-8177E03BAD3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EEA8-4C7A-ACC6-45C713076D1E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937999C0-4AD2-4CF5-BD80-7BFA2DBF36A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EEA8-4C7A-ACC6-45C713076D1E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26D1A4B9-AA9E-48C7-B603-C4FD03E6A9E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EEA8-4C7A-ACC6-45C713076D1E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4DACFF77-CE86-4E96-8012-B76ED49A799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EEA8-4C7A-ACC6-45C713076D1E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93413A65-C200-4669-B8DB-E941DAC6270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EEA8-4C7A-ACC6-45C713076D1E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94AB9F18-5DAC-4E5D-AE78-96B560C5C53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EEA8-4C7A-ACC6-45C713076D1E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76B0AA7F-3081-40BE-AC3E-E0B03466B64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EEA8-4C7A-ACC6-45C713076D1E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DA95A1A1-8CE8-4DFD-BC7E-BCD62F887A3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EEA8-4C7A-ACC6-45C713076D1E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798BF822-7317-4BE9-8A84-4A1B0517A9F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EEA8-4C7A-ACC6-45C713076D1E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565AFEE7-DFDF-4D45-8997-B9B6B0C3BE1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EEA8-4C7A-ACC6-45C713076D1E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8D775502-306C-43FD-BB2C-4B9DB8033D0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EEA8-4C7A-ACC6-45C713076D1E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A009F0B8-30DB-469D-BDBE-1C6D02C3825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EEA8-4C7A-ACC6-45C713076D1E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6EF86B68-6196-447C-A201-A6378AA20D3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EEA8-4C7A-ACC6-45C713076D1E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1C46E111-FEA8-4A58-BB89-C5BB6AE5194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C9E1-4CE5-9CC4-F8B3A34851D6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F7AD3242-720A-4E57-B4A5-9FCF6731B1D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37AF-4373-BA0F-E75DC9A6289B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92B634DA-0A3A-4427-A520-72AAAD144A9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8541-4ACF-8AC5-9CF50789BC53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0CE0A0B6-749E-46D6-9089-98CEA502BFD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DA83-460C-ACA7-5210AF6F5814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CA18CB3C-ACAC-45CE-840F-E793F8D949A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5B19-4DB0-8040-BC9C424DA050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11F60CB5-223D-454F-8CDD-108F9DA3E83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1CEB-4898-A113-A23567AE0805}"/>
                </c:ext>
              </c:extLst>
            </c:dLbl>
            <c:dLbl>
              <c:idx val="24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300" b="1" i="0" u="none" strike="noStrike" kern="1200" baseline="0">
                        <a:solidFill>
                          <a:schemeClr val="accent1">
                            <a:lumMod val="75000"/>
                          </a:schemeClr>
                        </a:solidFill>
                        <a:latin typeface="+mj-lt"/>
                        <a:ea typeface="+mn-ea"/>
                        <a:cs typeface="+mn-cs"/>
                      </a:defRPr>
                    </a:pPr>
                    <a:fld id="{FAF239E1-E02C-4684-8084-FCA13F7BDEE0}" type="CELLRANGE">
                      <a:rPr lang="en-US"/>
                      <a:pPr>
                        <a:defRPr sz="1300" b="1">
                          <a:solidFill>
                            <a:schemeClr val="accent1">
                              <a:lumMod val="75000"/>
                            </a:schemeClr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solidFill>
                  <a:schemeClr val="bg1"/>
                </a:solidFill>
                <a:ln>
                  <a:solidFill>
                    <a:schemeClr val="accent1">
                      <a:lumMod val="75000"/>
                    </a:schemeClr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300" b="1" i="0" u="none" strike="noStrike" kern="1200" baseline="0">
                      <a:solidFill>
                        <a:schemeClr val="accent1">
                          <a:lumMod val="75000"/>
                        </a:schemeClr>
                      </a:solidFill>
                      <a:latin typeface="+mj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EF53-4463-8A1B-1FB504415EB1}"/>
                </c:ext>
              </c:extLst>
            </c:dLbl>
            <c:spPr>
              <a:solidFill>
                <a:schemeClr val="bg1"/>
              </a:solidFill>
              <a:ln>
                <a:solidFill>
                  <a:schemeClr val="accent1">
                    <a:lumMod val="75000"/>
                  </a:schemeClr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accent1">
                        <a:lumMod val="75000"/>
                      </a:schemeClr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đồ'!$E$78:$AO$79</c15:sqref>
                  </c15:fullRef>
                </c:ext>
              </c:extLst>
              <c:f>'Vẽ Biểu đồ'!$E$78:$AO$79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đồ'!$E$81:$AO$81</c15:sqref>
                  </c15:fullRef>
                </c:ext>
              </c:extLst>
              <c:f>('Vẽ Biểu đồ'!$E$81:$AB$81,'Vẽ Biểu đồ'!$AO$81)</c:f>
              <c:numCache>
                <c:formatCode>_(* #,##0_);_(* \(#,##0\);_(* "-"??_);_(@_)</c:formatCode>
                <c:ptCount val="25"/>
                <c:pt idx="0">
                  <c:v>1350</c:v>
                </c:pt>
                <c:pt idx="1">
                  <c:v>1350</c:v>
                </c:pt>
                <c:pt idx="2">
                  <c:v>1350</c:v>
                </c:pt>
                <c:pt idx="3">
                  <c:v>1350</c:v>
                </c:pt>
                <c:pt idx="4">
                  <c:v>1350</c:v>
                </c:pt>
                <c:pt idx="5">
                  <c:v>1350</c:v>
                </c:pt>
                <c:pt idx="6">
                  <c:v>1350</c:v>
                </c:pt>
                <c:pt idx="7">
                  <c:v>1350</c:v>
                </c:pt>
                <c:pt idx="8">
                  <c:v>1350</c:v>
                </c:pt>
                <c:pt idx="9">
                  <c:v>1350</c:v>
                </c:pt>
                <c:pt idx="10">
                  <c:v>1350</c:v>
                </c:pt>
                <c:pt idx="11">
                  <c:v>1350</c:v>
                </c:pt>
                <c:pt idx="12">
                  <c:v>1350</c:v>
                </c:pt>
                <c:pt idx="13">
                  <c:v>1300</c:v>
                </c:pt>
                <c:pt idx="14">
                  <c:v>1250</c:v>
                </c:pt>
                <c:pt idx="15">
                  <c:v>1250</c:v>
                </c:pt>
                <c:pt idx="16">
                  <c:v>1250</c:v>
                </c:pt>
                <c:pt idx="17">
                  <c:v>1250</c:v>
                </c:pt>
                <c:pt idx="18">
                  <c:v>1250</c:v>
                </c:pt>
                <c:pt idx="19">
                  <c:v>1230</c:v>
                </c:pt>
                <c:pt idx="20">
                  <c:v>1210</c:v>
                </c:pt>
                <c:pt idx="21">
                  <c:v>1210</c:v>
                </c:pt>
                <c:pt idx="22">
                  <c:v>1200</c:v>
                </c:pt>
                <c:pt idx="23">
                  <c:v>1200</c:v>
                </c:pt>
                <c:pt idx="24">
                  <c:v>1200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đồ'!$E$90:$AO$90</c15:f>
                <c15:dlblRangeCache>
                  <c:ptCount val="37"/>
                  <c:pt idx="0">
                    <c:v> 1,350 </c:v>
                  </c:pt>
                  <c:pt idx="1">
                    <c:v> 1,350 </c:v>
                  </c:pt>
                  <c:pt idx="2">
                    <c:v> 1,350 </c:v>
                  </c:pt>
                  <c:pt idx="3">
                    <c:v> 1,350 </c:v>
                  </c:pt>
                  <c:pt idx="4">
                    <c:v> 1,350 </c:v>
                  </c:pt>
                  <c:pt idx="5">
                    <c:v> 1,350 </c:v>
                  </c:pt>
                  <c:pt idx="6">
                    <c:v> 1,350 </c:v>
                  </c:pt>
                  <c:pt idx="7">
                    <c:v> 1,350 </c:v>
                  </c:pt>
                  <c:pt idx="8">
                    <c:v> 1,350 </c:v>
                  </c:pt>
                  <c:pt idx="9">
                    <c:v> 1,350 </c:v>
                  </c:pt>
                  <c:pt idx="10">
                    <c:v> 1,350 </c:v>
                  </c:pt>
                  <c:pt idx="11">
                    <c:v> 1,350 </c:v>
                  </c:pt>
                  <c:pt idx="12">
                    <c:v> 1,350 </c:v>
                  </c:pt>
                  <c:pt idx="13">
                    <c:v> 1,300 </c:v>
                  </c:pt>
                  <c:pt idx="14">
                    <c:v> 1,250 </c:v>
                  </c:pt>
                  <c:pt idx="15">
                    <c:v> 1,250 </c:v>
                  </c:pt>
                  <c:pt idx="16">
                    <c:v> 1,250 </c:v>
                  </c:pt>
                  <c:pt idx="17">
                    <c:v> 1,250 </c:v>
                  </c:pt>
                  <c:pt idx="18">
                    <c:v> 1,250 </c:v>
                  </c:pt>
                  <c:pt idx="19">
                    <c:v> 1,230 </c:v>
                  </c:pt>
                  <c:pt idx="20">
                    <c:v> 1,210 </c:v>
                  </c:pt>
                  <c:pt idx="21">
                    <c:v> 1,210 </c:v>
                  </c:pt>
                  <c:pt idx="22">
                    <c:v> 1,200 </c:v>
                  </c:pt>
                  <c:pt idx="23">
                    <c:v> 1,200 </c:v>
                  </c:pt>
                  <c:pt idx="36">
                    <c:v>Giá duyệt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2B-EEA8-4C7A-ACC6-45C713076D1E}"/>
            </c:ext>
          </c:extLst>
        </c:ser>
        <c:ser>
          <c:idx val="3"/>
          <c:order val="2"/>
          <c:tx>
            <c:strRef>
              <c:f>'Vẽ Biểu đồ'!$D$82</c:f>
              <c:strCache>
                <c:ptCount val="1"/>
                <c:pt idx="0">
                  <c:v>Giá chính phẩm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Pt>
            <c:idx val="24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EF53-4463-8A1B-1FB504415EB1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A682244C-AF12-4276-B34D-2CDB02E0849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EEA8-4C7A-ACC6-45C713076D1E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BF9BCEA5-CEA2-478D-BAAC-69069110978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EEA8-4C7A-ACC6-45C713076D1E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58584D63-54C4-4090-8E4A-49AC3806BEF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EEA8-4C7A-ACC6-45C713076D1E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9F69B73E-09C3-4795-A303-93E7A5CA061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EEA8-4C7A-ACC6-45C713076D1E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E4C8A119-4C2D-4CFA-BEE6-49006BAF240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EEA8-4C7A-ACC6-45C713076D1E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74F50623-368F-4FDA-9A2C-EBFD2268B36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EEA8-4C7A-ACC6-45C713076D1E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8071D636-2DED-4D87-BFF1-388EBF4502F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EEA8-4C7A-ACC6-45C713076D1E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D296A8AA-1C9B-4F68-BCA8-1E3DAD4D031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EEA8-4C7A-ACC6-45C713076D1E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80D70C08-C362-4EE0-9AB2-BB980F7D3AF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EEA8-4C7A-ACC6-45C713076D1E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1F5D04C0-A279-4C31-AA22-257DD4E8AA9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EEA8-4C7A-ACC6-45C713076D1E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4CDEC01D-0753-4245-9D3C-AAFF6D4D7BC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EEA8-4C7A-ACC6-45C713076D1E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B615FEA2-8294-4C26-AC6A-E64E5BD8EDE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9-EEA8-4C7A-ACC6-45C713076D1E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C894C1A0-295E-4E33-8CF1-A10F0307AE3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A-EEA8-4C7A-ACC6-45C713076D1E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FD42315A-784E-4F0C-A0ED-E8E37270ED9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B-EEA8-4C7A-ACC6-45C713076D1E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E4642B71-459D-405C-B515-132179044BC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C-EEA8-4C7A-ACC6-45C713076D1E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C5B99C9C-DE19-4AB1-8275-1FE50F53C92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D-EEA8-4C7A-ACC6-45C713076D1E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555AF6D5-E8CF-4A11-AD16-AFC626080FF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E-EEA8-4C7A-ACC6-45C713076D1E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0EACE391-41CD-4E5F-93B7-8A0AC9859E2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F-EEA8-4C7A-ACC6-45C713076D1E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8D41D80C-7FA2-4D71-9741-8CAB3E82F25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C9E1-4CE5-9CC4-F8B3A34851D6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7B1C31FA-0365-490A-AEA6-C5D1FB92CD4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37AF-4373-BA0F-E75DC9A6289B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066D28D4-242E-43C4-9A8C-AB1C03FCEE8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8541-4ACF-8AC5-9CF50789BC53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A5032335-DD6D-4A88-AF9C-76F0FF826FA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DA83-460C-ACA7-5210AF6F5814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3EBE0EDE-D36B-4153-9BD7-5EA76F47C30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5B19-4DB0-8040-BC9C424DA050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A613C512-1CBF-48E1-9619-C46EB61F053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1CEB-4898-A113-A23567AE0805}"/>
                </c:ext>
              </c:extLst>
            </c:dLbl>
            <c:dLbl>
              <c:idx val="24"/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300" b="1" i="0" u="none" strike="noStrike" kern="1200" baseline="0">
                        <a:solidFill>
                          <a:schemeClr val="accent4"/>
                        </a:solidFill>
                        <a:latin typeface="+mj-lt"/>
                        <a:ea typeface="+mn-ea"/>
                        <a:cs typeface="+mn-cs"/>
                      </a:defRPr>
                    </a:pPr>
                    <a:fld id="{09FD6258-DA60-42C8-967C-711B9F5C30E3}" type="CELLRANGE">
                      <a:rPr lang="en-US"/>
                      <a:pPr>
                        <a:defRPr sz="1300" b="1">
                          <a:solidFill>
                            <a:schemeClr val="accent4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300" b="1" i="0" u="none" strike="noStrike" kern="1200" baseline="0">
                      <a:solidFill>
                        <a:schemeClr val="accent4"/>
                      </a:solidFill>
                      <a:latin typeface="+mj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004179307157925"/>
                      <c:h val="7.2562117884664892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EF53-4463-8A1B-1FB504415EB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accent4"/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đồ'!$E$78:$AO$79</c15:sqref>
                  </c15:fullRef>
                </c:ext>
              </c:extLst>
              <c:f>'Vẽ Biểu đồ'!$E$78:$AO$79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đồ'!$E$82:$AO$82</c15:sqref>
                  </c15:fullRef>
                </c:ext>
              </c:extLst>
              <c:f>('Vẽ Biểu đồ'!$E$82:$AB$82,'Vẽ Biểu đồ'!$AO$82)</c:f>
              <c:numCache>
                <c:formatCode>_(* #,##0_);_(* \(#,##0\);_(* "-"??_);_(@_)</c:formatCode>
                <c:ptCount val="25"/>
                <c:pt idx="0">
                  <c:v>940</c:v>
                </c:pt>
                <c:pt idx="1">
                  <c:v>993.33333333333337</c:v>
                </c:pt>
                <c:pt idx="2">
                  <c:v>985</c:v>
                </c:pt>
                <c:pt idx="3">
                  <c:v>962.5</c:v>
                </c:pt>
                <c:pt idx="4">
                  <c:v>982</c:v>
                </c:pt>
                <c:pt idx="5">
                  <c:v>1000</c:v>
                </c:pt>
                <c:pt idx="6">
                  <c:v>1000</c:v>
                </c:pt>
                <c:pt idx="7">
                  <c:v>984</c:v>
                </c:pt>
                <c:pt idx="8">
                  <c:v>967.5</c:v>
                </c:pt>
                <c:pt idx="9">
                  <c:v>965</c:v>
                </c:pt>
                <c:pt idx="10">
                  <c:v>974</c:v>
                </c:pt>
                <c:pt idx="11">
                  <c:v>956</c:v>
                </c:pt>
                <c:pt idx="12">
                  <c:v>940</c:v>
                </c:pt>
                <c:pt idx="13">
                  <c:v>918</c:v>
                </c:pt>
                <c:pt idx="14">
                  <c:v>896</c:v>
                </c:pt>
                <c:pt idx="15">
                  <c:v>891.5</c:v>
                </c:pt>
                <c:pt idx="16">
                  <c:v>864</c:v>
                </c:pt>
                <c:pt idx="17">
                  <c:v>833</c:v>
                </c:pt>
                <c:pt idx="18">
                  <c:v>833</c:v>
                </c:pt>
                <c:pt idx="19">
                  <c:v>815</c:v>
                </c:pt>
                <c:pt idx="20">
                  <c:v>813</c:v>
                </c:pt>
                <c:pt idx="21">
                  <c:v>805</c:v>
                </c:pt>
                <c:pt idx="22">
                  <c:v>805</c:v>
                </c:pt>
                <c:pt idx="23">
                  <c:v>805</c:v>
                </c:pt>
                <c:pt idx="24">
                  <c:v>805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đồ'!$E$75:$AO$75</c15:f>
                <c15:dlblRangeCache>
                  <c:ptCount val="37"/>
                  <c:pt idx="0">
                    <c:v> 940 </c:v>
                  </c:pt>
                  <c:pt idx="1">
                    <c:v> 993 </c:v>
                  </c:pt>
                  <c:pt idx="2">
                    <c:v> 985 </c:v>
                  </c:pt>
                  <c:pt idx="3">
                    <c:v> 963 </c:v>
                  </c:pt>
                  <c:pt idx="4">
                    <c:v> 982 </c:v>
                  </c:pt>
                  <c:pt idx="5">
                    <c:v> 1,000 </c:v>
                  </c:pt>
                  <c:pt idx="6">
                    <c:v> 1,000 </c:v>
                  </c:pt>
                  <c:pt idx="7">
                    <c:v> 984 </c:v>
                  </c:pt>
                  <c:pt idx="8">
                    <c:v> 968 </c:v>
                  </c:pt>
                  <c:pt idx="9">
                    <c:v> 965 </c:v>
                  </c:pt>
                  <c:pt idx="10">
                    <c:v> 974 </c:v>
                  </c:pt>
                  <c:pt idx="11">
                    <c:v> 956 </c:v>
                  </c:pt>
                  <c:pt idx="12">
                    <c:v> 940 </c:v>
                  </c:pt>
                  <c:pt idx="13">
                    <c:v> 918 </c:v>
                  </c:pt>
                  <c:pt idx="14">
                    <c:v> 896 </c:v>
                  </c:pt>
                  <c:pt idx="15">
                    <c:v> 892 </c:v>
                  </c:pt>
                  <c:pt idx="16">
                    <c:v> 864 </c:v>
                  </c:pt>
                  <c:pt idx="17">
                    <c:v> 833 </c:v>
                  </c:pt>
                  <c:pt idx="18">
                    <c:v> 833 </c:v>
                  </c:pt>
                  <c:pt idx="19">
                    <c:v> 815 </c:v>
                  </c:pt>
                  <c:pt idx="20">
                    <c:v> 813 </c:v>
                  </c:pt>
                  <c:pt idx="21">
                    <c:v> 805 </c:v>
                  </c:pt>
                  <c:pt idx="22">
                    <c:v> 805 </c:v>
                  </c:pt>
                  <c:pt idx="23">
                    <c:v> 805 </c:v>
                  </c:pt>
                  <c:pt idx="36">
                    <c:v>Giá chính phẩm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40-EEA8-4C7A-ACC6-45C713076D1E}"/>
            </c:ext>
          </c:extLst>
        </c:ser>
        <c:ser>
          <c:idx val="6"/>
          <c:order val="3"/>
          <c:tx>
            <c:strRef>
              <c:f>'Vẽ Biểu đồ'!$D$85</c:f>
              <c:strCache>
                <c:ptCount val="1"/>
                <c:pt idx="0">
                  <c:v>Chênh lệch-Line Drop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errBars>
            <c:errDir val="y"/>
            <c:errBarType val="minus"/>
            <c:errValType val="cust"/>
            <c:noEndCap val="1"/>
            <c:plus>
              <c:numRef>
                <c:extLst>
                  <c:ext xmlns:c15="http://schemas.microsoft.com/office/drawing/2012/chart" uri="{02D57815-91ED-43cb-92C2-25804820EDAC}">
                    <c15:fullRef>
                      <c15:sqref>'Vẽ Biểu đồ'!$E$32:$AO$32</c15:sqref>
                    </c15:fullRef>
                  </c:ext>
                </c:extLst>
                <c:f>('Vẽ Biểu đồ'!$E$32:$AB$32,'Vẽ Biểu đồ'!$AO$32)</c:f>
                <c:numCache>
                  <c:formatCode>General</c:formatCode>
                  <c:ptCount val="25"/>
                  <c:pt idx="0">
                    <c:v>350</c:v>
                  </c:pt>
                  <c:pt idx="1">
                    <c:v>336.66666666666663</c:v>
                  </c:pt>
                  <c:pt idx="2">
                    <c:v>340</c:v>
                  </c:pt>
                  <c:pt idx="3">
                    <c:v>340</c:v>
                  </c:pt>
                  <c:pt idx="4">
                    <c:v>388</c:v>
                  </c:pt>
                  <c:pt idx="5">
                    <c:v>380</c:v>
                  </c:pt>
                  <c:pt idx="6">
                    <c:v>382.5</c:v>
                  </c:pt>
                  <c:pt idx="7">
                    <c:v>400</c:v>
                  </c:pt>
                  <c:pt idx="8">
                    <c:v>460</c:v>
                  </c:pt>
                  <c:pt idx="9">
                    <c:v>492.5</c:v>
                  </c:pt>
                  <c:pt idx="10">
                    <c:v>503</c:v>
                  </c:pt>
                  <c:pt idx="11">
                    <c:v>475</c:v>
                  </c:pt>
                  <c:pt idx="12">
                    <c:v>432</c:v>
                  </c:pt>
                  <c:pt idx="13">
                    <c:v>420</c:v>
                  </c:pt>
                  <c:pt idx="14">
                    <c:v>437</c:v>
                  </c:pt>
                  <c:pt idx="15">
                    <c:v>515</c:v>
                  </c:pt>
                  <c:pt idx="16">
                    <c:v>498</c:v>
                  </c:pt>
                  <c:pt idx="17">
                    <c:v>472.5</c:v>
                  </c:pt>
                  <c:pt idx="18">
                    <c:v>478</c:v>
                  </c:pt>
                  <c:pt idx="19">
                    <c:v>455</c:v>
                  </c:pt>
                  <c:pt idx="20">
                    <c:v>467</c:v>
                  </c:pt>
                  <c:pt idx="21">
                    <c:v>468</c:v>
                  </c:pt>
                  <c:pt idx="22">
                    <c:v>460</c:v>
                  </c:pt>
                  <c:pt idx="23">
                    <c:v>460</c:v>
                  </c:pt>
                </c:numCache>
              </c:numRef>
            </c:plus>
            <c:minus>
              <c:numRef>
                <c:extLst>
                  <c:ext xmlns:c15="http://schemas.microsoft.com/office/drawing/2012/chart" uri="{02D57815-91ED-43cb-92C2-25804820EDAC}">
                    <c15:fullRef>
                      <c15:sqref>'Vẽ Biểu đồ'!$E$83:$AO$83</c15:sqref>
                    </c15:fullRef>
                  </c:ext>
                </c:extLst>
                <c:f>('Vẽ Biểu đồ'!$E$83:$AB$83,'Vẽ Biểu đồ'!$AO$83)</c:f>
                <c:numCache>
                  <c:formatCode>General</c:formatCode>
                  <c:ptCount val="25"/>
                  <c:pt idx="0">
                    <c:v>410</c:v>
                  </c:pt>
                  <c:pt idx="1">
                    <c:v>356.66666666666663</c:v>
                  </c:pt>
                  <c:pt idx="2">
                    <c:v>365</c:v>
                  </c:pt>
                  <c:pt idx="3">
                    <c:v>387.5</c:v>
                  </c:pt>
                  <c:pt idx="4">
                    <c:v>368</c:v>
                  </c:pt>
                  <c:pt idx="5">
                    <c:v>350</c:v>
                  </c:pt>
                  <c:pt idx="6">
                    <c:v>350</c:v>
                  </c:pt>
                  <c:pt idx="7">
                    <c:v>366</c:v>
                  </c:pt>
                  <c:pt idx="8">
                    <c:v>382.5</c:v>
                  </c:pt>
                  <c:pt idx="9">
                    <c:v>385</c:v>
                  </c:pt>
                  <c:pt idx="10">
                    <c:v>376</c:v>
                  </c:pt>
                  <c:pt idx="11">
                    <c:v>394</c:v>
                  </c:pt>
                  <c:pt idx="12">
                    <c:v>410</c:v>
                  </c:pt>
                  <c:pt idx="13">
                    <c:v>382</c:v>
                  </c:pt>
                  <c:pt idx="14">
                    <c:v>354</c:v>
                  </c:pt>
                  <c:pt idx="15">
                    <c:v>358.5</c:v>
                  </c:pt>
                  <c:pt idx="16">
                    <c:v>386</c:v>
                  </c:pt>
                  <c:pt idx="17">
                    <c:v>417</c:v>
                  </c:pt>
                  <c:pt idx="18">
                    <c:v>417</c:v>
                  </c:pt>
                  <c:pt idx="19">
                    <c:v>415</c:v>
                  </c:pt>
                  <c:pt idx="20">
                    <c:v>397</c:v>
                  </c:pt>
                  <c:pt idx="21">
                    <c:v>405</c:v>
                  </c:pt>
                  <c:pt idx="22">
                    <c:v>395</c:v>
                  </c:pt>
                  <c:pt idx="23">
                    <c:v>395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bg1">
                    <a:lumMod val="85000"/>
                  </a:schemeClr>
                </a:solidFill>
                <a:prstDash val="sysDot"/>
                <a:round/>
                <a:headEnd type="triangle"/>
                <a:tailEnd type="triangle"/>
              </a:ln>
              <a:effectLst/>
            </c:spPr>
          </c:errBar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đồ'!$E$78:$AO$79</c15:sqref>
                  </c15:fullRef>
                </c:ext>
              </c:extLst>
              <c:f>'Vẽ Biểu đồ'!$E$78:$AO$79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đồ'!$E$85:$AO$85</c15:sqref>
                  </c15:fullRef>
                </c:ext>
              </c:extLst>
              <c:f>('Vẽ Biểu đồ'!$E$85:$AB$85,'Vẽ Biểu đồ'!$AO$85)</c:f>
              <c:numCache>
                <c:formatCode>_(* #,##0_);_(* \(#,##0\);_(* "-"??_);_(@_)</c:formatCode>
                <c:ptCount val="25"/>
                <c:pt idx="0">
                  <c:v>1350</c:v>
                </c:pt>
                <c:pt idx="1">
                  <c:v>1350</c:v>
                </c:pt>
                <c:pt idx="2">
                  <c:v>1350</c:v>
                </c:pt>
                <c:pt idx="3">
                  <c:v>1350</c:v>
                </c:pt>
                <c:pt idx="4">
                  <c:v>1350</c:v>
                </c:pt>
                <c:pt idx="5">
                  <c:v>1350</c:v>
                </c:pt>
                <c:pt idx="6">
                  <c:v>1350</c:v>
                </c:pt>
                <c:pt idx="7">
                  <c:v>1350</c:v>
                </c:pt>
                <c:pt idx="8">
                  <c:v>1350</c:v>
                </c:pt>
                <c:pt idx="9">
                  <c:v>1350</c:v>
                </c:pt>
                <c:pt idx="10">
                  <c:v>1350</c:v>
                </c:pt>
                <c:pt idx="11">
                  <c:v>1350</c:v>
                </c:pt>
                <c:pt idx="12">
                  <c:v>1350</c:v>
                </c:pt>
                <c:pt idx="13">
                  <c:v>1300</c:v>
                </c:pt>
                <c:pt idx="14">
                  <c:v>1250</c:v>
                </c:pt>
                <c:pt idx="15">
                  <c:v>1250</c:v>
                </c:pt>
                <c:pt idx="16">
                  <c:v>1250</c:v>
                </c:pt>
                <c:pt idx="17">
                  <c:v>1250</c:v>
                </c:pt>
                <c:pt idx="18">
                  <c:v>1250</c:v>
                </c:pt>
                <c:pt idx="19">
                  <c:v>1230</c:v>
                </c:pt>
                <c:pt idx="20">
                  <c:v>1210</c:v>
                </c:pt>
                <c:pt idx="21">
                  <c:v>1210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EEA8-4C7A-ACC6-45C713076D1E}"/>
            </c:ext>
          </c:extLst>
        </c:ser>
        <c:ser>
          <c:idx val="7"/>
          <c:order val="6"/>
          <c:tx>
            <c:strRef>
              <c:f>'Vẽ Biểu đồ'!$D$86</c:f>
              <c:strCache>
                <c:ptCount val="1"/>
                <c:pt idx="0">
                  <c:v>Chênh lệch-Label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fld id="{7ABF31E6-6398-4F4C-BFDD-60F5119AFFA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2-EEA8-4C7A-ACC6-45C713076D1E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5D5A8381-66A5-44BD-A531-B6F705B2F2D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3-EEA8-4C7A-ACC6-45C713076D1E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4A41F726-778C-45AB-83C7-1825615164E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4-EEA8-4C7A-ACC6-45C713076D1E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C2BD5892-5C51-4D23-95B8-A5A4B95DBDC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5-EEA8-4C7A-ACC6-45C713076D1E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629CA310-BF6A-473F-B63B-3679DF7E295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6-EEA8-4C7A-ACC6-45C713076D1E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71B3BCDA-F8BC-4F46-AAE1-EE637204AAD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7-EEA8-4C7A-ACC6-45C713076D1E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79593351-DB63-4B8F-B01C-11D2D9F5E49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8-EEA8-4C7A-ACC6-45C713076D1E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79C0DCDE-2BA2-4199-BA78-C9C6D0D9EA0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9-EEA8-4C7A-ACC6-45C713076D1E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58C51849-D9D1-4004-A891-A7888EB926A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A-EEA8-4C7A-ACC6-45C713076D1E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C3AB4818-422C-43E2-9ACA-641CFBCCBA9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B-EEA8-4C7A-ACC6-45C713076D1E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DF2E4EDB-E1F9-43E8-A7A0-49D3ACE0357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C-EEA8-4C7A-ACC6-45C713076D1E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0971844A-819B-48F4-A550-7D8B7F1CBA5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D-EEA8-4C7A-ACC6-45C713076D1E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06EE7FF9-3A6C-4732-9B26-7824F5201ED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E-EEA8-4C7A-ACC6-45C713076D1E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41FAD188-08D9-495E-9CE6-475215A62A3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F-EEA8-4C7A-ACC6-45C713076D1E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B9855B2B-EB14-4AC8-B8E3-93F4F8E86C8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0-EEA8-4C7A-ACC6-45C713076D1E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E0B8C3B9-6E5A-4726-A805-1F6E0D81B4B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1-EEA8-4C7A-ACC6-45C713076D1E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F43E9407-0FE9-4AD6-BE6E-6DB460CF2FF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2-EEA8-4C7A-ACC6-45C713076D1E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C3D8691F-AE3B-4C6A-84D5-204C94109E4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3-EEA8-4C7A-ACC6-45C713076D1E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FCC6074C-9B4E-4EA1-8B19-AF20F9AB456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C9E1-4CE5-9CC4-F8B3A34851D6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060042B4-B26D-46CA-9233-121984F9DA9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37AF-4373-BA0F-E75DC9A6289B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60369743-3944-4725-8312-8E91E3F1237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8541-4ACF-8AC5-9CF50789BC53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CBF1D0C7-FBE8-4846-B486-9B29C15628F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DA83-460C-ACA7-5210AF6F5814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8DCC89FF-2FD9-4D06-AC5F-5BCA7F71E0A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5B19-4DB0-8040-BC9C424DA050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2EFB65D8-1377-44EF-9D0E-5FCE3344797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1CEB-4898-A113-A23567AE0805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1CEB-4898-A113-A23567AE0805}"/>
                </c:ext>
              </c:extLst>
            </c:dLbl>
            <c:spPr>
              <a:solidFill>
                <a:schemeClr val="bg1">
                  <a:lumMod val="95000"/>
                </a:schemeClr>
              </a:solidFill>
              <a:ln>
                <a:solidFill>
                  <a:schemeClr val="bg1">
                    <a:lumMod val="50000"/>
                  </a:schemeClr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1">
                        <a:lumMod val="50000"/>
                      </a:schemeClr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đồ'!$E$78:$AO$79</c15:sqref>
                  </c15:fullRef>
                </c:ext>
              </c:extLst>
              <c:f>'Vẽ Biểu đồ'!$E$78:$AO$79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đồ'!$E$86:$AO$86</c15:sqref>
                  </c15:fullRef>
                </c:ext>
              </c:extLst>
              <c:f>('Vẽ Biểu đồ'!$E$86:$AB$86,'Vẽ Biểu đồ'!$AO$86)</c:f>
              <c:numCache>
                <c:formatCode>_(* #,##0_);_(* \(#,##0\);_(* "-"??_);_(@_)</c:formatCode>
                <c:ptCount val="25"/>
                <c:pt idx="0">
                  <c:v>1145</c:v>
                </c:pt>
                <c:pt idx="1">
                  <c:v>1171.6666666666667</c:v>
                </c:pt>
                <c:pt idx="2">
                  <c:v>1167.5</c:v>
                </c:pt>
                <c:pt idx="3">
                  <c:v>1156.25</c:v>
                </c:pt>
                <c:pt idx="4">
                  <c:v>1166</c:v>
                </c:pt>
                <c:pt idx="5">
                  <c:v>1175</c:v>
                </c:pt>
                <c:pt idx="6">
                  <c:v>1175</c:v>
                </c:pt>
                <c:pt idx="7">
                  <c:v>1167</c:v>
                </c:pt>
                <c:pt idx="8">
                  <c:v>1158.75</c:v>
                </c:pt>
                <c:pt idx="9">
                  <c:v>1157.5</c:v>
                </c:pt>
                <c:pt idx="10">
                  <c:v>1162</c:v>
                </c:pt>
                <c:pt idx="11">
                  <c:v>1153</c:v>
                </c:pt>
                <c:pt idx="12">
                  <c:v>1145</c:v>
                </c:pt>
                <c:pt idx="13">
                  <c:v>1109</c:v>
                </c:pt>
                <c:pt idx="14">
                  <c:v>1073</c:v>
                </c:pt>
                <c:pt idx="15">
                  <c:v>1070.75</c:v>
                </c:pt>
                <c:pt idx="16">
                  <c:v>1057</c:v>
                </c:pt>
                <c:pt idx="17">
                  <c:v>1041.5</c:v>
                </c:pt>
                <c:pt idx="18">
                  <c:v>1041.5</c:v>
                </c:pt>
                <c:pt idx="19">
                  <c:v>1022.5</c:v>
                </c:pt>
                <c:pt idx="20">
                  <c:v>1011.5</c:v>
                </c:pt>
                <c:pt idx="21">
                  <c:v>1007.5</c:v>
                </c:pt>
                <c:pt idx="22">
                  <c:v>1002.5</c:v>
                </c:pt>
                <c:pt idx="23">
                  <c:v>1002.5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đồ'!$E$14:$AO$14</c15:f>
                <c15:dlblRangeCache>
                  <c:ptCount val="37"/>
                  <c:pt idx="0">
                    <c:v>+34.4%</c:v>
                  </c:pt>
                  <c:pt idx="1">
                    <c:v>+32.5%</c:v>
                  </c:pt>
                  <c:pt idx="2">
                    <c:v>+33.0%</c:v>
                  </c:pt>
                  <c:pt idx="3">
                    <c:v>+33.0%</c:v>
                  </c:pt>
                  <c:pt idx="4">
                    <c:v>+38.0%</c:v>
                  </c:pt>
                  <c:pt idx="5">
                    <c:v>+36.8%</c:v>
                  </c:pt>
                  <c:pt idx="6">
                    <c:v>+37.2%</c:v>
                  </c:pt>
                  <c:pt idx="7">
                    <c:v>+39.8%</c:v>
                  </c:pt>
                  <c:pt idx="8">
                    <c:v>+48.9%</c:v>
                  </c:pt>
                  <c:pt idx="9">
                    <c:v>+53.6%</c:v>
                  </c:pt>
                  <c:pt idx="10">
                    <c:v>+55.5%</c:v>
                  </c:pt>
                  <c:pt idx="11">
                    <c:v>+53.6%</c:v>
                  </c:pt>
                  <c:pt idx="12">
                    <c:v>+48.6%</c:v>
                  </c:pt>
                  <c:pt idx="13">
                    <c:v>+46.4%</c:v>
                  </c:pt>
                  <c:pt idx="14">
                    <c:v>+49.5%</c:v>
                  </c:pt>
                  <c:pt idx="15">
                    <c:v>+63.4%</c:v>
                  </c:pt>
                  <c:pt idx="16">
                    <c:v>+59.8%</c:v>
                  </c:pt>
                  <c:pt idx="17">
                    <c:v>+54.8%</c:v>
                  </c:pt>
                  <c:pt idx="18">
                    <c:v>+55.9%</c:v>
                  </c:pt>
                  <c:pt idx="19">
                    <c:v>+53.5%</c:v>
                  </c:pt>
                  <c:pt idx="20">
                    <c:v>+55.8%</c:v>
                  </c:pt>
                  <c:pt idx="21">
                    <c:v>+56.7%</c:v>
                  </c:pt>
                  <c:pt idx="22">
                    <c:v>+55.8%</c:v>
                  </c:pt>
                  <c:pt idx="23">
                    <c:v>+55.8%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55-EEA8-4C7A-ACC6-45C713076D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6623744"/>
        <c:axId val="516630464"/>
      </c:lineChart>
      <c:catAx>
        <c:axId val="516623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1" i="0" u="none" strike="noStrike" kern="1200" baseline="0">
                <a:solidFill>
                  <a:schemeClr val="bg1">
                    <a:lumMod val="65000"/>
                  </a:schemeClr>
                </a:solidFill>
                <a:latin typeface="+mj-lt"/>
                <a:ea typeface="+mn-ea"/>
                <a:cs typeface="+mn-cs"/>
              </a:defRPr>
            </a:pPr>
            <a:endParaRPr lang="en-US"/>
          </a:p>
        </c:txPr>
        <c:crossAx val="516630464"/>
        <c:crosses val="autoZero"/>
        <c:auto val="1"/>
        <c:lblAlgn val="ctr"/>
        <c:lblOffset val="100"/>
        <c:noMultiLvlLbl val="0"/>
      </c:catAx>
      <c:valAx>
        <c:axId val="516630464"/>
        <c:scaling>
          <c:orientation val="minMax"/>
          <c:max val="1520"/>
          <c:min val="770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65000"/>
                  </a:schemeClr>
                </a:solidFill>
                <a:latin typeface="+mj-lt"/>
                <a:ea typeface="+mn-ea"/>
                <a:cs typeface="+mn-cs"/>
              </a:defRPr>
            </a:pPr>
            <a:endParaRPr lang="en-US"/>
          </a:p>
        </c:txPr>
        <c:crossAx val="516623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accent2"/>
      </a:solidFill>
      <a:round/>
    </a:ln>
    <a:effectLst/>
  </c:spPr>
  <c:txPr>
    <a:bodyPr/>
    <a:lstStyle/>
    <a:p>
      <a:pPr>
        <a:defRPr>
          <a:latin typeface="+mj-lt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500" b="1" i="0" u="none" strike="noStrike" kern="1200" spc="0" baseline="0">
                <a:solidFill>
                  <a:schemeClr val="accent2"/>
                </a:solidFill>
                <a:latin typeface="+mj-lt"/>
                <a:ea typeface="+mn-ea"/>
                <a:cs typeface="+mn-cs"/>
              </a:defRPr>
            </a:pPr>
            <a:r>
              <a:rPr lang="en-US" sz="2500" b="1">
                <a:solidFill>
                  <a:schemeClr val="accent2"/>
                </a:solidFill>
              </a:rPr>
              <a:t>GIÁ BÁN EXW - PCF01</a:t>
            </a:r>
          </a:p>
        </c:rich>
      </c:tx>
      <c:layout>
        <c:manualLayout>
          <c:xMode val="edge"/>
          <c:yMode val="edge"/>
          <c:x val="0.31738212133497329"/>
          <c:y val="1.1600789312461526E-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500" b="1" i="0" u="none" strike="noStrike" kern="1200" spc="0" baseline="0">
              <a:solidFill>
                <a:schemeClr val="accent2"/>
              </a:solidFill>
              <a:latin typeface="+mj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"/>
          <c:y val="1.5409387430806942E-2"/>
          <c:w val="0.96006059276030531"/>
          <c:h val="0.88155626882568061"/>
        </c:manualLayout>
      </c:layout>
      <c:areaChart>
        <c:grouping val="standard"/>
        <c:varyColors val="0"/>
        <c:ser>
          <c:idx val="5"/>
          <c:order val="4"/>
          <c:tx>
            <c:strRef>
              <c:f>'Vẽ Biểu đồ'!$D$71</c:f>
              <c:strCache>
                <c:ptCount val="1"/>
                <c:pt idx="0">
                  <c:v>Giá duyệt-Area</c:v>
                </c:pt>
              </c:strCache>
            </c:strRef>
          </c:tx>
          <c:spPr>
            <a:solidFill>
              <a:srgbClr val="FFF2CC"/>
            </a:solidFill>
            <a:ln w="25400">
              <a:noFill/>
            </a:ln>
            <a:effectLst/>
          </c:spPr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đồ'!$E$62:$AO$63</c15:sqref>
                  </c15:fullRef>
                </c:ext>
              </c:extLst>
              <c:f>'Vẽ Biểu đồ'!$E$62:$AO$63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đồ'!$E$71:$AO$71</c15:sqref>
                  </c15:fullRef>
                </c:ext>
              </c:extLst>
              <c:f>('Vẽ Biểu đồ'!$E$71:$AB$71,'Vẽ Biểu đồ'!$AO$71)</c:f>
              <c:numCache>
                <c:formatCode>_(* #,##0_);_(* \(#,##0\);_(* "-"??_);_(@_)</c:formatCode>
                <c:ptCount val="2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1400</c:v>
                </c:pt>
                <c:pt idx="13">
                  <c:v>1400</c:v>
                </c:pt>
                <c:pt idx="14">
                  <c:v>1350</c:v>
                </c:pt>
                <c:pt idx="15">
                  <c:v>1350</c:v>
                </c:pt>
                <c:pt idx="16">
                  <c:v>1350</c:v>
                </c:pt>
                <c:pt idx="17">
                  <c:v>1350</c:v>
                </c:pt>
                <c:pt idx="18">
                  <c:v>1350</c:v>
                </c:pt>
                <c:pt idx="19">
                  <c:v>1330</c:v>
                </c:pt>
                <c:pt idx="20">
                  <c:v>1310</c:v>
                </c:pt>
                <c:pt idx="21">
                  <c:v>1310</c:v>
                </c:pt>
                <c:pt idx="22">
                  <c:v>1300</c:v>
                </c:pt>
                <c:pt idx="23">
                  <c:v>1300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AE-4D7A-9F7C-6D011FA25BA9}"/>
            </c:ext>
          </c:extLst>
        </c:ser>
        <c:ser>
          <c:idx val="4"/>
          <c:order val="5"/>
          <c:tx>
            <c:strRef>
              <c:f>'Vẽ Biểu đồ'!$D$72</c:f>
              <c:strCache>
                <c:ptCount val="1"/>
                <c:pt idx="0">
                  <c:v>Giá chính phẩm-Area</c:v>
                </c:pt>
              </c:strCache>
            </c:strRef>
          </c:tx>
          <c:spPr>
            <a:solidFill>
              <a:schemeClr val="bg1"/>
            </a:solidFill>
            <a:ln w="25400">
              <a:noFill/>
            </a:ln>
            <a:effectLst/>
          </c:spPr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đồ'!$E$62:$AO$63</c15:sqref>
                  </c15:fullRef>
                </c:ext>
              </c:extLst>
              <c:f>'Vẽ Biểu đồ'!$E$62:$AO$63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đồ'!$E$72:$AO$72</c15:sqref>
                  </c15:fullRef>
                </c:ext>
              </c:extLst>
              <c:f>('Vẽ Biểu đồ'!$E$72:$AB$72,'Vẽ Biểu đồ'!$AO$72)</c:f>
              <c:numCache>
                <c:formatCode>_(* #,##0_);_(* \(#,##0\);_(* "-"??_);_(@_)</c:formatCode>
                <c:ptCount val="25"/>
                <c:pt idx="0">
                  <c:v>940</c:v>
                </c:pt>
                <c:pt idx="1">
                  <c:v>993.33333333333337</c:v>
                </c:pt>
                <c:pt idx="2">
                  <c:v>985</c:v>
                </c:pt>
                <c:pt idx="3">
                  <c:v>962.5</c:v>
                </c:pt>
                <c:pt idx="4">
                  <c:v>982</c:v>
                </c:pt>
                <c:pt idx="5">
                  <c:v>1000</c:v>
                </c:pt>
                <c:pt idx="6">
                  <c:v>1000</c:v>
                </c:pt>
                <c:pt idx="7">
                  <c:v>984</c:v>
                </c:pt>
                <c:pt idx="8">
                  <c:v>967.5</c:v>
                </c:pt>
                <c:pt idx="9">
                  <c:v>965</c:v>
                </c:pt>
                <c:pt idx="10">
                  <c:v>974</c:v>
                </c:pt>
                <c:pt idx="11">
                  <c:v>956</c:v>
                </c:pt>
                <c:pt idx="12">
                  <c:v>940</c:v>
                </c:pt>
                <c:pt idx="13">
                  <c:v>918</c:v>
                </c:pt>
                <c:pt idx="14">
                  <c:v>896</c:v>
                </c:pt>
                <c:pt idx="15">
                  <c:v>891.5</c:v>
                </c:pt>
                <c:pt idx="16">
                  <c:v>864</c:v>
                </c:pt>
                <c:pt idx="17">
                  <c:v>833</c:v>
                </c:pt>
                <c:pt idx="18">
                  <c:v>833</c:v>
                </c:pt>
                <c:pt idx="19">
                  <c:v>815</c:v>
                </c:pt>
                <c:pt idx="20">
                  <c:v>813</c:v>
                </c:pt>
                <c:pt idx="21">
                  <c:v>805</c:v>
                </c:pt>
                <c:pt idx="22">
                  <c:v>805</c:v>
                </c:pt>
                <c:pt idx="23">
                  <c:v>805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4AE-4D7A-9F7C-6D011FA25B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6623744"/>
        <c:axId val="516630464"/>
      </c:areaChart>
      <c:lineChart>
        <c:grouping val="standard"/>
        <c:varyColors val="0"/>
        <c:ser>
          <c:idx val="1"/>
          <c:order val="0"/>
          <c:tx>
            <c:strRef>
              <c:f>'Vẽ Biểu đồ'!$D$64</c:f>
              <c:strCache>
                <c:ptCount val="1"/>
                <c:pt idx="0">
                  <c:v>Unilever</c:v>
                </c:pt>
              </c:strCache>
            </c:strRef>
          </c:tx>
          <c:spPr>
            <a:ln w="28575" cap="rnd">
              <a:solidFill>
                <a:srgbClr val="0F0E9A"/>
              </a:solidFill>
              <a:round/>
            </a:ln>
            <a:effectLst/>
          </c:spPr>
          <c:marker>
            <c:symbol val="none"/>
          </c:marker>
          <c:dPt>
            <c:idx val="24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A96C-4A50-B309-DB7495C45687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A4AE-4D7A-9F7C-6D011FA25BA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A4AE-4D7A-9F7C-6D011FA25BA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A4AE-4D7A-9F7C-6D011FA25BA9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A4AE-4D7A-9F7C-6D011FA25BA9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A4AE-4D7A-9F7C-6D011FA25BA9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A4AE-4D7A-9F7C-6D011FA25BA9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A4AE-4D7A-9F7C-6D011FA25BA9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A4AE-4D7A-9F7C-6D011FA25BA9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A4AE-4D7A-9F7C-6D011FA25BA9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A4AE-4D7A-9F7C-6D011FA25BA9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A4AE-4D7A-9F7C-6D011FA25BA9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A4AE-4D7A-9F7C-6D011FA25BA9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078699D3-CCF0-4549-982D-4EBBEC0B5D2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A4AE-4D7A-9F7C-6D011FA25BA9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81356B2F-08DD-4FC3-80E8-C05ECF23A28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A4AE-4D7A-9F7C-6D011FA25BA9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B494C606-89B7-4123-9959-885C60F753D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A4AE-4D7A-9F7C-6D011FA25BA9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4D90FF14-4E7A-4D3E-A369-5DBFA595FAE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A4AE-4D7A-9F7C-6D011FA25BA9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692AD55D-F683-4A71-8CAD-30E2136FD8A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A4AE-4D7A-9F7C-6D011FA25BA9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E229E27C-5E71-428E-9044-B8417E9A7CC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A4AE-4D7A-9F7C-6D011FA25BA9}"/>
                </c:ext>
              </c:extLst>
            </c:dLbl>
            <c:dLbl>
              <c:idx val="18"/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050" b="1" i="0" u="none" strike="noStrike" kern="1200" baseline="0">
                        <a:solidFill>
                          <a:srgbClr val="0F0E9A"/>
                        </a:solidFill>
                        <a:latin typeface="+mj-lt"/>
                        <a:ea typeface="+mn-ea"/>
                        <a:cs typeface="+mn-cs"/>
                      </a:defRPr>
                    </a:pPr>
                    <a:fld id="{867A5D20-57E5-4CE5-8CA7-2AE9062AB7C4}" type="CELLRANGE">
                      <a:rPr lang="en-US"/>
                      <a:pPr>
                        <a:defRPr sz="1050" b="1">
                          <a:solidFill>
                            <a:srgbClr val="0F0E9A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50" b="1" i="0" u="none" strike="noStrike" kern="1200" baseline="0">
                      <a:solidFill>
                        <a:srgbClr val="0F0E9A"/>
                      </a:solidFill>
                      <a:latin typeface="+mj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4.572201640807208E-2"/>
                      <c:h val="3.6140509056206596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8FDF-4A00-A7B2-51A1317D0332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346A25B9-2626-4E54-93EE-14C2CF889DA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5E9A-43DB-849F-9C7F59BDE91A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2212F465-6B5F-41E2-8F83-11F3663B694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37B5-4B08-872D-9C23B0A7590D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06C97375-72F1-491E-B22C-79BB0B27B66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F36F-44A3-BAAA-03C7952E35DE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D47EB8C4-100C-43A0-8984-456042A595D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73A2-489F-A8AB-50B37A23787D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BA74B5B8-BBE3-415A-A076-3E2B98DA396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B57E-4DC9-B8BF-1DE5F544B066}"/>
                </c:ext>
              </c:extLst>
            </c:dLbl>
            <c:dLbl>
              <c:idx val="24"/>
              <c:layout>
                <c:manualLayout>
                  <c:x val="0"/>
                  <c:y val="-2.4337043135492654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200" b="1" i="0" u="none" strike="noStrike" kern="1200" baseline="0">
                        <a:solidFill>
                          <a:srgbClr val="0F0E9A"/>
                        </a:solidFill>
                        <a:latin typeface="+mj-lt"/>
                        <a:ea typeface="+mn-ea"/>
                        <a:cs typeface="+mn-cs"/>
                      </a:defRPr>
                    </a:pPr>
                    <a:fld id="{70E79B9B-8DF6-44B5-95D5-A06F88538023}" type="CELLRANGE">
                      <a:rPr lang="en-US"/>
                      <a:pPr>
                        <a:defRPr sz="1200" b="1">
                          <a:solidFill>
                            <a:srgbClr val="0F0E9A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rgbClr val="0F0E9A"/>
                      </a:solidFill>
                      <a:latin typeface="+mj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A96C-4A50-B309-DB7495C4568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rgbClr val="0F0E9A"/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đồ'!$E$62:$AO$63</c15:sqref>
                  </c15:fullRef>
                </c:ext>
              </c:extLst>
              <c:f>'Vẽ Biểu đồ'!$E$62:$AO$63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đồ'!$E$64:$AO$64</c15:sqref>
                  </c15:fullRef>
                </c:ext>
              </c:extLst>
              <c:f>('Vẽ Biểu đồ'!$E$64:$AB$64,'Vẽ Biểu đồ'!$AO$64)</c:f>
              <c:numCache>
                <c:formatCode>_(* #,##0_);_(* \(#,##0\);_(* "-"??_);_(@_)</c:formatCode>
                <c:ptCount val="2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1388.04</c:v>
                </c:pt>
                <c:pt idx="13">
                  <c:v>1388.04</c:v>
                </c:pt>
                <c:pt idx="14">
                  <c:v>1388.04</c:v>
                </c:pt>
                <c:pt idx="15">
                  <c:v>1338.04</c:v>
                </c:pt>
                <c:pt idx="16">
                  <c:v>1338.04</c:v>
                </c:pt>
                <c:pt idx="17">
                  <c:v>1338.04</c:v>
                </c:pt>
                <c:pt idx="18">
                  <c:v>1368.04</c:v>
                </c:pt>
                <c:pt idx="19">
                  <c:v>1368.04</c:v>
                </c:pt>
                <c:pt idx="20">
                  <c:v>1368.04</c:v>
                </c:pt>
                <c:pt idx="21">
                  <c:v>1368.04</c:v>
                </c:pt>
                <c:pt idx="22">
                  <c:v>1368.04</c:v>
                </c:pt>
                <c:pt idx="23">
                  <c:v>1368.04</c:v>
                </c:pt>
                <c:pt idx="24">
                  <c:v>1368.04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đồ'!$E$73:$AO$73</c15:f>
                <c15:dlblRangeCache>
                  <c:ptCount val="37"/>
                  <c:pt idx="12">
                    <c:v> 1,388 </c:v>
                  </c:pt>
                  <c:pt idx="13">
                    <c:v> 1,388 </c:v>
                  </c:pt>
                  <c:pt idx="14">
                    <c:v> 1,388 </c:v>
                  </c:pt>
                  <c:pt idx="15">
                    <c:v> 1,338 </c:v>
                  </c:pt>
                  <c:pt idx="16">
                    <c:v> 1,338 </c:v>
                  </c:pt>
                  <c:pt idx="17">
                    <c:v> 1,338 </c:v>
                  </c:pt>
                  <c:pt idx="18">
                    <c:v> 1,368 </c:v>
                  </c:pt>
                  <c:pt idx="19">
                    <c:v> 1,368 </c:v>
                  </c:pt>
                  <c:pt idx="20">
                    <c:v> 1,368 </c:v>
                  </c:pt>
                  <c:pt idx="21">
                    <c:v> 1,368 </c:v>
                  </c:pt>
                  <c:pt idx="22">
                    <c:v> 1,368 </c:v>
                  </c:pt>
                  <c:pt idx="23">
                    <c:v> 1,368 </c:v>
                  </c:pt>
                  <c:pt idx="36">
                    <c:v>UNILEVER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6-A4AE-4D7A-9F7C-6D011FA25BA9}"/>
            </c:ext>
          </c:extLst>
        </c:ser>
        <c:ser>
          <c:idx val="2"/>
          <c:order val="1"/>
          <c:tx>
            <c:strRef>
              <c:f>'Vẽ Biểu đồ'!$D$65</c:f>
              <c:strCache>
                <c:ptCount val="1"/>
                <c:pt idx="0">
                  <c:v>Giá duyệt</c:v>
                </c:pt>
              </c:strCache>
            </c:strRef>
          </c:tx>
          <c:spPr>
            <a:ln w="28575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Pt>
            <c:idx val="24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A96C-4A50-B309-DB7495C45687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A4AE-4D7A-9F7C-6D011FA25BA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A4AE-4D7A-9F7C-6D011FA25BA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A4AE-4D7A-9F7C-6D011FA25BA9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A4AE-4D7A-9F7C-6D011FA25BA9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A4AE-4D7A-9F7C-6D011FA25BA9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A4AE-4D7A-9F7C-6D011FA25BA9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A4AE-4D7A-9F7C-6D011FA25BA9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A4AE-4D7A-9F7C-6D011FA25BA9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A4AE-4D7A-9F7C-6D011FA25BA9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A4AE-4D7A-9F7C-6D011FA25BA9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A4AE-4D7A-9F7C-6D011FA25BA9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A4AE-4D7A-9F7C-6D011FA25BA9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BE9CBC3A-FB4E-465A-877F-E205DD47D65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A4AE-4D7A-9F7C-6D011FA25BA9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927C1A14-A902-4D15-955A-8D983E770FA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A4AE-4D7A-9F7C-6D011FA25BA9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DA3E2B5A-4959-4200-B62D-F046E467EB5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A4AE-4D7A-9F7C-6D011FA25BA9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98DABDAE-602E-425F-9112-A1DE4CE23A3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A4AE-4D7A-9F7C-6D011FA25BA9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FA6C550B-BA1D-410E-9AA8-9C8B397CF1F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A4AE-4D7A-9F7C-6D011FA25BA9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C3A16081-F168-4B26-837C-CCCFC49C742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A4AE-4D7A-9F7C-6D011FA25BA9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5414B7B0-59C5-42E2-BFFC-4AE74FAC642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8FDF-4A00-A7B2-51A1317D0332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6645C8D2-1F07-4210-BCB2-535DFBA2A44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5E9A-43DB-849F-9C7F59BDE91A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D8FAC8C8-88D7-4C87-9E88-7C4C7BD6C0E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37B5-4B08-872D-9C23B0A7590D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A9C776F1-D25D-4D90-8006-D46A3D636BC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F36F-44A3-BAAA-03C7952E35DE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2490400C-4444-4931-97CA-9E1F4EF01E0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73A2-489F-A8AB-50B37A23787D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7B1883C4-485A-49AB-88A7-B20CDA07677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B57E-4DC9-B8BF-1DE5F544B066}"/>
                </c:ext>
              </c:extLst>
            </c:dLbl>
            <c:dLbl>
              <c:idx val="24"/>
              <c:layout>
                <c:manualLayout>
                  <c:x val="-4.8972733868284562E-3"/>
                  <c:y val="1.0140434639788606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300" b="1" i="0" u="none" strike="noStrike" kern="1200" baseline="0">
                        <a:solidFill>
                          <a:schemeClr val="accent1">
                            <a:lumMod val="75000"/>
                          </a:schemeClr>
                        </a:solidFill>
                        <a:latin typeface="+mj-lt"/>
                        <a:ea typeface="+mn-ea"/>
                        <a:cs typeface="+mn-cs"/>
                      </a:defRPr>
                    </a:pPr>
                    <a:fld id="{4F8DC63B-51E6-4945-A853-6CDA5E750013}" type="CELLRANGE">
                      <a:rPr lang="en-US"/>
                      <a:pPr>
                        <a:defRPr sz="1300" b="1">
                          <a:solidFill>
                            <a:schemeClr val="accent1">
                              <a:lumMod val="75000"/>
                            </a:schemeClr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solidFill>
                  <a:schemeClr val="bg1"/>
                </a:solidFill>
                <a:ln>
                  <a:solidFill>
                    <a:schemeClr val="accent1">
                      <a:lumMod val="75000"/>
                    </a:schemeClr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300" b="1" i="0" u="none" strike="noStrike" kern="1200" baseline="0">
                      <a:solidFill>
                        <a:schemeClr val="accent1">
                          <a:lumMod val="75000"/>
                        </a:schemeClr>
                      </a:solidFill>
                      <a:latin typeface="+mj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A96C-4A50-B309-DB7495C45687}"/>
                </c:ext>
              </c:extLst>
            </c:dLbl>
            <c:spPr>
              <a:solidFill>
                <a:schemeClr val="bg1"/>
              </a:solidFill>
              <a:ln>
                <a:solidFill>
                  <a:schemeClr val="accent1">
                    <a:lumMod val="75000"/>
                  </a:schemeClr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accent1">
                        <a:lumMod val="75000"/>
                      </a:schemeClr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đồ'!$E$62:$AO$63</c15:sqref>
                  </c15:fullRef>
                </c:ext>
              </c:extLst>
              <c:f>'Vẽ Biểu đồ'!$E$62:$AO$63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đồ'!$E$65:$AO$65</c15:sqref>
                  </c15:fullRef>
                </c:ext>
              </c:extLst>
              <c:f>('Vẽ Biểu đồ'!$E$65:$AB$65,'Vẽ Biểu đồ'!$AO$65)</c:f>
              <c:numCache>
                <c:formatCode>_(* #,##0_);_(* \(#,##0\);_(* "-"??_);_(@_)</c:formatCode>
                <c:ptCount val="2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1400</c:v>
                </c:pt>
                <c:pt idx="13">
                  <c:v>1400</c:v>
                </c:pt>
                <c:pt idx="14">
                  <c:v>1350</c:v>
                </c:pt>
                <c:pt idx="15">
                  <c:v>1350</c:v>
                </c:pt>
                <c:pt idx="16">
                  <c:v>1350</c:v>
                </c:pt>
                <c:pt idx="17">
                  <c:v>1350</c:v>
                </c:pt>
                <c:pt idx="18">
                  <c:v>1350</c:v>
                </c:pt>
                <c:pt idx="19">
                  <c:v>1330</c:v>
                </c:pt>
                <c:pt idx="20">
                  <c:v>1310</c:v>
                </c:pt>
                <c:pt idx="21">
                  <c:v>1310</c:v>
                </c:pt>
                <c:pt idx="22">
                  <c:v>1300</c:v>
                </c:pt>
                <c:pt idx="23">
                  <c:v>1300</c:v>
                </c:pt>
                <c:pt idx="24">
                  <c:v>1300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đồ'!$E$74:$AO$74</c15:f>
                <c15:dlblRangeCache>
                  <c:ptCount val="37"/>
                  <c:pt idx="12">
                    <c:v> 1,400 </c:v>
                  </c:pt>
                  <c:pt idx="13">
                    <c:v> 1,400 </c:v>
                  </c:pt>
                  <c:pt idx="14">
                    <c:v> 1,350 </c:v>
                  </c:pt>
                  <c:pt idx="15">
                    <c:v> 1,350 </c:v>
                  </c:pt>
                  <c:pt idx="16">
                    <c:v> 1,350 </c:v>
                  </c:pt>
                  <c:pt idx="17">
                    <c:v> 1,350 </c:v>
                  </c:pt>
                  <c:pt idx="18">
                    <c:v> 1,350 </c:v>
                  </c:pt>
                  <c:pt idx="19">
                    <c:v> 1,330 </c:v>
                  </c:pt>
                  <c:pt idx="20">
                    <c:v> 1,310 </c:v>
                  </c:pt>
                  <c:pt idx="21">
                    <c:v> 1,310 </c:v>
                  </c:pt>
                  <c:pt idx="22">
                    <c:v> 1,300 </c:v>
                  </c:pt>
                  <c:pt idx="23">
                    <c:v> 1,300 </c:v>
                  </c:pt>
                  <c:pt idx="36">
                    <c:v>Giá duyệt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2B-A4AE-4D7A-9F7C-6D011FA25BA9}"/>
            </c:ext>
          </c:extLst>
        </c:ser>
        <c:ser>
          <c:idx val="3"/>
          <c:order val="2"/>
          <c:tx>
            <c:strRef>
              <c:f>'Vẽ Biểu đồ'!$D$66</c:f>
              <c:strCache>
                <c:ptCount val="1"/>
                <c:pt idx="0">
                  <c:v>Giá chính phẩm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Pt>
            <c:idx val="24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A96C-4A50-B309-DB7495C45687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B27BA95F-3033-4AE1-A486-F6DA6BC64C9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A4AE-4D7A-9F7C-6D011FA25BA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B65F97EB-6214-4BBA-9918-86F1C194512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A4AE-4D7A-9F7C-6D011FA25BA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F5E06C3B-EE4F-4D5A-8BD6-2057468ED6E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A4AE-4D7A-9F7C-6D011FA25BA9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CA08454A-842F-4B1E-9E83-58700F8923D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A4AE-4D7A-9F7C-6D011FA25BA9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32342341-BB0C-451F-8797-F433DB29015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A4AE-4D7A-9F7C-6D011FA25BA9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B1FC90B6-FFDA-41A7-BF01-FECF671D4D7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A4AE-4D7A-9F7C-6D011FA25BA9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924416A2-95BB-492E-BFBA-FC0023F60C9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A4AE-4D7A-9F7C-6D011FA25BA9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B5762467-6EF3-4903-BCE9-E9798E62406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A4AE-4D7A-9F7C-6D011FA25BA9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38D832AB-D44E-47B5-96DF-71E58041E7B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A4AE-4D7A-9F7C-6D011FA25BA9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9230367F-D47C-43C6-AC76-9E81E1F8D56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A4AE-4D7A-9F7C-6D011FA25BA9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A06BEDA8-216E-4FA8-85A1-EE719D634CE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A4AE-4D7A-9F7C-6D011FA25BA9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071522DF-E156-41C0-8972-90E620606C3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9-A4AE-4D7A-9F7C-6D011FA25BA9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EC7D6979-A1EF-4C78-A515-482B7622713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A-A4AE-4D7A-9F7C-6D011FA25BA9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20E6347A-DEFD-471D-BAAE-3D524EFE3C5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B-A4AE-4D7A-9F7C-6D011FA25BA9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87946D4D-35D6-4203-ABB1-9CA731A9B6C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C-A4AE-4D7A-9F7C-6D011FA25BA9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E6B77B68-43A7-42AE-9889-E13BB07C58B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D-A4AE-4D7A-9F7C-6D011FA25BA9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C69BAACF-550B-4193-A6CA-C2B07AE7E4D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E-A4AE-4D7A-9F7C-6D011FA25BA9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356F5006-0319-4879-BDC7-BF21A590A12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F-A4AE-4D7A-9F7C-6D011FA25BA9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1A6EFC11-BFF3-45C1-BB92-E1FC6C8A40E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8FDF-4A00-A7B2-51A1317D0332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76EF33E9-86D9-49B6-9994-5F4A38C1131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5E9A-43DB-849F-9C7F59BDE91A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3936CEA1-F2AF-425D-A60C-9C879A6D3B1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37B5-4B08-872D-9C23B0A7590D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3BF1BA4A-9CD1-44FB-B38E-C792E7BC388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F36F-44A3-BAAA-03C7952E35DE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E2B5F051-459E-479A-8734-DB23F3B54FA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73A2-489F-A8AB-50B37A23787D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C57535AE-F355-42F3-A9E4-ABA6105BC83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B57E-4DC9-B8BF-1DE5F544B066}"/>
                </c:ext>
              </c:extLst>
            </c:dLbl>
            <c:dLbl>
              <c:idx val="24"/>
              <c:layout>
                <c:manualLayout>
                  <c:x val="-6.1044080651631626E-3"/>
                  <c:y val="-4.8674086270985309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300" b="1" i="0" u="none" strike="noStrike" kern="1200" baseline="0">
                        <a:solidFill>
                          <a:schemeClr val="accent4"/>
                        </a:solidFill>
                        <a:latin typeface="+mj-lt"/>
                        <a:ea typeface="+mn-ea"/>
                        <a:cs typeface="+mn-cs"/>
                      </a:defRPr>
                    </a:pPr>
                    <a:fld id="{B1A2E757-F36F-460A-9941-18D83C456E1C}" type="CELLRANGE">
                      <a:rPr lang="en-US"/>
                      <a:pPr>
                        <a:defRPr sz="1300" b="1">
                          <a:solidFill>
                            <a:schemeClr val="accent4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300" b="1" i="0" u="none" strike="noStrike" kern="1200" baseline="0">
                      <a:solidFill>
                        <a:schemeClr val="accent4"/>
                      </a:solidFill>
                      <a:latin typeface="+mj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1405334172787929"/>
                      <c:h val="0.10169517353093126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A96C-4A50-B309-DB7495C4568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accent4"/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đồ'!$E$62:$AO$63</c15:sqref>
                  </c15:fullRef>
                </c:ext>
              </c:extLst>
              <c:f>'Vẽ Biểu đồ'!$E$62:$AO$63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đồ'!$E$66:$AO$66</c15:sqref>
                  </c15:fullRef>
                </c:ext>
              </c:extLst>
              <c:f>('Vẽ Biểu đồ'!$E$66:$AB$66,'Vẽ Biểu đồ'!$AO$66)</c:f>
              <c:numCache>
                <c:formatCode>_(* #,##0_);_(* \(#,##0\);_(* "-"??_);_(@_)</c:formatCode>
                <c:ptCount val="25"/>
                <c:pt idx="0">
                  <c:v>940</c:v>
                </c:pt>
                <c:pt idx="1">
                  <c:v>993.33333333333337</c:v>
                </c:pt>
                <c:pt idx="2">
                  <c:v>985</c:v>
                </c:pt>
                <c:pt idx="3">
                  <c:v>962.5</c:v>
                </c:pt>
                <c:pt idx="4">
                  <c:v>982</c:v>
                </c:pt>
                <c:pt idx="5">
                  <c:v>1000</c:v>
                </c:pt>
                <c:pt idx="6">
                  <c:v>1000</c:v>
                </c:pt>
                <c:pt idx="7">
                  <c:v>984</c:v>
                </c:pt>
                <c:pt idx="8">
                  <c:v>967.5</c:v>
                </c:pt>
                <c:pt idx="9">
                  <c:v>965</c:v>
                </c:pt>
                <c:pt idx="10">
                  <c:v>974</c:v>
                </c:pt>
                <c:pt idx="11">
                  <c:v>956</c:v>
                </c:pt>
                <c:pt idx="12">
                  <c:v>940</c:v>
                </c:pt>
                <c:pt idx="13">
                  <c:v>918</c:v>
                </c:pt>
                <c:pt idx="14">
                  <c:v>896</c:v>
                </c:pt>
                <c:pt idx="15">
                  <c:v>891.5</c:v>
                </c:pt>
                <c:pt idx="16">
                  <c:v>864</c:v>
                </c:pt>
                <c:pt idx="17">
                  <c:v>833</c:v>
                </c:pt>
                <c:pt idx="18">
                  <c:v>833</c:v>
                </c:pt>
                <c:pt idx="19">
                  <c:v>815</c:v>
                </c:pt>
                <c:pt idx="20">
                  <c:v>813</c:v>
                </c:pt>
                <c:pt idx="21">
                  <c:v>805</c:v>
                </c:pt>
                <c:pt idx="22">
                  <c:v>805</c:v>
                </c:pt>
                <c:pt idx="23">
                  <c:v>805</c:v>
                </c:pt>
                <c:pt idx="24">
                  <c:v>805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đồ'!$E$75:$AO$75</c15:f>
                <c15:dlblRangeCache>
                  <c:ptCount val="37"/>
                  <c:pt idx="0">
                    <c:v> 940 </c:v>
                  </c:pt>
                  <c:pt idx="1">
                    <c:v> 993 </c:v>
                  </c:pt>
                  <c:pt idx="2">
                    <c:v> 985 </c:v>
                  </c:pt>
                  <c:pt idx="3">
                    <c:v> 963 </c:v>
                  </c:pt>
                  <c:pt idx="4">
                    <c:v> 982 </c:v>
                  </c:pt>
                  <c:pt idx="5">
                    <c:v> 1,000 </c:v>
                  </c:pt>
                  <c:pt idx="6">
                    <c:v> 1,000 </c:v>
                  </c:pt>
                  <c:pt idx="7">
                    <c:v> 984 </c:v>
                  </c:pt>
                  <c:pt idx="8">
                    <c:v> 968 </c:v>
                  </c:pt>
                  <c:pt idx="9">
                    <c:v> 965 </c:v>
                  </c:pt>
                  <c:pt idx="10">
                    <c:v> 974 </c:v>
                  </c:pt>
                  <c:pt idx="11">
                    <c:v> 956 </c:v>
                  </c:pt>
                  <c:pt idx="12">
                    <c:v> 940 </c:v>
                  </c:pt>
                  <c:pt idx="13">
                    <c:v> 918 </c:v>
                  </c:pt>
                  <c:pt idx="14">
                    <c:v> 896 </c:v>
                  </c:pt>
                  <c:pt idx="15">
                    <c:v> 892 </c:v>
                  </c:pt>
                  <c:pt idx="16">
                    <c:v> 864 </c:v>
                  </c:pt>
                  <c:pt idx="17">
                    <c:v> 833 </c:v>
                  </c:pt>
                  <c:pt idx="18">
                    <c:v> 833 </c:v>
                  </c:pt>
                  <c:pt idx="19">
                    <c:v> 815 </c:v>
                  </c:pt>
                  <c:pt idx="20">
                    <c:v> 813 </c:v>
                  </c:pt>
                  <c:pt idx="21">
                    <c:v> 805 </c:v>
                  </c:pt>
                  <c:pt idx="22">
                    <c:v> 805 </c:v>
                  </c:pt>
                  <c:pt idx="23">
                    <c:v> 805 </c:v>
                  </c:pt>
                  <c:pt idx="36">
                    <c:v>Giá chính phẩm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40-A4AE-4D7A-9F7C-6D011FA25BA9}"/>
            </c:ext>
          </c:extLst>
        </c:ser>
        <c:ser>
          <c:idx val="6"/>
          <c:order val="3"/>
          <c:tx>
            <c:strRef>
              <c:f>'Vẽ Biểu đồ'!$D$69</c:f>
              <c:strCache>
                <c:ptCount val="1"/>
                <c:pt idx="0">
                  <c:v>Chênh lệch-Line Drop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errBars>
            <c:errDir val="y"/>
            <c:errBarType val="minus"/>
            <c:errValType val="cust"/>
            <c:noEndCap val="1"/>
            <c:plus>
              <c:numRef>
                <c:extLst>
                  <c:ext xmlns:c15="http://schemas.microsoft.com/office/drawing/2012/chart" uri="{02D57815-91ED-43cb-92C2-25804820EDAC}">
                    <c15:fullRef>
                      <c15:sqref>'Vẽ Biểu đồ'!$E$32:$AO$32</c15:sqref>
                    </c15:fullRef>
                  </c:ext>
                </c:extLst>
                <c:f>('Vẽ Biểu đồ'!$E$32:$AB$32,'Vẽ Biểu đồ'!$AO$32)</c:f>
                <c:numCache>
                  <c:formatCode>General</c:formatCode>
                  <c:ptCount val="25"/>
                  <c:pt idx="0">
                    <c:v>350</c:v>
                  </c:pt>
                  <c:pt idx="1">
                    <c:v>336.66666666666663</c:v>
                  </c:pt>
                  <c:pt idx="2">
                    <c:v>340</c:v>
                  </c:pt>
                  <c:pt idx="3">
                    <c:v>340</c:v>
                  </c:pt>
                  <c:pt idx="4">
                    <c:v>388</c:v>
                  </c:pt>
                  <c:pt idx="5">
                    <c:v>380</c:v>
                  </c:pt>
                  <c:pt idx="6">
                    <c:v>382.5</c:v>
                  </c:pt>
                  <c:pt idx="7">
                    <c:v>400</c:v>
                  </c:pt>
                  <c:pt idx="8">
                    <c:v>460</c:v>
                  </c:pt>
                  <c:pt idx="9">
                    <c:v>492.5</c:v>
                  </c:pt>
                  <c:pt idx="10">
                    <c:v>503</c:v>
                  </c:pt>
                  <c:pt idx="11">
                    <c:v>475</c:v>
                  </c:pt>
                  <c:pt idx="12">
                    <c:v>432</c:v>
                  </c:pt>
                  <c:pt idx="13">
                    <c:v>420</c:v>
                  </c:pt>
                  <c:pt idx="14">
                    <c:v>437</c:v>
                  </c:pt>
                  <c:pt idx="15">
                    <c:v>515</c:v>
                  </c:pt>
                  <c:pt idx="16">
                    <c:v>498</c:v>
                  </c:pt>
                  <c:pt idx="17">
                    <c:v>472.5</c:v>
                  </c:pt>
                  <c:pt idx="18">
                    <c:v>478</c:v>
                  </c:pt>
                  <c:pt idx="19">
                    <c:v>455</c:v>
                  </c:pt>
                  <c:pt idx="20">
                    <c:v>467</c:v>
                  </c:pt>
                  <c:pt idx="21">
                    <c:v>468</c:v>
                  </c:pt>
                  <c:pt idx="22">
                    <c:v>460</c:v>
                  </c:pt>
                  <c:pt idx="23">
                    <c:v>460</c:v>
                  </c:pt>
                </c:numCache>
              </c:numRef>
            </c:plus>
            <c:minus>
              <c:numRef>
                <c:extLst>
                  <c:ext xmlns:c15="http://schemas.microsoft.com/office/drawing/2012/chart" uri="{02D57815-91ED-43cb-92C2-25804820EDAC}">
                    <c15:fullRef>
                      <c15:sqref>'Vẽ Biểu đồ'!$E$67:$AO$67</c15:sqref>
                    </c15:fullRef>
                  </c:ext>
                </c:extLst>
                <c:f>('Vẽ Biểu đồ'!$E$67:$AB$67,'Vẽ Biểu đồ'!$AO$67)</c:f>
                <c:numCache>
                  <c:formatCode>General</c:formatCode>
                  <c:ptCount val="25"/>
                  <c:pt idx="0">
                    <c:v>#N/A</c:v>
                  </c:pt>
                  <c:pt idx="1">
                    <c:v>#N/A</c:v>
                  </c:pt>
                  <c:pt idx="2">
                    <c:v>#N/A</c:v>
                  </c:pt>
                  <c:pt idx="3">
                    <c:v>#N/A</c:v>
                  </c:pt>
                  <c:pt idx="4">
                    <c:v>#N/A</c:v>
                  </c:pt>
                  <c:pt idx="5">
                    <c:v>#N/A</c:v>
                  </c:pt>
                  <c:pt idx="6">
                    <c:v>#N/A</c:v>
                  </c:pt>
                  <c:pt idx="7">
                    <c:v>#N/A</c:v>
                  </c:pt>
                  <c:pt idx="8">
                    <c:v>#N/A</c:v>
                  </c:pt>
                  <c:pt idx="9">
                    <c:v>#N/A</c:v>
                  </c:pt>
                  <c:pt idx="10">
                    <c:v>#N/A</c:v>
                  </c:pt>
                  <c:pt idx="11">
                    <c:v>#N/A</c:v>
                  </c:pt>
                  <c:pt idx="12">
                    <c:v>460</c:v>
                  </c:pt>
                  <c:pt idx="13">
                    <c:v>482</c:v>
                  </c:pt>
                  <c:pt idx="14">
                    <c:v>454</c:v>
                  </c:pt>
                  <c:pt idx="15">
                    <c:v>458.5</c:v>
                  </c:pt>
                  <c:pt idx="16">
                    <c:v>486</c:v>
                  </c:pt>
                  <c:pt idx="17">
                    <c:v>517</c:v>
                  </c:pt>
                  <c:pt idx="18">
                    <c:v>517</c:v>
                  </c:pt>
                  <c:pt idx="19">
                    <c:v>515</c:v>
                  </c:pt>
                  <c:pt idx="20">
                    <c:v>497</c:v>
                  </c:pt>
                  <c:pt idx="21">
                    <c:v>505</c:v>
                  </c:pt>
                  <c:pt idx="22">
                    <c:v>495</c:v>
                  </c:pt>
                  <c:pt idx="23">
                    <c:v>495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bg1">
                    <a:lumMod val="85000"/>
                  </a:schemeClr>
                </a:solidFill>
                <a:prstDash val="sysDot"/>
                <a:round/>
                <a:headEnd type="triangle"/>
                <a:tailEnd type="triangle"/>
              </a:ln>
              <a:effectLst/>
            </c:spPr>
          </c:errBar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đồ'!$E$62:$AO$63</c15:sqref>
                  </c15:fullRef>
                </c:ext>
              </c:extLst>
              <c:f>'Vẽ Biểu đồ'!$E$62:$AO$63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đồ'!$E$69:$AO$69</c15:sqref>
                  </c15:fullRef>
                </c:ext>
              </c:extLst>
              <c:f>('Vẽ Biểu đồ'!$E$69:$AB$69,'Vẽ Biểu đồ'!$AO$69)</c:f>
              <c:numCache>
                <c:formatCode>_(* #,##0_);_(* \(#,##0\);_(* "-"??_);_(@_)</c:formatCode>
                <c:ptCount val="2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1400</c:v>
                </c:pt>
                <c:pt idx="13">
                  <c:v>1400</c:v>
                </c:pt>
                <c:pt idx="14">
                  <c:v>1350</c:v>
                </c:pt>
                <c:pt idx="15">
                  <c:v>1350</c:v>
                </c:pt>
                <c:pt idx="16">
                  <c:v>1350</c:v>
                </c:pt>
                <c:pt idx="17">
                  <c:v>1350</c:v>
                </c:pt>
                <c:pt idx="18">
                  <c:v>1350</c:v>
                </c:pt>
                <c:pt idx="19">
                  <c:v>1330</c:v>
                </c:pt>
                <c:pt idx="20">
                  <c:v>1310</c:v>
                </c:pt>
                <c:pt idx="21">
                  <c:v>1310</c:v>
                </c:pt>
                <c:pt idx="22">
                  <c:v>1300</c:v>
                </c:pt>
                <c:pt idx="23">
                  <c:v>1300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A4AE-4D7A-9F7C-6D011FA25BA9}"/>
            </c:ext>
          </c:extLst>
        </c:ser>
        <c:ser>
          <c:idx val="7"/>
          <c:order val="6"/>
          <c:tx>
            <c:strRef>
              <c:f>'Vẽ Biểu đồ'!$D$70</c:f>
              <c:strCache>
                <c:ptCount val="1"/>
                <c:pt idx="0">
                  <c:v>Chênh lệch-Label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2-A4AE-4D7A-9F7C-6D011FA25BA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3-A4AE-4D7A-9F7C-6D011FA25BA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4-A4AE-4D7A-9F7C-6D011FA25BA9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5-A4AE-4D7A-9F7C-6D011FA25BA9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6-A4AE-4D7A-9F7C-6D011FA25BA9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7-A4AE-4D7A-9F7C-6D011FA25BA9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8-A4AE-4D7A-9F7C-6D011FA25BA9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9-A4AE-4D7A-9F7C-6D011FA25BA9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A-A4AE-4D7A-9F7C-6D011FA25BA9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B-A4AE-4D7A-9F7C-6D011FA25BA9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C-A4AE-4D7A-9F7C-6D011FA25BA9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D-A4AE-4D7A-9F7C-6D011FA25BA9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9D8E20C2-369D-4CA9-8704-C73ECF963AC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E-A4AE-4D7A-9F7C-6D011FA25BA9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06E42126-1233-4B36-91FF-120A8B68EF8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F-A4AE-4D7A-9F7C-6D011FA25BA9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9615FDF7-DCEC-4172-A172-999A22AA69C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0-A4AE-4D7A-9F7C-6D011FA25BA9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FC8425E4-AB93-41C2-B5FC-A3750F640E1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1-A4AE-4D7A-9F7C-6D011FA25BA9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F0568350-7309-43F2-AFE7-A2E61A73274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2-A4AE-4D7A-9F7C-6D011FA25BA9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4F0CD6E3-3E16-4595-B3B8-19C80C5A20F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3-A4AE-4D7A-9F7C-6D011FA25BA9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F323F491-F520-4F09-921C-1C83C6E7D4B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8FDF-4A00-A7B2-51A1317D0332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F21A1FB3-3A1F-418F-8791-694F8A3E3FE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5E9A-43DB-849F-9C7F59BDE91A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41D4C9D2-DDA1-4C8E-92A6-4CF80EC4BF9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37B5-4B08-872D-9C23B0A7590D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A8403F5E-2CB5-4E51-ABE8-5D5191ABADF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F36F-44A3-BAAA-03C7952E35DE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D7F9EA5C-5307-4DAE-BF8A-4875A8DAB94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73A2-489F-A8AB-50B37A23787D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0FF7B223-C659-476B-AC7D-943A008F498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B57E-4DC9-B8BF-1DE5F544B066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B57E-4DC9-B8BF-1DE5F544B066}"/>
                </c:ext>
              </c:extLst>
            </c:dLbl>
            <c:spPr>
              <a:solidFill>
                <a:schemeClr val="bg1"/>
              </a:solidFill>
              <a:ln>
                <a:solidFill>
                  <a:schemeClr val="bg1">
                    <a:lumMod val="50000"/>
                  </a:schemeClr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1">
                        <a:lumMod val="50000"/>
                      </a:schemeClr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đồ'!$E$62:$AO$63</c15:sqref>
                  </c15:fullRef>
                </c:ext>
              </c:extLst>
              <c:f>'Vẽ Biểu đồ'!$E$62:$AO$63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đồ'!$E$70:$AO$70</c15:sqref>
                  </c15:fullRef>
                </c:ext>
              </c:extLst>
              <c:f>('Vẽ Biểu đồ'!$E$70:$AB$70,'Vẽ Biểu đồ'!$AO$70)</c:f>
              <c:numCache>
                <c:formatCode>_(* #,##0_);_(* \(#,##0\);_(* "-"??_);_(@_)</c:formatCode>
                <c:ptCount val="2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1170</c:v>
                </c:pt>
                <c:pt idx="13">
                  <c:v>1159</c:v>
                </c:pt>
                <c:pt idx="14">
                  <c:v>1123</c:v>
                </c:pt>
                <c:pt idx="15">
                  <c:v>1120.75</c:v>
                </c:pt>
                <c:pt idx="16">
                  <c:v>1107</c:v>
                </c:pt>
                <c:pt idx="17">
                  <c:v>1091.5</c:v>
                </c:pt>
                <c:pt idx="18">
                  <c:v>1091.5</c:v>
                </c:pt>
                <c:pt idx="19">
                  <c:v>1072.5</c:v>
                </c:pt>
                <c:pt idx="20">
                  <c:v>1061.5</c:v>
                </c:pt>
                <c:pt idx="21">
                  <c:v>1057.5</c:v>
                </c:pt>
                <c:pt idx="22">
                  <c:v>1052.5</c:v>
                </c:pt>
                <c:pt idx="23">
                  <c:v>1052.5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đồ'!$E$14:$AO$14</c15:f>
                <c15:dlblRangeCache>
                  <c:ptCount val="37"/>
                  <c:pt idx="0">
                    <c:v>+34.4%</c:v>
                  </c:pt>
                  <c:pt idx="1">
                    <c:v>+32.5%</c:v>
                  </c:pt>
                  <c:pt idx="2">
                    <c:v>+33.0%</c:v>
                  </c:pt>
                  <c:pt idx="3">
                    <c:v>+33.0%</c:v>
                  </c:pt>
                  <c:pt idx="4">
                    <c:v>+38.0%</c:v>
                  </c:pt>
                  <c:pt idx="5">
                    <c:v>+36.8%</c:v>
                  </c:pt>
                  <c:pt idx="6">
                    <c:v>+37.2%</c:v>
                  </c:pt>
                  <c:pt idx="7">
                    <c:v>+39.8%</c:v>
                  </c:pt>
                  <c:pt idx="8">
                    <c:v>+48.9%</c:v>
                  </c:pt>
                  <c:pt idx="9">
                    <c:v>+53.6%</c:v>
                  </c:pt>
                  <c:pt idx="10">
                    <c:v>+55.5%</c:v>
                  </c:pt>
                  <c:pt idx="11">
                    <c:v>+53.6%</c:v>
                  </c:pt>
                  <c:pt idx="12">
                    <c:v>+48.6%</c:v>
                  </c:pt>
                  <c:pt idx="13">
                    <c:v>+46.4%</c:v>
                  </c:pt>
                  <c:pt idx="14">
                    <c:v>+49.5%</c:v>
                  </c:pt>
                  <c:pt idx="15">
                    <c:v>+63.4%</c:v>
                  </c:pt>
                  <c:pt idx="16">
                    <c:v>+59.8%</c:v>
                  </c:pt>
                  <c:pt idx="17">
                    <c:v>+54.8%</c:v>
                  </c:pt>
                  <c:pt idx="18">
                    <c:v>+55.9%</c:v>
                  </c:pt>
                  <c:pt idx="19">
                    <c:v>+53.5%</c:v>
                  </c:pt>
                  <c:pt idx="20">
                    <c:v>+55.8%</c:v>
                  </c:pt>
                  <c:pt idx="21">
                    <c:v>+56.7%</c:v>
                  </c:pt>
                  <c:pt idx="22">
                    <c:v>+55.8%</c:v>
                  </c:pt>
                  <c:pt idx="23">
                    <c:v>+55.8%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55-A4AE-4D7A-9F7C-6D011FA25B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6623744"/>
        <c:axId val="516630464"/>
      </c:lineChart>
      <c:catAx>
        <c:axId val="516623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1" i="0" u="none" strike="noStrike" kern="1200" baseline="0">
                <a:solidFill>
                  <a:schemeClr val="bg1">
                    <a:lumMod val="65000"/>
                  </a:schemeClr>
                </a:solidFill>
                <a:latin typeface="+mj-lt"/>
                <a:ea typeface="+mn-ea"/>
                <a:cs typeface="+mn-cs"/>
              </a:defRPr>
            </a:pPr>
            <a:endParaRPr lang="en-US"/>
          </a:p>
        </c:txPr>
        <c:crossAx val="516630464"/>
        <c:crosses val="autoZero"/>
        <c:auto val="1"/>
        <c:lblAlgn val="ctr"/>
        <c:lblOffset val="100"/>
        <c:noMultiLvlLbl val="0"/>
      </c:catAx>
      <c:valAx>
        <c:axId val="516630464"/>
        <c:scaling>
          <c:orientation val="minMax"/>
          <c:max val="1450"/>
          <c:min val="770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65000"/>
                  </a:schemeClr>
                </a:solidFill>
                <a:latin typeface="+mj-lt"/>
                <a:ea typeface="+mn-ea"/>
                <a:cs typeface="+mn-cs"/>
              </a:defRPr>
            </a:pPr>
            <a:endParaRPr lang="en-US"/>
          </a:p>
        </c:txPr>
        <c:crossAx val="516623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accent2"/>
      </a:solidFill>
      <a:round/>
    </a:ln>
    <a:effectLst/>
  </c:spPr>
  <c:txPr>
    <a:bodyPr/>
    <a:lstStyle/>
    <a:p>
      <a:pPr>
        <a:defRPr>
          <a:latin typeface="+mj-lt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500" b="1" i="0" u="none" strike="noStrike" kern="1200" spc="0" baseline="0">
                <a:solidFill>
                  <a:schemeClr val="accent2"/>
                </a:solidFill>
                <a:latin typeface="+mj-lt"/>
                <a:ea typeface="+mn-ea"/>
                <a:cs typeface="+mn-cs"/>
              </a:defRPr>
            </a:pPr>
            <a:r>
              <a:rPr lang="en-US" sz="2500" b="1">
                <a:solidFill>
                  <a:schemeClr val="accent2"/>
                </a:solidFill>
              </a:rPr>
              <a:t>GIÁ BÁN EXW - iSS1084G</a:t>
            </a:r>
          </a:p>
        </c:rich>
      </c:tx>
      <c:layout>
        <c:manualLayout>
          <c:xMode val="edge"/>
          <c:yMode val="edge"/>
          <c:x val="0.31738212133497329"/>
          <c:y val="1.1600789312461526E-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500" b="1" i="0" u="none" strike="noStrike" kern="1200" spc="0" baseline="0">
              <a:solidFill>
                <a:schemeClr val="accent2"/>
              </a:solidFill>
              <a:latin typeface="+mj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"/>
          <c:y val="1.5409387430806942E-2"/>
          <c:w val="0.96006059276030531"/>
          <c:h val="0.88155626882568061"/>
        </c:manualLayout>
      </c:layout>
      <c:areaChart>
        <c:grouping val="standard"/>
        <c:varyColors val="0"/>
        <c:ser>
          <c:idx val="5"/>
          <c:order val="5"/>
          <c:tx>
            <c:strRef>
              <c:f>'Vẽ Biểu đồ'!$D$54</c:f>
              <c:strCache>
                <c:ptCount val="1"/>
                <c:pt idx="0">
                  <c:v>Giá duyệt-Area</c:v>
                </c:pt>
              </c:strCache>
            </c:strRef>
          </c:tx>
          <c:spPr>
            <a:solidFill>
              <a:srgbClr val="FFF2CC"/>
            </a:solidFill>
            <a:ln w="25400">
              <a:noFill/>
            </a:ln>
            <a:effectLst/>
          </c:spPr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đồ'!$E$44:$AO$45</c15:sqref>
                  </c15:fullRef>
                </c:ext>
              </c:extLst>
              <c:f>'Vẽ Biểu đồ'!$E$44:$AO$45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đồ'!$E$54:$AO$54</c15:sqref>
                  </c15:fullRef>
                </c:ext>
              </c:extLst>
              <c:f>('Vẽ Biểu đồ'!$E$54:$AB$54,'Vẽ Biểu đồ'!$AO$54)</c:f>
              <c:numCache>
                <c:formatCode>_(* #,##0_);_(* \(#,##0\);_(* "-"??_);_(@_)</c:formatCode>
                <c:ptCount val="25"/>
                <c:pt idx="0">
                  <c:v>1340</c:v>
                </c:pt>
                <c:pt idx="1">
                  <c:v>1340</c:v>
                </c:pt>
                <c:pt idx="2">
                  <c:v>1340</c:v>
                </c:pt>
                <c:pt idx="3">
                  <c:v>1340</c:v>
                </c:pt>
                <c:pt idx="4">
                  <c:v>1390</c:v>
                </c:pt>
                <c:pt idx="5">
                  <c:v>1390</c:v>
                </c:pt>
                <c:pt idx="6">
                  <c:v>1390</c:v>
                </c:pt>
                <c:pt idx="7">
                  <c:v>1390</c:v>
                </c:pt>
                <c:pt idx="8">
                  <c:v>1400</c:v>
                </c:pt>
                <c:pt idx="9">
                  <c:v>1415</c:v>
                </c:pt>
                <c:pt idx="10">
                  <c:v>1415</c:v>
                </c:pt>
                <c:pt idx="11">
                  <c:v>1365</c:v>
                </c:pt>
                <c:pt idx="12">
                  <c:v>1320</c:v>
                </c:pt>
                <c:pt idx="13">
                  <c:v>1280</c:v>
                </c:pt>
                <c:pt idx="14">
                  <c:v>1320</c:v>
                </c:pt>
                <c:pt idx="15">
                  <c:v>1340</c:v>
                </c:pt>
                <c:pt idx="16">
                  <c:v>1340</c:v>
                </c:pt>
                <c:pt idx="17">
                  <c:v>1340</c:v>
                </c:pt>
                <c:pt idx="18">
                  <c:v>1340</c:v>
                </c:pt>
                <c:pt idx="19">
                  <c:v>1310</c:v>
                </c:pt>
                <c:pt idx="20">
                  <c:v>1310</c:v>
                </c:pt>
                <c:pt idx="21">
                  <c:v>1300</c:v>
                </c:pt>
                <c:pt idx="22">
                  <c:v>1290</c:v>
                </c:pt>
                <c:pt idx="23">
                  <c:v>1290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96-4AFE-B517-60F0D45F1E6D}"/>
            </c:ext>
          </c:extLst>
        </c:ser>
        <c:ser>
          <c:idx val="4"/>
          <c:order val="6"/>
          <c:tx>
            <c:strRef>
              <c:f>'Vẽ Biểu đồ'!$D$55</c:f>
              <c:strCache>
                <c:ptCount val="1"/>
                <c:pt idx="0">
                  <c:v>Giá chính phẩm-Area</c:v>
                </c:pt>
              </c:strCache>
            </c:strRef>
          </c:tx>
          <c:spPr>
            <a:solidFill>
              <a:schemeClr val="bg1"/>
            </a:solidFill>
            <a:ln w="25400">
              <a:noFill/>
            </a:ln>
            <a:effectLst/>
          </c:spPr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đồ'!$E$44:$AO$45</c15:sqref>
                  </c15:fullRef>
                </c:ext>
              </c:extLst>
              <c:f>'Vẽ Biểu đồ'!$E$44:$AO$45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đồ'!$E$55:$AO$55</c15:sqref>
                  </c15:fullRef>
                </c:ext>
              </c:extLst>
              <c:f>('Vẽ Biểu đồ'!$E$55:$AB$55,'Vẽ Biểu đồ'!$AO$55)</c:f>
              <c:numCache>
                <c:formatCode>_(* #,##0_);_(* \(#,##0\);_(* "-"??_);_(@_)</c:formatCode>
                <c:ptCount val="25"/>
                <c:pt idx="0">
                  <c:v>930</c:v>
                </c:pt>
                <c:pt idx="1">
                  <c:v>943.33333333333337</c:v>
                </c:pt>
                <c:pt idx="2">
                  <c:v>940</c:v>
                </c:pt>
                <c:pt idx="3">
                  <c:v>940</c:v>
                </c:pt>
                <c:pt idx="4">
                  <c:v>942</c:v>
                </c:pt>
                <c:pt idx="5">
                  <c:v>950</c:v>
                </c:pt>
                <c:pt idx="6">
                  <c:v>947.5</c:v>
                </c:pt>
                <c:pt idx="7">
                  <c:v>930</c:v>
                </c:pt>
                <c:pt idx="8">
                  <c:v>880</c:v>
                </c:pt>
                <c:pt idx="9">
                  <c:v>862.5</c:v>
                </c:pt>
                <c:pt idx="10">
                  <c:v>852</c:v>
                </c:pt>
                <c:pt idx="11">
                  <c:v>830</c:v>
                </c:pt>
                <c:pt idx="12">
                  <c:v>828</c:v>
                </c:pt>
                <c:pt idx="13">
                  <c:v>840</c:v>
                </c:pt>
                <c:pt idx="14">
                  <c:v>823</c:v>
                </c:pt>
                <c:pt idx="15">
                  <c:v>765</c:v>
                </c:pt>
                <c:pt idx="16">
                  <c:v>782</c:v>
                </c:pt>
                <c:pt idx="17">
                  <c:v>807.5</c:v>
                </c:pt>
                <c:pt idx="18">
                  <c:v>802</c:v>
                </c:pt>
                <c:pt idx="19">
                  <c:v>795</c:v>
                </c:pt>
                <c:pt idx="20">
                  <c:v>783</c:v>
                </c:pt>
                <c:pt idx="21">
                  <c:v>772</c:v>
                </c:pt>
                <c:pt idx="22">
                  <c:v>770</c:v>
                </c:pt>
                <c:pt idx="23">
                  <c:v>770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B96-4AFE-B517-60F0D45F1E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6623744"/>
        <c:axId val="516630464"/>
      </c:areaChart>
      <c:lineChart>
        <c:grouping val="standard"/>
        <c:varyColors val="0"/>
        <c:ser>
          <c:idx val="0"/>
          <c:order val="0"/>
          <c:tx>
            <c:strRef>
              <c:f>'Vẽ Biểu đồ'!$D$46</c:f>
              <c:strCache>
                <c:ptCount val="1"/>
                <c:pt idx="0">
                  <c:v>COCA VIET NAM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24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DC58-462A-8D96-7660D2D0DE2B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7419D724-054F-4341-BAA0-1A3E165ADDE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1B96-4AFE-B517-60F0D45F1E6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33BF5B69-7E1E-4939-92E7-DDD1EA43C3B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1B96-4AFE-B517-60F0D45F1E6D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3E826A76-38EA-49EA-9D7A-C2C85C7FC03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1B96-4AFE-B517-60F0D45F1E6D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A75C1B6A-C93E-4F71-B6D5-B93BA89EA8E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1B96-4AFE-B517-60F0D45F1E6D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23F8E107-3EF8-468C-9558-AA5C2E68DAE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1B96-4AFE-B517-60F0D45F1E6D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7DE3A4B7-25EC-4888-89E4-C77D7800B33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1B96-4AFE-B517-60F0D45F1E6D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5FC0505E-1603-491C-8F22-00F04B3D2C6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1B96-4AFE-B517-60F0D45F1E6D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1587D85A-9B1C-4EEB-AC3A-F5DEEBB8E6B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1B96-4AFE-B517-60F0D45F1E6D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C308861F-94E9-436B-B569-89A4FF2A3C5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1B96-4AFE-B517-60F0D45F1E6D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3D41150A-BCCC-4511-AC76-A100D6C4085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1B96-4AFE-B517-60F0D45F1E6D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FD9E358F-8814-4DCA-8249-A76FEC1BD8B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1B96-4AFE-B517-60F0D45F1E6D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CF5D05A7-149F-4C55-B158-3BC2DF61B55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1B96-4AFE-B517-60F0D45F1E6D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3F810CC2-2829-4B40-8E9F-6FE20FEEF4E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0-1B96-4AFE-B517-60F0D45F1E6D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F2DFE1A2-105F-4ED6-A7F0-C604BE1CF2F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1B96-4AFE-B517-60F0D45F1E6D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8668DF92-228E-4135-BA09-1C5E31CA9DA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2-1B96-4AFE-B517-60F0D45F1E6D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38ACC64A-6195-4804-97FF-48B7FF2B2EF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3-1B96-4AFE-B517-60F0D45F1E6D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6B595B29-2D23-4C19-AA6D-872E1C84A25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4-1B96-4AFE-B517-60F0D45F1E6D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0CE41D25-4B80-4944-98A4-05369C541CA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5-1B96-4AFE-B517-60F0D45F1E6D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62DB764F-1842-4019-9C59-1E2DB92CF3D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F931-463A-80F4-3CB5A2DF4B49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D008F709-D59E-4F2E-94B7-A32B8761375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E5D1-4953-A120-371B56228E26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6AC1BEA5-3CA0-42B1-8A4C-940FFF3CE2C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3F4A-4450-AFF3-6BB55BEB234D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AE018606-DCFA-4A93-9B9F-EE550C89A9C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FA88-417D-954C-78E7D526348A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8FEBCF10-D3B3-480A-B1EE-DB2918BE267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D684-4255-8AD7-829A33553489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1A0F7363-9B9B-4340-903F-0242FD43FD7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3461-46C8-8C51-305FDD0A1529}"/>
                </c:ext>
              </c:extLst>
            </c:dLbl>
            <c:dLbl>
              <c:idx val="24"/>
              <c:layout>
                <c:manualLayout>
                  <c:x val="-1.2375178151664908E-3"/>
                  <c:y val="-1.7870639672989349E-2"/>
                </c:manualLayout>
              </c:layout>
              <c:tx>
                <c:rich>
                  <a:bodyPr/>
                  <a:lstStyle/>
                  <a:p>
                    <a:fld id="{AA27671E-D6BD-4225-A8A1-3149A6843F2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DC58-462A-8D96-7660D2D0DE2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accent4">
                        <a:lumMod val="60000"/>
                        <a:lumOff val="40000"/>
                      </a:schemeClr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đồ'!$E$44:$AO$45</c15:sqref>
                  </c15:fullRef>
                </c:ext>
              </c:extLst>
              <c:f>'Vẽ Biểu đồ'!$E$44:$AO$45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đồ'!$E$46:$AO$46</c15:sqref>
                  </c15:fullRef>
                </c:ext>
              </c:extLst>
              <c:f>('Vẽ Biểu đồ'!$E$46:$AB$46,'Vẽ Biểu đồ'!$AO$46)</c:f>
              <c:numCache>
                <c:formatCode>_(* #,##0_);_(* \(#,##0\);_(* "-"??_);_(@_)</c:formatCode>
                <c:ptCount val="25"/>
                <c:pt idx="0">
                  <c:v>1315</c:v>
                </c:pt>
                <c:pt idx="1">
                  <c:v>1315</c:v>
                </c:pt>
                <c:pt idx="2">
                  <c:v>1315</c:v>
                </c:pt>
                <c:pt idx="3">
                  <c:v>1315</c:v>
                </c:pt>
                <c:pt idx="4">
                  <c:v>1315</c:v>
                </c:pt>
                <c:pt idx="5">
                  <c:v>1315</c:v>
                </c:pt>
                <c:pt idx="6">
                  <c:v>1315</c:v>
                </c:pt>
                <c:pt idx="7">
                  <c:v>1315</c:v>
                </c:pt>
                <c:pt idx="8">
                  <c:v>1315</c:v>
                </c:pt>
                <c:pt idx="9">
                  <c:v>1315</c:v>
                </c:pt>
                <c:pt idx="10">
                  <c:v>1315</c:v>
                </c:pt>
                <c:pt idx="11">
                  <c:v>1315</c:v>
                </c:pt>
                <c:pt idx="12">
                  <c:v>1348.3</c:v>
                </c:pt>
                <c:pt idx="13">
                  <c:v>1348.3</c:v>
                </c:pt>
                <c:pt idx="14">
                  <c:v>1348.3</c:v>
                </c:pt>
                <c:pt idx="15">
                  <c:v>1348.3</c:v>
                </c:pt>
                <c:pt idx="16">
                  <c:v>1348.3</c:v>
                </c:pt>
                <c:pt idx="17">
                  <c:v>1348.3</c:v>
                </c:pt>
                <c:pt idx="18">
                  <c:v>1348.3</c:v>
                </c:pt>
                <c:pt idx="19">
                  <c:v>1348.3</c:v>
                </c:pt>
                <c:pt idx="20">
                  <c:v>1348.3</c:v>
                </c:pt>
                <c:pt idx="21">
                  <c:v>1348.3</c:v>
                </c:pt>
                <c:pt idx="22">
                  <c:v>1348.3</c:v>
                </c:pt>
                <c:pt idx="23">
                  <c:v>1348.3</c:v>
                </c:pt>
                <c:pt idx="24">
                  <c:v>1348.3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đồ'!$E$56:$AO$56</c15:f>
                <c15:dlblRangeCache>
                  <c:ptCount val="37"/>
                  <c:pt idx="0">
                    <c:v> 1,315 </c:v>
                  </c:pt>
                  <c:pt idx="1">
                    <c:v> 1,315 </c:v>
                  </c:pt>
                  <c:pt idx="2">
                    <c:v> 1,315 </c:v>
                  </c:pt>
                  <c:pt idx="3">
                    <c:v> 1,315 </c:v>
                  </c:pt>
                  <c:pt idx="4">
                    <c:v> 1,315 </c:v>
                  </c:pt>
                  <c:pt idx="5">
                    <c:v> 1,315 </c:v>
                  </c:pt>
                  <c:pt idx="6">
                    <c:v> 1,315 </c:v>
                  </c:pt>
                  <c:pt idx="7">
                    <c:v> 1,315 </c:v>
                  </c:pt>
                  <c:pt idx="8">
                    <c:v> 1,315 </c:v>
                  </c:pt>
                  <c:pt idx="9">
                    <c:v> 1,315 </c:v>
                  </c:pt>
                  <c:pt idx="10">
                    <c:v> 1,315 </c:v>
                  </c:pt>
                  <c:pt idx="11">
                    <c:v> 1,315 </c:v>
                  </c:pt>
                  <c:pt idx="12">
                    <c:v> 1,348 </c:v>
                  </c:pt>
                  <c:pt idx="13">
                    <c:v> 1,348 </c:v>
                  </c:pt>
                  <c:pt idx="14">
                    <c:v> 1,348 </c:v>
                  </c:pt>
                  <c:pt idx="15">
                    <c:v> 1,348 </c:v>
                  </c:pt>
                  <c:pt idx="16">
                    <c:v> 1,348 </c:v>
                  </c:pt>
                  <c:pt idx="17">
                    <c:v> 1,348 </c:v>
                  </c:pt>
                  <c:pt idx="18">
                    <c:v> 1,348 </c:v>
                  </c:pt>
                  <c:pt idx="19">
                    <c:v> 1,348 </c:v>
                  </c:pt>
                  <c:pt idx="20">
                    <c:v> 1,348 </c:v>
                  </c:pt>
                  <c:pt idx="21">
                    <c:v> 1,348 </c:v>
                  </c:pt>
                  <c:pt idx="22">
                    <c:v> 1,348 </c:v>
                  </c:pt>
                  <c:pt idx="23">
                    <c:v> 1,348 </c:v>
                  </c:pt>
                  <c:pt idx="36">
                    <c:v>COCA VN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6-1B96-4AFE-B517-60F0D45F1E6D}"/>
            </c:ext>
          </c:extLst>
        </c:ser>
        <c:ser>
          <c:idx val="1"/>
          <c:order val="1"/>
          <c:tx>
            <c:strRef>
              <c:f>'Vẽ Biểu đồ'!$D$47</c:f>
              <c:strCache>
                <c:ptCount val="1"/>
                <c:pt idx="0">
                  <c:v>SUNTORY VIET NAM</c:v>
                </c:pt>
              </c:strCache>
            </c:strRef>
          </c:tx>
          <c:spPr>
            <a:ln w="28575" cap="rnd">
              <a:solidFill>
                <a:srgbClr val="54C1DE"/>
              </a:solidFill>
              <a:round/>
            </a:ln>
            <a:effectLst/>
          </c:spPr>
          <c:marker>
            <c:symbol val="none"/>
          </c:marker>
          <c:dPt>
            <c:idx val="24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DC58-462A-8D96-7660D2D0DE2B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968CFC12-22B4-4908-A9A8-6CEE0D7AAA6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1B96-4AFE-B517-60F0D45F1E6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AE20212C-41CE-4DD7-8175-C92BFE9D301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1B96-4AFE-B517-60F0D45F1E6D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2A2D625D-87A5-4EB3-8FE7-527F1CEBB06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1B96-4AFE-B517-60F0D45F1E6D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E5753864-E4A4-45F5-975B-19C3EBF5B66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1B96-4AFE-B517-60F0D45F1E6D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E75211E6-E396-4FE7-9260-94E2C40634A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D-1B96-4AFE-B517-60F0D45F1E6D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FBDFCBF9-4764-4B40-B8A0-B0D99C916DF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E-1B96-4AFE-B517-60F0D45F1E6D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E45B5EC1-2FD5-401D-B5CD-72E4E5EB8AB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1B96-4AFE-B517-60F0D45F1E6D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55686FCB-657A-4F81-B039-AD1A5DB25F6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1B96-4AFE-B517-60F0D45F1E6D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2BC99976-FF58-4966-8286-B3CCDC8485F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1B96-4AFE-B517-60F0D45F1E6D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2F1CDA2B-9792-4E05-945B-D543A7654A8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1B96-4AFE-B517-60F0D45F1E6D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EB47DC79-A462-4D6F-85B1-154EC34B61C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1B96-4AFE-B517-60F0D45F1E6D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BC521DC2-CD66-4CC7-8CD0-9A68E766248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1B96-4AFE-B517-60F0D45F1E6D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90923806-483D-4481-B796-917A8C1D396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1B96-4AFE-B517-60F0D45F1E6D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67A84928-675D-4F0C-8CDB-EA1BE290154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1B96-4AFE-B517-60F0D45F1E6D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847CE954-E471-4E34-B1D7-568FD7A2FB3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7-1B96-4AFE-B517-60F0D45F1E6D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CE699921-8A27-4745-8725-3BBEAFFBCCD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8-1B96-4AFE-B517-60F0D45F1E6D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A1D56809-A388-4DDA-AD81-7E686D3E2BF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9-1B96-4AFE-B517-60F0D45F1E6D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FF10F116-4708-4BD0-9B91-7DF31779C2D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A-1B96-4AFE-B517-60F0D45F1E6D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D6245F07-E2D9-4ACD-B2C6-137F4603E9C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E-F931-463A-80F4-3CB5A2DF4B49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A1474CE0-1820-4276-9A3E-123379FF92C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E5D1-4953-A120-371B56228E26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5A2D78A2-84F2-4F2A-887C-ACA773D1894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3F4A-4450-AFF3-6BB55BEB234D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C1D87E3F-8605-4375-8B9D-7166EB2BE6D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FA88-417D-954C-78E7D526348A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22689C39-BE82-474B-B2DF-ABDE16F12EE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D684-4255-8AD7-829A33553489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C8957779-42EC-40AB-858D-0C1539FD28B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3461-46C8-8C51-305FDD0A1529}"/>
                </c:ext>
              </c:extLst>
            </c:dLbl>
            <c:dLbl>
              <c:idx val="24"/>
              <c:layout>
                <c:manualLayout>
                  <c:x val="-4.820120803795633E-8"/>
                  <c:y val="5.3311618430934619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050" b="1" i="0" u="none" strike="noStrike" kern="1200" baseline="0">
                        <a:solidFill>
                          <a:srgbClr val="54C1DE"/>
                        </a:solidFill>
                        <a:latin typeface="+mj-lt"/>
                        <a:ea typeface="+mn-ea"/>
                        <a:cs typeface="+mn-cs"/>
                      </a:defRPr>
                    </a:pPr>
                    <a:fld id="{9687961A-F1C1-4C33-873B-A68ED7887780}" type="CELLRANGE">
                      <a:rPr lang="en-US"/>
                      <a:pPr>
                        <a:defRPr sz="1050" b="1">
                          <a:solidFill>
                            <a:srgbClr val="54C1DE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50" b="1" i="0" u="none" strike="noStrike" kern="1200" baseline="0">
                      <a:solidFill>
                        <a:srgbClr val="54C1DE"/>
                      </a:solidFill>
                      <a:latin typeface="+mj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9.1452701658065974E-2"/>
                      <c:h val="3.9163150518766655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DC58-462A-8D96-7660D2D0DE2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rgbClr val="54C1DE"/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đồ'!$E$44:$AO$45</c15:sqref>
                  </c15:fullRef>
                </c:ext>
              </c:extLst>
              <c:f>'Vẽ Biểu đồ'!$E$44:$AO$45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đồ'!$E$47:$AO$47</c15:sqref>
                  </c15:fullRef>
                </c:ext>
              </c:extLst>
              <c:f>('Vẽ Biểu đồ'!$E$47:$AB$47,'Vẽ Biểu đồ'!$AO$47)</c:f>
              <c:numCache>
                <c:formatCode>_(* #,##0_);_(* \(#,##0\);_(* "-"??_);_(@_)</c:formatCode>
                <c:ptCount val="25"/>
                <c:pt idx="0">
                  <c:v>1340</c:v>
                </c:pt>
                <c:pt idx="1">
                  <c:v>1347.5</c:v>
                </c:pt>
                <c:pt idx="2">
                  <c:v>1360</c:v>
                </c:pt>
                <c:pt idx="3">
                  <c:v>1362.5</c:v>
                </c:pt>
                <c:pt idx="4">
                  <c:v>1366.5</c:v>
                </c:pt>
                <c:pt idx="5">
                  <c:v>1381.5</c:v>
                </c:pt>
                <c:pt idx="6">
                  <c:v>1397.5</c:v>
                </c:pt>
                <c:pt idx="7">
                  <c:v>1408.5</c:v>
                </c:pt>
                <c:pt idx="8">
                  <c:v>1428.5</c:v>
                </c:pt>
                <c:pt idx="9">
                  <c:v>1456.25</c:v>
                </c:pt>
                <c:pt idx="10">
                  <c:v>1473.75</c:v>
                </c:pt>
                <c:pt idx="11">
                  <c:v>1477.5</c:v>
                </c:pt>
                <c:pt idx="12">
                  <c:v>1375.71875</c:v>
                </c:pt>
                <c:pt idx="13">
                  <c:v>1339.3020833333319</c:v>
                </c:pt>
                <c:pt idx="14">
                  <c:v>1305.4583333333319</c:v>
                </c:pt>
                <c:pt idx="15">
                  <c:v>1306.25</c:v>
                </c:pt>
                <c:pt idx="16">
                  <c:v>1311</c:v>
                </c:pt>
                <c:pt idx="17">
                  <c:v>1311</c:v>
                </c:pt>
                <c:pt idx="18">
                  <c:v>1311</c:v>
                </c:pt>
                <c:pt idx="19">
                  <c:v>1293.9000000000001</c:v>
                </c:pt>
                <c:pt idx="20">
                  <c:v>1263.5250000000001</c:v>
                </c:pt>
                <c:pt idx="21">
                  <c:v>1264.925</c:v>
                </c:pt>
                <c:pt idx="22">
                  <c:v>1266.05</c:v>
                </c:pt>
                <c:pt idx="23">
                  <c:v>1266.65625</c:v>
                </c:pt>
                <c:pt idx="24">
                  <c:v>1266.65625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đồ'!$E$57:$AO$57</c15:f>
                <c15:dlblRangeCache>
                  <c:ptCount val="37"/>
                  <c:pt idx="0">
                    <c:v> 1,340 </c:v>
                  </c:pt>
                  <c:pt idx="1">
                    <c:v> 1,348 </c:v>
                  </c:pt>
                  <c:pt idx="2">
                    <c:v> 1,360 </c:v>
                  </c:pt>
                  <c:pt idx="3">
                    <c:v> 1,363 </c:v>
                  </c:pt>
                  <c:pt idx="4">
                    <c:v> 1,367 </c:v>
                  </c:pt>
                  <c:pt idx="5">
                    <c:v> 1,382 </c:v>
                  </c:pt>
                  <c:pt idx="6">
                    <c:v> 1,398 </c:v>
                  </c:pt>
                  <c:pt idx="7">
                    <c:v> 1,409 </c:v>
                  </c:pt>
                  <c:pt idx="8">
                    <c:v> 1,429 </c:v>
                  </c:pt>
                  <c:pt idx="9">
                    <c:v> 1,456 </c:v>
                  </c:pt>
                  <c:pt idx="10">
                    <c:v> 1,474 </c:v>
                  </c:pt>
                  <c:pt idx="11">
                    <c:v> 1,478 </c:v>
                  </c:pt>
                  <c:pt idx="12">
                    <c:v> 1,376 </c:v>
                  </c:pt>
                  <c:pt idx="13">
                    <c:v> 1,339 </c:v>
                  </c:pt>
                  <c:pt idx="14">
                    <c:v> 1,305 </c:v>
                  </c:pt>
                  <c:pt idx="15">
                    <c:v> 1,306 </c:v>
                  </c:pt>
                  <c:pt idx="16">
                    <c:v> 1,311 </c:v>
                  </c:pt>
                  <c:pt idx="17">
                    <c:v> 1,311 </c:v>
                  </c:pt>
                  <c:pt idx="18">
                    <c:v> 1,311 </c:v>
                  </c:pt>
                  <c:pt idx="19">
                    <c:v> 1,294 </c:v>
                  </c:pt>
                  <c:pt idx="20">
                    <c:v> 1,264 </c:v>
                  </c:pt>
                  <c:pt idx="21">
                    <c:v> 1,265 </c:v>
                  </c:pt>
                  <c:pt idx="22">
                    <c:v> 1,266 </c:v>
                  </c:pt>
                  <c:pt idx="23">
                    <c:v> 1,267 </c:v>
                  </c:pt>
                  <c:pt idx="36">
                    <c:v>SUNTORY VN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2B-1B96-4AFE-B517-60F0D45F1E6D}"/>
            </c:ext>
          </c:extLst>
        </c:ser>
        <c:ser>
          <c:idx val="2"/>
          <c:order val="2"/>
          <c:tx>
            <c:strRef>
              <c:f>'Vẽ Biểu đồ'!$D$48</c:f>
              <c:strCache>
                <c:ptCount val="1"/>
                <c:pt idx="0">
                  <c:v>Giá duyệt</c:v>
                </c:pt>
              </c:strCache>
            </c:strRef>
          </c:tx>
          <c:spPr>
            <a:ln w="28575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Pt>
            <c:idx val="24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DC58-462A-8D96-7660D2D0DE2B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7C50248B-B8D7-477E-A663-E0280EFF5FF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1B96-4AFE-B517-60F0D45F1E6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817DF0A2-C773-494C-846B-42CCE9B18E1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1B96-4AFE-B517-60F0D45F1E6D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1D265623-A4D6-421A-AE94-F060E96E144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1B96-4AFE-B517-60F0D45F1E6D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A0D10659-D788-486D-862F-FA8D780F343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1B96-4AFE-B517-60F0D45F1E6D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BB8600FD-021D-438B-90AD-6223057A4CF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1B96-4AFE-B517-60F0D45F1E6D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EBBB0E79-CF01-4DF4-BCAC-DEE747156C8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1B96-4AFE-B517-60F0D45F1E6D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8D248672-EB1B-4BD1-B776-546EDCD2D20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1B96-4AFE-B517-60F0D45F1E6D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EBBC53E7-DB24-446E-B1F3-FA6B1E084CF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1B96-4AFE-B517-60F0D45F1E6D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C26EEAFD-D455-4D80-96F3-3AC9D425763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1B96-4AFE-B517-60F0D45F1E6D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A96BE2F0-E544-4E8D-A297-88FFD18AA40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1B96-4AFE-B517-60F0D45F1E6D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B44808F6-4B31-42C1-812F-5A5EAF5367C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1B96-4AFE-B517-60F0D45F1E6D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560B4775-DA54-4D3D-AC1B-0BB1407D07E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9-1B96-4AFE-B517-60F0D45F1E6D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4ACB5717-8C8A-45CA-928E-D9B493C0253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A-1B96-4AFE-B517-60F0D45F1E6D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C0B0F183-19E2-4594-A972-9E871D7444F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B-1B96-4AFE-B517-60F0D45F1E6D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B3E459AC-DB1C-44CD-A4C1-D93E26C84EF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C-1B96-4AFE-B517-60F0D45F1E6D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75458C99-C889-49DD-B274-9EC958F27C7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D-1B96-4AFE-B517-60F0D45F1E6D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326488E8-91D7-4829-8BBA-AE35D54E02A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E-1B96-4AFE-B517-60F0D45F1E6D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055E49A4-5549-479E-8D5F-88D06B60557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F-1B96-4AFE-B517-60F0D45F1E6D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C73E41BC-F24E-4E56-96FB-98E541CFA8D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F931-463A-80F4-3CB5A2DF4B49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38501C41-A797-473F-AE1D-F8A511B9356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E5D1-4953-A120-371B56228E26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8FE876BF-2A7A-4B0A-BBC1-12BE4D813D1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3F4A-4450-AFF3-6BB55BEB234D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18731FA3-1D05-4F8B-BD51-266603391D8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FA88-417D-954C-78E7D526348A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89EE36CA-4FB7-4BB6-8FA9-FA9C308A096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D684-4255-8AD7-829A33553489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3930903D-0A20-4A8B-A40E-BB081012158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3461-46C8-8C51-305FDD0A1529}"/>
                </c:ext>
              </c:extLst>
            </c:dLbl>
            <c:dLbl>
              <c:idx val="24"/>
              <c:layout>
                <c:manualLayout>
                  <c:x val="-1.2243106841642703E-3"/>
                  <c:y val="3.6505564703238985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300" b="1" i="0" u="none" strike="noStrike" kern="1200" baseline="0">
                        <a:solidFill>
                          <a:schemeClr val="accent1">
                            <a:lumMod val="75000"/>
                          </a:schemeClr>
                        </a:solidFill>
                        <a:latin typeface="+mj-lt"/>
                        <a:ea typeface="+mn-ea"/>
                        <a:cs typeface="+mn-cs"/>
                      </a:defRPr>
                    </a:pPr>
                    <a:fld id="{A57DC8F5-B34C-4A08-8F7D-E2270F8429FA}" type="CELLRANGE">
                      <a:rPr lang="en-US"/>
                      <a:pPr>
                        <a:defRPr sz="1300" b="1">
                          <a:solidFill>
                            <a:schemeClr val="accent1">
                              <a:lumMod val="75000"/>
                            </a:schemeClr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solidFill>
                  <a:schemeClr val="bg1"/>
                </a:solidFill>
                <a:ln>
                  <a:solidFill>
                    <a:schemeClr val="accent1">
                      <a:lumMod val="75000"/>
                    </a:schemeClr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300" b="1" i="0" u="none" strike="noStrike" kern="1200" baseline="0">
                      <a:solidFill>
                        <a:schemeClr val="accent1">
                          <a:lumMod val="75000"/>
                        </a:schemeClr>
                      </a:solidFill>
                      <a:latin typeface="+mj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DC58-462A-8D96-7660D2D0DE2B}"/>
                </c:ext>
              </c:extLst>
            </c:dLbl>
            <c:spPr>
              <a:solidFill>
                <a:schemeClr val="bg1"/>
              </a:solidFill>
              <a:ln>
                <a:solidFill>
                  <a:schemeClr val="accent1">
                    <a:lumMod val="75000"/>
                  </a:schemeClr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accent1">
                        <a:lumMod val="75000"/>
                      </a:schemeClr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đồ'!$E$44:$AO$45</c15:sqref>
                  </c15:fullRef>
                </c:ext>
              </c:extLst>
              <c:f>'Vẽ Biểu đồ'!$E$44:$AO$45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đồ'!$E$48:$AO$48</c15:sqref>
                  </c15:fullRef>
                </c:ext>
              </c:extLst>
              <c:f>('Vẽ Biểu đồ'!$E$48:$AB$48,'Vẽ Biểu đồ'!$AO$48)</c:f>
              <c:numCache>
                <c:formatCode>_(* #,##0_);_(* \(#,##0\);_(* "-"??_);_(@_)</c:formatCode>
                <c:ptCount val="25"/>
                <c:pt idx="0">
                  <c:v>1340</c:v>
                </c:pt>
                <c:pt idx="1">
                  <c:v>1340</c:v>
                </c:pt>
                <c:pt idx="2">
                  <c:v>1340</c:v>
                </c:pt>
                <c:pt idx="3">
                  <c:v>1340</c:v>
                </c:pt>
                <c:pt idx="4">
                  <c:v>1390</c:v>
                </c:pt>
                <c:pt idx="5">
                  <c:v>1390</c:v>
                </c:pt>
                <c:pt idx="6">
                  <c:v>1390</c:v>
                </c:pt>
                <c:pt idx="7">
                  <c:v>1390</c:v>
                </c:pt>
                <c:pt idx="8">
                  <c:v>1400</c:v>
                </c:pt>
                <c:pt idx="9">
                  <c:v>1415</c:v>
                </c:pt>
                <c:pt idx="10">
                  <c:v>1415</c:v>
                </c:pt>
                <c:pt idx="11">
                  <c:v>1365</c:v>
                </c:pt>
                <c:pt idx="12">
                  <c:v>1320</c:v>
                </c:pt>
                <c:pt idx="13">
                  <c:v>1280</c:v>
                </c:pt>
                <c:pt idx="14">
                  <c:v>1320</c:v>
                </c:pt>
                <c:pt idx="15">
                  <c:v>1340</c:v>
                </c:pt>
                <c:pt idx="16">
                  <c:v>1340</c:v>
                </c:pt>
                <c:pt idx="17">
                  <c:v>1340</c:v>
                </c:pt>
                <c:pt idx="18">
                  <c:v>1340</c:v>
                </c:pt>
                <c:pt idx="19">
                  <c:v>1310</c:v>
                </c:pt>
                <c:pt idx="20">
                  <c:v>1310</c:v>
                </c:pt>
                <c:pt idx="21">
                  <c:v>1300</c:v>
                </c:pt>
                <c:pt idx="22">
                  <c:v>1290</c:v>
                </c:pt>
                <c:pt idx="23">
                  <c:v>1290</c:v>
                </c:pt>
                <c:pt idx="24">
                  <c:v>1290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đồ'!$E$58:$AO$58</c15:f>
                <c15:dlblRangeCache>
                  <c:ptCount val="37"/>
                  <c:pt idx="0">
                    <c:v> 1,340 </c:v>
                  </c:pt>
                  <c:pt idx="1">
                    <c:v> 1,340 </c:v>
                  </c:pt>
                  <c:pt idx="2">
                    <c:v> 1,340 </c:v>
                  </c:pt>
                  <c:pt idx="3">
                    <c:v> 1,340 </c:v>
                  </c:pt>
                  <c:pt idx="4">
                    <c:v> 1,390 </c:v>
                  </c:pt>
                  <c:pt idx="5">
                    <c:v> 1,390 </c:v>
                  </c:pt>
                  <c:pt idx="6">
                    <c:v> 1,390 </c:v>
                  </c:pt>
                  <c:pt idx="7">
                    <c:v> 1,390 </c:v>
                  </c:pt>
                  <c:pt idx="8">
                    <c:v> 1,400 </c:v>
                  </c:pt>
                  <c:pt idx="9">
                    <c:v> 1,415 </c:v>
                  </c:pt>
                  <c:pt idx="10">
                    <c:v> 1,415 </c:v>
                  </c:pt>
                  <c:pt idx="11">
                    <c:v> 1,365 </c:v>
                  </c:pt>
                  <c:pt idx="12">
                    <c:v> 1,320 </c:v>
                  </c:pt>
                  <c:pt idx="13">
                    <c:v> 1,280 </c:v>
                  </c:pt>
                  <c:pt idx="14">
                    <c:v> 1,320 </c:v>
                  </c:pt>
                  <c:pt idx="15">
                    <c:v> 1,340 </c:v>
                  </c:pt>
                  <c:pt idx="16">
                    <c:v> 1,340 </c:v>
                  </c:pt>
                  <c:pt idx="17">
                    <c:v> 1,340 </c:v>
                  </c:pt>
                  <c:pt idx="18">
                    <c:v> 1,340 </c:v>
                  </c:pt>
                  <c:pt idx="19">
                    <c:v> 1,310 </c:v>
                  </c:pt>
                  <c:pt idx="20">
                    <c:v> 1,310 </c:v>
                  </c:pt>
                  <c:pt idx="21">
                    <c:v> 1,300 </c:v>
                  </c:pt>
                  <c:pt idx="22">
                    <c:v> 1,290 </c:v>
                  </c:pt>
                  <c:pt idx="23">
                    <c:v> 1,290 </c:v>
                  </c:pt>
                  <c:pt idx="36">
                    <c:v>Giá duyệt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40-1B96-4AFE-B517-60F0D45F1E6D}"/>
            </c:ext>
          </c:extLst>
        </c:ser>
        <c:ser>
          <c:idx val="3"/>
          <c:order val="3"/>
          <c:tx>
            <c:strRef>
              <c:f>'Vẽ Biểu đồ'!$D$49</c:f>
              <c:strCache>
                <c:ptCount val="1"/>
                <c:pt idx="0">
                  <c:v>Giá chính phẩm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Pt>
            <c:idx val="24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DC58-462A-8D96-7660D2D0DE2B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BFCE1162-A8BD-414E-A937-6B53BAB6ED3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3-1B96-4AFE-B517-60F0D45F1E6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2AAEAC2D-5F2A-4986-8CC6-3403EF9C4B4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4-1B96-4AFE-B517-60F0D45F1E6D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72C50F61-D6E0-48DF-951A-FD577865732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5-1B96-4AFE-B517-60F0D45F1E6D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DA519FBE-807E-47DE-B3A0-90AAAA55F40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6-1B96-4AFE-B517-60F0D45F1E6D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1700EFEC-67CB-41F7-BC32-C5642382CE4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7-1B96-4AFE-B517-60F0D45F1E6D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97110DD7-CE63-4AE3-BA1A-C514E013574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8-1B96-4AFE-B517-60F0D45F1E6D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D870A1B9-430A-4648-9B9D-D55D7F0F336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9-1B96-4AFE-B517-60F0D45F1E6D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6C810614-28E1-4AF6-B31D-950D5CB7521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A-1B96-4AFE-B517-60F0D45F1E6D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7E847293-7835-4C9C-9A01-89D5158B726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B-1B96-4AFE-B517-60F0D45F1E6D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7B0D19FB-E600-4D2C-979B-6AE296D6C85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C-1B96-4AFE-B517-60F0D45F1E6D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0B810155-5689-4965-80BF-0E4455E4AF1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D-1B96-4AFE-B517-60F0D45F1E6D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D0D60E25-464F-4FE7-A4E7-BA45CFD3B14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E-1B96-4AFE-B517-60F0D45F1E6D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5663659E-784D-4AAF-9774-75C60D433A2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F-1B96-4AFE-B517-60F0D45F1E6D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57A0B48F-6B3D-4419-8252-D6F19EB132E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0-1B96-4AFE-B517-60F0D45F1E6D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A42B8974-9C07-46B7-A4AD-9C6CA424E56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1-1B96-4AFE-B517-60F0D45F1E6D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8876BD70-2340-40A3-99DB-E9148677660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2-1B96-4AFE-B517-60F0D45F1E6D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F4BD163B-3D85-40A4-8082-7C111DE4242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3-1B96-4AFE-B517-60F0D45F1E6D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94FE6B37-4A11-4E4F-9669-B0EC9AF2B38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4-1B96-4AFE-B517-60F0D45F1E6D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5C4DEC97-7F41-4224-AFC5-B696CC645FC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F931-463A-80F4-3CB5A2DF4B49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00CA53E9-2D96-4F5E-8712-6F13D62739C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E5D1-4953-A120-371B56228E26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4442C90C-8E67-4A02-A232-DBD54E662A2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3F4A-4450-AFF3-6BB55BEB234D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AD554194-D4DE-4A69-8AB4-A8FB959C35A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FA88-417D-954C-78E7D526348A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07C8CCB3-53DB-406C-A6DE-88A7E0D2575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D684-4255-8AD7-829A33553489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F61548C7-3B7A-43EB-89B4-4EF711F402C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3461-46C8-8C51-305FDD0A1529}"/>
                </c:ext>
              </c:extLst>
            </c:dLbl>
            <c:dLbl>
              <c:idx val="24"/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300" b="1" i="0" u="none" strike="noStrike" kern="1200" baseline="0">
                        <a:solidFill>
                          <a:schemeClr val="accent4"/>
                        </a:solidFill>
                        <a:latin typeface="+mj-lt"/>
                        <a:ea typeface="+mn-ea"/>
                        <a:cs typeface="+mn-cs"/>
                      </a:defRPr>
                    </a:pPr>
                    <a:fld id="{238A05DB-5675-41C3-BEDF-19CC58119AC5}" type="CELLRANGE">
                      <a:rPr lang="en-US"/>
                      <a:pPr>
                        <a:defRPr sz="1300" b="1">
                          <a:solidFill>
                            <a:schemeClr val="accent4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300" b="1" i="0" u="none" strike="noStrike" kern="1200" baseline="0">
                      <a:solidFill>
                        <a:schemeClr val="accent4"/>
                      </a:solidFill>
                      <a:latin typeface="+mj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9.0873143007331778E-2"/>
                      <c:h val="7.4643050430826766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DC58-462A-8D96-7660D2D0DE2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accent4"/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đồ'!$E$44:$AO$45</c15:sqref>
                  </c15:fullRef>
                </c:ext>
              </c:extLst>
              <c:f>'Vẽ Biểu đồ'!$E$44:$AO$45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đồ'!$E$49:$AO$49</c15:sqref>
                  </c15:fullRef>
                </c:ext>
              </c:extLst>
              <c:f>('Vẽ Biểu đồ'!$E$49:$AB$49,'Vẽ Biểu đồ'!$AO$49)</c:f>
              <c:numCache>
                <c:formatCode>_(* #,##0_);_(* \(#,##0\);_(* "-"??_);_(@_)</c:formatCode>
                <c:ptCount val="25"/>
                <c:pt idx="0">
                  <c:v>930</c:v>
                </c:pt>
                <c:pt idx="1">
                  <c:v>943.33333333333337</c:v>
                </c:pt>
                <c:pt idx="2">
                  <c:v>940</c:v>
                </c:pt>
                <c:pt idx="3">
                  <c:v>940</c:v>
                </c:pt>
                <c:pt idx="4">
                  <c:v>942</c:v>
                </c:pt>
                <c:pt idx="5">
                  <c:v>950</c:v>
                </c:pt>
                <c:pt idx="6">
                  <c:v>947.5</c:v>
                </c:pt>
                <c:pt idx="7">
                  <c:v>930</c:v>
                </c:pt>
                <c:pt idx="8">
                  <c:v>880</c:v>
                </c:pt>
                <c:pt idx="9">
                  <c:v>862.5</c:v>
                </c:pt>
                <c:pt idx="10">
                  <c:v>852</c:v>
                </c:pt>
                <c:pt idx="11">
                  <c:v>830</c:v>
                </c:pt>
                <c:pt idx="12">
                  <c:v>828</c:v>
                </c:pt>
                <c:pt idx="13">
                  <c:v>840</c:v>
                </c:pt>
                <c:pt idx="14">
                  <c:v>823</c:v>
                </c:pt>
                <c:pt idx="15">
                  <c:v>765</c:v>
                </c:pt>
                <c:pt idx="16">
                  <c:v>782</c:v>
                </c:pt>
                <c:pt idx="17">
                  <c:v>807.5</c:v>
                </c:pt>
                <c:pt idx="18">
                  <c:v>802</c:v>
                </c:pt>
                <c:pt idx="19">
                  <c:v>795</c:v>
                </c:pt>
                <c:pt idx="20">
                  <c:v>783</c:v>
                </c:pt>
                <c:pt idx="21">
                  <c:v>772</c:v>
                </c:pt>
                <c:pt idx="22">
                  <c:v>770</c:v>
                </c:pt>
                <c:pt idx="23">
                  <c:v>770</c:v>
                </c:pt>
                <c:pt idx="24">
                  <c:v>770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đồ'!$E$59:$AO$59</c15:f>
                <c15:dlblRangeCache>
                  <c:ptCount val="37"/>
                  <c:pt idx="0">
                    <c:v> 930 </c:v>
                  </c:pt>
                  <c:pt idx="1">
                    <c:v> 943 </c:v>
                  </c:pt>
                  <c:pt idx="2">
                    <c:v> 940 </c:v>
                  </c:pt>
                  <c:pt idx="3">
                    <c:v> 940 </c:v>
                  </c:pt>
                  <c:pt idx="4">
                    <c:v> 942 </c:v>
                  </c:pt>
                  <c:pt idx="5">
                    <c:v> 950 </c:v>
                  </c:pt>
                  <c:pt idx="6">
                    <c:v> 948 </c:v>
                  </c:pt>
                  <c:pt idx="7">
                    <c:v> 930 </c:v>
                  </c:pt>
                  <c:pt idx="8">
                    <c:v> 880 </c:v>
                  </c:pt>
                  <c:pt idx="9">
                    <c:v> 863 </c:v>
                  </c:pt>
                  <c:pt idx="10">
                    <c:v> 852 </c:v>
                  </c:pt>
                  <c:pt idx="11">
                    <c:v> 830 </c:v>
                  </c:pt>
                  <c:pt idx="12">
                    <c:v> 828 </c:v>
                  </c:pt>
                  <c:pt idx="13">
                    <c:v> 840 </c:v>
                  </c:pt>
                  <c:pt idx="14">
                    <c:v> 823 </c:v>
                  </c:pt>
                  <c:pt idx="15">
                    <c:v> 765 </c:v>
                  </c:pt>
                  <c:pt idx="16">
                    <c:v> 782 </c:v>
                  </c:pt>
                  <c:pt idx="17">
                    <c:v> 808 </c:v>
                  </c:pt>
                  <c:pt idx="18">
                    <c:v> 802 </c:v>
                  </c:pt>
                  <c:pt idx="19">
                    <c:v> 795 </c:v>
                  </c:pt>
                  <c:pt idx="20">
                    <c:v> 783 </c:v>
                  </c:pt>
                  <c:pt idx="21">
                    <c:v> 772 </c:v>
                  </c:pt>
                  <c:pt idx="22">
                    <c:v> 770 </c:v>
                  </c:pt>
                  <c:pt idx="23">
                    <c:v> 770 </c:v>
                  </c:pt>
                  <c:pt idx="36">
                    <c:v>Giá chính phẩm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55-1B96-4AFE-B517-60F0D45F1E6D}"/>
            </c:ext>
          </c:extLst>
        </c:ser>
        <c:ser>
          <c:idx val="6"/>
          <c:order val="4"/>
          <c:tx>
            <c:strRef>
              <c:f>'Vẽ Biểu đồ'!$D$52</c:f>
              <c:strCache>
                <c:ptCount val="1"/>
                <c:pt idx="0">
                  <c:v>Chênh lệch-Line Drop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errBars>
            <c:errDir val="y"/>
            <c:errBarType val="minus"/>
            <c:errValType val="cust"/>
            <c:noEndCap val="1"/>
            <c:plus>
              <c:numRef>
                <c:extLst>
                  <c:ext xmlns:c15="http://schemas.microsoft.com/office/drawing/2012/chart" uri="{02D57815-91ED-43cb-92C2-25804820EDAC}">
                    <c15:fullRef>
                      <c15:sqref>'Vẽ Biểu đồ'!$E$32:$AO$32</c15:sqref>
                    </c15:fullRef>
                  </c:ext>
                </c:extLst>
                <c:f>('Vẽ Biểu đồ'!$E$32:$AB$32,'Vẽ Biểu đồ'!$AO$32)</c:f>
                <c:numCache>
                  <c:formatCode>General</c:formatCode>
                  <c:ptCount val="25"/>
                  <c:pt idx="0">
                    <c:v>350</c:v>
                  </c:pt>
                  <c:pt idx="1">
                    <c:v>336.66666666666663</c:v>
                  </c:pt>
                  <c:pt idx="2">
                    <c:v>340</c:v>
                  </c:pt>
                  <c:pt idx="3">
                    <c:v>340</c:v>
                  </c:pt>
                  <c:pt idx="4">
                    <c:v>388</c:v>
                  </c:pt>
                  <c:pt idx="5">
                    <c:v>380</c:v>
                  </c:pt>
                  <c:pt idx="6">
                    <c:v>382.5</c:v>
                  </c:pt>
                  <c:pt idx="7">
                    <c:v>400</c:v>
                  </c:pt>
                  <c:pt idx="8">
                    <c:v>460</c:v>
                  </c:pt>
                  <c:pt idx="9">
                    <c:v>492.5</c:v>
                  </c:pt>
                  <c:pt idx="10">
                    <c:v>503</c:v>
                  </c:pt>
                  <c:pt idx="11">
                    <c:v>475</c:v>
                  </c:pt>
                  <c:pt idx="12">
                    <c:v>432</c:v>
                  </c:pt>
                  <c:pt idx="13">
                    <c:v>420</c:v>
                  </c:pt>
                  <c:pt idx="14">
                    <c:v>437</c:v>
                  </c:pt>
                  <c:pt idx="15">
                    <c:v>515</c:v>
                  </c:pt>
                  <c:pt idx="16">
                    <c:v>498</c:v>
                  </c:pt>
                  <c:pt idx="17">
                    <c:v>472.5</c:v>
                  </c:pt>
                  <c:pt idx="18">
                    <c:v>478</c:v>
                  </c:pt>
                  <c:pt idx="19">
                    <c:v>455</c:v>
                  </c:pt>
                  <c:pt idx="20">
                    <c:v>467</c:v>
                  </c:pt>
                  <c:pt idx="21">
                    <c:v>468</c:v>
                  </c:pt>
                  <c:pt idx="22">
                    <c:v>460</c:v>
                  </c:pt>
                  <c:pt idx="23">
                    <c:v>460</c:v>
                  </c:pt>
                </c:numCache>
              </c:numRef>
            </c:plus>
            <c:minus>
              <c:numRef>
                <c:extLst>
                  <c:ext xmlns:c15="http://schemas.microsoft.com/office/drawing/2012/chart" uri="{02D57815-91ED-43cb-92C2-25804820EDAC}">
                    <c15:fullRef>
                      <c15:sqref>'Vẽ Biểu đồ'!$E$50:$AO$50</c15:sqref>
                    </c15:fullRef>
                  </c:ext>
                </c:extLst>
                <c:f>('Vẽ Biểu đồ'!$E$50:$AB$50,'Vẽ Biểu đồ'!$AO$50)</c:f>
                <c:numCache>
                  <c:formatCode>General</c:formatCode>
                  <c:ptCount val="25"/>
                  <c:pt idx="0">
                    <c:v>410</c:v>
                  </c:pt>
                  <c:pt idx="1">
                    <c:v>396.66666666666663</c:v>
                  </c:pt>
                  <c:pt idx="2">
                    <c:v>400</c:v>
                  </c:pt>
                  <c:pt idx="3">
                    <c:v>400</c:v>
                  </c:pt>
                  <c:pt idx="4">
                    <c:v>448</c:v>
                  </c:pt>
                  <c:pt idx="5">
                    <c:v>440</c:v>
                  </c:pt>
                  <c:pt idx="6">
                    <c:v>442.5</c:v>
                  </c:pt>
                  <c:pt idx="7">
                    <c:v>460</c:v>
                  </c:pt>
                  <c:pt idx="8">
                    <c:v>520</c:v>
                  </c:pt>
                  <c:pt idx="9">
                    <c:v>552.5</c:v>
                  </c:pt>
                  <c:pt idx="10">
                    <c:v>563</c:v>
                  </c:pt>
                  <c:pt idx="11">
                    <c:v>535</c:v>
                  </c:pt>
                  <c:pt idx="12">
                    <c:v>492</c:v>
                  </c:pt>
                  <c:pt idx="13">
                    <c:v>440</c:v>
                  </c:pt>
                  <c:pt idx="14">
                    <c:v>497</c:v>
                  </c:pt>
                  <c:pt idx="15">
                    <c:v>575</c:v>
                  </c:pt>
                  <c:pt idx="16">
                    <c:v>558</c:v>
                  </c:pt>
                  <c:pt idx="17">
                    <c:v>532.5</c:v>
                  </c:pt>
                  <c:pt idx="18">
                    <c:v>538</c:v>
                  </c:pt>
                  <c:pt idx="19">
                    <c:v>515</c:v>
                  </c:pt>
                  <c:pt idx="20">
                    <c:v>527</c:v>
                  </c:pt>
                  <c:pt idx="21">
                    <c:v>528</c:v>
                  </c:pt>
                  <c:pt idx="22">
                    <c:v>520</c:v>
                  </c:pt>
                  <c:pt idx="23">
                    <c:v>520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bg1">
                    <a:lumMod val="85000"/>
                  </a:schemeClr>
                </a:solidFill>
                <a:prstDash val="sysDot"/>
                <a:round/>
                <a:headEnd type="triangle"/>
                <a:tailEnd type="triangle"/>
              </a:ln>
              <a:effectLst/>
            </c:spPr>
          </c:errBar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đồ'!$E$44:$AO$45</c15:sqref>
                  </c15:fullRef>
                </c:ext>
              </c:extLst>
              <c:f>'Vẽ Biểu đồ'!$E$44:$AO$45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đồ'!$E$52:$AO$52</c15:sqref>
                  </c15:fullRef>
                </c:ext>
              </c:extLst>
              <c:f>('Vẽ Biểu đồ'!$E$52:$AB$52,'Vẽ Biểu đồ'!$AO$52)</c:f>
              <c:numCache>
                <c:formatCode>_(* #,##0_);_(* \(#,##0\);_(* "-"??_);_(@_)</c:formatCode>
                <c:ptCount val="25"/>
                <c:pt idx="0">
                  <c:v>1340</c:v>
                </c:pt>
                <c:pt idx="1">
                  <c:v>1340</c:v>
                </c:pt>
                <c:pt idx="2">
                  <c:v>1340</c:v>
                </c:pt>
                <c:pt idx="3">
                  <c:v>1340</c:v>
                </c:pt>
                <c:pt idx="4">
                  <c:v>1390</c:v>
                </c:pt>
                <c:pt idx="5">
                  <c:v>1390</c:v>
                </c:pt>
                <c:pt idx="6">
                  <c:v>1390</c:v>
                </c:pt>
                <c:pt idx="7">
                  <c:v>1390</c:v>
                </c:pt>
                <c:pt idx="8">
                  <c:v>1400</c:v>
                </c:pt>
                <c:pt idx="9">
                  <c:v>1415</c:v>
                </c:pt>
                <c:pt idx="10">
                  <c:v>1415</c:v>
                </c:pt>
                <c:pt idx="11">
                  <c:v>1365</c:v>
                </c:pt>
                <c:pt idx="12">
                  <c:v>1320</c:v>
                </c:pt>
                <c:pt idx="13">
                  <c:v>1280</c:v>
                </c:pt>
                <c:pt idx="14">
                  <c:v>1320</c:v>
                </c:pt>
                <c:pt idx="15">
                  <c:v>1340</c:v>
                </c:pt>
                <c:pt idx="16">
                  <c:v>1340</c:v>
                </c:pt>
                <c:pt idx="17">
                  <c:v>1340</c:v>
                </c:pt>
                <c:pt idx="18">
                  <c:v>1340</c:v>
                </c:pt>
                <c:pt idx="19">
                  <c:v>1310</c:v>
                </c:pt>
                <c:pt idx="20">
                  <c:v>1310</c:v>
                </c:pt>
                <c:pt idx="21">
                  <c:v>1300</c:v>
                </c:pt>
                <c:pt idx="22">
                  <c:v>1290</c:v>
                </c:pt>
                <c:pt idx="23">
                  <c:v>1290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1B96-4AFE-B517-60F0D45F1E6D}"/>
            </c:ext>
          </c:extLst>
        </c:ser>
        <c:ser>
          <c:idx val="7"/>
          <c:order val="7"/>
          <c:tx>
            <c:strRef>
              <c:f>'Vẽ Biểu đồ'!$D$53</c:f>
              <c:strCache>
                <c:ptCount val="1"/>
                <c:pt idx="0">
                  <c:v>Chênh lệch-Label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fld id="{EDA2AD23-F47F-412B-8666-2CAD3470F7D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7-1B96-4AFE-B517-60F0D45F1E6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14ED27F7-EA21-46E7-BA1C-C4C841B54AA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8-1B96-4AFE-B517-60F0D45F1E6D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354A29B9-4FCE-4F94-A41B-45A83AF2591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9-1B96-4AFE-B517-60F0D45F1E6D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E0295118-9BC8-48EA-974B-3C80F0BC789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A-1B96-4AFE-B517-60F0D45F1E6D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91E71223-8D7D-4448-9B33-7E52B43B545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B-1B96-4AFE-B517-60F0D45F1E6D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5381F8B7-EC7F-4E4C-ABA8-504C9C2E9A8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C-1B96-4AFE-B517-60F0D45F1E6D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3C38034C-4E2D-4A51-9DD2-2D334577414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D-1B96-4AFE-B517-60F0D45F1E6D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4DF74245-B775-48A4-85DE-7256ADCF0CF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E-1B96-4AFE-B517-60F0D45F1E6D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4949E507-85DC-47A2-AC31-9A3C0E3D877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F-1B96-4AFE-B517-60F0D45F1E6D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128D67AC-841A-4AFD-ABB7-8A94EEAFB64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0-1B96-4AFE-B517-60F0D45F1E6D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CA782FC5-9AF0-4C75-B6BE-9DCD94BB8AA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1-1B96-4AFE-B517-60F0D45F1E6D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18D56EEA-5AAC-4938-8012-1DFDB5F26E2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2-1B96-4AFE-B517-60F0D45F1E6D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60259DCF-8D74-4327-BBB2-48EAD760A28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3-1B96-4AFE-B517-60F0D45F1E6D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FD4A1CD8-2896-411B-8826-A7143C44E8E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4-1B96-4AFE-B517-60F0D45F1E6D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7F2B8741-F5BC-4526-A522-0A17F814716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5-1B96-4AFE-B517-60F0D45F1E6D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404EAD80-805C-43A9-B23B-C794574A3C6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6-1B96-4AFE-B517-60F0D45F1E6D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28178FC7-8A48-4FB9-A84E-4005108340C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7-1B96-4AFE-B517-60F0D45F1E6D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15FE23EC-95AD-4426-9274-9A83432FAE3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8-1B96-4AFE-B517-60F0D45F1E6D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18A19492-F855-4612-B2D8-17B6898755B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F931-463A-80F4-3CB5A2DF4B49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D897894A-6B00-4124-B79E-A97BE020117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E5D1-4953-A120-371B56228E26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0ED5123A-5782-4074-864E-5B9CE4043AA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3F4A-4450-AFF3-6BB55BEB234D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304D7934-8568-43B0-9D41-8C3F4861FF2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FA88-417D-954C-78E7D526348A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DA9016E0-87BC-47A9-A6BB-EAF3EBC6378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D684-4255-8AD7-829A33553489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528DBA69-E871-434C-A01D-6435259495F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3461-46C8-8C51-305FDD0A1529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4-3461-46C8-8C51-305FDD0A1529}"/>
                </c:ext>
              </c:extLst>
            </c:dLbl>
            <c:spPr>
              <a:solidFill>
                <a:schemeClr val="bg1"/>
              </a:solidFill>
              <a:ln>
                <a:solidFill>
                  <a:schemeClr val="bg1">
                    <a:lumMod val="50000"/>
                  </a:schemeClr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1">
                        <a:lumMod val="50000"/>
                      </a:schemeClr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đồ'!$E$44:$AO$45</c15:sqref>
                  </c15:fullRef>
                </c:ext>
              </c:extLst>
              <c:f>'Vẽ Biểu đồ'!$E$44:$AO$45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đồ'!$E$53:$AO$53</c15:sqref>
                  </c15:fullRef>
                </c:ext>
              </c:extLst>
              <c:f>('Vẽ Biểu đồ'!$E$53:$AB$53,'Vẽ Biểu đồ'!$AO$53)</c:f>
              <c:numCache>
                <c:formatCode>_(* #,##0_);_(* \(#,##0\);_(* "-"??_);_(@_)</c:formatCode>
                <c:ptCount val="25"/>
                <c:pt idx="0">
                  <c:v>1135</c:v>
                </c:pt>
                <c:pt idx="1">
                  <c:v>1141.6666666666667</c:v>
                </c:pt>
                <c:pt idx="2">
                  <c:v>1140</c:v>
                </c:pt>
                <c:pt idx="3">
                  <c:v>1140</c:v>
                </c:pt>
                <c:pt idx="4">
                  <c:v>1166</c:v>
                </c:pt>
                <c:pt idx="5">
                  <c:v>1170</c:v>
                </c:pt>
                <c:pt idx="6">
                  <c:v>1168.75</c:v>
                </c:pt>
                <c:pt idx="7">
                  <c:v>1160</c:v>
                </c:pt>
                <c:pt idx="8">
                  <c:v>1140</c:v>
                </c:pt>
                <c:pt idx="9">
                  <c:v>1138.75</c:v>
                </c:pt>
                <c:pt idx="10">
                  <c:v>1133.5</c:v>
                </c:pt>
                <c:pt idx="11">
                  <c:v>1097.5</c:v>
                </c:pt>
                <c:pt idx="12">
                  <c:v>1074</c:v>
                </c:pt>
                <c:pt idx="13">
                  <c:v>1060</c:v>
                </c:pt>
                <c:pt idx="14">
                  <c:v>1071.5</c:v>
                </c:pt>
                <c:pt idx="15">
                  <c:v>1052.5</c:v>
                </c:pt>
                <c:pt idx="16">
                  <c:v>1061</c:v>
                </c:pt>
                <c:pt idx="17">
                  <c:v>1073.75</c:v>
                </c:pt>
                <c:pt idx="18">
                  <c:v>1071</c:v>
                </c:pt>
                <c:pt idx="19">
                  <c:v>1052.5</c:v>
                </c:pt>
                <c:pt idx="20">
                  <c:v>1046.5</c:v>
                </c:pt>
                <c:pt idx="21">
                  <c:v>1036</c:v>
                </c:pt>
                <c:pt idx="22">
                  <c:v>1030</c:v>
                </c:pt>
                <c:pt idx="23">
                  <c:v>1030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đồ'!$E$14:$AO$14</c15:f>
                <c15:dlblRangeCache>
                  <c:ptCount val="37"/>
                  <c:pt idx="0">
                    <c:v>+34.4%</c:v>
                  </c:pt>
                  <c:pt idx="1">
                    <c:v>+32.5%</c:v>
                  </c:pt>
                  <c:pt idx="2">
                    <c:v>+33.0%</c:v>
                  </c:pt>
                  <c:pt idx="3">
                    <c:v>+33.0%</c:v>
                  </c:pt>
                  <c:pt idx="4">
                    <c:v>+38.0%</c:v>
                  </c:pt>
                  <c:pt idx="5">
                    <c:v>+36.8%</c:v>
                  </c:pt>
                  <c:pt idx="6">
                    <c:v>+37.2%</c:v>
                  </c:pt>
                  <c:pt idx="7">
                    <c:v>+39.8%</c:v>
                  </c:pt>
                  <c:pt idx="8">
                    <c:v>+48.9%</c:v>
                  </c:pt>
                  <c:pt idx="9">
                    <c:v>+53.6%</c:v>
                  </c:pt>
                  <c:pt idx="10">
                    <c:v>+55.5%</c:v>
                  </c:pt>
                  <c:pt idx="11">
                    <c:v>+53.6%</c:v>
                  </c:pt>
                  <c:pt idx="12">
                    <c:v>+48.6%</c:v>
                  </c:pt>
                  <c:pt idx="13">
                    <c:v>+46.4%</c:v>
                  </c:pt>
                  <c:pt idx="14">
                    <c:v>+49.5%</c:v>
                  </c:pt>
                  <c:pt idx="15">
                    <c:v>+63.4%</c:v>
                  </c:pt>
                  <c:pt idx="16">
                    <c:v>+59.8%</c:v>
                  </c:pt>
                  <c:pt idx="17">
                    <c:v>+54.8%</c:v>
                  </c:pt>
                  <c:pt idx="18">
                    <c:v>+55.9%</c:v>
                  </c:pt>
                  <c:pt idx="19">
                    <c:v>+53.5%</c:v>
                  </c:pt>
                  <c:pt idx="20">
                    <c:v>+55.8%</c:v>
                  </c:pt>
                  <c:pt idx="21">
                    <c:v>+56.7%</c:v>
                  </c:pt>
                  <c:pt idx="22">
                    <c:v>+55.8%</c:v>
                  </c:pt>
                  <c:pt idx="23">
                    <c:v>+55.8%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6A-1B96-4AFE-B517-60F0D45F1E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6623744"/>
        <c:axId val="516630464"/>
      </c:lineChart>
      <c:catAx>
        <c:axId val="516623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1" i="0" u="none" strike="noStrike" kern="1200" baseline="0">
                <a:solidFill>
                  <a:schemeClr val="bg1">
                    <a:lumMod val="65000"/>
                  </a:schemeClr>
                </a:solidFill>
                <a:latin typeface="+mj-lt"/>
                <a:ea typeface="+mn-ea"/>
                <a:cs typeface="+mn-cs"/>
              </a:defRPr>
            </a:pPr>
            <a:endParaRPr lang="en-US"/>
          </a:p>
        </c:txPr>
        <c:crossAx val="516630464"/>
        <c:crosses val="autoZero"/>
        <c:auto val="1"/>
        <c:lblAlgn val="ctr"/>
        <c:lblOffset val="100"/>
        <c:noMultiLvlLbl val="0"/>
      </c:catAx>
      <c:valAx>
        <c:axId val="516630464"/>
        <c:scaling>
          <c:orientation val="minMax"/>
          <c:max val="1550"/>
          <c:min val="730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65000"/>
                  </a:schemeClr>
                </a:solidFill>
                <a:latin typeface="+mj-lt"/>
                <a:ea typeface="+mn-ea"/>
                <a:cs typeface="+mn-cs"/>
              </a:defRPr>
            </a:pPr>
            <a:endParaRPr lang="en-US"/>
          </a:p>
        </c:txPr>
        <c:crossAx val="516623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accent2"/>
      </a:solidFill>
      <a:round/>
    </a:ln>
    <a:effectLst/>
  </c:spPr>
  <c:txPr>
    <a:bodyPr/>
    <a:lstStyle/>
    <a:p>
      <a:pPr>
        <a:defRPr>
          <a:latin typeface="+mj-lt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500" b="1" i="0" u="none" strike="noStrike" kern="1200" spc="0" baseline="0">
                <a:solidFill>
                  <a:schemeClr val="accent2"/>
                </a:solidFill>
                <a:latin typeface="+mj-lt"/>
                <a:ea typeface="+mn-ea"/>
                <a:cs typeface="+mn-cs"/>
              </a:defRPr>
            </a:pPr>
            <a:r>
              <a:rPr lang="en-US" sz="2500" b="1">
                <a:solidFill>
                  <a:schemeClr val="accent2"/>
                </a:solidFill>
              </a:rPr>
              <a:t>GIÁ BÁN EXW - iSS01G</a:t>
            </a:r>
          </a:p>
        </c:rich>
      </c:tx>
      <c:layout>
        <c:manualLayout>
          <c:xMode val="edge"/>
          <c:yMode val="edge"/>
          <c:x val="0.31738212133497329"/>
          <c:y val="1.1600789312461526E-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500" b="1" i="0" u="none" strike="noStrike" kern="1200" spc="0" baseline="0">
              <a:solidFill>
                <a:schemeClr val="accent2"/>
              </a:solidFill>
              <a:latin typeface="+mj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"/>
          <c:y val="1.5409387430806942E-2"/>
          <c:w val="0.96006059276030531"/>
          <c:h val="0.88155626882568061"/>
        </c:manualLayout>
      </c:layout>
      <c:areaChart>
        <c:grouping val="standard"/>
        <c:varyColors val="0"/>
        <c:ser>
          <c:idx val="5"/>
          <c:order val="5"/>
          <c:tx>
            <c:strRef>
              <c:f>'Vẽ Biểu đồ'!$D$36</c:f>
              <c:strCache>
                <c:ptCount val="1"/>
                <c:pt idx="0">
                  <c:v>Giá duyệt-Area</c:v>
                </c:pt>
              </c:strCache>
            </c:strRef>
          </c:tx>
          <c:spPr>
            <a:solidFill>
              <a:srgbClr val="FFF2CC"/>
            </a:solidFill>
            <a:ln w="25400">
              <a:noFill/>
            </a:ln>
            <a:effectLst/>
          </c:spPr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đồ'!$E$26:$AO$27</c15:sqref>
                  </c15:fullRef>
                </c:ext>
              </c:extLst>
              <c:f>'Vẽ Biểu đồ'!$E$26:$AO$27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đồ'!$E$36:$AO$36</c15:sqref>
                  </c15:fullRef>
                </c:ext>
              </c:extLst>
              <c:f>('Vẽ Biểu đồ'!$E$36:$AB$36,'Vẽ Biểu đồ'!$AO$36)</c:f>
              <c:numCache>
                <c:formatCode>_(* #,##0_);_(* \(#,##0\);_(* "-"??_);_(@_)</c:formatCode>
                <c:ptCount val="25"/>
                <c:pt idx="0">
                  <c:v>1280</c:v>
                </c:pt>
                <c:pt idx="1">
                  <c:v>1280</c:v>
                </c:pt>
                <c:pt idx="2">
                  <c:v>1280</c:v>
                </c:pt>
                <c:pt idx="3">
                  <c:v>1280</c:v>
                </c:pt>
                <c:pt idx="4">
                  <c:v>1330</c:v>
                </c:pt>
                <c:pt idx="5">
                  <c:v>1330</c:v>
                </c:pt>
                <c:pt idx="6">
                  <c:v>1330</c:v>
                </c:pt>
                <c:pt idx="7">
                  <c:v>1330</c:v>
                </c:pt>
                <c:pt idx="8">
                  <c:v>1340</c:v>
                </c:pt>
                <c:pt idx="9">
                  <c:v>1355</c:v>
                </c:pt>
                <c:pt idx="10">
                  <c:v>1355</c:v>
                </c:pt>
                <c:pt idx="11">
                  <c:v>1305</c:v>
                </c:pt>
                <c:pt idx="12">
                  <c:v>1260</c:v>
                </c:pt>
                <c:pt idx="13">
                  <c:v>1260</c:v>
                </c:pt>
                <c:pt idx="14">
                  <c:v>1260</c:v>
                </c:pt>
                <c:pt idx="15">
                  <c:v>1280</c:v>
                </c:pt>
                <c:pt idx="16">
                  <c:v>1280</c:v>
                </c:pt>
                <c:pt idx="17">
                  <c:v>1280</c:v>
                </c:pt>
                <c:pt idx="18">
                  <c:v>1280</c:v>
                </c:pt>
                <c:pt idx="19">
                  <c:v>1250</c:v>
                </c:pt>
                <c:pt idx="20">
                  <c:v>1250</c:v>
                </c:pt>
                <c:pt idx="21">
                  <c:v>1240</c:v>
                </c:pt>
                <c:pt idx="22">
                  <c:v>1230</c:v>
                </c:pt>
                <c:pt idx="23">
                  <c:v>1230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D5-4F8D-9630-E32551AC36DC}"/>
            </c:ext>
          </c:extLst>
        </c:ser>
        <c:ser>
          <c:idx val="4"/>
          <c:order val="6"/>
          <c:tx>
            <c:strRef>
              <c:f>'Vẽ Biểu đồ'!$D$37</c:f>
              <c:strCache>
                <c:ptCount val="1"/>
                <c:pt idx="0">
                  <c:v>Giá chính phẩm-Area</c:v>
                </c:pt>
              </c:strCache>
            </c:strRef>
          </c:tx>
          <c:spPr>
            <a:solidFill>
              <a:schemeClr val="bg1"/>
            </a:solidFill>
            <a:ln w="25400">
              <a:noFill/>
            </a:ln>
            <a:effectLst/>
          </c:spPr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đồ'!$E$26:$AO$27</c15:sqref>
                  </c15:fullRef>
                </c:ext>
              </c:extLst>
              <c:f>'Vẽ Biểu đồ'!$E$26:$AO$27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đồ'!$E$37:$AO$37</c15:sqref>
                  </c15:fullRef>
                </c:ext>
              </c:extLst>
              <c:f>('Vẽ Biểu đồ'!$E$37:$AB$37,'Vẽ Biểu đồ'!$AO$37)</c:f>
              <c:numCache>
                <c:formatCode>_(* #,##0_);_(* \(#,##0\);_(* "-"??_);_(@_)</c:formatCode>
                <c:ptCount val="25"/>
                <c:pt idx="0">
                  <c:v>930</c:v>
                </c:pt>
                <c:pt idx="1">
                  <c:v>943.33333333333337</c:v>
                </c:pt>
                <c:pt idx="2">
                  <c:v>940</c:v>
                </c:pt>
                <c:pt idx="3">
                  <c:v>940</c:v>
                </c:pt>
                <c:pt idx="4">
                  <c:v>942</c:v>
                </c:pt>
                <c:pt idx="5">
                  <c:v>950</c:v>
                </c:pt>
                <c:pt idx="6">
                  <c:v>947.5</c:v>
                </c:pt>
                <c:pt idx="7">
                  <c:v>930</c:v>
                </c:pt>
                <c:pt idx="8">
                  <c:v>880</c:v>
                </c:pt>
                <c:pt idx="9">
                  <c:v>862.5</c:v>
                </c:pt>
                <c:pt idx="10">
                  <c:v>852</c:v>
                </c:pt>
                <c:pt idx="11">
                  <c:v>830</c:v>
                </c:pt>
                <c:pt idx="12">
                  <c:v>828</c:v>
                </c:pt>
                <c:pt idx="13">
                  <c:v>840</c:v>
                </c:pt>
                <c:pt idx="14">
                  <c:v>823</c:v>
                </c:pt>
                <c:pt idx="15">
                  <c:v>765</c:v>
                </c:pt>
                <c:pt idx="16">
                  <c:v>782</c:v>
                </c:pt>
                <c:pt idx="17">
                  <c:v>807.5</c:v>
                </c:pt>
                <c:pt idx="18">
                  <c:v>802</c:v>
                </c:pt>
                <c:pt idx="19">
                  <c:v>795</c:v>
                </c:pt>
                <c:pt idx="20">
                  <c:v>783</c:v>
                </c:pt>
                <c:pt idx="21">
                  <c:v>772</c:v>
                </c:pt>
                <c:pt idx="22">
                  <c:v>770</c:v>
                </c:pt>
                <c:pt idx="23">
                  <c:v>770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6D5-4F8D-9630-E32551AC36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6623744"/>
        <c:axId val="516630464"/>
      </c:areaChart>
      <c:lineChart>
        <c:grouping val="standard"/>
        <c:varyColors val="0"/>
        <c:ser>
          <c:idx val="0"/>
          <c:order val="0"/>
          <c:tx>
            <c:strRef>
              <c:f>'Vẽ Biểu đồ'!$D$28</c:f>
              <c:strCache>
                <c:ptCount val="1"/>
                <c:pt idx="0">
                  <c:v>OUTEIRINHO</c:v>
                </c:pt>
              </c:strCache>
            </c:strRef>
          </c:tx>
          <c:spPr>
            <a:ln w="28575" cap="rnd">
              <a:solidFill>
                <a:srgbClr val="007DC4"/>
              </a:solidFill>
              <a:round/>
            </a:ln>
            <a:effectLst/>
          </c:spPr>
          <c:marker>
            <c:symbol val="none"/>
          </c:marker>
          <c:dPt>
            <c:idx val="24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A8D7-44CF-A8FE-9E906AE1339B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E6D5-4F8D-9630-E32551AC36D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E6D5-4F8D-9630-E32551AC36DC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E6D5-4F8D-9630-E32551AC36DC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E6D5-4F8D-9630-E32551AC36DC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E6D5-4F8D-9630-E32551AC36DC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E6D5-4F8D-9630-E32551AC36DC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E6D5-4F8D-9630-E32551AC36DC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E6D5-4F8D-9630-E32551AC36DC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E6D5-4F8D-9630-E32551AC36DC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E6D5-4F8D-9630-E32551AC36DC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E6D5-4F8D-9630-E32551AC36DC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E6D5-4F8D-9630-E32551AC36DC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3105046A-A878-45B8-8923-4A69E87E60D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E6D5-4F8D-9630-E32551AC36DC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9C5396C1-245A-41CF-BCFD-CBD87D4C7C5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E6D5-4F8D-9630-E32551AC36DC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BA8490BF-FC17-4324-8909-1991B803E9D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E6D5-4F8D-9630-E32551AC36DC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E3EADC34-F952-427A-BC5D-E604BF3B4F0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E6D5-4F8D-9630-E32551AC36DC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B51F12E3-6088-4C63-A1CA-AEB62875DBC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E6D5-4F8D-9630-E32551AC36DC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1526596C-D54D-417D-8B4A-7304548E579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E6D5-4F8D-9630-E32551AC36DC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47030C4A-1B42-4E53-A078-541584D87B5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9425-4AFF-8B0C-C79B28FA5975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AD895503-B0ED-4569-BDC3-2E506F38572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E595-480E-A23A-CD84E64749D9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447EF10F-73FB-47CE-A8B5-E69CF7C1808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C52E-40EB-964A-6D1C384E5681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F654B17D-309C-49ED-8A2E-F3A885D89CC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ED50-40ED-95A4-67FFCD57F52E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A498FB8F-1405-43A7-B023-CE001043209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4C8B-48C6-BF85-3A2501D9E621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140F66E7-B828-4EA8-BC20-0D52E73A9C4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277C-4DBF-BE90-84AD3FCFFFC7}"/>
                </c:ext>
              </c:extLst>
            </c:dLbl>
            <c:dLbl>
              <c:idx val="24"/>
              <c:layout>
                <c:manualLayout>
                  <c:x val="-1.7907812757146556E-16"/>
                  <c:y val="4.9662304152597633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200" b="1" i="0" u="none" strike="noStrike" kern="1200" baseline="0">
                        <a:solidFill>
                          <a:srgbClr val="007DC4"/>
                        </a:solidFill>
                        <a:latin typeface="+mj-lt"/>
                        <a:ea typeface="+mn-ea"/>
                        <a:cs typeface="+mn-cs"/>
                      </a:defRPr>
                    </a:pPr>
                    <a:fld id="{07FA25AA-CC81-4980-BD21-6F3AF1E2697A}" type="CELLRANGE">
                      <a:rPr lang="en-US"/>
                      <a:pPr>
                        <a:defRPr sz="1200" b="1">
                          <a:solidFill>
                            <a:srgbClr val="007DC4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rgbClr val="007DC4"/>
                      </a:solidFill>
                      <a:latin typeface="+mj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A8D7-44CF-A8FE-9E906AE1339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rgbClr val="007DC4"/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đồ'!$E$26:$AO$27</c15:sqref>
                  </c15:fullRef>
                </c:ext>
              </c:extLst>
              <c:f>'Vẽ Biểu đồ'!$E$26:$AO$27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đồ'!$E$28:$AO$28</c15:sqref>
                  </c15:fullRef>
                </c:ext>
              </c:extLst>
              <c:f>('Vẽ Biểu đồ'!$E$28:$AB$28,'Vẽ Biểu đồ'!$AO$28)</c:f>
              <c:numCache>
                <c:formatCode>_(* #,##0_);_(* \(#,##0\);_(* "-"??_);_(@_)</c:formatCode>
                <c:ptCount val="2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1230</c:v>
                </c:pt>
                <c:pt idx="13">
                  <c:v>1230</c:v>
                </c:pt>
                <c:pt idx="14">
                  <c:v>1230</c:v>
                </c:pt>
                <c:pt idx="15">
                  <c:v>1228</c:v>
                </c:pt>
                <c:pt idx="16">
                  <c:v>1228</c:v>
                </c:pt>
                <c:pt idx="17">
                  <c:v>1228</c:v>
                </c:pt>
                <c:pt idx="18">
                  <c:v>1228</c:v>
                </c:pt>
                <c:pt idx="19">
                  <c:v>1228</c:v>
                </c:pt>
                <c:pt idx="20">
                  <c:v>1228</c:v>
                </c:pt>
                <c:pt idx="21">
                  <c:v>1228</c:v>
                </c:pt>
                <c:pt idx="22">
                  <c:v>1228</c:v>
                </c:pt>
                <c:pt idx="23">
                  <c:v>1228</c:v>
                </c:pt>
                <c:pt idx="24">
                  <c:v>1228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đồ'!$E$38:$AO$38</c15:f>
                <c15:dlblRangeCache>
                  <c:ptCount val="37"/>
                  <c:pt idx="12">
                    <c:v> 1,230 </c:v>
                  </c:pt>
                  <c:pt idx="13">
                    <c:v> 1,230 </c:v>
                  </c:pt>
                  <c:pt idx="14">
                    <c:v> 1,230 </c:v>
                  </c:pt>
                  <c:pt idx="15">
                    <c:v> 1,228 </c:v>
                  </c:pt>
                  <c:pt idx="16">
                    <c:v> 1,228 </c:v>
                  </c:pt>
                  <c:pt idx="17">
                    <c:v> 1,228 </c:v>
                  </c:pt>
                  <c:pt idx="18">
                    <c:v> 1,228 </c:v>
                  </c:pt>
                  <c:pt idx="19">
                    <c:v> 1,228 </c:v>
                  </c:pt>
                  <c:pt idx="20">
                    <c:v> 1,228 </c:v>
                  </c:pt>
                  <c:pt idx="21">
                    <c:v> 1,228 </c:v>
                  </c:pt>
                  <c:pt idx="22">
                    <c:v> 1,228 </c:v>
                  </c:pt>
                  <c:pt idx="23">
                    <c:v> 1,228 </c:v>
                  </c:pt>
                  <c:pt idx="36">
                    <c:v>OUTEIRINHO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6-E6D5-4F8D-9630-E32551AC36DC}"/>
            </c:ext>
          </c:extLst>
        </c:ser>
        <c:ser>
          <c:idx val="1"/>
          <c:order val="1"/>
          <c:tx>
            <c:strRef>
              <c:f>'Vẽ Biểu đồ'!$D$29</c:f>
              <c:strCache>
                <c:ptCount val="1"/>
                <c:pt idx="0">
                  <c:v>SUNTORY VIET NAM</c:v>
                </c:pt>
              </c:strCache>
            </c:strRef>
          </c:tx>
          <c:spPr>
            <a:ln w="28575" cap="rnd">
              <a:solidFill>
                <a:srgbClr val="54C1DE"/>
              </a:solidFill>
              <a:round/>
            </a:ln>
            <a:effectLst/>
          </c:spPr>
          <c:marker>
            <c:symbol val="none"/>
          </c:marker>
          <c:dPt>
            <c:idx val="24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A8D7-44CF-A8FE-9E906AE1339B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3903F725-D978-49D5-804E-ACF198A9E09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E6D5-4F8D-9630-E32551AC36D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D27F90CF-3457-459A-A90D-0A513053D07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E6D5-4F8D-9630-E32551AC36DC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6865CA1B-F7C7-4E33-B4EB-72D9E168D8C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E6D5-4F8D-9630-E32551AC36DC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2ED281FA-2E31-4711-ABAA-0B9326C7F52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E6D5-4F8D-9630-E32551AC36DC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1D980CCD-AFF3-4169-97BD-7B6B552F680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E6D5-4F8D-9630-E32551AC36DC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3C76CDB2-B827-4E82-95BF-5E6EA928C09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E6D5-4F8D-9630-E32551AC36DC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D1FA95B7-0543-43E3-B5FB-4756994D6D3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E6D5-4F8D-9630-E32551AC36DC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B56A79CB-8958-4B14-A700-03E4899C400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E6D5-4F8D-9630-E32551AC36DC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DB977AFF-0225-489B-A4F3-3F9657D934E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E6D5-4F8D-9630-E32551AC36DC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172D65B1-04EC-4E88-B6D0-F3B7DC23301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E6D5-4F8D-9630-E32551AC36DC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70C10BC4-BC63-441B-8BF7-99C871E8BAE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E6D5-4F8D-9630-E32551AC36DC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C7733B12-6DEC-4D11-BD01-9F3C092B717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E6D5-4F8D-9630-E32551AC36DC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9483DE3D-5484-403F-9C1C-C7F72470659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E6D5-4F8D-9630-E32551AC36DC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17E2D14E-6C4A-45EC-B365-97BC2298926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E6D5-4F8D-9630-E32551AC36DC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AB58D8E3-4D05-4FB8-A78A-CBFA2E36923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E6D5-4F8D-9630-E32551AC36DC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6E66B381-0C44-4647-A4A7-64B413B9866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E6D5-4F8D-9630-E32551AC36DC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A6CC8A2E-D763-4CEC-BA96-C352F811B34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E6D5-4F8D-9630-E32551AC36DC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ED07BCD4-FC74-450E-9F3D-BF1DF6EDFAE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E6D5-4F8D-9630-E32551AC36DC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04D862E7-C620-4D8B-BB9A-EBC571E73D8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9425-4AFF-8B0C-C79B28FA5975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0CC67C14-9814-405F-94B1-AD7F5E06A02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E595-480E-A23A-CD84E64749D9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864A9B2C-FB7D-4F1A-B604-5CAC2B644F1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C52E-40EB-964A-6D1C384E5681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70ED349B-39D8-44C8-8E9F-756F3B00311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ED50-40ED-95A4-67FFCD57F52E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BC7B3AE0-937D-41BD-B208-DA0495EFFE0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4C8B-48C6-BF85-3A2501D9E621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81890F30-8B81-4D61-8FAE-A9975720646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277C-4DBF-BE90-84AD3FCFFFC7}"/>
                </c:ext>
              </c:extLst>
            </c:dLbl>
            <c:dLbl>
              <c:idx val="24"/>
              <c:layout>
                <c:manualLayout>
                  <c:x val="-4.3456110626361443E-5"/>
                  <c:y val="-5.907209856004348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200" b="1" i="0" u="none" strike="noStrike" kern="1200" baseline="0">
                        <a:solidFill>
                          <a:srgbClr val="54C1DE"/>
                        </a:solidFill>
                        <a:latin typeface="+mj-lt"/>
                        <a:ea typeface="+mn-ea"/>
                        <a:cs typeface="+mn-cs"/>
                      </a:defRPr>
                    </a:pPr>
                    <a:fld id="{E840FA95-F3B1-435C-A72C-6A33D24B9008}" type="CELLRANGE">
                      <a:rPr lang="en-US"/>
                      <a:pPr>
                        <a:defRPr sz="1200" b="1">
                          <a:solidFill>
                            <a:srgbClr val="54C1DE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rgbClr val="54C1DE"/>
                      </a:solidFill>
                      <a:latin typeface="+mj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2932692349292141"/>
                      <c:h val="5.9143346369622991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A8D7-44CF-A8FE-9E906AE1339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rgbClr val="54C1DE"/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đồ'!$E$26:$AO$27</c15:sqref>
                  </c15:fullRef>
                </c:ext>
              </c:extLst>
              <c:f>'Vẽ Biểu đồ'!$E$26:$AO$27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đồ'!$E$29:$AO$29</c15:sqref>
                  </c15:fullRef>
                </c:ext>
              </c:extLst>
              <c:f>('Vẽ Biểu đồ'!$E$29:$AB$29,'Vẽ Biểu đồ'!$AO$29)</c:f>
              <c:numCache>
                <c:formatCode>_(* #,##0_);_(* \(#,##0\);_(* "-"??_);_(@_)</c:formatCode>
                <c:ptCount val="25"/>
                <c:pt idx="0">
                  <c:v>1320</c:v>
                </c:pt>
                <c:pt idx="1">
                  <c:v>1327.5</c:v>
                </c:pt>
                <c:pt idx="2">
                  <c:v>1340</c:v>
                </c:pt>
                <c:pt idx="3">
                  <c:v>1342.5</c:v>
                </c:pt>
                <c:pt idx="4">
                  <c:v>1346.5</c:v>
                </c:pt>
                <c:pt idx="5">
                  <c:v>1361.5</c:v>
                </c:pt>
                <c:pt idx="6">
                  <c:v>1377.5</c:v>
                </c:pt>
                <c:pt idx="7">
                  <c:v>1388.5</c:v>
                </c:pt>
                <c:pt idx="8">
                  <c:v>1408.5</c:v>
                </c:pt>
                <c:pt idx="9">
                  <c:v>1436.25</c:v>
                </c:pt>
                <c:pt idx="10">
                  <c:v>1453.75</c:v>
                </c:pt>
                <c:pt idx="11">
                  <c:v>1457.5</c:v>
                </c:pt>
                <c:pt idx="12">
                  <c:v>1375.71875</c:v>
                </c:pt>
                <c:pt idx="13">
                  <c:v>1339.3020833333319</c:v>
                </c:pt>
                <c:pt idx="14">
                  <c:v>1305.4583333333319</c:v>
                </c:pt>
                <c:pt idx="15">
                  <c:v>1306.25</c:v>
                </c:pt>
                <c:pt idx="16">
                  <c:v>1311</c:v>
                </c:pt>
                <c:pt idx="17">
                  <c:v>1311</c:v>
                </c:pt>
                <c:pt idx="18">
                  <c:v>1311</c:v>
                </c:pt>
                <c:pt idx="19">
                  <c:v>1293.9000000000001</c:v>
                </c:pt>
                <c:pt idx="20">
                  <c:v>1263.5250000000001</c:v>
                </c:pt>
                <c:pt idx="21">
                  <c:v>1264.925</c:v>
                </c:pt>
                <c:pt idx="22">
                  <c:v>1266.05</c:v>
                </c:pt>
                <c:pt idx="23">
                  <c:v>1266.65625</c:v>
                </c:pt>
                <c:pt idx="24">
                  <c:v>1266.65625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đồ'!$E$39:$AO$39</c15:f>
                <c15:dlblRangeCache>
                  <c:ptCount val="37"/>
                  <c:pt idx="0">
                    <c:v> 1,320 </c:v>
                  </c:pt>
                  <c:pt idx="1">
                    <c:v> 1,328 </c:v>
                  </c:pt>
                  <c:pt idx="2">
                    <c:v> 1,340 </c:v>
                  </c:pt>
                  <c:pt idx="3">
                    <c:v> 1,343 </c:v>
                  </c:pt>
                  <c:pt idx="4">
                    <c:v> 1,347 </c:v>
                  </c:pt>
                  <c:pt idx="5">
                    <c:v> 1,362 </c:v>
                  </c:pt>
                  <c:pt idx="6">
                    <c:v> 1,378 </c:v>
                  </c:pt>
                  <c:pt idx="7">
                    <c:v> 1,389 </c:v>
                  </c:pt>
                  <c:pt idx="8">
                    <c:v> 1,409 </c:v>
                  </c:pt>
                  <c:pt idx="9">
                    <c:v> 1,436 </c:v>
                  </c:pt>
                  <c:pt idx="10">
                    <c:v> 1,454 </c:v>
                  </c:pt>
                  <c:pt idx="11">
                    <c:v> 1,458 </c:v>
                  </c:pt>
                  <c:pt idx="12">
                    <c:v> 1,376 </c:v>
                  </c:pt>
                  <c:pt idx="13">
                    <c:v> 1,339 </c:v>
                  </c:pt>
                  <c:pt idx="14">
                    <c:v> 1,305 </c:v>
                  </c:pt>
                  <c:pt idx="15">
                    <c:v> 1,306 </c:v>
                  </c:pt>
                  <c:pt idx="16">
                    <c:v> 1,311 </c:v>
                  </c:pt>
                  <c:pt idx="17">
                    <c:v> 1,311 </c:v>
                  </c:pt>
                  <c:pt idx="18">
                    <c:v> 1,311 </c:v>
                  </c:pt>
                  <c:pt idx="19">
                    <c:v> 1,294 </c:v>
                  </c:pt>
                  <c:pt idx="20">
                    <c:v> 1,264 </c:v>
                  </c:pt>
                  <c:pt idx="21">
                    <c:v> 1,265 </c:v>
                  </c:pt>
                  <c:pt idx="22">
                    <c:v> 1,266 </c:v>
                  </c:pt>
                  <c:pt idx="23">
                    <c:v> 1,267 </c:v>
                  </c:pt>
                  <c:pt idx="36">
                    <c:v>SUNTORY VN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2B-E6D5-4F8D-9630-E32551AC36DC}"/>
            </c:ext>
          </c:extLst>
        </c:ser>
        <c:ser>
          <c:idx val="2"/>
          <c:order val="2"/>
          <c:tx>
            <c:strRef>
              <c:f>'Vẽ Biểu đồ'!$D$30</c:f>
              <c:strCache>
                <c:ptCount val="1"/>
                <c:pt idx="0">
                  <c:v>Giá duyệt</c:v>
                </c:pt>
              </c:strCache>
            </c:strRef>
          </c:tx>
          <c:spPr>
            <a:ln w="28575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Pt>
            <c:idx val="24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A8D7-44CF-A8FE-9E906AE1339B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6AF88138-46CF-4763-AA09-5509A4005A5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E6D5-4F8D-9630-E32551AC36D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24A7AA76-1C68-4689-A9C8-F1D5D9AF4EA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E6D5-4F8D-9630-E32551AC36DC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EE2B0BAF-6504-4CDE-AA4A-78898CD2461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E6D5-4F8D-9630-E32551AC36DC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41F7F8BC-EB56-430F-91F0-F6D985632C6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E6D5-4F8D-9630-E32551AC36DC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93F99D41-DA3B-4D76-BEB2-FFF70EDF6B0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E6D5-4F8D-9630-E32551AC36DC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D85633A6-05C7-47CD-87E4-8476D5155C3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E6D5-4F8D-9630-E32551AC36DC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A3EF4E02-2A08-4282-9FEC-E7BA22079D1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E6D5-4F8D-9630-E32551AC36DC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54E0B116-A3B3-4660-9C66-31D2EFDD1B9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E6D5-4F8D-9630-E32551AC36DC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7B852C25-0F49-40ED-ACB1-882CE2F6FC2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E6D5-4F8D-9630-E32551AC36DC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63566E8A-9D2D-4ABE-A36C-D7DCD33EB83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E6D5-4F8D-9630-E32551AC36DC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9664B2E1-1896-4C7C-9642-BECC48BD303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E6D5-4F8D-9630-E32551AC36DC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B5EC90A4-7C1A-47B4-A58C-3EC4CBDAECE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9-E6D5-4F8D-9630-E32551AC36DC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72980000-2174-4BEB-940D-589B403E102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A-E6D5-4F8D-9630-E32551AC36DC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8CE6CBA5-FB8D-455A-A04E-660B7FDCE06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B-E6D5-4F8D-9630-E32551AC36DC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00E5F199-DE3F-4FCF-B65D-FEB9CDBC433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C-E6D5-4F8D-9630-E32551AC36DC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BDA0CCFC-439B-4B16-8C40-C5259B6B60C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D-E6D5-4F8D-9630-E32551AC36DC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A007D25B-CF6A-4382-97F2-08F5C39A82D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E-E6D5-4F8D-9630-E32551AC36DC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208E42FD-E729-44F8-A973-39115D1BC44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F-E6D5-4F8D-9630-E32551AC36DC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1010EAC5-2EB9-4DC8-8603-C43D3DE16BB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9425-4AFF-8B0C-C79B28FA5975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3305B655-5C38-4D11-A775-C4C023C25E5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E595-480E-A23A-CD84E64749D9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75FA5965-2895-4A2B-A940-583E1881BDD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C52E-40EB-964A-6D1C384E5681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4B65C1E3-8A53-41C9-8B15-1D214F1F111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ED50-40ED-95A4-67FFCD57F52E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8D552EA4-0703-477F-8DC3-C66DDCEE1E8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4C8B-48C6-BF85-3A2501D9E621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96A6444C-BA46-4A1A-9863-9F2025383C5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277C-4DBF-BE90-84AD3FCFFFC7}"/>
                </c:ext>
              </c:extLst>
            </c:dLbl>
            <c:dLbl>
              <c:idx val="24"/>
              <c:layout>
                <c:manualLayout>
                  <c:x val="-3.6630040151715663E-3"/>
                  <c:y val="0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300" b="1" i="0" u="none" strike="noStrike" kern="1200" baseline="0">
                        <a:solidFill>
                          <a:schemeClr val="accent1">
                            <a:lumMod val="7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61CF6867-B4EF-4C42-9C58-5295C5A135DE}" type="CELLRANGE">
                      <a:rPr lang="en-US"/>
                      <a:pPr>
                        <a:defRPr sz="1300" b="1">
                          <a:solidFill>
                            <a:schemeClr val="accent1">
                              <a:lumMod val="75000"/>
                            </a:schemeClr>
                          </a:solidFill>
                          <a:latin typeface="+mn-lt"/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solidFill>
                  <a:schemeClr val="lt1"/>
                </a:solidFill>
                <a:ln w="19050" cap="flat" cmpd="sng" algn="ctr">
                  <a:solidFill>
                    <a:schemeClr val="accent1">
                      <a:lumMod val="75000"/>
                    </a:schemeClr>
                  </a:solidFill>
                  <a:prstDash val="solid"/>
                  <a:miter lim="800000"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300" b="1" i="0" u="none" strike="noStrike" kern="1200" baseline="0">
                      <a:solidFill>
                        <a:schemeClr val="accent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A8D7-44CF-A8FE-9E906AE1339B}"/>
                </c:ext>
              </c:extLst>
            </c:dLbl>
            <c:spPr>
              <a:solidFill>
                <a:schemeClr val="lt1"/>
              </a:solidFill>
              <a:ln w="19050" cap="flat" cmpd="sng" algn="ctr">
                <a:solidFill>
                  <a:schemeClr val="accent1">
                    <a:lumMod val="75000"/>
                  </a:schemeClr>
                </a:solidFill>
                <a:prstDash val="solid"/>
                <a:miter lim="800000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accen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đồ'!$E$26:$AO$27</c15:sqref>
                  </c15:fullRef>
                </c:ext>
              </c:extLst>
              <c:f>'Vẽ Biểu đồ'!$E$26:$AO$27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đồ'!$E$30:$AO$30</c15:sqref>
                  </c15:fullRef>
                </c:ext>
              </c:extLst>
              <c:f>('Vẽ Biểu đồ'!$E$30:$AB$30,'Vẽ Biểu đồ'!$AO$30)</c:f>
              <c:numCache>
                <c:formatCode>_(* #,##0_);_(* \(#,##0\);_(* "-"??_);_(@_)</c:formatCode>
                <c:ptCount val="25"/>
                <c:pt idx="0">
                  <c:v>1280</c:v>
                </c:pt>
                <c:pt idx="1">
                  <c:v>1280</c:v>
                </c:pt>
                <c:pt idx="2">
                  <c:v>1280</c:v>
                </c:pt>
                <c:pt idx="3">
                  <c:v>1280</c:v>
                </c:pt>
                <c:pt idx="4">
                  <c:v>1330</c:v>
                </c:pt>
                <c:pt idx="5">
                  <c:v>1330</c:v>
                </c:pt>
                <c:pt idx="6">
                  <c:v>1330</c:v>
                </c:pt>
                <c:pt idx="7">
                  <c:v>1330</c:v>
                </c:pt>
                <c:pt idx="8">
                  <c:v>1340</c:v>
                </c:pt>
                <c:pt idx="9">
                  <c:v>1355</c:v>
                </c:pt>
                <c:pt idx="10">
                  <c:v>1355</c:v>
                </c:pt>
                <c:pt idx="11">
                  <c:v>1305</c:v>
                </c:pt>
                <c:pt idx="12">
                  <c:v>1260</c:v>
                </c:pt>
                <c:pt idx="13">
                  <c:v>1260</c:v>
                </c:pt>
                <c:pt idx="14">
                  <c:v>1260</c:v>
                </c:pt>
                <c:pt idx="15">
                  <c:v>1280</c:v>
                </c:pt>
                <c:pt idx="16">
                  <c:v>1280</c:v>
                </c:pt>
                <c:pt idx="17">
                  <c:v>1280</c:v>
                </c:pt>
                <c:pt idx="18">
                  <c:v>1280</c:v>
                </c:pt>
                <c:pt idx="19">
                  <c:v>1250</c:v>
                </c:pt>
                <c:pt idx="20">
                  <c:v>1250</c:v>
                </c:pt>
                <c:pt idx="21">
                  <c:v>1240</c:v>
                </c:pt>
                <c:pt idx="22">
                  <c:v>1230</c:v>
                </c:pt>
                <c:pt idx="23">
                  <c:v>1230</c:v>
                </c:pt>
                <c:pt idx="24">
                  <c:v>1230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đồ'!$E$40:$AO$40</c15:f>
                <c15:dlblRangeCache>
                  <c:ptCount val="37"/>
                  <c:pt idx="0">
                    <c:v> 1,280 </c:v>
                  </c:pt>
                  <c:pt idx="1">
                    <c:v> 1,280 </c:v>
                  </c:pt>
                  <c:pt idx="2">
                    <c:v> 1,280 </c:v>
                  </c:pt>
                  <c:pt idx="3">
                    <c:v> 1,280 </c:v>
                  </c:pt>
                  <c:pt idx="4">
                    <c:v> 1,330 </c:v>
                  </c:pt>
                  <c:pt idx="5">
                    <c:v> 1,330 </c:v>
                  </c:pt>
                  <c:pt idx="6">
                    <c:v> 1,330 </c:v>
                  </c:pt>
                  <c:pt idx="7">
                    <c:v> 1,330 </c:v>
                  </c:pt>
                  <c:pt idx="8">
                    <c:v> 1,340 </c:v>
                  </c:pt>
                  <c:pt idx="9">
                    <c:v> 1,355 </c:v>
                  </c:pt>
                  <c:pt idx="10">
                    <c:v> 1,355 </c:v>
                  </c:pt>
                  <c:pt idx="11">
                    <c:v> 1,305 </c:v>
                  </c:pt>
                  <c:pt idx="12">
                    <c:v> 1,260 </c:v>
                  </c:pt>
                  <c:pt idx="13">
                    <c:v> 1,260 </c:v>
                  </c:pt>
                  <c:pt idx="14">
                    <c:v> 1,260 </c:v>
                  </c:pt>
                  <c:pt idx="15">
                    <c:v> 1,280 </c:v>
                  </c:pt>
                  <c:pt idx="16">
                    <c:v> 1,280 </c:v>
                  </c:pt>
                  <c:pt idx="17">
                    <c:v> 1,280 </c:v>
                  </c:pt>
                  <c:pt idx="18">
                    <c:v> 1,280 </c:v>
                  </c:pt>
                  <c:pt idx="19">
                    <c:v> 1,250 </c:v>
                  </c:pt>
                  <c:pt idx="20">
                    <c:v> 1,250 </c:v>
                  </c:pt>
                  <c:pt idx="21">
                    <c:v> 1,240 </c:v>
                  </c:pt>
                  <c:pt idx="22">
                    <c:v> 1,230 </c:v>
                  </c:pt>
                  <c:pt idx="23">
                    <c:v> 1,230 </c:v>
                  </c:pt>
                  <c:pt idx="36">
                    <c:v>Giá duyệt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40-E6D5-4F8D-9630-E32551AC36DC}"/>
            </c:ext>
          </c:extLst>
        </c:ser>
        <c:ser>
          <c:idx val="3"/>
          <c:order val="3"/>
          <c:tx>
            <c:strRef>
              <c:f>'Vẽ Biểu đồ'!$D$31</c:f>
              <c:strCache>
                <c:ptCount val="1"/>
                <c:pt idx="0">
                  <c:v>Giá chính phẩm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Pt>
            <c:idx val="24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A8D7-44CF-A8FE-9E906AE1339B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A3D47A2F-92A7-445B-872C-39C2430E2E8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3-E6D5-4F8D-9630-E32551AC36D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90D069E7-E99C-44FA-8D72-C85E64D67FE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4-E6D5-4F8D-9630-E32551AC36DC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4B280DF5-BAB9-4CC2-8EEB-8A003989305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5-E6D5-4F8D-9630-E32551AC36DC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21155357-ECD6-4E47-B390-429BA81BF94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6-E6D5-4F8D-9630-E32551AC36DC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62A0E5EA-94A3-4D20-A31B-81827214B37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7-E6D5-4F8D-9630-E32551AC36DC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42137DE4-0B8B-462D-B3E3-0FAD71FB468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8-E6D5-4F8D-9630-E32551AC36DC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4A2D3752-7BA7-40E1-BFF1-8939738621F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9-E6D5-4F8D-9630-E32551AC36DC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B5D1F3D3-103E-49FF-81EB-3B99EC05736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A-E6D5-4F8D-9630-E32551AC36DC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F414C2C1-245B-48D6-A47E-6937EF6FBFB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B-E6D5-4F8D-9630-E32551AC36DC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1DDE5822-42AC-4BFF-98CC-5F1D7946273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C-E6D5-4F8D-9630-E32551AC36DC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820057F0-43BB-4690-A251-C085844FFA7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D-E6D5-4F8D-9630-E32551AC36DC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02B79905-9126-4B34-83C5-30D131F25AC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E-E6D5-4F8D-9630-E32551AC36DC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54A404DF-D2C2-4DFF-9AB1-266194C7B14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F-E6D5-4F8D-9630-E32551AC36DC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8C2CEBFF-E5FF-4AB9-AD04-D5BE7F52EC1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0-E6D5-4F8D-9630-E32551AC36DC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636AF511-DEF3-4A60-8693-D7A8FB4BE2B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1-E6D5-4F8D-9630-E32551AC36DC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6ECC3269-D482-45F0-AD8D-B9C320915BB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2-E6D5-4F8D-9630-E32551AC36DC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865B55DA-E6A5-47A8-9C34-FD6E6941B22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3-E6D5-4F8D-9630-E32551AC36DC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8B4C6386-C2DD-4305-9A12-858BA761B1F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4-E6D5-4F8D-9630-E32551AC36DC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6791F444-A48C-4206-94D1-D9CFED4705B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9425-4AFF-8B0C-C79B28FA5975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7AE5BC3A-253A-414F-BBF5-E57F47FFB3E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E595-480E-A23A-CD84E64749D9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CFDB4934-F4BA-42E5-8AE5-34F547678A1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C52E-40EB-964A-6D1C384E5681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15FCDAFC-6859-40DD-9824-6BA956E863C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ED50-40ED-95A4-67FFCD57F52E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7D54B250-3EF1-4031-B005-693905FCC5D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4C8B-48C6-BF85-3A2501D9E621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DC1CDB8A-F5CF-4902-89A5-F1FA7ADD941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277C-4DBF-BE90-84AD3FCFFFC7}"/>
                </c:ext>
              </c:extLst>
            </c:dLbl>
            <c:dLbl>
              <c:idx val="24"/>
              <c:layout>
                <c:manualLayout>
                  <c:x val="-7.3260080303431327E-3"/>
                  <c:y val="-1.4898691245779295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300" b="1" i="0" u="none" strike="noStrike" kern="1200" baseline="0">
                        <a:solidFill>
                          <a:schemeClr val="accent4"/>
                        </a:solidFill>
                        <a:latin typeface="+mj-lt"/>
                        <a:ea typeface="+mn-ea"/>
                        <a:cs typeface="+mn-cs"/>
                      </a:defRPr>
                    </a:pPr>
                    <a:fld id="{85C85ECF-D00C-44AD-B9F6-B572A5D7381C}" type="CELLRANGE">
                      <a:rPr lang="en-US"/>
                      <a:pPr>
                        <a:defRPr sz="1300" b="1">
                          <a:solidFill>
                            <a:schemeClr val="accent4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300" b="1" i="0" u="none" strike="noStrike" kern="1200" baseline="0">
                      <a:solidFill>
                        <a:schemeClr val="accent4"/>
                      </a:solidFill>
                      <a:latin typeface="+mj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8.3670895337207396E-2"/>
                      <c:h val="9.6966626462359332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A8D7-44CF-A8FE-9E906AE1339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accent4"/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đồ'!$E$26:$AO$27</c15:sqref>
                  </c15:fullRef>
                </c:ext>
              </c:extLst>
              <c:f>'Vẽ Biểu đồ'!$E$26:$AO$27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đồ'!$E$31:$AO$31</c15:sqref>
                  </c15:fullRef>
                </c:ext>
              </c:extLst>
              <c:f>('Vẽ Biểu đồ'!$E$31:$AB$31,'Vẽ Biểu đồ'!$AO$31)</c:f>
              <c:numCache>
                <c:formatCode>_(* #,##0_);_(* \(#,##0\);_(* "-"??_);_(@_)</c:formatCode>
                <c:ptCount val="25"/>
                <c:pt idx="0">
                  <c:v>930</c:v>
                </c:pt>
                <c:pt idx="1">
                  <c:v>943.33333333333337</c:v>
                </c:pt>
                <c:pt idx="2">
                  <c:v>940</c:v>
                </c:pt>
                <c:pt idx="3">
                  <c:v>940</c:v>
                </c:pt>
                <c:pt idx="4">
                  <c:v>942</c:v>
                </c:pt>
                <c:pt idx="5">
                  <c:v>950</c:v>
                </c:pt>
                <c:pt idx="6">
                  <c:v>947.5</c:v>
                </c:pt>
                <c:pt idx="7">
                  <c:v>930</c:v>
                </c:pt>
                <c:pt idx="8">
                  <c:v>880</c:v>
                </c:pt>
                <c:pt idx="9">
                  <c:v>862.5</c:v>
                </c:pt>
                <c:pt idx="10">
                  <c:v>852</c:v>
                </c:pt>
                <c:pt idx="11">
                  <c:v>830</c:v>
                </c:pt>
                <c:pt idx="12">
                  <c:v>828</c:v>
                </c:pt>
                <c:pt idx="13">
                  <c:v>840</c:v>
                </c:pt>
                <c:pt idx="14">
                  <c:v>823</c:v>
                </c:pt>
                <c:pt idx="15">
                  <c:v>765</c:v>
                </c:pt>
                <c:pt idx="16">
                  <c:v>782</c:v>
                </c:pt>
                <c:pt idx="17">
                  <c:v>807.5</c:v>
                </c:pt>
                <c:pt idx="18">
                  <c:v>802</c:v>
                </c:pt>
                <c:pt idx="19">
                  <c:v>795</c:v>
                </c:pt>
                <c:pt idx="20">
                  <c:v>783</c:v>
                </c:pt>
                <c:pt idx="21">
                  <c:v>772</c:v>
                </c:pt>
                <c:pt idx="22">
                  <c:v>770</c:v>
                </c:pt>
                <c:pt idx="23">
                  <c:v>770</c:v>
                </c:pt>
                <c:pt idx="24">
                  <c:v>770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đồ'!$E$41:$AO$41</c15:f>
                <c15:dlblRangeCache>
                  <c:ptCount val="37"/>
                  <c:pt idx="0">
                    <c:v> 930 </c:v>
                  </c:pt>
                  <c:pt idx="1">
                    <c:v> 943 </c:v>
                  </c:pt>
                  <c:pt idx="2">
                    <c:v> 940 </c:v>
                  </c:pt>
                  <c:pt idx="3">
                    <c:v> 940 </c:v>
                  </c:pt>
                  <c:pt idx="4">
                    <c:v> 942 </c:v>
                  </c:pt>
                  <c:pt idx="5">
                    <c:v> 950 </c:v>
                  </c:pt>
                  <c:pt idx="6">
                    <c:v> 948 </c:v>
                  </c:pt>
                  <c:pt idx="7">
                    <c:v> 930 </c:v>
                  </c:pt>
                  <c:pt idx="8">
                    <c:v> 880 </c:v>
                  </c:pt>
                  <c:pt idx="9">
                    <c:v> 863 </c:v>
                  </c:pt>
                  <c:pt idx="10">
                    <c:v> 852 </c:v>
                  </c:pt>
                  <c:pt idx="11">
                    <c:v> 830 </c:v>
                  </c:pt>
                  <c:pt idx="12">
                    <c:v> 828 </c:v>
                  </c:pt>
                  <c:pt idx="13">
                    <c:v> 840 </c:v>
                  </c:pt>
                  <c:pt idx="14">
                    <c:v> 823 </c:v>
                  </c:pt>
                  <c:pt idx="15">
                    <c:v> 765 </c:v>
                  </c:pt>
                  <c:pt idx="16">
                    <c:v> 782 </c:v>
                  </c:pt>
                  <c:pt idx="17">
                    <c:v> 808 </c:v>
                  </c:pt>
                  <c:pt idx="18">
                    <c:v> 802 </c:v>
                  </c:pt>
                  <c:pt idx="19">
                    <c:v> 795 </c:v>
                  </c:pt>
                  <c:pt idx="20">
                    <c:v> 783 </c:v>
                  </c:pt>
                  <c:pt idx="21">
                    <c:v> 772 </c:v>
                  </c:pt>
                  <c:pt idx="22">
                    <c:v> 770 </c:v>
                  </c:pt>
                  <c:pt idx="23">
                    <c:v> 770 </c:v>
                  </c:pt>
                  <c:pt idx="36">
                    <c:v>Giá chính phẩm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55-E6D5-4F8D-9630-E32551AC36DC}"/>
            </c:ext>
          </c:extLst>
        </c:ser>
        <c:ser>
          <c:idx val="6"/>
          <c:order val="4"/>
          <c:tx>
            <c:strRef>
              <c:f>'Vẽ Biểu đồ'!$D$34</c:f>
              <c:strCache>
                <c:ptCount val="1"/>
                <c:pt idx="0">
                  <c:v>Chênh lệch-Line Drop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minus"/>
            <c:errValType val="cust"/>
            <c:noEndCap val="1"/>
            <c:plus>
              <c:numRef>
                <c:extLst>
                  <c:ext xmlns:c15="http://schemas.microsoft.com/office/drawing/2012/chart" uri="{02D57815-91ED-43cb-92C2-25804820EDAC}">
                    <c15:fullRef>
                      <c15:sqref>'Vẽ Biểu đồ'!$E$32:$AO$32</c15:sqref>
                    </c15:fullRef>
                  </c:ext>
                </c:extLst>
                <c:f>('Vẽ Biểu đồ'!$E$32:$AB$32,'Vẽ Biểu đồ'!$AO$32)</c:f>
                <c:numCache>
                  <c:formatCode>General</c:formatCode>
                  <c:ptCount val="25"/>
                  <c:pt idx="0">
                    <c:v>350</c:v>
                  </c:pt>
                  <c:pt idx="1">
                    <c:v>336.66666666666663</c:v>
                  </c:pt>
                  <c:pt idx="2">
                    <c:v>340</c:v>
                  </c:pt>
                  <c:pt idx="3">
                    <c:v>340</c:v>
                  </c:pt>
                  <c:pt idx="4">
                    <c:v>388</c:v>
                  </c:pt>
                  <c:pt idx="5">
                    <c:v>380</c:v>
                  </c:pt>
                  <c:pt idx="6">
                    <c:v>382.5</c:v>
                  </c:pt>
                  <c:pt idx="7">
                    <c:v>400</c:v>
                  </c:pt>
                  <c:pt idx="8">
                    <c:v>460</c:v>
                  </c:pt>
                  <c:pt idx="9">
                    <c:v>492.5</c:v>
                  </c:pt>
                  <c:pt idx="10">
                    <c:v>503</c:v>
                  </c:pt>
                  <c:pt idx="11">
                    <c:v>475</c:v>
                  </c:pt>
                  <c:pt idx="12">
                    <c:v>432</c:v>
                  </c:pt>
                  <c:pt idx="13">
                    <c:v>420</c:v>
                  </c:pt>
                  <c:pt idx="14">
                    <c:v>437</c:v>
                  </c:pt>
                  <c:pt idx="15">
                    <c:v>515</c:v>
                  </c:pt>
                  <c:pt idx="16">
                    <c:v>498</c:v>
                  </c:pt>
                  <c:pt idx="17">
                    <c:v>472.5</c:v>
                  </c:pt>
                  <c:pt idx="18">
                    <c:v>478</c:v>
                  </c:pt>
                  <c:pt idx="19">
                    <c:v>455</c:v>
                  </c:pt>
                  <c:pt idx="20">
                    <c:v>467</c:v>
                  </c:pt>
                  <c:pt idx="21">
                    <c:v>468</c:v>
                  </c:pt>
                  <c:pt idx="22">
                    <c:v>460</c:v>
                  </c:pt>
                  <c:pt idx="23">
                    <c:v>460</c:v>
                  </c:pt>
                </c:numCache>
              </c:numRef>
            </c:plus>
            <c:minus>
              <c:numRef>
                <c:extLst>
                  <c:ext xmlns:c15="http://schemas.microsoft.com/office/drawing/2012/chart" uri="{02D57815-91ED-43cb-92C2-25804820EDAC}">
                    <c15:fullRef>
                      <c15:sqref>'Vẽ Biểu đồ'!$E$32:$AO$32</c15:sqref>
                    </c15:fullRef>
                  </c:ext>
                </c:extLst>
                <c:f>('Vẽ Biểu đồ'!$E$32:$AB$32,'Vẽ Biểu đồ'!$AO$32)</c:f>
                <c:numCache>
                  <c:formatCode>General</c:formatCode>
                  <c:ptCount val="25"/>
                  <c:pt idx="0">
                    <c:v>350</c:v>
                  </c:pt>
                  <c:pt idx="1">
                    <c:v>336.66666666666663</c:v>
                  </c:pt>
                  <c:pt idx="2">
                    <c:v>340</c:v>
                  </c:pt>
                  <c:pt idx="3">
                    <c:v>340</c:v>
                  </c:pt>
                  <c:pt idx="4">
                    <c:v>388</c:v>
                  </c:pt>
                  <c:pt idx="5">
                    <c:v>380</c:v>
                  </c:pt>
                  <c:pt idx="6">
                    <c:v>382.5</c:v>
                  </c:pt>
                  <c:pt idx="7">
                    <c:v>400</c:v>
                  </c:pt>
                  <c:pt idx="8">
                    <c:v>460</c:v>
                  </c:pt>
                  <c:pt idx="9">
                    <c:v>492.5</c:v>
                  </c:pt>
                  <c:pt idx="10">
                    <c:v>503</c:v>
                  </c:pt>
                  <c:pt idx="11">
                    <c:v>475</c:v>
                  </c:pt>
                  <c:pt idx="12">
                    <c:v>432</c:v>
                  </c:pt>
                  <c:pt idx="13">
                    <c:v>420</c:v>
                  </c:pt>
                  <c:pt idx="14">
                    <c:v>437</c:v>
                  </c:pt>
                  <c:pt idx="15">
                    <c:v>515</c:v>
                  </c:pt>
                  <c:pt idx="16">
                    <c:v>498</c:v>
                  </c:pt>
                  <c:pt idx="17">
                    <c:v>472.5</c:v>
                  </c:pt>
                  <c:pt idx="18">
                    <c:v>478</c:v>
                  </c:pt>
                  <c:pt idx="19">
                    <c:v>455</c:v>
                  </c:pt>
                  <c:pt idx="20">
                    <c:v>467</c:v>
                  </c:pt>
                  <c:pt idx="21">
                    <c:v>468</c:v>
                  </c:pt>
                  <c:pt idx="22">
                    <c:v>460</c:v>
                  </c:pt>
                  <c:pt idx="23">
                    <c:v>460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bg1">
                    <a:lumMod val="85000"/>
                  </a:schemeClr>
                </a:solidFill>
                <a:prstDash val="sysDot"/>
                <a:round/>
                <a:headEnd type="triangle"/>
                <a:tailEnd type="triangle"/>
              </a:ln>
              <a:effectLst/>
            </c:spPr>
          </c:errBar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đồ'!$E$26:$AO$27</c15:sqref>
                  </c15:fullRef>
                </c:ext>
              </c:extLst>
              <c:f>'Vẽ Biểu đồ'!$E$26:$AO$27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đồ'!$E$34:$AO$34</c15:sqref>
                  </c15:fullRef>
                </c:ext>
              </c:extLst>
              <c:f>('Vẽ Biểu đồ'!$E$34:$AB$34,'Vẽ Biểu đồ'!$AO$34)</c:f>
              <c:numCache>
                <c:formatCode>_(* #,##0_);_(* \(#,##0\);_(* "-"??_);_(@_)</c:formatCode>
                <c:ptCount val="25"/>
                <c:pt idx="0">
                  <c:v>1280</c:v>
                </c:pt>
                <c:pt idx="1">
                  <c:v>1280</c:v>
                </c:pt>
                <c:pt idx="2">
                  <c:v>1280</c:v>
                </c:pt>
                <c:pt idx="3">
                  <c:v>1280</c:v>
                </c:pt>
                <c:pt idx="4">
                  <c:v>1330</c:v>
                </c:pt>
                <c:pt idx="5">
                  <c:v>1330</c:v>
                </c:pt>
                <c:pt idx="6">
                  <c:v>1330</c:v>
                </c:pt>
                <c:pt idx="7">
                  <c:v>1330</c:v>
                </c:pt>
                <c:pt idx="8">
                  <c:v>1340</c:v>
                </c:pt>
                <c:pt idx="9">
                  <c:v>1355</c:v>
                </c:pt>
                <c:pt idx="10">
                  <c:v>1355</c:v>
                </c:pt>
                <c:pt idx="11">
                  <c:v>1305</c:v>
                </c:pt>
                <c:pt idx="12">
                  <c:v>1260</c:v>
                </c:pt>
                <c:pt idx="13">
                  <c:v>1260</c:v>
                </c:pt>
                <c:pt idx="14">
                  <c:v>1260</c:v>
                </c:pt>
                <c:pt idx="15">
                  <c:v>1280</c:v>
                </c:pt>
                <c:pt idx="16">
                  <c:v>1280</c:v>
                </c:pt>
                <c:pt idx="17">
                  <c:v>1280</c:v>
                </c:pt>
                <c:pt idx="18">
                  <c:v>1280</c:v>
                </c:pt>
                <c:pt idx="19">
                  <c:v>1250</c:v>
                </c:pt>
                <c:pt idx="20">
                  <c:v>1250</c:v>
                </c:pt>
                <c:pt idx="21">
                  <c:v>1240</c:v>
                </c:pt>
                <c:pt idx="22">
                  <c:v>1230</c:v>
                </c:pt>
                <c:pt idx="23">
                  <c:v>1230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E6D5-4F8D-9630-E32551AC36DC}"/>
            </c:ext>
          </c:extLst>
        </c:ser>
        <c:ser>
          <c:idx val="7"/>
          <c:order val="7"/>
          <c:tx>
            <c:strRef>
              <c:f>'Vẽ Biểu đồ'!$D$35</c:f>
              <c:strCache>
                <c:ptCount val="1"/>
                <c:pt idx="0">
                  <c:v>Chênh lệch-Label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fld id="{C33433DA-7329-44C7-ABA5-716C8141789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7-E6D5-4F8D-9630-E32551AC36D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92CC6F00-08AA-4269-8EB6-C72846BBB21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8-E6D5-4F8D-9630-E32551AC36DC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BC1F210B-D2B2-423C-8A57-857EACCDDD5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9-E6D5-4F8D-9630-E32551AC36DC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FFE91861-6A07-4BCB-8097-521B8FF4C98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A-E6D5-4F8D-9630-E32551AC36DC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E0AA0BC3-74B8-4CE6-B9CF-16FDD320FE4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B-E6D5-4F8D-9630-E32551AC36DC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035E24F5-37C5-4220-8E64-3B1DF523B0A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C-E6D5-4F8D-9630-E32551AC36DC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A9A63D74-6573-4918-832E-6A60FC27118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D-E6D5-4F8D-9630-E32551AC36DC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F4400943-3C9F-4A71-BC55-E2D084BF415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E-E6D5-4F8D-9630-E32551AC36DC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3FFA4E10-55F8-40CD-A8CF-FA3FC4818A1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F-E6D5-4F8D-9630-E32551AC36DC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45E54F2D-B681-41F2-B200-3D51C9D857E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0-E6D5-4F8D-9630-E32551AC36DC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3603E3F2-469C-46B9-995C-F0F220C8B96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1-E6D5-4F8D-9630-E32551AC36DC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2FA1C018-0C1C-42B9-A3B1-410BFC9E530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2-E6D5-4F8D-9630-E32551AC36DC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A736D3DE-7F39-4CEA-9637-88B6BFBC0B1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3-E6D5-4F8D-9630-E32551AC36DC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DEF19226-1ADF-4B55-A436-7A871EADAA5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4-E6D5-4F8D-9630-E32551AC36DC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EF9473A1-14C0-4BCA-BF9E-4B5B32D43C8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5-E6D5-4F8D-9630-E32551AC36DC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3095FAC2-BA17-4068-8900-66A8A2920C0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6-E6D5-4F8D-9630-E32551AC36DC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ECB32D4E-A2A1-4C45-B075-821320C6442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7-E6D5-4F8D-9630-E32551AC36DC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FDE2327A-56A9-4845-B03F-AE1EF33FE56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8-E6D5-4F8D-9630-E32551AC36DC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EB980CA3-9BB1-4CAC-A00C-E5D50557294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9425-4AFF-8B0C-C79B28FA5975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FEF18048-8DFC-4075-9F4B-E434450DF20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E595-480E-A23A-CD84E64749D9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90506409-0A2B-496F-AD7B-F833A886BD4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C52E-40EB-964A-6D1C384E5681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880CCD5E-1C68-4D8D-83C6-83832551C9D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ED50-40ED-95A4-67FFCD57F52E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6569FDA8-8F76-41BA-B5F3-5056FAC21EA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4C8B-48C6-BF85-3A2501D9E621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05A6C7AD-B25C-472E-9168-87F420EAA87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277C-4DBF-BE90-84AD3FCFFFC7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4-277C-4DBF-BE90-84AD3FCFFFC7}"/>
                </c:ext>
              </c:extLst>
            </c:dLbl>
            <c:spPr>
              <a:solidFill>
                <a:schemeClr val="bg1"/>
              </a:solidFill>
              <a:ln>
                <a:solidFill>
                  <a:schemeClr val="bg1">
                    <a:lumMod val="50000"/>
                  </a:schemeClr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1">
                        <a:lumMod val="50000"/>
                      </a:schemeClr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đồ'!$E$26:$AO$27</c15:sqref>
                  </c15:fullRef>
                </c:ext>
              </c:extLst>
              <c:f>'Vẽ Biểu đồ'!$E$26:$AO$27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đồ'!$E$35:$AO$35</c15:sqref>
                  </c15:fullRef>
                </c:ext>
              </c:extLst>
              <c:f>('Vẽ Biểu đồ'!$E$35:$AB$35,'Vẽ Biểu đồ'!$AO$35)</c:f>
              <c:numCache>
                <c:formatCode>_(* #,##0_);_(* \(#,##0\);_(* "-"??_);_(@_)</c:formatCode>
                <c:ptCount val="25"/>
                <c:pt idx="0">
                  <c:v>1105</c:v>
                </c:pt>
                <c:pt idx="1">
                  <c:v>1111.6666666666667</c:v>
                </c:pt>
                <c:pt idx="2">
                  <c:v>1110</c:v>
                </c:pt>
                <c:pt idx="3">
                  <c:v>1110</c:v>
                </c:pt>
                <c:pt idx="4">
                  <c:v>1136</c:v>
                </c:pt>
                <c:pt idx="5">
                  <c:v>1140</c:v>
                </c:pt>
                <c:pt idx="6">
                  <c:v>1138.75</c:v>
                </c:pt>
                <c:pt idx="7">
                  <c:v>1130</c:v>
                </c:pt>
                <c:pt idx="8">
                  <c:v>1110</c:v>
                </c:pt>
                <c:pt idx="9">
                  <c:v>1108.75</c:v>
                </c:pt>
                <c:pt idx="10">
                  <c:v>1103.5</c:v>
                </c:pt>
                <c:pt idx="11">
                  <c:v>1067.5</c:v>
                </c:pt>
                <c:pt idx="12">
                  <c:v>1044</c:v>
                </c:pt>
                <c:pt idx="13">
                  <c:v>1050</c:v>
                </c:pt>
                <c:pt idx="14">
                  <c:v>1041.5</c:v>
                </c:pt>
                <c:pt idx="15">
                  <c:v>1022.5</c:v>
                </c:pt>
                <c:pt idx="16">
                  <c:v>1031</c:v>
                </c:pt>
                <c:pt idx="17">
                  <c:v>1043.75</c:v>
                </c:pt>
                <c:pt idx="18">
                  <c:v>1041</c:v>
                </c:pt>
                <c:pt idx="19">
                  <c:v>1022.5</c:v>
                </c:pt>
                <c:pt idx="20">
                  <c:v>1016.5</c:v>
                </c:pt>
                <c:pt idx="21">
                  <c:v>1006</c:v>
                </c:pt>
                <c:pt idx="22">
                  <c:v>1000</c:v>
                </c:pt>
                <c:pt idx="23">
                  <c:v>1000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đồ'!$E$14:$AO$14</c15:f>
                <c15:dlblRangeCache>
                  <c:ptCount val="37"/>
                  <c:pt idx="0">
                    <c:v>+34.4%</c:v>
                  </c:pt>
                  <c:pt idx="1">
                    <c:v>+32.5%</c:v>
                  </c:pt>
                  <c:pt idx="2">
                    <c:v>+33.0%</c:v>
                  </c:pt>
                  <c:pt idx="3">
                    <c:v>+33.0%</c:v>
                  </c:pt>
                  <c:pt idx="4">
                    <c:v>+38.0%</c:v>
                  </c:pt>
                  <c:pt idx="5">
                    <c:v>+36.8%</c:v>
                  </c:pt>
                  <c:pt idx="6">
                    <c:v>+37.2%</c:v>
                  </c:pt>
                  <c:pt idx="7">
                    <c:v>+39.8%</c:v>
                  </c:pt>
                  <c:pt idx="8">
                    <c:v>+48.9%</c:v>
                  </c:pt>
                  <c:pt idx="9">
                    <c:v>+53.6%</c:v>
                  </c:pt>
                  <c:pt idx="10">
                    <c:v>+55.5%</c:v>
                  </c:pt>
                  <c:pt idx="11">
                    <c:v>+53.6%</c:v>
                  </c:pt>
                  <c:pt idx="12">
                    <c:v>+48.6%</c:v>
                  </c:pt>
                  <c:pt idx="13">
                    <c:v>+46.4%</c:v>
                  </c:pt>
                  <c:pt idx="14">
                    <c:v>+49.5%</c:v>
                  </c:pt>
                  <c:pt idx="15">
                    <c:v>+63.4%</c:v>
                  </c:pt>
                  <c:pt idx="16">
                    <c:v>+59.8%</c:v>
                  </c:pt>
                  <c:pt idx="17">
                    <c:v>+54.8%</c:v>
                  </c:pt>
                  <c:pt idx="18">
                    <c:v>+55.9%</c:v>
                  </c:pt>
                  <c:pt idx="19">
                    <c:v>+53.5%</c:v>
                  </c:pt>
                  <c:pt idx="20">
                    <c:v>+55.8%</c:v>
                  </c:pt>
                  <c:pt idx="21">
                    <c:v>+56.7%</c:v>
                  </c:pt>
                  <c:pt idx="22">
                    <c:v>+55.8%</c:v>
                  </c:pt>
                  <c:pt idx="23">
                    <c:v>+55.8%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6A-E6D5-4F8D-9630-E32551AC36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6623744"/>
        <c:axId val="516630464"/>
      </c:lineChart>
      <c:catAx>
        <c:axId val="516623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1" i="0" u="none" strike="noStrike" kern="1200" baseline="0">
                <a:solidFill>
                  <a:schemeClr val="bg1">
                    <a:lumMod val="65000"/>
                  </a:schemeClr>
                </a:solidFill>
                <a:latin typeface="+mj-lt"/>
                <a:ea typeface="+mn-ea"/>
                <a:cs typeface="+mn-cs"/>
              </a:defRPr>
            </a:pPr>
            <a:endParaRPr lang="en-US"/>
          </a:p>
        </c:txPr>
        <c:crossAx val="516630464"/>
        <c:crosses val="autoZero"/>
        <c:auto val="1"/>
        <c:lblAlgn val="ctr"/>
        <c:lblOffset val="100"/>
        <c:noMultiLvlLbl val="0"/>
      </c:catAx>
      <c:valAx>
        <c:axId val="516630464"/>
        <c:scaling>
          <c:orientation val="minMax"/>
          <c:max val="1550"/>
          <c:min val="730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65000"/>
                  </a:schemeClr>
                </a:solidFill>
                <a:latin typeface="+mj-lt"/>
                <a:ea typeface="+mn-ea"/>
                <a:cs typeface="+mn-cs"/>
              </a:defRPr>
            </a:pPr>
            <a:endParaRPr lang="en-US"/>
          </a:p>
        </c:txPr>
        <c:crossAx val="516623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accent2"/>
      </a:solidFill>
      <a:round/>
    </a:ln>
    <a:effectLst/>
  </c:spPr>
  <c:txPr>
    <a:bodyPr/>
    <a:lstStyle/>
    <a:p>
      <a:pPr>
        <a:defRPr>
          <a:latin typeface="+mj-lt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0"/>
          <c:w val="0.96006059276030531"/>
          <c:h val="0.87560764851576656"/>
        </c:manualLayout>
      </c:layout>
      <c:areaChart>
        <c:grouping val="standard"/>
        <c:varyColors val="0"/>
        <c:ser>
          <c:idx val="5"/>
          <c:order val="5"/>
          <c:tx>
            <c:strRef>
              <c:f>'Vẽ Biểu đồ'!$D$36</c:f>
              <c:strCache>
                <c:ptCount val="1"/>
                <c:pt idx="0">
                  <c:v>Giá duyệt-Area</c:v>
                </c:pt>
              </c:strCache>
            </c:strRef>
          </c:tx>
          <c:spPr>
            <a:solidFill>
              <a:srgbClr val="FFF2CC"/>
            </a:solidFill>
            <a:ln w="25400">
              <a:noFill/>
            </a:ln>
            <a:effectLst/>
          </c:spPr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đồ'!$E$26:$AO$27</c15:sqref>
                  </c15:fullRef>
                </c:ext>
              </c:extLst>
              <c:f>'Vẽ Biểu đồ'!$E$26:$AO$27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đồ'!$E$36:$AO$36</c15:sqref>
                  </c15:fullRef>
                </c:ext>
              </c:extLst>
              <c:f>('Vẽ Biểu đồ'!$E$36:$AB$36,'Vẽ Biểu đồ'!$AO$36)</c:f>
              <c:numCache>
                <c:formatCode>_(* #,##0_);_(* \(#,##0\);_(* "-"??_);_(@_)</c:formatCode>
                <c:ptCount val="25"/>
                <c:pt idx="0">
                  <c:v>1280</c:v>
                </c:pt>
                <c:pt idx="1">
                  <c:v>1280</c:v>
                </c:pt>
                <c:pt idx="2">
                  <c:v>1280</c:v>
                </c:pt>
                <c:pt idx="3">
                  <c:v>1280</c:v>
                </c:pt>
                <c:pt idx="4">
                  <c:v>1330</c:v>
                </c:pt>
                <c:pt idx="5">
                  <c:v>1330</c:v>
                </c:pt>
                <c:pt idx="6">
                  <c:v>1330</c:v>
                </c:pt>
                <c:pt idx="7">
                  <c:v>1330</c:v>
                </c:pt>
                <c:pt idx="8">
                  <c:v>1340</c:v>
                </c:pt>
                <c:pt idx="9">
                  <c:v>1355</c:v>
                </c:pt>
                <c:pt idx="10">
                  <c:v>1355</c:v>
                </c:pt>
                <c:pt idx="11">
                  <c:v>1305</c:v>
                </c:pt>
                <c:pt idx="12">
                  <c:v>1260</c:v>
                </c:pt>
                <c:pt idx="13">
                  <c:v>1260</c:v>
                </c:pt>
                <c:pt idx="14">
                  <c:v>1260</c:v>
                </c:pt>
                <c:pt idx="15">
                  <c:v>1280</c:v>
                </c:pt>
                <c:pt idx="16">
                  <c:v>1280</c:v>
                </c:pt>
                <c:pt idx="17">
                  <c:v>1280</c:v>
                </c:pt>
                <c:pt idx="18">
                  <c:v>1280</c:v>
                </c:pt>
                <c:pt idx="19">
                  <c:v>1250</c:v>
                </c:pt>
                <c:pt idx="20">
                  <c:v>1250</c:v>
                </c:pt>
                <c:pt idx="21">
                  <c:v>1240</c:v>
                </c:pt>
                <c:pt idx="22">
                  <c:v>1230</c:v>
                </c:pt>
                <c:pt idx="23">
                  <c:v>1230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E5-4EEE-9BFE-D7DEFADC7C66}"/>
            </c:ext>
          </c:extLst>
        </c:ser>
        <c:ser>
          <c:idx val="4"/>
          <c:order val="6"/>
          <c:tx>
            <c:strRef>
              <c:f>'Vẽ Biểu đồ'!$D$37</c:f>
              <c:strCache>
                <c:ptCount val="1"/>
                <c:pt idx="0">
                  <c:v>Giá chính phẩm-Area</c:v>
                </c:pt>
              </c:strCache>
            </c:strRef>
          </c:tx>
          <c:spPr>
            <a:solidFill>
              <a:schemeClr val="bg1"/>
            </a:solidFill>
            <a:ln w="25400">
              <a:noFill/>
            </a:ln>
            <a:effectLst/>
          </c:spPr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đồ'!$E$26:$AO$27</c15:sqref>
                  </c15:fullRef>
                </c:ext>
              </c:extLst>
              <c:f>'Vẽ Biểu đồ'!$E$26:$AO$27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đồ'!$E$37:$AO$37</c15:sqref>
                  </c15:fullRef>
                </c:ext>
              </c:extLst>
              <c:f>('Vẽ Biểu đồ'!$E$37:$AB$37,'Vẽ Biểu đồ'!$AO$37)</c:f>
              <c:numCache>
                <c:formatCode>_(* #,##0_);_(* \(#,##0\);_(* "-"??_);_(@_)</c:formatCode>
                <c:ptCount val="25"/>
                <c:pt idx="0">
                  <c:v>930</c:v>
                </c:pt>
                <c:pt idx="1">
                  <c:v>943.33333333333337</c:v>
                </c:pt>
                <c:pt idx="2">
                  <c:v>940</c:v>
                </c:pt>
                <c:pt idx="3">
                  <c:v>940</c:v>
                </c:pt>
                <c:pt idx="4">
                  <c:v>942</c:v>
                </c:pt>
                <c:pt idx="5">
                  <c:v>950</c:v>
                </c:pt>
                <c:pt idx="6">
                  <c:v>947.5</c:v>
                </c:pt>
                <c:pt idx="7">
                  <c:v>930</c:v>
                </c:pt>
                <c:pt idx="8">
                  <c:v>880</c:v>
                </c:pt>
                <c:pt idx="9">
                  <c:v>862.5</c:v>
                </c:pt>
                <c:pt idx="10">
                  <c:v>852</c:v>
                </c:pt>
                <c:pt idx="11">
                  <c:v>830</c:v>
                </c:pt>
                <c:pt idx="12">
                  <c:v>828</c:v>
                </c:pt>
                <c:pt idx="13">
                  <c:v>840</c:v>
                </c:pt>
                <c:pt idx="14">
                  <c:v>823</c:v>
                </c:pt>
                <c:pt idx="15">
                  <c:v>765</c:v>
                </c:pt>
                <c:pt idx="16">
                  <c:v>782</c:v>
                </c:pt>
                <c:pt idx="17">
                  <c:v>807.5</c:v>
                </c:pt>
                <c:pt idx="18">
                  <c:v>802</c:v>
                </c:pt>
                <c:pt idx="19">
                  <c:v>795</c:v>
                </c:pt>
                <c:pt idx="20">
                  <c:v>783</c:v>
                </c:pt>
                <c:pt idx="21">
                  <c:v>772</c:v>
                </c:pt>
                <c:pt idx="22">
                  <c:v>770</c:v>
                </c:pt>
                <c:pt idx="23">
                  <c:v>770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E5-4EEE-9BFE-D7DEFADC7C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6623744"/>
        <c:axId val="516630464"/>
      </c:areaChart>
      <c:lineChart>
        <c:grouping val="standard"/>
        <c:varyColors val="0"/>
        <c:ser>
          <c:idx val="0"/>
          <c:order val="0"/>
          <c:tx>
            <c:strRef>
              <c:f>'Vẽ Biểu đồ'!$D$28</c:f>
              <c:strCache>
                <c:ptCount val="1"/>
                <c:pt idx="0">
                  <c:v>OUTEIRINHO</c:v>
                </c:pt>
              </c:strCache>
            </c:strRef>
          </c:tx>
          <c:spPr>
            <a:ln w="28575" cap="rnd">
              <a:solidFill>
                <a:srgbClr val="007DC4"/>
              </a:solidFill>
              <a:round/>
            </a:ln>
            <a:effectLst/>
          </c:spPr>
          <c:marker>
            <c:symbol val="none"/>
          </c:marker>
          <c:dPt>
            <c:idx val="24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8E85-453D-A523-212FFACC4F23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26E5-4EEE-9BFE-D7DEFADC7C66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26E5-4EEE-9BFE-D7DEFADC7C66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26E5-4EEE-9BFE-D7DEFADC7C66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26E5-4EEE-9BFE-D7DEFADC7C66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26E5-4EEE-9BFE-D7DEFADC7C66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26E5-4EEE-9BFE-D7DEFADC7C66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26E5-4EEE-9BFE-D7DEFADC7C66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26E5-4EEE-9BFE-D7DEFADC7C66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26E5-4EEE-9BFE-D7DEFADC7C66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26E5-4EEE-9BFE-D7DEFADC7C66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26E5-4EEE-9BFE-D7DEFADC7C66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26E5-4EEE-9BFE-D7DEFADC7C66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A35F43B7-7790-4257-AF0A-9DB0AB7E0F9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26E5-4EEE-9BFE-D7DEFADC7C66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51C47575-DE34-4ACF-97AE-F67BBF6F501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26E5-4EEE-9BFE-D7DEFADC7C66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D4061B33-2218-4326-96A5-50F195559FC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26E5-4EEE-9BFE-D7DEFADC7C66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0C030EB7-30A5-4B20-AB33-2E7CD36982E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26E5-4EEE-9BFE-D7DEFADC7C66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8C1BBDEA-850B-4EE2-862A-7D1F21064F3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26E5-4EEE-9BFE-D7DEFADC7C66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2731F042-0310-4852-B368-60F64BDB42B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26E5-4EEE-9BFE-D7DEFADC7C66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C0FB1F88-7963-4002-8EAF-8C102AB72B4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F77C-4BCE-8963-5CC1DBEFE057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0059E716-9C10-4A14-9462-618DCDEB917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709E-4B86-AAB2-51AFA6351F45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0C1472CB-ABD9-4427-8D27-A78B85965A1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FAF5-4975-8094-724F90284AE8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8D6EA32D-C52F-44CB-A9AA-BD3C8475767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63D3-4889-A61F-2ABE9358C527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68CB5BF4-5932-4E74-AA3B-751AEE003E7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40BD-43A5-B0D0-6D5C705C0576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4EE1FEC7-CBDE-44AA-9F8E-551896CDA90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9497-47E7-843B-5B28A7142195}"/>
                </c:ext>
              </c:extLst>
            </c:dLbl>
            <c:dLbl>
              <c:idx val="24"/>
              <c:layout>
                <c:manualLayout>
                  <c:x val="0"/>
                  <c:y val="6.8113491168733553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200" b="1" i="0" u="none" strike="noStrike" kern="1200" baseline="0">
                        <a:solidFill>
                          <a:srgbClr val="007DC4"/>
                        </a:solidFill>
                        <a:latin typeface="+mj-lt"/>
                        <a:ea typeface="+mn-ea"/>
                        <a:cs typeface="+mn-cs"/>
                      </a:defRPr>
                    </a:pPr>
                    <a:fld id="{EDF33F83-E483-48FD-9E12-7456C17A1A4B}" type="CELLRANGE">
                      <a:rPr lang="en-US"/>
                      <a:pPr>
                        <a:defRPr sz="1200" b="1">
                          <a:solidFill>
                            <a:srgbClr val="007DC4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rgbClr val="007DC4"/>
                      </a:solidFill>
                      <a:latin typeface="+mj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8E85-453D-A523-212FFACC4F2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rgbClr val="007DC4"/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đồ'!$E$26:$AO$27</c15:sqref>
                  </c15:fullRef>
                </c:ext>
              </c:extLst>
              <c:f>'Vẽ Biểu đồ'!$E$26:$AO$27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đồ'!$E$28:$AO$28</c15:sqref>
                  </c15:fullRef>
                </c:ext>
              </c:extLst>
              <c:f>('Vẽ Biểu đồ'!$E$28:$AB$28,'Vẽ Biểu đồ'!$AO$28)</c:f>
              <c:numCache>
                <c:formatCode>_(* #,##0_);_(* \(#,##0\);_(* "-"??_);_(@_)</c:formatCode>
                <c:ptCount val="2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1230</c:v>
                </c:pt>
                <c:pt idx="13">
                  <c:v>1230</c:v>
                </c:pt>
                <c:pt idx="14">
                  <c:v>1230</c:v>
                </c:pt>
                <c:pt idx="15">
                  <c:v>1228</c:v>
                </c:pt>
                <c:pt idx="16">
                  <c:v>1228</c:v>
                </c:pt>
                <c:pt idx="17">
                  <c:v>1228</c:v>
                </c:pt>
                <c:pt idx="18">
                  <c:v>1228</c:v>
                </c:pt>
                <c:pt idx="19">
                  <c:v>1228</c:v>
                </c:pt>
                <c:pt idx="20">
                  <c:v>1228</c:v>
                </c:pt>
                <c:pt idx="21">
                  <c:v>1228</c:v>
                </c:pt>
                <c:pt idx="22">
                  <c:v>1228</c:v>
                </c:pt>
                <c:pt idx="23">
                  <c:v>1228</c:v>
                </c:pt>
                <c:pt idx="24">
                  <c:v>1228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đồ'!$E$38:$AO$38</c15:f>
                <c15:dlblRangeCache>
                  <c:ptCount val="37"/>
                  <c:pt idx="12">
                    <c:v> 1,230 </c:v>
                  </c:pt>
                  <c:pt idx="13">
                    <c:v> 1,230 </c:v>
                  </c:pt>
                  <c:pt idx="14">
                    <c:v> 1,230 </c:v>
                  </c:pt>
                  <c:pt idx="15">
                    <c:v> 1,228 </c:v>
                  </c:pt>
                  <c:pt idx="16">
                    <c:v> 1,228 </c:v>
                  </c:pt>
                  <c:pt idx="17">
                    <c:v> 1,228 </c:v>
                  </c:pt>
                  <c:pt idx="18">
                    <c:v> 1,228 </c:v>
                  </c:pt>
                  <c:pt idx="19">
                    <c:v> 1,228 </c:v>
                  </c:pt>
                  <c:pt idx="20">
                    <c:v> 1,228 </c:v>
                  </c:pt>
                  <c:pt idx="21">
                    <c:v> 1,228 </c:v>
                  </c:pt>
                  <c:pt idx="22">
                    <c:v> 1,228 </c:v>
                  </c:pt>
                  <c:pt idx="23">
                    <c:v> 1,228 </c:v>
                  </c:pt>
                  <c:pt idx="36">
                    <c:v>OUTEIRINHO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6-26E5-4EEE-9BFE-D7DEFADC7C66}"/>
            </c:ext>
          </c:extLst>
        </c:ser>
        <c:ser>
          <c:idx val="1"/>
          <c:order val="1"/>
          <c:tx>
            <c:strRef>
              <c:f>'Vẽ Biểu đồ'!$D$29</c:f>
              <c:strCache>
                <c:ptCount val="1"/>
                <c:pt idx="0">
                  <c:v>SUNTORY VIET NAM</c:v>
                </c:pt>
              </c:strCache>
            </c:strRef>
          </c:tx>
          <c:spPr>
            <a:ln w="28575" cap="rnd">
              <a:solidFill>
                <a:srgbClr val="54C1DE"/>
              </a:solidFill>
              <a:round/>
            </a:ln>
            <a:effectLst/>
          </c:spPr>
          <c:marker>
            <c:symbol val="none"/>
          </c:marker>
          <c:dPt>
            <c:idx val="24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8E85-453D-A523-212FFACC4F23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B51AE2B6-1E70-430C-B218-DA14216EDB9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26E5-4EEE-9BFE-D7DEFADC7C66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F534B956-6689-4438-98CC-AFA238B7616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26E5-4EEE-9BFE-D7DEFADC7C66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EAF29364-8FCC-43ED-85A4-25A99C3B7ED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26E5-4EEE-9BFE-D7DEFADC7C66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2D59AFC8-E081-4EC7-8CD1-C28E0EA6E08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26E5-4EEE-9BFE-D7DEFADC7C66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F73BEC38-D308-46A8-8A00-1845AD8F162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26E5-4EEE-9BFE-D7DEFADC7C66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0F216862-36CF-4E92-BDA5-CA5DB437831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26E5-4EEE-9BFE-D7DEFADC7C66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DB6E6E63-2511-4202-8115-139F8A53B3D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26E5-4EEE-9BFE-D7DEFADC7C66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377C22DD-2E8D-4A01-AC5C-B111FCA0B3E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26E5-4EEE-9BFE-D7DEFADC7C66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82FD8EF8-F938-42AB-94E0-A5E810397FA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26E5-4EEE-9BFE-D7DEFADC7C66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678DBAF3-AF39-46A3-BF9E-D7B67F094B0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26E5-4EEE-9BFE-D7DEFADC7C66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A8C93A47-C6B5-49DE-843A-710B1F2B07F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26E5-4EEE-9BFE-D7DEFADC7C66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8AD60B9E-A844-46E4-9E99-CAECDDB48F7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26E5-4EEE-9BFE-D7DEFADC7C66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8D846AB8-CC26-4765-940F-68D62B07CA5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26E5-4EEE-9BFE-D7DEFADC7C66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62D4BC9D-5145-4659-BC37-DFDDFC30E5D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26E5-4EEE-9BFE-D7DEFADC7C66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6E99CC61-3B45-450B-91F6-D854F6CDCFB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26E5-4EEE-9BFE-D7DEFADC7C66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19C17EAE-C5BF-4A2F-A9BD-D4C50737E4F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26E5-4EEE-9BFE-D7DEFADC7C66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DB97323E-0809-4BDE-9DAC-3E4C8576124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26E5-4EEE-9BFE-D7DEFADC7C66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429F5DB0-6167-4D42-9B8D-69D9CA93145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26E5-4EEE-9BFE-D7DEFADC7C66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224BE9D5-BF74-4D45-A9B5-B275C40EAB0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F77C-4BCE-8963-5CC1DBEFE057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87BC907A-8CA0-4B5E-8D55-6AB88C24BC9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709E-4B86-AAB2-51AFA6351F45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6DDC24BE-9190-4F45-8EB5-33F8272D05A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FAF5-4975-8094-724F90284AE8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03F608C4-72C4-41FE-9A4F-0D3CD11B9E8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63D3-4889-A61F-2ABE9358C527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2402E4DA-F238-434F-AD6B-B96BA344C4D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40BD-43A5-B0D0-6D5C705C0576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86766B8D-A9ED-46AC-ACF5-D7D8FBFEF5F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9497-47E7-843B-5B28A7142195}"/>
                </c:ext>
              </c:extLst>
            </c:dLbl>
            <c:dLbl>
              <c:idx val="24"/>
              <c:layout>
                <c:manualLayout>
                  <c:x val="-3.1489918617777436E-4"/>
                  <c:y val="-1.3464574326743585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200" b="1" i="0" u="none" strike="noStrike" kern="1200" baseline="0">
                        <a:solidFill>
                          <a:srgbClr val="54C1DE"/>
                        </a:solidFill>
                        <a:latin typeface="+mj-lt"/>
                        <a:ea typeface="+mn-ea"/>
                        <a:cs typeface="+mn-cs"/>
                      </a:defRPr>
                    </a:pPr>
                    <a:fld id="{25C83514-1E64-477A-AB0F-926923041270}" type="CELLRANGE">
                      <a:rPr lang="en-US"/>
                      <a:pPr>
                        <a:defRPr sz="1200" b="1">
                          <a:solidFill>
                            <a:srgbClr val="54C1DE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rgbClr val="54C1DE"/>
                      </a:solidFill>
                      <a:latin typeface="+mj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8.895065742006858E-2"/>
                      <c:h val="9.2913638186128106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8E85-453D-A523-212FFACC4F2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50" b="1" i="0" u="none" strike="noStrike" kern="1200" baseline="0">
                    <a:solidFill>
                      <a:srgbClr val="54C1DE"/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đồ'!$E$26:$AO$27</c15:sqref>
                  </c15:fullRef>
                </c:ext>
              </c:extLst>
              <c:f>'Vẽ Biểu đồ'!$E$26:$AO$27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đồ'!$E$29:$AO$29</c15:sqref>
                  </c15:fullRef>
                </c:ext>
              </c:extLst>
              <c:f>('Vẽ Biểu đồ'!$E$29:$AB$29,'Vẽ Biểu đồ'!$AO$29)</c:f>
              <c:numCache>
                <c:formatCode>_(* #,##0_);_(* \(#,##0\);_(* "-"??_);_(@_)</c:formatCode>
                <c:ptCount val="25"/>
                <c:pt idx="0">
                  <c:v>1320</c:v>
                </c:pt>
                <c:pt idx="1">
                  <c:v>1327.5</c:v>
                </c:pt>
                <c:pt idx="2">
                  <c:v>1340</c:v>
                </c:pt>
                <c:pt idx="3">
                  <c:v>1342.5</c:v>
                </c:pt>
                <c:pt idx="4">
                  <c:v>1346.5</c:v>
                </c:pt>
                <c:pt idx="5">
                  <c:v>1361.5</c:v>
                </c:pt>
                <c:pt idx="6">
                  <c:v>1377.5</c:v>
                </c:pt>
                <c:pt idx="7">
                  <c:v>1388.5</c:v>
                </c:pt>
                <c:pt idx="8">
                  <c:v>1408.5</c:v>
                </c:pt>
                <c:pt idx="9">
                  <c:v>1436.25</c:v>
                </c:pt>
                <c:pt idx="10">
                  <c:v>1453.75</c:v>
                </c:pt>
                <c:pt idx="11">
                  <c:v>1457.5</c:v>
                </c:pt>
                <c:pt idx="12">
                  <c:v>1375.71875</c:v>
                </c:pt>
                <c:pt idx="13">
                  <c:v>1339.3020833333319</c:v>
                </c:pt>
                <c:pt idx="14">
                  <c:v>1305.4583333333319</c:v>
                </c:pt>
                <c:pt idx="15">
                  <c:v>1306.25</c:v>
                </c:pt>
                <c:pt idx="16">
                  <c:v>1311</c:v>
                </c:pt>
                <c:pt idx="17">
                  <c:v>1311</c:v>
                </c:pt>
                <c:pt idx="18">
                  <c:v>1311</c:v>
                </c:pt>
                <c:pt idx="19">
                  <c:v>1293.9000000000001</c:v>
                </c:pt>
                <c:pt idx="20">
                  <c:v>1263.5250000000001</c:v>
                </c:pt>
                <c:pt idx="21">
                  <c:v>1264.925</c:v>
                </c:pt>
                <c:pt idx="22">
                  <c:v>1266.05</c:v>
                </c:pt>
                <c:pt idx="23">
                  <c:v>1266.65625</c:v>
                </c:pt>
                <c:pt idx="24">
                  <c:v>1266.65625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đồ'!$E$39:$AO$39</c15:f>
                <c15:dlblRangeCache>
                  <c:ptCount val="37"/>
                  <c:pt idx="0">
                    <c:v> 1,320 </c:v>
                  </c:pt>
                  <c:pt idx="1">
                    <c:v> 1,328 </c:v>
                  </c:pt>
                  <c:pt idx="2">
                    <c:v> 1,340 </c:v>
                  </c:pt>
                  <c:pt idx="3">
                    <c:v> 1,343 </c:v>
                  </c:pt>
                  <c:pt idx="4">
                    <c:v> 1,347 </c:v>
                  </c:pt>
                  <c:pt idx="5">
                    <c:v> 1,362 </c:v>
                  </c:pt>
                  <c:pt idx="6">
                    <c:v> 1,378 </c:v>
                  </c:pt>
                  <c:pt idx="7">
                    <c:v> 1,389 </c:v>
                  </c:pt>
                  <c:pt idx="8">
                    <c:v> 1,409 </c:v>
                  </c:pt>
                  <c:pt idx="9">
                    <c:v> 1,436 </c:v>
                  </c:pt>
                  <c:pt idx="10">
                    <c:v> 1,454 </c:v>
                  </c:pt>
                  <c:pt idx="11">
                    <c:v> 1,458 </c:v>
                  </c:pt>
                  <c:pt idx="12">
                    <c:v> 1,376 </c:v>
                  </c:pt>
                  <c:pt idx="13">
                    <c:v> 1,339 </c:v>
                  </c:pt>
                  <c:pt idx="14">
                    <c:v> 1,305 </c:v>
                  </c:pt>
                  <c:pt idx="15">
                    <c:v> 1,306 </c:v>
                  </c:pt>
                  <c:pt idx="16">
                    <c:v> 1,311 </c:v>
                  </c:pt>
                  <c:pt idx="17">
                    <c:v> 1,311 </c:v>
                  </c:pt>
                  <c:pt idx="18">
                    <c:v> 1,311 </c:v>
                  </c:pt>
                  <c:pt idx="19">
                    <c:v> 1,294 </c:v>
                  </c:pt>
                  <c:pt idx="20">
                    <c:v> 1,264 </c:v>
                  </c:pt>
                  <c:pt idx="21">
                    <c:v> 1,265 </c:v>
                  </c:pt>
                  <c:pt idx="22">
                    <c:v> 1,266 </c:v>
                  </c:pt>
                  <c:pt idx="23">
                    <c:v> 1,267 </c:v>
                  </c:pt>
                  <c:pt idx="36">
                    <c:v>SUNTORY VN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2B-26E5-4EEE-9BFE-D7DEFADC7C66}"/>
            </c:ext>
          </c:extLst>
        </c:ser>
        <c:ser>
          <c:idx val="2"/>
          <c:order val="2"/>
          <c:tx>
            <c:strRef>
              <c:f>'Vẽ Biểu đồ'!$D$30</c:f>
              <c:strCache>
                <c:ptCount val="1"/>
                <c:pt idx="0">
                  <c:v>Giá duyệt</c:v>
                </c:pt>
              </c:strCache>
            </c:strRef>
          </c:tx>
          <c:spPr>
            <a:ln w="28575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Pt>
            <c:idx val="24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8E85-453D-A523-212FFACC4F23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1F0E62A3-6A13-41E8-BB3C-6A13341CA04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26E5-4EEE-9BFE-D7DEFADC7C66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2A7A1ED4-0006-46B2-A4A0-C62A1DAAA44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26E5-4EEE-9BFE-D7DEFADC7C66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0F09543A-75D1-4840-A200-7A52C330B9C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26E5-4EEE-9BFE-D7DEFADC7C66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240BDC33-FC4D-4C17-B14D-B90E099C86C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26E5-4EEE-9BFE-D7DEFADC7C66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F0108A94-5E8C-4F0F-BAE6-32C7D49C1BA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26E5-4EEE-9BFE-D7DEFADC7C66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37873527-7D66-4999-A0C0-28AA1FC61FC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26E5-4EEE-9BFE-D7DEFADC7C66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B679EAB6-4B31-4A76-AD1E-A1A8DB84978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26E5-4EEE-9BFE-D7DEFADC7C66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AC590B72-DA2E-40AF-9793-DD69F7D41B2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26E5-4EEE-9BFE-D7DEFADC7C66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B7D18452-D2BF-4C70-862C-82AD23F9D82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26E5-4EEE-9BFE-D7DEFADC7C66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AF618B53-E59D-42B7-8394-1D7AF8621A0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26E5-4EEE-9BFE-D7DEFADC7C66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3736F320-A71E-46CB-9F7C-9C4BDE62551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26E5-4EEE-9BFE-D7DEFADC7C66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3B3E4ADA-A532-46B6-BE0F-C6F1C6C90F1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9-26E5-4EEE-9BFE-D7DEFADC7C66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7A978256-2497-411C-A302-45E10D31B04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A-26E5-4EEE-9BFE-D7DEFADC7C66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79E142FA-CCD8-4FEE-BBBD-FC725A16051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B-26E5-4EEE-9BFE-D7DEFADC7C66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DFE74E9F-21DC-4FF5-8EDE-6E9BEE568A8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C-26E5-4EEE-9BFE-D7DEFADC7C66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00D9419C-22AD-45D6-A0B0-1E7C5109FA6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D-26E5-4EEE-9BFE-D7DEFADC7C66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8A407573-FE24-4D3F-BDBB-6D404DB0900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E-26E5-4EEE-9BFE-D7DEFADC7C66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E386327C-E623-4C3C-A808-DE7FA486139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F-26E5-4EEE-9BFE-D7DEFADC7C66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31D0A230-B7F1-4119-9545-45745C29F4B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F77C-4BCE-8963-5CC1DBEFE057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06121214-3F59-425D-AB87-A255E20B5D8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709E-4B86-AAB2-51AFA6351F45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82FEC8C5-9302-41BF-A697-889BB76E7D6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FAF5-4975-8094-724F90284AE8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22433FD1-8F34-44AD-BE9F-B5F3779C2A6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63D3-4889-A61F-2ABE9358C527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D35A3235-BA8F-4BE0-96B7-D173246C7DA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40BD-43A5-B0D0-6D5C705C0576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792C7BA4-FDA5-4061-BF9A-B40E56EE8BD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9497-47E7-843B-5B28A7142195}"/>
                </c:ext>
              </c:extLst>
            </c:dLbl>
            <c:dLbl>
              <c:idx val="24"/>
              <c:layout>
                <c:manualLayout>
                  <c:x val="-1.1911296398133613E-2"/>
                  <c:y val="1.6441187523487368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200" b="1" i="0" u="none" strike="noStrike" kern="1200" baseline="0">
                        <a:solidFill>
                          <a:schemeClr val="accent1">
                            <a:lumMod val="7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D182732B-7BCD-445A-A1A3-3EBC013E1B44}" type="CELLRANGE">
                      <a:rPr lang="en-US"/>
                      <a:pPr>
                        <a:defRPr sz="1200" b="1">
                          <a:solidFill>
                            <a:schemeClr val="accent1">
                              <a:lumMod val="75000"/>
                            </a:schemeClr>
                          </a:solidFill>
                          <a:latin typeface="+mn-lt"/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solidFill>
                  <a:schemeClr val="lt1"/>
                </a:solidFill>
                <a:ln w="19050" cap="flat" cmpd="sng" algn="ctr">
                  <a:solidFill>
                    <a:schemeClr val="accent1">
                      <a:lumMod val="75000"/>
                    </a:schemeClr>
                  </a:solidFill>
                  <a:prstDash val="solid"/>
                  <a:miter lim="800000"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accent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8E85-453D-A523-212FFACC4F23}"/>
                </c:ext>
              </c:extLst>
            </c:dLbl>
            <c:spPr>
              <a:solidFill>
                <a:schemeClr val="lt1"/>
              </a:solidFill>
              <a:ln w="19050" cap="flat" cmpd="sng" algn="ctr">
                <a:solidFill>
                  <a:schemeClr val="accent1">
                    <a:lumMod val="75000"/>
                  </a:schemeClr>
                </a:solidFill>
                <a:prstDash val="solid"/>
                <a:miter lim="800000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50" b="1" i="0" u="none" strike="noStrike" kern="1200" baseline="0">
                    <a:solidFill>
                      <a:schemeClr val="accen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đồ'!$E$26:$AO$27</c15:sqref>
                  </c15:fullRef>
                </c:ext>
              </c:extLst>
              <c:f>'Vẽ Biểu đồ'!$E$26:$AO$27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đồ'!$E$30:$AO$30</c15:sqref>
                  </c15:fullRef>
                </c:ext>
              </c:extLst>
              <c:f>('Vẽ Biểu đồ'!$E$30:$AB$30,'Vẽ Biểu đồ'!$AO$30)</c:f>
              <c:numCache>
                <c:formatCode>_(* #,##0_);_(* \(#,##0\);_(* "-"??_);_(@_)</c:formatCode>
                <c:ptCount val="25"/>
                <c:pt idx="0">
                  <c:v>1280</c:v>
                </c:pt>
                <c:pt idx="1">
                  <c:v>1280</c:v>
                </c:pt>
                <c:pt idx="2">
                  <c:v>1280</c:v>
                </c:pt>
                <c:pt idx="3">
                  <c:v>1280</c:v>
                </c:pt>
                <c:pt idx="4">
                  <c:v>1330</c:v>
                </c:pt>
                <c:pt idx="5">
                  <c:v>1330</c:v>
                </c:pt>
                <c:pt idx="6">
                  <c:v>1330</c:v>
                </c:pt>
                <c:pt idx="7">
                  <c:v>1330</c:v>
                </c:pt>
                <c:pt idx="8">
                  <c:v>1340</c:v>
                </c:pt>
                <c:pt idx="9">
                  <c:v>1355</c:v>
                </c:pt>
                <c:pt idx="10">
                  <c:v>1355</c:v>
                </c:pt>
                <c:pt idx="11">
                  <c:v>1305</c:v>
                </c:pt>
                <c:pt idx="12">
                  <c:v>1260</c:v>
                </c:pt>
                <c:pt idx="13">
                  <c:v>1260</c:v>
                </c:pt>
                <c:pt idx="14">
                  <c:v>1260</c:v>
                </c:pt>
                <c:pt idx="15">
                  <c:v>1280</c:v>
                </c:pt>
                <c:pt idx="16">
                  <c:v>1280</c:v>
                </c:pt>
                <c:pt idx="17">
                  <c:v>1280</c:v>
                </c:pt>
                <c:pt idx="18">
                  <c:v>1280</c:v>
                </c:pt>
                <c:pt idx="19">
                  <c:v>1250</c:v>
                </c:pt>
                <c:pt idx="20">
                  <c:v>1250</c:v>
                </c:pt>
                <c:pt idx="21">
                  <c:v>1240</c:v>
                </c:pt>
                <c:pt idx="22">
                  <c:v>1230</c:v>
                </c:pt>
                <c:pt idx="23">
                  <c:v>1230</c:v>
                </c:pt>
                <c:pt idx="24">
                  <c:v>1230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đồ'!$E$40:$AO$40</c15:f>
                <c15:dlblRangeCache>
                  <c:ptCount val="37"/>
                  <c:pt idx="0">
                    <c:v> 1,280 </c:v>
                  </c:pt>
                  <c:pt idx="1">
                    <c:v> 1,280 </c:v>
                  </c:pt>
                  <c:pt idx="2">
                    <c:v> 1,280 </c:v>
                  </c:pt>
                  <c:pt idx="3">
                    <c:v> 1,280 </c:v>
                  </c:pt>
                  <c:pt idx="4">
                    <c:v> 1,330 </c:v>
                  </c:pt>
                  <c:pt idx="5">
                    <c:v> 1,330 </c:v>
                  </c:pt>
                  <c:pt idx="6">
                    <c:v> 1,330 </c:v>
                  </c:pt>
                  <c:pt idx="7">
                    <c:v> 1,330 </c:v>
                  </c:pt>
                  <c:pt idx="8">
                    <c:v> 1,340 </c:v>
                  </c:pt>
                  <c:pt idx="9">
                    <c:v> 1,355 </c:v>
                  </c:pt>
                  <c:pt idx="10">
                    <c:v> 1,355 </c:v>
                  </c:pt>
                  <c:pt idx="11">
                    <c:v> 1,305 </c:v>
                  </c:pt>
                  <c:pt idx="12">
                    <c:v> 1,260 </c:v>
                  </c:pt>
                  <c:pt idx="13">
                    <c:v> 1,260 </c:v>
                  </c:pt>
                  <c:pt idx="14">
                    <c:v> 1,260 </c:v>
                  </c:pt>
                  <c:pt idx="15">
                    <c:v> 1,280 </c:v>
                  </c:pt>
                  <c:pt idx="16">
                    <c:v> 1,280 </c:v>
                  </c:pt>
                  <c:pt idx="17">
                    <c:v> 1,280 </c:v>
                  </c:pt>
                  <c:pt idx="18">
                    <c:v> 1,280 </c:v>
                  </c:pt>
                  <c:pt idx="19">
                    <c:v> 1,250 </c:v>
                  </c:pt>
                  <c:pt idx="20">
                    <c:v> 1,250 </c:v>
                  </c:pt>
                  <c:pt idx="21">
                    <c:v> 1,240 </c:v>
                  </c:pt>
                  <c:pt idx="22">
                    <c:v> 1,230 </c:v>
                  </c:pt>
                  <c:pt idx="23">
                    <c:v> 1,230 </c:v>
                  </c:pt>
                  <c:pt idx="36">
                    <c:v>Giá duyệt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40-26E5-4EEE-9BFE-D7DEFADC7C66}"/>
            </c:ext>
          </c:extLst>
        </c:ser>
        <c:ser>
          <c:idx val="3"/>
          <c:order val="3"/>
          <c:tx>
            <c:strRef>
              <c:f>'Vẽ Biểu đồ'!$D$31</c:f>
              <c:strCache>
                <c:ptCount val="1"/>
                <c:pt idx="0">
                  <c:v>Giá chính phẩm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Pt>
            <c:idx val="24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8E85-453D-A523-212FFACC4F23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3DA76AC5-3F75-4416-AFCD-48082CAF2B5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3-26E5-4EEE-9BFE-D7DEFADC7C66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6CD67161-492E-4504-B4D5-9917F383FD5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4-26E5-4EEE-9BFE-D7DEFADC7C66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A0AF65B6-CC6B-4651-A9C6-5723658EF44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5-26E5-4EEE-9BFE-D7DEFADC7C66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D7DC9F0C-AB40-44E7-9C4B-A052DF7F610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6-26E5-4EEE-9BFE-D7DEFADC7C66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693960FE-9618-458F-843F-7C7946D5988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7-26E5-4EEE-9BFE-D7DEFADC7C66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7A1C2779-AAE3-48F5-ACA2-4F41CDB2573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8-26E5-4EEE-9BFE-D7DEFADC7C66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8D0603CD-CAA0-4599-BD59-295C89B080B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9-26E5-4EEE-9BFE-D7DEFADC7C66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5C4B8903-114A-44C1-9BF4-D6C1B22B0B7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A-26E5-4EEE-9BFE-D7DEFADC7C66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2C2B19B0-7B16-46E8-BFB6-EBBE2FCDCC3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B-26E5-4EEE-9BFE-D7DEFADC7C66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288B59A9-D2CC-4EFB-84E8-69F5540921A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C-26E5-4EEE-9BFE-D7DEFADC7C66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C684C854-86E9-4367-A685-12AD4D0ADBB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D-26E5-4EEE-9BFE-D7DEFADC7C66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C5D80334-0234-446C-9803-3CD54C241E6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E-26E5-4EEE-9BFE-D7DEFADC7C66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335714B6-F2CA-4D93-9606-CD6A43B24E9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F-26E5-4EEE-9BFE-D7DEFADC7C66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E99901C2-7EB2-45E7-979C-92327091983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0-26E5-4EEE-9BFE-D7DEFADC7C66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6535A78A-E31D-4D39-845E-FAA5C5CFC0E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1-26E5-4EEE-9BFE-D7DEFADC7C66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90C9ACD1-188E-4103-B5BB-7926852E6AA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2-26E5-4EEE-9BFE-D7DEFADC7C66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51A6FD12-5BDA-41F8-B0F4-ACB23A2DA28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3-26E5-4EEE-9BFE-D7DEFADC7C66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0188122D-3694-4FD5-87AA-83AD1A50766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4-26E5-4EEE-9BFE-D7DEFADC7C66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22F51520-B3FE-4409-8C62-E45ED9A8BAA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F77C-4BCE-8963-5CC1DBEFE057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F95BAFDB-0D58-48B5-901B-E108535C9C6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709E-4B86-AAB2-51AFA6351F45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E8185DFF-19DC-4D13-985A-AB983C2D99A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FAF5-4975-8094-724F90284AE8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D36F9BFB-4AEE-4D61-BE4E-29BC45D1E5E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63D3-4889-A61F-2ABE9358C527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435E967B-F402-45C7-B514-643FEBDE48E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40BD-43A5-B0D0-6D5C705C0576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6B925FB6-F7C7-4776-8064-D59720098FB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9497-47E7-843B-5B28A7142195}"/>
                </c:ext>
              </c:extLst>
            </c:dLbl>
            <c:dLbl>
              <c:idx val="24"/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200" b="1" i="0" u="none" strike="noStrike" kern="1200" baseline="0">
                        <a:solidFill>
                          <a:schemeClr val="accent4"/>
                        </a:solidFill>
                        <a:latin typeface="+mj-lt"/>
                        <a:ea typeface="+mn-ea"/>
                        <a:cs typeface="+mn-cs"/>
                      </a:defRPr>
                    </a:pPr>
                    <a:fld id="{51EE687F-1D55-4353-82B6-92B0543CEDD0}" type="CELLRANGE">
                      <a:rPr lang="en-US"/>
                      <a:pPr>
                        <a:defRPr sz="1200" b="1">
                          <a:solidFill>
                            <a:schemeClr val="accent4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accent4"/>
                      </a:solidFill>
                      <a:latin typeface="+mj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9.7170246010593347E-2"/>
                      <c:h val="8.5047753297399345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8E85-453D-A523-212FFACC4F2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50" b="1" i="0" u="none" strike="noStrike" kern="1200" baseline="0">
                    <a:solidFill>
                      <a:schemeClr val="accent4"/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đồ'!$E$26:$AO$27</c15:sqref>
                  </c15:fullRef>
                </c:ext>
              </c:extLst>
              <c:f>'Vẽ Biểu đồ'!$E$26:$AO$27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đồ'!$E$31:$AO$31</c15:sqref>
                  </c15:fullRef>
                </c:ext>
              </c:extLst>
              <c:f>('Vẽ Biểu đồ'!$E$31:$AB$31,'Vẽ Biểu đồ'!$AO$31)</c:f>
              <c:numCache>
                <c:formatCode>_(* #,##0_);_(* \(#,##0\);_(* "-"??_);_(@_)</c:formatCode>
                <c:ptCount val="25"/>
                <c:pt idx="0">
                  <c:v>930</c:v>
                </c:pt>
                <c:pt idx="1">
                  <c:v>943.33333333333337</c:v>
                </c:pt>
                <c:pt idx="2">
                  <c:v>940</c:v>
                </c:pt>
                <c:pt idx="3">
                  <c:v>940</c:v>
                </c:pt>
                <c:pt idx="4">
                  <c:v>942</c:v>
                </c:pt>
                <c:pt idx="5">
                  <c:v>950</c:v>
                </c:pt>
                <c:pt idx="6">
                  <c:v>947.5</c:v>
                </c:pt>
                <c:pt idx="7">
                  <c:v>930</c:v>
                </c:pt>
                <c:pt idx="8">
                  <c:v>880</c:v>
                </c:pt>
                <c:pt idx="9">
                  <c:v>862.5</c:v>
                </c:pt>
                <c:pt idx="10">
                  <c:v>852</c:v>
                </c:pt>
                <c:pt idx="11">
                  <c:v>830</c:v>
                </c:pt>
                <c:pt idx="12">
                  <c:v>828</c:v>
                </c:pt>
                <c:pt idx="13">
                  <c:v>840</c:v>
                </c:pt>
                <c:pt idx="14">
                  <c:v>823</c:v>
                </c:pt>
                <c:pt idx="15">
                  <c:v>765</c:v>
                </c:pt>
                <c:pt idx="16">
                  <c:v>782</c:v>
                </c:pt>
                <c:pt idx="17">
                  <c:v>807.5</c:v>
                </c:pt>
                <c:pt idx="18">
                  <c:v>802</c:v>
                </c:pt>
                <c:pt idx="19">
                  <c:v>795</c:v>
                </c:pt>
                <c:pt idx="20">
                  <c:v>783</c:v>
                </c:pt>
                <c:pt idx="21">
                  <c:v>772</c:v>
                </c:pt>
                <c:pt idx="22">
                  <c:v>770</c:v>
                </c:pt>
                <c:pt idx="23">
                  <c:v>770</c:v>
                </c:pt>
                <c:pt idx="24">
                  <c:v>770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đồ'!$E$41:$AO$41</c15:f>
                <c15:dlblRangeCache>
                  <c:ptCount val="37"/>
                  <c:pt idx="0">
                    <c:v> 930 </c:v>
                  </c:pt>
                  <c:pt idx="1">
                    <c:v> 943 </c:v>
                  </c:pt>
                  <c:pt idx="2">
                    <c:v> 940 </c:v>
                  </c:pt>
                  <c:pt idx="3">
                    <c:v> 940 </c:v>
                  </c:pt>
                  <c:pt idx="4">
                    <c:v> 942 </c:v>
                  </c:pt>
                  <c:pt idx="5">
                    <c:v> 950 </c:v>
                  </c:pt>
                  <c:pt idx="6">
                    <c:v> 948 </c:v>
                  </c:pt>
                  <c:pt idx="7">
                    <c:v> 930 </c:v>
                  </c:pt>
                  <c:pt idx="8">
                    <c:v> 880 </c:v>
                  </c:pt>
                  <c:pt idx="9">
                    <c:v> 863 </c:v>
                  </c:pt>
                  <c:pt idx="10">
                    <c:v> 852 </c:v>
                  </c:pt>
                  <c:pt idx="11">
                    <c:v> 830 </c:v>
                  </c:pt>
                  <c:pt idx="12">
                    <c:v> 828 </c:v>
                  </c:pt>
                  <c:pt idx="13">
                    <c:v> 840 </c:v>
                  </c:pt>
                  <c:pt idx="14">
                    <c:v> 823 </c:v>
                  </c:pt>
                  <c:pt idx="15">
                    <c:v> 765 </c:v>
                  </c:pt>
                  <c:pt idx="16">
                    <c:v> 782 </c:v>
                  </c:pt>
                  <c:pt idx="17">
                    <c:v> 808 </c:v>
                  </c:pt>
                  <c:pt idx="18">
                    <c:v> 802 </c:v>
                  </c:pt>
                  <c:pt idx="19">
                    <c:v> 795 </c:v>
                  </c:pt>
                  <c:pt idx="20">
                    <c:v> 783 </c:v>
                  </c:pt>
                  <c:pt idx="21">
                    <c:v> 772 </c:v>
                  </c:pt>
                  <c:pt idx="22">
                    <c:v> 770 </c:v>
                  </c:pt>
                  <c:pt idx="23">
                    <c:v> 770 </c:v>
                  </c:pt>
                  <c:pt idx="36">
                    <c:v>Giá chính phẩm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55-26E5-4EEE-9BFE-D7DEFADC7C66}"/>
            </c:ext>
          </c:extLst>
        </c:ser>
        <c:ser>
          <c:idx val="6"/>
          <c:order val="4"/>
          <c:tx>
            <c:strRef>
              <c:f>'Vẽ Biểu đồ'!$D$34</c:f>
              <c:strCache>
                <c:ptCount val="1"/>
                <c:pt idx="0">
                  <c:v>Chênh lệch-Line Drop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minus"/>
            <c:errValType val="cust"/>
            <c:noEndCap val="1"/>
            <c:plus>
              <c:numRef>
                <c:extLst>
                  <c:ext xmlns:c15="http://schemas.microsoft.com/office/drawing/2012/chart" uri="{02D57815-91ED-43cb-92C2-25804820EDAC}">
                    <c15:fullRef>
                      <c15:sqref>'Vẽ Biểu đồ'!$E$32:$AO$32</c15:sqref>
                    </c15:fullRef>
                  </c:ext>
                </c:extLst>
                <c:f>('Vẽ Biểu đồ'!$E$32:$AB$32,'Vẽ Biểu đồ'!$AO$32)</c:f>
                <c:numCache>
                  <c:formatCode>General</c:formatCode>
                  <c:ptCount val="25"/>
                  <c:pt idx="0">
                    <c:v>350</c:v>
                  </c:pt>
                  <c:pt idx="1">
                    <c:v>336.66666666666663</c:v>
                  </c:pt>
                  <c:pt idx="2">
                    <c:v>340</c:v>
                  </c:pt>
                  <c:pt idx="3">
                    <c:v>340</c:v>
                  </c:pt>
                  <c:pt idx="4">
                    <c:v>388</c:v>
                  </c:pt>
                  <c:pt idx="5">
                    <c:v>380</c:v>
                  </c:pt>
                  <c:pt idx="6">
                    <c:v>382.5</c:v>
                  </c:pt>
                  <c:pt idx="7">
                    <c:v>400</c:v>
                  </c:pt>
                  <c:pt idx="8">
                    <c:v>460</c:v>
                  </c:pt>
                  <c:pt idx="9">
                    <c:v>492.5</c:v>
                  </c:pt>
                  <c:pt idx="10">
                    <c:v>503</c:v>
                  </c:pt>
                  <c:pt idx="11">
                    <c:v>475</c:v>
                  </c:pt>
                  <c:pt idx="12">
                    <c:v>432</c:v>
                  </c:pt>
                  <c:pt idx="13">
                    <c:v>420</c:v>
                  </c:pt>
                  <c:pt idx="14">
                    <c:v>437</c:v>
                  </c:pt>
                  <c:pt idx="15">
                    <c:v>515</c:v>
                  </c:pt>
                  <c:pt idx="16">
                    <c:v>498</c:v>
                  </c:pt>
                  <c:pt idx="17">
                    <c:v>472.5</c:v>
                  </c:pt>
                  <c:pt idx="18">
                    <c:v>478</c:v>
                  </c:pt>
                  <c:pt idx="19">
                    <c:v>455</c:v>
                  </c:pt>
                  <c:pt idx="20">
                    <c:v>467</c:v>
                  </c:pt>
                  <c:pt idx="21">
                    <c:v>468</c:v>
                  </c:pt>
                  <c:pt idx="22">
                    <c:v>460</c:v>
                  </c:pt>
                  <c:pt idx="23">
                    <c:v>460</c:v>
                  </c:pt>
                </c:numCache>
              </c:numRef>
            </c:plus>
            <c:minus>
              <c:numRef>
                <c:extLst>
                  <c:ext xmlns:c15="http://schemas.microsoft.com/office/drawing/2012/chart" uri="{02D57815-91ED-43cb-92C2-25804820EDAC}">
                    <c15:fullRef>
                      <c15:sqref>'Vẽ Biểu đồ'!$E$32:$AO$32</c15:sqref>
                    </c15:fullRef>
                  </c:ext>
                </c:extLst>
                <c:f>('Vẽ Biểu đồ'!$E$32:$AB$32,'Vẽ Biểu đồ'!$AO$32)</c:f>
                <c:numCache>
                  <c:formatCode>General</c:formatCode>
                  <c:ptCount val="25"/>
                  <c:pt idx="0">
                    <c:v>350</c:v>
                  </c:pt>
                  <c:pt idx="1">
                    <c:v>336.66666666666663</c:v>
                  </c:pt>
                  <c:pt idx="2">
                    <c:v>340</c:v>
                  </c:pt>
                  <c:pt idx="3">
                    <c:v>340</c:v>
                  </c:pt>
                  <c:pt idx="4">
                    <c:v>388</c:v>
                  </c:pt>
                  <c:pt idx="5">
                    <c:v>380</c:v>
                  </c:pt>
                  <c:pt idx="6">
                    <c:v>382.5</c:v>
                  </c:pt>
                  <c:pt idx="7">
                    <c:v>400</c:v>
                  </c:pt>
                  <c:pt idx="8">
                    <c:v>460</c:v>
                  </c:pt>
                  <c:pt idx="9">
                    <c:v>492.5</c:v>
                  </c:pt>
                  <c:pt idx="10">
                    <c:v>503</c:v>
                  </c:pt>
                  <c:pt idx="11">
                    <c:v>475</c:v>
                  </c:pt>
                  <c:pt idx="12">
                    <c:v>432</c:v>
                  </c:pt>
                  <c:pt idx="13">
                    <c:v>420</c:v>
                  </c:pt>
                  <c:pt idx="14">
                    <c:v>437</c:v>
                  </c:pt>
                  <c:pt idx="15">
                    <c:v>515</c:v>
                  </c:pt>
                  <c:pt idx="16">
                    <c:v>498</c:v>
                  </c:pt>
                  <c:pt idx="17">
                    <c:v>472.5</c:v>
                  </c:pt>
                  <c:pt idx="18">
                    <c:v>478</c:v>
                  </c:pt>
                  <c:pt idx="19">
                    <c:v>455</c:v>
                  </c:pt>
                  <c:pt idx="20">
                    <c:v>467</c:v>
                  </c:pt>
                  <c:pt idx="21">
                    <c:v>468</c:v>
                  </c:pt>
                  <c:pt idx="22">
                    <c:v>460</c:v>
                  </c:pt>
                  <c:pt idx="23">
                    <c:v>460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bg1">
                    <a:lumMod val="85000"/>
                  </a:schemeClr>
                </a:solidFill>
                <a:prstDash val="sysDot"/>
                <a:round/>
                <a:headEnd type="triangle"/>
                <a:tailEnd type="triangle"/>
              </a:ln>
              <a:effectLst/>
            </c:spPr>
          </c:errBar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đồ'!$E$26:$AO$27</c15:sqref>
                  </c15:fullRef>
                </c:ext>
              </c:extLst>
              <c:f>'Vẽ Biểu đồ'!$E$26:$AO$27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đồ'!$E$34:$AO$34</c15:sqref>
                  </c15:fullRef>
                </c:ext>
              </c:extLst>
              <c:f>('Vẽ Biểu đồ'!$E$34:$AB$34,'Vẽ Biểu đồ'!$AO$34)</c:f>
              <c:numCache>
                <c:formatCode>_(* #,##0_);_(* \(#,##0\);_(* "-"??_);_(@_)</c:formatCode>
                <c:ptCount val="25"/>
                <c:pt idx="0">
                  <c:v>1280</c:v>
                </c:pt>
                <c:pt idx="1">
                  <c:v>1280</c:v>
                </c:pt>
                <c:pt idx="2">
                  <c:v>1280</c:v>
                </c:pt>
                <c:pt idx="3">
                  <c:v>1280</c:v>
                </c:pt>
                <c:pt idx="4">
                  <c:v>1330</c:v>
                </c:pt>
                <c:pt idx="5">
                  <c:v>1330</c:v>
                </c:pt>
                <c:pt idx="6">
                  <c:v>1330</c:v>
                </c:pt>
                <c:pt idx="7">
                  <c:v>1330</c:v>
                </c:pt>
                <c:pt idx="8">
                  <c:v>1340</c:v>
                </c:pt>
                <c:pt idx="9">
                  <c:v>1355</c:v>
                </c:pt>
                <c:pt idx="10">
                  <c:v>1355</c:v>
                </c:pt>
                <c:pt idx="11">
                  <c:v>1305</c:v>
                </c:pt>
                <c:pt idx="12">
                  <c:v>1260</c:v>
                </c:pt>
                <c:pt idx="13">
                  <c:v>1260</c:v>
                </c:pt>
                <c:pt idx="14">
                  <c:v>1260</c:v>
                </c:pt>
                <c:pt idx="15">
                  <c:v>1280</c:v>
                </c:pt>
                <c:pt idx="16">
                  <c:v>1280</c:v>
                </c:pt>
                <c:pt idx="17">
                  <c:v>1280</c:v>
                </c:pt>
                <c:pt idx="18">
                  <c:v>1280</c:v>
                </c:pt>
                <c:pt idx="19">
                  <c:v>1250</c:v>
                </c:pt>
                <c:pt idx="20">
                  <c:v>1250</c:v>
                </c:pt>
                <c:pt idx="21">
                  <c:v>1240</c:v>
                </c:pt>
                <c:pt idx="22">
                  <c:v>1230</c:v>
                </c:pt>
                <c:pt idx="23">
                  <c:v>1230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26E5-4EEE-9BFE-D7DEFADC7C66}"/>
            </c:ext>
          </c:extLst>
        </c:ser>
        <c:ser>
          <c:idx val="7"/>
          <c:order val="7"/>
          <c:tx>
            <c:strRef>
              <c:f>'Vẽ Biểu đồ'!$D$35</c:f>
              <c:strCache>
                <c:ptCount val="1"/>
                <c:pt idx="0">
                  <c:v>Chênh lệch-Label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fld id="{59E0FDE4-3ED3-4600-9DC3-B8208FAD571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7-26E5-4EEE-9BFE-D7DEFADC7C66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D3B4CB02-76A1-4457-8735-59CDDAA4E01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8-26E5-4EEE-9BFE-D7DEFADC7C66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3175BC9D-CD92-4728-8F79-B02121D63E3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9-26E5-4EEE-9BFE-D7DEFADC7C66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8C7E7BED-FC3B-4348-A173-56444EA69BE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A-26E5-4EEE-9BFE-D7DEFADC7C66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3D77D1BF-55B8-4BAF-9882-75886E84156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B-26E5-4EEE-9BFE-D7DEFADC7C66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E6036B93-3A63-4F90-8DC9-382B195FFCF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C-26E5-4EEE-9BFE-D7DEFADC7C66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863EB0F9-51B0-4368-9417-D82D970FD6D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D-26E5-4EEE-9BFE-D7DEFADC7C66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E1EF907E-D64C-44E4-906D-4A6EEE2D866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E-26E5-4EEE-9BFE-D7DEFADC7C66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89833BB3-3231-4D52-A3C4-E5BCB2C16EA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F-26E5-4EEE-9BFE-D7DEFADC7C66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A442A252-C7C6-44E9-A93F-37F8B467432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0-26E5-4EEE-9BFE-D7DEFADC7C66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7C180110-CA1B-4493-A8FB-0439EDCA5D8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1-26E5-4EEE-9BFE-D7DEFADC7C66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84F86C1C-6AD4-4C1B-8BE0-C64E4192432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2-26E5-4EEE-9BFE-D7DEFADC7C66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AD7DB9D3-1245-4084-B9DF-5C271CC2E68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3-26E5-4EEE-9BFE-D7DEFADC7C66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1BFF9A47-8755-4B2B-AA68-35115CDE5FF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4-26E5-4EEE-9BFE-D7DEFADC7C66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3D7FA2E3-31EC-49FA-BDD8-C5C6BB648C7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5-26E5-4EEE-9BFE-D7DEFADC7C66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1791DD76-3563-4CDF-A8C4-4BCFD979DCF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6-26E5-4EEE-9BFE-D7DEFADC7C66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45286062-1905-4147-A46E-3711E8E0A11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7-26E5-4EEE-9BFE-D7DEFADC7C66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39A6B678-A97B-4FC3-9FA5-2D88691D773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8-26E5-4EEE-9BFE-D7DEFADC7C66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DB8C659D-9962-4A63-9493-89AAA599C9E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F77C-4BCE-8963-5CC1DBEFE057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3549BC46-44BF-4D48-9FA8-A0994BFDDAE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709E-4B86-AAB2-51AFA6351F45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10B344E5-230A-470F-821A-D957DB4D828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FAF5-4975-8094-724F90284AE8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6E53B8AF-C14A-447D-A858-1E7EC7D0830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63D3-4889-A61F-2ABE9358C527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065DC8A3-F65D-4FEB-8B75-EF8AAEC43A4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40BD-43A5-B0D0-6D5C705C0576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B40B51AA-0255-4143-AB74-2C3134A6E1A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9497-47E7-843B-5B28A7142195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4-9497-47E7-843B-5B28A7142195}"/>
                </c:ext>
              </c:extLst>
            </c:dLbl>
            <c:spPr>
              <a:solidFill>
                <a:schemeClr val="bg1"/>
              </a:solidFill>
              <a:ln>
                <a:solidFill>
                  <a:schemeClr val="bg1">
                    <a:lumMod val="50000"/>
                  </a:schemeClr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>
                        <a:lumMod val="50000"/>
                      </a:schemeClr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đồ'!$E$26:$AO$27</c15:sqref>
                  </c15:fullRef>
                </c:ext>
              </c:extLst>
              <c:f>'Vẽ Biểu đồ'!$E$26:$AO$27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đồ'!$E$35:$AO$35</c15:sqref>
                  </c15:fullRef>
                </c:ext>
              </c:extLst>
              <c:f>('Vẽ Biểu đồ'!$E$35:$AB$35,'Vẽ Biểu đồ'!$AO$35)</c:f>
              <c:numCache>
                <c:formatCode>_(* #,##0_);_(* \(#,##0\);_(* "-"??_);_(@_)</c:formatCode>
                <c:ptCount val="25"/>
                <c:pt idx="0">
                  <c:v>1105</c:v>
                </c:pt>
                <c:pt idx="1">
                  <c:v>1111.6666666666667</c:v>
                </c:pt>
                <c:pt idx="2">
                  <c:v>1110</c:v>
                </c:pt>
                <c:pt idx="3">
                  <c:v>1110</c:v>
                </c:pt>
                <c:pt idx="4">
                  <c:v>1136</c:v>
                </c:pt>
                <c:pt idx="5">
                  <c:v>1140</c:v>
                </c:pt>
                <c:pt idx="6">
                  <c:v>1138.75</c:v>
                </c:pt>
                <c:pt idx="7">
                  <c:v>1130</c:v>
                </c:pt>
                <c:pt idx="8">
                  <c:v>1110</c:v>
                </c:pt>
                <c:pt idx="9">
                  <c:v>1108.75</c:v>
                </c:pt>
                <c:pt idx="10">
                  <c:v>1103.5</c:v>
                </c:pt>
                <c:pt idx="11">
                  <c:v>1067.5</c:v>
                </c:pt>
                <c:pt idx="12">
                  <c:v>1044</c:v>
                </c:pt>
                <c:pt idx="13">
                  <c:v>1050</c:v>
                </c:pt>
                <c:pt idx="14">
                  <c:v>1041.5</c:v>
                </c:pt>
                <c:pt idx="15">
                  <c:v>1022.5</c:v>
                </c:pt>
                <c:pt idx="16">
                  <c:v>1031</c:v>
                </c:pt>
                <c:pt idx="17">
                  <c:v>1043.75</c:v>
                </c:pt>
                <c:pt idx="18">
                  <c:v>1041</c:v>
                </c:pt>
                <c:pt idx="19">
                  <c:v>1022.5</c:v>
                </c:pt>
                <c:pt idx="20">
                  <c:v>1016.5</c:v>
                </c:pt>
                <c:pt idx="21">
                  <c:v>1006</c:v>
                </c:pt>
                <c:pt idx="22">
                  <c:v>1000</c:v>
                </c:pt>
                <c:pt idx="23">
                  <c:v>1000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đồ'!$E$14:$AO$14</c15:f>
                <c15:dlblRangeCache>
                  <c:ptCount val="37"/>
                  <c:pt idx="0">
                    <c:v>+34.4%</c:v>
                  </c:pt>
                  <c:pt idx="1">
                    <c:v>+32.5%</c:v>
                  </c:pt>
                  <c:pt idx="2">
                    <c:v>+33.0%</c:v>
                  </c:pt>
                  <c:pt idx="3">
                    <c:v>+33.0%</c:v>
                  </c:pt>
                  <c:pt idx="4">
                    <c:v>+38.0%</c:v>
                  </c:pt>
                  <c:pt idx="5">
                    <c:v>+36.8%</c:v>
                  </c:pt>
                  <c:pt idx="6">
                    <c:v>+37.2%</c:v>
                  </c:pt>
                  <c:pt idx="7">
                    <c:v>+39.8%</c:v>
                  </c:pt>
                  <c:pt idx="8">
                    <c:v>+48.9%</c:v>
                  </c:pt>
                  <c:pt idx="9">
                    <c:v>+53.6%</c:v>
                  </c:pt>
                  <c:pt idx="10">
                    <c:v>+55.5%</c:v>
                  </c:pt>
                  <c:pt idx="11">
                    <c:v>+53.6%</c:v>
                  </c:pt>
                  <c:pt idx="12">
                    <c:v>+48.6%</c:v>
                  </c:pt>
                  <c:pt idx="13">
                    <c:v>+46.4%</c:v>
                  </c:pt>
                  <c:pt idx="14">
                    <c:v>+49.5%</c:v>
                  </c:pt>
                  <c:pt idx="15">
                    <c:v>+63.4%</c:v>
                  </c:pt>
                  <c:pt idx="16">
                    <c:v>+59.8%</c:v>
                  </c:pt>
                  <c:pt idx="17">
                    <c:v>+54.8%</c:v>
                  </c:pt>
                  <c:pt idx="18">
                    <c:v>+55.9%</c:v>
                  </c:pt>
                  <c:pt idx="19">
                    <c:v>+53.5%</c:v>
                  </c:pt>
                  <c:pt idx="20">
                    <c:v>+55.8%</c:v>
                  </c:pt>
                  <c:pt idx="21">
                    <c:v>+56.7%</c:v>
                  </c:pt>
                  <c:pt idx="22">
                    <c:v>+55.8%</c:v>
                  </c:pt>
                  <c:pt idx="23">
                    <c:v>+55.8%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6A-26E5-4EEE-9BFE-D7DEFADC7C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6623744"/>
        <c:axId val="516630464"/>
      </c:lineChart>
      <c:catAx>
        <c:axId val="516623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bg1">
                    <a:lumMod val="65000"/>
                  </a:schemeClr>
                </a:solidFill>
                <a:latin typeface="+mj-lt"/>
                <a:ea typeface="+mn-ea"/>
                <a:cs typeface="+mn-cs"/>
              </a:defRPr>
            </a:pPr>
            <a:endParaRPr lang="en-US"/>
          </a:p>
        </c:txPr>
        <c:crossAx val="516630464"/>
        <c:crosses val="autoZero"/>
        <c:auto val="1"/>
        <c:lblAlgn val="ctr"/>
        <c:lblOffset val="100"/>
        <c:noMultiLvlLbl val="0"/>
      </c:catAx>
      <c:valAx>
        <c:axId val="516630464"/>
        <c:scaling>
          <c:orientation val="minMax"/>
          <c:max val="1550"/>
          <c:min val="730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65000"/>
                  </a:schemeClr>
                </a:solidFill>
                <a:latin typeface="+mj-lt"/>
                <a:ea typeface="+mn-ea"/>
                <a:cs typeface="+mn-cs"/>
              </a:defRPr>
            </a:pPr>
            <a:endParaRPr lang="en-US"/>
          </a:p>
        </c:txPr>
        <c:crossAx val="516623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noFill/>
      <a:round/>
    </a:ln>
    <a:effectLst/>
  </c:spPr>
  <c:txPr>
    <a:bodyPr/>
    <a:lstStyle/>
    <a:p>
      <a:pPr>
        <a:defRPr>
          <a:latin typeface="+mj-lt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0"/>
          <c:w val="0.96006059276030531"/>
          <c:h val="0.89964473647681975"/>
        </c:manualLayout>
      </c:layout>
      <c:areaChart>
        <c:grouping val="standard"/>
        <c:varyColors val="0"/>
        <c:ser>
          <c:idx val="5"/>
          <c:order val="5"/>
          <c:tx>
            <c:strRef>
              <c:f>'Vẽ Biểu đồ'!$D$54</c:f>
              <c:strCache>
                <c:ptCount val="1"/>
                <c:pt idx="0">
                  <c:v>Giá duyệt-Area</c:v>
                </c:pt>
              </c:strCache>
            </c:strRef>
          </c:tx>
          <c:spPr>
            <a:solidFill>
              <a:srgbClr val="FFF2CC"/>
            </a:solidFill>
            <a:ln w="25400">
              <a:noFill/>
            </a:ln>
            <a:effectLst/>
          </c:spPr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đồ'!$E$44:$AO$45</c15:sqref>
                  </c15:fullRef>
                </c:ext>
              </c:extLst>
              <c:f>'Vẽ Biểu đồ'!$E$44:$AO$45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đồ'!$E$54:$AO$54</c15:sqref>
                  </c15:fullRef>
                </c:ext>
              </c:extLst>
              <c:f>('Vẽ Biểu đồ'!$E$54:$AB$54,'Vẽ Biểu đồ'!$AO$54)</c:f>
              <c:numCache>
                <c:formatCode>_(* #,##0_);_(* \(#,##0\);_(* "-"??_);_(@_)</c:formatCode>
                <c:ptCount val="25"/>
                <c:pt idx="0">
                  <c:v>1340</c:v>
                </c:pt>
                <c:pt idx="1">
                  <c:v>1340</c:v>
                </c:pt>
                <c:pt idx="2">
                  <c:v>1340</c:v>
                </c:pt>
                <c:pt idx="3">
                  <c:v>1340</c:v>
                </c:pt>
                <c:pt idx="4">
                  <c:v>1390</c:v>
                </c:pt>
                <c:pt idx="5">
                  <c:v>1390</c:v>
                </c:pt>
                <c:pt idx="6">
                  <c:v>1390</c:v>
                </c:pt>
                <c:pt idx="7">
                  <c:v>1390</c:v>
                </c:pt>
                <c:pt idx="8">
                  <c:v>1400</c:v>
                </c:pt>
                <c:pt idx="9">
                  <c:v>1415</c:v>
                </c:pt>
                <c:pt idx="10">
                  <c:v>1415</c:v>
                </c:pt>
                <c:pt idx="11">
                  <c:v>1365</c:v>
                </c:pt>
                <c:pt idx="12">
                  <c:v>1320</c:v>
                </c:pt>
                <c:pt idx="13">
                  <c:v>1280</c:v>
                </c:pt>
                <c:pt idx="14">
                  <c:v>1320</c:v>
                </c:pt>
                <c:pt idx="15">
                  <c:v>1340</c:v>
                </c:pt>
                <c:pt idx="16">
                  <c:v>1340</c:v>
                </c:pt>
                <c:pt idx="17">
                  <c:v>1340</c:v>
                </c:pt>
                <c:pt idx="18">
                  <c:v>1340</c:v>
                </c:pt>
                <c:pt idx="19">
                  <c:v>1310</c:v>
                </c:pt>
                <c:pt idx="20">
                  <c:v>1310</c:v>
                </c:pt>
                <c:pt idx="21">
                  <c:v>1300</c:v>
                </c:pt>
                <c:pt idx="22">
                  <c:v>1290</c:v>
                </c:pt>
                <c:pt idx="23">
                  <c:v>1290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2C-4486-8E5D-8A2954B17F89}"/>
            </c:ext>
          </c:extLst>
        </c:ser>
        <c:ser>
          <c:idx val="4"/>
          <c:order val="6"/>
          <c:tx>
            <c:strRef>
              <c:f>'Vẽ Biểu đồ'!$D$55</c:f>
              <c:strCache>
                <c:ptCount val="1"/>
                <c:pt idx="0">
                  <c:v>Giá chính phẩm-Area</c:v>
                </c:pt>
              </c:strCache>
            </c:strRef>
          </c:tx>
          <c:spPr>
            <a:solidFill>
              <a:schemeClr val="bg1"/>
            </a:solidFill>
            <a:ln w="25400">
              <a:noFill/>
            </a:ln>
            <a:effectLst/>
          </c:spPr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đồ'!$E$44:$AO$45</c15:sqref>
                  </c15:fullRef>
                </c:ext>
              </c:extLst>
              <c:f>'Vẽ Biểu đồ'!$E$44:$AO$45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đồ'!$E$55:$AO$55</c15:sqref>
                  </c15:fullRef>
                </c:ext>
              </c:extLst>
              <c:f>('Vẽ Biểu đồ'!$E$55:$AB$55,'Vẽ Biểu đồ'!$AO$55)</c:f>
              <c:numCache>
                <c:formatCode>_(* #,##0_);_(* \(#,##0\);_(* "-"??_);_(@_)</c:formatCode>
                <c:ptCount val="25"/>
                <c:pt idx="0">
                  <c:v>930</c:v>
                </c:pt>
                <c:pt idx="1">
                  <c:v>943.33333333333337</c:v>
                </c:pt>
                <c:pt idx="2">
                  <c:v>940</c:v>
                </c:pt>
                <c:pt idx="3">
                  <c:v>940</c:v>
                </c:pt>
                <c:pt idx="4">
                  <c:v>942</c:v>
                </c:pt>
                <c:pt idx="5">
                  <c:v>950</c:v>
                </c:pt>
                <c:pt idx="6">
                  <c:v>947.5</c:v>
                </c:pt>
                <c:pt idx="7">
                  <c:v>930</c:v>
                </c:pt>
                <c:pt idx="8">
                  <c:v>880</c:v>
                </c:pt>
                <c:pt idx="9">
                  <c:v>862.5</c:v>
                </c:pt>
                <c:pt idx="10">
                  <c:v>852</c:v>
                </c:pt>
                <c:pt idx="11">
                  <c:v>830</c:v>
                </c:pt>
                <c:pt idx="12">
                  <c:v>828</c:v>
                </c:pt>
                <c:pt idx="13">
                  <c:v>840</c:v>
                </c:pt>
                <c:pt idx="14">
                  <c:v>823</c:v>
                </c:pt>
                <c:pt idx="15">
                  <c:v>765</c:v>
                </c:pt>
                <c:pt idx="16">
                  <c:v>782</c:v>
                </c:pt>
                <c:pt idx="17">
                  <c:v>807.5</c:v>
                </c:pt>
                <c:pt idx="18">
                  <c:v>802</c:v>
                </c:pt>
                <c:pt idx="19">
                  <c:v>795</c:v>
                </c:pt>
                <c:pt idx="20">
                  <c:v>783</c:v>
                </c:pt>
                <c:pt idx="21">
                  <c:v>772</c:v>
                </c:pt>
                <c:pt idx="22">
                  <c:v>770</c:v>
                </c:pt>
                <c:pt idx="23">
                  <c:v>770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2C-4486-8E5D-8A2954B17F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6623744"/>
        <c:axId val="516630464"/>
      </c:areaChart>
      <c:lineChart>
        <c:grouping val="standard"/>
        <c:varyColors val="0"/>
        <c:ser>
          <c:idx val="0"/>
          <c:order val="0"/>
          <c:tx>
            <c:strRef>
              <c:f>'Vẽ Biểu đồ'!$D$46</c:f>
              <c:strCache>
                <c:ptCount val="1"/>
                <c:pt idx="0">
                  <c:v>COCA VIET NAM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dPt>
            <c:idx val="24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F37F-44D4-A8C7-15E09D7330D4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1B07DF52-270A-4030-9D66-F038D00D0ED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0B2C-4486-8E5D-8A2954B17F8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F76DC7E5-E3D2-4BC9-9F2A-2840C3CC4B1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0B2C-4486-8E5D-8A2954B17F8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3C2E7C15-D059-4606-8C39-392A1008E6D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0B2C-4486-8E5D-8A2954B17F89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55EA6A13-4328-4317-A352-7E885B521D7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0B2C-4486-8E5D-8A2954B17F89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B5895129-CB6B-4D27-AA5D-203E2F821A6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0B2C-4486-8E5D-8A2954B17F89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C19456E1-F03B-4832-A7A3-D4DB45938BD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0B2C-4486-8E5D-8A2954B17F89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2C7A41EE-E19A-4DB1-99F8-29DF57CED22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0B2C-4486-8E5D-8A2954B17F89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BBD27C1E-C935-4345-9AA9-AC60E972116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0B2C-4486-8E5D-8A2954B17F89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FDC570C9-086F-4E00-A25E-D01ED55232E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0B2C-4486-8E5D-8A2954B17F89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77799BA4-7893-4935-9024-EF236D4788C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0B2C-4486-8E5D-8A2954B17F89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4E9420F2-44AA-4A7D-85AF-5DAD4ECE0F4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0B2C-4486-8E5D-8A2954B17F89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50F2E049-EF4C-477B-BAA5-A8B10F16533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0B2C-4486-8E5D-8A2954B17F89}"/>
                </c:ext>
              </c:extLst>
            </c:dLbl>
            <c:dLbl>
              <c:idx val="12"/>
              <c:layout>
                <c:manualLayout>
                  <c:x val="-3.7909187269423578E-2"/>
                  <c:y val="-1.5982881332205882E-2"/>
                </c:manualLayout>
              </c:layout>
              <c:tx>
                <c:rich>
                  <a:bodyPr/>
                  <a:lstStyle/>
                  <a:p>
                    <a:fld id="{2AF4897D-2CE9-4591-B074-E22FF3ECE55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0-0B2C-4486-8E5D-8A2954B17F89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EAC7671B-9C3D-4379-BC98-F6CD02DC6A7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0B2C-4486-8E5D-8A2954B17F89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EE4E0134-7D59-4D25-BFC9-E2E1EC1AB7D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2-0B2C-4486-8E5D-8A2954B17F89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D1B5117A-B718-48B7-9505-5FDEF4A2539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3-0B2C-4486-8E5D-8A2954B17F89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F2A064E5-8C9A-4BAA-AA72-394190425D4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4-0B2C-4486-8E5D-8A2954B17F89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0006BBD0-8427-466B-8663-6EC3045E055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5-0B2C-4486-8E5D-8A2954B17F89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88F718DC-ADB8-41B2-BB37-E33B9DB3927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63B3-4FF2-8116-1A906A72EC14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810770C4-8173-4C17-9559-926F642706E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DEDE-40BA-9D53-D2FA0CE1166E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BD38D82F-1A3E-4EA3-B9F7-DE2D3B04CAE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395E-46E2-AAC8-8A53C24EE520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99C4D7F7-99F8-4748-BEBA-AEF3FA6EB39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0A67-43A5-8CAB-B1B55473BB1F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3E2945BB-B97A-49B3-95A0-33F342E8615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4D6B-45E0-93A7-9C5B8FC7E63D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6445FBCE-B34F-4A0D-8818-1545DC2C3EE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6471-4AEE-91CB-650F2F2FDA41}"/>
                </c:ext>
              </c:extLst>
            </c:dLbl>
            <c:dLbl>
              <c:idx val="24"/>
              <c:layout>
                <c:manualLayout>
                  <c:x val="-1.4014254077809063E-2"/>
                  <c:y val="-1.5625970936271071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200" b="1" i="0" u="none" strike="noStrike" kern="1200" baseline="0">
                        <a:solidFill>
                          <a:schemeClr val="accent4">
                            <a:lumMod val="60000"/>
                            <a:lumOff val="40000"/>
                          </a:schemeClr>
                        </a:solidFill>
                        <a:latin typeface="+mj-lt"/>
                        <a:ea typeface="+mn-ea"/>
                        <a:cs typeface="+mn-cs"/>
                      </a:defRPr>
                    </a:pPr>
                    <a:fld id="{AC8498F9-4853-4ED6-A4E7-CE9C3EC3F4C3}" type="CELLRANGE">
                      <a:rPr lang="en-US"/>
                      <a:pPr>
                        <a:defRPr sz="1200" b="1">
                          <a:solidFill>
                            <a:schemeClr val="accent4">
                              <a:lumMod val="60000"/>
                              <a:lumOff val="40000"/>
                            </a:schemeClr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accent4">
                          <a:lumMod val="60000"/>
                          <a:lumOff val="40000"/>
                        </a:schemeClr>
                      </a:solidFill>
                      <a:latin typeface="+mj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F37F-44D4-A8C7-15E09D7330D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50" b="1" i="0" u="none" strike="noStrike" kern="1200" baseline="0">
                    <a:solidFill>
                      <a:schemeClr val="accent4">
                        <a:lumMod val="60000"/>
                        <a:lumOff val="40000"/>
                      </a:schemeClr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đồ'!$E$44:$AO$45</c15:sqref>
                  </c15:fullRef>
                </c:ext>
              </c:extLst>
              <c:f>'Vẽ Biểu đồ'!$E$44:$AO$45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đồ'!$E$46:$AO$46</c15:sqref>
                  </c15:fullRef>
                </c:ext>
              </c:extLst>
              <c:f>('Vẽ Biểu đồ'!$E$46:$AB$46,'Vẽ Biểu đồ'!$AO$46)</c:f>
              <c:numCache>
                <c:formatCode>_(* #,##0_);_(* \(#,##0\);_(* "-"??_);_(@_)</c:formatCode>
                <c:ptCount val="25"/>
                <c:pt idx="0">
                  <c:v>1315</c:v>
                </c:pt>
                <c:pt idx="1">
                  <c:v>1315</c:v>
                </c:pt>
                <c:pt idx="2">
                  <c:v>1315</c:v>
                </c:pt>
                <c:pt idx="3">
                  <c:v>1315</c:v>
                </c:pt>
                <c:pt idx="4">
                  <c:v>1315</c:v>
                </c:pt>
                <c:pt idx="5">
                  <c:v>1315</c:v>
                </c:pt>
                <c:pt idx="6">
                  <c:v>1315</c:v>
                </c:pt>
                <c:pt idx="7">
                  <c:v>1315</c:v>
                </c:pt>
                <c:pt idx="8">
                  <c:v>1315</c:v>
                </c:pt>
                <c:pt idx="9">
                  <c:v>1315</c:v>
                </c:pt>
                <c:pt idx="10">
                  <c:v>1315</c:v>
                </c:pt>
                <c:pt idx="11">
                  <c:v>1315</c:v>
                </c:pt>
                <c:pt idx="12">
                  <c:v>1348.3</c:v>
                </c:pt>
                <c:pt idx="13">
                  <c:v>1348.3</c:v>
                </c:pt>
                <c:pt idx="14">
                  <c:v>1348.3</c:v>
                </c:pt>
                <c:pt idx="15">
                  <c:v>1348.3</c:v>
                </c:pt>
                <c:pt idx="16">
                  <c:v>1348.3</c:v>
                </c:pt>
                <c:pt idx="17">
                  <c:v>1348.3</c:v>
                </c:pt>
                <c:pt idx="18">
                  <c:v>1348.3</c:v>
                </c:pt>
                <c:pt idx="19">
                  <c:v>1348.3</c:v>
                </c:pt>
                <c:pt idx="20">
                  <c:v>1348.3</c:v>
                </c:pt>
                <c:pt idx="21">
                  <c:v>1348.3</c:v>
                </c:pt>
                <c:pt idx="22">
                  <c:v>1348.3</c:v>
                </c:pt>
                <c:pt idx="23">
                  <c:v>1348.3</c:v>
                </c:pt>
                <c:pt idx="24">
                  <c:v>1348.3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đồ'!$E$56:$AO$56</c15:f>
                <c15:dlblRangeCache>
                  <c:ptCount val="37"/>
                  <c:pt idx="0">
                    <c:v> 1,315 </c:v>
                  </c:pt>
                  <c:pt idx="1">
                    <c:v> 1,315 </c:v>
                  </c:pt>
                  <c:pt idx="2">
                    <c:v> 1,315 </c:v>
                  </c:pt>
                  <c:pt idx="3">
                    <c:v> 1,315 </c:v>
                  </c:pt>
                  <c:pt idx="4">
                    <c:v> 1,315 </c:v>
                  </c:pt>
                  <c:pt idx="5">
                    <c:v> 1,315 </c:v>
                  </c:pt>
                  <c:pt idx="6">
                    <c:v> 1,315 </c:v>
                  </c:pt>
                  <c:pt idx="7">
                    <c:v> 1,315 </c:v>
                  </c:pt>
                  <c:pt idx="8">
                    <c:v> 1,315 </c:v>
                  </c:pt>
                  <c:pt idx="9">
                    <c:v> 1,315 </c:v>
                  </c:pt>
                  <c:pt idx="10">
                    <c:v> 1,315 </c:v>
                  </c:pt>
                  <c:pt idx="11">
                    <c:v> 1,315 </c:v>
                  </c:pt>
                  <c:pt idx="12">
                    <c:v> 1,348 </c:v>
                  </c:pt>
                  <c:pt idx="13">
                    <c:v> 1,348 </c:v>
                  </c:pt>
                  <c:pt idx="14">
                    <c:v> 1,348 </c:v>
                  </c:pt>
                  <c:pt idx="15">
                    <c:v> 1,348 </c:v>
                  </c:pt>
                  <c:pt idx="16">
                    <c:v> 1,348 </c:v>
                  </c:pt>
                  <c:pt idx="17">
                    <c:v> 1,348 </c:v>
                  </c:pt>
                  <c:pt idx="18">
                    <c:v> 1,348 </c:v>
                  </c:pt>
                  <c:pt idx="19">
                    <c:v> 1,348 </c:v>
                  </c:pt>
                  <c:pt idx="20">
                    <c:v> 1,348 </c:v>
                  </c:pt>
                  <c:pt idx="21">
                    <c:v> 1,348 </c:v>
                  </c:pt>
                  <c:pt idx="22">
                    <c:v> 1,348 </c:v>
                  </c:pt>
                  <c:pt idx="23">
                    <c:v> 1,348 </c:v>
                  </c:pt>
                  <c:pt idx="36">
                    <c:v>COCA VN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6-0B2C-4486-8E5D-8A2954B17F89}"/>
            </c:ext>
          </c:extLst>
        </c:ser>
        <c:ser>
          <c:idx val="1"/>
          <c:order val="1"/>
          <c:tx>
            <c:strRef>
              <c:f>'Vẽ Biểu đồ'!$D$47</c:f>
              <c:strCache>
                <c:ptCount val="1"/>
                <c:pt idx="0">
                  <c:v>SUNTORY VIET NAM</c:v>
                </c:pt>
              </c:strCache>
            </c:strRef>
          </c:tx>
          <c:spPr>
            <a:ln w="28575" cap="rnd">
              <a:solidFill>
                <a:srgbClr val="54C1DE"/>
              </a:solidFill>
              <a:round/>
            </a:ln>
            <a:effectLst/>
          </c:spPr>
          <c:marker>
            <c:symbol val="none"/>
          </c:marker>
          <c:dPt>
            <c:idx val="24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F37F-44D4-A8C7-15E09D7330D4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03C2FB21-466D-4B92-AA41-EB357ADD3ED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0B2C-4486-8E5D-8A2954B17F8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1ED3A6E0-C6DF-4F32-8A7A-CC74C41B25F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0B2C-4486-8E5D-8A2954B17F8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E181F4E7-F13E-4F8D-BC40-37A41752548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0B2C-4486-8E5D-8A2954B17F89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61922D7F-FA8C-40DD-A370-22990290AB6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0B2C-4486-8E5D-8A2954B17F89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23FDCC0A-BB29-4289-B057-B2973C1ED19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D-0B2C-4486-8E5D-8A2954B17F89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B3CE1775-DEDE-4AE8-A278-03BFEFEF3A6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E-0B2C-4486-8E5D-8A2954B17F89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5EEF05E6-D897-463B-A74D-979A286F198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0B2C-4486-8E5D-8A2954B17F89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2CE42ADB-9448-4045-8F60-CE0B44FFAEF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0B2C-4486-8E5D-8A2954B17F89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9DB596F5-A8C9-4C2B-AC45-3C40FBB7319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0B2C-4486-8E5D-8A2954B17F89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97D73C9A-5077-49C6-8100-D9094EB7D80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0B2C-4486-8E5D-8A2954B17F89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01898136-D370-4D42-A62E-9F33A737398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0B2C-4486-8E5D-8A2954B17F89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A3269804-E277-47DF-AF80-B9BB658D441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0B2C-4486-8E5D-8A2954B17F89}"/>
                </c:ext>
              </c:extLst>
            </c:dLbl>
            <c:dLbl>
              <c:idx val="12"/>
              <c:layout>
                <c:manualLayout>
                  <c:x val="-2.2126358986595207E-2"/>
                  <c:y val="-3.3436885907157654E-2"/>
                </c:manualLayout>
              </c:layout>
              <c:tx>
                <c:rich>
                  <a:bodyPr/>
                  <a:lstStyle/>
                  <a:p>
                    <a:fld id="{7EA1EB55-20CE-43EA-9D01-4F53CCFD87F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5-0B2C-4486-8E5D-8A2954B17F89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EF6A1365-3C96-4B78-B99E-F2B6CC7B1D8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0B2C-4486-8E5D-8A2954B17F89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E5E5C5F5-7C39-4B5C-92CA-B51DCF964E6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7-0B2C-4486-8E5D-8A2954B17F89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4C1E90F9-0CE3-4920-B8B7-16A716A644E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8-0B2C-4486-8E5D-8A2954B17F89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41BE8DB7-92ED-4926-A9DB-BD227BA15EA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9-0B2C-4486-8E5D-8A2954B17F89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8C7695F6-B1C3-495C-A887-F0B7F9D3559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A-0B2C-4486-8E5D-8A2954B17F89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DB2C6029-D44A-406A-AF9C-3383685EC4A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E-63B3-4FF2-8116-1A906A72EC14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3351ED05-1ABD-4567-9467-121FA7D0148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DEDE-40BA-9D53-D2FA0CE1166E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9F3638FC-836D-4669-9BD7-D164FF540C8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395E-46E2-AAC8-8A53C24EE520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A6E83A75-4E5E-4DC0-B945-CB9A92827FB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0A67-43A5-8CAB-B1B55473BB1F}"/>
                </c:ext>
              </c:extLst>
            </c:dLbl>
            <c:dLbl>
              <c:idx val="22"/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150" b="1" i="0" u="none" strike="noStrike" kern="1200" baseline="0">
                        <a:solidFill>
                          <a:srgbClr val="54C1DE"/>
                        </a:solidFill>
                        <a:latin typeface="+mj-lt"/>
                        <a:ea typeface="+mn-ea"/>
                        <a:cs typeface="+mn-cs"/>
                      </a:defRPr>
                    </a:pPr>
                    <a:fld id="{E6162094-73C6-4192-94F4-E428C13BC75C}" type="CELLRANGE">
                      <a:rPr lang="en-US"/>
                      <a:pPr>
                        <a:defRPr sz="1150" b="1">
                          <a:solidFill>
                            <a:srgbClr val="54C1DE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150" b="1" i="0" u="none" strike="noStrike" kern="1200" baseline="0">
                      <a:solidFill>
                        <a:srgbClr val="54C1DE"/>
                      </a:solidFill>
                      <a:latin typeface="+mj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3.9032789588529078E-2"/>
                      <c:h val="5.9173190241165623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4D6B-45E0-93A7-9C5B8FC7E63D}"/>
                </c:ext>
              </c:extLst>
            </c:dLbl>
            <c:dLbl>
              <c:idx val="23"/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150" b="1" i="0" u="none" strike="noStrike" kern="1200" baseline="0">
                        <a:solidFill>
                          <a:srgbClr val="54C1DE"/>
                        </a:solidFill>
                        <a:latin typeface="+mj-lt"/>
                        <a:ea typeface="+mn-ea"/>
                        <a:cs typeface="+mn-cs"/>
                      </a:defRPr>
                    </a:pPr>
                    <a:fld id="{9CB8EE59-AE35-439B-8658-DD84E96A900E}" type="CELLRANGE">
                      <a:rPr lang="en-US"/>
                      <a:pPr>
                        <a:defRPr sz="1150" b="1">
                          <a:solidFill>
                            <a:srgbClr val="54C1DE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150" b="1" i="0" u="none" strike="noStrike" kern="1200" baseline="0">
                      <a:solidFill>
                        <a:srgbClr val="54C1DE"/>
                      </a:solidFill>
                      <a:latin typeface="+mj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5.0937992810007188E-2"/>
                      <c:h val="2.6347825832234991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6471-4AEE-91CB-650F2F2FDA41}"/>
                </c:ext>
              </c:extLst>
            </c:dLbl>
            <c:dLbl>
              <c:idx val="24"/>
              <c:layout>
                <c:manualLayout>
                  <c:x val="-1.2987595898536108E-2"/>
                  <c:y val="3.996914975039105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200" b="1" i="0" u="none" strike="noStrike" kern="1200" baseline="0">
                        <a:solidFill>
                          <a:srgbClr val="54C1DE"/>
                        </a:solidFill>
                        <a:latin typeface="+mj-lt"/>
                        <a:ea typeface="+mn-ea"/>
                        <a:cs typeface="+mn-cs"/>
                      </a:defRPr>
                    </a:pPr>
                    <a:fld id="{53F7E213-DAD7-4B9B-8C09-DC67CAD314BC}" type="CELLRANGE">
                      <a:rPr lang="en-US"/>
                      <a:pPr>
                        <a:defRPr sz="1200" b="1">
                          <a:solidFill>
                            <a:srgbClr val="54C1DE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rgbClr val="54C1DE"/>
                      </a:solidFill>
                      <a:latin typeface="+mj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547768030055312E-2"/>
                      <c:h val="8.0741953176383871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F37F-44D4-A8C7-15E09D7330D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50" b="1" i="0" u="none" strike="noStrike" kern="1200" baseline="0">
                    <a:solidFill>
                      <a:srgbClr val="54C1DE"/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đồ'!$E$44:$AO$45</c15:sqref>
                  </c15:fullRef>
                </c:ext>
              </c:extLst>
              <c:f>'Vẽ Biểu đồ'!$E$44:$AO$45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đồ'!$E$47:$AO$47</c15:sqref>
                  </c15:fullRef>
                </c:ext>
              </c:extLst>
              <c:f>('Vẽ Biểu đồ'!$E$47:$AB$47,'Vẽ Biểu đồ'!$AO$47)</c:f>
              <c:numCache>
                <c:formatCode>_(* #,##0_);_(* \(#,##0\);_(* "-"??_);_(@_)</c:formatCode>
                <c:ptCount val="25"/>
                <c:pt idx="0">
                  <c:v>1340</c:v>
                </c:pt>
                <c:pt idx="1">
                  <c:v>1347.5</c:v>
                </c:pt>
                <c:pt idx="2">
                  <c:v>1360</c:v>
                </c:pt>
                <c:pt idx="3">
                  <c:v>1362.5</c:v>
                </c:pt>
                <c:pt idx="4">
                  <c:v>1366.5</c:v>
                </c:pt>
                <c:pt idx="5">
                  <c:v>1381.5</c:v>
                </c:pt>
                <c:pt idx="6">
                  <c:v>1397.5</c:v>
                </c:pt>
                <c:pt idx="7">
                  <c:v>1408.5</c:v>
                </c:pt>
                <c:pt idx="8">
                  <c:v>1428.5</c:v>
                </c:pt>
                <c:pt idx="9">
                  <c:v>1456.25</c:v>
                </c:pt>
                <c:pt idx="10">
                  <c:v>1473.75</c:v>
                </c:pt>
                <c:pt idx="11">
                  <c:v>1477.5</c:v>
                </c:pt>
                <c:pt idx="12">
                  <c:v>1375.71875</c:v>
                </c:pt>
                <c:pt idx="13">
                  <c:v>1339.3020833333319</c:v>
                </c:pt>
                <c:pt idx="14">
                  <c:v>1305.4583333333319</c:v>
                </c:pt>
                <c:pt idx="15">
                  <c:v>1306.25</c:v>
                </c:pt>
                <c:pt idx="16">
                  <c:v>1311</c:v>
                </c:pt>
                <c:pt idx="17">
                  <c:v>1311</c:v>
                </c:pt>
                <c:pt idx="18">
                  <c:v>1311</c:v>
                </c:pt>
                <c:pt idx="19">
                  <c:v>1293.9000000000001</c:v>
                </c:pt>
                <c:pt idx="20">
                  <c:v>1263.5250000000001</c:v>
                </c:pt>
                <c:pt idx="21">
                  <c:v>1264.925</c:v>
                </c:pt>
                <c:pt idx="22">
                  <c:v>1266.05</c:v>
                </c:pt>
                <c:pt idx="23">
                  <c:v>1266.65625</c:v>
                </c:pt>
                <c:pt idx="24">
                  <c:v>1266.65625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đồ'!$E$57:$AO$57</c15:f>
                <c15:dlblRangeCache>
                  <c:ptCount val="37"/>
                  <c:pt idx="0">
                    <c:v> 1,340 </c:v>
                  </c:pt>
                  <c:pt idx="1">
                    <c:v> 1,348 </c:v>
                  </c:pt>
                  <c:pt idx="2">
                    <c:v> 1,360 </c:v>
                  </c:pt>
                  <c:pt idx="3">
                    <c:v> 1,363 </c:v>
                  </c:pt>
                  <c:pt idx="4">
                    <c:v> 1,367 </c:v>
                  </c:pt>
                  <c:pt idx="5">
                    <c:v> 1,382 </c:v>
                  </c:pt>
                  <c:pt idx="6">
                    <c:v> 1,398 </c:v>
                  </c:pt>
                  <c:pt idx="7">
                    <c:v> 1,409 </c:v>
                  </c:pt>
                  <c:pt idx="8">
                    <c:v> 1,429 </c:v>
                  </c:pt>
                  <c:pt idx="9">
                    <c:v> 1,456 </c:v>
                  </c:pt>
                  <c:pt idx="10">
                    <c:v> 1,474 </c:v>
                  </c:pt>
                  <c:pt idx="11">
                    <c:v> 1,478 </c:v>
                  </c:pt>
                  <c:pt idx="12">
                    <c:v> 1,376 </c:v>
                  </c:pt>
                  <c:pt idx="13">
                    <c:v> 1,339 </c:v>
                  </c:pt>
                  <c:pt idx="14">
                    <c:v> 1,305 </c:v>
                  </c:pt>
                  <c:pt idx="15">
                    <c:v> 1,306 </c:v>
                  </c:pt>
                  <c:pt idx="16">
                    <c:v> 1,311 </c:v>
                  </c:pt>
                  <c:pt idx="17">
                    <c:v> 1,311 </c:v>
                  </c:pt>
                  <c:pt idx="18">
                    <c:v> 1,311 </c:v>
                  </c:pt>
                  <c:pt idx="19">
                    <c:v> 1,294 </c:v>
                  </c:pt>
                  <c:pt idx="20">
                    <c:v> 1,264 </c:v>
                  </c:pt>
                  <c:pt idx="21">
                    <c:v> 1,265 </c:v>
                  </c:pt>
                  <c:pt idx="22">
                    <c:v> 1,266 </c:v>
                  </c:pt>
                  <c:pt idx="23">
                    <c:v> 1,267 </c:v>
                  </c:pt>
                  <c:pt idx="36">
                    <c:v>SUNTORY VN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2B-0B2C-4486-8E5D-8A2954B17F89}"/>
            </c:ext>
          </c:extLst>
        </c:ser>
        <c:ser>
          <c:idx val="2"/>
          <c:order val="2"/>
          <c:tx>
            <c:strRef>
              <c:f>'Vẽ Biểu đồ'!$D$48</c:f>
              <c:strCache>
                <c:ptCount val="1"/>
                <c:pt idx="0">
                  <c:v>Giá duyệt</c:v>
                </c:pt>
              </c:strCache>
            </c:strRef>
          </c:tx>
          <c:spPr>
            <a:ln w="28575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Pt>
            <c:idx val="24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F37F-44D4-A8C7-15E09D7330D4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0A24BB91-24B2-404C-B5C0-CCFE810D31E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0B2C-4486-8E5D-8A2954B17F8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A6A348B6-F712-41BB-9A2E-B62A52E259B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0B2C-4486-8E5D-8A2954B17F8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844648E8-0A12-46F9-A664-42757F12353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0B2C-4486-8E5D-8A2954B17F89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6EBB0676-1C86-42C5-9866-379B8867F4E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0B2C-4486-8E5D-8A2954B17F89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0AA86E99-F117-4635-8FC1-929F310BD79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0B2C-4486-8E5D-8A2954B17F89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1CC5A266-08FD-4522-9E3F-E5AD46A0D23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0B2C-4486-8E5D-8A2954B17F89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74C2ADFE-BCDD-4D79-9818-D497F563E05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0B2C-4486-8E5D-8A2954B17F89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90269830-56C5-44E0-AE9D-C84DBCB9812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0B2C-4486-8E5D-8A2954B17F89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92A5C18A-32BE-4429-A7ED-63BED56E0A9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0B2C-4486-8E5D-8A2954B17F89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DFA7D833-7391-445C-9DB6-7EE4DD531BE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0B2C-4486-8E5D-8A2954B17F89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34A702E8-C41D-4A9A-8937-CDEBFCEA585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0B2C-4486-8E5D-8A2954B17F89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EEEB4709-1EEA-4EF3-A718-9415C7559A9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9-0B2C-4486-8E5D-8A2954B17F89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365C390C-BA34-42C0-928A-2B85D0CECFB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A-0B2C-4486-8E5D-8A2954B17F89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B290FB2F-8D14-4BFD-9101-21AA4233153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B-0B2C-4486-8E5D-8A2954B17F89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FE7E528C-6A0F-4920-8A3B-F6D760359FB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C-0B2C-4486-8E5D-8A2954B17F89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00715B9E-15CF-462D-8F19-92FA36EB541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D-0B2C-4486-8E5D-8A2954B17F89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4B4B2F4B-12D2-408B-B468-E5002F70D93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E-0B2C-4486-8E5D-8A2954B17F89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7456C801-4C64-47E8-A6EB-79788BAD254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F-0B2C-4486-8E5D-8A2954B17F89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E83429ED-8B7E-4CC8-A128-9201AB26B60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63B3-4FF2-8116-1A906A72EC14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CC1EC7F5-DDD4-4E91-9189-DF802948643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DEDE-40BA-9D53-D2FA0CE1166E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DFD2C161-64C9-4178-B0E9-445C249AB37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395E-46E2-AAC8-8A53C24EE520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349D74C7-8D57-4FF0-B9E5-442821949A8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0A67-43A5-8CAB-B1B55473BB1F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54F0AEF3-B56E-4757-8738-402BCC5A790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4D6B-45E0-93A7-9C5B8FC7E63D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41E578D0-F17E-40C4-9645-1B681049E4F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6471-4AEE-91CB-650F2F2FDA41}"/>
                </c:ext>
              </c:extLst>
            </c:dLbl>
            <c:dLbl>
              <c:idx val="24"/>
              <c:layout>
                <c:manualLayout>
                  <c:x val="-1.5022984472381604E-2"/>
                  <c:y val="-1.9971179563527475E-3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200" b="1" i="0" u="none" strike="noStrike" kern="1200" baseline="0">
                        <a:solidFill>
                          <a:schemeClr val="accent1">
                            <a:lumMod val="75000"/>
                          </a:schemeClr>
                        </a:solidFill>
                        <a:latin typeface="+mj-lt"/>
                        <a:ea typeface="+mn-ea"/>
                        <a:cs typeface="+mn-cs"/>
                      </a:defRPr>
                    </a:pPr>
                    <a:fld id="{EA830F43-C3D0-4D8B-80AA-B2B841767999}" type="CELLRANGE">
                      <a:rPr lang="en-US"/>
                      <a:pPr>
                        <a:defRPr sz="1200" b="1">
                          <a:solidFill>
                            <a:schemeClr val="accent1">
                              <a:lumMod val="75000"/>
                            </a:schemeClr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solidFill>
                  <a:schemeClr val="bg1"/>
                </a:solidFill>
                <a:ln w="19050">
                  <a:solidFill>
                    <a:schemeClr val="accent1">
                      <a:lumMod val="75000"/>
                    </a:schemeClr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accent1">
                          <a:lumMod val="75000"/>
                        </a:schemeClr>
                      </a:solidFill>
                      <a:latin typeface="+mj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F37F-44D4-A8C7-15E09D7330D4}"/>
                </c:ext>
              </c:extLst>
            </c:dLbl>
            <c:spPr>
              <a:solidFill>
                <a:schemeClr val="bg1"/>
              </a:solidFill>
              <a:ln w="19050">
                <a:solidFill>
                  <a:schemeClr val="accent1">
                    <a:lumMod val="75000"/>
                  </a:schemeClr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50" b="1" i="0" u="none" strike="noStrike" kern="1200" baseline="0">
                    <a:solidFill>
                      <a:schemeClr val="accent1">
                        <a:lumMod val="75000"/>
                      </a:schemeClr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đồ'!$E$44:$AO$45</c15:sqref>
                  </c15:fullRef>
                </c:ext>
              </c:extLst>
              <c:f>'Vẽ Biểu đồ'!$E$44:$AO$45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đồ'!$E$48:$AO$48</c15:sqref>
                  </c15:fullRef>
                </c:ext>
              </c:extLst>
              <c:f>('Vẽ Biểu đồ'!$E$48:$AB$48,'Vẽ Biểu đồ'!$AO$48)</c:f>
              <c:numCache>
                <c:formatCode>_(* #,##0_);_(* \(#,##0\);_(* "-"??_);_(@_)</c:formatCode>
                <c:ptCount val="25"/>
                <c:pt idx="0">
                  <c:v>1340</c:v>
                </c:pt>
                <c:pt idx="1">
                  <c:v>1340</c:v>
                </c:pt>
                <c:pt idx="2">
                  <c:v>1340</c:v>
                </c:pt>
                <c:pt idx="3">
                  <c:v>1340</c:v>
                </c:pt>
                <c:pt idx="4">
                  <c:v>1390</c:v>
                </c:pt>
                <c:pt idx="5">
                  <c:v>1390</c:v>
                </c:pt>
                <c:pt idx="6">
                  <c:v>1390</c:v>
                </c:pt>
                <c:pt idx="7">
                  <c:v>1390</c:v>
                </c:pt>
                <c:pt idx="8">
                  <c:v>1400</c:v>
                </c:pt>
                <c:pt idx="9">
                  <c:v>1415</c:v>
                </c:pt>
                <c:pt idx="10">
                  <c:v>1415</c:v>
                </c:pt>
                <c:pt idx="11">
                  <c:v>1365</c:v>
                </c:pt>
                <c:pt idx="12">
                  <c:v>1320</c:v>
                </c:pt>
                <c:pt idx="13">
                  <c:v>1280</c:v>
                </c:pt>
                <c:pt idx="14">
                  <c:v>1320</c:v>
                </c:pt>
                <c:pt idx="15">
                  <c:v>1340</c:v>
                </c:pt>
                <c:pt idx="16">
                  <c:v>1340</c:v>
                </c:pt>
                <c:pt idx="17">
                  <c:v>1340</c:v>
                </c:pt>
                <c:pt idx="18">
                  <c:v>1340</c:v>
                </c:pt>
                <c:pt idx="19">
                  <c:v>1310</c:v>
                </c:pt>
                <c:pt idx="20">
                  <c:v>1310</c:v>
                </c:pt>
                <c:pt idx="21">
                  <c:v>1300</c:v>
                </c:pt>
                <c:pt idx="22">
                  <c:v>1290</c:v>
                </c:pt>
                <c:pt idx="23">
                  <c:v>1290</c:v>
                </c:pt>
                <c:pt idx="24">
                  <c:v>1290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đồ'!$E$58:$AO$58</c15:f>
                <c15:dlblRangeCache>
                  <c:ptCount val="37"/>
                  <c:pt idx="0">
                    <c:v> 1,340 </c:v>
                  </c:pt>
                  <c:pt idx="1">
                    <c:v> 1,340 </c:v>
                  </c:pt>
                  <c:pt idx="2">
                    <c:v> 1,340 </c:v>
                  </c:pt>
                  <c:pt idx="3">
                    <c:v> 1,340 </c:v>
                  </c:pt>
                  <c:pt idx="4">
                    <c:v> 1,390 </c:v>
                  </c:pt>
                  <c:pt idx="5">
                    <c:v> 1,390 </c:v>
                  </c:pt>
                  <c:pt idx="6">
                    <c:v> 1,390 </c:v>
                  </c:pt>
                  <c:pt idx="7">
                    <c:v> 1,390 </c:v>
                  </c:pt>
                  <c:pt idx="8">
                    <c:v> 1,400 </c:v>
                  </c:pt>
                  <c:pt idx="9">
                    <c:v> 1,415 </c:v>
                  </c:pt>
                  <c:pt idx="10">
                    <c:v> 1,415 </c:v>
                  </c:pt>
                  <c:pt idx="11">
                    <c:v> 1,365 </c:v>
                  </c:pt>
                  <c:pt idx="12">
                    <c:v> 1,320 </c:v>
                  </c:pt>
                  <c:pt idx="13">
                    <c:v> 1,280 </c:v>
                  </c:pt>
                  <c:pt idx="14">
                    <c:v> 1,320 </c:v>
                  </c:pt>
                  <c:pt idx="15">
                    <c:v> 1,340 </c:v>
                  </c:pt>
                  <c:pt idx="16">
                    <c:v> 1,340 </c:v>
                  </c:pt>
                  <c:pt idx="17">
                    <c:v> 1,340 </c:v>
                  </c:pt>
                  <c:pt idx="18">
                    <c:v> 1,340 </c:v>
                  </c:pt>
                  <c:pt idx="19">
                    <c:v> 1,310 </c:v>
                  </c:pt>
                  <c:pt idx="20">
                    <c:v> 1,310 </c:v>
                  </c:pt>
                  <c:pt idx="21">
                    <c:v> 1,300 </c:v>
                  </c:pt>
                  <c:pt idx="22">
                    <c:v> 1,290 </c:v>
                  </c:pt>
                  <c:pt idx="23">
                    <c:v> 1,290 </c:v>
                  </c:pt>
                  <c:pt idx="36">
                    <c:v>Giá duyệt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40-0B2C-4486-8E5D-8A2954B17F89}"/>
            </c:ext>
          </c:extLst>
        </c:ser>
        <c:ser>
          <c:idx val="3"/>
          <c:order val="3"/>
          <c:tx>
            <c:strRef>
              <c:f>'Vẽ Biểu đồ'!$D$49</c:f>
              <c:strCache>
                <c:ptCount val="1"/>
                <c:pt idx="0">
                  <c:v>Giá chính phẩm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Pt>
            <c:idx val="24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F37F-44D4-A8C7-15E09D7330D4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8999D181-C85E-482F-B47F-B097C443BCA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3-0B2C-4486-8E5D-8A2954B17F8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42C990E4-9BD9-4AD0-814D-A882CE49F4E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4-0B2C-4486-8E5D-8A2954B17F8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3BFCDC54-930D-4BCB-A550-CCC78BF0A26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5-0B2C-4486-8E5D-8A2954B17F89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950CF7EC-C7CD-49EA-BD8C-82D4654F931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6-0B2C-4486-8E5D-8A2954B17F89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A128D561-EC66-4B8A-AC57-D096B05059C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7-0B2C-4486-8E5D-8A2954B17F89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6E1B69B7-91C2-4D4A-ABCE-E7FDFC415E7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8-0B2C-4486-8E5D-8A2954B17F89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C02BBC2F-71D9-4CA8-B5D3-7E31EC7AFD6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9-0B2C-4486-8E5D-8A2954B17F89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6211BD8D-D9CD-45AF-B857-8CD33B98E2A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A-0B2C-4486-8E5D-8A2954B17F89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38FB7ECB-68D4-43FF-950D-7E5F785D46E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B-0B2C-4486-8E5D-8A2954B17F89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663062C6-C79E-4EA6-AEEB-760C62A955A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C-0B2C-4486-8E5D-8A2954B17F89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AA880C68-C4C2-4954-BAF4-016E829392B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D-0B2C-4486-8E5D-8A2954B17F89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22DC9A75-3561-4356-B25B-B70ED7112D0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E-0B2C-4486-8E5D-8A2954B17F89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E1539977-C982-4A94-8DF9-F1DE1DC4DEF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F-0B2C-4486-8E5D-8A2954B17F89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ADF5BC63-0C36-479B-9DC3-FD3F5383823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0-0B2C-4486-8E5D-8A2954B17F89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00BD46C7-FB4C-4F1E-B233-95BFF67C6A7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1-0B2C-4486-8E5D-8A2954B17F89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E84CF350-DD83-46BF-8A7F-BB8DD16AE80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2-0B2C-4486-8E5D-8A2954B17F89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B69DC26A-A7FB-41D7-9F7A-773DF5D9DE9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3-0B2C-4486-8E5D-8A2954B17F89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65753ACE-139E-424D-9D29-4AC6A1DF0C8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4-0B2C-4486-8E5D-8A2954B17F89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3B982FED-A674-47E3-AF94-93AE6390A5A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63B3-4FF2-8116-1A906A72EC14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324D65DD-A811-4620-B5AF-A5D49EE97D1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DEDE-40BA-9D53-D2FA0CE1166E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5851CB08-1D7E-42D3-9452-0F7A86C594B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395E-46E2-AAC8-8A53C24EE520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CD991A69-B882-436B-B522-5A6AF708BC4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0A67-43A5-8CAB-B1B55473BB1F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DB3A36E2-F1C3-49CB-B756-D5C6D714C0F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4D6B-45E0-93A7-9C5B8FC7E63D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DBCEE133-9FB6-4C20-9AB6-B9850FC4F76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6471-4AEE-91CB-650F2F2FDA41}"/>
                </c:ext>
              </c:extLst>
            </c:dLbl>
            <c:dLbl>
              <c:idx val="24"/>
              <c:layout>
                <c:manualLayout>
                  <c:x val="-4.8563006699503539E-3"/>
                  <c:y val="6.1130212585308943E-3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200" b="1" i="0" u="none" strike="noStrike" kern="1200" baseline="0">
                        <a:solidFill>
                          <a:schemeClr val="accent4"/>
                        </a:solidFill>
                        <a:latin typeface="+mj-lt"/>
                        <a:ea typeface="+mn-ea"/>
                        <a:cs typeface="+mn-cs"/>
                      </a:defRPr>
                    </a:pPr>
                    <a:fld id="{630D44E3-6DF8-4521-8208-B4DA37DC94EC}" type="CELLRANGE">
                      <a:rPr lang="en-US"/>
                      <a:pPr>
                        <a:defRPr sz="1200" b="1">
                          <a:solidFill>
                            <a:schemeClr val="accent4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accent4"/>
                      </a:solidFill>
                      <a:latin typeface="+mj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9.0873146975509175E-2"/>
                      <c:h val="9.1759546782004361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F37F-44D4-A8C7-15E09D7330D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50" b="1" i="0" u="none" strike="noStrike" kern="1200" baseline="0">
                    <a:solidFill>
                      <a:schemeClr val="accent4"/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đồ'!$E$44:$AO$45</c15:sqref>
                  </c15:fullRef>
                </c:ext>
              </c:extLst>
              <c:f>'Vẽ Biểu đồ'!$E$44:$AO$45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đồ'!$E$49:$AO$49</c15:sqref>
                  </c15:fullRef>
                </c:ext>
              </c:extLst>
              <c:f>('Vẽ Biểu đồ'!$E$49:$AB$49,'Vẽ Biểu đồ'!$AO$49)</c:f>
              <c:numCache>
                <c:formatCode>_(* #,##0_);_(* \(#,##0\);_(* "-"??_);_(@_)</c:formatCode>
                <c:ptCount val="25"/>
                <c:pt idx="0">
                  <c:v>930</c:v>
                </c:pt>
                <c:pt idx="1">
                  <c:v>943.33333333333337</c:v>
                </c:pt>
                <c:pt idx="2">
                  <c:v>940</c:v>
                </c:pt>
                <c:pt idx="3">
                  <c:v>940</c:v>
                </c:pt>
                <c:pt idx="4">
                  <c:v>942</c:v>
                </c:pt>
                <c:pt idx="5">
                  <c:v>950</c:v>
                </c:pt>
                <c:pt idx="6">
                  <c:v>947.5</c:v>
                </c:pt>
                <c:pt idx="7">
                  <c:v>930</c:v>
                </c:pt>
                <c:pt idx="8">
                  <c:v>880</c:v>
                </c:pt>
                <c:pt idx="9">
                  <c:v>862.5</c:v>
                </c:pt>
                <c:pt idx="10">
                  <c:v>852</c:v>
                </c:pt>
                <c:pt idx="11">
                  <c:v>830</c:v>
                </c:pt>
                <c:pt idx="12">
                  <c:v>828</c:v>
                </c:pt>
                <c:pt idx="13">
                  <c:v>840</c:v>
                </c:pt>
                <c:pt idx="14">
                  <c:v>823</c:v>
                </c:pt>
                <c:pt idx="15">
                  <c:v>765</c:v>
                </c:pt>
                <c:pt idx="16">
                  <c:v>782</c:v>
                </c:pt>
                <c:pt idx="17">
                  <c:v>807.5</c:v>
                </c:pt>
                <c:pt idx="18">
                  <c:v>802</c:v>
                </c:pt>
                <c:pt idx="19">
                  <c:v>795</c:v>
                </c:pt>
                <c:pt idx="20">
                  <c:v>783</c:v>
                </c:pt>
                <c:pt idx="21">
                  <c:v>772</c:v>
                </c:pt>
                <c:pt idx="22">
                  <c:v>770</c:v>
                </c:pt>
                <c:pt idx="23">
                  <c:v>770</c:v>
                </c:pt>
                <c:pt idx="24">
                  <c:v>770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đồ'!$E$59:$AO$59</c15:f>
                <c15:dlblRangeCache>
                  <c:ptCount val="37"/>
                  <c:pt idx="0">
                    <c:v> 930 </c:v>
                  </c:pt>
                  <c:pt idx="1">
                    <c:v> 943 </c:v>
                  </c:pt>
                  <c:pt idx="2">
                    <c:v> 940 </c:v>
                  </c:pt>
                  <c:pt idx="3">
                    <c:v> 940 </c:v>
                  </c:pt>
                  <c:pt idx="4">
                    <c:v> 942 </c:v>
                  </c:pt>
                  <c:pt idx="5">
                    <c:v> 950 </c:v>
                  </c:pt>
                  <c:pt idx="6">
                    <c:v> 948 </c:v>
                  </c:pt>
                  <c:pt idx="7">
                    <c:v> 930 </c:v>
                  </c:pt>
                  <c:pt idx="8">
                    <c:v> 880 </c:v>
                  </c:pt>
                  <c:pt idx="9">
                    <c:v> 863 </c:v>
                  </c:pt>
                  <c:pt idx="10">
                    <c:v> 852 </c:v>
                  </c:pt>
                  <c:pt idx="11">
                    <c:v> 830 </c:v>
                  </c:pt>
                  <c:pt idx="12">
                    <c:v> 828 </c:v>
                  </c:pt>
                  <c:pt idx="13">
                    <c:v> 840 </c:v>
                  </c:pt>
                  <c:pt idx="14">
                    <c:v> 823 </c:v>
                  </c:pt>
                  <c:pt idx="15">
                    <c:v> 765 </c:v>
                  </c:pt>
                  <c:pt idx="16">
                    <c:v> 782 </c:v>
                  </c:pt>
                  <c:pt idx="17">
                    <c:v> 808 </c:v>
                  </c:pt>
                  <c:pt idx="18">
                    <c:v> 802 </c:v>
                  </c:pt>
                  <c:pt idx="19">
                    <c:v> 795 </c:v>
                  </c:pt>
                  <c:pt idx="20">
                    <c:v> 783 </c:v>
                  </c:pt>
                  <c:pt idx="21">
                    <c:v> 772 </c:v>
                  </c:pt>
                  <c:pt idx="22">
                    <c:v> 770 </c:v>
                  </c:pt>
                  <c:pt idx="23">
                    <c:v> 770 </c:v>
                  </c:pt>
                  <c:pt idx="36">
                    <c:v>Giá chính phẩm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55-0B2C-4486-8E5D-8A2954B17F89}"/>
            </c:ext>
          </c:extLst>
        </c:ser>
        <c:ser>
          <c:idx val="6"/>
          <c:order val="4"/>
          <c:tx>
            <c:strRef>
              <c:f>'Vẽ Biểu đồ'!$D$52</c:f>
              <c:strCache>
                <c:ptCount val="1"/>
                <c:pt idx="0">
                  <c:v>Chênh lệch-Line Drop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errBars>
            <c:errDir val="y"/>
            <c:errBarType val="minus"/>
            <c:errValType val="cust"/>
            <c:noEndCap val="1"/>
            <c:plus>
              <c:numRef>
                <c:extLst>
                  <c:ext xmlns:c15="http://schemas.microsoft.com/office/drawing/2012/chart" uri="{02D57815-91ED-43cb-92C2-25804820EDAC}">
                    <c15:fullRef>
                      <c15:sqref>'Vẽ Biểu đồ'!$E$32:$AO$32</c15:sqref>
                    </c15:fullRef>
                  </c:ext>
                </c:extLst>
                <c:f>('Vẽ Biểu đồ'!$E$32:$AB$32,'Vẽ Biểu đồ'!$AO$32)</c:f>
                <c:numCache>
                  <c:formatCode>General</c:formatCode>
                  <c:ptCount val="25"/>
                  <c:pt idx="0">
                    <c:v>350</c:v>
                  </c:pt>
                  <c:pt idx="1">
                    <c:v>336.66666666666663</c:v>
                  </c:pt>
                  <c:pt idx="2">
                    <c:v>340</c:v>
                  </c:pt>
                  <c:pt idx="3">
                    <c:v>340</c:v>
                  </c:pt>
                  <c:pt idx="4">
                    <c:v>388</c:v>
                  </c:pt>
                  <c:pt idx="5">
                    <c:v>380</c:v>
                  </c:pt>
                  <c:pt idx="6">
                    <c:v>382.5</c:v>
                  </c:pt>
                  <c:pt idx="7">
                    <c:v>400</c:v>
                  </c:pt>
                  <c:pt idx="8">
                    <c:v>460</c:v>
                  </c:pt>
                  <c:pt idx="9">
                    <c:v>492.5</c:v>
                  </c:pt>
                  <c:pt idx="10">
                    <c:v>503</c:v>
                  </c:pt>
                  <c:pt idx="11">
                    <c:v>475</c:v>
                  </c:pt>
                  <c:pt idx="12">
                    <c:v>432</c:v>
                  </c:pt>
                  <c:pt idx="13">
                    <c:v>420</c:v>
                  </c:pt>
                  <c:pt idx="14">
                    <c:v>437</c:v>
                  </c:pt>
                  <c:pt idx="15">
                    <c:v>515</c:v>
                  </c:pt>
                  <c:pt idx="16">
                    <c:v>498</c:v>
                  </c:pt>
                  <c:pt idx="17">
                    <c:v>472.5</c:v>
                  </c:pt>
                  <c:pt idx="18">
                    <c:v>478</c:v>
                  </c:pt>
                  <c:pt idx="19">
                    <c:v>455</c:v>
                  </c:pt>
                  <c:pt idx="20">
                    <c:v>467</c:v>
                  </c:pt>
                  <c:pt idx="21">
                    <c:v>468</c:v>
                  </c:pt>
                  <c:pt idx="22">
                    <c:v>460</c:v>
                  </c:pt>
                  <c:pt idx="23">
                    <c:v>460</c:v>
                  </c:pt>
                </c:numCache>
              </c:numRef>
            </c:plus>
            <c:minus>
              <c:numRef>
                <c:extLst>
                  <c:ext xmlns:c15="http://schemas.microsoft.com/office/drawing/2012/chart" uri="{02D57815-91ED-43cb-92C2-25804820EDAC}">
                    <c15:fullRef>
                      <c15:sqref>'Vẽ Biểu đồ'!$E$50:$AO$50</c15:sqref>
                    </c15:fullRef>
                  </c:ext>
                </c:extLst>
                <c:f>('Vẽ Biểu đồ'!$E$50:$AB$50,'Vẽ Biểu đồ'!$AO$50)</c:f>
                <c:numCache>
                  <c:formatCode>General</c:formatCode>
                  <c:ptCount val="25"/>
                  <c:pt idx="0">
                    <c:v>410</c:v>
                  </c:pt>
                  <c:pt idx="1">
                    <c:v>396.66666666666663</c:v>
                  </c:pt>
                  <c:pt idx="2">
                    <c:v>400</c:v>
                  </c:pt>
                  <c:pt idx="3">
                    <c:v>400</c:v>
                  </c:pt>
                  <c:pt idx="4">
                    <c:v>448</c:v>
                  </c:pt>
                  <c:pt idx="5">
                    <c:v>440</c:v>
                  </c:pt>
                  <c:pt idx="6">
                    <c:v>442.5</c:v>
                  </c:pt>
                  <c:pt idx="7">
                    <c:v>460</c:v>
                  </c:pt>
                  <c:pt idx="8">
                    <c:v>520</c:v>
                  </c:pt>
                  <c:pt idx="9">
                    <c:v>552.5</c:v>
                  </c:pt>
                  <c:pt idx="10">
                    <c:v>563</c:v>
                  </c:pt>
                  <c:pt idx="11">
                    <c:v>535</c:v>
                  </c:pt>
                  <c:pt idx="12">
                    <c:v>492</c:v>
                  </c:pt>
                  <c:pt idx="13">
                    <c:v>440</c:v>
                  </c:pt>
                  <c:pt idx="14">
                    <c:v>497</c:v>
                  </c:pt>
                  <c:pt idx="15">
                    <c:v>575</c:v>
                  </c:pt>
                  <c:pt idx="16">
                    <c:v>558</c:v>
                  </c:pt>
                  <c:pt idx="17">
                    <c:v>532.5</c:v>
                  </c:pt>
                  <c:pt idx="18">
                    <c:v>538</c:v>
                  </c:pt>
                  <c:pt idx="19">
                    <c:v>515</c:v>
                  </c:pt>
                  <c:pt idx="20">
                    <c:v>527</c:v>
                  </c:pt>
                  <c:pt idx="21">
                    <c:v>528</c:v>
                  </c:pt>
                  <c:pt idx="22">
                    <c:v>520</c:v>
                  </c:pt>
                  <c:pt idx="23">
                    <c:v>520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bg1">
                    <a:lumMod val="85000"/>
                  </a:schemeClr>
                </a:solidFill>
                <a:prstDash val="sysDot"/>
                <a:round/>
                <a:headEnd type="triangle"/>
                <a:tailEnd type="triangle"/>
              </a:ln>
              <a:effectLst/>
            </c:spPr>
          </c:errBar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đồ'!$E$44:$AO$45</c15:sqref>
                  </c15:fullRef>
                </c:ext>
              </c:extLst>
              <c:f>'Vẽ Biểu đồ'!$E$44:$AO$45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đồ'!$E$52:$AO$52</c15:sqref>
                  </c15:fullRef>
                </c:ext>
              </c:extLst>
              <c:f>('Vẽ Biểu đồ'!$E$52:$AB$52,'Vẽ Biểu đồ'!$AO$52)</c:f>
              <c:numCache>
                <c:formatCode>_(* #,##0_);_(* \(#,##0\);_(* "-"??_);_(@_)</c:formatCode>
                <c:ptCount val="25"/>
                <c:pt idx="0">
                  <c:v>1340</c:v>
                </c:pt>
                <c:pt idx="1">
                  <c:v>1340</c:v>
                </c:pt>
                <c:pt idx="2">
                  <c:v>1340</c:v>
                </c:pt>
                <c:pt idx="3">
                  <c:v>1340</c:v>
                </c:pt>
                <c:pt idx="4">
                  <c:v>1390</c:v>
                </c:pt>
                <c:pt idx="5">
                  <c:v>1390</c:v>
                </c:pt>
                <c:pt idx="6">
                  <c:v>1390</c:v>
                </c:pt>
                <c:pt idx="7">
                  <c:v>1390</c:v>
                </c:pt>
                <c:pt idx="8">
                  <c:v>1400</c:v>
                </c:pt>
                <c:pt idx="9">
                  <c:v>1415</c:v>
                </c:pt>
                <c:pt idx="10">
                  <c:v>1415</c:v>
                </c:pt>
                <c:pt idx="11">
                  <c:v>1365</c:v>
                </c:pt>
                <c:pt idx="12">
                  <c:v>1320</c:v>
                </c:pt>
                <c:pt idx="13">
                  <c:v>1280</c:v>
                </c:pt>
                <c:pt idx="14">
                  <c:v>1320</c:v>
                </c:pt>
                <c:pt idx="15">
                  <c:v>1340</c:v>
                </c:pt>
                <c:pt idx="16">
                  <c:v>1340</c:v>
                </c:pt>
                <c:pt idx="17">
                  <c:v>1340</c:v>
                </c:pt>
                <c:pt idx="18">
                  <c:v>1340</c:v>
                </c:pt>
                <c:pt idx="19">
                  <c:v>1310</c:v>
                </c:pt>
                <c:pt idx="20">
                  <c:v>1310</c:v>
                </c:pt>
                <c:pt idx="21">
                  <c:v>1300</c:v>
                </c:pt>
                <c:pt idx="22">
                  <c:v>1290</c:v>
                </c:pt>
                <c:pt idx="23">
                  <c:v>1290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0B2C-4486-8E5D-8A2954B17F89}"/>
            </c:ext>
          </c:extLst>
        </c:ser>
        <c:ser>
          <c:idx val="7"/>
          <c:order val="7"/>
          <c:tx>
            <c:strRef>
              <c:f>'Vẽ Biểu đồ'!$D$53</c:f>
              <c:strCache>
                <c:ptCount val="1"/>
                <c:pt idx="0">
                  <c:v>Chênh lệch-Label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fld id="{1B80F7DF-2C62-4A57-8CC6-1E0B8459435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7-0B2C-4486-8E5D-8A2954B17F8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F00FE48E-9CDC-47E8-8D58-A1B8C5B5A3E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8-0B2C-4486-8E5D-8A2954B17F8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112F793C-5ED0-48E5-A81D-59BA71AB557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9-0B2C-4486-8E5D-8A2954B17F89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4FF58D80-2802-4B1F-88F5-990997402A7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A-0B2C-4486-8E5D-8A2954B17F89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90C234D5-EFA7-4CC1-9302-25C8E78CCF7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B-0B2C-4486-8E5D-8A2954B17F89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33BED0F4-9056-4893-8AEF-2BAD11D5BE6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C-0B2C-4486-8E5D-8A2954B17F89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83AF9FE7-B1B2-41EE-BE16-45DE15D411E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D-0B2C-4486-8E5D-8A2954B17F89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DD6080C9-4233-4607-A53C-4DD9EEF0010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E-0B2C-4486-8E5D-8A2954B17F89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638633D1-4399-4000-8878-1C6DD99FD80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F-0B2C-4486-8E5D-8A2954B17F89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719D9980-9BBE-4E8F-B2D2-52B6BBFED49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0-0B2C-4486-8E5D-8A2954B17F89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199942BA-256A-4B6C-84B9-FB6467EA281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1-0B2C-4486-8E5D-8A2954B17F89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AC2FACE6-07AF-41DE-A37E-E3B32E2B4BE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2-0B2C-4486-8E5D-8A2954B17F89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8862E871-3E32-43B8-A075-DD1DEDF6CEA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3-0B2C-4486-8E5D-8A2954B17F89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82542720-CAD6-40DE-B0C7-F51F4AAAF22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4-0B2C-4486-8E5D-8A2954B17F89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0061F65F-5533-4652-A68C-0C3B390F0EB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5-0B2C-4486-8E5D-8A2954B17F89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2DA5FF1E-FA5D-4926-8AF4-417E08FB0F9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6-0B2C-4486-8E5D-8A2954B17F89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17BF40F8-731B-4A1B-8175-DA85838922E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7-0B2C-4486-8E5D-8A2954B17F89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3B3FE467-3D9C-46F6-87A7-1E36C8675B8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8-0B2C-4486-8E5D-8A2954B17F89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63C162B6-5F85-4D26-8CBB-D521DAD9642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63B3-4FF2-8116-1A906A72EC14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21DA5B97-656F-47D3-9B5D-DF6765C475A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DEDE-40BA-9D53-D2FA0CE1166E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752C55BE-C477-47A1-A25E-03B995FB103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395E-46E2-AAC8-8A53C24EE520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2B057EE7-6E40-4E78-B8B0-8AD49428766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0A67-43A5-8CAB-B1B55473BB1F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A61DA48F-9262-4CEC-A443-F5898B1826B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4D6B-45E0-93A7-9C5B8FC7E63D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8324D7AB-02F5-4E9B-A16C-33DBB031A7B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6471-4AEE-91CB-650F2F2FDA41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4-6471-4AEE-91CB-650F2F2FDA41}"/>
                </c:ext>
              </c:extLst>
            </c:dLbl>
            <c:spPr>
              <a:solidFill>
                <a:schemeClr val="bg1"/>
              </a:solidFill>
              <a:ln>
                <a:solidFill>
                  <a:schemeClr val="bg1">
                    <a:lumMod val="50000"/>
                  </a:schemeClr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>
                        <a:lumMod val="50000"/>
                      </a:schemeClr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đồ'!$E$44:$AO$45</c15:sqref>
                  </c15:fullRef>
                </c:ext>
              </c:extLst>
              <c:f>'Vẽ Biểu đồ'!$E$44:$AO$45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đồ'!$E$53:$AO$53</c15:sqref>
                  </c15:fullRef>
                </c:ext>
              </c:extLst>
              <c:f>('Vẽ Biểu đồ'!$E$53:$AB$53,'Vẽ Biểu đồ'!$AO$53)</c:f>
              <c:numCache>
                <c:formatCode>_(* #,##0_);_(* \(#,##0\);_(* "-"??_);_(@_)</c:formatCode>
                <c:ptCount val="25"/>
                <c:pt idx="0">
                  <c:v>1135</c:v>
                </c:pt>
                <c:pt idx="1">
                  <c:v>1141.6666666666667</c:v>
                </c:pt>
                <c:pt idx="2">
                  <c:v>1140</c:v>
                </c:pt>
                <c:pt idx="3">
                  <c:v>1140</c:v>
                </c:pt>
                <c:pt idx="4">
                  <c:v>1166</c:v>
                </c:pt>
                <c:pt idx="5">
                  <c:v>1170</c:v>
                </c:pt>
                <c:pt idx="6">
                  <c:v>1168.75</c:v>
                </c:pt>
                <c:pt idx="7">
                  <c:v>1160</c:v>
                </c:pt>
                <c:pt idx="8">
                  <c:v>1140</c:v>
                </c:pt>
                <c:pt idx="9">
                  <c:v>1138.75</c:v>
                </c:pt>
                <c:pt idx="10">
                  <c:v>1133.5</c:v>
                </c:pt>
                <c:pt idx="11">
                  <c:v>1097.5</c:v>
                </c:pt>
                <c:pt idx="12">
                  <c:v>1074</c:v>
                </c:pt>
                <c:pt idx="13">
                  <c:v>1060</c:v>
                </c:pt>
                <c:pt idx="14">
                  <c:v>1071.5</c:v>
                </c:pt>
                <c:pt idx="15">
                  <c:v>1052.5</c:v>
                </c:pt>
                <c:pt idx="16">
                  <c:v>1061</c:v>
                </c:pt>
                <c:pt idx="17">
                  <c:v>1073.75</c:v>
                </c:pt>
                <c:pt idx="18">
                  <c:v>1071</c:v>
                </c:pt>
                <c:pt idx="19">
                  <c:v>1052.5</c:v>
                </c:pt>
                <c:pt idx="20">
                  <c:v>1046.5</c:v>
                </c:pt>
                <c:pt idx="21">
                  <c:v>1036</c:v>
                </c:pt>
                <c:pt idx="22">
                  <c:v>1030</c:v>
                </c:pt>
                <c:pt idx="23">
                  <c:v>1030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đồ'!$E$14:$AO$14</c15:f>
                <c15:dlblRangeCache>
                  <c:ptCount val="37"/>
                  <c:pt idx="0">
                    <c:v>+34.4%</c:v>
                  </c:pt>
                  <c:pt idx="1">
                    <c:v>+32.5%</c:v>
                  </c:pt>
                  <c:pt idx="2">
                    <c:v>+33.0%</c:v>
                  </c:pt>
                  <c:pt idx="3">
                    <c:v>+33.0%</c:v>
                  </c:pt>
                  <c:pt idx="4">
                    <c:v>+38.0%</c:v>
                  </c:pt>
                  <c:pt idx="5">
                    <c:v>+36.8%</c:v>
                  </c:pt>
                  <c:pt idx="6">
                    <c:v>+37.2%</c:v>
                  </c:pt>
                  <c:pt idx="7">
                    <c:v>+39.8%</c:v>
                  </c:pt>
                  <c:pt idx="8">
                    <c:v>+48.9%</c:v>
                  </c:pt>
                  <c:pt idx="9">
                    <c:v>+53.6%</c:v>
                  </c:pt>
                  <c:pt idx="10">
                    <c:v>+55.5%</c:v>
                  </c:pt>
                  <c:pt idx="11">
                    <c:v>+53.6%</c:v>
                  </c:pt>
                  <c:pt idx="12">
                    <c:v>+48.6%</c:v>
                  </c:pt>
                  <c:pt idx="13">
                    <c:v>+46.4%</c:v>
                  </c:pt>
                  <c:pt idx="14">
                    <c:v>+49.5%</c:v>
                  </c:pt>
                  <c:pt idx="15">
                    <c:v>+63.4%</c:v>
                  </c:pt>
                  <c:pt idx="16">
                    <c:v>+59.8%</c:v>
                  </c:pt>
                  <c:pt idx="17">
                    <c:v>+54.8%</c:v>
                  </c:pt>
                  <c:pt idx="18">
                    <c:v>+55.9%</c:v>
                  </c:pt>
                  <c:pt idx="19">
                    <c:v>+53.5%</c:v>
                  </c:pt>
                  <c:pt idx="20">
                    <c:v>+55.8%</c:v>
                  </c:pt>
                  <c:pt idx="21">
                    <c:v>+56.7%</c:v>
                  </c:pt>
                  <c:pt idx="22">
                    <c:v>+55.8%</c:v>
                  </c:pt>
                  <c:pt idx="23">
                    <c:v>+55.8%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6A-0B2C-4486-8E5D-8A2954B17F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6623744"/>
        <c:axId val="516630464"/>
      </c:lineChart>
      <c:catAx>
        <c:axId val="516623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bg1">
                    <a:lumMod val="65000"/>
                  </a:schemeClr>
                </a:solidFill>
                <a:latin typeface="+mj-lt"/>
                <a:ea typeface="+mn-ea"/>
                <a:cs typeface="+mn-cs"/>
              </a:defRPr>
            </a:pPr>
            <a:endParaRPr lang="en-US"/>
          </a:p>
        </c:txPr>
        <c:crossAx val="516630464"/>
        <c:crosses val="autoZero"/>
        <c:auto val="1"/>
        <c:lblAlgn val="ctr"/>
        <c:lblOffset val="100"/>
        <c:noMultiLvlLbl val="0"/>
      </c:catAx>
      <c:valAx>
        <c:axId val="516630464"/>
        <c:scaling>
          <c:orientation val="minMax"/>
          <c:max val="1550"/>
          <c:min val="730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65000"/>
                  </a:schemeClr>
                </a:solidFill>
                <a:latin typeface="+mj-lt"/>
                <a:ea typeface="+mn-ea"/>
                <a:cs typeface="+mn-cs"/>
              </a:defRPr>
            </a:pPr>
            <a:endParaRPr lang="en-US"/>
          </a:p>
        </c:txPr>
        <c:crossAx val="516623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noFill/>
      <a:round/>
    </a:ln>
    <a:effectLst/>
  </c:spPr>
  <c:txPr>
    <a:bodyPr/>
    <a:lstStyle/>
    <a:p>
      <a:pPr>
        <a:defRPr>
          <a:latin typeface="+mj-lt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0"/>
          <c:w val="0.96006059276030531"/>
          <c:h val="0.89566773889068285"/>
        </c:manualLayout>
      </c:layout>
      <c:areaChart>
        <c:grouping val="standard"/>
        <c:varyColors val="0"/>
        <c:ser>
          <c:idx val="5"/>
          <c:order val="4"/>
          <c:tx>
            <c:strRef>
              <c:f>'Vẽ Biểu đồ'!$D$71</c:f>
              <c:strCache>
                <c:ptCount val="1"/>
                <c:pt idx="0">
                  <c:v>Giá duyệt-Area</c:v>
                </c:pt>
              </c:strCache>
            </c:strRef>
          </c:tx>
          <c:spPr>
            <a:solidFill>
              <a:srgbClr val="FFF2CC"/>
            </a:solidFill>
            <a:ln w="25400">
              <a:noFill/>
            </a:ln>
            <a:effectLst/>
          </c:spPr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đồ'!$E$62:$AO$63</c15:sqref>
                  </c15:fullRef>
                </c:ext>
              </c:extLst>
              <c:f>'Vẽ Biểu đồ'!$E$62:$AO$63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đồ'!$E$71:$AO$71</c15:sqref>
                  </c15:fullRef>
                </c:ext>
              </c:extLst>
              <c:f>('Vẽ Biểu đồ'!$E$71:$AB$71,'Vẽ Biểu đồ'!$AO$71)</c:f>
              <c:numCache>
                <c:formatCode>_(* #,##0_);_(* \(#,##0\);_(* "-"??_);_(@_)</c:formatCode>
                <c:ptCount val="2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1400</c:v>
                </c:pt>
                <c:pt idx="13">
                  <c:v>1400</c:v>
                </c:pt>
                <c:pt idx="14">
                  <c:v>1350</c:v>
                </c:pt>
                <c:pt idx="15">
                  <c:v>1350</c:v>
                </c:pt>
                <c:pt idx="16">
                  <c:v>1350</c:v>
                </c:pt>
                <c:pt idx="17">
                  <c:v>1350</c:v>
                </c:pt>
                <c:pt idx="18">
                  <c:v>1350</c:v>
                </c:pt>
                <c:pt idx="19">
                  <c:v>1330</c:v>
                </c:pt>
                <c:pt idx="20">
                  <c:v>1310</c:v>
                </c:pt>
                <c:pt idx="21">
                  <c:v>1310</c:v>
                </c:pt>
                <c:pt idx="22">
                  <c:v>1300</c:v>
                </c:pt>
                <c:pt idx="23">
                  <c:v>1300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A4-4D5D-8CD8-ABD94746445C}"/>
            </c:ext>
          </c:extLst>
        </c:ser>
        <c:ser>
          <c:idx val="4"/>
          <c:order val="5"/>
          <c:tx>
            <c:strRef>
              <c:f>'Vẽ Biểu đồ'!$D$72</c:f>
              <c:strCache>
                <c:ptCount val="1"/>
                <c:pt idx="0">
                  <c:v>Giá chính phẩm-Area</c:v>
                </c:pt>
              </c:strCache>
            </c:strRef>
          </c:tx>
          <c:spPr>
            <a:solidFill>
              <a:schemeClr val="bg1"/>
            </a:solidFill>
            <a:ln w="25400">
              <a:noFill/>
            </a:ln>
            <a:effectLst/>
          </c:spPr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đồ'!$E$62:$AO$63</c15:sqref>
                  </c15:fullRef>
                </c:ext>
              </c:extLst>
              <c:f>'Vẽ Biểu đồ'!$E$62:$AO$63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đồ'!$E$72:$AO$72</c15:sqref>
                  </c15:fullRef>
                </c:ext>
              </c:extLst>
              <c:f>('Vẽ Biểu đồ'!$E$72:$AB$72,'Vẽ Biểu đồ'!$AO$72)</c:f>
              <c:numCache>
                <c:formatCode>_(* #,##0_);_(* \(#,##0\);_(* "-"??_);_(@_)</c:formatCode>
                <c:ptCount val="25"/>
                <c:pt idx="0">
                  <c:v>940</c:v>
                </c:pt>
                <c:pt idx="1">
                  <c:v>993.33333333333337</c:v>
                </c:pt>
                <c:pt idx="2">
                  <c:v>985</c:v>
                </c:pt>
                <c:pt idx="3">
                  <c:v>962.5</c:v>
                </c:pt>
                <c:pt idx="4">
                  <c:v>982</c:v>
                </c:pt>
                <c:pt idx="5">
                  <c:v>1000</c:v>
                </c:pt>
                <c:pt idx="6">
                  <c:v>1000</c:v>
                </c:pt>
                <c:pt idx="7">
                  <c:v>984</c:v>
                </c:pt>
                <c:pt idx="8">
                  <c:v>967.5</c:v>
                </c:pt>
                <c:pt idx="9">
                  <c:v>965</c:v>
                </c:pt>
                <c:pt idx="10">
                  <c:v>974</c:v>
                </c:pt>
                <c:pt idx="11">
                  <c:v>956</c:v>
                </c:pt>
                <c:pt idx="12">
                  <c:v>940</c:v>
                </c:pt>
                <c:pt idx="13">
                  <c:v>918</c:v>
                </c:pt>
                <c:pt idx="14">
                  <c:v>896</c:v>
                </c:pt>
                <c:pt idx="15">
                  <c:v>891.5</c:v>
                </c:pt>
                <c:pt idx="16">
                  <c:v>864</c:v>
                </c:pt>
                <c:pt idx="17">
                  <c:v>833</c:v>
                </c:pt>
                <c:pt idx="18">
                  <c:v>833</c:v>
                </c:pt>
                <c:pt idx="19">
                  <c:v>815</c:v>
                </c:pt>
                <c:pt idx="20">
                  <c:v>813</c:v>
                </c:pt>
                <c:pt idx="21">
                  <c:v>805</c:v>
                </c:pt>
                <c:pt idx="22">
                  <c:v>805</c:v>
                </c:pt>
                <c:pt idx="23">
                  <c:v>805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FA4-4D5D-8CD8-ABD9474644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6623744"/>
        <c:axId val="516630464"/>
      </c:areaChart>
      <c:lineChart>
        <c:grouping val="standard"/>
        <c:varyColors val="0"/>
        <c:ser>
          <c:idx val="1"/>
          <c:order val="0"/>
          <c:tx>
            <c:strRef>
              <c:f>'Vẽ Biểu đồ'!$D$64</c:f>
              <c:strCache>
                <c:ptCount val="1"/>
                <c:pt idx="0">
                  <c:v>Unilever</c:v>
                </c:pt>
              </c:strCache>
            </c:strRef>
          </c:tx>
          <c:spPr>
            <a:ln w="28575" cap="rnd">
              <a:solidFill>
                <a:srgbClr val="0F0E9A"/>
              </a:solidFill>
              <a:round/>
            </a:ln>
            <a:effectLst/>
          </c:spPr>
          <c:marker>
            <c:symbol val="none"/>
          </c:marker>
          <c:dPt>
            <c:idx val="24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1E3E-48D6-8DCA-CB7ADE609989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DFA4-4D5D-8CD8-ABD94746445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DFA4-4D5D-8CD8-ABD94746445C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DFA4-4D5D-8CD8-ABD94746445C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DFA4-4D5D-8CD8-ABD94746445C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DFA4-4D5D-8CD8-ABD94746445C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DFA4-4D5D-8CD8-ABD94746445C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DFA4-4D5D-8CD8-ABD94746445C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DFA4-4D5D-8CD8-ABD94746445C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DFA4-4D5D-8CD8-ABD94746445C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DFA4-4D5D-8CD8-ABD94746445C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DFA4-4D5D-8CD8-ABD94746445C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DFA4-4D5D-8CD8-ABD94746445C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2CFA7DD0-9558-4386-9E11-2CC97CEC08B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DFA4-4D5D-8CD8-ABD94746445C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D2FA9DEC-6A95-49D3-BAD5-1F2063A4F79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DFA4-4D5D-8CD8-ABD94746445C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3CD6A804-E252-4334-8ED8-1ACB15E4A4E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2-DFA4-4D5D-8CD8-ABD94746445C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2176DDBC-DFA3-41D6-9E0E-48A0F5830F5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DFA4-4D5D-8CD8-ABD94746445C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20775DA0-849C-4EDB-BDAE-D59DC53D95A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DFA4-4D5D-8CD8-ABD94746445C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DBF1B85F-02D0-43FB-8B31-2E12D05BCBD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DFA4-4D5D-8CD8-ABD94746445C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5BEEFD69-6912-437D-A1BD-EA3F0F036EB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981E-4843-995E-CE768F5BE5E7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B1944786-8253-49FF-B47A-DCE285A6A4D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D283-47FF-8856-25671D7CC6AB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24CA068D-6F0A-43C1-ABCE-D42FBC0DA25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C6B5-4F7B-A6AF-7D930DAB8007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CA666B39-3753-458D-A178-F2AE7B49089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E4AC-4B94-997E-9BF244F9B519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D951B127-7878-4198-90A1-615B5FA5D18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3BCD-410B-9F63-647917C9C41C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79731E4B-C843-4A8D-AFF7-5B544026D2F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AF5A-45DA-968F-80B8889776CC}"/>
                </c:ext>
              </c:extLst>
            </c:dLbl>
            <c:dLbl>
              <c:idx val="24"/>
              <c:layout>
                <c:manualLayout>
                  <c:x val="-7.5865955694281876E-3"/>
                  <c:y val="-1.4092446448703494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200" b="1" i="0" u="none" strike="noStrike" kern="1200" baseline="0">
                        <a:solidFill>
                          <a:srgbClr val="0F0E9A"/>
                        </a:solidFill>
                        <a:latin typeface="+mj-lt"/>
                        <a:ea typeface="+mn-ea"/>
                        <a:cs typeface="+mn-cs"/>
                      </a:defRPr>
                    </a:pPr>
                    <a:fld id="{CF21FB14-F1A4-4828-B0D4-E5BA2014B582}" type="CELLRANGE">
                      <a:rPr lang="en-US"/>
                      <a:pPr>
                        <a:defRPr sz="1200" b="1">
                          <a:solidFill>
                            <a:srgbClr val="0F0E9A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rgbClr val="0F0E9A"/>
                      </a:solidFill>
                      <a:latin typeface="+mj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1E3E-48D6-8DCA-CB7ADE60998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50" b="1" i="0" u="none" strike="noStrike" kern="1200" baseline="0">
                    <a:solidFill>
                      <a:srgbClr val="0F0E9A"/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đồ'!$E$62:$AO$63</c15:sqref>
                  </c15:fullRef>
                </c:ext>
              </c:extLst>
              <c:f>'Vẽ Biểu đồ'!$E$62:$AO$63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đồ'!$E$64:$AO$64</c15:sqref>
                  </c15:fullRef>
                </c:ext>
              </c:extLst>
              <c:f>('Vẽ Biểu đồ'!$E$64:$AB$64,'Vẽ Biểu đồ'!$AO$64)</c:f>
              <c:numCache>
                <c:formatCode>_(* #,##0_);_(* \(#,##0\);_(* "-"??_);_(@_)</c:formatCode>
                <c:ptCount val="2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1388.04</c:v>
                </c:pt>
                <c:pt idx="13">
                  <c:v>1388.04</c:v>
                </c:pt>
                <c:pt idx="14">
                  <c:v>1388.04</c:v>
                </c:pt>
                <c:pt idx="15">
                  <c:v>1338.04</c:v>
                </c:pt>
                <c:pt idx="16">
                  <c:v>1338.04</c:v>
                </c:pt>
                <c:pt idx="17">
                  <c:v>1338.04</c:v>
                </c:pt>
                <c:pt idx="18">
                  <c:v>1368.04</c:v>
                </c:pt>
                <c:pt idx="19">
                  <c:v>1368.04</c:v>
                </c:pt>
                <c:pt idx="20">
                  <c:v>1368.04</c:v>
                </c:pt>
                <c:pt idx="21">
                  <c:v>1368.04</c:v>
                </c:pt>
                <c:pt idx="22">
                  <c:v>1368.04</c:v>
                </c:pt>
                <c:pt idx="23">
                  <c:v>1368.04</c:v>
                </c:pt>
                <c:pt idx="24">
                  <c:v>1368.04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đồ'!$E$73:$AO$73</c15:f>
                <c15:dlblRangeCache>
                  <c:ptCount val="37"/>
                  <c:pt idx="12">
                    <c:v> 1,388 </c:v>
                  </c:pt>
                  <c:pt idx="13">
                    <c:v> 1,388 </c:v>
                  </c:pt>
                  <c:pt idx="14">
                    <c:v> 1,388 </c:v>
                  </c:pt>
                  <c:pt idx="15">
                    <c:v> 1,338 </c:v>
                  </c:pt>
                  <c:pt idx="16">
                    <c:v> 1,338 </c:v>
                  </c:pt>
                  <c:pt idx="17">
                    <c:v> 1,338 </c:v>
                  </c:pt>
                  <c:pt idx="18">
                    <c:v> 1,368 </c:v>
                  </c:pt>
                  <c:pt idx="19">
                    <c:v> 1,368 </c:v>
                  </c:pt>
                  <c:pt idx="20">
                    <c:v> 1,368 </c:v>
                  </c:pt>
                  <c:pt idx="21">
                    <c:v> 1,368 </c:v>
                  </c:pt>
                  <c:pt idx="22">
                    <c:v> 1,368 </c:v>
                  </c:pt>
                  <c:pt idx="23">
                    <c:v> 1,368 </c:v>
                  </c:pt>
                  <c:pt idx="36">
                    <c:v>UNILEVER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6-DFA4-4D5D-8CD8-ABD94746445C}"/>
            </c:ext>
          </c:extLst>
        </c:ser>
        <c:ser>
          <c:idx val="2"/>
          <c:order val="1"/>
          <c:tx>
            <c:strRef>
              <c:f>'Vẽ Biểu đồ'!$D$65</c:f>
              <c:strCache>
                <c:ptCount val="1"/>
                <c:pt idx="0">
                  <c:v>Giá duyệt</c:v>
                </c:pt>
              </c:strCache>
            </c:strRef>
          </c:tx>
          <c:spPr>
            <a:ln w="28575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Pt>
            <c:idx val="24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1E3E-48D6-8DCA-CB7ADE609989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DFA4-4D5D-8CD8-ABD94746445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DFA4-4D5D-8CD8-ABD94746445C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DFA4-4D5D-8CD8-ABD94746445C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DFA4-4D5D-8CD8-ABD94746445C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DFA4-4D5D-8CD8-ABD94746445C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DFA4-4D5D-8CD8-ABD94746445C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DFA4-4D5D-8CD8-ABD94746445C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DFA4-4D5D-8CD8-ABD94746445C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DFA4-4D5D-8CD8-ABD94746445C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DFA4-4D5D-8CD8-ABD94746445C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DFA4-4D5D-8CD8-ABD94746445C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DFA4-4D5D-8CD8-ABD94746445C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F0018D20-77B3-4FCD-AE9E-52C27790666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DFA4-4D5D-8CD8-ABD94746445C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B9950E08-5CB5-4C23-921F-77827B131F8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DFA4-4D5D-8CD8-ABD94746445C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F6A72968-6FA7-48EA-A4D4-50BCC6E0875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DFA4-4D5D-8CD8-ABD94746445C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6C1E372A-457E-4CB5-8E26-35954DBD6FB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DFA4-4D5D-8CD8-ABD94746445C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AA495060-26D0-418C-B760-87E66A97ED2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DFA4-4D5D-8CD8-ABD94746445C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92B5A989-591E-4785-86F6-1273FF2318F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DFA4-4D5D-8CD8-ABD94746445C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32CF7AA2-289B-478E-8393-64A92BADF61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981E-4843-995E-CE768F5BE5E7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14E5FC21-1B6A-46AC-8202-D46E67909DA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D283-47FF-8856-25671D7CC6AB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53DEBF38-4340-4855-9FA1-48263E9857A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C6B5-4F7B-A6AF-7D930DAB8007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72866410-D614-4CB7-B98A-6F0792579CF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E4AC-4B94-997E-9BF244F9B519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11D4368F-2FCE-4922-A92B-C726D4EC0B0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3BCD-410B-9F63-647917C9C41C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57B01EF6-49D7-4019-AB4E-B2314A3C528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AF5A-45DA-968F-80B8889776CC}"/>
                </c:ext>
              </c:extLst>
            </c:dLbl>
            <c:dLbl>
              <c:idx val="24"/>
              <c:layout>
                <c:manualLayout>
                  <c:x val="-5.3980887628613658E-3"/>
                  <c:y val="-8.0349528469824752E-3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200" b="1" i="0" u="none" strike="noStrike" kern="1200" baseline="0">
                        <a:solidFill>
                          <a:schemeClr val="accent1">
                            <a:lumMod val="75000"/>
                          </a:schemeClr>
                        </a:solidFill>
                        <a:latin typeface="+mj-lt"/>
                        <a:ea typeface="+mn-ea"/>
                        <a:cs typeface="+mn-cs"/>
                      </a:defRPr>
                    </a:pPr>
                    <a:fld id="{5CCCB5E2-0F3D-490E-BF9C-2934BE5BFC52}" type="CELLRANGE">
                      <a:rPr lang="en-US"/>
                      <a:pPr>
                        <a:defRPr sz="1200" b="1">
                          <a:solidFill>
                            <a:schemeClr val="accent1">
                              <a:lumMod val="75000"/>
                            </a:schemeClr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solidFill>
                  <a:schemeClr val="bg1"/>
                </a:solidFill>
                <a:ln w="19050">
                  <a:solidFill>
                    <a:schemeClr val="accent1">
                      <a:lumMod val="75000"/>
                    </a:schemeClr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accent1">
                          <a:lumMod val="75000"/>
                        </a:schemeClr>
                      </a:solidFill>
                      <a:latin typeface="+mj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1E3E-48D6-8DCA-CB7ADE609989}"/>
                </c:ext>
              </c:extLst>
            </c:dLbl>
            <c:spPr>
              <a:solidFill>
                <a:schemeClr val="bg1"/>
              </a:solidFill>
              <a:ln w="19050">
                <a:solidFill>
                  <a:schemeClr val="accent1">
                    <a:lumMod val="75000"/>
                  </a:schemeClr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50" b="1" i="0" u="none" strike="noStrike" kern="1200" baseline="0">
                    <a:solidFill>
                      <a:schemeClr val="accent1">
                        <a:lumMod val="75000"/>
                      </a:schemeClr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đồ'!$E$62:$AO$63</c15:sqref>
                  </c15:fullRef>
                </c:ext>
              </c:extLst>
              <c:f>'Vẽ Biểu đồ'!$E$62:$AO$63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đồ'!$E$65:$AO$65</c15:sqref>
                  </c15:fullRef>
                </c:ext>
              </c:extLst>
              <c:f>('Vẽ Biểu đồ'!$E$65:$AB$65,'Vẽ Biểu đồ'!$AO$65)</c:f>
              <c:numCache>
                <c:formatCode>_(* #,##0_);_(* \(#,##0\);_(* "-"??_);_(@_)</c:formatCode>
                <c:ptCount val="2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1400</c:v>
                </c:pt>
                <c:pt idx="13">
                  <c:v>1400</c:v>
                </c:pt>
                <c:pt idx="14">
                  <c:v>1350</c:v>
                </c:pt>
                <c:pt idx="15">
                  <c:v>1350</c:v>
                </c:pt>
                <c:pt idx="16">
                  <c:v>1350</c:v>
                </c:pt>
                <c:pt idx="17">
                  <c:v>1350</c:v>
                </c:pt>
                <c:pt idx="18">
                  <c:v>1350</c:v>
                </c:pt>
                <c:pt idx="19">
                  <c:v>1330</c:v>
                </c:pt>
                <c:pt idx="20">
                  <c:v>1310</c:v>
                </c:pt>
                <c:pt idx="21">
                  <c:v>1310</c:v>
                </c:pt>
                <c:pt idx="22">
                  <c:v>1300</c:v>
                </c:pt>
                <c:pt idx="23">
                  <c:v>1300</c:v>
                </c:pt>
                <c:pt idx="24">
                  <c:v>1300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đồ'!$E$74:$AO$74</c15:f>
                <c15:dlblRangeCache>
                  <c:ptCount val="37"/>
                  <c:pt idx="12">
                    <c:v> 1,400 </c:v>
                  </c:pt>
                  <c:pt idx="13">
                    <c:v> 1,400 </c:v>
                  </c:pt>
                  <c:pt idx="14">
                    <c:v> 1,350 </c:v>
                  </c:pt>
                  <c:pt idx="15">
                    <c:v> 1,350 </c:v>
                  </c:pt>
                  <c:pt idx="16">
                    <c:v> 1,350 </c:v>
                  </c:pt>
                  <c:pt idx="17">
                    <c:v> 1,350 </c:v>
                  </c:pt>
                  <c:pt idx="18">
                    <c:v> 1,350 </c:v>
                  </c:pt>
                  <c:pt idx="19">
                    <c:v> 1,330 </c:v>
                  </c:pt>
                  <c:pt idx="20">
                    <c:v> 1,310 </c:v>
                  </c:pt>
                  <c:pt idx="21">
                    <c:v> 1,310 </c:v>
                  </c:pt>
                  <c:pt idx="22">
                    <c:v> 1,300 </c:v>
                  </c:pt>
                  <c:pt idx="23">
                    <c:v> 1,300 </c:v>
                  </c:pt>
                  <c:pt idx="36">
                    <c:v>Giá duyệt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2B-DFA4-4D5D-8CD8-ABD94746445C}"/>
            </c:ext>
          </c:extLst>
        </c:ser>
        <c:ser>
          <c:idx val="3"/>
          <c:order val="2"/>
          <c:tx>
            <c:strRef>
              <c:f>'Vẽ Biểu đồ'!$D$66</c:f>
              <c:strCache>
                <c:ptCount val="1"/>
                <c:pt idx="0">
                  <c:v>Giá chính phẩm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Pt>
            <c:idx val="24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1E3E-48D6-8DCA-CB7ADE609989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3D50B21B-9DE8-4462-87F8-6A536E7FCED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DFA4-4D5D-8CD8-ABD94746445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C51C3C57-42B6-4BD0-B7BD-4F15ABA028D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DFA4-4D5D-8CD8-ABD94746445C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2801DA4A-62B8-499F-9763-F3C30A34642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DFA4-4D5D-8CD8-ABD94746445C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A825E1A7-6099-427E-9250-C63288D8D45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DFA4-4D5D-8CD8-ABD94746445C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33C66B28-BE78-4A60-A8F2-F524045E100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DFA4-4D5D-8CD8-ABD94746445C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1D42E65C-F698-4407-9396-626053FD2F5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DFA4-4D5D-8CD8-ABD94746445C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7D24B17E-CA77-4BFF-9F20-4270B9C6E65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DFA4-4D5D-8CD8-ABD94746445C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3C5DA359-D290-45AF-A8DB-CB159E62119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DFA4-4D5D-8CD8-ABD94746445C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AB5D5B5B-BE43-4A8D-B576-279729A9C7B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DFA4-4D5D-8CD8-ABD94746445C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FF175E4F-E907-43C2-BB91-49E5683E9C7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DFA4-4D5D-8CD8-ABD94746445C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84D6F3D5-C947-4D12-96F2-62B5D229864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DFA4-4D5D-8CD8-ABD94746445C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CEF8A021-6EA7-4707-914C-0621B0B68E1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9-DFA4-4D5D-8CD8-ABD94746445C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F4E736FA-F384-45B8-A23C-1AB7C58122D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A-DFA4-4D5D-8CD8-ABD94746445C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96C3A26D-66BD-4F74-ABB9-DA75B5204F9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B-DFA4-4D5D-8CD8-ABD94746445C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F709688B-E601-4775-92DA-272B8CC22C2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C-DFA4-4D5D-8CD8-ABD94746445C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C590C596-F316-481B-91EF-B89D1F9433A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D-DFA4-4D5D-8CD8-ABD94746445C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C3C4E537-7CC0-4B49-8CD2-CCD1F03D03B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E-DFA4-4D5D-8CD8-ABD94746445C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EA8D986E-DEDF-4964-BBAE-0D0797A197D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F-DFA4-4D5D-8CD8-ABD94746445C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DB1D83AE-7D35-45C0-BAD8-DC24A7D6ECC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981E-4843-995E-CE768F5BE5E7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86134E7E-0261-40B9-9C1F-73D890D0DB4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D283-47FF-8856-25671D7CC6AB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C232E1D1-3506-4D9F-BAAC-2BB3D0ABE3F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C6B5-4F7B-A6AF-7D930DAB8007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7BB8A590-EB4C-479F-B30E-53B43825404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E4AC-4B94-997E-9BF244F9B519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05637EE0-DC4F-4BDA-99EF-8673A5F3AA8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3BCD-410B-9F63-647917C9C41C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1A232FEC-887A-4034-A6EC-CC280A0C258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AF5A-45DA-968F-80B8889776CC}"/>
                </c:ext>
              </c:extLst>
            </c:dLbl>
            <c:dLbl>
              <c:idx val="24"/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200" b="1" i="0" u="none" strike="noStrike" kern="1200" baseline="0">
                        <a:solidFill>
                          <a:schemeClr val="accent4"/>
                        </a:solidFill>
                        <a:latin typeface="+mj-lt"/>
                        <a:ea typeface="+mn-ea"/>
                        <a:cs typeface="+mn-cs"/>
                      </a:defRPr>
                    </a:pPr>
                    <a:fld id="{79DB3E44-7EDD-465E-9500-66AE3D6614B4}" type="CELLRANGE">
                      <a:rPr lang="en-US"/>
                      <a:pPr>
                        <a:defRPr sz="1200" b="1">
                          <a:solidFill>
                            <a:schemeClr val="accent4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accent4"/>
                      </a:solidFill>
                      <a:latin typeface="+mj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4340096494893315E-2"/>
                      <c:h val="0.10169516961010788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1E3E-48D6-8DCA-CB7ADE60998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50" b="1" i="0" u="none" strike="noStrike" kern="1200" baseline="0">
                    <a:solidFill>
                      <a:schemeClr val="accent4"/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đồ'!$E$62:$AO$63</c15:sqref>
                  </c15:fullRef>
                </c:ext>
              </c:extLst>
              <c:f>'Vẽ Biểu đồ'!$E$62:$AO$63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đồ'!$E$66:$AO$66</c15:sqref>
                  </c15:fullRef>
                </c:ext>
              </c:extLst>
              <c:f>('Vẽ Biểu đồ'!$E$66:$AB$66,'Vẽ Biểu đồ'!$AO$66)</c:f>
              <c:numCache>
                <c:formatCode>_(* #,##0_);_(* \(#,##0\);_(* "-"??_);_(@_)</c:formatCode>
                <c:ptCount val="25"/>
                <c:pt idx="0">
                  <c:v>940</c:v>
                </c:pt>
                <c:pt idx="1">
                  <c:v>993.33333333333337</c:v>
                </c:pt>
                <c:pt idx="2">
                  <c:v>985</c:v>
                </c:pt>
                <c:pt idx="3">
                  <c:v>962.5</c:v>
                </c:pt>
                <c:pt idx="4">
                  <c:v>982</c:v>
                </c:pt>
                <c:pt idx="5">
                  <c:v>1000</c:v>
                </c:pt>
                <c:pt idx="6">
                  <c:v>1000</c:v>
                </c:pt>
                <c:pt idx="7">
                  <c:v>984</c:v>
                </c:pt>
                <c:pt idx="8">
                  <c:v>967.5</c:v>
                </c:pt>
                <c:pt idx="9">
                  <c:v>965</c:v>
                </c:pt>
                <c:pt idx="10">
                  <c:v>974</c:v>
                </c:pt>
                <c:pt idx="11">
                  <c:v>956</c:v>
                </c:pt>
                <c:pt idx="12">
                  <c:v>940</c:v>
                </c:pt>
                <c:pt idx="13">
                  <c:v>918</c:v>
                </c:pt>
                <c:pt idx="14">
                  <c:v>896</c:v>
                </c:pt>
                <c:pt idx="15">
                  <c:v>891.5</c:v>
                </c:pt>
                <c:pt idx="16">
                  <c:v>864</c:v>
                </c:pt>
                <c:pt idx="17">
                  <c:v>833</c:v>
                </c:pt>
                <c:pt idx="18">
                  <c:v>833</c:v>
                </c:pt>
                <c:pt idx="19">
                  <c:v>815</c:v>
                </c:pt>
                <c:pt idx="20">
                  <c:v>813</c:v>
                </c:pt>
                <c:pt idx="21">
                  <c:v>805</c:v>
                </c:pt>
                <c:pt idx="22">
                  <c:v>805</c:v>
                </c:pt>
                <c:pt idx="23">
                  <c:v>805</c:v>
                </c:pt>
                <c:pt idx="24">
                  <c:v>805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đồ'!$E$75:$AO$75</c15:f>
                <c15:dlblRangeCache>
                  <c:ptCount val="37"/>
                  <c:pt idx="0">
                    <c:v> 940 </c:v>
                  </c:pt>
                  <c:pt idx="1">
                    <c:v> 993 </c:v>
                  </c:pt>
                  <c:pt idx="2">
                    <c:v> 985 </c:v>
                  </c:pt>
                  <c:pt idx="3">
                    <c:v> 963 </c:v>
                  </c:pt>
                  <c:pt idx="4">
                    <c:v> 982 </c:v>
                  </c:pt>
                  <c:pt idx="5">
                    <c:v> 1,000 </c:v>
                  </c:pt>
                  <c:pt idx="6">
                    <c:v> 1,000 </c:v>
                  </c:pt>
                  <c:pt idx="7">
                    <c:v> 984 </c:v>
                  </c:pt>
                  <c:pt idx="8">
                    <c:v> 968 </c:v>
                  </c:pt>
                  <c:pt idx="9">
                    <c:v> 965 </c:v>
                  </c:pt>
                  <c:pt idx="10">
                    <c:v> 974 </c:v>
                  </c:pt>
                  <c:pt idx="11">
                    <c:v> 956 </c:v>
                  </c:pt>
                  <c:pt idx="12">
                    <c:v> 940 </c:v>
                  </c:pt>
                  <c:pt idx="13">
                    <c:v> 918 </c:v>
                  </c:pt>
                  <c:pt idx="14">
                    <c:v> 896 </c:v>
                  </c:pt>
                  <c:pt idx="15">
                    <c:v> 892 </c:v>
                  </c:pt>
                  <c:pt idx="16">
                    <c:v> 864 </c:v>
                  </c:pt>
                  <c:pt idx="17">
                    <c:v> 833 </c:v>
                  </c:pt>
                  <c:pt idx="18">
                    <c:v> 833 </c:v>
                  </c:pt>
                  <c:pt idx="19">
                    <c:v> 815 </c:v>
                  </c:pt>
                  <c:pt idx="20">
                    <c:v> 813 </c:v>
                  </c:pt>
                  <c:pt idx="21">
                    <c:v> 805 </c:v>
                  </c:pt>
                  <c:pt idx="22">
                    <c:v> 805 </c:v>
                  </c:pt>
                  <c:pt idx="23">
                    <c:v> 805 </c:v>
                  </c:pt>
                  <c:pt idx="36">
                    <c:v>Giá chính phẩm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40-DFA4-4D5D-8CD8-ABD94746445C}"/>
            </c:ext>
          </c:extLst>
        </c:ser>
        <c:ser>
          <c:idx val="6"/>
          <c:order val="3"/>
          <c:tx>
            <c:strRef>
              <c:f>'Vẽ Biểu đồ'!$D$69</c:f>
              <c:strCache>
                <c:ptCount val="1"/>
                <c:pt idx="0">
                  <c:v>Chênh lệch-Line Drop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errBars>
            <c:errDir val="y"/>
            <c:errBarType val="minus"/>
            <c:errValType val="cust"/>
            <c:noEndCap val="1"/>
            <c:plus>
              <c:numRef>
                <c:extLst>
                  <c:ext xmlns:c15="http://schemas.microsoft.com/office/drawing/2012/chart" uri="{02D57815-91ED-43cb-92C2-25804820EDAC}">
                    <c15:fullRef>
                      <c15:sqref>'Vẽ Biểu đồ'!$E$32:$AO$32</c15:sqref>
                    </c15:fullRef>
                  </c:ext>
                </c:extLst>
                <c:f>('Vẽ Biểu đồ'!$E$32:$AB$32,'Vẽ Biểu đồ'!$AO$32)</c:f>
                <c:numCache>
                  <c:formatCode>General</c:formatCode>
                  <c:ptCount val="25"/>
                  <c:pt idx="0">
                    <c:v>350</c:v>
                  </c:pt>
                  <c:pt idx="1">
                    <c:v>336.66666666666663</c:v>
                  </c:pt>
                  <c:pt idx="2">
                    <c:v>340</c:v>
                  </c:pt>
                  <c:pt idx="3">
                    <c:v>340</c:v>
                  </c:pt>
                  <c:pt idx="4">
                    <c:v>388</c:v>
                  </c:pt>
                  <c:pt idx="5">
                    <c:v>380</c:v>
                  </c:pt>
                  <c:pt idx="6">
                    <c:v>382.5</c:v>
                  </c:pt>
                  <c:pt idx="7">
                    <c:v>400</c:v>
                  </c:pt>
                  <c:pt idx="8">
                    <c:v>460</c:v>
                  </c:pt>
                  <c:pt idx="9">
                    <c:v>492.5</c:v>
                  </c:pt>
                  <c:pt idx="10">
                    <c:v>503</c:v>
                  </c:pt>
                  <c:pt idx="11">
                    <c:v>475</c:v>
                  </c:pt>
                  <c:pt idx="12">
                    <c:v>432</c:v>
                  </c:pt>
                  <c:pt idx="13">
                    <c:v>420</c:v>
                  </c:pt>
                  <c:pt idx="14">
                    <c:v>437</c:v>
                  </c:pt>
                  <c:pt idx="15">
                    <c:v>515</c:v>
                  </c:pt>
                  <c:pt idx="16">
                    <c:v>498</c:v>
                  </c:pt>
                  <c:pt idx="17">
                    <c:v>472.5</c:v>
                  </c:pt>
                  <c:pt idx="18">
                    <c:v>478</c:v>
                  </c:pt>
                  <c:pt idx="19">
                    <c:v>455</c:v>
                  </c:pt>
                  <c:pt idx="20">
                    <c:v>467</c:v>
                  </c:pt>
                  <c:pt idx="21">
                    <c:v>468</c:v>
                  </c:pt>
                  <c:pt idx="22">
                    <c:v>460</c:v>
                  </c:pt>
                  <c:pt idx="23">
                    <c:v>460</c:v>
                  </c:pt>
                </c:numCache>
              </c:numRef>
            </c:plus>
            <c:minus>
              <c:numRef>
                <c:extLst>
                  <c:ext xmlns:c15="http://schemas.microsoft.com/office/drawing/2012/chart" uri="{02D57815-91ED-43cb-92C2-25804820EDAC}">
                    <c15:fullRef>
                      <c15:sqref>'Vẽ Biểu đồ'!$E$67:$AO$67</c15:sqref>
                    </c15:fullRef>
                  </c:ext>
                </c:extLst>
                <c:f>('Vẽ Biểu đồ'!$E$67:$AB$67,'Vẽ Biểu đồ'!$AO$67)</c:f>
                <c:numCache>
                  <c:formatCode>General</c:formatCode>
                  <c:ptCount val="25"/>
                  <c:pt idx="0">
                    <c:v>#N/A</c:v>
                  </c:pt>
                  <c:pt idx="1">
                    <c:v>#N/A</c:v>
                  </c:pt>
                  <c:pt idx="2">
                    <c:v>#N/A</c:v>
                  </c:pt>
                  <c:pt idx="3">
                    <c:v>#N/A</c:v>
                  </c:pt>
                  <c:pt idx="4">
                    <c:v>#N/A</c:v>
                  </c:pt>
                  <c:pt idx="5">
                    <c:v>#N/A</c:v>
                  </c:pt>
                  <c:pt idx="6">
                    <c:v>#N/A</c:v>
                  </c:pt>
                  <c:pt idx="7">
                    <c:v>#N/A</c:v>
                  </c:pt>
                  <c:pt idx="8">
                    <c:v>#N/A</c:v>
                  </c:pt>
                  <c:pt idx="9">
                    <c:v>#N/A</c:v>
                  </c:pt>
                  <c:pt idx="10">
                    <c:v>#N/A</c:v>
                  </c:pt>
                  <c:pt idx="11">
                    <c:v>#N/A</c:v>
                  </c:pt>
                  <c:pt idx="12">
                    <c:v>460</c:v>
                  </c:pt>
                  <c:pt idx="13">
                    <c:v>482</c:v>
                  </c:pt>
                  <c:pt idx="14">
                    <c:v>454</c:v>
                  </c:pt>
                  <c:pt idx="15">
                    <c:v>458.5</c:v>
                  </c:pt>
                  <c:pt idx="16">
                    <c:v>486</c:v>
                  </c:pt>
                  <c:pt idx="17">
                    <c:v>517</c:v>
                  </c:pt>
                  <c:pt idx="18">
                    <c:v>517</c:v>
                  </c:pt>
                  <c:pt idx="19">
                    <c:v>515</c:v>
                  </c:pt>
                  <c:pt idx="20">
                    <c:v>497</c:v>
                  </c:pt>
                  <c:pt idx="21">
                    <c:v>505</c:v>
                  </c:pt>
                  <c:pt idx="22">
                    <c:v>495</c:v>
                  </c:pt>
                  <c:pt idx="23">
                    <c:v>495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bg1">
                    <a:lumMod val="85000"/>
                  </a:schemeClr>
                </a:solidFill>
                <a:prstDash val="sysDot"/>
                <a:round/>
                <a:headEnd type="triangle"/>
                <a:tailEnd type="triangle"/>
              </a:ln>
              <a:effectLst/>
            </c:spPr>
          </c:errBar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đồ'!$E$62:$AO$63</c15:sqref>
                  </c15:fullRef>
                </c:ext>
              </c:extLst>
              <c:f>'Vẽ Biểu đồ'!$E$62:$AO$63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đồ'!$E$69:$AO$69</c15:sqref>
                  </c15:fullRef>
                </c:ext>
              </c:extLst>
              <c:f>('Vẽ Biểu đồ'!$E$69:$AB$69,'Vẽ Biểu đồ'!$AO$69)</c:f>
              <c:numCache>
                <c:formatCode>_(* #,##0_);_(* \(#,##0\);_(* "-"??_);_(@_)</c:formatCode>
                <c:ptCount val="2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1400</c:v>
                </c:pt>
                <c:pt idx="13">
                  <c:v>1400</c:v>
                </c:pt>
                <c:pt idx="14">
                  <c:v>1350</c:v>
                </c:pt>
                <c:pt idx="15">
                  <c:v>1350</c:v>
                </c:pt>
                <c:pt idx="16">
                  <c:v>1350</c:v>
                </c:pt>
                <c:pt idx="17">
                  <c:v>1350</c:v>
                </c:pt>
                <c:pt idx="18">
                  <c:v>1350</c:v>
                </c:pt>
                <c:pt idx="19">
                  <c:v>1330</c:v>
                </c:pt>
                <c:pt idx="20">
                  <c:v>1310</c:v>
                </c:pt>
                <c:pt idx="21">
                  <c:v>1310</c:v>
                </c:pt>
                <c:pt idx="22">
                  <c:v>1300</c:v>
                </c:pt>
                <c:pt idx="23">
                  <c:v>1300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DFA4-4D5D-8CD8-ABD94746445C}"/>
            </c:ext>
          </c:extLst>
        </c:ser>
        <c:ser>
          <c:idx val="7"/>
          <c:order val="6"/>
          <c:tx>
            <c:strRef>
              <c:f>'Vẽ Biểu đồ'!$D$70</c:f>
              <c:strCache>
                <c:ptCount val="1"/>
                <c:pt idx="0">
                  <c:v>Chênh lệch-Label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2-DFA4-4D5D-8CD8-ABD94746445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3-DFA4-4D5D-8CD8-ABD94746445C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4-DFA4-4D5D-8CD8-ABD94746445C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5-DFA4-4D5D-8CD8-ABD94746445C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6-DFA4-4D5D-8CD8-ABD94746445C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7-DFA4-4D5D-8CD8-ABD94746445C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8-DFA4-4D5D-8CD8-ABD94746445C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9-DFA4-4D5D-8CD8-ABD94746445C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A-DFA4-4D5D-8CD8-ABD94746445C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B-DFA4-4D5D-8CD8-ABD94746445C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C-DFA4-4D5D-8CD8-ABD94746445C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D-DFA4-4D5D-8CD8-ABD94746445C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DADFECA9-A4D7-4158-A86B-084B8D49ED1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E-DFA4-4D5D-8CD8-ABD94746445C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1F58AC34-7D32-4D72-88F1-FBF413E0523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F-DFA4-4D5D-8CD8-ABD94746445C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AC5EE494-0502-42ED-81AA-941EEDB3BA7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0-DFA4-4D5D-8CD8-ABD94746445C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6720CA2F-1DE2-4EBB-B3F2-05026199E8B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1-DFA4-4D5D-8CD8-ABD94746445C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7FBCAEC7-A99A-424E-A15B-EDCFA438EF5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2-DFA4-4D5D-8CD8-ABD94746445C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0522018C-BF3D-4E45-B7B0-B3249C2C85E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3-DFA4-4D5D-8CD8-ABD94746445C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7E4B6EAA-4A76-4B27-94E8-FFAE3DC6B28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981E-4843-995E-CE768F5BE5E7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71C3BBB0-D881-4D74-B0B1-05A0E9D4EBC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D283-47FF-8856-25671D7CC6AB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CB10AD38-0A30-4129-985C-58098387330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C6B5-4F7B-A6AF-7D930DAB8007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5BE580FD-CF01-4069-9A72-EBFEFDC700C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E4AC-4B94-997E-9BF244F9B519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A0ACDE97-6EDD-4AFF-B955-AB9D37D036B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3BCD-410B-9F63-647917C9C41C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B8FD7969-40C9-4731-BF62-10BA4533131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AF5A-45DA-968F-80B8889776CC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AF5A-45DA-968F-80B8889776CC}"/>
                </c:ext>
              </c:extLst>
            </c:dLbl>
            <c:spPr>
              <a:solidFill>
                <a:schemeClr val="bg1"/>
              </a:solidFill>
              <a:ln>
                <a:solidFill>
                  <a:schemeClr val="bg1">
                    <a:lumMod val="50000"/>
                  </a:schemeClr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>
                        <a:lumMod val="50000"/>
                      </a:schemeClr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đồ'!$E$62:$AO$63</c15:sqref>
                  </c15:fullRef>
                </c:ext>
              </c:extLst>
              <c:f>'Vẽ Biểu đồ'!$E$62:$AO$63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đồ'!$E$70:$AO$70</c15:sqref>
                  </c15:fullRef>
                </c:ext>
              </c:extLst>
              <c:f>('Vẽ Biểu đồ'!$E$70:$AB$70,'Vẽ Biểu đồ'!$AO$70)</c:f>
              <c:numCache>
                <c:formatCode>_(* #,##0_);_(* \(#,##0\);_(* "-"??_);_(@_)</c:formatCode>
                <c:ptCount val="2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1170</c:v>
                </c:pt>
                <c:pt idx="13">
                  <c:v>1159</c:v>
                </c:pt>
                <c:pt idx="14">
                  <c:v>1123</c:v>
                </c:pt>
                <c:pt idx="15">
                  <c:v>1120.75</c:v>
                </c:pt>
                <c:pt idx="16">
                  <c:v>1107</c:v>
                </c:pt>
                <c:pt idx="17">
                  <c:v>1091.5</c:v>
                </c:pt>
                <c:pt idx="18">
                  <c:v>1091.5</c:v>
                </c:pt>
                <c:pt idx="19">
                  <c:v>1072.5</c:v>
                </c:pt>
                <c:pt idx="20">
                  <c:v>1061.5</c:v>
                </c:pt>
                <c:pt idx="21">
                  <c:v>1057.5</c:v>
                </c:pt>
                <c:pt idx="22">
                  <c:v>1052.5</c:v>
                </c:pt>
                <c:pt idx="23">
                  <c:v>1052.5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đồ'!$E$14:$AO$14</c15:f>
                <c15:dlblRangeCache>
                  <c:ptCount val="37"/>
                  <c:pt idx="0">
                    <c:v>+34.4%</c:v>
                  </c:pt>
                  <c:pt idx="1">
                    <c:v>+32.5%</c:v>
                  </c:pt>
                  <c:pt idx="2">
                    <c:v>+33.0%</c:v>
                  </c:pt>
                  <c:pt idx="3">
                    <c:v>+33.0%</c:v>
                  </c:pt>
                  <c:pt idx="4">
                    <c:v>+38.0%</c:v>
                  </c:pt>
                  <c:pt idx="5">
                    <c:v>+36.8%</c:v>
                  </c:pt>
                  <c:pt idx="6">
                    <c:v>+37.2%</c:v>
                  </c:pt>
                  <c:pt idx="7">
                    <c:v>+39.8%</c:v>
                  </c:pt>
                  <c:pt idx="8">
                    <c:v>+48.9%</c:v>
                  </c:pt>
                  <c:pt idx="9">
                    <c:v>+53.6%</c:v>
                  </c:pt>
                  <c:pt idx="10">
                    <c:v>+55.5%</c:v>
                  </c:pt>
                  <c:pt idx="11">
                    <c:v>+53.6%</c:v>
                  </c:pt>
                  <c:pt idx="12">
                    <c:v>+48.6%</c:v>
                  </c:pt>
                  <c:pt idx="13">
                    <c:v>+46.4%</c:v>
                  </c:pt>
                  <c:pt idx="14">
                    <c:v>+49.5%</c:v>
                  </c:pt>
                  <c:pt idx="15">
                    <c:v>+63.4%</c:v>
                  </c:pt>
                  <c:pt idx="16">
                    <c:v>+59.8%</c:v>
                  </c:pt>
                  <c:pt idx="17">
                    <c:v>+54.8%</c:v>
                  </c:pt>
                  <c:pt idx="18">
                    <c:v>+55.9%</c:v>
                  </c:pt>
                  <c:pt idx="19">
                    <c:v>+53.5%</c:v>
                  </c:pt>
                  <c:pt idx="20">
                    <c:v>+55.8%</c:v>
                  </c:pt>
                  <c:pt idx="21">
                    <c:v>+56.7%</c:v>
                  </c:pt>
                  <c:pt idx="22">
                    <c:v>+55.8%</c:v>
                  </c:pt>
                  <c:pt idx="23">
                    <c:v>+55.8%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55-DFA4-4D5D-8CD8-ABD9474644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6623744"/>
        <c:axId val="516630464"/>
      </c:lineChart>
      <c:catAx>
        <c:axId val="516623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bg1">
                    <a:lumMod val="65000"/>
                  </a:schemeClr>
                </a:solidFill>
                <a:latin typeface="+mj-lt"/>
                <a:ea typeface="+mn-ea"/>
                <a:cs typeface="+mn-cs"/>
              </a:defRPr>
            </a:pPr>
            <a:endParaRPr lang="en-US"/>
          </a:p>
        </c:txPr>
        <c:crossAx val="516630464"/>
        <c:crosses val="autoZero"/>
        <c:auto val="1"/>
        <c:lblAlgn val="ctr"/>
        <c:lblOffset val="100"/>
        <c:noMultiLvlLbl val="0"/>
      </c:catAx>
      <c:valAx>
        <c:axId val="516630464"/>
        <c:scaling>
          <c:orientation val="minMax"/>
          <c:max val="1450"/>
          <c:min val="770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65000"/>
                  </a:schemeClr>
                </a:solidFill>
                <a:latin typeface="+mj-lt"/>
                <a:ea typeface="+mn-ea"/>
                <a:cs typeface="+mn-cs"/>
              </a:defRPr>
            </a:pPr>
            <a:endParaRPr lang="en-US"/>
          </a:p>
        </c:txPr>
        <c:crossAx val="516623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noFill/>
      <a:round/>
    </a:ln>
    <a:effectLst/>
  </c:spPr>
  <c:txPr>
    <a:bodyPr/>
    <a:lstStyle/>
    <a:p>
      <a:pPr>
        <a:defRPr>
          <a:latin typeface="+mj-lt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0"/>
          <c:w val="0.96006059276030531"/>
          <c:h val="0.89236551885354809"/>
        </c:manualLayout>
      </c:layout>
      <c:areaChart>
        <c:grouping val="standard"/>
        <c:varyColors val="0"/>
        <c:ser>
          <c:idx val="5"/>
          <c:order val="4"/>
          <c:tx>
            <c:strRef>
              <c:f>'Vẽ Biểu đồ'!$D$87</c:f>
              <c:strCache>
                <c:ptCount val="1"/>
                <c:pt idx="0">
                  <c:v>Giá duyệt-Area</c:v>
                </c:pt>
              </c:strCache>
            </c:strRef>
          </c:tx>
          <c:spPr>
            <a:solidFill>
              <a:srgbClr val="FFF2CC"/>
            </a:solidFill>
            <a:ln w="25400">
              <a:noFill/>
            </a:ln>
            <a:effectLst/>
          </c:spPr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đồ'!$E$78:$AO$79</c15:sqref>
                  </c15:fullRef>
                </c:ext>
              </c:extLst>
              <c:f>'Vẽ Biểu đồ'!$E$78:$AO$79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đồ'!$E$87:$AO$87</c15:sqref>
                  </c15:fullRef>
                </c:ext>
              </c:extLst>
              <c:f>('Vẽ Biểu đồ'!$E$87:$AB$87,'Vẽ Biểu đồ'!$AO$87)</c:f>
              <c:numCache>
                <c:formatCode>_(* #,##0_);_(* \(#,##0\);_(* "-"??_);_(@_)</c:formatCode>
                <c:ptCount val="25"/>
                <c:pt idx="0">
                  <c:v>1350</c:v>
                </c:pt>
                <c:pt idx="1">
                  <c:v>1350</c:v>
                </c:pt>
                <c:pt idx="2">
                  <c:v>1350</c:v>
                </c:pt>
                <c:pt idx="3">
                  <c:v>1350</c:v>
                </c:pt>
                <c:pt idx="4">
                  <c:v>1350</c:v>
                </c:pt>
                <c:pt idx="5">
                  <c:v>1350</c:v>
                </c:pt>
                <c:pt idx="6">
                  <c:v>1350</c:v>
                </c:pt>
                <c:pt idx="7">
                  <c:v>1350</c:v>
                </c:pt>
                <c:pt idx="8">
                  <c:v>1350</c:v>
                </c:pt>
                <c:pt idx="9">
                  <c:v>1350</c:v>
                </c:pt>
                <c:pt idx="10">
                  <c:v>1350</c:v>
                </c:pt>
                <c:pt idx="11">
                  <c:v>1350</c:v>
                </c:pt>
                <c:pt idx="12">
                  <c:v>1350</c:v>
                </c:pt>
                <c:pt idx="13">
                  <c:v>1300</c:v>
                </c:pt>
                <c:pt idx="14">
                  <c:v>1250</c:v>
                </c:pt>
                <c:pt idx="15">
                  <c:v>1250</c:v>
                </c:pt>
                <c:pt idx="16">
                  <c:v>1250</c:v>
                </c:pt>
                <c:pt idx="17">
                  <c:v>1250</c:v>
                </c:pt>
                <c:pt idx="18">
                  <c:v>1250</c:v>
                </c:pt>
                <c:pt idx="19">
                  <c:v>1230</c:v>
                </c:pt>
                <c:pt idx="20">
                  <c:v>1210</c:v>
                </c:pt>
                <c:pt idx="21">
                  <c:v>1210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9B-4447-B68F-B0EDB57E1660}"/>
            </c:ext>
          </c:extLst>
        </c:ser>
        <c:ser>
          <c:idx val="4"/>
          <c:order val="5"/>
          <c:tx>
            <c:strRef>
              <c:f>'Vẽ Biểu đồ'!$D$88</c:f>
              <c:strCache>
                <c:ptCount val="1"/>
                <c:pt idx="0">
                  <c:v>Giá chính phẩm-Area</c:v>
                </c:pt>
              </c:strCache>
            </c:strRef>
          </c:tx>
          <c:spPr>
            <a:solidFill>
              <a:schemeClr val="bg1"/>
            </a:solidFill>
            <a:ln w="25400">
              <a:noFill/>
            </a:ln>
            <a:effectLst/>
          </c:spPr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đồ'!$E$78:$AO$79</c15:sqref>
                  </c15:fullRef>
                </c:ext>
              </c:extLst>
              <c:f>'Vẽ Biểu đồ'!$E$78:$AO$79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đồ'!$E$88:$AO$88</c15:sqref>
                  </c15:fullRef>
                </c:ext>
              </c:extLst>
              <c:f>('Vẽ Biểu đồ'!$E$88:$AB$88,'Vẽ Biểu đồ'!$AO$88)</c:f>
              <c:numCache>
                <c:formatCode>_(* #,##0_);_(* \(#,##0\);_(* "-"??_);_(@_)</c:formatCode>
                <c:ptCount val="25"/>
                <c:pt idx="0">
                  <c:v>940</c:v>
                </c:pt>
                <c:pt idx="1">
                  <c:v>993.33333333333337</c:v>
                </c:pt>
                <c:pt idx="2">
                  <c:v>985</c:v>
                </c:pt>
                <c:pt idx="3">
                  <c:v>962.5</c:v>
                </c:pt>
                <c:pt idx="4">
                  <c:v>982</c:v>
                </c:pt>
                <c:pt idx="5">
                  <c:v>1000</c:v>
                </c:pt>
                <c:pt idx="6">
                  <c:v>1000</c:v>
                </c:pt>
                <c:pt idx="7">
                  <c:v>984</c:v>
                </c:pt>
                <c:pt idx="8">
                  <c:v>967.5</c:v>
                </c:pt>
                <c:pt idx="9">
                  <c:v>965</c:v>
                </c:pt>
                <c:pt idx="10">
                  <c:v>974</c:v>
                </c:pt>
                <c:pt idx="11">
                  <c:v>956</c:v>
                </c:pt>
                <c:pt idx="12">
                  <c:v>940</c:v>
                </c:pt>
                <c:pt idx="13">
                  <c:v>918</c:v>
                </c:pt>
                <c:pt idx="14">
                  <c:v>896</c:v>
                </c:pt>
                <c:pt idx="15">
                  <c:v>891.5</c:v>
                </c:pt>
                <c:pt idx="16">
                  <c:v>864</c:v>
                </c:pt>
                <c:pt idx="17">
                  <c:v>833</c:v>
                </c:pt>
                <c:pt idx="18">
                  <c:v>833</c:v>
                </c:pt>
                <c:pt idx="19">
                  <c:v>815</c:v>
                </c:pt>
                <c:pt idx="20">
                  <c:v>813</c:v>
                </c:pt>
                <c:pt idx="21">
                  <c:v>805</c:v>
                </c:pt>
                <c:pt idx="22">
                  <c:v>805</c:v>
                </c:pt>
                <c:pt idx="23">
                  <c:v>805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9B-4447-B68F-B0EDB57E16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6623744"/>
        <c:axId val="516630464"/>
      </c:areaChart>
      <c:lineChart>
        <c:grouping val="standard"/>
        <c:varyColors val="0"/>
        <c:ser>
          <c:idx val="1"/>
          <c:order val="0"/>
          <c:tx>
            <c:strRef>
              <c:f>'Vẽ Biểu đồ'!$D$80</c:f>
              <c:strCache>
                <c:ptCount val="1"/>
                <c:pt idx="0">
                  <c:v>Unilever</c:v>
                </c:pt>
              </c:strCache>
            </c:strRef>
          </c:tx>
          <c:spPr>
            <a:ln w="28575" cap="rnd">
              <a:solidFill>
                <a:srgbClr val="0F0E9A"/>
              </a:solidFill>
              <a:round/>
            </a:ln>
            <a:effectLst/>
          </c:spPr>
          <c:marker>
            <c:symbol val="none"/>
          </c:marker>
          <c:dPt>
            <c:idx val="24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BF12-40E7-8ED4-19FE97F97AC4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C927FC60-CE6D-43A8-9E38-2543FDBF097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539B-4447-B68F-B0EDB57E166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1D554A42-AF02-48F3-88BF-9DF39FCB1C0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539B-4447-B68F-B0EDB57E166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55B24104-CE6E-4F0F-8F33-E0D6FD5F628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539B-4447-B68F-B0EDB57E1660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C3CCB69F-FA6B-45A1-981B-15D349193E6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539B-4447-B68F-B0EDB57E1660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D6409E59-FFC6-4A86-872B-6EDF34ED9D9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539B-4447-B68F-B0EDB57E1660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E2565AAF-80EF-4570-B863-0E5E7C2F838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539B-4447-B68F-B0EDB57E1660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ACD2E4CF-E49E-411E-A7DB-5F969A08957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539B-4447-B68F-B0EDB57E1660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368A303F-C131-4A53-ACA0-9DA8F324186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539B-4447-B68F-B0EDB57E1660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0048B2DD-DB06-4944-AA4B-B2B3D864A78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539B-4447-B68F-B0EDB57E1660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2C16992D-2BEE-4F7B-97E9-834A11C94D0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539B-4447-B68F-B0EDB57E1660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6EBBDA5A-E60A-41F5-8529-FC034A68C10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539B-4447-B68F-B0EDB57E1660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BF3CA423-AD71-4942-9667-3DBE9985032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539B-4447-B68F-B0EDB57E1660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A72F20C3-A365-4912-9DB4-2CCF91A936B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539B-4447-B68F-B0EDB57E1660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ED200D2F-5233-439D-8CB9-5F0B2252587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539B-4447-B68F-B0EDB57E1660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02C078F1-5FD9-48AA-A2C5-AD4547E31E4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539B-4447-B68F-B0EDB57E1660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1082D82E-1FE6-4652-B1BA-645551D0561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539B-4447-B68F-B0EDB57E1660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C743101C-56C4-4EE9-8396-2A799CE7412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539B-4447-B68F-B0EDB57E1660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0B0BB66B-85B7-4433-843C-DEA547F16E2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539B-4447-B68F-B0EDB57E1660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2C850D41-807C-4247-8586-529B248FECA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C3EC-41AF-B915-65E806E14024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86CC7210-F358-4093-BA40-E12ED41EFAC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62B8-48E3-89FC-5FD371B3D2A7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4EA99B34-8595-4BD2-900B-2ED9D388674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1A29-4861-8C46-979950E23428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20F2B18D-3954-4852-AC22-0D728D18480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D57F-4B2F-BEDD-E434C36F72E6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94A6DE5A-203C-4A5C-9921-249889FD7D8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0D97-4A40-A786-403DB2869FE6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D35D479C-A534-476C-A2D5-47795D74AC2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DE0B-48F7-BFD6-60C4CC89C445}"/>
                </c:ext>
              </c:extLst>
            </c:dLbl>
            <c:dLbl>
              <c:idx val="24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200" b="1" i="0" u="none" strike="noStrike" kern="1200" baseline="0">
                        <a:solidFill>
                          <a:srgbClr val="0F0E9A"/>
                        </a:solidFill>
                        <a:latin typeface="+mj-lt"/>
                        <a:ea typeface="+mn-ea"/>
                        <a:cs typeface="+mn-cs"/>
                      </a:defRPr>
                    </a:pPr>
                    <a:fld id="{90E10843-6175-4496-B60D-B58898F9E279}" type="CELLRANGE">
                      <a:rPr lang="en-US"/>
                      <a:pPr>
                        <a:defRPr sz="1200" b="1">
                          <a:solidFill>
                            <a:srgbClr val="0F0E9A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rgbClr val="0F0E9A"/>
                      </a:solidFill>
                      <a:latin typeface="+mj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BF12-40E7-8ED4-19FE97F97AC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50" b="1" i="0" u="none" strike="noStrike" kern="1200" baseline="0">
                    <a:solidFill>
                      <a:srgbClr val="0F0E9A"/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đồ'!$E$78:$AO$79</c15:sqref>
                  </c15:fullRef>
                </c:ext>
              </c:extLst>
              <c:f>'Vẽ Biểu đồ'!$E$78:$AO$79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đồ'!$E$80:$AO$80</c15:sqref>
                  </c15:fullRef>
                </c:ext>
              </c:extLst>
              <c:f>('Vẽ Biểu đồ'!$E$80:$AB$80,'Vẽ Biểu đồ'!$AO$80)</c:f>
              <c:numCache>
                <c:formatCode>_(* #,##0_);_(* \(#,##0\);_(* "-"??_);_(@_)</c:formatCode>
                <c:ptCount val="25"/>
                <c:pt idx="0">
                  <c:v>1487.795918367347</c:v>
                </c:pt>
                <c:pt idx="1">
                  <c:v>1487.795918367347</c:v>
                </c:pt>
                <c:pt idx="2">
                  <c:v>1487.795918367347</c:v>
                </c:pt>
                <c:pt idx="3">
                  <c:v>1417.795918367347</c:v>
                </c:pt>
                <c:pt idx="4">
                  <c:v>1417.795918367347</c:v>
                </c:pt>
                <c:pt idx="5">
                  <c:v>1417.795918367347</c:v>
                </c:pt>
                <c:pt idx="6">
                  <c:v>1418.04</c:v>
                </c:pt>
                <c:pt idx="7">
                  <c:v>1418.04</c:v>
                </c:pt>
                <c:pt idx="8">
                  <c:v>1418.04</c:v>
                </c:pt>
                <c:pt idx="9">
                  <c:v>1418.04</c:v>
                </c:pt>
                <c:pt idx="10">
                  <c:v>1418.04</c:v>
                </c:pt>
                <c:pt idx="11">
                  <c:v>1418.04</c:v>
                </c:pt>
                <c:pt idx="12">
                  <c:v>1388.04</c:v>
                </c:pt>
                <c:pt idx="13">
                  <c:v>1388.04</c:v>
                </c:pt>
                <c:pt idx="14">
                  <c:v>1388.04</c:v>
                </c:pt>
                <c:pt idx="15">
                  <c:v>1338.04</c:v>
                </c:pt>
                <c:pt idx="16">
                  <c:v>1338.04</c:v>
                </c:pt>
                <c:pt idx="17">
                  <c:v>1338.04</c:v>
                </c:pt>
                <c:pt idx="18">
                  <c:v>1368.04</c:v>
                </c:pt>
                <c:pt idx="19">
                  <c:v>1368.04</c:v>
                </c:pt>
                <c:pt idx="20">
                  <c:v>1368.04</c:v>
                </c:pt>
                <c:pt idx="21">
                  <c:v>1368.04</c:v>
                </c:pt>
                <c:pt idx="22">
                  <c:v>1368.04</c:v>
                </c:pt>
                <c:pt idx="23">
                  <c:v>1368.04</c:v>
                </c:pt>
                <c:pt idx="24">
                  <c:v>1368.04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đồ'!$E$89:$AO$89</c15:f>
                <c15:dlblRangeCache>
                  <c:ptCount val="37"/>
                  <c:pt idx="0">
                    <c:v> 1,488 </c:v>
                  </c:pt>
                  <c:pt idx="1">
                    <c:v> 1,488 </c:v>
                  </c:pt>
                  <c:pt idx="2">
                    <c:v> 1,488 </c:v>
                  </c:pt>
                  <c:pt idx="3">
                    <c:v> 1,418 </c:v>
                  </c:pt>
                  <c:pt idx="4">
                    <c:v> 1,418 </c:v>
                  </c:pt>
                  <c:pt idx="5">
                    <c:v> 1,418 </c:v>
                  </c:pt>
                  <c:pt idx="6">
                    <c:v> 1,418 </c:v>
                  </c:pt>
                  <c:pt idx="7">
                    <c:v> 1,418 </c:v>
                  </c:pt>
                  <c:pt idx="8">
                    <c:v> 1,418 </c:v>
                  </c:pt>
                  <c:pt idx="9">
                    <c:v> 1,418 </c:v>
                  </c:pt>
                  <c:pt idx="10">
                    <c:v> 1,418 </c:v>
                  </c:pt>
                  <c:pt idx="11">
                    <c:v> 1,418 </c:v>
                  </c:pt>
                  <c:pt idx="12">
                    <c:v> 1,388 </c:v>
                  </c:pt>
                  <c:pt idx="13">
                    <c:v> 1,388 </c:v>
                  </c:pt>
                  <c:pt idx="14">
                    <c:v> 1,388 </c:v>
                  </c:pt>
                  <c:pt idx="15">
                    <c:v> 1,338 </c:v>
                  </c:pt>
                  <c:pt idx="16">
                    <c:v> 1,338 </c:v>
                  </c:pt>
                  <c:pt idx="17">
                    <c:v> 1,338 </c:v>
                  </c:pt>
                  <c:pt idx="18">
                    <c:v> 1,368 </c:v>
                  </c:pt>
                  <c:pt idx="19">
                    <c:v> 1,368 </c:v>
                  </c:pt>
                  <c:pt idx="20">
                    <c:v> 1,368 </c:v>
                  </c:pt>
                  <c:pt idx="21">
                    <c:v> 1,368 </c:v>
                  </c:pt>
                  <c:pt idx="22">
                    <c:v> 1,368 </c:v>
                  </c:pt>
                  <c:pt idx="23">
                    <c:v> 1,368 </c:v>
                  </c:pt>
                  <c:pt idx="36">
                    <c:v>UNILEVER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6-539B-4447-B68F-B0EDB57E1660}"/>
            </c:ext>
          </c:extLst>
        </c:ser>
        <c:ser>
          <c:idx val="2"/>
          <c:order val="1"/>
          <c:tx>
            <c:strRef>
              <c:f>'Vẽ Biểu đồ'!$D$81</c:f>
              <c:strCache>
                <c:ptCount val="1"/>
                <c:pt idx="0">
                  <c:v>Giá duyệt</c:v>
                </c:pt>
              </c:strCache>
            </c:strRef>
          </c:tx>
          <c:spPr>
            <a:ln w="28575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Pt>
            <c:idx val="24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BF12-40E7-8ED4-19FE97F97AC4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4CE1582F-DCAE-4981-A5C6-4AD013F1B9E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539B-4447-B68F-B0EDB57E166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38595443-275D-4E5B-9D97-8E46D88B837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539B-4447-B68F-B0EDB57E166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CFE246A1-8DFC-4E3D-B0B1-C9D2A369451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539B-4447-B68F-B0EDB57E1660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9E9867BE-0E50-4302-B5B7-0DE9049706D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539B-4447-B68F-B0EDB57E1660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8A389AAE-E2B7-42DB-92A6-93642F9F136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539B-4447-B68F-B0EDB57E1660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8111F2CF-8837-43D4-AB2F-73E000700FD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539B-4447-B68F-B0EDB57E1660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A3DB6076-7309-47CC-8B09-756FE36F041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539B-4447-B68F-B0EDB57E1660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14F0156E-AEB6-476A-B8DE-B6E55E45236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539B-4447-B68F-B0EDB57E1660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C764408A-DA00-4815-BF96-97A8399B8F3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539B-4447-B68F-B0EDB57E1660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8AF20D2B-CE07-4C20-97CF-E16E97638D9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539B-4447-B68F-B0EDB57E1660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E8424388-62CD-44EA-800A-6902912AA1F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539B-4447-B68F-B0EDB57E1660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B29A8765-ABE6-4BED-90E7-225CBB69D24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539B-4447-B68F-B0EDB57E1660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3288CCA1-1F30-417D-8120-74B415DAEE2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539B-4447-B68F-B0EDB57E1660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94B2DD94-769E-4129-B58F-DB747DB85CA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539B-4447-B68F-B0EDB57E1660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642B20AF-1D1B-4A43-ABDB-3904328BB71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539B-4447-B68F-B0EDB57E1660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76AB9BEC-FFA9-4A19-9F87-370B2AA7E47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539B-4447-B68F-B0EDB57E1660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50FE1E9B-D7B5-4BC2-B244-6EB8AD60340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539B-4447-B68F-B0EDB57E1660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665E24F0-3DCA-45F0-A633-A1FE55999F2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539B-4447-B68F-B0EDB57E1660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56AF669E-AF41-4FE4-B4D0-2495F3061FB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C3EC-41AF-B915-65E806E14024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E220C06D-87BC-4CFB-98E4-6DE47CB7FBA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62B8-48E3-89FC-5FD371B3D2A7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63C03E7A-89D0-4976-BD21-50828D9D549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1A29-4861-8C46-979950E23428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622FCA83-C323-4B80-B4CA-235639AB3D2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D57F-4B2F-BEDD-E434C36F72E6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8F2623DA-5EBC-485F-ABA6-9396C4EB150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0D97-4A40-A786-403DB2869FE6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EAA44363-FC5F-4B8D-A288-B201DF3F55F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DE0B-48F7-BFD6-60C4CC89C445}"/>
                </c:ext>
              </c:extLst>
            </c:dLbl>
            <c:dLbl>
              <c:idx val="24"/>
              <c:layout>
                <c:manualLayout>
                  <c:x val="-3.367518034837297E-3"/>
                  <c:y val="-5.4546275007619971E-3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200" b="1" i="0" u="none" strike="noStrike" kern="1200" baseline="0">
                        <a:solidFill>
                          <a:schemeClr val="accent1">
                            <a:lumMod val="75000"/>
                          </a:schemeClr>
                        </a:solidFill>
                        <a:latin typeface="+mj-lt"/>
                        <a:ea typeface="+mn-ea"/>
                        <a:cs typeface="+mn-cs"/>
                      </a:defRPr>
                    </a:pPr>
                    <a:fld id="{5C2223BD-6A25-4276-A386-38DC6D80B917}" type="CELLRANGE">
                      <a:rPr lang="en-US"/>
                      <a:pPr>
                        <a:defRPr sz="1200" b="1">
                          <a:solidFill>
                            <a:schemeClr val="accent1">
                              <a:lumMod val="75000"/>
                            </a:schemeClr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solidFill>
                  <a:schemeClr val="bg1"/>
                </a:solidFill>
                <a:ln w="19050">
                  <a:solidFill>
                    <a:schemeClr val="accent1">
                      <a:lumMod val="75000"/>
                    </a:schemeClr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accent1">
                          <a:lumMod val="75000"/>
                        </a:schemeClr>
                      </a:solidFill>
                      <a:latin typeface="+mj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BF12-40E7-8ED4-19FE97F97AC4}"/>
                </c:ext>
              </c:extLst>
            </c:dLbl>
            <c:spPr>
              <a:solidFill>
                <a:schemeClr val="bg1"/>
              </a:solidFill>
              <a:ln w="19050">
                <a:solidFill>
                  <a:schemeClr val="accent1">
                    <a:lumMod val="75000"/>
                  </a:schemeClr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50" b="1" i="0" u="none" strike="noStrike" kern="1200" baseline="0">
                    <a:solidFill>
                      <a:schemeClr val="accent1">
                        <a:lumMod val="75000"/>
                      </a:schemeClr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đồ'!$E$78:$AO$79</c15:sqref>
                  </c15:fullRef>
                </c:ext>
              </c:extLst>
              <c:f>'Vẽ Biểu đồ'!$E$78:$AO$79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đồ'!$E$81:$AO$81</c15:sqref>
                  </c15:fullRef>
                </c:ext>
              </c:extLst>
              <c:f>('Vẽ Biểu đồ'!$E$81:$AB$81,'Vẽ Biểu đồ'!$AO$81)</c:f>
              <c:numCache>
                <c:formatCode>_(* #,##0_);_(* \(#,##0\);_(* "-"??_);_(@_)</c:formatCode>
                <c:ptCount val="25"/>
                <c:pt idx="0">
                  <c:v>1350</c:v>
                </c:pt>
                <c:pt idx="1">
                  <c:v>1350</c:v>
                </c:pt>
                <c:pt idx="2">
                  <c:v>1350</c:v>
                </c:pt>
                <c:pt idx="3">
                  <c:v>1350</c:v>
                </c:pt>
                <c:pt idx="4">
                  <c:v>1350</c:v>
                </c:pt>
                <c:pt idx="5">
                  <c:v>1350</c:v>
                </c:pt>
                <c:pt idx="6">
                  <c:v>1350</c:v>
                </c:pt>
                <c:pt idx="7">
                  <c:v>1350</c:v>
                </c:pt>
                <c:pt idx="8">
                  <c:v>1350</c:v>
                </c:pt>
                <c:pt idx="9">
                  <c:v>1350</c:v>
                </c:pt>
                <c:pt idx="10">
                  <c:v>1350</c:v>
                </c:pt>
                <c:pt idx="11">
                  <c:v>1350</c:v>
                </c:pt>
                <c:pt idx="12">
                  <c:v>1350</c:v>
                </c:pt>
                <c:pt idx="13">
                  <c:v>1300</c:v>
                </c:pt>
                <c:pt idx="14">
                  <c:v>1250</c:v>
                </c:pt>
                <c:pt idx="15">
                  <c:v>1250</c:v>
                </c:pt>
                <c:pt idx="16">
                  <c:v>1250</c:v>
                </c:pt>
                <c:pt idx="17">
                  <c:v>1250</c:v>
                </c:pt>
                <c:pt idx="18">
                  <c:v>1250</c:v>
                </c:pt>
                <c:pt idx="19">
                  <c:v>1230</c:v>
                </c:pt>
                <c:pt idx="20">
                  <c:v>1210</c:v>
                </c:pt>
                <c:pt idx="21">
                  <c:v>1210</c:v>
                </c:pt>
                <c:pt idx="22">
                  <c:v>1200</c:v>
                </c:pt>
                <c:pt idx="23">
                  <c:v>1200</c:v>
                </c:pt>
                <c:pt idx="24">
                  <c:v>1200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đồ'!$E$90:$AO$90</c15:f>
                <c15:dlblRangeCache>
                  <c:ptCount val="37"/>
                  <c:pt idx="0">
                    <c:v> 1,350 </c:v>
                  </c:pt>
                  <c:pt idx="1">
                    <c:v> 1,350 </c:v>
                  </c:pt>
                  <c:pt idx="2">
                    <c:v> 1,350 </c:v>
                  </c:pt>
                  <c:pt idx="3">
                    <c:v> 1,350 </c:v>
                  </c:pt>
                  <c:pt idx="4">
                    <c:v> 1,350 </c:v>
                  </c:pt>
                  <c:pt idx="5">
                    <c:v> 1,350 </c:v>
                  </c:pt>
                  <c:pt idx="6">
                    <c:v> 1,350 </c:v>
                  </c:pt>
                  <c:pt idx="7">
                    <c:v> 1,350 </c:v>
                  </c:pt>
                  <c:pt idx="8">
                    <c:v> 1,350 </c:v>
                  </c:pt>
                  <c:pt idx="9">
                    <c:v> 1,350 </c:v>
                  </c:pt>
                  <c:pt idx="10">
                    <c:v> 1,350 </c:v>
                  </c:pt>
                  <c:pt idx="11">
                    <c:v> 1,350 </c:v>
                  </c:pt>
                  <c:pt idx="12">
                    <c:v> 1,350 </c:v>
                  </c:pt>
                  <c:pt idx="13">
                    <c:v> 1,300 </c:v>
                  </c:pt>
                  <c:pt idx="14">
                    <c:v> 1,250 </c:v>
                  </c:pt>
                  <c:pt idx="15">
                    <c:v> 1,250 </c:v>
                  </c:pt>
                  <c:pt idx="16">
                    <c:v> 1,250 </c:v>
                  </c:pt>
                  <c:pt idx="17">
                    <c:v> 1,250 </c:v>
                  </c:pt>
                  <c:pt idx="18">
                    <c:v> 1,250 </c:v>
                  </c:pt>
                  <c:pt idx="19">
                    <c:v> 1,230 </c:v>
                  </c:pt>
                  <c:pt idx="20">
                    <c:v> 1,210 </c:v>
                  </c:pt>
                  <c:pt idx="21">
                    <c:v> 1,210 </c:v>
                  </c:pt>
                  <c:pt idx="22">
                    <c:v> 1,200 </c:v>
                  </c:pt>
                  <c:pt idx="23">
                    <c:v> 1,200 </c:v>
                  </c:pt>
                  <c:pt idx="36">
                    <c:v>Giá duyệt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2B-539B-4447-B68F-B0EDB57E1660}"/>
            </c:ext>
          </c:extLst>
        </c:ser>
        <c:ser>
          <c:idx val="3"/>
          <c:order val="2"/>
          <c:tx>
            <c:strRef>
              <c:f>'Vẽ Biểu đồ'!$D$82</c:f>
              <c:strCache>
                <c:ptCount val="1"/>
                <c:pt idx="0">
                  <c:v>Giá chính phẩm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Pt>
            <c:idx val="24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BF12-40E7-8ED4-19FE97F97AC4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038435C8-3646-45C8-B063-D8AEE9B068A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539B-4447-B68F-B0EDB57E166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4F87864F-24C0-4710-A8B8-0C9F2DD42F8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539B-4447-B68F-B0EDB57E166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7D9E053D-2345-4C93-945A-FCF21021766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539B-4447-B68F-B0EDB57E1660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3F97EFF8-E7BD-484C-A072-81C025B166A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539B-4447-B68F-B0EDB57E1660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0CD4E632-60E4-4410-8B0F-D04BFDE4C5A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539B-4447-B68F-B0EDB57E1660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BA9E9967-6D32-49A0-B0CB-9E2A57F29A1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539B-4447-B68F-B0EDB57E1660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4307D25C-7E3D-40F8-86FE-F5661A3A336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539B-4447-B68F-B0EDB57E1660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0B9A47BD-0293-4527-8004-0AA20F486DA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539B-4447-B68F-B0EDB57E1660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E7EF3FB5-2CC3-4EFE-AB94-AD3D193C0D2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539B-4447-B68F-B0EDB57E1660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C851E67F-4126-47C4-86DB-10FECF60019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539B-4447-B68F-B0EDB57E1660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96B6E951-EA7C-4767-B659-848D37BC6CD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539B-4447-B68F-B0EDB57E1660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2BE2DF9D-6247-4042-A2E8-A787B469B7C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9-539B-4447-B68F-B0EDB57E1660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EFA0FAC8-9B76-4784-B584-D20F83C4EED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A-539B-4447-B68F-B0EDB57E1660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267C26AF-F369-47E5-B040-F3BCD88518F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B-539B-4447-B68F-B0EDB57E1660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DCE1FB50-6B57-4CB7-8C3B-2699845C8EA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C-539B-4447-B68F-B0EDB57E1660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FD5A0F6F-7599-49BB-AA1D-68D246B62C8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D-539B-4447-B68F-B0EDB57E1660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A32992E1-463C-4F7C-82EF-85902479E5D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E-539B-4447-B68F-B0EDB57E1660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5DB92EA2-4CED-44B6-A80E-F1AD6854EC3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F-539B-4447-B68F-B0EDB57E1660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52DC7429-ED49-4059-AD39-6B995704BB4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C3EC-41AF-B915-65E806E14024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1C585C81-21D5-4E50-A7B2-8822E8A6322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62B8-48E3-89FC-5FD371B3D2A7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7C728F0B-291B-4412-9F7A-82B631D9D06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1A29-4861-8C46-979950E23428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7201EAE2-2F96-4A88-8FFA-0E720C8C84B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D57F-4B2F-BEDD-E434C36F72E6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6A8DFEC1-7A21-45B7-B844-530173598B6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0D97-4A40-A786-403DB2869FE6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E74D080B-AE77-4C41-8CD0-A54B83F8B8A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DE0B-48F7-BFD6-60C4CC89C445}"/>
                </c:ext>
              </c:extLst>
            </c:dLbl>
            <c:dLbl>
              <c:idx val="24"/>
              <c:layout>
                <c:manualLayout>
                  <c:x val="-4.2530981426435107E-8"/>
                  <c:y val="-7.0462232243517471E-3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200" b="1" i="0" u="none" strike="noStrike" kern="1200" baseline="0">
                        <a:solidFill>
                          <a:schemeClr val="accent4"/>
                        </a:solidFill>
                        <a:latin typeface="+mj-lt"/>
                        <a:ea typeface="+mn-ea"/>
                        <a:cs typeface="+mn-cs"/>
                      </a:defRPr>
                    </a:pPr>
                    <a:fld id="{F9B26A77-79D3-43E1-8DE4-7B587029AA9B}" type="CELLRANGE">
                      <a:rPr lang="en-US"/>
                      <a:pPr>
                        <a:defRPr sz="1200" b="1">
                          <a:solidFill>
                            <a:schemeClr val="accent4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accent4"/>
                      </a:solidFill>
                      <a:latin typeface="+mj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7.4490972203792125E-2"/>
                      <c:h val="9.2124097861498999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BF12-40E7-8ED4-19FE97F97AC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50" b="1" i="0" u="none" strike="noStrike" kern="1200" baseline="0">
                    <a:solidFill>
                      <a:schemeClr val="accent4"/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đồ'!$E$78:$AO$79</c15:sqref>
                  </c15:fullRef>
                </c:ext>
              </c:extLst>
              <c:f>'Vẽ Biểu đồ'!$E$78:$AO$79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đồ'!$E$82:$AO$82</c15:sqref>
                  </c15:fullRef>
                </c:ext>
              </c:extLst>
              <c:f>('Vẽ Biểu đồ'!$E$82:$AB$82,'Vẽ Biểu đồ'!$AO$82)</c:f>
              <c:numCache>
                <c:formatCode>_(* #,##0_);_(* \(#,##0\);_(* "-"??_);_(@_)</c:formatCode>
                <c:ptCount val="25"/>
                <c:pt idx="0">
                  <c:v>940</c:v>
                </c:pt>
                <c:pt idx="1">
                  <c:v>993.33333333333337</c:v>
                </c:pt>
                <c:pt idx="2">
                  <c:v>985</c:v>
                </c:pt>
                <c:pt idx="3">
                  <c:v>962.5</c:v>
                </c:pt>
                <c:pt idx="4">
                  <c:v>982</c:v>
                </c:pt>
                <c:pt idx="5">
                  <c:v>1000</c:v>
                </c:pt>
                <c:pt idx="6">
                  <c:v>1000</c:v>
                </c:pt>
                <c:pt idx="7">
                  <c:v>984</c:v>
                </c:pt>
                <c:pt idx="8">
                  <c:v>967.5</c:v>
                </c:pt>
                <c:pt idx="9">
                  <c:v>965</c:v>
                </c:pt>
                <c:pt idx="10">
                  <c:v>974</c:v>
                </c:pt>
                <c:pt idx="11">
                  <c:v>956</c:v>
                </c:pt>
                <c:pt idx="12">
                  <c:v>940</c:v>
                </c:pt>
                <c:pt idx="13">
                  <c:v>918</c:v>
                </c:pt>
                <c:pt idx="14">
                  <c:v>896</c:v>
                </c:pt>
                <c:pt idx="15">
                  <c:v>891.5</c:v>
                </c:pt>
                <c:pt idx="16">
                  <c:v>864</c:v>
                </c:pt>
                <c:pt idx="17">
                  <c:v>833</c:v>
                </c:pt>
                <c:pt idx="18">
                  <c:v>833</c:v>
                </c:pt>
                <c:pt idx="19">
                  <c:v>815</c:v>
                </c:pt>
                <c:pt idx="20">
                  <c:v>813</c:v>
                </c:pt>
                <c:pt idx="21">
                  <c:v>805</c:v>
                </c:pt>
                <c:pt idx="22">
                  <c:v>805</c:v>
                </c:pt>
                <c:pt idx="23">
                  <c:v>805</c:v>
                </c:pt>
                <c:pt idx="24">
                  <c:v>805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đồ'!$E$75:$AO$75</c15:f>
                <c15:dlblRangeCache>
                  <c:ptCount val="37"/>
                  <c:pt idx="0">
                    <c:v> 940 </c:v>
                  </c:pt>
                  <c:pt idx="1">
                    <c:v> 993 </c:v>
                  </c:pt>
                  <c:pt idx="2">
                    <c:v> 985 </c:v>
                  </c:pt>
                  <c:pt idx="3">
                    <c:v> 963 </c:v>
                  </c:pt>
                  <c:pt idx="4">
                    <c:v> 982 </c:v>
                  </c:pt>
                  <c:pt idx="5">
                    <c:v> 1,000 </c:v>
                  </c:pt>
                  <c:pt idx="6">
                    <c:v> 1,000 </c:v>
                  </c:pt>
                  <c:pt idx="7">
                    <c:v> 984 </c:v>
                  </c:pt>
                  <c:pt idx="8">
                    <c:v> 968 </c:v>
                  </c:pt>
                  <c:pt idx="9">
                    <c:v> 965 </c:v>
                  </c:pt>
                  <c:pt idx="10">
                    <c:v> 974 </c:v>
                  </c:pt>
                  <c:pt idx="11">
                    <c:v> 956 </c:v>
                  </c:pt>
                  <c:pt idx="12">
                    <c:v> 940 </c:v>
                  </c:pt>
                  <c:pt idx="13">
                    <c:v> 918 </c:v>
                  </c:pt>
                  <c:pt idx="14">
                    <c:v> 896 </c:v>
                  </c:pt>
                  <c:pt idx="15">
                    <c:v> 892 </c:v>
                  </c:pt>
                  <c:pt idx="16">
                    <c:v> 864 </c:v>
                  </c:pt>
                  <c:pt idx="17">
                    <c:v> 833 </c:v>
                  </c:pt>
                  <c:pt idx="18">
                    <c:v> 833 </c:v>
                  </c:pt>
                  <c:pt idx="19">
                    <c:v> 815 </c:v>
                  </c:pt>
                  <c:pt idx="20">
                    <c:v> 813 </c:v>
                  </c:pt>
                  <c:pt idx="21">
                    <c:v> 805 </c:v>
                  </c:pt>
                  <c:pt idx="22">
                    <c:v> 805 </c:v>
                  </c:pt>
                  <c:pt idx="23">
                    <c:v> 805 </c:v>
                  </c:pt>
                  <c:pt idx="36">
                    <c:v>Giá chính phẩm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40-539B-4447-B68F-B0EDB57E1660}"/>
            </c:ext>
          </c:extLst>
        </c:ser>
        <c:ser>
          <c:idx val="6"/>
          <c:order val="3"/>
          <c:tx>
            <c:strRef>
              <c:f>'Vẽ Biểu đồ'!$D$85</c:f>
              <c:strCache>
                <c:ptCount val="1"/>
                <c:pt idx="0">
                  <c:v>Chênh lệch-Line Drop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errBars>
            <c:errDir val="y"/>
            <c:errBarType val="minus"/>
            <c:errValType val="cust"/>
            <c:noEndCap val="1"/>
            <c:plus>
              <c:numRef>
                <c:extLst>
                  <c:ext xmlns:c15="http://schemas.microsoft.com/office/drawing/2012/chart" uri="{02D57815-91ED-43cb-92C2-25804820EDAC}">
                    <c15:fullRef>
                      <c15:sqref>'Vẽ Biểu đồ'!$E$32:$AO$32</c15:sqref>
                    </c15:fullRef>
                  </c:ext>
                </c:extLst>
                <c:f>('Vẽ Biểu đồ'!$E$32:$AB$32,'Vẽ Biểu đồ'!$AO$32)</c:f>
                <c:numCache>
                  <c:formatCode>General</c:formatCode>
                  <c:ptCount val="25"/>
                  <c:pt idx="0">
                    <c:v>350</c:v>
                  </c:pt>
                  <c:pt idx="1">
                    <c:v>336.66666666666663</c:v>
                  </c:pt>
                  <c:pt idx="2">
                    <c:v>340</c:v>
                  </c:pt>
                  <c:pt idx="3">
                    <c:v>340</c:v>
                  </c:pt>
                  <c:pt idx="4">
                    <c:v>388</c:v>
                  </c:pt>
                  <c:pt idx="5">
                    <c:v>380</c:v>
                  </c:pt>
                  <c:pt idx="6">
                    <c:v>382.5</c:v>
                  </c:pt>
                  <c:pt idx="7">
                    <c:v>400</c:v>
                  </c:pt>
                  <c:pt idx="8">
                    <c:v>460</c:v>
                  </c:pt>
                  <c:pt idx="9">
                    <c:v>492.5</c:v>
                  </c:pt>
                  <c:pt idx="10">
                    <c:v>503</c:v>
                  </c:pt>
                  <c:pt idx="11">
                    <c:v>475</c:v>
                  </c:pt>
                  <c:pt idx="12">
                    <c:v>432</c:v>
                  </c:pt>
                  <c:pt idx="13">
                    <c:v>420</c:v>
                  </c:pt>
                  <c:pt idx="14">
                    <c:v>437</c:v>
                  </c:pt>
                  <c:pt idx="15">
                    <c:v>515</c:v>
                  </c:pt>
                  <c:pt idx="16">
                    <c:v>498</c:v>
                  </c:pt>
                  <c:pt idx="17">
                    <c:v>472.5</c:v>
                  </c:pt>
                  <c:pt idx="18">
                    <c:v>478</c:v>
                  </c:pt>
                  <c:pt idx="19">
                    <c:v>455</c:v>
                  </c:pt>
                  <c:pt idx="20">
                    <c:v>467</c:v>
                  </c:pt>
                  <c:pt idx="21">
                    <c:v>468</c:v>
                  </c:pt>
                  <c:pt idx="22">
                    <c:v>460</c:v>
                  </c:pt>
                  <c:pt idx="23">
                    <c:v>460</c:v>
                  </c:pt>
                </c:numCache>
              </c:numRef>
            </c:plus>
            <c:minus>
              <c:numRef>
                <c:extLst>
                  <c:ext xmlns:c15="http://schemas.microsoft.com/office/drawing/2012/chart" uri="{02D57815-91ED-43cb-92C2-25804820EDAC}">
                    <c15:fullRef>
                      <c15:sqref>'Vẽ Biểu đồ'!$E$83:$AO$83</c15:sqref>
                    </c15:fullRef>
                  </c:ext>
                </c:extLst>
                <c:f>('Vẽ Biểu đồ'!$E$83:$AB$83,'Vẽ Biểu đồ'!$AO$83)</c:f>
                <c:numCache>
                  <c:formatCode>General</c:formatCode>
                  <c:ptCount val="25"/>
                  <c:pt idx="0">
                    <c:v>410</c:v>
                  </c:pt>
                  <c:pt idx="1">
                    <c:v>356.66666666666663</c:v>
                  </c:pt>
                  <c:pt idx="2">
                    <c:v>365</c:v>
                  </c:pt>
                  <c:pt idx="3">
                    <c:v>387.5</c:v>
                  </c:pt>
                  <c:pt idx="4">
                    <c:v>368</c:v>
                  </c:pt>
                  <c:pt idx="5">
                    <c:v>350</c:v>
                  </c:pt>
                  <c:pt idx="6">
                    <c:v>350</c:v>
                  </c:pt>
                  <c:pt idx="7">
                    <c:v>366</c:v>
                  </c:pt>
                  <c:pt idx="8">
                    <c:v>382.5</c:v>
                  </c:pt>
                  <c:pt idx="9">
                    <c:v>385</c:v>
                  </c:pt>
                  <c:pt idx="10">
                    <c:v>376</c:v>
                  </c:pt>
                  <c:pt idx="11">
                    <c:v>394</c:v>
                  </c:pt>
                  <c:pt idx="12">
                    <c:v>410</c:v>
                  </c:pt>
                  <c:pt idx="13">
                    <c:v>382</c:v>
                  </c:pt>
                  <c:pt idx="14">
                    <c:v>354</c:v>
                  </c:pt>
                  <c:pt idx="15">
                    <c:v>358.5</c:v>
                  </c:pt>
                  <c:pt idx="16">
                    <c:v>386</c:v>
                  </c:pt>
                  <c:pt idx="17">
                    <c:v>417</c:v>
                  </c:pt>
                  <c:pt idx="18">
                    <c:v>417</c:v>
                  </c:pt>
                  <c:pt idx="19">
                    <c:v>415</c:v>
                  </c:pt>
                  <c:pt idx="20">
                    <c:v>397</c:v>
                  </c:pt>
                  <c:pt idx="21">
                    <c:v>405</c:v>
                  </c:pt>
                  <c:pt idx="22">
                    <c:v>395</c:v>
                  </c:pt>
                  <c:pt idx="23">
                    <c:v>395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bg1">
                    <a:lumMod val="85000"/>
                  </a:schemeClr>
                </a:solidFill>
                <a:prstDash val="sysDot"/>
                <a:round/>
                <a:headEnd type="triangle"/>
                <a:tailEnd type="triangle"/>
              </a:ln>
              <a:effectLst/>
            </c:spPr>
          </c:errBar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đồ'!$E$78:$AO$79</c15:sqref>
                  </c15:fullRef>
                </c:ext>
              </c:extLst>
              <c:f>'Vẽ Biểu đồ'!$E$78:$AO$79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đồ'!$E$85:$AO$85</c15:sqref>
                  </c15:fullRef>
                </c:ext>
              </c:extLst>
              <c:f>('Vẽ Biểu đồ'!$E$85:$AB$85,'Vẽ Biểu đồ'!$AO$85)</c:f>
              <c:numCache>
                <c:formatCode>_(* #,##0_);_(* \(#,##0\);_(* "-"??_);_(@_)</c:formatCode>
                <c:ptCount val="25"/>
                <c:pt idx="0">
                  <c:v>1350</c:v>
                </c:pt>
                <c:pt idx="1">
                  <c:v>1350</c:v>
                </c:pt>
                <c:pt idx="2">
                  <c:v>1350</c:v>
                </c:pt>
                <c:pt idx="3">
                  <c:v>1350</c:v>
                </c:pt>
                <c:pt idx="4">
                  <c:v>1350</c:v>
                </c:pt>
                <c:pt idx="5">
                  <c:v>1350</c:v>
                </c:pt>
                <c:pt idx="6">
                  <c:v>1350</c:v>
                </c:pt>
                <c:pt idx="7">
                  <c:v>1350</c:v>
                </c:pt>
                <c:pt idx="8">
                  <c:v>1350</c:v>
                </c:pt>
                <c:pt idx="9">
                  <c:v>1350</c:v>
                </c:pt>
                <c:pt idx="10">
                  <c:v>1350</c:v>
                </c:pt>
                <c:pt idx="11">
                  <c:v>1350</c:v>
                </c:pt>
                <c:pt idx="12">
                  <c:v>1350</c:v>
                </c:pt>
                <c:pt idx="13">
                  <c:v>1300</c:v>
                </c:pt>
                <c:pt idx="14">
                  <c:v>1250</c:v>
                </c:pt>
                <c:pt idx="15">
                  <c:v>1250</c:v>
                </c:pt>
                <c:pt idx="16">
                  <c:v>1250</c:v>
                </c:pt>
                <c:pt idx="17">
                  <c:v>1250</c:v>
                </c:pt>
                <c:pt idx="18">
                  <c:v>1250</c:v>
                </c:pt>
                <c:pt idx="19">
                  <c:v>1230</c:v>
                </c:pt>
                <c:pt idx="20">
                  <c:v>1210</c:v>
                </c:pt>
                <c:pt idx="21">
                  <c:v>1210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539B-4447-B68F-B0EDB57E1660}"/>
            </c:ext>
          </c:extLst>
        </c:ser>
        <c:ser>
          <c:idx val="7"/>
          <c:order val="6"/>
          <c:tx>
            <c:strRef>
              <c:f>'Vẽ Biểu đồ'!$D$86</c:f>
              <c:strCache>
                <c:ptCount val="1"/>
                <c:pt idx="0">
                  <c:v>Chênh lệch-Label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fld id="{7022302D-6916-458F-A8BC-D314AC88687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2-539B-4447-B68F-B0EDB57E166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B45ABBF4-5048-4773-B48B-B6C63BE09DF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3-539B-4447-B68F-B0EDB57E166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71AF52E1-A37A-4D6A-9F9A-0B95EA6B54E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4-539B-4447-B68F-B0EDB57E1660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80DF1051-E892-407B-AC23-4F473F40C7D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5-539B-4447-B68F-B0EDB57E1660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07D736BB-618E-4015-B200-314A1C4CE50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6-539B-4447-B68F-B0EDB57E1660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C34562FD-AB38-4A2C-9955-6C102E574EC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7-539B-4447-B68F-B0EDB57E1660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33030C69-00DB-4349-A449-5B12C9AD0D2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8-539B-4447-B68F-B0EDB57E1660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92D9BBFF-EA5B-4F0C-85ED-4226722DAED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9-539B-4447-B68F-B0EDB57E1660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B28A6FCC-A942-4B91-9EB6-1A24847AA16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A-539B-4447-B68F-B0EDB57E1660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D02AD382-FABA-48C1-B3D8-9840072B52D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B-539B-4447-B68F-B0EDB57E1660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DE6E9927-A1B4-405F-9AA4-328D6682081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C-539B-4447-B68F-B0EDB57E1660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0C67C8D7-6CFF-4D74-A1E1-434FBE08645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D-539B-4447-B68F-B0EDB57E1660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082830C7-AD8C-4548-A93F-B909AAA7DC3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E-539B-4447-B68F-B0EDB57E1660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436B528D-4266-43E5-96A7-82364673593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F-539B-4447-B68F-B0EDB57E1660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3E31F239-BA3C-4E26-BBE4-C014BC4B2B5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0-539B-4447-B68F-B0EDB57E1660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3E959643-02FD-47CB-8BB3-BADDE472D0C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1-539B-4447-B68F-B0EDB57E1660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40089C0A-ABD9-4F74-9521-AB69F6ED405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2-539B-4447-B68F-B0EDB57E1660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43C2B224-8B5D-456A-B0D4-7A43A182633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3-539B-4447-B68F-B0EDB57E1660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C1974EEC-90B2-48B6-B637-D14EF20F52F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C3EC-41AF-B915-65E806E14024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29FFFE54-F2AE-4951-831D-29CF695730B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62B8-48E3-89FC-5FD371B3D2A7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D3B6C0F9-D7DC-40E5-9795-BB49F939BD4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1A29-4861-8C46-979950E23428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38323A52-2706-43E9-BFCD-64545C590F0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D57F-4B2F-BEDD-E434C36F72E6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0EC56EDE-AF86-4B57-92F3-9B65F73D736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0D97-4A40-A786-403DB2869FE6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1ACE5110-EF8A-4910-92C5-6A7EB7B85CE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DE0B-48F7-BFD6-60C4CC89C445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DE0B-48F7-BFD6-60C4CC89C445}"/>
                </c:ext>
              </c:extLst>
            </c:dLbl>
            <c:spPr>
              <a:solidFill>
                <a:schemeClr val="bg1">
                  <a:lumMod val="95000"/>
                </a:schemeClr>
              </a:solidFill>
              <a:ln>
                <a:solidFill>
                  <a:schemeClr val="bg1">
                    <a:lumMod val="50000"/>
                  </a:schemeClr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>
                        <a:lumMod val="50000"/>
                      </a:schemeClr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đồ'!$E$78:$AO$79</c15:sqref>
                  </c15:fullRef>
                </c:ext>
              </c:extLst>
              <c:f>'Vẽ Biểu đồ'!$E$78:$AO$79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đồ'!$E$86:$AO$86</c15:sqref>
                  </c15:fullRef>
                </c:ext>
              </c:extLst>
              <c:f>('Vẽ Biểu đồ'!$E$86:$AB$86,'Vẽ Biểu đồ'!$AO$86)</c:f>
              <c:numCache>
                <c:formatCode>_(* #,##0_);_(* \(#,##0\);_(* "-"??_);_(@_)</c:formatCode>
                <c:ptCount val="25"/>
                <c:pt idx="0">
                  <c:v>1145</c:v>
                </c:pt>
                <c:pt idx="1">
                  <c:v>1171.6666666666667</c:v>
                </c:pt>
                <c:pt idx="2">
                  <c:v>1167.5</c:v>
                </c:pt>
                <c:pt idx="3">
                  <c:v>1156.25</c:v>
                </c:pt>
                <c:pt idx="4">
                  <c:v>1166</c:v>
                </c:pt>
                <c:pt idx="5">
                  <c:v>1175</c:v>
                </c:pt>
                <c:pt idx="6">
                  <c:v>1175</c:v>
                </c:pt>
                <c:pt idx="7">
                  <c:v>1167</c:v>
                </c:pt>
                <c:pt idx="8">
                  <c:v>1158.75</c:v>
                </c:pt>
                <c:pt idx="9">
                  <c:v>1157.5</c:v>
                </c:pt>
                <c:pt idx="10">
                  <c:v>1162</c:v>
                </c:pt>
                <c:pt idx="11">
                  <c:v>1153</c:v>
                </c:pt>
                <c:pt idx="12">
                  <c:v>1145</c:v>
                </c:pt>
                <c:pt idx="13">
                  <c:v>1109</c:v>
                </c:pt>
                <c:pt idx="14">
                  <c:v>1073</c:v>
                </c:pt>
                <c:pt idx="15">
                  <c:v>1070.75</c:v>
                </c:pt>
                <c:pt idx="16">
                  <c:v>1057</c:v>
                </c:pt>
                <c:pt idx="17">
                  <c:v>1041.5</c:v>
                </c:pt>
                <c:pt idx="18">
                  <c:v>1041.5</c:v>
                </c:pt>
                <c:pt idx="19">
                  <c:v>1022.5</c:v>
                </c:pt>
                <c:pt idx="20">
                  <c:v>1011.5</c:v>
                </c:pt>
                <c:pt idx="21">
                  <c:v>1007.5</c:v>
                </c:pt>
                <c:pt idx="22">
                  <c:v>1002.5</c:v>
                </c:pt>
                <c:pt idx="23">
                  <c:v>1002.5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đồ'!$E$14:$AO$14</c15:f>
                <c15:dlblRangeCache>
                  <c:ptCount val="37"/>
                  <c:pt idx="0">
                    <c:v>+34.4%</c:v>
                  </c:pt>
                  <c:pt idx="1">
                    <c:v>+32.5%</c:v>
                  </c:pt>
                  <c:pt idx="2">
                    <c:v>+33.0%</c:v>
                  </c:pt>
                  <c:pt idx="3">
                    <c:v>+33.0%</c:v>
                  </c:pt>
                  <c:pt idx="4">
                    <c:v>+38.0%</c:v>
                  </c:pt>
                  <c:pt idx="5">
                    <c:v>+36.8%</c:v>
                  </c:pt>
                  <c:pt idx="6">
                    <c:v>+37.2%</c:v>
                  </c:pt>
                  <c:pt idx="7">
                    <c:v>+39.8%</c:v>
                  </c:pt>
                  <c:pt idx="8">
                    <c:v>+48.9%</c:v>
                  </c:pt>
                  <c:pt idx="9">
                    <c:v>+53.6%</c:v>
                  </c:pt>
                  <c:pt idx="10">
                    <c:v>+55.5%</c:v>
                  </c:pt>
                  <c:pt idx="11">
                    <c:v>+53.6%</c:v>
                  </c:pt>
                  <c:pt idx="12">
                    <c:v>+48.6%</c:v>
                  </c:pt>
                  <c:pt idx="13">
                    <c:v>+46.4%</c:v>
                  </c:pt>
                  <c:pt idx="14">
                    <c:v>+49.5%</c:v>
                  </c:pt>
                  <c:pt idx="15">
                    <c:v>+63.4%</c:v>
                  </c:pt>
                  <c:pt idx="16">
                    <c:v>+59.8%</c:v>
                  </c:pt>
                  <c:pt idx="17">
                    <c:v>+54.8%</c:v>
                  </c:pt>
                  <c:pt idx="18">
                    <c:v>+55.9%</c:v>
                  </c:pt>
                  <c:pt idx="19">
                    <c:v>+53.5%</c:v>
                  </c:pt>
                  <c:pt idx="20">
                    <c:v>+55.8%</c:v>
                  </c:pt>
                  <c:pt idx="21">
                    <c:v>+56.7%</c:v>
                  </c:pt>
                  <c:pt idx="22">
                    <c:v>+55.8%</c:v>
                  </c:pt>
                  <c:pt idx="23">
                    <c:v>+55.8%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55-539B-4447-B68F-B0EDB57E16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6623744"/>
        <c:axId val="516630464"/>
      </c:lineChart>
      <c:catAx>
        <c:axId val="516623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bg1">
                    <a:lumMod val="65000"/>
                  </a:schemeClr>
                </a:solidFill>
                <a:latin typeface="+mj-lt"/>
                <a:ea typeface="+mn-ea"/>
                <a:cs typeface="+mn-cs"/>
              </a:defRPr>
            </a:pPr>
            <a:endParaRPr lang="en-US"/>
          </a:p>
        </c:txPr>
        <c:crossAx val="516630464"/>
        <c:crosses val="autoZero"/>
        <c:auto val="1"/>
        <c:lblAlgn val="ctr"/>
        <c:lblOffset val="100"/>
        <c:noMultiLvlLbl val="0"/>
      </c:catAx>
      <c:valAx>
        <c:axId val="516630464"/>
        <c:scaling>
          <c:orientation val="minMax"/>
          <c:max val="1520"/>
          <c:min val="770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65000"/>
                  </a:schemeClr>
                </a:solidFill>
                <a:latin typeface="+mj-lt"/>
                <a:ea typeface="+mn-ea"/>
                <a:cs typeface="+mn-cs"/>
              </a:defRPr>
            </a:pPr>
            <a:endParaRPr lang="en-US"/>
          </a:p>
        </c:txPr>
        <c:crossAx val="516623744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noFill/>
      <a:round/>
    </a:ln>
    <a:effectLst/>
  </c:spPr>
  <c:txPr>
    <a:bodyPr/>
    <a:lstStyle/>
    <a:p>
      <a:pPr>
        <a:defRPr>
          <a:latin typeface="+mj-lt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0"/>
          <c:w val="0.97291076857489966"/>
          <c:h val="0.89068834849902434"/>
        </c:manualLayout>
      </c:layout>
      <c:areaChart>
        <c:grouping val="standard"/>
        <c:varyColors val="0"/>
        <c:ser>
          <c:idx val="5"/>
          <c:order val="6"/>
          <c:tx>
            <c:strRef>
              <c:f>'Vẽ Biểu đồ'!$D$17</c:f>
              <c:strCache>
                <c:ptCount val="1"/>
                <c:pt idx="0">
                  <c:v>Giá duyệt-Area</c:v>
                </c:pt>
              </c:strCache>
            </c:strRef>
          </c:tx>
          <c:spPr>
            <a:solidFill>
              <a:srgbClr val="FFF2CC"/>
            </a:solidFill>
            <a:ln w="25400">
              <a:noFill/>
            </a:ln>
            <a:effectLst/>
          </c:spPr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đồ'!$E$6:$AO$7</c15:sqref>
                  </c15:fullRef>
                </c:ext>
              </c:extLst>
              <c:f>'Vẽ Biểu đồ'!$E$6:$AO$7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đồ'!$E$17:$AO$17</c15:sqref>
                  </c15:fullRef>
                </c:ext>
              </c:extLst>
              <c:f>('Vẽ Biểu đồ'!$E$17:$AB$17,'Vẽ Biểu đồ'!$AO$17)</c:f>
              <c:numCache>
                <c:formatCode>_(* #,##0_);_(* \(#,##0\);_(* "-"??_);_(@_)</c:formatCode>
                <c:ptCount val="25"/>
                <c:pt idx="0">
                  <c:v>1250</c:v>
                </c:pt>
                <c:pt idx="1">
                  <c:v>1250</c:v>
                </c:pt>
                <c:pt idx="2">
                  <c:v>1250</c:v>
                </c:pt>
                <c:pt idx="3">
                  <c:v>1250</c:v>
                </c:pt>
                <c:pt idx="4">
                  <c:v>1300</c:v>
                </c:pt>
                <c:pt idx="5">
                  <c:v>1300</c:v>
                </c:pt>
                <c:pt idx="6">
                  <c:v>1300</c:v>
                </c:pt>
                <c:pt idx="7">
                  <c:v>1300</c:v>
                </c:pt>
                <c:pt idx="8">
                  <c:v>1310</c:v>
                </c:pt>
                <c:pt idx="9">
                  <c:v>1325</c:v>
                </c:pt>
                <c:pt idx="10">
                  <c:v>1325</c:v>
                </c:pt>
                <c:pt idx="11">
                  <c:v>1275</c:v>
                </c:pt>
                <c:pt idx="12">
                  <c:v>1230</c:v>
                </c:pt>
                <c:pt idx="13">
                  <c:v>1230</c:v>
                </c:pt>
                <c:pt idx="14">
                  <c:v>1230</c:v>
                </c:pt>
                <c:pt idx="15">
                  <c:v>1250</c:v>
                </c:pt>
                <c:pt idx="16">
                  <c:v>1250</c:v>
                </c:pt>
                <c:pt idx="17">
                  <c:v>1250</c:v>
                </c:pt>
                <c:pt idx="18">
                  <c:v>1250</c:v>
                </c:pt>
                <c:pt idx="19">
                  <c:v>1220</c:v>
                </c:pt>
                <c:pt idx="20">
                  <c:v>1220</c:v>
                </c:pt>
                <c:pt idx="21">
                  <c:v>1210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F5-4017-B679-B12A82D3415D}"/>
            </c:ext>
          </c:extLst>
        </c:ser>
        <c:ser>
          <c:idx val="4"/>
          <c:order val="7"/>
          <c:tx>
            <c:strRef>
              <c:f>'Vẽ Biểu đồ'!$D$18</c:f>
              <c:strCache>
                <c:ptCount val="1"/>
                <c:pt idx="0">
                  <c:v>Giá chính phẩm-Area</c:v>
                </c:pt>
              </c:strCache>
            </c:strRef>
          </c:tx>
          <c:spPr>
            <a:solidFill>
              <a:schemeClr val="bg1"/>
            </a:solidFill>
            <a:ln w="25400">
              <a:noFill/>
            </a:ln>
            <a:effectLst/>
          </c:spPr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đồ'!$E$6:$AO$7</c15:sqref>
                  </c15:fullRef>
                </c:ext>
              </c:extLst>
              <c:f>'Vẽ Biểu đồ'!$E$6:$AO$7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đồ'!$E$18:$AO$18</c15:sqref>
                  </c15:fullRef>
                </c:ext>
              </c:extLst>
              <c:f>('Vẽ Biểu đồ'!$E$18:$AB$18,'Vẽ Biểu đồ'!$AO$18)</c:f>
              <c:numCache>
                <c:formatCode>_(* #,##0_);_(* \(#,##0\);_(* "-"??_);_(@_)</c:formatCode>
                <c:ptCount val="25"/>
                <c:pt idx="0">
                  <c:v>930</c:v>
                </c:pt>
                <c:pt idx="1">
                  <c:v>943.33333333333337</c:v>
                </c:pt>
                <c:pt idx="2">
                  <c:v>940</c:v>
                </c:pt>
                <c:pt idx="3">
                  <c:v>940</c:v>
                </c:pt>
                <c:pt idx="4">
                  <c:v>942</c:v>
                </c:pt>
                <c:pt idx="5">
                  <c:v>950</c:v>
                </c:pt>
                <c:pt idx="6">
                  <c:v>947.5</c:v>
                </c:pt>
                <c:pt idx="7">
                  <c:v>930</c:v>
                </c:pt>
                <c:pt idx="8">
                  <c:v>880</c:v>
                </c:pt>
                <c:pt idx="9">
                  <c:v>862.5</c:v>
                </c:pt>
                <c:pt idx="10">
                  <c:v>852</c:v>
                </c:pt>
                <c:pt idx="11">
                  <c:v>830</c:v>
                </c:pt>
                <c:pt idx="12">
                  <c:v>828</c:v>
                </c:pt>
                <c:pt idx="13">
                  <c:v>840</c:v>
                </c:pt>
                <c:pt idx="14">
                  <c:v>823</c:v>
                </c:pt>
                <c:pt idx="15">
                  <c:v>765</c:v>
                </c:pt>
                <c:pt idx="16">
                  <c:v>782</c:v>
                </c:pt>
                <c:pt idx="17">
                  <c:v>807.5</c:v>
                </c:pt>
                <c:pt idx="18">
                  <c:v>802</c:v>
                </c:pt>
                <c:pt idx="19">
                  <c:v>795</c:v>
                </c:pt>
                <c:pt idx="20">
                  <c:v>783</c:v>
                </c:pt>
                <c:pt idx="21">
                  <c:v>772</c:v>
                </c:pt>
                <c:pt idx="22">
                  <c:v>770</c:v>
                </c:pt>
                <c:pt idx="23">
                  <c:v>770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F5-4017-B679-B12A82D341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6623744"/>
        <c:axId val="516630464"/>
      </c:areaChart>
      <c:lineChart>
        <c:grouping val="standard"/>
        <c:varyColors val="0"/>
        <c:ser>
          <c:idx val="0"/>
          <c:order val="0"/>
          <c:tx>
            <c:strRef>
              <c:f>'Vẽ Biểu đồ'!$D$8</c:f>
              <c:strCache>
                <c:ptCount val="1"/>
                <c:pt idx="0">
                  <c:v>Niagara</c:v>
                </c:pt>
              </c:strCache>
            </c:strRef>
          </c:tx>
          <c:spPr>
            <a:ln w="28575" cap="rnd">
              <a:solidFill>
                <a:srgbClr val="F37736"/>
              </a:solidFill>
              <a:round/>
            </a:ln>
            <a:effectLst/>
          </c:spPr>
          <c:marker>
            <c:symbol val="none"/>
          </c:marker>
          <c:dPt>
            <c:idx val="24"/>
            <c:marker>
              <c:symbol val="none"/>
            </c:marker>
            <c:bubble3D val="0"/>
            <c:spPr>
              <a:ln w="952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835A-4A39-A56C-FB9A879A82D7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555AE79F-5B7C-46BB-B743-628DFD54502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15F5-4017-B679-B12A82D3415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DA623004-BD11-491E-8B73-E86AB97EDE1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15F5-4017-B679-B12A82D3415D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FCA10E51-A8BA-412C-8546-E1DB091688C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15F5-4017-B679-B12A82D3415D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AA867521-6693-4B4F-B6F6-B8B701CD73C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15F5-4017-B679-B12A82D3415D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F493EDA6-A612-4C1E-9E01-581C11AB4E3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15F5-4017-B679-B12A82D3415D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65467E3F-2F3F-49BB-B13C-1EAD1E29006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15F5-4017-B679-B12A82D3415D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4364F276-CB6E-4D1B-BDE9-1008111E763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15F5-4017-B679-B12A82D3415D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36528101-B323-4951-B535-759246FA83A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15F5-4017-B679-B12A82D3415D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2336CFF5-5A20-49AE-8BC5-A94F20FB752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15F5-4017-B679-B12A82D3415D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48B66D99-6FA9-4C37-A755-44A35F573AA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15F5-4017-B679-B12A82D3415D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C20F29DB-91DC-492D-8A88-A221E7B4F88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15F5-4017-B679-B12A82D3415D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60159C44-99AF-4046-853C-EC9EA4B63D2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15F5-4017-B679-B12A82D3415D}"/>
                </c:ext>
              </c:extLst>
            </c:dLbl>
            <c:dLbl>
              <c:idx val="12"/>
              <c:layout>
                <c:manualLayout>
                  <c:x val="-1.257160038153248E-2"/>
                  <c:y val="-3.1472688990824399E-3"/>
                </c:manualLayout>
              </c:layout>
              <c:tx>
                <c:rich>
                  <a:bodyPr/>
                  <a:lstStyle/>
                  <a:p>
                    <a:fld id="{FB770300-272A-49D9-AB15-1BC2126F46C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0-15F5-4017-B679-B12A82D3415D}"/>
                </c:ext>
              </c:extLst>
            </c:dLbl>
            <c:dLbl>
              <c:idx val="13"/>
              <c:layout>
                <c:manualLayout>
                  <c:x val="-2.2110985433498622E-2"/>
                  <c:y val="-1.5023755310714326E-2"/>
                </c:manualLayout>
              </c:layout>
              <c:tx>
                <c:rich>
                  <a:bodyPr/>
                  <a:lstStyle/>
                  <a:p>
                    <a:fld id="{2212A8F4-A216-4B8A-8ECB-F0769C63B26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1-15F5-4017-B679-B12A82D3415D}"/>
                </c:ext>
              </c:extLst>
            </c:dLbl>
            <c:dLbl>
              <c:idx val="14"/>
              <c:layout>
                <c:manualLayout>
                  <c:x val="-3.7101447658016685E-2"/>
                  <c:y val="1.629315566323444E-2"/>
                </c:manualLayout>
              </c:layout>
              <c:tx>
                <c:rich>
                  <a:bodyPr/>
                  <a:lstStyle/>
                  <a:p>
                    <a:fld id="{27D8F121-8396-4242-BFAB-D07F7EAD125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2-15F5-4017-B679-B12A82D3415D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1227E054-3BC1-4298-B027-7DF2D60EEF2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15F5-4017-B679-B12A82D3415D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3CDC9E98-1618-47A4-BB67-AA812DB3347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15F5-4017-B679-B12A82D3415D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A4E52B94-51B7-469C-9158-47108020362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15F5-4017-B679-B12A82D3415D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0C8770B1-7E83-4BA5-9A5F-98FC6ED94D5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15F5-4017-B679-B12A82D3415D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8983B0DD-AE39-4FE7-B0E5-754415D4B40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15F5-4017-B679-B12A82D3415D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AE4F23F8-19BE-42BE-BC8C-8223BDF7887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15F5-4017-B679-B12A82D3415D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D8F981F0-F6A2-42EB-9F22-DAD5A6CC4A6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D-15F5-4017-B679-B12A82D3415D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D7E2AA2E-AA79-4154-B6DD-E6A2AE2F4EB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2EEA-49B8-8179-247B702C4ED3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21581583-873A-4111-9ACF-8B4404C5499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98C6-47B0-888F-D559168C96BD}"/>
                </c:ext>
              </c:extLst>
            </c:dLbl>
            <c:dLbl>
              <c:idx val="24"/>
              <c:layout>
                <c:manualLayout>
                  <c:x val="-4.4172027648432923E-3"/>
                  <c:y val="2.0681710921781466E-2"/>
                </c:manualLayout>
              </c:layout>
              <c:tx>
                <c:rich>
                  <a:bodyPr/>
                  <a:lstStyle/>
                  <a:p>
                    <a:fld id="{F4D39E05-9775-4BC0-9ECA-84CA3767C89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835A-4A39-A56C-FB9A879A82D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50" b="1" i="0" u="none" strike="noStrike" kern="1200" baseline="0">
                    <a:solidFill>
                      <a:srgbClr val="F37736"/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đồ'!$E$6:$AO$7</c15:sqref>
                  </c15:fullRef>
                </c:ext>
              </c:extLst>
              <c:f>'Vẽ Biểu đồ'!$E$6:$AO$7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đồ'!$E$8:$AO$8</c15:sqref>
                  </c15:fullRef>
                </c:ext>
              </c:extLst>
              <c:f>('Vẽ Biểu đồ'!$E$8:$AB$8,'Vẽ Biểu đồ'!$AO$8)</c:f>
              <c:numCache>
                <c:formatCode>_(* #,##0_);_(* \(#,##0\);_(* "-"??_);_(@_)</c:formatCode>
                <c:ptCount val="25"/>
                <c:pt idx="0">
                  <c:v>1180</c:v>
                </c:pt>
                <c:pt idx="1">
                  <c:v>1180</c:v>
                </c:pt>
                <c:pt idx="2">
                  <c:v>1180</c:v>
                </c:pt>
                <c:pt idx="3">
                  <c:v>1180</c:v>
                </c:pt>
                <c:pt idx="4">
                  <c:v>1180</c:v>
                </c:pt>
                <c:pt idx="5">
                  <c:v>1180.8999999999999</c:v>
                </c:pt>
                <c:pt idx="6">
                  <c:v>1194.3999999999999</c:v>
                </c:pt>
                <c:pt idx="7">
                  <c:v>1206.0999999999999</c:v>
                </c:pt>
                <c:pt idx="8">
                  <c:v>1222.6000000000001</c:v>
                </c:pt>
                <c:pt idx="9">
                  <c:v>1241.3499999999999</c:v>
                </c:pt>
                <c:pt idx="10">
                  <c:v>1261.75</c:v>
                </c:pt>
                <c:pt idx="11">
                  <c:v>1270.75</c:v>
                </c:pt>
                <c:pt idx="12">
                  <c:v>1268.875</c:v>
                </c:pt>
                <c:pt idx="13">
                  <c:v>1244.3749999999991</c:v>
                </c:pt>
                <c:pt idx="14">
                  <c:v>1218.8749999999991</c:v>
                </c:pt>
                <c:pt idx="15">
                  <c:v>1197.8800000000001</c:v>
                </c:pt>
                <c:pt idx="16">
                  <c:v>1199</c:v>
                </c:pt>
                <c:pt idx="17">
                  <c:v>1202</c:v>
                </c:pt>
                <c:pt idx="18">
                  <c:v>1202</c:v>
                </c:pt>
                <c:pt idx="19">
                  <c:v>1193.2</c:v>
                </c:pt>
                <c:pt idx="20">
                  <c:v>1180</c:v>
                </c:pt>
                <c:pt idx="21">
                  <c:v>1180</c:v>
                </c:pt>
                <c:pt idx="22">
                  <c:v>1180</c:v>
                </c:pt>
                <c:pt idx="23">
                  <c:v>1180</c:v>
                </c:pt>
                <c:pt idx="24">
                  <c:v>1180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đồ'!$E$19:$AO$19</c15:f>
                <c15:dlblRangeCache>
                  <c:ptCount val="37"/>
                  <c:pt idx="0">
                    <c:v> 1,180 </c:v>
                  </c:pt>
                  <c:pt idx="1">
                    <c:v> 1,180 </c:v>
                  </c:pt>
                  <c:pt idx="2">
                    <c:v> 1,180 </c:v>
                  </c:pt>
                  <c:pt idx="3">
                    <c:v> 1,180 </c:v>
                  </c:pt>
                  <c:pt idx="4">
                    <c:v> 1,180 </c:v>
                  </c:pt>
                  <c:pt idx="5">
                    <c:v> 1,181 </c:v>
                  </c:pt>
                  <c:pt idx="6">
                    <c:v> 1,194 </c:v>
                  </c:pt>
                  <c:pt idx="7">
                    <c:v> 1,206 </c:v>
                  </c:pt>
                  <c:pt idx="8">
                    <c:v> 1,223 </c:v>
                  </c:pt>
                  <c:pt idx="9">
                    <c:v> 1,241 </c:v>
                  </c:pt>
                  <c:pt idx="10">
                    <c:v> 1,262 </c:v>
                  </c:pt>
                  <c:pt idx="11">
                    <c:v> 1,271 </c:v>
                  </c:pt>
                  <c:pt idx="12">
                    <c:v> 1,269 </c:v>
                  </c:pt>
                  <c:pt idx="13">
                    <c:v> 1,244 </c:v>
                  </c:pt>
                  <c:pt idx="14">
                    <c:v> 1,219 </c:v>
                  </c:pt>
                  <c:pt idx="15">
                    <c:v> 1,198 </c:v>
                  </c:pt>
                  <c:pt idx="16">
                    <c:v> 1,199 </c:v>
                  </c:pt>
                  <c:pt idx="17">
                    <c:v> 1,202 </c:v>
                  </c:pt>
                  <c:pt idx="18">
                    <c:v> 1,202 </c:v>
                  </c:pt>
                  <c:pt idx="19">
                    <c:v> 1,193 </c:v>
                  </c:pt>
                  <c:pt idx="20">
                    <c:v> 1,180 </c:v>
                  </c:pt>
                  <c:pt idx="21">
                    <c:v> 1,180 </c:v>
                  </c:pt>
                  <c:pt idx="22">
                    <c:v> 1,180 </c:v>
                  </c:pt>
                  <c:pt idx="23">
                    <c:v> 1,180 </c:v>
                  </c:pt>
                  <c:pt idx="36">
                    <c:v>NIAGARA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9-15F5-4017-B679-B12A82D3415D}"/>
            </c:ext>
          </c:extLst>
        </c:ser>
        <c:ser>
          <c:idx val="8"/>
          <c:order val="1"/>
          <c:tx>
            <c:strRef>
              <c:f>'Vẽ Biểu đồ'!$D$9</c:f>
              <c:strCache>
                <c:ptCount val="1"/>
                <c:pt idx="0">
                  <c:v>Unilever</c:v>
                </c:pt>
              </c:strCache>
            </c:strRef>
          </c:tx>
          <c:spPr>
            <a:ln w="28575" cap="rnd">
              <a:solidFill>
                <a:srgbClr val="0F0E9A"/>
              </a:solidFill>
              <a:round/>
            </a:ln>
            <a:effectLst/>
          </c:spPr>
          <c:marker>
            <c:symbol val="none"/>
          </c:marker>
          <c:dPt>
            <c:idx val="24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835A-4A39-A56C-FB9A879A82D7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D27C6F87-98F6-4748-9986-7C89F8A6513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15F5-4017-B679-B12A82D3415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BCA92A1D-7ADE-4339-8A87-CA03FE33A95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15F5-4017-B679-B12A82D3415D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6290ACDC-65A7-4289-B082-2AF41E65217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15F5-4017-B679-B12A82D3415D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8B8406F5-52CB-469F-91C9-F9EF4E4E120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15F5-4017-B679-B12A82D3415D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C620B86F-70CF-45A9-B4E1-11F3DEA4588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15F5-4017-B679-B12A82D3415D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4AB54355-081A-4746-A661-9EBB2170E0F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15F5-4017-B679-B12A82D3415D}"/>
                </c:ext>
              </c:extLst>
            </c:dLbl>
            <c:dLbl>
              <c:idx val="6"/>
              <c:layout>
                <c:manualLayout>
                  <c:x val="-2.1657927878521738E-2"/>
                  <c:y val="-1.4042236242551701E-2"/>
                </c:manualLayout>
              </c:layout>
              <c:tx>
                <c:rich>
                  <a:bodyPr/>
                  <a:lstStyle/>
                  <a:p>
                    <a:fld id="{F5B3B5F8-77A5-4724-9135-2D905CBEB60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0-15F5-4017-B679-B12A82D3415D}"/>
                </c:ext>
              </c:extLst>
            </c:dLbl>
            <c:dLbl>
              <c:idx val="7"/>
              <c:layout>
                <c:manualLayout>
                  <c:x val="-2.3799622387217018E-2"/>
                  <c:y val="-1.4042236242551701E-2"/>
                </c:manualLayout>
              </c:layout>
              <c:tx>
                <c:rich>
                  <a:bodyPr/>
                  <a:lstStyle/>
                  <a:p>
                    <a:fld id="{195823B0-3FEE-4C68-AF64-2DDB0D4B72A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1-15F5-4017-B679-B12A82D3415D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F707602E-F4F0-4B21-BCF3-6ED57C3B13B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2-15F5-4017-B679-B12A82D3415D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16EC8577-0F7F-4E5B-9F2B-5CF4FBD80EE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3-15F5-4017-B679-B12A82D3415D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A3BBE572-A021-404B-BC30-C6787B8744C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4-15F5-4017-B679-B12A82D3415D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F233875F-2E28-4117-A587-B384F67D2F5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15F5-4017-B679-B12A82D3415D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FFBC48A9-AB2E-4474-AD81-F8EAB762D11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15F5-4017-B679-B12A82D3415D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66005E40-6439-429C-94FA-6B2DEC0A808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15F5-4017-B679-B12A82D3415D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AA7E2E80-0748-43AD-BA83-03E1FCCD1CD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15F5-4017-B679-B12A82D3415D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9D668E05-3053-4CEF-A591-22D062F8ECF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9-15F5-4017-B679-B12A82D3415D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5B8E177C-1BDC-46C0-B029-7897081C36D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A-15F5-4017-B679-B12A82D3415D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338B9737-64D4-432A-BF6C-187F19C3A6E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B-15F5-4017-B679-B12A82D3415D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68732F45-8E05-4459-9DA6-758B26448C5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15F5-4017-B679-B12A82D3415D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2DD1B31E-BE85-47F4-A946-32E0DB12140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D-15F5-4017-B679-B12A82D3415D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78616709-6F6A-4F41-BA61-CF7678CE38B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15F5-4017-B679-B12A82D3415D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A9DC5F55-219A-4EF5-9F22-1D261E20D74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0-15F5-4017-B679-B12A82D3415D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18951180-0B41-40FB-9CC8-010E09355F7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2EEA-49B8-8179-247B702C4ED3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8CFA2E0A-B7F5-452C-B498-2216EEDD3C3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98C6-47B0-888F-D559168C96BD}"/>
                </c:ext>
              </c:extLst>
            </c:dLbl>
            <c:dLbl>
              <c:idx val="24"/>
              <c:layout>
                <c:manualLayout>
                  <c:x val="-2.3803163771837695E-4"/>
                  <c:y val="-1.4924026649665658E-2"/>
                </c:manualLayout>
              </c:layout>
              <c:tx>
                <c:rich>
                  <a:bodyPr/>
                  <a:lstStyle/>
                  <a:p>
                    <a:fld id="{0128780A-2944-4E10-9010-570FFDD83AA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835A-4A39-A56C-FB9A879A82D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50" b="1" i="0" u="none" strike="noStrike" kern="1200" baseline="0">
                    <a:solidFill>
                      <a:srgbClr val="0F0E9A"/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đồ'!$E$6:$AO$7</c15:sqref>
                  </c15:fullRef>
                </c:ext>
              </c:extLst>
              <c:f>'Vẽ Biểu đồ'!$E$6:$AO$7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đồ'!$E$9:$AO$9</c15:sqref>
                  </c15:fullRef>
                </c:ext>
              </c:extLst>
              <c:f>('Vẽ Biểu đồ'!$E$9:$AB$9,'Vẽ Biểu đồ'!$AO$9)</c:f>
              <c:numCache>
                <c:formatCode>_(* #,##0_);_(* \(#,##0\);_(* "-"??_);_(@_)</c:formatCode>
                <c:ptCount val="25"/>
                <c:pt idx="0">
                  <c:v>1307.795918367347</c:v>
                </c:pt>
                <c:pt idx="1">
                  <c:v>1307.795918367347</c:v>
                </c:pt>
                <c:pt idx="2">
                  <c:v>1307.795918367347</c:v>
                </c:pt>
                <c:pt idx="3">
                  <c:v>1307.795918367347</c:v>
                </c:pt>
                <c:pt idx="4">
                  <c:v>1307.795918367347</c:v>
                </c:pt>
                <c:pt idx="5">
                  <c:v>1307.795918367347</c:v>
                </c:pt>
                <c:pt idx="6">
                  <c:v>1308.04</c:v>
                </c:pt>
                <c:pt idx="7">
                  <c:v>1308.04</c:v>
                </c:pt>
                <c:pt idx="8">
                  <c:v>1308.04</c:v>
                </c:pt>
                <c:pt idx="9">
                  <c:v>1288.04</c:v>
                </c:pt>
                <c:pt idx="10">
                  <c:v>1288.04</c:v>
                </c:pt>
                <c:pt idx="11">
                  <c:v>1288.04</c:v>
                </c:pt>
                <c:pt idx="12">
                  <c:v>1288.04</c:v>
                </c:pt>
                <c:pt idx="13">
                  <c:v>1288.04</c:v>
                </c:pt>
                <c:pt idx="14">
                  <c:v>1288.04</c:v>
                </c:pt>
                <c:pt idx="15">
                  <c:v>1238.04</c:v>
                </c:pt>
                <c:pt idx="16">
                  <c:v>1238.04</c:v>
                </c:pt>
                <c:pt idx="17">
                  <c:v>1238.04</c:v>
                </c:pt>
                <c:pt idx="18">
                  <c:v>1268.04</c:v>
                </c:pt>
                <c:pt idx="19">
                  <c:v>1268.04</c:v>
                </c:pt>
                <c:pt idx="20">
                  <c:v>1268.04</c:v>
                </c:pt>
                <c:pt idx="21">
                  <c:v>1268.04</c:v>
                </c:pt>
                <c:pt idx="22">
                  <c:v>1268.04</c:v>
                </c:pt>
                <c:pt idx="23">
                  <c:v>1268.04</c:v>
                </c:pt>
                <c:pt idx="24">
                  <c:v>1268.04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đồ'!$E$20:$AO$20</c15:f>
                <c15:dlblRangeCache>
                  <c:ptCount val="37"/>
                  <c:pt idx="0">
                    <c:v> 1,308 </c:v>
                  </c:pt>
                  <c:pt idx="1">
                    <c:v> 1,308 </c:v>
                  </c:pt>
                  <c:pt idx="2">
                    <c:v> 1,308 </c:v>
                  </c:pt>
                  <c:pt idx="3">
                    <c:v> 1,308 </c:v>
                  </c:pt>
                  <c:pt idx="4">
                    <c:v> 1,308 </c:v>
                  </c:pt>
                  <c:pt idx="5">
                    <c:v> 1,308 </c:v>
                  </c:pt>
                  <c:pt idx="6">
                    <c:v> 1,308 </c:v>
                  </c:pt>
                  <c:pt idx="7">
                    <c:v> 1,308 </c:v>
                  </c:pt>
                  <c:pt idx="8">
                    <c:v> 1,308 </c:v>
                  </c:pt>
                  <c:pt idx="9">
                    <c:v> 1,288 </c:v>
                  </c:pt>
                  <c:pt idx="10">
                    <c:v> 1,288 </c:v>
                  </c:pt>
                  <c:pt idx="11">
                    <c:v> 1,288 </c:v>
                  </c:pt>
                  <c:pt idx="12">
                    <c:v> 1,288 </c:v>
                  </c:pt>
                  <c:pt idx="13">
                    <c:v> 1,288 </c:v>
                  </c:pt>
                  <c:pt idx="14">
                    <c:v> 1,288 </c:v>
                  </c:pt>
                  <c:pt idx="15">
                    <c:v> 1,238 </c:v>
                  </c:pt>
                  <c:pt idx="16">
                    <c:v> 1,238 </c:v>
                  </c:pt>
                  <c:pt idx="17">
                    <c:v> 1,238 </c:v>
                  </c:pt>
                  <c:pt idx="18">
                    <c:v> 1,268 </c:v>
                  </c:pt>
                  <c:pt idx="19">
                    <c:v> 1,268 </c:v>
                  </c:pt>
                  <c:pt idx="20">
                    <c:v> 1,268 </c:v>
                  </c:pt>
                  <c:pt idx="21">
                    <c:v> 1,268 </c:v>
                  </c:pt>
                  <c:pt idx="22">
                    <c:v> 1,268 </c:v>
                  </c:pt>
                  <c:pt idx="23">
                    <c:v> 1,268 </c:v>
                  </c:pt>
                  <c:pt idx="36">
                    <c:v>UNILERVER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30-15F5-4017-B679-B12A82D3415D}"/>
            </c:ext>
          </c:extLst>
        </c:ser>
        <c:ser>
          <c:idx val="1"/>
          <c:order val="2"/>
          <c:tx>
            <c:strRef>
              <c:f>'Vẽ Biểu đồ'!$D$10</c:f>
              <c:strCache>
                <c:ptCount val="1"/>
                <c:pt idx="0">
                  <c:v>Lavie</c:v>
                </c:pt>
              </c:strCache>
            </c:strRef>
          </c:tx>
          <c:spPr>
            <a:ln w="28575" cap="rnd">
              <a:solidFill>
                <a:srgbClr val="999900"/>
              </a:solidFill>
              <a:round/>
            </a:ln>
            <a:effectLst/>
          </c:spPr>
          <c:marker>
            <c:symbol val="none"/>
          </c:marker>
          <c:dPt>
            <c:idx val="24"/>
            <c:marker>
              <c:symbol val="none"/>
            </c:marker>
            <c:bubble3D val="0"/>
            <c:spPr>
              <a:ln w="28575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835A-4A39-A56C-FB9A879A82D7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CE5DBBDC-B35F-4632-8066-ED8BD9597A5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15F5-4017-B679-B12A82D3415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5107F444-77FE-446D-8D1B-D3617ACF2BC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15F5-4017-B679-B12A82D3415D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C3392D55-15CD-42D0-B1AB-257560ADA52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15F5-4017-B679-B12A82D3415D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16314F73-0C48-455E-BAC4-40A014CF88D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15F5-4017-B679-B12A82D3415D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5B4B5A37-CB52-4A29-909A-89A49C559D2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7-15F5-4017-B679-B12A82D3415D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9AF00298-01D7-4F30-AD48-89A58A9EA19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8-15F5-4017-B679-B12A82D3415D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1D550A20-000A-4437-BD45-3DBAE5937A0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9-15F5-4017-B679-B12A82D3415D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5E20FC3B-6A7E-4BF5-A61B-6B5C548B487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A-15F5-4017-B679-B12A82D3415D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A0547750-2235-402A-B507-E9F565DD61C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B-15F5-4017-B679-B12A82D3415D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E46B325A-188E-4AE8-BCBA-03BDB82872A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C-15F5-4017-B679-B12A82D3415D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83336326-D10D-40E6-A10B-57DFDA1F99E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D-15F5-4017-B679-B12A82D3415D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5AE19AEB-F252-4682-B7F0-77BC45EA337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E-15F5-4017-B679-B12A82D3415D}"/>
                </c:ext>
              </c:extLst>
            </c:dLbl>
            <c:dLbl>
              <c:idx val="12"/>
              <c:layout>
                <c:manualLayout>
                  <c:x val="-4.0933178456779254E-2"/>
                  <c:y val="-1.1851559761654419E-2"/>
                </c:manualLayout>
              </c:layout>
              <c:tx>
                <c:rich>
                  <a:bodyPr/>
                  <a:lstStyle/>
                  <a:p>
                    <a:fld id="{678B46C6-F719-429E-9C43-DE0E2A0F8E9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F-15F5-4017-B679-B12A82D3415D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F52F223B-AD4E-4D00-B856-057463B4B91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0-15F5-4017-B679-B12A82D3415D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0635EA22-CB08-439E-9820-8FF8878611A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1-15F5-4017-B679-B12A82D3415D}"/>
                </c:ext>
              </c:extLst>
            </c:dLbl>
            <c:dLbl>
              <c:idx val="15"/>
              <c:layout>
                <c:manualLayout>
                  <c:x val="-2.5862255889329139E-2"/>
                  <c:y val="-1.2733412793007548E-2"/>
                </c:manualLayout>
              </c:layout>
              <c:tx>
                <c:rich>
                  <a:bodyPr/>
                  <a:lstStyle/>
                  <a:p>
                    <a:fld id="{89C17AF4-2724-49B4-9B97-547D210B5BD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2-15F5-4017-B679-B12A82D3415D}"/>
                </c:ext>
              </c:extLst>
            </c:dLbl>
            <c:dLbl>
              <c:idx val="16"/>
              <c:layout>
                <c:manualLayout>
                  <c:x val="-2.7080734472025556E-2"/>
                  <c:y val="-1.0746920937624155E-2"/>
                </c:manualLayout>
              </c:layout>
              <c:tx>
                <c:rich>
                  <a:bodyPr/>
                  <a:lstStyle/>
                  <a:p>
                    <a:fld id="{B7ED7C92-4541-4481-A08B-AE97AA61E2C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3-15F5-4017-B679-B12A82D3415D}"/>
                </c:ext>
              </c:extLst>
            </c:dLbl>
            <c:dLbl>
              <c:idx val="17"/>
              <c:layout>
                <c:manualLayout>
                  <c:x val="-2.7080734472025556E-2"/>
                  <c:y val="-1.0746920937624155E-2"/>
                </c:manualLayout>
              </c:layout>
              <c:tx>
                <c:rich>
                  <a:bodyPr/>
                  <a:lstStyle/>
                  <a:p>
                    <a:fld id="{CA460D0E-FACD-4D69-945E-95426EA41BC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44-15F5-4017-B679-B12A82D3415D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5-15F5-4017-B679-B12A82D3415D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342E450E-FBB2-4D83-BF95-2C3C697978B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6-15F5-4017-B679-B12A82D3415D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C39CEE02-2591-43A5-9801-AE4C21A4CCD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7-15F5-4017-B679-B12A82D3415D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80EF6CE7-F220-4DAE-B69C-80F24C851CC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3-15F5-4017-B679-B12A82D3415D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7D4BF55A-15FA-4311-8727-C938D3E0FD0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2EEA-49B8-8179-247B702C4ED3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51BEC027-3485-4D2C-A12D-9F04CD0CDB6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98C6-47B0-888F-D559168C96BD}"/>
                </c:ext>
              </c:extLst>
            </c:dLbl>
            <c:dLbl>
              <c:idx val="24"/>
              <c:layout>
                <c:manualLayout>
                  <c:x val="-2.0346097832605315E-2"/>
                  <c:y val="-2.3837837502173428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200" b="1" i="0" u="none" strike="noStrike" kern="1200" baseline="0">
                        <a:solidFill>
                          <a:srgbClr val="999900"/>
                        </a:solidFill>
                        <a:latin typeface="+mj-lt"/>
                        <a:ea typeface="+mn-ea"/>
                        <a:cs typeface="+mn-cs"/>
                      </a:defRPr>
                    </a:pPr>
                    <a:fld id="{621CFED8-2E5E-400F-8BB4-E205CADBA967}" type="CELLRANGE">
                      <a:rPr lang="en-US"/>
                      <a:pPr>
                        <a:defRPr sz="1200" b="1">
                          <a:solidFill>
                            <a:srgbClr val="999900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rgbClr val="999900"/>
                      </a:solidFill>
                      <a:latin typeface="+mj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835A-4A39-A56C-FB9A879A82D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50" b="1" i="0" u="none" strike="noStrike" kern="1200" baseline="0">
                    <a:solidFill>
                      <a:srgbClr val="999900"/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đồ'!$E$6:$AO$7</c15:sqref>
                  </c15:fullRef>
                </c:ext>
              </c:extLst>
              <c:f>'Vẽ Biểu đồ'!$E$6:$AO$7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đồ'!$E$10:$AO$10</c15:sqref>
                  </c15:fullRef>
                </c:ext>
              </c:extLst>
              <c:f>('Vẽ Biểu đồ'!$E$10:$AB$10,'Vẽ Biểu đồ'!$AO$10)</c:f>
              <c:numCache>
                <c:formatCode>_(* #,##0_);_(* \(#,##0\);_(* "-"??_);_(@_)</c:formatCode>
                <c:ptCount val="25"/>
                <c:pt idx="0">
                  <c:v>1250</c:v>
                </c:pt>
                <c:pt idx="1">
                  <c:v>1250</c:v>
                </c:pt>
                <c:pt idx="2">
                  <c:v>1250</c:v>
                </c:pt>
                <c:pt idx="3">
                  <c:v>1250</c:v>
                </c:pt>
                <c:pt idx="4">
                  <c:v>1250</c:v>
                </c:pt>
                <c:pt idx="5">
                  <c:v>1250</c:v>
                </c:pt>
                <c:pt idx="6">
                  <c:v>1330</c:v>
                </c:pt>
                <c:pt idx="7">
                  <c:v>1330</c:v>
                </c:pt>
                <c:pt idx="8">
                  <c:v>1330</c:v>
                </c:pt>
                <c:pt idx="9">
                  <c:v>1330</c:v>
                </c:pt>
                <c:pt idx="10">
                  <c:v>1330</c:v>
                </c:pt>
                <c:pt idx="11">
                  <c:v>1330</c:v>
                </c:pt>
                <c:pt idx="12">
                  <c:v>1250</c:v>
                </c:pt>
                <c:pt idx="13">
                  <c:v>1250</c:v>
                </c:pt>
                <c:pt idx="14">
                  <c:v>1250</c:v>
                </c:pt>
                <c:pt idx="15">
                  <c:v>1250</c:v>
                </c:pt>
                <c:pt idx="16">
                  <c:v>1250</c:v>
                </c:pt>
                <c:pt idx="17">
                  <c:v>1250</c:v>
                </c:pt>
                <c:pt idx="18">
                  <c:v>#N/A</c:v>
                </c:pt>
                <c:pt idx="19">
                  <c:v>1303.8316268486917</c:v>
                </c:pt>
                <c:pt idx="20">
                  <c:v>1303.8316268486917</c:v>
                </c:pt>
                <c:pt idx="21">
                  <c:v>1303.8316268486917</c:v>
                </c:pt>
                <c:pt idx="22">
                  <c:v>1303.8316268486917</c:v>
                </c:pt>
                <c:pt idx="23">
                  <c:v>1303.8316268486917</c:v>
                </c:pt>
                <c:pt idx="24">
                  <c:v>1303.8316268486917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đồ'!$E$21:$AO$21</c15:f>
                <c15:dlblRangeCache>
                  <c:ptCount val="37"/>
                  <c:pt idx="0">
                    <c:v> 1,250 </c:v>
                  </c:pt>
                  <c:pt idx="1">
                    <c:v> 1,250 </c:v>
                  </c:pt>
                  <c:pt idx="2">
                    <c:v> 1,250 </c:v>
                  </c:pt>
                  <c:pt idx="3">
                    <c:v> 1,250 </c:v>
                  </c:pt>
                  <c:pt idx="4">
                    <c:v> 1,250 </c:v>
                  </c:pt>
                  <c:pt idx="5">
                    <c:v> 1,250 </c:v>
                  </c:pt>
                  <c:pt idx="6">
                    <c:v> 1,330 </c:v>
                  </c:pt>
                  <c:pt idx="7">
                    <c:v> 1,330 </c:v>
                  </c:pt>
                  <c:pt idx="8">
                    <c:v> 1,330 </c:v>
                  </c:pt>
                  <c:pt idx="9">
                    <c:v> 1,330 </c:v>
                  </c:pt>
                  <c:pt idx="10">
                    <c:v> 1,330 </c:v>
                  </c:pt>
                  <c:pt idx="11">
                    <c:v> 1,330 </c:v>
                  </c:pt>
                  <c:pt idx="12">
                    <c:v> 1,250 </c:v>
                  </c:pt>
                  <c:pt idx="13">
                    <c:v> 1,250 </c:v>
                  </c:pt>
                  <c:pt idx="14">
                    <c:v> 1,250 </c:v>
                  </c:pt>
                  <c:pt idx="15">
                    <c:v> 1,250 </c:v>
                  </c:pt>
                  <c:pt idx="16">
                    <c:v> 1,250 </c:v>
                  </c:pt>
                  <c:pt idx="17">
                    <c:v> 1,250 </c:v>
                  </c:pt>
                  <c:pt idx="19">
                    <c:v> 1,304 </c:v>
                  </c:pt>
                  <c:pt idx="20">
                    <c:v> 1,304 </c:v>
                  </c:pt>
                  <c:pt idx="21">
                    <c:v> 1,304 </c:v>
                  </c:pt>
                  <c:pt idx="22">
                    <c:v> 1,304 </c:v>
                  </c:pt>
                  <c:pt idx="23">
                    <c:v> 1,304 </c:v>
                  </c:pt>
                  <c:pt idx="36">
                    <c:v>LAVIE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48-15F5-4017-B679-B12A82D3415D}"/>
            </c:ext>
          </c:extLst>
        </c:ser>
        <c:ser>
          <c:idx val="2"/>
          <c:order val="3"/>
          <c:tx>
            <c:strRef>
              <c:f>'Vẽ Biểu đồ'!$D$11</c:f>
              <c:strCache>
                <c:ptCount val="1"/>
                <c:pt idx="0">
                  <c:v>Giá duyệt</c:v>
                </c:pt>
              </c:strCache>
            </c:strRef>
          </c:tx>
          <c:spPr>
            <a:ln w="34925" cap="rnd">
              <a:solidFill>
                <a:schemeClr val="accent1">
                  <a:lumMod val="75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dPt>
            <c:idx val="24"/>
            <c:marker>
              <c:symbol val="none"/>
            </c:marker>
            <c:bubble3D val="0"/>
            <c:spPr>
              <a:ln w="12700" cap="rnd">
                <a:noFill/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835A-4A39-A56C-FB9A879A82D7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CF96DE80-0B7B-4468-9C89-71EAF0B009C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B-15F5-4017-B679-B12A82D3415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3D9798C0-201B-4D21-9B22-E96E9D1CB57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C-15F5-4017-B679-B12A82D3415D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0EFC747C-7E19-4868-B04C-0984818E140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D-15F5-4017-B679-B12A82D3415D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750B43CC-9248-4116-8D2C-06681FB4227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E-15F5-4017-B679-B12A82D3415D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9EFE2009-D12A-431E-A7FA-3E483AAC425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F-15F5-4017-B679-B12A82D3415D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D7EA775B-8A89-46F9-A3A5-7315C8F3612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0-15F5-4017-B679-B12A82D3415D}"/>
                </c:ext>
              </c:extLst>
            </c:dLbl>
            <c:dLbl>
              <c:idx val="6"/>
              <c:layout>
                <c:manualLayout>
                  <c:x val="-2.3009809298124548E-2"/>
                  <c:y val="2.1906764808973012E-2"/>
                </c:manualLayout>
              </c:layout>
              <c:tx>
                <c:rich>
                  <a:bodyPr/>
                  <a:lstStyle/>
                  <a:p>
                    <a:fld id="{AE4CE68C-0AEA-425C-AF58-68FBDD20812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51-15F5-4017-B679-B12A82D3415D}"/>
                </c:ext>
              </c:extLst>
            </c:dLbl>
            <c:dLbl>
              <c:idx val="7"/>
              <c:layout>
                <c:manualLayout>
                  <c:x val="-2.3009809298124548E-2"/>
                  <c:y val="2.1906764808973012E-2"/>
                </c:manualLayout>
              </c:layout>
              <c:tx>
                <c:rich>
                  <a:bodyPr/>
                  <a:lstStyle/>
                  <a:p>
                    <a:fld id="{FB40C044-F86B-4830-80DF-3520D285CEF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52-15F5-4017-B679-B12A82D3415D}"/>
                </c:ext>
              </c:extLst>
            </c:dLbl>
            <c:dLbl>
              <c:idx val="8"/>
              <c:layout>
                <c:manualLayout>
                  <c:x val="-2.1938962043776912E-2"/>
                  <c:y val="-5.2795303189625059E-3"/>
                </c:manualLayout>
              </c:layout>
              <c:tx>
                <c:rich>
                  <a:bodyPr/>
                  <a:lstStyle/>
                  <a:p>
                    <a:fld id="{FF0D219D-2BCA-47F6-97C4-05CA6ABA9AF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53-15F5-4017-B679-B12A82D3415D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7E804E19-CACB-4376-80C9-8B81DC26C2A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4-15F5-4017-B679-B12A82D3415D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FCFCFA71-DB5E-45F6-8154-0C274D82EFF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5-15F5-4017-B679-B12A82D3415D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A0C3B6E3-D800-44BB-A63A-FD3302938EB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6-15F5-4017-B679-B12A82D3415D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732FC78D-4EBD-4B4A-B9FB-8E6B2D59F29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7-15F5-4017-B679-B12A82D3415D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0478DA84-0147-4D04-A40E-37C666A62FC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8-15F5-4017-B679-B12A82D3415D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708D0813-69E9-402A-AC38-B9B315E22A6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9-15F5-4017-B679-B12A82D3415D}"/>
                </c:ext>
              </c:extLst>
            </c:dLbl>
            <c:dLbl>
              <c:idx val="15"/>
              <c:layout>
                <c:manualLayout>
                  <c:x val="-2.6182130503085821E-2"/>
                  <c:y val="-4.0544298768375051E-2"/>
                </c:manualLayout>
              </c:layout>
              <c:tx>
                <c:rich>
                  <a:bodyPr/>
                  <a:lstStyle/>
                  <a:p>
                    <a:fld id="{66139E27-DF41-4C31-9F8E-FA2DE0ED5E9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5A-15F5-4017-B679-B12A82D3415D}"/>
                </c:ext>
              </c:extLst>
            </c:dLbl>
            <c:dLbl>
              <c:idx val="16"/>
              <c:layout>
                <c:manualLayout>
                  <c:x val="-2.6182130503085821E-2"/>
                  <c:y val="-4.0544298768375051E-2"/>
                </c:manualLayout>
              </c:layout>
              <c:tx>
                <c:rich>
                  <a:bodyPr/>
                  <a:lstStyle/>
                  <a:p>
                    <a:fld id="{76114924-0EDA-4060-99A5-F094EB4DAC7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5B-15F5-4017-B679-B12A82D3415D}"/>
                </c:ext>
              </c:extLst>
            </c:dLbl>
            <c:dLbl>
              <c:idx val="17"/>
              <c:layout>
                <c:manualLayout>
                  <c:x val="-2.6182130503085821E-2"/>
                  <c:y val="-4.0544298768375051E-2"/>
                </c:manualLayout>
              </c:layout>
              <c:tx>
                <c:rich>
                  <a:bodyPr/>
                  <a:lstStyle/>
                  <a:p>
                    <a:fld id="{89F1F404-E46B-4F6E-8645-FCCDA2B4725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5C-15F5-4017-B679-B12A82D3415D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EEE2DB03-85C5-45CE-858B-6F504BCC214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D-15F5-4017-B679-B12A82D3415D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F174FE1A-3C38-4839-9E86-BDC6455B60E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E-15F5-4017-B679-B12A82D3415D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FF37557F-18E4-415E-9379-6C929D1611D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5F-15F5-4017-B679-B12A82D3415D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6D6BDBC0-AF96-41E6-B1B9-764E907CB20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6-15F5-4017-B679-B12A82D3415D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887C27CD-D3C8-4EBF-A762-EF33038C99E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2EEA-49B8-8179-247B702C4ED3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9484DF69-2600-486E-9715-1AB9A9B96F3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98C6-47B0-888F-D559168C96BD}"/>
                </c:ext>
              </c:extLst>
            </c:dLbl>
            <c:dLbl>
              <c:idx val="24"/>
              <c:layout>
                <c:manualLayout>
                  <c:x val="-5.3542784310789213E-3"/>
                  <c:y val="2.3949958739384707E-3"/>
                </c:manualLayout>
              </c:layout>
              <c:tx>
                <c:rich>
                  <a:bodyPr/>
                  <a:lstStyle/>
                  <a:p>
                    <a:fld id="{EE86F4ED-A0C5-4473-A2B8-9EEA4C9898D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0679601826949724E-2"/>
                      <c:h val="4.1338065194532064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835A-4A39-A56C-FB9A879A82D7}"/>
                </c:ext>
              </c:extLst>
            </c:dLbl>
            <c:spPr>
              <a:solidFill>
                <a:schemeClr val="lt1"/>
              </a:solidFill>
              <a:ln w="19050" cap="flat" cmpd="sng" algn="ctr">
                <a:solidFill>
                  <a:schemeClr val="accent1">
                    <a:lumMod val="75000"/>
                  </a:schemeClr>
                </a:solidFill>
                <a:prstDash val="solid"/>
                <a:miter lim="800000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50" b="1" i="0" u="none" strike="noStrike" kern="1200" baseline="0">
                    <a:solidFill>
                      <a:schemeClr val="accen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đồ'!$E$6:$AO$7</c15:sqref>
                  </c15:fullRef>
                </c:ext>
              </c:extLst>
              <c:f>'Vẽ Biểu đồ'!$E$6:$AO$7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đồ'!$E$11:$AO$11</c15:sqref>
                  </c15:fullRef>
                </c:ext>
              </c:extLst>
              <c:f>('Vẽ Biểu đồ'!$E$11:$AB$11,'Vẽ Biểu đồ'!$AO$11)</c:f>
              <c:numCache>
                <c:formatCode>_(* #,##0_);_(* \(#,##0\);_(* "-"??_);_(@_)</c:formatCode>
                <c:ptCount val="25"/>
                <c:pt idx="0">
                  <c:v>1250</c:v>
                </c:pt>
                <c:pt idx="1">
                  <c:v>1250</c:v>
                </c:pt>
                <c:pt idx="2">
                  <c:v>1250</c:v>
                </c:pt>
                <c:pt idx="3">
                  <c:v>1250</c:v>
                </c:pt>
                <c:pt idx="4">
                  <c:v>1300</c:v>
                </c:pt>
                <c:pt idx="5">
                  <c:v>1300</c:v>
                </c:pt>
                <c:pt idx="6">
                  <c:v>1300</c:v>
                </c:pt>
                <c:pt idx="7">
                  <c:v>1300</c:v>
                </c:pt>
                <c:pt idx="8">
                  <c:v>1310</c:v>
                </c:pt>
                <c:pt idx="9">
                  <c:v>1325</c:v>
                </c:pt>
                <c:pt idx="10">
                  <c:v>1325</c:v>
                </c:pt>
                <c:pt idx="11">
                  <c:v>1275</c:v>
                </c:pt>
                <c:pt idx="12">
                  <c:v>1230</c:v>
                </c:pt>
                <c:pt idx="13">
                  <c:v>1230</c:v>
                </c:pt>
                <c:pt idx="14">
                  <c:v>1230</c:v>
                </c:pt>
                <c:pt idx="15">
                  <c:v>1250</c:v>
                </c:pt>
                <c:pt idx="16">
                  <c:v>1250</c:v>
                </c:pt>
                <c:pt idx="17">
                  <c:v>1250</c:v>
                </c:pt>
                <c:pt idx="18">
                  <c:v>1250</c:v>
                </c:pt>
                <c:pt idx="19">
                  <c:v>1220</c:v>
                </c:pt>
                <c:pt idx="20">
                  <c:v>1220</c:v>
                </c:pt>
                <c:pt idx="21">
                  <c:v>1210</c:v>
                </c:pt>
                <c:pt idx="22">
                  <c:v>1200</c:v>
                </c:pt>
                <c:pt idx="23">
                  <c:v>1200</c:v>
                </c:pt>
                <c:pt idx="24">
                  <c:v>1200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đồ'!$E$22:$AO$22</c15:f>
                <c15:dlblRangeCache>
                  <c:ptCount val="37"/>
                  <c:pt idx="0">
                    <c:v> 1,250 </c:v>
                  </c:pt>
                  <c:pt idx="1">
                    <c:v> 1,250 </c:v>
                  </c:pt>
                  <c:pt idx="2">
                    <c:v> 1,250 </c:v>
                  </c:pt>
                  <c:pt idx="3">
                    <c:v> 1,250 </c:v>
                  </c:pt>
                  <c:pt idx="4">
                    <c:v> 1,300 </c:v>
                  </c:pt>
                  <c:pt idx="5">
                    <c:v> 1,300 </c:v>
                  </c:pt>
                  <c:pt idx="6">
                    <c:v> 1,300 </c:v>
                  </c:pt>
                  <c:pt idx="7">
                    <c:v> 1,300 </c:v>
                  </c:pt>
                  <c:pt idx="8">
                    <c:v> 1,310 </c:v>
                  </c:pt>
                  <c:pt idx="9">
                    <c:v> 1,325 </c:v>
                  </c:pt>
                  <c:pt idx="10">
                    <c:v> 1,325 </c:v>
                  </c:pt>
                  <c:pt idx="11">
                    <c:v> 1,275 </c:v>
                  </c:pt>
                  <c:pt idx="12">
                    <c:v> 1,230 </c:v>
                  </c:pt>
                  <c:pt idx="13">
                    <c:v> 1,230 </c:v>
                  </c:pt>
                  <c:pt idx="14">
                    <c:v> 1,230 </c:v>
                  </c:pt>
                  <c:pt idx="15">
                    <c:v> 1,250 </c:v>
                  </c:pt>
                  <c:pt idx="16">
                    <c:v> 1,250 </c:v>
                  </c:pt>
                  <c:pt idx="17">
                    <c:v> 1,250 </c:v>
                  </c:pt>
                  <c:pt idx="18">
                    <c:v> 1,250 </c:v>
                  </c:pt>
                  <c:pt idx="19">
                    <c:v> 1,220 </c:v>
                  </c:pt>
                  <c:pt idx="20">
                    <c:v> 1,220 </c:v>
                  </c:pt>
                  <c:pt idx="21">
                    <c:v> 1,210 </c:v>
                  </c:pt>
                  <c:pt idx="22">
                    <c:v> 1,200 </c:v>
                  </c:pt>
                  <c:pt idx="23">
                    <c:v> 1,200 </c:v>
                  </c:pt>
                  <c:pt idx="36">
                    <c:v>Giá duyệt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60-15F5-4017-B679-B12A82D3415D}"/>
            </c:ext>
          </c:extLst>
        </c:ser>
        <c:ser>
          <c:idx val="3"/>
          <c:order val="4"/>
          <c:tx>
            <c:strRef>
              <c:f>'Vẽ Biểu đồ'!$D$12</c:f>
              <c:strCache>
                <c:ptCount val="1"/>
                <c:pt idx="0">
                  <c:v>Giá chính phẩm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Pt>
            <c:idx val="24"/>
            <c:marker>
              <c:symbol val="none"/>
            </c:marker>
            <c:bubble3D val="0"/>
            <c:spPr>
              <a:ln w="1270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835A-4A39-A56C-FB9A879A82D7}"/>
              </c:ext>
            </c:extLst>
          </c:dPt>
          <c:dLbls>
            <c:dLbl>
              <c:idx val="17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3.9831290240567301E-2"/>
                      <c:h val="2.537869285648627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63-15F5-4017-B679-B12A82D3415D}"/>
                </c:ext>
              </c:extLst>
            </c:dLbl>
            <c:dLbl>
              <c:idx val="24"/>
              <c:tx>
                <c:rich>
                  <a:bodyPr rot="0" spcFirstLastPara="1" vertOverflow="ellipsis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1300" b="1" i="0" u="none" strike="noStrike" kern="1200" baseline="0">
                        <a:solidFill>
                          <a:schemeClr val="accent4"/>
                        </a:solidFill>
                        <a:latin typeface="+mj-lt"/>
                        <a:ea typeface="+mn-ea"/>
                        <a:cs typeface="+mn-cs"/>
                      </a:defRPr>
                    </a:pPr>
                    <a:fld id="{A71D2A28-8989-4008-9857-505C0FA860D7}" type="CELLRANGE">
                      <a:rPr lang="en-US" sz="1200"/>
                      <a:pPr>
                        <a:defRPr sz="1300" b="1">
                          <a:solidFill>
                            <a:schemeClr val="accent4"/>
                          </a:solidFill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300" b="1" i="0" u="none" strike="noStrike" kern="1200" baseline="0">
                      <a:solidFill>
                        <a:schemeClr val="accent4"/>
                      </a:solidFill>
                      <a:latin typeface="+mj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8.2164929364554176E-2"/>
                      <c:h val="0.11615760175088524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835A-4A39-A56C-FB9A879A82D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horzOverflow="clip" vert="horz" wrap="square" lIns="38100" tIns="19050" rIns="38100" bIns="19050" anchor="ctr" anchorCtr="1">
                <a:no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accent4"/>
                    </a:solidFill>
                    <a:latin typeface="+mj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đồ'!$E$6:$AO$7</c15:sqref>
                  </c15:fullRef>
                </c:ext>
              </c:extLst>
              <c:f>'Vẽ Biểu đồ'!$E$6:$AO$7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đồ'!$E$12:$AO$12</c15:sqref>
                  </c15:fullRef>
                </c:ext>
              </c:extLst>
              <c:f>('Vẽ Biểu đồ'!$E$12:$AB$12,'Vẽ Biểu đồ'!$AO$12)</c:f>
              <c:numCache>
                <c:formatCode>_(* #,##0_);_(* \(#,##0\);_(* "-"??_);_(@_)</c:formatCode>
                <c:ptCount val="25"/>
                <c:pt idx="0">
                  <c:v>930</c:v>
                </c:pt>
                <c:pt idx="1">
                  <c:v>943.33333333333337</c:v>
                </c:pt>
                <c:pt idx="2">
                  <c:v>940</c:v>
                </c:pt>
                <c:pt idx="3">
                  <c:v>940</c:v>
                </c:pt>
                <c:pt idx="4">
                  <c:v>942</c:v>
                </c:pt>
                <c:pt idx="5">
                  <c:v>950</c:v>
                </c:pt>
                <c:pt idx="6">
                  <c:v>947.5</c:v>
                </c:pt>
                <c:pt idx="7">
                  <c:v>930</c:v>
                </c:pt>
                <c:pt idx="8">
                  <c:v>880</c:v>
                </c:pt>
                <c:pt idx="9">
                  <c:v>862.5</c:v>
                </c:pt>
                <c:pt idx="10">
                  <c:v>852</c:v>
                </c:pt>
                <c:pt idx="11">
                  <c:v>830</c:v>
                </c:pt>
                <c:pt idx="12">
                  <c:v>828</c:v>
                </c:pt>
                <c:pt idx="13">
                  <c:v>840</c:v>
                </c:pt>
                <c:pt idx="14">
                  <c:v>823</c:v>
                </c:pt>
                <c:pt idx="15">
                  <c:v>765</c:v>
                </c:pt>
                <c:pt idx="16">
                  <c:v>782</c:v>
                </c:pt>
                <c:pt idx="17">
                  <c:v>807.5</c:v>
                </c:pt>
                <c:pt idx="18">
                  <c:v>802</c:v>
                </c:pt>
                <c:pt idx="19">
                  <c:v>795</c:v>
                </c:pt>
                <c:pt idx="20">
                  <c:v>783</c:v>
                </c:pt>
                <c:pt idx="21">
                  <c:v>772</c:v>
                </c:pt>
                <c:pt idx="22">
                  <c:v>770</c:v>
                </c:pt>
                <c:pt idx="23">
                  <c:v>770</c:v>
                </c:pt>
                <c:pt idx="24">
                  <c:v>770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đồ'!$E$23:$AO$23</c15:f>
                <c15:dlblRangeCache>
                  <c:ptCount val="37"/>
                  <c:pt idx="0">
                    <c:v> 930 </c:v>
                  </c:pt>
                  <c:pt idx="1">
                    <c:v> 943 </c:v>
                  </c:pt>
                  <c:pt idx="2">
                    <c:v> 940 </c:v>
                  </c:pt>
                  <c:pt idx="3">
                    <c:v> 940 </c:v>
                  </c:pt>
                  <c:pt idx="4">
                    <c:v> 942 </c:v>
                  </c:pt>
                  <c:pt idx="5">
                    <c:v> 950 </c:v>
                  </c:pt>
                  <c:pt idx="6">
                    <c:v> 948 </c:v>
                  </c:pt>
                  <c:pt idx="7">
                    <c:v> 930 </c:v>
                  </c:pt>
                  <c:pt idx="8">
                    <c:v> 880 </c:v>
                  </c:pt>
                  <c:pt idx="9">
                    <c:v> 863 </c:v>
                  </c:pt>
                  <c:pt idx="10">
                    <c:v> 852 </c:v>
                  </c:pt>
                  <c:pt idx="11">
                    <c:v> 830 </c:v>
                  </c:pt>
                  <c:pt idx="12">
                    <c:v> 828 </c:v>
                  </c:pt>
                  <c:pt idx="13">
                    <c:v> 840 </c:v>
                  </c:pt>
                  <c:pt idx="14">
                    <c:v> 823 </c:v>
                  </c:pt>
                  <c:pt idx="15">
                    <c:v> 765 </c:v>
                  </c:pt>
                  <c:pt idx="16">
                    <c:v> 782 </c:v>
                  </c:pt>
                  <c:pt idx="17">
                    <c:v> 808 </c:v>
                  </c:pt>
                  <c:pt idx="18">
                    <c:v> 802 </c:v>
                  </c:pt>
                  <c:pt idx="19">
                    <c:v> 795 </c:v>
                  </c:pt>
                  <c:pt idx="20">
                    <c:v> 783 </c:v>
                  </c:pt>
                  <c:pt idx="21">
                    <c:v> 772 </c:v>
                  </c:pt>
                  <c:pt idx="22">
                    <c:v> 770 </c:v>
                  </c:pt>
                  <c:pt idx="23">
                    <c:v> 770 </c:v>
                  </c:pt>
                  <c:pt idx="36">
                    <c:v>Giá chính phẩm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64-15F5-4017-B679-B12A82D3415D}"/>
            </c:ext>
          </c:extLst>
        </c:ser>
        <c:ser>
          <c:idx val="6"/>
          <c:order val="5"/>
          <c:tx>
            <c:strRef>
              <c:f>'Vẽ Biểu đồ'!$D$15</c:f>
              <c:strCache>
                <c:ptCount val="1"/>
                <c:pt idx="0">
                  <c:v>Chênh lệch-Line Drop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errBars>
            <c:errDir val="y"/>
            <c:errBarType val="minus"/>
            <c:errValType val="cust"/>
            <c:noEndCap val="1"/>
            <c:plus>
              <c:numRef>
                <c:extLst>
                  <c:ext xmlns:c15="http://schemas.microsoft.com/office/drawing/2012/chart" uri="{02D57815-91ED-43cb-92C2-25804820EDAC}">
                    <c15:fullRef>
                      <c15:sqref>'Vẽ Biểu đồ'!$E$13:$AO$13</c15:sqref>
                    </c15:fullRef>
                  </c:ext>
                </c:extLst>
                <c:f>('Vẽ Biểu đồ'!$E$13:$AB$13,'Vẽ Biểu đồ'!$AO$13)</c:f>
                <c:numCache>
                  <c:formatCode>General</c:formatCode>
                  <c:ptCount val="25"/>
                  <c:pt idx="0">
                    <c:v>320</c:v>
                  </c:pt>
                  <c:pt idx="1">
                    <c:v>306.66666666666663</c:v>
                  </c:pt>
                  <c:pt idx="2">
                    <c:v>310</c:v>
                  </c:pt>
                  <c:pt idx="3">
                    <c:v>310</c:v>
                  </c:pt>
                  <c:pt idx="4">
                    <c:v>358</c:v>
                  </c:pt>
                  <c:pt idx="5">
                    <c:v>350</c:v>
                  </c:pt>
                  <c:pt idx="6">
                    <c:v>352.5</c:v>
                  </c:pt>
                  <c:pt idx="7">
                    <c:v>370</c:v>
                  </c:pt>
                  <c:pt idx="8">
                    <c:v>430</c:v>
                  </c:pt>
                  <c:pt idx="9">
                    <c:v>462.5</c:v>
                  </c:pt>
                  <c:pt idx="10">
                    <c:v>473</c:v>
                  </c:pt>
                  <c:pt idx="11">
                    <c:v>445</c:v>
                  </c:pt>
                  <c:pt idx="12">
                    <c:v>402</c:v>
                  </c:pt>
                  <c:pt idx="13">
                    <c:v>390</c:v>
                  </c:pt>
                  <c:pt idx="14">
                    <c:v>407</c:v>
                  </c:pt>
                  <c:pt idx="15">
                    <c:v>485</c:v>
                  </c:pt>
                  <c:pt idx="16">
                    <c:v>468</c:v>
                  </c:pt>
                  <c:pt idx="17">
                    <c:v>442.5</c:v>
                  </c:pt>
                  <c:pt idx="18">
                    <c:v>448</c:v>
                  </c:pt>
                  <c:pt idx="19">
                    <c:v>425</c:v>
                  </c:pt>
                  <c:pt idx="20">
                    <c:v>437</c:v>
                  </c:pt>
                  <c:pt idx="21">
                    <c:v>438</c:v>
                  </c:pt>
                  <c:pt idx="22">
                    <c:v>430</c:v>
                  </c:pt>
                  <c:pt idx="23">
                    <c:v>430</c:v>
                  </c:pt>
                </c:numCache>
              </c:numRef>
            </c:plus>
            <c:minus>
              <c:numRef>
                <c:extLst>
                  <c:ext xmlns:c15="http://schemas.microsoft.com/office/drawing/2012/chart" uri="{02D57815-91ED-43cb-92C2-25804820EDAC}">
                    <c15:fullRef>
                      <c15:sqref>'Vẽ Biểu đồ'!$E$13:$AO$13</c15:sqref>
                    </c15:fullRef>
                  </c:ext>
                </c:extLst>
                <c:f>('Vẽ Biểu đồ'!$E$13:$AB$13,'Vẽ Biểu đồ'!$AO$13)</c:f>
                <c:numCache>
                  <c:formatCode>General</c:formatCode>
                  <c:ptCount val="25"/>
                  <c:pt idx="0">
                    <c:v>320</c:v>
                  </c:pt>
                  <c:pt idx="1">
                    <c:v>306.66666666666663</c:v>
                  </c:pt>
                  <c:pt idx="2">
                    <c:v>310</c:v>
                  </c:pt>
                  <c:pt idx="3">
                    <c:v>310</c:v>
                  </c:pt>
                  <c:pt idx="4">
                    <c:v>358</c:v>
                  </c:pt>
                  <c:pt idx="5">
                    <c:v>350</c:v>
                  </c:pt>
                  <c:pt idx="6">
                    <c:v>352.5</c:v>
                  </c:pt>
                  <c:pt idx="7">
                    <c:v>370</c:v>
                  </c:pt>
                  <c:pt idx="8">
                    <c:v>430</c:v>
                  </c:pt>
                  <c:pt idx="9">
                    <c:v>462.5</c:v>
                  </c:pt>
                  <c:pt idx="10">
                    <c:v>473</c:v>
                  </c:pt>
                  <c:pt idx="11">
                    <c:v>445</c:v>
                  </c:pt>
                  <c:pt idx="12">
                    <c:v>402</c:v>
                  </c:pt>
                  <c:pt idx="13">
                    <c:v>390</c:v>
                  </c:pt>
                  <c:pt idx="14">
                    <c:v>407</c:v>
                  </c:pt>
                  <c:pt idx="15">
                    <c:v>485</c:v>
                  </c:pt>
                  <c:pt idx="16">
                    <c:v>468</c:v>
                  </c:pt>
                  <c:pt idx="17">
                    <c:v>442.5</c:v>
                  </c:pt>
                  <c:pt idx="18">
                    <c:v>448</c:v>
                  </c:pt>
                  <c:pt idx="19">
                    <c:v>425</c:v>
                  </c:pt>
                  <c:pt idx="20">
                    <c:v>437</c:v>
                  </c:pt>
                  <c:pt idx="21">
                    <c:v>438</c:v>
                  </c:pt>
                  <c:pt idx="22">
                    <c:v>430</c:v>
                  </c:pt>
                  <c:pt idx="23">
                    <c:v>430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bg1">
                    <a:lumMod val="85000"/>
                  </a:schemeClr>
                </a:solidFill>
                <a:prstDash val="sysDot"/>
                <a:round/>
                <a:headEnd type="triangle"/>
                <a:tailEnd type="triangle"/>
              </a:ln>
              <a:effectLst/>
            </c:spPr>
          </c:errBar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đồ'!$E$6:$AO$7</c15:sqref>
                  </c15:fullRef>
                </c:ext>
              </c:extLst>
              <c:f>'Vẽ Biểu đồ'!$E$6:$AO$7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đồ'!$E$15:$AO$15</c15:sqref>
                  </c15:fullRef>
                </c:ext>
              </c:extLst>
              <c:f>('Vẽ Biểu đồ'!$E$15:$AB$15,'Vẽ Biểu đồ'!$AO$15)</c:f>
              <c:numCache>
                <c:formatCode>_(* #,##0_);_(* \(#,##0\);_(* "-"??_);_(@_)</c:formatCode>
                <c:ptCount val="25"/>
                <c:pt idx="0">
                  <c:v>1250</c:v>
                </c:pt>
                <c:pt idx="1">
                  <c:v>1250</c:v>
                </c:pt>
                <c:pt idx="2">
                  <c:v>1250</c:v>
                </c:pt>
                <c:pt idx="3">
                  <c:v>1250</c:v>
                </c:pt>
                <c:pt idx="4">
                  <c:v>1300</c:v>
                </c:pt>
                <c:pt idx="5">
                  <c:v>1300</c:v>
                </c:pt>
                <c:pt idx="6">
                  <c:v>1300</c:v>
                </c:pt>
                <c:pt idx="7">
                  <c:v>1300</c:v>
                </c:pt>
                <c:pt idx="8">
                  <c:v>1310</c:v>
                </c:pt>
                <c:pt idx="9">
                  <c:v>1325</c:v>
                </c:pt>
                <c:pt idx="10">
                  <c:v>1325</c:v>
                </c:pt>
                <c:pt idx="11">
                  <c:v>1275</c:v>
                </c:pt>
                <c:pt idx="12">
                  <c:v>1230</c:v>
                </c:pt>
                <c:pt idx="13">
                  <c:v>1230</c:v>
                </c:pt>
                <c:pt idx="14">
                  <c:v>1230</c:v>
                </c:pt>
                <c:pt idx="15">
                  <c:v>1250</c:v>
                </c:pt>
                <c:pt idx="16">
                  <c:v>1250</c:v>
                </c:pt>
                <c:pt idx="17">
                  <c:v>1250</c:v>
                </c:pt>
                <c:pt idx="18">
                  <c:v>1250</c:v>
                </c:pt>
                <c:pt idx="19">
                  <c:v>1220</c:v>
                </c:pt>
                <c:pt idx="20">
                  <c:v>1220</c:v>
                </c:pt>
                <c:pt idx="21">
                  <c:v>1210</c:v>
                </c:pt>
                <c:pt idx="22">
                  <c:v>1200</c:v>
                </c:pt>
                <c:pt idx="23">
                  <c:v>1200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5-15F5-4017-B679-B12A82D3415D}"/>
            </c:ext>
          </c:extLst>
        </c:ser>
        <c:ser>
          <c:idx val="7"/>
          <c:order val="8"/>
          <c:tx>
            <c:strRef>
              <c:f>'Vẽ Biểu đồ'!$D$16</c:f>
              <c:strCache>
                <c:ptCount val="1"/>
                <c:pt idx="0">
                  <c:v>Chênh lệch-Label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fld id="{2769A46E-FEF5-4100-8763-1BFABD12F66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6-15F5-4017-B679-B12A82D3415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CA1E3B52-200D-422D-BA87-0959D4ADA26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7-15F5-4017-B679-B12A82D3415D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48634AD9-1A4B-4F25-8920-CCAD7C993B1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8-15F5-4017-B679-B12A82D3415D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AF64E41E-6AEC-4C7C-86D7-DF36C7407FE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9-15F5-4017-B679-B12A82D3415D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DE697F91-1C02-4770-AD0A-851BD547C7E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A-15F5-4017-B679-B12A82D3415D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3A5C9829-9F60-44F0-9C21-5FAF7330378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B-15F5-4017-B679-B12A82D3415D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8AE356C7-59C6-45F6-81D3-E1C6B08E8E7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C-15F5-4017-B679-B12A82D3415D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3754B8C7-A2A8-491C-B988-1741205D89C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D-15F5-4017-B679-B12A82D3415D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A44C828B-A397-4E82-BA22-83FB8E9332A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E-15F5-4017-B679-B12A82D3415D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8C7FBE29-356A-44DA-952E-599C33190DA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6F-15F5-4017-B679-B12A82D3415D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E3D19CAF-12E4-4089-9E0C-BA1CE1D3F1D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0-15F5-4017-B679-B12A82D3415D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8F3C3DAC-48F8-45F1-9AFC-FAD3DF13FB5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1-15F5-4017-B679-B12A82D3415D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60371DFE-FCCE-42D9-B0AD-AE5D7E3F8CB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2-15F5-4017-B679-B12A82D3415D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BEAB5CE0-EAB1-4697-AAC2-CD62FBA94FD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3-15F5-4017-B679-B12A82D3415D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6BD4C982-28A7-4E89-85D3-46829A08530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4-15F5-4017-B679-B12A82D3415D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C4428D29-E0F2-4F79-A3D9-596882E7026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5-15F5-4017-B679-B12A82D3415D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D381599E-937F-4A03-BD0B-E0565BE1B89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6-15F5-4017-B679-B12A82D3415D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D49FDD28-949E-4369-970D-FCE36BD0D46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7-15F5-4017-B679-B12A82D3415D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813F2089-F8C2-4E10-A7F2-9B267A9640A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8-15F5-4017-B679-B12A82D3415D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D184619D-3B4D-4324-BDC1-1B8C9DC7C2C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9-15F5-4017-B679-B12A82D3415D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B6FA050C-FAF8-4CCE-934E-AA15FF9C959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7A-15F5-4017-B679-B12A82D3415D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C44DCCBF-28EE-4CA7-B6B9-00B3219023D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89-15F5-4017-B679-B12A82D3415D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FF54619F-F58F-41E4-BE32-17C9571FF25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2EEA-49B8-8179-247B702C4ED3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C2340049-D3BA-4E95-8FA0-CF52D8ED079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98C6-47B0-888F-D559168C96BD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46-98C6-47B0-888F-D559168C96BD}"/>
                </c:ext>
              </c:extLst>
            </c:dLbl>
            <c:spPr>
              <a:solidFill>
                <a:schemeClr val="bg1"/>
              </a:solidFill>
              <a:ln w="9525" cap="flat" cmpd="sng" algn="ctr">
                <a:solidFill>
                  <a:schemeClr val="bg1">
                    <a:lumMod val="75000"/>
                  </a:schemeClr>
                </a:solidFill>
                <a:prstDash val="solid"/>
                <a:miter lim="800000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1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'Vẽ Biểu đồ'!$E$6:$AO$7</c15:sqref>
                  </c15:fullRef>
                </c:ext>
              </c:extLst>
              <c:f>'Vẽ Biểu đồ'!$E$6:$AO$7</c:f>
              <c:multiLvlStrCache>
                <c:ptCount val="25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 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'Vẽ Biểu đồ'!$E$16:$AO$16</c15:sqref>
                  </c15:fullRef>
                </c:ext>
              </c:extLst>
              <c:f>('Vẽ Biểu đồ'!$E$16:$AB$16,'Vẽ Biểu đồ'!$AO$16)</c:f>
              <c:numCache>
                <c:formatCode>_(* #,##0_);_(* \(#,##0\);_(* "-"??_);_(@_)</c:formatCode>
                <c:ptCount val="25"/>
                <c:pt idx="0">
                  <c:v>1090</c:v>
                </c:pt>
                <c:pt idx="1">
                  <c:v>1096.6666666666667</c:v>
                </c:pt>
                <c:pt idx="2">
                  <c:v>1095</c:v>
                </c:pt>
                <c:pt idx="3">
                  <c:v>1095</c:v>
                </c:pt>
                <c:pt idx="4">
                  <c:v>1121</c:v>
                </c:pt>
                <c:pt idx="5">
                  <c:v>1125</c:v>
                </c:pt>
                <c:pt idx="6">
                  <c:v>1123.75</c:v>
                </c:pt>
                <c:pt idx="7">
                  <c:v>1115</c:v>
                </c:pt>
                <c:pt idx="8">
                  <c:v>1095</c:v>
                </c:pt>
                <c:pt idx="9">
                  <c:v>1093.75</c:v>
                </c:pt>
                <c:pt idx="10">
                  <c:v>1088.5</c:v>
                </c:pt>
                <c:pt idx="11">
                  <c:v>1052.5</c:v>
                </c:pt>
                <c:pt idx="12">
                  <c:v>1029</c:v>
                </c:pt>
                <c:pt idx="13">
                  <c:v>1035</c:v>
                </c:pt>
                <c:pt idx="14">
                  <c:v>1026.5</c:v>
                </c:pt>
                <c:pt idx="15">
                  <c:v>1007.5</c:v>
                </c:pt>
                <c:pt idx="16">
                  <c:v>1016</c:v>
                </c:pt>
                <c:pt idx="17">
                  <c:v>1028.75</c:v>
                </c:pt>
                <c:pt idx="18">
                  <c:v>1026</c:v>
                </c:pt>
                <c:pt idx="19">
                  <c:v>1007.5</c:v>
                </c:pt>
                <c:pt idx="20">
                  <c:v>1001.5</c:v>
                </c:pt>
                <c:pt idx="21">
                  <c:v>991</c:v>
                </c:pt>
                <c:pt idx="22">
                  <c:v>985</c:v>
                </c:pt>
                <c:pt idx="23">
                  <c:v>985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'Vẽ Biểu đồ'!$E$14:$AO$14</c15:f>
                <c15:dlblRangeCache>
                  <c:ptCount val="37"/>
                  <c:pt idx="0">
                    <c:v>+34.4%</c:v>
                  </c:pt>
                  <c:pt idx="1">
                    <c:v>+32.5%</c:v>
                  </c:pt>
                  <c:pt idx="2">
                    <c:v>+33.0%</c:v>
                  </c:pt>
                  <c:pt idx="3">
                    <c:v>+33.0%</c:v>
                  </c:pt>
                  <c:pt idx="4">
                    <c:v>+38.0%</c:v>
                  </c:pt>
                  <c:pt idx="5">
                    <c:v>+36.8%</c:v>
                  </c:pt>
                  <c:pt idx="6">
                    <c:v>+37.2%</c:v>
                  </c:pt>
                  <c:pt idx="7">
                    <c:v>+39.8%</c:v>
                  </c:pt>
                  <c:pt idx="8">
                    <c:v>+48.9%</c:v>
                  </c:pt>
                  <c:pt idx="9">
                    <c:v>+53.6%</c:v>
                  </c:pt>
                  <c:pt idx="10">
                    <c:v>+55.5%</c:v>
                  </c:pt>
                  <c:pt idx="11">
                    <c:v>+53.6%</c:v>
                  </c:pt>
                  <c:pt idx="12">
                    <c:v>+48.6%</c:v>
                  </c:pt>
                  <c:pt idx="13">
                    <c:v>+46.4%</c:v>
                  </c:pt>
                  <c:pt idx="14">
                    <c:v>+49.5%</c:v>
                  </c:pt>
                  <c:pt idx="15">
                    <c:v>+63.4%</c:v>
                  </c:pt>
                  <c:pt idx="16">
                    <c:v>+59.8%</c:v>
                  </c:pt>
                  <c:pt idx="17">
                    <c:v>+54.8%</c:v>
                  </c:pt>
                  <c:pt idx="18">
                    <c:v>+55.9%</c:v>
                  </c:pt>
                  <c:pt idx="19">
                    <c:v>+53.5%</c:v>
                  </c:pt>
                  <c:pt idx="20">
                    <c:v>+55.8%</c:v>
                  </c:pt>
                  <c:pt idx="21">
                    <c:v>+56.7%</c:v>
                  </c:pt>
                  <c:pt idx="22">
                    <c:v>+55.8%</c:v>
                  </c:pt>
                  <c:pt idx="23">
                    <c:v>+55.8%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7C-15F5-4017-B679-B12A82D341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6623744"/>
        <c:axId val="516630464"/>
      </c:lineChart>
      <c:catAx>
        <c:axId val="516623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1" i="0" u="none" strike="noStrike" kern="1200" baseline="0">
                <a:solidFill>
                  <a:schemeClr val="bg1">
                    <a:lumMod val="65000"/>
                  </a:schemeClr>
                </a:solidFill>
                <a:latin typeface="+mj-lt"/>
                <a:ea typeface="+mn-ea"/>
                <a:cs typeface="+mn-cs"/>
              </a:defRPr>
            </a:pPr>
            <a:endParaRPr lang="en-US"/>
          </a:p>
        </c:txPr>
        <c:crossAx val="516630464"/>
        <c:crosses val="autoZero"/>
        <c:auto val="1"/>
        <c:lblAlgn val="ctr"/>
        <c:lblOffset val="100"/>
        <c:noMultiLvlLbl val="0"/>
      </c:catAx>
      <c:valAx>
        <c:axId val="516630464"/>
        <c:scaling>
          <c:orientation val="minMax"/>
          <c:max val="1380"/>
          <c:min val="730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65000"/>
                  </a:schemeClr>
                </a:solidFill>
                <a:latin typeface="+mj-lt"/>
                <a:ea typeface="+mn-ea"/>
                <a:cs typeface="+mn-cs"/>
              </a:defRPr>
            </a:pPr>
            <a:endParaRPr lang="en-US"/>
          </a:p>
        </c:txPr>
        <c:crossAx val="516623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noFill/>
      <a:round/>
    </a:ln>
    <a:effectLst/>
  </c:spPr>
  <c:txPr>
    <a:bodyPr/>
    <a:lstStyle/>
    <a:p>
      <a:pPr>
        <a:defRPr>
          <a:latin typeface="+mj-lt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200" b="1">
                <a:solidFill>
                  <a:schemeClr val="accent2"/>
                </a:solidFill>
              </a:rPr>
              <a:t>GIÁ</a:t>
            </a:r>
            <a:r>
              <a:rPr lang="en-US" sz="2200" b="1" baseline="0">
                <a:solidFill>
                  <a:schemeClr val="accent2"/>
                </a:solidFill>
              </a:rPr>
              <a:t> BÁN EXW - rPET</a:t>
            </a:r>
            <a:endParaRPr lang="en-US" sz="2200" b="1">
              <a:solidFill>
                <a:schemeClr val="accent2"/>
              </a:solidFill>
            </a:endParaRPr>
          </a:p>
        </c:rich>
      </c:tx>
      <c:layout>
        <c:manualLayout>
          <c:xMode val="edge"/>
          <c:yMode val="edge"/>
          <c:x val="0.38177499905373352"/>
          <c:y val="8.1549430620163083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"/>
          <c:y val="0.15831227353177313"/>
          <c:w val="1"/>
          <c:h val="0.71711701144667195"/>
        </c:manualLayout>
      </c:layout>
      <c:areaChart>
        <c:grouping val="stacked"/>
        <c:varyColors val="0"/>
        <c:ser>
          <c:idx val="0"/>
          <c:order val="3"/>
          <c:tx>
            <c:v>Giá chính phẩm-Area</c:v>
          </c:tx>
          <c:spPr>
            <a:noFill/>
            <a:ln>
              <a:noFill/>
            </a:ln>
            <a:effectLst/>
          </c:spPr>
          <c:cat>
            <c:multiLvlStrRef>
              <c:f>'Chart-Price-BCKQKD'!$B$1:$Y$2</c:f>
              <c:multiLvlStrCache>
                <c:ptCount val="24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f>'Chart-Price-BCKQKD'!$B$5:$Y$5</c:f>
              <c:numCache>
                <c:formatCode>_(* #,##0_);_(* \(#,##0\);_(* "-"??_);_(@_)</c:formatCode>
                <c:ptCount val="24"/>
                <c:pt idx="0">
                  <c:v>930</c:v>
                </c:pt>
                <c:pt idx="1">
                  <c:v>943.33333333333337</c:v>
                </c:pt>
                <c:pt idx="2">
                  <c:v>940</c:v>
                </c:pt>
                <c:pt idx="3">
                  <c:v>940</c:v>
                </c:pt>
                <c:pt idx="4">
                  <c:v>942</c:v>
                </c:pt>
                <c:pt idx="5">
                  <c:v>950</c:v>
                </c:pt>
                <c:pt idx="6">
                  <c:v>947.5</c:v>
                </c:pt>
                <c:pt idx="7">
                  <c:v>930</c:v>
                </c:pt>
                <c:pt idx="8">
                  <c:v>880</c:v>
                </c:pt>
                <c:pt idx="9">
                  <c:v>862.5</c:v>
                </c:pt>
                <c:pt idx="10">
                  <c:v>852</c:v>
                </c:pt>
                <c:pt idx="11">
                  <c:v>830</c:v>
                </c:pt>
                <c:pt idx="12">
                  <c:v>828</c:v>
                </c:pt>
                <c:pt idx="13">
                  <c:v>840</c:v>
                </c:pt>
                <c:pt idx="14">
                  <c:v>823</c:v>
                </c:pt>
                <c:pt idx="15">
                  <c:v>765</c:v>
                </c:pt>
                <c:pt idx="16">
                  <c:v>782</c:v>
                </c:pt>
                <c:pt idx="17">
                  <c:v>807.5</c:v>
                </c:pt>
                <c:pt idx="18">
                  <c:v>802</c:v>
                </c:pt>
                <c:pt idx="19">
                  <c:v>795</c:v>
                </c:pt>
                <c:pt idx="20">
                  <c:v>783</c:v>
                </c:pt>
                <c:pt idx="21">
                  <c:v>772</c:v>
                </c:pt>
                <c:pt idx="22">
                  <c:v>770</c:v>
                </c:pt>
                <c:pt idx="23">
                  <c:v>773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648-4277-AA2B-B99BA2B2BC91}"/>
            </c:ext>
          </c:extLst>
        </c:ser>
        <c:ser>
          <c:idx val="1"/>
          <c:order val="4"/>
          <c:tx>
            <c:v>+/- TT vs Chính phẩm</c:v>
          </c:tx>
          <c:spPr>
            <a:solidFill>
              <a:srgbClr val="FFF2CC"/>
            </a:solidFill>
            <a:ln>
              <a:noFill/>
            </a:ln>
            <a:effectLst/>
          </c:spPr>
          <c:cat>
            <c:multiLvlStrRef>
              <c:f>'Chart-Price-BCKQKD'!$B$1:$Y$2</c:f>
              <c:multiLvlStrCache>
                <c:ptCount val="24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f>'Chart-Price-BCKQKD'!$B$6:$Y$6</c:f>
              <c:numCache>
                <c:formatCode>_(* #,##0_);_(* \(#,##0\);_(* "-"??_);_(@_)</c:formatCode>
                <c:ptCount val="24"/>
                <c:pt idx="0">
                  <c:v>249.02544409719735</c:v>
                </c:pt>
                <c:pt idx="1">
                  <c:v>286.74833830282421</c:v>
                </c:pt>
                <c:pt idx="2">
                  <c:v>281.95871664031029</c:v>
                </c:pt>
                <c:pt idx="3">
                  <c:v>254.32789327176624</c:v>
                </c:pt>
                <c:pt idx="4">
                  <c:v>260.1932537357618</c:v>
                </c:pt>
                <c:pt idx="5">
                  <c:v>289.58301830390701</c:v>
                </c:pt>
                <c:pt idx="6">
                  <c:v>241.70928483346825</c:v>
                </c:pt>
                <c:pt idx="7">
                  <c:v>272.9857762533029</c:v>
                </c:pt>
                <c:pt idx="8">
                  <c:v>333.30655697930251</c:v>
                </c:pt>
                <c:pt idx="9">
                  <c:v>365.37431312076956</c:v>
                </c:pt>
                <c:pt idx="10">
                  <c:v>464.85264095881166</c:v>
                </c:pt>
                <c:pt idx="11">
                  <c:v>481.41064231547853</c:v>
                </c:pt>
                <c:pt idx="12">
                  <c:v>395.39194410210757</c:v>
                </c:pt>
                <c:pt idx="13">
                  <c:v>425.10632921330716</c:v>
                </c:pt>
                <c:pt idx="14">
                  <c:v>416.31020759062471</c:v>
                </c:pt>
                <c:pt idx="15">
                  <c:v>468.34503881630235</c:v>
                </c:pt>
                <c:pt idx="16">
                  <c:v>466.21356596350574</c:v>
                </c:pt>
                <c:pt idx="17">
                  <c:v>418.76396656781071</c:v>
                </c:pt>
                <c:pt idx="18">
                  <c:v>405.00507260307472</c:v>
                </c:pt>
                <c:pt idx="19">
                  <c:v>430.73637958310564</c:v>
                </c:pt>
                <c:pt idx="20">
                  <c:v>431.18433978708072</c:v>
                </c:pt>
                <c:pt idx="21">
                  <c:v>445.09195689323451</c:v>
                </c:pt>
                <c:pt idx="22">
                  <c:v>453.52658145277337</c:v>
                </c:pt>
                <c:pt idx="23">
                  <c:v>468.27860576542662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648-4277-AA2B-B99BA2B2BC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8302863"/>
        <c:axId val="1498305743"/>
      </c:areaChart>
      <c:lineChart>
        <c:grouping val="standard"/>
        <c:varyColors val="0"/>
        <c:ser>
          <c:idx val="2"/>
          <c:order val="0"/>
          <c:tx>
            <c:strRef>
              <c:f>'Chart-Price-BCKQKD'!$A$3</c:f>
              <c:strCache>
                <c:ptCount val="1"/>
                <c:pt idx="0">
                  <c:v>Giá thực tế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F-3648-4277-AA2B-B99BA2B2BC91}"/>
                </c:ext>
              </c:extLst>
            </c:dLbl>
            <c:dLbl>
              <c:idx val="1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0-3648-4277-AA2B-B99BA2B2BC91}"/>
                </c:ext>
              </c:extLst>
            </c:dLbl>
            <c:dLbl>
              <c:idx val="2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1-3648-4277-AA2B-B99BA2B2BC91}"/>
                </c:ext>
              </c:extLst>
            </c:dLbl>
            <c:dLbl>
              <c:idx val="5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E-3648-4277-AA2B-B99BA2B2BC91}"/>
                </c:ext>
              </c:extLst>
            </c:dLbl>
            <c:dLbl>
              <c:idx val="10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A-3648-4277-AA2B-B99BA2B2BC91}"/>
                </c:ext>
              </c:extLst>
            </c:dLbl>
            <c:dLbl>
              <c:idx val="11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9-3648-4277-AA2B-B99BA2B2BC9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'Chart-Price-BCKQKD'!$B$1:$Y$2</c:f>
              <c:multiLvlStrCache>
                <c:ptCount val="24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f>'Chart-Price-BCKQKD'!$B$3:$Y$3</c:f>
              <c:numCache>
                <c:formatCode>_(* #,##0_);_(* \(#,##0\);_(* "-"??_);_(@_)</c:formatCode>
                <c:ptCount val="24"/>
                <c:pt idx="0">
                  <c:v>1179.0254440971974</c:v>
                </c:pt>
                <c:pt idx="1">
                  <c:v>1230.0816716361576</c:v>
                </c:pt>
                <c:pt idx="2">
                  <c:v>1221.9587166403103</c:v>
                </c:pt>
                <c:pt idx="3">
                  <c:v>1194.3278932717662</c:v>
                </c:pt>
                <c:pt idx="4">
                  <c:v>1202.1932537357618</c:v>
                </c:pt>
                <c:pt idx="5">
                  <c:v>1239.583018303907</c:v>
                </c:pt>
                <c:pt idx="6">
                  <c:v>1189.2092848334682</c:v>
                </c:pt>
                <c:pt idx="7">
                  <c:v>1202.9857762533029</c:v>
                </c:pt>
                <c:pt idx="8">
                  <c:v>1213.3065569793025</c:v>
                </c:pt>
                <c:pt idx="9">
                  <c:v>1227.8743131207696</c:v>
                </c:pt>
                <c:pt idx="10">
                  <c:v>1316.8526409588117</c:v>
                </c:pt>
                <c:pt idx="11">
                  <c:v>1311.4106423154785</c:v>
                </c:pt>
                <c:pt idx="12">
                  <c:v>1223.3919441021076</c:v>
                </c:pt>
                <c:pt idx="13">
                  <c:v>1265.1063292133072</c:v>
                </c:pt>
                <c:pt idx="14">
                  <c:v>1239.3102075906247</c:v>
                </c:pt>
                <c:pt idx="15">
                  <c:v>1233.3450388163023</c:v>
                </c:pt>
                <c:pt idx="16">
                  <c:v>1248.2135659635057</c:v>
                </c:pt>
                <c:pt idx="17">
                  <c:v>1226.2639665678107</c:v>
                </c:pt>
                <c:pt idx="18">
                  <c:v>1207.0050726030747</c:v>
                </c:pt>
                <c:pt idx="19">
                  <c:v>1225.7363795831056</c:v>
                </c:pt>
                <c:pt idx="20">
                  <c:v>1214.1843397870807</c:v>
                </c:pt>
                <c:pt idx="21">
                  <c:v>1217.0919568932345</c:v>
                </c:pt>
                <c:pt idx="22">
                  <c:v>1223.5265814527734</c:v>
                </c:pt>
                <c:pt idx="23">
                  <c:v>1241.2786057654266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648-4277-AA2B-B99BA2B2BC91}"/>
            </c:ext>
          </c:extLst>
        </c:ser>
        <c:ser>
          <c:idx val="3"/>
          <c:order val="1"/>
          <c:tx>
            <c:strRef>
              <c:f>'Chart-Price-BCKQKD'!$A$4</c:f>
              <c:strCache>
                <c:ptCount val="1"/>
                <c:pt idx="0">
                  <c:v>Giá kế hoạch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0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4-3648-4277-AA2B-B99BA2B2BC91}"/>
                </c:ext>
              </c:extLst>
            </c:dLbl>
            <c:dLbl>
              <c:idx val="1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3-3648-4277-AA2B-B99BA2B2BC91}"/>
                </c:ext>
              </c:extLst>
            </c:dLbl>
            <c:dLbl>
              <c:idx val="2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42-3648-4277-AA2B-B99BA2B2BC91}"/>
                </c:ext>
              </c:extLst>
            </c:dLbl>
            <c:dLbl>
              <c:idx val="5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D-3648-4277-AA2B-B99BA2B2BC91}"/>
                </c:ext>
              </c:extLst>
            </c:dLbl>
            <c:dLbl>
              <c:idx val="10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B-3648-4277-AA2B-B99BA2B2BC91}"/>
                </c:ext>
              </c:extLst>
            </c:dLbl>
            <c:dLbl>
              <c:idx val="11"/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3C-3648-4277-AA2B-B99BA2B2BC9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accent4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'Chart-Price-BCKQKD'!$B$1:$Y$2</c:f>
              <c:multiLvlStrCache>
                <c:ptCount val="24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f>'Chart-Price-BCKQKD'!$B$4:$Y$4</c:f>
              <c:numCache>
                <c:formatCode>_(* #,##0_);_(* \(#,##0\);_(* "-"??_);_(@_)</c:formatCode>
                <c:ptCount val="24"/>
                <c:pt idx="0">
                  <c:v>1180.9667866323907</c:v>
                </c:pt>
                <c:pt idx="1">
                  <c:v>1199.7013809910641</c:v>
                </c:pt>
                <c:pt idx="2">
                  <c:v>1179.0985801217037</c:v>
                </c:pt>
                <c:pt idx="3">
                  <c:v>1200.4389513108613</c:v>
                </c:pt>
                <c:pt idx="4">
                  <c:v>1207.9269681742044</c:v>
                </c:pt>
                <c:pt idx="5">
                  <c:v>1204.3674796747966</c:v>
                </c:pt>
                <c:pt idx="6">
                  <c:v>1254.6012676056339</c:v>
                </c:pt>
                <c:pt idx="7">
                  <c:v>1259.3826199740597</c:v>
                </c:pt>
                <c:pt idx="8">
                  <c:v>1263.7258939893484</c:v>
                </c:pt>
                <c:pt idx="9">
                  <c:v>1274.3542384562372</c:v>
                </c:pt>
                <c:pt idx="10">
                  <c:v>1261.3793019282402</c:v>
                </c:pt>
                <c:pt idx="11">
                  <c:v>1262.2590667311413</c:v>
                </c:pt>
                <c:pt idx="12">
                  <c:v>1262.3936634028478</c:v>
                </c:pt>
                <c:pt idx="13">
                  <c:v>1262.4865162143126</c:v>
                </c:pt>
                <c:pt idx="14">
                  <c:v>1281.4274794843393</c:v>
                </c:pt>
                <c:pt idx="15">
                  <c:v>1277.287898512589</c:v>
                </c:pt>
                <c:pt idx="16">
                  <c:v>1278.1904921580881</c:v>
                </c:pt>
                <c:pt idx="17">
                  <c:v>1269.824865003445</c:v>
                </c:pt>
                <c:pt idx="18">
                  <c:v>1291.0692763217255</c:v>
                </c:pt>
                <c:pt idx="19">
                  <c:v>1312.723643450312</c:v>
                </c:pt>
                <c:pt idx="20">
                  <c:v>1305.6954905040463</c:v>
                </c:pt>
                <c:pt idx="21">
                  <c:v>1308.2516255567853</c:v>
                </c:pt>
                <c:pt idx="22">
                  <c:v>1318.955257049731</c:v>
                </c:pt>
                <c:pt idx="23">
                  <c:v>1313.8679149899906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648-4277-AA2B-B99BA2B2BC91}"/>
            </c:ext>
          </c:extLst>
        </c:ser>
        <c:ser>
          <c:idx val="4"/>
          <c:order val="2"/>
          <c:tx>
            <c:strRef>
              <c:f>'Chart-Price-BCKQKD'!$A$5</c:f>
              <c:strCache>
                <c:ptCount val="1"/>
                <c:pt idx="0">
                  <c:v>Giá chính phẩm</c:v>
                </c:pt>
              </c:strCache>
            </c:strRef>
          </c:tx>
          <c:spPr>
            <a:ln w="34925" cap="rnd">
              <a:solidFill>
                <a:srgbClr val="FF3399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rgbClr val="FF3399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'Chart-Price-BCKQKD'!$B$1:$Y$2</c:f>
              <c:multiLvlStrCache>
                <c:ptCount val="24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f>'Chart-Price-BCKQKD'!$B$5:$Y$5</c:f>
              <c:numCache>
                <c:formatCode>_(* #,##0_);_(* \(#,##0\);_(* "-"??_);_(@_)</c:formatCode>
                <c:ptCount val="24"/>
                <c:pt idx="0">
                  <c:v>930</c:v>
                </c:pt>
                <c:pt idx="1">
                  <c:v>943.33333333333337</c:v>
                </c:pt>
                <c:pt idx="2">
                  <c:v>940</c:v>
                </c:pt>
                <c:pt idx="3">
                  <c:v>940</c:v>
                </c:pt>
                <c:pt idx="4">
                  <c:v>942</c:v>
                </c:pt>
                <c:pt idx="5">
                  <c:v>950</c:v>
                </c:pt>
                <c:pt idx="6">
                  <c:v>947.5</c:v>
                </c:pt>
                <c:pt idx="7">
                  <c:v>930</c:v>
                </c:pt>
                <c:pt idx="8">
                  <c:v>880</c:v>
                </c:pt>
                <c:pt idx="9">
                  <c:v>862.5</c:v>
                </c:pt>
                <c:pt idx="10">
                  <c:v>852</c:v>
                </c:pt>
                <c:pt idx="11">
                  <c:v>830</c:v>
                </c:pt>
                <c:pt idx="12">
                  <c:v>828</c:v>
                </c:pt>
                <c:pt idx="13">
                  <c:v>840</c:v>
                </c:pt>
                <c:pt idx="14">
                  <c:v>823</c:v>
                </c:pt>
                <c:pt idx="15">
                  <c:v>765</c:v>
                </c:pt>
                <c:pt idx="16">
                  <c:v>782</c:v>
                </c:pt>
                <c:pt idx="17">
                  <c:v>807.5</c:v>
                </c:pt>
                <c:pt idx="18">
                  <c:v>802</c:v>
                </c:pt>
                <c:pt idx="19">
                  <c:v>795</c:v>
                </c:pt>
                <c:pt idx="20">
                  <c:v>783</c:v>
                </c:pt>
                <c:pt idx="21">
                  <c:v>772</c:v>
                </c:pt>
                <c:pt idx="22">
                  <c:v>770</c:v>
                </c:pt>
                <c:pt idx="23">
                  <c:v>773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648-4277-AA2B-B99BA2B2BC91}"/>
            </c:ext>
          </c:extLst>
        </c:ser>
        <c:ser>
          <c:idx val="5"/>
          <c:order val="5"/>
          <c:tx>
            <c:strRef>
              <c:f>'Chart-Price-BCKQKD'!$A$8</c:f>
              <c:strCache>
                <c:ptCount val="1"/>
                <c:pt idx="0">
                  <c:v>Line-Label +/- TT vs Chính phẩm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fld id="{11108DCE-F7B9-4655-BE43-F842F121F03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3648-4277-AA2B-B99BA2B2BC91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4E59EDE3-09A7-46F0-956E-67DA302E708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3648-4277-AA2B-B99BA2B2BC91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23096AD0-AB3E-4787-A14D-A7DC84A0627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3648-4277-AA2B-B99BA2B2BC91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83DB0962-57CF-4182-8080-9AA8BBFB0AE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3648-4277-AA2B-B99BA2B2BC91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06850525-5F5B-4EA8-B395-BC315D142E8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3648-4277-AA2B-B99BA2B2BC91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3D7BBB30-EECB-452A-AB80-90BA5681ED4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3648-4277-AA2B-B99BA2B2BC91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3E6CDD3A-0823-4BFA-8B01-1F5716C5B21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3648-4277-AA2B-B99BA2B2BC91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A411C9FA-E064-4267-895E-EC76CF30910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3648-4277-AA2B-B99BA2B2BC91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C3FC06F9-1879-4F96-86FD-D038E07F047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3648-4277-AA2B-B99BA2B2BC91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B857AE95-FA1F-456F-BDA2-5DE9D529480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3648-4277-AA2B-B99BA2B2BC91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7D5B3992-A5E0-4D3F-8395-2A036D4D940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3648-4277-AA2B-B99BA2B2BC91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20CE12E1-7AD8-4FC2-AA55-6B95BADE349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3648-4277-AA2B-B99BA2B2BC91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5D9AFE67-5543-448D-9CD5-1B84D4CD8DE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D-3648-4277-AA2B-B99BA2B2BC91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21BAE0AD-953F-4937-8D01-E0EDFCD38FC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3648-4277-AA2B-B99BA2B2BC91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6E14F4EC-6C47-49CB-A1E1-035F72D1553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3648-4277-AA2B-B99BA2B2BC91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3189D498-B346-4FC7-A15C-4DE4D1CACB5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3648-4277-AA2B-B99BA2B2BC91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A58E6FA8-9BC9-4351-8BA3-FE62336B59F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3648-4277-AA2B-B99BA2B2BC91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DA983444-255F-4873-8D1C-AC23DF528A1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3648-4277-AA2B-B99BA2B2BC91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064F455A-E1A4-46FF-867E-CB3D577ACED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3648-4277-AA2B-B99BA2B2BC91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66A0AB2F-06CF-46A5-A54D-8B6DF133EC3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3648-4277-AA2B-B99BA2B2BC91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195A870E-8C3A-4EE5-9645-80DB937DC62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9270-4BB5-875F-16264CCC7D27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1B1B39BE-544C-4AB9-AFCD-3DB42D1E134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9270-4BB5-875F-16264CCC7D27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570D4941-79D9-42DE-B5E1-0C63241ED46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0613-4185-8F09-82A50CC627A1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A5EF797C-548F-4729-BFDA-CC44CDDB072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8449-4034-837B-A0D88F5C2496}"/>
                </c:ext>
              </c:extLst>
            </c:dLbl>
            <c:spPr>
              <a:solidFill>
                <a:schemeClr val="lt1"/>
              </a:solidFill>
              <a:ln w="19050" cap="flat" cmpd="sng" algn="ctr">
                <a:solidFill>
                  <a:schemeClr val="dk1"/>
                </a:solidFill>
                <a:prstDash val="solid"/>
                <a:miter lim="800000"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cat>
            <c:multiLvlStrRef>
              <c:f>'Chart-Price-BCKQKD'!$B$1:$Y$2</c:f>
              <c:multiLvlStrCache>
                <c:ptCount val="24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f>'Chart-Price-BCKQKD'!$B$8:$Y$8</c:f>
              <c:numCache>
                <c:formatCode>_(* #,##0_);_(* \(#,##0\);_(* "-"??_);_(@_)</c:formatCode>
                <c:ptCount val="24"/>
                <c:pt idx="0">
                  <c:v>1054.5127220485988</c:v>
                </c:pt>
                <c:pt idx="1">
                  <c:v>1086.7075024847454</c:v>
                </c:pt>
                <c:pt idx="2">
                  <c:v>1080.9793583201551</c:v>
                </c:pt>
                <c:pt idx="3">
                  <c:v>1067.1639466358831</c:v>
                </c:pt>
                <c:pt idx="4">
                  <c:v>1072.0966268678808</c:v>
                </c:pt>
                <c:pt idx="5">
                  <c:v>1094.7915091519535</c:v>
                </c:pt>
                <c:pt idx="6">
                  <c:v>1068.3546424167341</c:v>
                </c:pt>
                <c:pt idx="7">
                  <c:v>1066.4928881266515</c:v>
                </c:pt>
                <c:pt idx="8">
                  <c:v>1046.6532784896513</c:v>
                </c:pt>
                <c:pt idx="9">
                  <c:v>1045.1871565603847</c:v>
                </c:pt>
                <c:pt idx="10">
                  <c:v>1084.4263204794058</c:v>
                </c:pt>
                <c:pt idx="11">
                  <c:v>1070.7053211577393</c:v>
                </c:pt>
                <c:pt idx="12">
                  <c:v>1025.6959720510538</c:v>
                </c:pt>
                <c:pt idx="13">
                  <c:v>1052.5531646066536</c:v>
                </c:pt>
                <c:pt idx="14">
                  <c:v>1031.1551037953122</c:v>
                </c:pt>
                <c:pt idx="15">
                  <c:v>999.17251940815117</c:v>
                </c:pt>
                <c:pt idx="16">
                  <c:v>1015.1067829817529</c:v>
                </c:pt>
                <c:pt idx="17">
                  <c:v>1016.8819832839054</c:v>
                </c:pt>
                <c:pt idx="18">
                  <c:v>1004.5025363015374</c:v>
                </c:pt>
                <c:pt idx="19">
                  <c:v>1010.3681897915528</c:v>
                </c:pt>
                <c:pt idx="20">
                  <c:v>998.59216989354036</c:v>
                </c:pt>
                <c:pt idx="21">
                  <c:v>994.54597844661726</c:v>
                </c:pt>
                <c:pt idx="22">
                  <c:v>996.76329072638669</c:v>
                </c:pt>
                <c:pt idx="23">
                  <c:v>1007.1393028827133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'Chart-Price-BCKQKD'!$B$6:$Y$6</c15:f>
                <c15:dlblRangeCache>
                  <c:ptCount val="24"/>
                  <c:pt idx="0">
                    <c:v> 249 </c:v>
                  </c:pt>
                  <c:pt idx="1">
                    <c:v> 287 </c:v>
                  </c:pt>
                  <c:pt idx="2">
                    <c:v> 282 </c:v>
                  </c:pt>
                  <c:pt idx="3">
                    <c:v> 254 </c:v>
                  </c:pt>
                  <c:pt idx="4">
                    <c:v> 260 </c:v>
                  </c:pt>
                  <c:pt idx="5">
                    <c:v> 290 </c:v>
                  </c:pt>
                  <c:pt idx="6">
                    <c:v> 242 </c:v>
                  </c:pt>
                  <c:pt idx="7">
                    <c:v> 273 </c:v>
                  </c:pt>
                  <c:pt idx="8">
                    <c:v> 333 </c:v>
                  </c:pt>
                  <c:pt idx="9">
                    <c:v> 365 </c:v>
                  </c:pt>
                  <c:pt idx="10">
                    <c:v> 465 </c:v>
                  </c:pt>
                  <c:pt idx="11">
                    <c:v> 481 </c:v>
                  </c:pt>
                  <c:pt idx="12">
                    <c:v> 395 </c:v>
                  </c:pt>
                  <c:pt idx="13">
                    <c:v> 425 </c:v>
                  </c:pt>
                  <c:pt idx="14">
                    <c:v> 416 </c:v>
                  </c:pt>
                  <c:pt idx="15">
                    <c:v> 468 </c:v>
                  </c:pt>
                  <c:pt idx="16">
                    <c:v> 466 </c:v>
                  </c:pt>
                  <c:pt idx="17">
                    <c:v> 419 </c:v>
                  </c:pt>
                  <c:pt idx="18">
                    <c:v> 405 </c:v>
                  </c:pt>
                  <c:pt idx="19">
                    <c:v> 431 </c:v>
                  </c:pt>
                  <c:pt idx="20">
                    <c:v> 431 </c:v>
                  </c:pt>
                  <c:pt idx="21">
                    <c:v> 445 </c:v>
                  </c:pt>
                  <c:pt idx="22">
                    <c:v> 454 </c:v>
                  </c:pt>
                  <c:pt idx="23">
                    <c:v> 468 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7-3648-4277-AA2B-B99BA2B2BC91}"/>
            </c:ext>
          </c:extLst>
        </c:ser>
        <c:ser>
          <c:idx val="6"/>
          <c:order val="6"/>
          <c:tx>
            <c:strRef>
              <c:f>'Chart-Price-BCKQKD'!$A$8</c:f>
              <c:strCache>
                <c:ptCount val="1"/>
                <c:pt idx="0">
                  <c:v>Line-Label +/- TT vs Chính phẩm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fld id="{841BB8AC-C49A-402A-A2A0-3D39BFFA107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3648-4277-AA2B-B99BA2B2BC91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D34A3845-DCCC-482C-8B15-B1277D26E6A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3648-4277-AA2B-B99BA2B2BC91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0BD40381-FFA7-4F4B-86C0-9ADE5DC7FD8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3648-4277-AA2B-B99BA2B2BC91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0A143E51-3342-4E4A-9C93-AEE5C8F3A78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3648-4277-AA2B-B99BA2B2BC91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65364BE3-2C6E-449E-8C54-469317E75A6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3648-4277-AA2B-B99BA2B2BC91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8B73D2DB-FD6D-407F-B2C3-D340ED9AD1A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3648-4277-AA2B-B99BA2B2BC91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49668324-2A0D-40CD-9372-0CEBF65B92C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3648-4277-AA2B-B99BA2B2BC91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F771C774-3B20-4559-9DD4-AF7519F5416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3648-4277-AA2B-B99BA2B2BC91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46E193B6-DCC7-470D-8EE7-047DC607A88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3648-4277-AA2B-B99BA2B2BC91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9757DDB2-33C0-41A9-8B2A-E36DB9FF84D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3648-4277-AA2B-B99BA2B2BC91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E3611D98-62E0-45CC-8C76-F55C97A37C1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3648-4277-AA2B-B99BA2B2BC91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4F37A1B3-9423-417B-A18D-E565CDAA409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3648-4277-AA2B-B99BA2B2BC91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6A7D21C6-C9BF-4662-9E3D-56E240D1295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3648-4277-AA2B-B99BA2B2BC91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6C32307D-F407-4611-941D-DC839190C25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3648-4277-AA2B-B99BA2B2BC91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59744D9B-322E-4A32-AF13-252D6B774CC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3648-4277-AA2B-B99BA2B2BC91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D2F9EB20-275A-4895-BA61-A347D3F3A98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3648-4277-AA2B-B99BA2B2BC91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A7071FA2-F6AE-4198-A4B9-66A0DE53F58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3648-4277-AA2B-B99BA2B2BC91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F20E38B0-7DD7-469B-860D-D2DEFC8970C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3648-4277-AA2B-B99BA2B2BC91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C1226DD1-0FC1-4CA6-A440-00CFE68B314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3648-4277-AA2B-B99BA2B2BC91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1F477FB2-3554-41FB-8DDB-0821486FBE8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3648-4277-AA2B-B99BA2B2BC91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2519FB08-6F27-46CC-B67A-36A3E8F79DB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9270-4BB5-875F-16264CCC7D27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8814183B-7C41-4471-BB62-71BB62B0DD8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9270-4BB5-875F-16264CCC7D27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A772C789-6C31-4B3E-9CEE-3F2A86C6EC5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0613-4185-8F09-82A50CC627A1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77D195C9-97B2-4FBD-B13A-41976389B12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8449-4034-837B-A0D88F5C249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1" u="none" strike="noStrike" kern="1200" baseline="0">
                    <a:solidFill>
                      <a:srgbClr val="FF33CC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'Chart-Price-BCKQKD'!$B$1:$Y$2</c:f>
              <c:multiLvlStrCache>
                <c:ptCount val="24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f>'Chart-Price-BCKQKD'!$B$8:$Y$8</c:f>
              <c:numCache>
                <c:formatCode>_(* #,##0_);_(* \(#,##0\);_(* "-"??_);_(@_)</c:formatCode>
                <c:ptCount val="24"/>
                <c:pt idx="0">
                  <c:v>1054.5127220485988</c:v>
                </c:pt>
                <c:pt idx="1">
                  <c:v>1086.7075024847454</c:v>
                </c:pt>
                <c:pt idx="2">
                  <c:v>1080.9793583201551</c:v>
                </c:pt>
                <c:pt idx="3">
                  <c:v>1067.1639466358831</c:v>
                </c:pt>
                <c:pt idx="4">
                  <c:v>1072.0966268678808</c:v>
                </c:pt>
                <c:pt idx="5">
                  <c:v>1094.7915091519535</c:v>
                </c:pt>
                <c:pt idx="6">
                  <c:v>1068.3546424167341</c:v>
                </c:pt>
                <c:pt idx="7">
                  <c:v>1066.4928881266515</c:v>
                </c:pt>
                <c:pt idx="8">
                  <c:v>1046.6532784896513</c:v>
                </c:pt>
                <c:pt idx="9">
                  <c:v>1045.1871565603847</c:v>
                </c:pt>
                <c:pt idx="10">
                  <c:v>1084.4263204794058</c:v>
                </c:pt>
                <c:pt idx="11">
                  <c:v>1070.7053211577393</c:v>
                </c:pt>
                <c:pt idx="12">
                  <c:v>1025.6959720510538</c:v>
                </c:pt>
                <c:pt idx="13">
                  <c:v>1052.5531646066536</c:v>
                </c:pt>
                <c:pt idx="14">
                  <c:v>1031.1551037953122</c:v>
                </c:pt>
                <c:pt idx="15">
                  <c:v>999.17251940815117</c:v>
                </c:pt>
                <c:pt idx="16">
                  <c:v>1015.1067829817529</c:v>
                </c:pt>
                <c:pt idx="17">
                  <c:v>1016.8819832839054</c:v>
                </c:pt>
                <c:pt idx="18">
                  <c:v>1004.5025363015374</c:v>
                </c:pt>
                <c:pt idx="19">
                  <c:v>1010.3681897915528</c:v>
                </c:pt>
                <c:pt idx="20">
                  <c:v>998.59216989354036</c:v>
                </c:pt>
                <c:pt idx="21">
                  <c:v>994.54597844661726</c:v>
                </c:pt>
                <c:pt idx="22">
                  <c:v>996.76329072638669</c:v>
                </c:pt>
                <c:pt idx="23">
                  <c:v>1007.1393028827133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'Chart-Price-BCKQKD'!$B$7:$Y$7</c15:f>
                <c15:dlblRangeCache>
                  <c:ptCount val="24"/>
                  <c:pt idx="0">
                    <c:v>26.8%</c:v>
                  </c:pt>
                  <c:pt idx="1">
                    <c:v>30.4%</c:v>
                  </c:pt>
                  <c:pt idx="2">
                    <c:v>30.0%</c:v>
                  </c:pt>
                  <c:pt idx="3">
                    <c:v>27.1%</c:v>
                  </c:pt>
                  <c:pt idx="4">
                    <c:v>27.6%</c:v>
                  </c:pt>
                  <c:pt idx="5">
                    <c:v>30.5%</c:v>
                  </c:pt>
                  <c:pt idx="6">
                    <c:v>25.5%</c:v>
                  </c:pt>
                  <c:pt idx="7">
                    <c:v>29.4%</c:v>
                  </c:pt>
                  <c:pt idx="8">
                    <c:v>37.9%</c:v>
                  </c:pt>
                  <c:pt idx="9">
                    <c:v>42.4%</c:v>
                  </c:pt>
                  <c:pt idx="10">
                    <c:v>54.6%</c:v>
                  </c:pt>
                  <c:pt idx="11">
                    <c:v>58.0%</c:v>
                  </c:pt>
                  <c:pt idx="12">
                    <c:v>47.8%</c:v>
                  </c:pt>
                  <c:pt idx="13">
                    <c:v>50.6%</c:v>
                  </c:pt>
                  <c:pt idx="14">
                    <c:v>50.6%</c:v>
                  </c:pt>
                  <c:pt idx="15">
                    <c:v>61.2%</c:v>
                  </c:pt>
                  <c:pt idx="16">
                    <c:v>59.6%</c:v>
                  </c:pt>
                  <c:pt idx="17">
                    <c:v>51.9%</c:v>
                  </c:pt>
                  <c:pt idx="18">
                    <c:v>50.5%</c:v>
                  </c:pt>
                  <c:pt idx="19">
                    <c:v>54.2%</c:v>
                  </c:pt>
                  <c:pt idx="20">
                    <c:v>55.1%</c:v>
                  </c:pt>
                  <c:pt idx="21">
                    <c:v>57.7%</c:v>
                  </c:pt>
                  <c:pt idx="22">
                    <c:v>58.9%</c:v>
                  </c:pt>
                  <c:pt idx="23">
                    <c:v>60.6%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8-3648-4277-AA2B-B99BA2B2BC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6350" cap="flat" cmpd="sng" algn="ctr">
              <a:solidFill>
                <a:schemeClr val="bg1">
                  <a:lumMod val="85000"/>
                </a:schemeClr>
              </a:solidFill>
              <a:prstDash val="sysDot"/>
              <a:round/>
            </a:ln>
            <a:effectLst/>
          </c:spPr>
        </c:dropLines>
        <c:marker val="1"/>
        <c:smooth val="0"/>
        <c:axId val="1498302863"/>
        <c:axId val="1498305743"/>
      </c:lineChart>
      <c:catAx>
        <c:axId val="1498302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8305743"/>
        <c:crosses val="autoZero"/>
        <c:auto val="1"/>
        <c:lblAlgn val="ctr"/>
        <c:lblOffset val="100"/>
        <c:noMultiLvlLbl val="0"/>
      </c:catAx>
      <c:valAx>
        <c:axId val="1498305743"/>
        <c:scaling>
          <c:orientation val="minMax"/>
          <c:max val="1350"/>
          <c:min val="700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8302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egendEntry>
        <c:idx val="0"/>
        <c:delete val="1"/>
      </c:legendEntry>
      <c:legendEntry>
        <c:idx val="1"/>
        <c:delete val="1"/>
      </c:legendEntry>
      <c:legendEntry>
        <c:idx val="5"/>
        <c:delete val="1"/>
      </c:legendEntry>
      <c:legendEntry>
        <c:idx val="6"/>
        <c:delete val="1"/>
      </c:legendEntry>
      <c:layout>
        <c:manualLayout>
          <c:xMode val="edge"/>
          <c:yMode val="edge"/>
          <c:x val="0.31864317381792845"/>
          <c:y val="8.3873696413087909E-2"/>
          <c:w val="0.35871420176289709"/>
          <c:h val="4.915504301892995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9050" cap="flat" cmpd="sng" algn="ctr">
      <a:solidFill>
        <a:schemeClr val="accent2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.xml"/><Relationship Id="rId13" Type="http://schemas.openxmlformats.org/officeDocument/2006/relationships/chart" Target="../charts/chart10.xml"/><Relationship Id="rId3" Type="http://schemas.openxmlformats.org/officeDocument/2006/relationships/chart" Target="../charts/chart2.xml"/><Relationship Id="rId7" Type="http://schemas.openxmlformats.org/officeDocument/2006/relationships/chart" Target="../charts/chart6.xml"/><Relationship Id="rId12" Type="http://schemas.openxmlformats.org/officeDocument/2006/relationships/image" Target="../media/image10.png"/><Relationship Id="rId2" Type="http://schemas.openxmlformats.org/officeDocument/2006/relationships/chart" Target="../charts/chart1.xml"/><Relationship Id="rId1" Type="http://schemas.openxmlformats.org/officeDocument/2006/relationships/image" Target="../media/image8.png"/><Relationship Id="rId6" Type="http://schemas.openxmlformats.org/officeDocument/2006/relationships/chart" Target="../charts/chart5.xml"/><Relationship Id="rId11" Type="http://schemas.openxmlformats.org/officeDocument/2006/relationships/image" Target="../media/image9.png"/><Relationship Id="rId5" Type="http://schemas.openxmlformats.org/officeDocument/2006/relationships/chart" Target="../charts/chart4.xml"/><Relationship Id="rId10" Type="http://schemas.openxmlformats.org/officeDocument/2006/relationships/chart" Target="../charts/chart9.xml"/><Relationship Id="rId4" Type="http://schemas.openxmlformats.org/officeDocument/2006/relationships/chart" Target="../charts/chart3.xml"/><Relationship Id="rId9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53340</xdr:rowOff>
    </xdr:from>
    <xdr:to>
      <xdr:col>14</xdr:col>
      <xdr:colOff>239112</xdr:colOff>
      <xdr:row>2</xdr:row>
      <xdr:rowOff>30480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C4D4E41-2CB4-33D3-93A2-E981F41CEA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3340"/>
          <a:ext cx="8773512" cy="3429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967740</xdr:colOff>
      <xdr:row>4</xdr:row>
      <xdr:rowOff>30480</xdr:rowOff>
    </xdr:from>
    <xdr:to>
      <xdr:col>6</xdr:col>
      <xdr:colOff>289000</xdr:colOff>
      <xdr:row>4</xdr:row>
      <xdr:rowOff>281940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153650F-0E03-8FB4-635E-EEBA5C42CA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0640" y="30480"/>
          <a:ext cx="1150620" cy="25146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1011667</xdr:colOff>
      <xdr:row>5</xdr:row>
      <xdr:rowOff>64098</xdr:rowOff>
    </xdr:from>
    <xdr:to>
      <xdr:col>9</xdr:col>
      <xdr:colOff>2154804</xdr:colOff>
      <xdr:row>5</xdr:row>
      <xdr:rowOff>325083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030B969-6A88-4878-97E7-870BF3F81F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4127" y="86958"/>
          <a:ext cx="1150757" cy="25146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68580</xdr:rowOff>
    </xdr:from>
    <xdr:to>
      <xdr:col>1</xdr:col>
      <xdr:colOff>617357</xdr:colOff>
      <xdr:row>0</xdr:row>
      <xdr:rowOff>320040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6E8775E-D194-4226-B744-D7306A7B20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68580"/>
          <a:ext cx="1150757" cy="251460"/>
        </a:xfrm>
        <a:prstGeom prst="rect">
          <a:avLst/>
        </a:prstGeom>
      </xdr:spPr>
    </xdr:pic>
    <xdr:clientData/>
  </xdr:twoCellAnchor>
  <xdr:oneCellAnchor>
    <xdr:from>
      <xdr:col>0</xdr:col>
      <xdr:colOff>76200</xdr:colOff>
      <xdr:row>35</xdr:row>
      <xdr:rowOff>68580</xdr:rowOff>
    </xdr:from>
    <xdr:ext cx="1150757" cy="251460"/>
    <xdr:pic>
      <xdr:nvPicPr>
        <xdr:cNvPr id="20" name="Picture 19">
          <a:extLst>
            <a:ext uri="{FF2B5EF4-FFF2-40B4-BE49-F238E27FC236}">
              <a16:creationId xmlns:a16="http://schemas.microsoft.com/office/drawing/2014/main" id="{47D492B9-E014-4AF4-B459-040EDD2E30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68580"/>
          <a:ext cx="1150757" cy="251460"/>
        </a:xfrm>
        <a:prstGeom prst="rect">
          <a:avLst/>
        </a:prstGeom>
      </xdr:spPr>
    </xdr:pic>
    <xdr:clientData/>
  </xdr:oneCellAnchor>
  <xdr:oneCellAnchor>
    <xdr:from>
      <xdr:col>0</xdr:col>
      <xdr:colOff>76200</xdr:colOff>
      <xdr:row>70</xdr:row>
      <xdr:rowOff>68580</xdr:rowOff>
    </xdr:from>
    <xdr:ext cx="1150757" cy="251460"/>
    <xdr:pic>
      <xdr:nvPicPr>
        <xdr:cNvPr id="21" name="Picture 20">
          <a:extLst>
            <a:ext uri="{FF2B5EF4-FFF2-40B4-BE49-F238E27FC236}">
              <a16:creationId xmlns:a16="http://schemas.microsoft.com/office/drawing/2014/main" id="{AF5AAD02-1944-4AB0-9A34-D5AD25C40D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68580"/>
          <a:ext cx="1150757" cy="251460"/>
        </a:xfrm>
        <a:prstGeom prst="rect">
          <a:avLst/>
        </a:prstGeom>
      </xdr:spPr>
    </xdr:pic>
    <xdr:clientData/>
  </xdr:oneCellAnchor>
  <xdr:oneCellAnchor>
    <xdr:from>
      <xdr:col>0</xdr:col>
      <xdr:colOff>76200</xdr:colOff>
      <xdr:row>105</xdr:row>
      <xdr:rowOff>68580</xdr:rowOff>
    </xdr:from>
    <xdr:ext cx="1150757" cy="251460"/>
    <xdr:pic>
      <xdr:nvPicPr>
        <xdr:cNvPr id="22" name="Picture 21">
          <a:extLst>
            <a:ext uri="{FF2B5EF4-FFF2-40B4-BE49-F238E27FC236}">
              <a16:creationId xmlns:a16="http://schemas.microsoft.com/office/drawing/2014/main" id="{ADCC20EB-E034-4F58-81E9-9EEDE61D31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68580"/>
          <a:ext cx="1150757" cy="251460"/>
        </a:xfrm>
        <a:prstGeom prst="rect">
          <a:avLst/>
        </a:prstGeom>
      </xdr:spPr>
    </xdr:pic>
    <xdr:clientData/>
  </xdr:oneCellAnchor>
  <xdr:oneCellAnchor>
    <xdr:from>
      <xdr:col>0</xdr:col>
      <xdr:colOff>76200</xdr:colOff>
      <xdr:row>140</xdr:row>
      <xdr:rowOff>68580</xdr:rowOff>
    </xdr:from>
    <xdr:ext cx="1150757" cy="251460"/>
    <xdr:pic>
      <xdr:nvPicPr>
        <xdr:cNvPr id="23" name="Picture 22">
          <a:extLst>
            <a:ext uri="{FF2B5EF4-FFF2-40B4-BE49-F238E27FC236}">
              <a16:creationId xmlns:a16="http://schemas.microsoft.com/office/drawing/2014/main" id="{7D4CADCE-32E3-437F-AE74-8A3D9311FB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68580"/>
          <a:ext cx="1150757" cy="251460"/>
        </a:xfrm>
        <a:prstGeom prst="rect">
          <a:avLst/>
        </a:prstGeom>
      </xdr:spPr>
    </xdr:pic>
    <xdr:clientData/>
  </xdr:oneCellAnchor>
  <xdr:twoCellAnchor>
    <xdr:from>
      <xdr:col>0</xdr:col>
      <xdr:colOff>0</xdr:colOff>
      <xdr:row>1</xdr:row>
      <xdr:rowOff>17584</xdr:rowOff>
    </xdr:from>
    <xdr:to>
      <xdr:col>14</xdr:col>
      <xdr:colOff>533399</xdr:colOff>
      <xdr:row>34</xdr:row>
      <xdr:rowOff>124264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B2B9453-A327-41B0-8231-756F3B5E37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141</xdr:row>
      <xdr:rowOff>0</xdr:rowOff>
    </xdr:from>
    <xdr:to>
      <xdr:col>14</xdr:col>
      <xdr:colOff>534419</xdr:colOff>
      <xdr:row>173</xdr:row>
      <xdr:rowOff>166059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ADA19FBF-2508-496E-A72D-4A4E3D72EE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106</xdr:row>
      <xdr:rowOff>0</xdr:rowOff>
    </xdr:from>
    <xdr:to>
      <xdr:col>14</xdr:col>
      <xdr:colOff>534419</xdr:colOff>
      <xdr:row>138</xdr:row>
      <xdr:rowOff>166059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8D3CB963-E395-4528-816A-B3DB74B5CA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71</xdr:row>
      <xdr:rowOff>0</xdr:rowOff>
    </xdr:from>
    <xdr:to>
      <xdr:col>14</xdr:col>
      <xdr:colOff>534419</xdr:colOff>
      <xdr:row>103</xdr:row>
      <xdr:rowOff>166059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F9F6E011-8953-450C-889F-E4FF65874A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36</xdr:row>
      <xdr:rowOff>0</xdr:rowOff>
    </xdr:from>
    <xdr:to>
      <xdr:col>14</xdr:col>
      <xdr:colOff>533399</xdr:colOff>
      <xdr:row>69</xdr:row>
      <xdr:rowOff>106679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C8D5D27-4923-4165-99EF-8085BB94E6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441959</xdr:colOff>
      <xdr:row>36</xdr:row>
      <xdr:rowOff>15240</xdr:rowOff>
    </xdr:from>
    <xdr:to>
      <xdr:col>32</xdr:col>
      <xdr:colOff>615695</xdr:colOff>
      <xdr:row>66</xdr:row>
      <xdr:rowOff>97536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32E75B9-01DD-4CF6-9D8E-38C681A2DE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569594</xdr:colOff>
      <xdr:row>70</xdr:row>
      <xdr:rowOff>228600</xdr:rowOff>
    </xdr:from>
    <xdr:to>
      <xdr:col>33</xdr:col>
      <xdr:colOff>57530</xdr:colOff>
      <xdr:row>100</xdr:row>
      <xdr:rowOff>112932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F2CC2EF-18B5-4F2C-A624-1E2E733F92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16</xdr:col>
      <xdr:colOff>170328</xdr:colOff>
      <xdr:row>106</xdr:row>
      <xdr:rowOff>8965</xdr:rowOff>
    </xdr:from>
    <xdr:to>
      <xdr:col>33</xdr:col>
      <xdr:colOff>344064</xdr:colOff>
      <xdr:row>136</xdr:row>
      <xdr:rowOff>91261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373F70B-7274-4CE7-8F0E-2B83FD966D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16</xdr:col>
      <xdr:colOff>76199</xdr:colOff>
      <xdr:row>144</xdr:row>
      <xdr:rowOff>22860</xdr:rowOff>
    </xdr:from>
    <xdr:to>
      <xdr:col>33</xdr:col>
      <xdr:colOff>249935</xdr:colOff>
      <xdr:row>174</xdr:row>
      <xdr:rowOff>105156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57A0743-3DBB-4EA2-B872-1415B48098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17</xdr:col>
      <xdr:colOff>600075</xdr:colOff>
      <xdr:row>140</xdr:row>
      <xdr:rowOff>123825</xdr:rowOff>
    </xdr:from>
    <xdr:to>
      <xdr:col>19</xdr:col>
      <xdr:colOff>609793</xdr:colOff>
      <xdr:row>143</xdr:row>
      <xdr:rowOff>181091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2CFB9FFA-41F2-424D-BB67-C61F0C0851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2525375" y="27593925"/>
          <a:ext cx="1381318" cy="828791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0</xdr:row>
      <xdr:rowOff>0</xdr:rowOff>
    </xdr:from>
    <xdr:to>
      <xdr:col>17</xdr:col>
      <xdr:colOff>492248</xdr:colOff>
      <xdr:row>2</xdr:row>
      <xdr:rowOff>77534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2A09E3A-AFFD-F336-2140-7217EB5D96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576891" y="0"/>
          <a:ext cx="1867161" cy="657317"/>
        </a:xfrm>
        <a:prstGeom prst="rect">
          <a:avLst/>
        </a:prstGeom>
      </xdr:spPr>
    </xdr:pic>
    <xdr:clientData/>
  </xdr:twoCellAnchor>
  <xdr:twoCellAnchor>
    <xdr:from>
      <xdr:col>15</xdr:col>
      <xdr:colOff>157369</xdr:colOff>
      <xdr:row>2</xdr:row>
      <xdr:rowOff>87383</xdr:rowOff>
    </xdr:from>
    <xdr:to>
      <xdr:col>32</xdr:col>
      <xdr:colOff>330376</xdr:colOff>
      <xdr:row>32</xdr:row>
      <xdr:rowOff>169679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BB4FA015-068F-4C91-9869-CC3B1CAC36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147636</xdr:colOff>
      <xdr:row>11</xdr:row>
      <xdr:rowOff>42862</xdr:rowOff>
    </xdr:from>
    <xdr:to>
      <xdr:col>16</xdr:col>
      <xdr:colOff>295275</xdr:colOff>
      <xdr:row>35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4F4FFA-C1B6-102A-35C2-DB653795FB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428625</xdr:colOff>
      <xdr:row>11</xdr:row>
      <xdr:rowOff>66675</xdr:rowOff>
    </xdr:from>
    <xdr:to>
      <xdr:col>20</xdr:col>
      <xdr:colOff>190500</xdr:colOff>
      <xdr:row>13</xdr:row>
      <xdr:rowOff>104775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9D2D9808-3C66-198B-3901-2309EF7D83B8}"/>
            </a:ext>
          </a:extLst>
        </xdr:cNvPr>
        <xdr:cNvSpPr/>
      </xdr:nvSpPr>
      <xdr:spPr>
        <a:xfrm>
          <a:off x="12268200" y="2162175"/>
          <a:ext cx="2505075" cy="4191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Lấy</a:t>
          </a:r>
          <a:r>
            <a:rPr lang="en-US" sz="1100" baseline="0"/>
            <a:t> hạt PET</a:t>
          </a:r>
          <a:endParaRPr lang="en-US" sz="1100"/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0.00928</cdr:x>
      <cdr:y>0.07236</cdr:y>
    </cdr:from>
    <cdr:to>
      <cdr:x>0.10308</cdr:x>
      <cdr:y>0.13167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E1C827E9-7D0D-DA94-B8EC-00E871C20621}"/>
            </a:ext>
          </a:extLst>
        </cdr:cNvPr>
        <cdr:cNvSpPr txBox="1"/>
      </cdr:nvSpPr>
      <cdr:spPr>
        <a:xfrm xmlns:a="http://schemas.openxmlformats.org/drawingml/2006/main">
          <a:off x="90489" y="290513"/>
          <a:ext cx="914400" cy="23812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000" i="1" kern="1200"/>
            <a:t>Đvt:</a:t>
          </a:r>
          <a:r>
            <a:rPr lang="en-US" sz="1000" i="1" kern="1200" baseline="0"/>
            <a:t> USD/ tấn</a:t>
          </a:r>
          <a:endParaRPr lang="en-US" sz="1000" i="1" kern="1200"/>
        </a:p>
      </cdr:txBody>
    </cdr:sp>
  </cdr:relSizeAnchor>
</c:userShape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6">
  <rv s="0">
    <v>0</v>
    <v>5</v>
    <v>Discover Niagara Bottling LLC: Quality Bottled Water by IBWA</v>
  </rv>
  <rv s="0">
    <v>1</v>
    <v>5</v>
    <v>Suntory Holdings Limited | LinkedIn</v>
  </rv>
  <rv s="0">
    <v>2</v>
    <v>5</v>
    <v>Unilever plc - WikiCorporates</v>
  </rv>
  <rv s="0">
    <v>3</v>
    <v>5</v>
    <v>iF Design - Outeirinho Turismo e Indústria S.A.</v>
  </rv>
  <rv s="0">
    <v>4</v>
    <v>5</v>
    <v>Coca-Cola logo vector (svg, eps ...</v>
  </rv>
  <rv s="0">
    <v>5</v>
    <v>5</v>
    <v>Logo Lavie file Vector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</richValueRels>
</file>

<file path=xl/theme/theme1.xml><?xml version="1.0" encoding="utf-8"?>
<a:theme xmlns:a="http://schemas.openxmlformats.org/drawingml/2006/main" name="Office Theme">
  <a:themeElements>
    <a:clrScheme name="DTR-OWN">
      <a:dk1>
        <a:sysClr val="windowText" lastClr="000000"/>
      </a:dk1>
      <a:lt1>
        <a:sysClr val="window" lastClr="FFFFFF"/>
      </a:lt1>
      <a:dk2>
        <a:srgbClr val="0F4C81"/>
      </a:dk2>
      <a:lt2>
        <a:srgbClr val="727376"/>
      </a:lt2>
      <a:accent1>
        <a:srgbClr val="F87C56"/>
      </a:accent1>
      <a:accent2>
        <a:srgbClr val="119303"/>
      </a:accent2>
      <a:accent3>
        <a:srgbClr val="034194"/>
      </a:accent3>
      <a:accent4>
        <a:srgbClr val="BE3455"/>
      </a:accent4>
      <a:accent5>
        <a:srgbClr val="CCCC00"/>
      </a:accent5>
      <a:accent6>
        <a:srgbClr val="92A8D1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1219D-B1F7-4999-AD4F-46931266B3E1}">
  <dimension ref="A5:O17"/>
  <sheetViews>
    <sheetView showGridLines="0" view="pageLayout" topLeftCell="A7" zoomScaleNormal="100" workbookViewId="0">
      <selection activeCell="E17" sqref="E17"/>
    </sheetView>
  </sheetViews>
  <sheetFormatPr defaultRowHeight="14.5" x14ac:dyDescent="0.35"/>
  <sheetData>
    <row r="5" spans="1:15" ht="30.65" customHeight="1" x14ac:dyDescent="0.35">
      <c r="A5" s="488" t="s">
        <v>343</v>
      </c>
      <c r="B5" s="488"/>
      <c r="C5" s="488"/>
      <c r="D5" s="488"/>
      <c r="E5" s="488"/>
      <c r="F5" s="488"/>
      <c r="G5" s="488"/>
      <c r="H5" s="488"/>
      <c r="I5" s="488"/>
      <c r="J5" s="488"/>
      <c r="K5" s="488"/>
      <c r="L5" s="488"/>
      <c r="M5" s="488"/>
      <c r="N5" s="488"/>
      <c r="O5" s="488"/>
    </row>
    <row r="10" spans="1:15" ht="15" thickBot="1" x14ac:dyDescent="0.4"/>
    <row r="11" spans="1:15" ht="26.5" thickBot="1" x14ac:dyDescent="0.65">
      <c r="C11" s="387" t="s">
        <v>344</v>
      </c>
      <c r="D11" s="388" t="s">
        <v>345</v>
      </c>
    </row>
    <row r="12" spans="1:15" ht="10.4" customHeight="1" x14ac:dyDescent="0.6">
      <c r="C12" s="386"/>
      <c r="D12" s="385"/>
    </row>
    <row r="13" spans="1:15" ht="15" thickBot="1" x14ac:dyDescent="0.4"/>
    <row r="14" spans="1:15" ht="26.5" thickBot="1" x14ac:dyDescent="0.65">
      <c r="C14" s="387" t="s">
        <v>346</v>
      </c>
      <c r="D14" s="388" t="s">
        <v>335</v>
      </c>
    </row>
    <row r="15" spans="1:15" ht="10.4" customHeight="1" x14ac:dyDescent="0.6">
      <c r="C15" s="386"/>
      <c r="D15" s="385"/>
    </row>
    <row r="16" spans="1:15" ht="15" thickBot="1" x14ac:dyDescent="0.4"/>
    <row r="17" spans="3:4" ht="26.5" thickBot="1" x14ac:dyDescent="0.65">
      <c r="C17" s="387" t="s">
        <v>407</v>
      </c>
      <c r="D17" s="388" t="s">
        <v>393</v>
      </c>
    </row>
  </sheetData>
  <mergeCells count="1">
    <mergeCell ref="A5:O5"/>
  </mergeCells>
  <hyperlinks>
    <hyperlink ref="C11" location="'Giá công thức'!A1" display="I." xr:uid="{9A445FB0-0D56-4FA2-8144-1BBA1E3E4ACE}"/>
    <hyperlink ref="C14" location="Price!A1" display="II." xr:uid="{27D980F6-3968-4F96-BC2E-FBCAB710BFA3}"/>
    <hyperlink ref="C17" location="'Biểu đồ'!A1" display="III." xr:uid="{1A262CD2-0AE9-46A6-BECC-FFA4967B32D0}"/>
  </hyperlinks>
  <printOptions horizontalCentered="1"/>
  <pageMargins left="0.2" right="0.2" top="0.25" bottom="0.25" header="0.05" footer="0.05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FF135-7297-401E-8248-E50EFD55FEF9}">
  <sheetPr>
    <tabColor theme="7" tint="-0.249977111117893"/>
  </sheetPr>
  <dimension ref="A1:AP104"/>
  <sheetViews>
    <sheetView showGridLines="0" topLeftCell="A5" zoomScale="115" zoomScaleNormal="115" workbookViewId="0">
      <pane xSplit="6" ySplit="6" topLeftCell="X62" activePane="bottomRight" state="frozen"/>
      <selection activeCell="D5" sqref="D5"/>
      <selection pane="topRight" activeCell="G5" sqref="G5"/>
      <selection pane="bottomLeft" activeCell="D11" sqref="D11"/>
      <selection pane="bottomRight" activeCell="Z70" sqref="Z70"/>
    </sheetView>
  </sheetViews>
  <sheetFormatPr defaultRowHeight="14.5" outlineLevelRow="1" outlineLevelCol="1" x14ac:dyDescent="0.35"/>
  <cols>
    <col min="1" max="1" width="9" hidden="1" customWidth="1" outlineLevel="1"/>
    <col min="2" max="2" width="18.33203125" hidden="1" customWidth="1" outlineLevel="1"/>
    <col min="3" max="3" width="16.08203125" style="14" hidden="1" customWidth="1" outlineLevel="1"/>
    <col min="4" max="4" width="6" style="14" customWidth="1" collapsed="1"/>
    <col min="5" max="5" width="0.58203125" customWidth="1"/>
    <col min="6" max="6" width="26.5" style="321" bestFit="1" customWidth="1"/>
    <col min="7" max="17" width="8.33203125" customWidth="1"/>
    <col min="18" max="18" width="8.33203125" style="48" customWidth="1"/>
    <col min="19" max="29" width="8.33203125" customWidth="1"/>
    <col min="30" max="30" width="8.33203125" style="48" customWidth="1"/>
    <col min="31" max="41" width="8.33203125" customWidth="1"/>
    <col min="42" max="42" width="8.33203125" style="48" customWidth="1"/>
  </cols>
  <sheetData>
    <row r="1" spans="1:42" outlineLevel="1" x14ac:dyDescent="0.35">
      <c r="F1"/>
      <c r="G1" s="78">
        <f t="shared" ref="G1:AD1" si="0">DATE(G3,G4,1)</f>
        <v>45292</v>
      </c>
      <c r="H1" s="77">
        <f t="shared" si="0"/>
        <v>45323</v>
      </c>
      <c r="I1" s="77">
        <f t="shared" si="0"/>
        <v>45352</v>
      </c>
      <c r="J1" s="77">
        <f t="shared" si="0"/>
        <v>45383</v>
      </c>
      <c r="K1" s="77">
        <f t="shared" si="0"/>
        <v>45413</v>
      </c>
      <c r="L1" s="77">
        <f t="shared" si="0"/>
        <v>45444</v>
      </c>
      <c r="M1" s="77">
        <f t="shared" si="0"/>
        <v>45474</v>
      </c>
      <c r="N1" s="77">
        <f t="shared" si="0"/>
        <v>45505</v>
      </c>
      <c r="O1" s="77">
        <f t="shared" si="0"/>
        <v>45536</v>
      </c>
      <c r="P1" s="77">
        <f t="shared" si="0"/>
        <v>45566</v>
      </c>
      <c r="Q1" s="77">
        <f t="shared" si="0"/>
        <v>45597</v>
      </c>
      <c r="R1" s="79">
        <f t="shared" si="0"/>
        <v>45627</v>
      </c>
      <c r="S1" s="77">
        <f t="shared" si="0"/>
        <v>45658</v>
      </c>
      <c r="T1" s="77">
        <f t="shared" si="0"/>
        <v>45689</v>
      </c>
      <c r="U1" s="77">
        <f t="shared" si="0"/>
        <v>45717</v>
      </c>
      <c r="V1" s="77">
        <f t="shared" si="0"/>
        <v>45748</v>
      </c>
      <c r="W1" s="77">
        <f t="shared" si="0"/>
        <v>45778</v>
      </c>
      <c r="X1" s="77">
        <f t="shared" si="0"/>
        <v>45809</v>
      </c>
      <c r="Y1" s="77">
        <f t="shared" si="0"/>
        <v>45839</v>
      </c>
      <c r="Z1" s="77">
        <f t="shared" si="0"/>
        <v>45870</v>
      </c>
      <c r="AA1" s="77">
        <f t="shared" si="0"/>
        <v>45901</v>
      </c>
      <c r="AB1" s="77">
        <f t="shared" si="0"/>
        <v>45931</v>
      </c>
      <c r="AC1" s="77">
        <f t="shared" si="0"/>
        <v>45962</v>
      </c>
      <c r="AD1" s="79">
        <f t="shared" si="0"/>
        <v>45992</v>
      </c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  <c r="AP1" s="79"/>
    </row>
    <row r="2" spans="1:42" outlineLevel="1" x14ac:dyDescent="0.35">
      <c r="F2"/>
      <c r="G2" s="78">
        <f t="shared" ref="G2:AD2" si="1">EOMONTH(G1,0)</f>
        <v>45322</v>
      </c>
      <c r="H2" s="77">
        <f t="shared" si="1"/>
        <v>45351</v>
      </c>
      <c r="I2" s="77">
        <f t="shared" si="1"/>
        <v>45382</v>
      </c>
      <c r="J2" s="77">
        <f t="shared" si="1"/>
        <v>45412</v>
      </c>
      <c r="K2" s="77">
        <f t="shared" si="1"/>
        <v>45443</v>
      </c>
      <c r="L2" s="77">
        <f t="shared" si="1"/>
        <v>45473</v>
      </c>
      <c r="M2" s="77">
        <f t="shared" si="1"/>
        <v>45504</v>
      </c>
      <c r="N2" s="77">
        <f t="shared" si="1"/>
        <v>45535</v>
      </c>
      <c r="O2" s="77">
        <f t="shared" si="1"/>
        <v>45565</v>
      </c>
      <c r="P2" s="77">
        <f t="shared" si="1"/>
        <v>45596</v>
      </c>
      <c r="Q2" s="77">
        <f t="shared" si="1"/>
        <v>45626</v>
      </c>
      <c r="R2" s="79">
        <f t="shared" si="1"/>
        <v>45657</v>
      </c>
      <c r="S2" s="77">
        <f t="shared" si="1"/>
        <v>45688</v>
      </c>
      <c r="T2" s="77">
        <f t="shared" si="1"/>
        <v>45716</v>
      </c>
      <c r="U2" s="77">
        <f t="shared" si="1"/>
        <v>45747</v>
      </c>
      <c r="V2" s="77">
        <f t="shared" si="1"/>
        <v>45777</v>
      </c>
      <c r="W2" s="77">
        <f t="shared" si="1"/>
        <v>45808</v>
      </c>
      <c r="X2" s="77">
        <f t="shared" si="1"/>
        <v>45838</v>
      </c>
      <c r="Y2" s="77">
        <f t="shared" si="1"/>
        <v>45869</v>
      </c>
      <c r="Z2" s="77">
        <f t="shared" si="1"/>
        <v>45900</v>
      </c>
      <c r="AA2" s="77">
        <f t="shared" si="1"/>
        <v>45930</v>
      </c>
      <c r="AB2" s="77">
        <f t="shared" si="1"/>
        <v>45961</v>
      </c>
      <c r="AC2" s="77">
        <f t="shared" si="1"/>
        <v>45991</v>
      </c>
      <c r="AD2" s="79">
        <f t="shared" si="1"/>
        <v>46022</v>
      </c>
      <c r="AE2" s="77"/>
      <c r="AF2" s="77"/>
      <c r="AG2" s="77"/>
      <c r="AH2" s="77"/>
      <c r="AI2" s="77"/>
      <c r="AJ2" s="77"/>
      <c r="AK2" s="77"/>
      <c r="AL2" s="77"/>
      <c r="AM2" s="77"/>
      <c r="AN2" s="77"/>
      <c r="AO2" s="77"/>
      <c r="AP2" s="79"/>
    </row>
    <row r="3" spans="1:42" outlineLevel="1" x14ac:dyDescent="0.35">
      <c r="F3"/>
      <c r="G3" s="72">
        <v>2024</v>
      </c>
      <c r="H3" s="21">
        <v>2024</v>
      </c>
      <c r="I3" s="21">
        <v>2024</v>
      </c>
      <c r="J3" s="21">
        <v>2024</v>
      </c>
      <c r="K3" s="21">
        <v>2024</v>
      </c>
      <c r="L3" s="21">
        <v>2024</v>
      </c>
      <c r="M3" s="21">
        <v>2024</v>
      </c>
      <c r="N3" s="21">
        <v>2024</v>
      </c>
      <c r="O3" s="21">
        <v>2024</v>
      </c>
      <c r="P3" s="21">
        <v>2024</v>
      </c>
      <c r="Q3" s="21">
        <v>2024</v>
      </c>
      <c r="R3" s="73">
        <v>2024</v>
      </c>
      <c r="S3" s="21">
        <v>2025</v>
      </c>
      <c r="T3" s="21">
        <v>2025</v>
      </c>
      <c r="U3" s="21">
        <v>2025</v>
      </c>
      <c r="V3" s="21">
        <v>2025</v>
      </c>
      <c r="W3" s="21">
        <v>2025</v>
      </c>
      <c r="X3" s="21">
        <v>2025</v>
      </c>
      <c r="Y3" s="21">
        <v>2025</v>
      </c>
      <c r="Z3" s="21">
        <v>2025</v>
      </c>
      <c r="AA3" s="21">
        <v>2025</v>
      </c>
      <c r="AB3" s="21">
        <v>2025</v>
      </c>
      <c r="AC3" s="21">
        <v>2025</v>
      </c>
      <c r="AD3" s="73">
        <v>2025</v>
      </c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73"/>
    </row>
    <row r="4" spans="1:42" outlineLevel="1" x14ac:dyDescent="0.35">
      <c r="F4"/>
      <c r="G4" s="72">
        <v>1</v>
      </c>
      <c r="H4" s="21">
        <v>2</v>
      </c>
      <c r="I4" s="21">
        <v>3</v>
      </c>
      <c r="J4" s="21">
        <v>4</v>
      </c>
      <c r="K4" s="21">
        <v>5</v>
      </c>
      <c r="L4" s="21">
        <v>6</v>
      </c>
      <c r="M4" s="21">
        <v>7</v>
      </c>
      <c r="N4" s="21">
        <v>8</v>
      </c>
      <c r="O4" s="21">
        <v>9</v>
      </c>
      <c r="P4" s="21">
        <v>10</v>
      </c>
      <c r="Q4" s="21">
        <v>11</v>
      </c>
      <c r="R4" s="73">
        <v>12</v>
      </c>
      <c r="S4" s="21">
        <v>1</v>
      </c>
      <c r="T4" s="21">
        <v>2</v>
      </c>
      <c r="U4" s="21">
        <v>3</v>
      </c>
      <c r="V4" s="21">
        <v>4</v>
      </c>
      <c r="W4" s="21">
        <v>5</v>
      </c>
      <c r="X4" s="21">
        <v>6</v>
      </c>
      <c r="Y4" s="21">
        <v>7</v>
      </c>
      <c r="Z4" s="21">
        <v>8</v>
      </c>
      <c r="AA4" s="21">
        <v>9</v>
      </c>
      <c r="AB4" s="21">
        <v>10</v>
      </c>
      <c r="AC4" s="21">
        <v>11</v>
      </c>
      <c r="AD4" s="73">
        <v>12</v>
      </c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73"/>
    </row>
    <row r="5" spans="1:42" s="418" customFormat="1" ht="27.65" customHeight="1" x14ac:dyDescent="0.65">
      <c r="F5" s="419"/>
      <c r="G5" s="419" t="s">
        <v>342</v>
      </c>
      <c r="S5" s="419" t="s">
        <v>342</v>
      </c>
      <c r="AE5" s="419" t="s">
        <v>342</v>
      </c>
    </row>
    <row r="6" spans="1:42" hidden="1" x14ac:dyDescent="0.35">
      <c r="F6"/>
      <c r="G6" s="47"/>
      <c r="R6"/>
      <c r="S6" s="47"/>
      <c r="AD6"/>
      <c r="AE6" s="47"/>
      <c r="AP6"/>
    </row>
    <row r="7" spans="1:42" hidden="1" x14ac:dyDescent="0.35">
      <c r="F7"/>
      <c r="G7" s="47"/>
      <c r="R7"/>
      <c r="S7" s="47"/>
      <c r="AD7"/>
      <c r="AE7" s="47"/>
      <c r="AP7"/>
    </row>
    <row r="8" spans="1:42" ht="15.65" customHeight="1" x14ac:dyDescent="0.35">
      <c r="D8" s="487" t="s">
        <v>0</v>
      </c>
      <c r="E8" s="485" t="s">
        <v>1</v>
      </c>
      <c r="F8" s="486"/>
      <c r="G8" s="29">
        <v>2024</v>
      </c>
      <c r="H8" s="29"/>
      <c r="I8" s="29"/>
      <c r="J8" s="29"/>
      <c r="K8" s="29"/>
      <c r="L8" s="29"/>
      <c r="M8" s="29"/>
      <c r="N8" s="29"/>
      <c r="O8" s="29"/>
      <c r="P8" s="29"/>
      <c r="Q8" s="29"/>
      <c r="R8" s="85"/>
      <c r="S8" s="30">
        <v>2025</v>
      </c>
      <c r="T8" s="30"/>
      <c r="U8" s="30"/>
      <c r="V8" s="30"/>
      <c r="W8" s="30"/>
      <c r="X8" s="30"/>
      <c r="Y8" s="30"/>
      <c r="Z8" s="30"/>
      <c r="AA8" s="30"/>
      <c r="AB8" s="30"/>
      <c r="AC8" s="30"/>
      <c r="AD8" s="128"/>
      <c r="AE8" s="464">
        <v>2026</v>
      </c>
      <c r="AF8" s="464"/>
      <c r="AG8" s="464"/>
      <c r="AH8" s="464"/>
      <c r="AI8" s="464"/>
      <c r="AJ8" s="464"/>
      <c r="AK8" s="464"/>
      <c r="AL8" s="464"/>
      <c r="AM8" s="464"/>
      <c r="AN8" s="464"/>
      <c r="AO8" s="464"/>
      <c r="AP8" s="465"/>
    </row>
    <row r="9" spans="1:42" ht="15.65" customHeight="1" x14ac:dyDescent="0.35">
      <c r="D9" s="487"/>
      <c r="E9" s="485"/>
      <c r="F9" s="486"/>
      <c r="G9" s="31">
        <v>1</v>
      </c>
      <c r="H9" s="31">
        <v>2</v>
      </c>
      <c r="I9" s="31">
        <v>3</v>
      </c>
      <c r="J9" s="31">
        <v>4</v>
      </c>
      <c r="K9" s="31">
        <v>5</v>
      </c>
      <c r="L9" s="31">
        <v>6</v>
      </c>
      <c r="M9" s="31">
        <v>7</v>
      </c>
      <c r="N9" s="31">
        <v>8</v>
      </c>
      <c r="O9" s="31">
        <v>9</v>
      </c>
      <c r="P9" s="31">
        <v>10</v>
      </c>
      <c r="Q9" s="31">
        <v>11</v>
      </c>
      <c r="R9" s="87">
        <v>12</v>
      </c>
      <c r="S9" s="32">
        <v>1</v>
      </c>
      <c r="T9" s="32">
        <v>2</v>
      </c>
      <c r="U9" s="32">
        <v>3</v>
      </c>
      <c r="V9" s="32">
        <v>4</v>
      </c>
      <c r="W9" s="32">
        <v>5</v>
      </c>
      <c r="X9" s="32">
        <v>6</v>
      </c>
      <c r="Y9" s="32">
        <v>7</v>
      </c>
      <c r="Z9" s="32">
        <v>8</v>
      </c>
      <c r="AA9" s="32">
        <v>9</v>
      </c>
      <c r="AB9" s="32">
        <v>10</v>
      </c>
      <c r="AC9" s="32">
        <v>11</v>
      </c>
      <c r="AD9" s="129">
        <v>12</v>
      </c>
      <c r="AE9" s="466">
        <v>1</v>
      </c>
      <c r="AF9" s="466">
        <v>2</v>
      </c>
      <c r="AG9" s="466">
        <v>3</v>
      </c>
      <c r="AH9" s="466">
        <v>4</v>
      </c>
      <c r="AI9" s="466">
        <v>5</v>
      </c>
      <c r="AJ9" s="466">
        <v>6</v>
      </c>
      <c r="AK9" s="466">
        <v>7</v>
      </c>
      <c r="AL9" s="466">
        <v>8</v>
      </c>
      <c r="AM9" s="466">
        <v>9</v>
      </c>
      <c r="AN9" s="466">
        <v>10</v>
      </c>
      <c r="AO9" s="466">
        <v>11</v>
      </c>
      <c r="AP9" s="467">
        <v>12</v>
      </c>
    </row>
    <row r="10" spans="1:42" ht="3" customHeight="1" x14ac:dyDescent="0.35"/>
    <row r="11" spans="1:42" s="127" customFormat="1" ht="15.65" customHeight="1" x14ac:dyDescent="0.4">
      <c r="A11" s="127" t="s">
        <v>52</v>
      </c>
      <c r="C11" s="131"/>
      <c r="D11" s="169" t="s">
        <v>2</v>
      </c>
      <c r="E11" s="130" t="s">
        <v>3</v>
      </c>
      <c r="F11" s="322"/>
      <c r="G11" s="130"/>
      <c r="H11" s="130"/>
      <c r="I11" s="130"/>
      <c r="J11" s="130"/>
      <c r="K11" s="130"/>
      <c r="L11" s="130"/>
      <c r="M11" s="130"/>
      <c r="N11" s="130"/>
      <c r="O11" s="130"/>
      <c r="P11" s="130"/>
      <c r="Q11" s="130"/>
      <c r="R11" s="319"/>
      <c r="S11" s="130"/>
      <c r="T11" s="130"/>
      <c r="U11" s="130"/>
      <c r="V11" s="130"/>
      <c r="W11" s="130"/>
      <c r="X11" s="130"/>
      <c r="Y11" s="130"/>
      <c r="Z11" s="130"/>
      <c r="AA11" s="130"/>
      <c r="AB11" s="130"/>
      <c r="AC11" s="130"/>
      <c r="AD11" s="319"/>
      <c r="AE11" s="130"/>
      <c r="AF11" s="130"/>
      <c r="AG11" s="130"/>
      <c r="AH11" s="130"/>
      <c r="AI11" s="130"/>
      <c r="AJ11" s="130"/>
      <c r="AK11" s="130"/>
      <c r="AL11" s="130"/>
      <c r="AM11" s="130"/>
      <c r="AN11" s="130"/>
      <c r="AO11" s="130"/>
      <c r="AP11" s="319"/>
    </row>
    <row r="12" spans="1:42" s="148" customFormat="1" ht="13.4" customHeight="1" outlineLevel="1" x14ac:dyDescent="0.4">
      <c r="A12" s="148" t="s">
        <v>52</v>
      </c>
      <c r="B12" s="148" t="s">
        <v>15</v>
      </c>
      <c r="D12" s="161"/>
      <c r="E12" s="149"/>
      <c r="F12" s="323" t="s">
        <v>4</v>
      </c>
      <c r="G12" s="149"/>
      <c r="H12" s="149"/>
      <c r="I12" s="149"/>
      <c r="J12" s="149"/>
      <c r="K12" s="149"/>
      <c r="L12" s="149"/>
      <c r="M12" s="149"/>
      <c r="N12" s="149"/>
      <c r="O12" s="149"/>
      <c r="P12" s="149"/>
      <c r="Q12" s="149"/>
      <c r="R12" s="150"/>
      <c r="S12" s="151"/>
      <c r="T12" s="151"/>
      <c r="U12" s="149"/>
      <c r="V12" s="149"/>
      <c r="W12" s="149"/>
      <c r="X12" s="149"/>
      <c r="Y12" s="149"/>
      <c r="Z12" s="149"/>
      <c r="AA12" s="149"/>
      <c r="AB12" s="149"/>
      <c r="AC12" s="149"/>
      <c r="AD12" s="150"/>
      <c r="AE12" s="151"/>
      <c r="AF12" s="151"/>
      <c r="AG12" s="149"/>
      <c r="AH12" s="149"/>
      <c r="AI12" s="149"/>
      <c r="AJ12" s="149"/>
      <c r="AK12" s="149"/>
      <c r="AL12" s="149"/>
      <c r="AM12" s="149"/>
      <c r="AN12" s="149"/>
      <c r="AO12" s="149"/>
      <c r="AP12" s="150"/>
    </row>
    <row r="13" spans="1:42" s="69" customFormat="1" ht="11.5" customHeight="1" outlineLevel="1" x14ac:dyDescent="0.35">
      <c r="A13" s="69" t="s">
        <v>52</v>
      </c>
      <c r="B13" s="69" t="s">
        <v>15</v>
      </c>
      <c r="D13" s="170" t="s">
        <v>5</v>
      </c>
      <c r="E13" s="134"/>
      <c r="F13" s="324" t="s">
        <v>6</v>
      </c>
      <c r="G13" s="135" cm="1">
        <f t="array" ref="G13">INDEX(Price!$L$11:$AM$182,MATCH(1,(Price!$A$11:$A$182=$A13)*(Price!$B$11:$B$182=$B13)*(Price!$D$11:$D$182="gb"),0),MATCH(1,(Price!$L$3:$AM$3=G$3)*(Price!$L$4:$AM$4=G$4),0))</f>
        <v>1200</v>
      </c>
      <c r="H13" s="135" cm="1">
        <f t="array" ref="H13">INDEX(Price!$L$11:$AM$182,MATCH(1,(Price!$A$11:$A$182=$A13)*(Price!$B$11:$B$182=$B13)*(Price!$D$11:$D$182="gb"),0),MATCH(1,(Price!$L$3:$AM$3=H$3)*(Price!$L$4:$AM$4=H$4),0))</f>
        <v>1200</v>
      </c>
      <c r="I13" s="135" cm="1">
        <f t="array" ref="I13">INDEX(Price!$L$11:$AM$182,MATCH(1,(Price!$A$11:$A$182=$A13)*(Price!$B$11:$B$182=$B13)*(Price!$D$11:$D$182="gb"),0),MATCH(1,(Price!$L$3:$AM$3=I$3)*(Price!$L$4:$AM$4=I$4),0))</f>
        <v>1200</v>
      </c>
      <c r="J13" s="135" cm="1">
        <f t="array" ref="J13">INDEX(Price!$L$11:$AM$182,MATCH(1,(Price!$A$11:$A$182=$A13)*(Price!$B$11:$B$182=$B13)*(Price!$D$11:$D$182="gb"),0),MATCH(1,(Price!$L$3:$AM$3=J$3)*(Price!$L$4:$AM$4=J$4),0))</f>
        <v>1200</v>
      </c>
      <c r="K13" s="135" cm="1">
        <f t="array" ref="K13">INDEX(Price!$L$11:$AM$182,MATCH(1,(Price!$A$11:$A$182=$A13)*(Price!$B$11:$B$182=$B13)*(Price!$D$11:$D$182="gb"),0),MATCH(1,(Price!$L$3:$AM$3=K$3)*(Price!$L$4:$AM$4=K$4),0))</f>
        <v>1200</v>
      </c>
      <c r="L13" s="135" cm="1">
        <f t="array" ref="L13">INDEX(Price!$L$11:$AM$182,MATCH(1,(Price!$A$11:$A$182=$A13)*(Price!$B$11:$B$182=$B13)*(Price!$D$11:$D$182="gb"),0),MATCH(1,(Price!$L$3:$AM$3=L$3)*(Price!$L$4:$AM$4=L$4),0))</f>
        <v>1200.8999999999999</v>
      </c>
      <c r="M13" s="135" cm="1">
        <f t="array" ref="M13">INDEX(Price!$L$11:$AM$182,MATCH(1,(Price!$A$11:$A$182=$A13)*(Price!$B$11:$B$182=$B13)*(Price!$D$11:$D$182="gb"),0),MATCH(1,(Price!$L$3:$AM$3=M$3)*(Price!$L$4:$AM$4=M$4),0))</f>
        <v>1214.3999999999999</v>
      </c>
      <c r="N13" s="135" cm="1">
        <f t="array" ref="N13">INDEX(Price!$L$11:$AM$182,MATCH(1,(Price!$A$11:$A$182=$A13)*(Price!$B$11:$B$182=$B13)*(Price!$D$11:$D$182="gb"),0),MATCH(1,(Price!$L$3:$AM$3=N$3)*(Price!$L$4:$AM$4=N$4),0))</f>
        <v>1226.0999999999999</v>
      </c>
      <c r="O13" s="135" cm="1">
        <f t="array" ref="O13">INDEX(Price!$L$11:$AM$182,MATCH(1,(Price!$A$11:$A$182=$A13)*(Price!$B$11:$B$182=$B13)*(Price!$D$11:$D$182="gb"),0),MATCH(1,(Price!$L$3:$AM$3=O$3)*(Price!$L$4:$AM$4=O$4),0))</f>
        <v>1242.6000000000001</v>
      </c>
      <c r="P13" s="135" cm="1">
        <f t="array" ref="P13">INDEX(Price!$L$11:$AM$182,MATCH(1,(Price!$A$11:$A$182=$A13)*(Price!$B$11:$B$182=$B13)*(Price!$D$11:$D$182="gb"),0),MATCH(1,(Price!$L$3:$AM$3=P$3)*(Price!$L$4:$AM$4=P$4),0))</f>
        <v>1261.3499999999999</v>
      </c>
      <c r="Q13" s="135" cm="1">
        <f t="array" ref="Q13">INDEX(Price!$L$11:$AM$182,MATCH(1,(Price!$A$11:$A$182=$A13)*(Price!$B$11:$B$182=$B13)*(Price!$D$11:$D$182="gb"),0),MATCH(1,(Price!$L$3:$AM$3=Q$3)*(Price!$L$4:$AM$4=Q$4),0))</f>
        <v>1281.75</v>
      </c>
      <c r="R13" s="136" cm="1">
        <f t="array" ref="R13">INDEX(Price!$L$11:$AM$182,MATCH(1,(Price!$A$11:$A$182=$A13)*(Price!$B$11:$B$182=$B13)*(Price!$D$11:$D$182="gb"),0),MATCH(1,(Price!$L$3:$AM$3=R$3)*(Price!$L$4:$AM$4=R$4),0))</f>
        <v>1290.75</v>
      </c>
      <c r="S13" s="135" cm="1">
        <f t="array" ref="S13">INDEX(Price!$L$11:$AM$182,MATCH(1,(Price!$A$11:$A$182=$A13)*(Price!$B$11:$B$182=$B13)*(Price!$D$11:$D$182="gb"),0),MATCH(1,(Price!$L$3:$AM$3=S$3)*(Price!$L$4:$AM$4=S$4),0))</f>
        <v>1288.875</v>
      </c>
      <c r="T13" s="135" cm="1">
        <f t="array" ref="T13">INDEX(Price!$L$11:$AM$182,MATCH(1,(Price!$A$11:$A$182=$A13)*(Price!$B$11:$B$182=$B13)*(Price!$D$11:$D$182="gb"),0),MATCH(1,(Price!$L$3:$AM$3=T$3)*(Price!$L$4:$AM$4=T$4),0))</f>
        <v>1264.3749999999991</v>
      </c>
      <c r="U13" s="135" cm="1">
        <f t="array" ref="U13">INDEX(Price!$L$11:$AM$182,MATCH(1,(Price!$A$11:$A$182=$A13)*(Price!$B$11:$B$182=$B13)*(Price!$D$11:$D$182="gb"),0),MATCH(1,(Price!$L$3:$AM$3=U$3)*(Price!$L$4:$AM$4=U$4),0))</f>
        <v>1238.8749999999991</v>
      </c>
      <c r="V13" s="135" cm="1">
        <f t="array" ref="V13">INDEX(Price!$L$11:$AM$182,MATCH(1,(Price!$A$11:$A$182=$A13)*(Price!$B$11:$B$182=$B13)*(Price!$D$11:$D$182="gb"),0),MATCH(1,(Price!$L$3:$AM$3=V$3)*(Price!$L$4:$AM$4=V$4),0))</f>
        <v>1219.8800000000001</v>
      </c>
      <c r="W13" s="135" cm="1">
        <f t="array" ref="W13">INDEX(Price!$L$11:$AM$182,MATCH(1,(Price!$A$11:$A$182=$A13)*(Price!$B$11:$B$182=$B13)*(Price!$D$11:$D$182="gb"),0),MATCH(1,(Price!$L$3:$AM$3=W$3)*(Price!$L$4:$AM$4=W$4),0))</f>
        <v>1221</v>
      </c>
      <c r="X13" s="135" cm="1">
        <f t="array" ref="X13">INDEX(Price!$L$11:$AM$182,MATCH(1,(Price!$A$11:$A$182=$A13)*(Price!$B$11:$B$182=$B13)*(Price!$D$11:$D$182="gb"),0),MATCH(1,(Price!$L$3:$AM$3=X$3)*(Price!$L$4:$AM$4=X$4),0))</f>
        <v>1224</v>
      </c>
      <c r="Y13" s="135" cm="1">
        <f t="array" ref="Y13">INDEX(Price!$L$11:$AM$182,MATCH(1,(Price!$A$11:$A$182=$A13)*(Price!$B$11:$B$182=$B13)*(Price!$D$11:$D$182="gb"),0),MATCH(1,(Price!$L$3:$AM$3=Y$3)*(Price!$L$4:$AM$4=Y$4),0))</f>
        <v>1224</v>
      </c>
      <c r="Z13" s="135" cm="1">
        <f t="array" ref="Z13">INDEX(Price!$L$11:$AM$182,MATCH(1,(Price!$A$11:$A$182=$A13)*(Price!$B$11:$B$182=$B13)*(Price!$D$11:$D$182="gb"),0),MATCH(1,(Price!$L$3:$AM$3=Z$3)*(Price!$L$4:$AM$4=Z$4),0))</f>
        <v>1213.2</v>
      </c>
      <c r="AA13" s="135" cm="1">
        <f t="array" ref="AA13">INDEX(Price!$L$11:$AM$182,MATCH(1,(Price!$A$11:$A$182=$A13)*(Price!$B$11:$B$182=$B13)*(Price!$D$11:$D$182="gb"),0),MATCH(1,(Price!$L$3:$AM$3=AA$3)*(Price!$L$4:$AM$4=AA$4),0))</f>
        <v>1200</v>
      </c>
      <c r="AB13" s="135" cm="1">
        <f t="array" ref="AB13">INDEX(Price!$L$11:$AM$182,MATCH(1,(Price!$A$11:$A$182=$A13)*(Price!$B$11:$B$182=$B13)*(Price!$D$11:$D$182="gb"),0),MATCH(1,(Price!$L$3:$AM$3=AB$3)*(Price!$L$4:$AM$4=AB$4),0))</f>
        <v>1200</v>
      </c>
      <c r="AC13" s="135" cm="1">
        <f t="array" ref="AC13">INDEX(Price!$L$11:$AM$182,MATCH(1,(Price!$A$11:$A$182=$A13)*(Price!$B$11:$B$182=$B13)*(Price!$D$11:$D$182="gb"),0),MATCH(1,(Price!$L$3:$AM$3=AC$3)*(Price!$L$4:$AM$4=AC$4),0))</f>
        <v>1200</v>
      </c>
      <c r="AD13" s="136" cm="1">
        <f t="array" ref="AD13">INDEX(Price!$L$11:$AM$182,MATCH(1,(Price!$A$11:$A$182=$A13)*(Price!$B$11:$B$182=$B13)*(Price!$D$11:$D$182="gb"),0),MATCH(1,(Price!$L$3:$AM$3=AD$3)*(Price!$L$4:$AM$4=AD$4),0))</f>
        <v>1200</v>
      </c>
      <c r="AE13" s="135"/>
      <c r="AF13" s="135"/>
      <c r="AG13" s="135"/>
      <c r="AH13" s="135"/>
      <c r="AI13" s="135"/>
      <c r="AJ13" s="135"/>
      <c r="AK13" s="135"/>
      <c r="AL13" s="135"/>
      <c r="AM13" s="135"/>
      <c r="AN13" s="135"/>
      <c r="AO13" s="135"/>
      <c r="AP13" s="136"/>
    </row>
    <row r="14" spans="1:42" s="1" customFormat="1" ht="11.5" customHeight="1" outlineLevel="1" x14ac:dyDescent="0.35">
      <c r="A14" s="1" t="s">
        <v>52</v>
      </c>
      <c r="B14" s="1" t="s">
        <v>15</v>
      </c>
      <c r="C14" s="143" t="s">
        <v>322</v>
      </c>
      <c r="D14" s="171" t="s">
        <v>7</v>
      </c>
      <c r="E14" s="144"/>
      <c r="F14" s="325" t="s">
        <v>8</v>
      </c>
      <c r="G14" s="145" cm="1">
        <f t="array" ref="G14">INDEX(Price!$L$11:$AM$182,MATCH(1,(Price!$A$11:$A$182=$A14)*(Price!$B$11:$B$182=$B14)*(Price!$D$11:$D$182="exw"),0),MATCH(1,(Price!$L$3:$AM$3=G$3)*(Price!$L$4:$AM$4=G$4),0))</f>
        <v>1180</v>
      </c>
      <c r="H14" s="145" cm="1">
        <f t="array" ref="H14">INDEX(Price!$L$11:$AM$182,MATCH(1,(Price!$A$11:$A$182=$A14)*(Price!$B$11:$B$182=$B14)*(Price!$D$11:$D$182="exw"),0),MATCH(1,(Price!$L$3:$AM$3=H$3)*(Price!$L$4:$AM$4=H$4),0))</f>
        <v>1180</v>
      </c>
      <c r="I14" s="145" cm="1">
        <f t="array" ref="I14">INDEX(Price!$L$11:$AM$182,MATCH(1,(Price!$A$11:$A$182=$A14)*(Price!$B$11:$B$182=$B14)*(Price!$D$11:$D$182="exw"),0),MATCH(1,(Price!$L$3:$AM$3=I$3)*(Price!$L$4:$AM$4=I$4),0))</f>
        <v>1180</v>
      </c>
      <c r="J14" s="145" cm="1">
        <f t="array" ref="J14">INDEX(Price!$L$11:$AM$182,MATCH(1,(Price!$A$11:$A$182=$A14)*(Price!$B$11:$B$182=$B14)*(Price!$D$11:$D$182="exw"),0),MATCH(1,(Price!$L$3:$AM$3=J$3)*(Price!$L$4:$AM$4=J$4),0))</f>
        <v>1180</v>
      </c>
      <c r="K14" s="145" cm="1">
        <f t="array" ref="K14">INDEX(Price!$L$11:$AM$182,MATCH(1,(Price!$A$11:$A$182=$A14)*(Price!$B$11:$B$182=$B14)*(Price!$D$11:$D$182="exw"),0),MATCH(1,(Price!$L$3:$AM$3=K$3)*(Price!$L$4:$AM$4=K$4),0))</f>
        <v>1180</v>
      </c>
      <c r="L14" s="145" cm="1">
        <f t="array" ref="L14">INDEX(Price!$L$11:$AM$182,MATCH(1,(Price!$A$11:$A$182=$A14)*(Price!$B$11:$B$182=$B14)*(Price!$D$11:$D$182="exw"),0),MATCH(1,(Price!$L$3:$AM$3=L$3)*(Price!$L$4:$AM$4=L$4),0))</f>
        <v>1180.8999999999999</v>
      </c>
      <c r="M14" s="145" cm="1">
        <f t="array" ref="M14">INDEX(Price!$L$11:$AM$182,MATCH(1,(Price!$A$11:$A$182=$A14)*(Price!$B$11:$B$182=$B14)*(Price!$D$11:$D$182="exw"),0),MATCH(1,(Price!$L$3:$AM$3=M$3)*(Price!$L$4:$AM$4=M$4),0))</f>
        <v>1194.3999999999999</v>
      </c>
      <c r="N14" s="145" cm="1">
        <f t="array" ref="N14">INDEX(Price!$L$11:$AM$182,MATCH(1,(Price!$A$11:$A$182=$A14)*(Price!$B$11:$B$182=$B14)*(Price!$D$11:$D$182="exw"),0),MATCH(1,(Price!$L$3:$AM$3=N$3)*(Price!$L$4:$AM$4=N$4),0))</f>
        <v>1206.0999999999999</v>
      </c>
      <c r="O14" s="145" cm="1">
        <f t="array" ref="O14">INDEX(Price!$L$11:$AM$182,MATCH(1,(Price!$A$11:$A$182=$A14)*(Price!$B$11:$B$182=$B14)*(Price!$D$11:$D$182="exw"),0),MATCH(1,(Price!$L$3:$AM$3=O$3)*(Price!$L$4:$AM$4=O$4),0))</f>
        <v>1222.6000000000001</v>
      </c>
      <c r="P14" s="145" cm="1">
        <f t="array" ref="P14">INDEX(Price!$L$11:$AM$182,MATCH(1,(Price!$A$11:$A$182=$A14)*(Price!$B$11:$B$182=$B14)*(Price!$D$11:$D$182="exw"),0),MATCH(1,(Price!$L$3:$AM$3=P$3)*(Price!$L$4:$AM$4=P$4),0))</f>
        <v>1241.3499999999999</v>
      </c>
      <c r="Q14" s="145" cm="1">
        <f t="array" ref="Q14">INDEX(Price!$L$11:$AM$182,MATCH(1,(Price!$A$11:$A$182=$A14)*(Price!$B$11:$B$182=$B14)*(Price!$D$11:$D$182="exw"),0),MATCH(1,(Price!$L$3:$AM$3=Q$3)*(Price!$L$4:$AM$4=Q$4),0))</f>
        <v>1261.75</v>
      </c>
      <c r="R14" s="146" cm="1">
        <f t="array" ref="R14">INDEX(Price!$L$11:$AM$182,MATCH(1,(Price!$A$11:$A$182=$A14)*(Price!$B$11:$B$182=$B14)*(Price!$D$11:$D$182="exw"),0),MATCH(1,(Price!$L$3:$AM$3=R$3)*(Price!$L$4:$AM$4=R$4),0))</f>
        <v>1270.75</v>
      </c>
      <c r="S14" s="145" cm="1">
        <f t="array" ref="S14">INDEX(Price!$L$11:$AM$182,MATCH(1,(Price!$A$11:$A$182=$A14)*(Price!$B$11:$B$182=$B14)*(Price!$D$11:$D$182="exw"),0),MATCH(1,(Price!$L$3:$AM$3=S$3)*(Price!$L$4:$AM$4=S$4),0))</f>
        <v>1268.875</v>
      </c>
      <c r="T14" s="145" cm="1">
        <f t="array" ref="T14">INDEX(Price!$L$11:$AM$182,MATCH(1,(Price!$A$11:$A$182=$A14)*(Price!$B$11:$B$182=$B14)*(Price!$D$11:$D$182="exw"),0),MATCH(1,(Price!$L$3:$AM$3=T$3)*(Price!$L$4:$AM$4=T$4),0))</f>
        <v>1244.3749999999991</v>
      </c>
      <c r="U14" s="145" cm="1">
        <f t="array" ref="U14">INDEX(Price!$L$11:$AM$182,MATCH(1,(Price!$A$11:$A$182=$A14)*(Price!$B$11:$B$182=$B14)*(Price!$D$11:$D$182="exw"),0),MATCH(1,(Price!$L$3:$AM$3=U$3)*(Price!$L$4:$AM$4=U$4),0))</f>
        <v>1218.8749999999991</v>
      </c>
      <c r="V14" s="145" cm="1">
        <f t="array" ref="V14">INDEX(Price!$L$11:$AM$182,MATCH(1,(Price!$A$11:$A$182=$A14)*(Price!$B$11:$B$182=$B14)*(Price!$D$11:$D$182="exw"),0),MATCH(1,(Price!$L$3:$AM$3=V$3)*(Price!$L$4:$AM$4=V$4),0))</f>
        <v>1197.8800000000001</v>
      </c>
      <c r="W14" s="145" cm="1">
        <f t="array" ref="W14">INDEX(Price!$L$11:$AM$182,MATCH(1,(Price!$A$11:$A$182=$A14)*(Price!$B$11:$B$182=$B14)*(Price!$D$11:$D$182="exw"),0),MATCH(1,(Price!$L$3:$AM$3=W$3)*(Price!$L$4:$AM$4=W$4),0))</f>
        <v>1199</v>
      </c>
      <c r="X14" s="145" cm="1">
        <f t="array" ref="X14">INDEX(Price!$L$11:$AM$182,MATCH(1,(Price!$A$11:$A$182=$A14)*(Price!$B$11:$B$182=$B14)*(Price!$D$11:$D$182="exw"),0),MATCH(1,(Price!$L$3:$AM$3=X$3)*(Price!$L$4:$AM$4=X$4),0))</f>
        <v>1202</v>
      </c>
      <c r="Y14" s="145" cm="1">
        <f t="array" ref="Y14">INDEX(Price!$L$11:$AM$182,MATCH(1,(Price!$A$11:$A$182=$A14)*(Price!$B$11:$B$182=$B14)*(Price!$D$11:$D$182="exw"),0),MATCH(1,(Price!$L$3:$AM$3=Y$3)*(Price!$L$4:$AM$4=Y$4),0))</f>
        <v>1202</v>
      </c>
      <c r="Z14" s="145" cm="1">
        <f t="array" ref="Z14">INDEX(Price!$L$11:$AM$182,MATCH(1,(Price!$A$11:$A$182=$A14)*(Price!$B$11:$B$182=$B14)*(Price!$D$11:$D$182="exw"),0),MATCH(1,(Price!$L$3:$AM$3=Z$3)*(Price!$L$4:$AM$4=Z$4),0))</f>
        <v>1193.2</v>
      </c>
      <c r="AA14" s="145" cm="1">
        <f t="array" ref="AA14">INDEX(Price!$L$11:$AM$182,MATCH(1,(Price!$A$11:$A$182=$A14)*(Price!$B$11:$B$182=$B14)*(Price!$D$11:$D$182="exw"),0),MATCH(1,(Price!$L$3:$AM$3=AA$3)*(Price!$L$4:$AM$4=AA$4),0))</f>
        <v>1180</v>
      </c>
      <c r="AB14" s="145" cm="1">
        <f t="array" ref="AB14">INDEX(Price!$L$11:$AM$182,MATCH(1,(Price!$A$11:$A$182=$A14)*(Price!$B$11:$B$182=$B14)*(Price!$D$11:$D$182="exw"),0),MATCH(1,(Price!$L$3:$AM$3=AB$3)*(Price!$L$4:$AM$4=AB$4),0))</f>
        <v>1180</v>
      </c>
      <c r="AC14" s="145" cm="1">
        <f t="array" ref="AC14">INDEX(Price!$L$11:$AM$182,MATCH(1,(Price!$A$11:$A$182=$A14)*(Price!$B$11:$B$182=$B14)*(Price!$D$11:$D$182="exw"),0),MATCH(1,(Price!$L$3:$AM$3=AC$3)*(Price!$L$4:$AM$4=AC$4),0))</f>
        <v>1180</v>
      </c>
      <c r="AD14" s="146" cm="1">
        <f t="array" ref="AD14">INDEX(Price!$L$11:$AM$182,MATCH(1,(Price!$A$11:$A$182=$A14)*(Price!$B$11:$B$182=$B14)*(Price!$D$11:$D$182="exw"),0),MATCH(1,(Price!$L$3:$AM$3=AD$3)*(Price!$L$4:$AM$4=AD$4),0))</f>
        <v>1180</v>
      </c>
      <c r="AE14" s="145"/>
      <c r="AF14" s="145"/>
      <c r="AG14" s="145"/>
      <c r="AH14" s="145"/>
      <c r="AI14" s="145"/>
      <c r="AJ14" s="145"/>
      <c r="AK14" s="145"/>
      <c r="AL14" s="145"/>
      <c r="AM14" s="145"/>
      <c r="AN14" s="145"/>
      <c r="AO14" s="145"/>
      <c r="AP14" s="146"/>
    </row>
    <row r="15" spans="1:42" ht="11.5" customHeight="1" outlineLevel="1" x14ac:dyDescent="0.35">
      <c r="A15" t="s">
        <v>52</v>
      </c>
      <c r="B15" t="s">
        <v>15</v>
      </c>
      <c r="C15" s="14" t="s">
        <v>9</v>
      </c>
      <c r="D15" s="172" t="s">
        <v>10</v>
      </c>
      <c r="E15" s="8"/>
      <c r="F15" s="326" t="s">
        <v>11</v>
      </c>
      <c r="G15" s="320" cm="1">
        <f t="array" ref="G15">SUMPRODUCT(General_Data*(Code_General_Data=$C15)*(Year=G$3)*(Month=G$4))</f>
        <v>930</v>
      </c>
      <c r="H15" s="132" cm="1">
        <f t="array" ref="H15">SUMPRODUCT(General_Data*(Code_General_Data=$C15)*(Year=H$3)*(Month=H$4))</f>
        <v>943.33333333333337</v>
      </c>
      <c r="I15" s="132" cm="1">
        <f t="array" ref="I15">SUMPRODUCT(General_Data*(Code_General_Data=$C15)*(Year=I$3)*(Month=I$4))</f>
        <v>940</v>
      </c>
      <c r="J15" s="132" cm="1">
        <f t="array" ref="J15">SUMPRODUCT(General_Data*(Code_General_Data=$C15)*(Year=J$3)*(Month=J$4))</f>
        <v>940</v>
      </c>
      <c r="K15" s="132" cm="1">
        <f t="array" ref="K15">SUMPRODUCT(General_Data*(Code_General_Data=$C15)*(Year=K$3)*(Month=K$4))</f>
        <v>942</v>
      </c>
      <c r="L15" s="132" cm="1">
        <f t="array" ref="L15">SUMPRODUCT(General_Data*(Code_General_Data=$C15)*(Year=L$3)*(Month=L$4))</f>
        <v>950</v>
      </c>
      <c r="M15" s="132" cm="1">
        <f t="array" ref="M15">SUMPRODUCT(General_Data*(Code_General_Data=$C15)*(Year=M$3)*(Month=M$4))</f>
        <v>947.5</v>
      </c>
      <c r="N15" s="132" cm="1">
        <f t="array" ref="N15">SUMPRODUCT(General_Data*(Code_General_Data=$C15)*(Year=N$3)*(Month=N$4))</f>
        <v>930</v>
      </c>
      <c r="O15" s="132" cm="1">
        <f t="array" ref="O15">SUMPRODUCT(General_Data*(Code_General_Data=$C15)*(Year=O$3)*(Month=O$4))</f>
        <v>880</v>
      </c>
      <c r="P15" s="132" cm="1">
        <f t="array" ref="P15">SUMPRODUCT(General_Data*(Code_General_Data=$C15)*(Year=P$3)*(Month=P$4))</f>
        <v>862.5</v>
      </c>
      <c r="Q15" s="132" cm="1">
        <f t="array" ref="Q15">SUMPRODUCT(General_Data*(Code_General_Data=$C15)*(Year=Q$3)*(Month=Q$4))</f>
        <v>852</v>
      </c>
      <c r="R15" s="133" cm="1">
        <f t="array" ref="R15">SUMPRODUCT(General_Data*(Code_General_Data=$C15)*(Year=R$3)*(Month=R$4))</f>
        <v>830</v>
      </c>
      <c r="S15" s="132" cm="1">
        <f t="array" ref="S15">SUMPRODUCT(General_Data*(Code_General_Data=$C15)*(Year=S$3)*(Month=S$4))</f>
        <v>828</v>
      </c>
      <c r="T15" s="132" cm="1">
        <f t="array" ref="T15">SUMPRODUCT(General_Data*(Code_General_Data=$C15)*(Year=T$3)*(Month=T$4))</f>
        <v>840</v>
      </c>
      <c r="U15" s="132" cm="1">
        <f t="array" ref="U15">SUMPRODUCT(General_Data*(Code_General_Data=$C15)*(Year=U$3)*(Month=U$4))</f>
        <v>823</v>
      </c>
      <c r="V15" s="132" cm="1">
        <f t="array" ref="V15">SUMPRODUCT(General_Data*(Code_General_Data=$C15)*(Year=V$3)*(Month=V$4))</f>
        <v>765</v>
      </c>
      <c r="W15" s="132" cm="1">
        <f t="array" ref="W15">SUMPRODUCT(General_Data*(Code_General_Data=$C15)*(Year=W$3)*(Month=W$4))</f>
        <v>782</v>
      </c>
      <c r="X15" s="132" cm="1">
        <f t="array" ref="X15">SUMPRODUCT(General_Data*(Code_General_Data=$C15)*(Year=X$3)*(Month=X$4))</f>
        <v>807.5</v>
      </c>
      <c r="Y15" s="132" cm="1">
        <f t="array" ref="Y15">SUMPRODUCT(General_Data*(Code_General_Data=$C15)*(Year=Y$3)*(Month=Y$4))</f>
        <v>802</v>
      </c>
      <c r="Z15" s="132" cm="1">
        <f t="array" ref="Z15">SUMPRODUCT(General_Data*(Code_General_Data=$C15)*(Year=Z$3)*(Month=Z$4))</f>
        <v>795</v>
      </c>
      <c r="AA15" s="132" cm="1">
        <f t="array" ref="AA15">SUMPRODUCT(General_Data*(Code_General_Data=$C15)*(Year=AA$3)*(Month=AA$4))</f>
        <v>783</v>
      </c>
      <c r="AB15" s="132" cm="1">
        <f t="array" ref="AB15">SUMPRODUCT(General_Data*(Code_General_Data=$C15)*(Year=AB$3)*(Month=AB$4))</f>
        <v>772</v>
      </c>
      <c r="AC15" s="132" cm="1">
        <f t="array" ref="AC15">SUMPRODUCT(General_Data*(Code_General_Data=$C15)*(Year=AC$3)*(Month=AC$4))</f>
        <v>770</v>
      </c>
      <c r="AD15" s="133" cm="1">
        <f t="array" ref="AD15">SUMPRODUCT(General_Data*(Code_General_Data=$C15)*(Year=AD$3)*(Month=AD$4))</f>
        <v>770</v>
      </c>
      <c r="AE15" s="132"/>
      <c r="AF15" s="132"/>
      <c r="AG15" s="132"/>
      <c r="AH15" s="132"/>
      <c r="AI15" s="132"/>
      <c r="AJ15" s="132"/>
      <c r="AK15" s="132"/>
      <c r="AL15" s="132"/>
      <c r="AM15" s="132"/>
      <c r="AN15" s="132"/>
      <c r="AO15" s="132"/>
      <c r="AP15" s="133"/>
    </row>
    <row r="16" spans="1:42" s="152" customFormat="1" ht="11.5" customHeight="1" outlineLevel="1" x14ac:dyDescent="0.35">
      <c r="A16" s="152" t="s">
        <v>52</v>
      </c>
      <c r="B16" s="152" t="s">
        <v>15</v>
      </c>
      <c r="D16" s="173" t="s">
        <v>12</v>
      </c>
      <c r="E16" s="153"/>
      <c r="F16" s="327" t="s">
        <v>430</v>
      </c>
      <c r="G16" s="154">
        <f>IF(G13*G14*G15&lt;&gt;0,G14-G15,0)</f>
        <v>250</v>
      </c>
      <c r="H16" s="154">
        <f t="shared" ref="H16:T16" si="2">IF(H13*H14*H15&lt;&gt;0,H14-H15,0)</f>
        <v>236.66666666666663</v>
      </c>
      <c r="I16" s="154">
        <f t="shared" si="2"/>
        <v>240</v>
      </c>
      <c r="J16" s="154">
        <f t="shared" si="2"/>
        <v>240</v>
      </c>
      <c r="K16" s="154">
        <f t="shared" si="2"/>
        <v>238</v>
      </c>
      <c r="L16" s="154">
        <f t="shared" si="2"/>
        <v>230.89999999999986</v>
      </c>
      <c r="M16" s="154">
        <f t="shared" si="2"/>
        <v>246.89999999999986</v>
      </c>
      <c r="N16" s="154">
        <f t="shared" si="2"/>
        <v>276.09999999999991</v>
      </c>
      <c r="O16" s="154">
        <f t="shared" si="2"/>
        <v>342.60000000000014</v>
      </c>
      <c r="P16" s="154">
        <f t="shared" si="2"/>
        <v>378.84999999999991</v>
      </c>
      <c r="Q16" s="154">
        <f t="shared" si="2"/>
        <v>409.75</v>
      </c>
      <c r="R16" s="155">
        <f t="shared" si="2"/>
        <v>440.75</v>
      </c>
      <c r="S16" s="154">
        <f t="shared" si="2"/>
        <v>440.875</v>
      </c>
      <c r="T16" s="154">
        <f t="shared" si="2"/>
        <v>404.37499999999909</v>
      </c>
      <c r="U16" s="154">
        <f t="shared" ref="U16:AD16" si="3">IF(U13*U14*U15&lt;&gt;0,U14-U15,0)</f>
        <v>395.87499999999909</v>
      </c>
      <c r="V16" s="154">
        <f t="shared" si="3"/>
        <v>432.88000000000011</v>
      </c>
      <c r="W16" s="154">
        <f t="shared" si="3"/>
        <v>417</v>
      </c>
      <c r="X16" s="154">
        <f t="shared" si="3"/>
        <v>394.5</v>
      </c>
      <c r="Y16" s="154">
        <f t="shared" si="3"/>
        <v>400</v>
      </c>
      <c r="Z16" s="154">
        <f t="shared" si="3"/>
        <v>398.20000000000005</v>
      </c>
      <c r="AA16" s="154">
        <f t="shared" si="3"/>
        <v>397</v>
      </c>
      <c r="AB16" s="154">
        <f t="shared" si="3"/>
        <v>408</v>
      </c>
      <c r="AC16" s="154">
        <f t="shared" si="3"/>
        <v>410</v>
      </c>
      <c r="AD16" s="155">
        <f t="shared" si="3"/>
        <v>410</v>
      </c>
      <c r="AE16" s="154"/>
      <c r="AF16" s="154"/>
      <c r="AG16" s="154"/>
      <c r="AH16" s="154"/>
      <c r="AI16" s="154"/>
      <c r="AJ16" s="154"/>
      <c r="AK16" s="154"/>
      <c r="AL16" s="154"/>
      <c r="AM16" s="154"/>
      <c r="AN16" s="154"/>
      <c r="AO16" s="154"/>
      <c r="AP16" s="155"/>
    </row>
    <row r="17" spans="1:42" s="156" customFormat="1" ht="11.5" customHeight="1" outlineLevel="1" x14ac:dyDescent="0.35">
      <c r="A17" s="156" t="s">
        <v>52</v>
      </c>
      <c r="B17" s="156" t="s">
        <v>15</v>
      </c>
      <c r="D17" s="174" t="s">
        <v>13</v>
      </c>
      <c r="E17" s="157"/>
      <c r="F17" s="328" t="s">
        <v>14</v>
      </c>
      <c r="G17" s="158">
        <f>IFERROR(G16/G15,0)</f>
        <v>0.26881720430107525</v>
      </c>
      <c r="H17" s="158">
        <f t="shared" ref="H17:T17" si="4">IFERROR(H16/H15,0)</f>
        <v>0.25088339222614836</v>
      </c>
      <c r="I17" s="158">
        <f t="shared" si="4"/>
        <v>0.25531914893617019</v>
      </c>
      <c r="J17" s="158">
        <f t="shared" si="4"/>
        <v>0.25531914893617019</v>
      </c>
      <c r="K17" s="158">
        <f t="shared" si="4"/>
        <v>0.25265392781316348</v>
      </c>
      <c r="L17" s="158">
        <f t="shared" si="4"/>
        <v>0.24305263157894721</v>
      </c>
      <c r="M17" s="158">
        <f t="shared" si="4"/>
        <v>0.2605804749340368</v>
      </c>
      <c r="N17" s="158">
        <f t="shared" si="4"/>
        <v>0.29688172043010741</v>
      </c>
      <c r="O17" s="158">
        <f t="shared" si="4"/>
        <v>0.38931818181818195</v>
      </c>
      <c r="P17" s="158">
        <f t="shared" si="4"/>
        <v>0.43924637681159412</v>
      </c>
      <c r="Q17" s="158">
        <f t="shared" si="4"/>
        <v>0.48092723004694837</v>
      </c>
      <c r="R17" s="159">
        <f t="shared" si="4"/>
        <v>0.53102409638554215</v>
      </c>
      <c r="S17" s="158">
        <f t="shared" si="4"/>
        <v>0.53245772946859904</v>
      </c>
      <c r="T17" s="158">
        <f t="shared" si="4"/>
        <v>0.48139880952380842</v>
      </c>
      <c r="U17" s="158">
        <f t="shared" ref="U17:AD17" si="5">IFERROR(U16/U15,0)</f>
        <v>0.48101458080194298</v>
      </c>
      <c r="V17" s="158">
        <f t="shared" si="5"/>
        <v>0.56585620915032697</v>
      </c>
      <c r="W17" s="158">
        <f t="shared" si="5"/>
        <v>0.53324808184143224</v>
      </c>
      <c r="X17" s="158">
        <f t="shared" si="5"/>
        <v>0.4885448916408669</v>
      </c>
      <c r="Y17" s="158">
        <f t="shared" si="5"/>
        <v>0.49875311720698257</v>
      </c>
      <c r="Z17" s="158">
        <f t="shared" si="5"/>
        <v>0.50088050314465415</v>
      </c>
      <c r="AA17" s="158">
        <f t="shared" si="5"/>
        <v>0.50702426564495529</v>
      </c>
      <c r="AB17" s="158">
        <f t="shared" si="5"/>
        <v>0.52849740932642486</v>
      </c>
      <c r="AC17" s="158">
        <f t="shared" si="5"/>
        <v>0.53246753246753242</v>
      </c>
      <c r="AD17" s="159">
        <f t="shared" si="5"/>
        <v>0.53246753246753242</v>
      </c>
      <c r="AE17" s="158"/>
      <c r="AF17" s="158"/>
      <c r="AG17" s="158"/>
      <c r="AH17" s="158"/>
      <c r="AI17" s="158"/>
      <c r="AJ17" s="158"/>
      <c r="AK17" s="158"/>
      <c r="AL17" s="158"/>
      <c r="AM17" s="158"/>
      <c r="AN17" s="158"/>
      <c r="AO17" s="158"/>
      <c r="AP17" s="159"/>
    </row>
    <row r="18" spans="1:42" s="137" customFormat="1" ht="11.5" customHeight="1" outlineLevel="1" x14ac:dyDescent="0.35">
      <c r="A18" s="137" t="s">
        <v>52</v>
      </c>
      <c r="B18" s="137" t="s">
        <v>15</v>
      </c>
      <c r="C18" s="137" t="s">
        <v>15</v>
      </c>
      <c r="D18" s="175" t="s">
        <v>16</v>
      </c>
      <c r="E18" s="138"/>
      <c r="F18" s="329" t="s">
        <v>203</v>
      </c>
      <c r="G18" s="139" cm="1">
        <f t="array" ref="G18">SUMPRODUCT(General_Data*(Code_General_Data=$C18)*(Year=G$3)*(Month=G$4))</f>
        <v>1250</v>
      </c>
      <c r="H18" s="139" cm="1">
        <f t="array" ref="H18">SUMPRODUCT(General_Data*(Code_General_Data=$C18)*(Year=H$3)*(Month=H$4))</f>
        <v>1250</v>
      </c>
      <c r="I18" s="139" cm="1">
        <f t="array" ref="I18">SUMPRODUCT(General_Data*(Code_General_Data=$C18)*(Year=I$3)*(Month=I$4))</f>
        <v>1250</v>
      </c>
      <c r="J18" s="139" cm="1">
        <f t="array" ref="J18">SUMPRODUCT(General_Data*(Code_General_Data=$C18)*(Year=J$3)*(Month=J$4))</f>
        <v>1250</v>
      </c>
      <c r="K18" s="139" cm="1">
        <f t="array" ref="K18">SUMPRODUCT(General_Data*(Code_General_Data=$C18)*(Year=K$3)*(Month=K$4))</f>
        <v>1300</v>
      </c>
      <c r="L18" s="139" cm="1">
        <f t="array" ref="L18">SUMPRODUCT(General_Data*(Code_General_Data=$C18)*(Year=L$3)*(Month=L$4))</f>
        <v>1300</v>
      </c>
      <c r="M18" s="139" cm="1">
        <f t="array" ref="M18">SUMPRODUCT(General_Data*(Code_General_Data=$C18)*(Year=M$3)*(Month=M$4))</f>
        <v>1300</v>
      </c>
      <c r="N18" s="139" cm="1">
        <f t="array" ref="N18">SUMPRODUCT(General_Data*(Code_General_Data=$C18)*(Year=N$3)*(Month=N$4))</f>
        <v>1300</v>
      </c>
      <c r="O18" s="139" cm="1">
        <f t="array" ref="O18">SUMPRODUCT(General_Data*(Code_General_Data=$C18)*(Year=O$3)*(Month=O$4))</f>
        <v>1310</v>
      </c>
      <c r="P18" s="139" cm="1">
        <f t="array" ref="P18">SUMPRODUCT(General_Data*(Code_General_Data=$C18)*(Year=P$3)*(Month=P$4))</f>
        <v>1325</v>
      </c>
      <c r="Q18" s="139" cm="1">
        <f t="array" ref="Q18">SUMPRODUCT(General_Data*(Code_General_Data=$C18)*(Year=Q$3)*(Month=Q$4))</f>
        <v>1325</v>
      </c>
      <c r="R18" s="140" cm="1">
        <f t="array" ref="R18">SUMPRODUCT(General_Data*(Code_General_Data=$C18)*(Year=R$3)*(Month=R$4))</f>
        <v>1275</v>
      </c>
      <c r="S18" s="139" cm="1">
        <f t="array" ref="S18">SUMPRODUCT(General_Data*(Code_General_Data=$C18)*(Year=S$3)*(Month=S$4))</f>
        <v>1230</v>
      </c>
      <c r="T18" s="139" cm="1">
        <f t="array" ref="T18">SUMPRODUCT(General_Data*(Code_General_Data=$C18)*(Year=T$3)*(Month=T$4))</f>
        <v>1230</v>
      </c>
      <c r="U18" s="139" cm="1">
        <f t="array" ref="U18">SUMPRODUCT(General_Data*(Code_General_Data=$C18)*(Year=U$3)*(Month=U$4))</f>
        <v>1230</v>
      </c>
      <c r="V18" s="139" cm="1">
        <f t="array" ref="V18">SUMPRODUCT(General_Data*(Code_General_Data=$C18)*(Year=V$3)*(Month=V$4))</f>
        <v>1250</v>
      </c>
      <c r="W18" s="139" cm="1">
        <f t="array" ref="W18">SUMPRODUCT(General_Data*(Code_General_Data=$C18)*(Year=W$3)*(Month=W$4))</f>
        <v>1250</v>
      </c>
      <c r="X18" s="139" cm="1">
        <f t="array" ref="X18">SUMPRODUCT(General_Data*(Code_General_Data=$C18)*(Year=X$3)*(Month=X$4))</f>
        <v>1250</v>
      </c>
      <c r="Y18" s="139" cm="1">
        <f t="array" ref="Y18">SUMPRODUCT(General_Data*(Code_General_Data=$C18)*(Year=Y$3)*(Month=Y$4))</f>
        <v>1250</v>
      </c>
      <c r="Z18" s="139" cm="1">
        <f t="array" ref="Z18">SUMPRODUCT(General_Data*(Code_General_Data=$C18)*(Year=Z$3)*(Month=Z$4))</f>
        <v>1220</v>
      </c>
      <c r="AA18" s="139" cm="1">
        <f t="array" ref="AA18">SUMPRODUCT(General_Data*(Code_General_Data=$C18)*(Year=AA$3)*(Month=AA$4))</f>
        <v>1220</v>
      </c>
      <c r="AB18" s="139" cm="1">
        <f t="array" ref="AB18">SUMPRODUCT(General_Data*(Code_General_Data=$C18)*(Year=AB$3)*(Month=AB$4))</f>
        <v>1210</v>
      </c>
      <c r="AC18" s="139" cm="1">
        <f t="array" ref="AC18">SUMPRODUCT(General_Data*(Code_General_Data=$C18)*(Year=AC$3)*(Month=AC$4))</f>
        <v>1200</v>
      </c>
      <c r="AD18" s="140" cm="1">
        <f t="array" ref="AD18">SUMPRODUCT(General_Data*(Code_General_Data=$C18)*(Year=AD$3)*(Month=AD$4))</f>
        <v>1200</v>
      </c>
      <c r="AE18" s="139"/>
      <c r="AF18" s="139"/>
      <c r="AG18" s="139"/>
      <c r="AH18" s="139"/>
      <c r="AI18" s="139"/>
      <c r="AJ18" s="139"/>
      <c r="AK18" s="139"/>
      <c r="AL18" s="139"/>
      <c r="AM18" s="139"/>
      <c r="AN18" s="139"/>
      <c r="AO18" s="139"/>
      <c r="AP18" s="140"/>
    </row>
    <row r="19" spans="1:42" ht="3.65" customHeight="1" x14ac:dyDescent="0.35">
      <c r="D19" s="168"/>
    </row>
    <row r="20" spans="1:42" s="127" customFormat="1" ht="15.65" customHeight="1" x14ac:dyDescent="0.4">
      <c r="A20" s="127" t="s">
        <v>362</v>
      </c>
      <c r="C20" s="131"/>
      <c r="D20" s="160">
        <v>2</v>
      </c>
      <c r="E20" s="130" t="s">
        <v>360</v>
      </c>
      <c r="F20" s="322"/>
      <c r="G20" s="130"/>
      <c r="H20" s="130"/>
      <c r="I20" s="130"/>
      <c r="J20" s="130"/>
      <c r="K20" s="130"/>
      <c r="L20" s="130"/>
      <c r="M20" s="130"/>
      <c r="N20" s="130"/>
      <c r="O20" s="130"/>
      <c r="P20" s="130"/>
      <c r="Q20" s="130"/>
      <c r="R20" s="319"/>
      <c r="S20" s="130"/>
      <c r="T20" s="130"/>
      <c r="U20" s="130"/>
      <c r="V20" s="130"/>
      <c r="W20" s="130"/>
      <c r="X20" s="130"/>
      <c r="Y20" s="130"/>
      <c r="Z20" s="130"/>
      <c r="AA20" s="130"/>
      <c r="AB20" s="130"/>
      <c r="AC20" s="130"/>
      <c r="AD20" s="319"/>
      <c r="AE20" s="130"/>
      <c r="AF20" s="130"/>
      <c r="AG20" s="130"/>
      <c r="AH20" s="130"/>
      <c r="AI20" s="130"/>
      <c r="AJ20" s="130"/>
      <c r="AK20" s="130"/>
      <c r="AL20" s="130"/>
      <c r="AM20" s="130"/>
      <c r="AN20" s="130"/>
      <c r="AO20" s="130"/>
      <c r="AP20" s="319"/>
    </row>
    <row r="21" spans="1:42" s="148" customFormat="1" ht="13.4" customHeight="1" outlineLevel="1" x14ac:dyDescent="0.4">
      <c r="A21" s="148" t="s">
        <v>362</v>
      </c>
      <c r="B21" s="148" t="s">
        <v>31</v>
      </c>
      <c r="D21" s="161"/>
      <c r="E21" s="149"/>
      <c r="F21" s="323" t="s">
        <v>30</v>
      </c>
      <c r="G21" s="149"/>
      <c r="H21" s="149"/>
      <c r="I21" s="149"/>
      <c r="J21" s="149"/>
      <c r="K21" s="149"/>
      <c r="L21" s="149"/>
      <c r="M21" s="149"/>
      <c r="N21" s="149"/>
      <c r="O21" s="149"/>
      <c r="P21" s="149"/>
      <c r="Q21" s="149"/>
      <c r="R21" s="150"/>
      <c r="S21" s="149"/>
      <c r="T21" s="149"/>
      <c r="U21" s="149"/>
      <c r="V21" s="149"/>
      <c r="W21" s="149"/>
      <c r="X21" s="149"/>
      <c r="Y21" s="149"/>
      <c r="Z21" s="149"/>
      <c r="AA21" s="149"/>
      <c r="AB21" s="149"/>
      <c r="AC21" s="149"/>
      <c r="AD21" s="150"/>
      <c r="AE21" s="149"/>
      <c r="AF21" s="149"/>
      <c r="AG21" s="149"/>
      <c r="AH21" s="149"/>
      <c r="AI21" s="149"/>
      <c r="AJ21" s="149"/>
      <c r="AK21" s="149"/>
      <c r="AL21" s="149"/>
      <c r="AM21" s="149"/>
      <c r="AN21" s="149"/>
      <c r="AO21" s="149"/>
      <c r="AP21" s="150"/>
    </row>
    <row r="22" spans="1:42" s="69" customFormat="1" ht="11.5" customHeight="1" outlineLevel="1" x14ac:dyDescent="0.35">
      <c r="A22" s="69" t="s">
        <v>362</v>
      </c>
      <c r="B22" s="69" t="s">
        <v>31</v>
      </c>
      <c r="D22" s="162">
        <v>2.1</v>
      </c>
      <c r="E22" s="134"/>
      <c r="F22" s="324" t="s">
        <v>391</v>
      </c>
      <c r="G22" s="135" cm="1">
        <f t="array" ref="G22">INDEX(Price!$L$11:$AM$182,MATCH(1,(Price!$A$11:$A$182=$A22)*(Price!$B$11:$B$182=$B22)*(Price!$D$11:$D$182="gb"),0),MATCH(1,(Price!$L$3:$AM$3=G$3)*(Price!$L$4:$AM$4=G$4),0))</f>
        <v>0</v>
      </c>
      <c r="H22" s="135" cm="1">
        <f t="array" ref="H22">INDEX(Price!$L$11:$AM$182,MATCH(1,(Price!$A$11:$A$182=$A22)*(Price!$B$11:$B$182=$B22)*(Price!$D$11:$D$182="gb"),0),MATCH(1,(Price!$L$3:$AM$3=H$3)*(Price!$L$4:$AM$4=H$4),0))</f>
        <v>0</v>
      </c>
      <c r="I22" s="135" cm="1">
        <f t="array" ref="I22">INDEX(Price!$L$11:$AM$182,MATCH(1,(Price!$A$11:$A$182=$A22)*(Price!$B$11:$B$182=$B22)*(Price!$D$11:$D$182="gb"),0),MATCH(1,(Price!$L$3:$AM$3=I$3)*(Price!$L$4:$AM$4=I$4),0))</f>
        <v>0</v>
      </c>
      <c r="J22" s="135" cm="1">
        <f t="array" ref="J22">INDEX(Price!$L$11:$AM$182,MATCH(1,(Price!$A$11:$A$182=$A22)*(Price!$B$11:$B$182=$B22)*(Price!$D$11:$D$182="gb"),0),MATCH(1,(Price!$L$3:$AM$3=J$3)*(Price!$L$4:$AM$4=J$4),0))</f>
        <v>0</v>
      </c>
      <c r="K22" s="135" cm="1">
        <f t="array" ref="K22">INDEX(Price!$L$11:$AM$182,MATCH(1,(Price!$A$11:$A$182=$A22)*(Price!$B$11:$B$182=$B22)*(Price!$D$11:$D$182="gb"),0),MATCH(1,(Price!$L$3:$AM$3=K$3)*(Price!$L$4:$AM$4=K$4),0))</f>
        <v>0</v>
      </c>
      <c r="L22" s="135" cm="1">
        <f t="array" ref="L22">INDEX(Price!$L$11:$AM$182,MATCH(1,(Price!$A$11:$A$182=$A22)*(Price!$B$11:$B$182=$B22)*(Price!$D$11:$D$182="gb"),0),MATCH(1,(Price!$L$3:$AM$3=L$3)*(Price!$L$4:$AM$4=L$4),0))</f>
        <v>0</v>
      </c>
      <c r="M22" s="135" cm="1">
        <f t="array" ref="M22">INDEX(Price!$L$11:$AM$182,MATCH(1,(Price!$A$11:$A$182=$A22)*(Price!$B$11:$B$182=$B22)*(Price!$D$11:$D$182="gb"),0),MATCH(1,(Price!$L$3:$AM$3=M$3)*(Price!$L$4:$AM$4=M$4),0))</f>
        <v>0</v>
      </c>
      <c r="N22" s="135" cm="1">
        <f t="array" ref="N22">INDEX(Price!$L$11:$AM$182,MATCH(1,(Price!$A$11:$A$182=$A22)*(Price!$B$11:$B$182=$B22)*(Price!$D$11:$D$182="gb"),0),MATCH(1,(Price!$L$3:$AM$3=N$3)*(Price!$L$4:$AM$4=N$4),0))</f>
        <v>0</v>
      </c>
      <c r="O22" s="135" cm="1">
        <f t="array" ref="O22">INDEX(Price!$L$11:$AM$182,MATCH(1,(Price!$A$11:$A$182=$A22)*(Price!$B$11:$B$182=$B22)*(Price!$D$11:$D$182="gb"),0),MATCH(1,(Price!$L$3:$AM$3=O$3)*(Price!$L$4:$AM$4=O$4),0))</f>
        <v>0</v>
      </c>
      <c r="P22" s="135"/>
      <c r="Q22" s="135"/>
      <c r="R22" s="136"/>
      <c r="S22" s="135" cm="1">
        <f t="array" ref="S22">INDEX(Price!$L$11:$AM$182,MATCH(1,(Price!$A$11:$A$182=$A22)*(Price!$B$11:$B$182=$B22)*(Price!$D$11:$D$182="gb"),0),MATCH(1,(Price!$L$3:$AM$3=S$3)*(Price!$L$4:$AM$4=S$4),0))</f>
        <v>1250</v>
      </c>
      <c r="T22" s="135" cm="1">
        <f t="array" ref="T22">INDEX(Price!$L$11:$AM$182,MATCH(1,(Price!$A$11:$A$182=$A22)*(Price!$B$11:$B$182=$B22)*(Price!$D$11:$D$182="gb"),0),MATCH(1,(Price!$L$3:$AM$3=T$3)*(Price!$L$4:$AM$4=T$4),0))</f>
        <v>1250</v>
      </c>
      <c r="U22" s="135" cm="1">
        <f t="array" ref="U22">INDEX(Price!$L$11:$AM$182,MATCH(1,(Price!$A$11:$A$182=$A22)*(Price!$B$11:$B$182=$B22)*(Price!$D$11:$D$182="gb"),0),MATCH(1,(Price!$L$3:$AM$3=U$3)*(Price!$L$4:$AM$4=U$4),0))</f>
        <v>1250</v>
      </c>
      <c r="V22" s="135" cm="1">
        <f t="array" ref="V22">INDEX(Price!$L$11:$AM$182,MATCH(1,(Price!$A$11:$A$182=$A22)*(Price!$B$11:$B$182=$B22)*(Price!$D$11:$D$182="gb"),0),MATCH(1,(Price!$L$3:$AM$3=V$3)*(Price!$L$4:$AM$4=V$4),0))</f>
        <v>1250</v>
      </c>
      <c r="W22" s="135" cm="1">
        <f t="array" ref="W22">INDEX(Price!$L$11:$AM$182,MATCH(1,(Price!$A$11:$A$182=$A22)*(Price!$B$11:$B$182=$B22)*(Price!$D$11:$D$182="gb"),0),MATCH(1,(Price!$L$3:$AM$3=W$3)*(Price!$L$4:$AM$4=W$4),0))</f>
        <v>1250</v>
      </c>
      <c r="X22" s="135" cm="1">
        <f t="array" ref="X22">INDEX(Price!$L$11:$AM$182,MATCH(1,(Price!$A$11:$A$182=$A22)*(Price!$B$11:$B$182=$B22)*(Price!$D$11:$D$182="gb"),0),MATCH(1,(Price!$L$3:$AM$3=X$3)*(Price!$L$4:$AM$4=X$4),0))</f>
        <v>1250</v>
      </c>
      <c r="Y22" s="135" cm="1">
        <f t="array" ref="Y22">INDEX(Price!$L$11:$AM$182,MATCH(1,(Price!$A$11:$A$182=$A22)*(Price!$B$11:$B$182=$B22)*(Price!$D$11:$D$182="gb"),0),MATCH(1,(Price!$L$3:$AM$3=Y$3)*(Price!$L$4:$AM$4=Y$4),0))</f>
        <v>1250</v>
      </c>
      <c r="Z22" s="135" cm="1">
        <f t="array" ref="Z22">INDEX(Price!$L$11:$AM$182,MATCH(1,(Price!$A$11:$A$182=$A22)*(Price!$B$11:$B$182=$B22)*(Price!$D$11:$D$182="gb"),0),MATCH(1,(Price!$L$3:$AM$3=Z$3)*(Price!$L$4:$AM$4=Z$4),0))</f>
        <v>1250</v>
      </c>
      <c r="AA22" s="135" cm="1">
        <f t="array" ref="AA22">INDEX(Price!$L$11:$AM$182,MATCH(1,(Price!$A$11:$A$182=$A22)*(Price!$B$11:$B$182=$B22)*(Price!$D$11:$D$182="gb"),0),MATCH(1,(Price!$L$3:$AM$3=AA$3)*(Price!$L$4:$AM$4=AA$4),0))</f>
        <v>1250</v>
      </c>
      <c r="AB22" s="135" cm="1">
        <f t="array" ref="AB22">INDEX(Price!$L$11:$AM$182,MATCH(1,(Price!$A$11:$A$182=$A22)*(Price!$B$11:$B$182=$B22)*(Price!$D$11:$D$182="gb"),0),MATCH(1,(Price!$L$3:$AM$3=AB$3)*(Price!$L$4:$AM$4=AB$4),0))</f>
        <v>1250</v>
      </c>
      <c r="AC22" s="135" cm="1">
        <f t="array" ref="AC22">INDEX(Price!$L$11:$AM$182,MATCH(1,(Price!$A$11:$A$182=$A22)*(Price!$B$11:$B$182=$B22)*(Price!$D$11:$D$182="gb"),0),MATCH(1,(Price!$L$3:$AM$3=AC$3)*(Price!$L$4:$AM$4=AC$4),0))</f>
        <v>1250</v>
      </c>
      <c r="AD22" s="136" cm="1">
        <f t="array" ref="AD22">INDEX(Price!$L$11:$AM$182,MATCH(1,(Price!$A$11:$A$182=$A22)*(Price!$B$11:$B$182=$B22)*(Price!$D$11:$D$182="gb"),0),MATCH(1,(Price!$L$3:$AM$3=AD$3)*(Price!$L$4:$AM$4=AD$4),0))</f>
        <v>1250</v>
      </c>
      <c r="AE22" s="135"/>
      <c r="AF22" s="135"/>
      <c r="AG22" s="135"/>
      <c r="AH22" s="135"/>
      <c r="AI22" s="135"/>
      <c r="AJ22" s="135"/>
      <c r="AK22" s="135"/>
      <c r="AL22" s="135"/>
      <c r="AM22" s="135"/>
      <c r="AN22" s="135"/>
      <c r="AO22" s="135"/>
      <c r="AP22" s="136"/>
    </row>
    <row r="23" spans="1:42" s="1" customFormat="1" ht="11.5" customHeight="1" outlineLevel="1" x14ac:dyDescent="0.35">
      <c r="A23" s="1" t="s">
        <v>362</v>
      </c>
      <c r="B23" s="1" t="s">
        <v>31</v>
      </c>
      <c r="C23" s="143" t="s">
        <v>322</v>
      </c>
      <c r="D23" s="163">
        <v>2.2000000000000002</v>
      </c>
      <c r="E23" s="144"/>
      <c r="F23" s="325" t="s">
        <v>8</v>
      </c>
      <c r="G23" s="145" cm="1">
        <f t="array" ref="G23">INDEX(Price!$L$11:$AM$182,MATCH(1,(Price!$A$11:$A$182=$A23)*(Price!$B$11:$B$182=$B23)*(Price!$D$11:$D$182="exw"),0),MATCH(1,(Price!$L$3:$AM$3=G$3)*(Price!$L$4:$AM$4=G$4),0))</f>
        <v>0</v>
      </c>
      <c r="H23" s="145" cm="1">
        <f t="array" ref="H23">INDEX(Price!$L$11:$AM$182,MATCH(1,(Price!$A$11:$A$182=$A23)*(Price!$B$11:$B$182=$B23)*(Price!$D$11:$D$182="exw"),0),MATCH(1,(Price!$L$3:$AM$3=H$3)*(Price!$L$4:$AM$4=H$4),0))</f>
        <v>0</v>
      </c>
      <c r="I23" s="145" cm="1">
        <f t="array" ref="I23">INDEX(Price!$L$11:$AM$182,MATCH(1,(Price!$A$11:$A$182=$A23)*(Price!$B$11:$B$182=$B23)*(Price!$D$11:$D$182="exw"),0),MATCH(1,(Price!$L$3:$AM$3=I$3)*(Price!$L$4:$AM$4=I$4),0))</f>
        <v>0</v>
      </c>
      <c r="J23" s="145" cm="1">
        <f t="array" ref="J23">INDEX(Price!$L$11:$AM$182,MATCH(1,(Price!$A$11:$A$182=$A23)*(Price!$B$11:$B$182=$B23)*(Price!$D$11:$D$182="exw"),0),MATCH(1,(Price!$L$3:$AM$3=J$3)*(Price!$L$4:$AM$4=J$4),0))</f>
        <v>0</v>
      </c>
      <c r="K23" s="145" cm="1">
        <f t="array" ref="K23">INDEX(Price!$L$11:$AM$182,MATCH(1,(Price!$A$11:$A$182=$A23)*(Price!$B$11:$B$182=$B23)*(Price!$D$11:$D$182="exw"),0),MATCH(1,(Price!$L$3:$AM$3=K$3)*(Price!$L$4:$AM$4=K$4),0))</f>
        <v>0</v>
      </c>
      <c r="L23" s="145" cm="1">
        <f t="array" ref="L23">INDEX(Price!$L$11:$AM$182,MATCH(1,(Price!$A$11:$A$182=$A23)*(Price!$B$11:$B$182=$B23)*(Price!$D$11:$D$182="exw"),0),MATCH(1,(Price!$L$3:$AM$3=L$3)*(Price!$L$4:$AM$4=L$4),0))</f>
        <v>0</v>
      </c>
      <c r="M23" s="145" cm="1">
        <f t="array" ref="M23">INDEX(Price!$L$11:$AM$182,MATCH(1,(Price!$A$11:$A$182=$A23)*(Price!$B$11:$B$182=$B23)*(Price!$D$11:$D$182="exw"),0),MATCH(1,(Price!$L$3:$AM$3=M$3)*(Price!$L$4:$AM$4=M$4),0))</f>
        <v>0</v>
      </c>
      <c r="N23" s="145" cm="1">
        <f t="array" ref="N23">INDEX(Price!$L$11:$AM$182,MATCH(1,(Price!$A$11:$A$182=$A23)*(Price!$B$11:$B$182=$B23)*(Price!$D$11:$D$182="exw"),0),MATCH(1,(Price!$L$3:$AM$3=N$3)*(Price!$L$4:$AM$4=N$4),0))</f>
        <v>0</v>
      </c>
      <c r="O23" s="145" cm="1">
        <f t="array" ref="O23">INDEX(Price!$L$11:$AM$182,MATCH(1,(Price!$A$11:$A$182=$A23)*(Price!$B$11:$B$182=$B23)*(Price!$D$11:$D$182="exw"),0),MATCH(1,(Price!$L$3:$AM$3=O$3)*(Price!$L$4:$AM$4=O$4),0))</f>
        <v>0</v>
      </c>
      <c r="P23" s="145"/>
      <c r="Q23" s="145"/>
      <c r="R23" s="146"/>
      <c r="S23" s="145" cm="1">
        <f t="array" ref="S23">INDEX(Price!$L$11:$AM$182,MATCH(1,(Price!$A$11:$A$182=$A23)*(Price!$B$11:$B$182=$B23)*(Price!$D$11:$D$182="exw"),0),MATCH(1,(Price!$L$3:$AM$3=S$3)*(Price!$L$4:$AM$4=S$4),0))</f>
        <v>1230</v>
      </c>
      <c r="T23" s="145" cm="1">
        <f t="array" ref="T23">INDEX(Price!$L$11:$AM$182,MATCH(1,(Price!$A$11:$A$182=$A23)*(Price!$B$11:$B$182=$B23)*(Price!$D$11:$D$182="exw"),0),MATCH(1,(Price!$L$3:$AM$3=T$3)*(Price!$L$4:$AM$4=T$4),0))</f>
        <v>1230</v>
      </c>
      <c r="U23" s="145" cm="1">
        <f t="array" ref="U23">INDEX(Price!$L$11:$AM$182,MATCH(1,(Price!$A$11:$A$182=$A23)*(Price!$B$11:$B$182=$B23)*(Price!$D$11:$D$182="exw"),0),MATCH(1,(Price!$L$3:$AM$3=U$3)*(Price!$L$4:$AM$4=U$4),0))</f>
        <v>1230</v>
      </c>
      <c r="V23" s="145" cm="1">
        <f t="array" ref="V23">INDEX(Price!$L$11:$AM$182,MATCH(1,(Price!$A$11:$A$182=$A23)*(Price!$B$11:$B$182=$B23)*(Price!$D$11:$D$182="exw"),0),MATCH(1,(Price!$L$3:$AM$3=V$3)*(Price!$L$4:$AM$4=V$4),0))</f>
        <v>1228</v>
      </c>
      <c r="W23" s="145" cm="1">
        <f t="array" ref="W23">INDEX(Price!$L$11:$AM$182,MATCH(1,(Price!$A$11:$A$182=$A23)*(Price!$B$11:$B$182=$B23)*(Price!$D$11:$D$182="exw"),0),MATCH(1,(Price!$L$3:$AM$3=W$3)*(Price!$L$4:$AM$4=W$4),0))</f>
        <v>1228</v>
      </c>
      <c r="X23" s="145" cm="1">
        <f t="array" ref="X23">INDEX(Price!$L$11:$AM$182,MATCH(1,(Price!$A$11:$A$182=$A23)*(Price!$B$11:$B$182=$B23)*(Price!$D$11:$D$182="exw"),0),MATCH(1,(Price!$L$3:$AM$3=X$3)*(Price!$L$4:$AM$4=X$4),0))</f>
        <v>1228</v>
      </c>
      <c r="Y23" s="145" cm="1">
        <f t="array" ref="Y23">INDEX(Price!$L$11:$AM$182,MATCH(1,(Price!$A$11:$A$182=$A23)*(Price!$B$11:$B$182=$B23)*(Price!$D$11:$D$182="exw"),0),MATCH(1,(Price!$L$3:$AM$3=Y$3)*(Price!$L$4:$AM$4=Y$4),0))</f>
        <v>1228</v>
      </c>
      <c r="Z23" s="145" cm="1">
        <f t="array" ref="Z23">INDEX(Price!$L$11:$AM$182,MATCH(1,(Price!$A$11:$A$182=$A23)*(Price!$B$11:$B$182=$B23)*(Price!$D$11:$D$182="exw"),0),MATCH(1,(Price!$L$3:$AM$3=Z$3)*(Price!$L$4:$AM$4=Z$4),0))</f>
        <v>1228</v>
      </c>
      <c r="AA23" s="145" cm="1">
        <f t="array" ref="AA23">INDEX(Price!$L$11:$AM$182,MATCH(1,(Price!$A$11:$A$182=$A23)*(Price!$B$11:$B$182=$B23)*(Price!$D$11:$D$182="exw"),0),MATCH(1,(Price!$L$3:$AM$3=AA$3)*(Price!$L$4:$AM$4=AA$4),0))</f>
        <v>1228</v>
      </c>
      <c r="AB23" s="145" cm="1">
        <f t="array" ref="AB23">INDEX(Price!$L$11:$AM$182,MATCH(1,(Price!$A$11:$A$182=$A23)*(Price!$B$11:$B$182=$B23)*(Price!$D$11:$D$182="exw"),0),MATCH(1,(Price!$L$3:$AM$3=AB$3)*(Price!$L$4:$AM$4=AB$4),0))</f>
        <v>1228</v>
      </c>
      <c r="AC23" s="145" cm="1">
        <f t="array" ref="AC23">INDEX(Price!$L$11:$AM$182,MATCH(1,(Price!$A$11:$A$182=$A23)*(Price!$B$11:$B$182=$B23)*(Price!$D$11:$D$182="exw"),0),MATCH(1,(Price!$L$3:$AM$3=AC$3)*(Price!$L$4:$AM$4=AC$4),0))</f>
        <v>1228</v>
      </c>
      <c r="AD23" s="146" cm="1">
        <f t="array" ref="AD23">INDEX(Price!$L$11:$AM$182,MATCH(1,(Price!$A$11:$A$182=$A23)*(Price!$B$11:$B$182=$B23)*(Price!$D$11:$D$182="exw"),0),MATCH(1,(Price!$L$3:$AM$3=AD$3)*(Price!$L$4:$AM$4=AD$4),0))</f>
        <v>1228</v>
      </c>
      <c r="AE23" s="145"/>
      <c r="AF23" s="145"/>
      <c r="AG23" s="145"/>
      <c r="AH23" s="145"/>
      <c r="AI23" s="145"/>
      <c r="AJ23" s="145"/>
      <c r="AK23" s="145"/>
      <c r="AL23" s="145"/>
      <c r="AM23" s="145"/>
      <c r="AN23" s="145"/>
      <c r="AO23" s="145"/>
      <c r="AP23" s="146"/>
    </row>
    <row r="24" spans="1:42" ht="11.5" customHeight="1" outlineLevel="1" x14ac:dyDescent="0.35">
      <c r="A24" t="s">
        <v>362</v>
      </c>
      <c r="B24" t="s">
        <v>31</v>
      </c>
      <c r="C24" s="14" t="s">
        <v>9</v>
      </c>
      <c r="D24" s="164">
        <v>2.2999999999999998</v>
      </c>
      <c r="E24" s="8"/>
      <c r="F24" s="326" t="s">
        <v>11</v>
      </c>
      <c r="G24" s="320"/>
      <c r="H24" s="132"/>
      <c r="I24" s="132"/>
      <c r="J24" s="132"/>
      <c r="K24" s="132"/>
      <c r="L24" s="132"/>
      <c r="M24" s="132"/>
      <c r="N24" s="132"/>
      <c r="O24" s="132"/>
      <c r="P24" s="132"/>
      <c r="Q24" s="132"/>
      <c r="R24" s="133"/>
      <c r="S24" s="132" cm="1">
        <f t="array" ref="S24">SUMPRODUCT(General_Data*(Code_General_Data=$C24)*(Year=S$3)*(Month=S$4))</f>
        <v>828</v>
      </c>
      <c r="T24" s="132" cm="1">
        <f t="array" ref="T24">SUMPRODUCT(General_Data*(Code_General_Data=$C24)*(Year=T$3)*(Month=T$4))</f>
        <v>840</v>
      </c>
      <c r="U24" s="132" cm="1">
        <f t="array" ref="U24">SUMPRODUCT(General_Data*(Code_General_Data=$C24)*(Year=U$3)*(Month=U$4))</f>
        <v>823</v>
      </c>
      <c r="V24" s="132" cm="1">
        <f t="array" ref="V24">SUMPRODUCT(General_Data*(Code_General_Data=$C24)*(Year=V$3)*(Month=V$4))</f>
        <v>765</v>
      </c>
      <c r="W24" s="132" cm="1">
        <f t="array" ref="W24">SUMPRODUCT(General_Data*(Code_General_Data=$C24)*(Year=W$3)*(Month=W$4))</f>
        <v>782</v>
      </c>
      <c r="X24" s="132" cm="1">
        <f t="array" ref="X24">SUMPRODUCT(General_Data*(Code_General_Data=$C24)*(Year=X$3)*(Month=X$4))</f>
        <v>807.5</v>
      </c>
      <c r="Y24" s="132" cm="1">
        <f t="array" ref="Y24">SUMPRODUCT(General_Data*(Code_General_Data=$C24)*(Year=Y$3)*(Month=Y$4))</f>
        <v>802</v>
      </c>
      <c r="Z24" s="132" cm="1">
        <f t="array" ref="Z24">SUMPRODUCT(General_Data*(Code_General_Data=$C24)*(Year=Z$3)*(Month=Z$4))</f>
        <v>795</v>
      </c>
      <c r="AA24" s="132" cm="1">
        <f t="array" ref="AA24">SUMPRODUCT(General_Data*(Code_General_Data=$C24)*(Year=AA$3)*(Month=AA$4))</f>
        <v>783</v>
      </c>
      <c r="AB24" s="132" cm="1">
        <f t="array" ref="AB24">SUMPRODUCT(General_Data*(Code_General_Data=$C24)*(Year=AB$3)*(Month=AB$4))</f>
        <v>772</v>
      </c>
      <c r="AC24" s="132" cm="1">
        <f t="array" ref="AC24">SUMPRODUCT(General_Data*(Code_General_Data=$C24)*(Year=AC$3)*(Month=AC$4))</f>
        <v>770</v>
      </c>
      <c r="AD24" s="133" cm="1">
        <f t="array" ref="AD24">SUMPRODUCT(General_Data*(Code_General_Data=$C24)*(Year=AD$3)*(Month=AD$4))</f>
        <v>770</v>
      </c>
      <c r="AE24" s="132"/>
      <c r="AF24" s="132"/>
      <c r="AG24" s="132"/>
      <c r="AH24" s="132"/>
      <c r="AI24" s="132"/>
      <c r="AJ24" s="132"/>
      <c r="AK24" s="132"/>
      <c r="AL24" s="132"/>
      <c r="AM24" s="132"/>
      <c r="AN24" s="132"/>
      <c r="AO24" s="132"/>
      <c r="AP24" s="133"/>
    </row>
    <row r="25" spans="1:42" s="152" customFormat="1" ht="11.5" customHeight="1" outlineLevel="1" x14ac:dyDescent="0.35">
      <c r="A25" s="152" t="s">
        <v>362</v>
      </c>
      <c r="B25" s="152" t="s">
        <v>31</v>
      </c>
      <c r="D25" s="165">
        <v>2.4</v>
      </c>
      <c r="E25" s="153"/>
      <c r="F25" s="327" t="s">
        <v>430</v>
      </c>
      <c r="G25" s="154"/>
      <c r="H25" s="154"/>
      <c r="I25" s="154"/>
      <c r="J25" s="154"/>
      <c r="K25" s="154"/>
      <c r="L25" s="154"/>
      <c r="M25" s="154"/>
      <c r="N25" s="154"/>
      <c r="O25" s="154"/>
      <c r="P25" s="154"/>
      <c r="Q25" s="154"/>
      <c r="R25" s="155"/>
      <c r="S25" s="154">
        <f t="shared" ref="S25:AD25" si="6">IF(S22*S23*S24&lt;&gt;0,S23-S24,0)</f>
        <v>402</v>
      </c>
      <c r="T25" s="154">
        <f t="shared" si="6"/>
        <v>390</v>
      </c>
      <c r="U25" s="154">
        <f t="shared" si="6"/>
        <v>407</v>
      </c>
      <c r="V25" s="154">
        <f t="shared" si="6"/>
        <v>463</v>
      </c>
      <c r="W25" s="154">
        <f t="shared" si="6"/>
        <v>446</v>
      </c>
      <c r="X25" s="154">
        <f t="shared" si="6"/>
        <v>420.5</v>
      </c>
      <c r="Y25" s="154">
        <f t="shared" si="6"/>
        <v>426</v>
      </c>
      <c r="Z25" s="154">
        <f t="shared" si="6"/>
        <v>433</v>
      </c>
      <c r="AA25" s="154">
        <f t="shared" si="6"/>
        <v>445</v>
      </c>
      <c r="AB25" s="154">
        <f t="shared" si="6"/>
        <v>456</v>
      </c>
      <c r="AC25" s="154">
        <f t="shared" si="6"/>
        <v>458</v>
      </c>
      <c r="AD25" s="155">
        <f t="shared" si="6"/>
        <v>458</v>
      </c>
      <c r="AE25" s="154"/>
      <c r="AF25" s="154"/>
      <c r="AG25" s="154"/>
      <c r="AH25" s="154"/>
      <c r="AI25" s="154"/>
      <c r="AJ25" s="154"/>
      <c r="AK25" s="154"/>
      <c r="AL25" s="154"/>
      <c r="AM25" s="154"/>
      <c r="AN25" s="154"/>
      <c r="AO25" s="154"/>
      <c r="AP25" s="155"/>
    </row>
    <row r="26" spans="1:42" s="156" customFormat="1" ht="11.5" customHeight="1" outlineLevel="1" x14ac:dyDescent="0.35">
      <c r="A26" s="156" t="s">
        <v>362</v>
      </c>
      <c r="B26" s="156" t="s">
        <v>31</v>
      </c>
      <c r="D26" s="166">
        <v>2.5</v>
      </c>
      <c r="E26" s="157"/>
      <c r="F26" s="328" t="s">
        <v>14</v>
      </c>
      <c r="G26" s="158"/>
      <c r="H26" s="158"/>
      <c r="I26" s="158"/>
      <c r="J26" s="158"/>
      <c r="K26" s="158"/>
      <c r="L26" s="158"/>
      <c r="M26" s="158"/>
      <c r="N26" s="158"/>
      <c r="O26" s="158"/>
      <c r="P26" s="158"/>
      <c r="Q26" s="158"/>
      <c r="R26" s="159"/>
      <c r="S26" s="158">
        <f t="shared" ref="S26:AD26" si="7">IFERROR(S25/S24,0)</f>
        <v>0.48550724637681159</v>
      </c>
      <c r="T26" s="158">
        <f t="shared" si="7"/>
        <v>0.4642857142857143</v>
      </c>
      <c r="U26" s="158">
        <f t="shared" si="7"/>
        <v>0.49453219927095993</v>
      </c>
      <c r="V26" s="158">
        <f t="shared" si="7"/>
        <v>0.6052287581699346</v>
      </c>
      <c r="W26" s="158">
        <f t="shared" si="7"/>
        <v>0.57033248081841437</v>
      </c>
      <c r="X26" s="158">
        <f t="shared" si="7"/>
        <v>0.52074303405572753</v>
      </c>
      <c r="Y26" s="158">
        <f t="shared" si="7"/>
        <v>0.53117206982543641</v>
      </c>
      <c r="Z26" s="158">
        <f t="shared" si="7"/>
        <v>0.54465408805031446</v>
      </c>
      <c r="AA26" s="158">
        <f t="shared" si="7"/>
        <v>0.56832694763729241</v>
      </c>
      <c r="AB26" s="158">
        <f t="shared" si="7"/>
        <v>0.59067357512953367</v>
      </c>
      <c r="AC26" s="158">
        <f t="shared" si="7"/>
        <v>0.59480519480519478</v>
      </c>
      <c r="AD26" s="159">
        <f t="shared" si="7"/>
        <v>0.59480519480519478</v>
      </c>
      <c r="AE26" s="158"/>
      <c r="AF26" s="158"/>
      <c r="AG26" s="158"/>
      <c r="AH26" s="158"/>
      <c r="AI26" s="158"/>
      <c r="AJ26" s="158"/>
      <c r="AK26" s="158"/>
      <c r="AL26" s="158"/>
      <c r="AM26" s="158"/>
      <c r="AN26" s="158"/>
      <c r="AO26" s="158"/>
      <c r="AP26" s="159"/>
    </row>
    <row r="27" spans="1:42" s="137" customFormat="1" ht="11.5" customHeight="1" outlineLevel="1" x14ac:dyDescent="0.35">
      <c r="A27" s="137" t="s">
        <v>362</v>
      </c>
      <c r="B27" s="137" t="s">
        <v>31</v>
      </c>
      <c r="C27" s="137" t="s">
        <v>31</v>
      </c>
      <c r="D27" s="167">
        <v>2.6</v>
      </c>
      <c r="E27" s="138"/>
      <c r="F27" s="329" t="s">
        <v>203</v>
      </c>
      <c r="G27" s="139"/>
      <c r="H27" s="139"/>
      <c r="I27" s="139"/>
      <c r="J27" s="139"/>
      <c r="K27" s="139"/>
      <c r="L27" s="139"/>
      <c r="M27" s="139"/>
      <c r="N27" s="139"/>
      <c r="O27" s="139"/>
      <c r="P27" s="139"/>
      <c r="Q27" s="139"/>
      <c r="R27" s="140"/>
      <c r="S27" s="139" cm="1">
        <f t="array" ref="S27">SUMPRODUCT(General_Data*(Code_General_Data=$C27)*(Year=S$3)*(Month=S$4))</f>
        <v>1260</v>
      </c>
      <c r="T27" s="139" cm="1">
        <f t="array" ref="T27">SUMPRODUCT(General_Data*(Code_General_Data=$C27)*(Year=T$3)*(Month=T$4))</f>
        <v>1260</v>
      </c>
      <c r="U27" s="139" cm="1">
        <f t="array" ref="U27">SUMPRODUCT(General_Data*(Code_General_Data=$C27)*(Year=U$3)*(Month=U$4))</f>
        <v>1260</v>
      </c>
      <c r="V27" s="139" cm="1">
        <f t="array" ref="V27">SUMPRODUCT(General_Data*(Code_General_Data=$C27)*(Year=V$3)*(Month=V$4))</f>
        <v>1280</v>
      </c>
      <c r="W27" s="139" cm="1">
        <f t="array" ref="W27">SUMPRODUCT(General_Data*(Code_General_Data=$C27)*(Year=W$3)*(Month=W$4))</f>
        <v>1280</v>
      </c>
      <c r="X27" s="139" cm="1">
        <f t="array" ref="X27">SUMPRODUCT(General_Data*(Code_General_Data=$C27)*(Year=X$3)*(Month=X$4))</f>
        <v>1280</v>
      </c>
      <c r="Y27" s="139" cm="1">
        <f t="array" ref="Y27">SUMPRODUCT(General_Data*(Code_General_Data=$C27)*(Year=Y$3)*(Month=Y$4))</f>
        <v>1280</v>
      </c>
      <c r="Z27" s="139" cm="1">
        <f t="array" ref="Z27">SUMPRODUCT(General_Data*(Code_General_Data=$C27)*(Year=Z$3)*(Month=Z$4))</f>
        <v>1250</v>
      </c>
      <c r="AA27" s="139" cm="1">
        <f t="array" ref="AA27">SUMPRODUCT(General_Data*(Code_General_Data=$C27)*(Year=AA$3)*(Month=AA$4))</f>
        <v>1250</v>
      </c>
      <c r="AB27" s="139" cm="1">
        <f t="array" ref="AB27">SUMPRODUCT(General_Data*(Code_General_Data=$C27)*(Year=AB$3)*(Month=AB$4))</f>
        <v>1240</v>
      </c>
      <c r="AC27" s="139" cm="1">
        <f t="array" ref="AC27">SUMPRODUCT(General_Data*(Code_General_Data=$C27)*(Year=AC$3)*(Month=AC$4))</f>
        <v>1230</v>
      </c>
      <c r="AD27" s="140" cm="1">
        <f t="array" ref="AD27">SUMPRODUCT(General_Data*(Code_General_Data=$C27)*(Year=AD$3)*(Month=AD$4))</f>
        <v>1230</v>
      </c>
      <c r="AE27" s="139"/>
      <c r="AF27" s="139"/>
      <c r="AG27" s="139"/>
      <c r="AH27" s="139"/>
      <c r="AI27" s="139"/>
      <c r="AJ27" s="139"/>
      <c r="AK27" s="139"/>
      <c r="AL27" s="139"/>
      <c r="AM27" s="139"/>
      <c r="AN27" s="139"/>
      <c r="AO27" s="139"/>
      <c r="AP27" s="140"/>
    </row>
    <row r="28" spans="1:42" ht="3.65" customHeight="1" x14ac:dyDescent="0.35">
      <c r="D28" s="168"/>
    </row>
    <row r="29" spans="1:42" s="127" customFormat="1" ht="15.65" customHeight="1" x14ac:dyDescent="0.4">
      <c r="A29" s="127" t="s">
        <v>64</v>
      </c>
      <c r="C29" s="131"/>
      <c r="D29" s="169" t="s">
        <v>25</v>
      </c>
      <c r="E29" s="130" t="s">
        <v>18</v>
      </c>
      <c r="F29" s="322"/>
      <c r="G29" s="130"/>
      <c r="H29" s="130"/>
      <c r="I29" s="130"/>
      <c r="J29" s="130"/>
      <c r="K29" s="130"/>
      <c r="L29" s="130"/>
      <c r="M29" s="130"/>
      <c r="N29" s="130"/>
      <c r="O29" s="130"/>
      <c r="P29" s="130"/>
      <c r="Q29" s="130"/>
      <c r="R29" s="319"/>
      <c r="S29" s="130"/>
      <c r="T29" s="130"/>
      <c r="U29" s="130"/>
      <c r="V29" s="130"/>
      <c r="W29" s="130"/>
      <c r="X29" s="130"/>
      <c r="Y29" s="130"/>
      <c r="Z29" s="130"/>
      <c r="AA29" s="130"/>
      <c r="AB29" s="130"/>
      <c r="AC29" s="130"/>
      <c r="AD29" s="319"/>
      <c r="AE29" s="130"/>
      <c r="AF29" s="130"/>
      <c r="AG29" s="130"/>
      <c r="AH29" s="130"/>
      <c r="AI29" s="130"/>
      <c r="AJ29" s="130"/>
      <c r="AK29" s="130"/>
      <c r="AL29" s="130"/>
      <c r="AM29" s="130"/>
      <c r="AN29" s="130"/>
      <c r="AO29" s="130"/>
      <c r="AP29" s="319"/>
    </row>
    <row r="30" spans="1:42" s="148" customFormat="1" ht="13.4" customHeight="1" outlineLevel="1" x14ac:dyDescent="0.4">
      <c r="A30" s="148" t="s">
        <v>64</v>
      </c>
      <c r="B30" s="148" t="s">
        <v>15</v>
      </c>
      <c r="D30" s="161"/>
      <c r="E30" s="149"/>
      <c r="F30" s="323" t="s">
        <v>4</v>
      </c>
      <c r="G30" s="149"/>
      <c r="H30" s="149"/>
      <c r="I30" s="149"/>
      <c r="J30" s="149"/>
      <c r="K30" s="149"/>
      <c r="L30" s="149"/>
      <c r="M30" s="149"/>
      <c r="N30" s="149"/>
      <c r="O30" s="149"/>
      <c r="P30" s="149"/>
      <c r="Q30" s="149"/>
      <c r="R30" s="150"/>
      <c r="S30" s="149"/>
      <c r="T30" s="149"/>
      <c r="U30" s="149"/>
      <c r="V30" s="149"/>
      <c r="W30" s="149"/>
      <c r="X30" s="149"/>
      <c r="Y30" s="149"/>
      <c r="Z30" s="149"/>
      <c r="AA30" s="149"/>
      <c r="AB30" s="149"/>
      <c r="AC30" s="149"/>
      <c r="AD30" s="150"/>
      <c r="AE30" s="149"/>
      <c r="AF30" s="149"/>
      <c r="AG30" s="149"/>
      <c r="AH30" s="149"/>
      <c r="AI30" s="149"/>
      <c r="AJ30" s="149"/>
      <c r="AK30" s="149"/>
      <c r="AL30" s="149"/>
      <c r="AM30" s="149"/>
      <c r="AN30" s="149"/>
      <c r="AO30" s="149"/>
      <c r="AP30" s="150"/>
    </row>
    <row r="31" spans="1:42" s="69" customFormat="1" ht="11.5" customHeight="1" outlineLevel="1" x14ac:dyDescent="0.35">
      <c r="A31" s="69" t="s">
        <v>64</v>
      </c>
      <c r="B31" s="69" t="s">
        <v>15</v>
      </c>
      <c r="D31" s="170">
        <v>3.1</v>
      </c>
      <c r="E31" s="134"/>
      <c r="F31" s="324" t="s">
        <v>19</v>
      </c>
      <c r="G31" s="135" cm="1">
        <f t="array" ref="G31">INDEX(Price!$L$11:$AM$182,MATCH(1,(Price!$A$11:$A$182=$A31)*(Price!$B$11:$B$182=$B31)*(Price!$D$11:$D$182="gb"),0),MATCH(1,(Price!$L$3:$AM$3=G$3)*(Price!$L$4:$AM$4=G$4),0))</f>
        <v>1320</v>
      </c>
      <c r="H31" s="135" cm="1">
        <f t="array" ref="H31">INDEX(Price!$L$11:$AM$182,MATCH(1,(Price!$A$11:$A$182=$A31)*(Price!$B$11:$B$182=$B31)*(Price!$D$11:$D$182="gb"),0),MATCH(1,(Price!$L$3:$AM$3=H$3)*(Price!$L$4:$AM$4=H$4),0))</f>
        <v>1320</v>
      </c>
      <c r="I31" s="135" cm="1">
        <f t="array" ref="I31">INDEX(Price!$L$11:$AM$182,MATCH(1,(Price!$A$11:$A$182=$A31)*(Price!$B$11:$B$182=$B31)*(Price!$D$11:$D$182="gb"),0),MATCH(1,(Price!$L$3:$AM$3=I$3)*(Price!$L$4:$AM$4=I$4),0))</f>
        <v>1320</v>
      </c>
      <c r="J31" s="135" cm="1">
        <f t="array" ref="J31">INDEX(Price!$L$11:$AM$182,MATCH(1,(Price!$A$11:$A$182=$A31)*(Price!$B$11:$B$182=$B31)*(Price!$D$11:$D$182="gb"),0),MATCH(1,(Price!$L$3:$AM$3=J$3)*(Price!$L$4:$AM$4=J$4),0))</f>
        <v>1320</v>
      </c>
      <c r="K31" s="135" cm="1">
        <f t="array" ref="K31">INDEX(Price!$L$11:$AM$182,MATCH(1,(Price!$A$11:$A$182=$A31)*(Price!$B$11:$B$182=$B31)*(Price!$D$11:$D$182="gb"),0),MATCH(1,(Price!$L$3:$AM$3=K$3)*(Price!$L$4:$AM$4=K$4),0))</f>
        <v>1320</v>
      </c>
      <c r="L31" s="135" cm="1">
        <f t="array" ref="L31">INDEX(Price!$L$11:$AM$182,MATCH(1,(Price!$A$11:$A$182=$A31)*(Price!$B$11:$B$182=$B31)*(Price!$D$11:$D$182="gb"),0),MATCH(1,(Price!$L$3:$AM$3=L$3)*(Price!$L$4:$AM$4=L$4),0))</f>
        <v>1320</v>
      </c>
      <c r="M31" s="135" cm="1">
        <f t="array" ref="M31">INDEX(Price!$L$11:$AM$182,MATCH(1,(Price!$A$11:$A$182=$A31)*(Price!$B$11:$B$182=$B31)*(Price!$D$11:$D$182="gb"),0),MATCH(1,(Price!$L$3:$AM$3=M$3)*(Price!$L$4:$AM$4=M$4),0))</f>
        <v>1320</v>
      </c>
      <c r="N31" s="135" cm="1">
        <f t="array" ref="N31">INDEX(Price!$L$11:$AM$182,MATCH(1,(Price!$A$11:$A$182=$A31)*(Price!$B$11:$B$182=$B31)*(Price!$D$11:$D$182="gb"),0),MATCH(1,(Price!$L$3:$AM$3=N$3)*(Price!$L$4:$AM$4=N$4),0))</f>
        <v>1320</v>
      </c>
      <c r="O31" s="135" cm="1">
        <f t="array" ref="O31">INDEX(Price!$L$11:$AM$182,MATCH(1,(Price!$A$11:$A$182=$A31)*(Price!$B$11:$B$182=$B31)*(Price!$D$11:$D$182="gb"),0),MATCH(1,(Price!$L$3:$AM$3=O$3)*(Price!$L$4:$AM$4=O$4),0))</f>
        <v>1320</v>
      </c>
      <c r="P31" s="135" cm="1">
        <f t="array" ref="P31">INDEX(Price!$L$11:$AM$182,MATCH(1,(Price!$A$11:$A$182=$A31)*(Price!$B$11:$B$182=$B31)*(Price!$D$11:$D$182="gb"),0),MATCH(1,(Price!$L$3:$AM$3=P$3)*(Price!$L$4:$AM$4=P$4),0))</f>
        <v>1300</v>
      </c>
      <c r="Q31" s="135" cm="1">
        <f t="array" ref="Q31">INDEX(Price!$L$11:$AM$182,MATCH(1,(Price!$A$11:$A$182=$A31)*(Price!$B$11:$B$182=$B31)*(Price!$D$11:$D$182="gb"),0),MATCH(1,(Price!$L$3:$AM$3=Q$3)*(Price!$L$4:$AM$4=Q$4),0))</f>
        <v>1300</v>
      </c>
      <c r="R31" s="136" cm="1">
        <f t="array" ref="R31">INDEX(Price!$L$11:$AM$182,MATCH(1,(Price!$A$11:$A$182=$A31)*(Price!$B$11:$B$182=$B31)*(Price!$D$11:$D$182="gb"),0),MATCH(1,(Price!$L$3:$AM$3=R$3)*(Price!$L$4:$AM$4=R$4),0))</f>
        <v>1300</v>
      </c>
      <c r="S31" s="135" cm="1">
        <f t="array" ref="S31">INDEX(Price!$L$11:$AM$182,MATCH(1,(Price!$A$11:$A$182=$A31)*(Price!$B$11:$B$182=$B31)*(Price!$D$11:$D$182="gb"),0),MATCH(1,(Price!$L$3:$AM$3=S$3)*(Price!$L$4:$AM$4=S$4),0))</f>
        <v>1300</v>
      </c>
      <c r="T31" s="135" cm="1">
        <f t="array" ref="T31">INDEX(Price!$L$11:$AM$182,MATCH(1,(Price!$A$11:$A$182=$A31)*(Price!$B$11:$B$182=$B31)*(Price!$D$11:$D$182="gb"),0),MATCH(1,(Price!$L$3:$AM$3=T$3)*(Price!$L$4:$AM$4=T$4),0))</f>
        <v>1300</v>
      </c>
      <c r="U31" s="135" cm="1">
        <f t="array" ref="U31">INDEX(Price!$L$11:$AM$182,MATCH(1,(Price!$A$11:$A$182=$A31)*(Price!$B$11:$B$182=$B31)*(Price!$D$11:$D$182="gb"),0),MATCH(1,(Price!$L$3:$AM$3=U$3)*(Price!$L$4:$AM$4=U$4),0))</f>
        <v>1300</v>
      </c>
      <c r="V31" s="135" cm="1">
        <f t="array" ref="V31">INDEX(Price!$L$11:$AM$182,MATCH(1,(Price!$A$11:$A$182=$A31)*(Price!$B$11:$B$182=$B31)*(Price!$D$11:$D$182="gb"),0),MATCH(1,(Price!$L$3:$AM$3=V$3)*(Price!$L$4:$AM$4=V$4),0))</f>
        <v>1250</v>
      </c>
      <c r="W31" s="135" cm="1">
        <f t="array" ref="W31">INDEX(Price!$L$11:$AM$182,MATCH(1,(Price!$A$11:$A$182=$A31)*(Price!$B$11:$B$182=$B31)*(Price!$D$11:$D$182="gb"),0),MATCH(1,(Price!$L$3:$AM$3=W$3)*(Price!$L$4:$AM$4=W$4),0))</f>
        <v>1250</v>
      </c>
      <c r="X31" s="135" cm="1">
        <f t="array" ref="X31">INDEX(Price!$L$11:$AM$182,MATCH(1,(Price!$A$11:$A$182=$A31)*(Price!$B$11:$B$182=$B31)*(Price!$D$11:$D$182="gb"),0),MATCH(1,(Price!$L$3:$AM$3=X$3)*(Price!$L$4:$AM$4=X$4),0))</f>
        <v>1250</v>
      </c>
      <c r="Y31" s="135" cm="1">
        <f t="array" ref="Y31">INDEX(Price!$L$11:$AM$182,MATCH(1,(Price!$A$11:$A$182=$A31)*(Price!$B$11:$B$182=$B31)*(Price!$D$11:$D$182="gb"),0),MATCH(1,(Price!$L$3:$AM$3=Y$3)*(Price!$L$4:$AM$4=Y$4),0))</f>
        <v>1280</v>
      </c>
      <c r="Z31" s="135" cm="1">
        <f t="array" ref="Z31">INDEX(Price!$L$11:$AM$182,MATCH(1,(Price!$A$11:$A$182=$A31)*(Price!$B$11:$B$182=$B31)*(Price!$D$11:$D$182="gb"),0),MATCH(1,(Price!$L$3:$AM$3=Z$3)*(Price!$L$4:$AM$4=Z$4),0))</f>
        <v>1280</v>
      </c>
      <c r="AA31" s="135" cm="1">
        <f t="array" ref="AA31">INDEX(Price!$L$11:$AM$182,MATCH(1,(Price!$A$11:$A$182=$A31)*(Price!$B$11:$B$182=$B31)*(Price!$D$11:$D$182="gb"),0),MATCH(1,(Price!$L$3:$AM$3=AA$3)*(Price!$L$4:$AM$4=AA$4),0))</f>
        <v>1280</v>
      </c>
      <c r="AB31" s="135" cm="1">
        <f t="array" ref="AB31">INDEX(Price!$L$11:$AM$182,MATCH(1,(Price!$A$11:$A$182=$A31)*(Price!$B$11:$B$182=$B31)*(Price!$D$11:$D$182="gb"),0),MATCH(1,(Price!$L$3:$AM$3=AB$3)*(Price!$L$4:$AM$4=AB$4),0))</f>
        <v>1280</v>
      </c>
      <c r="AC31" s="135" cm="1">
        <f t="array" ref="AC31">INDEX(Price!$L$11:$AM$182,MATCH(1,(Price!$A$11:$A$182=$A31)*(Price!$B$11:$B$182=$B31)*(Price!$D$11:$D$182="gb"),0),MATCH(1,(Price!$L$3:$AM$3=AC$3)*(Price!$L$4:$AM$4=AC$4),0))</f>
        <v>1280</v>
      </c>
      <c r="AD31" s="136" cm="1">
        <f t="array" ref="AD31">INDEX(Price!$L$11:$AM$182,MATCH(1,(Price!$A$11:$A$182=$A31)*(Price!$B$11:$B$182=$B31)*(Price!$D$11:$D$182="gb"),0),MATCH(1,(Price!$L$3:$AM$3=AD$3)*(Price!$L$4:$AM$4=AD$4),0))</f>
        <v>1280</v>
      </c>
      <c r="AE31" s="135"/>
      <c r="AF31" s="135"/>
      <c r="AG31" s="135"/>
      <c r="AH31" s="135"/>
      <c r="AI31" s="135"/>
      <c r="AJ31" s="135"/>
      <c r="AK31" s="135"/>
      <c r="AL31" s="135"/>
      <c r="AM31" s="135"/>
      <c r="AN31" s="135"/>
      <c r="AO31" s="135"/>
      <c r="AP31" s="136"/>
    </row>
    <row r="32" spans="1:42" s="1" customFormat="1" ht="11.5" customHeight="1" outlineLevel="1" x14ac:dyDescent="0.35">
      <c r="A32" s="1" t="s">
        <v>64</v>
      </c>
      <c r="B32" s="1" t="s">
        <v>15</v>
      </c>
      <c r="C32" s="143" t="s">
        <v>322</v>
      </c>
      <c r="D32" s="171">
        <v>3.2</v>
      </c>
      <c r="E32" s="144"/>
      <c r="F32" s="325" t="s">
        <v>8</v>
      </c>
      <c r="G32" s="145" cm="1">
        <f t="array" ref="G32">INDEX(Price!$L$11:$AM$182,MATCH(1,(Price!$A$11:$A$182=$A32)*(Price!$B$11:$B$182=$B32)*(Price!$D$11:$D$182="exw"),0),MATCH(1,(Price!$L$3:$AM$3=G$3)*(Price!$L$4:$AM$4=G$4),0))</f>
        <v>1307.795918367347</v>
      </c>
      <c r="H32" s="145" cm="1">
        <f t="array" ref="H32">INDEX(Price!$L$11:$AM$182,MATCH(1,(Price!$A$11:$A$182=$A32)*(Price!$B$11:$B$182=$B32)*(Price!$D$11:$D$182="exw"),0),MATCH(1,(Price!$L$3:$AM$3=H$3)*(Price!$L$4:$AM$4=H$4),0))</f>
        <v>1307.795918367347</v>
      </c>
      <c r="I32" s="145" cm="1">
        <f t="array" ref="I32">INDEX(Price!$L$11:$AM$182,MATCH(1,(Price!$A$11:$A$182=$A32)*(Price!$B$11:$B$182=$B32)*(Price!$D$11:$D$182="exw"),0),MATCH(1,(Price!$L$3:$AM$3=I$3)*(Price!$L$4:$AM$4=I$4),0))</f>
        <v>1307.795918367347</v>
      </c>
      <c r="J32" s="145" cm="1">
        <f t="array" ref="J32">INDEX(Price!$L$11:$AM$182,MATCH(1,(Price!$A$11:$A$182=$A32)*(Price!$B$11:$B$182=$B32)*(Price!$D$11:$D$182="exw"),0),MATCH(1,(Price!$L$3:$AM$3=J$3)*(Price!$L$4:$AM$4=J$4),0))</f>
        <v>1307.795918367347</v>
      </c>
      <c r="K32" s="145" cm="1">
        <f t="array" ref="K32">INDEX(Price!$L$11:$AM$182,MATCH(1,(Price!$A$11:$A$182=$A32)*(Price!$B$11:$B$182=$B32)*(Price!$D$11:$D$182="exw"),0),MATCH(1,(Price!$L$3:$AM$3=K$3)*(Price!$L$4:$AM$4=K$4),0))</f>
        <v>1307.795918367347</v>
      </c>
      <c r="L32" s="145" cm="1">
        <f t="array" ref="L32">INDEX(Price!$L$11:$AM$182,MATCH(1,(Price!$A$11:$A$182=$A32)*(Price!$B$11:$B$182=$B32)*(Price!$D$11:$D$182="exw"),0),MATCH(1,(Price!$L$3:$AM$3=L$3)*(Price!$L$4:$AM$4=L$4),0))</f>
        <v>1307.795918367347</v>
      </c>
      <c r="M32" s="145" cm="1">
        <f t="array" ref="M32">INDEX(Price!$L$11:$AM$182,MATCH(1,(Price!$A$11:$A$182=$A32)*(Price!$B$11:$B$182=$B32)*(Price!$D$11:$D$182="exw"),0),MATCH(1,(Price!$L$3:$AM$3=M$3)*(Price!$L$4:$AM$4=M$4),0))</f>
        <v>1308.04</v>
      </c>
      <c r="N32" s="145" cm="1">
        <f t="array" ref="N32">INDEX(Price!$L$11:$AM$182,MATCH(1,(Price!$A$11:$A$182=$A32)*(Price!$B$11:$B$182=$B32)*(Price!$D$11:$D$182="exw"),0),MATCH(1,(Price!$L$3:$AM$3=N$3)*(Price!$L$4:$AM$4=N$4),0))</f>
        <v>1308.04</v>
      </c>
      <c r="O32" s="145" cm="1">
        <f t="array" ref="O32">INDEX(Price!$L$11:$AM$182,MATCH(1,(Price!$A$11:$A$182=$A32)*(Price!$B$11:$B$182=$B32)*(Price!$D$11:$D$182="exw"),0),MATCH(1,(Price!$L$3:$AM$3=O$3)*(Price!$L$4:$AM$4=O$4),0))</f>
        <v>1308.04</v>
      </c>
      <c r="P32" s="145" cm="1">
        <f t="array" ref="P32">INDEX(Price!$L$11:$AM$182,MATCH(1,(Price!$A$11:$A$182=$A32)*(Price!$B$11:$B$182=$B32)*(Price!$D$11:$D$182="exw"),0),MATCH(1,(Price!$L$3:$AM$3=P$3)*(Price!$L$4:$AM$4=P$4),0))</f>
        <v>1288.04</v>
      </c>
      <c r="Q32" s="145" cm="1">
        <f t="array" ref="Q32">INDEX(Price!$L$11:$AM$182,MATCH(1,(Price!$A$11:$A$182=$A32)*(Price!$B$11:$B$182=$B32)*(Price!$D$11:$D$182="exw"),0),MATCH(1,(Price!$L$3:$AM$3=Q$3)*(Price!$L$4:$AM$4=Q$4),0))</f>
        <v>1288.04</v>
      </c>
      <c r="R32" s="146" cm="1">
        <f t="array" ref="R32">INDEX(Price!$L$11:$AM$182,MATCH(1,(Price!$A$11:$A$182=$A32)*(Price!$B$11:$B$182=$B32)*(Price!$D$11:$D$182="exw"),0),MATCH(1,(Price!$L$3:$AM$3=R$3)*(Price!$L$4:$AM$4=R$4),0))</f>
        <v>1288.04</v>
      </c>
      <c r="S32" s="145" cm="1">
        <f t="array" ref="S32">INDEX(Price!$L$11:$AM$182,MATCH(1,(Price!$A$11:$A$182=$A32)*(Price!$B$11:$B$182=$B32)*(Price!$D$11:$D$182="exw"),0),MATCH(1,(Price!$L$3:$AM$3=S$3)*(Price!$L$4:$AM$4=S$4),0))</f>
        <v>1288.04</v>
      </c>
      <c r="T32" s="145" cm="1">
        <f t="array" ref="T32">INDEX(Price!$L$11:$AM$182,MATCH(1,(Price!$A$11:$A$182=$A32)*(Price!$B$11:$B$182=$B32)*(Price!$D$11:$D$182="exw"),0),MATCH(1,(Price!$L$3:$AM$3=T$3)*(Price!$L$4:$AM$4=T$4),0))</f>
        <v>1288.04</v>
      </c>
      <c r="U32" s="145" cm="1">
        <f t="array" ref="U32">INDEX(Price!$L$11:$AM$182,MATCH(1,(Price!$A$11:$A$182=$A32)*(Price!$B$11:$B$182=$B32)*(Price!$D$11:$D$182="exw"),0),MATCH(1,(Price!$L$3:$AM$3=U$3)*(Price!$L$4:$AM$4=U$4),0))</f>
        <v>1288.04</v>
      </c>
      <c r="V32" s="145" cm="1">
        <f t="array" ref="V32">INDEX(Price!$L$11:$AM$182,MATCH(1,(Price!$A$11:$A$182=$A32)*(Price!$B$11:$B$182=$B32)*(Price!$D$11:$D$182="exw"),0),MATCH(1,(Price!$L$3:$AM$3=V$3)*(Price!$L$4:$AM$4=V$4),0))</f>
        <v>1238.04</v>
      </c>
      <c r="W32" s="145" cm="1">
        <f t="array" ref="W32">INDEX(Price!$L$11:$AM$182,MATCH(1,(Price!$A$11:$A$182=$A32)*(Price!$B$11:$B$182=$B32)*(Price!$D$11:$D$182="exw"),0),MATCH(1,(Price!$L$3:$AM$3=W$3)*(Price!$L$4:$AM$4=W$4),0))</f>
        <v>1238.04</v>
      </c>
      <c r="X32" s="145" cm="1">
        <f t="array" ref="X32">INDEX(Price!$L$11:$AM$182,MATCH(1,(Price!$A$11:$A$182=$A32)*(Price!$B$11:$B$182=$B32)*(Price!$D$11:$D$182="exw"),0),MATCH(1,(Price!$L$3:$AM$3=X$3)*(Price!$L$4:$AM$4=X$4),0))</f>
        <v>1238.04</v>
      </c>
      <c r="Y32" s="145" cm="1">
        <f t="array" ref="Y32">INDEX(Price!$L$11:$AM$182,MATCH(1,(Price!$A$11:$A$182=$A32)*(Price!$B$11:$B$182=$B32)*(Price!$D$11:$D$182="exw"),0),MATCH(1,(Price!$L$3:$AM$3=Y$3)*(Price!$L$4:$AM$4=Y$4),0))</f>
        <v>1268.04</v>
      </c>
      <c r="Z32" s="145" cm="1">
        <f t="array" ref="Z32">INDEX(Price!$L$11:$AM$182,MATCH(1,(Price!$A$11:$A$182=$A32)*(Price!$B$11:$B$182=$B32)*(Price!$D$11:$D$182="exw"),0),MATCH(1,(Price!$L$3:$AM$3=Z$3)*(Price!$L$4:$AM$4=Z$4),0))</f>
        <v>1268.04</v>
      </c>
      <c r="AA32" s="145" cm="1">
        <f t="array" ref="AA32">INDEX(Price!$L$11:$AM$182,MATCH(1,(Price!$A$11:$A$182=$A32)*(Price!$B$11:$B$182=$B32)*(Price!$D$11:$D$182="exw"),0),MATCH(1,(Price!$L$3:$AM$3=AA$3)*(Price!$L$4:$AM$4=AA$4),0))</f>
        <v>1268.04</v>
      </c>
      <c r="AB32" s="145" cm="1">
        <f t="array" ref="AB32">INDEX(Price!$L$11:$AM$182,MATCH(1,(Price!$A$11:$A$182=$A32)*(Price!$B$11:$B$182=$B32)*(Price!$D$11:$D$182="exw"),0),MATCH(1,(Price!$L$3:$AM$3=AB$3)*(Price!$L$4:$AM$4=AB$4),0))</f>
        <v>1268.04</v>
      </c>
      <c r="AC32" s="145" cm="1">
        <f t="array" ref="AC32">INDEX(Price!$L$11:$AM$182,MATCH(1,(Price!$A$11:$A$182=$A32)*(Price!$B$11:$B$182=$B32)*(Price!$D$11:$D$182="exw"),0),MATCH(1,(Price!$L$3:$AM$3=AC$3)*(Price!$L$4:$AM$4=AC$4),0))</f>
        <v>1268.04</v>
      </c>
      <c r="AD32" s="146" cm="1">
        <f t="array" ref="AD32">INDEX(Price!$L$11:$AM$182,MATCH(1,(Price!$A$11:$A$182=$A32)*(Price!$B$11:$B$182=$B32)*(Price!$D$11:$D$182="exw"),0),MATCH(1,(Price!$L$3:$AM$3=AD$3)*(Price!$L$4:$AM$4=AD$4),0))</f>
        <v>1268.04</v>
      </c>
      <c r="AE32" s="145"/>
      <c r="AF32" s="145"/>
      <c r="AG32" s="145"/>
      <c r="AH32" s="145"/>
      <c r="AI32" s="145"/>
      <c r="AJ32" s="145"/>
      <c r="AK32" s="145"/>
      <c r="AL32" s="145"/>
      <c r="AM32" s="145"/>
      <c r="AN32" s="145"/>
      <c r="AO32" s="145"/>
      <c r="AP32" s="146"/>
    </row>
    <row r="33" spans="1:42" ht="11.5" customHeight="1" outlineLevel="1" x14ac:dyDescent="0.35">
      <c r="A33" t="s">
        <v>64</v>
      </c>
      <c r="B33" t="s">
        <v>15</v>
      </c>
      <c r="C33" s="14" t="s">
        <v>9</v>
      </c>
      <c r="D33" s="172">
        <v>3.3</v>
      </c>
      <c r="E33" s="8"/>
      <c r="F33" s="326" t="s">
        <v>11</v>
      </c>
      <c r="G33" s="320" cm="1">
        <f t="array" ref="G33">SUMPRODUCT(General_Data*(Code_General_Data=$C33)*(Year=G$3)*(Month=G$4))</f>
        <v>930</v>
      </c>
      <c r="H33" s="132" cm="1">
        <f t="array" ref="H33">SUMPRODUCT(General_Data*(Code_General_Data=$C33)*(Year=H$3)*(Month=H$4))</f>
        <v>943.33333333333337</v>
      </c>
      <c r="I33" s="132" cm="1">
        <f t="array" ref="I33">SUMPRODUCT(General_Data*(Code_General_Data=$C33)*(Year=I$3)*(Month=I$4))</f>
        <v>940</v>
      </c>
      <c r="J33" s="132" cm="1">
        <f t="array" ref="J33">SUMPRODUCT(General_Data*(Code_General_Data=$C33)*(Year=J$3)*(Month=J$4))</f>
        <v>940</v>
      </c>
      <c r="K33" s="132" cm="1">
        <f t="array" ref="K33">SUMPRODUCT(General_Data*(Code_General_Data=$C33)*(Year=K$3)*(Month=K$4))</f>
        <v>942</v>
      </c>
      <c r="L33" s="132" cm="1">
        <f t="array" ref="L33">SUMPRODUCT(General_Data*(Code_General_Data=$C33)*(Year=L$3)*(Month=L$4))</f>
        <v>950</v>
      </c>
      <c r="M33" s="132" cm="1">
        <f t="array" ref="M33">SUMPRODUCT(General_Data*(Code_General_Data=$C33)*(Year=M$3)*(Month=M$4))</f>
        <v>947.5</v>
      </c>
      <c r="N33" s="132" cm="1">
        <f t="array" ref="N33">SUMPRODUCT(General_Data*(Code_General_Data=$C33)*(Year=N$3)*(Month=N$4))</f>
        <v>930</v>
      </c>
      <c r="O33" s="132" cm="1">
        <f t="array" ref="O33">SUMPRODUCT(General_Data*(Code_General_Data=$C33)*(Year=O$3)*(Month=O$4))</f>
        <v>880</v>
      </c>
      <c r="P33" s="132" cm="1">
        <f t="array" ref="P33">SUMPRODUCT(General_Data*(Code_General_Data=$C33)*(Year=P$3)*(Month=P$4))</f>
        <v>862.5</v>
      </c>
      <c r="Q33" s="132" cm="1">
        <f t="array" ref="Q33">SUMPRODUCT(General_Data*(Code_General_Data=$C33)*(Year=Q$3)*(Month=Q$4))</f>
        <v>852</v>
      </c>
      <c r="R33" s="133" cm="1">
        <f t="array" ref="R33">SUMPRODUCT(General_Data*(Code_General_Data=$C33)*(Year=R$3)*(Month=R$4))</f>
        <v>830</v>
      </c>
      <c r="S33" s="132" cm="1">
        <f t="array" ref="S33">SUMPRODUCT(General_Data*(Code_General_Data=$C33)*(Year=S$3)*(Month=S$4))</f>
        <v>828</v>
      </c>
      <c r="T33" s="132" cm="1">
        <f t="array" ref="T33">SUMPRODUCT(General_Data*(Code_General_Data=$C33)*(Year=T$3)*(Month=T$4))</f>
        <v>840</v>
      </c>
      <c r="U33" s="132" cm="1">
        <f t="array" ref="U33">SUMPRODUCT(General_Data*(Code_General_Data=$C33)*(Year=U$3)*(Month=U$4))</f>
        <v>823</v>
      </c>
      <c r="V33" s="132" cm="1">
        <f t="array" ref="V33">SUMPRODUCT(General_Data*(Code_General_Data=$C33)*(Year=V$3)*(Month=V$4))</f>
        <v>765</v>
      </c>
      <c r="W33" s="132" cm="1">
        <f t="array" ref="W33">SUMPRODUCT(General_Data*(Code_General_Data=$C33)*(Year=W$3)*(Month=W$4))</f>
        <v>782</v>
      </c>
      <c r="X33" s="132" cm="1">
        <f t="array" ref="X33">SUMPRODUCT(General_Data*(Code_General_Data=$C33)*(Year=X$3)*(Month=X$4))</f>
        <v>807.5</v>
      </c>
      <c r="Y33" s="132" cm="1">
        <f t="array" ref="Y33">SUMPRODUCT(General_Data*(Code_General_Data=$C33)*(Year=Y$3)*(Month=Y$4))</f>
        <v>802</v>
      </c>
      <c r="Z33" s="132" cm="1">
        <f t="array" ref="Z33">SUMPRODUCT(General_Data*(Code_General_Data=$C33)*(Year=Z$3)*(Month=Z$4))</f>
        <v>795</v>
      </c>
      <c r="AA33" s="132" cm="1">
        <f t="array" ref="AA33">SUMPRODUCT(General_Data*(Code_General_Data=$C33)*(Year=AA$3)*(Month=AA$4))</f>
        <v>783</v>
      </c>
      <c r="AB33" s="132" cm="1">
        <f t="array" ref="AB33">SUMPRODUCT(General_Data*(Code_General_Data=$C33)*(Year=AB$3)*(Month=AB$4))</f>
        <v>772</v>
      </c>
      <c r="AC33" s="132" cm="1">
        <f t="array" ref="AC33">SUMPRODUCT(General_Data*(Code_General_Data=$C33)*(Year=AC$3)*(Month=AC$4))</f>
        <v>770</v>
      </c>
      <c r="AD33" s="133" cm="1">
        <f t="array" ref="AD33">SUMPRODUCT(General_Data*(Code_General_Data=$C33)*(Year=AD$3)*(Month=AD$4))</f>
        <v>770</v>
      </c>
      <c r="AE33" s="132"/>
      <c r="AF33" s="132"/>
      <c r="AG33" s="132"/>
      <c r="AH33" s="132"/>
      <c r="AI33" s="132"/>
      <c r="AJ33" s="132"/>
      <c r="AK33" s="132"/>
      <c r="AL33" s="132"/>
      <c r="AM33" s="132"/>
      <c r="AN33" s="132"/>
      <c r="AO33" s="132"/>
      <c r="AP33" s="133"/>
    </row>
    <row r="34" spans="1:42" s="152" customFormat="1" ht="11.5" customHeight="1" outlineLevel="1" x14ac:dyDescent="0.35">
      <c r="A34" s="152" t="s">
        <v>64</v>
      </c>
      <c r="B34" s="152" t="s">
        <v>15</v>
      </c>
      <c r="D34" s="173">
        <v>3.4</v>
      </c>
      <c r="E34" s="153"/>
      <c r="F34" s="327" t="s">
        <v>430</v>
      </c>
      <c r="G34" s="154">
        <f t="shared" ref="G34:AD34" si="8">IF(G31*G32*G33&lt;&gt;0,G32-G33,0)</f>
        <v>377.79591836734699</v>
      </c>
      <c r="H34" s="154">
        <f t="shared" si="8"/>
        <v>364.46258503401361</v>
      </c>
      <c r="I34" s="154">
        <f t="shared" si="8"/>
        <v>367.79591836734699</v>
      </c>
      <c r="J34" s="154">
        <f t="shared" si="8"/>
        <v>367.79591836734699</v>
      </c>
      <c r="K34" s="154">
        <f t="shared" si="8"/>
        <v>365.79591836734699</v>
      </c>
      <c r="L34" s="154">
        <f t="shared" si="8"/>
        <v>357.79591836734699</v>
      </c>
      <c r="M34" s="154">
        <f t="shared" si="8"/>
        <v>360.53999999999996</v>
      </c>
      <c r="N34" s="154">
        <f t="shared" si="8"/>
        <v>378.03999999999996</v>
      </c>
      <c r="O34" s="154">
        <f t="shared" si="8"/>
        <v>428.03999999999996</v>
      </c>
      <c r="P34" s="154">
        <f t="shared" si="8"/>
        <v>425.53999999999996</v>
      </c>
      <c r="Q34" s="154">
        <f t="shared" si="8"/>
        <v>436.03999999999996</v>
      </c>
      <c r="R34" s="155">
        <f t="shared" si="8"/>
        <v>458.03999999999996</v>
      </c>
      <c r="S34" s="154">
        <f t="shared" si="8"/>
        <v>460.03999999999996</v>
      </c>
      <c r="T34" s="154">
        <f t="shared" si="8"/>
        <v>448.03999999999996</v>
      </c>
      <c r="U34" s="154">
        <f t="shared" si="8"/>
        <v>465.03999999999996</v>
      </c>
      <c r="V34" s="154">
        <f t="shared" si="8"/>
        <v>473.03999999999996</v>
      </c>
      <c r="W34" s="154">
        <f t="shared" si="8"/>
        <v>456.03999999999996</v>
      </c>
      <c r="X34" s="154">
        <f t="shared" si="8"/>
        <v>430.53999999999996</v>
      </c>
      <c r="Y34" s="154">
        <f t="shared" si="8"/>
        <v>466.03999999999996</v>
      </c>
      <c r="Z34" s="154">
        <f t="shared" si="8"/>
        <v>473.03999999999996</v>
      </c>
      <c r="AA34" s="154">
        <f t="shared" si="8"/>
        <v>485.03999999999996</v>
      </c>
      <c r="AB34" s="154">
        <f t="shared" si="8"/>
        <v>496.03999999999996</v>
      </c>
      <c r="AC34" s="154">
        <f t="shared" si="8"/>
        <v>498.03999999999996</v>
      </c>
      <c r="AD34" s="155">
        <f t="shared" si="8"/>
        <v>498.03999999999996</v>
      </c>
      <c r="AE34" s="154"/>
      <c r="AF34" s="154"/>
      <c r="AG34" s="154"/>
      <c r="AH34" s="154"/>
      <c r="AI34" s="154"/>
      <c r="AJ34" s="154"/>
      <c r="AK34" s="154"/>
      <c r="AL34" s="154"/>
      <c r="AM34" s="154"/>
      <c r="AN34" s="154"/>
      <c r="AO34" s="154"/>
      <c r="AP34" s="155"/>
    </row>
    <row r="35" spans="1:42" s="156" customFormat="1" ht="11.5" customHeight="1" outlineLevel="1" x14ac:dyDescent="0.35">
      <c r="A35" s="156" t="s">
        <v>64</v>
      </c>
      <c r="B35" s="156" t="s">
        <v>15</v>
      </c>
      <c r="D35" s="174">
        <v>3.5</v>
      </c>
      <c r="E35" s="157"/>
      <c r="F35" s="328" t="s">
        <v>14</v>
      </c>
      <c r="G35" s="158">
        <f t="shared" ref="G35:AD35" si="9">IFERROR(G34/G33,0)</f>
        <v>0.40623217028746988</v>
      </c>
      <c r="H35" s="158">
        <f t="shared" si="9"/>
        <v>0.38635609720920172</v>
      </c>
      <c r="I35" s="158">
        <f t="shared" si="9"/>
        <v>0.39127225358228401</v>
      </c>
      <c r="J35" s="158">
        <f t="shared" si="9"/>
        <v>0.39127225358228401</v>
      </c>
      <c r="K35" s="158">
        <f t="shared" si="9"/>
        <v>0.38831838467871233</v>
      </c>
      <c r="L35" s="158">
        <f t="shared" si="9"/>
        <v>0.37662728249194422</v>
      </c>
      <c r="M35" s="158">
        <f t="shared" si="9"/>
        <v>0.38051715039577833</v>
      </c>
      <c r="N35" s="158">
        <f t="shared" si="9"/>
        <v>0.40649462365591393</v>
      </c>
      <c r="O35" s="158">
        <f t="shared" si="9"/>
        <v>0.48640909090909085</v>
      </c>
      <c r="P35" s="158">
        <f t="shared" si="9"/>
        <v>0.49337971014492749</v>
      </c>
      <c r="Q35" s="158">
        <f t="shared" si="9"/>
        <v>0.5117840375586854</v>
      </c>
      <c r="R35" s="159">
        <f t="shared" si="9"/>
        <v>0.55185542168674695</v>
      </c>
      <c r="S35" s="158">
        <f t="shared" si="9"/>
        <v>0.55560386473429946</v>
      </c>
      <c r="T35" s="158">
        <f t="shared" si="9"/>
        <v>0.53338095238095229</v>
      </c>
      <c r="U35" s="158">
        <f t="shared" si="9"/>
        <v>0.56505467800729037</v>
      </c>
      <c r="V35" s="158">
        <f t="shared" si="9"/>
        <v>0.61835294117647055</v>
      </c>
      <c r="W35" s="158">
        <f t="shared" si="9"/>
        <v>0.58317135549872123</v>
      </c>
      <c r="X35" s="158">
        <f t="shared" si="9"/>
        <v>0.53317647058823525</v>
      </c>
      <c r="Y35" s="158">
        <f t="shared" si="9"/>
        <v>0.58109725685785529</v>
      </c>
      <c r="Z35" s="158">
        <f t="shared" si="9"/>
        <v>0.59501886792452829</v>
      </c>
      <c r="AA35" s="158">
        <f t="shared" si="9"/>
        <v>0.61946360153256697</v>
      </c>
      <c r="AB35" s="158">
        <f t="shared" si="9"/>
        <v>0.64253886010362693</v>
      </c>
      <c r="AC35" s="158">
        <f t="shared" si="9"/>
        <v>0.64680519480519472</v>
      </c>
      <c r="AD35" s="159">
        <f t="shared" si="9"/>
        <v>0.64680519480519472</v>
      </c>
      <c r="AE35" s="158"/>
      <c r="AF35" s="158"/>
      <c r="AG35" s="158"/>
      <c r="AH35" s="158"/>
      <c r="AI35" s="158"/>
      <c r="AJ35" s="158"/>
      <c r="AK35" s="158"/>
      <c r="AL35" s="158"/>
      <c r="AM35" s="158"/>
      <c r="AN35" s="158"/>
      <c r="AO35" s="158"/>
      <c r="AP35" s="159"/>
    </row>
    <row r="36" spans="1:42" s="137" customFormat="1" ht="11.5" customHeight="1" outlineLevel="1" x14ac:dyDescent="0.35">
      <c r="A36" s="137" t="s">
        <v>64</v>
      </c>
      <c r="B36" s="137" t="s">
        <v>15</v>
      </c>
      <c r="C36" s="137" t="s">
        <v>15</v>
      </c>
      <c r="D36" s="175">
        <v>3.6</v>
      </c>
      <c r="E36" s="138"/>
      <c r="F36" s="329" t="s">
        <v>203</v>
      </c>
      <c r="G36" s="139" cm="1">
        <f t="array" ref="G36">SUMPRODUCT(General_Data*(Code_General_Data=$C36)*(Year=G$3)*(Month=G$4))</f>
        <v>1250</v>
      </c>
      <c r="H36" s="139" cm="1">
        <f t="array" ref="H36">SUMPRODUCT(General_Data*(Code_General_Data=$C36)*(Year=H$3)*(Month=H$4))</f>
        <v>1250</v>
      </c>
      <c r="I36" s="139" cm="1">
        <f t="array" ref="I36">SUMPRODUCT(General_Data*(Code_General_Data=$C36)*(Year=I$3)*(Month=I$4))</f>
        <v>1250</v>
      </c>
      <c r="J36" s="139" cm="1">
        <f t="array" ref="J36">SUMPRODUCT(General_Data*(Code_General_Data=$C36)*(Year=J$3)*(Month=J$4))</f>
        <v>1250</v>
      </c>
      <c r="K36" s="139" cm="1">
        <f t="array" ref="K36">SUMPRODUCT(General_Data*(Code_General_Data=$C36)*(Year=K$3)*(Month=K$4))</f>
        <v>1300</v>
      </c>
      <c r="L36" s="139" cm="1">
        <f t="array" ref="L36">SUMPRODUCT(General_Data*(Code_General_Data=$C36)*(Year=L$3)*(Month=L$4))</f>
        <v>1300</v>
      </c>
      <c r="M36" s="139" cm="1">
        <f t="array" ref="M36">SUMPRODUCT(General_Data*(Code_General_Data=$C36)*(Year=M$3)*(Month=M$4))</f>
        <v>1300</v>
      </c>
      <c r="N36" s="139" cm="1">
        <f t="array" ref="N36">SUMPRODUCT(General_Data*(Code_General_Data=$C36)*(Year=N$3)*(Month=N$4))</f>
        <v>1300</v>
      </c>
      <c r="O36" s="139" cm="1">
        <f t="array" ref="O36">SUMPRODUCT(General_Data*(Code_General_Data=$C36)*(Year=O$3)*(Month=O$4))</f>
        <v>1310</v>
      </c>
      <c r="P36" s="139" cm="1">
        <f t="array" ref="P36">SUMPRODUCT(General_Data*(Code_General_Data=$C36)*(Year=P$3)*(Month=P$4))</f>
        <v>1325</v>
      </c>
      <c r="Q36" s="139" cm="1">
        <f t="array" ref="Q36">SUMPRODUCT(General_Data*(Code_General_Data=$C36)*(Year=Q$3)*(Month=Q$4))</f>
        <v>1325</v>
      </c>
      <c r="R36" s="140" cm="1">
        <f t="array" ref="R36">SUMPRODUCT(General_Data*(Code_General_Data=$C36)*(Year=R$3)*(Month=R$4))</f>
        <v>1275</v>
      </c>
      <c r="S36" s="139" cm="1">
        <f t="array" ref="S36">SUMPRODUCT(General_Data*(Code_General_Data=$C36)*(Year=S$3)*(Month=S$4))</f>
        <v>1230</v>
      </c>
      <c r="T36" s="139" cm="1">
        <f t="array" ref="T36">SUMPRODUCT(General_Data*(Code_General_Data=$C36)*(Year=T$3)*(Month=T$4))</f>
        <v>1230</v>
      </c>
      <c r="U36" s="139" cm="1">
        <f t="array" ref="U36">SUMPRODUCT(General_Data*(Code_General_Data=$C36)*(Year=U$3)*(Month=U$4))</f>
        <v>1230</v>
      </c>
      <c r="V36" s="139" cm="1">
        <f t="array" ref="V36">SUMPRODUCT(General_Data*(Code_General_Data=$C36)*(Year=V$3)*(Month=V$4))</f>
        <v>1250</v>
      </c>
      <c r="W36" s="139" cm="1">
        <f t="array" ref="W36">SUMPRODUCT(General_Data*(Code_General_Data=$C36)*(Year=W$3)*(Month=W$4))</f>
        <v>1250</v>
      </c>
      <c r="X36" s="139" cm="1">
        <f t="array" ref="X36">SUMPRODUCT(General_Data*(Code_General_Data=$C36)*(Year=X$3)*(Month=X$4))</f>
        <v>1250</v>
      </c>
      <c r="Y36" s="139" cm="1">
        <f t="array" ref="Y36">SUMPRODUCT(General_Data*(Code_General_Data=$C36)*(Year=Y$3)*(Month=Y$4))</f>
        <v>1250</v>
      </c>
      <c r="Z36" s="139" cm="1">
        <f t="array" ref="Z36">SUMPRODUCT(General_Data*(Code_General_Data=$C36)*(Year=Z$3)*(Month=Z$4))</f>
        <v>1220</v>
      </c>
      <c r="AA36" s="139" cm="1">
        <f t="array" ref="AA36">SUMPRODUCT(General_Data*(Code_General_Data=$C36)*(Year=AA$3)*(Month=AA$4))</f>
        <v>1220</v>
      </c>
      <c r="AB36" s="139" cm="1">
        <f t="array" ref="AB36">SUMPRODUCT(General_Data*(Code_General_Data=$C36)*(Year=AB$3)*(Month=AB$4))</f>
        <v>1210</v>
      </c>
      <c r="AC36" s="139" cm="1">
        <f t="array" ref="AC36">SUMPRODUCT(General_Data*(Code_General_Data=$C36)*(Year=AC$3)*(Month=AC$4))</f>
        <v>1200</v>
      </c>
      <c r="AD36" s="140" cm="1">
        <f t="array" ref="AD36">SUMPRODUCT(General_Data*(Code_General_Data=$C36)*(Year=AD$3)*(Month=AD$4))</f>
        <v>1200</v>
      </c>
      <c r="AE36" s="139"/>
      <c r="AF36" s="139"/>
      <c r="AG36" s="139"/>
      <c r="AH36" s="139"/>
      <c r="AI36" s="139"/>
      <c r="AJ36" s="139"/>
      <c r="AK36" s="139"/>
      <c r="AL36" s="139"/>
      <c r="AM36" s="139"/>
      <c r="AN36" s="139"/>
      <c r="AO36" s="139"/>
      <c r="AP36" s="140"/>
    </row>
    <row r="37" spans="1:42" ht="3.75" customHeight="1" x14ac:dyDescent="0.35">
      <c r="A37" t="s">
        <v>64</v>
      </c>
      <c r="D37" s="168"/>
    </row>
    <row r="38" spans="1:42" s="148" customFormat="1" ht="13.4" customHeight="1" outlineLevel="1" x14ac:dyDescent="0.4">
      <c r="A38" s="148" t="s">
        <v>64</v>
      </c>
      <c r="B38" s="148" t="s">
        <v>24</v>
      </c>
      <c r="D38" s="161"/>
      <c r="E38" s="149"/>
      <c r="F38" s="323" t="s">
        <v>23</v>
      </c>
      <c r="G38" s="149"/>
      <c r="H38" s="149"/>
      <c r="I38" s="149"/>
      <c r="J38" s="149"/>
      <c r="K38" s="149"/>
      <c r="L38" s="149"/>
      <c r="M38" s="149"/>
      <c r="N38" s="149"/>
      <c r="O38" s="149"/>
      <c r="P38" s="149"/>
      <c r="Q38" s="149"/>
      <c r="R38" s="150"/>
      <c r="S38" s="149"/>
      <c r="T38" s="149"/>
      <c r="U38" s="149"/>
      <c r="V38" s="149"/>
      <c r="W38" s="149"/>
      <c r="X38" s="149"/>
      <c r="Y38" s="149"/>
      <c r="Z38" s="149"/>
      <c r="AA38" s="149"/>
      <c r="AB38" s="149"/>
      <c r="AC38" s="149"/>
      <c r="AD38" s="150"/>
      <c r="AE38" s="149"/>
      <c r="AF38" s="149"/>
      <c r="AG38" s="149"/>
      <c r="AH38" s="149"/>
      <c r="AI38" s="149"/>
      <c r="AJ38" s="149"/>
      <c r="AK38" s="149"/>
      <c r="AL38" s="149"/>
      <c r="AM38" s="149"/>
      <c r="AN38" s="149"/>
      <c r="AO38" s="149"/>
      <c r="AP38" s="150"/>
    </row>
    <row r="39" spans="1:42" s="69" customFormat="1" ht="11.5" customHeight="1" outlineLevel="1" x14ac:dyDescent="0.35">
      <c r="A39" s="69" t="s">
        <v>64</v>
      </c>
      <c r="B39" s="69" t="s">
        <v>24</v>
      </c>
      <c r="D39" s="162">
        <v>3.7</v>
      </c>
      <c r="E39" s="134"/>
      <c r="F39" s="324" t="s">
        <v>19</v>
      </c>
      <c r="G39" s="135" cm="1">
        <f t="array" ref="G39">INDEX(Price!$L$11:$AM$182,MATCH(1,(Price!$A$11:$A$182=$A39)*(Price!$B$11:$B$182=$B39)*(Price!$D$11:$D$182="gb"),0),MATCH(1,(Price!$L$3:$AM$3=G$3)*(Price!$L$4:$AM$4=G$4),0))</f>
        <v>1500</v>
      </c>
      <c r="H39" s="135" cm="1">
        <f t="array" ref="H39">INDEX(Price!$L$11:$AM$182,MATCH(1,(Price!$A$11:$A$182=$A39)*(Price!$B$11:$B$182=$B39)*(Price!$D$11:$D$182="gb"),0),MATCH(1,(Price!$L$3:$AM$3=H$3)*(Price!$L$4:$AM$4=H$4),0))</f>
        <v>1500</v>
      </c>
      <c r="I39" s="135" cm="1">
        <f t="array" ref="I39">INDEX(Price!$L$11:$AM$182,MATCH(1,(Price!$A$11:$A$182=$A39)*(Price!$B$11:$B$182=$B39)*(Price!$D$11:$D$182="gb"),0),MATCH(1,(Price!$L$3:$AM$3=I$3)*(Price!$L$4:$AM$4=I$4),0))</f>
        <v>1500</v>
      </c>
      <c r="J39" s="135" cm="1">
        <f t="array" ref="J39">INDEX(Price!$L$11:$AM$182,MATCH(1,(Price!$A$11:$A$182=$A39)*(Price!$B$11:$B$182=$B39)*(Price!$D$11:$D$182="gb"),0),MATCH(1,(Price!$L$3:$AM$3=J$3)*(Price!$L$4:$AM$4=J$4),0))</f>
        <v>1430</v>
      </c>
      <c r="K39" s="135" cm="1">
        <f t="array" ref="K39">INDEX(Price!$L$11:$AM$182,MATCH(1,(Price!$A$11:$A$182=$A39)*(Price!$B$11:$B$182=$B39)*(Price!$D$11:$D$182="gb"),0),MATCH(1,(Price!$L$3:$AM$3=K$3)*(Price!$L$4:$AM$4=K$4),0))</f>
        <v>1430</v>
      </c>
      <c r="L39" s="135" cm="1">
        <f t="array" ref="L39">INDEX(Price!$L$11:$AM$182,MATCH(1,(Price!$A$11:$A$182=$A39)*(Price!$B$11:$B$182=$B39)*(Price!$D$11:$D$182="gb"),0),MATCH(1,(Price!$L$3:$AM$3=L$3)*(Price!$L$4:$AM$4=L$4),0))</f>
        <v>1430</v>
      </c>
      <c r="M39" s="135" cm="1">
        <f t="array" ref="M39">INDEX(Price!$L$11:$AM$182,MATCH(1,(Price!$A$11:$A$182=$A39)*(Price!$B$11:$B$182=$B39)*(Price!$D$11:$D$182="gb"),0),MATCH(1,(Price!$L$3:$AM$3=M$3)*(Price!$L$4:$AM$4=M$4),0))</f>
        <v>1430</v>
      </c>
      <c r="N39" s="135" cm="1">
        <f t="array" ref="N39">INDEX(Price!$L$11:$AM$182,MATCH(1,(Price!$A$11:$A$182=$A39)*(Price!$B$11:$B$182=$B39)*(Price!$D$11:$D$182="gb"),0),MATCH(1,(Price!$L$3:$AM$3=N$3)*(Price!$L$4:$AM$4=N$4),0))</f>
        <v>1430</v>
      </c>
      <c r="O39" s="135" cm="1">
        <f t="array" ref="O39">INDEX(Price!$L$11:$AM$182,MATCH(1,(Price!$A$11:$A$182=$A39)*(Price!$B$11:$B$182=$B39)*(Price!$D$11:$D$182="gb"),0),MATCH(1,(Price!$L$3:$AM$3=O$3)*(Price!$L$4:$AM$4=O$4),0))</f>
        <v>1430</v>
      </c>
      <c r="P39" s="135" cm="1">
        <f t="array" ref="P39">INDEX(Price!$L$11:$AM$182,MATCH(1,(Price!$A$11:$A$182=$A39)*(Price!$B$11:$B$182=$B39)*(Price!$D$11:$D$182="gb"),0),MATCH(1,(Price!$L$3:$AM$3=P$3)*(Price!$L$4:$AM$4=P$4),0))</f>
        <v>1430</v>
      </c>
      <c r="Q39" s="135" cm="1">
        <f t="array" ref="Q39">INDEX(Price!$L$11:$AM$182,MATCH(1,(Price!$A$11:$A$182=$A39)*(Price!$B$11:$B$182=$B39)*(Price!$D$11:$D$182="gb"),0),MATCH(1,(Price!$L$3:$AM$3=Q$3)*(Price!$L$4:$AM$4=Q$4),0))</f>
        <v>1430</v>
      </c>
      <c r="R39" s="136" cm="1">
        <f t="array" ref="R39">INDEX(Price!$L$11:$AM$182,MATCH(1,(Price!$A$11:$A$182=$A39)*(Price!$B$11:$B$182=$B39)*(Price!$D$11:$D$182="gb"),0),MATCH(1,(Price!$L$3:$AM$3=R$3)*(Price!$L$4:$AM$4=R$4),0))</f>
        <v>1430</v>
      </c>
      <c r="S39" s="135" cm="1">
        <f t="array" ref="S39">INDEX(Price!$L$11:$AM$182,MATCH(1,(Price!$A$11:$A$182=$A39)*(Price!$B$11:$B$182=$B39)*(Price!$D$11:$D$182="gb"),0),MATCH(1,(Price!$L$3:$AM$3=S$3)*(Price!$L$4:$AM$4=S$4),0))</f>
        <v>1400</v>
      </c>
      <c r="T39" s="135" cm="1">
        <f t="array" ref="T39">INDEX(Price!$L$11:$AM$182,MATCH(1,(Price!$A$11:$A$182=$A39)*(Price!$B$11:$B$182=$B39)*(Price!$D$11:$D$182="gb"),0),MATCH(1,(Price!$L$3:$AM$3=T$3)*(Price!$L$4:$AM$4=T$4),0))</f>
        <v>1400</v>
      </c>
      <c r="U39" s="135" cm="1">
        <f t="array" ref="U39">INDEX(Price!$L$11:$AM$182,MATCH(1,(Price!$A$11:$A$182=$A39)*(Price!$B$11:$B$182=$B39)*(Price!$D$11:$D$182="gb"),0),MATCH(1,(Price!$L$3:$AM$3=U$3)*(Price!$L$4:$AM$4=U$4),0))</f>
        <v>1400</v>
      </c>
      <c r="V39" s="135" cm="1">
        <f t="array" ref="V39">INDEX(Price!$L$11:$AM$182,MATCH(1,(Price!$A$11:$A$182=$A39)*(Price!$B$11:$B$182=$B39)*(Price!$D$11:$D$182="gb"),0),MATCH(1,(Price!$L$3:$AM$3=V$3)*(Price!$L$4:$AM$4=V$4),0))</f>
        <v>1350</v>
      </c>
      <c r="W39" s="135" cm="1">
        <f t="array" ref="W39">INDEX(Price!$L$11:$AM$182,MATCH(1,(Price!$A$11:$A$182=$A39)*(Price!$B$11:$B$182=$B39)*(Price!$D$11:$D$182="gb"),0),MATCH(1,(Price!$L$3:$AM$3=W$3)*(Price!$L$4:$AM$4=W$4),0))</f>
        <v>1350</v>
      </c>
      <c r="X39" s="135" cm="1">
        <f t="array" ref="X39">INDEX(Price!$L$11:$AM$182,MATCH(1,(Price!$A$11:$A$182=$A39)*(Price!$B$11:$B$182=$B39)*(Price!$D$11:$D$182="gb"),0),MATCH(1,(Price!$L$3:$AM$3=X$3)*(Price!$L$4:$AM$4=X$4),0))</f>
        <v>1350</v>
      </c>
      <c r="Y39" s="135" cm="1">
        <f t="array" ref="Y39">INDEX(Price!$L$11:$AM$182,MATCH(1,(Price!$A$11:$A$182=$A39)*(Price!$B$11:$B$182=$B39)*(Price!$D$11:$D$182="gb"),0),MATCH(1,(Price!$L$3:$AM$3=Y$3)*(Price!$L$4:$AM$4=Y$4),0))</f>
        <v>1380</v>
      </c>
      <c r="Z39" s="135" cm="1">
        <f t="array" ref="Z39">INDEX(Price!$L$11:$AM$182,MATCH(1,(Price!$A$11:$A$182=$A39)*(Price!$B$11:$B$182=$B39)*(Price!$D$11:$D$182="gb"),0),MATCH(1,(Price!$L$3:$AM$3=Z$3)*(Price!$L$4:$AM$4=Z$4),0))</f>
        <v>1380</v>
      </c>
      <c r="AA39" s="135" cm="1">
        <f t="array" ref="AA39">INDEX(Price!$L$11:$AM$182,MATCH(1,(Price!$A$11:$A$182=$A39)*(Price!$B$11:$B$182=$B39)*(Price!$D$11:$D$182="gb"),0),MATCH(1,(Price!$L$3:$AM$3=AA$3)*(Price!$L$4:$AM$4=AA$4),0))</f>
        <v>1380</v>
      </c>
      <c r="AB39" s="135" cm="1">
        <f t="array" ref="AB39">INDEX(Price!$L$11:$AM$182,MATCH(1,(Price!$A$11:$A$182=$A39)*(Price!$B$11:$B$182=$B39)*(Price!$D$11:$D$182="gb"),0),MATCH(1,(Price!$L$3:$AM$3=AB$3)*(Price!$L$4:$AM$4=AB$4),0))</f>
        <v>1380</v>
      </c>
      <c r="AC39" s="135" cm="1">
        <f t="array" ref="AC39">INDEX(Price!$L$11:$AM$182,MATCH(1,(Price!$A$11:$A$182=$A39)*(Price!$B$11:$B$182=$B39)*(Price!$D$11:$D$182="gb"),0),MATCH(1,(Price!$L$3:$AM$3=AC$3)*(Price!$L$4:$AM$4=AC$4),0))</f>
        <v>1380</v>
      </c>
      <c r="AD39" s="136" cm="1">
        <f t="array" ref="AD39">INDEX(Price!$L$11:$AM$182,MATCH(1,(Price!$A$11:$A$182=$A39)*(Price!$B$11:$B$182=$B39)*(Price!$D$11:$D$182="gb"),0),MATCH(1,(Price!$L$3:$AM$3=AD$3)*(Price!$L$4:$AM$4=AD$4),0))</f>
        <v>1380</v>
      </c>
      <c r="AE39" s="135"/>
      <c r="AF39" s="135"/>
      <c r="AG39" s="135"/>
      <c r="AH39" s="135"/>
      <c r="AI39" s="135"/>
      <c r="AJ39" s="135"/>
      <c r="AK39" s="135"/>
      <c r="AL39" s="135"/>
      <c r="AM39" s="135"/>
      <c r="AN39" s="135"/>
      <c r="AO39" s="135"/>
      <c r="AP39" s="136"/>
    </row>
    <row r="40" spans="1:42" s="1" customFormat="1" ht="11.5" customHeight="1" outlineLevel="1" x14ac:dyDescent="0.35">
      <c r="A40" s="1" t="s">
        <v>64</v>
      </c>
      <c r="B40" s="1" t="s">
        <v>24</v>
      </c>
      <c r="C40" s="143" t="s">
        <v>322</v>
      </c>
      <c r="D40" s="163">
        <v>3.8</v>
      </c>
      <c r="E40" s="144"/>
      <c r="F40" s="325" t="s">
        <v>8</v>
      </c>
      <c r="G40" s="145" cm="1">
        <f t="array" ref="G40">INDEX(Price!$L$11:$AM$182,MATCH(1,(Price!$A$11:$A$182=$A40)*(Price!$B$11:$B$182=$B40)*(Price!$D$11:$D$182="exw"),0),MATCH(1,(Price!$L$3:$AM$3=G$3)*(Price!$L$4:$AM$4=G$4),0))</f>
        <v>1487.795918367347</v>
      </c>
      <c r="H40" s="145" cm="1">
        <f t="array" ref="H40">INDEX(Price!$L$11:$AM$182,MATCH(1,(Price!$A$11:$A$182=$A40)*(Price!$B$11:$B$182=$B40)*(Price!$D$11:$D$182="exw"),0),MATCH(1,(Price!$L$3:$AM$3=H$3)*(Price!$L$4:$AM$4=H$4),0))</f>
        <v>1487.795918367347</v>
      </c>
      <c r="I40" s="145" cm="1">
        <f t="array" ref="I40">INDEX(Price!$L$11:$AM$182,MATCH(1,(Price!$A$11:$A$182=$A40)*(Price!$B$11:$B$182=$B40)*(Price!$D$11:$D$182="exw"),0),MATCH(1,(Price!$L$3:$AM$3=I$3)*(Price!$L$4:$AM$4=I$4),0))</f>
        <v>1487.795918367347</v>
      </c>
      <c r="J40" s="145" cm="1">
        <f t="array" ref="J40">INDEX(Price!$L$11:$AM$182,MATCH(1,(Price!$A$11:$A$182=$A40)*(Price!$B$11:$B$182=$B40)*(Price!$D$11:$D$182="exw"),0),MATCH(1,(Price!$L$3:$AM$3=J$3)*(Price!$L$4:$AM$4=J$4),0))</f>
        <v>1417.795918367347</v>
      </c>
      <c r="K40" s="145" cm="1">
        <f t="array" ref="K40">INDEX(Price!$L$11:$AM$182,MATCH(1,(Price!$A$11:$A$182=$A40)*(Price!$B$11:$B$182=$B40)*(Price!$D$11:$D$182="exw"),0),MATCH(1,(Price!$L$3:$AM$3=K$3)*(Price!$L$4:$AM$4=K$4),0))</f>
        <v>1417.795918367347</v>
      </c>
      <c r="L40" s="145" cm="1">
        <f t="array" ref="L40">INDEX(Price!$L$11:$AM$182,MATCH(1,(Price!$A$11:$A$182=$A40)*(Price!$B$11:$B$182=$B40)*(Price!$D$11:$D$182="exw"),0),MATCH(1,(Price!$L$3:$AM$3=L$3)*(Price!$L$4:$AM$4=L$4),0))</f>
        <v>1417.795918367347</v>
      </c>
      <c r="M40" s="145" cm="1">
        <f t="array" ref="M40">INDEX(Price!$L$11:$AM$182,MATCH(1,(Price!$A$11:$A$182=$A40)*(Price!$B$11:$B$182=$B40)*(Price!$D$11:$D$182="exw"),0),MATCH(1,(Price!$L$3:$AM$3=M$3)*(Price!$L$4:$AM$4=M$4),0))</f>
        <v>1418.04</v>
      </c>
      <c r="N40" s="145" cm="1">
        <f t="array" ref="N40">INDEX(Price!$L$11:$AM$182,MATCH(1,(Price!$A$11:$A$182=$A40)*(Price!$B$11:$B$182=$B40)*(Price!$D$11:$D$182="exw"),0),MATCH(1,(Price!$L$3:$AM$3=N$3)*(Price!$L$4:$AM$4=N$4),0))</f>
        <v>1418.04</v>
      </c>
      <c r="O40" s="145" cm="1">
        <f t="array" ref="O40">INDEX(Price!$L$11:$AM$182,MATCH(1,(Price!$A$11:$A$182=$A40)*(Price!$B$11:$B$182=$B40)*(Price!$D$11:$D$182="exw"),0),MATCH(1,(Price!$L$3:$AM$3=O$3)*(Price!$L$4:$AM$4=O$4),0))</f>
        <v>1418.04</v>
      </c>
      <c r="P40" s="145" cm="1">
        <f t="array" ref="P40">INDEX(Price!$L$11:$AM$182,MATCH(1,(Price!$A$11:$A$182=$A40)*(Price!$B$11:$B$182=$B40)*(Price!$D$11:$D$182="exw"),0),MATCH(1,(Price!$L$3:$AM$3=P$3)*(Price!$L$4:$AM$4=P$4),0))</f>
        <v>1418.04</v>
      </c>
      <c r="Q40" s="145" cm="1">
        <f t="array" ref="Q40">INDEX(Price!$L$11:$AM$182,MATCH(1,(Price!$A$11:$A$182=$A40)*(Price!$B$11:$B$182=$B40)*(Price!$D$11:$D$182="exw"),0),MATCH(1,(Price!$L$3:$AM$3=Q$3)*(Price!$L$4:$AM$4=Q$4),0))</f>
        <v>1418.04</v>
      </c>
      <c r="R40" s="146" cm="1">
        <f t="array" ref="R40">INDEX(Price!$L$11:$AM$182,MATCH(1,(Price!$A$11:$A$182=$A40)*(Price!$B$11:$B$182=$B40)*(Price!$D$11:$D$182="exw"),0),MATCH(1,(Price!$L$3:$AM$3=R$3)*(Price!$L$4:$AM$4=R$4),0))</f>
        <v>1418.04</v>
      </c>
      <c r="S40" s="145" cm="1">
        <f t="array" ref="S40">INDEX(Price!$L$11:$AM$182,MATCH(1,(Price!$A$11:$A$182=$A40)*(Price!$B$11:$B$182=$B40)*(Price!$D$11:$D$182="exw"),0),MATCH(1,(Price!$L$3:$AM$3=S$3)*(Price!$L$4:$AM$4=S$4),0))</f>
        <v>1388.04</v>
      </c>
      <c r="T40" s="145" cm="1">
        <f t="array" ref="T40">INDEX(Price!$L$11:$AM$182,MATCH(1,(Price!$A$11:$A$182=$A40)*(Price!$B$11:$B$182=$B40)*(Price!$D$11:$D$182="exw"),0),MATCH(1,(Price!$L$3:$AM$3=T$3)*(Price!$L$4:$AM$4=T$4),0))</f>
        <v>1388.04</v>
      </c>
      <c r="U40" s="145" cm="1">
        <f t="array" ref="U40">INDEX(Price!$L$11:$AM$182,MATCH(1,(Price!$A$11:$A$182=$A40)*(Price!$B$11:$B$182=$B40)*(Price!$D$11:$D$182="exw"),0),MATCH(1,(Price!$L$3:$AM$3=U$3)*(Price!$L$4:$AM$4=U$4),0))</f>
        <v>1388.04</v>
      </c>
      <c r="V40" s="145" cm="1">
        <f t="array" ref="V40">INDEX(Price!$L$11:$AM$182,MATCH(1,(Price!$A$11:$A$182=$A40)*(Price!$B$11:$B$182=$B40)*(Price!$D$11:$D$182="exw"),0),MATCH(1,(Price!$L$3:$AM$3=V$3)*(Price!$L$4:$AM$4=V$4),0))</f>
        <v>1338.04</v>
      </c>
      <c r="W40" s="145" cm="1">
        <f t="array" ref="W40">INDEX(Price!$L$11:$AM$182,MATCH(1,(Price!$A$11:$A$182=$A40)*(Price!$B$11:$B$182=$B40)*(Price!$D$11:$D$182="exw"),0),MATCH(1,(Price!$L$3:$AM$3=W$3)*(Price!$L$4:$AM$4=W$4),0))</f>
        <v>1338.04</v>
      </c>
      <c r="X40" s="145" cm="1">
        <f t="array" ref="X40">INDEX(Price!$L$11:$AM$182,MATCH(1,(Price!$A$11:$A$182=$A40)*(Price!$B$11:$B$182=$B40)*(Price!$D$11:$D$182="exw"),0),MATCH(1,(Price!$L$3:$AM$3=X$3)*(Price!$L$4:$AM$4=X$4),0))</f>
        <v>1338.04</v>
      </c>
      <c r="Y40" s="145" cm="1">
        <f t="array" ref="Y40">INDEX(Price!$L$11:$AM$182,MATCH(1,(Price!$A$11:$A$182=$A40)*(Price!$B$11:$B$182=$B40)*(Price!$D$11:$D$182="exw"),0),MATCH(1,(Price!$L$3:$AM$3=Y$3)*(Price!$L$4:$AM$4=Y$4),0))</f>
        <v>1368.04</v>
      </c>
      <c r="Z40" s="145" cm="1">
        <f t="array" ref="Z40">INDEX(Price!$L$11:$AM$182,MATCH(1,(Price!$A$11:$A$182=$A40)*(Price!$B$11:$B$182=$B40)*(Price!$D$11:$D$182="exw"),0),MATCH(1,(Price!$L$3:$AM$3=Z$3)*(Price!$L$4:$AM$4=Z$4),0))</f>
        <v>1368.04</v>
      </c>
      <c r="AA40" s="145" cm="1">
        <f t="array" ref="AA40">INDEX(Price!$L$11:$AM$182,MATCH(1,(Price!$A$11:$A$182=$A40)*(Price!$B$11:$B$182=$B40)*(Price!$D$11:$D$182="exw"),0),MATCH(1,(Price!$L$3:$AM$3=AA$3)*(Price!$L$4:$AM$4=AA$4),0))</f>
        <v>1368.04</v>
      </c>
      <c r="AB40" s="145" cm="1">
        <f t="array" ref="AB40">INDEX(Price!$L$11:$AM$182,MATCH(1,(Price!$A$11:$A$182=$A40)*(Price!$B$11:$B$182=$B40)*(Price!$D$11:$D$182="exw"),0),MATCH(1,(Price!$L$3:$AM$3=AB$3)*(Price!$L$4:$AM$4=AB$4),0))</f>
        <v>1368.04</v>
      </c>
      <c r="AC40" s="145" cm="1">
        <f t="array" ref="AC40">INDEX(Price!$L$11:$AM$182,MATCH(1,(Price!$A$11:$A$182=$A40)*(Price!$B$11:$B$182=$B40)*(Price!$D$11:$D$182="exw"),0),MATCH(1,(Price!$L$3:$AM$3=AC$3)*(Price!$L$4:$AM$4=AC$4),0))</f>
        <v>1368.04</v>
      </c>
      <c r="AD40" s="146" cm="1">
        <f t="array" ref="AD40">INDEX(Price!$L$11:$AM$182,MATCH(1,(Price!$A$11:$A$182=$A40)*(Price!$B$11:$B$182=$B40)*(Price!$D$11:$D$182="exw"),0),MATCH(1,(Price!$L$3:$AM$3=AD$3)*(Price!$L$4:$AM$4=AD$4),0))</f>
        <v>1368.04</v>
      </c>
      <c r="AE40" s="145"/>
      <c r="AF40" s="145"/>
      <c r="AG40" s="145"/>
      <c r="AH40" s="145"/>
      <c r="AI40" s="145"/>
      <c r="AJ40" s="145"/>
      <c r="AK40" s="145"/>
      <c r="AL40" s="145"/>
      <c r="AM40" s="145"/>
      <c r="AN40" s="145"/>
      <c r="AO40" s="145"/>
      <c r="AP40" s="146"/>
    </row>
    <row r="41" spans="1:42" ht="11.5" customHeight="1" outlineLevel="1" x14ac:dyDescent="0.35">
      <c r="A41" t="s">
        <v>64</v>
      </c>
      <c r="B41" t="s">
        <v>24</v>
      </c>
      <c r="C41" s="14" t="s">
        <v>21</v>
      </c>
      <c r="D41" s="164">
        <v>3.9</v>
      </c>
      <c r="E41" s="8"/>
      <c r="F41" s="326" t="s">
        <v>11</v>
      </c>
      <c r="G41" s="320" cm="1">
        <f t="array" ref="G41">SUMPRODUCT(General_Data*(Code_General_Data=$C41)*(Year=G$3)*(Month=G$4))</f>
        <v>940</v>
      </c>
      <c r="H41" s="132" cm="1">
        <f t="array" ref="H41">SUMPRODUCT(General_Data*(Code_General_Data=$C41)*(Year=H$3)*(Month=H$4))</f>
        <v>993.33333333333337</v>
      </c>
      <c r="I41" s="132" cm="1">
        <f t="array" ref="I41">SUMPRODUCT(General_Data*(Code_General_Data=$C41)*(Year=I$3)*(Month=I$4))</f>
        <v>985</v>
      </c>
      <c r="J41" s="132" cm="1">
        <f t="array" ref="J41">SUMPRODUCT(General_Data*(Code_General_Data=$C41)*(Year=J$3)*(Month=J$4))</f>
        <v>962.5</v>
      </c>
      <c r="K41" s="132" cm="1">
        <f t="array" ref="K41">SUMPRODUCT(General_Data*(Code_General_Data=$C41)*(Year=K$3)*(Month=K$4))</f>
        <v>982</v>
      </c>
      <c r="L41" s="132" cm="1">
        <f t="array" ref="L41">SUMPRODUCT(General_Data*(Code_General_Data=$C41)*(Year=L$3)*(Month=L$4))</f>
        <v>1000</v>
      </c>
      <c r="M41" s="132" cm="1">
        <f t="array" ref="M41">SUMPRODUCT(General_Data*(Code_General_Data=$C41)*(Year=M$3)*(Month=M$4))</f>
        <v>1000</v>
      </c>
      <c r="N41" s="132" cm="1">
        <f t="array" ref="N41">SUMPRODUCT(General_Data*(Code_General_Data=$C41)*(Year=N$3)*(Month=N$4))</f>
        <v>984</v>
      </c>
      <c r="O41" s="132" cm="1">
        <f t="array" ref="O41">SUMPRODUCT(General_Data*(Code_General_Data=$C41)*(Year=O$3)*(Month=O$4))</f>
        <v>967.5</v>
      </c>
      <c r="P41" s="132" cm="1">
        <f t="array" ref="P41">SUMPRODUCT(General_Data*(Code_General_Data=$C41)*(Year=P$3)*(Month=P$4))</f>
        <v>965</v>
      </c>
      <c r="Q41" s="132" cm="1">
        <f t="array" ref="Q41">SUMPRODUCT(General_Data*(Code_General_Data=$C41)*(Year=Q$3)*(Month=Q$4))</f>
        <v>974</v>
      </c>
      <c r="R41" s="133" cm="1">
        <f t="array" ref="R41">SUMPRODUCT(General_Data*(Code_General_Data=$C41)*(Year=R$3)*(Month=R$4))</f>
        <v>956</v>
      </c>
      <c r="S41" s="132" cm="1">
        <f t="array" ref="S41">SUMPRODUCT(General_Data*(Code_General_Data=$C41)*(Year=S$3)*(Month=S$4))</f>
        <v>940</v>
      </c>
      <c r="T41" s="132" cm="1">
        <f t="array" ref="T41">SUMPRODUCT(General_Data*(Code_General_Data=$C41)*(Year=T$3)*(Month=T$4))</f>
        <v>918</v>
      </c>
      <c r="U41" s="132" cm="1">
        <f t="array" ref="U41">SUMPRODUCT(General_Data*(Code_General_Data=$C41)*(Year=U$3)*(Month=U$4))</f>
        <v>896</v>
      </c>
      <c r="V41" s="132" cm="1">
        <f t="array" ref="V41">SUMPRODUCT(General_Data*(Code_General_Data=$C41)*(Year=V$3)*(Month=V$4))</f>
        <v>891.5</v>
      </c>
      <c r="W41" s="132" cm="1">
        <f t="array" ref="W41">SUMPRODUCT(General_Data*(Code_General_Data=$C41)*(Year=W$3)*(Month=W$4))</f>
        <v>864</v>
      </c>
      <c r="X41" s="132" cm="1">
        <f t="array" ref="X41">SUMPRODUCT(General_Data*(Code_General_Data=$C41)*(Year=X$3)*(Month=X$4))</f>
        <v>833</v>
      </c>
      <c r="Y41" s="132" cm="1">
        <f t="array" ref="Y41">SUMPRODUCT(General_Data*(Code_General_Data=$C41)*(Year=Y$3)*(Month=Y$4))</f>
        <v>833</v>
      </c>
      <c r="Z41" s="132" cm="1">
        <f t="array" ref="Z41">SUMPRODUCT(General_Data*(Code_General_Data=$C41)*(Year=Z$3)*(Month=Z$4))</f>
        <v>815</v>
      </c>
      <c r="AA41" s="132" cm="1">
        <f t="array" ref="AA41">SUMPRODUCT(General_Data*(Code_General_Data=$C41)*(Year=AA$3)*(Month=AA$4))</f>
        <v>813</v>
      </c>
      <c r="AB41" s="132" cm="1">
        <f t="array" ref="AB41">SUMPRODUCT(General_Data*(Code_General_Data=$C41)*(Year=AB$3)*(Month=AB$4))</f>
        <v>805</v>
      </c>
      <c r="AC41" s="132" cm="1">
        <f t="array" ref="AC41">SUMPRODUCT(General_Data*(Code_General_Data=$C41)*(Year=AC$3)*(Month=AC$4))</f>
        <v>805</v>
      </c>
      <c r="AD41" s="133" cm="1">
        <f t="array" ref="AD41">SUMPRODUCT(General_Data*(Code_General_Data=$C41)*(Year=AD$3)*(Month=AD$4))</f>
        <v>805</v>
      </c>
      <c r="AE41" s="132"/>
      <c r="AF41" s="132"/>
      <c r="AG41" s="132"/>
      <c r="AH41" s="132"/>
      <c r="AI41" s="132"/>
      <c r="AJ41" s="132"/>
      <c r="AK41" s="132"/>
      <c r="AL41" s="132"/>
      <c r="AM41" s="132"/>
      <c r="AN41" s="132"/>
      <c r="AO41" s="132"/>
      <c r="AP41" s="133"/>
    </row>
    <row r="42" spans="1:42" s="152" customFormat="1" ht="11.5" customHeight="1" outlineLevel="1" x14ac:dyDescent="0.35">
      <c r="A42" s="152" t="s">
        <v>64</v>
      </c>
      <c r="B42" s="152" t="s">
        <v>24</v>
      </c>
      <c r="D42" s="165">
        <v>3.1</v>
      </c>
      <c r="E42" s="153"/>
      <c r="F42" s="327" t="s">
        <v>430</v>
      </c>
      <c r="G42" s="154">
        <f t="shared" ref="G42:AD42" si="10">IF(G39*G40*G41&lt;&gt;0,G40-G41,0)</f>
        <v>547.79591836734699</v>
      </c>
      <c r="H42" s="154">
        <f t="shared" si="10"/>
        <v>494.46258503401361</v>
      </c>
      <c r="I42" s="154">
        <f t="shared" si="10"/>
        <v>502.79591836734699</v>
      </c>
      <c r="J42" s="154">
        <f t="shared" si="10"/>
        <v>455.29591836734699</v>
      </c>
      <c r="K42" s="154">
        <f t="shared" si="10"/>
        <v>435.79591836734699</v>
      </c>
      <c r="L42" s="154">
        <f t="shared" si="10"/>
        <v>417.79591836734699</v>
      </c>
      <c r="M42" s="154">
        <f t="shared" si="10"/>
        <v>418.03999999999996</v>
      </c>
      <c r="N42" s="154">
        <f t="shared" si="10"/>
        <v>434.03999999999996</v>
      </c>
      <c r="O42" s="154">
        <f t="shared" si="10"/>
        <v>450.53999999999996</v>
      </c>
      <c r="P42" s="154">
        <f t="shared" si="10"/>
        <v>453.03999999999996</v>
      </c>
      <c r="Q42" s="154">
        <f t="shared" si="10"/>
        <v>444.03999999999996</v>
      </c>
      <c r="R42" s="155">
        <f t="shared" si="10"/>
        <v>462.03999999999996</v>
      </c>
      <c r="S42" s="154">
        <f t="shared" si="10"/>
        <v>448.03999999999996</v>
      </c>
      <c r="T42" s="154">
        <f t="shared" si="10"/>
        <v>470.03999999999996</v>
      </c>
      <c r="U42" s="154">
        <f t="shared" si="10"/>
        <v>492.03999999999996</v>
      </c>
      <c r="V42" s="154">
        <f t="shared" si="10"/>
        <v>446.53999999999996</v>
      </c>
      <c r="W42" s="154">
        <f t="shared" si="10"/>
        <v>474.03999999999996</v>
      </c>
      <c r="X42" s="154">
        <f t="shared" si="10"/>
        <v>505.03999999999996</v>
      </c>
      <c r="Y42" s="154">
        <f t="shared" si="10"/>
        <v>535.04</v>
      </c>
      <c r="Z42" s="154">
        <f t="shared" si="10"/>
        <v>553.04</v>
      </c>
      <c r="AA42" s="154">
        <f t="shared" si="10"/>
        <v>555.04</v>
      </c>
      <c r="AB42" s="154">
        <f t="shared" si="10"/>
        <v>563.04</v>
      </c>
      <c r="AC42" s="154">
        <f t="shared" si="10"/>
        <v>563.04</v>
      </c>
      <c r="AD42" s="155">
        <f t="shared" si="10"/>
        <v>563.04</v>
      </c>
      <c r="AE42" s="154"/>
      <c r="AF42" s="154"/>
      <c r="AG42" s="154"/>
      <c r="AH42" s="154"/>
      <c r="AI42" s="154"/>
      <c r="AJ42" s="154"/>
      <c r="AK42" s="154"/>
      <c r="AL42" s="154"/>
      <c r="AM42" s="154"/>
      <c r="AN42" s="154"/>
      <c r="AO42" s="154"/>
      <c r="AP42" s="155"/>
    </row>
    <row r="43" spans="1:42" s="156" customFormat="1" ht="11.5" customHeight="1" outlineLevel="1" x14ac:dyDescent="0.35">
      <c r="A43" s="156" t="s">
        <v>64</v>
      </c>
      <c r="B43" s="156" t="s">
        <v>24</v>
      </c>
      <c r="D43" s="166">
        <v>3.11</v>
      </c>
      <c r="E43" s="157"/>
      <c r="F43" s="328" t="s">
        <v>14</v>
      </c>
      <c r="G43" s="158">
        <f t="shared" ref="G43:AD43" si="11">IFERROR(G42/G41,0)</f>
        <v>0.58276161528441173</v>
      </c>
      <c r="H43" s="158">
        <f t="shared" si="11"/>
        <v>0.49778112587316803</v>
      </c>
      <c r="I43" s="158">
        <f t="shared" si="11"/>
        <v>0.51045270900238271</v>
      </c>
      <c r="J43" s="158">
        <f t="shared" si="11"/>
        <v>0.47303472038165922</v>
      </c>
      <c r="K43" s="158">
        <f t="shared" si="11"/>
        <v>0.44378403092397861</v>
      </c>
      <c r="L43" s="158">
        <f t="shared" si="11"/>
        <v>0.41779591836734697</v>
      </c>
      <c r="M43" s="158">
        <f t="shared" si="11"/>
        <v>0.41803999999999997</v>
      </c>
      <c r="N43" s="158">
        <f t="shared" si="11"/>
        <v>0.4410975609756097</v>
      </c>
      <c r="O43" s="158">
        <f t="shared" si="11"/>
        <v>0.46567441860465114</v>
      </c>
      <c r="P43" s="158">
        <f t="shared" si="11"/>
        <v>0.46947150259067355</v>
      </c>
      <c r="Q43" s="158">
        <f t="shared" si="11"/>
        <v>0.45589322381930181</v>
      </c>
      <c r="R43" s="159">
        <f t="shared" si="11"/>
        <v>0.48330543933054387</v>
      </c>
      <c r="S43" s="158">
        <f t="shared" si="11"/>
        <v>0.47663829787234041</v>
      </c>
      <c r="T43" s="158">
        <f t="shared" si="11"/>
        <v>0.51202614379084965</v>
      </c>
      <c r="U43" s="158">
        <f t="shared" si="11"/>
        <v>0.54915178571428569</v>
      </c>
      <c r="V43" s="158">
        <f t="shared" si="11"/>
        <v>0.50088614694335387</v>
      </c>
      <c r="W43" s="158">
        <f t="shared" si="11"/>
        <v>0.54865740740740732</v>
      </c>
      <c r="X43" s="158">
        <f t="shared" si="11"/>
        <v>0.60629051620648255</v>
      </c>
      <c r="Y43" s="158">
        <f t="shared" si="11"/>
        <v>0.64230492196878752</v>
      </c>
      <c r="Z43" s="158">
        <f t="shared" si="11"/>
        <v>0.67857668711656438</v>
      </c>
      <c r="AA43" s="158">
        <f t="shared" si="11"/>
        <v>0.6827060270602705</v>
      </c>
      <c r="AB43" s="158">
        <f t="shared" si="11"/>
        <v>0.6994285714285714</v>
      </c>
      <c r="AC43" s="158">
        <f t="shared" si="11"/>
        <v>0.6994285714285714</v>
      </c>
      <c r="AD43" s="159">
        <f t="shared" si="11"/>
        <v>0.6994285714285714</v>
      </c>
      <c r="AE43" s="158"/>
      <c r="AF43" s="158"/>
      <c r="AG43" s="158"/>
      <c r="AH43" s="158"/>
      <c r="AI43" s="158"/>
      <c r="AJ43" s="158"/>
      <c r="AK43" s="158"/>
      <c r="AL43" s="158"/>
      <c r="AM43" s="158"/>
      <c r="AN43" s="158"/>
      <c r="AO43" s="158"/>
      <c r="AP43" s="159"/>
    </row>
    <row r="44" spans="1:42" s="137" customFormat="1" ht="11.5" customHeight="1" outlineLevel="1" x14ac:dyDescent="0.35">
      <c r="A44" s="137" t="s">
        <v>64</v>
      </c>
      <c r="B44" s="137" t="s">
        <v>24</v>
      </c>
      <c r="C44" s="137" t="s">
        <v>24</v>
      </c>
      <c r="D44" s="167">
        <v>3.12</v>
      </c>
      <c r="E44" s="138"/>
      <c r="F44" s="329" t="s">
        <v>203</v>
      </c>
      <c r="G44" s="139" cm="1">
        <f t="array" ref="G44">SUMPRODUCT(General_Data*(Code_General_Data=$C44)*(Year=G$3)*(Month=G$4))</f>
        <v>1350</v>
      </c>
      <c r="H44" s="139" cm="1">
        <f t="array" ref="H44">SUMPRODUCT(General_Data*(Code_General_Data=$C44)*(Year=H$3)*(Month=H$4))</f>
        <v>1350</v>
      </c>
      <c r="I44" s="139" cm="1">
        <f t="array" ref="I44">SUMPRODUCT(General_Data*(Code_General_Data=$C44)*(Year=I$3)*(Month=I$4))</f>
        <v>1350</v>
      </c>
      <c r="J44" s="139" cm="1">
        <f t="array" ref="J44">SUMPRODUCT(General_Data*(Code_General_Data=$C44)*(Year=J$3)*(Month=J$4))</f>
        <v>1350</v>
      </c>
      <c r="K44" s="139" cm="1">
        <f t="array" ref="K44">SUMPRODUCT(General_Data*(Code_General_Data=$C44)*(Year=K$3)*(Month=K$4))</f>
        <v>1350</v>
      </c>
      <c r="L44" s="139" cm="1">
        <f t="array" ref="L44">SUMPRODUCT(General_Data*(Code_General_Data=$C44)*(Year=L$3)*(Month=L$4))</f>
        <v>1350</v>
      </c>
      <c r="M44" s="139" cm="1">
        <f t="array" ref="M44">SUMPRODUCT(General_Data*(Code_General_Data=$C44)*(Year=M$3)*(Month=M$4))</f>
        <v>1350</v>
      </c>
      <c r="N44" s="139" cm="1">
        <f t="array" ref="N44">SUMPRODUCT(General_Data*(Code_General_Data=$C44)*(Year=N$3)*(Month=N$4))</f>
        <v>1350</v>
      </c>
      <c r="O44" s="139" cm="1">
        <f t="array" ref="O44">SUMPRODUCT(General_Data*(Code_General_Data=$C44)*(Year=O$3)*(Month=O$4))</f>
        <v>1350</v>
      </c>
      <c r="P44" s="139" cm="1">
        <f t="array" ref="P44">SUMPRODUCT(General_Data*(Code_General_Data=$C44)*(Year=P$3)*(Month=P$4))</f>
        <v>1350</v>
      </c>
      <c r="Q44" s="139" cm="1">
        <f t="array" ref="Q44">SUMPRODUCT(General_Data*(Code_General_Data=$C44)*(Year=Q$3)*(Month=Q$4))</f>
        <v>1350</v>
      </c>
      <c r="R44" s="140" cm="1">
        <f t="array" ref="R44">SUMPRODUCT(General_Data*(Code_General_Data=$C44)*(Year=R$3)*(Month=R$4))</f>
        <v>1350</v>
      </c>
      <c r="S44" s="139" cm="1">
        <f t="array" ref="S44">SUMPRODUCT(General_Data*(Code_General_Data=$C44)*(Year=S$3)*(Month=S$4))</f>
        <v>1350</v>
      </c>
      <c r="T44" s="139" cm="1">
        <f t="array" ref="T44">SUMPRODUCT(General_Data*(Code_General_Data=$C44)*(Year=T$3)*(Month=T$4))</f>
        <v>1300</v>
      </c>
      <c r="U44" s="139" cm="1">
        <f t="array" ref="U44">SUMPRODUCT(General_Data*(Code_General_Data=$C44)*(Year=U$3)*(Month=U$4))</f>
        <v>1250</v>
      </c>
      <c r="V44" s="139" cm="1">
        <f t="array" ref="V44">SUMPRODUCT(General_Data*(Code_General_Data=$C44)*(Year=V$3)*(Month=V$4))</f>
        <v>1250</v>
      </c>
      <c r="W44" s="139" cm="1">
        <f t="array" ref="W44">SUMPRODUCT(General_Data*(Code_General_Data=$C44)*(Year=W$3)*(Month=W$4))</f>
        <v>1250</v>
      </c>
      <c r="X44" s="139" cm="1">
        <f t="array" ref="X44">SUMPRODUCT(General_Data*(Code_General_Data=$C44)*(Year=X$3)*(Month=X$4))</f>
        <v>1250</v>
      </c>
      <c r="Y44" s="139" cm="1">
        <f t="array" ref="Y44">SUMPRODUCT(General_Data*(Code_General_Data=$C44)*(Year=Y$3)*(Month=Y$4))</f>
        <v>1250</v>
      </c>
      <c r="Z44" s="139" cm="1">
        <f t="array" ref="Z44">SUMPRODUCT(General_Data*(Code_General_Data=$C44)*(Year=Z$3)*(Month=Z$4))</f>
        <v>1230</v>
      </c>
      <c r="AA44" s="139" cm="1">
        <f t="array" ref="AA44">SUMPRODUCT(General_Data*(Code_General_Data=$C44)*(Year=AA$3)*(Month=AA$4))</f>
        <v>1210</v>
      </c>
      <c r="AB44" s="139" cm="1">
        <f t="array" ref="AB44">SUMPRODUCT(General_Data*(Code_General_Data=$C44)*(Year=AB$3)*(Month=AB$4))</f>
        <v>1210</v>
      </c>
      <c r="AC44" s="139" cm="1">
        <f t="array" ref="AC44">SUMPRODUCT(General_Data*(Code_General_Data=$C44)*(Year=AC$3)*(Month=AC$4))</f>
        <v>1200</v>
      </c>
      <c r="AD44" s="140" cm="1">
        <f t="array" ref="AD44">SUMPRODUCT(General_Data*(Code_General_Data=$C44)*(Year=AD$3)*(Month=AD$4))</f>
        <v>1200</v>
      </c>
      <c r="AE44" s="139"/>
      <c r="AF44" s="139"/>
      <c r="AG44" s="139"/>
      <c r="AH44" s="139"/>
      <c r="AI44" s="139"/>
      <c r="AJ44" s="139"/>
      <c r="AK44" s="139"/>
      <c r="AL44" s="139"/>
      <c r="AM44" s="139"/>
      <c r="AN44" s="139"/>
      <c r="AO44" s="139"/>
      <c r="AP44" s="140"/>
    </row>
    <row r="45" spans="1:42" ht="3.75" customHeight="1" x14ac:dyDescent="0.35">
      <c r="A45" t="s">
        <v>64</v>
      </c>
      <c r="D45" s="168"/>
    </row>
    <row r="46" spans="1:42" s="148" customFormat="1" ht="13.4" customHeight="1" outlineLevel="1" x14ac:dyDescent="0.4">
      <c r="A46" s="148" t="s">
        <v>64</v>
      </c>
      <c r="B46" s="148" t="s">
        <v>22</v>
      </c>
      <c r="D46" s="161"/>
      <c r="E46" s="149"/>
      <c r="F46" s="323" t="s">
        <v>20</v>
      </c>
      <c r="G46" s="149"/>
      <c r="H46" s="149"/>
      <c r="I46" s="149"/>
      <c r="J46" s="149"/>
      <c r="K46" s="149"/>
      <c r="L46" s="149"/>
      <c r="M46" s="149"/>
      <c r="N46" s="149"/>
      <c r="O46" s="149"/>
      <c r="P46" s="149"/>
      <c r="Q46" s="149"/>
      <c r="R46" s="150"/>
      <c r="S46" s="149"/>
      <c r="T46" s="149"/>
      <c r="U46" s="149"/>
      <c r="V46" s="149"/>
      <c r="W46" s="149"/>
      <c r="X46" s="149"/>
      <c r="Y46" s="149"/>
      <c r="Z46" s="149"/>
      <c r="AA46" s="149"/>
      <c r="AB46" s="149"/>
      <c r="AC46" s="149"/>
      <c r="AD46" s="150"/>
      <c r="AE46" s="149"/>
      <c r="AF46" s="149"/>
      <c r="AG46" s="149"/>
      <c r="AH46" s="149"/>
      <c r="AI46" s="149"/>
      <c r="AJ46" s="149"/>
      <c r="AK46" s="149"/>
      <c r="AL46" s="149"/>
      <c r="AM46" s="149"/>
      <c r="AN46" s="149"/>
      <c r="AO46" s="149"/>
      <c r="AP46" s="150"/>
    </row>
    <row r="47" spans="1:42" s="69" customFormat="1" ht="11.5" customHeight="1" outlineLevel="1" x14ac:dyDescent="0.35">
      <c r="A47" s="69" t="s">
        <v>64</v>
      </c>
      <c r="B47" s="69" t="s">
        <v>22</v>
      </c>
      <c r="D47" s="170">
        <v>3.13</v>
      </c>
      <c r="E47" s="134"/>
      <c r="F47" s="324" t="s">
        <v>19</v>
      </c>
      <c r="G47" s="135" cm="1">
        <f t="array" ref="G47">INDEX(Price!$L$11:$AM$182,MATCH(1,(Price!$A$11:$A$182=$A47)*(Price!$B$11:$B$182=$B47)*(Price!$D$11:$D$182="gb"),0),MATCH(1,(Price!$L$3:$AM$3=G$3)*(Price!$L$4:$AM$4=G$4),0))</f>
        <v>0</v>
      </c>
      <c r="H47" s="135" cm="1">
        <f t="array" ref="H47">INDEX(Price!$L$11:$AM$182,MATCH(1,(Price!$A$11:$A$182=$A47)*(Price!$B$11:$B$182=$B47)*(Price!$D$11:$D$182="gb"),0),MATCH(1,(Price!$L$3:$AM$3=H$3)*(Price!$L$4:$AM$4=H$4),0))</f>
        <v>0</v>
      </c>
      <c r="I47" s="135" cm="1">
        <f t="array" ref="I47">INDEX(Price!$L$11:$AM$182,MATCH(1,(Price!$A$11:$A$182=$A47)*(Price!$B$11:$B$182=$B47)*(Price!$D$11:$D$182="gb"),0),MATCH(1,(Price!$L$3:$AM$3=I$3)*(Price!$L$4:$AM$4=I$4),0))</f>
        <v>0</v>
      </c>
      <c r="J47" s="135" cm="1">
        <f t="array" ref="J47">INDEX(Price!$L$11:$AM$182,MATCH(1,(Price!$A$11:$A$182=$A47)*(Price!$B$11:$B$182=$B47)*(Price!$D$11:$D$182="gb"),0),MATCH(1,(Price!$L$3:$AM$3=J$3)*(Price!$L$4:$AM$4=J$4),0))</f>
        <v>0</v>
      </c>
      <c r="K47" s="135" cm="1">
        <f t="array" ref="K47">INDEX(Price!$L$11:$AM$182,MATCH(1,(Price!$A$11:$A$182=$A47)*(Price!$B$11:$B$182=$B47)*(Price!$D$11:$D$182="gb"),0),MATCH(1,(Price!$L$3:$AM$3=K$3)*(Price!$L$4:$AM$4=K$4),0))</f>
        <v>0</v>
      </c>
      <c r="L47" s="135" cm="1">
        <f t="array" ref="L47">INDEX(Price!$L$11:$AM$182,MATCH(1,(Price!$A$11:$A$182=$A47)*(Price!$B$11:$B$182=$B47)*(Price!$D$11:$D$182="gb"),0),MATCH(1,(Price!$L$3:$AM$3=L$3)*(Price!$L$4:$AM$4=L$4),0))</f>
        <v>0</v>
      </c>
      <c r="M47" s="135" cm="1">
        <f t="array" ref="M47">INDEX(Price!$L$11:$AM$182,MATCH(1,(Price!$A$11:$A$182=$A47)*(Price!$B$11:$B$182=$B47)*(Price!$D$11:$D$182="gb"),0),MATCH(1,(Price!$L$3:$AM$3=M$3)*(Price!$L$4:$AM$4=M$4),0))</f>
        <v>0</v>
      </c>
      <c r="N47" s="135" cm="1">
        <f t="array" ref="N47">INDEX(Price!$L$11:$AM$182,MATCH(1,(Price!$A$11:$A$182=$A47)*(Price!$B$11:$B$182=$B47)*(Price!$D$11:$D$182="gb"),0),MATCH(1,(Price!$L$3:$AM$3=N$3)*(Price!$L$4:$AM$4=N$4),0))</f>
        <v>0</v>
      </c>
      <c r="O47" s="135" cm="1">
        <f t="array" ref="O47">INDEX(Price!$L$11:$AM$182,MATCH(1,(Price!$A$11:$A$182=$A47)*(Price!$B$11:$B$182=$B47)*(Price!$D$11:$D$182="gb"),0),MATCH(1,(Price!$L$3:$AM$3=O$3)*(Price!$L$4:$AM$4=O$4),0))</f>
        <v>0</v>
      </c>
      <c r="P47" s="135" cm="1">
        <f t="array" ref="P47">INDEX(Price!$L$11:$AM$182,MATCH(1,(Price!$A$11:$A$182=$A47)*(Price!$B$11:$B$182=$B47)*(Price!$D$11:$D$182="gb"),0),MATCH(1,(Price!$L$3:$AM$3=P$3)*(Price!$L$4:$AM$4=P$4),0))</f>
        <v>0</v>
      </c>
      <c r="Q47" s="135" cm="1">
        <f t="array" ref="Q47">INDEX(Price!$L$11:$AM$182,MATCH(1,(Price!$A$11:$A$182=$A47)*(Price!$B$11:$B$182=$B47)*(Price!$D$11:$D$182="gb"),0),MATCH(1,(Price!$L$3:$AM$3=Q$3)*(Price!$L$4:$AM$4=Q$4),0))</f>
        <v>0</v>
      </c>
      <c r="R47" s="136" cm="1">
        <f t="array" ref="R47">INDEX(Price!$L$11:$AM$182,MATCH(1,(Price!$A$11:$A$182=$A47)*(Price!$B$11:$B$182=$B47)*(Price!$D$11:$D$182="gb"),0),MATCH(1,(Price!$L$3:$AM$3=R$3)*(Price!$L$4:$AM$4=R$4),0))</f>
        <v>0</v>
      </c>
      <c r="S47" s="135" cm="1">
        <f t="array" ref="S47">INDEX(Price!$L$11:$AM$182,MATCH(1,(Price!$A$11:$A$182=$A47)*(Price!$B$11:$B$182=$B47)*(Price!$D$11:$D$182="gb"),0),MATCH(1,(Price!$L$3:$AM$3=S$3)*(Price!$L$4:$AM$4=S$4),0))</f>
        <v>1400</v>
      </c>
      <c r="T47" s="135" cm="1">
        <f t="array" ref="T47">INDEX(Price!$L$11:$AM$182,MATCH(1,(Price!$A$11:$A$182=$A47)*(Price!$B$11:$B$182=$B47)*(Price!$D$11:$D$182="gb"),0),MATCH(1,(Price!$L$3:$AM$3=T$3)*(Price!$L$4:$AM$4=T$4),0))</f>
        <v>1400</v>
      </c>
      <c r="U47" s="135" cm="1">
        <f t="array" ref="U47">INDEX(Price!$L$11:$AM$182,MATCH(1,(Price!$A$11:$A$182=$A47)*(Price!$B$11:$B$182=$B47)*(Price!$D$11:$D$182="gb"),0),MATCH(1,(Price!$L$3:$AM$3=U$3)*(Price!$L$4:$AM$4=U$4),0))</f>
        <v>1400</v>
      </c>
      <c r="V47" s="135" cm="1">
        <f t="array" ref="V47">INDEX(Price!$L$11:$AM$182,MATCH(1,(Price!$A$11:$A$182=$A47)*(Price!$B$11:$B$182=$B47)*(Price!$D$11:$D$182="gb"),0),MATCH(1,(Price!$L$3:$AM$3=V$3)*(Price!$L$4:$AM$4=V$4),0))</f>
        <v>1350</v>
      </c>
      <c r="W47" s="135" cm="1">
        <f t="array" ref="W47">INDEX(Price!$L$11:$AM$182,MATCH(1,(Price!$A$11:$A$182=$A47)*(Price!$B$11:$B$182=$B47)*(Price!$D$11:$D$182="gb"),0),MATCH(1,(Price!$L$3:$AM$3=W$3)*(Price!$L$4:$AM$4=W$4),0))</f>
        <v>1350</v>
      </c>
      <c r="X47" s="135" cm="1">
        <f t="array" ref="X47">INDEX(Price!$L$11:$AM$182,MATCH(1,(Price!$A$11:$A$182=$A47)*(Price!$B$11:$B$182=$B47)*(Price!$D$11:$D$182="gb"),0),MATCH(1,(Price!$L$3:$AM$3=X$3)*(Price!$L$4:$AM$4=X$4),0))</f>
        <v>1350</v>
      </c>
      <c r="Y47" s="135" cm="1">
        <f t="array" ref="Y47">INDEX(Price!$L$11:$AM$182,MATCH(1,(Price!$A$11:$A$182=$A47)*(Price!$B$11:$B$182=$B47)*(Price!$D$11:$D$182="gb"),0),MATCH(1,(Price!$L$3:$AM$3=Y$3)*(Price!$L$4:$AM$4=Y$4),0))</f>
        <v>1380</v>
      </c>
      <c r="Z47" s="135" cm="1">
        <f t="array" ref="Z47">INDEX(Price!$L$11:$AM$182,MATCH(1,(Price!$A$11:$A$182=$A47)*(Price!$B$11:$B$182=$B47)*(Price!$D$11:$D$182="gb"),0),MATCH(1,(Price!$L$3:$AM$3=Z$3)*(Price!$L$4:$AM$4=Z$4),0))</f>
        <v>1380</v>
      </c>
      <c r="AA47" s="135" cm="1">
        <f t="array" ref="AA47">INDEX(Price!$L$11:$AM$182,MATCH(1,(Price!$A$11:$A$182=$A47)*(Price!$B$11:$B$182=$B47)*(Price!$D$11:$D$182="gb"),0),MATCH(1,(Price!$L$3:$AM$3=AA$3)*(Price!$L$4:$AM$4=AA$4),0))</f>
        <v>1380</v>
      </c>
      <c r="AB47" s="135" cm="1">
        <f t="array" ref="AB47">INDEX(Price!$L$11:$AM$182,MATCH(1,(Price!$A$11:$A$182=$A47)*(Price!$B$11:$B$182=$B47)*(Price!$D$11:$D$182="gb"),0),MATCH(1,(Price!$L$3:$AM$3=AB$3)*(Price!$L$4:$AM$4=AB$4),0))</f>
        <v>1380</v>
      </c>
      <c r="AC47" s="135" cm="1">
        <f t="array" ref="AC47">INDEX(Price!$L$11:$AM$182,MATCH(1,(Price!$A$11:$A$182=$A47)*(Price!$B$11:$B$182=$B47)*(Price!$D$11:$D$182="gb"),0),MATCH(1,(Price!$L$3:$AM$3=AC$3)*(Price!$L$4:$AM$4=AC$4),0))</f>
        <v>1380</v>
      </c>
      <c r="AD47" s="136" cm="1">
        <f t="array" ref="AD47">INDEX(Price!$L$11:$AM$182,MATCH(1,(Price!$A$11:$A$182=$A47)*(Price!$B$11:$B$182=$B47)*(Price!$D$11:$D$182="gb"),0),MATCH(1,(Price!$L$3:$AM$3=AD$3)*(Price!$L$4:$AM$4=AD$4),0))</f>
        <v>1380</v>
      </c>
      <c r="AE47" s="135"/>
      <c r="AF47" s="135"/>
      <c r="AG47" s="135"/>
      <c r="AH47" s="135"/>
      <c r="AI47" s="135"/>
      <c r="AJ47" s="135"/>
      <c r="AK47" s="135"/>
      <c r="AL47" s="135"/>
      <c r="AM47" s="135"/>
      <c r="AN47" s="135"/>
      <c r="AO47" s="135"/>
      <c r="AP47" s="136"/>
    </row>
    <row r="48" spans="1:42" s="1" customFormat="1" ht="11.5" customHeight="1" outlineLevel="1" x14ac:dyDescent="0.35">
      <c r="A48" s="1" t="s">
        <v>64</v>
      </c>
      <c r="B48" s="1" t="s">
        <v>22</v>
      </c>
      <c r="C48" s="143" t="s">
        <v>322</v>
      </c>
      <c r="D48" s="171">
        <v>3.14</v>
      </c>
      <c r="E48" s="144"/>
      <c r="F48" s="325" t="s">
        <v>8</v>
      </c>
      <c r="G48" s="145" cm="1">
        <f t="array" ref="G48">INDEX(Price!$L$11:$AM$182,MATCH(1,(Price!$A$11:$A$182=$A48)*(Price!$B$11:$B$182=$B48)*(Price!$D$11:$D$182="exw"),0),MATCH(1,(Price!$L$3:$AM$3=G$3)*(Price!$L$4:$AM$4=G$4),0))</f>
        <v>0</v>
      </c>
      <c r="H48" s="145" cm="1">
        <f t="array" ref="H48">INDEX(Price!$L$11:$AM$182,MATCH(1,(Price!$A$11:$A$182=$A48)*(Price!$B$11:$B$182=$B48)*(Price!$D$11:$D$182="exw"),0),MATCH(1,(Price!$L$3:$AM$3=H$3)*(Price!$L$4:$AM$4=H$4),0))</f>
        <v>0</v>
      </c>
      <c r="I48" s="145" cm="1">
        <f t="array" ref="I48">INDEX(Price!$L$11:$AM$182,MATCH(1,(Price!$A$11:$A$182=$A48)*(Price!$B$11:$B$182=$B48)*(Price!$D$11:$D$182="exw"),0),MATCH(1,(Price!$L$3:$AM$3=I$3)*(Price!$L$4:$AM$4=I$4),0))</f>
        <v>0</v>
      </c>
      <c r="J48" s="145" cm="1">
        <f t="array" ref="J48">INDEX(Price!$L$11:$AM$182,MATCH(1,(Price!$A$11:$A$182=$A48)*(Price!$B$11:$B$182=$B48)*(Price!$D$11:$D$182="exw"),0),MATCH(1,(Price!$L$3:$AM$3=J$3)*(Price!$L$4:$AM$4=J$4),0))</f>
        <v>0</v>
      </c>
      <c r="K48" s="145" cm="1">
        <f t="array" ref="K48">INDEX(Price!$L$11:$AM$182,MATCH(1,(Price!$A$11:$A$182=$A48)*(Price!$B$11:$B$182=$B48)*(Price!$D$11:$D$182="exw"),0),MATCH(1,(Price!$L$3:$AM$3=K$3)*(Price!$L$4:$AM$4=K$4),0))</f>
        <v>0</v>
      </c>
      <c r="L48" s="145" cm="1">
        <f t="array" ref="L48">INDEX(Price!$L$11:$AM$182,MATCH(1,(Price!$A$11:$A$182=$A48)*(Price!$B$11:$B$182=$B48)*(Price!$D$11:$D$182="exw"),0),MATCH(1,(Price!$L$3:$AM$3=L$3)*(Price!$L$4:$AM$4=L$4),0))</f>
        <v>0</v>
      </c>
      <c r="M48" s="145" cm="1">
        <f t="array" ref="M48">INDEX(Price!$L$11:$AM$182,MATCH(1,(Price!$A$11:$A$182=$A48)*(Price!$B$11:$B$182=$B48)*(Price!$D$11:$D$182="exw"),0),MATCH(1,(Price!$L$3:$AM$3=M$3)*(Price!$L$4:$AM$4=M$4),0))</f>
        <v>0</v>
      </c>
      <c r="N48" s="145" cm="1">
        <f t="array" ref="N48">INDEX(Price!$L$11:$AM$182,MATCH(1,(Price!$A$11:$A$182=$A48)*(Price!$B$11:$B$182=$B48)*(Price!$D$11:$D$182="exw"),0),MATCH(1,(Price!$L$3:$AM$3=N$3)*(Price!$L$4:$AM$4=N$4),0))</f>
        <v>0</v>
      </c>
      <c r="O48" s="145" cm="1">
        <f t="array" ref="O48">INDEX(Price!$L$11:$AM$182,MATCH(1,(Price!$A$11:$A$182=$A48)*(Price!$B$11:$B$182=$B48)*(Price!$D$11:$D$182="exw"),0),MATCH(1,(Price!$L$3:$AM$3=O$3)*(Price!$L$4:$AM$4=O$4),0))</f>
        <v>0</v>
      </c>
      <c r="P48" s="145" cm="1">
        <f t="array" ref="P48">INDEX(Price!$L$11:$AM$182,MATCH(1,(Price!$A$11:$A$182=$A48)*(Price!$B$11:$B$182=$B48)*(Price!$D$11:$D$182="exw"),0),MATCH(1,(Price!$L$3:$AM$3=P$3)*(Price!$L$4:$AM$4=P$4),0))</f>
        <v>0</v>
      </c>
      <c r="Q48" s="145" cm="1">
        <f t="array" ref="Q48">INDEX(Price!$L$11:$AM$182,MATCH(1,(Price!$A$11:$A$182=$A48)*(Price!$B$11:$B$182=$B48)*(Price!$D$11:$D$182="exw"),0),MATCH(1,(Price!$L$3:$AM$3=Q$3)*(Price!$L$4:$AM$4=Q$4),0))</f>
        <v>0</v>
      </c>
      <c r="R48" s="146" cm="1">
        <f t="array" ref="R48">INDEX(Price!$L$11:$AM$182,MATCH(1,(Price!$A$11:$A$182=$A48)*(Price!$B$11:$B$182=$B48)*(Price!$D$11:$D$182="exw"),0),MATCH(1,(Price!$L$3:$AM$3=R$3)*(Price!$L$4:$AM$4=R$4),0))</f>
        <v>0</v>
      </c>
      <c r="S48" s="145" cm="1">
        <f t="array" ref="S48">INDEX(Price!$L$11:$AM$182,MATCH(1,(Price!$A$11:$A$182=$A48)*(Price!$B$11:$B$182=$B48)*(Price!$D$11:$D$182="exw"),0),MATCH(1,(Price!$L$3:$AM$3=S$3)*(Price!$L$4:$AM$4=S$4),0))</f>
        <v>1388.04</v>
      </c>
      <c r="T48" s="145" cm="1">
        <f t="array" ref="T48">INDEX(Price!$L$11:$AM$182,MATCH(1,(Price!$A$11:$A$182=$A48)*(Price!$B$11:$B$182=$B48)*(Price!$D$11:$D$182="exw"),0),MATCH(1,(Price!$L$3:$AM$3=T$3)*(Price!$L$4:$AM$4=T$4),0))</f>
        <v>1388.04</v>
      </c>
      <c r="U48" s="145" cm="1">
        <f t="array" ref="U48">INDEX(Price!$L$11:$AM$182,MATCH(1,(Price!$A$11:$A$182=$A48)*(Price!$B$11:$B$182=$B48)*(Price!$D$11:$D$182="exw"),0),MATCH(1,(Price!$L$3:$AM$3=U$3)*(Price!$L$4:$AM$4=U$4),0))</f>
        <v>1388.04</v>
      </c>
      <c r="V48" s="145" cm="1">
        <f t="array" ref="V48">INDEX(Price!$L$11:$AM$182,MATCH(1,(Price!$A$11:$A$182=$A48)*(Price!$B$11:$B$182=$B48)*(Price!$D$11:$D$182="exw"),0),MATCH(1,(Price!$L$3:$AM$3=V$3)*(Price!$L$4:$AM$4=V$4),0))</f>
        <v>1338.04</v>
      </c>
      <c r="W48" s="145" cm="1">
        <f t="array" ref="W48">INDEX(Price!$L$11:$AM$182,MATCH(1,(Price!$A$11:$A$182=$A48)*(Price!$B$11:$B$182=$B48)*(Price!$D$11:$D$182="exw"),0),MATCH(1,(Price!$L$3:$AM$3=W$3)*(Price!$L$4:$AM$4=W$4),0))</f>
        <v>1338.04</v>
      </c>
      <c r="X48" s="145" cm="1">
        <f t="array" ref="X48">INDEX(Price!$L$11:$AM$182,MATCH(1,(Price!$A$11:$A$182=$A48)*(Price!$B$11:$B$182=$B48)*(Price!$D$11:$D$182="exw"),0),MATCH(1,(Price!$L$3:$AM$3=X$3)*(Price!$L$4:$AM$4=X$4),0))</f>
        <v>1338.04</v>
      </c>
      <c r="Y48" s="145" cm="1">
        <f t="array" ref="Y48">INDEX(Price!$L$11:$AM$182,MATCH(1,(Price!$A$11:$A$182=$A48)*(Price!$B$11:$B$182=$B48)*(Price!$D$11:$D$182="exw"),0),MATCH(1,(Price!$L$3:$AM$3=Y$3)*(Price!$L$4:$AM$4=Y$4),0))</f>
        <v>1368.04</v>
      </c>
      <c r="Z48" s="145" cm="1">
        <f t="array" ref="Z48">INDEX(Price!$L$11:$AM$182,MATCH(1,(Price!$A$11:$A$182=$A48)*(Price!$B$11:$B$182=$B48)*(Price!$D$11:$D$182="exw"),0),MATCH(1,(Price!$L$3:$AM$3=Z$3)*(Price!$L$4:$AM$4=Z$4),0))</f>
        <v>1368.04</v>
      </c>
      <c r="AA48" s="145" cm="1">
        <f t="array" ref="AA48">INDEX(Price!$L$11:$AM$182,MATCH(1,(Price!$A$11:$A$182=$A48)*(Price!$B$11:$B$182=$B48)*(Price!$D$11:$D$182="exw"),0),MATCH(1,(Price!$L$3:$AM$3=AA$3)*(Price!$L$4:$AM$4=AA$4),0))</f>
        <v>1368.04</v>
      </c>
      <c r="AB48" s="145" cm="1">
        <f t="array" ref="AB48">INDEX(Price!$L$11:$AM$182,MATCH(1,(Price!$A$11:$A$182=$A48)*(Price!$B$11:$B$182=$B48)*(Price!$D$11:$D$182="exw"),0),MATCH(1,(Price!$L$3:$AM$3=AB$3)*(Price!$L$4:$AM$4=AB$4),0))</f>
        <v>1368.04</v>
      </c>
      <c r="AC48" s="145" cm="1">
        <f t="array" ref="AC48">INDEX(Price!$L$11:$AM$182,MATCH(1,(Price!$A$11:$A$182=$A48)*(Price!$B$11:$B$182=$B48)*(Price!$D$11:$D$182="exw"),0),MATCH(1,(Price!$L$3:$AM$3=AC$3)*(Price!$L$4:$AM$4=AC$4),0))</f>
        <v>1368.04</v>
      </c>
      <c r="AD48" s="146" cm="1">
        <f t="array" ref="AD48">INDEX(Price!$L$11:$AM$182,MATCH(1,(Price!$A$11:$A$182=$A48)*(Price!$B$11:$B$182=$B48)*(Price!$D$11:$D$182="exw"),0),MATCH(1,(Price!$L$3:$AM$3=AD$3)*(Price!$L$4:$AM$4=AD$4),0))</f>
        <v>1368.04</v>
      </c>
      <c r="AE48" s="145"/>
      <c r="AF48" s="145"/>
      <c r="AG48" s="145"/>
      <c r="AH48" s="145"/>
      <c r="AI48" s="145"/>
      <c r="AJ48" s="145"/>
      <c r="AK48" s="145"/>
      <c r="AL48" s="145"/>
      <c r="AM48" s="145"/>
      <c r="AN48" s="145"/>
      <c r="AO48" s="145"/>
      <c r="AP48" s="146"/>
    </row>
    <row r="49" spans="1:42" ht="11.5" customHeight="1" outlineLevel="1" x14ac:dyDescent="0.35">
      <c r="A49" t="s">
        <v>64</v>
      </c>
      <c r="B49" t="s">
        <v>22</v>
      </c>
      <c r="C49" s="14" t="s">
        <v>21</v>
      </c>
      <c r="D49" s="172">
        <v>3.15</v>
      </c>
      <c r="E49" s="8"/>
      <c r="F49" s="326" t="s">
        <v>11</v>
      </c>
      <c r="G49" s="320"/>
      <c r="H49" s="132"/>
      <c r="I49" s="132"/>
      <c r="J49" s="132"/>
      <c r="K49" s="132"/>
      <c r="L49" s="132"/>
      <c r="M49" s="132"/>
      <c r="N49" s="132"/>
      <c r="O49" s="132"/>
      <c r="P49" s="132"/>
      <c r="Q49" s="132"/>
      <c r="R49" s="133"/>
      <c r="S49" s="132" cm="1">
        <f t="array" ref="S49">SUMPRODUCT(General_Data*(Code_General_Data=$C49)*(Year=S$3)*(Month=S$4))</f>
        <v>940</v>
      </c>
      <c r="T49" s="132" cm="1">
        <f t="array" ref="T49">SUMPRODUCT(General_Data*(Code_General_Data=$C49)*(Year=T$3)*(Month=T$4))</f>
        <v>918</v>
      </c>
      <c r="U49" s="132" cm="1">
        <f t="array" ref="U49">SUMPRODUCT(General_Data*(Code_General_Data=$C49)*(Year=U$3)*(Month=U$4))</f>
        <v>896</v>
      </c>
      <c r="V49" s="132" cm="1">
        <f t="array" ref="V49">SUMPRODUCT(General_Data*(Code_General_Data=$C49)*(Year=V$3)*(Month=V$4))</f>
        <v>891.5</v>
      </c>
      <c r="W49" s="132" cm="1">
        <f t="array" ref="W49">SUMPRODUCT(General_Data*(Code_General_Data=$C49)*(Year=W$3)*(Month=W$4))</f>
        <v>864</v>
      </c>
      <c r="X49" s="132" cm="1">
        <f t="array" ref="X49">SUMPRODUCT(General_Data*(Code_General_Data=$C49)*(Year=X$3)*(Month=X$4))</f>
        <v>833</v>
      </c>
      <c r="Y49" s="132" cm="1">
        <f t="array" ref="Y49">SUMPRODUCT(General_Data*(Code_General_Data=$C49)*(Year=Y$3)*(Month=Y$4))</f>
        <v>833</v>
      </c>
      <c r="Z49" s="132" cm="1">
        <f t="array" ref="Z49">SUMPRODUCT(General_Data*(Code_General_Data=$C49)*(Year=Z$3)*(Month=Z$4))</f>
        <v>815</v>
      </c>
      <c r="AA49" s="132" cm="1">
        <f t="array" ref="AA49">SUMPRODUCT(General_Data*(Code_General_Data=$C49)*(Year=AA$3)*(Month=AA$4))</f>
        <v>813</v>
      </c>
      <c r="AB49" s="132" cm="1">
        <f t="array" ref="AB49">SUMPRODUCT(General_Data*(Code_General_Data=$C49)*(Year=AB$3)*(Month=AB$4))</f>
        <v>805</v>
      </c>
      <c r="AC49" s="132" cm="1">
        <f t="array" ref="AC49">SUMPRODUCT(General_Data*(Code_General_Data=$C49)*(Year=AC$3)*(Month=AC$4))</f>
        <v>805</v>
      </c>
      <c r="AD49" s="133" cm="1">
        <f t="array" ref="AD49">SUMPRODUCT(General_Data*(Code_General_Data=$C49)*(Year=AD$3)*(Month=AD$4))</f>
        <v>805</v>
      </c>
      <c r="AE49" s="132"/>
      <c r="AF49" s="132"/>
      <c r="AG49" s="132"/>
      <c r="AH49" s="132"/>
      <c r="AI49" s="132"/>
      <c r="AJ49" s="132"/>
      <c r="AK49" s="132"/>
      <c r="AL49" s="132"/>
      <c r="AM49" s="132"/>
      <c r="AN49" s="132"/>
      <c r="AO49" s="132"/>
      <c r="AP49" s="133"/>
    </row>
    <row r="50" spans="1:42" s="152" customFormat="1" ht="11.5" customHeight="1" outlineLevel="1" x14ac:dyDescent="0.35">
      <c r="A50" s="152" t="s">
        <v>64</v>
      </c>
      <c r="B50" s="152" t="s">
        <v>22</v>
      </c>
      <c r="D50" s="173">
        <v>3.16</v>
      </c>
      <c r="E50" s="153"/>
      <c r="F50" s="327" t="s">
        <v>430</v>
      </c>
      <c r="G50" s="154"/>
      <c r="H50" s="154"/>
      <c r="I50" s="154"/>
      <c r="J50" s="154"/>
      <c r="K50" s="154"/>
      <c r="L50" s="154"/>
      <c r="M50" s="154"/>
      <c r="N50" s="154"/>
      <c r="O50" s="154"/>
      <c r="P50" s="154"/>
      <c r="Q50" s="154"/>
      <c r="R50" s="155"/>
      <c r="S50" s="154">
        <f t="shared" ref="S50:AD50" si="12">IF(S47*S48*S49&lt;&gt;0,S48-S49,0)</f>
        <v>448.03999999999996</v>
      </c>
      <c r="T50" s="154">
        <f t="shared" si="12"/>
        <v>470.03999999999996</v>
      </c>
      <c r="U50" s="154">
        <f t="shared" si="12"/>
        <v>492.03999999999996</v>
      </c>
      <c r="V50" s="154">
        <f t="shared" si="12"/>
        <v>446.53999999999996</v>
      </c>
      <c r="W50" s="154">
        <f t="shared" si="12"/>
        <v>474.03999999999996</v>
      </c>
      <c r="X50" s="154">
        <f t="shared" si="12"/>
        <v>505.03999999999996</v>
      </c>
      <c r="Y50" s="154">
        <f t="shared" si="12"/>
        <v>535.04</v>
      </c>
      <c r="Z50" s="154">
        <f t="shared" si="12"/>
        <v>553.04</v>
      </c>
      <c r="AA50" s="154">
        <f t="shared" si="12"/>
        <v>555.04</v>
      </c>
      <c r="AB50" s="154">
        <f t="shared" si="12"/>
        <v>563.04</v>
      </c>
      <c r="AC50" s="154">
        <f t="shared" si="12"/>
        <v>563.04</v>
      </c>
      <c r="AD50" s="155">
        <f t="shared" si="12"/>
        <v>563.04</v>
      </c>
      <c r="AE50" s="154"/>
      <c r="AF50" s="154"/>
      <c r="AG50" s="154"/>
      <c r="AH50" s="154"/>
      <c r="AI50" s="154"/>
      <c r="AJ50" s="154"/>
      <c r="AK50" s="154"/>
      <c r="AL50" s="154"/>
      <c r="AM50" s="154"/>
      <c r="AN50" s="154"/>
      <c r="AO50" s="154"/>
      <c r="AP50" s="155"/>
    </row>
    <row r="51" spans="1:42" s="156" customFormat="1" ht="11.5" customHeight="1" outlineLevel="1" x14ac:dyDescent="0.35">
      <c r="A51" s="156" t="s">
        <v>64</v>
      </c>
      <c r="B51" s="156" t="s">
        <v>22</v>
      </c>
      <c r="D51" s="174">
        <v>3.17</v>
      </c>
      <c r="E51" s="157"/>
      <c r="F51" s="328" t="s">
        <v>14</v>
      </c>
      <c r="G51" s="158"/>
      <c r="H51" s="158"/>
      <c r="I51" s="158"/>
      <c r="J51" s="158"/>
      <c r="K51" s="158"/>
      <c r="L51" s="158"/>
      <c r="M51" s="158"/>
      <c r="N51" s="158"/>
      <c r="O51" s="158"/>
      <c r="P51" s="158"/>
      <c r="Q51" s="158"/>
      <c r="R51" s="159"/>
      <c r="S51" s="158">
        <f t="shared" ref="S51:AD51" si="13">IFERROR(S50/S49,0)</f>
        <v>0.47663829787234041</v>
      </c>
      <c r="T51" s="158">
        <f t="shared" si="13"/>
        <v>0.51202614379084965</v>
      </c>
      <c r="U51" s="158">
        <f t="shared" si="13"/>
        <v>0.54915178571428569</v>
      </c>
      <c r="V51" s="158">
        <f t="shared" si="13"/>
        <v>0.50088614694335387</v>
      </c>
      <c r="W51" s="158">
        <f t="shared" si="13"/>
        <v>0.54865740740740732</v>
      </c>
      <c r="X51" s="158">
        <f>IFERROR(X50/X49,0)</f>
        <v>0.60629051620648255</v>
      </c>
      <c r="Y51" s="158">
        <f t="shared" si="13"/>
        <v>0.64230492196878752</v>
      </c>
      <c r="Z51" s="158">
        <f t="shared" si="13"/>
        <v>0.67857668711656438</v>
      </c>
      <c r="AA51" s="158">
        <f t="shared" si="13"/>
        <v>0.6827060270602705</v>
      </c>
      <c r="AB51" s="158">
        <f t="shared" si="13"/>
        <v>0.6994285714285714</v>
      </c>
      <c r="AC51" s="158">
        <f t="shared" si="13"/>
        <v>0.6994285714285714</v>
      </c>
      <c r="AD51" s="159">
        <f t="shared" si="13"/>
        <v>0.6994285714285714</v>
      </c>
      <c r="AE51" s="158"/>
      <c r="AF51" s="158"/>
      <c r="AG51" s="158"/>
      <c r="AH51" s="158"/>
      <c r="AI51" s="158"/>
      <c r="AJ51" s="158"/>
      <c r="AK51" s="158"/>
      <c r="AL51" s="158"/>
      <c r="AM51" s="158"/>
      <c r="AN51" s="158"/>
      <c r="AO51" s="158"/>
      <c r="AP51" s="159"/>
    </row>
    <row r="52" spans="1:42" s="137" customFormat="1" ht="11.5" customHeight="1" outlineLevel="1" x14ac:dyDescent="0.35">
      <c r="A52" s="137" t="s">
        <v>64</v>
      </c>
      <c r="B52" s="137" t="s">
        <v>22</v>
      </c>
      <c r="C52" s="137" t="s">
        <v>22</v>
      </c>
      <c r="D52" s="175">
        <v>3.18</v>
      </c>
      <c r="E52" s="138"/>
      <c r="F52" s="329" t="s">
        <v>203</v>
      </c>
      <c r="G52" s="139"/>
      <c r="H52" s="139"/>
      <c r="I52" s="139"/>
      <c r="J52" s="139"/>
      <c r="K52" s="139"/>
      <c r="L52" s="139"/>
      <c r="M52" s="139"/>
      <c r="N52" s="139"/>
      <c r="O52" s="139"/>
      <c r="P52" s="139"/>
      <c r="Q52" s="139"/>
      <c r="R52" s="140"/>
      <c r="S52" s="139" cm="1">
        <f t="array" ref="S52">SUMPRODUCT(General_Data*(Code_General_Data=$C52)*(Year=S$3)*(Month=S$4))</f>
        <v>1400</v>
      </c>
      <c r="T52" s="139" cm="1">
        <f t="array" ref="T52">SUMPRODUCT(General_Data*(Code_General_Data=$C52)*(Year=T$3)*(Month=T$4))</f>
        <v>1400</v>
      </c>
      <c r="U52" s="139" cm="1">
        <f t="array" ref="U52">SUMPRODUCT(General_Data*(Code_General_Data=$C52)*(Year=U$3)*(Month=U$4))</f>
        <v>1350</v>
      </c>
      <c r="V52" s="139" cm="1">
        <f t="array" ref="V52">SUMPRODUCT(General_Data*(Code_General_Data=$C52)*(Year=V$3)*(Month=V$4))</f>
        <v>1350</v>
      </c>
      <c r="W52" s="139" cm="1">
        <f t="array" ref="W52">SUMPRODUCT(General_Data*(Code_General_Data=$C52)*(Year=W$3)*(Month=W$4))</f>
        <v>1350</v>
      </c>
      <c r="X52" s="139" cm="1">
        <f t="array" ref="X52">SUMPRODUCT(General_Data*(Code_General_Data=$C52)*(Year=X$3)*(Month=X$4))</f>
        <v>1350</v>
      </c>
      <c r="Y52" s="139" cm="1">
        <f t="array" ref="Y52">SUMPRODUCT(General_Data*(Code_General_Data=$C52)*(Year=Y$3)*(Month=Y$4))</f>
        <v>1350</v>
      </c>
      <c r="Z52" s="139" cm="1">
        <f t="array" ref="Z52">SUMPRODUCT(General_Data*(Code_General_Data=$C52)*(Year=Z$3)*(Month=Z$4))</f>
        <v>1330</v>
      </c>
      <c r="AA52" s="139" cm="1">
        <f t="array" ref="AA52">SUMPRODUCT(General_Data*(Code_General_Data=$C52)*(Year=AA$3)*(Month=AA$4))</f>
        <v>1310</v>
      </c>
      <c r="AB52" s="139" cm="1">
        <f t="array" ref="AB52">SUMPRODUCT(General_Data*(Code_General_Data=$C52)*(Year=AB$3)*(Month=AB$4))</f>
        <v>1310</v>
      </c>
      <c r="AC52" s="139" cm="1">
        <f t="array" ref="AC52">SUMPRODUCT(General_Data*(Code_General_Data=$C52)*(Year=AC$3)*(Month=AC$4))</f>
        <v>1300</v>
      </c>
      <c r="AD52" s="140" cm="1">
        <f t="array" ref="AD52">SUMPRODUCT(General_Data*(Code_General_Data=$C52)*(Year=AD$3)*(Month=AD$4))</f>
        <v>1300</v>
      </c>
      <c r="AE52" s="139"/>
      <c r="AF52" s="139"/>
      <c r="AG52" s="139"/>
      <c r="AH52" s="139"/>
      <c r="AI52" s="139"/>
      <c r="AJ52" s="139"/>
      <c r="AK52" s="139"/>
      <c r="AL52" s="139"/>
      <c r="AM52" s="139"/>
      <c r="AN52" s="139"/>
      <c r="AO52" s="139"/>
      <c r="AP52" s="140"/>
    </row>
    <row r="53" spans="1:42" ht="3.75" customHeight="1" x14ac:dyDescent="0.35">
      <c r="A53" t="s">
        <v>64</v>
      </c>
      <c r="D53" s="168"/>
    </row>
    <row r="54" spans="1:42" s="148" customFormat="1" ht="14.5" customHeight="1" outlineLevel="1" x14ac:dyDescent="0.4">
      <c r="A54" s="148" t="s">
        <v>64</v>
      </c>
      <c r="B54" s="148" t="s">
        <v>65</v>
      </c>
      <c r="D54" s="309">
        <v>3.19</v>
      </c>
      <c r="E54" s="149"/>
      <c r="F54" s="323" t="s">
        <v>429</v>
      </c>
      <c r="G54" s="149"/>
      <c r="H54" s="149"/>
      <c r="I54" s="149"/>
      <c r="J54" s="149"/>
      <c r="K54" s="149"/>
      <c r="L54" s="149"/>
      <c r="M54" s="149"/>
      <c r="N54" s="149"/>
      <c r="O54" s="149"/>
      <c r="P54" s="149"/>
      <c r="Q54" s="149"/>
      <c r="R54" s="150"/>
      <c r="S54" s="149"/>
      <c r="T54" s="149"/>
      <c r="U54" s="149"/>
      <c r="V54" s="149"/>
      <c r="W54" s="149"/>
      <c r="X54" s="149"/>
      <c r="Y54" s="149"/>
      <c r="Z54" s="149"/>
      <c r="AA54" s="149"/>
      <c r="AB54" s="149"/>
      <c r="AC54" s="149"/>
      <c r="AD54" s="150"/>
      <c r="AE54" s="149"/>
      <c r="AF54" s="149"/>
      <c r="AG54" s="149"/>
      <c r="AH54" s="149"/>
      <c r="AI54" s="149"/>
      <c r="AJ54" s="149"/>
      <c r="AK54" s="149"/>
      <c r="AL54" s="149"/>
      <c r="AM54" s="149"/>
      <c r="AN54" s="149"/>
      <c r="AO54" s="149"/>
      <c r="AP54" s="150"/>
    </row>
    <row r="55" spans="1:42" s="69" customFormat="1" ht="12" customHeight="1" outlineLevel="1" x14ac:dyDescent="0.35">
      <c r="A55" s="69" t="s">
        <v>64</v>
      </c>
      <c r="B55" s="69" t="s">
        <v>65</v>
      </c>
      <c r="D55" s="170">
        <v>3.2</v>
      </c>
      <c r="E55" s="134"/>
      <c r="F55" s="324" t="s">
        <v>19</v>
      </c>
      <c r="G55" s="135" cm="1">
        <f t="array" ref="G55">INDEX(Price!$L$11:$AM$182,MATCH(1,(Price!$A$11:$A$182=$A55)*(Price!$B$11:$B$182=$B55)*(Price!$D$11:$D$182="gb"),0),MATCH(1,(Price!$L$3:$AM$3=G$3)*(Price!$L$4:$AM$4=G$4),0))</f>
        <v>1450</v>
      </c>
      <c r="H55" s="135" cm="1">
        <f t="array" ref="H55">INDEX(Price!$L$11:$AM$182,MATCH(1,(Price!$A$11:$A$182=$A55)*(Price!$B$11:$B$182=$B55)*(Price!$D$11:$D$182="gb"),0),MATCH(1,(Price!$L$3:$AM$3=H$3)*(Price!$L$4:$AM$4=H$4),0))</f>
        <v>1450</v>
      </c>
      <c r="I55" s="135" cm="1">
        <f t="array" ref="I55">INDEX(Price!$L$11:$AM$182,MATCH(1,(Price!$A$11:$A$182=$A55)*(Price!$B$11:$B$182=$B55)*(Price!$D$11:$D$182="gb"),0),MATCH(1,(Price!$L$3:$AM$3=I$3)*(Price!$L$4:$AM$4=I$4),0))</f>
        <v>1450</v>
      </c>
      <c r="J55" s="135" cm="1">
        <f t="array" ref="J55">INDEX(Price!$L$11:$AM$182,MATCH(1,(Price!$A$11:$A$182=$A55)*(Price!$B$11:$B$182=$B55)*(Price!$D$11:$D$182="gb"),0),MATCH(1,(Price!$L$3:$AM$3=J$3)*(Price!$L$4:$AM$4=J$4),0))</f>
        <v>1380</v>
      </c>
      <c r="K55" s="135" cm="1">
        <f t="array" ref="K55">INDEX(Price!$L$11:$AM$182,MATCH(1,(Price!$A$11:$A$182=$A55)*(Price!$B$11:$B$182=$B55)*(Price!$D$11:$D$182="gb"),0),MATCH(1,(Price!$L$3:$AM$3=K$3)*(Price!$L$4:$AM$4=K$4),0))</f>
        <v>1380</v>
      </c>
      <c r="L55" s="135" cm="1">
        <f t="array" ref="L55">INDEX(Price!$L$11:$AM$182,MATCH(1,(Price!$A$11:$A$182=$A55)*(Price!$B$11:$B$182=$B55)*(Price!$D$11:$D$182="gb"),0),MATCH(1,(Price!$L$3:$AM$3=L$3)*(Price!$L$4:$AM$4=L$4),0))</f>
        <v>1380</v>
      </c>
      <c r="M55" s="135" cm="1">
        <f t="array" ref="M55">INDEX(Price!$L$11:$AM$182,MATCH(1,(Price!$A$11:$A$182=$A55)*(Price!$B$11:$B$182=$B55)*(Price!$D$11:$D$182="gb"),0),MATCH(1,(Price!$L$3:$AM$3=M$3)*(Price!$L$4:$AM$4=M$4),0))</f>
        <v>1380</v>
      </c>
      <c r="N55" s="135" cm="1">
        <f t="array" ref="N55">INDEX(Price!$L$11:$AM$182,MATCH(1,(Price!$A$11:$A$182=$A55)*(Price!$B$11:$B$182=$B55)*(Price!$D$11:$D$182="gb"),0),MATCH(1,(Price!$L$3:$AM$3=N$3)*(Price!$L$4:$AM$4=N$4),0))</f>
        <v>1380</v>
      </c>
      <c r="O55" s="135" cm="1">
        <f t="array" ref="O55">INDEX(Price!$L$11:$AM$182,MATCH(1,(Price!$A$11:$A$182=$A55)*(Price!$B$11:$B$182=$B55)*(Price!$D$11:$D$182="gb"),0),MATCH(1,(Price!$L$3:$AM$3=O$3)*(Price!$L$4:$AM$4=O$4),0))</f>
        <v>1380</v>
      </c>
      <c r="P55" s="135" cm="1">
        <f t="array" ref="P55">INDEX(Price!$L$11:$AM$182,MATCH(1,(Price!$A$11:$A$182=$A55)*(Price!$B$11:$B$182=$B55)*(Price!$D$11:$D$182="gb"),0),MATCH(1,(Price!$L$3:$AM$3=P$3)*(Price!$L$4:$AM$4=P$4),0))</f>
        <v>1380</v>
      </c>
      <c r="Q55" s="135" cm="1">
        <f t="array" ref="Q55">INDEX(Price!$L$11:$AM$182,MATCH(1,(Price!$A$11:$A$182=$A55)*(Price!$B$11:$B$182=$B55)*(Price!$D$11:$D$182="gb"),0),MATCH(1,(Price!$L$3:$AM$3=Q$3)*(Price!$L$4:$AM$4=Q$4),0))</f>
        <v>1380</v>
      </c>
      <c r="R55" s="136" cm="1">
        <f t="array" ref="R55">INDEX(Price!$L$11:$AM$182,MATCH(1,(Price!$A$11:$A$182=$A55)*(Price!$B$11:$B$182=$B55)*(Price!$D$11:$D$182="gb"),0),MATCH(1,(Price!$L$3:$AM$3=R$3)*(Price!$L$4:$AM$4=R$4),0))</f>
        <v>1380</v>
      </c>
      <c r="S55" s="135" cm="1">
        <f t="array" ref="S55">INDEX(Price!$L$11:$AM$182,MATCH(1,(Price!$A$11:$A$182=$A55)*(Price!$B$11:$B$182=$B55)*(Price!$D$11:$D$182="gb"),0),MATCH(1,(Price!$L$3:$AM$3=S$3)*(Price!$L$4:$AM$4=S$4),0))</f>
        <v>1350</v>
      </c>
      <c r="T55" s="135" cm="1">
        <f t="array" ref="T55">INDEX(Price!$L$11:$AM$182,MATCH(1,(Price!$A$11:$A$182=$A55)*(Price!$B$11:$B$182=$B55)*(Price!$D$11:$D$182="gb"),0),MATCH(1,(Price!$L$3:$AM$3=T$3)*(Price!$L$4:$AM$4=T$4),0))</f>
        <v>1350</v>
      </c>
      <c r="U55" s="135" cm="1">
        <f t="array" ref="U55">INDEX(Price!$L$11:$AM$182,MATCH(1,(Price!$A$11:$A$182=$A55)*(Price!$B$11:$B$182=$B55)*(Price!$D$11:$D$182="gb"),0),MATCH(1,(Price!$L$3:$AM$3=U$3)*(Price!$L$4:$AM$4=U$4),0))</f>
        <v>1350</v>
      </c>
      <c r="V55" s="135" cm="1">
        <f t="array" ref="V55">INDEX(Price!$L$11:$AM$182,MATCH(1,(Price!$A$11:$A$182=$A55)*(Price!$B$11:$B$182=$B55)*(Price!$D$11:$D$182="gb"),0),MATCH(1,(Price!$L$3:$AM$3=V$3)*(Price!$L$4:$AM$4=V$4),0))</f>
        <v>1300</v>
      </c>
      <c r="W55" s="135" cm="1">
        <f t="array" ref="W55">INDEX(Price!$L$11:$AM$182,MATCH(1,(Price!$A$11:$A$182=$A55)*(Price!$B$11:$B$182=$B55)*(Price!$D$11:$D$182="gb"),0),MATCH(1,(Price!$L$3:$AM$3=W$3)*(Price!$L$4:$AM$4=W$4),0))</f>
        <v>1300</v>
      </c>
      <c r="X55" s="135" cm="1">
        <f t="array" ref="X55">INDEX(Price!$L$11:$AM$182,MATCH(1,(Price!$A$11:$A$182=$A55)*(Price!$B$11:$B$182=$B55)*(Price!$D$11:$D$182="gb"),0),MATCH(1,(Price!$L$3:$AM$3=X$3)*(Price!$L$4:$AM$4=X$4),0))</f>
        <v>1300</v>
      </c>
      <c r="Y55" s="135" cm="1">
        <f t="array" ref="Y55">INDEX(Price!$L$11:$AM$182,MATCH(1,(Price!$A$11:$A$182=$A55)*(Price!$B$11:$B$182=$B55)*(Price!$D$11:$D$182="gb"),0),MATCH(1,(Price!$L$3:$AM$3=Y$3)*(Price!$L$4:$AM$4=Y$4),0))</f>
        <v>1330</v>
      </c>
      <c r="Z55" s="135" cm="1">
        <f t="array" ref="Z55">INDEX(Price!$L$11:$AM$182,MATCH(1,(Price!$A$11:$A$182=$A55)*(Price!$B$11:$B$182=$B55)*(Price!$D$11:$D$182="gb"),0),MATCH(1,(Price!$L$3:$AM$3=Z$3)*(Price!$L$4:$AM$4=Z$4),0))</f>
        <v>1330</v>
      </c>
      <c r="AA55" s="135" cm="1">
        <f t="array" ref="AA55">INDEX(Price!$L$11:$AM$182,MATCH(1,(Price!$A$11:$A$182=$A55)*(Price!$B$11:$B$182=$B55)*(Price!$D$11:$D$182="gb"),0),MATCH(1,(Price!$L$3:$AM$3=AA$3)*(Price!$L$4:$AM$4=AA$4),0))</f>
        <v>1330</v>
      </c>
      <c r="AB55" s="135" cm="1">
        <f t="array" ref="AB55">INDEX(Price!$L$11:$AM$182,MATCH(1,(Price!$A$11:$A$182=$A55)*(Price!$B$11:$B$182=$B55)*(Price!$D$11:$D$182="gb"),0),MATCH(1,(Price!$L$3:$AM$3=AB$3)*(Price!$L$4:$AM$4=AB$4),0))</f>
        <v>1330</v>
      </c>
      <c r="AC55" s="135" cm="1">
        <f t="array" ref="AC55">INDEX(Price!$L$11:$AM$182,MATCH(1,(Price!$A$11:$A$182=$A55)*(Price!$B$11:$B$182=$B55)*(Price!$D$11:$D$182="gb"),0),MATCH(1,(Price!$L$3:$AM$3=AC$3)*(Price!$L$4:$AM$4=AC$4),0))</f>
        <v>1330</v>
      </c>
      <c r="AD55" s="136" cm="1">
        <f t="array" ref="AD55">INDEX(Price!$L$11:$AM$182,MATCH(1,(Price!$A$11:$A$182=$A55)*(Price!$B$11:$B$182=$B55)*(Price!$D$11:$D$182="gb"),0),MATCH(1,(Price!$L$3:$AM$3=AD$3)*(Price!$L$4:$AM$4=AD$4),0))</f>
        <v>1330</v>
      </c>
      <c r="AE55" s="135"/>
      <c r="AF55" s="135"/>
      <c r="AG55" s="135"/>
      <c r="AH55" s="135"/>
      <c r="AI55" s="135"/>
      <c r="AJ55" s="135"/>
      <c r="AK55" s="135"/>
      <c r="AL55" s="135"/>
      <c r="AM55" s="135"/>
      <c r="AN55" s="135"/>
      <c r="AO55" s="135"/>
      <c r="AP55" s="136"/>
    </row>
    <row r="56" spans="1:42" s="1" customFormat="1" ht="12" customHeight="1" outlineLevel="1" x14ac:dyDescent="0.35">
      <c r="A56" s="1" t="s">
        <v>64</v>
      </c>
      <c r="B56" s="1" t="s">
        <v>65</v>
      </c>
      <c r="C56" s="143" t="s">
        <v>322</v>
      </c>
      <c r="D56" s="171">
        <v>3.21</v>
      </c>
      <c r="E56" s="144"/>
      <c r="F56" s="325" t="s">
        <v>8</v>
      </c>
      <c r="G56" s="145" cm="1">
        <f t="array" ref="G56">INDEX(Price!$L$11:$AM$182,MATCH(1,(Price!$A$11:$A$182=$A56)*(Price!$B$11:$B$182=$B56)*(Price!$D$11:$D$182="exw"),0),MATCH(1,(Price!$L$3:$AM$3=G$3)*(Price!$L$4:$AM$4=G$4),0))</f>
        <v>1437.795918367347</v>
      </c>
      <c r="H56" s="145" cm="1">
        <f t="array" ref="H56">INDEX(Price!$L$11:$AM$182,MATCH(1,(Price!$A$11:$A$182=$A56)*(Price!$B$11:$B$182=$B56)*(Price!$D$11:$D$182="exw"),0),MATCH(1,(Price!$L$3:$AM$3=H$3)*(Price!$L$4:$AM$4=H$4),0))</f>
        <v>1437.795918367347</v>
      </c>
      <c r="I56" s="145" cm="1">
        <f t="array" ref="I56">INDEX(Price!$L$11:$AM$182,MATCH(1,(Price!$A$11:$A$182=$A56)*(Price!$B$11:$B$182=$B56)*(Price!$D$11:$D$182="exw"),0),MATCH(1,(Price!$L$3:$AM$3=I$3)*(Price!$L$4:$AM$4=I$4),0))</f>
        <v>1437.795918367347</v>
      </c>
      <c r="J56" s="145" cm="1">
        <f t="array" ref="J56">INDEX(Price!$L$11:$AM$182,MATCH(1,(Price!$A$11:$A$182=$A56)*(Price!$B$11:$B$182=$B56)*(Price!$D$11:$D$182="exw"),0),MATCH(1,(Price!$L$3:$AM$3=J$3)*(Price!$L$4:$AM$4=J$4),0))</f>
        <v>1367.795918367347</v>
      </c>
      <c r="K56" s="145" cm="1">
        <f t="array" ref="K56">INDEX(Price!$L$11:$AM$182,MATCH(1,(Price!$A$11:$A$182=$A56)*(Price!$B$11:$B$182=$B56)*(Price!$D$11:$D$182="exw"),0),MATCH(1,(Price!$L$3:$AM$3=K$3)*(Price!$L$4:$AM$4=K$4),0))</f>
        <v>1367.795918367347</v>
      </c>
      <c r="L56" s="145" cm="1">
        <f t="array" ref="L56">INDEX(Price!$L$11:$AM$182,MATCH(1,(Price!$A$11:$A$182=$A56)*(Price!$B$11:$B$182=$B56)*(Price!$D$11:$D$182="exw"),0),MATCH(1,(Price!$L$3:$AM$3=L$3)*(Price!$L$4:$AM$4=L$4),0))</f>
        <v>1367.795918367347</v>
      </c>
      <c r="M56" s="145" cm="1">
        <f t="array" ref="M56">INDEX(Price!$L$11:$AM$182,MATCH(1,(Price!$A$11:$A$182=$A56)*(Price!$B$11:$B$182=$B56)*(Price!$D$11:$D$182="exw"),0),MATCH(1,(Price!$L$3:$AM$3=M$3)*(Price!$L$4:$AM$4=M$4),0))</f>
        <v>1368.04</v>
      </c>
      <c r="N56" s="145" cm="1">
        <f t="array" ref="N56">INDEX(Price!$L$11:$AM$182,MATCH(1,(Price!$A$11:$A$182=$A56)*(Price!$B$11:$B$182=$B56)*(Price!$D$11:$D$182="exw"),0),MATCH(1,(Price!$L$3:$AM$3=N$3)*(Price!$L$4:$AM$4=N$4),0))</f>
        <v>1368.04</v>
      </c>
      <c r="O56" s="145" cm="1">
        <f t="array" ref="O56">INDEX(Price!$L$11:$AM$182,MATCH(1,(Price!$A$11:$A$182=$A56)*(Price!$B$11:$B$182=$B56)*(Price!$D$11:$D$182="exw"),0),MATCH(1,(Price!$L$3:$AM$3=O$3)*(Price!$L$4:$AM$4=O$4),0))</f>
        <v>1368.04</v>
      </c>
      <c r="P56" s="145" cm="1">
        <f t="array" ref="P56">INDEX(Price!$L$11:$AM$182,MATCH(1,(Price!$A$11:$A$182=$A56)*(Price!$B$11:$B$182=$B56)*(Price!$D$11:$D$182="exw"),0),MATCH(1,(Price!$L$3:$AM$3=P$3)*(Price!$L$4:$AM$4=P$4),0))</f>
        <v>1368.04</v>
      </c>
      <c r="Q56" s="145" cm="1">
        <f t="array" ref="Q56">INDEX(Price!$L$11:$AM$182,MATCH(1,(Price!$A$11:$A$182=$A56)*(Price!$B$11:$B$182=$B56)*(Price!$D$11:$D$182="exw"),0),MATCH(1,(Price!$L$3:$AM$3=Q$3)*(Price!$L$4:$AM$4=Q$4),0))</f>
        <v>1368.04</v>
      </c>
      <c r="R56" s="146" cm="1">
        <f t="array" ref="R56">INDEX(Price!$L$11:$AM$182,MATCH(1,(Price!$A$11:$A$182=$A56)*(Price!$B$11:$B$182=$B56)*(Price!$D$11:$D$182="exw"),0),MATCH(1,(Price!$L$3:$AM$3=R$3)*(Price!$L$4:$AM$4=R$4),0))</f>
        <v>1368.04</v>
      </c>
      <c r="S56" s="145" cm="1">
        <f t="array" ref="S56">INDEX(Price!$L$11:$AM$182,MATCH(1,(Price!$A$11:$A$182=$A56)*(Price!$B$11:$B$182=$B56)*(Price!$D$11:$D$182="exw"),0),MATCH(1,(Price!$L$3:$AM$3=S$3)*(Price!$L$4:$AM$4=S$4),0))</f>
        <v>1338.04</v>
      </c>
      <c r="T56" s="145" cm="1">
        <f t="array" ref="T56">INDEX(Price!$L$11:$AM$182,MATCH(1,(Price!$A$11:$A$182=$A56)*(Price!$B$11:$B$182=$B56)*(Price!$D$11:$D$182="exw"),0),MATCH(1,(Price!$L$3:$AM$3=T$3)*(Price!$L$4:$AM$4=T$4),0))</f>
        <v>1338.04</v>
      </c>
      <c r="U56" s="145" cm="1">
        <f t="array" ref="U56">INDEX(Price!$L$11:$AM$182,MATCH(1,(Price!$A$11:$A$182=$A56)*(Price!$B$11:$B$182=$B56)*(Price!$D$11:$D$182="exw"),0),MATCH(1,(Price!$L$3:$AM$3=U$3)*(Price!$L$4:$AM$4=U$4),0))</f>
        <v>1338.04</v>
      </c>
      <c r="V56" s="145" cm="1">
        <f t="array" ref="V56">INDEX(Price!$L$11:$AM$182,MATCH(1,(Price!$A$11:$A$182=$A56)*(Price!$B$11:$B$182=$B56)*(Price!$D$11:$D$182="exw"),0),MATCH(1,(Price!$L$3:$AM$3=V$3)*(Price!$L$4:$AM$4=V$4),0))</f>
        <v>1288.04</v>
      </c>
      <c r="W56" s="145" cm="1">
        <f t="array" ref="W56">INDEX(Price!$L$11:$AM$182,MATCH(1,(Price!$A$11:$A$182=$A56)*(Price!$B$11:$B$182=$B56)*(Price!$D$11:$D$182="exw"),0),MATCH(1,(Price!$L$3:$AM$3=W$3)*(Price!$L$4:$AM$4=W$4),0))</f>
        <v>1288.04</v>
      </c>
      <c r="X56" s="145" cm="1">
        <f t="array" ref="X56">INDEX(Price!$L$11:$AM$182,MATCH(1,(Price!$A$11:$A$182=$A56)*(Price!$B$11:$B$182=$B56)*(Price!$D$11:$D$182="exw"),0),MATCH(1,(Price!$L$3:$AM$3=X$3)*(Price!$L$4:$AM$4=X$4),0))</f>
        <v>1288.04</v>
      </c>
      <c r="Y56" s="145" cm="1">
        <f t="array" ref="Y56">INDEX(Price!$L$11:$AM$182,MATCH(1,(Price!$A$11:$A$182=$A56)*(Price!$B$11:$B$182=$B56)*(Price!$D$11:$D$182="exw"),0),MATCH(1,(Price!$L$3:$AM$3=Y$3)*(Price!$L$4:$AM$4=Y$4),0))</f>
        <v>1318.04</v>
      </c>
      <c r="Z56" s="145" cm="1">
        <f t="array" ref="Z56">INDEX(Price!$L$11:$AM$182,MATCH(1,(Price!$A$11:$A$182=$A56)*(Price!$B$11:$B$182=$B56)*(Price!$D$11:$D$182="exw"),0),MATCH(1,(Price!$L$3:$AM$3=Z$3)*(Price!$L$4:$AM$4=Z$4),0))</f>
        <v>1318.04</v>
      </c>
      <c r="AA56" s="145" cm="1">
        <f t="array" ref="AA56">INDEX(Price!$L$11:$AM$182,MATCH(1,(Price!$A$11:$A$182=$A56)*(Price!$B$11:$B$182=$B56)*(Price!$D$11:$D$182="exw"),0),MATCH(1,(Price!$L$3:$AM$3=AA$3)*(Price!$L$4:$AM$4=AA$4),0))</f>
        <v>1318.04</v>
      </c>
      <c r="AB56" s="145" cm="1">
        <f t="array" ref="AB56">INDEX(Price!$L$11:$AM$182,MATCH(1,(Price!$A$11:$A$182=$A56)*(Price!$B$11:$B$182=$B56)*(Price!$D$11:$D$182="exw"),0),MATCH(1,(Price!$L$3:$AM$3=AB$3)*(Price!$L$4:$AM$4=AB$4),0))</f>
        <v>1318.04</v>
      </c>
      <c r="AC56" s="145" cm="1">
        <f t="array" ref="AC56">INDEX(Price!$L$11:$AM$182,MATCH(1,(Price!$A$11:$A$182=$A56)*(Price!$B$11:$B$182=$B56)*(Price!$D$11:$D$182="exw"),0),MATCH(1,(Price!$L$3:$AM$3=AC$3)*(Price!$L$4:$AM$4=AC$4),0))</f>
        <v>1318.04</v>
      </c>
      <c r="AD56" s="146" cm="1">
        <f t="array" ref="AD56">INDEX(Price!$L$11:$AM$182,MATCH(1,(Price!$A$11:$A$182=$A56)*(Price!$B$11:$B$182=$B56)*(Price!$D$11:$D$182="exw"),0),MATCH(1,(Price!$L$3:$AM$3=AD$3)*(Price!$L$4:$AM$4=AD$4),0))</f>
        <v>1318.04</v>
      </c>
      <c r="AE56" s="145"/>
      <c r="AF56" s="145"/>
      <c r="AG56" s="145"/>
      <c r="AH56" s="145"/>
      <c r="AI56" s="145"/>
      <c r="AJ56" s="145"/>
      <c r="AK56" s="145"/>
      <c r="AL56" s="145"/>
      <c r="AM56" s="145"/>
      <c r="AN56" s="145"/>
      <c r="AO56" s="145"/>
      <c r="AP56" s="146"/>
    </row>
    <row r="57" spans="1:42" ht="12" customHeight="1" outlineLevel="1" x14ac:dyDescent="0.35">
      <c r="A57" t="s">
        <v>64</v>
      </c>
      <c r="B57" t="s">
        <v>65</v>
      </c>
      <c r="C57" s="14" t="s">
        <v>21</v>
      </c>
      <c r="D57" s="172">
        <v>3.22</v>
      </c>
      <c r="E57" s="8"/>
      <c r="F57" s="326" t="s">
        <v>11</v>
      </c>
      <c r="G57" s="320" cm="1">
        <f t="array" ref="G57">SUMPRODUCT(General_Data*(Code_General_Data=$C57)*(Year=G$3)*(Month=G$4))</f>
        <v>940</v>
      </c>
      <c r="H57" s="132" cm="1">
        <f t="array" ref="H57">SUMPRODUCT(General_Data*(Code_General_Data=$C57)*(Year=H$3)*(Month=H$4))</f>
        <v>993.33333333333337</v>
      </c>
      <c r="I57" s="132" cm="1">
        <f t="array" ref="I57">SUMPRODUCT(General_Data*(Code_General_Data=$C57)*(Year=I$3)*(Month=I$4))</f>
        <v>985</v>
      </c>
      <c r="J57" s="132" cm="1">
        <f t="array" ref="J57">SUMPRODUCT(General_Data*(Code_General_Data=$C57)*(Year=J$3)*(Month=J$4))</f>
        <v>962.5</v>
      </c>
      <c r="K57" s="132" cm="1">
        <f t="array" ref="K57">SUMPRODUCT(General_Data*(Code_General_Data=$C57)*(Year=K$3)*(Month=K$4))</f>
        <v>982</v>
      </c>
      <c r="L57" s="132" cm="1">
        <f t="array" ref="L57">SUMPRODUCT(General_Data*(Code_General_Data=$C57)*(Year=L$3)*(Month=L$4))</f>
        <v>1000</v>
      </c>
      <c r="M57" s="132" cm="1">
        <f t="array" ref="M57">SUMPRODUCT(General_Data*(Code_General_Data=$C57)*(Year=M$3)*(Month=M$4))</f>
        <v>1000</v>
      </c>
      <c r="N57" s="132" cm="1">
        <f t="array" ref="N57">SUMPRODUCT(General_Data*(Code_General_Data=$C57)*(Year=N$3)*(Month=N$4))</f>
        <v>984</v>
      </c>
      <c r="O57" s="132" cm="1">
        <f t="array" ref="O57">SUMPRODUCT(General_Data*(Code_General_Data=$C57)*(Year=O$3)*(Month=O$4))</f>
        <v>967.5</v>
      </c>
      <c r="P57" s="132" cm="1">
        <f t="array" ref="P57">SUMPRODUCT(General_Data*(Code_General_Data=$C57)*(Year=P$3)*(Month=P$4))</f>
        <v>965</v>
      </c>
      <c r="Q57" s="132" cm="1">
        <f t="array" ref="Q57">SUMPRODUCT(General_Data*(Code_General_Data=$C57)*(Year=Q$3)*(Month=Q$4))</f>
        <v>974</v>
      </c>
      <c r="R57" s="133" cm="1">
        <f t="array" ref="R57">SUMPRODUCT(General_Data*(Code_General_Data=$C57)*(Year=R$3)*(Month=R$4))</f>
        <v>956</v>
      </c>
      <c r="S57" s="132" cm="1">
        <f t="array" ref="S57">SUMPRODUCT(General_Data*(Code_General_Data=$C57)*(Year=S$3)*(Month=S$4))</f>
        <v>940</v>
      </c>
      <c r="T57" s="132" cm="1">
        <f t="array" ref="T57">SUMPRODUCT(General_Data*(Code_General_Data=$C57)*(Year=T$3)*(Month=T$4))</f>
        <v>918</v>
      </c>
      <c r="U57" s="132" cm="1">
        <f t="array" ref="U57">SUMPRODUCT(General_Data*(Code_General_Data=$C57)*(Year=U$3)*(Month=U$4))</f>
        <v>896</v>
      </c>
      <c r="V57" s="132" cm="1">
        <f t="array" ref="V57">SUMPRODUCT(General_Data*(Code_General_Data=$C57)*(Year=V$3)*(Month=V$4))</f>
        <v>891.5</v>
      </c>
      <c r="W57" s="132" cm="1">
        <f t="array" ref="W57">SUMPRODUCT(General_Data*(Code_General_Data=$C57)*(Year=W$3)*(Month=W$4))</f>
        <v>864</v>
      </c>
      <c r="X57" s="132" cm="1">
        <f t="array" ref="X57">SUMPRODUCT(General_Data*(Code_General_Data=$C57)*(Year=X$3)*(Month=X$4))</f>
        <v>833</v>
      </c>
      <c r="Y57" s="132" cm="1">
        <f t="array" ref="Y57">SUMPRODUCT(General_Data*(Code_General_Data=$C57)*(Year=Y$3)*(Month=Y$4))</f>
        <v>833</v>
      </c>
      <c r="Z57" s="132" cm="1">
        <f t="array" ref="Z57">SUMPRODUCT(General_Data*(Code_General_Data=$C57)*(Year=Z$3)*(Month=Z$4))</f>
        <v>815</v>
      </c>
      <c r="AA57" s="132" cm="1">
        <f t="array" ref="AA57">SUMPRODUCT(General_Data*(Code_General_Data=$C57)*(Year=AA$3)*(Month=AA$4))</f>
        <v>813</v>
      </c>
      <c r="AB57" s="132" cm="1">
        <f t="array" ref="AB57">SUMPRODUCT(General_Data*(Code_General_Data=$C57)*(Year=AB$3)*(Month=AB$4))</f>
        <v>805</v>
      </c>
      <c r="AC57" s="132" cm="1">
        <f t="array" ref="AC57">SUMPRODUCT(General_Data*(Code_General_Data=$C57)*(Year=AC$3)*(Month=AC$4))</f>
        <v>805</v>
      </c>
      <c r="AD57" s="133" cm="1">
        <f t="array" ref="AD57">SUMPRODUCT(General_Data*(Code_General_Data=$C57)*(Year=AD$3)*(Month=AD$4))</f>
        <v>805</v>
      </c>
      <c r="AE57" s="132"/>
      <c r="AF57" s="132"/>
      <c r="AG57" s="132"/>
      <c r="AH57" s="132"/>
      <c r="AI57" s="132"/>
      <c r="AJ57" s="132"/>
      <c r="AK57" s="132"/>
      <c r="AL57" s="132"/>
      <c r="AM57" s="132"/>
      <c r="AN57" s="132"/>
      <c r="AO57" s="132"/>
      <c r="AP57" s="133"/>
    </row>
    <row r="58" spans="1:42" s="152" customFormat="1" ht="12" customHeight="1" outlineLevel="1" x14ac:dyDescent="0.35">
      <c r="A58" s="152" t="s">
        <v>64</v>
      </c>
      <c r="B58" s="152" t="s">
        <v>65</v>
      </c>
      <c r="D58" s="173">
        <v>3.23</v>
      </c>
      <c r="E58" s="153"/>
      <c r="F58" s="327" t="s">
        <v>430</v>
      </c>
      <c r="G58" s="154">
        <f t="shared" ref="G58:AD58" si="14">IF(G55*G56*G57&lt;&gt;0,G56-G57,0)</f>
        <v>497.79591836734699</v>
      </c>
      <c r="H58" s="154">
        <f t="shared" si="14"/>
        <v>444.46258503401361</v>
      </c>
      <c r="I58" s="154">
        <f t="shared" si="14"/>
        <v>452.79591836734699</v>
      </c>
      <c r="J58" s="154">
        <f t="shared" si="14"/>
        <v>405.29591836734699</v>
      </c>
      <c r="K58" s="154">
        <f t="shared" si="14"/>
        <v>385.79591836734699</v>
      </c>
      <c r="L58" s="154">
        <f t="shared" si="14"/>
        <v>367.79591836734699</v>
      </c>
      <c r="M58" s="154">
        <f t="shared" si="14"/>
        <v>368.03999999999996</v>
      </c>
      <c r="N58" s="154">
        <f t="shared" si="14"/>
        <v>384.03999999999996</v>
      </c>
      <c r="O58" s="154">
        <f t="shared" si="14"/>
        <v>400.53999999999996</v>
      </c>
      <c r="P58" s="154">
        <f t="shared" si="14"/>
        <v>403.03999999999996</v>
      </c>
      <c r="Q58" s="154">
        <f t="shared" si="14"/>
        <v>394.03999999999996</v>
      </c>
      <c r="R58" s="155">
        <f t="shared" si="14"/>
        <v>412.03999999999996</v>
      </c>
      <c r="S58" s="154">
        <f t="shared" si="14"/>
        <v>398.03999999999996</v>
      </c>
      <c r="T58" s="154">
        <f t="shared" si="14"/>
        <v>420.03999999999996</v>
      </c>
      <c r="U58" s="154">
        <f t="shared" si="14"/>
        <v>442.03999999999996</v>
      </c>
      <c r="V58" s="154">
        <f t="shared" si="14"/>
        <v>396.53999999999996</v>
      </c>
      <c r="W58" s="154">
        <f t="shared" si="14"/>
        <v>424.03999999999996</v>
      </c>
      <c r="X58" s="154">
        <f t="shared" si="14"/>
        <v>455.03999999999996</v>
      </c>
      <c r="Y58" s="154">
        <f t="shared" si="14"/>
        <v>485.03999999999996</v>
      </c>
      <c r="Z58" s="154">
        <f t="shared" si="14"/>
        <v>503.03999999999996</v>
      </c>
      <c r="AA58" s="154">
        <f t="shared" si="14"/>
        <v>505.03999999999996</v>
      </c>
      <c r="AB58" s="154">
        <f t="shared" si="14"/>
        <v>513.04</v>
      </c>
      <c r="AC58" s="154">
        <f t="shared" si="14"/>
        <v>513.04</v>
      </c>
      <c r="AD58" s="155">
        <f t="shared" si="14"/>
        <v>513.04</v>
      </c>
      <c r="AE58" s="154"/>
      <c r="AF58" s="154"/>
      <c r="AG58" s="154"/>
      <c r="AH58" s="154"/>
      <c r="AI58" s="154"/>
      <c r="AJ58" s="154"/>
      <c r="AK58" s="154"/>
      <c r="AL58" s="154"/>
      <c r="AM58" s="154"/>
      <c r="AN58" s="154"/>
      <c r="AO58" s="154"/>
      <c r="AP58" s="155"/>
    </row>
    <row r="59" spans="1:42" s="156" customFormat="1" ht="12" customHeight="1" outlineLevel="1" x14ac:dyDescent="0.35">
      <c r="A59" s="156" t="s">
        <v>64</v>
      </c>
      <c r="B59" s="156" t="s">
        <v>65</v>
      </c>
      <c r="D59" s="174">
        <v>3.24</v>
      </c>
      <c r="E59" s="157"/>
      <c r="F59" s="328" t="s">
        <v>14</v>
      </c>
      <c r="G59" s="158">
        <f t="shared" ref="G59:AD59" si="15">IFERROR(G58/G57,0)</f>
        <v>0.52957012592270958</v>
      </c>
      <c r="H59" s="158">
        <f t="shared" si="15"/>
        <v>0.44744555540336939</v>
      </c>
      <c r="I59" s="158">
        <f t="shared" si="15"/>
        <v>0.45969128768258577</v>
      </c>
      <c r="J59" s="158">
        <f t="shared" si="15"/>
        <v>0.42108666843360726</v>
      </c>
      <c r="K59" s="158">
        <f t="shared" si="15"/>
        <v>0.3928675339789684</v>
      </c>
      <c r="L59" s="158">
        <f t="shared" si="15"/>
        <v>0.36779591836734699</v>
      </c>
      <c r="M59" s="158">
        <f t="shared" si="15"/>
        <v>0.36803999999999998</v>
      </c>
      <c r="N59" s="158">
        <f t="shared" si="15"/>
        <v>0.39028455284552843</v>
      </c>
      <c r="O59" s="158">
        <f t="shared" si="15"/>
        <v>0.41399483204134363</v>
      </c>
      <c r="P59" s="158">
        <f t="shared" si="15"/>
        <v>0.41765803108808286</v>
      </c>
      <c r="Q59" s="158">
        <f t="shared" si="15"/>
        <v>0.40455852156057492</v>
      </c>
      <c r="R59" s="159">
        <f t="shared" si="15"/>
        <v>0.43100418410041835</v>
      </c>
      <c r="S59" s="158">
        <f t="shared" si="15"/>
        <v>0.42344680851063826</v>
      </c>
      <c r="T59" s="158">
        <f t="shared" si="15"/>
        <v>0.45755991285403047</v>
      </c>
      <c r="U59" s="158">
        <f t="shared" si="15"/>
        <v>0.49334821428571424</v>
      </c>
      <c r="V59" s="158">
        <f t="shared" si="15"/>
        <v>0.44480089736399325</v>
      </c>
      <c r="W59" s="158">
        <f t="shared" si="15"/>
        <v>0.49078703703703702</v>
      </c>
      <c r="X59" s="158">
        <f t="shared" si="15"/>
        <v>0.54626650660264098</v>
      </c>
      <c r="Y59" s="158">
        <f t="shared" si="15"/>
        <v>0.58228091236494595</v>
      </c>
      <c r="Z59" s="158">
        <f t="shared" si="15"/>
        <v>0.61722699386503066</v>
      </c>
      <c r="AA59" s="158">
        <f t="shared" si="15"/>
        <v>0.6212054120541205</v>
      </c>
      <c r="AB59" s="158">
        <f t="shared" si="15"/>
        <v>0.63731677018633537</v>
      </c>
      <c r="AC59" s="158">
        <f t="shared" si="15"/>
        <v>0.63731677018633537</v>
      </c>
      <c r="AD59" s="159">
        <f t="shared" si="15"/>
        <v>0.63731677018633537</v>
      </c>
      <c r="AE59" s="158"/>
      <c r="AF59" s="158"/>
      <c r="AG59" s="158"/>
      <c r="AH59" s="158"/>
      <c r="AI59" s="158"/>
      <c r="AJ59" s="158"/>
      <c r="AK59" s="158"/>
      <c r="AL59" s="158"/>
      <c r="AM59" s="158"/>
      <c r="AN59" s="158"/>
      <c r="AO59" s="158"/>
      <c r="AP59" s="159"/>
    </row>
    <row r="60" spans="1:42" s="137" customFormat="1" ht="12" customHeight="1" outlineLevel="1" x14ac:dyDescent="0.35">
      <c r="A60" s="137" t="s">
        <v>64</v>
      </c>
      <c r="B60" s="137" t="s">
        <v>65</v>
      </c>
      <c r="C60" s="137" t="s">
        <v>65</v>
      </c>
      <c r="D60" s="175">
        <v>3.25</v>
      </c>
      <c r="E60" s="138"/>
      <c r="F60" s="329" t="s">
        <v>203</v>
      </c>
      <c r="G60" s="139" cm="1">
        <f t="array" ref="G60">SUMPRODUCT(General_Data*(Code_General_Data=$C60)*(Year=G$3)*(Month=G$4))</f>
        <v>1350</v>
      </c>
      <c r="H60" s="139" cm="1">
        <f t="array" ref="H60">SUMPRODUCT(General_Data*(Code_General_Data=$C60)*(Year=H$3)*(Month=H$4))</f>
        <v>1350</v>
      </c>
      <c r="I60" s="139" cm="1">
        <f t="array" ref="I60">SUMPRODUCT(General_Data*(Code_General_Data=$C60)*(Year=I$3)*(Month=I$4))</f>
        <v>1350</v>
      </c>
      <c r="J60" s="139" cm="1">
        <f t="array" ref="J60">SUMPRODUCT(General_Data*(Code_General_Data=$C60)*(Year=J$3)*(Month=J$4))</f>
        <v>1350</v>
      </c>
      <c r="K60" s="139" cm="1">
        <f t="array" ref="K60">SUMPRODUCT(General_Data*(Code_General_Data=$C60)*(Year=K$3)*(Month=K$4))</f>
        <v>1350</v>
      </c>
      <c r="L60" s="139" cm="1">
        <f t="array" ref="L60">SUMPRODUCT(General_Data*(Code_General_Data=$C60)*(Year=L$3)*(Month=L$4))</f>
        <v>1350</v>
      </c>
      <c r="M60" s="139" cm="1">
        <f t="array" ref="M60">SUMPRODUCT(General_Data*(Code_General_Data=$C60)*(Year=M$3)*(Month=M$4))</f>
        <v>1350</v>
      </c>
      <c r="N60" s="139" cm="1">
        <f t="array" ref="N60">SUMPRODUCT(General_Data*(Code_General_Data=$C60)*(Year=N$3)*(Month=N$4))</f>
        <v>1350</v>
      </c>
      <c r="O60" s="139" cm="1">
        <f t="array" ref="O60">SUMPRODUCT(General_Data*(Code_General_Data=$C60)*(Year=O$3)*(Month=O$4))</f>
        <v>1350</v>
      </c>
      <c r="P60" s="139" cm="1">
        <f t="array" ref="P60">SUMPRODUCT(General_Data*(Code_General_Data=$C60)*(Year=P$3)*(Month=P$4))</f>
        <v>1350</v>
      </c>
      <c r="Q60" s="139" cm="1">
        <f t="array" ref="Q60">SUMPRODUCT(General_Data*(Code_General_Data=$C60)*(Year=Q$3)*(Month=Q$4))</f>
        <v>1350</v>
      </c>
      <c r="R60" s="140" cm="1">
        <f t="array" ref="R60">SUMPRODUCT(General_Data*(Code_General_Data=$C60)*(Year=R$3)*(Month=R$4))</f>
        <v>1350</v>
      </c>
      <c r="S60" s="139" cm="1">
        <f t="array" ref="S60">SUMPRODUCT(General_Data*(Code_General_Data=$C60)*(Year=S$3)*(Month=S$4))</f>
        <v>1350</v>
      </c>
      <c r="T60" s="139" cm="1">
        <f t="array" ref="T60">SUMPRODUCT(General_Data*(Code_General_Data=$C60)*(Year=T$3)*(Month=T$4))</f>
        <v>1350</v>
      </c>
      <c r="U60" s="139" cm="1">
        <f t="array" ref="U60">SUMPRODUCT(General_Data*(Code_General_Data=$C60)*(Year=U$3)*(Month=U$4))</f>
        <v>1300</v>
      </c>
      <c r="V60" s="139" cm="1">
        <f t="array" ref="V60">SUMPRODUCT(General_Data*(Code_General_Data=$C60)*(Year=V$3)*(Month=V$4))</f>
        <v>1300</v>
      </c>
      <c r="W60" s="139" cm="1">
        <f t="array" ref="W60">SUMPRODUCT(General_Data*(Code_General_Data=$C60)*(Year=W$3)*(Month=W$4))</f>
        <v>1300</v>
      </c>
      <c r="X60" s="139" cm="1">
        <f t="array" ref="X60">SUMPRODUCT(General_Data*(Code_General_Data=$C60)*(Year=X$3)*(Month=X$4))</f>
        <v>1300</v>
      </c>
      <c r="Y60" s="139" cm="1">
        <f t="array" ref="Y60">SUMPRODUCT(General_Data*(Code_General_Data=$C60)*(Year=Y$3)*(Month=Y$4))</f>
        <v>1300</v>
      </c>
      <c r="Z60" s="139" cm="1">
        <f t="array" ref="Z60">SUMPRODUCT(General_Data*(Code_General_Data=$C60)*(Year=Z$3)*(Month=Z$4))</f>
        <v>1280</v>
      </c>
      <c r="AA60" s="139" cm="1">
        <f t="array" ref="AA60">SUMPRODUCT(General_Data*(Code_General_Data=$C60)*(Year=AA$3)*(Month=AA$4))</f>
        <v>1260</v>
      </c>
      <c r="AB60" s="139" cm="1">
        <f t="array" ref="AB60">SUMPRODUCT(General_Data*(Code_General_Data=$C60)*(Year=AB$3)*(Month=AB$4))</f>
        <v>1260</v>
      </c>
      <c r="AC60" s="139" cm="1">
        <f t="array" ref="AC60">SUMPRODUCT(General_Data*(Code_General_Data=$C60)*(Year=AC$3)*(Month=AC$4))</f>
        <v>1250</v>
      </c>
      <c r="AD60" s="140" cm="1">
        <f t="array" ref="AD60">SUMPRODUCT(General_Data*(Code_General_Data=$C60)*(Year=AD$3)*(Month=AD$4))</f>
        <v>1250</v>
      </c>
      <c r="AE60" s="139"/>
      <c r="AF60" s="139"/>
      <c r="AG60" s="139"/>
      <c r="AH60" s="139"/>
      <c r="AI60" s="139"/>
      <c r="AJ60" s="139"/>
      <c r="AK60" s="139"/>
      <c r="AL60" s="139"/>
      <c r="AM60" s="139"/>
      <c r="AN60" s="139"/>
      <c r="AO60" s="139"/>
      <c r="AP60" s="140"/>
    </row>
    <row r="61" spans="1:42" ht="3.65" customHeight="1" x14ac:dyDescent="0.35">
      <c r="D61" s="168"/>
    </row>
    <row r="62" spans="1:42" s="127" customFormat="1" ht="15.65" customHeight="1" x14ac:dyDescent="0.4">
      <c r="A62" s="127" t="s">
        <v>40</v>
      </c>
      <c r="C62" s="131"/>
      <c r="D62" s="169" t="s">
        <v>392</v>
      </c>
      <c r="E62" s="130" t="s">
        <v>26</v>
      </c>
      <c r="F62" s="322"/>
      <c r="G62" s="130"/>
      <c r="H62" s="130"/>
      <c r="I62" s="130"/>
      <c r="J62" s="130"/>
      <c r="K62" s="130"/>
      <c r="L62" s="130"/>
      <c r="M62" s="130"/>
      <c r="N62" s="130"/>
      <c r="O62" s="130"/>
      <c r="P62" s="130"/>
      <c r="Q62" s="130"/>
      <c r="R62" s="319"/>
      <c r="S62" s="130"/>
      <c r="T62" s="130"/>
      <c r="U62" s="130"/>
      <c r="V62" s="130"/>
      <c r="W62" s="130"/>
      <c r="X62" s="130"/>
      <c r="Y62" s="130"/>
      <c r="Z62" s="130"/>
      <c r="AA62" s="130"/>
      <c r="AB62" s="130"/>
      <c r="AC62" s="130"/>
      <c r="AD62" s="319"/>
      <c r="AE62" s="130"/>
      <c r="AF62" s="130"/>
      <c r="AG62" s="130"/>
      <c r="AH62" s="130"/>
      <c r="AI62" s="130"/>
      <c r="AJ62" s="130"/>
      <c r="AK62" s="130"/>
      <c r="AL62" s="130"/>
      <c r="AM62" s="130"/>
      <c r="AN62" s="130"/>
      <c r="AO62" s="130"/>
      <c r="AP62" s="319"/>
    </row>
    <row r="63" spans="1:42" s="148" customFormat="1" ht="13.4" customHeight="1" outlineLevel="1" x14ac:dyDescent="0.4">
      <c r="A63" s="148" t="s">
        <v>40</v>
      </c>
      <c r="B63" s="148" t="s">
        <v>29</v>
      </c>
      <c r="D63" s="161"/>
      <c r="E63" s="149"/>
      <c r="F63" s="323" t="s">
        <v>27</v>
      </c>
      <c r="G63" s="149"/>
      <c r="H63" s="149"/>
      <c r="I63" s="149"/>
      <c r="J63" s="149"/>
      <c r="K63" s="149"/>
      <c r="L63" s="149"/>
      <c r="M63" s="149"/>
      <c r="N63" s="149"/>
      <c r="O63" s="149"/>
      <c r="P63" s="149"/>
      <c r="Q63" s="149"/>
      <c r="R63" s="150"/>
      <c r="S63" s="149"/>
      <c r="T63" s="149"/>
      <c r="U63" s="149"/>
      <c r="V63" s="149"/>
      <c r="W63" s="149"/>
      <c r="X63" s="149"/>
      <c r="Y63" s="149"/>
      <c r="Z63" s="149"/>
      <c r="AA63" s="149"/>
      <c r="AB63" s="149"/>
      <c r="AC63" s="149"/>
      <c r="AD63" s="150"/>
      <c r="AE63" s="149"/>
      <c r="AF63" s="149"/>
      <c r="AG63" s="149"/>
      <c r="AH63" s="149"/>
      <c r="AI63" s="149"/>
      <c r="AJ63" s="149"/>
      <c r="AK63" s="149"/>
      <c r="AL63" s="149"/>
      <c r="AM63" s="149"/>
      <c r="AN63" s="149"/>
      <c r="AO63" s="149"/>
      <c r="AP63" s="150"/>
    </row>
    <row r="64" spans="1:42" s="69" customFormat="1" ht="11.5" customHeight="1" outlineLevel="1" x14ac:dyDescent="0.35">
      <c r="A64" s="69" t="s">
        <v>40</v>
      </c>
      <c r="B64" s="69" t="s">
        <v>29</v>
      </c>
      <c r="D64" s="170">
        <v>4.0999999999999996</v>
      </c>
      <c r="E64" s="134"/>
      <c r="F64" s="324" t="s">
        <v>28</v>
      </c>
      <c r="G64" s="135" cm="1">
        <f t="array" ref="G64">INDEX(Price!$L$11:$AM$182,MATCH(1,(Price!$A$11:$A$182=$A64)*(Price!$B$11:$B$182=$B64)*(Price!$D$11:$D$182="gb"),0),MATCH(1,(Price!$L$3:$AM$3=G$3)*(Price!$L$4:$AM$4=G$4),0))</f>
        <v>1366.5</v>
      </c>
      <c r="H64" s="135" cm="1">
        <f t="array" ref="H64">INDEX(Price!$L$11:$AM$182,MATCH(1,(Price!$A$11:$A$182=$A64)*(Price!$B$11:$B$182=$B64)*(Price!$D$11:$D$182="gb"),0),MATCH(1,(Price!$L$3:$AM$3=H$3)*(Price!$L$4:$AM$4=H$4),0))</f>
        <v>1374</v>
      </c>
      <c r="I64" s="135" cm="1">
        <f t="array" ref="I64">INDEX(Price!$L$11:$AM$182,MATCH(1,(Price!$A$11:$A$182=$A64)*(Price!$B$11:$B$182=$B64)*(Price!$D$11:$D$182="gb"),0),MATCH(1,(Price!$L$3:$AM$3=I$3)*(Price!$L$4:$AM$4=I$4),0))</f>
        <v>1386.5</v>
      </c>
      <c r="J64" s="135" cm="1">
        <f t="array" ref="J64">INDEX(Price!$L$11:$AM$182,MATCH(1,(Price!$A$11:$A$182=$A64)*(Price!$B$11:$B$182=$B64)*(Price!$D$11:$D$182="gb"),0),MATCH(1,(Price!$L$3:$AM$3=J$3)*(Price!$L$4:$AM$4=J$4),0))</f>
        <v>1389</v>
      </c>
      <c r="K64" s="135" cm="1">
        <f t="array" ref="K64">INDEX(Price!$L$11:$AM$182,MATCH(1,(Price!$A$11:$A$182=$A64)*(Price!$B$11:$B$182=$B64)*(Price!$D$11:$D$182="gb"),0),MATCH(1,(Price!$L$3:$AM$3=K$3)*(Price!$L$4:$AM$4=K$4),0))</f>
        <v>1393</v>
      </c>
      <c r="L64" s="135" cm="1">
        <f t="array" ref="L64">INDEX(Price!$L$11:$AM$182,MATCH(1,(Price!$A$11:$A$182=$A64)*(Price!$B$11:$B$182=$B64)*(Price!$D$11:$D$182="gb"),0),MATCH(1,(Price!$L$3:$AM$3=L$3)*(Price!$L$4:$AM$4=L$4),0))</f>
        <v>1408</v>
      </c>
      <c r="M64" s="135" cm="1">
        <f t="array" ref="M64">INDEX(Price!$L$11:$AM$182,MATCH(1,(Price!$A$11:$A$182=$A64)*(Price!$B$11:$B$182=$B64)*(Price!$D$11:$D$182="gb"),0),MATCH(1,(Price!$L$3:$AM$3=M$3)*(Price!$L$4:$AM$4=M$4),0))</f>
        <v>1424</v>
      </c>
      <c r="N64" s="135" cm="1">
        <f t="array" ref="N64">INDEX(Price!$L$11:$AM$182,MATCH(1,(Price!$A$11:$A$182=$A64)*(Price!$B$11:$B$182=$B64)*(Price!$D$11:$D$182="gb"),0),MATCH(1,(Price!$L$3:$AM$3=N$3)*(Price!$L$4:$AM$4=N$4),0))</f>
        <v>1435</v>
      </c>
      <c r="O64" s="135" cm="1">
        <f t="array" ref="O64">INDEX(Price!$L$11:$AM$182,MATCH(1,(Price!$A$11:$A$182=$A64)*(Price!$B$11:$B$182=$B64)*(Price!$D$11:$D$182="gb"),0),MATCH(1,(Price!$L$3:$AM$3=O$3)*(Price!$L$4:$AM$4=O$4),0))</f>
        <v>1455</v>
      </c>
      <c r="P64" s="135" cm="1">
        <f t="array" ref="P64">INDEX(Price!$L$11:$AM$182,MATCH(1,(Price!$A$11:$A$182=$A64)*(Price!$B$11:$B$182=$B64)*(Price!$D$11:$D$182="gb"),0),MATCH(1,(Price!$L$3:$AM$3=P$3)*(Price!$L$4:$AM$4=P$4),0))</f>
        <v>1482.75</v>
      </c>
      <c r="Q64" s="135" cm="1">
        <f t="array" ref="Q64">INDEX(Price!$L$11:$AM$182,MATCH(1,(Price!$A$11:$A$182=$A64)*(Price!$B$11:$B$182=$B64)*(Price!$D$11:$D$182="gb"),0),MATCH(1,(Price!$L$3:$AM$3=Q$3)*(Price!$L$4:$AM$4=Q$4),0))</f>
        <v>1500.25</v>
      </c>
      <c r="R64" s="136" cm="1">
        <f t="array" ref="R64">INDEX(Price!$L$11:$AM$182,MATCH(1,(Price!$A$11:$A$182=$A64)*(Price!$B$11:$B$182=$B64)*(Price!$D$11:$D$182="gb"),0),MATCH(1,(Price!$L$3:$AM$3=R$3)*(Price!$L$4:$AM$4=R$4),0))</f>
        <v>1504</v>
      </c>
      <c r="S64" s="135" cm="1">
        <f t="array" ref="S64">INDEX(Price!$L$11:$AM$182,MATCH(1,(Price!$A$11:$A$182=$A64)*(Price!$B$11:$B$182=$B64)*(Price!$D$11:$D$182="gb"),0),MATCH(1,(Price!$L$3:$AM$3=S$3)*(Price!$L$4:$AM$4=S$4),0))</f>
        <v>1402.21875</v>
      </c>
      <c r="T64" s="135" cm="1">
        <f t="array" ref="T64">INDEX(Price!$L$11:$AM$182,MATCH(1,(Price!$A$11:$A$182=$A64)*(Price!$B$11:$B$182=$B64)*(Price!$D$11:$D$182="gb"),0),MATCH(1,(Price!$L$3:$AM$3=T$3)*(Price!$L$4:$AM$4=T$4),0))</f>
        <v>1365.8020833333319</v>
      </c>
      <c r="U64" s="135" cm="1">
        <f t="array" ref="U64">INDEX(Price!$L$11:$AM$182,MATCH(1,(Price!$A$11:$A$182=$A64)*(Price!$B$11:$B$182=$B64)*(Price!$D$11:$D$182="gb"),0),MATCH(1,(Price!$L$3:$AM$3=U$3)*(Price!$L$4:$AM$4=U$4),0))</f>
        <v>1331.9583333333319</v>
      </c>
      <c r="V64" s="135" cm="1">
        <f t="array" ref="V64">INDEX(Price!$L$11:$AM$182,MATCH(1,(Price!$A$11:$A$182=$A64)*(Price!$B$11:$B$182=$B64)*(Price!$D$11:$D$182="gb"),0),MATCH(1,(Price!$L$3:$AM$3=V$3)*(Price!$L$4:$AM$4=V$4),0))</f>
        <v>1332.75</v>
      </c>
      <c r="W64" s="135" cm="1">
        <f t="array" ref="W64">INDEX(Price!$L$11:$AM$182,MATCH(1,(Price!$A$11:$A$182=$A64)*(Price!$B$11:$B$182=$B64)*(Price!$D$11:$D$182="gb"),0),MATCH(1,(Price!$L$3:$AM$3=W$3)*(Price!$L$4:$AM$4=W$4),0))</f>
        <v>1337.5</v>
      </c>
      <c r="X64" s="135" cm="1">
        <f t="array" ref="X64">INDEX(Price!$L$11:$AM$182,MATCH(1,(Price!$A$11:$A$182=$A64)*(Price!$B$11:$B$182=$B64)*(Price!$D$11:$D$182="gb"),0),MATCH(1,(Price!$L$3:$AM$3=X$3)*(Price!$L$4:$AM$4=X$4),0))</f>
        <v>1337.5</v>
      </c>
      <c r="Y64" s="135" cm="1">
        <f t="array" ref="Y64">INDEX(Price!$L$11:$AM$182,MATCH(1,(Price!$A$11:$A$182=$A64)*(Price!$B$11:$B$182=$B64)*(Price!$D$11:$D$182="gb"),0),MATCH(1,(Price!$L$3:$AM$3=Y$3)*(Price!$L$4:$AM$4=Y$4),0))</f>
        <v>1337.5</v>
      </c>
      <c r="Z64" s="135" cm="1">
        <f t="array" ref="Z64">INDEX(Price!$L$11:$AM$182,MATCH(1,(Price!$A$11:$A$182=$A64)*(Price!$B$11:$B$182=$B64)*(Price!$D$11:$D$182="gb"),0),MATCH(1,(Price!$L$3:$AM$3=Z$3)*(Price!$L$4:$AM$4=Z$4),0))</f>
        <v>1320.4</v>
      </c>
      <c r="AA64" s="135" cm="1">
        <f t="array" ref="AA64">INDEX(Price!$L$11:$AM$182,MATCH(1,(Price!$A$11:$A$182=$A64)*(Price!$B$11:$B$182=$B64)*(Price!$D$11:$D$182="gb"),0),MATCH(1,(Price!$L$3:$AM$3=AA$3)*(Price!$L$4:$AM$4=AA$4),0))</f>
        <v>1290.0250000000001</v>
      </c>
      <c r="AB64" s="135" cm="1">
        <f t="array" ref="AB64">INDEX(Price!$L$11:$AM$182,MATCH(1,(Price!$A$11:$A$182=$A64)*(Price!$B$11:$B$182=$B64)*(Price!$D$11:$D$182="gb"),0),MATCH(1,(Price!$L$3:$AM$3=AB$3)*(Price!$L$4:$AM$4=AB$4),0))</f>
        <v>1291.425</v>
      </c>
      <c r="AC64" s="135" cm="1">
        <f t="array" ref="AC64">INDEX(Price!$L$11:$AM$182,MATCH(1,(Price!$A$11:$A$182=$A64)*(Price!$B$11:$B$182=$B64)*(Price!$D$11:$D$182="gb"),0),MATCH(1,(Price!$L$3:$AM$3=AC$3)*(Price!$L$4:$AM$4=AC$4),0))</f>
        <v>1292.55</v>
      </c>
      <c r="AD64" s="136" cm="1">
        <f t="array" ref="AD64">INDEX(Price!$L$11:$AM$182,MATCH(1,(Price!$A$11:$A$182=$A64)*(Price!$B$11:$B$182=$B64)*(Price!$D$11:$D$182="gb"),0),MATCH(1,(Price!$L$3:$AM$3=AD$3)*(Price!$L$4:$AM$4=AD$4),0))</f>
        <v>1293.15625</v>
      </c>
      <c r="AE64" s="135"/>
      <c r="AF64" s="135"/>
      <c r="AG64" s="135"/>
      <c r="AH64" s="135"/>
      <c r="AI64" s="135"/>
      <c r="AJ64" s="135"/>
      <c r="AK64" s="135"/>
      <c r="AL64" s="135"/>
      <c r="AM64" s="135"/>
      <c r="AN64" s="135"/>
      <c r="AO64" s="135"/>
      <c r="AP64" s="136"/>
    </row>
    <row r="65" spans="1:42" s="1" customFormat="1" ht="11.5" customHeight="1" outlineLevel="1" x14ac:dyDescent="0.35">
      <c r="A65" s="1" t="s">
        <v>40</v>
      </c>
      <c r="B65" s="1" t="s">
        <v>29</v>
      </c>
      <c r="C65" s="143" t="s">
        <v>322</v>
      </c>
      <c r="D65" s="171">
        <v>4.2</v>
      </c>
      <c r="E65" s="144"/>
      <c r="F65" s="325" t="s">
        <v>8</v>
      </c>
      <c r="G65" s="145" cm="1">
        <f t="array" ref="G65">INDEX(Price!$L$11:$AM$182,MATCH(1,(Price!$A$11:$A$182=$A65)*(Price!$B$11:$B$182=$B65)*(Price!$D$11:$D$182="exw"),0),MATCH(1,(Price!$L$3:$AM$3=G$3)*(Price!$L$4:$AM$4=G$4),0))</f>
        <v>1340</v>
      </c>
      <c r="H65" s="145" cm="1">
        <f t="array" ref="H65">INDEX(Price!$L$11:$AM$182,MATCH(1,(Price!$A$11:$A$182=$A65)*(Price!$B$11:$B$182=$B65)*(Price!$D$11:$D$182="exw"),0),MATCH(1,(Price!$L$3:$AM$3=H$3)*(Price!$L$4:$AM$4=H$4),0))</f>
        <v>1347.5</v>
      </c>
      <c r="I65" s="145" cm="1">
        <f t="array" ref="I65">INDEX(Price!$L$11:$AM$182,MATCH(1,(Price!$A$11:$A$182=$A65)*(Price!$B$11:$B$182=$B65)*(Price!$D$11:$D$182="exw"),0),MATCH(1,(Price!$L$3:$AM$3=I$3)*(Price!$L$4:$AM$4=I$4),0))</f>
        <v>1360</v>
      </c>
      <c r="J65" s="145" cm="1">
        <f t="array" ref="J65">INDEX(Price!$L$11:$AM$182,MATCH(1,(Price!$A$11:$A$182=$A65)*(Price!$B$11:$B$182=$B65)*(Price!$D$11:$D$182="exw"),0),MATCH(1,(Price!$L$3:$AM$3=J$3)*(Price!$L$4:$AM$4=J$4),0))</f>
        <v>1362.5</v>
      </c>
      <c r="K65" s="145" cm="1">
        <f t="array" ref="K65">INDEX(Price!$L$11:$AM$182,MATCH(1,(Price!$A$11:$A$182=$A65)*(Price!$B$11:$B$182=$B65)*(Price!$D$11:$D$182="exw"),0),MATCH(1,(Price!$L$3:$AM$3=K$3)*(Price!$L$4:$AM$4=K$4),0))</f>
        <v>1366.5</v>
      </c>
      <c r="L65" s="145" cm="1">
        <f t="array" ref="L65">INDEX(Price!$L$11:$AM$182,MATCH(1,(Price!$A$11:$A$182=$A65)*(Price!$B$11:$B$182=$B65)*(Price!$D$11:$D$182="exw"),0),MATCH(1,(Price!$L$3:$AM$3=L$3)*(Price!$L$4:$AM$4=L$4),0))</f>
        <v>1381.5</v>
      </c>
      <c r="M65" s="145" cm="1">
        <f t="array" ref="M65">INDEX(Price!$L$11:$AM$182,MATCH(1,(Price!$A$11:$A$182=$A65)*(Price!$B$11:$B$182=$B65)*(Price!$D$11:$D$182="exw"),0),MATCH(1,(Price!$L$3:$AM$3=M$3)*(Price!$L$4:$AM$4=M$4),0))</f>
        <v>1397.5</v>
      </c>
      <c r="N65" s="145" cm="1">
        <f t="array" ref="N65">INDEX(Price!$L$11:$AM$182,MATCH(1,(Price!$A$11:$A$182=$A65)*(Price!$B$11:$B$182=$B65)*(Price!$D$11:$D$182="exw"),0),MATCH(1,(Price!$L$3:$AM$3=N$3)*(Price!$L$4:$AM$4=N$4),0))</f>
        <v>1408.5</v>
      </c>
      <c r="O65" s="145" cm="1">
        <f t="array" ref="O65">INDEX(Price!$L$11:$AM$182,MATCH(1,(Price!$A$11:$A$182=$A65)*(Price!$B$11:$B$182=$B65)*(Price!$D$11:$D$182="exw"),0),MATCH(1,(Price!$L$3:$AM$3=O$3)*(Price!$L$4:$AM$4=O$4),0))</f>
        <v>1428.5</v>
      </c>
      <c r="P65" s="145" cm="1">
        <f t="array" ref="P65">INDEX(Price!$L$11:$AM$182,MATCH(1,(Price!$A$11:$A$182=$A65)*(Price!$B$11:$B$182=$B65)*(Price!$D$11:$D$182="exw"),0),MATCH(1,(Price!$L$3:$AM$3=P$3)*(Price!$L$4:$AM$4=P$4),0))</f>
        <v>1456.25</v>
      </c>
      <c r="Q65" s="145" cm="1">
        <f t="array" ref="Q65">INDEX(Price!$L$11:$AM$182,MATCH(1,(Price!$A$11:$A$182=$A65)*(Price!$B$11:$B$182=$B65)*(Price!$D$11:$D$182="exw"),0),MATCH(1,(Price!$L$3:$AM$3=Q$3)*(Price!$L$4:$AM$4=Q$4),0))</f>
        <v>1473.75</v>
      </c>
      <c r="R65" s="146" cm="1">
        <f t="array" ref="R65">INDEX(Price!$L$11:$AM$182,MATCH(1,(Price!$A$11:$A$182=$A65)*(Price!$B$11:$B$182=$B65)*(Price!$D$11:$D$182="exw"),0),MATCH(1,(Price!$L$3:$AM$3=R$3)*(Price!$L$4:$AM$4=R$4),0))</f>
        <v>1477.5</v>
      </c>
      <c r="S65" s="145" cm="1">
        <f t="array" ref="S65">INDEX(Price!$L$11:$AM$182,MATCH(1,(Price!$A$11:$A$182=$A65)*(Price!$B$11:$B$182=$B65)*(Price!$D$11:$D$182="exw"),0),MATCH(1,(Price!$L$3:$AM$3=S$3)*(Price!$L$4:$AM$4=S$4),0))</f>
        <v>1375.71875</v>
      </c>
      <c r="T65" s="145" cm="1">
        <f t="array" ref="T65">INDEX(Price!$L$11:$AM$182,MATCH(1,(Price!$A$11:$A$182=$A65)*(Price!$B$11:$B$182=$B65)*(Price!$D$11:$D$182="exw"),0),MATCH(1,(Price!$L$3:$AM$3=T$3)*(Price!$L$4:$AM$4=T$4),0))</f>
        <v>1339.3020833333319</v>
      </c>
      <c r="U65" s="145" cm="1">
        <f t="array" ref="U65">INDEX(Price!$L$11:$AM$182,MATCH(1,(Price!$A$11:$A$182=$A65)*(Price!$B$11:$B$182=$B65)*(Price!$D$11:$D$182="exw"),0),MATCH(1,(Price!$L$3:$AM$3=U$3)*(Price!$L$4:$AM$4=U$4),0))</f>
        <v>1305.4583333333319</v>
      </c>
      <c r="V65" s="145" cm="1">
        <f t="array" ref="V65">INDEX(Price!$L$11:$AM$182,MATCH(1,(Price!$A$11:$A$182=$A65)*(Price!$B$11:$B$182=$B65)*(Price!$D$11:$D$182="exw"),0),MATCH(1,(Price!$L$3:$AM$3=V$3)*(Price!$L$4:$AM$4=V$4),0))</f>
        <v>1306.25</v>
      </c>
      <c r="W65" s="145" cm="1">
        <f t="array" ref="W65">INDEX(Price!$L$11:$AM$182,MATCH(1,(Price!$A$11:$A$182=$A65)*(Price!$B$11:$B$182=$B65)*(Price!$D$11:$D$182="exw"),0),MATCH(1,(Price!$L$3:$AM$3=W$3)*(Price!$L$4:$AM$4=W$4),0))</f>
        <v>1311</v>
      </c>
      <c r="X65" s="145" cm="1">
        <f t="array" ref="X65">INDEX(Price!$L$11:$AM$182,MATCH(1,(Price!$A$11:$A$182=$A65)*(Price!$B$11:$B$182=$B65)*(Price!$D$11:$D$182="exw"),0),MATCH(1,(Price!$L$3:$AM$3=X$3)*(Price!$L$4:$AM$4=X$4),0))</f>
        <v>1311</v>
      </c>
      <c r="Y65" s="145" cm="1">
        <f t="array" ref="Y65">INDEX(Price!$L$11:$AM$182,MATCH(1,(Price!$A$11:$A$182=$A65)*(Price!$B$11:$B$182=$B65)*(Price!$D$11:$D$182="exw"),0),MATCH(1,(Price!$L$3:$AM$3=Y$3)*(Price!$L$4:$AM$4=Y$4),0))</f>
        <v>1311</v>
      </c>
      <c r="Z65" s="145" cm="1">
        <f t="array" ref="Z65">INDEX(Price!$L$11:$AM$182,MATCH(1,(Price!$A$11:$A$182=$A65)*(Price!$B$11:$B$182=$B65)*(Price!$D$11:$D$182="exw"),0),MATCH(1,(Price!$L$3:$AM$3=Z$3)*(Price!$L$4:$AM$4=Z$4),0))</f>
        <v>1293.9000000000001</v>
      </c>
      <c r="AA65" s="145" cm="1">
        <f t="array" ref="AA65">INDEX(Price!$L$11:$AM$182,MATCH(1,(Price!$A$11:$A$182=$A65)*(Price!$B$11:$B$182=$B65)*(Price!$D$11:$D$182="exw"),0),MATCH(1,(Price!$L$3:$AM$3=AA$3)*(Price!$L$4:$AM$4=AA$4),0))</f>
        <v>1263.5250000000001</v>
      </c>
      <c r="AB65" s="145" cm="1">
        <f t="array" ref="AB65">INDEX(Price!$L$11:$AM$182,MATCH(1,(Price!$A$11:$A$182=$A65)*(Price!$B$11:$B$182=$B65)*(Price!$D$11:$D$182="exw"),0),MATCH(1,(Price!$L$3:$AM$3=AB$3)*(Price!$L$4:$AM$4=AB$4),0))</f>
        <v>1264.925</v>
      </c>
      <c r="AC65" s="145" cm="1">
        <f t="array" ref="AC65">INDEX(Price!$L$11:$AM$182,MATCH(1,(Price!$A$11:$A$182=$A65)*(Price!$B$11:$B$182=$B65)*(Price!$D$11:$D$182="exw"),0),MATCH(1,(Price!$L$3:$AM$3=AC$3)*(Price!$L$4:$AM$4=AC$4),0))</f>
        <v>1266.05</v>
      </c>
      <c r="AD65" s="146" cm="1">
        <f t="array" ref="AD65">INDEX(Price!$L$11:$AM$182,MATCH(1,(Price!$A$11:$A$182=$A65)*(Price!$B$11:$B$182=$B65)*(Price!$D$11:$D$182="exw"),0),MATCH(1,(Price!$L$3:$AM$3=AD$3)*(Price!$L$4:$AM$4=AD$4),0))</f>
        <v>1266.65625</v>
      </c>
      <c r="AE65" s="145"/>
      <c r="AF65" s="145"/>
      <c r="AG65" s="145"/>
      <c r="AH65" s="145"/>
      <c r="AI65" s="145"/>
      <c r="AJ65" s="145"/>
      <c r="AK65" s="145"/>
      <c r="AL65" s="145"/>
      <c r="AM65" s="145"/>
      <c r="AN65" s="145"/>
      <c r="AO65" s="145"/>
      <c r="AP65" s="146"/>
    </row>
    <row r="66" spans="1:42" ht="11.5" customHeight="1" outlineLevel="1" x14ac:dyDescent="0.35">
      <c r="A66" t="s">
        <v>40</v>
      </c>
      <c r="B66" t="s">
        <v>29</v>
      </c>
      <c r="C66" s="14" t="s">
        <v>9</v>
      </c>
      <c r="D66" s="172">
        <v>4.3</v>
      </c>
      <c r="E66" s="8"/>
      <c r="F66" s="326" t="s">
        <v>11</v>
      </c>
      <c r="G66" s="320" cm="1">
        <f t="array" ref="G66">SUMPRODUCT(General_Data*(Code_General_Data=$C66)*(Year=G$3)*(Month=G$4))</f>
        <v>930</v>
      </c>
      <c r="H66" s="132" cm="1">
        <f t="array" ref="H66">SUMPRODUCT(General_Data*(Code_General_Data=$C66)*(Year=H$3)*(Month=H$4))</f>
        <v>943.33333333333337</v>
      </c>
      <c r="I66" s="132" cm="1">
        <f t="array" ref="I66">SUMPRODUCT(General_Data*(Code_General_Data=$C66)*(Year=I$3)*(Month=I$4))</f>
        <v>940</v>
      </c>
      <c r="J66" s="132" cm="1">
        <f t="array" ref="J66">SUMPRODUCT(General_Data*(Code_General_Data=$C66)*(Year=J$3)*(Month=J$4))</f>
        <v>940</v>
      </c>
      <c r="K66" s="132" cm="1">
        <f t="array" ref="K66">SUMPRODUCT(General_Data*(Code_General_Data=$C66)*(Year=K$3)*(Month=K$4))</f>
        <v>942</v>
      </c>
      <c r="L66" s="132" cm="1">
        <f t="array" ref="L66">SUMPRODUCT(General_Data*(Code_General_Data=$C66)*(Year=L$3)*(Month=L$4))</f>
        <v>950</v>
      </c>
      <c r="M66" s="132" cm="1">
        <f t="array" ref="M66">SUMPRODUCT(General_Data*(Code_General_Data=$C66)*(Year=M$3)*(Month=M$4))</f>
        <v>947.5</v>
      </c>
      <c r="N66" s="132" cm="1">
        <f t="array" ref="N66">SUMPRODUCT(General_Data*(Code_General_Data=$C66)*(Year=N$3)*(Month=N$4))</f>
        <v>930</v>
      </c>
      <c r="O66" s="132" cm="1">
        <f t="array" ref="O66">SUMPRODUCT(General_Data*(Code_General_Data=$C66)*(Year=O$3)*(Month=O$4))</f>
        <v>880</v>
      </c>
      <c r="P66" s="132" cm="1">
        <f t="array" ref="P66">SUMPRODUCT(General_Data*(Code_General_Data=$C66)*(Year=P$3)*(Month=P$4))</f>
        <v>862.5</v>
      </c>
      <c r="Q66" s="132" cm="1">
        <f t="array" ref="Q66">SUMPRODUCT(General_Data*(Code_General_Data=$C66)*(Year=Q$3)*(Month=Q$4))</f>
        <v>852</v>
      </c>
      <c r="R66" s="133" cm="1">
        <f t="array" ref="R66">SUMPRODUCT(General_Data*(Code_General_Data=$C66)*(Year=R$3)*(Month=R$4))</f>
        <v>830</v>
      </c>
      <c r="S66" s="132" cm="1">
        <f t="array" ref="S66">SUMPRODUCT(General_Data*(Code_General_Data=$C66)*(Year=S$3)*(Month=S$4))</f>
        <v>828</v>
      </c>
      <c r="T66" s="132" cm="1">
        <f t="array" ref="T66">SUMPRODUCT(General_Data*(Code_General_Data=$C66)*(Year=T$3)*(Month=T$4))</f>
        <v>840</v>
      </c>
      <c r="U66" s="132" cm="1">
        <f t="array" ref="U66">SUMPRODUCT(General_Data*(Code_General_Data=$C66)*(Year=U$3)*(Month=U$4))</f>
        <v>823</v>
      </c>
      <c r="V66" s="132" cm="1">
        <f t="array" ref="V66">SUMPRODUCT(General_Data*(Code_General_Data=$C66)*(Year=V$3)*(Month=V$4))</f>
        <v>765</v>
      </c>
      <c r="W66" s="132" cm="1">
        <f t="array" ref="W66">SUMPRODUCT(General_Data*(Code_General_Data=$C66)*(Year=W$3)*(Month=W$4))</f>
        <v>782</v>
      </c>
      <c r="X66" s="132" cm="1">
        <f t="array" ref="X66">SUMPRODUCT(General_Data*(Code_General_Data=$C66)*(Year=X$3)*(Month=X$4))</f>
        <v>807.5</v>
      </c>
      <c r="Y66" s="132" cm="1">
        <f t="array" ref="Y66">SUMPRODUCT(General_Data*(Code_General_Data=$C66)*(Year=Y$3)*(Month=Y$4))</f>
        <v>802</v>
      </c>
      <c r="Z66" s="132" cm="1">
        <f t="array" ref="Z66">SUMPRODUCT(General_Data*(Code_General_Data=$C66)*(Year=Z$3)*(Month=Z$4))</f>
        <v>795</v>
      </c>
      <c r="AA66" s="132" cm="1">
        <f t="array" ref="AA66">SUMPRODUCT(General_Data*(Code_General_Data=$C66)*(Year=AA$3)*(Month=AA$4))</f>
        <v>783</v>
      </c>
      <c r="AB66" s="132" cm="1">
        <f t="array" ref="AB66">SUMPRODUCT(General_Data*(Code_General_Data=$C66)*(Year=AB$3)*(Month=AB$4))</f>
        <v>772</v>
      </c>
      <c r="AC66" s="132" cm="1">
        <f t="array" ref="AC66">SUMPRODUCT(General_Data*(Code_General_Data=$C66)*(Year=AC$3)*(Month=AC$4))</f>
        <v>770</v>
      </c>
      <c r="AD66" s="133" cm="1">
        <f t="array" ref="AD66">SUMPRODUCT(General_Data*(Code_General_Data=$C66)*(Year=AD$3)*(Month=AD$4))</f>
        <v>770</v>
      </c>
      <c r="AE66" s="132"/>
      <c r="AF66" s="132"/>
      <c r="AG66" s="132"/>
      <c r="AH66" s="132"/>
      <c r="AI66" s="132"/>
      <c r="AJ66" s="132"/>
      <c r="AK66" s="132"/>
      <c r="AL66" s="132"/>
      <c r="AM66" s="132"/>
      <c r="AN66" s="132"/>
      <c r="AO66" s="132"/>
      <c r="AP66" s="133"/>
    </row>
    <row r="67" spans="1:42" s="152" customFormat="1" ht="11.5" customHeight="1" outlineLevel="1" x14ac:dyDescent="0.35">
      <c r="A67" s="152" t="s">
        <v>40</v>
      </c>
      <c r="B67" s="152" t="s">
        <v>29</v>
      </c>
      <c r="D67" s="173">
        <v>4.4000000000000004</v>
      </c>
      <c r="E67" s="153"/>
      <c r="F67" s="327" t="s">
        <v>430</v>
      </c>
      <c r="G67" s="154">
        <f t="shared" ref="G67:AD67" si="16">IF(G64*G65*G66&lt;&gt;0,G65-G66,0)</f>
        <v>410</v>
      </c>
      <c r="H67" s="154">
        <f t="shared" si="16"/>
        <v>404.16666666666663</v>
      </c>
      <c r="I67" s="154">
        <f t="shared" si="16"/>
        <v>420</v>
      </c>
      <c r="J67" s="154">
        <f t="shared" si="16"/>
        <v>422.5</v>
      </c>
      <c r="K67" s="154">
        <f t="shared" si="16"/>
        <v>424.5</v>
      </c>
      <c r="L67" s="154">
        <f t="shared" si="16"/>
        <v>431.5</v>
      </c>
      <c r="M67" s="154">
        <f t="shared" si="16"/>
        <v>450</v>
      </c>
      <c r="N67" s="154">
        <f t="shared" si="16"/>
        <v>478.5</v>
      </c>
      <c r="O67" s="154">
        <f t="shared" si="16"/>
        <v>548.5</v>
      </c>
      <c r="P67" s="154">
        <f t="shared" si="16"/>
        <v>593.75</v>
      </c>
      <c r="Q67" s="154">
        <f t="shared" si="16"/>
        <v>621.75</v>
      </c>
      <c r="R67" s="155">
        <f t="shared" si="16"/>
        <v>647.5</v>
      </c>
      <c r="S67" s="154">
        <f t="shared" si="16"/>
        <v>547.71875</v>
      </c>
      <c r="T67" s="154">
        <f t="shared" si="16"/>
        <v>499.30208333333189</v>
      </c>
      <c r="U67" s="154">
        <f t="shared" si="16"/>
        <v>482.45833333333189</v>
      </c>
      <c r="V67" s="154">
        <f t="shared" si="16"/>
        <v>541.25</v>
      </c>
      <c r="W67" s="154">
        <f t="shared" si="16"/>
        <v>529</v>
      </c>
      <c r="X67" s="154">
        <f t="shared" si="16"/>
        <v>503.5</v>
      </c>
      <c r="Y67" s="154">
        <f t="shared" si="16"/>
        <v>509</v>
      </c>
      <c r="Z67" s="154">
        <f t="shared" si="16"/>
        <v>498.90000000000009</v>
      </c>
      <c r="AA67" s="154">
        <f t="shared" si="16"/>
        <v>480.52500000000009</v>
      </c>
      <c r="AB67" s="154">
        <f t="shared" si="16"/>
        <v>492.92499999999995</v>
      </c>
      <c r="AC67" s="154">
        <f t="shared" si="16"/>
        <v>496.04999999999995</v>
      </c>
      <c r="AD67" s="155">
        <f t="shared" si="16"/>
        <v>496.65625</v>
      </c>
      <c r="AE67" s="154"/>
      <c r="AF67" s="154"/>
      <c r="AG67" s="154"/>
      <c r="AH67" s="154"/>
      <c r="AI67" s="154"/>
      <c r="AJ67" s="154"/>
      <c r="AK67" s="154"/>
      <c r="AL67" s="154"/>
      <c r="AM67" s="154"/>
      <c r="AN67" s="154"/>
      <c r="AO67" s="154"/>
      <c r="AP67" s="155"/>
    </row>
    <row r="68" spans="1:42" s="156" customFormat="1" ht="11.5" customHeight="1" outlineLevel="1" x14ac:dyDescent="0.35">
      <c r="A68" s="156" t="s">
        <v>40</v>
      </c>
      <c r="B68" s="156" t="s">
        <v>29</v>
      </c>
      <c r="D68" s="174">
        <v>4.5</v>
      </c>
      <c r="E68" s="157"/>
      <c r="F68" s="328" t="s">
        <v>14</v>
      </c>
      <c r="G68" s="158">
        <f t="shared" ref="G68:AD68" si="17">IFERROR(G67/G66,0)</f>
        <v>0.44086021505376344</v>
      </c>
      <c r="H68" s="158">
        <f t="shared" si="17"/>
        <v>0.42844522968197873</v>
      </c>
      <c r="I68" s="158">
        <f t="shared" si="17"/>
        <v>0.44680851063829785</v>
      </c>
      <c r="J68" s="158">
        <f t="shared" si="17"/>
        <v>0.44946808510638298</v>
      </c>
      <c r="K68" s="158">
        <f t="shared" si="17"/>
        <v>0.45063694267515925</v>
      </c>
      <c r="L68" s="158">
        <f t="shared" si="17"/>
        <v>0.45421052631578945</v>
      </c>
      <c r="M68" s="158">
        <f t="shared" si="17"/>
        <v>0.47493403693931396</v>
      </c>
      <c r="N68" s="158">
        <f t="shared" si="17"/>
        <v>0.51451612903225807</v>
      </c>
      <c r="O68" s="158">
        <f t="shared" si="17"/>
        <v>0.62329545454545454</v>
      </c>
      <c r="P68" s="158">
        <f t="shared" si="17"/>
        <v>0.68840579710144922</v>
      </c>
      <c r="Q68" s="158">
        <f t="shared" si="17"/>
        <v>0.72975352112676062</v>
      </c>
      <c r="R68" s="159">
        <f t="shared" si="17"/>
        <v>0.78012048192771088</v>
      </c>
      <c r="S68" s="158">
        <f t="shared" si="17"/>
        <v>0.66149607487922701</v>
      </c>
      <c r="T68" s="158">
        <f t="shared" si="17"/>
        <v>0.59440724206349038</v>
      </c>
      <c r="U68" s="158">
        <f t="shared" si="17"/>
        <v>0.58621911705143603</v>
      </c>
      <c r="V68" s="158">
        <f t="shared" si="17"/>
        <v>0.70751633986928109</v>
      </c>
      <c r="W68" s="158">
        <f t="shared" si="17"/>
        <v>0.67647058823529416</v>
      </c>
      <c r="X68" s="158">
        <f t="shared" si="17"/>
        <v>0.62352941176470589</v>
      </c>
      <c r="Y68" s="158">
        <f t="shared" si="17"/>
        <v>0.63466334164588534</v>
      </c>
      <c r="Z68" s="158">
        <f t="shared" si="17"/>
        <v>0.62754716981132086</v>
      </c>
      <c r="AA68" s="158">
        <f t="shared" si="17"/>
        <v>0.61369731800766292</v>
      </c>
      <c r="AB68" s="158">
        <f t="shared" si="17"/>
        <v>0.63850388601036268</v>
      </c>
      <c r="AC68" s="158">
        <f t="shared" si="17"/>
        <v>0.64422077922077914</v>
      </c>
      <c r="AD68" s="159">
        <f t="shared" si="17"/>
        <v>0.64500811688311688</v>
      </c>
      <c r="AE68" s="158"/>
      <c r="AF68" s="158"/>
      <c r="AG68" s="158"/>
      <c r="AH68" s="158"/>
      <c r="AI68" s="158"/>
      <c r="AJ68" s="158"/>
      <c r="AK68" s="158"/>
      <c r="AL68" s="158"/>
      <c r="AM68" s="158"/>
      <c r="AN68" s="158"/>
      <c r="AO68" s="158"/>
      <c r="AP68" s="159"/>
    </row>
    <row r="69" spans="1:42" s="137" customFormat="1" ht="11.5" customHeight="1" outlineLevel="1" x14ac:dyDescent="0.35">
      <c r="A69" s="137" t="s">
        <v>40</v>
      </c>
      <c r="B69" s="137" t="s">
        <v>29</v>
      </c>
      <c r="C69" s="137" t="s">
        <v>29</v>
      </c>
      <c r="D69" s="175">
        <v>4.5999999999999996</v>
      </c>
      <c r="E69" s="138"/>
      <c r="F69" s="329" t="s">
        <v>203</v>
      </c>
      <c r="G69" s="139" cm="1">
        <f t="array" ref="G69">SUMPRODUCT(General_Data*(Code_General_Data=$C69)*(Year=G$3)*(Month=G$4))</f>
        <v>1340</v>
      </c>
      <c r="H69" s="139" cm="1">
        <f t="array" ref="H69">SUMPRODUCT(General_Data*(Code_General_Data=$C69)*(Year=H$3)*(Month=H$4))</f>
        <v>1340</v>
      </c>
      <c r="I69" s="139" cm="1">
        <f t="array" ref="I69">SUMPRODUCT(General_Data*(Code_General_Data=$C69)*(Year=I$3)*(Month=I$4))</f>
        <v>1340</v>
      </c>
      <c r="J69" s="139" cm="1">
        <f t="array" ref="J69">SUMPRODUCT(General_Data*(Code_General_Data=$C69)*(Year=J$3)*(Month=J$4))</f>
        <v>1340</v>
      </c>
      <c r="K69" s="139" cm="1">
        <f t="array" ref="K69">SUMPRODUCT(General_Data*(Code_General_Data=$C69)*(Year=K$3)*(Month=K$4))</f>
        <v>1390</v>
      </c>
      <c r="L69" s="139" cm="1">
        <f t="array" ref="L69">SUMPRODUCT(General_Data*(Code_General_Data=$C69)*(Year=L$3)*(Month=L$4))</f>
        <v>1390</v>
      </c>
      <c r="M69" s="139" cm="1">
        <f t="array" ref="M69">SUMPRODUCT(General_Data*(Code_General_Data=$C69)*(Year=M$3)*(Month=M$4))</f>
        <v>1390</v>
      </c>
      <c r="N69" s="139" cm="1">
        <f t="array" ref="N69">SUMPRODUCT(General_Data*(Code_General_Data=$C69)*(Year=N$3)*(Month=N$4))</f>
        <v>1390</v>
      </c>
      <c r="O69" s="139" cm="1">
        <f t="array" ref="O69">SUMPRODUCT(General_Data*(Code_General_Data=$C69)*(Year=O$3)*(Month=O$4))</f>
        <v>1400</v>
      </c>
      <c r="P69" s="139" cm="1">
        <f t="array" ref="P69">SUMPRODUCT(General_Data*(Code_General_Data=$C69)*(Year=P$3)*(Month=P$4))</f>
        <v>1415</v>
      </c>
      <c r="Q69" s="139" cm="1">
        <f t="array" ref="Q69">SUMPRODUCT(General_Data*(Code_General_Data=$C69)*(Year=Q$3)*(Month=Q$4))</f>
        <v>1415</v>
      </c>
      <c r="R69" s="140" cm="1">
        <f t="array" ref="R69">SUMPRODUCT(General_Data*(Code_General_Data=$C69)*(Year=R$3)*(Month=R$4))</f>
        <v>1365</v>
      </c>
      <c r="S69" s="139" cm="1">
        <f t="array" ref="S69">SUMPRODUCT(General_Data*(Code_General_Data=$C69)*(Year=S$3)*(Month=S$4))</f>
        <v>1320</v>
      </c>
      <c r="T69" s="139" cm="1">
        <f t="array" ref="T69">SUMPRODUCT(General_Data*(Code_General_Data=$C69)*(Year=T$3)*(Month=T$4))</f>
        <v>1280</v>
      </c>
      <c r="U69" s="139" cm="1">
        <f t="array" ref="U69">SUMPRODUCT(General_Data*(Code_General_Data=$C69)*(Year=U$3)*(Month=U$4))</f>
        <v>1320</v>
      </c>
      <c r="V69" s="139" cm="1">
        <f t="array" ref="V69">SUMPRODUCT(General_Data*(Code_General_Data=$C69)*(Year=V$3)*(Month=V$4))</f>
        <v>1340</v>
      </c>
      <c r="W69" s="139" cm="1">
        <f t="array" ref="W69">SUMPRODUCT(General_Data*(Code_General_Data=$C69)*(Year=W$3)*(Month=W$4))</f>
        <v>1340</v>
      </c>
      <c r="X69" s="139" cm="1">
        <f t="array" ref="X69">SUMPRODUCT(General_Data*(Code_General_Data=$C69)*(Year=X$3)*(Month=X$4))</f>
        <v>1340</v>
      </c>
      <c r="Y69" s="139" cm="1">
        <f t="array" ref="Y69">SUMPRODUCT(General_Data*(Code_General_Data=$C69)*(Year=Y$3)*(Month=Y$4))</f>
        <v>1340</v>
      </c>
      <c r="Z69" s="139" cm="1">
        <f t="array" ref="Z69">SUMPRODUCT(General_Data*(Code_General_Data=$C69)*(Year=Z$3)*(Month=Z$4))</f>
        <v>1310</v>
      </c>
      <c r="AA69" s="139" cm="1">
        <f t="array" ref="AA69">SUMPRODUCT(General_Data*(Code_General_Data=$C69)*(Year=AA$3)*(Month=AA$4))</f>
        <v>1310</v>
      </c>
      <c r="AB69" s="139" cm="1">
        <f t="array" ref="AB69">SUMPRODUCT(General_Data*(Code_General_Data=$C69)*(Year=AB$3)*(Month=AB$4))</f>
        <v>1300</v>
      </c>
      <c r="AC69" s="139" cm="1">
        <f t="array" ref="AC69">SUMPRODUCT(General_Data*(Code_General_Data=$C69)*(Year=AC$3)*(Month=AC$4))</f>
        <v>1290</v>
      </c>
      <c r="AD69" s="140" cm="1">
        <f t="array" ref="AD69">SUMPRODUCT(General_Data*(Code_General_Data=$C69)*(Year=AD$3)*(Month=AD$4))</f>
        <v>1290</v>
      </c>
      <c r="AE69" s="139"/>
      <c r="AF69" s="139"/>
      <c r="AG69" s="139"/>
      <c r="AH69" s="139"/>
      <c r="AI69" s="139"/>
      <c r="AJ69" s="139"/>
      <c r="AK69" s="139"/>
      <c r="AL69" s="139"/>
      <c r="AM69" s="139"/>
      <c r="AN69" s="139"/>
      <c r="AO69" s="139"/>
      <c r="AP69" s="140"/>
    </row>
    <row r="70" spans="1:42" ht="3.65" customHeight="1" x14ac:dyDescent="0.35">
      <c r="A70" t="s">
        <v>40</v>
      </c>
      <c r="D70" s="168"/>
      <c r="Z70" s="494">
        <f>Z69-Z65</f>
        <v>16.099999999999909</v>
      </c>
    </row>
    <row r="71" spans="1:42" s="148" customFormat="1" ht="13.4" customHeight="1" outlineLevel="1" x14ac:dyDescent="0.4">
      <c r="A71" s="148" t="s">
        <v>40</v>
      </c>
      <c r="B71" s="148" t="s">
        <v>31</v>
      </c>
      <c r="D71" s="161"/>
      <c r="E71" s="149"/>
      <c r="F71" s="323" t="s">
        <v>30</v>
      </c>
      <c r="G71" s="149"/>
      <c r="H71" s="149"/>
      <c r="I71" s="149"/>
      <c r="J71" s="149"/>
      <c r="K71" s="149"/>
      <c r="L71" s="149"/>
      <c r="M71" s="149"/>
      <c r="N71" s="149"/>
      <c r="O71" s="149"/>
      <c r="P71" s="149"/>
      <c r="Q71" s="149"/>
      <c r="R71" s="150"/>
      <c r="S71" s="149"/>
      <c r="T71" s="149"/>
      <c r="U71" s="149"/>
      <c r="V71" s="149"/>
      <c r="W71" s="149"/>
      <c r="X71" s="149"/>
      <c r="Y71" s="149"/>
      <c r="Z71" s="149"/>
      <c r="AA71" s="149"/>
      <c r="AB71" s="149"/>
      <c r="AC71" s="149"/>
      <c r="AD71" s="150"/>
      <c r="AE71" s="149"/>
      <c r="AF71" s="149"/>
      <c r="AG71" s="149"/>
      <c r="AH71" s="149"/>
      <c r="AI71" s="149"/>
      <c r="AJ71" s="149"/>
      <c r="AK71" s="149"/>
      <c r="AL71" s="149"/>
      <c r="AM71" s="149"/>
      <c r="AN71" s="149"/>
      <c r="AO71" s="149"/>
      <c r="AP71" s="150"/>
    </row>
    <row r="72" spans="1:42" s="69" customFormat="1" ht="11.5" customHeight="1" outlineLevel="1" x14ac:dyDescent="0.35">
      <c r="A72" s="69" t="s">
        <v>40</v>
      </c>
      <c r="B72" s="69" t="s">
        <v>31</v>
      </c>
      <c r="D72" s="170">
        <v>4.7</v>
      </c>
      <c r="E72" s="134"/>
      <c r="F72" s="324" t="s">
        <v>28</v>
      </c>
      <c r="G72" s="135" cm="1">
        <f t="array" ref="G72">INDEX(Price!$L$11:$AM$182,MATCH(1,(Price!$A$11:$A$182=$A72)*(Price!$B$11:$B$182=$B72)*(Price!$D$11:$D$182="gb"),0),MATCH(1,(Price!$L$3:$AM$3=G$3)*(Price!$L$4:$AM$4=G$4),0))</f>
        <v>1346.5</v>
      </c>
      <c r="H72" s="135" cm="1">
        <f t="array" ref="H72">INDEX(Price!$L$11:$AM$182,MATCH(1,(Price!$A$11:$A$182=$A72)*(Price!$B$11:$B$182=$B72)*(Price!$D$11:$D$182="gb"),0),MATCH(1,(Price!$L$3:$AM$3=H$3)*(Price!$L$4:$AM$4=H$4),0))</f>
        <v>1354</v>
      </c>
      <c r="I72" s="135" cm="1">
        <f t="array" ref="I72">INDEX(Price!$L$11:$AM$182,MATCH(1,(Price!$A$11:$A$182=$A72)*(Price!$B$11:$B$182=$B72)*(Price!$D$11:$D$182="gb"),0),MATCH(1,(Price!$L$3:$AM$3=I$3)*(Price!$L$4:$AM$4=I$4),0))</f>
        <v>1366.5</v>
      </c>
      <c r="J72" s="135" cm="1">
        <f t="array" ref="J72">INDEX(Price!$L$11:$AM$182,MATCH(1,(Price!$A$11:$A$182=$A72)*(Price!$B$11:$B$182=$B72)*(Price!$D$11:$D$182="gb"),0),MATCH(1,(Price!$L$3:$AM$3=J$3)*(Price!$L$4:$AM$4=J$4),0))</f>
        <v>1369</v>
      </c>
      <c r="K72" s="135" cm="1">
        <f t="array" ref="K72">INDEX(Price!$L$11:$AM$182,MATCH(1,(Price!$A$11:$A$182=$A72)*(Price!$B$11:$B$182=$B72)*(Price!$D$11:$D$182="gb"),0),MATCH(1,(Price!$L$3:$AM$3=K$3)*(Price!$L$4:$AM$4=K$4),0))</f>
        <v>1373</v>
      </c>
      <c r="L72" s="135" cm="1">
        <f t="array" ref="L72">INDEX(Price!$L$11:$AM$182,MATCH(1,(Price!$A$11:$A$182=$A72)*(Price!$B$11:$B$182=$B72)*(Price!$D$11:$D$182="gb"),0),MATCH(1,(Price!$L$3:$AM$3=L$3)*(Price!$L$4:$AM$4=L$4),0))</f>
        <v>1388</v>
      </c>
      <c r="M72" s="135" cm="1">
        <f t="array" ref="M72">INDEX(Price!$L$11:$AM$182,MATCH(1,(Price!$A$11:$A$182=$A72)*(Price!$B$11:$B$182=$B72)*(Price!$D$11:$D$182="gb"),0),MATCH(1,(Price!$L$3:$AM$3=M$3)*(Price!$L$4:$AM$4=M$4),0))</f>
        <v>1404</v>
      </c>
      <c r="N72" s="135" cm="1">
        <f t="array" ref="N72">INDEX(Price!$L$11:$AM$182,MATCH(1,(Price!$A$11:$A$182=$A72)*(Price!$B$11:$B$182=$B72)*(Price!$D$11:$D$182="gb"),0),MATCH(1,(Price!$L$3:$AM$3=N$3)*(Price!$L$4:$AM$4=N$4),0))</f>
        <v>1415</v>
      </c>
      <c r="O72" s="135" cm="1">
        <f t="array" ref="O72">INDEX(Price!$L$11:$AM$182,MATCH(1,(Price!$A$11:$A$182=$A72)*(Price!$B$11:$B$182=$B72)*(Price!$D$11:$D$182="gb"),0),MATCH(1,(Price!$L$3:$AM$3=O$3)*(Price!$L$4:$AM$4=O$4),0))</f>
        <v>1435</v>
      </c>
      <c r="P72" s="135" cm="1">
        <f t="array" ref="P72">INDEX(Price!$L$11:$AM$182,MATCH(1,(Price!$A$11:$A$182=$A72)*(Price!$B$11:$B$182=$B72)*(Price!$D$11:$D$182="gb"),0),MATCH(1,(Price!$L$3:$AM$3=P$3)*(Price!$L$4:$AM$4=P$4),0))</f>
        <v>1462.75</v>
      </c>
      <c r="Q72" s="135" cm="1">
        <f t="array" ref="Q72">INDEX(Price!$L$11:$AM$182,MATCH(1,(Price!$A$11:$A$182=$A72)*(Price!$B$11:$B$182=$B72)*(Price!$D$11:$D$182="gb"),0),MATCH(1,(Price!$L$3:$AM$3=Q$3)*(Price!$L$4:$AM$4=Q$4),0))</f>
        <v>1480.25</v>
      </c>
      <c r="R72" s="136" cm="1">
        <f t="array" ref="R72">INDEX(Price!$L$11:$AM$182,MATCH(1,(Price!$A$11:$A$182=$A72)*(Price!$B$11:$B$182=$B72)*(Price!$D$11:$D$182="gb"),0),MATCH(1,(Price!$L$3:$AM$3=R$3)*(Price!$L$4:$AM$4=R$4),0))</f>
        <v>1484</v>
      </c>
      <c r="S72" s="135" cm="1">
        <f t="array" ref="S72">INDEX(Price!$L$11:$AM$182,MATCH(1,(Price!$A$11:$A$182=$A72)*(Price!$B$11:$B$182=$B72)*(Price!$D$11:$D$182="gb"),0),MATCH(1,(Price!$L$3:$AM$3=S$3)*(Price!$L$4:$AM$4=S$4),0))</f>
        <v>1402.21875</v>
      </c>
      <c r="T72" s="135" cm="1">
        <f t="array" ref="T72">INDEX(Price!$L$11:$AM$182,MATCH(1,(Price!$A$11:$A$182=$A72)*(Price!$B$11:$B$182=$B72)*(Price!$D$11:$D$182="gb"),0),MATCH(1,(Price!$L$3:$AM$3=T$3)*(Price!$L$4:$AM$4=T$4),0))</f>
        <v>1365.8020833333319</v>
      </c>
      <c r="U72" s="135" cm="1">
        <f t="array" ref="U72">INDEX(Price!$L$11:$AM$182,MATCH(1,(Price!$A$11:$A$182=$A72)*(Price!$B$11:$B$182=$B72)*(Price!$D$11:$D$182="gb"),0),MATCH(1,(Price!$L$3:$AM$3=U$3)*(Price!$L$4:$AM$4=U$4),0))</f>
        <v>1331.9583333333319</v>
      </c>
      <c r="V72" s="135" cm="1">
        <f t="array" ref="V72">INDEX(Price!$L$11:$AM$182,MATCH(1,(Price!$A$11:$A$182=$A72)*(Price!$B$11:$B$182=$B72)*(Price!$D$11:$D$182="gb"),0),MATCH(1,(Price!$L$3:$AM$3=V$3)*(Price!$L$4:$AM$4=V$4),0))</f>
        <v>1332.75</v>
      </c>
      <c r="W72" s="135" cm="1">
        <f t="array" ref="W72">INDEX(Price!$L$11:$AM$182,MATCH(1,(Price!$A$11:$A$182=$A72)*(Price!$B$11:$B$182=$B72)*(Price!$D$11:$D$182="gb"),0),MATCH(1,(Price!$L$3:$AM$3=W$3)*(Price!$L$4:$AM$4=W$4),0))</f>
        <v>1337.5</v>
      </c>
      <c r="X72" s="135" cm="1">
        <f t="array" ref="X72">INDEX(Price!$L$11:$AM$182,MATCH(1,(Price!$A$11:$A$182=$A72)*(Price!$B$11:$B$182=$B72)*(Price!$D$11:$D$182="gb"),0),MATCH(1,(Price!$L$3:$AM$3=X$3)*(Price!$L$4:$AM$4=X$4),0))</f>
        <v>1337.5</v>
      </c>
      <c r="Y72" s="135" cm="1">
        <f t="array" ref="Y72">INDEX(Price!$L$11:$AM$182,MATCH(1,(Price!$A$11:$A$182=$A72)*(Price!$B$11:$B$182=$B72)*(Price!$D$11:$D$182="gb"),0),MATCH(1,(Price!$L$3:$AM$3=Y$3)*(Price!$L$4:$AM$4=Y$4),0))</f>
        <v>1337.5</v>
      </c>
      <c r="Z72" s="135" cm="1">
        <f t="array" ref="Z72">INDEX(Price!$L$11:$AM$182,MATCH(1,(Price!$A$11:$A$182=$A72)*(Price!$B$11:$B$182=$B72)*(Price!$D$11:$D$182="gb"),0),MATCH(1,(Price!$L$3:$AM$3=Z$3)*(Price!$L$4:$AM$4=Z$4),0))</f>
        <v>1320.4</v>
      </c>
      <c r="AA72" s="135" cm="1">
        <f t="array" ref="AA72">INDEX(Price!$L$11:$AM$182,MATCH(1,(Price!$A$11:$A$182=$A72)*(Price!$B$11:$B$182=$B72)*(Price!$D$11:$D$182="gb"),0),MATCH(1,(Price!$L$3:$AM$3=AA$3)*(Price!$L$4:$AM$4=AA$4),0))</f>
        <v>1290.0250000000001</v>
      </c>
      <c r="AB72" s="135" cm="1">
        <f t="array" ref="AB72">INDEX(Price!$L$11:$AM$182,MATCH(1,(Price!$A$11:$A$182=$A72)*(Price!$B$11:$B$182=$B72)*(Price!$D$11:$D$182="gb"),0),MATCH(1,(Price!$L$3:$AM$3=AB$3)*(Price!$L$4:$AM$4=AB$4),0))</f>
        <v>1291.425</v>
      </c>
      <c r="AC72" s="135" cm="1">
        <f t="array" ref="AC72">INDEX(Price!$L$11:$AM$182,MATCH(1,(Price!$A$11:$A$182=$A72)*(Price!$B$11:$B$182=$B72)*(Price!$D$11:$D$182="gb"),0),MATCH(1,(Price!$L$3:$AM$3=AC$3)*(Price!$L$4:$AM$4=AC$4),0))</f>
        <v>1292.55</v>
      </c>
      <c r="AD72" s="136" cm="1">
        <f t="array" ref="AD72">INDEX(Price!$L$11:$AM$182,MATCH(1,(Price!$A$11:$A$182=$A72)*(Price!$B$11:$B$182=$B72)*(Price!$D$11:$D$182="gb"),0),MATCH(1,(Price!$L$3:$AM$3=AD$3)*(Price!$L$4:$AM$4=AD$4),0))</f>
        <v>1293.15625</v>
      </c>
      <c r="AE72" s="135"/>
      <c r="AF72" s="135"/>
      <c r="AG72" s="135"/>
      <c r="AH72" s="135"/>
      <c r="AI72" s="135"/>
      <c r="AJ72" s="135"/>
      <c r="AK72" s="135"/>
      <c r="AL72" s="135"/>
      <c r="AM72" s="135"/>
      <c r="AN72" s="135"/>
      <c r="AO72" s="135"/>
      <c r="AP72" s="136"/>
    </row>
    <row r="73" spans="1:42" s="1" customFormat="1" ht="11.5" customHeight="1" outlineLevel="1" x14ac:dyDescent="0.35">
      <c r="A73" s="1" t="s">
        <v>40</v>
      </c>
      <c r="B73" s="1" t="s">
        <v>31</v>
      </c>
      <c r="C73" s="143" t="s">
        <v>322</v>
      </c>
      <c r="D73" s="171">
        <v>4.8</v>
      </c>
      <c r="E73" s="144"/>
      <c r="F73" s="325" t="s">
        <v>8</v>
      </c>
      <c r="G73" s="145" cm="1">
        <f t="array" ref="G73">INDEX(Price!$L$11:$AM$182,MATCH(1,(Price!$A$11:$A$182=$A73)*(Price!$B$11:$B$182=$B73)*(Price!$D$11:$D$182="exw"),0),MATCH(1,(Price!$L$3:$AM$3=G$3)*(Price!$L$4:$AM$4=G$4),0))</f>
        <v>1320</v>
      </c>
      <c r="H73" s="145" cm="1">
        <f t="array" ref="H73">INDEX(Price!$L$11:$AM$182,MATCH(1,(Price!$A$11:$A$182=$A73)*(Price!$B$11:$B$182=$B73)*(Price!$D$11:$D$182="exw"),0),MATCH(1,(Price!$L$3:$AM$3=H$3)*(Price!$L$4:$AM$4=H$4),0))</f>
        <v>1327.5</v>
      </c>
      <c r="I73" s="145" cm="1">
        <f t="array" ref="I73">INDEX(Price!$L$11:$AM$182,MATCH(1,(Price!$A$11:$A$182=$A73)*(Price!$B$11:$B$182=$B73)*(Price!$D$11:$D$182="exw"),0),MATCH(1,(Price!$L$3:$AM$3=I$3)*(Price!$L$4:$AM$4=I$4),0))</f>
        <v>1340</v>
      </c>
      <c r="J73" s="145" cm="1">
        <f t="array" ref="J73">INDEX(Price!$L$11:$AM$182,MATCH(1,(Price!$A$11:$A$182=$A73)*(Price!$B$11:$B$182=$B73)*(Price!$D$11:$D$182="exw"),0),MATCH(1,(Price!$L$3:$AM$3=J$3)*(Price!$L$4:$AM$4=J$4),0))</f>
        <v>1342.5</v>
      </c>
      <c r="K73" s="145" cm="1">
        <f t="array" ref="K73">INDEX(Price!$L$11:$AM$182,MATCH(1,(Price!$A$11:$A$182=$A73)*(Price!$B$11:$B$182=$B73)*(Price!$D$11:$D$182="exw"),0),MATCH(1,(Price!$L$3:$AM$3=K$3)*(Price!$L$4:$AM$4=K$4),0))</f>
        <v>1346.5</v>
      </c>
      <c r="L73" s="145" cm="1">
        <f t="array" ref="L73">INDEX(Price!$L$11:$AM$182,MATCH(1,(Price!$A$11:$A$182=$A73)*(Price!$B$11:$B$182=$B73)*(Price!$D$11:$D$182="exw"),0),MATCH(1,(Price!$L$3:$AM$3=L$3)*(Price!$L$4:$AM$4=L$4),0))</f>
        <v>1361.5</v>
      </c>
      <c r="M73" s="145" cm="1">
        <f t="array" ref="M73">INDEX(Price!$L$11:$AM$182,MATCH(1,(Price!$A$11:$A$182=$A73)*(Price!$B$11:$B$182=$B73)*(Price!$D$11:$D$182="exw"),0),MATCH(1,(Price!$L$3:$AM$3=M$3)*(Price!$L$4:$AM$4=M$4),0))</f>
        <v>1377.5</v>
      </c>
      <c r="N73" s="145" cm="1">
        <f t="array" ref="N73">INDEX(Price!$L$11:$AM$182,MATCH(1,(Price!$A$11:$A$182=$A73)*(Price!$B$11:$B$182=$B73)*(Price!$D$11:$D$182="exw"),0),MATCH(1,(Price!$L$3:$AM$3=N$3)*(Price!$L$4:$AM$4=N$4),0))</f>
        <v>1388.5</v>
      </c>
      <c r="O73" s="145" cm="1">
        <f t="array" ref="O73">INDEX(Price!$L$11:$AM$182,MATCH(1,(Price!$A$11:$A$182=$A73)*(Price!$B$11:$B$182=$B73)*(Price!$D$11:$D$182="exw"),0),MATCH(1,(Price!$L$3:$AM$3=O$3)*(Price!$L$4:$AM$4=O$4),0))</f>
        <v>1408.5</v>
      </c>
      <c r="P73" s="145" cm="1">
        <f t="array" ref="P73">INDEX(Price!$L$11:$AM$182,MATCH(1,(Price!$A$11:$A$182=$A73)*(Price!$B$11:$B$182=$B73)*(Price!$D$11:$D$182="exw"),0),MATCH(1,(Price!$L$3:$AM$3=P$3)*(Price!$L$4:$AM$4=P$4),0))</f>
        <v>1436.25</v>
      </c>
      <c r="Q73" s="145" cm="1">
        <f t="array" ref="Q73">INDEX(Price!$L$11:$AM$182,MATCH(1,(Price!$A$11:$A$182=$A73)*(Price!$B$11:$B$182=$B73)*(Price!$D$11:$D$182="exw"),0),MATCH(1,(Price!$L$3:$AM$3=Q$3)*(Price!$L$4:$AM$4=Q$4),0))</f>
        <v>1453.75</v>
      </c>
      <c r="R73" s="146" cm="1">
        <f t="array" ref="R73">INDEX(Price!$L$11:$AM$182,MATCH(1,(Price!$A$11:$A$182=$A73)*(Price!$B$11:$B$182=$B73)*(Price!$D$11:$D$182="exw"),0),MATCH(1,(Price!$L$3:$AM$3=R$3)*(Price!$L$4:$AM$4=R$4),0))</f>
        <v>1457.5</v>
      </c>
      <c r="S73" s="145" cm="1">
        <f t="array" ref="S73">INDEX(Price!$L$11:$AM$182,MATCH(1,(Price!$A$11:$A$182=$A73)*(Price!$B$11:$B$182=$B73)*(Price!$D$11:$D$182="exw"),0),MATCH(1,(Price!$L$3:$AM$3=S$3)*(Price!$L$4:$AM$4=S$4),0))</f>
        <v>1375.71875</v>
      </c>
      <c r="T73" s="145" cm="1">
        <f t="array" ref="T73">INDEX(Price!$L$11:$AM$182,MATCH(1,(Price!$A$11:$A$182=$A73)*(Price!$B$11:$B$182=$B73)*(Price!$D$11:$D$182="exw"),0),MATCH(1,(Price!$L$3:$AM$3=T$3)*(Price!$L$4:$AM$4=T$4),0))</f>
        <v>1339.3020833333319</v>
      </c>
      <c r="U73" s="145" cm="1">
        <f t="array" ref="U73">INDEX(Price!$L$11:$AM$182,MATCH(1,(Price!$A$11:$A$182=$A73)*(Price!$B$11:$B$182=$B73)*(Price!$D$11:$D$182="exw"),0),MATCH(1,(Price!$L$3:$AM$3=U$3)*(Price!$L$4:$AM$4=U$4),0))</f>
        <v>1305.4583333333319</v>
      </c>
      <c r="V73" s="145" cm="1">
        <f t="array" ref="V73">INDEX(Price!$L$11:$AM$182,MATCH(1,(Price!$A$11:$A$182=$A73)*(Price!$B$11:$B$182=$B73)*(Price!$D$11:$D$182="exw"),0),MATCH(1,(Price!$L$3:$AM$3=V$3)*(Price!$L$4:$AM$4=V$4),0))</f>
        <v>1306.25</v>
      </c>
      <c r="W73" s="145" cm="1">
        <f t="array" ref="W73">INDEX(Price!$L$11:$AM$182,MATCH(1,(Price!$A$11:$A$182=$A73)*(Price!$B$11:$B$182=$B73)*(Price!$D$11:$D$182="exw"),0),MATCH(1,(Price!$L$3:$AM$3=W$3)*(Price!$L$4:$AM$4=W$4),0))</f>
        <v>1311</v>
      </c>
      <c r="X73" s="145" cm="1">
        <f t="array" ref="X73">INDEX(Price!$L$11:$AM$182,MATCH(1,(Price!$A$11:$A$182=$A73)*(Price!$B$11:$B$182=$B73)*(Price!$D$11:$D$182="exw"),0),MATCH(1,(Price!$L$3:$AM$3=X$3)*(Price!$L$4:$AM$4=X$4),0))</f>
        <v>1311</v>
      </c>
      <c r="Y73" s="145" cm="1">
        <f t="array" ref="Y73">INDEX(Price!$L$11:$AM$182,MATCH(1,(Price!$A$11:$A$182=$A73)*(Price!$B$11:$B$182=$B73)*(Price!$D$11:$D$182="exw"),0),MATCH(1,(Price!$L$3:$AM$3=Y$3)*(Price!$L$4:$AM$4=Y$4),0))</f>
        <v>1311</v>
      </c>
      <c r="Z73" s="145" cm="1">
        <f t="array" ref="Z73">INDEX(Price!$L$11:$AM$182,MATCH(1,(Price!$A$11:$A$182=$A73)*(Price!$B$11:$B$182=$B73)*(Price!$D$11:$D$182="exw"),0),MATCH(1,(Price!$L$3:$AM$3=Z$3)*(Price!$L$4:$AM$4=Z$4),0))</f>
        <v>1293.9000000000001</v>
      </c>
      <c r="AA73" s="145" cm="1">
        <f t="array" ref="AA73">INDEX(Price!$L$11:$AM$182,MATCH(1,(Price!$A$11:$A$182=$A73)*(Price!$B$11:$B$182=$B73)*(Price!$D$11:$D$182="exw"),0),MATCH(1,(Price!$L$3:$AM$3=AA$3)*(Price!$L$4:$AM$4=AA$4),0))</f>
        <v>1263.5250000000001</v>
      </c>
      <c r="AB73" s="145" cm="1">
        <f t="array" ref="AB73">INDEX(Price!$L$11:$AM$182,MATCH(1,(Price!$A$11:$A$182=$A73)*(Price!$B$11:$B$182=$B73)*(Price!$D$11:$D$182="exw"),0),MATCH(1,(Price!$L$3:$AM$3=AB$3)*(Price!$L$4:$AM$4=AB$4),0))</f>
        <v>1264.925</v>
      </c>
      <c r="AC73" s="145" cm="1">
        <f t="array" ref="AC73">INDEX(Price!$L$11:$AM$182,MATCH(1,(Price!$A$11:$A$182=$A73)*(Price!$B$11:$B$182=$B73)*(Price!$D$11:$D$182="exw"),0),MATCH(1,(Price!$L$3:$AM$3=AC$3)*(Price!$L$4:$AM$4=AC$4),0))</f>
        <v>1266.05</v>
      </c>
      <c r="AD73" s="146" cm="1">
        <f t="array" ref="AD73">INDEX(Price!$L$11:$AM$182,MATCH(1,(Price!$A$11:$A$182=$A73)*(Price!$B$11:$B$182=$B73)*(Price!$D$11:$D$182="exw"),0),MATCH(1,(Price!$L$3:$AM$3=AD$3)*(Price!$L$4:$AM$4=AD$4),0))</f>
        <v>1266.65625</v>
      </c>
      <c r="AE73" s="145"/>
      <c r="AF73" s="145"/>
      <c r="AG73" s="145"/>
      <c r="AH73" s="145"/>
      <c r="AI73" s="145"/>
      <c r="AJ73" s="145"/>
      <c r="AK73" s="145"/>
      <c r="AL73" s="145"/>
      <c r="AM73" s="145"/>
      <c r="AN73" s="145"/>
      <c r="AO73" s="145"/>
      <c r="AP73" s="146"/>
    </row>
    <row r="74" spans="1:42" ht="11.5" customHeight="1" outlineLevel="1" x14ac:dyDescent="0.35">
      <c r="A74" t="s">
        <v>40</v>
      </c>
      <c r="B74" t="s">
        <v>31</v>
      </c>
      <c r="C74" s="14" t="s">
        <v>9</v>
      </c>
      <c r="D74" s="172">
        <v>4.9000000000000004</v>
      </c>
      <c r="E74" s="8"/>
      <c r="F74" s="326" t="s">
        <v>11</v>
      </c>
      <c r="G74" s="320" cm="1">
        <f t="array" ref="G74">SUMPRODUCT(General_Data*(Code_General_Data=$C74)*(Year=G$3)*(Month=G$4))</f>
        <v>930</v>
      </c>
      <c r="H74" s="132" cm="1">
        <f t="array" ref="H74">SUMPRODUCT(General_Data*(Code_General_Data=$C74)*(Year=H$3)*(Month=H$4))</f>
        <v>943.33333333333337</v>
      </c>
      <c r="I74" s="132" cm="1">
        <f t="array" ref="I74">SUMPRODUCT(General_Data*(Code_General_Data=$C74)*(Year=I$3)*(Month=I$4))</f>
        <v>940</v>
      </c>
      <c r="J74" s="132" cm="1">
        <f t="array" ref="J74">SUMPRODUCT(General_Data*(Code_General_Data=$C74)*(Year=J$3)*(Month=J$4))</f>
        <v>940</v>
      </c>
      <c r="K74" s="132" cm="1">
        <f t="array" ref="K74">SUMPRODUCT(General_Data*(Code_General_Data=$C74)*(Year=K$3)*(Month=K$4))</f>
        <v>942</v>
      </c>
      <c r="L74" s="132" cm="1">
        <f t="array" ref="L74">SUMPRODUCT(General_Data*(Code_General_Data=$C74)*(Year=L$3)*(Month=L$4))</f>
        <v>950</v>
      </c>
      <c r="M74" s="132" cm="1">
        <f t="array" ref="M74">SUMPRODUCT(General_Data*(Code_General_Data=$C74)*(Year=M$3)*(Month=M$4))</f>
        <v>947.5</v>
      </c>
      <c r="N74" s="132" cm="1">
        <f t="array" ref="N74">SUMPRODUCT(General_Data*(Code_General_Data=$C74)*(Year=N$3)*(Month=N$4))</f>
        <v>930</v>
      </c>
      <c r="O74" s="132" cm="1">
        <f t="array" ref="O74">SUMPRODUCT(General_Data*(Code_General_Data=$C74)*(Year=O$3)*(Month=O$4))</f>
        <v>880</v>
      </c>
      <c r="P74" s="132" cm="1">
        <f t="array" ref="P74">SUMPRODUCT(General_Data*(Code_General_Data=$C74)*(Year=P$3)*(Month=P$4))</f>
        <v>862.5</v>
      </c>
      <c r="Q74" s="132" cm="1">
        <f t="array" ref="Q74">SUMPRODUCT(General_Data*(Code_General_Data=$C74)*(Year=Q$3)*(Month=Q$4))</f>
        <v>852</v>
      </c>
      <c r="R74" s="133" cm="1">
        <f t="array" ref="R74">SUMPRODUCT(General_Data*(Code_General_Data=$C74)*(Year=R$3)*(Month=R$4))</f>
        <v>830</v>
      </c>
      <c r="S74" s="132" cm="1">
        <f t="array" ref="S74">SUMPRODUCT(General_Data*(Code_General_Data=$C74)*(Year=S$3)*(Month=S$4))</f>
        <v>828</v>
      </c>
      <c r="T74" s="132" cm="1">
        <f t="array" ref="T74">SUMPRODUCT(General_Data*(Code_General_Data=$C74)*(Year=T$3)*(Month=T$4))</f>
        <v>840</v>
      </c>
      <c r="U74" s="132" cm="1">
        <f t="array" ref="U74">SUMPRODUCT(General_Data*(Code_General_Data=$C74)*(Year=U$3)*(Month=U$4))</f>
        <v>823</v>
      </c>
      <c r="V74" s="132" cm="1">
        <f t="array" ref="V74">SUMPRODUCT(General_Data*(Code_General_Data=$C74)*(Year=V$3)*(Month=V$4))</f>
        <v>765</v>
      </c>
      <c r="W74" s="132" cm="1">
        <f t="array" ref="W74">SUMPRODUCT(General_Data*(Code_General_Data=$C74)*(Year=W$3)*(Month=W$4))</f>
        <v>782</v>
      </c>
      <c r="X74" s="132" cm="1">
        <f t="array" ref="X74">SUMPRODUCT(General_Data*(Code_General_Data=$C74)*(Year=X$3)*(Month=X$4))</f>
        <v>807.5</v>
      </c>
      <c r="Y74" s="132" cm="1">
        <f t="array" ref="Y74">SUMPRODUCT(General_Data*(Code_General_Data=$C74)*(Year=Y$3)*(Month=Y$4))</f>
        <v>802</v>
      </c>
      <c r="Z74" s="132" cm="1">
        <f t="array" ref="Z74">SUMPRODUCT(General_Data*(Code_General_Data=$C74)*(Year=Z$3)*(Month=Z$4))</f>
        <v>795</v>
      </c>
      <c r="AA74" s="132" cm="1">
        <f t="array" ref="AA74">SUMPRODUCT(General_Data*(Code_General_Data=$C74)*(Year=AA$3)*(Month=AA$4))</f>
        <v>783</v>
      </c>
      <c r="AB74" s="132" cm="1">
        <f t="array" ref="AB74">SUMPRODUCT(General_Data*(Code_General_Data=$C74)*(Year=AB$3)*(Month=AB$4))</f>
        <v>772</v>
      </c>
      <c r="AC74" s="132" cm="1">
        <f t="array" ref="AC74">SUMPRODUCT(General_Data*(Code_General_Data=$C74)*(Year=AC$3)*(Month=AC$4))</f>
        <v>770</v>
      </c>
      <c r="AD74" s="133" cm="1">
        <f t="array" ref="AD74">SUMPRODUCT(General_Data*(Code_General_Data=$C74)*(Year=AD$3)*(Month=AD$4))</f>
        <v>770</v>
      </c>
      <c r="AE74" s="132"/>
      <c r="AF74" s="132"/>
      <c r="AG74" s="132"/>
      <c r="AH74" s="132"/>
      <c r="AI74" s="132"/>
      <c r="AJ74" s="132"/>
      <c r="AK74" s="132"/>
      <c r="AL74" s="132"/>
      <c r="AM74" s="132"/>
      <c r="AN74" s="132"/>
      <c r="AO74" s="132"/>
      <c r="AP74" s="133"/>
    </row>
    <row r="75" spans="1:42" s="152" customFormat="1" ht="11.5" customHeight="1" outlineLevel="1" x14ac:dyDescent="0.35">
      <c r="A75" s="152" t="s">
        <v>40</v>
      </c>
      <c r="B75" s="152" t="s">
        <v>31</v>
      </c>
      <c r="D75" s="173">
        <v>4.0999999999999996</v>
      </c>
      <c r="E75" s="153"/>
      <c r="F75" s="327" t="s">
        <v>430</v>
      </c>
      <c r="G75" s="154">
        <f t="shared" ref="G75:AD75" si="18">IF(G72*G73*G74&lt;&gt;0,G73-G74,0)</f>
        <v>390</v>
      </c>
      <c r="H75" s="154">
        <f t="shared" si="18"/>
        <v>384.16666666666663</v>
      </c>
      <c r="I75" s="154">
        <f t="shared" si="18"/>
        <v>400</v>
      </c>
      <c r="J75" s="154">
        <f t="shared" si="18"/>
        <v>402.5</v>
      </c>
      <c r="K75" s="154">
        <f t="shared" si="18"/>
        <v>404.5</v>
      </c>
      <c r="L75" s="154">
        <f t="shared" si="18"/>
        <v>411.5</v>
      </c>
      <c r="M75" s="154">
        <f t="shared" si="18"/>
        <v>430</v>
      </c>
      <c r="N75" s="154">
        <f t="shared" si="18"/>
        <v>458.5</v>
      </c>
      <c r="O75" s="154">
        <f t="shared" si="18"/>
        <v>528.5</v>
      </c>
      <c r="P75" s="154">
        <f t="shared" si="18"/>
        <v>573.75</v>
      </c>
      <c r="Q75" s="154">
        <f t="shared" si="18"/>
        <v>601.75</v>
      </c>
      <c r="R75" s="155">
        <f t="shared" si="18"/>
        <v>627.5</v>
      </c>
      <c r="S75" s="154">
        <f t="shared" si="18"/>
        <v>547.71875</v>
      </c>
      <c r="T75" s="154">
        <f t="shared" si="18"/>
        <v>499.30208333333189</v>
      </c>
      <c r="U75" s="154">
        <f t="shared" si="18"/>
        <v>482.45833333333189</v>
      </c>
      <c r="V75" s="154">
        <f t="shared" si="18"/>
        <v>541.25</v>
      </c>
      <c r="W75" s="154">
        <f t="shared" si="18"/>
        <v>529</v>
      </c>
      <c r="X75" s="154">
        <f t="shared" si="18"/>
        <v>503.5</v>
      </c>
      <c r="Y75" s="154">
        <f t="shared" si="18"/>
        <v>509</v>
      </c>
      <c r="Z75" s="154">
        <f t="shared" si="18"/>
        <v>498.90000000000009</v>
      </c>
      <c r="AA75" s="154">
        <f t="shared" si="18"/>
        <v>480.52500000000009</v>
      </c>
      <c r="AB75" s="154">
        <f t="shared" si="18"/>
        <v>492.92499999999995</v>
      </c>
      <c r="AC75" s="154">
        <f t="shared" si="18"/>
        <v>496.04999999999995</v>
      </c>
      <c r="AD75" s="155">
        <f t="shared" si="18"/>
        <v>496.65625</v>
      </c>
      <c r="AE75" s="154"/>
      <c r="AF75" s="154"/>
      <c r="AG75" s="154"/>
      <c r="AH75" s="154"/>
      <c r="AI75" s="154"/>
      <c r="AJ75" s="154"/>
      <c r="AK75" s="154"/>
      <c r="AL75" s="154"/>
      <c r="AM75" s="154"/>
      <c r="AN75" s="154"/>
      <c r="AO75" s="154"/>
      <c r="AP75" s="155"/>
    </row>
    <row r="76" spans="1:42" s="156" customFormat="1" ht="11.5" customHeight="1" outlineLevel="1" x14ac:dyDescent="0.35">
      <c r="A76" s="156" t="s">
        <v>40</v>
      </c>
      <c r="B76" s="156" t="s">
        <v>31</v>
      </c>
      <c r="D76" s="166">
        <v>4.1100000000000003</v>
      </c>
      <c r="E76" s="157"/>
      <c r="F76" s="328" t="s">
        <v>14</v>
      </c>
      <c r="G76" s="158">
        <f t="shared" ref="G76:AD76" si="19">IFERROR(G75/G74,0)</f>
        <v>0.41935483870967744</v>
      </c>
      <c r="H76" s="158">
        <f t="shared" si="19"/>
        <v>0.40724381625441691</v>
      </c>
      <c r="I76" s="158">
        <f t="shared" si="19"/>
        <v>0.42553191489361702</v>
      </c>
      <c r="J76" s="158">
        <f t="shared" si="19"/>
        <v>0.42819148936170215</v>
      </c>
      <c r="K76" s="158">
        <f t="shared" si="19"/>
        <v>0.4294055201698514</v>
      </c>
      <c r="L76" s="158">
        <f t="shared" si="19"/>
        <v>0.43315789473684213</v>
      </c>
      <c r="M76" s="158">
        <f t="shared" si="19"/>
        <v>0.45382585751978893</v>
      </c>
      <c r="N76" s="158">
        <f t="shared" si="19"/>
        <v>0.49301075268817202</v>
      </c>
      <c r="O76" s="158">
        <f t="shared" si="19"/>
        <v>0.60056818181818183</v>
      </c>
      <c r="P76" s="158">
        <f t="shared" si="19"/>
        <v>0.66521739130434787</v>
      </c>
      <c r="Q76" s="158">
        <f t="shared" si="19"/>
        <v>0.70627934272300474</v>
      </c>
      <c r="R76" s="159">
        <f t="shared" si="19"/>
        <v>0.75602409638554213</v>
      </c>
      <c r="S76" s="158">
        <f t="shared" si="19"/>
        <v>0.66149607487922701</v>
      </c>
      <c r="T76" s="158">
        <f t="shared" si="19"/>
        <v>0.59440724206349038</v>
      </c>
      <c r="U76" s="158">
        <f t="shared" si="19"/>
        <v>0.58621911705143603</v>
      </c>
      <c r="V76" s="158">
        <f t="shared" si="19"/>
        <v>0.70751633986928109</v>
      </c>
      <c r="W76" s="158">
        <f t="shared" si="19"/>
        <v>0.67647058823529416</v>
      </c>
      <c r="X76" s="158">
        <f t="shared" si="19"/>
        <v>0.62352941176470589</v>
      </c>
      <c r="Y76" s="158">
        <f t="shared" si="19"/>
        <v>0.63466334164588534</v>
      </c>
      <c r="Z76" s="158">
        <f t="shared" si="19"/>
        <v>0.62754716981132086</v>
      </c>
      <c r="AA76" s="158">
        <f t="shared" si="19"/>
        <v>0.61369731800766292</v>
      </c>
      <c r="AB76" s="158">
        <f t="shared" si="19"/>
        <v>0.63850388601036268</v>
      </c>
      <c r="AC76" s="158">
        <f t="shared" si="19"/>
        <v>0.64422077922077914</v>
      </c>
      <c r="AD76" s="159">
        <f t="shared" si="19"/>
        <v>0.64500811688311688</v>
      </c>
      <c r="AE76" s="158"/>
      <c r="AF76" s="158"/>
      <c r="AG76" s="158"/>
      <c r="AH76" s="158"/>
      <c r="AI76" s="158"/>
      <c r="AJ76" s="158"/>
      <c r="AK76" s="158"/>
      <c r="AL76" s="158"/>
      <c r="AM76" s="158"/>
      <c r="AN76" s="158"/>
      <c r="AO76" s="158"/>
      <c r="AP76" s="159"/>
    </row>
    <row r="77" spans="1:42" s="137" customFormat="1" ht="11.5" customHeight="1" outlineLevel="1" x14ac:dyDescent="0.35">
      <c r="A77" s="137" t="s">
        <v>40</v>
      </c>
      <c r="B77" s="137" t="s">
        <v>31</v>
      </c>
      <c r="C77" s="137" t="s">
        <v>31</v>
      </c>
      <c r="D77" s="167">
        <v>4.12</v>
      </c>
      <c r="E77" s="138"/>
      <c r="F77" s="329" t="s">
        <v>203</v>
      </c>
      <c r="G77" s="139" cm="1">
        <f t="array" ref="G77">SUMPRODUCT(General_Data*(Code_General_Data=$C77)*(Year=G$3)*(Month=G$4))</f>
        <v>1280</v>
      </c>
      <c r="H77" s="139" cm="1">
        <f t="array" ref="H77">SUMPRODUCT(General_Data*(Code_General_Data=$C77)*(Year=H$3)*(Month=H$4))</f>
        <v>1280</v>
      </c>
      <c r="I77" s="139" cm="1">
        <f t="array" ref="I77">SUMPRODUCT(General_Data*(Code_General_Data=$C77)*(Year=I$3)*(Month=I$4))</f>
        <v>1280</v>
      </c>
      <c r="J77" s="139" cm="1">
        <f t="array" ref="J77">SUMPRODUCT(General_Data*(Code_General_Data=$C77)*(Year=J$3)*(Month=J$4))</f>
        <v>1280</v>
      </c>
      <c r="K77" s="139" cm="1">
        <f t="array" ref="K77">SUMPRODUCT(General_Data*(Code_General_Data=$C77)*(Year=K$3)*(Month=K$4))</f>
        <v>1330</v>
      </c>
      <c r="L77" s="139" cm="1">
        <f t="array" ref="L77">SUMPRODUCT(General_Data*(Code_General_Data=$C77)*(Year=L$3)*(Month=L$4))</f>
        <v>1330</v>
      </c>
      <c r="M77" s="139" cm="1">
        <f t="array" ref="M77">SUMPRODUCT(General_Data*(Code_General_Data=$C77)*(Year=M$3)*(Month=M$4))</f>
        <v>1330</v>
      </c>
      <c r="N77" s="139" cm="1">
        <f t="array" ref="N77">SUMPRODUCT(General_Data*(Code_General_Data=$C77)*(Year=N$3)*(Month=N$4))</f>
        <v>1330</v>
      </c>
      <c r="O77" s="139" cm="1">
        <f t="array" ref="O77">SUMPRODUCT(General_Data*(Code_General_Data=$C77)*(Year=O$3)*(Month=O$4))</f>
        <v>1340</v>
      </c>
      <c r="P77" s="139" cm="1">
        <f t="array" ref="P77">SUMPRODUCT(General_Data*(Code_General_Data=$C77)*(Year=P$3)*(Month=P$4))</f>
        <v>1355</v>
      </c>
      <c r="Q77" s="139" cm="1">
        <f t="array" ref="Q77">SUMPRODUCT(General_Data*(Code_General_Data=$C77)*(Year=Q$3)*(Month=Q$4))</f>
        <v>1355</v>
      </c>
      <c r="R77" s="140" cm="1">
        <f t="array" ref="R77">SUMPRODUCT(General_Data*(Code_General_Data=$C77)*(Year=R$3)*(Month=R$4))</f>
        <v>1305</v>
      </c>
      <c r="S77" s="139" cm="1">
        <f t="array" ref="S77">SUMPRODUCT(General_Data*(Code_General_Data=$C77)*(Year=S$3)*(Month=S$4))</f>
        <v>1260</v>
      </c>
      <c r="T77" s="139" cm="1">
        <f t="array" ref="T77">SUMPRODUCT(General_Data*(Code_General_Data=$C77)*(Year=T$3)*(Month=T$4))</f>
        <v>1260</v>
      </c>
      <c r="U77" s="139" cm="1">
        <f t="array" ref="U77">SUMPRODUCT(General_Data*(Code_General_Data=$C77)*(Year=U$3)*(Month=U$4))</f>
        <v>1260</v>
      </c>
      <c r="V77" s="139" cm="1">
        <f t="array" ref="V77">SUMPRODUCT(General_Data*(Code_General_Data=$C77)*(Year=V$3)*(Month=V$4))</f>
        <v>1280</v>
      </c>
      <c r="W77" s="139" cm="1">
        <f t="array" ref="W77">SUMPRODUCT(General_Data*(Code_General_Data=$C77)*(Year=W$3)*(Month=W$4))</f>
        <v>1280</v>
      </c>
      <c r="X77" s="139" cm="1">
        <f t="array" ref="X77">SUMPRODUCT(General_Data*(Code_General_Data=$C77)*(Year=X$3)*(Month=X$4))</f>
        <v>1280</v>
      </c>
      <c r="Y77" s="139" cm="1">
        <f t="array" ref="Y77">SUMPRODUCT(General_Data*(Code_General_Data=$C77)*(Year=Y$3)*(Month=Y$4))</f>
        <v>1280</v>
      </c>
      <c r="Z77" s="139" cm="1">
        <f t="array" ref="Z77">SUMPRODUCT(General_Data*(Code_General_Data=$C77)*(Year=Z$3)*(Month=Z$4))</f>
        <v>1250</v>
      </c>
      <c r="AA77" s="139" cm="1">
        <f t="array" ref="AA77">SUMPRODUCT(General_Data*(Code_General_Data=$C77)*(Year=AA$3)*(Month=AA$4))</f>
        <v>1250</v>
      </c>
      <c r="AB77" s="139" cm="1">
        <f t="array" ref="AB77">SUMPRODUCT(General_Data*(Code_General_Data=$C77)*(Year=AB$3)*(Month=AB$4))</f>
        <v>1240</v>
      </c>
      <c r="AC77" s="139" cm="1">
        <f t="array" ref="AC77">SUMPRODUCT(General_Data*(Code_General_Data=$C77)*(Year=AC$3)*(Month=AC$4))</f>
        <v>1230</v>
      </c>
      <c r="AD77" s="140" cm="1">
        <f t="array" ref="AD77">SUMPRODUCT(General_Data*(Code_General_Data=$C77)*(Year=AD$3)*(Month=AD$4))</f>
        <v>1230</v>
      </c>
      <c r="AE77" s="139"/>
      <c r="AF77" s="139"/>
      <c r="AG77" s="139"/>
      <c r="AH77" s="139"/>
      <c r="AI77" s="139"/>
      <c r="AJ77" s="139"/>
      <c r="AK77" s="139"/>
      <c r="AL77" s="139"/>
      <c r="AM77" s="139"/>
      <c r="AN77" s="139"/>
      <c r="AO77" s="139"/>
      <c r="AP77" s="140"/>
    </row>
    <row r="78" spans="1:42" ht="3.65" customHeight="1" x14ac:dyDescent="0.35">
      <c r="D78" s="168"/>
    </row>
    <row r="79" spans="1:42" s="127" customFormat="1" ht="15.65" customHeight="1" x14ac:dyDescent="0.4">
      <c r="A79" s="127" t="s">
        <v>62</v>
      </c>
      <c r="C79" s="131"/>
      <c r="D79" s="160">
        <v>5</v>
      </c>
      <c r="E79" s="130" t="s">
        <v>32</v>
      </c>
      <c r="F79" s="322"/>
      <c r="G79" s="130"/>
      <c r="H79" s="130"/>
      <c r="I79" s="130"/>
      <c r="J79" s="130"/>
      <c r="K79" s="130"/>
      <c r="L79" s="130"/>
      <c r="M79" s="130"/>
      <c r="N79" s="130"/>
      <c r="O79" s="130"/>
      <c r="P79" s="130"/>
      <c r="Q79" s="130"/>
      <c r="R79" s="319"/>
      <c r="S79" s="130"/>
      <c r="T79" s="130"/>
      <c r="U79" s="130"/>
      <c r="V79" s="130"/>
      <c r="W79" s="130"/>
      <c r="X79" s="130"/>
      <c r="Y79" s="130"/>
      <c r="Z79" s="130"/>
      <c r="AA79" s="130"/>
      <c r="AB79" s="130"/>
      <c r="AC79" s="130"/>
      <c r="AD79" s="319"/>
      <c r="AE79" s="130"/>
      <c r="AF79" s="130"/>
      <c r="AG79" s="130"/>
      <c r="AH79" s="130"/>
      <c r="AI79" s="130"/>
      <c r="AJ79" s="130"/>
      <c r="AK79" s="130"/>
      <c r="AL79" s="130"/>
      <c r="AM79" s="130"/>
      <c r="AN79" s="130"/>
      <c r="AO79" s="130"/>
      <c r="AP79" s="319"/>
    </row>
    <row r="80" spans="1:42" s="148" customFormat="1" ht="13.4" customHeight="1" outlineLevel="1" x14ac:dyDescent="0.4">
      <c r="A80" s="148" t="s">
        <v>62</v>
      </c>
      <c r="B80" s="148" t="s">
        <v>35</v>
      </c>
      <c r="D80" s="161"/>
      <c r="E80" s="149"/>
      <c r="F80" s="323" t="s">
        <v>33</v>
      </c>
      <c r="G80" s="149"/>
      <c r="H80" s="149"/>
      <c r="I80" s="149"/>
      <c r="J80" s="149"/>
      <c r="K80" s="149"/>
      <c r="L80" s="149"/>
      <c r="M80" s="149"/>
      <c r="N80" s="149"/>
      <c r="O80" s="149"/>
      <c r="P80" s="149"/>
      <c r="Q80" s="149"/>
      <c r="R80" s="150"/>
      <c r="S80" s="149"/>
      <c r="T80" s="149"/>
      <c r="U80" s="149"/>
      <c r="V80" s="149"/>
      <c r="W80" s="149"/>
      <c r="X80" s="149"/>
      <c r="Y80" s="149"/>
      <c r="Z80" s="149"/>
      <c r="AA80" s="149"/>
      <c r="AB80" s="149"/>
      <c r="AC80" s="149"/>
      <c r="AD80" s="150"/>
      <c r="AE80" s="149"/>
      <c r="AF80" s="149"/>
      <c r="AG80" s="149"/>
      <c r="AH80" s="149"/>
      <c r="AI80" s="149"/>
      <c r="AJ80" s="149"/>
      <c r="AK80" s="149"/>
      <c r="AL80" s="149"/>
      <c r="AM80" s="149"/>
      <c r="AN80" s="149"/>
      <c r="AO80" s="149"/>
      <c r="AP80" s="150"/>
    </row>
    <row r="81" spans="1:42" s="69" customFormat="1" ht="11.5" customHeight="1" outlineLevel="1" x14ac:dyDescent="0.35">
      <c r="A81" s="69" t="s">
        <v>62</v>
      </c>
      <c r="B81" s="69" t="s">
        <v>35</v>
      </c>
      <c r="D81" s="162">
        <v>5.0999999999999996</v>
      </c>
      <c r="E81" s="134"/>
      <c r="F81" s="324" t="s">
        <v>34</v>
      </c>
      <c r="G81" s="135" cm="1">
        <f t="array" ref="G81">INDEX(Price!$L$11:$AM$182,MATCH(1,(Price!$A$11:$A$182=$A81)*(Price!$B$11:$B$182=$B81)*(Price!$D$11:$D$182="gb"),0),MATCH(1,(Price!$L$3:$AM$3=G$3)*(Price!$L$4:$AM$4=G$4),0))</f>
        <v>1250</v>
      </c>
      <c r="H81" s="135" cm="1">
        <f t="array" ref="H81">INDEX(Price!$L$11:$AM$182,MATCH(1,(Price!$A$11:$A$182=$A81)*(Price!$B$11:$B$182=$B81)*(Price!$D$11:$D$182="gb"),0),MATCH(1,(Price!$L$3:$AM$3=H$3)*(Price!$L$4:$AM$4=H$4),0))</f>
        <v>1250</v>
      </c>
      <c r="I81" s="135" cm="1">
        <f t="array" ref="I81">INDEX(Price!$L$11:$AM$182,MATCH(1,(Price!$A$11:$A$182=$A81)*(Price!$B$11:$B$182=$B81)*(Price!$D$11:$D$182="gb"),0),MATCH(1,(Price!$L$3:$AM$3=I$3)*(Price!$L$4:$AM$4=I$4),0))</f>
        <v>1250</v>
      </c>
      <c r="J81" s="135" cm="1">
        <f t="array" ref="J81">INDEX(Price!$L$11:$AM$182,MATCH(1,(Price!$A$11:$A$182=$A81)*(Price!$B$11:$B$182=$B81)*(Price!$D$11:$D$182="gb"),0),MATCH(1,(Price!$L$3:$AM$3=J$3)*(Price!$L$4:$AM$4=J$4),0))</f>
        <v>1250</v>
      </c>
      <c r="K81" s="135" cm="1">
        <f t="array" ref="K81">INDEX(Price!$L$11:$AM$182,MATCH(1,(Price!$A$11:$A$182=$A81)*(Price!$B$11:$B$182=$B81)*(Price!$D$11:$D$182="gb"),0),MATCH(1,(Price!$L$3:$AM$3=K$3)*(Price!$L$4:$AM$4=K$4),0))</f>
        <v>1250</v>
      </c>
      <c r="L81" s="135" cm="1">
        <f t="array" ref="L81">INDEX(Price!$L$11:$AM$182,MATCH(1,(Price!$A$11:$A$182=$A81)*(Price!$B$11:$B$182=$B81)*(Price!$D$11:$D$182="gb"),0),MATCH(1,(Price!$L$3:$AM$3=L$3)*(Price!$L$4:$AM$4=L$4),0))</f>
        <v>1250</v>
      </c>
      <c r="M81" s="135" cm="1">
        <f t="array" ref="M81">INDEX(Price!$L$11:$AM$182,MATCH(1,(Price!$A$11:$A$182=$A81)*(Price!$B$11:$B$182=$B81)*(Price!$D$11:$D$182="gb"),0),MATCH(1,(Price!$L$3:$AM$3=M$3)*(Price!$L$4:$AM$4=M$4),0))</f>
        <v>1330</v>
      </c>
      <c r="N81" s="135" cm="1">
        <f t="array" ref="N81">INDEX(Price!$L$11:$AM$182,MATCH(1,(Price!$A$11:$A$182=$A81)*(Price!$B$11:$B$182=$B81)*(Price!$D$11:$D$182="gb"),0),MATCH(1,(Price!$L$3:$AM$3=N$3)*(Price!$L$4:$AM$4=N$4),0))</f>
        <v>1330</v>
      </c>
      <c r="O81" s="135" cm="1">
        <f t="array" ref="O81">INDEX(Price!$L$11:$AM$182,MATCH(1,(Price!$A$11:$A$182=$A81)*(Price!$B$11:$B$182=$B81)*(Price!$D$11:$D$182="gb"),0),MATCH(1,(Price!$L$3:$AM$3=O$3)*(Price!$L$4:$AM$4=O$4),0))</f>
        <v>1330</v>
      </c>
      <c r="P81" s="135" cm="1">
        <f t="array" ref="P81">INDEX(Price!$L$11:$AM$182,MATCH(1,(Price!$A$11:$A$182=$A81)*(Price!$B$11:$B$182=$B81)*(Price!$D$11:$D$182="gb"),0),MATCH(1,(Price!$L$3:$AM$3=P$3)*(Price!$L$4:$AM$4=P$4),0))</f>
        <v>1330</v>
      </c>
      <c r="Q81" s="135" cm="1">
        <f t="array" ref="Q81">INDEX(Price!$L$11:$AM$182,MATCH(1,(Price!$A$11:$A$182=$A81)*(Price!$B$11:$B$182=$B81)*(Price!$D$11:$D$182="gb"),0),MATCH(1,(Price!$L$3:$AM$3=Q$3)*(Price!$L$4:$AM$4=Q$4),0))</f>
        <v>1330</v>
      </c>
      <c r="R81" s="136" cm="1">
        <f t="array" ref="R81">INDEX(Price!$L$11:$AM$182,MATCH(1,(Price!$A$11:$A$182=$A81)*(Price!$B$11:$B$182=$B81)*(Price!$D$11:$D$182="gb"),0),MATCH(1,(Price!$L$3:$AM$3=R$3)*(Price!$L$4:$AM$4=R$4),0))</f>
        <v>1330</v>
      </c>
      <c r="S81" s="135" cm="1">
        <f t="array" ref="S81">INDEX(Price!$L$11:$AM$182,MATCH(1,(Price!$A$11:$A$182=$A81)*(Price!$B$11:$B$182=$B81)*(Price!$D$11:$D$182="gb"),0),MATCH(1,(Price!$L$3:$AM$3=S$3)*(Price!$L$4:$AM$4=S$4),0))</f>
        <v>1250</v>
      </c>
      <c r="T81" s="135" cm="1">
        <f t="array" ref="T81">INDEX(Price!$L$11:$AM$182,MATCH(1,(Price!$A$11:$A$182=$A81)*(Price!$B$11:$B$182=$B81)*(Price!$D$11:$D$182="gb"),0),MATCH(1,(Price!$L$3:$AM$3=T$3)*(Price!$L$4:$AM$4=T$4),0))</f>
        <v>1250</v>
      </c>
      <c r="U81" s="135" cm="1">
        <f t="array" ref="U81">INDEX(Price!$L$11:$AM$182,MATCH(1,(Price!$A$11:$A$182=$A81)*(Price!$B$11:$B$182=$B81)*(Price!$D$11:$D$182="gb"),0),MATCH(1,(Price!$L$3:$AM$3=U$3)*(Price!$L$4:$AM$4=U$4),0))</f>
        <v>1250</v>
      </c>
      <c r="V81" s="135" cm="1">
        <f t="array" ref="V81">INDEX(Price!$L$11:$AM$182,MATCH(1,(Price!$A$11:$A$182=$A81)*(Price!$B$11:$B$182=$B81)*(Price!$D$11:$D$182="gb"),0),MATCH(1,(Price!$L$3:$AM$3=V$3)*(Price!$L$4:$AM$4=V$4),0))</f>
        <v>1250</v>
      </c>
      <c r="W81" s="135" cm="1">
        <f t="array" ref="W81">INDEX(Price!$L$11:$AM$182,MATCH(1,(Price!$A$11:$A$182=$A81)*(Price!$B$11:$B$182=$B81)*(Price!$D$11:$D$182="gb"),0),MATCH(1,(Price!$L$3:$AM$3=W$3)*(Price!$L$4:$AM$4=W$4),0))</f>
        <v>1250</v>
      </c>
      <c r="X81" s="135" cm="1">
        <f t="array" ref="X81">INDEX(Price!$L$11:$AM$182,MATCH(1,(Price!$A$11:$A$182=$A81)*(Price!$B$11:$B$182=$B81)*(Price!$D$11:$D$182="gb"),0),MATCH(1,(Price!$L$3:$AM$3=X$3)*(Price!$L$4:$AM$4=X$4),0))</f>
        <v>1250</v>
      </c>
      <c r="Y81" s="135" cm="1">
        <f t="array" ref="Y81">INDEX(Price!$L$11:$AM$182,MATCH(1,(Price!$A$11:$A$182=$A81)*(Price!$B$11:$B$182=$B81)*(Price!$D$11:$D$182="gb"),0),MATCH(1,(Price!$L$3:$AM$3=Y$3)*(Price!$L$4:$AM$4=Y$4),0))</f>
        <v>0</v>
      </c>
      <c r="Z81" s="135" cm="1">
        <f t="array" ref="Z81">INDEX(Price!$L$11:$AM$182,MATCH(1,(Price!$A$11:$A$182=$A81)*(Price!$B$11:$B$182=$B81)*(Price!$D$11:$D$182="gb"),0),MATCH(1,(Price!$L$3:$AM$3=Z$3)*(Price!$L$4:$AM$4=Z$4),0))</f>
        <v>1303.8316268486917</v>
      </c>
      <c r="AA81" s="135" cm="1">
        <f t="array" ref="AA81">INDEX(Price!$L$11:$AM$182,MATCH(1,(Price!$A$11:$A$182=$A81)*(Price!$B$11:$B$182=$B81)*(Price!$D$11:$D$182="gb"),0),MATCH(1,(Price!$L$3:$AM$3=AA$3)*(Price!$L$4:$AM$4=AA$4),0))</f>
        <v>1303.8316268486917</v>
      </c>
      <c r="AB81" s="135" cm="1">
        <f t="array" ref="AB81">INDEX(Price!$L$11:$AM$182,MATCH(1,(Price!$A$11:$A$182=$A81)*(Price!$B$11:$B$182=$B81)*(Price!$D$11:$D$182="gb"),0),MATCH(1,(Price!$L$3:$AM$3=AB$3)*(Price!$L$4:$AM$4=AB$4),0))</f>
        <v>1303.8316268486917</v>
      </c>
      <c r="AC81" s="135" cm="1">
        <f t="array" ref="AC81">INDEX(Price!$L$11:$AM$182,MATCH(1,(Price!$A$11:$A$182=$A81)*(Price!$B$11:$B$182=$B81)*(Price!$D$11:$D$182="gb"),0),MATCH(1,(Price!$L$3:$AM$3=AC$3)*(Price!$L$4:$AM$4=AC$4),0))</f>
        <v>1303.8316268486917</v>
      </c>
      <c r="AD81" s="136" cm="1">
        <f t="array" ref="AD81">INDEX(Price!$L$11:$AM$182,MATCH(1,(Price!$A$11:$A$182=$A81)*(Price!$B$11:$B$182=$B81)*(Price!$D$11:$D$182="gb"),0),MATCH(1,(Price!$L$3:$AM$3=AD$3)*(Price!$L$4:$AM$4=AD$4),0))</f>
        <v>1303.8316268486917</v>
      </c>
      <c r="AE81" s="135"/>
      <c r="AF81" s="135"/>
      <c r="AG81" s="135"/>
      <c r="AH81" s="135"/>
      <c r="AI81" s="135"/>
      <c r="AJ81" s="135"/>
      <c r="AK81" s="135"/>
      <c r="AL81" s="135"/>
      <c r="AM81" s="135"/>
      <c r="AN81" s="135"/>
      <c r="AO81" s="135"/>
      <c r="AP81" s="136"/>
    </row>
    <row r="82" spans="1:42" s="1" customFormat="1" ht="11.5" customHeight="1" outlineLevel="1" x14ac:dyDescent="0.35">
      <c r="A82" s="1" t="s">
        <v>62</v>
      </c>
      <c r="B82" s="1" t="s">
        <v>35</v>
      </c>
      <c r="C82" s="143" t="s">
        <v>322</v>
      </c>
      <c r="D82" s="163">
        <v>5.2</v>
      </c>
      <c r="E82" s="144"/>
      <c r="F82" s="325" t="s">
        <v>8</v>
      </c>
      <c r="G82" s="145" cm="1">
        <f t="array" ref="G82">INDEX(Price!$L$11:$AM$182,MATCH(1,(Price!$A$11:$A$182=$A82)*(Price!$B$11:$B$182=$B82)*(Price!$D$11:$D$182="exw"),0),MATCH(1,(Price!$L$3:$AM$3=G$3)*(Price!$L$4:$AM$4=G$4),0))</f>
        <v>1250</v>
      </c>
      <c r="H82" s="145" cm="1">
        <f t="array" ref="H82">INDEX(Price!$L$11:$AM$182,MATCH(1,(Price!$A$11:$A$182=$A82)*(Price!$B$11:$B$182=$B82)*(Price!$D$11:$D$182="exw"),0),MATCH(1,(Price!$L$3:$AM$3=H$3)*(Price!$L$4:$AM$4=H$4),0))</f>
        <v>1250</v>
      </c>
      <c r="I82" s="145" cm="1">
        <f t="array" ref="I82">INDEX(Price!$L$11:$AM$182,MATCH(1,(Price!$A$11:$A$182=$A82)*(Price!$B$11:$B$182=$B82)*(Price!$D$11:$D$182="exw"),0),MATCH(1,(Price!$L$3:$AM$3=I$3)*(Price!$L$4:$AM$4=I$4),0))</f>
        <v>1250</v>
      </c>
      <c r="J82" s="145" cm="1">
        <f t="array" ref="J82">INDEX(Price!$L$11:$AM$182,MATCH(1,(Price!$A$11:$A$182=$A82)*(Price!$B$11:$B$182=$B82)*(Price!$D$11:$D$182="exw"),0),MATCH(1,(Price!$L$3:$AM$3=J$3)*(Price!$L$4:$AM$4=J$4),0))</f>
        <v>1250</v>
      </c>
      <c r="K82" s="145" cm="1">
        <f t="array" ref="K82">INDEX(Price!$L$11:$AM$182,MATCH(1,(Price!$A$11:$A$182=$A82)*(Price!$B$11:$B$182=$B82)*(Price!$D$11:$D$182="exw"),0),MATCH(1,(Price!$L$3:$AM$3=K$3)*(Price!$L$4:$AM$4=K$4),0))</f>
        <v>1250</v>
      </c>
      <c r="L82" s="145" cm="1">
        <f t="array" ref="L82">INDEX(Price!$L$11:$AM$182,MATCH(1,(Price!$A$11:$A$182=$A82)*(Price!$B$11:$B$182=$B82)*(Price!$D$11:$D$182="exw"),0),MATCH(1,(Price!$L$3:$AM$3=L$3)*(Price!$L$4:$AM$4=L$4),0))</f>
        <v>1250</v>
      </c>
      <c r="M82" s="145" cm="1">
        <f t="array" ref="M82">INDEX(Price!$L$11:$AM$182,MATCH(1,(Price!$A$11:$A$182=$A82)*(Price!$B$11:$B$182=$B82)*(Price!$D$11:$D$182="exw"),0),MATCH(1,(Price!$L$3:$AM$3=M$3)*(Price!$L$4:$AM$4=M$4),0))</f>
        <v>1330</v>
      </c>
      <c r="N82" s="145" cm="1">
        <f t="array" ref="N82">INDEX(Price!$L$11:$AM$182,MATCH(1,(Price!$A$11:$A$182=$A82)*(Price!$B$11:$B$182=$B82)*(Price!$D$11:$D$182="exw"),0),MATCH(1,(Price!$L$3:$AM$3=N$3)*(Price!$L$4:$AM$4=N$4),0))</f>
        <v>1330</v>
      </c>
      <c r="O82" s="145" cm="1">
        <f t="array" ref="O82">INDEX(Price!$L$11:$AM$182,MATCH(1,(Price!$A$11:$A$182=$A82)*(Price!$B$11:$B$182=$B82)*(Price!$D$11:$D$182="exw"),0),MATCH(1,(Price!$L$3:$AM$3=O$3)*(Price!$L$4:$AM$4=O$4),0))</f>
        <v>1330</v>
      </c>
      <c r="P82" s="145" cm="1">
        <f t="array" ref="P82">INDEX(Price!$L$11:$AM$182,MATCH(1,(Price!$A$11:$A$182=$A82)*(Price!$B$11:$B$182=$B82)*(Price!$D$11:$D$182="exw"),0),MATCH(1,(Price!$L$3:$AM$3=P$3)*(Price!$L$4:$AM$4=P$4),0))</f>
        <v>1330</v>
      </c>
      <c r="Q82" s="145" cm="1">
        <f t="array" ref="Q82">INDEX(Price!$L$11:$AM$182,MATCH(1,(Price!$A$11:$A$182=$A82)*(Price!$B$11:$B$182=$B82)*(Price!$D$11:$D$182="exw"),0),MATCH(1,(Price!$L$3:$AM$3=Q$3)*(Price!$L$4:$AM$4=Q$4),0))</f>
        <v>1330</v>
      </c>
      <c r="R82" s="146" cm="1">
        <f t="array" ref="R82">INDEX(Price!$L$11:$AM$182,MATCH(1,(Price!$A$11:$A$182=$A82)*(Price!$B$11:$B$182=$B82)*(Price!$D$11:$D$182="exw"),0),MATCH(1,(Price!$L$3:$AM$3=R$3)*(Price!$L$4:$AM$4=R$4),0))</f>
        <v>1330</v>
      </c>
      <c r="S82" s="145" cm="1">
        <f t="array" ref="S82">INDEX(Price!$L$11:$AM$182,MATCH(1,(Price!$A$11:$A$182=$A82)*(Price!$B$11:$B$182=$B82)*(Price!$D$11:$D$182="exw"),0),MATCH(1,(Price!$L$3:$AM$3=S$3)*(Price!$L$4:$AM$4=S$4),0))</f>
        <v>1250</v>
      </c>
      <c r="T82" s="145" cm="1">
        <f t="array" ref="T82">INDEX(Price!$L$11:$AM$182,MATCH(1,(Price!$A$11:$A$182=$A82)*(Price!$B$11:$B$182=$B82)*(Price!$D$11:$D$182="exw"),0),MATCH(1,(Price!$L$3:$AM$3=T$3)*(Price!$L$4:$AM$4=T$4),0))</f>
        <v>1250</v>
      </c>
      <c r="U82" s="145" cm="1">
        <f t="array" ref="U82">INDEX(Price!$L$11:$AM$182,MATCH(1,(Price!$A$11:$A$182=$A82)*(Price!$B$11:$B$182=$B82)*(Price!$D$11:$D$182="exw"),0),MATCH(1,(Price!$L$3:$AM$3=U$3)*(Price!$L$4:$AM$4=U$4),0))</f>
        <v>1250</v>
      </c>
      <c r="V82" s="145" cm="1">
        <f t="array" ref="V82">INDEX(Price!$L$11:$AM$182,MATCH(1,(Price!$A$11:$A$182=$A82)*(Price!$B$11:$B$182=$B82)*(Price!$D$11:$D$182="exw"),0),MATCH(1,(Price!$L$3:$AM$3=V$3)*(Price!$L$4:$AM$4=V$4),0))</f>
        <v>1250</v>
      </c>
      <c r="W82" s="145" cm="1">
        <f t="array" ref="W82">INDEX(Price!$L$11:$AM$182,MATCH(1,(Price!$A$11:$A$182=$A82)*(Price!$B$11:$B$182=$B82)*(Price!$D$11:$D$182="exw"),0),MATCH(1,(Price!$L$3:$AM$3=W$3)*(Price!$L$4:$AM$4=W$4),0))</f>
        <v>1250</v>
      </c>
      <c r="X82" s="145" cm="1">
        <f t="array" ref="X82">INDEX(Price!$L$11:$AM$182,MATCH(1,(Price!$A$11:$A$182=$A82)*(Price!$B$11:$B$182=$B82)*(Price!$D$11:$D$182="exw"),0),MATCH(1,(Price!$L$3:$AM$3=X$3)*(Price!$L$4:$AM$4=X$4),0))</f>
        <v>1250</v>
      </c>
      <c r="Y82" s="145" cm="1">
        <f t="array" ref="Y82">INDEX(Price!$L$11:$AM$182,MATCH(1,(Price!$A$11:$A$182=$A82)*(Price!$B$11:$B$182=$B82)*(Price!$D$11:$D$182="exw"),0),MATCH(1,(Price!$L$3:$AM$3=Y$3)*(Price!$L$4:$AM$4=Y$4),0))</f>
        <v>0</v>
      </c>
      <c r="Z82" s="145" cm="1">
        <f t="array" ref="Z82">INDEX(Price!$L$11:$AM$182,MATCH(1,(Price!$A$11:$A$182=$A82)*(Price!$B$11:$B$182=$B82)*(Price!$D$11:$D$182="exw"),0),MATCH(1,(Price!$L$3:$AM$3=Z$3)*(Price!$L$4:$AM$4=Z$4),0))</f>
        <v>1303.8316268486917</v>
      </c>
      <c r="AA82" s="145" cm="1">
        <f t="array" ref="AA82">INDEX(Price!$L$11:$AM$182,MATCH(1,(Price!$A$11:$A$182=$A82)*(Price!$B$11:$B$182=$B82)*(Price!$D$11:$D$182="exw"),0),MATCH(1,(Price!$L$3:$AM$3=AA$3)*(Price!$L$4:$AM$4=AA$4),0))</f>
        <v>1303.8316268486917</v>
      </c>
      <c r="AB82" s="145" cm="1">
        <f t="array" ref="AB82">INDEX(Price!$L$11:$AM$182,MATCH(1,(Price!$A$11:$A$182=$A82)*(Price!$B$11:$B$182=$B82)*(Price!$D$11:$D$182="exw"),0),MATCH(1,(Price!$L$3:$AM$3=AB$3)*(Price!$L$4:$AM$4=AB$4),0))</f>
        <v>1303.8316268486917</v>
      </c>
      <c r="AC82" s="145" cm="1">
        <f t="array" ref="AC82">INDEX(Price!$L$11:$AM$182,MATCH(1,(Price!$A$11:$A$182=$A82)*(Price!$B$11:$B$182=$B82)*(Price!$D$11:$D$182="exw"),0),MATCH(1,(Price!$L$3:$AM$3=AC$3)*(Price!$L$4:$AM$4=AC$4),0))</f>
        <v>1303.8316268486917</v>
      </c>
      <c r="AD82" s="146" cm="1">
        <f t="array" ref="AD82">INDEX(Price!$L$11:$AM$182,MATCH(1,(Price!$A$11:$A$182=$A82)*(Price!$B$11:$B$182=$B82)*(Price!$D$11:$D$182="exw"),0),MATCH(1,(Price!$L$3:$AM$3=AD$3)*(Price!$L$4:$AM$4=AD$4),0))</f>
        <v>1303.8316268486917</v>
      </c>
      <c r="AE82" s="145"/>
      <c r="AF82" s="145"/>
      <c r="AG82" s="145"/>
      <c r="AH82" s="145"/>
      <c r="AI82" s="145"/>
      <c r="AJ82" s="145"/>
      <c r="AK82" s="145"/>
      <c r="AL82" s="145"/>
      <c r="AM82" s="145"/>
      <c r="AN82" s="145"/>
      <c r="AO82" s="145"/>
      <c r="AP82" s="146"/>
    </row>
    <row r="83" spans="1:42" ht="11.5" customHeight="1" outlineLevel="1" x14ac:dyDescent="0.35">
      <c r="A83" t="s">
        <v>62</v>
      </c>
      <c r="B83" t="s">
        <v>35</v>
      </c>
      <c r="C83" s="14" t="s">
        <v>9</v>
      </c>
      <c r="D83" s="164">
        <v>5.3</v>
      </c>
      <c r="E83" s="8"/>
      <c r="F83" s="326" t="s">
        <v>11</v>
      </c>
      <c r="G83" s="320" cm="1">
        <f t="array" ref="G83">SUMPRODUCT(General_Data*(Code_General_Data=$C83)*(Year=G$3)*(Month=G$4))</f>
        <v>930</v>
      </c>
      <c r="H83" s="132" cm="1">
        <f t="array" ref="H83">SUMPRODUCT(General_Data*(Code_General_Data=$C83)*(Year=H$3)*(Month=H$4))</f>
        <v>943.33333333333337</v>
      </c>
      <c r="I83" s="132" cm="1">
        <f t="array" ref="I83">SUMPRODUCT(General_Data*(Code_General_Data=$C83)*(Year=I$3)*(Month=I$4))</f>
        <v>940</v>
      </c>
      <c r="J83" s="132" cm="1">
        <f t="array" ref="J83">SUMPRODUCT(General_Data*(Code_General_Data=$C83)*(Year=J$3)*(Month=J$4))</f>
        <v>940</v>
      </c>
      <c r="K83" s="132" cm="1">
        <f t="array" ref="K83">SUMPRODUCT(General_Data*(Code_General_Data=$C83)*(Year=K$3)*(Month=K$4))</f>
        <v>942</v>
      </c>
      <c r="L83" s="132" cm="1">
        <f t="array" ref="L83">SUMPRODUCT(General_Data*(Code_General_Data=$C83)*(Year=L$3)*(Month=L$4))</f>
        <v>950</v>
      </c>
      <c r="M83" s="132" cm="1">
        <f t="array" ref="M83">SUMPRODUCT(General_Data*(Code_General_Data=$C83)*(Year=M$3)*(Month=M$4))</f>
        <v>947.5</v>
      </c>
      <c r="N83" s="132" cm="1">
        <f t="array" ref="N83">SUMPRODUCT(General_Data*(Code_General_Data=$C83)*(Year=N$3)*(Month=N$4))</f>
        <v>930</v>
      </c>
      <c r="O83" s="132" cm="1">
        <f t="array" ref="O83">SUMPRODUCT(General_Data*(Code_General_Data=$C83)*(Year=O$3)*(Month=O$4))</f>
        <v>880</v>
      </c>
      <c r="P83" s="132" cm="1">
        <f t="array" ref="P83">SUMPRODUCT(General_Data*(Code_General_Data=$C83)*(Year=P$3)*(Month=P$4))</f>
        <v>862.5</v>
      </c>
      <c r="Q83" s="132" cm="1">
        <f t="array" ref="Q83">SUMPRODUCT(General_Data*(Code_General_Data=$C83)*(Year=Q$3)*(Month=Q$4))</f>
        <v>852</v>
      </c>
      <c r="R83" s="133" cm="1">
        <f t="array" ref="R83">SUMPRODUCT(General_Data*(Code_General_Data=$C83)*(Year=R$3)*(Month=R$4))</f>
        <v>830</v>
      </c>
      <c r="S83" s="132" cm="1">
        <f t="array" ref="S83">SUMPRODUCT(General_Data*(Code_General_Data=$C83)*(Year=S$3)*(Month=S$4))</f>
        <v>828</v>
      </c>
      <c r="T83" s="132" cm="1">
        <f t="array" ref="T83">SUMPRODUCT(General_Data*(Code_General_Data=$C83)*(Year=T$3)*(Month=T$4))</f>
        <v>840</v>
      </c>
      <c r="U83" s="132" cm="1">
        <f t="array" ref="U83">SUMPRODUCT(General_Data*(Code_General_Data=$C83)*(Year=U$3)*(Month=U$4))</f>
        <v>823</v>
      </c>
      <c r="V83" s="132" cm="1">
        <f t="array" ref="V83">SUMPRODUCT(General_Data*(Code_General_Data=$C83)*(Year=V$3)*(Month=V$4))</f>
        <v>765</v>
      </c>
      <c r="W83" s="132" cm="1">
        <f t="array" ref="W83">SUMPRODUCT(General_Data*(Code_General_Data=$C83)*(Year=W$3)*(Month=W$4))</f>
        <v>782</v>
      </c>
      <c r="X83" s="132" cm="1">
        <f t="array" ref="X83">SUMPRODUCT(General_Data*(Code_General_Data=$C83)*(Year=X$3)*(Month=X$4))</f>
        <v>807.5</v>
      </c>
      <c r="Y83" s="132" cm="1">
        <f t="array" ref="Y83">SUMPRODUCT(General_Data*(Code_General_Data=$C83)*(Year=Y$3)*(Month=Y$4))</f>
        <v>802</v>
      </c>
      <c r="Z83" s="132" cm="1">
        <f t="array" ref="Z83">SUMPRODUCT(General_Data*(Code_General_Data=$C83)*(Year=Z$3)*(Month=Z$4))</f>
        <v>795</v>
      </c>
      <c r="AA83" s="132" cm="1">
        <f t="array" ref="AA83">SUMPRODUCT(General_Data*(Code_General_Data=$C83)*(Year=AA$3)*(Month=AA$4))</f>
        <v>783</v>
      </c>
      <c r="AB83" s="132" cm="1">
        <f t="array" ref="AB83">SUMPRODUCT(General_Data*(Code_General_Data=$C83)*(Year=AB$3)*(Month=AB$4))</f>
        <v>772</v>
      </c>
      <c r="AC83" s="132" cm="1">
        <f t="array" ref="AC83">SUMPRODUCT(General_Data*(Code_General_Data=$C83)*(Year=AC$3)*(Month=AC$4))</f>
        <v>770</v>
      </c>
      <c r="AD83" s="133" cm="1">
        <f t="array" ref="AD83">SUMPRODUCT(General_Data*(Code_General_Data=$C83)*(Year=AD$3)*(Month=AD$4))</f>
        <v>770</v>
      </c>
      <c r="AE83" s="132"/>
      <c r="AF83" s="132"/>
      <c r="AG83" s="132"/>
      <c r="AH83" s="132"/>
      <c r="AI83" s="132"/>
      <c r="AJ83" s="132"/>
      <c r="AK83" s="132"/>
      <c r="AL83" s="132"/>
      <c r="AM83" s="132"/>
      <c r="AN83" s="132"/>
      <c r="AO83" s="132"/>
      <c r="AP83" s="133"/>
    </row>
    <row r="84" spans="1:42" s="152" customFormat="1" ht="11.5" customHeight="1" outlineLevel="1" x14ac:dyDescent="0.35">
      <c r="A84" s="152" t="s">
        <v>62</v>
      </c>
      <c r="B84" s="152" t="s">
        <v>35</v>
      </c>
      <c r="D84" s="165">
        <v>5.4</v>
      </c>
      <c r="E84" s="153"/>
      <c r="F84" s="327" t="s">
        <v>430</v>
      </c>
      <c r="G84" s="154">
        <f t="shared" ref="G84:AD84" si="20">IF(G81*G82*G83&lt;&gt;0,G82-G83,0)</f>
        <v>320</v>
      </c>
      <c r="H84" s="154">
        <f t="shared" si="20"/>
        <v>306.66666666666663</v>
      </c>
      <c r="I84" s="154">
        <f t="shared" si="20"/>
        <v>310</v>
      </c>
      <c r="J84" s="154">
        <f t="shared" si="20"/>
        <v>310</v>
      </c>
      <c r="K84" s="154">
        <f t="shared" si="20"/>
        <v>308</v>
      </c>
      <c r="L84" s="154">
        <f t="shared" si="20"/>
        <v>300</v>
      </c>
      <c r="M84" s="154">
        <f t="shared" si="20"/>
        <v>382.5</v>
      </c>
      <c r="N84" s="154">
        <f t="shared" si="20"/>
        <v>400</v>
      </c>
      <c r="O84" s="154">
        <f t="shared" si="20"/>
        <v>450</v>
      </c>
      <c r="P84" s="154">
        <f t="shared" si="20"/>
        <v>467.5</v>
      </c>
      <c r="Q84" s="154">
        <f t="shared" si="20"/>
        <v>478</v>
      </c>
      <c r="R84" s="155">
        <f t="shared" si="20"/>
        <v>500</v>
      </c>
      <c r="S84" s="154">
        <f t="shared" si="20"/>
        <v>422</v>
      </c>
      <c r="T84" s="154">
        <f t="shared" si="20"/>
        <v>410</v>
      </c>
      <c r="U84" s="154">
        <f t="shared" si="20"/>
        <v>427</v>
      </c>
      <c r="V84" s="154">
        <f t="shared" si="20"/>
        <v>485</v>
      </c>
      <c r="W84" s="154">
        <f t="shared" si="20"/>
        <v>468</v>
      </c>
      <c r="X84" s="154">
        <f t="shared" si="20"/>
        <v>442.5</v>
      </c>
      <c r="Y84" s="154">
        <f t="shared" si="20"/>
        <v>0</v>
      </c>
      <c r="Z84" s="154">
        <f t="shared" si="20"/>
        <v>508.83162684869171</v>
      </c>
      <c r="AA84" s="154">
        <f t="shared" si="20"/>
        <v>520.83162684869171</v>
      </c>
      <c r="AB84" s="154">
        <f t="shared" si="20"/>
        <v>531.83162684869171</v>
      </c>
      <c r="AC84" s="154">
        <f t="shared" si="20"/>
        <v>533.83162684869171</v>
      </c>
      <c r="AD84" s="155">
        <f t="shared" si="20"/>
        <v>533.83162684869171</v>
      </c>
      <c r="AE84" s="154"/>
      <c r="AF84" s="154"/>
      <c r="AG84" s="154"/>
      <c r="AH84" s="154"/>
      <c r="AI84" s="154"/>
      <c r="AJ84" s="154"/>
      <c r="AK84" s="154"/>
      <c r="AL84" s="154"/>
      <c r="AM84" s="154"/>
      <c r="AN84" s="154"/>
      <c r="AO84" s="154"/>
      <c r="AP84" s="155"/>
    </row>
    <row r="85" spans="1:42" s="156" customFormat="1" ht="11.5" customHeight="1" outlineLevel="1" x14ac:dyDescent="0.35">
      <c r="A85" s="156" t="s">
        <v>62</v>
      </c>
      <c r="B85" s="156" t="s">
        <v>35</v>
      </c>
      <c r="D85" s="166">
        <v>5.5</v>
      </c>
      <c r="E85" s="157"/>
      <c r="F85" s="328" t="s">
        <v>14</v>
      </c>
      <c r="G85" s="158">
        <f t="shared" ref="G85:AD85" si="21">IFERROR(G84/G83,0)</f>
        <v>0.34408602150537637</v>
      </c>
      <c r="H85" s="158">
        <f t="shared" si="21"/>
        <v>0.32508833922261476</v>
      </c>
      <c r="I85" s="158">
        <f t="shared" si="21"/>
        <v>0.32978723404255317</v>
      </c>
      <c r="J85" s="158">
        <f t="shared" si="21"/>
        <v>0.32978723404255317</v>
      </c>
      <c r="K85" s="158">
        <f t="shared" si="21"/>
        <v>0.32696390658174096</v>
      </c>
      <c r="L85" s="158">
        <f t="shared" si="21"/>
        <v>0.31578947368421051</v>
      </c>
      <c r="M85" s="158">
        <f t="shared" si="21"/>
        <v>0.40369393139841686</v>
      </c>
      <c r="N85" s="158">
        <f t="shared" si="21"/>
        <v>0.43010752688172044</v>
      </c>
      <c r="O85" s="158">
        <f t="shared" si="21"/>
        <v>0.51136363636363635</v>
      </c>
      <c r="P85" s="158">
        <f t="shared" si="21"/>
        <v>0.54202898550724643</v>
      </c>
      <c r="Q85" s="158">
        <f t="shared" si="21"/>
        <v>0.56103286384976525</v>
      </c>
      <c r="R85" s="159">
        <f t="shared" si="21"/>
        <v>0.60240963855421692</v>
      </c>
      <c r="S85" s="158">
        <f t="shared" si="21"/>
        <v>0.50966183574879231</v>
      </c>
      <c r="T85" s="158">
        <f t="shared" si="21"/>
        <v>0.48809523809523808</v>
      </c>
      <c r="U85" s="158">
        <f t="shared" si="21"/>
        <v>0.51883353584447145</v>
      </c>
      <c r="V85" s="158">
        <f t="shared" si="21"/>
        <v>0.63398692810457513</v>
      </c>
      <c r="W85" s="158">
        <f t="shared" si="21"/>
        <v>0.59846547314578002</v>
      </c>
      <c r="X85" s="158">
        <f t="shared" si="21"/>
        <v>0.54798761609907121</v>
      </c>
      <c r="Y85" s="158">
        <f t="shared" si="21"/>
        <v>0</v>
      </c>
      <c r="Z85" s="158">
        <f t="shared" si="21"/>
        <v>0.64003978219961222</v>
      </c>
      <c r="AA85" s="158">
        <f t="shared" si="21"/>
        <v>0.66517449150535335</v>
      </c>
      <c r="AB85" s="158">
        <f t="shared" si="21"/>
        <v>0.68890107104752818</v>
      </c>
      <c r="AC85" s="158">
        <f t="shared" si="21"/>
        <v>0.69328782707622305</v>
      </c>
      <c r="AD85" s="159">
        <f t="shared" si="21"/>
        <v>0.69328782707622305</v>
      </c>
      <c r="AE85" s="158"/>
      <c r="AF85" s="158"/>
      <c r="AG85" s="158"/>
      <c r="AH85" s="158"/>
      <c r="AI85" s="158"/>
      <c r="AJ85" s="158"/>
      <c r="AK85" s="158"/>
      <c r="AL85" s="158"/>
      <c r="AM85" s="158"/>
      <c r="AN85" s="158"/>
      <c r="AO85" s="158"/>
      <c r="AP85" s="159"/>
    </row>
    <row r="86" spans="1:42" s="137" customFormat="1" ht="11.5" customHeight="1" outlineLevel="1" x14ac:dyDescent="0.35">
      <c r="A86" s="137" t="s">
        <v>62</v>
      </c>
      <c r="B86" s="137" t="s">
        <v>35</v>
      </c>
      <c r="C86" s="137" t="s">
        <v>35</v>
      </c>
      <c r="D86" s="167">
        <v>5.6</v>
      </c>
      <c r="E86" s="138"/>
      <c r="F86" s="329" t="s">
        <v>203</v>
      </c>
      <c r="G86" s="139" cm="1">
        <f t="array" ref="G86">SUMPRODUCT(General_Data*(Code_General_Data=$C86)*(Year=G$3)*(Month=G$4))</f>
        <v>1250</v>
      </c>
      <c r="H86" s="139" cm="1">
        <f t="array" ref="H86">SUMPRODUCT(General_Data*(Code_General_Data=$C86)*(Year=H$3)*(Month=H$4))</f>
        <v>1250</v>
      </c>
      <c r="I86" s="139" cm="1">
        <f t="array" ref="I86">SUMPRODUCT(General_Data*(Code_General_Data=$C86)*(Year=I$3)*(Month=I$4))</f>
        <v>1250</v>
      </c>
      <c r="J86" s="139" cm="1">
        <f t="array" ref="J86">SUMPRODUCT(General_Data*(Code_General_Data=$C86)*(Year=J$3)*(Month=J$4))</f>
        <v>1250</v>
      </c>
      <c r="K86" s="139" cm="1">
        <f t="array" ref="K86">SUMPRODUCT(General_Data*(Code_General_Data=$C86)*(Year=K$3)*(Month=K$4))</f>
        <v>1300</v>
      </c>
      <c r="L86" s="139" cm="1">
        <f t="array" ref="L86">SUMPRODUCT(General_Data*(Code_General_Data=$C86)*(Year=L$3)*(Month=L$4))</f>
        <v>1300</v>
      </c>
      <c r="M86" s="139" cm="1">
        <f t="array" ref="M86">SUMPRODUCT(General_Data*(Code_General_Data=$C86)*(Year=M$3)*(Month=M$4))</f>
        <v>1300</v>
      </c>
      <c r="N86" s="139" cm="1">
        <f t="array" ref="N86">SUMPRODUCT(General_Data*(Code_General_Data=$C86)*(Year=N$3)*(Month=N$4))</f>
        <v>1300</v>
      </c>
      <c r="O86" s="139" cm="1">
        <f t="array" ref="O86">SUMPRODUCT(General_Data*(Code_General_Data=$C86)*(Year=O$3)*(Month=O$4))</f>
        <v>1310</v>
      </c>
      <c r="P86" s="139" cm="1">
        <f t="array" ref="P86">SUMPRODUCT(General_Data*(Code_General_Data=$C86)*(Year=P$3)*(Month=P$4))</f>
        <v>1325</v>
      </c>
      <c r="Q86" s="139" cm="1">
        <f t="array" ref="Q86">SUMPRODUCT(General_Data*(Code_General_Data=$C86)*(Year=Q$3)*(Month=Q$4))</f>
        <v>1325</v>
      </c>
      <c r="R86" s="140" cm="1">
        <f t="array" ref="R86">SUMPRODUCT(General_Data*(Code_General_Data=$C86)*(Year=R$3)*(Month=R$4))</f>
        <v>1275</v>
      </c>
      <c r="S86" s="139" cm="1">
        <f t="array" ref="S86">SUMPRODUCT(General_Data*(Code_General_Data=$C86)*(Year=S$3)*(Month=S$4))</f>
        <v>1230</v>
      </c>
      <c r="T86" s="139" cm="1">
        <f t="array" ref="T86">SUMPRODUCT(General_Data*(Code_General_Data=$C86)*(Year=T$3)*(Month=T$4))</f>
        <v>1230</v>
      </c>
      <c r="U86" s="139" cm="1">
        <f t="array" ref="U86">SUMPRODUCT(General_Data*(Code_General_Data=$C86)*(Year=U$3)*(Month=U$4))</f>
        <v>1230</v>
      </c>
      <c r="V86" s="139" cm="1">
        <f t="array" ref="V86">SUMPRODUCT(General_Data*(Code_General_Data=$C86)*(Year=V$3)*(Month=V$4))</f>
        <v>1250</v>
      </c>
      <c r="W86" s="139" cm="1">
        <f t="array" ref="W86">SUMPRODUCT(General_Data*(Code_General_Data=$C86)*(Year=W$3)*(Month=W$4))</f>
        <v>1250</v>
      </c>
      <c r="X86" s="139" cm="1">
        <f t="array" ref="X86">SUMPRODUCT(General_Data*(Code_General_Data=$C86)*(Year=X$3)*(Month=X$4))</f>
        <v>1250</v>
      </c>
      <c r="Y86" s="139" cm="1">
        <f t="array" ref="Y86">SUMPRODUCT(General_Data*(Code_General_Data=$C86)*(Year=Y$3)*(Month=Y$4))</f>
        <v>1250</v>
      </c>
      <c r="Z86" s="139" cm="1">
        <f t="array" ref="Z86">SUMPRODUCT(General_Data*(Code_General_Data=$C86)*(Year=Z$3)*(Month=Z$4))</f>
        <v>1220</v>
      </c>
      <c r="AA86" s="139" cm="1">
        <f t="array" ref="AA86">SUMPRODUCT(General_Data*(Code_General_Data=$C86)*(Year=AA$3)*(Month=AA$4))</f>
        <v>1220</v>
      </c>
      <c r="AB86" s="139" cm="1">
        <f t="array" ref="AB86">SUMPRODUCT(General_Data*(Code_General_Data=$C86)*(Year=AB$3)*(Month=AB$4))</f>
        <v>1210</v>
      </c>
      <c r="AC86" s="139" cm="1">
        <f t="array" ref="AC86">SUMPRODUCT(General_Data*(Code_General_Data=$C86)*(Year=AC$3)*(Month=AC$4))</f>
        <v>1200</v>
      </c>
      <c r="AD86" s="140" cm="1">
        <f t="array" ref="AD86">SUMPRODUCT(General_Data*(Code_General_Data=$C86)*(Year=AD$3)*(Month=AD$4))</f>
        <v>1200</v>
      </c>
      <c r="AE86" s="139"/>
      <c r="AF86" s="139"/>
      <c r="AG86" s="139"/>
      <c r="AH86" s="139"/>
      <c r="AI86" s="139"/>
      <c r="AJ86" s="139"/>
      <c r="AK86" s="139"/>
      <c r="AL86" s="139"/>
      <c r="AM86" s="139"/>
      <c r="AN86" s="139"/>
      <c r="AO86" s="139"/>
      <c r="AP86" s="140"/>
    </row>
    <row r="87" spans="1:42" ht="3.65" customHeight="1" x14ac:dyDescent="0.35">
      <c r="D87" s="168"/>
    </row>
    <row r="88" spans="1:42" s="127" customFormat="1" ht="15.65" customHeight="1" x14ac:dyDescent="0.4">
      <c r="A88" s="127" t="s">
        <v>49</v>
      </c>
      <c r="C88" s="131"/>
      <c r="D88" s="160">
        <v>6</v>
      </c>
      <c r="E88" s="130" t="s">
        <v>36</v>
      </c>
      <c r="F88" s="322"/>
      <c r="G88" s="130"/>
      <c r="H88" s="130"/>
      <c r="I88" s="130"/>
      <c r="J88" s="130"/>
      <c r="K88" s="130"/>
      <c r="L88" s="130"/>
      <c r="M88" s="130"/>
      <c r="N88" s="130"/>
      <c r="O88" s="130"/>
      <c r="P88" s="130"/>
      <c r="Q88" s="130"/>
      <c r="R88" s="319"/>
      <c r="S88" s="130"/>
      <c r="T88" s="130"/>
      <c r="U88" s="130"/>
      <c r="V88" s="130"/>
      <c r="W88" s="130"/>
      <c r="X88" s="130"/>
      <c r="Y88" s="130"/>
      <c r="Z88" s="130"/>
      <c r="AA88" s="130"/>
      <c r="AB88" s="130"/>
      <c r="AC88" s="130"/>
      <c r="AD88" s="319"/>
      <c r="AE88" s="130"/>
      <c r="AF88" s="130"/>
      <c r="AG88" s="130"/>
      <c r="AH88" s="130"/>
      <c r="AI88" s="130"/>
      <c r="AJ88" s="130"/>
      <c r="AK88" s="130"/>
      <c r="AL88" s="130"/>
      <c r="AM88" s="130"/>
      <c r="AN88" s="130"/>
      <c r="AO88" s="130"/>
      <c r="AP88" s="319"/>
    </row>
    <row r="89" spans="1:42" s="148" customFormat="1" ht="13.4" customHeight="1" outlineLevel="1" x14ac:dyDescent="0.4">
      <c r="A89" s="148" t="s">
        <v>49</v>
      </c>
      <c r="B89" s="148" t="s">
        <v>29</v>
      </c>
      <c r="D89" s="161"/>
      <c r="E89" s="149"/>
      <c r="F89" s="323" t="s">
        <v>27</v>
      </c>
      <c r="G89" s="149"/>
      <c r="H89" s="149"/>
      <c r="I89" s="149"/>
      <c r="J89" s="149"/>
      <c r="K89" s="149"/>
      <c r="L89" s="149"/>
      <c r="M89" s="149"/>
      <c r="N89" s="149"/>
      <c r="O89" s="149"/>
      <c r="P89" s="149"/>
      <c r="Q89" s="149"/>
      <c r="R89" s="150"/>
      <c r="S89" s="149"/>
      <c r="T89" s="149"/>
      <c r="U89" s="149"/>
      <c r="V89" s="149"/>
      <c r="W89" s="149"/>
      <c r="X89" s="149"/>
      <c r="Y89" s="149"/>
      <c r="Z89" s="149"/>
      <c r="AA89" s="149"/>
      <c r="AB89" s="149"/>
      <c r="AC89" s="149"/>
      <c r="AD89" s="150"/>
      <c r="AE89" s="149"/>
      <c r="AF89" s="149"/>
      <c r="AG89" s="149"/>
      <c r="AH89" s="149"/>
      <c r="AI89" s="149"/>
      <c r="AJ89" s="149"/>
      <c r="AK89" s="149"/>
      <c r="AL89" s="149"/>
      <c r="AM89" s="149"/>
      <c r="AN89" s="149"/>
      <c r="AO89" s="149"/>
      <c r="AP89" s="150"/>
    </row>
    <row r="90" spans="1:42" s="69" customFormat="1" ht="11.5" customHeight="1" outlineLevel="1" x14ac:dyDescent="0.35">
      <c r="A90" s="69" t="s">
        <v>49</v>
      </c>
      <c r="B90" s="69" t="s">
        <v>29</v>
      </c>
      <c r="D90" s="162">
        <v>6.1</v>
      </c>
      <c r="E90" s="134"/>
      <c r="F90" s="324" t="s">
        <v>28</v>
      </c>
      <c r="G90" s="135" cm="1">
        <f t="array" ref="G90">INDEX(Price!$L$11:$AM$182,MATCH(1,(Price!$A$11:$A$182=$A90)*(Price!$B$11:$B$182=$B90)*(Price!$D$11:$D$182="gb"),0),MATCH(1,(Price!$L$3:$AM$3=G$3)*(Price!$L$4:$AM$4=G$4),0))</f>
        <v>1325</v>
      </c>
      <c r="H90" s="135" cm="1">
        <f t="array" ref="H90">INDEX(Price!$L$11:$AM$182,MATCH(1,(Price!$A$11:$A$182=$A90)*(Price!$B$11:$B$182=$B90)*(Price!$D$11:$D$182="gb"),0),MATCH(1,(Price!$L$3:$AM$3=H$3)*(Price!$L$4:$AM$4=H$4),0))</f>
        <v>1325</v>
      </c>
      <c r="I90" s="135" cm="1">
        <f t="array" ref="I90">INDEX(Price!$L$11:$AM$182,MATCH(1,(Price!$A$11:$A$182=$A90)*(Price!$B$11:$B$182=$B90)*(Price!$D$11:$D$182="gb"),0),MATCH(1,(Price!$L$3:$AM$3=I$3)*(Price!$L$4:$AM$4=I$4),0))</f>
        <v>1325</v>
      </c>
      <c r="J90" s="135" cm="1">
        <f t="array" ref="J90">INDEX(Price!$L$11:$AM$182,MATCH(1,(Price!$A$11:$A$182=$A90)*(Price!$B$11:$B$182=$B90)*(Price!$D$11:$D$182="gb"),0),MATCH(1,(Price!$L$3:$AM$3=J$3)*(Price!$L$4:$AM$4=J$4),0))</f>
        <v>1325</v>
      </c>
      <c r="K90" s="135" cm="1">
        <f t="array" ref="K90">INDEX(Price!$L$11:$AM$182,MATCH(1,(Price!$A$11:$A$182=$A90)*(Price!$B$11:$B$182=$B90)*(Price!$D$11:$D$182="gb"),0),MATCH(1,(Price!$L$3:$AM$3=K$3)*(Price!$L$4:$AM$4=K$4),0))</f>
        <v>1325</v>
      </c>
      <c r="L90" s="135" cm="1">
        <f t="array" ref="L90">INDEX(Price!$L$11:$AM$182,MATCH(1,(Price!$A$11:$A$182=$A90)*(Price!$B$11:$B$182=$B90)*(Price!$D$11:$D$182="gb"),0),MATCH(1,(Price!$L$3:$AM$3=L$3)*(Price!$L$4:$AM$4=L$4),0))</f>
        <v>1325</v>
      </c>
      <c r="M90" s="135" cm="1">
        <f t="array" ref="M90">INDEX(Price!$L$11:$AM$182,MATCH(1,(Price!$A$11:$A$182=$A90)*(Price!$B$11:$B$182=$B90)*(Price!$D$11:$D$182="gb"),0),MATCH(1,(Price!$L$3:$AM$3=M$3)*(Price!$L$4:$AM$4=M$4),0))</f>
        <v>1325</v>
      </c>
      <c r="N90" s="135" cm="1">
        <f t="array" ref="N90">INDEX(Price!$L$11:$AM$182,MATCH(1,(Price!$A$11:$A$182=$A90)*(Price!$B$11:$B$182=$B90)*(Price!$D$11:$D$182="gb"),0),MATCH(1,(Price!$L$3:$AM$3=N$3)*(Price!$L$4:$AM$4=N$4),0))</f>
        <v>1325</v>
      </c>
      <c r="O90" s="135" cm="1">
        <f t="array" ref="O90">INDEX(Price!$L$11:$AM$182,MATCH(1,(Price!$A$11:$A$182=$A90)*(Price!$B$11:$B$182=$B90)*(Price!$D$11:$D$182="gb"),0),MATCH(1,(Price!$L$3:$AM$3=O$3)*(Price!$L$4:$AM$4=O$4),0))</f>
        <v>1325</v>
      </c>
      <c r="P90" s="135" cm="1">
        <f t="array" ref="P90">INDEX(Price!$L$11:$AM$182,MATCH(1,(Price!$A$11:$A$182=$A90)*(Price!$B$11:$B$182=$B90)*(Price!$D$11:$D$182="gb"),0),MATCH(1,(Price!$L$3:$AM$3=P$3)*(Price!$L$4:$AM$4=P$4),0))</f>
        <v>1325</v>
      </c>
      <c r="Q90" s="135" cm="1">
        <f t="array" ref="Q90">INDEX(Price!$L$11:$AM$182,MATCH(1,(Price!$A$11:$A$182=$A90)*(Price!$B$11:$B$182=$B90)*(Price!$D$11:$D$182="gb"),0),MATCH(1,(Price!$L$3:$AM$3=Q$3)*(Price!$L$4:$AM$4=Q$4),0))</f>
        <v>1325</v>
      </c>
      <c r="R90" s="136" cm="1">
        <f t="array" ref="R90">INDEX(Price!$L$11:$AM$182,MATCH(1,(Price!$A$11:$A$182=$A90)*(Price!$B$11:$B$182=$B90)*(Price!$D$11:$D$182="gb"),0),MATCH(1,(Price!$L$3:$AM$3=R$3)*(Price!$L$4:$AM$4=R$4),0))</f>
        <v>1325</v>
      </c>
      <c r="S90" s="135" cm="1">
        <f t="array" ref="S90">INDEX(Price!$L$11:$AM$182,MATCH(1,(Price!$A$11:$A$182=$A90)*(Price!$B$11:$B$182=$B90)*(Price!$D$11:$D$182="gb"),0),MATCH(1,(Price!$L$3:$AM$3=S$3)*(Price!$L$4:$AM$4=S$4),0))</f>
        <v>1400</v>
      </c>
      <c r="T90" s="135" cm="1">
        <f t="array" ref="T90">INDEX(Price!$L$11:$AM$182,MATCH(1,(Price!$A$11:$A$182=$A90)*(Price!$B$11:$B$182=$B90)*(Price!$D$11:$D$182="gb"),0),MATCH(1,(Price!$L$3:$AM$3=T$3)*(Price!$L$4:$AM$4=T$4),0))</f>
        <v>1400</v>
      </c>
      <c r="U90" s="135" cm="1">
        <f t="array" ref="U90">INDEX(Price!$L$11:$AM$182,MATCH(1,(Price!$A$11:$A$182=$A90)*(Price!$B$11:$B$182=$B90)*(Price!$D$11:$D$182="gb"),0),MATCH(1,(Price!$L$3:$AM$3=U$3)*(Price!$L$4:$AM$4=U$4),0))</f>
        <v>1400</v>
      </c>
      <c r="V90" s="135" cm="1">
        <f t="array" ref="V90">INDEX(Price!$L$11:$AM$182,MATCH(1,(Price!$A$11:$A$182=$A90)*(Price!$B$11:$B$182=$B90)*(Price!$D$11:$D$182="gb"),0),MATCH(1,(Price!$L$3:$AM$3=V$3)*(Price!$L$4:$AM$4=V$4),0))</f>
        <v>1400</v>
      </c>
      <c r="W90" s="135" cm="1">
        <f t="array" ref="W90">INDEX(Price!$L$11:$AM$182,MATCH(1,(Price!$A$11:$A$182=$A90)*(Price!$B$11:$B$182=$B90)*(Price!$D$11:$D$182="gb"),0),MATCH(1,(Price!$L$3:$AM$3=W$3)*(Price!$L$4:$AM$4=W$4),0))</f>
        <v>1400</v>
      </c>
      <c r="X90" s="135" cm="1">
        <f t="array" ref="X90">INDEX(Price!$L$11:$AM$182,MATCH(1,(Price!$A$11:$A$182=$A90)*(Price!$B$11:$B$182=$B90)*(Price!$D$11:$D$182="gb"),0),MATCH(1,(Price!$L$3:$AM$3=X$3)*(Price!$L$4:$AM$4=X$4),0))</f>
        <v>1400</v>
      </c>
      <c r="Y90" s="135" cm="1">
        <f t="array" ref="Y90">INDEX(Price!$L$11:$AM$182,MATCH(1,(Price!$A$11:$A$182=$A90)*(Price!$B$11:$B$182=$B90)*(Price!$D$11:$D$182="gb"),0),MATCH(1,(Price!$L$3:$AM$3=Y$3)*(Price!$L$4:$AM$4=Y$4),0))</f>
        <v>1400</v>
      </c>
      <c r="Z90" s="135" cm="1">
        <f t="array" ref="Z90">INDEX(Price!$L$11:$AM$182,MATCH(1,(Price!$A$11:$A$182=$A90)*(Price!$B$11:$B$182=$B90)*(Price!$D$11:$D$182="gb"),0),MATCH(1,(Price!$L$3:$AM$3=Z$3)*(Price!$L$4:$AM$4=Z$4),0))</f>
        <v>1400</v>
      </c>
      <c r="AA90" s="135" cm="1">
        <f t="array" ref="AA90">INDEX(Price!$L$11:$AM$182,MATCH(1,(Price!$A$11:$A$182=$A90)*(Price!$B$11:$B$182=$B90)*(Price!$D$11:$D$182="gb"),0),MATCH(1,(Price!$L$3:$AM$3=AA$3)*(Price!$L$4:$AM$4=AA$4),0))</f>
        <v>1400</v>
      </c>
      <c r="AB90" s="135" cm="1">
        <f t="array" ref="AB90">INDEX(Price!$L$11:$AM$182,MATCH(1,(Price!$A$11:$A$182=$A90)*(Price!$B$11:$B$182=$B90)*(Price!$D$11:$D$182="gb"),0),MATCH(1,(Price!$L$3:$AM$3=AB$3)*(Price!$L$4:$AM$4=AB$4),0))</f>
        <v>1400</v>
      </c>
      <c r="AC90" s="135" cm="1">
        <f t="array" ref="AC90">INDEX(Price!$L$11:$AM$182,MATCH(1,(Price!$A$11:$A$182=$A90)*(Price!$B$11:$B$182=$B90)*(Price!$D$11:$D$182="gb"),0),MATCH(1,(Price!$L$3:$AM$3=AC$3)*(Price!$L$4:$AM$4=AC$4),0))</f>
        <v>1400</v>
      </c>
      <c r="AD90" s="136" cm="1">
        <f t="array" ref="AD90">INDEX(Price!$L$11:$AM$182,MATCH(1,(Price!$A$11:$A$182=$A90)*(Price!$B$11:$B$182=$B90)*(Price!$D$11:$D$182="gb"),0),MATCH(1,(Price!$L$3:$AM$3=AD$3)*(Price!$L$4:$AM$4=AD$4),0))</f>
        <v>1400</v>
      </c>
      <c r="AE90" s="135"/>
      <c r="AF90" s="135"/>
      <c r="AG90" s="135"/>
      <c r="AH90" s="135"/>
      <c r="AI90" s="135"/>
      <c r="AJ90" s="135"/>
      <c r="AK90" s="135"/>
      <c r="AL90" s="135"/>
      <c r="AM90" s="135"/>
      <c r="AN90" s="135"/>
      <c r="AO90" s="135"/>
      <c r="AP90" s="136"/>
    </row>
    <row r="91" spans="1:42" s="1" customFormat="1" ht="11.5" customHeight="1" outlineLevel="1" x14ac:dyDescent="0.35">
      <c r="A91" s="1" t="s">
        <v>49</v>
      </c>
      <c r="B91" s="1" t="s">
        <v>29</v>
      </c>
      <c r="C91" s="143" t="s">
        <v>322</v>
      </c>
      <c r="D91" s="163">
        <v>6.2</v>
      </c>
      <c r="E91" s="144"/>
      <c r="F91" s="325" t="s">
        <v>8</v>
      </c>
      <c r="G91" s="145" cm="1">
        <f t="array" ref="G91">INDEX(Price!$L$11:$AM$182,MATCH(1,(Price!$A$11:$A$182=$A91)*(Price!$B$11:$B$182=$B91)*(Price!$D$11:$D$182="exw"),0),MATCH(1,(Price!$L$3:$AM$3=G$3)*(Price!$L$4:$AM$4=G$4),0))</f>
        <v>1315</v>
      </c>
      <c r="H91" s="145" cm="1">
        <f t="array" ref="H91">INDEX(Price!$L$11:$AM$182,MATCH(1,(Price!$A$11:$A$182=$A91)*(Price!$B$11:$B$182=$B91)*(Price!$D$11:$D$182="exw"),0),MATCH(1,(Price!$L$3:$AM$3=H$3)*(Price!$L$4:$AM$4=H$4),0))</f>
        <v>1315</v>
      </c>
      <c r="I91" s="145" cm="1">
        <f t="array" ref="I91">INDEX(Price!$L$11:$AM$182,MATCH(1,(Price!$A$11:$A$182=$A91)*(Price!$B$11:$B$182=$B91)*(Price!$D$11:$D$182="exw"),0),MATCH(1,(Price!$L$3:$AM$3=I$3)*(Price!$L$4:$AM$4=I$4),0))</f>
        <v>1315</v>
      </c>
      <c r="J91" s="145" cm="1">
        <f t="array" ref="J91">INDEX(Price!$L$11:$AM$182,MATCH(1,(Price!$A$11:$A$182=$A91)*(Price!$B$11:$B$182=$B91)*(Price!$D$11:$D$182="exw"),0),MATCH(1,(Price!$L$3:$AM$3=J$3)*(Price!$L$4:$AM$4=J$4),0))</f>
        <v>1315</v>
      </c>
      <c r="K91" s="145" cm="1">
        <f t="array" ref="K91">INDEX(Price!$L$11:$AM$182,MATCH(1,(Price!$A$11:$A$182=$A91)*(Price!$B$11:$B$182=$B91)*(Price!$D$11:$D$182="exw"),0),MATCH(1,(Price!$L$3:$AM$3=K$3)*(Price!$L$4:$AM$4=K$4),0))</f>
        <v>1315</v>
      </c>
      <c r="L91" s="145" cm="1">
        <f t="array" ref="L91">INDEX(Price!$L$11:$AM$182,MATCH(1,(Price!$A$11:$A$182=$A91)*(Price!$B$11:$B$182=$B91)*(Price!$D$11:$D$182="exw"),0),MATCH(1,(Price!$L$3:$AM$3=L$3)*(Price!$L$4:$AM$4=L$4),0))</f>
        <v>1315</v>
      </c>
      <c r="M91" s="145" cm="1">
        <f t="array" ref="M91">INDEX(Price!$L$11:$AM$182,MATCH(1,(Price!$A$11:$A$182=$A91)*(Price!$B$11:$B$182=$B91)*(Price!$D$11:$D$182="exw"),0),MATCH(1,(Price!$L$3:$AM$3=M$3)*(Price!$L$4:$AM$4=M$4),0))</f>
        <v>1315</v>
      </c>
      <c r="N91" s="145" cm="1">
        <f t="array" ref="N91">INDEX(Price!$L$11:$AM$182,MATCH(1,(Price!$A$11:$A$182=$A91)*(Price!$B$11:$B$182=$B91)*(Price!$D$11:$D$182="exw"),0),MATCH(1,(Price!$L$3:$AM$3=N$3)*(Price!$L$4:$AM$4=N$4),0))</f>
        <v>1315</v>
      </c>
      <c r="O91" s="145" cm="1">
        <f t="array" ref="O91">INDEX(Price!$L$11:$AM$182,MATCH(1,(Price!$A$11:$A$182=$A91)*(Price!$B$11:$B$182=$B91)*(Price!$D$11:$D$182="exw"),0),MATCH(1,(Price!$L$3:$AM$3=O$3)*(Price!$L$4:$AM$4=O$4),0))</f>
        <v>1315</v>
      </c>
      <c r="P91" s="145" cm="1">
        <f t="array" ref="P91">INDEX(Price!$L$11:$AM$182,MATCH(1,(Price!$A$11:$A$182=$A91)*(Price!$B$11:$B$182=$B91)*(Price!$D$11:$D$182="exw"),0),MATCH(1,(Price!$L$3:$AM$3=P$3)*(Price!$L$4:$AM$4=P$4),0))</f>
        <v>1315</v>
      </c>
      <c r="Q91" s="145" cm="1">
        <f t="array" ref="Q91">INDEX(Price!$L$11:$AM$182,MATCH(1,(Price!$A$11:$A$182=$A91)*(Price!$B$11:$B$182=$B91)*(Price!$D$11:$D$182="exw"),0),MATCH(1,(Price!$L$3:$AM$3=Q$3)*(Price!$L$4:$AM$4=Q$4),0))</f>
        <v>1315</v>
      </c>
      <c r="R91" s="146" cm="1">
        <f t="array" ref="R91">INDEX(Price!$L$11:$AM$182,MATCH(1,(Price!$A$11:$A$182=$A91)*(Price!$B$11:$B$182=$B91)*(Price!$D$11:$D$182="exw"),0),MATCH(1,(Price!$L$3:$AM$3=R$3)*(Price!$L$4:$AM$4=R$4),0))</f>
        <v>1315</v>
      </c>
      <c r="S91" s="145" cm="1">
        <f t="array" ref="S91">INDEX(Price!$L$11:$AM$182,MATCH(1,(Price!$A$11:$A$182=$A91)*(Price!$B$11:$B$182=$B91)*(Price!$D$11:$D$182="exw"),0),MATCH(1,(Price!$L$3:$AM$3=S$3)*(Price!$L$4:$AM$4=S$4),0))</f>
        <v>1348.3</v>
      </c>
      <c r="T91" s="145" cm="1">
        <f t="array" ref="T91">INDEX(Price!$L$11:$AM$182,MATCH(1,(Price!$A$11:$A$182=$A91)*(Price!$B$11:$B$182=$B91)*(Price!$D$11:$D$182="exw"),0),MATCH(1,(Price!$L$3:$AM$3=T$3)*(Price!$L$4:$AM$4=T$4),0))</f>
        <v>1348.3</v>
      </c>
      <c r="U91" s="145" cm="1">
        <f t="array" ref="U91">INDEX(Price!$L$11:$AM$182,MATCH(1,(Price!$A$11:$A$182=$A91)*(Price!$B$11:$B$182=$B91)*(Price!$D$11:$D$182="exw"),0),MATCH(1,(Price!$L$3:$AM$3=U$3)*(Price!$L$4:$AM$4=U$4),0))</f>
        <v>1348.3</v>
      </c>
      <c r="V91" s="145" cm="1">
        <f t="array" ref="V91">INDEX(Price!$L$11:$AM$182,MATCH(1,(Price!$A$11:$A$182=$A91)*(Price!$B$11:$B$182=$B91)*(Price!$D$11:$D$182="exw"),0),MATCH(1,(Price!$L$3:$AM$3=V$3)*(Price!$L$4:$AM$4=V$4),0))</f>
        <v>1348.3</v>
      </c>
      <c r="W91" s="145" cm="1">
        <f t="array" ref="W91">INDEX(Price!$L$11:$AM$182,MATCH(1,(Price!$A$11:$A$182=$A91)*(Price!$B$11:$B$182=$B91)*(Price!$D$11:$D$182="exw"),0),MATCH(1,(Price!$L$3:$AM$3=W$3)*(Price!$L$4:$AM$4=W$4),0))</f>
        <v>1348.3</v>
      </c>
      <c r="X91" s="145" cm="1">
        <f t="array" ref="X91">INDEX(Price!$L$11:$AM$182,MATCH(1,(Price!$A$11:$A$182=$A91)*(Price!$B$11:$B$182=$B91)*(Price!$D$11:$D$182="exw"),0),MATCH(1,(Price!$L$3:$AM$3=X$3)*(Price!$L$4:$AM$4=X$4),0))</f>
        <v>1348.3</v>
      </c>
      <c r="Y91" s="145" cm="1">
        <f t="array" ref="Y91">INDEX(Price!$L$11:$AM$182,MATCH(1,(Price!$A$11:$A$182=$A91)*(Price!$B$11:$B$182=$B91)*(Price!$D$11:$D$182="exw"),0),MATCH(1,(Price!$L$3:$AM$3=Y$3)*(Price!$L$4:$AM$4=Y$4),0))</f>
        <v>1348.3</v>
      </c>
      <c r="Z91" s="145" cm="1">
        <f t="array" ref="Z91">INDEX(Price!$L$11:$AM$182,MATCH(1,(Price!$A$11:$A$182=$A91)*(Price!$B$11:$B$182=$B91)*(Price!$D$11:$D$182="exw"),0),MATCH(1,(Price!$L$3:$AM$3=Z$3)*(Price!$L$4:$AM$4=Z$4),0))</f>
        <v>1348.3</v>
      </c>
      <c r="AA91" s="145" cm="1">
        <f t="array" ref="AA91">INDEX(Price!$L$11:$AM$182,MATCH(1,(Price!$A$11:$A$182=$A91)*(Price!$B$11:$B$182=$B91)*(Price!$D$11:$D$182="exw"),0),MATCH(1,(Price!$L$3:$AM$3=AA$3)*(Price!$L$4:$AM$4=AA$4),0))</f>
        <v>1348.3</v>
      </c>
      <c r="AB91" s="145" cm="1">
        <f t="array" ref="AB91">INDEX(Price!$L$11:$AM$182,MATCH(1,(Price!$A$11:$A$182=$A91)*(Price!$B$11:$B$182=$B91)*(Price!$D$11:$D$182="exw"),0),MATCH(1,(Price!$L$3:$AM$3=AB$3)*(Price!$L$4:$AM$4=AB$4),0))</f>
        <v>1348.3</v>
      </c>
      <c r="AC91" s="145" cm="1">
        <f t="array" ref="AC91">INDEX(Price!$L$11:$AM$182,MATCH(1,(Price!$A$11:$A$182=$A91)*(Price!$B$11:$B$182=$B91)*(Price!$D$11:$D$182="exw"),0),MATCH(1,(Price!$L$3:$AM$3=AC$3)*(Price!$L$4:$AM$4=AC$4),0))</f>
        <v>1348.3</v>
      </c>
      <c r="AD91" s="146" cm="1">
        <f t="array" ref="AD91">INDEX(Price!$L$11:$AM$182,MATCH(1,(Price!$A$11:$A$182=$A91)*(Price!$B$11:$B$182=$B91)*(Price!$D$11:$D$182="exw"),0),MATCH(1,(Price!$L$3:$AM$3=AD$3)*(Price!$L$4:$AM$4=AD$4),0))</f>
        <v>1348.3</v>
      </c>
      <c r="AE91" s="145"/>
      <c r="AF91" s="145"/>
      <c r="AG91" s="145"/>
      <c r="AH91" s="145"/>
      <c r="AI91" s="145"/>
      <c r="AJ91" s="145"/>
      <c r="AK91" s="145"/>
      <c r="AL91" s="145"/>
      <c r="AM91" s="145"/>
      <c r="AN91" s="145"/>
      <c r="AO91" s="145"/>
      <c r="AP91" s="146"/>
    </row>
    <row r="92" spans="1:42" ht="11.5" customHeight="1" outlineLevel="1" x14ac:dyDescent="0.35">
      <c r="A92" t="s">
        <v>49</v>
      </c>
      <c r="B92" t="s">
        <v>29</v>
      </c>
      <c r="C92" s="14" t="s">
        <v>9</v>
      </c>
      <c r="D92" s="164">
        <v>6.3</v>
      </c>
      <c r="E92" s="8"/>
      <c r="F92" s="326" t="s">
        <v>11</v>
      </c>
      <c r="G92" s="320" cm="1">
        <f t="array" ref="G92">SUMPRODUCT(General_Data*(Code_General_Data=$C92)*(Year=G$3)*(Month=G$4))</f>
        <v>930</v>
      </c>
      <c r="H92" s="132" cm="1">
        <f t="array" ref="H92">SUMPRODUCT(General_Data*(Code_General_Data=$C92)*(Year=H$3)*(Month=H$4))</f>
        <v>943.33333333333337</v>
      </c>
      <c r="I92" s="132" cm="1">
        <f t="array" ref="I92">SUMPRODUCT(General_Data*(Code_General_Data=$C92)*(Year=I$3)*(Month=I$4))</f>
        <v>940</v>
      </c>
      <c r="J92" s="132" cm="1">
        <f t="array" ref="J92">SUMPRODUCT(General_Data*(Code_General_Data=$C92)*(Year=J$3)*(Month=J$4))</f>
        <v>940</v>
      </c>
      <c r="K92" s="132" cm="1">
        <f t="array" ref="K92">SUMPRODUCT(General_Data*(Code_General_Data=$C92)*(Year=K$3)*(Month=K$4))</f>
        <v>942</v>
      </c>
      <c r="L92" s="132" cm="1">
        <f t="array" ref="L92">SUMPRODUCT(General_Data*(Code_General_Data=$C92)*(Year=L$3)*(Month=L$4))</f>
        <v>950</v>
      </c>
      <c r="M92" s="132" cm="1">
        <f t="array" ref="M92">SUMPRODUCT(General_Data*(Code_General_Data=$C92)*(Year=M$3)*(Month=M$4))</f>
        <v>947.5</v>
      </c>
      <c r="N92" s="132" cm="1">
        <f t="array" ref="N92">SUMPRODUCT(General_Data*(Code_General_Data=$C92)*(Year=N$3)*(Month=N$4))</f>
        <v>930</v>
      </c>
      <c r="O92" s="132" cm="1">
        <f t="array" ref="O92">SUMPRODUCT(General_Data*(Code_General_Data=$C92)*(Year=O$3)*(Month=O$4))</f>
        <v>880</v>
      </c>
      <c r="P92" s="132" cm="1">
        <f t="array" ref="P92">SUMPRODUCT(General_Data*(Code_General_Data=$C92)*(Year=P$3)*(Month=P$4))</f>
        <v>862.5</v>
      </c>
      <c r="Q92" s="132" cm="1">
        <f t="array" ref="Q92">SUMPRODUCT(General_Data*(Code_General_Data=$C92)*(Year=Q$3)*(Month=Q$4))</f>
        <v>852</v>
      </c>
      <c r="R92" s="133" cm="1">
        <f t="array" ref="R92">SUMPRODUCT(General_Data*(Code_General_Data=$C92)*(Year=R$3)*(Month=R$4))</f>
        <v>830</v>
      </c>
      <c r="S92" s="132" cm="1">
        <f t="array" ref="S92">SUMPRODUCT(General_Data*(Code_General_Data=$C92)*(Year=S$3)*(Month=S$4))</f>
        <v>828</v>
      </c>
      <c r="T92" s="132" cm="1">
        <f t="array" ref="T92">SUMPRODUCT(General_Data*(Code_General_Data=$C92)*(Year=T$3)*(Month=T$4))</f>
        <v>840</v>
      </c>
      <c r="U92" s="132" cm="1">
        <f t="array" ref="U92">SUMPRODUCT(General_Data*(Code_General_Data=$C92)*(Year=U$3)*(Month=U$4))</f>
        <v>823</v>
      </c>
      <c r="V92" s="132" cm="1">
        <f t="array" ref="V92">SUMPRODUCT(General_Data*(Code_General_Data=$C92)*(Year=V$3)*(Month=V$4))</f>
        <v>765</v>
      </c>
      <c r="W92" s="132" cm="1">
        <f t="array" ref="W92">SUMPRODUCT(General_Data*(Code_General_Data=$C92)*(Year=W$3)*(Month=W$4))</f>
        <v>782</v>
      </c>
      <c r="X92" s="132" cm="1">
        <f t="array" ref="X92">SUMPRODUCT(General_Data*(Code_General_Data=$C92)*(Year=X$3)*(Month=X$4))</f>
        <v>807.5</v>
      </c>
      <c r="Y92" s="132" cm="1">
        <f t="array" ref="Y92">SUMPRODUCT(General_Data*(Code_General_Data=$C92)*(Year=Y$3)*(Month=Y$4))</f>
        <v>802</v>
      </c>
      <c r="Z92" s="132" cm="1">
        <f t="array" ref="Z92">SUMPRODUCT(General_Data*(Code_General_Data=$C92)*(Year=Z$3)*(Month=Z$4))</f>
        <v>795</v>
      </c>
      <c r="AA92" s="132" cm="1">
        <f t="array" ref="AA92">SUMPRODUCT(General_Data*(Code_General_Data=$C92)*(Year=AA$3)*(Month=AA$4))</f>
        <v>783</v>
      </c>
      <c r="AB92" s="132" cm="1">
        <f t="array" ref="AB92">SUMPRODUCT(General_Data*(Code_General_Data=$C92)*(Year=AB$3)*(Month=AB$4))</f>
        <v>772</v>
      </c>
      <c r="AC92" s="132" cm="1">
        <f t="array" ref="AC92">SUMPRODUCT(General_Data*(Code_General_Data=$C92)*(Year=AC$3)*(Month=AC$4))</f>
        <v>770</v>
      </c>
      <c r="AD92" s="133" cm="1">
        <f t="array" ref="AD92">SUMPRODUCT(General_Data*(Code_General_Data=$C92)*(Year=AD$3)*(Month=AD$4))</f>
        <v>770</v>
      </c>
      <c r="AE92" s="132"/>
      <c r="AF92" s="132"/>
      <c r="AG92" s="132"/>
      <c r="AH92" s="132"/>
      <c r="AI92" s="132"/>
      <c r="AJ92" s="132"/>
      <c r="AK92" s="132"/>
      <c r="AL92" s="132"/>
      <c r="AM92" s="132"/>
      <c r="AN92" s="132"/>
      <c r="AO92" s="132"/>
      <c r="AP92" s="133"/>
    </row>
    <row r="93" spans="1:42" s="152" customFormat="1" ht="11.5" customHeight="1" outlineLevel="1" x14ac:dyDescent="0.35">
      <c r="A93" s="152" t="s">
        <v>49</v>
      </c>
      <c r="B93" s="152" t="s">
        <v>29</v>
      </c>
      <c r="D93" s="165">
        <v>6.4</v>
      </c>
      <c r="E93" s="153"/>
      <c r="F93" s="327" t="s">
        <v>430</v>
      </c>
      <c r="G93" s="154">
        <f t="shared" ref="G93:AD93" si="22">IF(G90*G91*G92&lt;&gt;0,G91-G92,0)</f>
        <v>385</v>
      </c>
      <c r="H93" s="154">
        <f t="shared" si="22"/>
        <v>371.66666666666663</v>
      </c>
      <c r="I93" s="154">
        <f t="shared" si="22"/>
        <v>375</v>
      </c>
      <c r="J93" s="154">
        <f t="shared" si="22"/>
        <v>375</v>
      </c>
      <c r="K93" s="154">
        <f t="shared" si="22"/>
        <v>373</v>
      </c>
      <c r="L93" s="154">
        <f t="shared" si="22"/>
        <v>365</v>
      </c>
      <c r="M93" s="154">
        <f t="shared" si="22"/>
        <v>367.5</v>
      </c>
      <c r="N93" s="154">
        <f t="shared" si="22"/>
        <v>385</v>
      </c>
      <c r="O93" s="154">
        <f t="shared" si="22"/>
        <v>435</v>
      </c>
      <c r="P93" s="154">
        <f t="shared" si="22"/>
        <v>452.5</v>
      </c>
      <c r="Q93" s="154">
        <f t="shared" si="22"/>
        <v>463</v>
      </c>
      <c r="R93" s="155">
        <f t="shared" si="22"/>
        <v>485</v>
      </c>
      <c r="S93" s="154">
        <f t="shared" si="22"/>
        <v>520.29999999999995</v>
      </c>
      <c r="T93" s="154">
        <f t="shared" si="22"/>
        <v>508.29999999999995</v>
      </c>
      <c r="U93" s="154">
        <f t="shared" si="22"/>
        <v>525.29999999999995</v>
      </c>
      <c r="V93" s="154">
        <f t="shared" si="22"/>
        <v>583.29999999999995</v>
      </c>
      <c r="W93" s="154">
        <f t="shared" si="22"/>
        <v>566.29999999999995</v>
      </c>
      <c r="X93" s="154">
        <f t="shared" si="22"/>
        <v>540.79999999999995</v>
      </c>
      <c r="Y93" s="154">
        <f t="shared" si="22"/>
        <v>546.29999999999995</v>
      </c>
      <c r="Z93" s="154">
        <f t="shared" si="22"/>
        <v>553.29999999999995</v>
      </c>
      <c r="AA93" s="154">
        <f t="shared" si="22"/>
        <v>565.29999999999995</v>
      </c>
      <c r="AB93" s="154">
        <f t="shared" si="22"/>
        <v>576.29999999999995</v>
      </c>
      <c r="AC93" s="154">
        <f t="shared" si="22"/>
        <v>578.29999999999995</v>
      </c>
      <c r="AD93" s="155">
        <f t="shared" si="22"/>
        <v>578.29999999999995</v>
      </c>
      <c r="AE93" s="154"/>
      <c r="AF93" s="154"/>
      <c r="AG93" s="154"/>
      <c r="AH93" s="154"/>
      <c r="AI93" s="154"/>
      <c r="AJ93" s="154"/>
      <c r="AK93" s="154"/>
      <c r="AL93" s="154"/>
      <c r="AM93" s="154"/>
      <c r="AN93" s="154"/>
      <c r="AO93" s="154"/>
      <c r="AP93" s="155"/>
    </row>
    <row r="94" spans="1:42" s="156" customFormat="1" ht="11.5" customHeight="1" outlineLevel="1" x14ac:dyDescent="0.35">
      <c r="A94" s="156" t="s">
        <v>49</v>
      </c>
      <c r="B94" s="156" t="s">
        <v>29</v>
      </c>
      <c r="D94" s="166">
        <v>6.5</v>
      </c>
      <c r="E94" s="157"/>
      <c r="F94" s="328" t="s">
        <v>14</v>
      </c>
      <c r="G94" s="158">
        <f t="shared" ref="G94:AD94" si="23">IFERROR(G93/G92,0)</f>
        <v>0.41397849462365593</v>
      </c>
      <c r="H94" s="158">
        <f t="shared" si="23"/>
        <v>0.39399293286219078</v>
      </c>
      <c r="I94" s="158">
        <f t="shared" si="23"/>
        <v>0.39893617021276595</v>
      </c>
      <c r="J94" s="158">
        <f t="shared" si="23"/>
        <v>0.39893617021276595</v>
      </c>
      <c r="K94" s="158">
        <f t="shared" si="23"/>
        <v>0.39596602972399153</v>
      </c>
      <c r="L94" s="158">
        <f t="shared" si="23"/>
        <v>0.38421052631578945</v>
      </c>
      <c r="M94" s="158">
        <f t="shared" si="23"/>
        <v>0.38786279683377306</v>
      </c>
      <c r="N94" s="158">
        <f t="shared" si="23"/>
        <v>0.41397849462365593</v>
      </c>
      <c r="O94" s="158">
        <f t="shared" si="23"/>
        <v>0.49431818181818182</v>
      </c>
      <c r="P94" s="158">
        <f t="shared" si="23"/>
        <v>0.52463768115942033</v>
      </c>
      <c r="Q94" s="158">
        <f t="shared" si="23"/>
        <v>0.54342723004694837</v>
      </c>
      <c r="R94" s="159">
        <f t="shared" si="23"/>
        <v>0.58433734939759041</v>
      </c>
      <c r="S94" s="158">
        <f t="shared" si="23"/>
        <v>0.62838164251207729</v>
      </c>
      <c r="T94" s="158">
        <f t="shared" si="23"/>
        <v>0.60511904761904756</v>
      </c>
      <c r="U94" s="158">
        <f t="shared" si="23"/>
        <v>0.6382746051032806</v>
      </c>
      <c r="V94" s="158">
        <f t="shared" si="23"/>
        <v>0.76248366013071889</v>
      </c>
      <c r="W94" s="158">
        <f t="shared" si="23"/>
        <v>0.72416879795396416</v>
      </c>
      <c r="X94" s="158">
        <f t="shared" si="23"/>
        <v>0.66972136222910206</v>
      </c>
      <c r="Y94" s="158">
        <f t="shared" si="23"/>
        <v>0.68117206982543632</v>
      </c>
      <c r="Z94" s="158">
        <f t="shared" si="23"/>
        <v>0.69597484276729549</v>
      </c>
      <c r="AA94" s="158">
        <f t="shared" si="23"/>
        <v>0.72196679438058742</v>
      </c>
      <c r="AB94" s="158">
        <f t="shared" si="23"/>
        <v>0.74650259067357505</v>
      </c>
      <c r="AC94" s="158">
        <f t="shared" si="23"/>
        <v>0.75103896103896095</v>
      </c>
      <c r="AD94" s="159">
        <f t="shared" si="23"/>
        <v>0.75103896103896095</v>
      </c>
      <c r="AE94" s="158"/>
      <c r="AF94" s="158"/>
      <c r="AG94" s="158"/>
      <c r="AH94" s="158"/>
      <c r="AI94" s="158"/>
      <c r="AJ94" s="158"/>
      <c r="AK94" s="158"/>
      <c r="AL94" s="158"/>
      <c r="AM94" s="158"/>
      <c r="AN94" s="158"/>
      <c r="AO94" s="158"/>
      <c r="AP94" s="159"/>
    </row>
    <row r="95" spans="1:42" s="137" customFormat="1" ht="11.5" customHeight="1" outlineLevel="1" x14ac:dyDescent="0.35">
      <c r="A95" s="137" t="s">
        <v>49</v>
      </c>
      <c r="B95" s="137" t="s">
        <v>29</v>
      </c>
      <c r="C95" s="137" t="s">
        <v>29</v>
      </c>
      <c r="D95" s="167">
        <v>6.6</v>
      </c>
      <c r="E95" s="138"/>
      <c r="F95" s="329" t="s">
        <v>203</v>
      </c>
      <c r="G95" s="139" cm="1">
        <f t="array" ref="G95">SUMPRODUCT(General_Data*(Code_General_Data=$C95)*(Year=G$3)*(Month=G$4))</f>
        <v>1340</v>
      </c>
      <c r="H95" s="139" cm="1">
        <f t="array" ref="H95">SUMPRODUCT(General_Data*(Code_General_Data=$C95)*(Year=H$3)*(Month=H$4))</f>
        <v>1340</v>
      </c>
      <c r="I95" s="139" cm="1">
        <f t="array" ref="I95">SUMPRODUCT(General_Data*(Code_General_Data=$C95)*(Year=I$3)*(Month=I$4))</f>
        <v>1340</v>
      </c>
      <c r="J95" s="139" cm="1">
        <f t="array" ref="J95">SUMPRODUCT(General_Data*(Code_General_Data=$C95)*(Year=J$3)*(Month=J$4))</f>
        <v>1340</v>
      </c>
      <c r="K95" s="139" cm="1">
        <f t="array" ref="K95">SUMPRODUCT(General_Data*(Code_General_Data=$C95)*(Year=K$3)*(Month=K$4))</f>
        <v>1390</v>
      </c>
      <c r="L95" s="139" cm="1">
        <f t="array" ref="L95">SUMPRODUCT(General_Data*(Code_General_Data=$C95)*(Year=L$3)*(Month=L$4))</f>
        <v>1390</v>
      </c>
      <c r="M95" s="139" cm="1">
        <f t="array" ref="M95">SUMPRODUCT(General_Data*(Code_General_Data=$C95)*(Year=M$3)*(Month=M$4))</f>
        <v>1390</v>
      </c>
      <c r="N95" s="139" cm="1">
        <f t="array" ref="N95">SUMPRODUCT(General_Data*(Code_General_Data=$C95)*(Year=N$3)*(Month=N$4))</f>
        <v>1390</v>
      </c>
      <c r="O95" s="139" cm="1">
        <f t="array" ref="O95">SUMPRODUCT(General_Data*(Code_General_Data=$C95)*(Year=O$3)*(Month=O$4))</f>
        <v>1400</v>
      </c>
      <c r="P95" s="139" cm="1">
        <f t="array" ref="P95">SUMPRODUCT(General_Data*(Code_General_Data=$C95)*(Year=P$3)*(Month=P$4))</f>
        <v>1415</v>
      </c>
      <c r="Q95" s="139" cm="1">
        <f t="array" ref="Q95">SUMPRODUCT(General_Data*(Code_General_Data=$C95)*(Year=Q$3)*(Month=Q$4))</f>
        <v>1415</v>
      </c>
      <c r="R95" s="140" cm="1">
        <f t="array" ref="R95">SUMPRODUCT(General_Data*(Code_General_Data=$C95)*(Year=R$3)*(Month=R$4))</f>
        <v>1365</v>
      </c>
      <c r="S95" s="139" cm="1">
        <f t="array" ref="S95">SUMPRODUCT(General_Data*(Code_General_Data=$C95)*(Year=S$3)*(Month=S$4))</f>
        <v>1320</v>
      </c>
      <c r="T95" s="139" cm="1">
        <f t="array" ref="T95">SUMPRODUCT(General_Data*(Code_General_Data=$C95)*(Year=T$3)*(Month=T$4))</f>
        <v>1280</v>
      </c>
      <c r="U95" s="139" cm="1">
        <f t="array" ref="U95">SUMPRODUCT(General_Data*(Code_General_Data=$C95)*(Year=U$3)*(Month=U$4))</f>
        <v>1320</v>
      </c>
      <c r="V95" s="139" cm="1">
        <f t="array" ref="V95">SUMPRODUCT(General_Data*(Code_General_Data=$C95)*(Year=V$3)*(Month=V$4))</f>
        <v>1340</v>
      </c>
      <c r="W95" s="139" cm="1">
        <f t="array" ref="W95">SUMPRODUCT(General_Data*(Code_General_Data=$C95)*(Year=W$3)*(Month=W$4))</f>
        <v>1340</v>
      </c>
      <c r="X95" s="139" cm="1">
        <f t="array" ref="X95">SUMPRODUCT(General_Data*(Code_General_Data=$C95)*(Year=X$3)*(Month=X$4))</f>
        <v>1340</v>
      </c>
      <c r="Y95" s="139" cm="1">
        <f t="array" ref="Y95">SUMPRODUCT(General_Data*(Code_General_Data=$C95)*(Year=Y$3)*(Month=Y$4))</f>
        <v>1340</v>
      </c>
      <c r="Z95" s="139" cm="1">
        <f t="array" ref="Z95">SUMPRODUCT(General_Data*(Code_General_Data=$C95)*(Year=Z$3)*(Month=Z$4))</f>
        <v>1310</v>
      </c>
      <c r="AA95" s="139" cm="1">
        <f t="array" ref="AA95">SUMPRODUCT(General_Data*(Code_General_Data=$C95)*(Year=AA$3)*(Month=AA$4))</f>
        <v>1310</v>
      </c>
      <c r="AB95" s="139" cm="1">
        <f t="array" ref="AB95">SUMPRODUCT(General_Data*(Code_General_Data=$C95)*(Year=AB$3)*(Month=AB$4))</f>
        <v>1300</v>
      </c>
      <c r="AC95" s="139" cm="1">
        <f t="array" ref="AC95">SUMPRODUCT(General_Data*(Code_General_Data=$C95)*(Year=AC$3)*(Month=AC$4))</f>
        <v>1290</v>
      </c>
      <c r="AD95" s="140" cm="1">
        <f t="array" ref="AD95">SUMPRODUCT(General_Data*(Code_General_Data=$C95)*(Year=AD$3)*(Month=AD$4))</f>
        <v>1290</v>
      </c>
      <c r="AE95" s="139"/>
      <c r="AF95" s="139"/>
      <c r="AG95" s="139"/>
      <c r="AH95" s="139"/>
      <c r="AI95" s="139"/>
      <c r="AJ95" s="139"/>
      <c r="AK95" s="139"/>
      <c r="AL95" s="139"/>
      <c r="AM95" s="139"/>
      <c r="AN95" s="139"/>
      <c r="AO95" s="139"/>
      <c r="AP95" s="140"/>
    </row>
    <row r="96" spans="1:42" ht="3.65" customHeight="1" x14ac:dyDescent="0.35">
      <c r="D96" s="168"/>
    </row>
    <row r="97" spans="1:42" s="127" customFormat="1" ht="15.65" customHeight="1" x14ac:dyDescent="0.4">
      <c r="A97" s="127" t="s">
        <v>63</v>
      </c>
      <c r="C97" s="131"/>
      <c r="D97" s="160">
        <v>7</v>
      </c>
      <c r="E97" s="130" t="s">
        <v>37</v>
      </c>
      <c r="F97" s="322"/>
      <c r="G97" s="130"/>
      <c r="H97" s="130"/>
      <c r="I97" s="130"/>
      <c r="J97" s="130"/>
      <c r="K97" s="130"/>
      <c r="L97" s="130"/>
      <c r="M97" s="130"/>
      <c r="N97" s="130"/>
      <c r="O97" s="130"/>
      <c r="P97" s="130"/>
      <c r="Q97" s="130"/>
      <c r="R97" s="319"/>
      <c r="S97" s="130"/>
      <c r="T97" s="130"/>
      <c r="U97" s="130"/>
      <c r="V97" s="130"/>
      <c r="W97" s="130"/>
      <c r="X97" s="130"/>
      <c r="Y97" s="130"/>
      <c r="Z97" s="130"/>
      <c r="AA97" s="130"/>
      <c r="AB97" s="130"/>
      <c r="AC97" s="130"/>
      <c r="AD97" s="319"/>
      <c r="AE97" s="130"/>
      <c r="AF97" s="130"/>
      <c r="AG97" s="130"/>
      <c r="AH97" s="130"/>
      <c r="AI97" s="130"/>
      <c r="AJ97" s="130"/>
      <c r="AK97" s="130"/>
      <c r="AL97" s="130"/>
      <c r="AM97" s="130"/>
      <c r="AN97" s="130"/>
      <c r="AO97" s="130"/>
      <c r="AP97" s="319"/>
    </row>
    <row r="98" spans="1:42" s="148" customFormat="1" ht="13.4" customHeight="1" outlineLevel="1" x14ac:dyDescent="0.4">
      <c r="A98" s="148" t="s">
        <v>63</v>
      </c>
      <c r="B98" s="148" t="s">
        <v>35</v>
      </c>
      <c r="D98" s="161"/>
      <c r="E98" s="149"/>
      <c r="F98" s="323" t="s">
        <v>33</v>
      </c>
      <c r="G98" s="149"/>
      <c r="H98" s="149"/>
      <c r="I98" s="149"/>
      <c r="J98" s="149"/>
      <c r="K98" s="149"/>
      <c r="L98" s="149"/>
      <c r="M98" s="149"/>
      <c r="N98" s="149"/>
      <c r="O98" s="149"/>
      <c r="P98" s="149"/>
      <c r="Q98" s="149"/>
      <c r="R98" s="150"/>
      <c r="S98" s="149"/>
      <c r="T98" s="149"/>
      <c r="U98" s="149"/>
      <c r="V98" s="149"/>
      <c r="W98" s="149"/>
      <c r="X98" s="149"/>
      <c r="Y98" s="149"/>
      <c r="Z98" s="149"/>
      <c r="AA98" s="149"/>
      <c r="AB98" s="149"/>
      <c r="AC98" s="149"/>
      <c r="AD98" s="150"/>
      <c r="AE98" s="149"/>
      <c r="AF98" s="149"/>
      <c r="AG98" s="149"/>
      <c r="AH98" s="149"/>
      <c r="AI98" s="149"/>
      <c r="AJ98" s="149"/>
      <c r="AK98" s="149"/>
      <c r="AL98" s="149"/>
      <c r="AM98" s="149"/>
      <c r="AN98" s="149"/>
      <c r="AO98" s="149"/>
      <c r="AP98" s="150"/>
    </row>
    <row r="99" spans="1:42" s="69" customFormat="1" ht="12" customHeight="1" outlineLevel="1" x14ac:dyDescent="0.35">
      <c r="A99" s="69" t="s">
        <v>63</v>
      </c>
      <c r="B99" s="69" t="s">
        <v>35</v>
      </c>
      <c r="D99" s="162">
        <v>7.1</v>
      </c>
      <c r="E99" s="134"/>
      <c r="F99" s="324" t="s">
        <v>28</v>
      </c>
      <c r="G99" s="135" cm="1">
        <f t="array" ref="G99">INDEX(Price!$L$11:$AM$182,MATCH(1,(Price!$A$11:$A$182=$A99)*(Price!$B$11:$B$182=$B99)*(Price!$D$11:$D$182="gb"),0),MATCH(1,(Price!$L$3:$AM$3=G$3)*(Price!$L$4:$AM$4=G$4),0))</f>
        <v>0</v>
      </c>
      <c r="H99" s="135" cm="1">
        <f t="array" ref="H99">INDEX(Price!$L$11:$AM$182,MATCH(1,(Price!$A$11:$A$182=$A99)*(Price!$B$11:$B$182=$B99)*(Price!$D$11:$D$182="gb"),0),MATCH(1,(Price!$L$3:$AM$3=H$3)*(Price!$L$4:$AM$4=H$4),0))</f>
        <v>0</v>
      </c>
      <c r="I99" s="135" cm="1">
        <f t="array" ref="I99">INDEX(Price!$L$11:$AM$182,MATCH(1,(Price!$A$11:$A$182=$A99)*(Price!$B$11:$B$182=$B99)*(Price!$D$11:$D$182="gb"),0),MATCH(1,(Price!$L$3:$AM$3=I$3)*(Price!$L$4:$AM$4=I$4),0))</f>
        <v>0</v>
      </c>
      <c r="J99" s="135" cm="1">
        <f t="array" ref="J99">INDEX(Price!$L$11:$AM$182,MATCH(1,(Price!$A$11:$A$182=$A99)*(Price!$B$11:$B$182=$B99)*(Price!$D$11:$D$182="gb"),0),MATCH(1,(Price!$L$3:$AM$3=J$3)*(Price!$L$4:$AM$4=J$4),0))</f>
        <v>0</v>
      </c>
      <c r="K99" s="135" cm="1">
        <f t="array" ref="K99">INDEX(Price!$L$11:$AM$182,MATCH(1,(Price!$A$11:$A$182=$A99)*(Price!$B$11:$B$182=$B99)*(Price!$D$11:$D$182="gb"),0),MATCH(1,(Price!$L$3:$AM$3=K$3)*(Price!$L$4:$AM$4=K$4),0))</f>
        <v>0</v>
      </c>
      <c r="L99" s="135" cm="1">
        <f t="array" ref="L99">INDEX(Price!$L$11:$AM$182,MATCH(1,(Price!$A$11:$A$182=$A99)*(Price!$B$11:$B$182=$B99)*(Price!$D$11:$D$182="gb"),0),MATCH(1,(Price!$L$3:$AM$3=L$3)*(Price!$L$4:$AM$4=L$4),0))</f>
        <v>0</v>
      </c>
      <c r="M99" s="135" cm="1">
        <f t="array" ref="M99">INDEX(Price!$L$11:$AM$182,MATCH(1,(Price!$A$11:$A$182=$A99)*(Price!$B$11:$B$182=$B99)*(Price!$D$11:$D$182="gb"),0),MATCH(1,(Price!$L$3:$AM$3=M$3)*(Price!$L$4:$AM$4=M$4),0))</f>
        <v>0</v>
      </c>
      <c r="N99" s="135" cm="1">
        <f t="array" ref="N99">INDEX(Price!$L$11:$AM$182,MATCH(1,(Price!$A$11:$A$182=$A99)*(Price!$B$11:$B$182=$B99)*(Price!$D$11:$D$182="gb"),0),MATCH(1,(Price!$L$3:$AM$3=N$3)*(Price!$L$4:$AM$4=N$4),0))</f>
        <v>0</v>
      </c>
      <c r="O99" s="135" cm="1">
        <f t="array" ref="O99">INDEX(Price!$L$11:$AM$182,MATCH(1,(Price!$A$11:$A$182=$A99)*(Price!$B$11:$B$182=$B99)*(Price!$D$11:$D$182="gb"),0),MATCH(1,(Price!$L$3:$AM$3=O$3)*(Price!$L$4:$AM$4=O$4),0))</f>
        <v>0</v>
      </c>
      <c r="P99" s="135" cm="1">
        <f t="array" ref="P99">INDEX(Price!$L$11:$AM$182,MATCH(1,(Price!$A$11:$A$182=$A99)*(Price!$B$11:$B$182=$B99)*(Price!$D$11:$D$182="gb"),0),MATCH(1,(Price!$L$3:$AM$3=P$3)*(Price!$L$4:$AM$4=P$4),0))</f>
        <v>1320</v>
      </c>
      <c r="Q99" s="135" cm="1">
        <f t="array" ref="Q99">INDEX(Price!$L$11:$AM$182,MATCH(1,(Price!$A$11:$A$182=$A99)*(Price!$B$11:$B$182=$B99)*(Price!$D$11:$D$182="gb"),0),MATCH(1,(Price!$L$3:$AM$3=Q$3)*(Price!$L$4:$AM$4=Q$4),0))</f>
        <v>1320</v>
      </c>
      <c r="R99" s="136" cm="1">
        <f t="array" ref="R99">INDEX(Price!$L$11:$AM$182,MATCH(1,(Price!$A$11:$A$182=$A99)*(Price!$B$11:$B$182=$B99)*(Price!$D$11:$D$182="gb"),0),MATCH(1,(Price!$L$3:$AM$3=R$3)*(Price!$L$4:$AM$4=R$4),0))</f>
        <v>1320</v>
      </c>
      <c r="S99" s="135" cm="1">
        <f t="array" ref="S99">INDEX(Price!$L$11:$AM$182,MATCH(1,(Price!$A$11:$A$182=$A99)*(Price!$B$11:$B$182=$B99)*(Price!$D$11:$D$182="gb"),0),MATCH(1,(Price!$L$3:$AM$3=S$3)*(Price!$L$4:$AM$4=S$4),0))</f>
        <v>0</v>
      </c>
      <c r="T99" s="135" cm="1">
        <f t="array" ref="T99">INDEX(Price!$L$11:$AM$182,MATCH(1,(Price!$A$11:$A$182=$A99)*(Price!$B$11:$B$182=$B99)*(Price!$D$11:$D$182="gb"),0),MATCH(1,(Price!$L$3:$AM$3=T$3)*(Price!$L$4:$AM$4=T$4),0))</f>
        <v>0</v>
      </c>
      <c r="U99" s="135" cm="1">
        <f t="array" ref="U99">INDEX(Price!$L$11:$AM$182,MATCH(1,(Price!$A$11:$A$182=$A99)*(Price!$B$11:$B$182=$B99)*(Price!$D$11:$D$182="gb"),0),MATCH(1,(Price!$L$3:$AM$3=U$3)*(Price!$L$4:$AM$4=U$4),0))</f>
        <v>0</v>
      </c>
      <c r="V99" s="135" cm="1">
        <f t="array" ref="V99">INDEX(Price!$L$11:$AM$182,MATCH(1,(Price!$A$11:$A$182=$A99)*(Price!$B$11:$B$182=$B99)*(Price!$D$11:$D$182="gb"),0),MATCH(1,(Price!$L$3:$AM$3=V$3)*(Price!$L$4:$AM$4=V$4),0))</f>
        <v>0</v>
      </c>
      <c r="W99" s="135" cm="1">
        <f t="array" ref="W99">INDEX(Price!$L$11:$AM$182,MATCH(1,(Price!$A$11:$A$182=$A99)*(Price!$B$11:$B$182=$B99)*(Price!$D$11:$D$182="gb"),0),MATCH(1,(Price!$L$3:$AM$3=W$3)*(Price!$L$4:$AM$4=W$4),0))</f>
        <v>0</v>
      </c>
      <c r="X99" s="135" cm="1">
        <f t="array" ref="X99">INDEX(Price!$L$11:$AM$182,MATCH(1,(Price!$A$11:$A$182=$A99)*(Price!$B$11:$B$182=$B99)*(Price!$D$11:$D$182="gb"),0),MATCH(1,(Price!$L$3:$AM$3=X$3)*(Price!$L$4:$AM$4=X$4),0))</f>
        <v>0</v>
      </c>
      <c r="Y99" s="135" cm="1">
        <f t="array" ref="Y99">INDEX(Price!$L$11:$AM$182,MATCH(1,(Price!$A$11:$A$182=$A99)*(Price!$B$11:$B$182=$B99)*(Price!$D$11:$D$182="gb"),0),MATCH(1,(Price!$L$3:$AM$3=Y$3)*(Price!$L$4:$AM$4=Y$4),0))</f>
        <v>0</v>
      </c>
      <c r="Z99" s="135" cm="1">
        <f t="array" ref="Z99">INDEX(Price!$L$11:$AM$182,MATCH(1,(Price!$A$11:$A$182=$A99)*(Price!$B$11:$B$182=$B99)*(Price!$D$11:$D$182="gb"),0),MATCH(1,(Price!$L$3:$AM$3=Z$3)*(Price!$L$4:$AM$4=Z$4),0))</f>
        <v>0</v>
      </c>
      <c r="AA99" s="135" cm="1">
        <f t="array" ref="AA99">INDEX(Price!$L$11:$AM$182,MATCH(1,(Price!$A$11:$A$182=$A99)*(Price!$B$11:$B$182=$B99)*(Price!$D$11:$D$182="gb"),0),MATCH(1,(Price!$L$3:$AM$3=AA$3)*(Price!$L$4:$AM$4=AA$4),0))</f>
        <v>0</v>
      </c>
      <c r="AB99" s="135" cm="1">
        <f t="array" ref="AB99">INDEX(Price!$L$11:$AM$182,MATCH(1,(Price!$A$11:$A$182=$A99)*(Price!$B$11:$B$182=$B99)*(Price!$D$11:$D$182="gb"),0),MATCH(1,(Price!$L$3:$AM$3=AB$3)*(Price!$L$4:$AM$4=AB$4),0))</f>
        <v>0</v>
      </c>
      <c r="AC99" s="135" cm="1">
        <f t="array" ref="AC99">INDEX(Price!$L$11:$AM$182,MATCH(1,(Price!$A$11:$A$182=$A99)*(Price!$B$11:$B$182=$B99)*(Price!$D$11:$D$182="gb"),0),MATCH(1,(Price!$L$3:$AM$3=AC$3)*(Price!$L$4:$AM$4=AC$4),0))</f>
        <v>0</v>
      </c>
      <c r="AD99" s="136" cm="1">
        <f t="array" ref="AD99">INDEX(Price!$L$11:$AM$182,MATCH(1,(Price!$A$11:$A$182=$A99)*(Price!$B$11:$B$182=$B99)*(Price!$D$11:$D$182="gb"),0),MATCH(1,(Price!$L$3:$AM$3=AD$3)*(Price!$L$4:$AM$4=AD$4),0))</f>
        <v>0</v>
      </c>
      <c r="AE99" s="135"/>
      <c r="AF99" s="135"/>
      <c r="AG99" s="135"/>
      <c r="AH99" s="135"/>
      <c r="AI99" s="135"/>
      <c r="AJ99" s="135"/>
      <c r="AK99" s="135"/>
      <c r="AL99" s="135"/>
      <c r="AM99" s="135"/>
      <c r="AN99" s="135"/>
      <c r="AO99" s="135"/>
      <c r="AP99" s="136"/>
    </row>
    <row r="100" spans="1:42" s="1" customFormat="1" ht="12" customHeight="1" outlineLevel="1" x14ac:dyDescent="0.35">
      <c r="A100" s="1" t="s">
        <v>63</v>
      </c>
      <c r="B100" s="1" t="s">
        <v>35</v>
      </c>
      <c r="C100" s="143" t="s">
        <v>322</v>
      </c>
      <c r="D100" s="163">
        <v>7.2</v>
      </c>
      <c r="E100" s="144"/>
      <c r="F100" s="325" t="s">
        <v>8</v>
      </c>
      <c r="G100" s="145" cm="1">
        <f t="array" ref="G100">INDEX(Price!$L$11:$AM$182,MATCH(1,(Price!$A$11:$A$182=$A100)*(Price!$B$11:$B$182=$B100)*(Price!$D$11:$D$182="exw"),0),MATCH(1,(Price!$L$3:$AM$3=G$3)*(Price!$L$4:$AM$4=G$4),0))</f>
        <v>0</v>
      </c>
      <c r="H100" s="145" cm="1">
        <f t="array" ref="H100">INDEX(Price!$L$11:$AM$182,MATCH(1,(Price!$A$11:$A$182=$A100)*(Price!$B$11:$B$182=$B100)*(Price!$D$11:$D$182="exw"),0),MATCH(1,(Price!$L$3:$AM$3=H$3)*(Price!$L$4:$AM$4=H$4),0))</f>
        <v>0</v>
      </c>
      <c r="I100" s="145" cm="1">
        <f t="array" ref="I100">INDEX(Price!$L$11:$AM$182,MATCH(1,(Price!$A$11:$A$182=$A100)*(Price!$B$11:$B$182=$B100)*(Price!$D$11:$D$182="exw"),0),MATCH(1,(Price!$L$3:$AM$3=I$3)*(Price!$L$4:$AM$4=I$4),0))</f>
        <v>0</v>
      </c>
      <c r="J100" s="145" cm="1">
        <f t="array" ref="J100">INDEX(Price!$L$11:$AM$182,MATCH(1,(Price!$A$11:$A$182=$A100)*(Price!$B$11:$B$182=$B100)*(Price!$D$11:$D$182="exw"),0),MATCH(1,(Price!$L$3:$AM$3=J$3)*(Price!$L$4:$AM$4=J$4),0))</f>
        <v>0</v>
      </c>
      <c r="K100" s="145" cm="1">
        <f t="array" ref="K100">INDEX(Price!$L$11:$AM$182,MATCH(1,(Price!$A$11:$A$182=$A100)*(Price!$B$11:$B$182=$B100)*(Price!$D$11:$D$182="exw"),0),MATCH(1,(Price!$L$3:$AM$3=K$3)*(Price!$L$4:$AM$4=K$4),0))</f>
        <v>0</v>
      </c>
      <c r="L100" s="145" cm="1">
        <f t="array" ref="L100">INDEX(Price!$L$11:$AM$182,MATCH(1,(Price!$A$11:$A$182=$A100)*(Price!$B$11:$B$182=$B100)*(Price!$D$11:$D$182="exw"),0),MATCH(1,(Price!$L$3:$AM$3=L$3)*(Price!$L$4:$AM$4=L$4),0))</f>
        <v>0</v>
      </c>
      <c r="M100" s="145" cm="1">
        <f t="array" ref="M100">INDEX(Price!$L$11:$AM$182,MATCH(1,(Price!$A$11:$A$182=$A100)*(Price!$B$11:$B$182=$B100)*(Price!$D$11:$D$182="exw"),0),MATCH(1,(Price!$L$3:$AM$3=M$3)*(Price!$L$4:$AM$4=M$4),0))</f>
        <v>0</v>
      </c>
      <c r="N100" s="145" cm="1">
        <f t="array" ref="N100">INDEX(Price!$L$11:$AM$182,MATCH(1,(Price!$A$11:$A$182=$A100)*(Price!$B$11:$B$182=$B100)*(Price!$D$11:$D$182="exw"),0),MATCH(1,(Price!$L$3:$AM$3=N$3)*(Price!$L$4:$AM$4=N$4),0))</f>
        <v>0</v>
      </c>
      <c r="O100" s="145" cm="1">
        <f t="array" ref="O100">INDEX(Price!$L$11:$AM$182,MATCH(1,(Price!$A$11:$A$182=$A100)*(Price!$B$11:$B$182=$B100)*(Price!$D$11:$D$182="exw"),0),MATCH(1,(Price!$L$3:$AM$3=O$3)*(Price!$L$4:$AM$4=O$4),0))</f>
        <v>0</v>
      </c>
      <c r="P100" s="145" cm="1">
        <f t="array" ref="P100">INDEX(Price!$L$11:$AM$182,MATCH(1,(Price!$A$11:$A$182=$A100)*(Price!$B$11:$B$182=$B100)*(Price!$D$11:$D$182="exw"),0),MATCH(1,(Price!$L$3:$AM$3=P$3)*(Price!$L$4:$AM$4=P$4),0))</f>
        <v>1310</v>
      </c>
      <c r="Q100" s="145" cm="1">
        <f t="array" ref="Q100">INDEX(Price!$L$11:$AM$182,MATCH(1,(Price!$A$11:$A$182=$A100)*(Price!$B$11:$B$182=$B100)*(Price!$D$11:$D$182="exw"),0),MATCH(1,(Price!$L$3:$AM$3=Q$3)*(Price!$L$4:$AM$4=Q$4),0))</f>
        <v>1310</v>
      </c>
      <c r="R100" s="146" cm="1">
        <f t="array" ref="R100">INDEX(Price!$L$11:$AM$182,MATCH(1,(Price!$A$11:$A$182=$A100)*(Price!$B$11:$B$182=$B100)*(Price!$D$11:$D$182="exw"),0),MATCH(1,(Price!$L$3:$AM$3=R$3)*(Price!$L$4:$AM$4=R$4),0))</f>
        <v>1310</v>
      </c>
      <c r="S100" s="145" cm="1">
        <f t="array" ref="S100">INDEX(Price!$L$11:$AM$182,MATCH(1,(Price!$A$11:$A$182=$A100)*(Price!$B$11:$B$182=$B100)*(Price!$D$11:$D$182="exw"),0),MATCH(1,(Price!$L$3:$AM$3=S$3)*(Price!$L$4:$AM$4=S$4),0))</f>
        <v>0</v>
      </c>
      <c r="T100" s="145" cm="1">
        <f t="array" ref="T100">INDEX(Price!$L$11:$AM$182,MATCH(1,(Price!$A$11:$A$182=$A100)*(Price!$B$11:$B$182=$B100)*(Price!$D$11:$D$182="exw"),0),MATCH(1,(Price!$L$3:$AM$3=T$3)*(Price!$L$4:$AM$4=T$4),0))</f>
        <v>0</v>
      </c>
      <c r="U100" s="145" cm="1">
        <f t="array" ref="U100">INDEX(Price!$L$11:$AM$182,MATCH(1,(Price!$A$11:$A$182=$A100)*(Price!$B$11:$B$182=$B100)*(Price!$D$11:$D$182="exw"),0),MATCH(1,(Price!$L$3:$AM$3=U$3)*(Price!$L$4:$AM$4=U$4),0))</f>
        <v>0</v>
      </c>
      <c r="V100" s="145" cm="1">
        <f t="array" ref="V100">INDEX(Price!$L$11:$AM$182,MATCH(1,(Price!$A$11:$A$182=$A100)*(Price!$B$11:$B$182=$B100)*(Price!$D$11:$D$182="exw"),0),MATCH(1,(Price!$L$3:$AM$3=V$3)*(Price!$L$4:$AM$4=V$4),0))</f>
        <v>0</v>
      </c>
      <c r="W100" s="145" cm="1">
        <f t="array" ref="W100">INDEX(Price!$L$11:$AM$182,MATCH(1,(Price!$A$11:$A$182=$A100)*(Price!$B$11:$B$182=$B100)*(Price!$D$11:$D$182="exw"),0),MATCH(1,(Price!$L$3:$AM$3=W$3)*(Price!$L$4:$AM$4=W$4),0))</f>
        <v>0</v>
      </c>
      <c r="X100" s="145" cm="1">
        <f t="array" ref="X100">INDEX(Price!$L$11:$AM$182,MATCH(1,(Price!$A$11:$A$182=$A100)*(Price!$B$11:$B$182=$B100)*(Price!$D$11:$D$182="exw"),0),MATCH(1,(Price!$L$3:$AM$3=X$3)*(Price!$L$4:$AM$4=X$4),0))</f>
        <v>0</v>
      </c>
      <c r="Y100" s="145" cm="1">
        <f t="array" ref="Y100">INDEX(Price!$L$11:$AM$182,MATCH(1,(Price!$A$11:$A$182=$A100)*(Price!$B$11:$B$182=$B100)*(Price!$D$11:$D$182="exw"),0),MATCH(1,(Price!$L$3:$AM$3=Y$3)*(Price!$L$4:$AM$4=Y$4),0))</f>
        <v>0</v>
      </c>
      <c r="Z100" s="145" cm="1">
        <f t="array" ref="Z100">INDEX(Price!$L$11:$AM$182,MATCH(1,(Price!$A$11:$A$182=$A100)*(Price!$B$11:$B$182=$B100)*(Price!$D$11:$D$182="exw"),0),MATCH(1,(Price!$L$3:$AM$3=Z$3)*(Price!$L$4:$AM$4=Z$4),0))</f>
        <v>0</v>
      </c>
      <c r="AA100" s="145" cm="1">
        <f t="array" ref="AA100">INDEX(Price!$L$11:$AM$182,MATCH(1,(Price!$A$11:$A$182=$A100)*(Price!$B$11:$B$182=$B100)*(Price!$D$11:$D$182="exw"),0),MATCH(1,(Price!$L$3:$AM$3=AA$3)*(Price!$L$4:$AM$4=AA$4),0))</f>
        <v>0</v>
      </c>
      <c r="AB100" s="145" cm="1">
        <f t="array" ref="AB100">INDEX(Price!$L$11:$AM$182,MATCH(1,(Price!$A$11:$A$182=$A100)*(Price!$B$11:$B$182=$B100)*(Price!$D$11:$D$182="exw"),0),MATCH(1,(Price!$L$3:$AM$3=AB$3)*(Price!$L$4:$AM$4=AB$4),0))</f>
        <v>0</v>
      </c>
      <c r="AC100" s="145" cm="1">
        <f t="array" ref="AC100">INDEX(Price!$L$11:$AM$182,MATCH(1,(Price!$A$11:$A$182=$A100)*(Price!$B$11:$B$182=$B100)*(Price!$D$11:$D$182="exw"),0),MATCH(1,(Price!$L$3:$AM$3=AC$3)*(Price!$L$4:$AM$4=AC$4),0))</f>
        <v>0</v>
      </c>
      <c r="AD100" s="146" cm="1">
        <f t="array" ref="AD100">INDEX(Price!$L$11:$AM$182,MATCH(1,(Price!$A$11:$A$182=$A100)*(Price!$B$11:$B$182=$B100)*(Price!$D$11:$D$182="exw"),0),MATCH(1,(Price!$L$3:$AM$3=AD$3)*(Price!$L$4:$AM$4=AD$4),0))</f>
        <v>0</v>
      </c>
      <c r="AE100" s="145"/>
      <c r="AF100" s="145"/>
      <c r="AG100" s="145"/>
      <c r="AH100" s="145"/>
      <c r="AI100" s="145"/>
      <c r="AJ100" s="145"/>
      <c r="AK100" s="145"/>
      <c r="AL100" s="145"/>
      <c r="AM100" s="145"/>
      <c r="AN100" s="145"/>
      <c r="AO100" s="145"/>
      <c r="AP100" s="146"/>
    </row>
    <row r="101" spans="1:42" ht="12" customHeight="1" outlineLevel="1" x14ac:dyDescent="0.35">
      <c r="A101" t="s">
        <v>63</v>
      </c>
      <c r="B101" t="s">
        <v>35</v>
      </c>
      <c r="C101" s="14" t="s">
        <v>9</v>
      </c>
      <c r="D101" s="164">
        <v>7.3</v>
      </c>
      <c r="E101" s="8"/>
      <c r="F101" s="326" t="s">
        <v>11</v>
      </c>
      <c r="G101" s="320"/>
      <c r="H101" s="132"/>
      <c r="I101" s="132"/>
      <c r="J101" s="132"/>
      <c r="K101" s="132"/>
      <c r="L101" s="132"/>
      <c r="M101" s="132"/>
      <c r="N101" s="132"/>
      <c r="O101" s="132"/>
      <c r="P101" s="132" cm="1">
        <f t="array" ref="P101">SUMPRODUCT(General_Data*(Code_General_Data=$C101)*(Year=P$3)*(Month=P$4))</f>
        <v>862.5</v>
      </c>
      <c r="Q101" s="132" cm="1">
        <f t="array" ref="Q101">SUMPRODUCT(General_Data*(Code_General_Data=$C101)*(Year=Q$3)*(Month=Q$4))</f>
        <v>852</v>
      </c>
      <c r="R101" s="133" cm="1">
        <f t="array" ref="R101">SUMPRODUCT(General_Data*(Code_General_Data=$C101)*(Year=R$3)*(Month=R$4))</f>
        <v>830</v>
      </c>
      <c r="S101" s="132" cm="1">
        <f t="array" ref="S101">SUMPRODUCT(General_Data*(Code_General_Data=$C101)*(Year=S$3)*(Month=S$4))</f>
        <v>828</v>
      </c>
      <c r="T101" s="132" cm="1">
        <f t="array" ref="T101">SUMPRODUCT(General_Data*(Code_General_Data=$C101)*(Year=T$3)*(Month=T$4))</f>
        <v>840</v>
      </c>
      <c r="U101" s="132" cm="1">
        <f t="array" ref="U101">SUMPRODUCT(General_Data*(Code_General_Data=$C101)*(Year=U$3)*(Month=U$4))</f>
        <v>823</v>
      </c>
      <c r="V101" s="132" cm="1">
        <f t="array" ref="V101">SUMPRODUCT(General_Data*(Code_General_Data=$C101)*(Year=V$3)*(Month=V$4))</f>
        <v>765</v>
      </c>
      <c r="W101" s="132" cm="1">
        <f t="array" ref="W101">SUMPRODUCT(General_Data*(Code_General_Data=$C101)*(Year=W$3)*(Month=W$4))</f>
        <v>782</v>
      </c>
      <c r="X101" s="132" cm="1">
        <f t="array" ref="X101">SUMPRODUCT(General_Data*(Code_General_Data=$C101)*(Year=X$3)*(Month=X$4))</f>
        <v>807.5</v>
      </c>
      <c r="Y101" s="132" cm="1">
        <f t="array" ref="Y101">SUMPRODUCT(General_Data*(Code_General_Data=$C101)*(Year=Y$3)*(Month=Y$4))</f>
        <v>802</v>
      </c>
      <c r="Z101" s="132" cm="1">
        <f t="array" ref="Z101">SUMPRODUCT(General_Data*(Code_General_Data=$C101)*(Year=Z$3)*(Month=Z$4))</f>
        <v>795</v>
      </c>
      <c r="AA101" s="132" cm="1">
        <f t="array" ref="AA101">SUMPRODUCT(General_Data*(Code_General_Data=$C101)*(Year=AA$3)*(Month=AA$4))</f>
        <v>783</v>
      </c>
      <c r="AB101" s="132" cm="1">
        <f t="array" ref="AB101">SUMPRODUCT(General_Data*(Code_General_Data=$C101)*(Year=AB$3)*(Month=AB$4))</f>
        <v>772</v>
      </c>
      <c r="AC101" s="132" cm="1">
        <f t="array" ref="AC101">SUMPRODUCT(General_Data*(Code_General_Data=$C101)*(Year=AC$3)*(Month=AC$4))</f>
        <v>770</v>
      </c>
      <c r="AD101" s="133" cm="1">
        <f t="array" ref="AD101">SUMPRODUCT(General_Data*(Code_General_Data=$C101)*(Year=AD$3)*(Month=AD$4))</f>
        <v>770</v>
      </c>
      <c r="AE101" s="132"/>
      <c r="AF101" s="132"/>
      <c r="AG101" s="132"/>
      <c r="AH101" s="132"/>
      <c r="AI101" s="132"/>
      <c r="AJ101" s="132"/>
      <c r="AK101" s="132"/>
      <c r="AL101" s="132"/>
      <c r="AM101" s="132"/>
      <c r="AN101" s="132"/>
      <c r="AO101" s="132"/>
      <c r="AP101" s="133"/>
    </row>
    <row r="102" spans="1:42" s="152" customFormat="1" ht="12" customHeight="1" outlineLevel="1" x14ac:dyDescent="0.35">
      <c r="A102" s="152" t="s">
        <v>63</v>
      </c>
      <c r="B102" s="152" t="s">
        <v>35</v>
      </c>
      <c r="D102" s="165">
        <v>7.4</v>
      </c>
      <c r="E102" s="153"/>
      <c r="F102" s="327" t="s">
        <v>430</v>
      </c>
      <c r="G102" s="154"/>
      <c r="H102" s="154"/>
      <c r="I102" s="154"/>
      <c r="J102" s="154"/>
      <c r="K102" s="154"/>
      <c r="L102" s="154"/>
      <c r="M102" s="154"/>
      <c r="N102" s="154"/>
      <c r="O102" s="154"/>
      <c r="P102" s="154">
        <f>IF(P99*P100*P101&lt;&gt;0,P100-P101,0)</f>
        <v>447.5</v>
      </c>
      <c r="Q102" s="154">
        <f>IF(Q99*Q100*Q101&lt;&gt;0,Q100-Q101,0)</f>
        <v>458</v>
      </c>
      <c r="R102" s="155">
        <f>IF(R99*R100*R101&lt;&gt;0,R100-R101,0)</f>
        <v>480</v>
      </c>
      <c r="S102" s="154">
        <f t="shared" ref="S102:AD102" si="24">IF(S99*S100*S101&lt;&gt;0,S100-S101,0)</f>
        <v>0</v>
      </c>
      <c r="T102" s="154">
        <f t="shared" si="24"/>
        <v>0</v>
      </c>
      <c r="U102" s="154">
        <f t="shared" si="24"/>
        <v>0</v>
      </c>
      <c r="V102" s="154">
        <f t="shared" si="24"/>
        <v>0</v>
      </c>
      <c r="W102" s="154">
        <f t="shared" si="24"/>
        <v>0</v>
      </c>
      <c r="X102" s="154">
        <f t="shared" si="24"/>
        <v>0</v>
      </c>
      <c r="Y102" s="154">
        <f t="shared" si="24"/>
        <v>0</v>
      </c>
      <c r="Z102" s="154">
        <f t="shared" si="24"/>
        <v>0</v>
      </c>
      <c r="AA102" s="154">
        <f t="shared" si="24"/>
        <v>0</v>
      </c>
      <c r="AB102" s="154">
        <f t="shared" si="24"/>
        <v>0</v>
      </c>
      <c r="AC102" s="154">
        <f t="shared" si="24"/>
        <v>0</v>
      </c>
      <c r="AD102" s="155">
        <f t="shared" si="24"/>
        <v>0</v>
      </c>
      <c r="AE102" s="154"/>
      <c r="AF102" s="154"/>
      <c r="AG102" s="154"/>
      <c r="AH102" s="154"/>
      <c r="AI102" s="154"/>
      <c r="AJ102" s="154"/>
      <c r="AK102" s="154"/>
      <c r="AL102" s="154"/>
      <c r="AM102" s="154"/>
      <c r="AN102" s="154"/>
      <c r="AO102" s="154"/>
      <c r="AP102" s="155"/>
    </row>
    <row r="103" spans="1:42" s="156" customFormat="1" ht="12" customHeight="1" outlineLevel="1" x14ac:dyDescent="0.35">
      <c r="A103" s="156" t="s">
        <v>63</v>
      </c>
      <c r="B103" s="156" t="s">
        <v>35</v>
      </c>
      <c r="D103" s="166">
        <v>7.5</v>
      </c>
      <c r="E103" s="157"/>
      <c r="F103" s="328" t="s">
        <v>14</v>
      </c>
      <c r="G103" s="158"/>
      <c r="H103" s="158"/>
      <c r="I103" s="158"/>
      <c r="J103" s="158"/>
      <c r="K103" s="158"/>
      <c r="L103" s="158"/>
      <c r="M103" s="158"/>
      <c r="N103" s="158"/>
      <c r="O103" s="158"/>
      <c r="P103" s="158">
        <f>IFERROR(P102/P101,0)</f>
        <v>0.51884057971014497</v>
      </c>
      <c r="Q103" s="158">
        <f>IFERROR(Q102/Q101,0)</f>
        <v>0.53755868544600938</v>
      </c>
      <c r="R103" s="159">
        <f>IFERROR(R102/R101,0)</f>
        <v>0.57831325301204817</v>
      </c>
      <c r="S103" s="158">
        <f t="shared" ref="S103:AD103" si="25">IFERROR(S102/S101,0)</f>
        <v>0</v>
      </c>
      <c r="T103" s="158">
        <f t="shared" si="25"/>
        <v>0</v>
      </c>
      <c r="U103" s="158">
        <f t="shared" si="25"/>
        <v>0</v>
      </c>
      <c r="V103" s="158">
        <f t="shared" si="25"/>
        <v>0</v>
      </c>
      <c r="W103" s="158">
        <f t="shared" si="25"/>
        <v>0</v>
      </c>
      <c r="X103" s="158">
        <f t="shared" si="25"/>
        <v>0</v>
      </c>
      <c r="Y103" s="158">
        <f t="shared" si="25"/>
        <v>0</v>
      </c>
      <c r="Z103" s="158">
        <f t="shared" si="25"/>
        <v>0</v>
      </c>
      <c r="AA103" s="158">
        <f t="shared" si="25"/>
        <v>0</v>
      </c>
      <c r="AB103" s="158">
        <f t="shared" si="25"/>
        <v>0</v>
      </c>
      <c r="AC103" s="158">
        <f t="shared" si="25"/>
        <v>0</v>
      </c>
      <c r="AD103" s="159">
        <f t="shared" si="25"/>
        <v>0</v>
      </c>
      <c r="AE103" s="158"/>
      <c r="AF103" s="158"/>
      <c r="AG103" s="158"/>
      <c r="AH103" s="158"/>
      <c r="AI103" s="158"/>
      <c r="AJ103" s="158"/>
      <c r="AK103" s="158"/>
      <c r="AL103" s="158"/>
      <c r="AM103" s="158"/>
      <c r="AN103" s="158"/>
      <c r="AO103" s="158"/>
      <c r="AP103" s="159"/>
    </row>
    <row r="104" spans="1:42" s="137" customFormat="1" ht="12" customHeight="1" outlineLevel="1" x14ac:dyDescent="0.35">
      <c r="A104" s="137" t="s">
        <v>63</v>
      </c>
      <c r="B104" s="137" t="s">
        <v>35</v>
      </c>
      <c r="C104" s="137" t="s">
        <v>35</v>
      </c>
      <c r="D104" s="167">
        <v>7.6</v>
      </c>
      <c r="E104" s="138"/>
      <c r="F104" s="329" t="s">
        <v>203</v>
      </c>
      <c r="G104" s="139"/>
      <c r="H104" s="139"/>
      <c r="I104" s="139"/>
      <c r="J104" s="139"/>
      <c r="K104" s="139"/>
      <c r="L104" s="139"/>
      <c r="M104" s="139"/>
      <c r="N104" s="139"/>
      <c r="O104" s="139"/>
      <c r="P104" s="139" cm="1">
        <f t="array" ref="P104">SUMPRODUCT(General_Data*(Code_General_Data=$C104)*(Year=P$3)*(Month=P$4))</f>
        <v>1325</v>
      </c>
      <c r="Q104" s="139" cm="1">
        <f t="array" ref="Q104">SUMPRODUCT(General_Data*(Code_General_Data=$C104)*(Year=Q$3)*(Month=Q$4))</f>
        <v>1325</v>
      </c>
      <c r="R104" s="140" cm="1">
        <f t="array" ref="R104">SUMPRODUCT(General_Data*(Code_General_Data=$C104)*(Year=R$3)*(Month=R$4))</f>
        <v>1275</v>
      </c>
      <c r="S104" s="139" cm="1">
        <f t="array" ref="S104">SUMPRODUCT(General_Data*(Code_General_Data=$C104)*(Year=S$3)*(Month=S$4))</f>
        <v>1230</v>
      </c>
      <c r="T104" s="139" cm="1">
        <f t="array" ref="T104">SUMPRODUCT(General_Data*(Code_General_Data=$C104)*(Year=T$3)*(Month=T$4))</f>
        <v>1230</v>
      </c>
      <c r="U104" s="139" cm="1">
        <f t="array" ref="U104">SUMPRODUCT(General_Data*(Code_General_Data=$C104)*(Year=U$3)*(Month=U$4))</f>
        <v>1230</v>
      </c>
      <c r="V104" s="139" cm="1">
        <f t="array" ref="V104">SUMPRODUCT(General_Data*(Code_General_Data=$C104)*(Year=V$3)*(Month=V$4))</f>
        <v>1250</v>
      </c>
      <c r="W104" s="139" cm="1">
        <f t="array" ref="W104">SUMPRODUCT(General_Data*(Code_General_Data=$C104)*(Year=W$3)*(Month=W$4))</f>
        <v>1250</v>
      </c>
      <c r="X104" s="139" cm="1">
        <f t="array" ref="X104">SUMPRODUCT(General_Data*(Code_General_Data=$C104)*(Year=X$3)*(Month=X$4))</f>
        <v>1250</v>
      </c>
      <c r="Y104" s="139" cm="1">
        <f t="array" ref="Y104">SUMPRODUCT(General_Data*(Code_General_Data=$C104)*(Year=Y$3)*(Month=Y$4))</f>
        <v>1250</v>
      </c>
      <c r="Z104" s="139" cm="1">
        <f t="array" ref="Z104">SUMPRODUCT(General_Data*(Code_General_Data=$C104)*(Year=Z$3)*(Month=Z$4))</f>
        <v>1220</v>
      </c>
      <c r="AA104" s="139" cm="1">
        <f t="array" ref="AA104">SUMPRODUCT(General_Data*(Code_General_Data=$C104)*(Year=AA$3)*(Month=AA$4))</f>
        <v>1220</v>
      </c>
      <c r="AB104" s="139" cm="1">
        <f t="array" ref="AB104">SUMPRODUCT(General_Data*(Code_General_Data=$C104)*(Year=AB$3)*(Month=AB$4))</f>
        <v>1210</v>
      </c>
      <c r="AC104" s="139" cm="1">
        <f t="array" ref="AC104">SUMPRODUCT(General_Data*(Code_General_Data=$C104)*(Year=AC$3)*(Month=AC$4))</f>
        <v>1200</v>
      </c>
      <c r="AD104" s="140" cm="1">
        <f t="array" ref="AD104">SUMPRODUCT(General_Data*(Code_General_Data=$C104)*(Year=AD$3)*(Month=AD$4))</f>
        <v>1200</v>
      </c>
      <c r="AE104" s="139"/>
      <c r="AF104" s="139"/>
      <c r="AG104" s="139"/>
      <c r="AH104" s="139"/>
      <c r="AI104" s="139"/>
      <c r="AJ104" s="139"/>
      <c r="AK104" s="139"/>
      <c r="AL104" s="139"/>
      <c r="AM104" s="139"/>
      <c r="AN104" s="139"/>
      <c r="AO104" s="139"/>
      <c r="AP104" s="140"/>
    </row>
  </sheetData>
  <mergeCells count="2">
    <mergeCell ref="E8:F9"/>
    <mergeCell ref="D8:D9"/>
  </mergeCells>
  <printOptions horizontalCentered="1"/>
  <pageMargins left="0.2" right="0.2" top="0.2" bottom="0.2" header="0" footer="0.05"/>
  <pageSetup paperSize="9" fitToHeight="0" orientation="landscape" horizontalDpi="300" verticalDpi="300" r:id="rId1"/>
  <headerFooter>
    <oddFooter>&amp;CTrang &amp;P/&amp;N</oddFooter>
  </headerFooter>
  <rowBreaks count="1" manualBreakCount="1">
    <brk id="96" min="3" max="29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E8F0D-A836-4713-A12B-371CD554EE1B}">
  <sheetPr>
    <tabColor theme="7" tint="-0.249977111117893"/>
  </sheetPr>
  <dimension ref="A1:AX382"/>
  <sheetViews>
    <sheetView showGridLines="0" tabSelected="1" zoomScale="85" zoomScaleNormal="85" workbookViewId="0">
      <pane xSplit="11" ySplit="10" topLeftCell="AD77" activePane="bottomRight" state="frozen"/>
      <selection activeCell="R42" sqref="R42"/>
      <selection pane="topRight" activeCell="R42" sqref="R42"/>
      <selection pane="bottomLeft" activeCell="R42" sqref="R42"/>
      <selection pane="bottomRight" activeCell="AM89" sqref="AM89:AN89"/>
    </sheetView>
  </sheetViews>
  <sheetFormatPr defaultRowHeight="14.5" outlineLevelRow="1" outlineLevelCol="1" x14ac:dyDescent="0.35"/>
  <cols>
    <col min="1" max="1" width="8.83203125" style="93" customWidth="1" outlineLevel="1"/>
    <col min="2" max="2" width="13.33203125" style="93" customWidth="1" outlineLevel="1"/>
    <col min="3" max="3" width="8.83203125" style="93" customWidth="1" outlineLevel="1"/>
    <col min="4" max="4" width="4.75" style="92" customWidth="1" outlineLevel="1"/>
    <col min="5" max="5" width="2.33203125" style="93" customWidth="1" outlineLevel="1"/>
    <col min="6" max="6" width="5.08203125" style="168" customWidth="1"/>
    <col min="7" max="7" width="0.58203125" customWidth="1"/>
    <col min="8" max="8" width="2.75" customWidth="1"/>
    <col min="9" max="9" width="0.58203125" customWidth="1"/>
    <col min="10" max="10" width="32.33203125" customWidth="1"/>
    <col min="11" max="11" width="0.33203125" customWidth="1"/>
    <col min="12" max="14" width="12.33203125" hidden="1" customWidth="1"/>
    <col min="15" max="15" width="8.25" style="47" customWidth="1"/>
    <col min="16" max="25" width="8.25" customWidth="1"/>
    <col min="26" max="26" width="8.25" style="48" customWidth="1"/>
    <col min="27" max="37" width="8.25" customWidth="1"/>
    <col min="38" max="38" width="8.25" style="48" customWidth="1"/>
    <col min="39" max="49" width="8.25" customWidth="1"/>
    <col min="50" max="50" width="8.25" style="48" customWidth="1"/>
  </cols>
  <sheetData>
    <row r="1" spans="1:50" s="21" customFormat="1" hidden="1" outlineLevel="1" x14ac:dyDescent="0.35">
      <c r="A1" s="92"/>
      <c r="B1" s="92"/>
      <c r="C1" s="92"/>
      <c r="D1" s="92"/>
      <c r="E1" s="92"/>
      <c r="F1" s="246"/>
      <c r="L1" s="77">
        <f t="shared" ref="L1:AL1" si="0">DATE(L3,L4,1)</f>
        <v>45200</v>
      </c>
      <c r="M1" s="77">
        <f t="shared" si="0"/>
        <v>45231</v>
      </c>
      <c r="N1" s="77">
        <f t="shared" si="0"/>
        <v>45261</v>
      </c>
      <c r="O1" s="78">
        <f t="shared" si="0"/>
        <v>45292</v>
      </c>
      <c r="P1" s="77">
        <f t="shared" si="0"/>
        <v>45323</v>
      </c>
      <c r="Q1" s="77">
        <f t="shared" si="0"/>
        <v>45352</v>
      </c>
      <c r="R1" s="77">
        <f t="shared" si="0"/>
        <v>45383</v>
      </c>
      <c r="S1" s="77">
        <f t="shared" si="0"/>
        <v>45413</v>
      </c>
      <c r="T1" s="77">
        <f t="shared" si="0"/>
        <v>45444</v>
      </c>
      <c r="U1" s="77">
        <f t="shared" si="0"/>
        <v>45474</v>
      </c>
      <c r="V1" s="77">
        <f t="shared" si="0"/>
        <v>45505</v>
      </c>
      <c r="W1" s="77">
        <f t="shared" si="0"/>
        <v>45536</v>
      </c>
      <c r="X1" s="77">
        <f t="shared" si="0"/>
        <v>45566</v>
      </c>
      <c r="Y1" s="77">
        <f t="shared" si="0"/>
        <v>45597</v>
      </c>
      <c r="Z1" s="79">
        <f t="shared" si="0"/>
        <v>45627</v>
      </c>
      <c r="AA1" s="77">
        <f t="shared" si="0"/>
        <v>45658</v>
      </c>
      <c r="AB1" s="77">
        <f t="shared" si="0"/>
        <v>45689</v>
      </c>
      <c r="AC1" s="77">
        <f t="shared" si="0"/>
        <v>45717</v>
      </c>
      <c r="AD1" s="77">
        <f t="shared" si="0"/>
        <v>45748</v>
      </c>
      <c r="AE1" s="77">
        <f t="shared" si="0"/>
        <v>45778</v>
      </c>
      <c r="AF1" s="77">
        <f t="shared" si="0"/>
        <v>45809</v>
      </c>
      <c r="AG1" s="77">
        <f t="shared" si="0"/>
        <v>45839</v>
      </c>
      <c r="AH1" s="77">
        <f t="shared" si="0"/>
        <v>45870</v>
      </c>
      <c r="AI1" s="77">
        <f t="shared" si="0"/>
        <v>45901</v>
      </c>
      <c r="AJ1" s="77">
        <f t="shared" si="0"/>
        <v>45931</v>
      </c>
      <c r="AK1" s="77">
        <f t="shared" si="0"/>
        <v>45962</v>
      </c>
      <c r="AL1" s="79">
        <f t="shared" si="0"/>
        <v>45992</v>
      </c>
      <c r="AM1" s="77"/>
      <c r="AN1" s="77"/>
      <c r="AO1" s="77"/>
      <c r="AP1" s="77"/>
      <c r="AQ1" s="77"/>
      <c r="AR1" s="77"/>
      <c r="AS1" s="77"/>
      <c r="AT1" s="77"/>
      <c r="AU1" s="77"/>
      <c r="AV1" s="77"/>
      <c r="AW1" s="77"/>
      <c r="AX1" s="79"/>
    </row>
    <row r="2" spans="1:50" s="21" customFormat="1" hidden="1" outlineLevel="1" x14ac:dyDescent="0.35">
      <c r="A2" s="92"/>
      <c r="B2" s="92"/>
      <c r="C2" s="92"/>
      <c r="D2" s="92"/>
      <c r="E2" s="92"/>
      <c r="F2" s="246"/>
      <c r="L2" s="77">
        <f t="shared" ref="L2:AL2" si="1">EOMONTH(L1,0)</f>
        <v>45230</v>
      </c>
      <c r="M2" s="77">
        <f t="shared" si="1"/>
        <v>45260</v>
      </c>
      <c r="N2" s="77">
        <f t="shared" si="1"/>
        <v>45291</v>
      </c>
      <c r="O2" s="78">
        <f t="shared" si="1"/>
        <v>45322</v>
      </c>
      <c r="P2" s="77">
        <f t="shared" si="1"/>
        <v>45351</v>
      </c>
      <c r="Q2" s="77">
        <f t="shared" si="1"/>
        <v>45382</v>
      </c>
      <c r="R2" s="77">
        <f t="shared" si="1"/>
        <v>45412</v>
      </c>
      <c r="S2" s="77">
        <f t="shared" si="1"/>
        <v>45443</v>
      </c>
      <c r="T2" s="77">
        <f t="shared" si="1"/>
        <v>45473</v>
      </c>
      <c r="U2" s="77">
        <f t="shared" si="1"/>
        <v>45504</v>
      </c>
      <c r="V2" s="77">
        <f t="shared" si="1"/>
        <v>45535</v>
      </c>
      <c r="W2" s="77">
        <f t="shared" si="1"/>
        <v>45565</v>
      </c>
      <c r="X2" s="77">
        <f t="shared" si="1"/>
        <v>45596</v>
      </c>
      <c r="Y2" s="77">
        <f t="shared" si="1"/>
        <v>45626</v>
      </c>
      <c r="Z2" s="79">
        <f t="shared" si="1"/>
        <v>45657</v>
      </c>
      <c r="AA2" s="77">
        <f t="shared" si="1"/>
        <v>45688</v>
      </c>
      <c r="AB2" s="77">
        <f t="shared" si="1"/>
        <v>45716</v>
      </c>
      <c r="AC2" s="77">
        <f t="shared" si="1"/>
        <v>45747</v>
      </c>
      <c r="AD2" s="77">
        <f t="shared" si="1"/>
        <v>45777</v>
      </c>
      <c r="AE2" s="77">
        <f t="shared" si="1"/>
        <v>45808</v>
      </c>
      <c r="AF2" s="77">
        <f t="shared" si="1"/>
        <v>45838</v>
      </c>
      <c r="AG2" s="77">
        <f t="shared" si="1"/>
        <v>45869</v>
      </c>
      <c r="AH2" s="77">
        <f t="shared" si="1"/>
        <v>45900</v>
      </c>
      <c r="AI2" s="77">
        <f t="shared" si="1"/>
        <v>45930</v>
      </c>
      <c r="AJ2" s="77">
        <f t="shared" si="1"/>
        <v>45961</v>
      </c>
      <c r="AK2" s="77">
        <f t="shared" si="1"/>
        <v>45991</v>
      </c>
      <c r="AL2" s="79">
        <f t="shared" si="1"/>
        <v>46022</v>
      </c>
      <c r="AM2" s="77"/>
      <c r="AN2" s="77"/>
      <c r="AO2" s="77"/>
      <c r="AP2" s="77"/>
      <c r="AQ2" s="77"/>
      <c r="AR2" s="77"/>
      <c r="AS2" s="77"/>
      <c r="AT2" s="77"/>
      <c r="AU2" s="77"/>
      <c r="AV2" s="77"/>
      <c r="AW2" s="77"/>
      <c r="AX2" s="79"/>
    </row>
    <row r="3" spans="1:50" s="21" customFormat="1" hidden="1" outlineLevel="1" x14ac:dyDescent="0.35">
      <c r="A3" s="92"/>
      <c r="B3" s="92"/>
      <c r="C3" s="92"/>
      <c r="D3" s="92"/>
      <c r="E3" s="92"/>
      <c r="F3" s="246"/>
      <c r="L3" s="21">
        <v>2023</v>
      </c>
      <c r="M3" s="21">
        <v>2023</v>
      </c>
      <c r="N3" s="21">
        <v>2023</v>
      </c>
      <c r="O3" s="72">
        <v>2024</v>
      </c>
      <c r="P3" s="21">
        <v>2024</v>
      </c>
      <c r="Q3" s="21">
        <v>2024</v>
      </c>
      <c r="R3" s="21">
        <v>2024</v>
      </c>
      <c r="S3" s="21">
        <v>2024</v>
      </c>
      <c r="T3" s="21">
        <v>2024</v>
      </c>
      <c r="U3" s="21">
        <v>2024</v>
      </c>
      <c r="V3" s="21">
        <v>2024</v>
      </c>
      <c r="W3" s="21">
        <v>2024</v>
      </c>
      <c r="X3" s="21">
        <v>2024</v>
      </c>
      <c r="Y3" s="21">
        <v>2024</v>
      </c>
      <c r="Z3" s="73">
        <v>2024</v>
      </c>
      <c r="AA3" s="21">
        <v>2025</v>
      </c>
      <c r="AB3" s="21">
        <v>2025</v>
      </c>
      <c r="AC3" s="21">
        <v>2025</v>
      </c>
      <c r="AD3" s="21">
        <v>2025</v>
      </c>
      <c r="AE3" s="21">
        <v>2025</v>
      </c>
      <c r="AF3" s="21">
        <v>2025</v>
      </c>
      <c r="AG3" s="21">
        <v>2025</v>
      </c>
      <c r="AH3" s="21">
        <v>2025</v>
      </c>
      <c r="AI3" s="21">
        <v>2025</v>
      </c>
      <c r="AJ3" s="21">
        <v>2025</v>
      </c>
      <c r="AK3" s="21">
        <v>2025</v>
      </c>
      <c r="AL3" s="73">
        <v>2025</v>
      </c>
      <c r="AX3" s="73"/>
    </row>
    <row r="4" spans="1:50" s="21" customFormat="1" hidden="1" outlineLevel="1" x14ac:dyDescent="0.35">
      <c r="A4" s="92"/>
      <c r="B4" s="92"/>
      <c r="C4" s="92"/>
      <c r="D4" s="92"/>
      <c r="E4" s="92"/>
      <c r="F4" s="246"/>
      <c r="L4" s="21">
        <v>10</v>
      </c>
      <c r="M4" s="21">
        <v>11</v>
      </c>
      <c r="N4" s="21">
        <v>12</v>
      </c>
      <c r="O4" s="72">
        <v>1</v>
      </c>
      <c r="P4" s="21">
        <v>2</v>
      </c>
      <c r="Q4" s="21">
        <v>3</v>
      </c>
      <c r="R4" s="21">
        <v>4</v>
      </c>
      <c r="S4" s="21">
        <v>5</v>
      </c>
      <c r="T4" s="21">
        <v>6</v>
      </c>
      <c r="U4" s="21">
        <v>7</v>
      </c>
      <c r="V4" s="21">
        <v>8</v>
      </c>
      <c r="W4" s="21">
        <v>9</v>
      </c>
      <c r="X4" s="21">
        <v>10</v>
      </c>
      <c r="Y4" s="21">
        <v>11</v>
      </c>
      <c r="Z4" s="73">
        <v>12</v>
      </c>
      <c r="AA4" s="21">
        <v>1</v>
      </c>
      <c r="AB4" s="21">
        <v>2</v>
      </c>
      <c r="AC4" s="21">
        <v>3</v>
      </c>
      <c r="AD4" s="21">
        <v>4</v>
      </c>
      <c r="AE4" s="21">
        <v>5</v>
      </c>
      <c r="AF4" s="21">
        <v>6</v>
      </c>
      <c r="AG4" s="21">
        <v>7</v>
      </c>
      <c r="AH4" s="21">
        <v>8</v>
      </c>
      <c r="AI4" s="21">
        <v>9</v>
      </c>
      <c r="AJ4" s="21">
        <v>10</v>
      </c>
      <c r="AK4" s="21">
        <v>11</v>
      </c>
      <c r="AL4" s="73">
        <v>12</v>
      </c>
      <c r="AX4" s="73"/>
    </row>
    <row r="5" spans="1:50" s="21" customFormat="1" ht="2.25" customHeight="1" collapsed="1" x14ac:dyDescent="0.35">
      <c r="A5" s="92"/>
      <c r="B5" s="92"/>
      <c r="C5" s="92"/>
      <c r="D5" s="92"/>
      <c r="E5" s="92"/>
      <c r="F5" s="246"/>
      <c r="O5" s="72"/>
      <c r="Z5" s="73"/>
      <c r="AL5" s="73"/>
      <c r="AX5" s="73"/>
    </row>
    <row r="6" spans="1:50" s="420" customFormat="1" ht="28.5" x14ac:dyDescent="0.65">
      <c r="F6" s="421"/>
      <c r="I6" s="419"/>
      <c r="J6" s="422"/>
      <c r="O6" s="423" t="s">
        <v>347</v>
      </c>
      <c r="AA6" s="423" t="s">
        <v>347</v>
      </c>
      <c r="AM6" s="423" t="s">
        <v>347</v>
      </c>
    </row>
    <row r="7" spans="1:50" ht="3" customHeight="1" x14ac:dyDescent="0.35">
      <c r="O7" s="363"/>
      <c r="Z7"/>
      <c r="AL7"/>
      <c r="AX7"/>
    </row>
    <row r="8" spans="1:50" s="28" customFormat="1" ht="17" x14ac:dyDescent="0.35">
      <c r="A8" s="94"/>
      <c r="B8" s="94"/>
      <c r="C8" s="94"/>
      <c r="D8" s="95"/>
      <c r="E8" s="94"/>
      <c r="F8" s="489" t="s">
        <v>0</v>
      </c>
      <c r="G8" s="487" t="s">
        <v>39</v>
      </c>
      <c r="H8" s="487"/>
      <c r="I8" s="487"/>
      <c r="J8" s="490"/>
      <c r="L8" s="39">
        <v>2023</v>
      </c>
      <c r="M8" s="40"/>
      <c r="N8" s="40"/>
      <c r="O8" s="29">
        <v>2024</v>
      </c>
      <c r="P8" s="29"/>
      <c r="Q8" s="29"/>
      <c r="R8" s="29"/>
      <c r="S8" s="29"/>
      <c r="T8" s="29"/>
      <c r="U8" s="29"/>
      <c r="V8" s="29"/>
      <c r="W8" s="29"/>
      <c r="X8" s="29"/>
      <c r="Y8" s="29"/>
      <c r="Z8" s="85"/>
      <c r="AA8" s="30">
        <v>2025</v>
      </c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128"/>
      <c r="AM8" s="464">
        <v>2026</v>
      </c>
      <c r="AN8" s="464"/>
      <c r="AO8" s="464"/>
      <c r="AP8" s="464"/>
      <c r="AQ8" s="464"/>
      <c r="AR8" s="464"/>
      <c r="AS8" s="464"/>
      <c r="AT8" s="464"/>
      <c r="AU8" s="464"/>
      <c r="AV8" s="464"/>
      <c r="AW8" s="464"/>
      <c r="AX8" s="465"/>
    </row>
    <row r="9" spans="1:50" s="28" customFormat="1" ht="17" x14ac:dyDescent="0.35">
      <c r="A9" s="94" t="s">
        <v>318</v>
      </c>
      <c r="B9" s="94" t="s">
        <v>319</v>
      </c>
      <c r="C9" s="94" t="s">
        <v>320</v>
      </c>
      <c r="D9" s="95" t="s">
        <v>321</v>
      </c>
      <c r="E9" s="94"/>
      <c r="F9" s="489"/>
      <c r="G9" s="487"/>
      <c r="H9" s="487"/>
      <c r="I9" s="487"/>
      <c r="J9" s="490"/>
      <c r="L9" s="38">
        <v>10</v>
      </c>
      <c r="M9" s="38">
        <v>11</v>
      </c>
      <c r="N9" s="38">
        <v>12</v>
      </c>
      <c r="O9" s="31">
        <v>1</v>
      </c>
      <c r="P9" s="31">
        <v>2</v>
      </c>
      <c r="Q9" s="31">
        <v>3</v>
      </c>
      <c r="R9" s="31">
        <v>4</v>
      </c>
      <c r="S9" s="31">
        <v>5</v>
      </c>
      <c r="T9" s="31">
        <v>6</v>
      </c>
      <c r="U9" s="31">
        <v>7</v>
      </c>
      <c r="V9" s="31">
        <v>8</v>
      </c>
      <c r="W9" s="31">
        <v>9</v>
      </c>
      <c r="X9" s="31">
        <v>10</v>
      </c>
      <c r="Y9" s="31">
        <v>11</v>
      </c>
      <c r="Z9" s="87">
        <v>12</v>
      </c>
      <c r="AA9" s="32">
        <v>1</v>
      </c>
      <c r="AB9" s="32">
        <v>2</v>
      </c>
      <c r="AC9" s="32">
        <v>3</v>
      </c>
      <c r="AD9" s="32">
        <v>4</v>
      </c>
      <c r="AE9" s="32">
        <v>5</v>
      </c>
      <c r="AF9" s="32">
        <v>6</v>
      </c>
      <c r="AG9" s="32">
        <v>7</v>
      </c>
      <c r="AH9" s="32">
        <v>8</v>
      </c>
      <c r="AI9" s="32">
        <v>9</v>
      </c>
      <c r="AJ9" s="32">
        <v>10</v>
      </c>
      <c r="AK9" s="32">
        <v>11</v>
      </c>
      <c r="AL9" s="129">
        <v>12</v>
      </c>
      <c r="AM9" s="466">
        <v>1</v>
      </c>
      <c r="AN9" s="466">
        <v>2</v>
      </c>
      <c r="AO9" s="466">
        <v>3</v>
      </c>
      <c r="AP9" s="466">
        <v>4</v>
      </c>
      <c r="AQ9" s="466">
        <v>5</v>
      </c>
      <c r="AR9" s="466">
        <v>6</v>
      </c>
      <c r="AS9" s="466">
        <v>7</v>
      </c>
      <c r="AT9" s="466">
        <v>8</v>
      </c>
      <c r="AU9" s="466">
        <v>9</v>
      </c>
      <c r="AV9" s="466">
        <v>10</v>
      </c>
      <c r="AW9" s="466">
        <v>11</v>
      </c>
      <c r="AX9" s="467">
        <v>12</v>
      </c>
    </row>
    <row r="10" spans="1:50" ht="3.75" customHeight="1" x14ac:dyDescent="0.35">
      <c r="J10" s="321"/>
      <c r="O10"/>
    </row>
    <row r="11" spans="1:50" s="336" customFormat="1" ht="17" x14ac:dyDescent="0.35">
      <c r="A11" s="336" t="s">
        <v>52</v>
      </c>
      <c r="F11" s="337">
        <v>1</v>
      </c>
      <c r="G11" s="364" t="s">
        <v>3</v>
      </c>
      <c r="H11" s="364"/>
      <c r="I11" s="364"/>
      <c r="J11" s="365"/>
      <c r="L11" s="338"/>
      <c r="M11" s="338"/>
      <c r="N11" s="338"/>
      <c r="O11" s="338"/>
      <c r="P11" s="338"/>
      <c r="Q11" s="338"/>
      <c r="R11" s="338"/>
      <c r="S11" s="338"/>
      <c r="T11" s="338"/>
      <c r="U11" s="338"/>
      <c r="V11" s="338"/>
      <c r="W11" s="338"/>
      <c r="X11" s="338"/>
      <c r="Y11" s="338"/>
      <c r="Z11" s="339"/>
      <c r="AA11" s="340"/>
      <c r="AB11" s="338"/>
      <c r="AC11" s="340"/>
      <c r="AD11" s="340"/>
      <c r="AE11" s="340"/>
      <c r="AF11" s="340"/>
      <c r="AG11" s="340"/>
      <c r="AH11" s="340"/>
      <c r="AI11" s="340"/>
      <c r="AJ11" s="340"/>
      <c r="AK11" s="340"/>
      <c r="AL11" s="339"/>
      <c r="AM11" s="340"/>
      <c r="AN11" s="338"/>
      <c r="AO11" s="340"/>
      <c r="AP11" s="340"/>
      <c r="AQ11" s="340"/>
      <c r="AR11" s="340"/>
      <c r="AS11" s="340"/>
      <c r="AT11" s="340"/>
      <c r="AU11" s="340"/>
      <c r="AV11" s="340"/>
      <c r="AW11" s="340"/>
      <c r="AX11" s="339"/>
    </row>
    <row r="12" spans="1:50" s="330" customFormat="1" ht="16" x14ac:dyDescent="0.35">
      <c r="A12" s="330" t="s">
        <v>52</v>
      </c>
      <c r="B12" s="330" t="s">
        <v>15</v>
      </c>
      <c r="D12" s="330" t="s">
        <v>322</v>
      </c>
      <c r="F12" s="331">
        <v>1.1000000000000001</v>
      </c>
      <c r="G12" s="332"/>
      <c r="H12" s="332" t="s">
        <v>206</v>
      </c>
      <c r="I12" s="332"/>
      <c r="J12" s="366"/>
      <c r="L12" s="332"/>
      <c r="M12" s="332"/>
      <c r="N12" s="332"/>
      <c r="O12" s="334">
        <f t="shared" ref="O12:AB12" si="2">MIN(MAX(SUM(O13:O14),O20),O19)</f>
        <v>1200</v>
      </c>
      <c r="P12" s="334">
        <f t="shared" si="2"/>
        <v>1200</v>
      </c>
      <c r="Q12" s="334">
        <f t="shared" si="2"/>
        <v>1200</v>
      </c>
      <c r="R12" s="334">
        <f t="shared" si="2"/>
        <v>1200</v>
      </c>
      <c r="S12" s="334">
        <f t="shared" si="2"/>
        <v>1200</v>
      </c>
      <c r="T12" s="334">
        <f t="shared" si="2"/>
        <v>1200.8999999999999</v>
      </c>
      <c r="U12" s="334">
        <f t="shared" si="2"/>
        <v>1214.3999999999999</v>
      </c>
      <c r="V12" s="334">
        <f t="shared" si="2"/>
        <v>1226.0999999999999</v>
      </c>
      <c r="W12" s="334">
        <f t="shared" si="2"/>
        <v>1242.6000000000001</v>
      </c>
      <c r="X12" s="334">
        <f t="shared" si="2"/>
        <v>1261.3499999999999</v>
      </c>
      <c r="Y12" s="334">
        <f t="shared" si="2"/>
        <v>1281.75</v>
      </c>
      <c r="Z12" s="335">
        <f t="shared" si="2"/>
        <v>1290.75</v>
      </c>
      <c r="AA12" s="334">
        <f t="shared" si="2"/>
        <v>1288.875</v>
      </c>
      <c r="AB12" s="334">
        <f t="shared" si="2"/>
        <v>1264.3749999999991</v>
      </c>
      <c r="AC12" s="334">
        <f>MIN(MAX(SUM(AC13:AC14),AC20),AC19)</f>
        <v>1238.8749999999991</v>
      </c>
      <c r="AD12" s="334">
        <f>MIN(MAX(SUM(AD13:AD14),AD20),AD19)-0.619999999998981</f>
        <v>1219.8800000000001</v>
      </c>
      <c r="AE12" s="334">
        <f t="shared" ref="AE12:AH12" si="3">MIN(MAX(SUM(AE13:AE14),AE20),AE19)</f>
        <v>1221</v>
      </c>
      <c r="AF12" s="334">
        <f t="shared" si="3"/>
        <v>1224</v>
      </c>
      <c r="AG12" s="334">
        <f t="shared" si="3"/>
        <v>1224</v>
      </c>
      <c r="AH12" s="334">
        <f t="shared" si="3"/>
        <v>1213.2</v>
      </c>
      <c r="AI12" s="334">
        <f>MIN(MAX(SUM(AI13:AI14),AI20),AI19)</f>
        <v>1200</v>
      </c>
      <c r="AJ12" s="334">
        <f>MIN(MAX(SUM(AJ13:AJ14),AJ20),AJ19)</f>
        <v>1200</v>
      </c>
      <c r="AK12" s="334">
        <f>MIN(MAX(SUM(AK13:AK14),AK20),AK19)</f>
        <v>1200</v>
      </c>
      <c r="AL12" s="335">
        <f>MIN(MAX(SUM(AL13:AL14),AL20),AL19)</f>
        <v>1200</v>
      </c>
      <c r="AM12" s="334"/>
      <c r="AN12" s="334"/>
      <c r="AO12" s="334"/>
      <c r="AP12" s="334"/>
      <c r="AQ12" s="334"/>
      <c r="AR12" s="334"/>
      <c r="AS12" s="334"/>
      <c r="AT12" s="334"/>
      <c r="AU12" s="334"/>
      <c r="AV12" s="334"/>
      <c r="AW12" s="334"/>
      <c r="AX12" s="335"/>
    </row>
    <row r="13" spans="1:50" s="345" customFormat="1" outlineLevel="1" x14ac:dyDescent="0.35">
      <c r="A13" s="345" t="s">
        <v>52</v>
      </c>
      <c r="B13" s="345" t="s">
        <v>15</v>
      </c>
      <c r="F13" s="346" t="s">
        <v>325</v>
      </c>
      <c r="G13" s="347"/>
      <c r="H13" s="347" t="s">
        <v>41</v>
      </c>
      <c r="I13" s="347" t="s">
        <v>339</v>
      </c>
      <c r="J13" s="367"/>
      <c r="K13" s="348"/>
      <c r="L13" s="347"/>
      <c r="M13" s="347"/>
      <c r="N13" s="347"/>
      <c r="O13" s="350">
        <f>AVERAGE(L17:N17)</f>
        <v>1296.0416666666667</v>
      </c>
      <c r="P13" s="350">
        <f t="shared" ref="P13:AH13" si="4">AVERAGE(M17:O17)</f>
        <v>1305</v>
      </c>
      <c r="Q13" s="350">
        <f t="shared" si="4"/>
        <v>1313.3333333333333</v>
      </c>
      <c r="R13" s="350">
        <f t="shared" si="4"/>
        <v>1320</v>
      </c>
      <c r="S13" s="350">
        <f t="shared" si="4"/>
        <v>1326</v>
      </c>
      <c r="T13" s="350">
        <f t="shared" si="4"/>
        <v>1334.3333333333333</v>
      </c>
      <c r="U13" s="350">
        <f t="shared" si="4"/>
        <v>1349.3333333333333</v>
      </c>
      <c r="V13" s="350">
        <f t="shared" si="4"/>
        <v>1362.3333333333333</v>
      </c>
      <c r="W13" s="350">
        <f t="shared" si="4"/>
        <v>1380.6666666666667</v>
      </c>
      <c r="X13" s="350">
        <f t="shared" si="4"/>
        <v>1401.5</v>
      </c>
      <c r="Y13" s="350">
        <f t="shared" si="4"/>
        <v>1424.1666666666667</v>
      </c>
      <c r="Z13" s="351">
        <f t="shared" si="4"/>
        <v>1434.1666666666667</v>
      </c>
      <c r="AA13" s="350">
        <f t="shared" si="4"/>
        <v>1432.0833333333333</v>
      </c>
      <c r="AB13" s="350">
        <f t="shared" si="4"/>
        <v>1404.8611111111102</v>
      </c>
      <c r="AC13" s="350">
        <f t="shared" si="4"/>
        <v>1376.5277777777767</v>
      </c>
      <c r="AD13" s="350">
        <f t="shared" si="4"/>
        <v>1356.1111111111102</v>
      </c>
      <c r="AE13" s="350">
        <f t="shared" si="4"/>
        <v>1356.6666666666667</v>
      </c>
      <c r="AF13" s="350">
        <f t="shared" si="4"/>
        <v>1360</v>
      </c>
      <c r="AG13" s="350">
        <f t="shared" si="4"/>
        <v>1360</v>
      </c>
      <c r="AH13" s="350">
        <f t="shared" si="4"/>
        <v>1348</v>
      </c>
      <c r="AI13" s="350">
        <f>AVERAGE(AF17:AH17)</f>
        <v>1326.3333333333333</v>
      </c>
      <c r="AJ13" s="350">
        <f>AVERAGE(AG17:AI17)</f>
        <v>1295.6666666666667</v>
      </c>
      <c r="AK13" s="350">
        <f>AVERAGE(AH17:AJ17)</f>
        <v>1271</v>
      </c>
      <c r="AL13" s="351">
        <f>AVERAGE(AI17:AK17)</f>
        <v>1253.9166666666667</v>
      </c>
      <c r="AM13" s="350"/>
      <c r="AN13" s="350"/>
      <c r="AO13" s="350"/>
      <c r="AP13" s="350"/>
      <c r="AQ13" s="350"/>
      <c r="AR13" s="350"/>
      <c r="AS13" s="350"/>
      <c r="AT13" s="350"/>
      <c r="AU13" s="350"/>
      <c r="AV13" s="350"/>
      <c r="AW13" s="350"/>
      <c r="AX13" s="351"/>
    </row>
    <row r="14" spans="1:50" s="345" customFormat="1" outlineLevel="1" x14ac:dyDescent="0.35">
      <c r="A14" s="345" t="s">
        <v>52</v>
      </c>
      <c r="B14" s="345" t="s">
        <v>15</v>
      </c>
      <c r="F14" s="346" t="s">
        <v>326</v>
      </c>
      <c r="G14" s="347"/>
      <c r="H14" s="347" t="s">
        <v>41</v>
      </c>
      <c r="I14" s="347" t="s">
        <v>336</v>
      </c>
      <c r="J14" s="368"/>
      <c r="K14" s="348"/>
      <c r="L14" s="347"/>
      <c r="M14" s="347"/>
      <c r="N14" s="347"/>
      <c r="O14" s="350">
        <f>-O13*O18</f>
        <v>-129.60416666666669</v>
      </c>
      <c r="P14" s="350">
        <f t="shared" ref="P14:AB14" si="5">-P13*P18</f>
        <v>-130.5</v>
      </c>
      <c r="Q14" s="350">
        <f t="shared" si="5"/>
        <v>-131.33333333333334</v>
      </c>
      <c r="R14" s="350">
        <f t="shared" si="5"/>
        <v>-132</v>
      </c>
      <c r="S14" s="350">
        <f t="shared" si="5"/>
        <v>-132.6</v>
      </c>
      <c r="T14" s="350">
        <f t="shared" si="5"/>
        <v>-133.43333333333334</v>
      </c>
      <c r="U14" s="350">
        <f t="shared" si="5"/>
        <v>-134.93333333333334</v>
      </c>
      <c r="V14" s="350">
        <f t="shared" si="5"/>
        <v>-136.23333333333332</v>
      </c>
      <c r="W14" s="350">
        <f t="shared" si="5"/>
        <v>-138.06666666666669</v>
      </c>
      <c r="X14" s="350">
        <f t="shared" si="5"/>
        <v>-140.15</v>
      </c>
      <c r="Y14" s="350">
        <f t="shared" si="5"/>
        <v>-142.41666666666669</v>
      </c>
      <c r="Z14" s="351">
        <f t="shared" si="5"/>
        <v>-143.41666666666669</v>
      </c>
      <c r="AA14" s="350">
        <f t="shared" si="5"/>
        <v>-143.20833333333334</v>
      </c>
      <c r="AB14" s="350">
        <f t="shared" si="5"/>
        <v>-140.48611111111103</v>
      </c>
      <c r="AC14" s="350">
        <f t="shared" ref="AC14:AH14" si="6">-AC13*AC18</f>
        <v>-137.65277777777769</v>
      </c>
      <c r="AD14" s="350">
        <f t="shared" si="6"/>
        <v>-135.61111111111103</v>
      </c>
      <c r="AE14" s="350">
        <f t="shared" si="6"/>
        <v>-135.66666666666669</v>
      </c>
      <c r="AF14" s="350">
        <f t="shared" si="6"/>
        <v>-136</v>
      </c>
      <c r="AG14" s="350">
        <f t="shared" si="6"/>
        <v>-136</v>
      </c>
      <c r="AH14" s="350">
        <f t="shared" si="6"/>
        <v>-134.80000000000001</v>
      </c>
      <c r="AI14" s="350">
        <f>-AI13*AI18</f>
        <v>-132.63333333333333</v>
      </c>
      <c r="AJ14" s="350">
        <f>-AJ13*AJ18</f>
        <v>-129.56666666666669</v>
      </c>
      <c r="AK14" s="350">
        <f>-AK13*AK18</f>
        <v>-127.10000000000001</v>
      </c>
      <c r="AL14" s="351">
        <f>-AL13*AL18</f>
        <v>-125.39166666666668</v>
      </c>
      <c r="AM14" s="350"/>
      <c r="AN14" s="350"/>
      <c r="AO14" s="350"/>
      <c r="AP14" s="350"/>
      <c r="AQ14" s="350"/>
      <c r="AR14" s="350"/>
      <c r="AS14" s="350"/>
      <c r="AT14" s="350"/>
      <c r="AU14" s="350"/>
      <c r="AV14" s="350"/>
      <c r="AW14" s="350"/>
      <c r="AX14" s="351"/>
    </row>
    <row r="15" spans="1:50" s="94" customFormat="1" outlineLevel="1" x14ac:dyDescent="0.35">
      <c r="A15" s="94" t="s">
        <v>52</v>
      </c>
      <c r="B15" s="94" t="s">
        <v>15</v>
      </c>
      <c r="D15" s="95" t="s">
        <v>162</v>
      </c>
      <c r="F15" s="231" t="s">
        <v>201</v>
      </c>
      <c r="G15" s="232"/>
      <c r="H15" s="232"/>
      <c r="I15" s="232" t="s">
        <v>8</v>
      </c>
      <c r="J15" s="369"/>
      <c r="K15" s="2"/>
      <c r="L15" s="232"/>
      <c r="M15" s="232"/>
      <c r="N15" s="232"/>
      <c r="O15" s="234">
        <f>O12-O16</f>
        <v>1180</v>
      </c>
      <c r="P15" s="234">
        <f t="shared" ref="P15:AB15" si="7">P12-P16</f>
        <v>1180</v>
      </c>
      <c r="Q15" s="234">
        <f t="shared" si="7"/>
        <v>1180</v>
      </c>
      <c r="R15" s="234">
        <f t="shared" si="7"/>
        <v>1180</v>
      </c>
      <c r="S15" s="234">
        <f t="shared" si="7"/>
        <v>1180</v>
      </c>
      <c r="T15" s="234">
        <f t="shared" si="7"/>
        <v>1180.8999999999999</v>
      </c>
      <c r="U15" s="234">
        <f t="shared" si="7"/>
        <v>1194.3999999999999</v>
      </c>
      <c r="V15" s="234">
        <f t="shared" si="7"/>
        <v>1206.0999999999999</v>
      </c>
      <c r="W15" s="234">
        <f t="shared" si="7"/>
        <v>1222.6000000000001</v>
      </c>
      <c r="X15" s="234">
        <f t="shared" si="7"/>
        <v>1241.3499999999999</v>
      </c>
      <c r="Y15" s="234">
        <f t="shared" si="7"/>
        <v>1261.75</v>
      </c>
      <c r="Z15" s="235">
        <f t="shared" si="7"/>
        <v>1270.75</v>
      </c>
      <c r="AA15" s="234">
        <f t="shared" si="7"/>
        <v>1268.875</v>
      </c>
      <c r="AB15" s="234">
        <f t="shared" si="7"/>
        <v>1244.3749999999991</v>
      </c>
      <c r="AC15" s="234">
        <f t="shared" ref="AC15:AH15" si="8">AC12-AC16</f>
        <v>1218.8749999999991</v>
      </c>
      <c r="AD15" s="234">
        <f t="shared" si="8"/>
        <v>1197.8800000000001</v>
      </c>
      <c r="AE15" s="234">
        <f t="shared" si="8"/>
        <v>1199</v>
      </c>
      <c r="AF15" s="234">
        <f t="shared" si="8"/>
        <v>1202</v>
      </c>
      <c r="AG15" s="234">
        <f t="shared" si="8"/>
        <v>1202</v>
      </c>
      <c r="AH15" s="234">
        <f t="shared" si="8"/>
        <v>1193.2</v>
      </c>
      <c r="AI15" s="234">
        <f>AI12-AI16</f>
        <v>1180</v>
      </c>
      <c r="AJ15" s="234">
        <f>AJ12-AJ16</f>
        <v>1180</v>
      </c>
      <c r="AK15" s="234">
        <f>AK12-AK16</f>
        <v>1180</v>
      </c>
      <c r="AL15" s="235">
        <f>AL12-AL16</f>
        <v>1180</v>
      </c>
      <c r="AM15" s="234"/>
      <c r="AN15" s="234"/>
      <c r="AO15" s="234"/>
      <c r="AP15" s="234"/>
      <c r="AQ15" s="234"/>
      <c r="AR15" s="234"/>
      <c r="AS15" s="234"/>
      <c r="AT15" s="234"/>
      <c r="AU15" s="234"/>
      <c r="AV15" s="234"/>
      <c r="AW15" s="234"/>
      <c r="AX15" s="235"/>
    </row>
    <row r="16" spans="1:50" s="184" customFormat="1" x14ac:dyDescent="0.35">
      <c r="A16" s="184" t="s">
        <v>52</v>
      </c>
      <c r="B16" s="184" t="s">
        <v>15</v>
      </c>
      <c r="F16" s="222"/>
      <c r="G16" s="191"/>
      <c r="H16" s="191"/>
      <c r="I16" s="191" t="s">
        <v>50</v>
      </c>
      <c r="J16" s="370"/>
      <c r="K16" s="185"/>
      <c r="L16" s="210"/>
      <c r="M16" s="210"/>
      <c r="N16" s="210"/>
      <c r="O16" s="210">
        <v>20</v>
      </c>
      <c r="P16" s="210">
        <v>20</v>
      </c>
      <c r="Q16" s="210">
        <v>20</v>
      </c>
      <c r="R16" s="210">
        <v>20</v>
      </c>
      <c r="S16" s="210">
        <v>20</v>
      </c>
      <c r="T16" s="210">
        <v>20</v>
      </c>
      <c r="U16" s="210">
        <v>20</v>
      </c>
      <c r="V16" s="210">
        <v>20</v>
      </c>
      <c r="W16" s="210">
        <v>20</v>
      </c>
      <c r="X16" s="210">
        <v>20</v>
      </c>
      <c r="Y16" s="210">
        <v>20</v>
      </c>
      <c r="Z16" s="212">
        <v>20</v>
      </c>
      <c r="AA16" s="210">
        <v>20</v>
      </c>
      <c r="AB16" s="210">
        <v>20</v>
      </c>
      <c r="AC16" s="210">
        <v>20</v>
      </c>
      <c r="AD16" s="210">
        <v>22</v>
      </c>
      <c r="AE16" s="210">
        <v>22</v>
      </c>
      <c r="AF16" s="210">
        <v>22</v>
      </c>
      <c r="AG16" s="210">
        <v>22</v>
      </c>
      <c r="AH16" s="210">
        <v>20</v>
      </c>
      <c r="AI16" s="210">
        <v>20</v>
      </c>
      <c r="AJ16" s="210">
        <v>20</v>
      </c>
      <c r="AK16" s="210">
        <v>20</v>
      </c>
      <c r="AL16" s="212">
        <v>20</v>
      </c>
      <c r="AM16" s="210"/>
      <c r="AN16" s="210"/>
      <c r="AO16" s="210"/>
      <c r="AP16" s="210"/>
      <c r="AQ16" s="210"/>
      <c r="AR16" s="210"/>
      <c r="AS16" s="210"/>
      <c r="AT16" s="210"/>
      <c r="AU16" s="210"/>
      <c r="AV16" s="210"/>
      <c r="AW16" s="210"/>
      <c r="AX16" s="212"/>
    </row>
    <row r="17" spans="1:50" s="186" customFormat="1" x14ac:dyDescent="0.35">
      <c r="A17" s="186" t="s">
        <v>52</v>
      </c>
      <c r="B17" s="186" t="s">
        <v>15</v>
      </c>
      <c r="C17" s="186" t="s">
        <v>44</v>
      </c>
      <c r="F17" s="223"/>
      <c r="G17" s="192"/>
      <c r="H17" s="192"/>
      <c r="I17" s="192"/>
      <c r="J17" s="371" t="s">
        <v>75</v>
      </c>
      <c r="K17" s="187"/>
      <c r="L17" s="204" cm="1">
        <f t="array" ref="L17">SUMPRODUCT(General_Data*(Year=L$3)*(Month=L$4)*(Code_General_Data=$C17))</f>
        <v>1288.125</v>
      </c>
      <c r="M17" s="204" cm="1">
        <f t="array" ref="M17">SUMPRODUCT(General_Data*(Year=M$3)*(Month=M$4)*(Code_General_Data=$C17))</f>
        <v>1300</v>
      </c>
      <c r="N17" s="204" cm="1">
        <f t="array" ref="N17">SUMPRODUCT(General_Data*(Year=N$3)*(Month=N$4)*(Code_General_Data=$C17))</f>
        <v>1300</v>
      </c>
      <c r="O17" s="204" cm="1">
        <f t="array" ref="O17">SUMPRODUCT(General_Data*(Year=O$3)*(Month=O$4)*(Code_General_Data=$C17))</f>
        <v>1315</v>
      </c>
      <c r="P17" s="204" cm="1">
        <f t="array" ref="P17">SUMPRODUCT(General_Data*(Year=P$3)*(Month=P$4)*(Code_General_Data=$C17))</f>
        <v>1325</v>
      </c>
      <c r="Q17" s="204" cm="1">
        <f t="array" ref="Q17">SUMPRODUCT(General_Data*(Year=Q$3)*(Month=Q$4)*(Code_General_Data=$C17))</f>
        <v>1320</v>
      </c>
      <c r="R17" s="204" cm="1">
        <f t="array" ref="R17">SUMPRODUCT(General_Data*(Year=R$3)*(Month=R$4)*(Code_General_Data=$C17))</f>
        <v>1333</v>
      </c>
      <c r="S17" s="204" cm="1">
        <f t="array" ref="S17">SUMPRODUCT(General_Data*(Year=S$3)*(Month=S$4)*(Code_General_Data=$C17))</f>
        <v>1350</v>
      </c>
      <c r="T17" s="204" cm="1">
        <f t="array" ref="T17">SUMPRODUCT(General_Data*(Year=T$3)*(Month=T$4)*(Code_General_Data=$C17))</f>
        <v>1365</v>
      </c>
      <c r="U17" s="204" cm="1">
        <f t="array" ref="U17">SUMPRODUCT(General_Data*(Year=U$3)*(Month=U$4)*(Code_General_Data=$C17))</f>
        <v>1372</v>
      </c>
      <c r="V17" s="204" cm="1">
        <f t="array" ref="V17">SUMPRODUCT(General_Data*(Year=V$3)*(Month=V$4)*(Code_General_Data=$C17))</f>
        <v>1405</v>
      </c>
      <c r="W17" s="204" cm="1">
        <f t="array" ref="W17">SUMPRODUCT(General_Data*(Year=W$3)*(Month=W$4)*(Code_General_Data=$C17))</f>
        <v>1427.5</v>
      </c>
      <c r="X17" s="204" cm="1">
        <f t="array" ref="X17">SUMPRODUCT(General_Data*(Year=X$3)*(Month=X$4)*(Code_General_Data=$C17))</f>
        <v>1440</v>
      </c>
      <c r="Y17" s="204" cm="1">
        <f t="array" ref="Y17">SUMPRODUCT(General_Data*(Year=Y$3)*(Month=Y$4)*(Code_General_Data=$C17))</f>
        <v>1435</v>
      </c>
      <c r="Z17" s="206" cm="1">
        <f t="array" ref="Z17">SUMPRODUCT(General_Data*(Year=Z$3)*(Month=Z$4)*(Code_General_Data=$C17))</f>
        <v>1421.25</v>
      </c>
      <c r="AA17" s="204" cm="1">
        <f t="array" ref="AA17">SUMPRODUCT(General_Data*(Year=AA$3)*(Month=AA$4)*(Code_General_Data=$C17))</f>
        <v>1358.3333333333301</v>
      </c>
      <c r="AB17" s="204" cm="1">
        <f t="array" ref="AB17">SUMPRODUCT(General_Data*(Year=AB$3)*(Month=AB$4)*(Code_General_Data=$C17))</f>
        <v>1350</v>
      </c>
      <c r="AC17" s="204" cm="1">
        <f t="array" ref="AC17">SUMPRODUCT(General_Data*(Year=AC$3)*(Month=AC$4)*(Code_General_Data=$C17))</f>
        <v>1360</v>
      </c>
      <c r="AD17" s="204" cm="1">
        <f t="array" ref="AD17">SUMPRODUCT(General_Data*(Year=AD$3)*(Month=AD$4)*(Code_General_Data=$C17))</f>
        <v>1360</v>
      </c>
      <c r="AE17" s="204" cm="1">
        <f t="array" ref="AE17">SUMPRODUCT(General_Data*(Year=AE$3)*(Month=AE$4)*(Code_General_Data=$C17))</f>
        <v>1360</v>
      </c>
      <c r="AF17" s="204" cm="1">
        <f t="array" ref="AF17">SUMPRODUCT(General_Data*(Year=AF$3)*(Month=AF$4)*(Code_General_Data=$C17))</f>
        <v>1360</v>
      </c>
      <c r="AG17" s="204" cm="1">
        <f t="array" ref="AG17">SUMPRODUCT(General_Data*(Year=AG$3)*(Month=AG$4)*(Code_General_Data=$C17))</f>
        <v>1324</v>
      </c>
      <c r="AH17" s="204" cm="1">
        <f t="array" ref="AH17">SUMPRODUCT(General_Data*(Year=AH$3)*(Month=AH$4)*(Code_General_Data=$C17))</f>
        <v>1295</v>
      </c>
      <c r="AI17" s="204" cm="1">
        <f t="array" ref="AI17">SUMPRODUCT(General_Data*(Year=AI$3)*(Month=AI$4)*(Code_General_Data=$C17))</f>
        <v>1268</v>
      </c>
      <c r="AJ17" s="204" cm="1">
        <f t="array" ref="AJ17">SUMPRODUCT(General_Data*(Year=AJ$3)*(Month=AJ$4)*(Code_General_Data=$C17))</f>
        <v>1250</v>
      </c>
      <c r="AK17" s="204" cm="1">
        <f t="array" ref="AK17">SUMPRODUCT(General_Data*(Year=AK$3)*(Month=AK$4)*(Code_General_Data=$C17))</f>
        <v>1243.75</v>
      </c>
      <c r="AL17" s="206" cm="1">
        <f t="array" ref="AL17">SUMPRODUCT(General_Data*(Year=AL$3)*(Month=AL$4)*(Code_General_Data=$C17))</f>
        <v>0</v>
      </c>
      <c r="AM17" s="204"/>
      <c r="AN17" s="204"/>
      <c r="AO17" s="204"/>
      <c r="AP17" s="204"/>
      <c r="AQ17" s="204"/>
      <c r="AR17" s="204"/>
      <c r="AS17" s="204"/>
      <c r="AT17" s="204"/>
      <c r="AU17" s="204"/>
      <c r="AV17" s="204"/>
      <c r="AW17" s="204"/>
      <c r="AX17" s="206"/>
    </row>
    <row r="18" spans="1:50" s="98" customFormat="1" x14ac:dyDescent="0.35">
      <c r="A18" s="98" t="s">
        <v>52</v>
      </c>
      <c r="B18" s="98" t="s">
        <v>15</v>
      </c>
      <c r="F18" s="224"/>
      <c r="G18" s="35"/>
      <c r="H18" s="35"/>
      <c r="I18" s="35"/>
      <c r="J18" s="372" t="s">
        <v>54</v>
      </c>
      <c r="K18" s="34"/>
      <c r="L18" s="35"/>
      <c r="M18" s="35"/>
      <c r="N18" s="35"/>
      <c r="O18" s="208">
        <v>0.1</v>
      </c>
      <c r="P18" s="208">
        <v>0.1</v>
      </c>
      <c r="Q18" s="208">
        <v>0.1</v>
      </c>
      <c r="R18" s="208">
        <v>0.1</v>
      </c>
      <c r="S18" s="208">
        <v>0.1</v>
      </c>
      <c r="T18" s="208">
        <v>0.1</v>
      </c>
      <c r="U18" s="208">
        <v>0.1</v>
      </c>
      <c r="V18" s="208">
        <v>0.1</v>
      </c>
      <c r="W18" s="208">
        <v>0.1</v>
      </c>
      <c r="X18" s="208">
        <v>0.1</v>
      </c>
      <c r="Y18" s="208">
        <v>0.1</v>
      </c>
      <c r="Z18" s="209">
        <v>0.1</v>
      </c>
      <c r="AA18" s="208">
        <v>0.1</v>
      </c>
      <c r="AB18" s="208">
        <v>0.1</v>
      </c>
      <c r="AC18" s="208">
        <v>0.1</v>
      </c>
      <c r="AD18" s="208">
        <v>0.1</v>
      </c>
      <c r="AE18" s="208">
        <v>0.1</v>
      </c>
      <c r="AF18" s="208">
        <v>0.1</v>
      </c>
      <c r="AG18" s="208">
        <v>0.1</v>
      </c>
      <c r="AH18" s="208">
        <v>0.1</v>
      </c>
      <c r="AI18" s="208">
        <v>0.1</v>
      </c>
      <c r="AJ18" s="208">
        <v>0.1</v>
      </c>
      <c r="AK18" s="208">
        <v>0.1</v>
      </c>
      <c r="AL18" s="209">
        <v>0.1</v>
      </c>
      <c r="AM18" s="208"/>
      <c r="AN18" s="208"/>
      <c r="AO18" s="208"/>
      <c r="AP18" s="208"/>
      <c r="AQ18" s="208"/>
      <c r="AR18" s="208"/>
      <c r="AS18" s="208"/>
      <c r="AT18" s="208"/>
      <c r="AU18" s="208"/>
      <c r="AV18" s="208"/>
      <c r="AW18" s="208"/>
      <c r="AX18" s="194"/>
    </row>
    <row r="19" spans="1:50" s="97" customFormat="1" outlineLevel="1" x14ac:dyDescent="0.35">
      <c r="A19" s="97" t="s">
        <v>52</v>
      </c>
      <c r="B19" s="97" t="s">
        <v>15</v>
      </c>
      <c r="F19" s="196" t="s">
        <v>202</v>
      </c>
      <c r="G19" s="107"/>
      <c r="H19" s="107"/>
      <c r="I19" s="107"/>
      <c r="J19" s="373" t="s">
        <v>47</v>
      </c>
      <c r="K19" s="109"/>
      <c r="L19" s="199"/>
      <c r="M19" s="199"/>
      <c r="N19" s="199"/>
      <c r="O19" s="313" cm="1">
        <f t="array" ref="O19">INDEX(Note!$J$3:$J$101,MATCH(1,(Note!$A$3:$A$101=$A19)*(Note!$C$3:$C$101=$B19)*(Note!$E$3:$E$101&lt;=O$1)*(Note!$F$3:$F$101&gt;=O$2),0))</f>
        <v>1600</v>
      </c>
      <c r="P19" s="313" cm="1">
        <f t="array" ref="P19">INDEX(Note!$J$3:$J$101,MATCH(1,(Note!$A$3:$A$101=$A19)*(Note!$C$3:$C$101=$B19)*(Note!$E$3:$E$101&lt;=P$1)*(Note!$F$3:$F$101&gt;=P$2),0))</f>
        <v>1600</v>
      </c>
      <c r="Q19" s="313" cm="1">
        <f t="array" ref="Q19">INDEX(Note!$J$3:$J$101,MATCH(1,(Note!$A$3:$A$101=$A19)*(Note!$C$3:$C$101=$B19)*(Note!$E$3:$E$101&lt;=Q$1)*(Note!$F$3:$F$101&gt;=Q$2),0))</f>
        <v>1600</v>
      </c>
      <c r="R19" s="313" cm="1">
        <f t="array" ref="R19">INDEX(Note!$J$3:$J$101,MATCH(1,(Note!$A$3:$A$101=$A19)*(Note!$C$3:$C$101=$B19)*(Note!$E$3:$E$101&lt;=R$1)*(Note!$F$3:$F$101&gt;=R$2),0))</f>
        <v>1600</v>
      </c>
      <c r="S19" s="313" cm="1">
        <f t="array" ref="S19">INDEX(Note!$J$3:$J$101,MATCH(1,(Note!$A$3:$A$101=$A19)*(Note!$C$3:$C$101=$B19)*(Note!$E$3:$E$101&lt;=S$1)*(Note!$F$3:$F$101&gt;=S$2),0))</f>
        <v>1600</v>
      </c>
      <c r="T19" s="313" cm="1">
        <f t="array" ref="T19">INDEX(Note!$J$3:$J$101,MATCH(1,(Note!$A$3:$A$101=$A19)*(Note!$C$3:$C$101=$B19)*(Note!$E$3:$E$101&lt;=T$1)*(Note!$F$3:$F$101&gt;=T$2),0))</f>
        <v>1600</v>
      </c>
      <c r="U19" s="313" cm="1">
        <f t="array" ref="U19">INDEX(Note!$J$3:$J$101,MATCH(1,(Note!$A$3:$A$101=$A19)*(Note!$C$3:$C$101=$B19)*(Note!$E$3:$E$101&lt;=U$1)*(Note!$F$3:$F$101&gt;=U$2),0))</f>
        <v>1600</v>
      </c>
      <c r="V19" s="313" cm="1">
        <f t="array" ref="V19">INDEX(Note!$J$3:$J$101,MATCH(1,(Note!$A$3:$A$101=$A19)*(Note!$C$3:$C$101=$B19)*(Note!$E$3:$E$101&lt;=V$1)*(Note!$F$3:$F$101&gt;=V$2),0))</f>
        <v>1600</v>
      </c>
      <c r="W19" s="313" cm="1">
        <f t="array" ref="W19">INDEX(Note!$J$3:$J$101,MATCH(1,(Note!$A$3:$A$101=$A19)*(Note!$C$3:$C$101=$B19)*(Note!$E$3:$E$101&lt;=W$1)*(Note!$F$3:$F$101&gt;=W$2),0))</f>
        <v>1600</v>
      </c>
      <c r="X19" s="313" cm="1">
        <f t="array" ref="X19">INDEX(Note!$J$3:$J$101,MATCH(1,(Note!$A$3:$A$101=$A19)*(Note!$C$3:$C$101=$B19)*(Note!$E$3:$E$101&lt;=X$1)*(Note!$F$3:$F$101&gt;=X$2),0))</f>
        <v>1600</v>
      </c>
      <c r="Y19" s="313" cm="1">
        <f t="array" ref="Y19">INDEX(Note!$J$3:$J$101,MATCH(1,(Note!$A$3:$A$101=$A19)*(Note!$C$3:$C$101=$B19)*(Note!$E$3:$E$101&lt;=Y$1)*(Note!$F$3:$F$101&gt;=Y$2),0))</f>
        <v>1600</v>
      </c>
      <c r="Z19" s="314" cm="1">
        <f t="array" ref="Z19">INDEX(Note!$J$3:$J$101,MATCH(1,(Note!$A$3:$A$101=$A19)*(Note!$C$3:$C$101=$B19)*(Note!$E$3:$E$101&lt;=Z$1)*(Note!$F$3:$F$101&gt;=Z$2),0))</f>
        <v>1600</v>
      </c>
      <c r="AA19" s="313" cm="1">
        <f t="array" ref="AA19">INDEX(Note!$J$3:$J$101,MATCH(1,(Note!$A$3:$A$101=$A19)*(Note!$C$3:$C$101=$B19)*(Note!$E$3:$E$101&lt;=AA$1)*(Note!$F$3:$F$101&gt;=AA$2),0))</f>
        <v>1600</v>
      </c>
      <c r="AB19" s="313" cm="1">
        <f t="array" ref="AB19">INDEX(Note!$J$3:$J$101,MATCH(1,(Note!$A$3:$A$101=$A19)*(Note!$C$3:$C$101=$B19)*(Note!$E$3:$E$101&lt;=AB$1)*(Note!$F$3:$F$101&gt;=AB$2),0))</f>
        <v>1600</v>
      </c>
      <c r="AC19" s="313" cm="1">
        <f t="array" ref="AC19">INDEX(Note!$J$3:$J$101,MATCH(1,(Note!$A$3:$A$101=$A19)*(Note!$C$3:$C$101=$B19)*(Note!$E$3:$E$101&lt;=AC$1)*(Note!$F$3:$F$101&gt;=AC$2),0))</f>
        <v>1600</v>
      </c>
      <c r="AD19" s="313" cm="1">
        <f t="array" ref="AD19">INDEX(Note!$J$3:$J$101,MATCH(1,(Note!$A$3:$A$101=$A19)*(Note!$C$3:$C$101=$B19)*(Note!$E$3:$E$101&lt;=AD$1)*(Note!$F$3:$F$101&gt;=AD$2),0))</f>
        <v>1600</v>
      </c>
      <c r="AE19" s="313" cm="1">
        <f t="array" ref="AE19">INDEX(Note!$J$3:$J$101,MATCH(1,(Note!$A$3:$A$101=$A19)*(Note!$C$3:$C$101=$B19)*(Note!$E$3:$E$101&lt;=AE$1)*(Note!$F$3:$F$101&gt;=AE$2),0))</f>
        <v>1600</v>
      </c>
      <c r="AF19" s="313" cm="1">
        <f t="array" ref="AF19">INDEX(Note!$J$3:$J$101,MATCH(1,(Note!$A$3:$A$101=$A19)*(Note!$C$3:$C$101=$B19)*(Note!$E$3:$E$101&lt;=AF$1)*(Note!$F$3:$F$101&gt;=AF$2),0))</f>
        <v>1600</v>
      </c>
      <c r="AG19" s="313" cm="1">
        <f t="array" ref="AG19">INDEX(Note!$J$3:$J$101,MATCH(1,(Note!$A$3:$A$101=$A19)*(Note!$C$3:$C$101=$B19)*(Note!$E$3:$E$101&lt;=AG$1)*(Note!$F$3:$F$101&gt;=AG$2),0))</f>
        <v>1600</v>
      </c>
      <c r="AH19" s="313" cm="1">
        <f t="array" ref="AH19">INDEX(Note!$J$3:$J$101,MATCH(1,(Note!$A$3:$A$101=$A19)*(Note!$C$3:$C$101=$B19)*(Note!$E$3:$E$101&lt;=AH$1)*(Note!$F$3:$F$101&gt;=AH$2),0))</f>
        <v>1600</v>
      </c>
      <c r="AI19" s="313" cm="1">
        <f t="array" ref="AI19">INDEX(Note!$J$3:$J$101,MATCH(1,(Note!$A$3:$A$101=$A19)*(Note!$C$3:$C$101=$B19)*(Note!$E$3:$E$101&lt;=AI$1)*(Note!$F$3:$F$101&gt;=AI$2),0))</f>
        <v>1600</v>
      </c>
      <c r="AJ19" s="313" cm="1">
        <f t="array" ref="AJ19">INDEX(Note!$J$3:$J$101,MATCH(1,(Note!$A$3:$A$101=$A19)*(Note!$C$3:$C$101=$B19)*(Note!$E$3:$E$101&lt;=AJ$1)*(Note!$F$3:$F$101&gt;=AJ$2),0))</f>
        <v>1600</v>
      </c>
      <c r="AK19" s="313" cm="1">
        <f t="array" ref="AK19">INDEX(Note!$J$3:$J$101,MATCH(1,(Note!$A$3:$A$101=$A19)*(Note!$C$3:$C$101=$B19)*(Note!$E$3:$E$101&lt;=AK$1)*(Note!$F$3:$F$101&gt;=AK$2),0))</f>
        <v>1600</v>
      </c>
      <c r="AL19" s="314" cm="1">
        <f t="array" ref="AL19">INDEX(Note!$J$3:$J$101,MATCH(1,(Note!$A$3:$A$101=$A19)*(Note!$C$3:$C$101=$B19)*(Note!$E$3:$E$101&lt;=AL$1)*(Note!$F$3:$F$101&gt;=AL$2),0))</f>
        <v>1600</v>
      </c>
      <c r="AM19" s="313"/>
      <c r="AN19" s="313"/>
      <c r="AO19" s="313"/>
      <c r="AP19" s="313"/>
      <c r="AQ19" s="313"/>
      <c r="AR19" s="313"/>
      <c r="AS19" s="313"/>
      <c r="AT19" s="313"/>
      <c r="AU19" s="313"/>
      <c r="AV19" s="313"/>
      <c r="AW19" s="313"/>
      <c r="AX19" s="314"/>
    </row>
    <row r="20" spans="1:50" s="97" customFormat="1" outlineLevel="1" x14ac:dyDescent="0.35">
      <c r="A20" s="97" t="s">
        <v>52</v>
      </c>
      <c r="B20" s="97" t="s">
        <v>15</v>
      </c>
      <c r="F20" s="196" t="s">
        <v>217</v>
      </c>
      <c r="G20" s="107"/>
      <c r="H20" s="107"/>
      <c r="I20" s="107"/>
      <c r="J20" s="373" t="s">
        <v>48</v>
      </c>
      <c r="K20" s="109"/>
      <c r="L20" s="199"/>
      <c r="M20" s="199"/>
      <c r="N20" s="199"/>
      <c r="O20" s="313" cm="1">
        <f t="array" ref="O20">INDEX(Note!$K$3:$K$101,MATCH(1,(Note!$A$3:$A$101=$A20)*(Note!$C$3:$C$101=$B20)*(Note!$E$3:$E$101&lt;=O$1)*(Note!$F$3:$F$101&gt;=O$2),0))</f>
        <v>1200</v>
      </c>
      <c r="P20" s="313" cm="1">
        <f t="array" ref="P20">INDEX(Note!$K$3:$K$101,MATCH(1,(Note!$A$3:$A$101=$A20)*(Note!$C$3:$C$101=$B20)*(Note!$E$3:$E$101&lt;=P$1)*(Note!$F$3:$F$101&gt;=P$2),0))</f>
        <v>1200</v>
      </c>
      <c r="Q20" s="313" cm="1">
        <f t="array" ref="Q20">INDEX(Note!$K$3:$K$101,MATCH(1,(Note!$A$3:$A$101=$A20)*(Note!$C$3:$C$101=$B20)*(Note!$E$3:$E$101&lt;=Q$1)*(Note!$F$3:$F$101&gt;=Q$2),0))</f>
        <v>1200</v>
      </c>
      <c r="R20" s="313" cm="1">
        <f t="array" ref="R20">INDEX(Note!$K$3:$K$101,MATCH(1,(Note!$A$3:$A$101=$A20)*(Note!$C$3:$C$101=$B20)*(Note!$E$3:$E$101&lt;=R$1)*(Note!$F$3:$F$101&gt;=R$2),0))</f>
        <v>1200</v>
      </c>
      <c r="S20" s="313" cm="1">
        <f t="array" ref="S20">INDEX(Note!$K$3:$K$101,MATCH(1,(Note!$A$3:$A$101=$A20)*(Note!$C$3:$C$101=$B20)*(Note!$E$3:$E$101&lt;=S$1)*(Note!$F$3:$F$101&gt;=S$2),0))</f>
        <v>1200</v>
      </c>
      <c r="T20" s="313" cm="1">
        <f t="array" ref="T20">INDEX(Note!$K$3:$K$101,MATCH(1,(Note!$A$3:$A$101=$A20)*(Note!$C$3:$C$101=$B20)*(Note!$E$3:$E$101&lt;=T$1)*(Note!$F$3:$F$101&gt;=T$2),0))</f>
        <v>1200</v>
      </c>
      <c r="U20" s="313" cm="1">
        <f t="array" ref="U20">INDEX(Note!$K$3:$K$101,MATCH(1,(Note!$A$3:$A$101=$A20)*(Note!$C$3:$C$101=$B20)*(Note!$E$3:$E$101&lt;=U$1)*(Note!$F$3:$F$101&gt;=U$2),0))</f>
        <v>1200</v>
      </c>
      <c r="V20" s="313" cm="1">
        <f t="array" ref="V20">INDEX(Note!$K$3:$K$101,MATCH(1,(Note!$A$3:$A$101=$A20)*(Note!$C$3:$C$101=$B20)*(Note!$E$3:$E$101&lt;=V$1)*(Note!$F$3:$F$101&gt;=V$2),0))</f>
        <v>1200</v>
      </c>
      <c r="W20" s="313" cm="1">
        <f t="array" ref="W20">INDEX(Note!$K$3:$K$101,MATCH(1,(Note!$A$3:$A$101=$A20)*(Note!$C$3:$C$101=$B20)*(Note!$E$3:$E$101&lt;=W$1)*(Note!$F$3:$F$101&gt;=W$2),0))</f>
        <v>1200</v>
      </c>
      <c r="X20" s="313" cm="1">
        <f t="array" ref="X20">INDEX(Note!$K$3:$K$101,MATCH(1,(Note!$A$3:$A$101=$A20)*(Note!$C$3:$C$101=$B20)*(Note!$E$3:$E$101&lt;=X$1)*(Note!$F$3:$F$101&gt;=X$2),0))</f>
        <v>1200</v>
      </c>
      <c r="Y20" s="313" cm="1">
        <f t="array" ref="Y20">INDEX(Note!$K$3:$K$101,MATCH(1,(Note!$A$3:$A$101=$A20)*(Note!$C$3:$C$101=$B20)*(Note!$E$3:$E$101&lt;=Y$1)*(Note!$F$3:$F$101&gt;=Y$2),0))</f>
        <v>1200</v>
      </c>
      <c r="Z20" s="314" cm="1">
        <f t="array" ref="Z20">INDEX(Note!$K$3:$K$101,MATCH(1,(Note!$A$3:$A$101=$A20)*(Note!$C$3:$C$101=$B20)*(Note!$E$3:$E$101&lt;=Z$1)*(Note!$F$3:$F$101&gt;=Z$2),0))</f>
        <v>1200</v>
      </c>
      <c r="AA20" s="313" cm="1">
        <f t="array" ref="AA20">INDEX(Note!$K$3:$K$101,MATCH(1,(Note!$A$3:$A$101=$A20)*(Note!$C$3:$C$101=$B20)*(Note!$E$3:$E$101&lt;=AA$1)*(Note!$F$3:$F$101&gt;=AA$2),0))</f>
        <v>1200</v>
      </c>
      <c r="AB20" s="313" cm="1">
        <f t="array" ref="AB20">INDEX(Note!$K$3:$K$101,MATCH(1,(Note!$A$3:$A$101=$A20)*(Note!$C$3:$C$101=$B20)*(Note!$E$3:$E$101&lt;=AB$1)*(Note!$F$3:$F$101&gt;=AB$2),0))</f>
        <v>1200</v>
      </c>
      <c r="AC20" s="313" cm="1">
        <f t="array" ref="AC20">INDEX(Note!$K$3:$K$101,MATCH(1,(Note!$A$3:$A$101=$A20)*(Note!$C$3:$C$101=$B20)*(Note!$E$3:$E$101&lt;=AC$1)*(Note!$F$3:$F$101&gt;=AC$2),0))</f>
        <v>1200</v>
      </c>
      <c r="AD20" s="313" cm="1">
        <f t="array" ref="AD20">INDEX(Note!$K$3:$K$101,MATCH(1,(Note!$A$3:$A$101=$A20)*(Note!$C$3:$C$101=$B20)*(Note!$E$3:$E$101&lt;=AD$1)*(Note!$F$3:$F$101&gt;=AD$2),0))</f>
        <v>1200</v>
      </c>
      <c r="AE20" s="313" cm="1">
        <f t="array" ref="AE20">INDEX(Note!$K$3:$K$101,MATCH(1,(Note!$A$3:$A$101=$A20)*(Note!$C$3:$C$101=$B20)*(Note!$E$3:$E$101&lt;=AE$1)*(Note!$F$3:$F$101&gt;=AE$2),0))</f>
        <v>1200</v>
      </c>
      <c r="AF20" s="313" cm="1">
        <f t="array" ref="AF20">INDEX(Note!$K$3:$K$101,MATCH(1,(Note!$A$3:$A$101=$A20)*(Note!$C$3:$C$101=$B20)*(Note!$E$3:$E$101&lt;=AF$1)*(Note!$F$3:$F$101&gt;=AF$2),0))</f>
        <v>1200</v>
      </c>
      <c r="AG20" s="313" cm="1">
        <f t="array" ref="AG20">INDEX(Note!$K$3:$K$101,MATCH(1,(Note!$A$3:$A$101=$A20)*(Note!$C$3:$C$101=$B20)*(Note!$E$3:$E$101&lt;=AG$1)*(Note!$F$3:$F$101&gt;=AG$2),0))</f>
        <v>1200</v>
      </c>
      <c r="AH20" s="313" cm="1">
        <f t="array" ref="AH20">INDEX(Note!$K$3:$K$101,MATCH(1,(Note!$A$3:$A$101=$A20)*(Note!$C$3:$C$101=$B20)*(Note!$E$3:$E$101&lt;=AH$1)*(Note!$F$3:$F$101&gt;=AH$2),0))</f>
        <v>1200</v>
      </c>
      <c r="AI20" s="313" cm="1">
        <f t="array" ref="AI20">INDEX(Note!$K$3:$K$101,MATCH(1,(Note!$A$3:$A$101=$A20)*(Note!$C$3:$C$101=$B20)*(Note!$E$3:$E$101&lt;=AI$1)*(Note!$F$3:$F$101&gt;=AI$2),0))</f>
        <v>1200</v>
      </c>
      <c r="AJ20" s="313" cm="1">
        <f t="array" ref="AJ20">INDEX(Note!$K$3:$K$101,MATCH(1,(Note!$A$3:$A$101=$A20)*(Note!$C$3:$C$101=$B20)*(Note!$E$3:$E$101&lt;=AJ$1)*(Note!$F$3:$F$101&gt;=AJ$2),0))</f>
        <v>1200</v>
      </c>
      <c r="AK20" s="313" cm="1">
        <f t="array" ref="AK20">INDEX(Note!$K$3:$K$101,MATCH(1,(Note!$A$3:$A$101=$A20)*(Note!$C$3:$C$101=$B20)*(Note!$E$3:$E$101&lt;=AK$1)*(Note!$F$3:$F$101&gt;=AK$2),0))</f>
        <v>1200</v>
      </c>
      <c r="AL20" s="314" cm="1">
        <f t="array" ref="AL20">INDEX(Note!$K$3:$K$101,MATCH(1,(Note!$A$3:$A$101=$A20)*(Note!$C$3:$C$101=$B20)*(Note!$E$3:$E$101&lt;=AL$1)*(Note!$F$3:$F$101&gt;=AL$2),0))</f>
        <v>1200</v>
      </c>
      <c r="AM20" s="313"/>
      <c r="AN20" s="313"/>
      <c r="AO20" s="313"/>
      <c r="AP20" s="313"/>
      <c r="AQ20" s="313"/>
      <c r="AR20" s="313"/>
      <c r="AS20" s="313"/>
      <c r="AT20" s="313"/>
      <c r="AU20" s="313"/>
      <c r="AV20" s="313"/>
      <c r="AW20" s="313"/>
      <c r="AX20" s="314"/>
    </row>
    <row r="21" spans="1:50" s="188" customFormat="1" outlineLevel="1" x14ac:dyDescent="0.35">
      <c r="A21" s="188" t="s">
        <v>52</v>
      </c>
      <c r="B21" s="188" t="s">
        <v>15</v>
      </c>
      <c r="F21" s="225" t="s">
        <v>218</v>
      </c>
      <c r="G21" s="193"/>
      <c r="H21" s="193"/>
      <c r="I21" s="193"/>
      <c r="J21" s="374" t="s">
        <v>203</v>
      </c>
      <c r="K21" s="189"/>
      <c r="L21" s="202"/>
      <c r="M21" s="202"/>
      <c r="N21" s="202"/>
      <c r="O21" s="315" cm="1">
        <f t="array" ref="O21">SUMPRODUCT(General_Data*(Year=O$3)*(Month=O$4)*(Code_General_Data=$B21))</f>
        <v>1250</v>
      </c>
      <c r="P21" s="315" cm="1">
        <f t="array" ref="P21">SUMPRODUCT(General_Data*(Year=P$3)*(Month=P$4)*(Code_General_Data=$B21))</f>
        <v>1250</v>
      </c>
      <c r="Q21" s="315" cm="1">
        <f t="array" ref="Q21">SUMPRODUCT(General_Data*(Year=Q$3)*(Month=Q$4)*(Code_General_Data=$B21))</f>
        <v>1250</v>
      </c>
      <c r="R21" s="315" cm="1">
        <f t="array" ref="R21">SUMPRODUCT(General_Data*(Year=R$3)*(Month=R$4)*(Code_General_Data=$B21))</f>
        <v>1250</v>
      </c>
      <c r="S21" s="315" cm="1">
        <f t="array" ref="S21">SUMPRODUCT(General_Data*(Year=S$3)*(Month=S$4)*(Code_General_Data=$B21))</f>
        <v>1300</v>
      </c>
      <c r="T21" s="315" cm="1">
        <f t="array" ref="T21">SUMPRODUCT(General_Data*(Year=T$3)*(Month=T$4)*(Code_General_Data=$B21))</f>
        <v>1300</v>
      </c>
      <c r="U21" s="315" cm="1">
        <f t="array" ref="U21">SUMPRODUCT(General_Data*(Year=U$3)*(Month=U$4)*(Code_General_Data=$B21))</f>
        <v>1300</v>
      </c>
      <c r="V21" s="315" cm="1">
        <f t="array" ref="V21">SUMPRODUCT(General_Data*(Year=V$3)*(Month=V$4)*(Code_General_Data=$B21))</f>
        <v>1300</v>
      </c>
      <c r="W21" s="315" cm="1">
        <f t="array" ref="W21">SUMPRODUCT(General_Data*(Year=W$3)*(Month=W$4)*(Code_General_Data=$B21))</f>
        <v>1310</v>
      </c>
      <c r="X21" s="315" cm="1">
        <f t="array" ref="X21">SUMPRODUCT(General_Data*(Year=X$3)*(Month=X$4)*(Code_General_Data=$B21))</f>
        <v>1325</v>
      </c>
      <c r="Y21" s="315" cm="1">
        <f t="array" ref="Y21">SUMPRODUCT(General_Data*(Year=Y$3)*(Month=Y$4)*(Code_General_Data=$B21))</f>
        <v>1325</v>
      </c>
      <c r="Z21" s="316" cm="1">
        <f t="array" ref="Z21">SUMPRODUCT(General_Data*(Year=Z$3)*(Month=Z$4)*(Code_General_Data=$B21))</f>
        <v>1275</v>
      </c>
      <c r="AA21" s="315" cm="1">
        <f t="array" ref="AA21">SUMPRODUCT(General_Data*(Year=AA$3)*(Month=AA$4)*(Code_General_Data=$B21))</f>
        <v>1230</v>
      </c>
      <c r="AB21" s="315" cm="1">
        <f t="array" ref="AB21">SUMPRODUCT(General_Data*(Year=AB$3)*(Month=AB$4)*(Code_General_Data=$B21))</f>
        <v>1230</v>
      </c>
      <c r="AC21" s="315" cm="1">
        <f t="array" ref="AC21">SUMPRODUCT(General_Data*(Year=AC$3)*(Month=AC$4)*(Code_General_Data=$B21))</f>
        <v>1230</v>
      </c>
      <c r="AD21" s="315" cm="1">
        <f t="array" ref="AD21">SUMPRODUCT(General_Data*(Year=AD$3)*(Month=AD$4)*(Code_General_Data=$B21))</f>
        <v>1250</v>
      </c>
      <c r="AE21" s="315" cm="1">
        <f t="array" ref="AE21">SUMPRODUCT(General_Data*(Year=AE$3)*(Month=AE$4)*(Code_General_Data=$B21))</f>
        <v>1250</v>
      </c>
      <c r="AF21" s="315" cm="1">
        <f t="array" ref="AF21">SUMPRODUCT(General_Data*(Year=AF$3)*(Month=AF$4)*(Code_General_Data=$B21))</f>
        <v>1250</v>
      </c>
      <c r="AG21" s="315" cm="1">
        <f t="array" ref="AG21">SUMPRODUCT(General_Data*(Year=AG$3)*(Month=AG$4)*(Code_General_Data=$B21))</f>
        <v>1250</v>
      </c>
      <c r="AH21" s="315" cm="1">
        <f t="array" ref="AH21">SUMPRODUCT(General_Data*(Year=AH$3)*(Month=AH$4)*(Code_General_Data=$B21))</f>
        <v>1220</v>
      </c>
      <c r="AI21" s="315" cm="1">
        <f t="array" ref="AI21">SUMPRODUCT(General_Data*(Year=AI$3)*(Month=AI$4)*(Code_General_Data=$B21))</f>
        <v>1220</v>
      </c>
      <c r="AJ21" s="315" cm="1">
        <f t="array" ref="AJ21">SUMPRODUCT(General_Data*(Year=AJ$3)*(Month=AJ$4)*(Code_General_Data=$B21))</f>
        <v>1210</v>
      </c>
      <c r="AK21" s="315" cm="1">
        <f t="array" ref="AK21">SUMPRODUCT(General_Data*(Year=AK$3)*(Month=AK$4)*(Code_General_Data=$B21))</f>
        <v>1200</v>
      </c>
      <c r="AL21" s="316" cm="1">
        <f t="array" ref="AL21">SUMPRODUCT(General_Data*(Year=AL$3)*(Month=AL$4)*(Code_General_Data=$B21))</f>
        <v>1200</v>
      </c>
      <c r="AM21" s="315"/>
      <c r="AN21" s="315"/>
      <c r="AO21" s="315"/>
      <c r="AP21" s="315"/>
      <c r="AQ21" s="315"/>
      <c r="AR21" s="315"/>
      <c r="AS21" s="315"/>
      <c r="AT21" s="315"/>
      <c r="AU21" s="315"/>
      <c r="AV21" s="315"/>
      <c r="AW21" s="315"/>
      <c r="AX21" s="316"/>
    </row>
    <row r="22" spans="1:50" s="97" customFormat="1" outlineLevel="1" x14ac:dyDescent="0.35">
      <c r="F22" s="196"/>
      <c r="G22" s="107"/>
      <c r="H22" s="107"/>
      <c r="I22" s="107"/>
      <c r="J22" s="373" t="s">
        <v>431</v>
      </c>
      <c r="K22" s="109"/>
      <c r="L22" s="199"/>
      <c r="M22" s="199"/>
      <c r="N22" s="199"/>
      <c r="O22" s="313">
        <f>O19-O16</f>
        <v>1580</v>
      </c>
      <c r="P22" s="313">
        <f t="shared" ref="P22:AG22" si="9">P19-P16</f>
        <v>1580</v>
      </c>
      <c r="Q22" s="313">
        <f t="shared" si="9"/>
        <v>1580</v>
      </c>
      <c r="R22" s="313">
        <f t="shared" si="9"/>
        <v>1580</v>
      </c>
      <c r="S22" s="313">
        <f t="shared" si="9"/>
        <v>1580</v>
      </c>
      <c r="T22" s="313">
        <f t="shared" si="9"/>
        <v>1580</v>
      </c>
      <c r="U22" s="313">
        <f t="shared" si="9"/>
        <v>1580</v>
      </c>
      <c r="V22" s="313">
        <f t="shared" si="9"/>
        <v>1580</v>
      </c>
      <c r="W22" s="313">
        <f t="shared" si="9"/>
        <v>1580</v>
      </c>
      <c r="X22" s="313">
        <f t="shared" si="9"/>
        <v>1580</v>
      </c>
      <c r="Y22" s="313">
        <f t="shared" si="9"/>
        <v>1580</v>
      </c>
      <c r="Z22" s="314">
        <f t="shared" si="9"/>
        <v>1580</v>
      </c>
      <c r="AA22" s="313">
        <f t="shared" si="9"/>
        <v>1580</v>
      </c>
      <c r="AB22" s="313">
        <f t="shared" si="9"/>
        <v>1580</v>
      </c>
      <c r="AC22" s="313">
        <f t="shared" si="9"/>
        <v>1580</v>
      </c>
      <c r="AD22" s="313">
        <f t="shared" si="9"/>
        <v>1578</v>
      </c>
      <c r="AE22" s="313">
        <f t="shared" si="9"/>
        <v>1578</v>
      </c>
      <c r="AF22" s="313">
        <f t="shared" si="9"/>
        <v>1578</v>
      </c>
      <c r="AG22" s="313">
        <f t="shared" si="9"/>
        <v>1578</v>
      </c>
      <c r="AH22" s="313">
        <f t="shared" ref="AH22" si="10">AH19-AH16</f>
        <v>1580</v>
      </c>
      <c r="AI22" s="313">
        <f>AI19-AI16</f>
        <v>1580</v>
      </c>
      <c r="AJ22" s="313">
        <f>AJ19-AJ16</f>
        <v>1580</v>
      </c>
      <c r="AK22" s="313">
        <f>AK19-AK16</f>
        <v>1580</v>
      </c>
      <c r="AL22" s="314">
        <f>AL19-AL16</f>
        <v>1580</v>
      </c>
      <c r="AM22" s="313"/>
      <c r="AN22" s="313"/>
      <c r="AO22" s="313"/>
      <c r="AP22" s="313"/>
      <c r="AQ22" s="313"/>
      <c r="AR22" s="313"/>
      <c r="AS22" s="313"/>
      <c r="AT22" s="313"/>
      <c r="AU22" s="313"/>
      <c r="AV22" s="313"/>
      <c r="AW22" s="313"/>
      <c r="AX22" s="314"/>
    </row>
    <row r="23" spans="1:50" s="97" customFormat="1" outlineLevel="1" x14ac:dyDescent="0.35">
      <c r="F23" s="196"/>
      <c r="G23" s="107"/>
      <c r="H23" s="107"/>
      <c r="I23" s="107"/>
      <c r="J23" s="373" t="s">
        <v>432</v>
      </c>
      <c r="K23" s="109"/>
      <c r="L23" s="199"/>
      <c r="M23" s="199"/>
      <c r="N23" s="199"/>
      <c r="O23" s="313">
        <f>O20-O16</f>
        <v>1180</v>
      </c>
      <c r="P23" s="313">
        <f t="shared" ref="P23:AG23" si="11">P20-P16</f>
        <v>1180</v>
      </c>
      <c r="Q23" s="313">
        <f t="shared" si="11"/>
        <v>1180</v>
      </c>
      <c r="R23" s="313">
        <f t="shared" si="11"/>
        <v>1180</v>
      </c>
      <c r="S23" s="313">
        <f t="shared" si="11"/>
        <v>1180</v>
      </c>
      <c r="T23" s="313">
        <f t="shared" si="11"/>
        <v>1180</v>
      </c>
      <c r="U23" s="313">
        <f t="shared" si="11"/>
        <v>1180</v>
      </c>
      <c r="V23" s="313">
        <f t="shared" si="11"/>
        <v>1180</v>
      </c>
      <c r="W23" s="313">
        <f t="shared" si="11"/>
        <v>1180</v>
      </c>
      <c r="X23" s="313">
        <f t="shared" si="11"/>
        <v>1180</v>
      </c>
      <c r="Y23" s="313">
        <f t="shared" si="11"/>
        <v>1180</v>
      </c>
      <c r="Z23" s="314">
        <f t="shared" si="11"/>
        <v>1180</v>
      </c>
      <c r="AA23" s="313">
        <f t="shared" si="11"/>
        <v>1180</v>
      </c>
      <c r="AB23" s="313">
        <f t="shared" si="11"/>
        <v>1180</v>
      </c>
      <c r="AC23" s="313">
        <f t="shared" si="11"/>
        <v>1180</v>
      </c>
      <c r="AD23" s="313">
        <f t="shared" si="11"/>
        <v>1178</v>
      </c>
      <c r="AE23" s="313">
        <f t="shared" si="11"/>
        <v>1178</v>
      </c>
      <c r="AF23" s="313">
        <f t="shared" si="11"/>
        <v>1178</v>
      </c>
      <c r="AG23" s="313">
        <f t="shared" si="11"/>
        <v>1178</v>
      </c>
      <c r="AH23" s="313">
        <f t="shared" ref="AH23" si="12">AH20-AH16</f>
        <v>1180</v>
      </c>
      <c r="AI23" s="313">
        <f>AI20-AI16</f>
        <v>1180</v>
      </c>
      <c r="AJ23" s="313">
        <f>AJ20-AJ16</f>
        <v>1180</v>
      </c>
      <c r="AK23" s="313">
        <f>AK20-AK16</f>
        <v>1180</v>
      </c>
      <c r="AL23" s="314">
        <f>AL20-AL16</f>
        <v>1180</v>
      </c>
      <c r="AM23" s="313"/>
      <c r="AN23" s="313"/>
      <c r="AO23" s="313"/>
      <c r="AP23" s="313"/>
      <c r="AQ23" s="313"/>
      <c r="AR23" s="313"/>
      <c r="AS23" s="313"/>
      <c r="AT23" s="313"/>
      <c r="AU23" s="313"/>
      <c r="AV23" s="313"/>
      <c r="AW23" s="313"/>
      <c r="AX23" s="314"/>
    </row>
    <row r="24" spans="1:50" s="93" customFormat="1" x14ac:dyDescent="0.35">
      <c r="D24" s="92"/>
      <c r="F24" s="168"/>
      <c r="G24"/>
      <c r="H24"/>
      <c r="I24"/>
      <c r="J24" s="321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 s="48"/>
      <c r="AA24"/>
      <c r="AB24"/>
      <c r="AC24"/>
      <c r="AD24"/>
      <c r="AE24"/>
      <c r="AF24"/>
      <c r="AG24"/>
      <c r="AH24"/>
      <c r="AI24"/>
      <c r="AJ24"/>
      <c r="AK24"/>
      <c r="AL24" s="48"/>
      <c r="AM24"/>
      <c r="AN24"/>
      <c r="AO24"/>
      <c r="AP24"/>
      <c r="AQ24"/>
      <c r="AR24"/>
      <c r="AS24"/>
      <c r="AT24"/>
      <c r="AU24"/>
      <c r="AV24"/>
      <c r="AW24"/>
      <c r="AX24" s="48"/>
    </row>
    <row r="25" spans="1:50" s="336" customFormat="1" ht="17" x14ac:dyDescent="0.35">
      <c r="A25" s="404" t="s">
        <v>362</v>
      </c>
      <c r="F25" s="337">
        <v>2</v>
      </c>
      <c r="G25" s="364" t="s">
        <v>360</v>
      </c>
      <c r="H25" s="364"/>
      <c r="I25" s="364"/>
      <c r="J25" s="365"/>
      <c r="L25" s="338"/>
      <c r="M25" s="338"/>
      <c r="N25" s="338"/>
      <c r="O25" s="338"/>
      <c r="P25" s="338"/>
      <c r="Q25" s="338"/>
      <c r="R25" s="338"/>
      <c r="S25" s="338"/>
      <c r="T25" s="338"/>
      <c r="U25" s="338"/>
      <c r="V25" s="338"/>
      <c r="W25" s="338"/>
      <c r="X25" s="338"/>
      <c r="Y25" s="338"/>
      <c r="Z25" s="339"/>
      <c r="AA25" s="340"/>
      <c r="AB25" s="338"/>
      <c r="AC25" s="340"/>
      <c r="AD25" s="340"/>
      <c r="AE25" s="340"/>
      <c r="AF25" s="340"/>
      <c r="AG25" s="340"/>
      <c r="AH25" s="340"/>
      <c r="AI25" s="340"/>
      <c r="AJ25" s="340"/>
      <c r="AK25" s="340"/>
      <c r="AL25" s="339"/>
      <c r="AM25" s="340"/>
      <c r="AN25" s="338"/>
      <c r="AO25" s="340"/>
      <c r="AP25" s="340"/>
      <c r="AQ25" s="340"/>
      <c r="AR25" s="340"/>
      <c r="AS25" s="340"/>
      <c r="AT25" s="340"/>
      <c r="AU25" s="340"/>
      <c r="AV25" s="340"/>
      <c r="AW25" s="340"/>
      <c r="AX25" s="339"/>
    </row>
    <row r="26" spans="1:50" s="330" customFormat="1" ht="16" x14ac:dyDescent="0.35">
      <c r="A26" s="405" t="s">
        <v>362</v>
      </c>
      <c r="B26" s="330" t="s">
        <v>31</v>
      </c>
      <c r="D26" s="330" t="s">
        <v>322</v>
      </c>
      <c r="F26" s="343">
        <v>2.1</v>
      </c>
      <c r="G26" s="344"/>
      <c r="H26" s="344" t="s">
        <v>361</v>
      </c>
      <c r="I26" s="344"/>
      <c r="J26" s="379"/>
      <c r="L26" s="344"/>
      <c r="M26" s="344"/>
      <c r="N26" s="344"/>
      <c r="O26" s="334"/>
      <c r="P26" s="334"/>
      <c r="Q26" s="334"/>
      <c r="R26" s="334"/>
      <c r="S26" s="334"/>
      <c r="T26" s="334"/>
      <c r="U26" s="334"/>
      <c r="V26" s="334"/>
      <c r="W26" s="334"/>
      <c r="X26" s="334"/>
      <c r="Y26" s="334"/>
      <c r="Z26" s="335"/>
      <c r="AA26" s="333">
        <v>1250</v>
      </c>
      <c r="AB26" s="334">
        <v>1250</v>
      </c>
      <c r="AC26" s="334">
        <v>1250</v>
      </c>
      <c r="AD26" s="334">
        <v>1250</v>
      </c>
      <c r="AE26" s="334">
        <v>1250</v>
      </c>
      <c r="AF26" s="334">
        <v>1250</v>
      </c>
      <c r="AG26" s="334">
        <v>1250</v>
      </c>
      <c r="AH26" s="334">
        <v>1250</v>
      </c>
      <c r="AI26" s="334">
        <v>1250</v>
      </c>
      <c r="AJ26" s="334">
        <v>1250</v>
      </c>
      <c r="AK26" s="334">
        <v>1250</v>
      </c>
      <c r="AL26" s="335">
        <v>1250</v>
      </c>
      <c r="AM26" s="333"/>
      <c r="AN26" s="334"/>
      <c r="AO26" s="334"/>
      <c r="AP26" s="334"/>
      <c r="AQ26" s="334"/>
      <c r="AR26" s="334"/>
      <c r="AS26" s="334"/>
      <c r="AT26" s="334"/>
      <c r="AU26" s="334"/>
      <c r="AV26" s="334"/>
      <c r="AW26" s="334"/>
      <c r="AX26" s="335"/>
    </row>
    <row r="27" spans="1:50" s="94" customFormat="1" outlineLevel="1" x14ac:dyDescent="0.35">
      <c r="A27" s="300" t="s">
        <v>362</v>
      </c>
      <c r="B27" s="300" t="s">
        <v>31</v>
      </c>
      <c r="D27" s="95" t="s">
        <v>162</v>
      </c>
      <c r="F27" s="278" t="s">
        <v>210</v>
      </c>
      <c r="G27" s="279"/>
      <c r="H27" s="279"/>
      <c r="I27" s="279" t="s">
        <v>8</v>
      </c>
      <c r="J27" s="381"/>
      <c r="K27" s="2"/>
      <c r="L27" s="279"/>
      <c r="M27" s="279"/>
      <c r="N27" s="279"/>
      <c r="O27" s="229"/>
      <c r="P27" s="229"/>
      <c r="Q27" s="229"/>
      <c r="R27" s="229"/>
      <c r="S27" s="229"/>
      <c r="T27" s="229"/>
      <c r="U27" s="229"/>
      <c r="V27" s="229"/>
      <c r="W27" s="229"/>
      <c r="X27" s="229"/>
      <c r="Y27" s="229"/>
      <c r="Z27" s="230"/>
      <c r="AA27" s="229">
        <f>AA26-AA28</f>
        <v>1230</v>
      </c>
      <c r="AB27" s="229">
        <f>AB26-AB28</f>
        <v>1230</v>
      </c>
      <c r="AC27" s="229">
        <f>AC26-AC28</f>
        <v>1230</v>
      </c>
      <c r="AD27" s="229">
        <f>AD26-AD28</f>
        <v>1228</v>
      </c>
      <c r="AE27" s="229">
        <v>1228</v>
      </c>
      <c r="AF27" s="229">
        <v>1228</v>
      </c>
      <c r="AG27" s="229">
        <v>1228</v>
      </c>
      <c r="AH27" s="229">
        <v>1228</v>
      </c>
      <c r="AI27" s="229">
        <v>1228</v>
      </c>
      <c r="AJ27" s="229">
        <v>1228</v>
      </c>
      <c r="AK27" s="229">
        <v>1228</v>
      </c>
      <c r="AL27" s="230">
        <v>1228</v>
      </c>
      <c r="AM27" s="229"/>
      <c r="AN27" s="229"/>
      <c r="AO27" s="229"/>
      <c r="AP27" s="229"/>
      <c r="AQ27" s="229"/>
      <c r="AR27" s="229"/>
      <c r="AS27" s="229"/>
      <c r="AT27" s="229"/>
      <c r="AU27" s="229"/>
      <c r="AV27" s="229"/>
      <c r="AW27" s="229"/>
      <c r="AX27" s="230"/>
    </row>
    <row r="28" spans="1:50" s="184" customFormat="1" outlineLevel="1" x14ac:dyDescent="0.35">
      <c r="A28" s="406" t="s">
        <v>362</v>
      </c>
      <c r="B28" s="184" t="s">
        <v>31</v>
      </c>
      <c r="F28" s="222" t="s">
        <v>211</v>
      </c>
      <c r="G28" s="191"/>
      <c r="H28" s="191"/>
      <c r="I28" s="191" t="s">
        <v>50</v>
      </c>
      <c r="J28" s="370"/>
      <c r="K28" s="185"/>
      <c r="L28" s="210"/>
      <c r="M28" s="210"/>
      <c r="N28" s="210"/>
      <c r="O28" s="210"/>
      <c r="P28" s="210"/>
      <c r="Q28" s="210"/>
      <c r="R28" s="210"/>
      <c r="S28" s="210"/>
      <c r="T28" s="210"/>
      <c r="U28" s="210"/>
      <c r="V28" s="210"/>
      <c r="W28" s="210"/>
      <c r="X28" s="210"/>
      <c r="Y28" s="210"/>
      <c r="Z28" s="212"/>
      <c r="AA28" s="210">
        <v>20</v>
      </c>
      <c r="AB28" s="210">
        <v>20</v>
      </c>
      <c r="AC28" s="210">
        <v>20</v>
      </c>
      <c r="AD28" s="210">
        <v>22</v>
      </c>
      <c r="AE28" s="210">
        <v>22</v>
      </c>
      <c r="AF28" s="210">
        <v>22</v>
      </c>
      <c r="AG28" s="210">
        <v>22</v>
      </c>
      <c r="AH28" s="210">
        <v>20</v>
      </c>
      <c r="AI28" s="210">
        <v>20</v>
      </c>
      <c r="AJ28" s="210">
        <v>20</v>
      </c>
      <c r="AK28" s="210">
        <v>20</v>
      </c>
      <c r="AL28" s="212">
        <v>20</v>
      </c>
      <c r="AM28" s="210"/>
      <c r="AN28" s="210"/>
      <c r="AO28" s="210"/>
      <c r="AP28" s="210"/>
      <c r="AQ28" s="210"/>
      <c r="AR28" s="210"/>
      <c r="AS28" s="210"/>
      <c r="AT28" s="210"/>
      <c r="AU28" s="210"/>
      <c r="AV28" s="210"/>
      <c r="AW28" s="210"/>
      <c r="AX28" s="212"/>
    </row>
    <row r="29" spans="1:50" s="188" customFormat="1" outlineLevel="1" x14ac:dyDescent="0.35">
      <c r="A29" s="303" t="s">
        <v>362</v>
      </c>
      <c r="B29" s="303" t="s">
        <v>31</v>
      </c>
      <c r="F29" s="286" t="s">
        <v>212</v>
      </c>
      <c r="G29" s="287"/>
      <c r="H29" s="287"/>
      <c r="I29" s="287"/>
      <c r="J29" s="383" t="s">
        <v>203</v>
      </c>
      <c r="K29" s="189"/>
      <c r="L29" s="295"/>
      <c r="M29" s="295"/>
      <c r="N29" s="295"/>
      <c r="O29" s="315"/>
      <c r="P29" s="315"/>
      <c r="Q29" s="315"/>
      <c r="R29" s="315"/>
      <c r="S29" s="315"/>
      <c r="T29" s="315"/>
      <c r="U29" s="315"/>
      <c r="V29" s="315"/>
      <c r="W29" s="315"/>
      <c r="X29" s="315"/>
      <c r="Y29" s="315"/>
      <c r="Z29" s="316"/>
      <c r="AA29" s="315" cm="1">
        <f t="array" ref="AA29">SUMPRODUCT(General_Data*(Year=AA$3)*(Month=AA$4)*(Code_General_Data=$B29))</f>
        <v>1260</v>
      </c>
      <c r="AB29" s="315" cm="1">
        <f t="array" ref="AB29">SUMPRODUCT(General_Data*(Year=AB$3)*(Month=AB$4)*(Code_General_Data=$B29))</f>
        <v>1260</v>
      </c>
      <c r="AC29" s="315" cm="1">
        <f t="array" ref="AC29">SUMPRODUCT(General_Data*(Year=AC$3)*(Month=AC$4)*(Code_General_Data=$B29))</f>
        <v>1260</v>
      </c>
      <c r="AD29" s="315" cm="1">
        <f t="array" ref="AD29">SUMPRODUCT(General_Data*(Year=AD$3)*(Month=AD$4)*(Code_General_Data=$B29))</f>
        <v>1280</v>
      </c>
      <c r="AE29" s="315" cm="1">
        <f t="array" ref="AE29">SUMPRODUCT(General_Data*(Year=AE$3)*(Month=AE$4)*(Code_General_Data=$B29))</f>
        <v>1280</v>
      </c>
      <c r="AF29" s="315" cm="1">
        <f t="array" ref="AF29">SUMPRODUCT(General_Data*(Year=AF$3)*(Month=AF$4)*(Code_General_Data=$B29))</f>
        <v>1280</v>
      </c>
      <c r="AG29" s="315" cm="1">
        <f t="array" ref="AG29">SUMPRODUCT(General_Data*(Year=AG$3)*(Month=AG$4)*(Code_General_Data=$B29))</f>
        <v>1280</v>
      </c>
      <c r="AH29" s="315" cm="1">
        <f t="array" ref="AH29">SUMPRODUCT(General_Data*(Year=AH$3)*(Month=AH$4)*(Code_General_Data=$B29))</f>
        <v>1250</v>
      </c>
      <c r="AI29" s="315" cm="1">
        <f t="array" ref="AI29">SUMPRODUCT(General_Data*(Year=AI$3)*(Month=AI$4)*(Code_General_Data=$B29))</f>
        <v>1250</v>
      </c>
      <c r="AJ29" s="315" cm="1">
        <f t="array" ref="AJ29">SUMPRODUCT(General_Data*(Year=AJ$3)*(Month=AJ$4)*(Code_General_Data=$B29))</f>
        <v>1240</v>
      </c>
      <c r="AK29" s="315" cm="1">
        <f t="array" ref="AK29">SUMPRODUCT(General_Data*(Year=AK$3)*(Month=AK$4)*(Code_General_Data=$B29))</f>
        <v>1230</v>
      </c>
      <c r="AL29" s="316" cm="1">
        <f t="array" ref="AL29">SUMPRODUCT(General_Data*(Year=AL$3)*(Month=AL$4)*(Code_General_Data=$B29))</f>
        <v>1230</v>
      </c>
      <c r="AM29" s="315"/>
      <c r="AN29" s="315"/>
      <c r="AO29" s="315"/>
      <c r="AP29" s="315"/>
      <c r="AQ29" s="315"/>
      <c r="AR29" s="315"/>
      <c r="AS29" s="315"/>
      <c r="AT29" s="315"/>
      <c r="AU29" s="315"/>
      <c r="AV29" s="315"/>
      <c r="AW29" s="315"/>
      <c r="AX29" s="316"/>
    </row>
    <row r="30" spans="1:50" s="93" customFormat="1" x14ac:dyDescent="0.35">
      <c r="D30" s="92"/>
      <c r="F30" s="168"/>
      <c r="G30"/>
      <c r="H30"/>
      <c r="I30"/>
      <c r="J30" s="321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 s="48"/>
      <c r="AA30"/>
      <c r="AB30"/>
      <c r="AC30"/>
      <c r="AD30"/>
      <c r="AE30"/>
      <c r="AF30"/>
      <c r="AG30"/>
      <c r="AH30"/>
      <c r="AI30"/>
      <c r="AJ30"/>
      <c r="AK30"/>
      <c r="AL30" s="48"/>
      <c r="AM30"/>
      <c r="AN30"/>
      <c r="AO30"/>
      <c r="AP30"/>
      <c r="AQ30"/>
      <c r="AR30"/>
      <c r="AS30"/>
      <c r="AT30"/>
      <c r="AU30"/>
      <c r="AV30"/>
      <c r="AW30"/>
      <c r="AX30" s="48"/>
    </row>
    <row r="31" spans="1:50" s="336" customFormat="1" ht="17" x14ac:dyDescent="0.35">
      <c r="A31" s="336" t="s">
        <v>64</v>
      </c>
      <c r="F31" s="337">
        <v>3</v>
      </c>
      <c r="G31" s="364" t="s">
        <v>207</v>
      </c>
      <c r="H31" s="364"/>
      <c r="I31" s="364"/>
      <c r="J31" s="365"/>
      <c r="L31" s="338"/>
      <c r="M31" s="338"/>
      <c r="N31" s="338"/>
      <c r="O31" s="338"/>
      <c r="P31" s="338"/>
      <c r="Q31" s="338"/>
      <c r="R31" s="338"/>
      <c r="S31" s="338"/>
      <c r="T31" s="338"/>
      <c r="U31" s="338"/>
      <c r="V31" s="338"/>
      <c r="W31" s="338"/>
      <c r="X31" s="338"/>
      <c r="Y31" s="338"/>
      <c r="Z31" s="339"/>
      <c r="AA31" s="340"/>
      <c r="AB31" s="338"/>
      <c r="AC31" s="340"/>
      <c r="AD31" s="340"/>
      <c r="AE31" s="340"/>
      <c r="AF31" s="340"/>
      <c r="AG31" s="340"/>
      <c r="AH31" s="340"/>
      <c r="AI31" s="340"/>
      <c r="AJ31" s="340"/>
      <c r="AK31" s="340"/>
      <c r="AL31" s="339"/>
      <c r="AM31" s="340"/>
      <c r="AN31" s="338"/>
      <c r="AO31" s="340"/>
      <c r="AP31" s="340"/>
      <c r="AQ31" s="340"/>
      <c r="AR31" s="340"/>
      <c r="AS31" s="340"/>
      <c r="AT31" s="340"/>
      <c r="AU31" s="340"/>
      <c r="AV31" s="340"/>
      <c r="AW31" s="340"/>
      <c r="AX31" s="339"/>
    </row>
    <row r="32" spans="1:50" s="330" customFormat="1" ht="16" x14ac:dyDescent="0.35">
      <c r="A32" s="330" t="s">
        <v>64</v>
      </c>
      <c r="B32" s="330" t="s">
        <v>15</v>
      </c>
      <c r="D32" s="330" t="s">
        <v>322</v>
      </c>
      <c r="F32" s="331">
        <v>3.1</v>
      </c>
      <c r="G32" s="332"/>
      <c r="H32" s="332" t="s">
        <v>208</v>
      </c>
      <c r="I32" s="332"/>
      <c r="J32" s="366"/>
      <c r="L32" s="332"/>
      <c r="M32" s="332"/>
      <c r="N32" s="332"/>
      <c r="O32" s="334">
        <f>ROUND(SUM(O33:O38),-2)+O39</f>
        <v>1320</v>
      </c>
      <c r="P32" s="334">
        <f t="shared" ref="P32:W32" si="13">ROUND(SUM(P33:P38),-2)+P39</f>
        <v>1320</v>
      </c>
      <c r="Q32" s="334">
        <f t="shared" si="13"/>
        <v>1320</v>
      </c>
      <c r="R32" s="334">
        <f t="shared" si="13"/>
        <v>1320</v>
      </c>
      <c r="S32" s="334">
        <f t="shared" si="13"/>
        <v>1320</v>
      </c>
      <c r="T32" s="334">
        <f t="shared" si="13"/>
        <v>1320</v>
      </c>
      <c r="U32" s="334">
        <f t="shared" si="13"/>
        <v>1320</v>
      </c>
      <c r="V32" s="334">
        <f t="shared" si="13"/>
        <v>1320</v>
      </c>
      <c r="W32" s="334">
        <f t="shared" si="13"/>
        <v>1320</v>
      </c>
      <c r="X32" s="334">
        <f>ROUND(SUM(X33:X38),-1)+X39</f>
        <v>1300</v>
      </c>
      <c r="Y32" s="334">
        <f>ROUND(SUM(Y33:Y38),-1)+Y39</f>
        <v>1300</v>
      </c>
      <c r="Z32" s="335">
        <f>ROUND(SUM(Z33:Z38),-1)+Z39</f>
        <v>1300</v>
      </c>
      <c r="AA32" s="333">
        <f t="shared" ref="AA32:AL32" si="14">ROUND(SUM(AA33:AA38),-1)+AA39</f>
        <v>1300</v>
      </c>
      <c r="AB32" s="334">
        <f t="shared" si="14"/>
        <v>1300</v>
      </c>
      <c r="AC32" s="334">
        <f t="shared" si="14"/>
        <v>1300</v>
      </c>
      <c r="AD32" s="334">
        <f>ROUND(SUM(AD33:AD38),-1)+AD39</f>
        <v>1250</v>
      </c>
      <c r="AE32" s="334">
        <f t="shared" si="14"/>
        <v>1250</v>
      </c>
      <c r="AF32" s="334">
        <f t="shared" si="14"/>
        <v>1250</v>
      </c>
      <c r="AG32" s="334">
        <f t="shared" si="14"/>
        <v>1280</v>
      </c>
      <c r="AH32" s="334">
        <f t="shared" si="14"/>
        <v>1280</v>
      </c>
      <c r="AI32" s="334">
        <f t="shared" si="14"/>
        <v>1280</v>
      </c>
      <c r="AJ32" s="334">
        <f t="shared" si="14"/>
        <v>1280</v>
      </c>
      <c r="AK32" s="334">
        <f t="shared" si="14"/>
        <v>1280</v>
      </c>
      <c r="AL32" s="335">
        <f t="shared" si="14"/>
        <v>1280</v>
      </c>
      <c r="AM32" s="333"/>
      <c r="AN32" s="334"/>
      <c r="AO32" s="334"/>
      <c r="AP32" s="334"/>
      <c r="AQ32" s="334"/>
      <c r="AR32" s="334"/>
      <c r="AS32" s="334"/>
      <c r="AT32" s="334"/>
      <c r="AU32" s="334"/>
      <c r="AV32" s="334"/>
      <c r="AW32" s="334"/>
      <c r="AX32" s="335"/>
    </row>
    <row r="33" spans="1:50" s="345" customFormat="1" outlineLevel="1" x14ac:dyDescent="0.35">
      <c r="A33" s="345" t="s">
        <v>64</v>
      </c>
      <c r="B33" s="345" t="s">
        <v>15</v>
      </c>
      <c r="F33" s="346" t="s">
        <v>327</v>
      </c>
      <c r="G33" s="347"/>
      <c r="H33" s="347" t="s">
        <v>41</v>
      </c>
      <c r="I33" s="347" t="s">
        <v>55</v>
      </c>
      <c r="J33" s="367"/>
      <c r="K33" s="348"/>
      <c r="L33" s="347"/>
      <c r="M33" s="347"/>
      <c r="N33" s="347"/>
      <c r="O33" s="350">
        <f>16500/O$40*10^3</f>
        <v>673.46938775510205</v>
      </c>
      <c r="P33" s="350">
        <f t="shared" ref="P33:AC33" si="15">16500/P$40*10^3</f>
        <v>673.46938775510205</v>
      </c>
      <c r="Q33" s="350">
        <f t="shared" si="15"/>
        <v>673.46938775510205</v>
      </c>
      <c r="R33" s="350">
        <f t="shared" si="15"/>
        <v>673.46938775510205</v>
      </c>
      <c r="S33" s="350">
        <f t="shared" si="15"/>
        <v>673.46938775510205</v>
      </c>
      <c r="T33" s="350">
        <f t="shared" si="15"/>
        <v>673.46938775510205</v>
      </c>
      <c r="U33" s="350">
        <f t="shared" si="15"/>
        <v>660</v>
      </c>
      <c r="V33" s="350">
        <f t="shared" si="15"/>
        <v>660</v>
      </c>
      <c r="W33" s="350">
        <f t="shared" si="15"/>
        <v>660</v>
      </c>
      <c r="X33" s="350">
        <f t="shared" si="15"/>
        <v>660</v>
      </c>
      <c r="Y33" s="350">
        <f t="shared" si="15"/>
        <v>660</v>
      </c>
      <c r="Z33" s="351">
        <f t="shared" si="15"/>
        <v>660</v>
      </c>
      <c r="AA33" s="349">
        <f t="shared" si="15"/>
        <v>660</v>
      </c>
      <c r="AB33" s="350">
        <f t="shared" si="15"/>
        <v>660</v>
      </c>
      <c r="AC33" s="350">
        <f t="shared" si="15"/>
        <v>660</v>
      </c>
      <c r="AD33" s="350">
        <f>16800/AD$40*10^3</f>
        <v>672</v>
      </c>
      <c r="AE33" s="350">
        <f>16800/AE$40*10^3</f>
        <v>672</v>
      </c>
      <c r="AF33" s="350">
        <f>16800/AF$40*10^3</f>
        <v>672</v>
      </c>
      <c r="AG33" s="350">
        <f t="shared" ref="AG33:AL33" si="16">16800/AG$40*10^3</f>
        <v>672</v>
      </c>
      <c r="AH33" s="350">
        <f t="shared" si="16"/>
        <v>672</v>
      </c>
      <c r="AI33" s="350">
        <f t="shared" si="16"/>
        <v>672</v>
      </c>
      <c r="AJ33" s="350">
        <f t="shared" si="16"/>
        <v>672</v>
      </c>
      <c r="AK33" s="350">
        <f t="shared" si="16"/>
        <v>672</v>
      </c>
      <c r="AL33" s="351">
        <f t="shared" si="16"/>
        <v>672</v>
      </c>
      <c r="AM33" s="349"/>
      <c r="AN33" s="350"/>
      <c r="AO33" s="350"/>
      <c r="AP33" s="350"/>
      <c r="AQ33" s="350"/>
      <c r="AR33" s="350"/>
      <c r="AS33" s="350"/>
      <c r="AT33" s="350"/>
      <c r="AU33" s="350"/>
      <c r="AV33" s="350"/>
      <c r="AW33" s="350"/>
      <c r="AX33" s="351"/>
    </row>
    <row r="34" spans="1:50" s="345" customFormat="1" outlineLevel="1" x14ac:dyDescent="0.35">
      <c r="A34" s="345" t="s">
        <v>64</v>
      </c>
      <c r="B34" s="345" t="s">
        <v>15</v>
      </c>
      <c r="F34" s="346" t="s">
        <v>330</v>
      </c>
      <c r="G34" s="347"/>
      <c r="H34" s="347" t="s">
        <v>41</v>
      </c>
      <c r="I34" s="347" t="s">
        <v>337</v>
      </c>
      <c r="J34" s="368"/>
      <c r="K34" s="348"/>
      <c r="L34" s="347"/>
      <c r="M34" s="347"/>
      <c r="N34" s="347"/>
      <c r="O34" s="350">
        <f t="shared" ref="O34:AE34" si="17">O33*O41</f>
        <v>202.0408163265306</v>
      </c>
      <c r="P34" s="350">
        <f t="shared" si="17"/>
        <v>202.0408163265306</v>
      </c>
      <c r="Q34" s="350">
        <f t="shared" si="17"/>
        <v>202.0408163265306</v>
      </c>
      <c r="R34" s="350">
        <f t="shared" si="17"/>
        <v>202.0408163265306</v>
      </c>
      <c r="S34" s="350">
        <f t="shared" si="17"/>
        <v>202.0408163265306</v>
      </c>
      <c r="T34" s="350">
        <f t="shared" si="17"/>
        <v>202.0408163265306</v>
      </c>
      <c r="U34" s="350">
        <f t="shared" si="17"/>
        <v>198</v>
      </c>
      <c r="V34" s="350">
        <f t="shared" si="17"/>
        <v>198</v>
      </c>
      <c r="W34" s="350">
        <f t="shared" si="17"/>
        <v>198</v>
      </c>
      <c r="X34" s="350">
        <f t="shared" si="17"/>
        <v>198</v>
      </c>
      <c r="Y34" s="350">
        <f t="shared" si="17"/>
        <v>198</v>
      </c>
      <c r="Z34" s="351">
        <f t="shared" si="17"/>
        <v>198</v>
      </c>
      <c r="AA34" s="349">
        <f t="shared" si="17"/>
        <v>198</v>
      </c>
      <c r="AB34" s="350">
        <f t="shared" si="17"/>
        <v>198</v>
      </c>
      <c r="AC34" s="350">
        <f t="shared" si="17"/>
        <v>198</v>
      </c>
      <c r="AD34" s="350">
        <f t="shared" si="17"/>
        <v>201.6</v>
      </c>
      <c r="AE34" s="350">
        <f t="shared" si="17"/>
        <v>201.6</v>
      </c>
      <c r="AF34" s="350">
        <f t="shared" ref="AF34:AL34" si="18">AF33*AF41</f>
        <v>201.6</v>
      </c>
      <c r="AG34" s="350">
        <f t="shared" si="18"/>
        <v>201.6</v>
      </c>
      <c r="AH34" s="350">
        <f t="shared" si="18"/>
        <v>201.6</v>
      </c>
      <c r="AI34" s="350">
        <f t="shared" si="18"/>
        <v>201.6</v>
      </c>
      <c r="AJ34" s="350">
        <f t="shared" si="18"/>
        <v>201.6</v>
      </c>
      <c r="AK34" s="350">
        <f t="shared" si="18"/>
        <v>201.6</v>
      </c>
      <c r="AL34" s="351">
        <f t="shared" si="18"/>
        <v>201.6</v>
      </c>
      <c r="AM34" s="349"/>
      <c r="AN34" s="350"/>
      <c r="AO34" s="350"/>
      <c r="AP34" s="350"/>
      <c r="AQ34" s="350"/>
      <c r="AR34" s="350"/>
      <c r="AS34" s="350"/>
      <c r="AT34" s="350"/>
      <c r="AU34" s="350"/>
      <c r="AV34" s="350"/>
      <c r="AW34" s="350"/>
      <c r="AX34" s="351"/>
    </row>
    <row r="35" spans="1:50" s="345" customFormat="1" outlineLevel="1" x14ac:dyDescent="0.35">
      <c r="A35" s="345" t="s">
        <v>64</v>
      </c>
      <c r="B35" s="345" t="s">
        <v>15</v>
      </c>
      <c r="F35" s="346" t="s">
        <v>331</v>
      </c>
      <c r="G35" s="347"/>
      <c r="H35" s="347" t="s">
        <v>41</v>
      </c>
      <c r="I35" s="347" t="s">
        <v>57</v>
      </c>
      <c r="J35" s="367"/>
      <c r="K35" s="348"/>
      <c r="L35" s="347"/>
      <c r="M35" s="347"/>
      <c r="N35" s="347"/>
      <c r="O35" s="350">
        <f>9193.7/O40*10^3</f>
        <v>375.25306122448984</v>
      </c>
      <c r="P35" s="350">
        <f t="shared" ref="P35:Z35" si="19">9193.7/P40*10^3</f>
        <v>375.25306122448984</v>
      </c>
      <c r="Q35" s="350">
        <f t="shared" si="19"/>
        <v>375.25306122448984</v>
      </c>
      <c r="R35" s="350">
        <f t="shared" si="19"/>
        <v>375.25306122448984</v>
      </c>
      <c r="S35" s="350">
        <f t="shared" si="19"/>
        <v>375.25306122448984</v>
      </c>
      <c r="T35" s="350">
        <f t="shared" si="19"/>
        <v>375.25306122448984</v>
      </c>
      <c r="U35" s="350">
        <f t="shared" si="19"/>
        <v>367.74800000000005</v>
      </c>
      <c r="V35" s="350">
        <f t="shared" si="19"/>
        <v>367.74800000000005</v>
      </c>
      <c r="W35" s="350">
        <f t="shared" si="19"/>
        <v>367.74800000000005</v>
      </c>
      <c r="X35" s="350">
        <f t="shared" si="19"/>
        <v>367.74800000000005</v>
      </c>
      <c r="Y35" s="350">
        <f t="shared" si="19"/>
        <v>367.74800000000005</v>
      </c>
      <c r="Z35" s="351">
        <f t="shared" si="19"/>
        <v>367.74800000000005</v>
      </c>
      <c r="AA35" s="349">
        <f>9193.7/AA40*10^3</f>
        <v>367.74800000000005</v>
      </c>
      <c r="AB35" s="350">
        <f>9193.7/AB40*10^3</f>
        <v>367.74800000000005</v>
      </c>
      <c r="AC35" s="350">
        <f>9193.7/AC40*10^3</f>
        <v>367.74800000000005</v>
      </c>
      <c r="AD35" s="350">
        <f>9377.55821/AD40*10^3</f>
        <v>375.10232839999998</v>
      </c>
      <c r="AE35" s="350">
        <f>9377.55821/AE40*10^3</f>
        <v>375.10232839999998</v>
      </c>
      <c r="AF35" s="350">
        <f>9377.55821/AF40*10^3</f>
        <v>375.10232839999998</v>
      </c>
      <c r="AG35" s="350">
        <f t="shared" ref="AG35:AL35" si="20">9377.55821/AG40*10^3</f>
        <v>375.10232839999998</v>
      </c>
      <c r="AH35" s="350">
        <f t="shared" si="20"/>
        <v>375.10232839999998</v>
      </c>
      <c r="AI35" s="350">
        <f t="shared" si="20"/>
        <v>375.10232839999998</v>
      </c>
      <c r="AJ35" s="350">
        <f t="shared" si="20"/>
        <v>375.10232839999998</v>
      </c>
      <c r="AK35" s="350">
        <f t="shared" si="20"/>
        <v>375.10232839999998</v>
      </c>
      <c r="AL35" s="351">
        <f t="shared" si="20"/>
        <v>375.10232839999998</v>
      </c>
      <c r="AM35" s="349"/>
      <c r="AN35" s="350"/>
      <c r="AO35" s="350"/>
      <c r="AP35" s="350"/>
      <c r="AQ35" s="350"/>
      <c r="AR35" s="350"/>
      <c r="AS35" s="350"/>
      <c r="AT35" s="350"/>
      <c r="AU35" s="350"/>
      <c r="AV35" s="350"/>
      <c r="AW35" s="350"/>
      <c r="AX35" s="351"/>
    </row>
    <row r="36" spans="1:50" s="345" customFormat="1" outlineLevel="1" x14ac:dyDescent="0.35">
      <c r="A36" s="345" t="s">
        <v>64</v>
      </c>
      <c r="B36" s="345" t="s">
        <v>15</v>
      </c>
      <c r="F36" s="346" t="s">
        <v>332</v>
      </c>
      <c r="G36" s="347"/>
      <c r="H36" s="347" t="s">
        <v>41</v>
      </c>
      <c r="I36" s="347" t="s">
        <v>50</v>
      </c>
      <c r="J36" s="367"/>
      <c r="K36" s="348"/>
      <c r="L36" s="347"/>
      <c r="M36" s="347"/>
      <c r="N36" s="347"/>
      <c r="O36" s="350">
        <f>299/O40*10^3</f>
        <v>12.204081632653061</v>
      </c>
      <c r="P36" s="350">
        <f t="shared" ref="P36:Z36" si="21">299/P40*10^3</f>
        <v>12.204081632653061</v>
      </c>
      <c r="Q36" s="350">
        <f t="shared" si="21"/>
        <v>12.204081632653061</v>
      </c>
      <c r="R36" s="350">
        <f t="shared" si="21"/>
        <v>12.204081632653061</v>
      </c>
      <c r="S36" s="350">
        <f t="shared" si="21"/>
        <v>12.204081632653061</v>
      </c>
      <c r="T36" s="350">
        <f t="shared" si="21"/>
        <v>12.204081632653061</v>
      </c>
      <c r="U36" s="350">
        <f t="shared" si="21"/>
        <v>11.96</v>
      </c>
      <c r="V36" s="350">
        <f t="shared" si="21"/>
        <v>11.96</v>
      </c>
      <c r="W36" s="350">
        <f t="shared" si="21"/>
        <v>11.96</v>
      </c>
      <c r="X36" s="350">
        <f t="shared" si="21"/>
        <v>11.96</v>
      </c>
      <c r="Y36" s="350">
        <f t="shared" si="21"/>
        <v>11.96</v>
      </c>
      <c r="Z36" s="351">
        <f t="shared" si="21"/>
        <v>11.96</v>
      </c>
      <c r="AA36" s="349">
        <f t="shared" ref="AA36:AF36" si="22">299/AA40*10^3</f>
        <v>11.96</v>
      </c>
      <c r="AB36" s="350">
        <f t="shared" si="22"/>
        <v>11.96</v>
      </c>
      <c r="AC36" s="350">
        <f t="shared" si="22"/>
        <v>11.96</v>
      </c>
      <c r="AD36" s="350">
        <f t="shared" si="22"/>
        <v>11.96</v>
      </c>
      <c r="AE36" s="350">
        <f t="shared" si="22"/>
        <v>11.96</v>
      </c>
      <c r="AF36" s="350">
        <f t="shared" si="22"/>
        <v>11.96</v>
      </c>
      <c r="AG36" s="350">
        <f t="shared" ref="AG36:AL36" si="23">299/AG40*10^3</f>
        <v>11.96</v>
      </c>
      <c r="AH36" s="350">
        <f t="shared" si="23"/>
        <v>11.96</v>
      </c>
      <c r="AI36" s="350">
        <f t="shared" si="23"/>
        <v>11.96</v>
      </c>
      <c r="AJ36" s="350">
        <f t="shared" si="23"/>
        <v>11.96</v>
      </c>
      <c r="AK36" s="350">
        <f t="shared" si="23"/>
        <v>11.96</v>
      </c>
      <c r="AL36" s="351">
        <f t="shared" si="23"/>
        <v>11.96</v>
      </c>
      <c r="AM36" s="349"/>
      <c r="AN36" s="350"/>
      <c r="AO36" s="350"/>
      <c r="AP36" s="350"/>
      <c r="AQ36" s="350"/>
      <c r="AR36" s="350"/>
      <c r="AS36" s="350"/>
      <c r="AT36" s="350"/>
      <c r="AU36" s="350"/>
      <c r="AV36" s="350"/>
      <c r="AW36" s="350"/>
      <c r="AX36" s="351"/>
    </row>
    <row r="37" spans="1:50" s="345" customFormat="1" outlineLevel="1" x14ac:dyDescent="0.35">
      <c r="A37" s="345" t="s">
        <v>64</v>
      </c>
      <c r="B37" s="345" t="s">
        <v>15</v>
      </c>
      <c r="F37" s="346" t="s">
        <v>363</v>
      </c>
      <c r="G37" s="347"/>
      <c r="H37" s="347" t="s">
        <v>41</v>
      </c>
      <c r="I37" s="347" t="s">
        <v>58</v>
      </c>
      <c r="J37" s="367"/>
      <c r="K37" s="348"/>
      <c r="L37" s="347"/>
      <c r="M37" s="347"/>
      <c r="N37" s="347"/>
      <c r="O37" s="350">
        <f>3295/O40*10^3</f>
        <v>134.48979591836735</v>
      </c>
      <c r="P37" s="350">
        <f t="shared" ref="P37:Z37" si="24">3295/P40*10^3</f>
        <v>134.48979591836735</v>
      </c>
      <c r="Q37" s="350">
        <f t="shared" si="24"/>
        <v>134.48979591836735</v>
      </c>
      <c r="R37" s="350">
        <f t="shared" si="24"/>
        <v>134.48979591836735</v>
      </c>
      <c r="S37" s="350">
        <f t="shared" si="24"/>
        <v>134.48979591836735</v>
      </c>
      <c r="T37" s="350">
        <f t="shared" si="24"/>
        <v>134.48979591836735</v>
      </c>
      <c r="U37" s="350">
        <f t="shared" si="24"/>
        <v>131.80000000000001</v>
      </c>
      <c r="V37" s="350">
        <f t="shared" si="24"/>
        <v>131.80000000000001</v>
      </c>
      <c r="W37" s="350">
        <f t="shared" si="24"/>
        <v>131.80000000000001</v>
      </c>
      <c r="X37" s="350">
        <f t="shared" si="24"/>
        <v>131.80000000000001</v>
      </c>
      <c r="Y37" s="350">
        <f t="shared" si="24"/>
        <v>131.80000000000001</v>
      </c>
      <c r="Z37" s="351">
        <f t="shared" si="24"/>
        <v>131.80000000000001</v>
      </c>
      <c r="AA37" s="349">
        <f t="shared" ref="AA37:AF37" si="25">3295/AA40*10^3</f>
        <v>131.80000000000001</v>
      </c>
      <c r="AB37" s="350">
        <f t="shared" si="25"/>
        <v>131.80000000000001</v>
      </c>
      <c r="AC37" s="350">
        <f t="shared" si="25"/>
        <v>131.80000000000001</v>
      </c>
      <c r="AD37" s="350">
        <f t="shared" si="25"/>
        <v>131.80000000000001</v>
      </c>
      <c r="AE37" s="350">
        <f t="shared" si="25"/>
        <v>131.80000000000001</v>
      </c>
      <c r="AF37" s="350">
        <f t="shared" si="25"/>
        <v>131.80000000000001</v>
      </c>
      <c r="AG37" s="350">
        <f t="shared" ref="AG37:AL37" si="26">3295/AG40*10^3</f>
        <v>131.80000000000001</v>
      </c>
      <c r="AH37" s="350">
        <f t="shared" si="26"/>
        <v>131.80000000000001</v>
      </c>
      <c r="AI37" s="350">
        <f t="shared" si="26"/>
        <v>131.80000000000001</v>
      </c>
      <c r="AJ37" s="350">
        <f t="shared" si="26"/>
        <v>131.80000000000001</v>
      </c>
      <c r="AK37" s="350">
        <f t="shared" si="26"/>
        <v>131.80000000000001</v>
      </c>
      <c r="AL37" s="351">
        <f t="shared" si="26"/>
        <v>131.80000000000001</v>
      </c>
      <c r="AM37" s="349"/>
      <c r="AN37" s="350"/>
      <c r="AO37" s="350"/>
      <c r="AP37" s="350"/>
      <c r="AQ37" s="350"/>
      <c r="AR37" s="350"/>
      <c r="AS37" s="350"/>
      <c r="AT37" s="350"/>
      <c r="AU37" s="350"/>
      <c r="AV37" s="350"/>
      <c r="AW37" s="350"/>
      <c r="AX37" s="351"/>
    </row>
    <row r="38" spans="1:50" s="345" customFormat="1" outlineLevel="1" x14ac:dyDescent="0.35">
      <c r="A38" s="345" t="s">
        <v>64</v>
      </c>
      <c r="B38" s="345" t="s">
        <v>15</v>
      </c>
      <c r="F38" s="346" t="s">
        <v>364</v>
      </c>
      <c r="G38" s="347"/>
      <c r="H38" s="347" t="s">
        <v>41</v>
      </c>
      <c r="I38" s="347" t="s">
        <v>59</v>
      </c>
      <c r="J38" s="367"/>
      <c r="K38" s="348"/>
      <c r="L38" s="347"/>
      <c r="M38" s="347"/>
      <c r="N38" s="347"/>
      <c r="O38" s="350">
        <f t="shared" ref="O38:AE38" si="27">8%/12*SUM(O33:O37)</f>
        <v>9.3163809523809533</v>
      </c>
      <c r="P38" s="350">
        <f t="shared" si="27"/>
        <v>9.3163809523809533</v>
      </c>
      <c r="Q38" s="350">
        <f t="shared" si="27"/>
        <v>9.3163809523809533</v>
      </c>
      <c r="R38" s="350">
        <f t="shared" si="27"/>
        <v>9.3163809523809533</v>
      </c>
      <c r="S38" s="350">
        <f t="shared" si="27"/>
        <v>9.3163809523809533</v>
      </c>
      <c r="T38" s="350">
        <f t="shared" si="27"/>
        <v>9.3163809523809533</v>
      </c>
      <c r="U38" s="350">
        <f t="shared" si="27"/>
        <v>9.1300533333333345</v>
      </c>
      <c r="V38" s="350">
        <f t="shared" si="27"/>
        <v>9.1300533333333345</v>
      </c>
      <c r="W38" s="350">
        <f t="shared" si="27"/>
        <v>9.1300533333333345</v>
      </c>
      <c r="X38" s="350">
        <f t="shared" si="27"/>
        <v>9.1300533333333345</v>
      </c>
      <c r="Y38" s="350">
        <f t="shared" si="27"/>
        <v>9.1300533333333345</v>
      </c>
      <c r="Z38" s="351">
        <f t="shared" si="27"/>
        <v>9.1300533333333345</v>
      </c>
      <c r="AA38" s="349">
        <f t="shared" si="27"/>
        <v>9.1300533333333345</v>
      </c>
      <c r="AB38" s="350">
        <f t="shared" si="27"/>
        <v>9.1300533333333345</v>
      </c>
      <c r="AC38" s="350">
        <f t="shared" si="27"/>
        <v>9.1300533333333345</v>
      </c>
      <c r="AD38" s="350">
        <f t="shared" si="27"/>
        <v>9.2830821893333333</v>
      </c>
      <c r="AE38" s="350">
        <f t="shared" si="27"/>
        <v>9.2830821893333333</v>
      </c>
      <c r="AF38" s="350">
        <f t="shared" ref="AF38:AL38" si="28">8%/12*SUM(AF33:AF37)</f>
        <v>9.2830821893333333</v>
      </c>
      <c r="AG38" s="350">
        <f t="shared" si="28"/>
        <v>9.2830821893333333</v>
      </c>
      <c r="AH38" s="350">
        <f t="shared" si="28"/>
        <v>9.2830821893333333</v>
      </c>
      <c r="AI38" s="350">
        <f t="shared" si="28"/>
        <v>9.2830821893333333</v>
      </c>
      <c r="AJ38" s="350">
        <f t="shared" si="28"/>
        <v>9.2830821893333333</v>
      </c>
      <c r="AK38" s="350">
        <f t="shared" si="28"/>
        <v>9.2830821893333333</v>
      </c>
      <c r="AL38" s="351">
        <f t="shared" si="28"/>
        <v>9.2830821893333333</v>
      </c>
      <c r="AM38" s="349"/>
      <c r="AN38" s="350"/>
      <c r="AO38" s="350"/>
      <c r="AP38" s="350"/>
      <c r="AQ38" s="350"/>
      <c r="AR38" s="350"/>
      <c r="AS38" s="350"/>
      <c r="AT38" s="350"/>
      <c r="AU38" s="350"/>
      <c r="AV38" s="350"/>
      <c r="AW38" s="350"/>
      <c r="AX38" s="351"/>
    </row>
    <row r="39" spans="1:50" s="345" customFormat="1" outlineLevel="1" x14ac:dyDescent="0.35">
      <c r="A39" s="345" t="s">
        <v>64</v>
      </c>
      <c r="B39" s="345" t="s">
        <v>15</v>
      </c>
      <c r="F39" s="346" t="s">
        <v>365</v>
      </c>
      <c r="G39" s="347"/>
      <c r="H39" s="347" t="s">
        <v>41</v>
      </c>
      <c r="I39" s="347" t="s">
        <v>53</v>
      </c>
      <c r="J39" s="367"/>
      <c r="K39" s="348"/>
      <c r="L39" s="347"/>
      <c r="M39" s="347"/>
      <c r="N39" s="347"/>
      <c r="O39" s="350">
        <v>-80</v>
      </c>
      <c r="P39" s="350">
        <v>-80</v>
      </c>
      <c r="Q39" s="350">
        <v>-80</v>
      </c>
      <c r="R39" s="350">
        <v>-80</v>
      </c>
      <c r="S39" s="350">
        <v>-80</v>
      </c>
      <c r="T39" s="350">
        <v>-80</v>
      </c>
      <c r="U39" s="350">
        <v>-80</v>
      </c>
      <c r="V39" s="350">
        <v>-80</v>
      </c>
      <c r="W39" s="350">
        <v>-80</v>
      </c>
      <c r="X39" s="350">
        <v>-80</v>
      </c>
      <c r="Y39" s="350">
        <v>-80</v>
      </c>
      <c r="Z39" s="351">
        <v>-80</v>
      </c>
      <c r="AA39" s="349">
        <v>-80</v>
      </c>
      <c r="AB39" s="350">
        <v>-80</v>
      </c>
      <c r="AC39" s="350">
        <v>-80</v>
      </c>
      <c r="AD39" s="350">
        <v>-150</v>
      </c>
      <c r="AE39" s="350">
        <v>-150</v>
      </c>
      <c r="AF39" s="350">
        <v>-150</v>
      </c>
      <c r="AG39" s="350">
        <v>-120</v>
      </c>
      <c r="AH39" s="350">
        <v>-120</v>
      </c>
      <c r="AI39" s="350">
        <v>-120</v>
      </c>
      <c r="AJ39" s="350">
        <v>-120</v>
      </c>
      <c r="AK39" s="350">
        <v>-120</v>
      </c>
      <c r="AL39" s="351">
        <v>-120</v>
      </c>
      <c r="AM39" s="349"/>
      <c r="AN39" s="350"/>
      <c r="AO39" s="350"/>
      <c r="AP39" s="350"/>
      <c r="AQ39" s="350"/>
      <c r="AR39" s="350"/>
      <c r="AS39" s="350"/>
      <c r="AT39" s="350"/>
      <c r="AU39" s="350"/>
      <c r="AV39" s="350"/>
      <c r="AW39" s="350"/>
      <c r="AX39" s="351"/>
    </row>
    <row r="40" spans="1:50" s="237" customFormat="1" x14ac:dyDescent="0.35">
      <c r="A40" s="237" t="s">
        <v>64</v>
      </c>
      <c r="B40" s="237" t="s">
        <v>15</v>
      </c>
      <c r="F40" s="247"/>
      <c r="G40" s="238"/>
      <c r="H40" s="238"/>
      <c r="I40" s="238"/>
      <c r="J40" s="375" t="s">
        <v>60</v>
      </c>
      <c r="K40" s="239"/>
      <c r="L40" s="238"/>
      <c r="M40" s="238"/>
      <c r="N40" s="238"/>
      <c r="O40" s="241">
        <v>24500</v>
      </c>
      <c r="P40" s="241">
        <v>24500</v>
      </c>
      <c r="Q40" s="241">
        <v>24500</v>
      </c>
      <c r="R40" s="241">
        <v>24500</v>
      </c>
      <c r="S40" s="241">
        <v>24500</v>
      </c>
      <c r="T40" s="241">
        <v>24500</v>
      </c>
      <c r="U40" s="241">
        <v>25000</v>
      </c>
      <c r="V40" s="241">
        <v>25000</v>
      </c>
      <c r="W40" s="241">
        <v>25000</v>
      </c>
      <c r="X40" s="241">
        <v>25000</v>
      </c>
      <c r="Y40" s="241">
        <v>25000</v>
      </c>
      <c r="Z40" s="242">
        <v>25000</v>
      </c>
      <c r="AA40" s="240">
        <v>25000</v>
      </c>
      <c r="AB40" s="241">
        <v>25000</v>
      </c>
      <c r="AC40" s="241">
        <v>25000</v>
      </c>
      <c r="AD40" s="241">
        <v>25000</v>
      </c>
      <c r="AE40" s="241">
        <v>25000</v>
      </c>
      <c r="AF40" s="241">
        <v>25000</v>
      </c>
      <c r="AG40" s="241">
        <v>25000</v>
      </c>
      <c r="AH40" s="241">
        <v>25000</v>
      </c>
      <c r="AI40" s="241">
        <v>25000</v>
      </c>
      <c r="AJ40" s="241">
        <v>25000</v>
      </c>
      <c r="AK40" s="241">
        <v>25000</v>
      </c>
      <c r="AL40" s="242">
        <v>25000</v>
      </c>
      <c r="AM40" s="240"/>
      <c r="AN40" s="241"/>
      <c r="AO40" s="241"/>
      <c r="AP40" s="241"/>
      <c r="AQ40" s="241"/>
      <c r="AR40" s="241"/>
      <c r="AS40" s="241"/>
      <c r="AT40" s="241"/>
      <c r="AU40" s="241"/>
      <c r="AV40" s="241"/>
      <c r="AW40" s="241"/>
      <c r="AX40" s="242"/>
    </row>
    <row r="41" spans="1:50" s="237" customFormat="1" x14ac:dyDescent="0.35">
      <c r="A41" s="237" t="s">
        <v>64</v>
      </c>
      <c r="B41" s="237" t="s">
        <v>15</v>
      </c>
      <c r="F41" s="247"/>
      <c r="G41" s="238"/>
      <c r="H41" s="238"/>
      <c r="I41" s="238"/>
      <c r="J41" s="375" t="s">
        <v>61</v>
      </c>
      <c r="K41" s="239"/>
      <c r="L41" s="238"/>
      <c r="M41" s="238"/>
      <c r="N41" s="238"/>
      <c r="O41" s="244">
        <v>0.3</v>
      </c>
      <c r="P41" s="244">
        <v>0.3</v>
      </c>
      <c r="Q41" s="244">
        <v>0.3</v>
      </c>
      <c r="R41" s="244">
        <v>0.3</v>
      </c>
      <c r="S41" s="244">
        <v>0.3</v>
      </c>
      <c r="T41" s="244">
        <v>0.3</v>
      </c>
      <c r="U41" s="244">
        <v>0.3</v>
      </c>
      <c r="V41" s="244">
        <v>0.3</v>
      </c>
      <c r="W41" s="244">
        <v>0.3</v>
      </c>
      <c r="X41" s="244">
        <v>0.3</v>
      </c>
      <c r="Y41" s="244">
        <v>0.3</v>
      </c>
      <c r="Z41" s="245">
        <v>0.3</v>
      </c>
      <c r="AA41" s="243">
        <v>0.3</v>
      </c>
      <c r="AB41" s="244">
        <v>0.3</v>
      </c>
      <c r="AC41" s="244">
        <v>0.3</v>
      </c>
      <c r="AD41" s="244">
        <v>0.3</v>
      </c>
      <c r="AE41" s="244">
        <v>0.3</v>
      </c>
      <c r="AF41" s="244">
        <v>0.3</v>
      </c>
      <c r="AG41" s="244">
        <v>0.3</v>
      </c>
      <c r="AH41" s="244">
        <v>0.3</v>
      </c>
      <c r="AI41" s="244">
        <v>0.3</v>
      </c>
      <c r="AJ41" s="244">
        <v>0.3</v>
      </c>
      <c r="AK41" s="244">
        <v>0.3</v>
      </c>
      <c r="AL41" s="245">
        <v>0.3</v>
      </c>
      <c r="AM41" s="243"/>
      <c r="AN41" s="244"/>
      <c r="AO41" s="244"/>
      <c r="AP41" s="244"/>
      <c r="AQ41" s="244"/>
      <c r="AR41" s="244"/>
      <c r="AS41" s="244"/>
      <c r="AT41" s="244"/>
      <c r="AU41" s="244"/>
      <c r="AV41" s="244"/>
      <c r="AW41" s="244"/>
      <c r="AX41" s="245"/>
    </row>
    <row r="42" spans="1:50" s="94" customFormat="1" outlineLevel="1" x14ac:dyDescent="0.35">
      <c r="A42" s="94" t="s">
        <v>64</v>
      </c>
      <c r="B42" s="94" t="s">
        <v>15</v>
      </c>
      <c r="D42" s="95" t="s">
        <v>162</v>
      </c>
      <c r="F42" s="226" t="s">
        <v>271</v>
      </c>
      <c r="G42" s="227"/>
      <c r="H42" s="227"/>
      <c r="I42" s="227" t="s">
        <v>8</v>
      </c>
      <c r="J42" s="376"/>
      <c r="K42" s="2"/>
      <c r="L42" s="227"/>
      <c r="M42" s="227"/>
      <c r="N42" s="227"/>
      <c r="O42" s="229">
        <f>O32-O36</f>
        <v>1307.795918367347</v>
      </c>
      <c r="P42" s="229">
        <f t="shared" ref="P42:AL42" si="29">P32-P36</f>
        <v>1307.795918367347</v>
      </c>
      <c r="Q42" s="229">
        <f t="shared" si="29"/>
        <v>1307.795918367347</v>
      </c>
      <c r="R42" s="229">
        <f t="shared" si="29"/>
        <v>1307.795918367347</v>
      </c>
      <c r="S42" s="229">
        <f t="shared" si="29"/>
        <v>1307.795918367347</v>
      </c>
      <c r="T42" s="229">
        <f t="shared" si="29"/>
        <v>1307.795918367347</v>
      </c>
      <c r="U42" s="229">
        <f t="shared" si="29"/>
        <v>1308.04</v>
      </c>
      <c r="V42" s="229">
        <f t="shared" si="29"/>
        <v>1308.04</v>
      </c>
      <c r="W42" s="229">
        <f t="shared" si="29"/>
        <v>1308.04</v>
      </c>
      <c r="X42" s="229">
        <f t="shared" si="29"/>
        <v>1288.04</v>
      </c>
      <c r="Y42" s="229">
        <f t="shared" si="29"/>
        <v>1288.04</v>
      </c>
      <c r="Z42" s="230">
        <f t="shared" si="29"/>
        <v>1288.04</v>
      </c>
      <c r="AA42" s="229">
        <f t="shared" si="29"/>
        <v>1288.04</v>
      </c>
      <c r="AB42" s="229">
        <f t="shared" si="29"/>
        <v>1288.04</v>
      </c>
      <c r="AC42" s="229">
        <f t="shared" si="29"/>
        <v>1288.04</v>
      </c>
      <c r="AD42" s="229">
        <f t="shared" si="29"/>
        <v>1238.04</v>
      </c>
      <c r="AE42" s="229">
        <f t="shared" si="29"/>
        <v>1238.04</v>
      </c>
      <c r="AF42" s="229">
        <f t="shared" si="29"/>
        <v>1238.04</v>
      </c>
      <c r="AG42" s="229">
        <f t="shared" si="29"/>
        <v>1268.04</v>
      </c>
      <c r="AH42" s="229">
        <f t="shared" si="29"/>
        <v>1268.04</v>
      </c>
      <c r="AI42" s="229">
        <f t="shared" si="29"/>
        <v>1268.04</v>
      </c>
      <c r="AJ42" s="229">
        <f t="shared" si="29"/>
        <v>1268.04</v>
      </c>
      <c r="AK42" s="229">
        <f t="shared" si="29"/>
        <v>1268.04</v>
      </c>
      <c r="AL42" s="230">
        <f t="shared" si="29"/>
        <v>1268.04</v>
      </c>
      <c r="AM42" s="229"/>
      <c r="AN42" s="229"/>
      <c r="AO42" s="229"/>
      <c r="AP42" s="229"/>
      <c r="AQ42" s="229"/>
      <c r="AR42" s="229"/>
      <c r="AS42" s="229"/>
      <c r="AT42" s="229"/>
      <c r="AU42" s="229"/>
      <c r="AV42" s="229"/>
      <c r="AW42" s="229"/>
      <c r="AX42" s="230"/>
    </row>
    <row r="43" spans="1:50" s="188" customFormat="1" outlineLevel="1" x14ac:dyDescent="0.35">
      <c r="A43" s="188" t="s">
        <v>64</v>
      </c>
      <c r="B43" s="188" t="s">
        <v>15</v>
      </c>
      <c r="F43" s="225" t="s">
        <v>272</v>
      </c>
      <c r="G43" s="193"/>
      <c r="H43" s="193"/>
      <c r="I43" s="193"/>
      <c r="J43" s="374" t="s">
        <v>203</v>
      </c>
      <c r="K43" s="189"/>
      <c r="L43" s="202"/>
      <c r="M43" s="202"/>
      <c r="N43" s="202"/>
      <c r="O43" s="315" cm="1">
        <f t="array" ref="O43">SUMPRODUCT(General_Data*(Year=O$3)*(Month=O$4)*(Code_General_Data=$B43))</f>
        <v>1250</v>
      </c>
      <c r="P43" s="315" cm="1">
        <f t="array" ref="P43">SUMPRODUCT(General_Data*(Year=P$3)*(Month=P$4)*(Code_General_Data=$B43))</f>
        <v>1250</v>
      </c>
      <c r="Q43" s="315" cm="1">
        <f t="array" ref="Q43">SUMPRODUCT(General_Data*(Year=Q$3)*(Month=Q$4)*(Code_General_Data=$B43))</f>
        <v>1250</v>
      </c>
      <c r="R43" s="315" cm="1">
        <f t="array" ref="R43">SUMPRODUCT(General_Data*(Year=R$3)*(Month=R$4)*(Code_General_Data=$B43))</f>
        <v>1250</v>
      </c>
      <c r="S43" s="315" cm="1">
        <f t="array" ref="S43">SUMPRODUCT(General_Data*(Year=S$3)*(Month=S$4)*(Code_General_Data=$B43))</f>
        <v>1300</v>
      </c>
      <c r="T43" s="315" cm="1">
        <f t="array" ref="T43">SUMPRODUCT(General_Data*(Year=T$3)*(Month=T$4)*(Code_General_Data=$B43))</f>
        <v>1300</v>
      </c>
      <c r="U43" s="315" cm="1">
        <f t="array" ref="U43">SUMPRODUCT(General_Data*(Year=U$3)*(Month=U$4)*(Code_General_Data=$B43))</f>
        <v>1300</v>
      </c>
      <c r="V43" s="315" cm="1">
        <f t="array" ref="V43">SUMPRODUCT(General_Data*(Year=V$3)*(Month=V$4)*(Code_General_Data=$B43))</f>
        <v>1300</v>
      </c>
      <c r="W43" s="315" cm="1">
        <f t="array" ref="W43">SUMPRODUCT(General_Data*(Year=W$3)*(Month=W$4)*(Code_General_Data=$B43))</f>
        <v>1310</v>
      </c>
      <c r="X43" s="315" cm="1">
        <f t="array" ref="X43">SUMPRODUCT(General_Data*(Year=X$3)*(Month=X$4)*(Code_General_Data=$B43))</f>
        <v>1325</v>
      </c>
      <c r="Y43" s="315" cm="1">
        <f t="array" ref="Y43">SUMPRODUCT(General_Data*(Year=Y$3)*(Month=Y$4)*(Code_General_Data=$B43))</f>
        <v>1325</v>
      </c>
      <c r="Z43" s="316" cm="1">
        <f t="array" ref="Z43">SUMPRODUCT(General_Data*(Year=Z$3)*(Month=Z$4)*(Code_General_Data=$B43))</f>
        <v>1275</v>
      </c>
      <c r="AA43" s="315" cm="1">
        <f t="array" ref="AA43">SUMPRODUCT(General_Data*(Year=AA$3)*(Month=AA$4)*(Code_General_Data=$B43))</f>
        <v>1230</v>
      </c>
      <c r="AB43" s="315" cm="1">
        <f t="array" ref="AB43">SUMPRODUCT(General_Data*(Year=AB$3)*(Month=AB$4)*(Code_General_Data=$B43))</f>
        <v>1230</v>
      </c>
      <c r="AC43" s="315" cm="1">
        <f t="array" ref="AC43">SUMPRODUCT(General_Data*(Year=AC$3)*(Month=AC$4)*(Code_General_Data=$B43))</f>
        <v>1230</v>
      </c>
      <c r="AD43" s="315" cm="1">
        <f t="array" ref="AD43">SUMPRODUCT(General_Data*(Year=AD$3)*(Month=AD$4)*(Code_General_Data=$B43))</f>
        <v>1250</v>
      </c>
      <c r="AE43" s="315" cm="1">
        <f t="array" ref="AE43">SUMPRODUCT(General_Data*(Year=AE$3)*(Month=AE$4)*(Code_General_Data=$B43))</f>
        <v>1250</v>
      </c>
      <c r="AF43" s="315" cm="1">
        <f t="array" ref="AF43">SUMPRODUCT(General_Data*(Year=AF$3)*(Month=AF$4)*(Code_General_Data=$B43))</f>
        <v>1250</v>
      </c>
      <c r="AG43" s="315" cm="1">
        <f t="array" ref="AG43">SUMPRODUCT(General_Data*(Year=AG$3)*(Month=AG$4)*(Code_General_Data=$B43))</f>
        <v>1250</v>
      </c>
      <c r="AH43" s="315" cm="1">
        <f t="array" ref="AH43">SUMPRODUCT(General_Data*(Year=AH$3)*(Month=AH$4)*(Code_General_Data=$B43))</f>
        <v>1220</v>
      </c>
      <c r="AI43" s="315" cm="1">
        <f t="array" ref="AI43">SUMPRODUCT(General_Data*(Year=AI$3)*(Month=AI$4)*(Code_General_Data=$B43))</f>
        <v>1220</v>
      </c>
      <c r="AJ43" s="315" cm="1">
        <f t="array" ref="AJ43">SUMPRODUCT(General_Data*(Year=AJ$3)*(Month=AJ$4)*(Code_General_Data=$B43))</f>
        <v>1210</v>
      </c>
      <c r="AK43" s="315" cm="1">
        <f t="array" ref="AK43">SUMPRODUCT(General_Data*(Year=AK$3)*(Month=AK$4)*(Code_General_Data=$B43))</f>
        <v>1200</v>
      </c>
      <c r="AL43" s="316" cm="1">
        <f t="array" ref="AL43">SUMPRODUCT(General_Data*(Year=AL$3)*(Month=AL$4)*(Code_General_Data=$B43))</f>
        <v>1200</v>
      </c>
      <c r="AM43" s="315"/>
      <c r="AN43" s="315"/>
      <c r="AO43" s="315"/>
      <c r="AP43" s="315"/>
      <c r="AQ43" s="315"/>
      <c r="AR43" s="315"/>
      <c r="AS43" s="315"/>
      <c r="AT43" s="315"/>
      <c r="AU43" s="315"/>
      <c r="AV43" s="315"/>
      <c r="AW43" s="315"/>
      <c r="AX43" s="316"/>
    </row>
    <row r="44" spans="1:50" s="188" customFormat="1" ht="6.65" customHeight="1" x14ac:dyDescent="0.35">
      <c r="F44" s="310"/>
      <c r="G44" s="189"/>
      <c r="H44" s="189"/>
      <c r="I44" s="189"/>
      <c r="J44" s="377"/>
      <c r="K44" s="189"/>
      <c r="L44" s="311"/>
      <c r="M44" s="311"/>
      <c r="N44" s="311"/>
      <c r="O44" s="311"/>
      <c r="P44" s="311"/>
      <c r="Q44" s="311"/>
      <c r="R44" s="311"/>
      <c r="S44" s="311"/>
      <c r="T44" s="311"/>
      <c r="U44" s="311"/>
      <c r="V44" s="311"/>
      <c r="W44" s="311"/>
      <c r="X44" s="311"/>
      <c r="Y44" s="311"/>
      <c r="Z44" s="312"/>
      <c r="AA44" s="311"/>
      <c r="AB44" s="311"/>
      <c r="AC44" s="311"/>
      <c r="AD44" s="311"/>
      <c r="AE44" s="311"/>
      <c r="AF44" s="311"/>
      <c r="AG44" s="311"/>
      <c r="AH44" s="311"/>
      <c r="AI44" s="311"/>
      <c r="AJ44" s="311"/>
      <c r="AK44" s="311"/>
      <c r="AL44" s="312"/>
      <c r="AM44" s="311"/>
      <c r="AN44" s="311"/>
      <c r="AO44" s="311"/>
      <c r="AP44" s="311"/>
      <c r="AQ44" s="311"/>
      <c r="AR44" s="311"/>
      <c r="AS44" s="311"/>
      <c r="AT44" s="311"/>
      <c r="AU44" s="311"/>
      <c r="AV44" s="311"/>
      <c r="AW44" s="311"/>
      <c r="AX44" s="312"/>
    </row>
    <row r="45" spans="1:50" s="330" customFormat="1" ht="16" x14ac:dyDescent="0.35">
      <c r="A45" s="330" t="s">
        <v>64</v>
      </c>
      <c r="B45" s="330" t="s">
        <v>24</v>
      </c>
      <c r="D45" s="330" t="s">
        <v>322</v>
      </c>
      <c r="F45" s="331">
        <v>3.2</v>
      </c>
      <c r="G45" s="332"/>
      <c r="H45" s="332" t="s">
        <v>209</v>
      </c>
      <c r="I45" s="332"/>
      <c r="J45" s="366"/>
      <c r="L45" s="332"/>
      <c r="M45" s="332"/>
      <c r="N45" s="332"/>
      <c r="O45" s="334">
        <f>ROUND(SUM(O46:O52),-1)</f>
        <v>1500</v>
      </c>
      <c r="P45" s="334">
        <f>ROUND(SUM(P46:P52),-1)</f>
        <v>1500</v>
      </c>
      <c r="Q45" s="334">
        <f>ROUND(SUM(Q46:Q52),-1)</f>
        <v>1500</v>
      </c>
      <c r="R45" s="334">
        <f t="shared" ref="R45:AL45" si="30">ROUND(SUM(R46:R52),-1)</f>
        <v>1430</v>
      </c>
      <c r="S45" s="334">
        <f t="shared" si="30"/>
        <v>1430</v>
      </c>
      <c r="T45" s="334">
        <f t="shared" si="30"/>
        <v>1430</v>
      </c>
      <c r="U45" s="334">
        <f t="shared" si="30"/>
        <v>1430</v>
      </c>
      <c r="V45" s="334">
        <f t="shared" si="30"/>
        <v>1430</v>
      </c>
      <c r="W45" s="334">
        <f t="shared" si="30"/>
        <v>1430</v>
      </c>
      <c r="X45" s="334">
        <f t="shared" si="30"/>
        <v>1430</v>
      </c>
      <c r="Y45" s="334">
        <f t="shared" si="30"/>
        <v>1430</v>
      </c>
      <c r="Z45" s="335">
        <f t="shared" si="30"/>
        <v>1430</v>
      </c>
      <c r="AA45" s="333">
        <f t="shared" si="30"/>
        <v>1400</v>
      </c>
      <c r="AB45" s="334">
        <f t="shared" si="30"/>
        <v>1400</v>
      </c>
      <c r="AC45" s="334">
        <f t="shared" si="30"/>
        <v>1400</v>
      </c>
      <c r="AD45" s="334">
        <f t="shared" si="30"/>
        <v>1350</v>
      </c>
      <c r="AE45" s="334">
        <f t="shared" si="30"/>
        <v>1350</v>
      </c>
      <c r="AF45" s="334">
        <f t="shared" si="30"/>
        <v>1350</v>
      </c>
      <c r="AG45" s="334">
        <f t="shared" si="30"/>
        <v>1380</v>
      </c>
      <c r="AH45" s="334">
        <f t="shared" si="30"/>
        <v>1380</v>
      </c>
      <c r="AI45" s="334">
        <f t="shared" si="30"/>
        <v>1380</v>
      </c>
      <c r="AJ45" s="334">
        <f t="shared" si="30"/>
        <v>1380</v>
      </c>
      <c r="AK45" s="334">
        <f t="shared" si="30"/>
        <v>1380</v>
      </c>
      <c r="AL45" s="335">
        <f t="shared" si="30"/>
        <v>1380</v>
      </c>
      <c r="AM45" s="333"/>
      <c r="AN45" s="334"/>
      <c r="AO45" s="334"/>
      <c r="AP45" s="334"/>
      <c r="AQ45" s="334"/>
      <c r="AR45" s="334"/>
      <c r="AS45" s="334"/>
      <c r="AT45" s="334"/>
      <c r="AU45" s="334"/>
      <c r="AV45" s="334"/>
      <c r="AW45" s="334"/>
      <c r="AX45" s="335"/>
    </row>
    <row r="46" spans="1:50" s="345" customFormat="1" outlineLevel="1" x14ac:dyDescent="0.35">
      <c r="A46" s="345" t="s">
        <v>64</v>
      </c>
      <c r="B46" s="345" t="s">
        <v>24</v>
      </c>
      <c r="F46" s="346" t="s">
        <v>333</v>
      </c>
      <c r="G46" s="347"/>
      <c r="H46" s="347" t="s">
        <v>41</v>
      </c>
      <c r="I46" s="347" t="s">
        <v>55</v>
      </c>
      <c r="J46" s="367"/>
      <c r="K46" s="348"/>
      <c r="L46" s="347"/>
      <c r="M46" s="347"/>
      <c r="N46" s="347"/>
      <c r="O46" s="350">
        <f>22500/O53*10^3</f>
        <v>918.36734693877554</v>
      </c>
      <c r="P46" s="350">
        <f>22500/P53*10^3</f>
        <v>918.36734693877554</v>
      </c>
      <c r="Q46" s="350">
        <f>22500/Q53*10^3</f>
        <v>918.36734693877554</v>
      </c>
      <c r="R46" s="350">
        <f t="shared" ref="R46:Z46" si="31">21000/R53*10^3</f>
        <v>857.14285714285711</v>
      </c>
      <c r="S46" s="350">
        <f t="shared" si="31"/>
        <v>857.14285714285711</v>
      </c>
      <c r="T46" s="350">
        <f t="shared" si="31"/>
        <v>857.14285714285711</v>
      </c>
      <c r="U46" s="350">
        <f t="shared" si="31"/>
        <v>840</v>
      </c>
      <c r="V46" s="350">
        <f t="shared" si="31"/>
        <v>840</v>
      </c>
      <c r="W46" s="350">
        <f t="shared" si="31"/>
        <v>840</v>
      </c>
      <c r="X46" s="350">
        <f t="shared" si="31"/>
        <v>840</v>
      </c>
      <c r="Y46" s="350">
        <f t="shared" si="31"/>
        <v>840</v>
      </c>
      <c r="Z46" s="351">
        <f t="shared" si="31"/>
        <v>840</v>
      </c>
      <c r="AA46" s="349">
        <f t="shared" ref="AA46:AL46" si="32">21000/AA53*10^3</f>
        <v>840</v>
      </c>
      <c r="AB46" s="350">
        <f t="shared" si="32"/>
        <v>840</v>
      </c>
      <c r="AC46" s="350">
        <f t="shared" si="32"/>
        <v>840</v>
      </c>
      <c r="AD46" s="350">
        <f>(21500*75%+24500*25%)/AD53*10^3</f>
        <v>890</v>
      </c>
      <c r="AE46" s="350">
        <f>(21500*75%+24500*25%)/AE53*10^3</f>
        <v>890</v>
      </c>
      <c r="AF46" s="350">
        <f>(21500*75%+24500*25%)/AF53*10^3</f>
        <v>890</v>
      </c>
      <c r="AG46" s="350">
        <f t="shared" si="32"/>
        <v>840</v>
      </c>
      <c r="AH46" s="350">
        <f t="shared" si="32"/>
        <v>840</v>
      </c>
      <c r="AI46" s="350">
        <f t="shared" si="32"/>
        <v>840</v>
      </c>
      <c r="AJ46" s="350">
        <f t="shared" si="32"/>
        <v>840</v>
      </c>
      <c r="AK46" s="350">
        <f t="shared" si="32"/>
        <v>840</v>
      </c>
      <c r="AL46" s="351">
        <f t="shared" si="32"/>
        <v>840</v>
      </c>
      <c r="AM46" s="349"/>
      <c r="AN46" s="350"/>
      <c r="AO46" s="350"/>
      <c r="AP46" s="350"/>
      <c r="AQ46" s="350"/>
      <c r="AR46" s="350"/>
      <c r="AS46" s="350"/>
      <c r="AT46" s="350"/>
      <c r="AU46" s="350"/>
      <c r="AV46" s="350"/>
      <c r="AW46" s="350"/>
      <c r="AX46" s="351"/>
    </row>
    <row r="47" spans="1:50" s="345" customFormat="1" outlineLevel="1" x14ac:dyDescent="0.35">
      <c r="A47" s="345" t="s">
        <v>64</v>
      </c>
      <c r="B47" s="345" t="s">
        <v>24</v>
      </c>
      <c r="F47" s="346" t="s">
        <v>328</v>
      </c>
      <c r="G47" s="347"/>
      <c r="H47" s="347" t="s">
        <v>41</v>
      </c>
      <c r="I47" s="347" t="s">
        <v>338</v>
      </c>
      <c r="J47" s="378"/>
      <c r="K47" s="348"/>
      <c r="L47" s="347"/>
      <c r="M47" s="347"/>
      <c r="N47" s="347"/>
      <c r="O47" s="350">
        <f t="shared" ref="O47:AL47" si="33">O46*O54</f>
        <v>195.33673469387756</v>
      </c>
      <c r="P47" s="350">
        <f t="shared" si="33"/>
        <v>195.33673469387756</v>
      </c>
      <c r="Q47" s="350">
        <f t="shared" si="33"/>
        <v>195.33673469387756</v>
      </c>
      <c r="R47" s="350">
        <f t="shared" si="33"/>
        <v>182.31428571428572</v>
      </c>
      <c r="S47" s="350">
        <f t="shared" si="33"/>
        <v>182.31428571428572</v>
      </c>
      <c r="T47" s="350">
        <f t="shared" si="33"/>
        <v>182.31428571428572</v>
      </c>
      <c r="U47" s="350">
        <f t="shared" si="33"/>
        <v>178.66800000000001</v>
      </c>
      <c r="V47" s="350">
        <f t="shared" si="33"/>
        <v>178.66800000000001</v>
      </c>
      <c r="W47" s="350">
        <f t="shared" si="33"/>
        <v>178.66800000000001</v>
      </c>
      <c r="X47" s="350">
        <f t="shared" si="33"/>
        <v>178.66800000000001</v>
      </c>
      <c r="Y47" s="350">
        <f t="shared" si="33"/>
        <v>178.66800000000001</v>
      </c>
      <c r="Z47" s="351">
        <f t="shared" si="33"/>
        <v>178.66800000000001</v>
      </c>
      <c r="AA47" s="349">
        <f t="shared" si="33"/>
        <v>178.66800000000001</v>
      </c>
      <c r="AB47" s="350">
        <f t="shared" si="33"/>
        <v>178.66800000000001</v>
      </c>
      <c r="AC47" s="350">
        <f t="shared" si="33"/>
        <v>178.66800000000001</v>
      </c>
      <c r="AD47" s="350">
        <f t="shared" si="33"/>
        <v>189.303</v>
      </c>
      <c r="AE47" s="350">
        <f t="shared" si="33"/>
        <v>189.303</v>
      </c>
      <c r="AF47" s="350">
        <f t="shared" si="33"/>
        <v>189.303</v>
      </c>
      <c r="AG47" s="350">
        <f t="shared" si="33"/>
        <v>178.66800000000001</v>
      </c>
      <c r="AH47" s="350">
        <f t="shared" si="33"/>
        <v>178.66800000000001</v>
      </c>
      <c r="AI47" s="350">
        <f t="shared" si="33"/>
        <v>178.66800000000001</v>
      </c>
      <c r="AJ47" s="350">
        <f t="shared" si="33"/>
        <v>178.66800000000001</v>
      </c>
      <c r="AK47" s="350">
        <f t="shared" si="33"/>
        <v>178.66800000000001</v>
      </c>
      <c r="AL47" s="351">
        <f t="shared" si="33"/>
        <v>178.66800000000001</v>
      </c>
      <c r="AM47" s="349"/>
      <c r="AN47" s="350"/>
      <c r="AO47" s="350"/>
      <c r="AP47" s="350"/>
      <c r="AQ47" s="350"/>
      <c r="AR47" s="350"/>
      <c r="AS47" s="350"/>
      <c r="AT47" s="350"/>
      <c r="AU47" s="350"/>
      <c r="AV47" s="350"/>
      <c r="AW47" s="350"/>
      <c r="AX47" s="351"/>
    </row>
    <row r="48" spans="1:50" s="345" customFormat="1" outlineLevel="1" x14ac:dyDescent="0.35">
      <c r="A48" s="345" t="s">
        <v>64</v>
      </c>
      <c r="B48" s="345" t="s">
        <v>24</v>
      </c>
      <c r="F48" s="346" t="s">
        <v>329</v>
      </c>
      <c r="G48" s="347"/>
      <c r="H48" s="347" t="s">
        <v>41</v>
      </c>
      <c r="I48" s="347" t="s">
        <v>57</v>
      </c>
      <c r="J48" s="367"/>
      <c r="K48" s="348"/>
      <c r="L48" s="347"/>
      <c r="M48" s="347"/>
      <c r="N48" s="347"/>
      <c r="O48" s="350">
        <f>8720.586/O53*10^3</f>
        <v>355.94228571428573</v>
      </c>
      <c r="P48" s="350">
        <f t="shared" ref="P48:W48" si="34">8720.586/P53*10^3</f>
        <v>355.94228571428573</v>
      </c>
      <c r="Q48" s="350">
        <f t="shared" si="34"/>
        <v>355.94228571428573</v>
      </c>
      <c r="R48" s="350">
        <f t="shared" si="34"/>
        <v>355.94228571428573</v>
      </c>
      <c r="S48" s="350">
        <f t="shared" si="34"/>
        <v>355.94228571428573</v>
      </c>
      <c r="T48" s="350">
        <f t="shared" si="34"/>
        <v>355.94228571428573</v>
      </c>
      <c r="U48" s="350">
        <f t="shared" si="34"/>
        <v>348.82344000000001</v>
      </c>
      <c r="V48" s="350">
        <f t="shared" si="34"/>
        <v>348.82344000000001</v>
      </c>
      <c r="W48" s="350">
        <f t="shared" si="34"/>
        <v>348.82344000000001</v>
      </c>
      <c r="X48" s="350">
        <f>8720.586/X53*10^3</f>
        <v>348.82344000000001</v>
      </c>
      <c r="Y48" s="350">
        <f>8720.586/Y53*10^3</f>
        <v>348.82344000000001</v>
      </c>
      <c r="Z48" s="351">
        <f>8720.586/Z53*10^3</f>
        <v>348.82344000000001</v>
      </c>
      <c r="AA48" s="349">
        <f t="shared" ref="AA48:AL48" si="35">8720.586/AA53*10^3</f>
        <v>348.82344000000001</v>
      </c>
      <c r="AB48" s="350">
        <f t="shared" si="35"/>
        <v>348.82344000000001</v>
      </c>
      <c r="AC48" s="350">
        <f t="shared" si="35"/>
        <v>348.82344000000001</v>
      </c>
      <c r="AD48" s="350">
        <f>9127.69249949/AD53*10^3</f>
        <v>365.1076999796</v>
      </c>
      <c r="AE48" s="350">
        <f>9127.69249949/AE53*10^3</f>
        <v>365.1076999796</v>
      </c>
      <c r="AF48" s="350">
        <f>9127.69249949/AF53*10^3</f>
        <v>365.1076999796</v>
      </c>
      <c r="AG48" s="350">
        <f t="shared" si="35"/>
        <v>348.82344000000001</v>
      </c>
      <c r="AH48" s="350">
        <f t="shared" si="35"/>
        <v>348.82344000000001</v>
      </c>
      <c r="AI48" s="350">
        <f t="shared" si="35"/>
        <v>348.82344000000001</v>
      </c>
      <c r="AJ48" s="350">
        <f t="shared" si="35"/>
        <v>348.82344000000001</v>
      </c>
      <c r="AK48" s="350">
        <f t="shared" si="35"/>
        <v>348.82344000000001</v>
      </c>
      <c r="AL48" s="351">
        <f t="shared" si="35"/>
        <v>348.82344000000001</v>
      </c>
      <c r="AM48" s="349"/>
      <c r="AN48" s="350"/>
      <c r="AO48" s="350"/>
      <c r="AP48" s="350"/>
      <c r="AQ48" s="350"/>
      <c r="AR48" s="350"/>
      <c r="AS48" s="350"/>
      <c r="AT48" s="350"/>
      <c r="AU48" s="350"/>
      <c r="AV48" s="350"/>
      <c r="AW48" s="350"/>
      <c r="AX48" s="351"/>
    </row>
    <row r="49" spans="1:50" s="345" customFormat="1" outlineLevel="1" x14ac:dyDescent="0.35">
      <c r="A49" s="345" t="s">
        <v>64</v>
      </c>
      <c r="B49" s="345" t="s">
        <v>24</v>
      </c>
      <c r="F49" s="346" t="s">
        <v>334</v>
      </c>
      <c r="G49" s="347"/>
      <c r="H49" s="347" t="s">
        <v>41</v>
      </c>
      <c r="I49" s="347" t="s">
        <v>50</v>
      </c>
      <c r="J49" s="367"/>
      <c r="K49" s="348"/>
      <c r="L49" s="347"/>
      <c r="M49" s="347"/>
      <c r="N49" s="347"/>
      <c r="O49" s="350">
        <f>299/O53*10^3</f>
        <v>12.204081632653061</v>
      </c>
      <c r="P49" s="350">
        <f t="shared" ref="P49:W49" si="36">299/P53*10^3</f>
        <v>12.204081632653061</v>
      </c>
      <c r="Q49" s="350">
        <f t="shared" si="36"/>
        <v>12.204081632653061</v>
      </c>
      <c r="R49" s="350">
        <f t="shared" si="36"/>
        <v>12.204081632653061</v>
      </c>
      <c r="S49" s="350">
        <f t="shared" si="36"/>
        <v>12.204081632653061</v>
      </c>
      <c r="T49" s="350">
        <f t="shared" si="36"/>
        <v>12.204081632653061</v>
      </c>
      <c r="U49" s="350">
        <f t="shared" si="36"/>
        <v>11.96</v>
      </c>
      <c r="V49" s="350">
        <f t="shared" si="36"/>
        <v>11.96</v>
      </c>
      <c r="W49" s="350">
        <f t="shared" si="36"/>
        <v>11.96</v>
      </c>
      <c r="X49" s="350">
        <f>299/X53*10^3</f>
        <v>11.96</v>
      </c>
      <c r="Y49" s="350">
        <f>299/Y53*10^3</f>
        <v>11.96</v>
      </c>
      <c r="Z49" s="351">
        <f>299/Z53*10^3</f>
        <v>11.96</v>
      </c>
      <c r="AA49" s="349">
        <f t="shared" ref="AA49:AL49" si="37">299/AA53*10^3</f>
        <v>11.96</v>
      </c>
      <c r="AB49" s="350">
        <f t="shared" si="37"/>
        <v>11.96</v>
      </c>
      <c r="AC49" s="350">
        <f t="shared" si="37"/>
        <v>11.96</v>
      </c>
      <c r="AD49" s="350">
        <f t="shared" si="37"/>
        <v>11.96</v>
      </c>
      <c r="AE49" s="350">
        <f>299/AE53*10^3</f>
        <v>11.96</v>
      </c>
      <c r="AF49" s="350">
        <f>299/AF53*10^3</f>
        <v>11.96</v>
      </c>
      <c r="AG49" s="350">
        <f t="shared" si="37"/>
        <v>11.96</v>
      </c>
      <c r="AH49" s="350">
        <f t="shared" si="37"/>
        <v>11.96</v>
      </c>
      <c r="AI49" s="350">
        <f t="shared" si="37"/>
        <v>11.96</v>
      </c>
      <c r="AJ49" s="350">
        <f t="shared" si="37"/>
        <v>11.96</v>
      </c>
      <c r="AK49" s="350">
        <f t="shared" si="37"/>
        <v>11.96</v>
      </c>
      <c r="AL49" s="351">
        <f t="shared" si="37"/>
        <v>11.96</v>
      </c>
      <c r="AM49" s="349"/>
      <c r="AN49" s="350"/>
      <c r="AO49" s="350"/>
      <c r="AP49" s="350"/>
      <c r="AQ49" s="350"/>
      <c r="AR49" s="350"/>
      <c r="AS49" s="350"/>
      <c r="AT49" s="350"/>
      <c r="AU49" s="350"/>
      <c r="AV49" s="350"/>
      <c r="AW49" s="350"/>
      <c r="AX49" s="351"/>
    </row>
    <row r="50" spans="1:50" s="345" customFormat="1" outlineLevel="1" x14ac:dyDescent="0.35">
      <c r="A50" s="345" t="s">
        <v>64</v>
      </c>
      <c r="B50" s="345" t="s">
        <v>24</v>
      </c>
      <c r="F50" s="346" t="s">
        <v>366</v>
      </c>
      <c r="G50" s="347"/>
      <c r="H50" s="347" t="s">
        <v>41</v>
      </c>
      <c r="I50" s="347" t="s">
        <v>58</v>
      </c>
      <c r="J50" s="367"/>
      <c r="K50" s="348"/>
      <c r="L50" s="347"/>
      <c r="M50" s="347"/>
      <c r="N50" s="347"/>
      <c r="O50" s="350">
        <f>1248/O53*10^3</f>
        <v>50.938775510204081</v>
      </c>
      <c r="P50" s="350">
        <f t="shared" ref="P50:W50" si="38">1248/P53*10^3</f>
        <v>50.938775510204081</v>
      </c>
      <c r="Q50" s="350">
        <f t="shared" si="38"/>
        <v>50.938775510204081</v>
      </c>
      <c r="R50" s="350">
        <f t="shared" si="38"/>
        <v>50.938775510204081</v>
      </c>
      <c r="S50" s="350">
        <f t="shared" si="38"/>
        <v>50.938775510204081</v>
      </c>
      <c r="T50" s="350">
        <f t="shared" si="38"/>
        <v>50.938775510204081</v>
      </c>
      <c r="U50" s="350">
        <f t="shared" si="38"/>
        <v>49.92</v>
      </c>
      <c r="V50" s="350">
        <f t="shared" si="38"/>
        <v>49.92</v>
      </c>
      <c r="W50" s="350">
        <f t="shared" si="38"/>
        <v>49.92</v>
      </c>
      <c r="X50" s="350">
        <f>1248/X53*10^3</f>
        <v>49.92</v>
      </c>
      <c r="Y50" s="350">
        <f>1248/Y53*10^3</f>
        <v>49.92</v>
      </c>
      <c r="Z50" s="351">
        <f>1248/Z53*10^3</f>
        <v>49.92</v>
      </c>
      <c r="AA50" s="349">
        <f t="shared" ref="AA50:AL50" si="39">1248/AA53*10^3</f>
        <v>49.92</v>
      </c>
      <c r="AB50" s="350">
        <f t="shared" si="39"/>
        <v>49.92</v>
      </c>
      <c r="AC50" s="350">
        <f t="shared" si="39"/>
        <v>49.92</v>
      </c>
      <c r="AD50" s="350">
        <f t="shared" si="39"/>
        <v>49.92</v>
      </c>
      <c r="AE50" s="350">
        <f>1248/AE53*10^3</f>
        <v>49.92</v>
      </c>
      <c r="AF50" s="350">
        <f>1248/AF53*10^3</f>
        <v>49.92</v>
      </c>
      <c r="AG50" s="350">
        <f t="shared" si="39"/>
        <v>49.92</v>
      </c>
      <c r="AH50" s="350">
        <f t="shared" si="39"/>
        <v>49.92</v>
      </c>
      <c r="AI50" s="350">
        <f t="shared" si="39"/>
        <v>49.92</v>
      </c>
      <c r="AJ50" s="350">
        <f t="shared" si="39"/>
        <v>49.92</v>
      </c>
      <c r="AK50" s="350">
        <f t="shared" si="39"/>
        <v>49.92</v>
      </c>
      <c r="AL50" s="351">
        <f t="shared" si="39"/>
        <v>49.92</v>
      </c>
      <c r="AM50" s="349"/>
      <c r="AN50" s="350"/>
      <c r="AO50" s="350"/>
      <c r="AP50" s="350"/>
      <c r="AQ50" s="350"/>
      <c r="AR50" s="350"/>
      <c r="AS50" s="350"/>
      <c r="AT50" s="350"/>
      <c r="AU50" s="350"/>
      <c r="AV50" s="350"/>
      <c r="AW50" s="350"/>
      <c r="AX50" s="351"/>
    </row>
    <row r="51" spans="1:50" s="345" customFormat="1" outlineLevel="1" x14ac:dyDescent="0.35">
      <c r="A51" s="345" t="s">
        <v>64</v>
      </c>
      <c r="B51" s="345" t="s">
        <v>24</v>
      </c>
      <c r="F51" s="346" t="s">
        <v>367</v>
      </c>
      <c r="G51" s="347"/>
      <c r="H51" s="347" t="s">
        <v>41</v>
      </c>
      <c r="I51" s="347" t="s">
        <v>59</v>
      </c>
      <c r="J51" s="367"/>
      <c r="K51" s="348"/>
      <c r="L51" s="347"/>
      <c r="M51" s="347"/>
      <c r="N51" s="347"/>
      <c r="O51" s="350">
        <f t="shared" ref="O51:AL51" si="40">8%*SUM(O46:O50)*2/12</f>
        <v>20.437189659863947</v>
      </c>
      <c r="P51" s="350">
        <f t="shared" si="40"/>
        <v>20.437189659863947</v>
      </c>
      <c r="Q51" s="350">
        <f t="shared" si="40"/>
        <v>20.437189659863947</v>
      </c>
      <c r="R51" s="350">
        <f t="shared" si="40"/>
        <v>19.447230476190473</v>
      </c>
      <c r="S51" s="350">
        <f t="shared" si="40"/>
        <v>19.447230476190473</v>
      </c>
      <c r="T51" s="350">
        <f t="shared" si="40"/>
        <v>19.447230476190473</v>
      </c>
      <c r="U51" s="350">
        <f t="shared" si="40"/>
        <v>19.058285866666669</v>
      </c>
      <c r="V51" s="350">
        <f t="shared" si="40"/>
        <v>19.058285866666669</v>
      </c>
      <c r="W51" s="350">
        <f t="shared" si="40"/>
        <v>19.058285866666669</v>
      </c>
      <c r="X51" s="350">
        <f t="shared" si="40"/>
        <v>19.058285866666669</v>
      </c>
      <c r="Y51" s="350">
        <f t="shared" si="40"/>
        <v>19.058285866666669</v>
      </c>
      <c r="Z51" s="351">
        <f t="shared" si="40"/>
        <v>19.058285866666669</v>
      </c>
      <c r="AA51" s="349">
        <f t="shared" si="40"/>
        <v>19.058285866666669</v>
      </c>
      <c r="AB51" s="350">
        <f t="shared" si="40"/>
        <v>19.058285866666669</v>
      </c>
      <c r="AC51" s="350">
        <f t="shared" si="40"/>
        <v>19.058285866666669</v>
      </c>
      <c r="AD51" s="350">
        <f t="shared" si="40"/>
        <v>20.083875999728001</v>
      </c>
      <c r="AE51" s="350">
        <f t="shared" si="40"/>
        <v>20.083875999728001</v>
      </c>
      <c r="AF51" s="350">
        <f t="shared" si="40"/>
        <v>20.083875999728001</v>
      </c>
      <c r="AG51" s="350">
        <f t="shared" si="40"/>
        <v>19.058285866666669</v>
      </c>
      <c r="AH51" s="350">
        <f t="shared" si="40"/>
        <v>19.058285866666669</v>
      </c>
      <c r="AI51" s="350">
        <f t="shared" si="40"/>
        <v>19.058285866666669</v>
      </c>
      <c r="AJ51" s="350">
        <f t="shared" si="40"/>
        <v>19.058285866666669</v>
      </c>
      <c r="AK51" s="350">
        <f t="shared" si="40"/>
        <v>19.058285866666669</v>
      </c>
      <c r="AL51" s="351">
        <f t="shared" si="40"/>
        <v>19.058285866666669</v>
      </c>
      <c r="AM51" s="349"/>
      <c r="AN51" s="350"/>
      <c r="AO51" s="350"/>
      <c r="AP51" s="350"/>
      <c r="AQ51" s="350"/>
      <c r="AR51" s="350"/>
      <c r="AS51" s="350"/>
      <c r="AT51" s="350"/>
      <c r="AU51" s="350"/>
      <c r="AV51" s="350"/>
      <c r="AW51" s="350"/>
      <c r="AX51" s="351"/>
    </row>
    <row r="52" spans="1:50" s="345" customFormat="1" outlineLevel="1" x14ac:dyDescent="0.35">
      <c r="A52" s="345" t="s">
        <v>64</v>
      </c>
      <c r="B52" s="345" t="s">
        <v>24</v>
      </c>
      <c r="F52" s="346" t="s">
        <v>368</v>
      </c>
      <c r="G52" s="347"/>
      <c r="H52" s="347" t="s">
        <v>41</v>
      </c>
      <c r="I52" s="347" t="s">
        <v>53</v>
      </c>
      <c r="J52" s="367"/>
      <c r="K52" s="348"/>
      <c r="L52" s="347"/>
      <c r="M52" s="347"/>
      <c r="N52" s="347"/>
      <c r="O52" s="350">
        <v>-50</v>
      </c>
      <c r="P52" s="350">
        <v>-50</v>
      </c>
      <c r="Q52" s="350">
        <v>-50</v>
      </c>
      <c r="R52" s="350">
        <v>-50</v>
      </c>
      <c r="S52" s="350">
        <v>-50</v>
      </c>
      <c r="T52" s="350">
        <v>-50</v>
      </c>
      <c r="U52" s="350">
        <v>-20</v>
      </c>
      <c r="V52" s="350">
        <v>-20</v>
      </c>
      <c r="W52" s="350">
        <v>-20</v>
      </c>
      <c r="X52" s="350">
        <v>-20</v>
      </c>
      <c r="Y52" s="350">
        <v>-20</v>
      </c>
      <c r="Z52" s="351">
        <v>-20</v>
      </c>
      <c r="AA52" s="349">
        <v>-50</v>
      </c>
      <c r="AB52" s="350">
        <v>-50</v>
      </c>
      <c r="AC52" s="350">
        <v>-50</v>
      </c>
      <c r="AD52" s="350">
        <v>-180</v>
      </c>
      <c r="AE52" s="350">
        <v>-180</v>
      </c>
      <c r="AF52" s="350">
        <v>-180</v>
      </c>
      <c r="AG52" s="350">
        <v>-70</v>
      </c>
      <c r="AH52" s="350">
        <v>-70</v>
      </c>
      <c r="AI52" s="350">
        <v>-70</v>
      </c>
      <c r="AJ52" s="350">
        <v>-70</v>
      </c>
      <c r="AK52" s="350">
        <v>-70</v>
      </c>
      <c r="AL52" s="351">
        <v>-70</v>
      </c>
      <c r="AM52" s="349"/>
      <c r="AN52" s="350"/>
      <c r="AO52" s="350"/>
      <c r="AP52" s="350"/>
      <c r="AQ52" s="350"/>
      <c r="AR52" s="350"/>
      <c r="AS52" s="350"/>
      <c r="AT52" s="350"/>
      <c r="AU52" s="350"/>
      <c r="AV52" s="350"/>
      <c r="AW52" s="350"/>
      <c r="AX52" s="351"/>
    </row>
    <row r="53" spans="1:50" s="237" customFormat="1" x14ac:dyDescent="0.35">
      <c r="A53" s="237" t="s">
        <v>64</v>
      </c>
      <c r="B53" s="237" t="s">
        <v>24</v>
      </c>
      <c r="F53" s="247"/>
      <c r="G53" s="238"/>
      <c r="H53" s="238"/>
      <c r="I53" s="238"/>
      <c r="J53" s="375" t="s">
        <v>60</v>
      </c>
      <c r="K53" s="239"/>
      <c r="L53" s="238"/>
      <c r="M53" s="238"/>
      <c r="N53" s="238"/>
      <c r="O53" s="241">
        <v>24500</v>
      </c>
      <c r="P53" s="241">
        <v>24500</v>
      </c>
      <c r="Q53" s="241">
        <v>24500</v>
      </c>
      <c r="R53" s="241">
        <v>24500</v>
      </c>
      <c r="S53" s="241">
        <v>24500</v>
      </c>
      <c r="T53" s="241">
        <v>24500</v>
      </c>
      <c r="U53" s="241">
        <v>25000</v>
      </c>
      <c r="V53" s="241">
        <v>25000</v>
      </c>
      <c r="W53" s="241">
        <v>25000</v>
      </c>
      <c r="X53" s="241">
        <v>25000</v>
      </c>
      <c r="Y53" s="241">
        <v>25000</v>
      </c>
      <c r="Z53" s="242">
        <v>25000</v>
      </c>
      <c r="AA53" s="240">
        <v>25000</v>
      </c>
      <c r="AB53" s="241">
        <v>25000</v>
      </c>
      <c r="AC53" s="241">
        <v>25000</v>
      </c>
      <c r="AD53" s="241">
        <v>25000</v>
      </c>
      <c r="AE53" s="241">
        <v>25000</v>
      </c>
      <c r="AF53" s="241">
        <v>25000</v>
      </c>
      <c r="AG53" s="241">
        <v>25000</v>
      </c>
      <c r="AH53" s="241">
        <v>25000</v>
      </c>
      <c r="AI53" s="241">
        <v>25000</v>
      </c>
      <c r="AJ53" s="241">
        <v>25000</v>
      </c>
      <c r="AK53" s="241">
        <v>25000</v>
      </c>
      <c r="AL53" s="242">
        <v>25000</v>
      </c>
      <c r="AM53" s="240"/>
      <c r="AN53" s="241"/>
      <c r="AO53" s="241"/>
      <c r="AP53" s="241"/>
      <c r="AQ53" s="241"/>
      <c r="AR53" s="241"/>
      <c r="AS53" s="241"/>
      <c r="AT53" s="241"/>
      <c r="AU53" s="241"/>
      <c r="AV53" s="241"/>
      <c r="AW53" s="241"/>
      <c r="AX53" s="242"/>
    </row>
    <row r="54" spans="1:50" s="237" customFormat="1" x14ac:dyDescent="0.35">
      <c r="A54" s="237" t="s">
        <v>64</v>
      </c>
      <c r="B54" s="237" t="s">
        <v>24</v>
      </c>
      <c r="F54" s="247"/>
      <c r="G54" s="238"/>
      <c r="H54" s="238"/>
      <c r="I54" s="238"/>
      <c r="J54" s="375" t="s">
        <v>61</v>
      </c>
      <c r="K54" s="239"/>
      <c r="L54" s="238"/>
      <c r="M54" s="238"/>
      <c r="N54" s="238"/>
      <c r="O54" s="244">
        <v>0.2127</v>
      </c>
      <c r="P54" s="244">
        <v>0.2127</v>
      </c>
      <c r="Q54" s="244">
        <v>0.2127</v>
      </c>
      <c r="R54" s="244">
        <v>0.2127</v>
      </c>
      <c r="S54" s="244">
        <v>0.2127</v>
      </c>
      <c r="T54" s="244">
        <v>0.2127</v>
      </c>
      <c r="U54" s="244">
        <v>0.2127</v>
      </c>
      <c r="V54" s="244">
        <v>0.2127</v>
      </c>
      <c r="W54" s="244">
        <v>0.2127</v>
      </c>
      <c r="X54" s="244">
        <v>0.2127</v>
      </c>
      <c r="Y54" s="244">
        <v>0.2127</v>
      </c>
      <c r="Z54" s="245">
        <v>0.2127</v>
      </c>
      <c r="AA54" s="243">
        <v>0.2127</v>
      </c>
      <c r="AB54" s="244">
        <v>0.2127</v>
      </c>
      <c r="AC54" s="244">
        <v>0.2127</v>
      </c>
      <c r="AD54" s="244">
        <v>0.2127</v>
      </c>
      <c r="AE54" s="244">
        <v>0.2127</v>
      </c>
      <c r="AF54" s="244">
        <v>0.2127</v>
      </c>
      <c r="AG54" s="244">
        <v>0.2127</v>
      </c>
      <c r="AH54" s="244">
        <v>0.2127</v>
      </c>
      <c r="AI54" s="244">
        <v>0.2127</v>
      </c>
      <c r="AJ54" s="244">
        <v>0.2127</v>
      </c>
      <c r="AK54" s="244">
        <v>0.2127</v>
      </c>
      <c r="AL54" s="245">
        <v>0.2127</v>
      </c>
      <c r="AM54" s="243"/>
      <c r="AN54" s="244"/>
      <c r="AO54" s="244"/>
      <c r="AP54" s="244"/>
      <c r="AQ54" s="244"/>
      <c r="AR54" s="244"/>
      <c r="AS54" s="244"/>
      <c r="AT54" s="244"/>
      <c r="AU54" s="244"/>
      <c r="AV54" s="244"/>
      <c r="AW54" s="244"/>
      <c r="AX54" s="245"/>
    </row>
    <row r="55" spans="1:50" s="94" customFormat="1" outlineLevel="1" x14ac:dyDescent="0.35">
      <c r="A55" s="94" t="s">
        <v>64</v>
      </c>
      <c r="B55" s="94" t="s">
        <v>24</v>
      </c>
      <c r="D55" s="95" t="s">
        <v>162</v>
      </c>
      <c r="F55" s="226" t="s">
        <v>283</v>
      </c>
      <c r="G55" s="227"/>
      <c r="H55" s="227"/>
      <c r="I55" s="227" t="s">
        <v>8</v>
      </c>
      <c r="J55" s="376"/>
      <c r="K55" s="2"/>
      <c r="L55" s="227"/>
      <c r="M55" s="227"/>
      <c r="N55" s="227"/>
      <c r="O55" s="229">
        <f>O45-O49</f>
        <v>1487.795918367347</v>
      </c>
      <c r="P55" s="229">
        <f t="shared" ref="P55:AL55" si="41">P45-P49</f>
        <v>1487.795918367347</v>
      </c>
      <c r="Q55" s="229">
        <f t="shared" si="41"/>
        <v>1487.795918367347</v>
      </c>
      <c r="R55" s="229">
        <f t="shared" si="41"/>
        <v>1417.795918367347</v>
      </c>
      <c r="S55" s="229">
        <f t="shared" si="41"/>
        <v>1417.795918367347</v>
      </c>
      <c r="T55" s="229">
        <f t="shared" si="41"/>
        <v>1417.795918367347</v>
      </c>
      <c r="U55" s="229">
        <f t="shared" si="41"/>
        <v>1418.04</v>
      </c>
      <c r="V55" s="229">
        <f t="shared" si="41"/>
        <v>1418.04</v>
      </c>
      <c r="W55" s="229">
        <f t="shared" si="41"/>
        <v>1418.04</v>
      </c>
      <c r="X55" s="229">
        <f t="shared" si="41"/>
        <v>1418.04</v>
      </c>
      <c r="Y55" s="229">
        <f t="shared" si="41"/>
        <v>1418.04</v>
      </c>
      <c r="Z55" s="230">
        <f t="shared" si="41"/>
        <v>1418.04</v>
      </c>
      <c r="AA55" s="229">
        <f t="shared" si="41"/>
        <v>1388.04</v>
      </c>
      <c r="AB55" s="229">
        <f t="shared" si="41"/>
        <v>1388.04</v>
      </c>
      <c r="AC55" s="229">
        <f t="shared" si="41"/>
        <v>1388.04</v>
      </c>
      <c r="AD55" s="229">
        <f t="shared" si="41"/>
        <v>1338.04</v>
      </c>
      <c r="AE55" s="229">
        <f t="shared" si="41"/>
        <v>1338.04</v>
      </c>
      <c r="AF55" s="229">
        <f t="shared" si="41"/>
        <v>1338.04</v>
      </c>
      <c r="AG55" s="229">
        <f t="shared" si="41"/>
        <v>1368.04</v>
      </c>
      <c r="AH55" s="229">
        <f t="shared" si="41"/>
        <v>1368.04</v>
      </c>
      <c r="AI55" s="229">
        <f t="shared" si="41"/>
        <v>1368.04</v>
      </c>
      <c r="AJ55" s="229">
        <f t="shared" si="41"/>
        <v>1368.04</v>
      </c>
      <c r="AK55" s="229">
        <f t="shared" si="41"/>
        <v>1368.04</v>
      </c>
      <c r="AL55" s="230">
        <f t="shared" si="41"/>
        <v>1368.04</v>
      </c>
      <c r="AM55" s="229"/>
      <c r="AN55" s="229"/>
      <c r="AO55" s="229"/>
      <c r="AP55" s="229"/>
      <c r="AQ55" s="229"/>
      <c r="AR55" s="229"/>
      <c r="AS55" s="229"/>
      <c r="AT55" s="229"/>
      <c r="AU55" s="229"/>
      <c r="AV55" s="229"/>
      <c r="AW55" s="229"/>
      <c r="AX55" s="230"/>
    </row>
    <row r="56" spans="1:50" s="188" customFormat="1" outlineLevel="1" x14ac:dyDescent="0.35">
      <c r="A56" s="188" t="s">
        <v>64</v>
      </c>
      <c r="B56" s="188" t="s">
        <v>24</v>
      </c>
      <c r="F56" s="225" t="s">
        <v>284</v>
      </c>
      <c r="G56" s="193"/>
      <c r="H56" s="193"/>
      <c r="I56" s="193"/>
      <c r="J56" s="374" t="s">
        <v>203</v>
      </c>
      <c r="K56" s="189"/>
      <c r="L56" s="202"/>
      <c r="M56" s="202"/>
      <c r="N56" s="202"/>
      <c r="O56" s="315" cm="1">
        <f t="array" ref="O56">SUMPRODUCT(General_Data*(Year=O$3)*(Month=O$4)*(Code_General_Data=$B56))</f>
        <v>1350</v>
      </c>
      <c r="P56" s="315" cm="1">
        <f t="array" ref="P56">SUMPRODUCT(General_Data*(Year=P$3)*(Month=P$4)*(Code_General_Data=$B56))</f>
        <v>1350</v>
      </c>
      <c r="Q56" s="315" cm="1">
        <f t="array" ref="Q56">SUMPRODUCT(General_Data*(Year=Q$3)*(Month=Q$4)*(Code_General_Data=$B56))</f>
        <v>1350</v>
      </c>
      <c r="R56" s="315" cm="1">
        <f t="array" ref="R56">SUMPRODUCT(General_Data*(Year=R$3)*(Month=R$4)*(Code_General_Data=$B56))</f>
        <v>1350</v>
      </c>
      <c r="S56" s="315" cm="1">
        <f t="array" ref="S56">SUMPRODUCT(General_Data*(Year=S$3)*(Month=S$4)*(Code_General_Data=$B56))</f>
        <v>1350</v>
      </c>
      <c r="T56" s="315" cm="1">
        <f t="array" ref="T56">SUMPRODUCT(General_Data*(Year=T$3)*(Month=T$4)*(Code_General_Data=$B56))</f>
        <v>1350</v>
      </c>
      <c r="U56" s="315" cm="1">
        <f t="array" ref="U56">SUMPRODUCT(General_Data*(Year=U$3)*(Month=U$4)*(Code_General_Data=$B56))</f>
        <v>1350</v>
      </c>
      <c r="V56" s="315" cm="1">
        <f t="array" ref="V56">SUMPRODUCT(General_Data*(Year=V$3)*(Month=V$4)*(Code_General_Data=$B56))</f>
        <v>1350</v>
      </c>
      <c r="W56" s="315" cm="1">
        <f t="array" ref="W56">SUMPRODUCT(General_Data*(Year=W$3)*(Month=W$4)*(Code_General_Data=$B56))</f>
        <v>1350</v>
      </c>
      <c r="X56" s="315" cm="1">
        <f t="array" ref="X56">SUMPRODUCT(General_Data*(Year=X$3)*(Month=X$4)*(Code_General_Data=$B56))</f>
        <v>1350</v>
      </c>
      <c r="Y56" s="315" cm="1">
        <f t="array" ref="Y56">SUMPRODUCT(General_Data*(Year=Y$3)*(Month=Y$4)*(Code_General_Data=$B56))</f>
        <v>1350</v>
      </c>
      <c r="Z56" s="316" cm="1">
        <f t="array" ref="Z56">SUMPRODUCT(General_Data*(Year=Z$3)*(Month=Z$4)*(Code_General_Data=$B56))</f>
        <v>1350</v>
      </c>
      <c r="AA56" s="315" cm="1">
        <f t="array" ref="AA56">SUMPRODUCT(General_Data*(Year=AA$3)*(Month=AA$4)*(Code_General_Data=$B56))</f>
        <v>1350</v>
      </c>
      <c r="AB56" s="315" cm="1">
        <f t="array" ref="AB56">SUMPRODUCT(General_Data*(Year=AB$3)*(Month=AB$4)*(Code_General_Data=$B56))</f>
        <v>1300</v>
      </c>
      <c r="AC56" s="315" cm="1">
        <f t="array" ref="AC56">SUMPRODUCT(General_Data*(Year=AC$3)*(Month=AC$4)*(Code_General_Data=$B56))</f>
        <v>1250</v>
      </c>
      <c r="AD56" s="315" cm="1">
        <f t="array" ref="AD56">SUMPRODUCT(General_Data*(Year=AD$3)*(Month=AD$4)*(Code_General_Data=$B56))</f>
        <v>1250</v>
      </c>
      <c r="AE56" s="315" cm="1">
        <f t="array" ref="AE56">SUMPRODUCT(General_Data*(Year=AE$3)*(Month=AE$4)*(Code_General_Data=$B56))</f>
        <v>1250</v>
      </c>
      <c r="AF56" s="315" cm="1">
        <f t="array" ref="AF56">SUMPRODUCT(General_Data*(Year=AF$3)*(Month=AF$4)*(Code_General_Data=$B56))</f>
        <v>1250</v>
      </c>
      <c r="AG56" s="315" cm="1">
        <f t="array" ref="AG56">SUMPRODUCT(General_Data*(Year=AG$3)*(Month=AG$4)*(Code_General_Data=$B56))</f>
        <v>1250</v>
      </c>
      <c r="AH56" s="315" cm="1">
        <f t="array" ref="AH56">SUMPRODUCT(General_Data*(Year=AH$3)*(Month=AH$4)*(Code_General_Data=$B56))</f>
        <v>1230</v>
      </c>
      <c r="AI56" s="315" cm="1">
        <f t="array" ref="AI56">SUMPRODUCT(General_Data*(Year=AI$3)*(Month=AI$4)*(Code_General_Data=$B56))</f>
        <v>1210</v>
      </c>
      <c r="AJ56" s="315" cm="1">
        <f t="array" ref="AJ56">SUMPRODUCT(General_Data*(Year=AJ$3)*(Month=AJ$4)*(Code_General_Data=$B56))</f>
        <v>1210</v>
      </c>
      <c r="AK56" s="315" cm="1">
        <f t="array" ref="AK56">SUMPRODUCT(General_Data*(Year=AK$3)*(Month=AK$4)*(Code_General_Data=$B56))</f>
        <v>1200</v>
      </c>
      <c r="AL56" s="316" cm="1">
        <f t="array" ref="AL56">SUMPRODUCT(General_Data*(Year=AL$3)*(Month=AL$4)*(Code_General_Data=$B56))</f>
        <v>1200</v>
      </c>
      <c r="AM56" s="315"/>
      <c r="AN56" s="315"/>
      <c r="AO56" s="315"/>
      <c r="AP56" s="315"/>
      <c r="AQ56" s="315"/>
      <c r="AR56" s="315"/>
      <c r="AS56" s="315"/>
      <c r="AT56" s="315"/>
      <c r="AU56" s="315"/>
      <c r="AV56" s="315"/>
      <c r="AW56" s="315"/>
      <c r="AX56" s="316"/>
    </row>
    <row r="57" spans="1:50" s="188" customFormat="1" ht="6.65" customHeight="1" x14ac:dyDescent="0.35">
      <c r="F57" s="310"/>
      <c r="G57" s="189"/>
      <c r="H57" s="189"/>
      <c r="I57" s="189"/>
      <c r="J57" s="377"/>
      <c r="K57" s="189"/>
      <c r="L57" s="311"/>
      <c r="M57" s="311"/>
      <c r="N57" s="311"/>
      <c r="O57" s="311"/>
      <c r="P57" s="311"/>
      <c r="Q57" s="311"/>
      <c r="R57" s="311"/>
      <c r="S57" s="311"/>
      <c r="T57" s="311"/>
      <c r="U57" s="311"/>
      <c r="V57" s="311"/>
      <c r="W57" s="311"/>
      <c r="X57" s="311"/>
      <c r="Y57" s="311"/>
      <c r="Z57" s="312"/>
      <c r="AA57" s="311"/>
      <c r="AB57" s="311"/>
      <c r="AC57" s="311"/>
      <c r="AD57" s="311"/>
      <c r="AE57" s="311"/>
      <c r="AF57" s="311"/>
      <c r="AG57" s="311"/>
      <c r="AH57" s="311"/>
      <c r="AI57" s="311"/>
      <c r="AJ57" s="311"/>
      <c r="AK57" s="311"/>
      <c r="AL57" s="312"/>
      <c r="AM57" s="311"/>
      <c r="AN57" s="311"/>
      <c r="AO57" s="311"/>
      <c r="AP57" s="311"/>
      <c r="AQ57" s="311"/>
      <c r="AR57" s="311"/>
      <c r="AS57" s="311"/>
      <c r="AT57" s="311"/>
      <c r="AU57" s="311"/>
      <c r="AV57" s="311"/>
      <c r="AW57" s="311"/>
      <c r="AX57" s="312"/>
    </row>
    <row r="58" spans="1:50" s="330" customFormat="1" ht="16" x14ac:dyDescent="0.35">
      <c r="A58" s="330" t="s">
        <v>64</v>
      </c>
      <c r="B58" s="330" t="s">
        <v>22</v>
      </c>
      <c r="D58" s="330" t="s">
        <v>322</v>
      </c>
      <c r="F58" s="331">
        <v>3.3</v>
      </c>
      <c r="G58" s="332"/>
      <c r="H58" s="332" t="s">
        <v>245</v>
      </c>
      <c r="I58" s="332"/>
      <c r="J58" s="366"/>
      <c r="L58" s="332"/>
      <c r="M58" s="332"/>
      <c r="N58" s="332"/>
      <c r="O58" s="341"/>
      <c r="P58" s="341"/>
      <c r="Q58" s="341"/>
      <c r="R58" s="341"/>
      <c r="S58" s="341"/>
      <c r="T58" s="341"/>
      <c r="U58" s="341"/>
      <c r="V58" s="341"/>
      <c r="W58" s="341"/>
      <c r="X58" s="341"/>
      <c r="Y58" s="341"/>
      <c r="Z58" s="342"/>
      <c r="AA58" s="333">
        <f>AA59</f>
        <v>1400</v>
      </c>
      <c r="AB58" s="334">
        <f t="shared" ref="AB58:AL58" si="42">AB59</f>
        <v>1400</v>
      </c>
      <c r="AC58" s="334">
        <f t="shared" si="42"/>
        <v>1400</v>
      </c>
      <c r="AD58" s="334">
        <f t="shared" si="42"/>
        <v>1350</v>
      </c>
      <c r="AE58" s="334">
        <f t="shared" si="42"/>
        <v>1350</v>
      </c>
      <c r="AF58" s="334">
        <f t="shared" si="42"/>
        <v>1350</v>
      </c>
      <c r="AG58" s="334">
        <f t="shared" si="42"/>
        <v>1380</v>
      </c>
      <c r="AH58" s="334">
        <f t="shared" si="42"/>
        <v>1380</v>
      </c>
      <c r="AI58" s="334">
        <f t="shared" si="42"/>
        <v>1380</v>
      </c>
      <c r="AJ58" s="334">
        <f t="shared" si="42"/>
        <v>1380</v>
      </c>
      <c r="AK58" s="334">
        <f t="shared" si="42"/>
        <v>1380</v>
      </c>
      <c r="AL58" s="335">
        <f t="shared" si="42"/>
        <v>1380</v>
      </c>
      <c r="AM58" s="333"/>
      <c r="AN58" s="334"/>
      <c r="AO58" s="334"/>
      <c r="AP58" s="334"/>
      <c r="AQ58" s="334"/>
      <c r="AR58" s="334"/>
      <c r="AS58" s="334"/>
      <c r="AT58" s="334"/>
      <c r="AU58" s="334"/>
      <c r="AV58" s="334"/>
      <c r="AW58" s="334"/>
      <c r="AX58" s="335"/>
    </row>
    <row r="59" spans="1:50" s="345" customFormat="1" outlineLevel="1" x14ac:dyDescent="0.35">
      <c r="A59" s="345" t="s">
        <v>64</v>
      </c>
      <c r="B59" s="345" t="s">
        <v>22</v>
      </c>
      <c r="F59" s="346" t="s">
        <v>369</v>
      </c>
      <c r="G59" s="347"/>
      <c r="H59" s="347" t="s">
        <v>41</v>
      </c>
      <c r="I59" s="347" t="s">
        <v>246</v>
      </c>
      <c r="J59" s="367"/>
      <c r="K59" s="348"/>
      <c r="L59" s="347"/>
      <c r="M59" s="347"/>
      <c r="N59" s="347"/>
      <c r="O59" s="352"/>
      <c r="P59" s="352"/>
      <c r="Q59" s="352"/>
      <c r="R59" s="352"/>
      <c r="S59" s="352"/>
      <c r="T59" s="352"/>
      <c r="U59" s="352"/>
      <c r="V59" s="352"/>
      <c r="W59" s="352"/>
      <c r="X59" s="352"/>
      <c r="Y59" s="352"/>
      <c r="Z59" s="353"/>
      <c r="AA59" s="349">
        <f t="shared" ref="AA59:AL59" si="43">AA45</f>
        <v>1400</v>
      </c>
      <c r="AB59" s="350">
        <f t="shared" si="43"/>
        <v>1400</v>
      </c>
      <c r="AC59" s="350">
        <f t="shared" si="43"/>
        <v>1400</v>
      </c>
      <c r="AD59" s="350">
        <f t="shared" si="43"/>
        <v>1350</v>
      </c>
      <c r="AE59" s="350">
        <f t="shared" si="43"/>
        <v>1350</v>
      </c>
      <c r="AF59" s="350">
        <f t="shared" si="43"/>
        <v>1350</v>
      </c>
      <c r="AG59" s="350">
        <f t="shared" si="43"/>
        <v>1380</v>
      </c>
      <c r="AH59" s="350">
        <f t="shared" si="43"/>
        <v>1380</v>
      </c>
      <c r="AI59" s="350">
        <f t="shared" si="43"/>
        <v>1380</v>
      </c>
      <c r="AJ59" s="350">
        <f t="shared" si="43"/>
        <v>1380</v>
      </c>
      <c r="AK59" s="350">
        <f t="shared" si="43"/>
        <v>1380</v>
      </c>
      <c r="AL59" s="351">
        <f t="shared" si="43"/>
        <v>1380</v>
      </c>
      <c r="AM59" s="349"/>
      <c r="AN59" s="350"/>
      <c r="AO59" s="350"/>
      <c r="AP59" s="350"/>
      <c r="AQ59" s="350"/>
      <c r="AR59" s="350"/>
      <c r="AS59" s="350"/>
      <c r="AT59" s="350"/>
      <c r="AU59" s="350"/>
      <c r="AV59" s="350"/>
      <c r="AW59" s="350"/>
      <c r="AX59" s="351"/>
    </row>
    <row r="60" spans="1:50" s="94" customFormat="1" outlineLevel="1" x14ac:dyDescent="0.35">
      <c r="A60" s="94" t="s">
        <v>64</v>
      </c>
      <c r="B60" s="94" t="s">
        <v>22</v>
      </c>
      <c r="D60" s="95" t="s">
        <v>162</v>
      </c>
      <c r="F60" s="226" t="s">
        <v>370</v>
      </c>
      <c r="G60" s="227"/>
      <c r="H60" s="227"/>
      <c r="I60" s="227" t="s">
        <v>8</v>
      </c>
      <c r="J60" s="376"/>
      <c r="K60" s="2"/>
      <c r="L60" s="227"/>
      <c r="M60" s="227"/>
      <c r="N60" s="227"/>
      <c r="O60" s="229"/>
      <c r="P60" s="229"/>
      <c r="Q60" s="229"/>
      <c r="R60" s="229"/>
      <c r="S60" s="229"/>
      <c r="T60" s="229"/>
      <c r="U60" s="229"/>
      <c r="V60" s="229"/>
      <c r="W60" s="229"/>
      <c r="X60" s="229"/>
      <c r="Y60" s="229"/>
      <c r="Z60" s="230"/>
      <c r="AA60" s="229">
        <f t="shared" ref="AA60:AL60" si="44">AA55</f>
        <v>1388.04</v>
      </c>
      <c r="AB60" s="229">
        <f t="shared" si="44"/>
        <v>1388.04</v>
      </c>
      <c r="AC60" s="229">
        <f t="shared" si="44"/>
        <v>1388.04</v>
      </c>
      <c r="AD60" s="229">
        <f t="shared" si="44"/>
        <v>1338.04</v>
      </c>
      <c r="AE60" s="229">
        <f t="shared" si="44"/>
        <v>1338.04</v>
      </c>
      <c r="AF60" s="229">
        <f t="shared" si="44"/>
        <v>1338.04</v>
      </c>
      <c r="AG60" s="229">
        <f t="shared" si="44"/>
        <v>1368.04</v>
      </c>
      <c r="AH60" s="229">
        <f t="shared" si="44"/>
        <v>1368.04</v>
      </c>
      <c r="AI60" s="229">
        <f t="shared" si="44"/>
        <v>1368.04</v>
      </c>
      <c r="AJ60" s="229">
        <f t="shared" si="44"/>
        <v>1368.04</v>
      </c>
      <c r="AK60" s="229">
        <f t="shared" si="44"/>
        <v>1368.04</v>
      </c>
      <c r="AL60" s="230">
        <f t="shared" si="44"/>
        <v>1368.04</v>
      </c>
      <c r="AM60" s="229"/>
      <c r="AN60" s="229"/>
      <c r="AO60" s="229"/>
      <c r="AP60" s="229"/>
      <c r="AQ60" s="229"/>
      <c r="AR60" s="229"/>
      <c r="AS60" s="229"/>
      <c r="AT60" s="229"/>
      <c r="AU60" s="229"/>
      <c r="AV60" s="229"/>
      <c r="AW60" s="229"/>
      <c r="AX60" s="230"/>
    </row>
    <row r="61" spans="1:50" s="188" customFormat="1" outlineLevel="1" x14ac:dyDescent="0.35">
      <c r="A61" s="188" t="s">
        <v>64</v>
      </c>
      <c r="B61" s="188" t="s">
        <v>22</v>
      </c>
      <c r="F61" s="225" t="s">
        <v>371</v>
      </c>
      <c r="G61" s="193"/>
      <c r="H61" s="193"/>
      <c r="I61" s="193"/>
      <c r="J61" s="374" t="s">
        <v>203</v>
      </c>
      <c r="K61" s="189"/>
      <c r="L61" s="202"/>
      <c r="M61" s="202"/>
      <c r="N61" s="202"/>
      <c r="O61" s="317"/>
      <c r="P61" s="317"/>
      <c r="Q61" s="317"/>
      <c r="R61" s="317"/>
      <c r="S61" s="317"/>
      <c r="T61" s="317"/>
      <c r="U61" s="317"/>
      <c r="V61" s="317"/>
      <c r="W61" s="317"/>
      <c r="X61" s="317"/>
      <c r="Y61" s="317"/>
      <c r="Z61" s="318"/>
      <c r="AA61" s="315" cm="1">
        <f t="array" ref="AA61">SUMPRODUCT(General_Data*(Year=AA$3)*(Month=AA$4)*(Code_General_Data=$B61))</f>
        <v>1400</v>
      </c>
      <c r="AB61" s="315" cm="1">
        <f t="array" ref="AB61">SUMPRODUCT(General_Data*(Year=AB$3)*(Month=AB$4)*(Code_General_Data=$B61))</f>
        <v>1400</v>
      </c>
      <c r="AC61" s="315" cm="1">
        <f t="array" ref="AC61">SUMPRODUCT(General_Data*(Year=AC$3)*(Month=AC$4)*(Code_General_Data=$B61))</f>
        <v>1350</v>
      </c>
      <c r="AD61" s="315" cm="1">
        <f t="array" ref="AD61">SUMPRODUCT(General_Data*(Year=AD$3)*(Month=AD$4)*(Code_General_Data=$B61))</f>
        <v>1350</v>
      </c>
      <c r="AE61" s="315" cm="1">
        <f t="array" ref="AE61">SUMPRODUCT(General_Data*(Year=AE$3)*(Month=AE$4)*(Code_General_Data=$B61))</f>
        <v>1350</v>
      </c>
      <c r="AF61" s="315" cm="1">
        <f t="array" ref="AF61">SUMPRODUCT(General_Data*(Year=AF$3)*(Month=AF$4)*(Code_General_Data=$B61))</f>
        <v>1350</v>
      </c>
      <c r="AG61" s="315" cm="1">
        <f t="array" ref="AG61">SUMPRODUCT(General_Data*(Year=AG$3)*(Month=AG$4)*(Code_General_Data=$B61))</f>
        <v>1350</v>
      </c>
      <c r="AH61" s="315" cm="1">
        <f t="array" ref="AH61">SUMPRODUCT(General_Data*(Year=AH$3)*(Month=AH$4)*(Code_General_Data=$B61))</f>
        <v>1330</v>
      </c>
      <c r="AI61" s="315" cm="1">
        <f t="array" ref="AI61">SUMPRODUCT(General_Data*(Year=AI$3)*(Month=AI$4)*(Code_General_Data=$B61))</f>
        <v>1310</v>
      </c>
      <c r="AJ61" s="315" cm="1">
        <f t="array" ref="AJ61">SUMPRODUCT(General_Data*(Year=AJ$3)*(Month=AJ$4)*(Code_General_Data=$B61))</f>
        <v>1310</v>
      </c>
      <c r="AK61" s="315" cm="1">
        <f t="array" ref="AK61">SUMPRODUCT(General_Data*(Year=AK$3)*(Month=AK$4)*(Code_General_Data=$B61))</f>
        <v>1300</v>
      </c>
      <c r="AL61" s="316" cm="1">
        <f t="array" ref="AL61">SUMPRODUCT(General_Data*(Year=AL$3)*(Month=AL$4)*(Code_General_Data=$B61))</f>
        <v>1300</v>
      </c>
      <c r="AM61" s="315"/>
      <c r="AN61" s="315"/>
      <c r="AO61" s="315"/>
      <c r="AP61" s="315"/>
      <c r="AQ61" s="315"/>
      <c r="AR61" s="315"/>
      <c r="AS61" s="315"/>
      <c r="AT61" s="315"/>
      <c r="AU61" s="315"/>
      <c r="AV61" s="315"/>
      <c r="AW61" s="315"/>
      <c r="AX61" s="316"/>
    </row>
    <row r="62" spans="1:50" s="188" customFormat="1" ht="6.65" customHeight="1" x14ac:dyDescent="0.35">
      <c r="F62" s="310"/>
      <c r="G62" s="189"/>
      <c r="H62" s="189"/>
      <c r="I62" s="189"/>
      <c r="J62" s="377"/>
      <c r="K62" s="189"/>
      <c r="L62" s="311"/>
      <c r="M62" s="311"/>
      <c r="N62" s="311"/>
      <c r="O62" s="311"/>
      <c r="P62" s="311"/>
      <c r="Q62" s="311"/>
      <c r="R62" s="311"/>
      <c r="S62" s="311"/>
      <c r="T62" s="311"/>
      <c r="U62" s="311"/>
      <c r="V62" s="311"/>
      <c r="W62" s="311"/>
      <c r="X62" s="311"/>
      <c r="Y62" s="311"/>
      <c r="Z62" s="312"/>
      <c r="AA62" s="311"/>
      <c r="AB62" s="311"/>
      <c r="AC62" s="311"/>
      <c r="AD62" s="311"/>
      <c r="AE62" s="311"/>
      <c r="AF62" s="311"/>
      <c r="AG62" s="311"/>
      <c r="AH62" s="311"/>
      <c r="AI62" s="311"/>
      <c r="AJ62" s="311"/>
      <c r="AK62" s="311"/>
      <c r="AL62" s="312"/>
      <c r="AM62" s="311"/>
      <c r="AN62" s="311"/>
      <c r="AO62" s="311"/>
      <c r="AP62" s="311"/>
      <c r="AQ62" s="311"/>
      <c r="AR62" s="311"/>
      <c r="AS62" s="311"/>
      <c r="AT62" s="311"/>
      <c r="AU62" s="311"/>
      <c r="AV62" s="311"/>
      <c r="AW62" s="311"/>
      <c r="AX62" s="312"/>
    </row>
    <row r="63" spans="1:50" s="330" customFormat="1" ht="16" x14ac:dyDescent="0.35">
      <c r="A63" s="330" t="s">
        <v>64</v>
      </c>
      <c r="B63" s="330" t="s">
        <v>65</v>
      </c>
      <c r="D63" s="330" t="s">
        <v>322</v>
      </c>
      <c r="F63" s="331">
        <v>3.4</v>
      </c>
      <c r="G63" s="332"/>
      <c r="H63" s="332" t="s">
        <v>428</v>
      </c>
      <c r="I63" s="332"/>
      <c r="J63" s="366"/>
      <c r="L63" s="332"/>
      <c r="M63" s="332"/>
      <c r="N63" s="332"/>
      <c r="O63" s="334">
        <f t="shared" ref="O63:Z63" si="45">ROUND(SUM(O64:O65),-1)</f>
        <v>1450</v>
      </c>
      <c r="P63" s="334">
        <f t="shared" si="45"/>
        <v>1450</v>
      </c>
      <c r="Q63" s="334">
        <f t="shared" si="45"/>
        <v>1450</v>
      </c>
      <c r="R63" s="334">
        <f t="shared" si="45"/>
        <v>1380</v>
      </c>
      <c r="S63" s="334">
        <f t="shared" si="45"/>
        <v>1380</v>
      </c>
      <c r="T63" s="334">
        <f t="shared" si="45"/>
        <v>1380</v>
      </c>
      <c r="U63" s="334">
        <f t="shared" si="45"/>
        <v>1380</v>
      </c>
      <c r="V63" s="334">
        <f t="shared" si="45"/>
        <v>1380</v>
      </c>
      <c r="W63" s="334">
        <f t="shared" si="45"/>
        <v>1380</v>
      </c>
      <c r="X63" s="334">
        <f t="shared" si="45"/>
        <v>1380</v>
      </c>
      <c r="Y63" s="334">
        <f t="shared" si="45"/>
        <v>1380</v>
      </c>
      <c r="Z63" s="335">
        <f t="shared" si="45"/>
        <v>1380</v>
      </c>
      <c r="AA63" s="333">
        <f t="shared" ref="AA63:AL63" si="46">ROUND(SUM(AA64:AA65),-1)</f>
        <v>1350</v>
      </c>
      <c r="AB63" s="334">
        <f t="shared" si="46"/>
        <v>1350</v>
      </c>
      <c r="AC63" s="334">
        <f t="shared" si="46"/>
        <v>1350</v>
      </c>
      <c r="AD63" s="334">
        <f t="shared" si="46"/>
        <v>1300</v>
      </c>
      <c r="AE63" s="334">
        <f t="shared" si="46"/>
        <v>1300</v>
      </c>
      <c r="AF63" s="334">
        <f t="shared" si="46"/>
        <v>1300</v>
      </c>
      <c r="AG63" s="334">
        <f t="shared" si="46"/>
        <v>1330</v>
      </c>
      <c r="AH63" s="334">
        <f t="shared" si="46"/>
        <v>1330</v>
      </c>
      <c r="AI63" s="334">
        <f t="shared" si="46"/>
        <v>1330</v>
      </c>
      <c r="AJ63" s="334">
        <f t="shared" si="46"/>
        <v>1330</v>
      </c>
      <c r="AK63" s="334">
        <f t="shared" si="46"/>
        <v>1330</v>
      </c>
      <c r="AL63" s="335">
        <f t="shared" si="46"/>
        <v>1330</v>
      </c>
      <c r="AM63" s="333"/>
      <c r="AN63" s="334"/>
      <c r="AO63" s="334"/>
      <c r="AP63" s="334"/>
      <c r="AQ63" s="334"/>
      <c r="AR63" s="334"/>
      <c r="AS63" s="334"/>
      <c r="AT63" s="334"/>
      <c r="AU63" s="334"/>
      <c r="AV63" s="334"/>
      <c r="AW63" s="334"/>
      <c r="AX63" s="335"/>
    </row>
    <row r="64" spans="1:50" s="345" customFormat="1" outlineLevel="1" x14ac:dyDescent="0.35">
      <c r="A64" s="345" t="s">
        <v>64</v>
      </c>
      <c r="B64" s="345" t="s">
        <v>65</v>
      </c>
      <c r="F64" s="346" t="s">
        <v>372</v>
      </c>
      <c r="G64" s="347"/>
      <c r="H64" s="347" t="s">
        <v>41</v>
      </c>
      <c r="I64" s="347" t="s">
        <v>254</v>
      </c>
      <c r="J64" s="367"/>
      <c r="K64" s="348"/>
      <c r="L64" s="347"/>
      <c r="M64" s="347"/>
      <c r="N64" s="347"/>
      <c r="O64" s="350">
        <f t="shared" ref="O64:Z64" si="47">O45</f>
        <v>1500</v>
      </c>
      <c r="P64" s="350">
        <f t="shared" si="47"/>
        <v>1500</v>
      </c>
      <c r="Q64" s="350">
        <f t="shared" si="47"/>
        <v>1500</v>
      </c>
      <c r="R64" s="350">
        <f t="shared" si="47"/>
        <v>1430</v>
      </c>
      <c r="S64" s="350">
        <f t="shared" si="47"/>
        <v>1430</v>
      </c>
      <c r="T64" s="350">
        <f t="shared" si="47"/>
        <v>1430</v>
      </c>
      <c r="U64" s="350">
        <f t="shared" si="47"/>
        <v>1430</v>
      </c>
      <c r="V64" s="350">
        <f t="shared" si="47"/>
        <v>1430</v>
      </c>
      <c r="W64" s="350">
        <f t="shared" si="47"/>
        <v>1430</v>
      </c>
      <c r="X64" s="350">
        <f t="shared" si="47"/>
        <v>1430</v>
      </c>
      <c r="Y64" s="350">
        <f t="shared" si="47"/>
        <v>1430</v>
      </c>
      <c r="Z64" s="351">
        <f t="shared" si="47"/>
        <v>1430</v>
      </c>
      <c r="AA64" s="349">
        <f t="shared" ref="AA64:AL64" si="48">AA58</f>
        <v>1400</v>
      </c>
      <c r="AB64" s="350">
        <f t="shared" si="48"/>
        <v>1400</v>
      </c>
      <c r="AC64" s="350">
        <f t="shared" si="48"/>
        <v>1400</v>
      </c>
      <c r="AD64" s="350">
        <f t="shared" si="48"/>
        <v>1350</v>
      </c>
      <c r="AE64" s="350">
        <f t="shared" si="48"/>
        <v>1350</v>
      </c>
      <c r="AF64" s="350">
        <f t="shared" si="48"/>
        <v>1350</v>
      </c>
      <c r="AG64" s="350">
        <f t="shared" si="48"/>
        <v>1380</v>
      </c>
      <c r="AH64" s="350">
        <f t="shared" si="48"/>
        <v>1380</v>
      </c>
      <c r="AI64" s="350">
        <f t="shared" si="48"/>
        <v>1380</v>
      </c>
      <c r="AJ64" s="350">
        <f t="shared" si="48"/>
        <v>1380</v>
      </c>
      <c r="AK64" s="350">
        <f t="shared" si="48"/>
        <v>1380</v>
      </c>
      <c r="AL64" s="351">
        <f t="shared" si="48"/>
        <v>1380</v>
      </c>
      <c r="AM64" s="349"/>
      <c r="AN64" s="350"/>
      <c r="AO64" s="350"/>
      <c r="AP64" s="350"/>
      <c r="AQ64" s="350"/>
      <c r="AR64" s="350"/>
      <c r="AS64" s="350"/>
      <c r="AT64" s="350"/>
      <c r="AU64" s="350"/>
      <c r="AV64" s="350"/>
      <c r="AW64" s="350"/>
      <c r="AX64" s="351"/>
    </row>
    <row r="65" spans="1:50" s="345" customFormat="1" outlineLevel="1" x14ac:dyDescent="0.35">
      <c r="A65" s="345" t="s">
        <v>64</v>
      </c>
      <c r="B65" s="345" t="s">
        <v>65</v>
      </c>
      <c r="F65" s="346" t="s">
        <v>373</v>
      </c>
      <c r="G65" s="347"/>
      <c r="H65" s="347" t="s">
        <v>41</v>
      </c>
      <c r="I65" s="347" t="s">
        <v>53</v>
      </c>
      <c r="J65" s="367"/>
      <c r="K65" s="348"/>
      <c r="L65" s="347"/>
      <c r="M65" s="347"/>
      <c r="N65" s="347"/>
      <c r="O65" s="350">
        <v>-50</v>
      </c>
      <c r="P65" s="350">
        <v>-50</v>
      </c>
      <c r="Q65" s="350">
        <v>-50</v>
      </c>
      <c r="R65" s="350">
        <v>-50</v>
      </c>
      <c r="S65" s="350">
        <v>-50</v>
      </c>
      <c r="T65" s="350">
        <v>-50</v>
      </c>
      <c r="U65" s="350">
        <v>-50</v>
      </c>
      <c r="V65" s="350">
        <v>-50</v>
      </c>
      <c r="W65" s="350">
        <v>-50</v>
      </c>
      <c r="X65" s="350">
        <v>-50</v>
      </c>
      <c r="Y65" s="350">
        <v>-50</v>
      </c>
      <c r="Z65" s="351">
        <v>-50</v>
      </c>
      <c r="AA65" s="349">
        <v>-50</v>
      </c>
      <c r="AB65" s="350">
        <v>-50</v>
      </c>
      <c r="AC65" s="350">
        <v>-50</v>
      </c>
      <c r="AD65" s="350">
        <v>-50</v>
      </c>
      <c r="AE65" s="350">
        <v>-50</v>
      </c>
      <c r="AF65" s="350">
        <v>-50</v>
      </c>
      <c r="AG65" s="350">
        <v>-50</v>
      </c>
      <c r="AH65" s="350">
        <v>-50</v>
      </c>
      <c r="AI65" s="350">
        <v>-50</v>
      </c>
      <c r="AJ65" s="350">
        <v>-50</v>
      </c>
      <c r="AK65" s="350">
        <v>-50</v>
      </c>
      <c r="AL65" s="351">
        <v>-50</v>
      </c>
      <c r="AM65" s="349"/>
      <c r="AN65" s="350"/>
      <c r="AO65" s="350"/>
      <c r="AP65" s="350"/>
      <c r="AQ65" s="350"/>
      <c r="AR65" s="350"/>
      <c r="AS65" s="350"/>
      <c r="AT65" s="350"/>
      <c r="AU65" s="350"/>
      <c r="AV65" s="350"/>
      <c r="AW65" s="350"/>
      <c r="AX65" s="351"/>
    </row>
    <row r="66" spans="1:50" s="94" customFormat="1" outlineLevel="1" x14ac:dyDescent="0.35">
      <c r="A66" s="94" t="s">
        <v>64</v>
      </c>
      <c r="B66" s="94" t="s">
        <v>65</v>
      </c>
      <c r="D66" s="95" t="s">
        <v>162</v>
      </c>
      <c r="F66" s="226" t="s">
        <v>374</v>
      </c>
      <c r="G66" s="227"/>
      <c r="H66" s="227"/>
      <c r="I66" s="227" t="s">
        <v>8</v>
      </c>
      <c r="J66" s="376"/>
      <c r="K66" s="2"/>
      <c r="L66" s="227"/>
      <c r="M66" s="227"/>
      <c r="N66" s="227"/>
      <c r="O66" s="229">
        <f t="shared" ref="O66:AL66" si="49">O63-O49</f>
        <v>1437.795918367347</v>
      </c>
      <c r="P66" s="229">
        <f t="shared" si="49"/>
        <v>1437.795918367347</v>
      </c>
      <c r="Q66" s="229">
        <f t="shared" si="49"/>
        <v>1437.795918367347</v>
      </c>
      <c r="R66" s="229">
        <f t="shared" si="49"/>
        <v>1367.795918367347</v>
      </c>
      <c r="S66" s="229">
        <f t="shared" si="49"/>
        <v>1367.795918367347</v>
      </c>
      <c r="T66" s="229">
        <f t="shared" si="49"/>
        <v>1367.795918367347</v>
      </c>
      <c r="U66" s="229">
        <f t="shared" si="49"/>
        <v>1368.04</v>
      </c>
      <c r="V66" s="229">
        <f t="shared" si="49"/>
        <v>1368.04</v>
      </c>
      <c r="W66" s="229">
        <f t="shared" si="49"/>
        <v>1368.04</v>
      </c>
      <c r="X66" s="229">
        <f t="shared" si="49"/>
        <v>1368.04</v>
      </c>
      <c r="Y66" s="229">
        <f t="shared" si="49"/>
        <v>1368.04</v>
      </c>
      <c r="Z66" s="230">
        <f t="shared" si="49"/>
        <v>1368.04</v>
      </c>
      <c r="AA66" s="229">
        <f t="shared" si="49"/>
        <v>1338.04</v>
      </c>
      <c r="AB66" s="229">
        <f t="shared" si="49"/>
        <v>1338.04</v>
      </c>
      <c r="AC66" s="229">
        <f t="shared" si="49"/>
        <v>1338.04</v>
      </c>
      <c r="AD66" s="229">
        <f t="shared" si="49"/>
        <v>1288.04</v>
      </c>
      <c r="AE66" s="229">
        <f t="shared" si="49"/>
        <v>1288.04</v>
      </c>
      <c r="AF66" s="229">
        <f t="shared" si="49"/>
        <v>1288.04</v>
      </c>
      <c r="AG66" s="229">
        <f t="shared" si="49"/>
        <v>1318.04</v>
      </c>
      <c r="AH66" s="229">
        <f t="shared" si="49"/>
        <v>1318.04</v>
      </c>
      <c r="AI66" s="229">
        <f t="shared" si="49"/>
        <v>1318.04</v>
      </c>
      <c r="AJ66" s="229">
        <f t="shared" si="49"/>
        <v>1318.04</v>
      </c>
      <c r="AK66" s="229">
        <f t="shared" si="49"/>
        <v>1318.04</v>
      </c>
      <c r="AL66" s="230">
        <f t="shared" si="49"/>
        <v>1318.04</v>
      </c>
      <c r="AM66" s="229"/>
      <c r="AN66" s="229"/>
      <c r="AO66" s="229"/>
      <c r="AP66" s="229"/>
      <c r="AQ66" s="229"/>
      <c r="AR66" s="229"/>
      <c r="AS66" s="229"/>
      <c r="AT66" s="229"/>
      <c r="AU66" s="229"/>
      <c r="AV66" s="229"/>
      <c r="AW66" s="229"/>
      <c r="AX66" s="230"/>
    </row>
    <row r="67" spans="1:50" s="188" customFormat="1" outlineLevel="1" x14ac:dyDescent="0.35">
      <c r="A67" s="188" t="s">
        <v>64</v>
      </c>
      <c r="B67" s="188" t="s">
        <v>65</v>
      </c>
      <c r="F67" s="225" t="s">
        <v>375</v>
      </c>
      <c r="G67" s="193"/>
      <c r="H67" s="193"/>
      <c r="I67" s="193"/>
      <c r="J67" s="374" t="s">
        <v>203</v>
      </c>
      <c r="K67" s="189"/>
      <c r="L67" s="202"/>
      <c r="M67" s="202"/>
      <c r="N67" s="202"/>
      <c r="O67" s="315" cm="1">
        <f t="array" ref="O67">SUMPRODUCT(General_Data*(Year=O$3)*(Month=O$4)*(Code_General_Data=$B67))</f>
        <v>1350</v>
      </c>
      <c r="P67" s="315" cm="1">
        <f t="array" ref="P67">SUMPRODUCT(General_Data*(Year=P$3)*(Month=P$4)*(Code_General_Data=$B67))</f>
        <v>1350</v>
      </c>
      <c r="Q67" s="315" cm="1">
        <f t="array" ref="Q67">SUMPRODUCT(General_Data*(Year=Q$3)*(Month=Q$4)*(Code_General_Data=$B67))</f>
        <v>1350</v>
      </c>
      <c r="R67" s="315" cm="1">
        <f t="array" ref="R67">SUMPRODUCT(General_Data*(Year=R$3)*(Month=R$4)*(Code_General_Data=$B67))</f>
        <v>1350</v>
      </c>
      <c r="S67" s="315" cm="1">
        <f t="array" ref="S67">SUMPRODUCT(General_Data*(Year=S$3)*(Month=S$4)*(Code_General_Data=$B67))</f>
        <v>1350</v>
      </c>
      <c r="T67" s="315" cm="1">
        <f t="array" ref="T67">SUMPRODUCT(General_Data*(Year=T$3)*(Month=T$4)*(Code_General_Data=$B67))</f>
        <v>1350</v>
      </c>
      <c r="U67" s="315" cm="1">
        <f t="array" ref="U67">SUMPRODUCT(General_Data*(Year=U$3)*(Month=U$4)*(Code_General_Data=$B67))</f>
        <v>1350</v>
      </c>
      <c r="V67" s="315" cm="1">
        <f t="array" ref="V67">SUMPRODUCT(General_Data*(Year=V$3)*(Month=V$4)*(Code_General_Data=$B67))</f>
        <v>1350</v>
      </c>
      <c r="W67" s="315" cm="1">
        <f t="array" ref="W67">SUMPRODUCT(General_Data*(Year=W$3)*(Month=W$4)*(Code_General_Data=$B67))</f>
        <v>1350</v>
      </c>
      <c r="X67" s="315" cm="1">
        <f t="array" ref="X67">SUMPRODUCT(General_Data*(Year=X$3)*(Month=X$4)*(Code_General_Data=$B67))</f>
        <v>1350</v>
      </c>
      <c r="Y67" s="315" cm="1">
        <f t="array" ref="Y67">SUMPRODUCT(General_Data*(Year=Y$3)*(Month=Y$4)*(Code_General_Data=$B67))</f>
        <v>1350</v>
      </c>
      <c r="Z67" s="316" cm="1">
        <f t="array" ref="Z67">SUMPRODUCT(General_Data*(Year=Z$3)*(Month=Z$4)*(Code_General_Data=$B67))</f>
        <v>1350</v>
      </c>
      <c r="AA67" s="315" cm="1">
        <f t="array" ref="AA67">SUMPRODUCT(General_Data*(Year=AA$3)*(Month=AA$4)*(Code_General_Data=$B67))</f>
        <v>1350</v>
      </c>
      <c r="AB67" s="315" cm="1">
        <f t="array" ref="AB67">SUMPRODUCT(General_Data*(Year=AB$3)*(Month=AB$4)*(Code_General_Data=$B67))</f>
        <v>1350</v>
      </c>
      <c r="AC67" s="315" cm="1">
        <f t="array" ref="AC67">SUMPRODUCT(General_Data*(Year=AC$3)*(Month=AC$4)*(Code_General_Data=$B67))</f>
        <v>1300</v>
      </c>
      <c r="AD67" s="315" cm="1">
        <f t="array" ref="AD67">SUMPRODUCT(General_Data*(Year=AD$3)*(Month=AD$4)*(Code_General_Data=$B67))</f>
        <v>1300</v>
      </c>
      <c r="AE67" s="315" cm="1">
        <f t="array" ref="AE67">SUMPRODUCT(General_Data*(Year=AE$3)*(Month=AE$4)*(Code_General_Data=$B67))</f>
        <v>1300</v>
      </c>
      <c r="AF67" s="315" cm="1">
        <f t="array" ref="AF67">SUMPRODUCT(General_Data*(Year=AF$3)*(Month=AF$4)*(Code_General_Data=$B67))</f>
        <v>1300</v>
      </c>
      <c r="AG67" s="315" cm="1">
        <f t="array" ref="AG67">SUMPRODUCT(General_Data*(Year=AG$3)*(Month=AG$4)*(Code_General_Data=$B67))</f>
        <v>1300</v>
      </c>
      <c r="AH67" s="315" cm="1">
        <f t="array" ref="AH67">SUMPRODUCT(General_Data*(Year=AH$3)*(Month=AH$4)*(Code_General_Data=$B67))</f>
        <v>1280</v>
      </c>
      <c r="AI67" s="315" cm="1">
        <f t="array" ref="AI67">SUMPRODUCT(General_Data*(Year=AI$3)*(Month=AI$4)*(Code_General_Data=$B67))</f>
        <v>1260</v>
      </c>
      <c r="AJ67" s="315" cm="1">
        <f t="array" ref="AJ67">SUMPRODUCT(General_Data*(Year=AJ$3)*(Month=AJ$4)*(Code_General_Data=$B67))</f>
        <v>1260</v>
      </c>
      <c r="AK67" s="315" cm="1">
        <f t="array" ref="AK67">SUMPRODUCT(General_Data*(Year=AK$3)*(Month=AK$4)*(Code_General_Data=$B67))</f>
        <v>1250</v>
      </c>
      <c r="AL67" s="316" cm="1">
        <f t="array" ref="AL67">SUMPRODUCT(General_Data*(Year=AL$3)*(Month=AL$4)*(Code_General_Data=$B67))</f>
        <v>1250</v>
      </c>
      <c r="AM67" s="315"/>
      <c r="AN67" s="315"/>
      <c r="AO67" s="315"/>
      <c r="AP67" s="315"/>
      <c r="AQ67" s="315"/>
      <c r="AR67" s="315"/>
      <c r="AS67" s="315"/>
      <c r="AT67" s="315"/>
      <c r="AU67" s="315"/>
      <c r="AV67" s="315"/>
      <c r="AW67" s="315"/>
      <c r="AX67" s="316"/>
    </row>
    <row r="68" spans="1:50" s="93" customFormat="1" x14ac:dyDescent="0.35">
      <c r="D68" s="92"/>
      <c r="F68" s="168"/>
      <c r="G68"/>
      <c r="H68"/>
      <c r="I68"/>
      <c r="J68" s="321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 s="48"/>
      <c r="AA68"/>
      <c r="AB68"/>
      <c r="AC68"/>
      <c r="AD68"/>
      <c r="AE68"/>
      <c r="AF68"/>
      <c r="AG68"/>
      <c r="AH68"/>
      <c r="AI68"/>
      <c r="AJ68"/>
      <c r="AK68"/>
      <c r="AL68" s="48"/>
      <c r="AM68"/>
      <c r="AN68"/>
      <c r="AO68"/>
      <c r="AP68"/>
      <c r="AQ68"/>
      <c r="AR68"/>
      <c r="AS68"/>
      <c r="AT68"/>
      <c r="AU68"/>
      <c r="AV68"/>
      <c r="AW68"/>
      <c r="AX68" s="48"/>
    </row>
    <row r="69" spans="1:50" s="336" customFormat="1" ht="17" x14ac:dyDescent="0.35">
      <c r="A69" s="336" t="s">
        <v>40</v>
      </c>
      <c r="F69" s="337">
        <v>4</v>
      </c>
      <c r="G69" s="364" t="s">
        <v>324</v>
      </c>
      <c r="H69" s="364"/>
      <c r="I69" s="364"/>
      <c r="J69" s="365"/>
      <c r="L69" s="338"/>
      <c r="M69" s="338"/>
      <c r="N69" s="338"/>
      <c r="O69" s="338"/>
      <c r="P69" s="338"/>
      <c r="Q69" s="338"/>
      <c r="R69" s="338"/>
      <c r="S69" s="338"/>
      <c r="T69" s="338"/>
      <c r="U69" s="338"/>
      <c r="V69" s="338"/>
      <c r="W69" s="338"/>
      <c r="X69" s="338"/>
      <c r="Y69" s="338"/>
      <c r="Z69" s="339"/>
      <c r="AA69" s="340"/>
      <c r="AB69" s="338"/>
      <c r="AC69" s="340"/>
      <c r="AD69" s="340"/>
      <c r="AE69" s="340"/>
      <c r="AF69" s="340"/>
      <c r="AG69" s="340"/>
      <c r="AH69" s="340"/>
      <c r="AI69" s="340"/>
      <c r="AJ69" s="340"/>
      <c r="AK69" s="340"/>
      <c r="AL69" s="339"/>
      <c r="AM69" s="340"/>
      <c r="AN69" s="338"/>
      <c r="AO69" s="340"/>
      <c r="AP69" s="340"/>
      <c r="AQ69" s="340"/>
      <c r="AR69" s="340"/>
      <c r="AS69" s="340"/>
      <c r="AT69" s="340"/>
      <c r="AU69" s="340"/>
      <c r="AV69" s="340"/>
      <c r="AW69" s="340"/>
      <c r="AX69" s="339"/>
    </row>
    <row r="70" spans="1:50" s="330" customFormat="1" ht="16" x14ac:dyDescent="0.35">
      <c r="A70" s="330" t="s">
        <v>40</v>
      </c>
      <c r="B70" s="330" t="s">
        <v>29</v>
      </c>
      <c r="D70" s="330" t="s">
        <v>322</v>
      </c>
      <c r="F70" s="343">
        <v>4.0999999999999996</v>
      </c>
      <c r="G70" s="344"/>
      <c r="H70" s="344" t="s">
        <v>261</v>
      </c>
      <c r="I70" s="344"/>
      <c r="J70" s="379"/>
      <c r="L70" s="344"/>
      <c r="M70" s="344"/>
      <c r="N70" s="344"/>
      <c r="O70" s="334">
        <f>SUM(O71:O74)</f>
        <v>1366.5</v>
      </c>
      <c r="P70" s="334">
        <f t="shared" ref="P70:Z70" si="50">SUM(P71:P74)</f>
        <v>1374</v>
      </c>
      <c r="Q70" s="334">
        <f t="shared" si="50"/>
        <v>1386.5</v>
      </c>
      <c r="R70" s="334">
        <f t="shared" si="50"/>
        <v>1389</v>
      </c>
      <c r="S70" s="334">
        <f t="shared" si="50"/>
        <v>1393</v>
      </c>
      <c r="T70" s="334">
        <f t="shared" si="50"/>
        <v>1408</v>
      </c>
      <c r="U70" s="334">
        <f t="shared" si="50"/>
        <v>1424</v>
      </c>
      <c r="V70" s="334">
        <f t="shared" si="50"/>
        <v>1435</v>
      </c>
      <c r="W70" s="334">
        <f t="shared" si="50"/>
        <v>1455</v>
      </c>
      <c r="X70" s="334">
        <f t="shared" si="50"/>
        <v>1482.75</v>
      </c>
      <c r="Y70" s="334">
        <f t="shared" si="50"/>
        <v>1500.25</v>
      </c>
      <c r="Z70" s="335">
        <f t="shared" si="50"/>
        <v>1504</v>
      </c>
      <c r="AA70" s="333">
        <f t="shared" ref="AA70:AF70" si="51">MIN(MAX(SUM(AA71,AA72),AA78),AA77)+AA73+AA74</f>
        <v>1402.21875</v>
      </c>
      <c r="AB70" s="334">
        <f t="shared" si="51"/>
        <v>1365.8020833333319</v>
      </c>
      <c r="AC70" s="334">
        <f t="shared" si="51"/>
        <v>1331.9583333333319</v>
      </c>
      <c r="AD70" s="334">
        <f t="shared" si="51"/>
        <v>1332.75</v>
      </c>
      <c r="AE70" s="334">
        <f t="shared" si="51"/>
        <v>1337.5</v>
      </c>
      <c r="AF70" s="334">
        <f t="shared" si="51"/>
        <v>1337.5</v>
      </c>
      <c r="AG70" s="334">
        <f t="shared" ref="AG70:AL70" si="52">MIN(MAX(SUM(AG71,AG72),AG78),AG77)+AG73+AG74</f>
        <v>1337.5</v>
      </c>
      <c r="AH70" s="334">
        <f t="shared" si="52"/>
        <v>1320.4</v>
      </c>
      <c r="AI70" s="334">
        <f t="shared" si="52"/>
        <v>1290.0250000000001</v>
      </c>
      <c r="AJ70" s="334">
        <f t="shared" si="52"/>
        <v>1291.425</v>
      </c>
      <c r="AK70" s="334">
        <f t="shared" si="52"/>
        <v>1292.55</v>
      </c>
      <c r="AL70" s="334">
        <f t="shared" si="52"/>
        <v>1293.15625</v>
      </c>
      <c r="AM70" s="333"/>
      <c r="AN70" s="334"/>
      <c r="AO70" s="334"/>
      <c r="AP70" s="334"/>
      <c r="AQ70" s="334"/>
      <c r="AR70" s="334"/>
      <c r="AS70" s="334"/>
      <c r="AT70" s="334"/>
      <c r="AU70" s="334"/>
      <c r="AV70" s="334"/>
      <c r="AW70" s="334"/>
      <c r="AX70" s="335"/>
    </row>
    <row r="71" spans="1:50" s="354" customFormat="1" outlineLevel="1" x14ac:dyDescent="0.35">
      <c r="A71" s="354" t="s">
        <v>40</v>
      </c>
      <c r="B71" s="354" t="s">
        <v>29</v>
      </c>
      <c r="F71" s="355" t="s">
        <v>376</v>
      </c>
      <c r="G71" s="356"/>
      <c r="H71" s="356" t="s">
        <v>41</v>
      </c>
      <c r="I71" s="356" t="s">
        <v>341</v>
      </c>
      <c r="J71" s="380"/>
      <c r="K71" s="357"/>
      <c r="L71" s="356"/>
      <c r="M71" s="356"/>
      <c r="N71" s="356"/>
      <c r="O71" s="350">
        <f>(M76+N76)/2</f>
        <v>1300</v>
      </c>
      <c r="P71" s="350">
        <f>(N76+O76)/2</f>
        <v>1307.5</v>
      </c>
      <c r="Q71" s="350">
        <f t="shared" ref="P71:Z71" si="53">(O76+P76)/2</f>
        <v>1320</v>
      </c>
      <c r="R71" s="350">
        <f t="shared" si="53"/>
        <v>1322.5</v>
      </c>
      <c r="S71" s="350">
        <f t="shared" si="53"/>
        <v>1326.5</v>
      </c>
      <c r="T71" s="350">
        <f t="shared" si="53"/>
        <v>1341.5</v>
      </c>
      <c r="U71" s="350">
        <f t="shared" si="53"/>
        <v>1357.5</v>
      </c>
      <c r="V71" s="350">
        <f t="shared" si="53"/>
        <v>1368.5</v>
      </c>
      <c r="W71" s="350">
        <f t="shared" si="53"/>
        <v>1388.5</v>
      </c>
      <c r="X71" s="350">
        <f t="shared" si="53"/>
        <v>1416.25</v>
      </c>
      <c r="Y71" s="350">
        <f t="shared" si="53"/>
        <v>1433.75</v>
      </c>
      <c r="Z71" s="351">
        <f t="shared" si="53"/>
        <v>1437.5</v>
      </c>
      <c r="AA71" s="349">
        <f t="shared" ref="AA71:AL71" si="54">(Y76+Z76)/2</f>
        <v>1428.125</v>
      </c>
      <c r="AB71" s="350">
        <f t="shared" si="54"/>
        <v>1389.7916666666652</v>
      </c>
      <c r="AC71" s="350">
        <f t="shared" si="54"/>
        <v>1354.1666666666652</v>
      </c>
      <c r="AD71" s="350">
        <f t="shared" si="54"/>
        <v>1355</v>
      </c>
      <c r="AE71" s="350">
        <f t="shared" si="54"/>
        <v>1360</v>
      </c>
      <c r="AF71" s="350">
        <f t="shared" si="54"/>
        <v>1360</v>
      </c>
      <c r="AG71" s="350">
        <f t="shared" si="54"/>
        <v>1360</v>
      </c>
      <c r="AH71" s="350">
        <f t="shared" si="54"/>
        <v>1342</v>
      </c>
      <c r="AI71" s="350">
        <f t="shared" si="54"/>
        <v>1309.5</v>
      </c>
      <c r="AJ71" s="350">
        <f t="shared" si="54"/>
        <v>1281.5</v>
      </c>
      <c r="AK71" s="350">
        <f t="shared" si="54"/>
        <v>1259</v>
      </c>
      <c r="AL71" s="350">
        <f t="shared" si="54"/>
        <v>1246.875</v>
      </c>
      <c r="AM71" s="349"/>
      <c r="AN71" s="350"/>
      <c r="AO71" s="350"/>
      <c r="AP71" s="350"/>
      <c r="AQ71" s="350"/>
      <c r="AR71" s="350"/>
      <c r="AS71" s="350"/>
      <c r="AT71" s="350"/>
      <c r="AU71" s="350"/>
      <c r="AV71" s="350"/>
      <c r="AW71" s="350"/>
      <c r="AX71" s="351"/>
    </row>
    <row r="72" spans="1:50" s="354" customFormat="1" outlineLevel="1" x14ac:dyDescent="0.35">
      <c r="A72" s="354" t="s">
        <v>40</v>
      </c>
      <c r="B72" s="354" t="s">
        <v>29</v>
      </c>
      <c r="F72" s="355" t="s">
        <v>377</v>
      </c>
      <c r="G72" s="356"/>
      <c r="H72" s="356" t="s">
        <v>41</v>
      </c>
      <c r="I72" s="356" t="s">
        <v>268</v>
      </c>
      <c r="J72" s="380"/>
      <c r="K72" s="357"/>
      <c r="L72" s="356"/>
      <c r="M72" s="356"/>
      <c r="N72" s="356"/>
      <c r="O72" s="350">
        <v>50</v>
      </c>
      <c r="P72" s="350">
        <v>50</v>
      </c>
      <c r="Q72" s="350">
        <v>50</v>
      </c>
      <c r="R72" s="350">
        <v>50</v>
      </c>
      <c r="S72" s="350">
        <v>50</v>
      </c>
      <c r="T72" s="350">
        <v>50</v>
      </c>
      <c r="U72" s="350">
        <v>50</v>
      </c>
      <c r="V72" s="350">
        <v>50</v>
      </c>
      <c r="W72" s="350">
        <v>50</v>
      </c>
      <c r="X72" s="350">
        <v>50</v>
      </c>
      <c r="Y72" s="350">
        <v>50</v>
      </c>
      <c r="Z72" s="351">
        <v>50</v>
      </c>
      <c r="AA72" s="349">
        <v>20</v>
      </c>
      <c r="AB72" s="350">
        <v>20</v>
      </c>
      <c r="AC72" s="350">
        <v>20</v>
      </c>
      <c r="AD72" s="350">
        <v>20</v>
      </c>
      <c r="AE72" s="350">
        <v>20</v>
      </c>
      <c r="AF72" s="350">
        <v>20</v>
      </c>
      <c r="AG72" s="350">
        <v>20</v>
      </c>
      <c r="AH72" s="350">
        <v>20</v>
      </c>
      <c r="AI72" s="350">
        <v>20</v>
      </c>
      <c r="AJ72" s="350">
        <v>20</v>
      </c>
      <c r="AK72" s="350">
        <v>20</v>
      </c>
      <c r="AL72" s="350">
        <v>20</v>
      </c>
      <c r="AM72" s="349"/>
      <c r="AN72" s="350"/>
      <c r="AO72" s="350"/>
      <c r="AP72" s="350"/>
      <c r="AQ72" s="350"/>
      <c r="AR72" s="350"/>
      <c r="AS72" s="350"/>
      <c r="AT72" s="350"/>
      <c r="AU72" s="350"/>
      <c r="AV72" s="350"/>
      <c r="AW72" s="350"/>
      <c r="AX72" s="351"/>
    </row>
    <row r="73" spans="1:50" s="354" customFormat="1" outlineLevel="1" x14ac:dyDescent="0.35">
      <c r="A73" s="354" t="s">
        <v>40</v>
      </c>
      <c r="B73" s="354" t="s">
        <v>29</v>
      </c>
      <c r="F73" s="355" t="s">
        <v>378</v>
      </c>
      <c r="G73" s="356"/>
      <c r="H73" s="356" t="s">
        <v>41</v>
      </c>
      <c r="I73" s="358" t="s">
        <v>340</v>
      </c>
      <c r="J73" s="380"/>
      <c r="K73" s="357"/>
      <c r="L73" s="356"/>
      <c r="M73" s="356"/>
      <c r="N73" s="356"/>
      <c r="O73" s="350">
        <f>-IF('Rebate-Suntory'!$E$14="/tấn",'Rebate-Suntory'!$D$14,IF('Rebate-Suntory'!$E$14="giá trị",'Rebate-Suntory'!$D$14*(O71+O72+O74),0))</f>
        <v>-10</v>
      </c>
      <c r="P73" s="350">
        <f>-IF('Rebate-Suntory'!$E$14="/tấn",'Rebate-Suntory'!$D$14,IF('Rebate-Suntory'!$E$14="giá trị",'Rebate-Suntory'!$D$14*(P71+P72+P74),0))</f>
        <v>-10</v>
      </c>
      <c r="Q73" s="350">
        <f>-IF('Rebate-Suntory'!$E$14="/tấn",'Rebate-Suntory'!$D$14,IF('Rebate-Suntory'!$E$14="giá trị",'Rebate-Suntory'!$D$14*(Q71+Q72+Q74),0))</f>
        <v>-10</v>
      </c>
      <c r="R73" s="350">
        <f>-IF('Rebate-Suntory'!$E$14="/tấn",'Rebate-Suntory'!$D$14,IF('Rebate-Suntory'!$E$14="giá trị",'Rebate-Suntory'!$D$14*(R71+R72+R74),0))</f>
        <v>-10</v>
      </c>
      <c r="S73" s="350">
        <f>-IF('Rebate-Suntory'!$E$14="/tấn",'Rebate-Suntory'!$D$14,IF('Rebate-Suntory'!$E$14="giá trị",'Rebate-Suntory'!$D$14*(S71+S72+S74),0))</f>
        <v>-10</v>
      </c>
      <c r="T73" s="350">
        <f>-IF('Rebate-Suntory'!$E$14="/tấn",'Rebate-Suntory'!$D$14,IF('Rebate-Suntory'!$E$14="giá trị",'Rebate-Suntory'!$D$14*(T71+T72+T74),0))</f>
        <v>-10</v>
      </c>
      <c r="U73" s="350">
        <f>-IF('Rebate-Suntory'!$E$14="/tấn",'Rebate-Suntory'!$D$14,IF('Rebate-Suntory'!$E$14="giá trị",'Rebate-Suntory'!$D$14*(U71+U72+U74),0))</f>
        <v>-10</v>
      </c>
      <c r="V73" s="350">
        <f>-IF('Rebate-Suntory'!$E$14="/tấn",'Rebate-Suntory'!$D$14,IF('Rebate-Suntory'!$E$14="giá trị",'Rebate-Suntory'!$D$14*(V71+V72+V74),0))</f>
        <v>-10</v>
      </c>
      <c r="W73" s="350">
        <f>-IF('Rebate-Suntory'!$E$14="/tấn",'Rebate-Suntory'!$D$14,IF('Rebate-Suntory'!$E$14="giá trị",'Rebate-Suntory'!$D$14*(W71+W72+W74),0))</f>
        <v>-10</v>
      </c>
      <c r="X73" s="350">
        <f>-IF('Rebate-Suntory'!$E$14="/tấn",'Rebate-Suntory'!$D$14,IF('Rebate-Suntory'!$E$14="giá trị",'Rebate-Suntory'!$D$14*(X71+X72+X74),0))</f>
        <v>-10</v>
      </c>
      <c r="Y73" s="350">
        <f>-IF('Rebate-Suntory'!$E$14="/tấn",'Rebate-Suntory'!$D$14,IF('Rebate-Suntory'!$E$14="giá trị",'Rebate-Suntory'!$D$14*(Y71+Y72+Y74),0))</f>
        <v>-10</v>
      </c>
      <c r="Z73" s="351">
        <f>-IF('Rebate-Suntory'!$E$14="/tấn",'Rebate-Suntory'!$D$14,IF('Rebate-Suntory'!$E$14="giá trị",'Rebate-Suntory'!$D$14*(Z71+Z72+Z74),0))</f>
        <v>-10</v>
      </c>
      <c r="AA73" s="349">
        <f>-IF('Rebate-Suntory'!$J$14="/tấn",'Rebate-Suntory'!$I$14,IF('Rebate-Suntory'!$J$14="giá trị",'Rebate-Suntory'!$I$14*(AA71+AA72),0))</f>
        <v>-72.40625</v>
      </c>
      <c r="AB73" s="350">
        <f>-IF('Rebate-Suntory'!$J$14="/tấn",'Rebate-Suntory'!$I$14,IF('Rebate-Suntory'!$J$14="giá trị",'Rebate-Suntory'!$I$14*(AB71+AB72),0))</f>
        <v>-70.489583333333258</v>
      </c>
      <c r="AC73" s="350">
        <f>-IF('Rebate-Suntory'!$J$14="/tấn",'Rebate-Suntory'!$I$14,IF('Rebate-Suntory'!$J$14="giá trị",'Rebate-Suntory'!$I$14*(AC71+AC72),0))</f>
        <v>-68.708333333333258</v>
      </c>
      <c r="AD73" s="350">
        <f>-IF('Rebate-Suntory'!$J$14="/tấn",'Rebate-Suntory'!$I$14,IF('Rebate-Suntory'!$J$14="giá trị",'Rebate-Suntory'!$I$14*(AD71+AD72),0))</f>
        <v>-68.75</v>
      </c>
      <c r="AE73" s="350">
        <f>-IF('Rebate-Suntory'!$J$14="/tấn",'Rebate-Suntory'!$I$14,IF('Rebate-Suntory'!$J$14="giá trị",'Rebate-Suntory'!$I$14*(AE71+AE72),0))</f>
        <v>-69</v>
      </c>
      <c r="AF73" s="350">
        <f>-IF('Rebate-Suntory'!$J$14="/tấn",'Rebate-Suntory'!$I$14,IF('Rebate-Suntory'!$J$14="giá trị",'Rebate-Suntory'!$I$14*(AF71+AF72),0))</f>
        <v>-69</v>
      </c>
      <c r="AG73" s="350">
        <f>-IF('Rebate-Suntory'!$J$14="/tấn",'Rebate-Suntory'!$I$14,IF('Rebate-Suntory'!$J$14="giá trị",'Rebate-Suntory'!$I$14*(AG71+AG72),0))</f>
        <v>-69</v>
      </c>
      <c r="AH73" s="350">
        <f>-IF('Rebate-Suntory'!$J$14="/tấn",'Rebate-Suntory'!$I$14,IF('Rebate-Suntory'!$J$14="giá trị",'Rebate-Suntory'!$I$14*(AH71+AH72),0))</f>
        <v>-68.100000000000009</v>
      </c>
      <c r="AI73" s="350">
        <f>-IF('Rebate-Suntory'!$J$14="/tấn",'Rebate-Suntory'!$I$14,IF('Rebate-Suntory'!$J$14="giá trị",'Rebate-Suntory'!$I$14*(AI71+AI72),0))</f>
        <v>-66.475000000000009</v>
      </c>
      <c r="AJ73" s="350">
        <f>-IF('Rebate-Suntory'!$J$14="/tấn",'Rebate-Suntory'!$I$14,IF('Rebate-Suntory'!$J$14="giá trị",'Rebate-Suntory'!$I$14*(AJ71+AJ72),0))</f>
        <v>-65.075000000000003</v>
      </c>
      <c r="AK73" s="350">
        <f>-IF('Rebate-Suntory'!$J$14="/tấn",'Rebate-Suntory'!$I$14,IF('Rebate-Suntory'!$J$14="giá trị",'Rebate-Suntory'!$I$14*(AK71+AK72),0))</f>
        <v>-63.95</v>
      </c>
      <c r="AL73" s="468">
        <f>-IF('Rebate-Suntory'!$J$14="/tấn",'Rebate-Suntory'!$I$14,IF('Rebate-Suntory'!$J$14="giá trị",'Rebate-Suntory'!$I$14*(AL71+AL72),0))</f>
        <v>-63.34375</v>
      </c>
      <c r="AM73" s="350"/>
      <c r="AN73" s="350"/>
      <c r="AO73" s="350"/>
      <c r="AP73" s="350"/>
      <c r="AQ73" s="350"/>
      <c r="AR73" s="350"/>
      <c r="AS73" s="350"/>
      <c r="AT73" s="350"/>
      <c r="AU73" s="350"/>
      <c r="AV73" s="350"/>
      <c r="AW73" s="350"/>
      <c r="AX73" s="351"/>
    </row>
    <row r="74" spans="1:50" s="354" customFormat="1" outlineLevel="1" x14ac:dyDescent="0.35">
      <c r="A74" s="354" t="s">
        <v>40</v>
      </c>
      <c r="B74" s="354" t="s">
        <v>29</v>
      </c>
      <c r="F74" s="355" t="s">
        <v>379</v>
      </c>
      <c r="G74" s="356"/>
      <c r="H74" s="356" t="s">
        <v>41</v>
      </c>
      <c r="I74" s="356" t="s">
        <v>42</v>
      </c>
      <c r="J74" s="380"/>
      <c r="K74" s="357"/>
      <c r="L74" s="356"/>
      <c r="M74" s="356"/>
      <c r="N74" s="356"/>
      <c r="O74" s="350">
        <v>26.5</v>
      </c>
      <c r="P74" s="350">
        <v>26.5</v>
      </c>
      <c r="Q74" s="350">
        <v>26.5</v>
      </c>
      <c r="R74" s="350">
        <v>26.5</v>
      </c>
      <c r="S74" s="350">
        <v>26.5</v>
      </c>
      <c r="T74" s="350">
        <v>26.5</v>
      </c>
      <c r="U74" s="350">
        <v>26.5</v>
      </c>
      <c r="V74" s="350">
        <v>26.5</v>
      </c>
      <c r="W74" s="350">
        <v>26.5</v>
      </c>
      <c r="X74" s="350">
        <v>26.5</v>
      </c>
      <c r="Y74" s="350">
        <v>26.5</v>
      </c>
      <c r="Z74" s="351">
        <v>26.5</v>
      </c>
      <c r="AA74" s="349">
        <v>26.5</v>
      </c>
      <c r="AB74" s="350">
        <v>26.5</v>
      </c>
      <c r="AC74" s="350">
        <v>26.5</v>
      </c>
      <c r="AD74" s="359">
        <v>26.5</v>
      </c>
      <c r="AE74" s="359">
        <v>26.5</v>
      </c>
      <c r="AF74" s="359">
        <v>26.5</v>
      </c>
      <c r="AG74" s="359">
        <v>26.5</v>
      </c>
      <c r="AH74" s="359">
        <v>26.5</v>
      </c>
      <c r="AI74" s="359">
        <v>26.5</v>
      </c>
      <c r="AJ74" s="359">
        <v>26.5</v>
      </c>
      <c r="AK74" s="359">
        <v>26.5</v>
      </c>
      <c r="AL74" s="469">
        <v>26.5</v>
      </c>
      <c r="AM74" s="350"/>
      <c r="AN74" s="350"/>
      <c r="AO74" s="350"/>
      <c r="AP74" s="359"/>
      <c r="AQ74" s="359"/>
      <c r="AR74" s="359"/>
      <c r="AS74" s="359"/>
      <c r="AT74" s="359"/>
      <c r="AU74" s="359"/>
      <c r="AV74" s="359"/>
      <c r="AW74" s="359"/>
      <c r="AX74" s="360"/>
    </row>
    <row r="75" spans="1:50" s="94" customFormat="1" outlineLevel="1" x14ac:dyDescent="0.35">
      <c r="A75" s="94" t="s">
        <v>40</v>
      </c>
      <c r="B75" s="94" t="s">
        <v>29</v>
      </c>
      <c r="D75" s="95" t="s">
        <v>162</v>
      </c>
      <c r="F75" s="278" t="s">
        <v>306</v>
      </c>
      <c r="G75" s="279"/>
      <c r="H75" s="279"/>
      <c r="I75" s="279" t="s">
        <v>8</v>
      </c>
      <c r="J75" s="381"/>
      <c r="K75" s="2"/>
      <c r="L75" s="279"/>
      <c r="M75" s="279"/>
      <c r="N75" s="279"/>
      <c r="O75" s="229">
        <f>O70-O74</f>
        <v>1340</v>
      </c>
      <c r="P75" s="229">
        <f t="shared" ref="P75:AB75" si="55">P70-P74</f>
        <v>1347.5</v>
      </c>
      <c r="Q75" s="229">
        <f t="shared" si="55"/>
        <v>1360</v>
      </c>
      <c r="R75" s="229">
        <f t="shared" si="55"/>
        <v>1362.5</v>
      </c>
      <c r="S75" s="229">
        <f t="shared" si="55"/>
        <v>1366.5</v>
      </c>
      <c r="T75" s="229">
        <f t="shared" si="55"/>
        <v>1381.5</v>
      </c>
      <c r="U75" s="229">
        <f t="shared" si="55"/>
        <v>1397.5</v>
      </c>
      <c r="V75" s="229">
        <f t="shared" si="55"/>
        <v>1408.5</v>
      </c>
      <c r="W75" s="229">
        <f t="shared" si="55"/>
        <v>1428.5</v>
      </c>
      <c r="X75" s="229">
        <f t="shared" si="55"/>
        <v>1456.25</v>
      </c>
      <c r="Y75" s="229">
        <f t="shared" si="55"/>
        <v>1473.75</v>
      </c>
      <c r="Z75" s="230">
        <f t="shared" si="55"/>
        <v>1477.5</v>
      </c>
      <c r="AA75" s="229">
        <f>AA70-AA74</f>
        <v>1375.71875</v>
      </c>
      <c r="AB75" s="229">
        <f t="shared" si="55"/>
        <v>1339.3020833333319</v>
      </c>
      <c r="AC75" s="229">
        <f t="shared" ref="AC75:AH75" si="56">AC70-AC74</f>
        <v>1305.4583333333319</v>
      </c>
      <c r="AD75" s="229">
        <f t="shared" si="56"/>
        <v>1306.25</v>
      </c>
      <c r="AE75" s="229">
        <f t="shared" si="56"/>
        <v>1311</v>
      </c>
      <c r="AF75" s="229">
        <f t="shared" si="56"/>
        <v>1311</v>
      </c>
      <c r="AG75" s="229">
        <f t="shared" si="56"/>
        <v>1311</v>
      </c>
      <c r="AH75" s="229">
        <f t="shared" si="56"/>
        <v>1293.9000000000001</v>
      </c>
      <c r="AI75" s="229">
        <f t="shared" ref="AI75:AJ75" si="57">AI70-AI74</f>
        <v>1263.5250000000001</v>
      </c>
      <c r="AJ75" s="229">
        <f t="shared" si="57"/>
        <v>1264.925</v>
      </c>
      <c r="AK75" s="229">
        <f t="shared" ref="AK75:AL75" si="58">AK70-AK74</f>
        <v>1266.05</v>
      </c>
      <c r="AL75" s="470">
        <f t="shared" si="58"/>
        <v>1266.65625</v>
      </c>
      <c r="AM75" s="229"/>
      <c r="AN75" s="229"/>
      <c r="AO75" s="229"/>
      <c r="AP75" s="229"/>
      <c r="AQ75" s="229"/>
      <c r="AR75" s="229"/>
      <c r="AS75" s="229"/>
      <c r="AT75" s="229"/>
      <c r="AU75" s="229"/>
      <c r="AV75" s="229"/>
      <c r="AW75" s="229"/>
      <c r="AX75" s="230"/>
    </row>
    <row r="76" spans="1:50" s="186" customFormat="1" x14ac:dyDescent="0.35">
      <c r="A76" s="186" t="s">
        <v>40</v>
      </c>
      <c r="B76" s="186" t="s">
        <v>29</v>
      </c>
      <c r="C76" s="186" t="s">
        <v>44</v>
      </c>
      <c r="F76" s="280"/>
      <c r="G76" s="281"/>
      <c r="H76" s="281"/>
      <c r="I76" s="281"/>
      <c r="J76" s="382" t="s">
        <v>75</v>
      </c>
      <c r="K76" s="187"/>
      <c r="L76" s="291" cm="1">
        <f t="array" ref="L76">SUMPRODUCT(General_Data*(Year=L$3)*(Month=L$4)*(Code_General_Data=$C76))</f>
        <v>1288.125</v>
      </c>
      <c r="M76" s="291" cm="1">
        <f t="array" ref="M76">SUMPRODUCT(General_Data*(Year=M$3)*(Month=M$4)*(Code_General_Data=$C76))</f>
        <v>1300</v>
      </c>
      <c r="N76" s="291" cm="1">
        <f t="array" ref="N76">SUMPRODUCT(General_Data*(Year=N$3)*(Month=N$4)*(Code_General_Data=$C76))</f>
        <v>1300</v>
      </c>
      <c r="O76" s="204" cm="1">
        <f t="array" ref="O76">SUMPRODUCT(General_Data*(Year=O$3)*(Month=O$4)*(Code_General_Data=$C76))</f>
        <v>1315</v>
      </c>
      <c r="P76" s="204" cm="1">
        <f t="array" ref="P76">SUMPRODUCT(General_Data*(Year=P$3)*(Month=P$4)*(Code_General_Data=$C76))</f>
        <v>1325</v>
      </c>
      <c r="Q76" s="204" cm="1">
        <f t="array" ref="Q76">SUMPRODUCT(General_Data*(Year=Q$3)*(Month=Q$4)*(Code_General_Data=$C76))</f>
        <v>1320</v>
      </c>
      <c r="R76" s="204" cm="1">
        <f t="array" ref="R76">SUMPRODUCT(General_Data*(Year=R$3)*(Month=R$4)*(Code_General_Data=$C76))</f>
        <v>1333</v>
      </c>
      <c r="S76" s="204" cm="1">
        <f t="array" ref="S76">SUMPRODUCT(General_Data*(Year=S$3)*(Month=S$4)*(Code_General_Data=$C76))</f>
        <v>1350</v>
      </c>
      <c r="T76" s="204" cm="1">
        <f t="array" ref="T76">SUMPRODUCT(General_Data*(Year=T$3)*(Month=T$4)*(Code_General_Data=$C76))</f>
        <v>1365</v>
      </c>
      <c r="U76" s="204" cm="1">
        <f t="array" ref="U76">SUMPRODUCT(General_Data*(Year=U$3)*(Month=U$4)*(Code_General_Data=$C76))</f>
        <v>1372</v>
      </c>
      <c r="V76" s="204" cm="1">
        <f t="array" ref="V76">SUMPRODUCT(General_Data*(Year=V$3)*(Month=V$4)*(Code_General_Data=$C76))</f>
        <v>1405</v>
      </c>
      <c r="W76" s="204" cm="1">
        <f t="array" ref="W76">SUMPRODUCT(General_Data*(Year=W$3)*(Month=W$4)*(Code_General_Data=$C76))</f>
        <v>1427.5</v>
      </c>
      <c r="X76" s="204" cm="1">
        <f t="array" ref="X76">SUMPRODUCT(General_Data*(Year=X$3)*(Month=X$4)*(Code_General_Data=$C76))</f>
        <v>1440</v>
      </c>
      <c r="Y76" s="204" cm="1">
        <f t="array" ref="Y76">SUMPRODUCT(General_Data*(Year=Y$3)*(Month=Y$4)*(Code_General_Data=$C76))</f>
        <v>1435</v>
      </c>
      <c r="Z76" s="206" cm="1">
        <f t="array" ref="Z76">SUMPRODUCT(General_Data*(Year=Z$3)*(Month=Z$4)*(Code_General_Data=$C76))</f>
        <v>1421.25</v>
      </c>
      <c r="AA76" s="204" cm="1">
        <f t="array" ref="AA76">SUMPRODUCT(General_Data*(Year=AA$3)*(Month=AA$4)*(Code_General_Data=$C76))</f>
        <v>1358.3333333333301</v>
      </c>
      <c r="AB76" s="204" cm="1">
        <f t="array" ref="AB76">SUMPRODUCT(General_Data*(Year=AB$3)*(Month=AB$4)*(Code_General_Data=$C76))</f>
        <v>1350</v>
      </c>
      <c r="AC76" s="204" cm="1">
        <f t="array" ref="AC76">SUMPRODUCT(General_Data*(Year=AC$3)*(Month=AC$4)*(Code_General_Data=$C76))</f>
        <v>1360</v>
      </c>
      <c r="AD76" s="204" cm="1">
        <f t="array" ref="AD76">SUMPRODUCT(General_Data*(Year=AD$3)*(Month=AD$4)*(Code_General_Data=$C76))</f>
        <v>1360</v>
      </c>
      <c r="AE76" s="204" cm="1">
        <f t="array" ref="AE76">SUMPRODUCT(General_Data*(Year=AE$3)*(Month=AE$4)*(Code_General_Data=$C76))</f>
        <v>1360</v>
      </c>
      <c r="AF76" s="204" cm="1">
        <f t="array" ref="AF76">SUMPRODUCT(General_Data*(Year=AF$3)*(Month=AF$4)*(Code_General_Data=$C76))</f>
        <v>1360</v>
      </c>
      <c r="AG76" s="204" cm="1">
        <f t="array" ref="AG76">SUMPRODUCT(General_Data*(Year=AG$3)*(Month=AG$4)*(Code_General_Data=$C76))</f>
        <v>1324</v>
      </c>
      <c r="AH76" s="204" cm="1">
        <f t="array" ref="AH76">SUMPRODUCT(General_Data*(Year=AH$3)*(Month=AH$4)*(Code_General_Data=$C76))</f>
        <v>1295</v>
      </c>
      <c r="AI76" s="204" cm="1">
        <f t="array" ref="AI76">SUMPRODUCT(General_Data*(Year=AI$3)*(Month=AI$4)*(Code_General_Data=$C76))</f>
        <v>1268</v>
      </c>
      <c r="AJ76" s="204" cm="1">
        <f t="array" ref="AJ76">SUMPRODUCT(General_Data*(Year=AJ$3)*(Month=AJ$4)*(Code_General_Data=$C76))</f>
        <v>1250</v>
      </c>
      <c r="AK76" s="204" cm="1">
        <f t="array" ref="AK76">SUMPRODUCT(General_Data*(Year=AK$3)*(Month=AK$4)*(Code_General_Data=$C76))</f>
        <v>1243.75</v>
      </c>
      <c r="AL76" s="471" cm="1">
        <f t="array" ref="AL76">SUMPRODUCT(General_Data*(Year=AL$3)*(Month=AL$4)*(Code_General_Data=$C76))</f>
        <v>0</v>
      </c>
      <c r="AM76" s="204"/>
      <c r="AN76" s="204"/>
      <c r="AO76" s="204"/>
      <c r="AP76" s="204"/>
      <c r="AQ76" s="204"/>
      <c r="AR76" s="204"/>
      <c r="AS76" s="204"/>
      <c r="AT76" s="204"/>
      <c r="AU76" s="204"/>
      <c r="AV76" s="204"/>
      <c r="AW76" s="204"/>
      <c r="AX76" s="206"/>
    </row>
    <row r="77" spans="1:50" s="97" customFormat="1" outlineLevel="1" x14ac:dyDescent="0.35">
      <c r="A77" s="97" t="s">
        <v>40</v>
      </c>
      <c r="B77" s="97" t="s">
        <v>29</v>
      </c>
      <c r="F77" s="196" t="s">
        <v>307</v>
      </c>
      <c r="G77" s="107"/>
      <c r="H77" s="107"/>
      <c r="I77" s="107"/>
      <c r="J77" s="373" t="s">
        <v>47</v>
      </c>
      <c r="K77" s="109"/>
      <c r="L77" s="199"/>
      <c r="M77" s="199"/>
      <c r="N77" s="199"/>
      <c r="O77" s="313" cm="1">
        <f t="array" ref="O77">INDEX(Note!$J$3:$J$101,MATCH(1,(Note!$A$3:$A$101=$A77)*(Note!$C$3:$C$101=$B77)*(Note!$E$3:$E$101&lt;=O$1)*(Note!$F$3:$F$101&gt;=O$2),0))</f>
        <v>0</v>
      </c>
      <c r="P77" s="313" cm="1">
        <f t="array" ref="P77">INDEX(Note!$J$3:$J$101,MATCH(1,(Note!$A$3:$A$101=$A77)*(Note!$C$3:$C$101=$B77)*(Note!$E$3:$E$101&lt;=P$1)*(Note!$F$3:$F$101&gt;=P$2),0))</f>
        <v>0</v>
      </c>
      <c r="Q77" s="313" cm="1">
        <f t="array" ref="Q77">INDEX(Note!$J$3:$J$101,MATCH(1,(Note!$A$3:$A$101=$A77)*(Note!$C$3:$C$101=$B77)*(Note!$E$3:$E$101&lt;=Q$1)*(Note!$F$3:$F$101&gt;=Q$2),0))</f>
        <v>0</v>
      </c>
      <c r="R77" s="313" cm="1">
        <f t="array" ref="R77">INDEX(Note!$J$3:$J$101,MATCH(1,(Note!$A$3:$A$101=$A77)*(Note!$C$3:$C$101=$B77)*(Note!$E$3:$E$101&lt;=R$1)*(Note!$F$3:$F$101&gt;=R$2),0))</f>
        <v>0</v>
      </c>
      <c r="S77" s="313" cm="1">
        <f t="array" ref="S77">INDEX(Note!$J$3:$J$101,MATCH(1,(Note!$A$3:$A$101=$A77)*(Note!$C$3:$C$101=$B77)*(Note!$E$3:$E$101&lt;=S$1)*(Note!$F$3:$F$101&gt;=S$2),0))</f>
        <v>0</v>
      </c>
      <c r="T77" s="313" cm="1">
        <f t="array" ref="T77">INDEX(Note!$J$3:$J$101,MATCH(1,(Note!$A$3:$A$101=$A77)*(Note!$C$3:$C$101=$B77)*(Note!$E$3:$E$101&lt;=T$1)*(Note!$F$3:$F$101&gt;=T$2),0))</f>
        <v>0</v>
      </c>
      <c r="U77" s="313" cm="1">
        <f t="array" ref="U77">INDEX(Note!$J$3:$J$101,MATCH(1,(Note!$A$3:$A$101=$A77)*(Note!$C$3:$C$101=$B77)*(Note!$E$3:$E$101&lt;=U$1)*(Note!$F$3:$F$101&gt;=U$2),0))</f>
        <v>0</v>
      </c>
      <c r="V77" s="313" cm="1">
        <f t="array" ref="V77">INDEX(Note!$J$3:$J$101,MATCH(1,(Note!$A$3:$A$101=$A77)*(Note!$C$3:$C$101=$B77)*(Note!$E$3:$E$101&lt;=V$1)*(Note!$F$3:$F$101&gt;=V$2),0))</f>
        <v>0</v>
      </c>
      <c r="W77" s="313" cm="1">
        <f t="array" ref="W77">INDEX(Note!$J$3:$J$101,MATCH(1,(Note!$A$3:$A$101=$A77)*(Note!$C$3:$C$101=$B77)*(Note!$E$3:$E$101&lt;=W$1)*(Note!$F$3:$F$101&gt;=W$2),0))</f>
        <v>0</v>
      </c>
      <c r="X77" s="313" cm="1">
        <f t="array" ref="X77">INDEX(Note!$J$3:$J$101,MATCH(1,(Note!$A$3:$A$101=$A77)*(Note!$C$3:$C$101=$B77)*(Note!$E$3:$E$101&lt;=X$1)*(Note!$F$3:$F$101&gt;=X$2),0))</f>
        <v>0</v>
      </c>
      <c r="Y77" s="313" cm="1">
        <f t="array" ref="Y77">INDEX(Note!$J$3:$J$101,MATCH(1,(Note!$A$3:$A$101=$A77)*(Note!$C$3:$C$101=$B77)*(Note!$E$3:$E$101&lt;=Y$1)*(Note!$F$3:$F$101&gt;=Y$2),0))</f>
        <v>0</v>
      </c>
      <c r="Z77" s="314" cm="1">
        <f t="array" ref="Z77">INDEX(Note!$J$3:$J$101,MATCH(1,(Note!$A$3:$A$101=$A77)*(Note!$C$3:$C$101=$B77)*(Note!$E$3:$E$101&lt;=Z$1)*(Note!$F$3:$F$101&gt;=Z$2),0))</f>
        <v>0</v>
      </c>
      <c r="AA77" s="313" cm="1">
        <f t="array" ref="AA77">INDEX(Note!$J$3:$J$101,MATCH(1,(Note!$A$3:$A$101=$A77)*(Note!$C$3:$C$101=$B77)*(Note!$E$3:$E$101&lt;=AA$1)*(Note!$F$3:$F$101&gt;=AA$2),0))</f>
        <v>1550</v>
      </c>
      <c r="AB77" s="313" cm="1">
        <f t="array" ref="AB77">INDEX(Note!$J$3:$J$101,MATCH(1,(Note!$A$3:$A$101=$A77)*(Note!$C$3:$C$101=$B77)*(Note!$E$3:$E$101&lt;=AB$1)*(Note!$F$3:$F$101&gt;=AB$2),0))</f>
        <v>1550</v>
      </c>
      <c r="AC77" s="313" cm="1">
        <f t="array" ref="AC77">INDEX(Note!$J$3:$J$101,MATCH(1,(Note!$A$3:$A$101=$A77)*(Note!$C$3:$C$101=$B77)*(Note!$E$3:$E$101&lt;=AC$1)*(Note!$F$3:$F$101&gt;=AC$2),0))</f>
        <v>1550</v>
      </c>
      <c r="AD77" s="313" cm="1">
        <f t="array" ref="AD77">INDEX(Note!$J$3:$J$101,MATCH(1,(Note!$A$3:$A$101=$A77)*(Note!$C$3:$C$101=$B77)*(Note!$E$3:$E$101&lt;=AD$1)*(Note!$F$3:$F$101&gt;=AD$2),0))</f>
        <v>1550</v>
      </c>
      <c r="AE77" s="313" cm="1">
        <f t="array" ref="AE77">INDEX(Note!$J$3:$J$101,MATCH(1,(Note!$A$3:$A$101=$A77)*(Note!$C$3:$C$101=$B77)*(Note!$E$3:$E$101&lt;=AE$1)*(Note!$F$3:$F$101&gt;=AE$2),0))</f>
        <v>1550</v>
      </c>
      <c r="AF77" s="313" cm="1">
        <f t="array" ref="AF77">INDEX(Note!$J$3:$J$101,MATCH(1,(Note!$A$3:$A$101=$A77)*(Note!$C$3:$C$101=$B77)*(Note!$E$3:$E$101&lt;=AF$1)*(Note!$F$3:$F$101&gt;=AF$2),0))</f>
        <v>1550</v>
      </c>
      <c r="AG77" s="313" cm="1">
        <f t="array" ref="AG77">INDEX(Note!$J$3:$J$101,MATCH(1,(Note!$A$3:$A$101=$A77)*(Note!$C$3:$C$101=$B77)*(Note!$E$3:$E$101&lt;=AG$1)*(Note!$F$3:$F$101&gt;=AG$2),0))</f>
        <v>1550</v>
      </c>
      <c r="AH77" s="313" cm="1">
        <f t="array" ref="AH77">INDEX(Note!$J$3:$J$101,MATCH(1,(Note!$A$3:$A$101=$A77)*(Note!$C$3:$C$101=$B77)*(Note!$E$3:$E$101&lt;=AH$1)*(Note!$F$3:$F$101&gt;=AH$2),0))</f>
        <v>1550</v>
      </c>
      <c r="AI77" s="313" cm="1">
        <f t="array" ref="AI77">INDEX(Note!$J$3:$J$101,MATCH(1,(Note!$A$3:$A$101=$A77)*(Note!$C$3:$C$101=$B77)*(Note!$E$3:$E$101&lt;=AI$1)*(Note!$F$3:$F$101&gt;=AI$2),0))</f>
        <v>1550</v>
      </c>
      <c r="AJ77" s="313" cm="1">
        <f t="array" ref="AJ77">INDEX(Note!$J$3:$J$101,MATCH(1,(Note!$A$3:$A$101=$A77)*(Note!$C$3:$C$101=$B77)*(Note!$E$3:$E$101&lt;=AJ$1)*(Note!$F$3:$F$101&gt;=AJ$2),0))</f>
        <v>1550</v>
      </c>
      <c r="AK77" s="313" cm="1">
        <f t="array" ref="AK77">INDEX(Note!$J$3:$J$101,MATCH(1,(Note!$A$3:$A$101=$A77)*(Note!$C$3:$C$101=$B77)*(Note!$E$3:$E$101&lt;=AK$1)*(Note!$F$3:$F$101&gt;=AK$2),0))</f>
        <v>1550</v>
      </c>
      <c r="AL77" s="472" cm="1">
        <f t="array" ref="AL77">INDEX(Note!$J$3:$J$101,MATCH(1,(Note!$A$3:$A$101=$A77)*(Note!$C$3:$C$101=$B77)*(Note!$E$3:$E$101&lt;=AL$1)*(Note!$F$3:$F$101&gt;=AL$2),0))</f>
        <v>1550</v>
      </c>
      <c r="AM77" s="313"/>
      <c r="AN77" s="313"/>
      <c r="AO77" s="313"/>
      <c r="AP77" s="313"/>
      <c r="AQ77" s="313"/>
      <c r="AR77" s="313"/>
      <c r="AS77" s="313"/>
      <c r="AT77" s="313"/>
      <c r="AU77" s="313"/>
      <c r="AV77" s="313"/>
      <c r="AW77" s="313"/>
      <c r="AX77" s="314"/>
    </row>
    <row r="78" spans="1:50" s="97" customFormat="1" outlineLevel="1" x14ac:dyDescent="0.35">
      <c r="A78" s="97" t="s">
        <v>40</v>
      </c>
      <c r="B78" s="97" t="s">
        <v>29</v>
      </c>
      <c r="F78" s="196" t="s">
        <v>308</v>
      </c>
      <c r="G78" s="107"/>
      <c r="H78" s="107"/>
      <c r="I78" s="107"/>
      <c r="J78" s="373" t="s">
        <v>48</v>
      </c>
      <c r="K78" s="109"/>
      <c r="L78" s="199"/>
      <c r="M78" s="199"/>
      <c r="N78" s="199"/>
      <c r="O78" s="313" cm="1">
        <f t="array" ref="O78">INDEX(Note!$K$3:$K$101,MATCH(1,(Note!$A$3:$A$101=$A78)*(Note!$C$3:$C$101=$B78)*(Note!$E$3:$E$101&lt;=O$1)*(Note!$F$3:$F$101&gt;=O$2),0))</f>
        <v>0</v>
      </c>
      <c r="P78" s="313" cm="1">
        <f t="array" ref="P78">INDEX(Note!$K$3:$K$101,MATCH(1,(Note!$A$3:$A$101=$A78)*(Note!$C$3:$C$101=$B78)*(Note!$E$3:$E$101&lt;=P$1)*(Note!$F$3:$F$101&gt;=P$2),0))</f>
        <v>0</v>
      </c>
      <c r="Q78" s="313" cm="1">
        <f t="array" ref="Q78">INDEX(Note!$K$3:$K$101,MATCH(1,(Note!$A$3:$A$101=$A78)*(Note!$C$3:$C$101=$B78)*(Note!$E$3:$E$101&lt;=Q$1)*(Note!$F$3:$F$101&gt;=Q$2),0))</f>
        <v>0</v>
      </c>
      <c r="R78" s="313" cm="1">
        <f t="array" ref="R78">INDEX(Note!$K$3:$K$101,MATCH(1,(Note!$A$3:$A$101=$A78)*(Note!$C$3:$C$101=$B78)*(Note!$E$3:$E$101&lt;=R$1)*(Note!$F$3:$F$101&gt;=R$2),0))</f>
        <v>0</v>
      </c>
      <c r="S78" s="313" cm="1">
        <f t="array" ref="S78">INDEX(Note!$K$3:$K$101,MATCH(1,(Note!$A$3:$A$101=$A78)*(Note!$C$3:$C$101=$B78)*(Note!$E$3:$E$101&lt;=S$1)*(Note!$F$3:$F$101&gt;=S$2),0))</f>
        <v>0</v>
      </c>
      <c r="T78" s="313" cm="1">
        <f t="array" ref="T78">INDEX(Note!$K$3:$K$101,MATCH(1,(Note!$A$3:$A$101=$A78)*(Note!$C$3:$C$101=$B78)*(Note!$E$3:$E$101&lt;=T$1)*(Note!$F$3:$F$101&gt;=T$2),0))</f>
        <v>0</v>
      </c>
      <c r="U78" s="313" cm="1">
        <f t="array" ref="U78">INDEX(Note!$K$3:$K$101,MATCH(1,(Note!$A$3:$A$101=$A78)*(Note!$C$3:$C$101=$B78)*(Note!$E$3:$E$101&lt;=U$1)*(Note!$F$3:$F$101&gt;=U$2),0))</f>
        <v>0</v>
      </c>
      <c r="V78" s="313" cm="1">
        <f t="array" ref="V78">INDEX(Note!$K$3:$K$101,MATCH(1,(Note!$A$3:$A$101=$A78)*(Note!$C$3:$C$101=$B78)*(Note!$E$3:$E$101&lt;=V$1)*(Note!$F$3:$F$101&gt;=V$2),0))</f>
        <v>0</v>
      </c>
      <c r="W78" s="313" cm="1">
        <f t="array" ref="W78">INDEX(Note!$K$3:$K$101,MATCH(1,(Note!$A$3:$A$101=$A78)*(Note!$C$3:$C$101=$B78)*(Note!$E$3:$E$101&lt;=W$1)*(Note!$F$3:$F$101&gt;=W$2),0))</f>
        <v>0</v>
      </c>
      <c r="X78" s="313" cm="1">
        <f t="array" ref="X78">INDEX(Note!$K$3:$K$101,MATCH(1,(Note!$A$3:$A$101=$A78)*(Note!$C$3:$C$101=$B78)*(Note!$E$3:$E$101&lt;=X$1)*(Note!$F$3:$F$101&gt;=X$2),0))</f>
        <v>0</v>
      </c>
      <c r="Y78" s="313" cm="1">
        <f t="array" ref="Y78">INDEX(Note!$K$3:$K$101,MATCH(1,(Note!$A$3:$A$101=$A78)*(Note!$C$3:$C$101=$B78)*(Note!$E$3:$E$101&lt;=Y$1)*(Note!$F$3:$F$101&gt;=Y$2),0))</f>
        <v>0</v>
      </c>
      <c r="Z78" s="314" cm="1">
        <f t="array" ref="Z78">INDEX(Note!$K$3:$K$101,MATCH(1,(Note!$A$3:$A$101=$A78)*(Note!$C$3:$C$101=$B78)*(Note!$E$3:$E$101&lt;=Z$1)*(Note!$F$3:$F$101&gt;=Z$2),0))</f>
        <v>0</v>
      </c>
      <c r="AA78" s="313" cm="1">
        <f t="array" ref="AA78">INDEX(Note!$K$3:$K$101,MATCH(1,(Note!$A$3:$A$101=$A78)*(Note!$C$3:$C$101=$B78)*(Note!$E$3:$E$101&lt;=AA$1)*(Note!$F$3:$F$101&gt;=AA$2),0))</f>
        <v>1330</v>
      </c>
      <c r="AB78" s="313" cm="1">
        <f t="array" ref="AB78">INDEX(Note!$K$3:$K$101,MATCH(1,(Note!$A$3:$A$101=$A78)*(Note!$C$3:$C$101=$B78)*(Note!$E$3:$E$101&lt;=AB$1)*(Note!$F$3:$F$101&gt;=AB$2),0))</f>
        <v>1330</v>
      </c>
      <c r="AC78" s="313" cm="1">
        <f t="array" ref="AC78">INDEX(Note!$K$3:$K$101,MATCH(1,(Note!$A$3:$A$101=$A78)*(Note!$C$3:$C$101=$B78)*(Note!$E$3:$E$101&lt;=AC$1)*(Note!$F$3:$F$101&gt;=AC$2),0))</f>
        <v>1330</v>
      </c>
      <c r="AD78" s="313" cm="1">
        <f t="array" ref="AD78">INDEX(Note!$K$3:$K$101,MATCH(1,(Note!$A$3:$A$101=$A78)*(Note!$C$3:$C$101=$B78)*(Note!$E$3:$E$101&lt;=AD$1)*(Note!$F$3:$F$101&gt;=AD$2),0))</f>
        <v>1330</v>
      </c>
      <c r="AE78" s="313" cm="1">
        <f t="array" ref="AE78">INDEX(Note!$K$3:$K$101,MATCH(1,(Note!$A$3:$A$101=$A78)*(Note!$C$3:$C$101=$B78)*(Note!$E$3:$E$101&lt;=AE$1)*(Note!$F$3:$F$101&gt;=AE$2),0))</f>
        <v>1330</v>
      </c>
      <c r="AF78" s="313" cm="1">
        <f t="array" ref="AF78">INDEX(Note!$K$3:$K$101,MATCH(1,(Note!$A$3:$A$101=$A78)*(Note!$C$3:$C$101=$B78)*(Note!$E$3:$E$101&lt;=AF$1)*(Note!$F$3:$F$101&gt;=AF$2),0))</f>
        <v>1330</v>
      </c>
      <c r="AG78" s="313" cm="1">
        <f t="array" ref="AG78">INDEX(Note!$K$3:$K$101,MATCH(1,(Note!$A$3:$A$101=$A78)*(Note!$C$3:$C$101=$B78)*(Note!$E$3:$E$101&lt;=AG$1)*(Note!$F$3:$F$101&gt;=AG$2),0))</f>
        <v>1330</v>
      </c>
      <c r="AH78" s="313" cm="1">
        <f t="array" ref="AH78">INDEX(Note!$K$3:$K$101,MATCH(1,(Note!$A$3:$A$101=$A78)*(Note!$C$3:$C$101=$B78)*(Note!$E$3:$E$101&lt;=AH$1)*(Note!$F$3:$F$101&gt;=AH$2),0))</f>
        <v>1330</v>
      </c>
      <c r="AI78" s="313" cm="1">
        <f t="array" ref="AI78">INDEX(Note!$K$3:$K$101,MATCH(1,(Note!$A$3:$A$101=$A78)*(Note!$C$3:$C$101=$B78)*(Note!$E$3:$E$101&lt;=AI$1)*(Note!$F$3:$F$101&gt;=AI$2),0))</f>
        <v>1330</v>
      </c>
      <c r="AJ78" s="313" cm="1">
        <f t="array" ref="AJ78">INDEX(Note!$K$3:$K$101,MATCH(1,(Note!$A$3:$A$101=$A78)*(Note!$C$3:$C$101=$B78)*(Note!$E$3:$E$101&lt;=AJ$1)*(Note!$F$3:$F$101&gt;=AJ$2),0))</f>
        <v>1330</v>
      </c>
      <c r="AK78" s="313" cm="1">
        <f t="array" ref="AK78">INDEX(Note!$K$3:$K$101,MATCH(1,(Note!$A$3:$A$101=$A78)*(Note!$C$3:$C$101=$B78)*(Note!$E$3:$E$101&lt;=AK$1)*(Note!$F$3:$F$101&gt;=AK$2),0))</f>
        <v>1330</v>
      </c>
      <c r="AL78" s="472" cm="1">
        <f t="array" ref="AL78">INDEX(Note!$K$3:$K$101,MATCH(1,(Note!$A$3:$A$101=$A78)*(Note!$C$3:$C$101=$B78)*(Note!$E$3:$E$101&lt;=AL$1)*(Note!$F$3:$F$101&gt;=AL$2),0))</f>
        <v>1330</v>
      </c>
      <c r="AM78" s="313"/>
      <c r="AN78" s="313"/>
      <c r="AO78" s="313"/>
      <c r="AP78" s="313"/>
      <c r="AQ78" s="313"/>
      <c r="AR78" s="313"/>
      <c r="AS78" s="313"/>
      <c r="AT78" s="313"/>
      <c r="AU78" s="313"/>
      <c r="AV78" s="313"/>
      <c r="AW78" s="313"/>
      <c r="AX78" s="314"/>
    </row>
    <row r="79" spans="1:50" s="188" customFormat="1" outlineLevel="1" x14ac:dyDescent="0.35">
      <c r="A79" s="188" t="s">
        <v>40</v>
      </c>
      <c r="B79" s="188" t="s">
        <v>29</v>
      </c>
      <c r="F79" s="286" t="s">
        <v>309</v>
      </c>
      <c r="G79" s="287"/>
      <c r="H79" s="287"/>
      <c r="I79" s="287"/>
      <c r="J79" s="383" t="s">
        <v>203</v>
      </c>
      <c r="K79" s="189"/>
      <c r="L79" s="295"/>
      <c r="M79" s="295"/>
      <c r="N79" s="295"/>
      <c r="O79" s="315" cm="1">
        <f t="array" ref="O79">SUMPRODUCT(General_Data*(Year=O$3)*(Month=O$4)*(Code_General_Data=$B79))</f>
        <v>1340</v>
      </c>
      <c r="P79" s="315" cm="1">
        <f t="array" ref="P79">SUMPRODUCT(General_Data*(Year=P$3)*(Month=P$4)*(Code_General_Data=$B79))</f>
        <v>1340</v>
      </c>
      <c r="Q79" s="315" cm="1">
        <f t="array" ref="Q79">SUMPRODUCT(General_Data*(Year=Q$3)*(Month=Q$4)*(Code_General_Data=$B79))</f>
        <v>1340</v>
      </c>
      <c r="R79" s="315" cm="1">
        <f t="array" ref="R79">SUMPRODUCT(General_Data*(Year=R$3)*(Month=R$4)*(Code_General_Data=$B79))</f>
        <v>1340</v>
      </c>
      <c r="S79" s="315" cm="1">
        <f t="array" ref="S79">SUMPRODUCT(General_Data*(Year=S$3)*(Month=S$4)*(Code_General_Data=$B79))</f>
        <v>1390</v>
      </c>
      <c r="T79" s="315" cm="1">
        <f t="array" ref="T79">SUMPRODUCT(General_Data*(Year=T$3)*(Month=T$4)*(Code_General_Data=$B79))</f>
        <v>1390</v>
      </c>
      <c r="U79" s="315" cm="1">
        <f t="array" ref="U79">SUMPRODUCT(General_Data*(Year=U$3)*(Month=U$4)*(Code_General_Data=$B79))</f>
        <v>1390</v>
      </c>
      <c r="V79" s="315" cm="1">
        <f t="array" ref="V79">SUMPRODUCT(General_Data*(Year=V$3)*(Month=V$4)*(Code_General_Data=$B79))</f>
        <v>1390</v>
      </c>
      <c r="W79" s="315" cm="1">
        <f t="array" ref="W79">SUMPRODUCT(General_Data*(Year=W$3)*(Month=W$4)*(Code_General_Data=$B79))</f>
        <v>1400</v>
      </c>
      <c r="X79" s="315" cm="1">
        <f t="array" ref="X79">SUMPRODUCT(General_Data*(Year=X$3)*(Month=X$4)*(Code_General_Data=$B79))</f>
        <v>1415</v>
      </c>
      <c r="Y79" s="315" cm="1">
        <f t="array" ref="Y79">SUMPRODUCT(General_Data*(Year=Y$3)*(Month=Y$4)*(Code_General_Data=$B79))</f>
        <v>1415</v>
      </c>
      <c r="Z79" s="316" cm="1">
        <f t="array" ref="Z79">SUMPRODUCT(General_Data*(Year=Z$3)*(Month=Z$4)*(Code_General_Data=$B79))</f>
        <v>1365</v>
      </c>
      <c r="AA79" s="315" cm="1">
        <f t="array" ref="AA79">SUMPRODUCT(General_Data*(Year=AA$3)*(Month=AA$4)*(Code_General_Data=$B79))</f>
        <v>1320</v>
      </c>
      <c r="AB79" s="315" cm="1">
        <f t="array" ref="AB79">SUMPRODUCT(General_Data*(Year=AB$3)*(Month=AB$4)*(Code_General_Data=$B79))</f>
        <v>1280</v>
      </c>
      <c r="AC79" s="315" cm="1">
        <f t="array" ref="AC79">SUMPRODUCT(General_Data*(Year=AC$3)*(Month=AC$4)*(Code_General_Data=$B79))</f>
        <v>1320</v>
      </c>
      <c r="AD79" s="315" cm="1">
        <f t="array" ref="AD79">SUMPRODUCT(General_Data*(Year=AD$3)*(Month=AD$4)*(Code_General_Data=$B79))</f>
        <v>1340</v>
      </c>
      <c r="AE79" s="315" cm="1">
        <f t="array" ref="AE79">SUMPRODUCT(General_Data*(Year=AE$3)*(Month=AE$4)*(Code_General_Data=$B79))</f>
        <v>1340</v>
      </c>
      <c r="AF79" s="315" cm="1">
        <f t="array" ref="AF79">SUMPRODUCT(General_Data*(Year=AF$3)*(Month=AF$4)*(Code_General_Data=$B79))</f>
        <v>1340</v>
      </c>
      <c r="AG79" s="315" cm="1">
        <f t="array" ref="AG79">SUMPRODUCT(General_Data*(Year=AG$3)*(Month=AG$4)*(Code_General_Data=$B79))</f>
        <v>1340</v>
      </c>
      <c r="AH79" s="315" cm="1">
        <f t="array" ref="AH79">SUMPRODUCT(General_Data*(Year=AH$3)*(Month=AH$4)*(Code_General_Data=$B79))</f>
        <v>1310</v>
      </c>
      <c r="AI79" s="315" cm="1">
        <f t="array" ref="AI79">SUMPRODUCT(General_Data*(Year=AI$3)*(Month=AI$4)*(Code_General_Data=$B79))</f>
        <v>1310</v>
      </c>
      <c r="AJ79" s="315" cm="1">
        <f t="array" ref="AJ79">SUMPRODUCT(General_Data*(Year=AJ$3)*(Month=AJ$4)*(Code_General_Data=$B79))</f>
        <v>1300</v>
      </c>
      <c r="AK79" s="315" cm="1">
        <f t="array" ref="AK79">SUMPRODUCT(General_Data*(Year=AK$3)*(Month=AK$4)*(Code_General_Data=$B79))</f>
        <v>1290</v>
      </c>
      <c r="AL79" s="473" cm="1">
        <f t="array" ref="AL79">SUMPRODUCT(General_Data*(Year=AL$3)*(Month=AL$4)*(Code_General_Data=$B79))</f>
        <v>1290</v>
      </c>
      <c r="AM79" s="315"/>
      <c r="AN79" s="315"/>
      <c r="AO79" s="315"/>
      <c r="AP79" s="315"/>
      <c r="AQ79" s="315"/>
      <c r="AR79" s="315"/>
      <c r="AS79" s="315"/>
      <c r="AT79" s="315"/>
      <c r="AU79" s="315"/>
      <c r="AV79" s="315"/>
      <c r="AW79" s="315"/>
      <c r="AX79" s="316"/>
    </row>
    <row r="80" spans="1:50" s="97" customFormat="1" outlineLevel="1" x14ac:dyDescent="0.35">
      <c r="F80" s="196"/>
      <c r="G80" s="107"/>
      <c r="H80" s="107"/>
      <c r="I80" s="107"/>
      <c r="J80" s="373" t="s">
        <v>431</v>
      </c>
      <c r="K80" s="109"/>
      <c r="L80" s="199"/>
      <c r="M80" s="199"/>
      <c r="N80" s="199"/>
      <c r="O80" s="313"/>
      <c r="P80" s="313"/>
      <c r="Q80" s="313"/>
      <c r="R80" s="313"/>
      <c r="S80" s="313"/>
      <c r="T80" s="313"/>
      <c r="U80" s="313"/>
      <c r="V80" s="313"/>
      <c r="W80" s="313"/>
      <c r="X80" s="313"/>
      <c r="Y80" s="313"/>
      <c r="Z80" s="314"/>
      <c r="AA80" s="313">
        <f>AA77+AA73</f>
        <v>1477.59375</v>
      </c>
      <c r="AB80" s="313">
        <f t="shared" ref="AB80:AG80" si="59">AB77+AB73</f>
        <v>1479.5104166666667</v>
      </c>
      <c r="AC80" s="313">
        <f t="shared" si="59"/>
        <v>1481.2916666666667</v>
      </c>
      <c r="AD80" s="313">
        <f t="shared" si="59"/>
        <v>1481.25</v>
      </c>
      <c r="AE80" s="313">
        <f t="shared" si="59"/>
        <v>1481</v>
      </c>
      <c r="AF80" s="313">
        <f t="shared" si="59"/>
        <v>1481</v>
      </c>
      <c r="AG80" s="313">
        <f t="shared" si="59"/>
        <v>1481</v>
      </c>
      <c r="AH80" s="313">
        <f t="shared" ref="AH80:AI80" si="60">AH77+AH73</f>
        <v>1481.9</v>
      </c>
      <c r="AI80" s="313">
        <f t="shared" si="60"/>
        <v>1483.5250000000001</v>
      </c>
      <c r="AJ80" s="313">
        <f t="shared" ref="AJ80:AK80" si="61">AJ77+AJ73</f>
        <v>1484.925</v>
      </c>
      <c r="AK80" s="313">
        <f t="shared" si="61"/>
        <v>1486.05</v>
      </c>
      <c r="AL80" s="472">
        <f t="shared" ref="AL80" si="62">AL77+AL73</f>
        <v>1486.65625</v>
      </c>
      <c r="AM80" s="313"/>
      <c r="AN80" s="313"/>
      <c r="AO80" s="313"/>
      <c r="AP80" s="313"/>
      <c r="AQ80" s="313"/>
      <c r="AR80" s="313"/>
      <c r="AS80" s="313"/>
      <c r="AT80" s="313"/>
      <c r="AU80" s="313"/>
      <c r="AV80" s="313"/>
      <c r="AW80" s="313"/>
      <c r="AX80" s="314"/>
    </row>
    <row r="81" spans="1:50" s="97" customFormat="1" outlineLevel="1" x14ac:dyDescent="0.35">
      <c r="F81" s="196"/>
      <c r="G81" s="107"/>
      <c r="H81" s="107"/>
      <c r="I81" s="107"/>
      <c r="J81" s="373" t="s">
        <v>432</v>
      </c>
      <c r="K81" s="109"/>
      <c r="L81" s="199"/>
      <c r="M81" s="199"/>
      <c r="N81" s="199"/>
      <c r="O81" s="313"/>
      <c r="P81" s="313"/>
      <c r="Q81" s="313"/>
      <c r="R81" s="313"/>
      <c r="S81" s="313"/>
      <c r="T81" s="313"/>
      <c r="U81" s="313"/>
      <c r="V81" s="313"/>
      <c r="W81" s="313"/>
      <c r="X81" s="313"/>
      <c r="Y81" s="313"/>
      <c r="Z81" s="314"/>
      <c r="AA81" s="313">
        <f>AA78+AA73</f>
        <v>1257.59375</v>
      </c>
      <c r="AB81" s="313">
        <f t="shared" ref="AB81:AG81" si="63">AB78+AB73</f>
        <v>1259.5104166666667</v>
      </c>
      <c r="AC81" s="313">
        <f t="shared" si="63"/>
        <v>1261.2916666666667</v>
      </c>
      <c r="AD81" s="313">
        <f t="shared" si="63"/>
        <v>1261.25</v>
      </c>
      <c r="AE81" s="313">
        <f t="shared" si="63"/>
        <v>1261</v>
      </c>
      <c r="AF81" s="313">
        <f t="shared" si="63"/>
        <v>1261</v>
      </c>
      <c r="AG81" s="313">
        <f t="shared" si="63"/>
        <v>1261</v>
      </c>
      <c r="AH81" s="313">
        <f t="shared" ref="AH81:AI81" si="64">AH78+AH73</f>
        <v>1261.9000000000001</v>
      </c>
      <c r="AI81" s="313">
        <f t="shared" si="64"/>
        <v>1263.5250000000001</v>
      </c>
      <c r="AJ81" s="313">
        <f t="shared" ref="AJ81:AK81" si="65">AJ78+AJ73</f>
        <v>1264.925</v>
      </c>
      <c r="AK81" s="313">
        <f t="shared" si="65"/>
        <v>1266.05</v>
      </c>
      <c r="AL81" s="472">
        <f t="shared" ref="AL81" si="66">AL78+AL73</f>
        <v>1266.65625</v>
      </c>
      <c r="AM81" s="313"/>
      <c r="AN81" s="313"/>
      <c r="AO81" s="313"/>
      <c r="AP81" s="313"/>
      <c r="AQ81" s="313"/>
      <c r="AR81" s="313"/>
      <c r="AS81" s="313"/>
      <c r="AT81" s="313"/>
      <c r="AU81" s="313"/>
      <c r="AV81" s="313"/>
      <c r="AW81" s="313"/>
      <c r="AX81" s="314"/>
    </row>
    <row r="82" spans="1:50" s="188" customFormat="1" ht="6.65" customHeight="1" x14ac:dyDescent="0.35">
      <c r="F82" s="310"/>
      <c r="G82" s="189"/>
      <c r="H82" s="189"/>
      <c r="I82" s="189"/>
      <c r="J82" s="377"/>
      <c r="K82" s="189"/>
      <c r="L82" s="311"/>
      <c r="M82" s="311"/>
      <c r="N82" s="311"/>
      <c r="O82" s="311"/>
      <c r="P82" s="311"/>
      <c r="Q82" s="311"/>
      <c r="R82" s="311"/>
      <c r="S82" s="311"/>
      <c r="T82" s="311"/>
      <c r="U82" s="311"/>
      <c r="V82" s="311"/>
      <c r="W82" s="311"/>
      <c r="X82" s="311"/>
      <c r="Y82" s="311"/>
      <c r="Z82" s="312"/>
      <c r="AA82" s="311"/>
      <c r="AB82" s="311"/>
      <c r="AC82" s="311"/>
      <c r="AD82" s="311"/>
      <c r="AE82" s="311"/>
      <c r="AF82" s="311"/>
      <c r="AG82" s="311"/>
      <c r="AH82" s="311"/>
      <c r="AI82" s="311"/>
      <c r="AJ82" s="311"/>
      <c r="AK82" s="311"/>
      <c r="AL82" s="474"/>
      <c r="AM82" s="311"/>
      <c r="AN82" s="311"/>
      <c r="AO82" s="311"/>
      <c r="AP82" s="311"/>
      <c r="AQ82" s="311"/>
      <c r="AR82" s="311"/>
      <c r="AS82" s="311"/>
      <c r="AT82" s="311"/>
      <c r="AU82" s="311"/>
      <c r="AV82" s="311"/>
      <c r="AW82" s="311"/>
      <c r="AX82" s="312"/>
    </row>
    <row r="83" spans="1:50" s="330" customFormat="1" ht="16" x14ac:dyDescent="0.35">
      <c r="A83" s="330" t="s">
        <v>40</v>
      </c>
      <c r="B83" s="330" t="s">
        <v>31</v>
      </c>
      <c r="D83" s="330" t="s">
        <v>322</v>
      </c>
      <c r="F83" s="343">
        <v>4.2</v>
      </c>
      <c r="G83" s="344"/>
      <c r="H83" s="344" t="s">
        <v>270</v>
      </c>
      <c r="I83" s="344"/>
      <c r="J83" s="379"/>
      <c r="L83" s="344"/>
      <c r="M83" s="344"/>
      <c r="N83" s="344"/>
      <c r="O83" s="334">
        <f t="shared" ref="O83:Z83" si="67">SUM(O84:O87)</f>
        <v>1346.5</v>
      </c>
      <c r="P83" s="334">
        <f t="shared" si="67"/>
        <v>1354</v>
      </c>
      <c r="Q83" s="334">
        <f t="shared" si="67"/>
        <v>1366.5</v>
      </c>
      <c r="R83" s="334">
        <f t="shared" si="67"/>
        <v>1369</v>
      </c>
      <c r="S83" s="334">
        <f t="shared" si="67"/>
        <v>1373</v>
      </c>
      <c r="T83" s="334">
        <f t="shared" si="67"/>
        <v>1388</v>
      </c>
      <c r="U83" s="334">
        <f t="shared" si="67"/>
        <v>1404</v>
      </c>
      <c r="V83" s="334">
        <f t="shared" si="67"/>
        <v>1415</v>
      </c>
      <c r="W83" s="334">
        <f t="shared" si="67"/>
        <v>1435</v>
      </c>
      <c r="X83" s="334">
        <f t="shared" si="67"/>
        <v>1462.75</v>
      </c>
      <c r="Y83" s="334">
        <f t="shared" si="67"/>
        <v>1480.25</v>
      </c>
      <c r="Z83" s="335">
        <f t="shared" si="67"/>
        <v>1484</v>
      </c>
      <c r="AA83" s="333">
        <f t="shared" ref="AA83:AF83" si="68">MIN(MAX(SUM(AA84,AA85),AA91),AA90)+AA86+AA87</f>
        <v>1402.21875</v>
      </c>
      <c r="AB83" s="334">
        <f t="shared" si="68"/>
        <v>1365.8020833333319</v>
      </c>
      <c r="AC83" s="334">
        <f t="shared" si="68"/>
        <v>1331.9583333333319</v>
      </c>
      <c r="AD83" s="334">
        <f t="shared" si="68"/>
        <v>1332.75</v>
      </c>
      <c r="AE83" s="334">
        <f t="shared" si="68"/>
        <v>1337.5</v>
      </c>
      <c r="AF83" s="334">
        <f t="shared" si="68"/>
        <v>1337.5</v>
      </c>
      <c r="AG83" s="334">
        <f t="shared" ref="AG83:AH83" si="69">MIN(MAX(SUM(AG84,AG85),AG91),AG90)+AG86+AG87</f>
        <v>1337.5</v>
      </c>
      <c r="AH83" s="334">
        <f t="shared" si="69"/>
        <v>1320.4</v>
      </c>
      <c r="AI83" s="334">
        <f t="shared" ref="AI83:AJ83" si="70">MIN(MAX(SUM(AI84,AI85),AI91),AI90)+AI86+AI87</f>
        <v>1290.0250000000001</v>
      </c>
      <c r="AJ83" s="334">
        <f t="shared" si="70"/>
        <v>1291.425</v>
      </c>
      <c r="AK83" s="334">
        <f t="shared" ref="AK83:AL83" si="71">MIN(MAX(SUM(AK84,AK85),AK91),AK90)+AK86+AK87</f>
        <v>1292.55</v>
      </c>
      <c r="AL83" s="475">
        <f t="shared" si="71"/>
        <v>1293.15625</v>
      </c>
      <c r="AM83" s="334"/>
      <c r="AN83" s="334"/>
      <c r="AO83" s="334"/>
      <c r="AP83" s="334"/>
      <c r="AQ83" s="334"/>
      <c r="AR83" s="334"/>
      <c r="AS83" s="334"/>
      <c r="AT83" s="334"/>
      <c r="AU83" s="334"/>
      <c r="AV83" s="334"/>
      <c r="AW83" s="334"/>
      <c r="AX83" s="335"/>
    </row>
    <row r="84" spans="1:50" s="354" customFormat="1" outlineLevel="1" x14ac:dyDescent="0.35">
      <c r="A84" s="354" t="s">
        <v>40</v>
      </c>
      <c r="B84" s="354" t="s">
        <v>31</v>
      </c>
      <c r="F84" s="355" t="s">
        <v>380</v>
      </c>
      <c r="G84" s="356"/>
      <c r="H84" s="356" t="s">
        <v>41</v>
      </c>
      <c r="I84" s="356" t="s">
        <v>341</v>
      </c>
      <c r="J84" s="380"/>
      <c r="K84" s="357"/>
      <c r="L84" s="356"/>
      <c r="M84" s="356"/>
      <c r="N84" s="356"/>
      <c r="O84" s="350">
        <f t="shared" ref="O84:AL84" si="72">(M89+N89)/2</f>
        <v>1300</v>
      </c>
      <c r="P84" s="350">
        <f t="shared" si="72"/>
        <v>1307.5</v>
      </c>
      <c r="Q84" s="350">
        <f t="shared" si="72"/>
        <v>1320</v>
      </c>
      <c r="R84" s="350">
        <f t="shared" si="72"/>
        <v>1322.5</v>
      </c>
      <c r="S84" s="350">
        <f t="shared" si="72"/>
        <v>1326.5</v>
      </c>
      <c r="T84" s="350">
        <f t="shared" si="72"/>
        <v>1341.5</v>
      </c>
      <c r="U84" s="350">
        <f t="shared" si="72"/>
        <v>1357.5</v>
      </c>
      <c r="V84" s="350">
        <f t="shared" si="72"/>
        <v>1368.5</v>
      </c>
      <c r="W84" s="350">
        <f t="shared" si="72"/>
        <v>1388.5</v>
      </c>
      <c r="X84" s="350">
        <f t="shared" si="72"/>
        <v>1416.25</v>
      </c>
      <c r="Y84" s="350">
        <f t="shared" si="72"/>
        <v>1433.75</v>
      </c>
      <c r="Z84" s="351">
        <f t="shared" si="72"/>
        <v>1437.5</v>
      </c>
      <c r="AA84" s="349">
        <f t="shared" si="72"/>
        <v>1428.125</v>
      </c>
      <c r="AB84" s="350">
        <f t="shared" si="72"/>
        <v>1389.7916666666652</v>
      </c>
      <c r="AC84" s="350">
        <f t="shared" si="72"/>
        <v>1354.1666666666652</v>
      </c>
      <c r="AD84" s="350">
        <f t="shared" si="72"/>
        <v>1355</v>
      </c>
      <c r="AE84" s="350">
        <f t="shared" si="72"/>
        <v>1360</v>
      </c>
      <c r="AF84" s="350">
        <f t="shared" si="72"/>
        <v>1360</v>
      </c>
      <c r="AG84" s="350">
        <f t="shared" si="72"/>
        <v>1360</v>
      </c>
      <c r="AH84" s="350">
        <f t="shared" si="72"/>
        <v>1342</v>
      </c>
      <c r="AI84" s="350">
        <f t="shared" si="72"/>
        <v>1309.5</v>
      </c>
      <c r="AJ84" s="350">
        <f t="shared" si="72"/>
        <v>1281.5</v>
      </c>
      <c r="AK84" s="350">
        <f t="shared" si="72"/>
        <v>1259</v>
      </c>
      <c r="AL84" s="468">
        <f t="shared" si="72"/>
        <v>1246.875</v>
      </c>
      <c r="AM84" s="350"/>
      <c r="AN84" s="350"/>
      <c r="AO84" s="350"/>
      <c r="AP84" s="350"/>
      <c r="AQ84" s="350"/>
      <c r="AR84" s="350"/>
      <c r="AS84" s="350"/>
      <c r="AT84" s="350"/>
      <c r="AU84" s="350"/>
      <c r="AV84" s="350"/>
      <c r="AW84" s="350"/>
      <c r="AX84" s="351"/>
    </row>
    <row r="85" spans="1:50" s="354" customFormat="1" outlineLevel="1" x14ac:dyDescent="0.35">
      <c r="A85" s="354" t="s">
        <v>40</v>
      </c>
      <c r="B85" s="354" t="s">
        <v>31</v>
      </c>
      <c r="F85" s="355" t="s">
        <v>381</v>
      </c>
      <c r="G85" s="356"/>
      <c r="H85" s="356" t="s">
        <v>41</v>
      </c>
      <c r="I85" s="356" t="s">
        <v>269</v>
      </c>
      <c r="J85" s="380"/>
      <c r="K85" s="357"/>
      <c r="L85" s="356"/>
      <c r="M85" s="356"/>
      <c r="N85" s="356"/>
      <c r="O85" s="350">
        <v>30</v>
      </c>
      <c r="P85" s="350">
        <v>30</v>
      </c>
      <c r="Q85" s="350">
        <v>30</v>
      </c>
      <c r="R85" s="350">
        <v>30</v>
      </c>
      <c r="S85" s="350">
        <v>30</v>
      </c>
      <c r="T85" s="350">
        <v>30</v>
      </c>
      <c r="U85" s="350">
        <v>30</v>
      </c>
      <c r="V85" s="350">
        <v>30</v>
      </c>
      <c r="W85" s="350">
        <v>30</v>
      </c>
      <c r="X85" s="350">
        <v>30</v>
      </c>
      <c r="Y85" s="350">
        <v>30</v>
      </c>
      <c r="Z85" s="351">
        <v>30</v>
      </c>
      <c r="AA85" s="349">
        <v>20</v>
      </c>
      <c r="AB85" s="350">
        <v>20</v>
      </c>
      <c r="AC85" s="350">
        <v>20</v>
      </c>
      <c r="AD85" s="350">
        <v>20</v>
      </c>
      <c r="AE85" s="350">
        <v>20</v>
      </c>
      <c r="AF85" s="350">
        <v>20</v>
      </c>
      <c r="AG85" s="350">
        <v>20</v>
      </c>
      <c r="AH85" s="350">
        <v>20</v>
      </c>
      <c r="AI85" s="350">
        <v>20</v>
      </c>
      <c r="AJ85" s="350">
        <v>20</v>
      </c>
      <c r="AK85" s="350">
        <v>20</v>
      </c>
      <c r="AL85" s="468">
        <v>20</v>
      </c>
      <c r="AM85" s="350"/>
      <c r="AN85" s="350"/>
      <c r="AO85" s="350"/>
      <c r="AP85" s="350"/>
      <c r="AQ85" s="350"/>
      <c r="AR85" s="350"/>
      <c r="AS85" s="350"/>
      <c r="AT85" s="350"/>
      <c r="AU85" s="350"/>
      <c r="AV85" s="350"/>
      <c r="AW85" s="350"/>
      <c r="AX85" s="351"/>
    </row>
    <row r="86" spans="1:50" s="354" customFormat="1" outlineLevel="1" x14ac:dyDescent="0.35">
      <c r="A86" s="354" t="s">
        <v>40</v>
      </c>
      <c r="B86" s="354" t="s">
        <v>31</v>
      </c>
      <c r="F86" s="355" t="s">
        <v>382</v>
      </c>
      <c r="G86" s="356"/>
      <c r="H86" s="356" t="s">
        <v>41</v>
      </c>
      <c r="I86" s="358" t="s">
        <v>340</v>
      </c>
      <c r="J86" s="380"/>
      <c r="K86" s="357"/>
      <c r="L86" s="356"/>
      <c r="M86" s="356"/>
      <c r="N86" s="356"/>
      <c r="O86" s="350">
        <f>-IF('Rebate-Suntory'!$E$14="/tấn",'Rebate-Suntory'!$D$14,IF('Rebate-Suntory'!$E$14="giá trị",'Rebate-Suntory'!$D$14*(O84+O85+O87),0))</f>
        <v>-10</v>
      </c>
      <c r="P86" s="350">
        <f>-IF('Rebate-Suntory'!$E$14="/tấn",'Rebate-Suntory'!$D$14,IF('Rebate-Suntory'!$E$14="giá trị",'Rebate-Suntory'!$D$14*(P84+P85+P87),0))</f>
        <v>-10</v>
      </c>
      <c r="Q86" s="350">
        <f>-IF('Rebate-Suntory'!$E$14="/tấn",'Rebate-Suntory'!$D$14,IF('Rebate-Suntory'!$E$14="giá trị",'Rebate-Suntory'!$D$14*(Q84+Q85+Q87),0))</f>
        <v>-10</v>
      </c>
      <c r="R86" s="350">
        <f>-IF('Rebate-Suntory'!$E$14="/tấn",'Rebate-Suntory'!$D$14,IF('Rebate-Suntory'!$E$14="giá trị",'Rebate-Suntory'!$D$14*(R84+R85+R87),0))</f>
        <v>-10</v>
      </c>
      <c r="S86" s="350">
        <f>-IF('Rebate-Suntory'!$E$14="/tấn",'Rebate-Suntory'!$D$14,IF('Rebate-Suntory'!$E$14="giá trị",'Rebate-Suntory'!$D$14*(S84+S85+S87),0))</f>
        <v>-10</v>
      </c>
      <c r="T86" s="350">
        <f>-IF('Rebate-Suntory'!$E$14="/tấn",'Rebate-Suntory'!$D$14,IF('Rebate-Suntory'!$E$14="giá trị",'Rebate-Suntory'!$D$14*(T84+T85+T87),0))</f>
        <v>-10</v>
      </c>
      <c r="U86" s="350">
        <f>-IF('Rebate-Suntory'!$E$14="/tấn",'Rebate-Suntory'!$D$14,IF('Rebate-Suntory'!$E$14="giá trị",'Rebate-Suntory'!$D$14*(U84+U85+U87),0))</f>
        <v>-10</v>
      </c>
      <c r="V86" s="350">
        <f>-IF('Rebate-Suntory'!$E$14="/tấn",'Rebate-Suntory'!$D$14,IF('Rebate-Suntory'!$E$14="giá trị",'Rebate-Suntory'!$D$14*(V84+V85+V87),0))</f>
        <v>-10</v>
      </c>
      <c r="W86" s="350">
        <f>-IF('Rebate-Suntory'!$E$14="/tấn",'Rebate-Suntory'!$D$14,IF('Rebate-Suntory'!$E$14="giá trị",'Rebate-Suntory'!$D$14*(W84+W85+W87),0))</f>
        <v>-10</v>
      </c>
      <c r="X86" s="350">
        <f>-IF('Rebate-Suntory'!$E$14="/tấn",'Rebate-Suntory'!$D$14,IF('Rebate-Suntory'!$E$14="giá trị",'Rebate-Suntory'!$D$14*(X84+X85+X87),0))</f>
        <v>-10</v>
      </c>
      <c r="Y86" s="350">
        <f>-IF('Rebate-Suntory'!$E$14="/tấn",'Rebate-Suntory'!$D$14,IF('Rebate-Suntory'!$E$14="giá trị",'Rebate-Suntory'!$D$14*(Y84+Y85+Y87),0))</f>
        <v>-10</v>
      </c>
      <c r="Z86" s="351">
        <f>-IF('Rebate-Suntory'!$E$14="/tấn",'Rebate-Suntory'!$D$14,IF('Rebate-Suntory'!$E$14="giá trị",'Rebate-Suntory'!$D$14*(Z84+Z85+Z87),0))</f>
        <v>-10</v>
      </c>
      <c r="AA86" s="349">
        <f>-IF('Rebate-Suntory'!$J$14="/tấn",'Rebate-Suntory'!$I$14,IF('Rebate-Suntory'!$J$14="giá trị",'Rebate-Suntory'!$I$14*(AA84+AA85),0))</f>
        <v>-72.40625</v>
      </c>
      <c r="AB86" s="350">
        <f>-IF('Rebate-Suntory'!$J$14="/tấn",'Rebate-Suntory'!$I$14,IF('Rebate-Suntory'!$J$14="giá trị",'Rebate-Suntory'!$I$14*(AB84+AB85),0))</f>
        <v>-70.489583333333258</v>
      </c>
      <c r="AC86" s="350">
        <f>-IF('Rebate-Suntory'!$J$14="/tấn",'Rebate-Suntory'!$I$14,IF('Rebate-Suntory'!$J$14="giá trị",'Rebate-Suntory'!$I$14*(AC84+AC85),0))</f>
        <v>-68.708333333333258</v>
      </c>
      <c r="AD86" s="350">
        <f>-IF('Rebate-Suntory'!$J$14="/tấn",'Rebate-Suntory'!$I$14,IF('Rebate-Suntory'!$J$14="giá trị",'Rebate-Suntory'!$I$14*(AD84+AD85),0))</f>
        <v>-68.75</v>
      </c>
      <c r="AE86" s="350">
        <f>-IF('Rebate-Suntory'!$J$14="/tấn",'Rebate-Suntory'!$I$14,IF('Rebate-Suntory'!$J$14="giá trị",'Rebate-Suntory'!$I$14*(AE84+AE85),0))</f>
        <v>-69</v>
      </c>
      <c r="AF86" s="350">
        <f>-IF('Rebate-Suntory'!$J$14="/tấn",'Rebate-Suntory'!$I$14,IF('Rebate-Suntory'!$J$14="giá trị",'Rebate-Suntory'!$I$14*(AF84+AF85),0))</f>
        <v>-69</v>
      </c>
      <c r="AG86" s="350">
        <f>-IF('Rebate-Suntory'!$J$14="/tấn",'Rebate-Suntory'!$I$14,IF('Rebate-Suntory'!$J$14="giá trị",'Rebate-Suntory'!$I$14*(AG84+AG85),0))</f>
        <v>-69</v>
      </c>
      <c r="AH86" s="350">
        <f>-IF('Rebate-Suntory'!$J$14="/tấn",'Rebate-Suntory'!$I$14,IF('Rebate-Suntory'!$J$14="giá trị",'Rebate-Suntory'!$I$14*(AH84+AH85),0))</f>
        <v>-68.100000000000009</v>
      </c>
      <c r="AI86" s="350">
        <f>-IF('Rebate-Suntory'!$J$14="/tấn",'Rebate-Suntory'!$I$14,IF('Rebate-Suntory'!$J$14="giá trị",'Rebate-Suntory'!$I$14*(AI84+AI85),0))</f>
        <v>-66.475000000000009</v>
      </c>
      <c r="AJ86" s="350">
        <f>-IF('Rebate-Suntory'!$J$14="/tấn",'Rebate-Suntory'!$I$14,IF('Rebate-Suntory'!$J$14="giá trị",'Rebate-Suntory'!$I$14*(AJ84+AJ85),0))</f>
        <v>-65.075000000000003</v>
      </c>
      <c r="AK86" s="350">
        <f>-IF('Rebate-Suntory'!$J$14="/tấn",'Rebate-Suntory'!$I$14,IF('Rebate-Suntory'!$J$14="giá trị",'Rebate-Suntory'!$I$14*(AK84+AK85),0))</f>
        <v>-63.95</v>
      </c>
      <c r="AL86" s="468">
        <f>-IF('Rebate-Suntory'!$J$14="/tấn",'Rebate-Suntory'!$I$14,IF('Rebate-Suntory'!$J$14="giá trị",'Rebate-Suntory'!$I$14*(AL84+AL85),0))</f>
        <v>-63.34375</v>
      </c>
      <c r="AM86" s="350"/>
      <c r="AN86" s="350"/>
      <c r="AO86" s="350"/>
      <c r="AP86" s="350"/>
      <c r="AQ86" s="350"/>
      <c r="AR86" s="350"/>
      <c r="AS86" s="350"/>
      <c r="AT86" s="350"/>
      <c r="AU86" s="350"/>
      <c r="AV86" s="350"/>
      <c r="AW86" s="350"/>
      <c r="AX86" s="351"/>
    </row>
    <row r="87" spans="1:50" s="354" customFormat="1" outlineLevel="1" x14ac:dyDescent="0.35">
      <c r="A87" s="354" t="s">
        <v>40</v>
      </c>
      <c r="B87" s="354" t="s">
        <v>31</v>
      </c>
      <c r="F87" s="355" t="s">
        <v>383</v>
      </c>
      <c r="G87" s="356"/>
      <c r="H87" s="356" t="s">
        <v>41</v>
      </c>
      <c r="I87" s="356" t="s">
        <v>42</v>
      </c>
      <c r="J87" s="380"/>
      <c r="K87" s="357"/>
      <c r="L87" s="356"/>
      <c r="M87" s="356"/>
      <c r="N87" s="356"/>
      <c r="O87" s="350">
        <v>26.5</v>
      </c>
      <c r="P87" s="350">
        <v>26.5</v>
      </c>
      <c r="Q87" s="350">
        <v>26.5</v>
      </c>
      <c r="R87" s="350">
        <v>26.5</v>
      </c>
      <c r="S87" s="350">
        <v>26.5</v>
      </c>
      <c r="T87" s="350">
        <v>26.5</v>
      </c>
      <c r="U87" s="350">
        <v>26.5</v>
      </c>
      <c r="V87" s="350">
        <v>26.5</v>
      </c>
      <c r="W87" s="350">
        <v>26.5</v>
      </c>
      <c r="X87" s="350">
        <v>26.5</v>
      </c>
      <c r="Y87" s="350">
        <v>26.5</v>
      </c>
      <c r="Z87" s="351">
        <v>26.5</v>
      </c>
      <c r="AA87" s="349">
        <v>26.5</v>
      </c>
      <c r="AB87" s="350">
        <v>26.5</v>
      </c>
      <c r="AC87" s="350">
        <v>26.5</v>
      </c>
      <c r="AD87" s="361">
        <v>26.5</v>
      </c>
      <c r="AE87" s="361">
        <v>26.5</v>
      </c>
      <c r="AF87" s="361">
        <v>26.5</v>
      </c>
      <c r="AG87" s="361">
        <v>26.5</v>
      </c>
      <c r="AH87" s="361">
        <v>26.5</v>
      </c>
      <c r="AI87" s="361">
        <v>26.5</v>
      </c>
      <c r="AJ87" s="361">
        <v>26.5</v>
      </c>
      <c r="AK87" s="361">
        <v>26.5</v>
      </c>
      <c r="AL87" s="476">
        <v>26.5</v>
      </c>
      <c r="AM87" s="350"/>
      <c r="AN87" s="350"/>
      <c r="AO87" s="350"/>
      <c r="AP87" s="361"/>
      <c r="AQ87" s="361"/>
      <c r="AR87" s="361"/>
      <c r="AS87" s="361"/>
      <c r="AT87" s="361"/>
      <c r="AU87" s="361"/>
      <c r="AV87" s="361"/>
      <c r="AW87" s="361"/>
      <c r="AX87" s="362"/>
    </row>
    <row r="88" spans="1:50" s="94" customFormat="1" outlineLevel="1" x14ac:dyDescent="0.35">
      <c r="A88" s="94" t="s">
        <v>40</v>
      </c>
      <c r="B88" s="94" t="s">
        <v>31</v>
      </c>
      <c r="D88" s="95" t="s">
        <v>162</v>
      </c>
      <c r="F88" s="278" t="s">
        <v>384</v>
      </c>
      <c r="G88" s="279"/>
      <c r="H88" s="279"/>
      <c r="I88" s="279" t="s">
        <v>8</v>
      </c>
      <c r="J88" s="381"/>
      <c r="K88" s="2"/>
      <c r="L88" s="279"/>
      <c r="M88" s="279"/>
      <c r="N88" s="279"/>
      <c r="O88" s="229">
        <f t="shared" ref="O88:AE88" si="73">O83-O87</f>
        <v>1320</v>
      </c>
      <c r="P88" s="229">
        <f t="shared" si="73"/>
        <v>1327.5</v>
      </c>
      <c r="Q88" s="229">
        <f t="shared" si="73"/>
        <v>1340</v>
      </c>
      <c r="R88" s="229">
        <f t="shared" si="73"/>
        <v>1342.5</v>
      </c>
      <c r="S88" s="229">
        <f t="shared" si="73"/>
        <v>1346.5</v>
      </c>
      <c r="T88" s="229">
        <f t="shared" si="73"/>
        <v>1361.5</v>
      </c>
      <c r="U88" s="229">
        <f t="shared" si="73"/>
        <v>1377.5</v>
      </c>
      <c r="V88" s="229">
        <f t="shared" si="73"/>
        <v>1388.5</v>
      </c>
      <c r="W88" s="229">
        <f t="shared" si="73"/>
        <v>1408.5</v>
      </c>
      <c r="X88" s="229">
        <f t="shared" si="73"/>
        <v>1436.25</v>
      </c>
      <c r="Y88" s="229">
        <f t="shared" si="73"/>
        <v>1453.75</v>
      </c>
      <c r="Z88" s="230">
        <f t="shared" si="73"/>
        <v>1457.5</v>
      </c>
      <c r="AA88" s="229">
        <f t="shared" si="73"/>
        <v>1375.71875</v>
      </c>
      <c r="AB88" s="229">
        <f t="shared" si="73"/>
        <v>1339.3020833333319</v>
      </c>
      <c r="AC88" s="229">
        <f t="shared" si="73"/>
        <v>1305.4583333333319</v>
      </c>
      <c r="AD88" s="229">
        <f t="shared" si="73"/>
        <v>1306.25</v>
      </c>
      <c r="AE88" s="229">
        <f t="shared" si="73"/>
        <v>1311</v>
      </c>
      <c r="AF88" s="229">
        <f t="shared" ref="AF88:AG88" si="74">AF83-AF87</f>
        <v>1311</v>
      </c>
      <c r="AG88" s="229">
        <f t="shared" si="74"/>
        <v>1311</v>
      </c>
      <c r="AH88" s="229">
        <f t="shared" ref="AH88:AI88" si="75">AH83-AH87</f>
        <v>1293.9000000000001</v>
      </c>
      <c r="AI88" s="229">
        <f t="shared" si="75"/>
        <v>1263.5250000000001</v>
      </c>
      <c r="AJ88" s="229">
        <f t="shared" ref="AJ88:AK88" si="76">AJ83-AJ87</f>
        <v>1264.925</v>
      </c>
      <c r="AK88" s="229">
        <f t="shared" si="76"/>
        <v>1266.05</v>
      </c>
      <c r="AL88" s="470">
        <f t="shared" ref="AL88" si="77">AL83-AL87</f>
        <v>1266.65625</v>
      </c>
      <c r="AM88" s="229"/>
      <c r="AN88" s="229"/>
      <c r="AO88" s="229"/>
      <c r="AP88" s="229"/>
      <c r="AQ88" s="229"/>
      <c r="AR88" s="229"/>
      <c r="AS88" s="229"/>
      <c r="AT88" s="229"/>
      <c r="AU88" s="229"/>
      <c r="AV88" s="229"/>
      <c r="AW88" s="229"/>
      <c r="AX88" s="230"/>
    </row>
    <row r="89" spans="1:50" s="186" customFormat="1" x14ac:dyDescent="0.35">
      <c r="A89" s="186" t="s">
        <v>40</v>
      </c>
      <c r="B89" s="186" t="s">
        <v>31</v>
      </c>
      <c r="C89" s="186" t="s">
        <v>44</v>
      </c>
      <c r="F89" s="280"/>
      <c r="G89" s="281"/>
      <c r="H89" s="281"/>
      <c r="I89" s="281"/>
      <c r="J89" s="382" t="s">
        <v>75</v>
      </c>
      <c r="K89" s="187"/>
      <c r="L89" s="291" cm="1">
        <f t="array" ref="L89">SUMPRODUCT(General_Data*(Year=L$3)*(Month=L$4)*(Code_General_Data=$C89))</f>
        <v>1288.125</v>
      </c>
      <c r="M89" s="291" cm="1">
        <f t="array" ref="M89">SUMPRODUCT(General_Data*(Year=M$3)*(Month=M$4)*(Code_General_Data=$C89))</f>
        <v>1300</v>
      </c>
      <c r="N89" s="291" cm="1">
        <f t="array" ref="N89">SUMPRODUCT(General_Data*(Year=N$3)*(Month=N$4)*(Code_General_Data=$C89))</f>
        <v>1300</v>
      </c>
      <c r="O89" s="204" cm="1">
        <f t="array" ref="O89">SUMPRODUCT(General_Data*(Year=O$3)*(Month=O$4)*(Code_General_Data=$C89))</f>
        <v>1315</v>
      </c>
      <c r="P89" s="204" cm="1">
        <f t="array" ref="P89">SUMPRODUCT(General_Data*(Year=P$3)*(Month=P$4)*(Code_General_Data=$C89))</f>
        <v>1325</v>
      </c>
      <c r="Q89" s="204" cm="1">
        <f t="array" ref="Q89">SUMPRODUCT(General_Data*(Year=Q$3)*(Month=Q$4)*(Code_General_Data=$C89))</f>
        <v>1320</v>
      </c>
      <c r="R89" s="204" cm="1">
        <f t="array" ref="R89">SUMPRODUCT(General_Data*(Year=R$3)*(Month=R$4)*(Code_General_Data=$C89))</f>
        <v>1333</v>
      </c>
      <c r="S89" s="204" cm="1">
        <f t="array" ref="S89">SUMPRODUCT(General_Data*(Year=S$3)*(Month=S$4)*(Code_General_Data=$C89))</f>
        <v>1350</v>
      </c>
      <c r="T89" s="204" cm="1">
        <f t="array" ref="T89">SUMPRODUCT(General_Data*(Year=T$3)*(Month=T$4)*(Code_General_Data=$C89))</f>
        <v>1365</v>
      </c>
      <c r="U89" s="204" cm="1">
        <f t="array" ref="U89">SUMPRODUCT(General_Data*(Year=U$3)*(Month=U$4)*(Code_General_Data=$C89))</f>
        <v>1372</v>
      </c>
      <c r="V89" s="204" cm="1">
        <f t="array" ref="V89">SUMPRODUCT(General_Data*(Year=V$3)*(Month=V$4)*(Code_General_Data=$C89))</f>
        <v>1405</v>
      </c>
      <c r="W89" s="204" cm="1">
        <f t="array" ref="W89">SUMPRODUCT(General_Data*(Year=W$3)*(Month=W$4)*(Code_General_Data=$C89))</f>
        <v>1427.5</v>
      </c>
      <c r="X89" s="204" cm="1">
        <f t="array" ref="X89">SUMPRODUCT(General_Data*(Year=X$3)*(Month=X$4)*(Code_General_Data=$C89))</f>
        <v>1440</v>
      </c>
      <c r="Y89" s="204" cm="1">
        <f t="array" ref="Y89">SUMPRODUCT(General_Data*(Year=Y$3)*(Month=Y$4)*(Code_General_Data=$C89))</f>
        <v>1435</v>
      </c>
      <c r="Z89" s="206" cm="1">
        <f t="array" ref="Z89">SUMPRODUCT(General_Data*(Year=Z$3)*(Month=Z$4)*(Code_General_Data=$C89))</f>
        <v>1421.25</v>
      </c>
      <c r="AA89" s="204" cm="1">
        <f t="array" ref="AA89">SUMPRODUCT(General_Data*(Year=AA$3)*(Month=AA$4)*(Code_General_Data=$C89))</f>
        <v>1358.3333333333301</v>
      </c>
      <c r="AB89" s="204" cm="1">
        <f t="array" ref="AB89">SUMPRODUCT(General_Data*(Year=AB$3)*(Month=AB$4)*(Code_General_Data=$C89))</f>
        <v>1350</v>
      </c>
      <c r="AC89" s="204" cm="1">
        <f t="array" ref="AC89">SUMPRODUCT(General_Data*(Year=AC$3)*(Month=AC$4)*(Code_General_Data=$C89))</f>
        <v>1360</v>
      </c>
      <c r="AD89" s="204" cm="1">
        <f t="array" ref="AD89">SUMPRODUCT(General_Data*(Year=AD$3)*(Month=AD$4)*(Code_General_Data=$C89))</f>
        <v>1360</v>
      </c>
      <c r="AE89" s="204" cm="1">
        <f t="array" ref="AE89">SUMPRODUCT(General_Data*(Year=AE$3)*(Month=AE$4)*(Code_General_Data=$C89))</f>
        <v>1360</v>
      </c>
      <c r="AF89" s="204" cm="1">
        <f t="array" ref="AF89">SUMPRODUCT(General_Data*(Year=AF$3)*(Month=AF$4)*(Code_General_Data=$C89))</f>
        <v>1360</v>
      </c>
      <c r="AG89" s="204" cm="1">
        <f t="array" ref="AG89">SUMPRODUCT(General_Data*(Year=AG$3)*(Month=AG$4)*(Code_General_Data=$C89))</f>
        <v>1324</v>
      </c>
      <c r="AH89" s="204" cm="1">
        <f t="array" ref="AH89">SUMPRODUCT(General_Data*(Year=AH$3)*(Month=AH$4)*(Code_General_Data=$C89))</f>
        <v>1295</v>
      </c>
      <c r="AI89" s="204" cm="1">
        <f t="array" ref="AI89">SUMPRODUCT(General_Data*(Year=AI$3)*(Month=AI$4)*(Code_General_Data=$C89))</f>
        <v>1268</v>
      </c>
      <c r="AJ89" s="204" cm="1">
        <f t="array" ref="AJ89">SUMPRODUCT(General_Data*(Year=AJ$3)*(Month=AJ$4)*(Code_General_Data=$C89))</f>
        <v>1250</v>
      </c>
      <c r="AK89" s="204" cm="1">
        <f t="array" ref="AK89">SUMPRODUCT(General_Data*(Year=AK$3)*(Month=AK$4)*(Code_General_Data=$C89))</f>
        <v>1243.75</v>
      </c>
      <c r="AL89" s="471" cm="1">
        <f t="array" ref="AL89">SUMPRODUCT(General_Data*(Year=AL$3)*(Month=AL$4)*(Code_General_Data=$C89))</f>
        <v>0</v>
      </c>
      <c r="AM89" s="204"/>
      <c r="AN89" s="495"/>
      <c r="AO89" s="204"/>
      <c r="AP89" s="204"/>
      <c r="AQ89" s="204"/>
      <c r="AR89" s="204"/>
      <c r="AS89" s="204"/>
      <c r="AT89" s="204"/>
      <c r="AU89" s="204"/>
      <c r="AV89" s="204"/>
      <c r="AW89" s="204"/>
      <c r="AX89" s="206"/>
    </row>
    <row r="90" spans="1:50" s="97" customFormat="1" outlineLevel="1" x14ac:dyDescent="0.35">
      <c r="A90" s="97" t="s">
        <v>40</v>
      </c>
      <c r="B90" s="97" t="s">
        <v>31</v>
      </c>
      <c r="F90" s="196" t="s">
        <v>385</v>
      </c>
      <c r="G90" s="107"/>
      <c r="H90" s="107"/>
      <c r="I90" s="107"/>
      <c r="J90" s="373" t="s">
        <v>47</v>
      </c>
      <c r="K90" s="109"/>
      <c r="L90" s="199"/>
      <c r="M90" s="199"/>
      <c r="N90" s="199"/>
      <c r="O90" s="313" cm="1">
        <f t="array" ref="O90">INDEX(Note!$J$3:$J$101,MATCH(1,(Note!$A$3:$A$101=$A90)*(Note!$C$3:$C$101=$B90)*(Note!$E$3:$E$101&lt;=O$1)*(Note!$F$3:$F$101&gt;=O$2),0))</f>
        <v>0</v>
      </c>
      <c r="P90" s="313" cm="1">
        <f t="array" ref="P90">INDEX(Note!$J$3:$J$101,MATCH(1,(Note!$A$3:$A$101=$A90)*(Note!$C$3:$C$101=$B90)*(Note!$E$3:$E$101&lt;=P$1)*(Note!$F$3:$F$101&gt;=P$2),0))</f>
        <v>0</v>
      </c>
      <c r="Q90" s="313" cm="1">
        <f t="array" ref="Q90">INDEX(Note!$J$3:$J$101,MATCH(1,(Note!$A$3:$A$101=$A90)*(Note!$C$3:$C$101=$B90)*(Note!$E$3:$E$101&lt;=Q$1)*(Note!$F$3:$F$101&gt;=Q$2),0))</f>
        <v>0</v>
      </c>
      <c r="R90" s="313" cm="1">
        <f t="array" ref="R90">INDEX(Note!$J$3:$J$101,MATCH(1,(Note!$A$3:$A$101=$A90)*(Note!$C$3:$C$101=$B90)*(Note!$E$3:$E$101&lt;=R$1)*(Note!$F$3:$F$101&gt;=R$2),0))</f>
        <v>0</v>
      </c>
      <c r="S90" s="313" cm="1">
        <f t="array" ref="S90">INDEX(Note!$J$3:$J$101,MATCH(1,(Note!$A$3:$A$101=$A90)*(Note!$C$3:$C$101=$B90)*(Note!$E$3:$E$101&lt;=S$1)*(Note!$F$3:$F$101&gt;=S$2),0))</f>
        <v>0</v>
      </c>
      <c r="T90" s="313" cm="1">
        <f t="array" ref="T90">INDEX(Note!$J$3:$J$101,MATCH(1,(Note!$A$3:$A$101=$A90)*(Note!$C$3:$C$101=$B90)*(Note!$E$3:$E$101&lt;=T$1)*(Note!$F$3:$F$101&gt;=T$2),0))</f>
        <v>0</v>
      </c>
      <c r="U90" s="313" cm="1">
        <f t="array" ref="U90">INDEX(Note!$J$3:$J$101,MATCH(1,(Note!$A$3:$A$101=$A90)*(Note!$C$3:$C$101=$B90)*(Note!$E$3:$E$101&lt;=U$1)*(Note!$F$3:$F$101&gt;=U$2),0))</f>
        <v>0</v>
      </c>
      <c r="V90" s="313" cm="1">
        <f t="array" ref="V90">INDEX(Note!$J$3:$J$101,MATCH(1,(Note!$A$3:$A$101=$A90)*(Note!$C$3:$C$101=$B90)*(Note!$E$3:$E$101&lt;=V$1)*(Note!$F$3:$F$101&gt;=V$2),0))</f>
        <v>0</v>
      </c>
      <c r="W90" s="313" cm="1">
        <f t="array" ref="W90">INDEX(Note!$J$3:$J$101,MATCH(1,(Note!$A$3:$A$101=$A90)*(Note!$C$3:$C$101=$B90)*(Note!$E$3:$E$101&lt;=W$1)*(Note!$F$3:$F$101&gt;=W$2),0))</f>
        <v>0</v>
      </c>
      <c r="X90" s="313" cm="1">
        <f t="array" ref="X90">INDEX(Note!$J$3:$J$101,MATCH(1,(Note!$A$3:$A$101=$A90)*(Note!$C$3:$C$101=$B90)*(Note!$E$3:$E$101&lt;=X$1)*(Note!$F$3:$F$101&gt;=X$2),0))</f>
        <v>0</v>
      </c>
      <c r="Y90" s="313" cm="1">
        <f t="array" ref="Y90">INDEX(Note!$J$3:$J$101,MATCH(1,(Note!$A$3:$A$101=$A90)*(Note!$C$3:$C$101=$B90)*(Note!$E$3:$E$101&lt;=Y$1)*(Note!$F$3:$F$101&gt;=Y$2),0))</f>
        <v>0</v>
      </c>
      <c r="Z90" s="314" cm="1">
        <f t="array" ref="Z90">INDEX(Note!$J$3:$J$101,MATCH(1,(Note!$A$3:$A$101=$A90)*(Note!$C$3:$C$101=$B90)*(Note!$E$3:$E$101&lt;=Z$1)*(Note!$F$3:$F$101&gt;=Z$2),0))</f>
        <v>0</v>
      </c>
      <c r="AA90" s="313" cm="1">
        <f t="array" ref="AA90">INDEX(Note!$J$3:$J$101,MATCH(1,(Note!$A$3:$A$101=$A90)*(Note!$C$3:$C$101=$B90)*(Note!$E$3:$E$101&lt;=AA$1)*(Note!$F$3:$F$101&gt;=AA$2),0))</f>
        <v>1550</v>
      </c>
      <c r="AB90" s="313" cm="1">
        <f t="array" ref="AB90">INDEX(Note!$J$3:$J$101,MATCH(1,(Note!$A$3:$A$101=$A90)*(Note!$C$3:$C$101=$B90)*(Note!$E$3:$E$101&lt;=AB$1)*(Note!$F$3:$F$101&gt;=AB$2),0))</f>
        <v>1550</v>
      </c>
      <c r="AC90" s="313" cm="1">
        <f t="array" ref="AC90">INDEX(Note!$J$3:$J$101,MATCH(1,(Note!$A$3:$A$101=$A90)*(Note!$C$3:$C$101=$B90)*(Note!$E$3:$E$101&lt;=AC$1)*(Note!$F$3:$F$101&gt;=AC$2),0))</f>
        <v>1550</v>
      </c>
      <c r="AD90" s="313" cm="1">
        <f t="array" ref="AD90">INDEX(Note!$J$3:$J$101,MATCH(1,(Note!$A$3:$A$101=$A90)*(Note!$C$3:$C$101=$B90)*(Note!$E$3:$E$101&lt;=AD$1)*(Note!$F$3:$F$101&gt;=AD$2),0))</f>
        <v>1550</v>
      </c>
      <c r="AE90" s="313" cm="1">
        <f t="array" ref="AE90">INDEX(Note!$J$3:$J$101,MATCH(1,(Note!$A$3:$A$101=$A90)*(Note!$C$3:$C$101=$B90)*(Note!$E$3:$E$101&lt;=AE$1)*(Note!$F$3:$F$101&gt;=AE$2),0))</f>
        <v>1550</v>
      </c>
      <c r="AF90" s="313" cm="1">
        <f t="array" ref="AF90">INDEX(Note!$J$3:$J$101,MATCH(1,(Note!$A$3:$A$101=$A90)*(Note!$C$3:$C$101=$B90)*(Note!$E$3:$E$101&lt;=AF$1)*(Note!$F$3:$F$101&gt;=AF$2),0))</f>
        <v>1550</v>
      </c>
      <c r="AG90" s="313" cm="1">
        <f t="array" ref="AG90">INDEX(Note!$J$3:$J$101,MATCH(1,(Note!$A$3:$A$101=$A90)*(Note!$C$3:$C$101=$B90)*(Note!$E$3:$E$101&lt;=AG$1)*(Note!$F$3:$F$101&gt;=AG$2),0))</f>
        <v>1550</v>
      </c>
      <c r="AH90" s="313" cm="1">
        <f t="array" ref="AH90">INDEX(Note!$J$3:$J$101,MATCH(1,(Note!$A$3:$A$101=$A90)*(Note!$C$3:$C$101=$B90)*(Note!$E$3:$E$101&lt;=AH$1)*(Note!$F$3:$F$101&gt;=AH$2),0))</f>
        <v>1550</v>
      </c>
      <c r="AI90" s="313" cm="1">
        <f t="array" ref="AI90">INDEX(Note!$J$3:$J$101,MATCH(1,(Note!$A$3:$A$101=$A90)*(Note!$C$3:$C$101=$B90)*(Note!$E$3:$E$101&lt;=AI$1)*(Note!$F$3:$F$101&gt;=AI$2),0))</f>
        <v>1550</v>
      </c>
      <c r="AJ90" s="313" cm="1">
        <f t="array" ref="AJ90">INDEX(Note!$J$3:$J$101,MATCH(1,(Note!$A$3:$A$101=$A90)*(Note!$C$3:$C$101=$B90)*(Note!$E$3:$E$101&lt;=AJ$1)*(Note!$F$3:$F$101&gt;=AJ$2),0))</f>
        <v>1550</v>
      </c>
      <c r="AK90" s="313" cm="1">
        <f t="array" ref="AK90">INDEX(Note!$J$3:$J$101,MATCH(1,(Note!$A$3:$A$101=$A90)*(Note!$C$3:$C$101=$B90)*(Note!$E$3:$E$101&lt;=AK$1)*(Note!$F$3:$F$101&gt;=AK$2),0))</f>
        <v>1550</v>
      </c>
      <c r="AL90" s="472" cm="1">
        <f t="array" ref="AL90">INDEX(Note!$J$3:$J$101,MATCH(1,(Note!$A$3:$A$101=$A90)*(Note!$C$3:$C$101=$B90)*(Note!$E$3:$E$101&lt;=AL$1)*(Note!$F$3:$F$101&gt;=AL$2),0))</f>
        <v>1550</v>
      </c>
      <c r="AM90" s="313"/>
      <c r="AN90" s="313"/>
      <c r="AO90" s="313"/>
      <c r="AP90" s="313"/>
      <c r="AQ90" s="313"/>
      <c r="AR90" s="313"/>
      <c r="AS90" s="313"/>
      <c r="AT90" s="313"/>
      <c r="AU90" s="313"/>
      <c r="AV90" s="313"/>
      <c r="AW90" s="313"/>
      <c r="AX90" s="314"/>
    </row>
    <row r="91" spans="1:50" s="97" customFormat="1" outlineLevel="1" x14ac:dyDescent="0.35">
      <c r="A91" s="97" t="s">
        <v>40</v>
      </c>
      <c r="B91" s="97" t="s">
        <v>31</v>
      </c>
      <c r="F91" s="196" t="s">
        <v>386</v>
      </c>
      <c r="G91" s="107"/>
      <c r="H91" s="107"/>
      <c r="I91" s="107"/>
      <c r="J91" s="373" t="s">
        <v>48</v>
      </c>
      <c r="K91" s="109"/>
      <c r="L91" s="199"/>
      <c r="M91" s="199"/>
      <c r="N91" s="199"/>
      <c r="O91" s="313" cm="1">
        <f t="array" ref="O91">INDEX(Note!$K$3:$K$101,MATCH(1,(Note!$A$3:$A$101=$A91)*(Note!$C$3:$C$101=$B91)*(Note!$E$3:$E$101&lt;=O$1)*(Note!$F$3:$F$101&gt;=O$2),0))</f>
        <v>0</v>
      </c>
      <c r="P91" s="313" cm="1">
        <f t="array" ref="P91">INDEX(Note!$K$3:$K$101,MATCH(1,(Note!$A$3:$A$101=$A91)*(Note!$C$3:$C$101=$B91)*(Note!$E$3:$E$101&lt;=P$1)*(Note!$F$3:$F$101&gt;=P$2),0))</f>
        <v>0</v>
      </c>
      <c r="Q91" s="313" cm="1">
        <f t="array" ref="Q91">INDEX(Note!$K$3:$K$101,MATCH(1,(Note!$A$3:$A$101=$A91)*(Note!$C$3:$C$101=$B91)*(Note!$E$3:$E$101&lt;=Q$1)*(Note!$F$3:$F$101&gt;=Q$2),0))</f>
        <v>0</v>
      </c>
      <c r="R91" s="313" cm="1">
        <f t="array" ref="R91">INDEX(Note!$K$3:$K$101,MATCH(1,(Note!$A$3:$A$101=$A91)*(Note!$C$3:$C$101=$B91)*(Note!$E$3:$E$101&lt;=R$1)*(Note!$F$3:$F$101&gt;=R$2),0))</f>
        <v>0</v>
      </c>
      <c r="S91" s="313" cm="1">
        <f t="array" ref="S91">INDEX(Note!$K$3:$K$101,MATCH(1,(Note!$A$3:$A$101=$A91)*(Note!$C$3:$C$101=$B91)*(Note!$E$3:$E$101&lt;=S$1)*(Note!$F$3:$F$101&gt;=S$2),0))</f>
        <v>0</v>
      </c>
      <c r="T91" s="313" cm="1">
        <f t="array" ref="T91">INDEX(Note!$K$3:$K$101,MATCH(1,(Note!$A$3:$A$101=$A91)*(Note!$C$3:$C$101=$B91)*(Note!$E$3:$E$101&lt;=T$1)*(Note!$F$3:$F$101&gt;=T$2),0))</f>
        <v>0</v>
      </c>
      <c r="U91" s="313" cm="1">
        <f t="array" ref="U91">INDEX(Note!$K$3:$K$101,MATCH(1,(Note!$A$3:$A$101=$A91)*(Note!$C$3:$C$101=$B91)*(Note!$E$3:$E$101&lt;=U$1)*(Note!$F$3:$F$101&gt;=U$2),0))</f>
        <v>0</v>
      </c>
      <c r="V91" s="313" cm="1">
        <f t="array" ref="V91">INDEX(Note!$K$3:$K$101,MATCH(1,(Note!$A$3:$A$101=$A91)*(Note!$C$3:$C$101=$B91)*(Note!$E$3:$E$101&lt;=V$1)*(Note!$F$3:$F$101&gt;=V$2),0))</f>
        <v>0</v>
      </c>
      <c r="W91" s="313" cm="1">
        <f t="array" ref="W91">INDEX(Note!$K$3:$K$101,MATCH(1,(Note!$A$3:$A$101=$A91)*(Note!$C$3:$C$101=$B91)*(Note!$E$3:$E$101&lt;=W$1)*(Note!$F$3:$F$101&gt;=W$2),0))</f>
        <v>0</v>
      </c>
      <c r="X91" s="313" cm="1">
        <f t="array" ref="X91">INDEX(Note!$K$3:$K$101,MATCH(1,(Note!$A$3:$A$101=$A91)*(Note!$C$3:$C$101=$B91)*(Note!$E$3:$E$101&lt;=X$1)*(Note!$F$3:$F$101&gt;=X$2),0))</f>
        <v>0</v>
      </c>
      <c r="Y91" s="313" cm="1">
        <f t="array" ref="Y91">INDEX(Note!$K$3:$K$101,MATCH(1,(Note!$A$3:$A$101=$A91)*(Note!$C$3:$C$101=$B91)*(Note!$E$3:$E$101&lt;=Y$1)*(Note!$F$3:$F$101&gt;=Y$2),0))</f>
        <v>0</v>
      </c>
      <c r="Z91" s="314" cm="1">
        <f t="array" ref="Z91">INDEX(Note!$K$3:$K$101,MATCH(1,(Note!$A$3:$A$101=$A91)*(Note!$C$3:$C$101=$B91)*(Note!$E$3:$E$101&lt;=Z$1)*(Note!$F$3:$F$101&gt;=Z$2),0))</f>
        <v>0</v>
      </c>
      <c r="AA91" s="313" cm="1">
        <f t="array" ref="AA91">INDEX(Note!$K$3:$K$101,MATCH(1,(Note!$A$3:$A$101=$A91)*(Note!$C$3:$C$101=$B91)*(Note!$E$3:$E$101&lt;=AA$1)*(Note!$F$3:$F$101&gt;=AA$2),0))</f>
        <v>1330</v>
      </c>
      <c r="AB91" s="313" cm="1">
        <f t="array" ref="AB91">INDEX(Note!$K$3:$K$101,MATCH(1,(Note!$A$3:$A$101=$A91)*(Note!$C$3:$C$101=$B91)*(Note!$E$3:$E$101&lt;=AB$1)*(Note!$F$3:$F$101&gt;=AB$2),0))</f>
        <v>1330</v>
      </c>
      <c r="AC91" s="313" cm="1">
        <f t="array" ref="AC91">INDEX(Note!$K$3:$K$101,MATCH(1,(Note!$A$3:$A$101=$A91)*(Note!$C$3:$C$101=$B91)*(Note!$E$3:$E$101&lt;=AC$1)*(Note!$F$3:$F$101&gt;=AC$2),0))</f>
        <v>1330</v>
      </c>
      <c r="AD91" s="313" cm="1">
        <f t="array" ref="AD91">INDEX(Note!$K$3:$K$101,MATCH(1,(Note!$A$3:$A$101=$A91)*(Note!$C$3:$C$101=$B91)*(Note!$E$3:$E$101&lt;=AD$1)*(Note!$F$3:$F$101&gt;=AD$2),0))</f>
        <v>1330</v>
      </c>
      <c r="AE91" s="313" cm="1">
        <f t="array" ref="AE91">INDEX(Note!$K$3:$K$101,MATCH(1,(Note!$A$3:$A$101=$A91)*(Note!$C$3:$C$101=$B91)*(Note!$E$3:$E$101&lt;=AE$1)*(Note!$F$3:$F$101&gt;=AE$2),0))</f>
        <v>1330</v>
      </c>
      <c r="AF91" s="313" cm="1">
        <f t="array" ref="AF91">INDEX(Note!$K$3:$K$101,MATCH(1,(Note!$A$3:$A$101=$A91)*(Note!$C$3:$C$101=$B91)*(Note!$E$3:$E$101&lt;=AF$1)*(Note!$F$3:$F$101&gt;=AF$2),0))</f>
        <v>1330</v>
      </c>
      <c r="AG91" s="313" cm="1">
        <f t="array" ref="AG91">INDEX(Note!$K$3:$K$101,MATCH(1,(Note!$A$3:$A$101=$A91)*(Note!$C$3:$C$101=$B91)*(Note!$E$3:$E$101&lt;=AG$1)*(Note!$F$3:$F$101&gt;=AG$2),0))</f>
        <v>1330</v>
      </c>
      <c r="AH91" s="313" cm="1">
        <f t="array" ref="AH91">INDEX(Note!$K$3:$K$101,MATCH(1,(Note!$A$3:$A$101=$A91)*(Note!$C$3:$C$101=$B91)*(Note!$E$3:$E$101&lt;=AH$1)*(Note!$F$3:$F$101&gt;=AH$2),0))</f>
        <v>1330</v>
      </c>
      <c r="AI91" s="313" cm="1">
        <f t="array" ref="AI91">INDEX(Note!$K$3:$K$101,MATCH(1,(Note!$A$3:$A$101=$A91)*(Note!$C$3:$C$101=$B91)*(Note!$E$3:$E$101&lt;=AI$1)*(Note!$F$3:$F$101&gt;=AI$2),0))</f>
        <v>1330</v>
      </c>
      <c r="AJ91" s="313" cm="1">
        <f t="array" ref="AJ91">INDEX(Note!$K$3:$K$101,MATCH(1,(Note!$A$3:$A$101=$A91)*(Note!$C$3:$C$101=$B91)*(Note!$E$3:$E$101&lt;=AJ$1)*(Note!$F$3:$F$101&gt;=AJ$2),0))</f>
        <v>1330</v>
      </c>
      <c r="AK91" s="313" cm="1">
        <f t="array" ref="AK91">INDEX(Note!$K$3:$K$101,MATCH(1,(Note!$A$3:$A$101=$A91)*(Note!$C$3:$C$101=$B91)*(Note!$E$3:$E$101&lt;=AK$1)*(Note!$F$3:$F$101&gt;=AK$2),0))</f>
        <v>1330</v>
      </c>
      <c r="AL91" s="472" cm="1">
        <f t="array" ref="AL91">INDEX(Note!$K$3:$K$101,MATCH(1,(Note!$A$3:$A$101=$A91)*(Note!$C$3:$C$101=$B91)*(Note!$E$3:$E$101&lt;=AL$1)*(Note!$F$3:$F$101&gt;=AL$2),0))</f>
        <v>1330</v>
      </c>
      <c r="AM91" s="313"/>
      <c r="AN91" s="313"/>
      <c r="AO91" s="313"/>
      <c r="AP91" s="313"/>
      <c r="AQ91" s="313"/>
      <c r="AR91" s="313"/>
      <c r="AS91" s="313"/>
      <c r="AT91" s="313"/>
      <c r="AU91" s="313"/>
      <c r="AV91" s="313"/>
      <c r="AW91" s="313"/>
      <c r="AX91" s="314"/>
    </row>
    <row r="92" spans="1:50" s="188" customFormat="1" outlineLevel="1" x14ac:dyDescent="0.35">
      <c r="A92" s="188" t="s">
        <v>40</v>
      </c>
      <c r="B92" s="188" t="s">
        <v>31</v>
      </c>
      <c r="F92" s="286" t="s">
        <v>387</v>
      </c>
      <c r="G92" s="287"/>
      <c r="H92" s="287"/>
      <c r="I92" s="287"/>
      <c r="J92" s="383" t="s">
        <v>203</v>
      </c>
      <c r="K92" s="189"/>
      <c r="L92" s="295"/>
      <c r="M92" s="295"/>
      <c r="N92" s="295"/>
      <c r="O92" s="315" cm="1">
        <f t="array" ref="O92">SUMPRODUCT(General_Data*(Year=O$3)*(Month=O$4)*(Code_General_Data=$B92))</f>
        <v>1280</v>
      </c>
      <c r="P92" s="315" cm="1">
        <f t="array" ref="P92">SUMPRODUCT(General_Data*(Year=P$3)*(Month=P$4)*(Code_General_Data=$B92))</f>
        <v>1280</v>
      </c>
      <c r="Q92" s="315" cm="1">
        <f t="array" ref="Q92">SUMPRODUCT(General_Data*(Year=Q$3)*(Month=Q$4)*(Code_General_Data=$B92))</f>
        <v>1280</v>
      </c>
      <c r="R92" s="315" cm="1">
        <f t="array" ref="R92">SUMPRODUCT(General_Data*(Year=R$3)*(Month=R$4)*(Code_General_Data=$B92))</f>
        <v>1280</v>
      </c>
      <c r="S92" s="315" cm="1">
        <f t="array" ref="S92">SUMPRODUCT(General_Data*(Year=S$3)*(Month=S$4)*(Code_General_Data=$B92))</f>
        <v>1330</v>
      </c>
      <c r="T92" s="315" cm="1">
        <f t="array" ref="T92">SUMPRODUCT(General_Data*(Year=T$3)*(Month=T$4)*(Code_General_Data=$B92))</f>
        <v>1330</v>
      </c>
      <c r="U92" s="315" cm="1">
        <f t="array" ref="U92">SUMPRODUCT(General_Data*(Year=U$3)*(Month=U$4)*(Code_General_Data=$B92))</f>
        <v>1330</v>
      </c>
      <c r="V92" s="315" cm="1">
        <f t="array" ref="V92">SUMPRODUCT(General_Data*(Year=V$3)*(Month=V$4)*(Code_General_Data=$B92))</f>
        <v>1330</v>
      </c>
      <c r="W92" s="315" cm="1">
        <f t="array" ref="W92">SUMPRODUCT(General_Data*(Year=W$3)*(Month=W$4)*(Code_General_Data=$B92))</f>
        <v>1340</v>
      </c>
      <c r="X92" s="315" cm="1">
        <f t="array" ref="X92">SUMPRODUCT(General_Data*(Year=X$3)*(Month=X$4)*(Code_General_Data=$B92))</f>
        <v>1355</v>
      </c>
      <c r="Y92" s="315" cm="1">
        <f t="array" ref="Y92">SUMPRODUCT(General_Data*(Year=Y$3)*(Month=Y$4)*(Code_General_Data=$B92))</f>
        <v>1355</v>
      </c>
      <c r="Z92" s="316" cm="1">
        <f t="array" ref="Z92">SUMPRODUCT(General_Data*(Year=Z$3)*(Month=Z$4)*(Code_General_Data=$B92))</f>
        <v>1305</v>
      </c>
      <c r="AA92" s="315" cm="1">
        <f t="array" ref="AA92">SUMPRODUCT(General_Data*(Year=AA$3)*(Month=AA$4)*(Code_General_Data=$B92))</f>
        <v>1260</v>
      </c>
      <c r="AB92" s="315" cm="1">
        <f t="array" ref="AB92">SUMPRODUCT(General_Data*(Year=AB$3)*(Month=AB$4)*(Code_General_Data=$B92))</f>
        <v>1260</v>
      </c>
      <c r="AC92" s="315" cm="1">
        <f t="array" ref="AC92">SUMPRODUCT(General_Data*(Year=AC$3)*(Month=AC$4)*(Code_General_Data=$B92))</f>
        <v>1260</v>
      </c>
      <c r="AD92" s="315" cm="1">
        <f t="array" ref="AD92">SUMPRODUCT(General_Data*(Year=AD$3)*(Month=AD$4)*(Code_General_Data=$B92))</f>
        <v>1280</v>
      </c>
      <c r="AE92" s="315" cm="1">
        <f t="array" ref="AE92">SUMPRODUCT(General_Data*(Year=AE$3)*(Month=AE$4)*(Code_General_Data=$B92))</f>
        <v>1280</v>
      </c>
      <c r="AF92" s="315" cm="1">
        <f t="array" ref="AF92">SUMPRODUCT(General_Data*(Year=AF$3)*(Month=AF$4)*(Code_General_Data=$B92))</f>
        <v>1280</v>
      </c>
      <c r="AG92" s="315" cm="1">
        <f t="array" ref="AG92">SUMPRODUCT(General_Data*(Year=AG$3)*(Month=AG$4)*(Code_General_Data=$B92))</f>
        <v>1280</v>
      </c>
      <c r="AH92" s="315" cm="1">
        <f t="array" ref="AH92">SUMPRODUCT(General_Data*(Year=AH$3)*(Month=AH$4)*(Code_General_Data=$B92))</f>
        <v>1250</v>
      </c>
      <c r="AI92" s="315" cm="1">
        <f t="array" ref="AI92">SUMPRODUCT(General_Data*(Year=AI$3)*(Month=AI$4)*(Code_General_Data=$B92))</f>
        <v>1250</v>
      </c>
      <c r="AJ92" s="315" cm="1">
        <f t="array" ref="AJ92">SUMPRODUCT(General_Data*(Year=AJ$3)*(Month=AJ$4)*(Code_General_Data=$B92))</f>
        <v>1240</v>
      </c>
      <c r="AK92" s="315" cm="1">
        <f t="array" ref="AK92">SUMPRODUCT(General_Data*(Year=AK$3)*(Month=AK$4)*(Code_General_Data=$B92))</f>
        <v>1230</v>
      </c>
      <c r="AL92" s="473" cm="1">
        <f t="array" ref="AL92">SUMPRODUCT(General_Data*(Year=AL$3)*(Month=AL$4)*(Code_General_Data=$B92))</f>
        <v>1230</v>
      </c>
      <c r="AM92" s="315"/>
      <c r="AN92" s="315"/>
      <c r="AO92" s="315"/>
      <c r="AP92" s="315"/>
      <c r="AQ92" s="315"/>
      <c r="AR92" s="315"/>
      <c r="AS92" s="315"/>
      <c r="AT92" s="315"/>
      <c r="AU92" s="315"/>
      <c r="AV92" s="315"/>
      <c r="AW92" s="315"/>
      <c r="AX92" s="316"/>
    </row>
    <row r="93" spans="1:50" s="97" customFormat="1" outlineLevel="1" x14ac:dyDescent="0.35">
      <c r="F93" s="196"/>
      <c r="G93" s="107"/>
      <c r="H93" s="107"/>
      <c r="I93" s="107"/>
      <c r="J93" s="373" t="s">
        <v>431</v>
      </c>
      <c r="K93" s="109"/>
      <c r="L93" s="199"/>
      <c r="M93" s="199"/>
      <c r="N93" s="199"/>
      <c r="O93" s="313"/>
      <c r="P93" s="313"/>
      <c r="Q93" s="313"/>
      <c r="R93" s="313"/>
      <c r="S93" s="313"/>
      <c r="T93" s="313"/>
      <c r="U93" s="313"/>
      <c r="V93" s="313"/>
      <c r="W93" s="313"/>
      <c r="X93" s="313"/>
      <c r="Y93" s="313"/>
      <c r="Z93" s="314"/>
      <c r="AA93" s="313">
        <f>AA90+AA86</f>
        <v>1477.59375</v>
      </c>
      <c r="AB93" s="313">
        <f t="shared" ref="AB93:AG93" si="78">AB90+AB86</f>
        <v>1479.5104166666667</v>
      </c>
      <c r="AC93" s="313">
        <f t="shared" si="78"/>
        <v>1481.2916666666667</v>
      </c>
      <c r="AD93" s="313">
        <f t="shared" si="78"/>
        <v>1481.25</v>
      </c>
      <c r="AE93" s="313">
        <f t="shared" si="78"/>
        <v>1481</v>
      </c>
      <c r="AF93" s="313">
        <f t="shared" si="78"/>
        <v>1481</v>
      </c>
      <c r="AG93" s="313">
        <f t="shared" si="78"/>
        <v>1481</v>
      </c>
      <c r="AH93" s="313">
        <f t="shared" ref="AH93:AI93" si="79">AH90+AH86</f>
        <v>1481.9</v>
      </c>
      <c r="AI93" s="313">
        <f t="shared" si="79"/>
        <v>1483.5250000000001</v>
      </c>
      <c r="AJ93" s="313">
        <f t="shared" ref="AJ93:AK93" si="80">AJ90+AJ86</f>
        <v>1484.925</v>
      </c>
      <c r="AK93" s="313">
        <f t="shared" si="80"/>
        <v>1486.05</v>
      </c>
      <c r="AL93" s="472">
        <f t="shared" ref="AL93" si="81">AL90+AL86</f>
        <v>1486.65625</v>
      </c>
      <c r="AM93" s="313"/>
      <c r="AN93" s="313"/>
      <c r="AO93" s="313"/>
      <c r="AP93" s="313"/>
      <c r="AQ93" s="313"/>
      <c r="AR93" s="313"/>
      <c r="AS93" s="313"/>
      <c r="AT93" s="313"/>
      <c r="AU93" s="313"/>
      <c r="AV93" s="313"/>
      <c r="AW93" s="313"/>
      <c r="AX93" s="314"/>
    </row>
    <row r="94" spans="1:50" s="97" customFormat="1" outlineLevel="1" x14ac:dyDescent="0.35">
      <c r="F94" s="196"/>
      <c r="G94" s="107"/>
      <c r="H94" s="107"/>
      <c r="I94" s="107"/>
      <c r="J94" s="373" t="s">
        <v>432</v>
      </c>
      <c r="K94" s="109"/>
      <c r="L94" s="199"/>
      <c r="M94" s="199"/>
      <c r="N94" s="199"/>
      <c r="O94" s="313"/>
      <c r="P94" s="313"/>
      <c r="Q94" s="313"/>
      <c r="R94" s="313"/>
      <c r="S94" s="313"/>
      <c r="T94" s="313"/>
      <c r="U94" s="313"/>
      <c r="V94" s="313"/>
      <c r="W94" s="313"/>
      <c r="X94" s="313"/>
      <c r="Y94" s="313"/>
      <c r="Z94" s="314"/>
      <c r="AA94" s="313">
        <f>AA91+AA86</f>
        <v>1257.59375</v>
      </c>
      <c r="AB94" s="313">
        <f t="shared" ref="AB94:AG94" si="82">AB91+AB86</f>
        <v>1259.5104166666667</v>
      </c>
      <c r="AC94" s="313">
        <f t="shared" si="82"/>
        <v>1261.2916666666667</v>
      </c>
      <c r="AD94" s="313">
        <f t="shared" si="82"/>
        <v>1261.25</v>
      </c>
      <c r="AE94" s="313">
        <f t="shared" si="82"/>
        <v>1261</v>
      </c>
      <c r="AF94" s="313">
        <f t="shared" si="82"/>
        <v>1261</v>
      </c>
      <c r="AG94" s="313">
        <f t="shared" si="82"/>
        <v>1261</v>
      </c>
      <c r="AH94" s="313">
        <f t="shared" ref="AH94:AI94" si="83">AH91+AH86</f>
        <v>1261.9000000000001</v>
      </c>
      <c r="AI94" s="313">
        <f t="shared" si="83"/>
        <v>1263.5250000000001</v>
      </c>
      <c r="AJ94" s="313">
        <f t="shared" ref="AJ94:AK94" si="84">AJ91+AJ86</f>
        <v>1264.925</v>
      </c>
      <c r="AK94" s="313">
        <f t="shared" si="84"/>
        <v>1266.05</v>
      </c>
      <c r="AL94" s="472">
        <f t="shared" ref="AL94" si="85">AL91+AL86</f>
        <v>1266.65625</v>
      </c>
      <c r="AM94" s="313"/>
      <c r="AN94" s="313"/>
      <c r="AO94" s="313"/>
      <c r="AP94" s="313"/>
      <c r="AQ94" s="313"/>
      <c r="AR94" s="313"/>
      <c r="AS94" s="313"/>
      <c r="AT94" s="313"/>
      <c r="AU94" s="313"/>
      <c r="AV94" s="313"/>
      <c r="AW94" s="313"/>
      <c r="AX94" s="314"/>
    </row>
    <row r="95" spans="1:50" s="93" customFormat="1" x14ac:dyDescent="0.35">
      <c r="D95" s="92"/>
      <c r="F95" s="168"/>
      <c r="G95"/>
      <c r="H95"/>
      <c r="I95"/>
      <c r="J95" s="321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 s="48"/>
      <c r="AA95"/>
      <c r="AB95"/>
      <c r="AC95"/>
      <c r="AD95"/>
      <c r="AE95"/>
      <c r="AF95"/>
      <c r="AG95"/>
      <c r="AH95"/>
      <c r="AI95"/>
      <c r="AJ95"/>
      <c r="AK95"/>
      <c r="AL95" s="477"/>
      <c r="AM95"/>
      <c r="AN95"/>
      <c r="AO95"/>
      <c r="AP95"/>
      <c r="AQ95"/>
      <c r="AR95"/>
      <c r="AS95"/>
      <c r="AT95"/>
      <c r="AU95"/>
      <c r="AV95"/>
      <c r="AW95"/>
      <c r="AX95" s="48"/>
    </row>
    <row r="96" spans="1:50" s="336" customFormat="1" ht="17" x14ac:dyDescent="0.35">
      <c r="A96" s="336" t="s">
        <v>62</v>
      </c>
      <c r="F96" s="337">
        <v>5</v>
      </c>
      <c r="G96" s="364" t="s">
        <v>295</v>
      </c>
      <c r="H96" s="364"/>
      <c r="I96" s="364"/>
      <c r="J96" s="365"/>
      <c r="L96" s="338"/>
      <c r="M96" s="338"/>
      <c r="N96" s="338"/>
      <c r="O96" s="338"/>
      <c r="P96" s="338"/>
      <c r="Q96" s="338"/>
      <c r="R96" s="338"/>
      <c r="S96" s="338"/>
      <c r="T96" s="338"/>
      <c r="U96" s="338"/>
      <c r="V96" s="338"/>
      <c r="W96" s="338"/>
      <c r="X96" s="338"/>
      <c r="Y96" s="338"/>
      <c r="Z96" s="339"/>
      <c r="AA96" s="340"/>
      <c r="AB96" s="338"/>
      <c r="AC96" s="340"/>
      <c r="AD96" s="340"/>
      <c r="AE96" s="340"/>
      <c r="AF96" s="340"/>
      <c r="AG96" s="340"/>
      <c r="AH96" s="340"/>
      <c r="AI96" s="340"/>
      <c r="AJ96" s="340"/>
      <c r="AK96" s="340"/>
      <c r="AL96" s="478"/>
      <c r="AM96" s="340"/>
      <c r="AN96" s="338"/>
      <c r="AO96" s="340"/>
      <c r="AP96" s="340"/>
      <c r="AQ96" s="340"/>
      <c r="AR96" s="340"/>
      <c r="AS96" s="340"/>
      <c r="AT96" s="340"/>
      <c r="AU96" s="340"/>
      <c r="AV96" s="340"/>
      <c r="AW96" s="340"/>
      <c r="AX96" s="339"/>
    </row>
    <row r="97" spans="1:50" s="330" customFormat="1" ht="16" x14ac:dyDescent="0.35">
      <c r="A97" s="330" t="s">
        <v>62</v>
      </c>
      <c r="B97" s="330" t="s">
        <v>35</v>
      </c>
      <c r="D97" s="330" t="s">
        <v>322</v>
      </c>
      <c r="F97" s="343">
        <v>5.0999999999999996</v>
      </c>
      <c r="G97" s="344"/>
      <c r="H97" s="344" t="s">
        <v>297</v>
      </c>
      <c r="I97" s="344"/>
      <c r="J97" s="379"/>
      <c r="L97" s="344"/>
      <c r="M97" s="344"/>
      <c r="N97" s="344"/>
      <c r="O97" s="334">
        <v>1250</v>
      </c>
      <c r="P97" s="334">
        <v>1250</v>
      </c>
      <c r="Q97" s="334">
        <v>1250</v>
      </c>
      <c r="R97" s="334">
        <v>1250</v>
      </c>
      <c r="S97" s="334">
        <v>1250</v>
      </c>
      <c r="T97" s="334">
        <v>1250</v>
      </c>
      <c r="U97" s="334">
        <v>1330</v>
      </c>
      <c r="V97" s="334">
        <v>1330</v>
      </c>
      <c r="W97" s="334">
        <v>1330</v>
      </c>
      <c r="X97" s="334">
        <v>1330</v>
      </c>
      <c r="Y97" s="334">
        <v>1330</v>
      </c>
      <c r="Z97" s="335">
        <v>1330</v>
      </c>
      <c r="AA97" s="333">
        <v>1250</v>
      </c>
      <c r="AB97" s="334">
        <v>1250</v>
      </c>
      <c r="AC97" s="334">
        <v>1250</v>
      </c>
      <c r="AD97" s="334">
        <v>1250</v>
      </c>
      <c r="AE97" s="334">
        <v>1250</v>
      </c>
      <c r="AF97" s="334">
        <v>1250</v>
      </c>
      <c r="AG97" s="334"/>
      <c r="AH97" s="334">
        <f>34382.04/26.37</f>
        <v>1303.8316268486917</v>
      </c>
      <c r="AI97" s="334">
        <f t="shared" ref="AI97:AL97" si="86">34382.04/26.37</f>
        <v>1303.8316268486917</v>
      </c>
      <c r="AJ97" s="334">
        <f t="shared" si="86"/>
        <v>1303.8316268486917</v>
      </c>
      <c r="AK97" s="334">
        <f t="shared" si="86"/>
        <v>1303.8316268486917</v>
      </c>
      <c r="AL97" s="475">
        <f t="shared" si="86"/>
        <v>1303.8316268486917</v>
      </c>
      <c r="AM97" s="334"/>
      <c r="AN97" s="334"/>
      <c r="AO97" s="334"/>
      <c r="AP97" s="334"/>
      <c r="AQ97" s="334"/>
      <c r="AR97" s="334"/>
      <c r="AS97" s="334"/>
      <c r="AT97" s="334"/>
      <c r="AU97" s="334"/>
      <c r="AV97" s="334"/>
      <c r="AW97" s="334"/>
      <c r="AX97" s="335"/>
    </row>
    <row r="98" spans="1:50" s="94" customFormat="1" outlineLevel="1" x14ac:dyDescent="0.35">
      <c r="A98" s="94" t="s">
        <v>62</v>
      </c>
      <c r="B98" s="300" t="s">
        <v>35</v>
      </c>
      <c r="D98" s="95" t="s">
        <v>162</v>
      </c>
      <c r="F98" s="278" t="s">
        <v>299</v>
      </c>
      <c r="G98" s="279"/>
      <c r="H98" s="279"/>
      <c r="I98" s="279" t="s">
        <v>8</v>
      </c>
      <c r="J98" s="381"/>
      <c r="K98" s="2"/>
      <c r="L98" s="279"/>
      <c r="M98" s="279"/>
      <c r="N98" s="279"/>
      <c r="O98" s="229">
        <f>O97</f>
        <v>1250</v>
      </c>
      <c r="P98" s="229">
        <f t="shared" ref="P98:AF98" si="87">P97</f>
        <v>1250</v>
      </c>
      <c r="Q98" s="229">
        <f t="shared" si="87"/>
        <v>1250</v>
      </c>
      <c r="R98" s="229">
        <f t="shared" si="87"/>
        <v>1250</v>
      </c>
      <c r="S98" s="229">
        <f t="shared" si="87"/>
        <v>1250</v>
      </c>
      <c r="T98" s="229">
        <f t="shared" si="87"/>
        <v>1250</v>
      </c>
      <c r="U98" s="229">
        <f t="shared" si="87"/>
        <v>1330</v>
      </c>
      <c r="V98" s="229">
        <f t="shared" si="87"/>
        <v>1330</v>
      </c>
      <c r="W98" s="229">
        <f t="shared" si="87"/>
        <v>1330</v>
      </c>
      <c r="X98" s="229">
        <f t="shared" si="87"/>
        <v>1330</v>
      </c>
      <c r="Y98" s="229">
        <f t="shared" si="87"/>
        <v>1330</v>
      </c>
      <c r="Z98" s="230">
        <f t="shared" si="87"/>
        <v>1330</v>
      </c>
      <c r="AA98" s="229">
        <f t="shared" si="87"/>
        <v>1250</v>
      </c>
      <c r="AB98" s="229">
        <f t="shared" si="87"/>
        <v>1250</v>
      </c>
      <c r="AC98" s="229">
        <f t="shared" si="87"/>
        <v>1250</v>
      </c>
      <c r="AD98" s="229">
        <f t="shared" si="87"/>
        <v>1250</v>
      </c>
      <c r="AE98" s="229">
        <f t="shared" si="87"/>
        <v>1250</v>
      </c>
      <c r="AF98" s="229">
        <f t="shared" si="87"/>
        <v>1250</v>
      </c>
      <c r="AG98" s="229"/>
      <c r="AH98" s="229">
        <f>34382.04/26.37</f>
        <v>1303.8316268486917</v>
      </c>
      <c r="AI98" s="229">
        <f>34382.04/26.37</f>
        <v>1303.8316268486917</v>
      </c>
      <c r="AJ98" s="229">
        <f t="shared" ref="AJ98:AL98" si="88">34382.04/26.37</f>
        <v>1303.8316268486917</v>
      </c>
      <c r="AK98" s="229">
        <f t="shared" si="88"/>
        <v>1303.8316268486917</v>
      </c>
      <c r="AL98" s="470">
        <f t="shared" si="88"/>
        <v>1303.8316268486917</v>
      </c>
      <c r="AM98" s="229"/>
      <c r="AN98" s="229"/>
      <c r="AO98" s="229"/>
      <c r="AP98" s="229"/>
      <c r="AQ98" s="229"/>
      <c r="AR98" s="229"/>
      <c r="AS98" s="229"/>
      <c r="AT98" s="229"/>
      <c r="AU98" s="229"/>
      <c r="AV98" s="229"/>
      <c r="AW98" s="229"/>
      <c r="AX98" s="230"/>
    </row>
    <row r="99" spans="1:50" s="188" customFormat="1" outlineLevel="1" x14ac:dyDescent="0.35">
      <c r="A99" s="188" t="s">
        <v>62</v>
      </c>
      <c r="B99" s="303" t="s">
        <v>35</v>
      </c>
      <c r="F99" s="286" t="s">
        <v>300</v>
      </c>
      <c r="G99" s="287"/>
      <c r="H99" s="287"/>
      <c r="I99" s="287"/>
      <c r="J99" s="383" t="s">
        <v>203</v>
      </c>
      <c r="K99" s="189"/>
      <c r="L99" s="295"/>
      <c r="M99" s="295"/>
      <c r="N99" s="295"/>
      <c r="O99" s="315" cm="1">
        <f t="array" ref="O99">SUMPRODUCT(General_Data*(Year=O$3)*(Month=O$4)*(Code_General_Data=$B99))</f>
        <v>1250</v>
      </c>
      <c r="P99" s="315" cm="1">
        <f t="array" ref="P99">SUMPRODUCT(General_Data*(Year=P$3)*(Month=P$4)*(Code_General_Data=$B99))</f>
        <v>1250</v>
      </c>
      <c r="Q99" s="315" cm="1">
        <f t="array" ref="Q99">SUMPRODUCT(General_Data*(Year=Q$3)*(Month=Q$4)*(Code_General_Data=$B99))</f>
        <v>1250</v>
      </c>
      <c r="R99" s="315" cm="1">
        <f t="array" ref="R99">SUMPRODUCT(General_Data*(Year=R$3)*(Month=R$4)*(Code_General_Data=$B99))</f>
        <v>1250</v>
      </c>
      <c r="S99" s="315" cm="1">
        <f t="array" ref="S99">SUMPRODUCT(General_Data*(Year=S$3)*(Month=S$4)*(Code_General_Data=$B99))</f>
        <v>1300</v>
      </c>
      <c r="T99" s="315" cm="1">
        <f t="array" ref="T99">SUMPRODUCT(General_Data*(Year=T$3)*(Month=T$4)*(Code_General_Data=$B99))</f>
        <v>1300</v>
      </c>
      <c r="U99" s="315" cm="1">
        <f t="array" ref="U99">SUMPRODUCT(General_Data*(Year=U$3)*(Month=U$4)*(Code_General_Data=$B99))</f>
        <v>1300</v>
      </c>
      <c r="V99" s="315" cm="1">
        <f t="array" ref="V99">SUMPRODUCT(General_Data*(Year=V$3)*(Month=V$4)*(Code_General_Data=$B99))</f>
        <v>1300</v>
      </c>
      <c r="W99" s="315" cm="1">
        <f t="array" ref="W99">SUMPRODUCT(General_Data*(Year=W$3)*(Month=W$4)*(Code_General_Data=$B99))</f>
        <v>1310</v>
      </c>
      <c r="X99" s="315" cm="1">
        <f t="array" ref="X99">SUMPRODUCT(General_Data*(Year=X$3)*(Month=X$4)*(Code_General_Data=$B99))</f>
        <v>1325</v>
      </c>
      <c r="Y99" s="315" cm="1">
        <f t="array" ref="Y99">SUMPRODUCT(General_Data*(Year=Y$3)*(Month=Y$4)*(Code_General_Data=$B99))</f>
        <v>1325</v>
      </c>
      <c r="Z99" s="316" cm="1">
        <f t="array" ref="Z99">SUMPRODUCT(General_Data*(Year=Z$3)*(Month=Z$4)*(Code_General_Data=$B99))</f>
        <v>1275</v>
      </c>
      <c r="AA99" s="315" cm="1">
        <f t="array" ref="AA99">SUMPRODUCT(General_Data*(Year=AA$3)*(Month=AA$4)*(Code_General_Data=$B99))</f>
        <v>1230</v>
      </c>
      <c r="AB99" s="315" cm="1">
        <f t="array" ref="AB99">SUMPRODUCT(General_Data*(Year=AB$3)*(Month=AB$4)*(Code_General_Data=$B99))</f>
        <v>1230</v>
      </c>
      <c r="AC99" s="315" cm="1">
        <f t="array" ref="AC99">SUMPRODUCT(General_Data*(Year=AC$3)*(Month=AC$4)*(Code_General_Data=$B99))</f>
        <v>1230</v>
      </c>
      <c r="AD99" s="315" cm="1">
        <f t="array" ref="AD99">SUMPRODUCT(General_Data*(Year=AD$3)*(Month=AD$4)*(Code_General_Data=$B99))</f>
        <v>1250</v>
      </c>
      <c r="AE99" s="315" cm="1">
        <f t="array" ref="AE99">SUMPRODUCT(General_Data*(Year=AE$3)*(Month=AE$4)*(Code_General_Data=$B99))</f>
        <v>1250</v>
      </c>
      <c r="AF99" s="315" cm="1">
        <f t="array" ref="AF99">SUMPRODUCT(General_Data*(Year=AF$3)*(Month=AF$4)*(Code_General_Data=$B99))</f>
        <v>1250</v>
      </c>
      <c r="AG99" s="315" cm="1">
        <f t="array" ref="AG99">SUMPRODUCT(General_Data*(Year=AG$3)*(Month=AG$4)*(Code_General_Data=$B99))</f>
        <v>1250</v>
      </c>
      <c r="AH99" s="315" cm="1">
        <f t="array" ref="AH99">SUMPRODUCT(General_Data*(Year=AH$3)*(Month=AH$4)*(Code_General_Data=$B99))</f>
        <v>1220</v>
      </c>
      <c r="AI99" s="315" cm="1">
        <f t="array" ref="AI99">SUMPRODUCT(General_Data*(Year=AI$3)*(Month=AI$4)*(Code_General_Data=$B99))</f>
        <v>1220</v>
      </c>
      <c r="AJ99" s="315" cm="1">
        <f t="array" ref="AJ99">SUMPRODUCT(General_Data*(Year=AJ$3)*(Month=AJ$4)*(Code_General_Data=$B99))</f>
        <v>1210</v>
      </c>
      <c r="AK99" s="315" cm="1">
        <f t="array" ref="AK99">SUMPRODUCT(General_Data*(Year=AK$3)*(Month=AK$4)*(Code_General_Data=$B99))</f>
        <v>1200</v>
      </c>
      <c r="AL99" s="473" cm="1">
        <f t="array" ref="AL99">SUMPRODUCT(General_Data*(Year=AL$3)*(Month=AL$4)*(Code_General_Data=$B99))</f>
        <v>1200</v>
      </c>
      <c r="AM99" s="315"/>
      <c r="AN99" s="315"/>
      <c r="AO99" s="315"/>
      <c r="AP99" s="315"/>
      <c r="AQ99" s="315"/>
      <c r="AR99" s="315"/>
      <c r="AS99" s="315"/>
      <c r="AT99" s="315"/>
      <c r="AU99" s="315"/>
      <c r="AV99" s="315"/>
      <c r="AW99" s="315"/>
      <c r="AX99" s="316"/>
    </row>
    <row r="100" spans="1:50" s="93" customFormat="1" x14ac:dyDescent="0.35">
      <c r="D100" s="92"/>
      <c r="F100" s="168"/>
      <c r="G100"/>
      <c r="H100"/>
      <c r="I100"/>
      <c r="J100" s="321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 s="48"/>
      <c r="AA100"/>
      <c r="AB100"/>
      <c r="AC100"/>
      <c r="AD100"/>
      <c r="AE100"/>
      <c r="AF100"/>
      <c r="AG100"/>
      <c r="AH100"/>
      <c r="AI100"/>
      <c r="AJ100"/>
      <c r="AK100"/>
      <c r="AL100" s="477"/>
      <c r="AM100"/>
      <c r="AN100"/>
      <c r="AO100"/>
      <c r="AP100"/>
      <c r="AQ100"/>
      <c r="AR100"/>
      <c r="AS100"/>
      <c r="AT100"/>
      <c r="AU100"/>
      <c r="AV100"/>
      <c r="AW100"/>
      <c r="AX100" s="48"/>
    </row>
    <row r="101" spans="1:50" s="336" customFormat="1" ht="17" x14ac:dyDescent="0.35">
      <c r="A101" s="336" t="s">
        <v>49</v>
      </c>
      <c r="F101" s="337">
        <v>6</v>
      </c>
      <c r="G101" s="364" t="s">
        <v>298</v>
      </c>
      <c r="H101" s="364"/>
      <c r="I101" s="364"/>
      <c r="J101" s="365"/>
      <c r="L101" s="338"/>
      <c r="M101" s="338"/>
      <c r="N101" s="338"/>
      <c r="O101" s="338"/>
      <c r="P101" s="338"/>
      <c r="Q101" s="338"/>
      <c r="R101" s="338"/>
      <c r="S101" s="338"/>
      <c r="T101" s="338"/>
      <c r="U101" s="338"/>
      <c r="V101" s="338"/>
      <c r="W101" s="338"/>
      <c r="X101" s="338"/>
      <c r="Y101" s="338"/>
      <c r="Z101" s="339"/>
      <c r="AA101" s="340"/>
      <c r="AB101" s="338"/>
      <c r="AC101" s="340"/>
      <c r="AD101" s="340"/>
      <c r="AE101" s="340"/>
      <c r="AF101" s="340"/>
      <c r="AG101" s="340"/>
      <c r="AH101" s="340"/>
      <c r="AI101" s="340"/>
      <c r="AJ101" s="340"/>
      <c r="AK101" s="340"/>
      <c r="AL101" s="478"/>
      <c r="AM101" s="340"/>
      <c r="AN101" s="338"/>
      <c r="AO101" s="340"/>
      <c r="AP101" s="340"/>
      <c r="AQ101" s="340"/>
      <c r="AR101" s="340"/>
      <c r="AS101" s="340"/>
      <c r="AT101" s="340"/>
      <c r="AU101" s="340"/>
      <c r="AV101" s="340"/>
      <c r="AW101" s="340"/>
      <c r="AX101" s="339"/>
    </row>
    <row r="102" spans="1:50" s="330" customFormat="1" ht="16" x14ac:dyDescent="0.35">
      <c r="A102" s="330" t="s">
        <v>49</v>
      </c>
      <c r="B102" s="330" t="s">
        <v>29</v>
      </c>
      <c r="D102" s="330" t="s">
        <v>322</v>
      </c>
      <c r="F102" s="343">
        <v>6.1</v>
      </c>
      <c r="G102" s="344"/>
      <c r="H102" s="344" t="s">
        <v>261</v>
      </c>
      <c r="I102" s="344"/>
      <c r="J102" s="379"/>
      <c r="L102" s="344"/>
      <c r="M102" s="344"/>
      <c r="N102" s="344"/>
      <c r="O102" s="334">
        <v>1325</v>
      </c>
      <c r="P102" s="334">
        <v>1325</v>
      </c>
      <c r="Q102" s="334">
        <v>1325</v>
      </c>
      <c r="R102" s="334">
        <v>1325</v>
      </c>
      <c r="S102" s="334">
        <v>1325</v>
      </c>
      <c r="T102" s="334">
        <v>1325</v>
      </c>
      <c r="U102" s="334">
        <v>1325</v>
      </c>
      <c r="V102" s="334">
        <v>1325</v>
      </c>
      <c r="W102" s="334">
        <v>1325</v>
      </c>
      <c r="X102" s="334">
        <v>1325</v>
      </c>
      <c r="Y102" s="334">
        <v>1325</v>
      </c>
      <c r="Z102" s="335">
        <v>1325</v>
      </c>
      <c r="AA102" s="333">
        <v>1400</v>
      </c>
      <c r="AB102" s="334">
        <v>1400</v>
      </c>
      <c r="AC102" s="334">
        <v>1400</v>
      </c>
      <c r="AD102" s="334">
        <v>1400</v>
      </c>
      <c r="AE102" s="334">
        <v>1400</v>
      </c>
      <c r="AF102" s="334">
        <v>1400</v>
      </c>
      <c r="AG102" s="334">
        <v>1400</v>
      </c>
      <c r="AH102" s="334">
        <v>1400</v>
      </c>
      <c r="AI102" s="334">
        <v>1400</v>
      </c>
      <c r="AJ102" s="334">
        <v>1400</v>
      </c>
      <c r="AK102" s="334">
        <v>1400</v>
      </c>
      <c r="AL102" s="475">
        <v>1400</v>
      </c>
      <c r="AM102" s="334"/>
      <c r="AN102" s="334"/>
      <c r="AO102" s="334"/>
      <c r="AP102" s="334"/>
      <c r="AQ102" s="334"/>
      <c r="AR102" s="334"/>
      <c r="AS102" s="334"/>
      <c r="AT102" s="334"/>
      <c r="AU102" s="334"/>
      <c r="AV102" s="334"/>
      <c r="AW102" s="334"/>
      <c r="AX102" s="335"/>
    </row>
    <row r="103" spans="1:50" s="94" customFormat="1" outlineLevel="1" x14ac:dyDescent="0.35">
      <c r="A103" s="94" t="s">
        <v>49</v>
      </c>
      <c r="B103" s="300" t="s">
        <v>29</v>
      </c>
      <c r="D103" s="95" t="s">
        <v>162</v>
      </c>
      <c r="F103" s="278" t="s">
        <v>312</v>
      </c>
      <c r="G103" s="279"/>
      <c r="H103" s="279"/>
      <c r="I103" s="279" t="s">
        <v>8</v>
      </c>
      <c r="J103" s="381"/>
      <c r="K103" s="2"/>
      <c r="L103" s="279"/>
      <c r="M103" s="279"/>
      <c r="N103" s="279"/>
      <c r="O103" s="229">
        <f>O102-O104-O105</f>
        <v>1315</v>
      </c>
      <c r="P103" s="229">
        <f t="shared" ref="P103:AL103" si="89">P102-P104-P105</f>
        <v>1315</v>
      </c>
      <c r="Q103" s="229">
        <f t="shared" si="89"/>
        <v>1315</v>
      </c>
      <c r="R103" s="229">
        <f t="shared" si="89"/>
        <v>1315</v>
      </c>
      <c r="S103" s="229">
        <f t="shared" si="89"/>
        <v>1315</v>
      </c>
      <c r="T103" s="229">
        <f t="shared" si="89"/>
        <v>1315</v>
      </c>
      <c r="U103" s="229">
        <f t="shared" si="89"/>
        <v>1315</v>
      </c>
      <c r="V103" s="229">
        <f t="shared" si="89"/>
        <v>1315</v>
      </c>
      <c r="W103" s="229">
        <f t="shared" si="89"/>
        <v>1315</v>
      </c>
      <c r="X103" s="229">
        <f t="shared" si="89"/>
        <v>1315</v>
      </c>
      <c r="Y103" s="229">
        <f t="shared" si="89"/>
        <v>1315</v>
      </c>
      <c r="Z103" s="230">
        <f t="shared" si="89"/>
        <v>1315</v>
      </c>
      <c r="AA103" s="229">
        <f t="shared" si="89"/>
        <v>1348.3</v>
      </c>
      <c r="AB103" s="229">
        <f t="shared" si="89"/>
        <v>1348.3</v>
      </c>
      <c r="AC103" s="229">
        <f t="shared" si="89"/>
        <v>1348.3</v>
      </c>
      <c r="AD103" s="229">
        <f t="shared" si="89"/>
        <v>1348.3</v>
      </c>
      <c r="AE103" s="229">
        <f t="shared" si="89"/>
        <v>1348.3</v>
      </c>
      <c r="AF103" s="229">
        <f t="shared" si="89"/>
        <v>1348.3</v>
      </c>
      <c r="AG103" s="229">
        <f t="shared" si="89"/>
        <v>1348.3</v>
      </c>
      <c r="AH103" s="229">
        <f t="shared" si="89"/>
        <v>1348.3</v>
      </c>
      <c r="AI103" s="229">
        <f t="shared" si="89"/>
        <v>1348.3</v>
      </c>
      <c r="AJ103" s="229">
        <f t="shared" si="89"/>
        <v>1348.3</v>
      </c>
      <c r="AK103" s="229">
        <f t="shared" si="89"/>
        <v>1348.3</v>
      </c>
      <c r="AL103" s="470">
        <f t="shared" si="89"/>
        <v>1348.3</v>
      </c>
      <c r="AM103" s="229"/>
      <c r="AN103" s="229"/>
      <c r="AO103" s="229"/>
      <c r="AP103" s="229"/>
      <c r="AQ103" s="229"/>
      <c r="AR103" s="229"/>
      <c r="AS103" s="229"/>
      <c r="AT103" s="229"/>
      <c r="AU103" s="229"/>
      <c r="AV103" s="229"/>
      <c r="AW103" s="229"/>
      <c r="AX103" s="230"/>
    </row>
    <row r="104" spans="1:50" s="184" customFormat="1" outlineLevel="1" x14ac:dyDescent="0.35">
      <c r="A104" s="184" t="s">
        <v>49</v>
      </c>
      <c r="B104" s="184" t="s">
        <v>29</v>
      </c>
      <c r="F104" s="222" t="s">
        <v>313</v>
      </c>
      <c r="G104" s="191"/>
      <c r="H104" s="191"/>
      <c r="I104" s="191" t="s">
        <v>350</v>
      </c>
      <c r="J104" s="370"/>
      <c r="K104" s="185"/>
      <c r="L104" s="210"/>
      <c r="M104" s="210"/>
      <c r="N104" s="210"/>
      <c r="O104" s="210">
        <v>10</v>
      </c>
      <c r="P104" s="210">
        <v>10</v>
      </c>
      <c r="Q104" s="210">
        <v>10</v>
      </c>
      <c r="R104" s="210">
        <v>10</v>
      </c>
      <c r="S104" s="210">
        <v>10</v>
      </c>
      <c r="T104" s="210">
        <v>10</v>
      </c>
      <c r="U104" s="210">
        <v>10</v>
      </c>
      <c r="V104" s="210">
        <v>10</v>
      </c>
      <c r="W104" s="210">
        <v>10</v>
      </c>
      <c r="X104" s="210">
        <v>10</v>
      </c>
      <c r="Y104" s="210">
        <v>10</v>
      </c>
      <c r="Z104" s="212">
        <v>10</v>
      </c>
      <c r="AA104" s="210">
        <v>10</v>
      </c>
      <c r="AB104" s="210">
        <v>10</v>
      </c>
      <c r="AC104" s="210">
        <v>10</v>
      </c>
      <c r="AD104" s="210">
        <v>10</v>
      </c>
      <c r="AE104" s="210">
        <v>10</v>
      </c>
      <c r="AF104" s="210">
        <v>10</v>
      </c>
      <c r="AG104" s="210">
        <v>10</v>
      </c>
      <c r="AH104" s="210">
        <v>10</v>
      </c>
      <c r="AI104" s="210">
        <v>10</v>
      </c>
      <c r="AJ104" s="210">
        <v>10</v>
      </c>
      <c r="AK104" s="210">
        <v>10</v>
      </c>
      <c r="AL104" s="479">
        <v>10</v>
      </c>
      <c r="AM104" s="210"/>
      <c r="AN104" s="210"/>
      <c r="AO104" s="210"/>
      <c r="AP104" s="210"/>
      <c r="AQ104" s="210"/>
      <c r="AR104" s="210"/>
      <c r="AS104" s="210"/>
      <c r="AT104" s="210"/>
      <c r="AU104" s="210"/>
      <c r="AV104" s="210"/>
      <c r="AW104" s="210"/>
      <c r="AX104" s="212"/>
    </row>
    <row r="105" spans="1:50" s="184" customFormat="1" outlineLevel="1" x14ac:dyDescent="0.35">
      <c r="A105" s="184" t="s">
        <v>49</v>
      </c>
      <c r="B105" s="184" t="s">
        <v>29</v>
      </c>
      <c r="F105" s="222" t="s">
        <v>314</v>
      </c>
      <c r="G105" s="191"/>
      <c r="H105" s="191"/>
      <c r="I105" s="191" t="s">
        <v>351</v>
      </c>
      <c r="J105" s="370"/>
      <c r="K105" s="185"/>
      <c r="L105" s="210"/>
      <c r="M105" s="210"/>
      <c r="N105" s="210"/>
      <c r="O105" s="210"/>
      <c r="P105" s="210"/>
      <c r="Q105" s="210"/>
      <c r="R105" s="210"/>
      <c r="S105" s="210"/>
      <c r="T105" s="210"/>
      <c r="U105" s="210"/>
      <c r="V105" s="210"/>
      <c r="W105" s="210"/>
      <c r="X105" s="210"/>
      <c r="Y105" s="210"/>
      <c r="Z105" s="212"/>
      <c r="AA105" s="210">
        <f>(AA102-AA104)*3%</f>
        <v>41.699999999999996</v>
      </c>
      <c r="AB105" s="210">
        <f t="shared" ref="AB105:AL105" si="90">(AB102-AB104)*3%</f>
        <v>41.699999999999996</v>
      </c>
      <c r="AC105" s="210">
        <f t="shared" si="90"/>
        <v>41.699999999999996</v>
      </c>
      <c r="AD105" s="210">
        <f t="shared" si="90"/>
        <v>41.699999999999996</v>
      </c>
      <c r="AE105" s="210">
        <f t="shared" si="90"/>
        <v>41.699999999999996</v>
      </c>
      <c r="AF105" s="210">
        <f t="shared" si="90"/>
        <v>41.699999999999996</v>
      </c>
      <c r="AG105" s="210">
        <f t="shared" si="90"/>
        <v>41.699999999999996</v>
      </c>
      <c r="AH105" s="210">
        <f t="shared" si="90"/>
        <v>41.699999999999996</v>
      </c>
      <c r="AI105" s="210">
        <f t="shared" si="90"/>
        <v>41.699999999999996</v>
      </c>
      <c r="AJ105" s="210">
        <f t="shared" si="90"/>
        <v>41.699999999999996</v>
      </c>
      <c r="AK105" s="210">
        <f t="shared" si="90"/>
        <v>41.699999999999996</v>
      </c>
      <c r="AL105" s="479">
        <f t="shared" si="90"/>
        <v>41.699999999999996</v>
      </c>
      <c r="AM105" s="210"/>
      <c r="AN105" s="210"/>
      <c r="AO105" s="210"/>
      <c r="AP105" s="210"/>
      <c r="AQ105" s="210"/>
      <c r="AR105" s="210"/>
      <c r="AS105" s="210"/>
      <c r="AT105" s="210"/>
      <c r="AU105" s="210"/>
      <c r="AV105" s="210"/>
      <c r="AW105" s="210"/>
      <c r="AX105" s="212"/>
    </row>
    <row r="106" spans="1:50" s="188" customFormat="1" outlineLevel="1" x14ac:dyDescent="0.35">
      <c r="A106" s="188" t="s">
        <v>49</v>
      </c>
      <c r="B106" s="303" t="s">
        <v>29</v>
      </c>
      <c r="F106" s="286" t="s">
        <v>315</v>
      </c>
      <c r="G106" s="287"/>
      <c r="H106" s="287"/>
      <c r="I106" s="287"/>
      <c r="J106" s="383" t="s">
        <v>203</v>
      </c>
      <c r="K106" s="189"/>
      <c r="L106" s="295"/>
      <c r="M106" s="295"/>
      <c r="N106" s="295"/>
      <c r="O106" s="315" cm="1">
        <f t="array" ref="O106">SUMPRODUCT(General_Data*(Year=O$3)*(Month=O$4)*(Code_General_Data=$B106))</f>
        <v>1340</v>
      </c>
      <c r="P106" s="315" cm="1">
        <f t="array" ref="P106">SUMPRODUCT(General_Data*(Year=P$3)*(Month=P$4)*(Code_General_Data=$B106))</f>
        <v>1340</v>
      </c>
      <c r="Q106" s="315" cm="1">
        <f t="array" ref="Q106">SUMPRODUCT(General_Data*(Year=Q$3)*(Month=Q$4)*(Code_General_Data=$B106))</f>
        <v>1340</v>
      </c>
      <c r="R106" s="315" cm="1">
        <f t="array" ref="R106">SUMPRODUCT(General_Data*(Year=R$3)*(Month=R$4)*(Code_General_Data=$B106))</f>
        <v>1340</v>
      </c>
      <c r="S106" s="315" cm="1">
        <f t="array" ref="S106">SUMPRODUCT(General_Data*(Year=S$3)*(Month=S$4)*(Code_General_Data=$B106))</f>
        <v>1390</v>
      </c>
      <c r="T106" s="315" cm="1">
        <f t="array" ref="T106">SUMPRODUCT(General_Data*(Year=T$3)*(Month=T$4)*(Code_General_Data=$B106))</f>
        <v>1390</v>
      </c>
      <c r="U106" s="315" cm="1">
        <f t="array" ref="U106">SUMPRODUCT(General_Data*(Year=U$3)*(Month=U$4)*(Code_General_Data=$B106))</f>
        <v>1390</v>
      </c>
      <c r="V106" s="315" cm="1">
        <f t="array" ref="V106">SUMPRODUCT(General_Data*(Year=V$3)*(Month=V$4)*(Code_General_Data=$B106))</f>
        <v>1390</v>
      </c>
      <c r="W106" s="315" cm="1">
        <f t="array" ref="W106">SUMPRODUCT(General_Data*(Year=W$3)*(Month=W$4)*(Code_General_Data=$B106))</f>
        <v>1400</v>
      </c>
      <c r="X106" s="315" cm="1">
        <f t="array" ref="X106">SUMPRODUCT(General_Data*(Year=X$3)*(Month=X$4)*(Code_General_Data=$B106))</f>
        <v>1415</v>
      </c>
      <c r="Y106" s="315" cm="1">
        <f t="array" ref="Y106">SUMPRODUCT(General_Data*(Year=Y$3)*(Month=Y$4)*(Code_General_Data=$B106))</f>
        <v>1415</v>
      </c>
      <c r="Z106" s="316" cm="1">
        <f t="array" ref="Z106">SUMPRODUCT(General_Data*(Year=Z$3)*(Month=Z$4)*(Code_General_Data=$B106))</f>
        <v>1365</v>
      </c>
      <c r="AA106" s="315" cm="1">
        <f t="array" ref="AA106">SUMPRODUCT(General_Data*(Year=AA$3)*(Month=AA$4)*(Code_General_Data=$B106))</f>
        <v>1320</v>
      </c>
      <c r="AB106" s="315" cm="1">
        <f t="array" ref="AB106">SUMPRODUCT(General_Data*(Year=AB$3)*(Month=AB$4)*(Code_General_Data=$B106))</f>
        <v>1280</v>
      </c>
      <c r="AC106" s="315" cm="1">
        <f t="array" ref="AC106">SUMPRODUCT(General_Data*(Year=AC$3)*(Month=AC$4)*(Code_General_Data=$B106))</f>
        <v>1320</v>
      </c>
      <c r="AD106" s="315" cm="1">
        <f t="array" ref="AD106">SUMPRODUCT(General_Data*(Year=AD$3)*(Month=AD$4)*(Code_General_Data=$B106))</f>
        <v>1340</v>
      </c>
      <c r="AE106" s="315" cm="1">
        <f t="array" ref="AE106">SUMPRODUCT(General_Data*(Year=AE$3)*(Month=AE$4)*(Code_General_Data=$B106))</f>
        <v>1340</v>
      </c>
      <c r="AF106" s="315" cm="1">
        <f t="array" ref="AF106">SUMPRODUCT(General_Data*(Year=AF$3)*(Month=AF$4)*(Code_General_Data=$B106))</f>
        <v>1340</v>
      </c>
      <c r="AG106" s="315" cm="1">
        <f t="array" ref="AG106">SUMPRODUCT(General_Data*(Year=AG$3)*(Month=AG$4)*(Code_General_Data=$B106))</f>
        <v>1340</v>
      </c>
      <c r="AH106" s="315" cm="1">
        <f t="array" ref="AH106">SUMPRODUCT(General_Data*(Year=AH$3)*(Month=AH$4)*(Code_General_Data=$B106))</f>
        <v>1310</v>
      </c>
      <c r="AI106" s="315" cm="1">
        <f t="array" ref="AI106">SUMPRODUCT(General_Data*(Year=AI$3)*(Month=AI$4)*(Code_General_Data=$B106))</f>
        <v>1310</v>
      </c>
      <c r="AJ106" s="315" cm="1">
        <f t="array" ref="AJ106">SUMPRODUCT(General_Data*(Year=AJ$3)*(Month=AJ$4)*(Code_General_Data=$B106))</f>
        <v>1300</v>
      </c>
      <c r="AK106" s="315" cm="1">
        <f t="array" ref="AK106">SUMPRODUCT(General_Data*(Year=AK$3)*(Month=AK$4)*(Code_General_Data=$B106))</f>
        <v>1290</v>
      </c>
      <c r="AL106" s="473" cm="1">
        <f t="array" ref="AL106">SUMPRODUCT(General_Data*(Year=AL$3)*(Month=AL$4)*(Code_General_Data=$B106))</f>
        <v>1290</v>
      </c>
      <c r="AM106" s="315"/>
      <c r="AN106" s="315"/>
      <c r="AO106" s="315"/>
      <c r="AP106" s="315"/>
      <c r="AQ106" s="315"/>
      <c r="AR106" s="315"/>
      <c r="AS106" s="315"/>
      <c r="AT106" s="315"/>
      <c r="AU106" s="315"/>
      <c r="AV106" s="315"/>
      <c r="AW106" s="315"/>
      <c r="AX106" s="316"/>
    </row>
    <row r="107" spans="1:50" s="93" customFormat="1" x14ac:dyDescent="0.35">
      <c r="D107" s="92"/>
      <c r="F107" s="168"/>
      <c r="G107"/>
      <c r="H107"/>
      <c r="I107"/>
      <c r="J107" s="321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 s="48"/>
      <c r="AA107"/>
      <c r="AB107"/>
      <c r="AC107"/>
      <c r="AD107"/>
      <c r="AE107"/>
      <c r="AF107"/>
      <c r="AG107"/>
      <c r="AH107"/>
      <c r="AI107"/>
      <c r="AJ107"/>
      <c r="AK107"/>
      <c r="AL107" s="48"/>
      <c r="AM107"/>
      <c r="AN107"/>
      <c r="AO107"/>
      <c r="AP107"/>
      <c r="AQ107"/>
      <c r="AR107"/>
      <c r="AS107"/>
      <c r="AT107"/>
      <c r="AU107"/>
      <c r="AV107"/>
      <c r="AW107"/>
      <c r="AX107" s="48"/>
    </row>
    <row r="108" spans="1:50" s="336" customFormat="1" ht="17" x14ac:dyDescent="0.35">
      <c r="A108" s="336" t="s">
        <v>63</v>
      </c>
      <c r="F108" s="337">
        <v>7</v>
      </c>
      <c r="G108" s="364" t="s">
        <v>311</v>
      </c>
      <c r="H108" s="364"/>
      <c r="I108" s="364"/>
      <c r="J108" s="365"/>
      <c r="L108" s="338"/>
      <c r="M108" s="338"/>
      <c r="N108" s="338"/>
      <c r="O108" s="338"/>
      <c r="P108" s="338"/>
      <c r="Q108" s="338"/>
      <c r="R108" s="338"/>
      <c r="S108" s="338"/>
      <c r="T108" s="338"/>
      <c r="U108" s="338"/>
      <c r="V108" s="338"/>
      <c r="W108" s="338"/>
      <c r="X108" s="338"/>
      <c r="Y108" s="338"/>
      <c r="Z108" s="339"/>
      <c r="AA108" s="340"/>
      <c r="AB108" s="338"/>
      <c r="AC108" s="340"/>
      <c r="AD108" s="340"/>
      <c r="AE108" s="340"/>
      <c r="AF108" s="340"/>
      <c r="AG108" s="340"/>
      <c r="AH108" s="340"/>
      <c r="AI108" s="340"/>
      <c r="AJ108" s="340"/>
      <c r="AK108" s="340"/>
      <c r="AL108" s="339"/>
      <c r="AM108" s="340"/>
      <c r="AN108" s="338"/>
      <c r="AO108" s="340"/>
      <c r="AP108" s="340"/>
      <c r="AQ108" s="340"/>
      <c r="AR108" s="340"/>
      <c r="AS108" s="340"/>
      <c r="AT108" s="340"/>
      <c r="AU108" s="340"/>
      <c r="AV108" s="340"/>
      <c r="AW108" s="340"/>
      <c r="AX108" s="339"/>
    </row>
    <row r="109" spans="1:50" s="330" customFormat="1" ht="16" x14ac:dyDescent="0.35">
      <c r="A109" s="330" t="s">
        <v>63</v>
      </c>
      <c r="B109" s="330" t="s">
        <v>35</v>
      </c>
      <c r="D109" s="330" t="s">
        <v>322</v>
      </c>
      <c r="F109" s="343">
        <v>7.1</v>
      </c>
      <c r="G109" s="344"/>
      <c r="H109" s="344" t="s">
        <v>296</v>
      </c>
      <c r="I109" s="344"/>
      <c r="J109" s="379"/>
      <c r="L109" s="344"/>
      <c r="M109" s="344"/>
      <c r="N109" s="344"/>
      <c r="O109" s="334"/>
      <c r="P109" s="334"/>
      <c r="Q109" s="334"/>
      <c r="R109" s="334"/>
      <c r="S109" s="334"/>
      <c r="T109" s="334"/>
      <c r="U109" s="334"/>
      <c r="V109" s="334"/>
      <c r="W109" s="334"/>
      <c r="X109" s="334">
        <v>1320</v>
      </c>
      <c r="Y109" s="334">
        <v>1320</v>
      </c>
      <c r="Z109" s="335">
        <v>1320</v>
      </c>
      <c r="AA109" s="333"/>
      <c r="AB109" s="334"/>
      <c r="AC109" s="334"/>
      <c r="AD109" s="334"/>
      <c r="AE109" s="334"/>
      <c r="AF109" s="334"/>
      <c r="AG109" s="334"/>
      <c r="AH109" s="334"/>
      <c r="AI109" s="334"/>
      <c r="AJ109" s="334"/>
      <c r="AK109" s="334"/>
      <c r="AL109" s="335"/>
      <c r="AM109" s="333"/>
      <c r="AN109" s="334"/>
      <c r="AO109" s="334"/>
      <c r="AP109" s="334"/>
      <c r="AQ109" s="334"/>
      <c r="AR109" s="334"/>
      <c r="AS109" s="334"/>
      <c r="AT109" s="334"/>
      <c r="AU109" s="334"/>
      <c r="AV109" s="334"/>
      <c r="AW109" s="334"/>
      <c r="AX109" s="335"/>
    </row>
    <row r="110" spans="1:50" s="94" customFormat="1" outlineLevel="1" x14ac:dyDescent="0.35">
      <c r="A110" s="94" t="s">
        <v>63</v>
      </c>
      <c r="B110" s="300" t="s">
        <v>35</v>
      </c>
      <c r="D110" s="95" t="s">
        <v>162</v>
      </c>
      <c r="F110" s="278" t="s">
        <v>388</v>
      </c>
      <c r="G110" s="279"/>
      <c r="H110" s="279"/>
      <c r="I110" s="279" t="s">
        <v>8</v>
      </c>
      <c r="J110" s="381"/>
      <c r="K110" s="2"/>
      <c r="L110" s="279"/>
      <c r="M110" s="279"/>
      <c r="N110" s="279"/>
      <c r="O110" s="229"/>
      <c r="P110" s="229"/>
      <c r="Q110" s="229"/>
      <c r="R110" s="229"/>
      <c r="S110" s="229"/>
      <c r="T110" s="229"/>
      <c r="U110" s="229"/>
      <c r="V110" s="229"/>
      <c r="W110" s="229"/>
      <c r="X110" s="229">
        <f>X109-X111</f>
        <v>1310</v>
      </c>
      <c r="Y110" s="229">
        <f>Y109-Y111</f>
        <v>1310</v>
      </c>
      <c r="Z110" s="230">
        <f>Z109-Z111</f>
        <v>1310</v>
      </c>
      <c r="AA110" s="229"/>
      <c r="AB110" s="229"/>
      <c r="AC110" s="229"/>
      <c r="AD110" s="229"/>
      <c r="AE110" s="229"/>
      <c r="AF110" s="229"/>
      <c r="AG110" s="229"/>
      <c r="AH110" s="229"/>
      <c r="AI110" s="229"/>
      <c r="AJ110" s="229"/>
      <c r="AK110" s="229"/>
      <c r="AL110" s="230"/>
      <c r="AM110" s="229"/>
      <c r="AN110" s="229"/>
      <c r="AO110" s="229"/>
      <c r="AP110" s="229"/>
      <c r="AQ110" s="229"/>
      <c r="AR110" s="229"/>
      <c r="AS110" s="229"/>
      <c r="AT110" s="229"/>
      <c r="AU110" s="229"/>
      <c r="AV110" s="229"/>
      <c r="AW110" s="229"/>
      <c r="AX110" s="230"/>
    </row>
    <row r="111" spans="1:50" s="184" customFormat="1" outlineLevel="1" x14ac:dyDescent="0.35">
      <c r="A111" s="184" t="s">
        <v>63</v>
      </c>
      <c r="B111" s="184" t="s">
        <v>35</v>
      </c>
      <c r="F111" s="222" t="s">
        <v>389</v>
      </c>
      <c r="G111" s="191"/>
      <c r="H111" s="191"/>
      <c r="I111" s="191" t="s">
        <v>50</v>
      </c>
      <c r="J111" s="370"/>
      <c r="K111" s="185"/>
      <c r="L111" s="210"/>
      <c r="M111" s="210"/>
      <c r="N111" s="210"/>
      <c r="O111" s="210"/>
      <c r="P111" s="210"/>
      <c r="Q111" s="210"/>
      <c r="R111" s="210"/>
      <c r="S111" s="210"/>
      <c r="T111" s="210"/>
      <c r="U111" s="210"/>
      <c r="V111" s="210"/>
      <c r="W111" s="210"/>
      <c r="X111" s="210">
        <v>10</v>
      </c>
      <c r="Y111" s="210">
        <v>10</v>
      </c>
      <c r="Z111" s="212">
        <v>10</v>
      </c>
      <c r="AA111" s="210"/>
      <c r="AB111" s="210"/>
      <c r="AC111" s="210"/>
      <c r="AD111" s="210"/>
      <c r="AE111" s="210"/>
      <c r="AF111" s="210"/>
      <c r="AG111" s="210"/>
      <c r="AH111" s="210"/>
      <c r="AI111" s="210"/>
      <c r="AJ111" s="210"/>
      <c r="AK111" s="210"/>
      <c r="AL111" s="212"/>
      <c r="AM111" s="210"/>
      <c r="AN111" s="210"/>
      <c r="AO111" s="210"/>
      <c r="AP111" s="210"/>
      <c r="AQ111" s="210"/>
      <c r="AR111" s="210"/>
      <c r="AS111" s="210"/>
      <c r="AT111" s="210"/>
      <c r="AU111" s="210"/>
      <c r="AV111" s="210"/>
      <c r="AW111" s="210"/>
      <c r="AX111" s="212"/>
    </row>
    <row r="112" spans="1:50" s="188" customFormat="1" outlineLevel="1" x14ac:dyDescent="0.35">
      <c r="A112" s="188" t="s">
        <v>63</v>
      </c>
      <c r="B112" s="303" t="s">
        <v>35</v>
      </c>
      <c r="F112" s="286" t="s">
        <v>390</v>
      </c>
      <c r="G112" s="287"/>
      <c r="H112" s="287"/>
      <c r="I112" s="287"/>
      <c r="J112" s="383" t="s">
        <v>203</v>
      </c>
      <c r="K112" s="189"/>
      <c r="L112" s="295"/>
      <c r="M112" s="295"/>
      <c r="N112" s="295"/>
      <c r="O112" s="315"/>
      <c r="P112" s="315"/>
      <c r="Q112" s="315"/>
      <c r="R112" s="315"/>
      <c r="S112" s="315"/>
      <c r="T112" s="315"/>
      <c r="U112" s="315"/>
      <c r="V112" s="315"/>
      <c r="W112" s="315"/>
      <c r="X112" s="315" cm="1">
        <f t="array" ref="X112">SUMPRODUCT(General_Data*(Year=X$3)*(Month=X$4)*(Code_General_Data=$B112))</f>
        <v>1325</v>
      </c>
      <c r="Y112" s="315" cm="1">
        <f t="array" ref="Y112">SUMPRODUCT(General_Data*(Year=Y$3)*(Month=Y$4)*(Code_General_Data=$B112))</f>
        <v>1325</v>
      </c>
      <c r="Z112" s="316" cm="1">
        <f t="array" ref="Z112">SUMPRODUCT(General_Data*(Year=Z$3)*(Month=Z$4)*(Code_General_Data=$B112))</f>
        <v>1275</v>
      </c>
      <c r="AA112" s="315"/>
      <c r="AB112" s="315"/>
      <c r="AC112" s="315"/>
      <c r="AD112" s="315"/>
      <c r="AE112" s="315"/>
      <c r="AF112" s="315"/>
      <c r="AG112" s="315"/>
      <c r="AH112" s="315"/>
      <c r="AI112" s="315"/>
      <c r="AJ112" s="315"/>
      <c r="AK112" s="315"/>
      <c r="AL112" s="316"/>
      <c r="AM112" s="315"/>
      <c r="AN112" s="315"/>
      <c r="AO112" s="315"/>
      <c r="AP112" s="315"/>
      <c r="AQ112" s="315"/>
      <c r="AR112" s="315"/>
      <c r="AS112" s="315"/>
      <c r="AT112" s="315"/>
      <c r="AU112" s="315"/>
      <c r="AV112" s="315"/>
      <c r="AW112" s="315"/>
      <c r="AX112" s="316"/>
    </row>
    <row r="113" spans="1:50" s="93" customFormat="1" x14ac:dyDescent="0.35">
      <c r="D113" s="92"/>
      <c r="F113" s="168"/>
      <c r="G113"/>
      <c r="H113"/>
      <c r="I113"/>
      <c r="J113" s="321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 s="48"/>
      <c r="AA113"/>
      <c r="AB113"/>
      <c r="AC113"/>
      <c r="AD113"/>
      <c r="AE113"/>
      <c r="AF113"/>
      <c r="AG113"/>
      <c r="AH113"/>
      <c r="AI113"/>
      <c r="AJ113"/>
      <c r="AK113"/>
      <c r="AL113" s="48"/>
      <c r="AM113"/>
      <c r="AN113"/>
      <c r="AO113"/>
      <c r="AP113"/>
      <c r="AQ113"/>
      <c r="AR113"/>
      <c r="AS113"/>
      <c r="AT113"/>
      <c r="AU113"/>
      <c r="AV113"/>
      <c r="AW113"/>
      <c r="AX113" s="48"/>
    </row>
    <row r="114" spans="1:50" s="93" customFormat="1" x14ac:dyDescent="0.35">
      <c r="D114" s="92"/>
      <c r="F114" s="168"/>
      <c r="G114"/>
      <c r="H114"/>
      <c r="I114"/>
      <c r="J114" s="321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 s="48"/>
      <c r="AA114"/>
      <c r="AB114"/>
      <c r="AC114"/>
      <c r="AD114"/>
      <c r="AE114"/>
      <c r="AF114"/>
      <c r="AG114"/>
      <c r="AH114"/>
      <c r="AI114"/>
      <c r="AJ114"/>
      <c r="AK114"/>
      <c r="AL114" s="48"/>
      <c r="AM114"/>
      <c r="AN114"/>
      <c r="AO114"/>
      <c r="AP114"/>
      <c r="AQ114"/>
      <c r="AR114"/>
      <c r="AS114"/>
      <c r="AT114"/>
      <c r="AU114"/>
      <c r="AV114"/>
      <c r="AW114"/>
      <c r="AX114" s="48"/>
    </row>
    <row r="115" spans="1:50" s="93" customFormat="1" x14ac:dyDescent="0.35">
      <c r="D115" s="92"/>
      <c r="F115" s="168"/>
      <c r="G115"/>
      <c r="H115"/>
      <c r="I115"/>
      <c r="J115" s="321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 s="48"/>
      <c r="AA115"/>
      <c r="AB115"/>
      <c r="AC115"/>
      <c r="AD115"/>
      <c r="AE115"/>
      <c r="AF115"/>
      <c r="AG115"/>
      <c r="AH115"/>
      <c r="AI115"/>
      <c r="AJ115"/>
      <c r="AK115"/>
      <c r="AL115" s="48"/>
      <c r="AM115"/>
      <c r="AN115"/>
      <c r="AO115"/>
      <c r="AP115"/>
      <c r="AQ115"/>
      <c r="AR115"/>
      <c r="AS115"/>
      <c r="AT115"/>
      <c r="AU115"/>
      <c r="AV115"/>
      <c r="AW115"/>
      <c r="AX115" s="48"/>
    </row>
    <row r="116" spans="1:50" s="93" customFormat="1" x14ac:dyDescent="0.35">
      <c r="D116" s="92"/>
      <c r="F116" s="168"/>
      <c r="G116"/>
      <c r="H116"/>
      <c r="I116"/>
      <c r="J116" s="321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 s="48"/>
      <c r="AA116"/>
      <c r="AB116"/>
      <c r="AC116"/>
      <c r="AD116"/>
      <c r="AE116"/>
      <c r="AF116"/>
      <c r="AG116"/>
      <c r="AH116"/>
      <c r="AI116"/>
      <c r="AJ116"/>
      <c r="AK116"/>
      <c r="AL116" s="48"/>
      <c r="AM116"/>
      <c r="AN116"/>
      <c r="AO116"/>
      <c r="AP116"/>
      <c r="AQ116"/>
      <c r="AR116"/>
      <c r="AS116"/>
      <c r="AT116"/>
      <c r="AU116"/>
      <c r="AV116"/>
      <c r="AW116"/>
      <c r="AX116" s="48"/>
    </row>
    <row r="117" spans="1:50" s="93" customFormat="1" x14ac:dyDescent="0.35">
      <c r="D117" s="92"/>
      <c r="F117" s="168"/>
      <c r="G117"/>
      <c r="H117"/>
      <c r="I117"/>
      <c r="J117" s="321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 s="48"/>
      <c r="AA117"/>
      <c r="AB117"/>
      <c r="AC117"/>
      <c r="AD117"/>
      <c r="AE117"/>
      <c r="AF117"/>
      <c r="AG117"/>
      <c r="AH117"/>
      <c r="AI117"/>
      <c r="AJ117"/>
      <c r="AK117"/>
      <c r="AL117" s="48"/>
      <c r="AM117"/>
      <c r="AN117"/>
      <c r="AO117"/>
      <c r="AP117"/>
      <c r="AQ117"/>
      <c r="AR117"/>
      <c r="AS117"/>
      <c r="AT117"/>
      <c r="AU117"/>
      <c r="AV117"/>
      <c r="AW117"/>
      <c r="AX117" s="48"/>
    </row>
    <row r="118" spans="1:50" x14ac:dyDescent="0.35">
      <c r="J118" s="321"/>
      <c r="O118"/>
    </row>
    <row r="119" spans="1:50" x14ac:dyDescent="0.35">
      <c r="J119" s="321"/>
      <c r="O119"/>
    </row>
    <row r="120" spans="1:50" x14ac:dyDescent="0.35">
      <c r="J120" s="321"/>
      <c r="O120"/>
    </row>
    <row r="121" spans="1:50" x14ac:dyDescent="0.35">
      <c r="J121" s="321"/>
      <c r="O121"/>
    </row>
    <row r="122" spans="1:50" x14ac:dyDescent="0.35">
      <c r="J122" s="321"/>
      <c r="O122"/>
    </row>
    <row r="123" spans="1:50" x14ac:dyDescent="0.35">
      <c r="J123" s="321"/>
      <c r="O123"/>
    </row>
    <row r="124" spans="1:50" x14ac:dyDescent="0.35">
      <c r="J124" s="321"/>
      <c r="O124"/>
    </row>
    <row r="125" spans="1:50" x14ac:dyDescent="0.35">
      <c r="J125" s="321"/>
      <c r="O125"/>
    </row>
    <row r="126" spans="1:50" ht="15" thickBot="1" x14ac:dyDescent="0.4">
      <c r="J126" s="321"/>
      <c r="O126"/>
    </row>
    <row r="127" spans="1:50" s="7" customFormat="1" x14ac:dyDescent="0.35">
      <c r="A127" s="99"/>
      <c r="B127" s="99"/>
      <c r="C127" s="99"/>
      <c r="D127" s="100"/>
      <c r="E127" s="99"/>
      <c r="F127" s="248"/>
      <c r="J127" s="384"/>
      <c r="Z127" s="91"/>
      <c r="AL127" s="91"/>
      <c r="AX127" s="91"/>
    </row>
    <row r="128" spans="1:50" x14ac:dyDescent="0.35">
      <c r="J128" s="321"/>
      <c r="O128"/>
    </row>
    <row r="129" spans="4:50" x14ac:dyDescent="0.35">
      <c r="J129" s="321"/>
      <c r="O129"/>
    </row>
    <row r="130" spans="4:50" x14ac:dyDescent="0.35">
      <c r="J130" s="321"/>
      <c r="O130"/>
    </row>
    <row r="131" spans="4:50" x14ac:dyDescent="0.35">
      <c r="J131" s="321"/>
      <c r="O131"/>
    </row>
    <row r="132" spans="4:50" x14ac:dyDescent="0.35">
      <c r="J132" s="321"/>
      <c r="O132"/>
    </row>
    <row r="133" spans="4:50" x14ac:dyDescent="0.35">
      <c r="J133" s="321"/>
      <c r="O133"/>
    </row>
    <row r="134" spans="4:50" s="93" customFormat="1" x14ac:dyDescent="0.35">
      <c r="D134" s="92"/>
      <c r="F134" s="168"/>
      <c r="G134"/>
      <c r="H134"/>
      <c r="I134"/>
      <c r="J134" s="321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 s="48"/>
      <c r="AA134"/>
      <c r="AB134"/>
      <c r="AC134"/>
      <c r="AD134"/>
      <c r="AE134"/>
      <c r="AF134"/>
      <c r="AG134"/>
      <c r="AH134"/>
      <c r="AI134"/>
      <c r="AJ134"/>
      <c r="AK134"/>
      <c r="AL134" s="48"/>
      <c r="AM134"/>
      <c r="AN134"/>
      <c r="AO134"/>
      <c r="AP134"/>
      <c r="AQ134"/>
      <c r="AR134"/>
      <c r="AS134"/>
      <c r="AT134"/>
      <c r="AU134"/>
      <c r="AV134"/>
      <c r="AW134"/>
      <c r="AX134" s="48"/>
    </row>
    <row r="135" spans="4:50" s="93" customFormat="1" x14ac:dyDescent="0.35">
      <c r="D135" s="92"/>
      <c r="F135" s="168"/>
      <c r="G135"/>
      <c r="H135"/>
      <c r="I135"/>
      <c r="J135" s="321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 s="48"/>
      <c r="AA135"/>
      <c r="AB135"/>
      <c r="AC135"/>
      <c r="AD135"/>
      <c r="AE135"/>
      <c r="AF135"/>
      <c r="AG135"/>
      <c r="AH135"/>
      <c r="AI135"/>
      <c r="AJ135"/>
      <c r="AK135"/>
      <c r="AL135" s="48"/>
      <c r="AM135"/>
      <c r="AN135"/>
      <c r="AO135"/>
      <c r="AP135"/>
      <c r="AQ135"/>
      <c r="AR135"/>
      <c r="AS135"/>
      <c r="AT135"/>
      <c r="AU135"/>
      <c r="AV135"/>
      <c r="AW135"/>
      <c r="AX135" s="48"/>
    </row>
    <row r="136" spans="4:50" s="93" customFormat="1" x14ac:dyDescent="0.35">
      <c r="D136" s="92"/>
      <c r="F136" s="168"/>
      <c r="G136"/>
      <c r="H136"/>
      <c r="I136"/>
      <c r="J136" s="321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 s="48"/>
      <c r="AA136"/>
      <c r="AB136"/>
      <c r="AC136"/>
      <c r="AD136"/>
      <c r="AE136"/>
      <c r="AF136"/>
      <c r="AG136"/>
      <c r="AH136"/>
      <c r="AI136"/>
      <c r="AJ136"/>
      <c r="AK136"/>
      <c r="AL136" s="48"/>
      <c r="AM136"/>
      <c r="AN136"/>
      <c r="AO136"/>
      <c r="AP136"/>
      <c r="AQ136"/>
      <c r="AR136"/>
      <c r="AS136"/>
      <c r="AT136"/>
      <c r="AU136"/>
      <c r="AV136"/>
      <c r="AW136"/>
      <c r="AX136" s="48"/>
    </row>
    <row r="137" spans="4:50" s="93" customFormat="1" x14ac:dyDescent="0.35">
      <c r="D137" s="92"/>
      <c r="F137" s="168"/>
      <c r="G137"/>
      <c r="H137"/>
      <c r="I137"/>
      <c r="J137" s="321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 s="48"/>
      <c r="AA137"/>
      <c r="AB137"/>
      <c r="AC137"/>
      <c r="AD137"/>
      <c r="AE137"/>
      <c r="AF137"/>
      <c r="AG137"/>
      <c r="AH137"/>
      <c r="AI137"/>
      <c r="AJ137"/>
      <c r="AK137"/>
      <c r="AL137" s="48"/>
      <c r="AM137"/>
      <c r="AN137"/>
      <c r="AO137"/>
      <c r="AP137"/>
      <c r="AQ137"/>
      <c r="AR137"/>
      <c r="AS137"/>
      <c r="AT137"/>
      <c r="AU137"/>
      <c r="AV137"/>
      <c r="AW137"/>
      <c r="AX137" s="48"/>
    </row>
    <row r="138" spans="4:50" s="93" customFormat="1" x14ac:dyDescent="0.35">
      <c r="D138" s="92"/>
      <c r="F138" s="168"/>
      <c r="G138"/>
      <c r="H138"/>
      <c r="I138"/>
      <c r="J138" s="321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 s="48"/>
      <c r="AA138"/>
      <c r="AB138"/>
      <c r="AC138"/>
      <c r="AD138"/>
      <c r="AE138"/>
      <c r="AF138"/>
      <c r="AG138"/>
      <c r="AH138"/>
      <c r="AI138"/>
      <c r="AJ138"/>
      <c r="AK138"/>
      <c r="AL138" s="48"/>
      <c r="AM138"/>
      <c r="AN138"/>
      <c r="AO138"/>
      <c r="AP138"/>
      <c r="AQ138"/>
      <c r="AR138"/>
      <c r="AS138"/>
      <c r="AT138"/>
      <c r="AU138"/>
      <c r="AV138"/>
      <c r="AW138"/>
      <c r="AX138" s="48"/>
    </row>
    <row r="139" spans="4:50" s="93" customFormat="1" x14ac:dyDescent="0.35">
      <c r="D139" s="92"/>
      <c r="F139" s="168"/>
      <c r="G139"/>
      <c r="H139"/>
      <c r="I139"/>
      <c r="J139" s="321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 s="48"/>
      <c r="AA139"/>
      <c r="AB139"/>
      <c r="AC139"/>
      <c r="AD139"/>
      <c r="AE139"/>
      <c r="AF139"/>
      <c r="AG139"/>
      <c r="AH139"/>
      <c r="AI139"/>
      <c r="AJ139"/>
      <c r="AK139"/>
      <c r="AL139" s="48"/>
      <c r="AM139"/>
      <c r="AN139"/>
      <c r="AO139"/>
      <c r="AP139"/>
      <c r="AQ139"/>
      <c r="AR139"/>
      <c r="AS139"/>
      <c r="AT139"/>
      <c r="AU139"/>
      <c r="AV139"/>
      <c r="AW139"/>
      <c r="AX139" s="48"/>
    </row>
    <row r="140" spans="4:50" s="93" customFormat="1" x14ac:dyDescent="0.35">
      <c r="D140" s="92"/>
      <c r="F140" s="168"/>
      <c r="G140"/>
      <c r="H140"/>
      <c r="I140"/>
      <c r="J140" s="321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 s="48"/>
      <c r="AA140"/>
      <c r="AB140"/>
      <c r="AC140"/>
      <c r="AD140"/>
      <c r="AE140"/>
      <c r="AF140"/>
      <c r="AG140"/>
      <c r="AH140"/>
      <c r="AI140"/>
      <c r="AJ140"/>
      <c r="AK140"/>
      <c r="AL140" s="48"/>
      <c r="AM140"/>
      <c r="AN140"/>
      <c r="AO140"/>
      <c r="AP140"/>
      <c r="AQ140"/>
      <c r="AR140"/>
      <c r="AS140"/>
      <c r="AT140"/>
      <c r="AU140"/>
      <c r="AV140"/>
      <c r="AW140"/>
      <c r="AX140" s="48"/>
    </row>
    <row r="141" spans="4:50" s="93" customFormat="1" x14ac:dyDescent="0.35">
      <c r="D141" s="92"/>
      <c r="F141" s="168"/>
      <c r="G141"/>
      <c r="H141"/>
      <c r="I141"/>
      <c r="J141" s="32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 s="48"/>
      <c r="AA141"/>
      <c r="AB141"/>
      <c r="AC141"/>
      <c r="AD141"/>
      <c r="AE141"/>
      <c r="AF141"/>
      <c r="AG141"/>
      <c r="AH141"/>
      <c r="AI141"/>
      <c r="AJ141"/>
      <c r="AK141"/>
      <c r="AL141" s="48"/>
      <c r="AM141"/>
      <c r="AN141"/>
      <c r="AO141"/>
      <c r="AP141"/>
      <c r="AQ141"/>
      <c r="AR141"/>
      <c r="AS141"/>
      <c r="AT141"/>
      <c r="AU141"/>
      <c r="AV141"/>
      <c r="AW141"/>
      <c r="AX141" s="48"/>
    </row>
    <row r="142" spans="4:50" s="93" customFormat="1" x14ac:dyDescent="0.35">
      <c r="D142" s="92"/>
      <c r="F142" s="168"/>
      <c r="G142"/>
      <c r="H142"/>
      <c r="I142"/>
      <c r="J142" s="321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 s="48"/>
      <c r="AA142"/>
      <c r="AB142"/>
      <c r="AC142"/>
      <c r="AD142"/>
      <c r="AE142"/>
      <c r="AF142"/>
      <c r="AG142"/>
      <c r="AH142"/>
      <c r="AI142"/>
      <c r="AJ142"/>
      <c r="AK142"/>
      <c r="AL142" s="48"/>
      <c r="AM142"/>
      <c r="AN142"/>
      <c r="AO142"/>
      <c r="AP142"/>
      <c r="AQ142"/>
      <c r="AR142"/>
      <c r="AS142"/>
      <c r="AT142"/>
      <c r="AU142"/>
      <c r="AV142"/>
      <c r="AW142"/>
      <c r="AX142" s="48"/>
    </row>
    <row r="143" spans="4:50" s="93" customFormat="1" x14ac:dyDescent="0.35">
      <c r="D143" s="92"/>
      <c r="F143" s="168"/>
      <c r="G143"/>
      <c r="H143"/>
      <c r="I143"/>
      <c r="J143" s="321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 s="48"/>
      <c r="AA143"/>
      <c r="AB143"/>
      <c r="AC143"/>
      <c r="AD143"/>
      <c r="AE143"/>
      <c r="AF143"/>
      <c r="AG143"/>
      <c r="AH143"/>
      <c r="AI143"/>
      <c r="AJ143"/>
      <c r="AK143"/>
      <c r="AL143" s="48"/>
      <c r="AM143"/>
      <c r="AN143"/>
      <c r="AO143"/>
      <c r="AP143"/>
      <c r="AQ143"/>
      <c r="AR143"/>
      <c r="AS143"/>
      <c r="AT143"/>
      <c r="AU143"/>
      <c r="AV143"/>
      <c r="AW143"/>
      <c r="AX143" s="48"/>
    </row>
    <row r="144" spans="4:50" s="93" customFormat="1" x14ac:dyDescent="0.35">
      <c r="D144" s="92"/>
      <c r="F144" s="168"/>
      <c r="G144"/>
      <c r="H144"/>
      <c r="I144"/>
      <c r="J144" s="321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 s="48"/>
      <c r="AA144"/>
      <c r="AB144"/>
      <c r="AC144"/>
      <c r="AD144"/>
      <c r="AE144"/>
      <c r="AF144"/>
      <c r="AG144"/>
      <c r="AH144"/>
      <c r="AI144"/>
      <c r="AJ144"/>
      <c r="AK144"/>
      <c r="AL144" s="48"/>
      <c r="AM144"/>
      <c r="AN144"/>
      <c r="AO144"/>
      <c r="AP144"/>
      <c r="AQ144"/>
      <c r="AR144"/>
      <c r="AS144"/>
      <c r="AT144"/>
      <c r="AU144"/>
      <c r="AV144"/>
      <c r="AW144"/>
      <c r="AX144" s="48"/>
    </row>
    <row r="145" spans="4:50" s="93" customFormat="1" x14ac:dyDescent="0.35">
      <c r="D145" s="92"/>
      <c r="F145" s="168"/>
      <c r="G145"/>
      <c r="H145"/>
      <c r="I145"/>
      <c r="J145" s="321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 s="48"/>
      <c r="AA145"/>
      <c r="AB145"/>
      <c r="AC145"/>
      <c r="AD145"/>
      <c r="AE145"/>
      <c r="AF145"/>
      <c r="AG145"/>
      <c r="AH145"/>
      <c r="AI145"/>
      <c r="AJ145"/>
      <c r="AK145"/>
      <c r="AL145" s="48"/>
      <c r="AM145"/>
      <c r="AN145"/>
      <c r="AO145"/>
      <c r="AP145"/>
      <c r="AQ145"/>
      <c r="AR145"/>
      <c r="AS145"/>
      <c r="AT145"/>
      <c r="AU145"/>
      <c r="AV145"/>
      <c r="AW145"/>
      <c r="AX145" s="48"/>
    </row>
    <row r="146" spans="4:50" s="93" customFormat="1" x14ac:dyDescent="0.35">
      <c r="D146" s="92"/>
      <c r="F146" s="168"/>
      <c r="G146"/>
      <c r="H146"/>
      <c r="I146"/>
      <c r="J146" s="321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 s="48"/>
      <c r="AA146"/>
      <c r="AB146"/>
      <c r="AC146"/>
      <c r="AD146"/>
      <c r="AE146"/>
      <c r="AF146"/>
      <c r="AG146"/>
      <c r="AH146"/>
      <c r="AI146"/>
      <c r="AJ146"/>
      <c r="AK146"/>
      <c r="AL146" s="48"/>
      <c r="AM146"/>
      <c r="AN146"/>
      <c r="AO146"/>
      <c r="AP146"/>
      <c r="AQ146"/>
      <c r="AR146"/>
      <c r="AS146"/>
      <c r="AT146"/>
      <c r="AU146"/>
      <c r="AV146"/>
      <c r="AW146"/>
      <c r="AX146" s="48"/>
    </row>
    <row r="147" spans="4:50" s="93" customFormat="1" x14ac:dyDescent="0.35">
      <c r="D147" s="92"/>
      <c r="F147" s="168"/>
      <c r="G147"/>
      <c r="H147"/>
      <c r="I147"/>
      <c r="J147" s="321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 s="48"/>
      <c r="AA147"/>
      <c r="AB147"/>
      <c r="AC147"/>
      <c r="AD147"/>
      <c r="AE147"/>
      <c r="AF147"/>
      <c r="AG147"/>
      <c r="AH147"/>
      <c r="AI147"/>
      <c r="AJ147"/>
      <c r="AK147"/>
      <c r="AL147" s="48"/>
      <c r="AM147"/>
      <c r="AN147"/>
      <c r="AO147"/>
      <c r="AP147"/>
      <c r="AQ147"/>
      <c r="AR147"/>
      <c r="AS147"/>
      <c r="AT147"/>
      <c r="AU147"/>
      <c r="AV147"/>
      <c r="AW147"/>
      <c r="AX147" s="48"/>
    </row>
    <row r="148" spans="4:50" s="93" customFormat="1" x14ac:dyDescent="0.35">
      <c r="D148" s="92"/>
      <c r="F148" s="168"/>
      <c r="G148"/>
      <c r="H148"/>
      <c r="I148"/>
      <c r="J148" s="321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 s="48"/>
      <c r="AA148"/>
      <c r="AB148"/>
      <c r="AC148"/>
      <c r="AD148"/>
      <c r="AE148"/>
      <c r="AF148"/>
      <c r="AG148"/>
      <c r="AH148"/>
      <c r="AI148"/>
      <c r="AJ148"/>
      <c r="AK148"/>
      <c r="AL148" s="48"/>
      <c r="AM148"/>
      <c r="AN148"/>
      <c r="AO148"/>
      <c r="AP148"/>
      <c r="AQ148"/>
      <c r="AR148"/>
      <c r="AS148"/>
      <c r="AT148"/>
      <c r="AU148"/>
      <c r="AV148"/>
      <c r="AW148"/>
      <c r="AX148" s="48"/>
    </row>
    <row r="149" spans="4:50" s="93" customFormat="1" x14ac:dyDescent="0.35">
      <c r="D149" s="92"/>
      <c r="F149" s="168"/>
      <c r="G149"/>
      <c r="H149"/>
      <c r="I149"/>
      <c r="J149" s="321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 s="48"/>
      <c r="AA149"/>
      <c r="AB149"/>
      <c r="AC149"/>
      <c r="AD149"/>
      <c r="AE149"/>
      <c r="AF149"/>
      <c r="AG149"/>
      <c r="AH149"/>
      <c r="AI149"/>
      <c r="AJ149"/>
      <c r="AK149"/>
      <c r="AL149" s="48"/>
      <c r="AM149"/>
      <c r="AN149"/>
      <c r="AO149"/>
      <c r="AP149"/>
      <c r="AQ149"/>
      <c r="AR149"/>
      <c r="AS149"/>
      <c r="AT149"/>
      <c r="AU149"/>
      <c r="AV149"/>
      <c r="AW149"/>
      <c r="AX149" s="48"/>
    </row>
    <row r="150" spans="4:50" s="93" customFormat="1" x14ac:dyDescent="0.35">
      <c r="D150" s="92"/>
      <c r="F150" s="168"/>
      <c r="G150"/>
      <c r="H150"/>
      <c r="I150"/>
      <c r="J150" s="321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 s="48"/>
      <c r="AA150"/>
      <c r="AB150"/>
      <c r="AC150"/>
      <c r="AD150"/>
      <c r="AE150"/>
      <c r="AF150"/>
      <c r="AG150"/>
      <c r="AH150"/>
      <c r="AI150"/>
      <c r="AJ150"/>
      <c r="AK150"/>
      <c r="AL150" s="48"/>
      <c r="AM150"/>
      <c r="AN150"/>
      <c r="AO150"/>
      <c r="AP150"/>
      <c r="AQ150"/>
      <c r="AR150"/>
      <c r="AS150"/>
      <c r="AT150"/>
      <c r="AU150"/>
      <c r="AV150"/>
      <c r="AW150"/>
      <c r="AX150" s="48"/>
    </row>
    <row r="151" spans="4:50" s="93" customFormat="1" x14ac:dyDescent="0.35">
      <c r="D151" s="92"/>
      <c r="F151" s="168"/>
      <c r="G151"/>
      <c r="H151"/>
      <c r="I151"/>
      <c r="J151" s="32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 s="48"/>
      <c r="AA151"/>
      <c r="AB151"/>
      <c r="AC151"/>
      <c r="AD151"/>
      <c r="AE151"/>
      <c r="AF151"/>
      <c r="AG151"/>
      <c r="AH151"/>
      <c r="AI151"/>
      <c r="AJ151"/>
      <c r="AK151"/>
      <c r="AL151" s="48"/>
      <c r="AM151"/>
      <c r="AN151"/>
      <c r="AO151"/>
      <c r="AP151"/>
      <c r="AQ151"/>
      <c r="AR151"/>
      <c r="AS151"/>
      <c r="AT151"/>
      <c r="AU151"/>
      <c r="AV151"/>
      <c r="AW151"/>
      <c r="AX151" s="48"/>
    </row>
    <row r="152" spans="4:50" s="93" customFormat="1" x14ac:dyDescent="0.35">
      <c r="D152" s="92"/>
      <c r="F152" s="168"/>
      <c r="G152"/>
      <c r="H152"/>
      <c r="I152"/>
      <c r="J152" s="321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 s="48"/>
      <c r="AA152"/>
      <c r="AB152"/>
      <c r="AC152"/>
      <c r="AD152"/>
      <c r="AE152"/>
      <c r="AF152"/>
      <c r="AG152"/>
      <c r="AH152"/>
      <c r="AI152"/>
      <c r="AJ152"/>
      <c r="AK152"/>
      <c r="AL152" s="48"/>
      <c r="AM152"/>
      <c r="AN152"/>
      <c r="AO152"/>
      <c r="AP152"/>
      <c r="AQ152"/>
      <c r="AR152"/>
      <c r="AS152"/>
      <c r="AT152"/>
      <c r="AU152"/>
      <c r="AV152"/>
      <c r="AW152"/>
      <c r="AX152" s="48"/>
    </row>
    <row r="153" spans="4:50" s="93" customFormat="1" x14ac:dyDescent="0.35">
      <c r="D153" s="92"/>
      <c r="F153" s="168"/>
      <c r="G153"/>
      <c r="H153"/>
      <c r="I153"/>
      <c r="J153" s="321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 s="48"/>
      <c r="AA153"/>
      <c r="AB153"/>
      <c r="AC153"/>
      <c r="AD153"/>
      <c r="AE153"/>
      <c r="AF153"/>
      <c r="AG153"/>
      <c r="AH153"/>
      <c r="AI153"/>
      <c r="AJ153"/>
      <c r="AK153"/>
      <c r="AL153" s="48"/>
      <c r="AM153"/>
      <c r="AN153"/>
      <c r="AO153"/>
      <c r="AP153"/>
      <c r="AQ153"/>
      <c r="AR153"/>
      <c r="AS153"/>
      <c r="AT153"/>
      <c r="AU153"/>
      <c r="AV153"/>
      <c r="AW153"/>
      <c r="AX153" s="48"/>
    </row>
    <row r="154" spans="4:50" s="93" customFormat="1" x14ac:dyDescent="0.35">
      <c r="D154" s="92"/>
      <c r="F154" s="168"/>
      <c r="G154"/>
      <c r="H154"/>
      <c r="I154"/>
      <c r="J154" s="321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 s="48"/>
      <c r="AA154"/>
      <c r="AB154"/>
      <c r="AC154"/>
      <c r="AD154"/>
      <c r="AE154"/>
      <c r="AF154"/>
      <c r="AG154"/>
      <c r="AH154"/>
      <c r="AI154"/>
      <c r="AJ154"/>
      <c r="AK154"/>
      <c r="AL154" s="48"/>
      <c r="AM154"/>
      <c r="AN154"/>
      <c r="AO154"/>
      <c r="AP154"/>
      <c r="AQ154"/>
      <c r="AR154"/>
      <c r="AS154"/>
      <c r="AT154"/>
      <c r="AU154"/>
      <c r="AV154"/>
      <c r="AW154"/>
      <c r="AX154" s="48"/>
    </row>
    <row r="155" spans="4:50" s="93" customFormat="1" x14ac:dyDescent="0.35">
      <c r="D155" s="92"/>
      <c r="F155" s="168"/>
      <c r="G155"/>
      <c r="H155"/>
      <c r="I155"/>
      <c r="J155" s="321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 s="48"/>
      <c r="AA155"/>
      <c r="AB155"/>
      <c r="AC155"/>
      <c r="AD155"/>
      <c r="AE155"/>
      <c r="AF155"/>
      <c r="AG155"/>
      <c r="AH155"/>
      <c r="AI155"/>
      <c r="AJ155"/>
      <c r="AK155"/>
      <c r="AL155" s="48"/>
      <c r="AM155"/>
      <c r="AN155"/>
      <c r="AO155"/>
      <c r="AP155"/>
      <c r="AQ155"/>
      <c r="AR155"/>
      <c r="AS155"/>
      <c r="AT155"/>
      <c r="AU155"/>
      <c r="AV155"/>
      <c r="AW155"/>
      <c r="AX155" s="48"/>
    </row>
    <row r="156" spans="4:50" s="93" customFormat="1" x14ac:dyDescent="0.35">
      <c r="D156" s="92"/>
      <c r="F156" s="168"/>
      <c r="G156"/>
      <c r="H156"/>
      <c r="I156"/>
      <c r="J156" s="321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 s="48"/>
      <c r="AA156"/>
      <c r="AB156"/>
      <c r="AC156"/>
      <c r="AD156"/>
      <c r="AE156"/>
      <c r="AF156"/>
      <c r="AG156"/>
      <c r="AH156"/>
      <c r="AI156"/>
      <c r="AJ156"/>
      <c r="AK156"/>
      <c r="AL156" s="48"/>
      <c r="AM156"/>
      <c r="AN156"/>
      <c r="AO156"/>
      <c r="AP156"/>
      <c r="AQ156"/>
      <c r="AR156"/>
      <c r="AS156"/>
      <c r="AT156"/>
      <c r="AU156"/>
      <c r="AV156"/>
      <c r="AW156"/>
      <c r="AX156" s="48"/>
    </row>
    <row r="157" spans="4:50" s="93" customFormat="1" x14ac:dyDescent="0.35">
      <c r="D157" s="92"/>
      <c r="F157" s="168"/>
      <c r="G157"/>
      <c r="H157"/>
      <c r="I157"/>
      <c r="J157" s="321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 s="48"/>
      <c r="AA157"/>
      <c r="AB157"/>
      <c r="AC157"/>
      <c r="AD157"/>
      <c r="AE157"/>
      <c r="AF157"/>
      <c r="AG157"/>
      <c r="AH157"/>
      <c r="AI157"/>
      <c r="AJ157"/>
      <c r="AK157"/>
      <c r="AL157" s="48"/>
      <c r="AM157"/>
      <c r="AN157"/>
      <c r="AO157"/>
      <c r="AP157"/>
      <c r="AQ157"/>
      <c r="AR157"/>
      <c r="AS157"/>
      <c r="AT157"/>
      <c r="AU157"/>
      <c r="AV157"/>
      <c r="AW157"/>
      <c r="AX157" s="48"/>
    </row>
    <row r="158" spans="4:50" s="93" customFormat="1" x14ac:dyDescent="0.35">
      <c r="D158" s="92"/>
      <c r="F158" s="168"/>
      <c r="G158"/>
      <c r="H158"/>
      <c r="I158"/>
      <c r="J158" s="321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 s="48"/>
      <c r="AA158"/>
      <c r="AB158"/>
      <c r="AC158"/>
      <c r="AD158"/>
      <c r="AE158"/>
      <c r="AF158"/>
      <c r="AG158"/>
      <c r="AH158"/>
      <c r="AI158"/>
      <c r="AJ158"/>
      <c r="AK158"/>
      <c r="AL158" s="48"/>
      <c r="AM158"/>
      <c r="AN158"/>
      <c r="AO158"/>
      <c r="AP158"/>
      <c r="AQ158"/>
      <c r="AR158"/>
      <c r="AS158"/>
      <c r="AT158"/>
      <c r="AU158"/>
      <c r="AV158"/>
      <c r="AW158"/>
      <c r="AX158" s="48"/>
    </row>
    <row r="159" spans="4:50" s="93" customFormat="1" x14ac:dyDescent="0.35">
      <c r="D159" s="92"/>
      <c r="F159" s="168"/>
      <c r="G159"/>
      <c r="H159"/>
      <c r="I159"/>
      <c r="J159" s="321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 s="48"/>
      <c r="AA159"/>
      <c r="AB159"/>
      <c r="AC159"/>
      <c r="AD159"/>
      <c r="AE159"/>
      <c r="AF159"/>
      <c r="AG159"/>
      <c r="AH159"/>
      <c r="AI159"/>
      <c r="AJ159"/>
      <c r="AK159"/>
      <c r="AL159" s="48"/>
      <c r="AM159"/>
      <c r="AN159"/>
      <c r="AO159"/>
      <c r="AP159"/>
      <c r="AQ159"/>
      <c r="AR159"/>
      <c r="AS159"/>
      <c r="AT159"/>
      <c r="AU159"/>
      <c r="AV159"/>
      <c r="AW159"/>
      <c r="AX159" s="48"/>
    </row>
    <row r="160" spans="4:50" s="93" customFormat="1" x14ac:dyDescent="0.35">
      <c r="D160" s="92"/>
      <c r="F160" s="168"/>
      <c r="G160"/>
      <c r="H160"/>
      <c r="I160"/>
      <c r="J160" s="321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 s="48"/>
      <c r="AA160"/>
      <c r="AB160"/>
      <c r="AC160"/>
      <c r="AD160"/>
      <c r="AE160"/>
      <c r="AF160"/>
      <c r="AG160"/>
      <c r="AH160"/>
      <c r="AI160"/>
      <c r="AJ160"/>
      <c r="AK160"/>
      <c r="AL160" s="48"/>
      <c r="AM160"/>
      <c r="AN160"/>
      <c r="AO160"/>
      <c r="AP160"/>
      <c r="AQ160"/>
      <c r="AR160"/>
      <c r="AS160"/>
      <c r="AT160"/>
      <c r="AU160"/>
      <c r="AV160"/>
      <c r="AW160"/>
      <c r="AX160" s="48"/>
    </row>
    <row r="161" spans="4:50" s="93" customFormat="1" x14ac:dyDescent="0.35">
      <c r="D161" s="92"/>
      <c r="F161" s="168"/>
      <c r="G161"/>
      <c r="H161"/>
      <c r="I161"/>
      <c r="J161" s="32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 s="48"/>
      <c r="AA161"/>
      <c r="AB161"/>
      <c r="AC161"/>
      <c r="AD161"/>
      <c r="AE161"/>
      <c r="AF161"/>
      <c r="AG161"/>
      <c r="AH161"/>
      <c r="AI161"/>
      <c r="AJ161"/>
      <c r="AK161"/>
      <c r="AL161" s="48"/>
      <c r="AM161"/>
      <c r="AN161"/>
      <c r="AO161"/>
      <c r="AP161"/>
      <c r="AQ161"/>
      <c r="AR161"/>
      <c r="AS161"/>
      <c r="AT161"/>
      <c r="AU161"/>
      <c r="AV161"/>
      <c r="AW161"/>
      <c r="AX161" s="48"/>
    </row>
    <row r="162" spans="4:50" s="93" customFormat="1" x14ac:dyDescent="0.35">
      <c r="D162" s="92"/>
      <c r="F162" s="168"/>
      <c r="G162"/>
      <c r="H162"/>
      <c r="I162"/>
      <c r="J162" s="321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 s="48"/>
      <c r="AA162"/>
      <c r="AB162"/>
      <c r="AC162"/>
      <c r="AD162"/>
      <c r="AE162"/>
      <c r="AF162"/>
      <c r="AG162"/>
      <c r="AH162"/>
      <c r="AI162"/>
      <c r="AJ162"/>
      <c r="AK162"/>
      <c r="AL162" s="48"/>
      <c r="AM162"/>
      <c r="AN162"/>
      <c r="AO162"/>
      <c r="AP162"/>
      <c r="AQ162"/>
      <c r="AR162"/>
      <c r="AS162"/>
      <c r="AT162"/>
      <c r="AU162"/>
      <c r="AV162"/>
      <c r="AW162"/>
      <c r="AX162" s="48"/>
    </row>
    <row r="163" spans="4:50" s="93" customFormat="1" x14ac:dyDescent="0.35">
      <c r="D163" s="92"/>
      <c r="F163" s="168"/>
      <c r="G163"/>
      <c r="H163"/>
      <c r="I163"/>
      <c r="J163" s="321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 s="48"/>
      <c r="AA163"/>
      <c r="AB163"/>
      <c r="AC163"/>
      <c r="AD163"/>
      <c r="AE163"/>
      <c r="AF163"/>
      <c r="AG163"/>
      <c r="AH163"/>
      <c r="AI163"/>
      <c r="AJ163"/>
      <c r="AK163"/>
      <c r="AL163" s="48"/>
      <c r="AM163"/>
      <c r="AN163"/>
      <c r="AO163"/>
      <c r="AP163"/>
      <c r="AQ163"/>
      <c r="AR163"/>
      <c r="AS163"/>
      <c r="AT163"/>
      <c r="AU163"/>
      <c r="AV163"/>
      <c r="AW163"/>
      <c r="AX163" s="48"/>
    </row>
    <row r="164" spans="4:50" s="93" customFormat="1" x14ac:dyDescent="0.35">
      <c r="D164" s="92"/>
      <c r="F164" s="168"/>
      <c r="G164"/>
      <c r="H164"/>
      <c r="I164"/>
      <c r="J164" s="321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 s="48"/>
      <c r="AA164"/>
      <c r="AB164"/>
      <c r="AC164"/>
      <c r="AD164"/>
      <c r="AE164"/>
      <c r="AF164"/>
      <c r="AG164"/>
      <c r="AH164"/>
      <c r="AI164"/>
      <c r="AJ164"/>
      <c r="AK164"/>
      <c r="AL164" s="48"/>
      <c r="AM164"/>
      <c r="AN164"/>
      <c r="AO164"/>
      <c r="AP164"/>
      <c r="AQ164"/>
      <c r="AR164"/>
      <c r="AS164"/>
      <c r="AT164"/>
      <c r="AU164"/>
      <c r="AV164"/>
      <c r="AW164"/>
      <c r="AX164" s="48"/>
    </row>
    <row r="165" spans="4:50" s="93" customFormat="1" x14ac:dyDescent="0.35">
      <c r="D165" s="92"/>
      <c r="F165" s="168"/>
      <c r="G165"/>
      <c r="H165"/>
      <c r="I165"/>
      <c r="J165" s="321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 s="48"/>
      <c r="AA165"/>
      <c r="AB165"/>
      <c r="AC165"/>
      <c r="AD165"/>
      <c r="AE165"/>
      <c r="AF165"/>
      <c r="AG165"/>
      <c r="AH165"/>
      <c r="AI165"/>
      <c r="AJ165"/>
      <c r="AK165"/>
      <c r="AL165" s="48"/>
      <c r="AM165"/>
      <c r="AN165"/>
      <c r="AO165"/>
      <c r="AP165"/>
      <c r="AQ165"/>
      <c r="AR165"/>
      <c r="AS165"/>
      <c r="AT165"/>
      <c r="AU165"/>
      <c r="AV165"/>
      <c r="AW165"/>
      <c r="AX165" s="48"/>
    </row>
    <row r="166" spans="4:50" s="93" customFormat="1" x14ac:dyDescent="0.35">
      <c r="D166" s="92"/>
      <c r="F166" s="168"/>
      <c r="G166"/>
      <c r="H166"/>
      <c r="I166"/>
      <c r="J166" s="321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 s="48"/>
      <c r="AA166"/>
      <c r="AB166"/>
      <c r="AC166"/>
      <c r="AD166"/>
      <c r="AE166"/>
      <c r="AF166"/>
      <c r="AG166"/>
      <c r="AH166"/>
      <c r="AI166"/>
      <c r="AJ166"/>
      <c r="AK166"/>
      <c r="AL166" s="48"/>
      <c r="AM166"/>
      <c r="AN166"/>
      <c r="AO166"/>
      <c r="AP166"/>
      <c r="AQ166"/>
      <c r="AR166"/>
      <c r="AS166"/>
      <c r="AT166"/>
      <c r="AU166"/>
      <c r="AV166"/>
      <c r="AW166"/>
      <c r="AX166" s="48"/>
    </row>
    <row r="167" spans="4:50" s="93" customFormat="1" x14ac:dyDescent="0.35">
      <c r="D167" s="92"/>
      <c r="F167" s="168"/>
      <c r="G167"/>
      <c r="H167"/>
      <c r="I167"/>
      <c r="J167" s="321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 s="48"/>
      <c r="AA167"/>
      <c r="AB167"/>
      <c r="AC167"/>
      <c r="AD167"/>
      <c r="AE167"/>
      <c r="AF167"/>
      <c r="AG167"/>
      <c r="AH167"/>
      <c r="AI167"/>
      <c r="AJ167"/>
      <c r="AK167"/>
      <c r="AL167" s="48"/>
      <c r="AM167"/>
      <c r="AN167"/>
      <c r="AO167"/>
      <c r="AP167"/>
      <c r="AQ167"/>
      <c r="AR167"/>
      <c r="AS167"/>
      <c r="AT167"/>
      <c r="AU167"/>
      <c r="AV167"/>
      <c r="AW167"/>
      <c r="AX167" s="48"/>
    </row>
    <row r="168" spans="4:50" s="93" customFormat="1" x14ac:dyDescent="0.35">
      <c r="D168" s="92"/>
      <c r="F168" s="168"/>
      <c r="G168"/>
      <c r="H168"/>
      <c r="I168"/>
      <c r="J168" s="321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 s="48"/>
      <c r="AA168"/>
      <c r="AB168"/>
      <c r="AC168"/>
      <c r="AD168"/>
      <c r="AE168"/>
      <c r="AF168"/>
      <c r="AG168"/>
      <c r="AH168"/>
      <c r="AI168"/>
      <c r="AJ168"/>
      <c r="AK168"/>
      <c r="AL168" s="48"/>
      <c r="AM168"/>
      <c r="AN168"/>
      <c r="AO168"/>
      <c r="AP168"/>
      <c r="AQ168"/>
      <c r="AR168"/>
      <c r="AS168"/>
      <c r="AT168"/>
      <c r="AU168"/>
      <c r="AV168"/>
      <c r="AW168"/>
      <c r="AX168" s="48"/>
    </row>
    <row r="169" spans="4:50" s="93" customFormat="1" x14ac:dyDescent="0.35">
      <c r="D169" s="92"/>
      <c r="F169" s="168"/>
      <c r="G169"/>
      <c r="H169"/>
      <c r="I169"/>
      <c r="J169" s="321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 s="48"/>
      <c r="AA169"/>
      <c r="AB169"/>
      <c r="AC169"/>
      <c r="AD169"/>
      <c r="AE169"/>
      <c r="AF169"/>
      <c r="AG169"/>
      <c r="AH169"/>
      <c r="AI169"/>
      <c r="AJ169"/>
      <c r="AK169"/>
      <c r="AL169" s="48"/>
      <c r="AM169"/>
      <c r="AN169"/>
      <c r="AO169"/>
      <c r="AP169"/>
      <c r="AQ169"/>
      <c r="AR169"/>
      <c r="AS169"/>
      <c r="AT169"/>
      <c r="AU169"/>
      <c r="AV169"/>
      <c r="AW169"/>
      <c r="AX169" s="48"/>
    </row>
    <row r="170" spans="4:50" s="93" customFormat="1" x14ac:dyDescent="0.35">
      <c r="D170" s="92"/>
      <c r="F170" s="168"/>
      <c r="G170"/>
      <c r="H170"/>
      <c r="I170"/>
      <c r="J170" s="321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 s="48"/>
      <c r="AA170"/>
      <c r="AB170"/>
      <c r="AC170"/>
      <c r="AD170"/>
      <c r="AE170"/>
      <c r="AF170"/>
      <c r="AG170"/>
      <c r="AH170"/>
      <c r="AI170"/>
      <c r="AJ170"/>
      <c r="AK170"/>
      <c r="AL170" s="48"/>
      <c r="AM170"/>
      <c r="AN170"/>
      <c r="AO170"/>
      <c r="AP170"/>
      <c r="AQ170"/>
      <c r="AR170"/>
      <c r="AS170"/>
      <c r="AT170"/>
      <c r="AU170"/>
      <c r="AV170"/>
      <c r="AW170"/>
      <c r="AX170" s="48"/>
    </row>
    <row r="171" spans="4:50" s="93" customFormat="1" x14ac:dyDescent="0.35">
      <c r="D171" s="92"/>
      <c r="F171" s="168"/>
      <c r="G171"/>
      <c r="H171"/>
      <c r="I171"/>
      <c r="J171" s="32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 s="48"/>
      <c r="AA171"/>
      <c r="AB171"/>
      <c r="AC171"/>
      <c r="AD171"/>
      <c r="AE171"/>
      <c r="AF171"/>
      <c r="AG171"/>
      <c r="AH171"/>
      <c r="AI171"/>
      <c r="AJ171"/>
      <c r="AK171"/>
      <c r="AL171" s="48"/>
      <c r="AM171"/>
      <c r="AN171"/>
      <c r="AO171"/>
      <c r="AP171"/>
      <c r="AQ171"/>
      <c r="AR171"/>
      <c r="AS171"/>
      <c r="AT171"/>
      <c r="AU171"/>
      <c r="AV171"/>
      <c r="AW171"/>
      <c r="AX171" s="48"/>
    </row>
    <row r="172" spans="4:50" s="93" customFormat="1" x14ac:dyDescent="0.35">
      <c r="D172" s="92"/>
      <c r="F172" s="168"/>
      <c r="G172"/>
      <c r="H172"/>
      <c r="I172"/>
      <c r="J172" s="321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 s="48"/>
      <c r="AA172"/>
      <c r="AB172"/>
      <c r="AC172"/>
      <c r="AD172"/>
      <c r="AE172"/>
      <c r="AF172"/>
      <c r="AG172"/>
      <c r="AH172"/>
      <c r="AI172"/>
      <c r="AJ172"/>
      <c r="AK172"/>
      <c r="AL172" s="48"/>
      <c r="AM172"/>
      <c r="AN172"/>
      <c r="AO172"/>
      <c r="AP172"/>
      <c r="AQ172"/>
      <c r="AR172"/>
      <c r="AS172"/>
      <c r="AT172"/>
      <c r="AU172"/>
      <c r="AV172"/>
      <c r="AW172"/>
      <c r="AX172" s="48"/>
    </row>
    <row r="173" spans="4:50" s="93" customFormat="1" x14ac:dyDescent="0.35">
      <c r="D173" s="92"/>
      <c r="F173" s="168"/>
      <c r="G173"/>
      <c r="H173"/>
      <c r="I173"/>
      <c r="J173" s="321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 s="48"/>
      <c r="AA173"/>
      <c r="AB173"/>
      <c r="AC173"/>
      <c r="AD173"/>
      <c r="AE173"/>
      <c r="AF173"/>
      <c r="AG173"/>
      <c r="AH173"/>
      <c r="AI173"/>
      <c r="AJ173"/>
      <c r="AK173"/>
      <c r="AL173" s="48"/>
      <c r="AM173"/>
      <c r="AN173"/>
      <c r="AO173"/>
      <c r="AP173"/>
      <c r="AQ173"/>
      <c r="AR173"/>
      <c r="AS173"/>
      <c r="AT173"/>
      <c r="AU173"/>
      <c r="AV173"/>
      <c r="AW173"/>
      <c r="AX173" s="48"/>
    </row>
    <row r="174" spans="4:50" s="93" customFormat="1" x14ac:dyDescent="0.35">
      <c r="D174" s="92"/>
      <c r="F174" s="168"/>
      <c r="G174"/>
      <c r="H174"/>
      <c r="I174"/>
      <c r="J174" s="321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 s="48"/>
      <c r="AA174"/>
      <c r="AB174"/>
      <c r="AC174"/>
      <c r="AD174"/>
      <c r="AE174"/>
      <c r="AF174"/>
      <c r="AG174"/>
      <c r="AH174"/>
      <c r="AI174"/>
      <c r="AJ174"/>
      <c r="AK174"/>
      <c r="AL174" s="48"/>
      <c r="AM174"/>
      <c r="AN174"/>
      <c r="AO174"/>
      <c r="AP174"/>
      <c r="AQ174"/>
      <c r="AR174"/>
      <c r="AS174"/>
      <c r="AT174"/>
      <c r="AU174"/>
      <c r="AV174"/>
      <c r="AW174"/>
      <c r="AX174" s="48"/>
    </row>
    <row r="175" spans="4:50" s="93" customFormat="1" x14ac:dyDescent="0.35">
      <c r="D175" s="92"/>
      <c r="F175" s="168"/>
      <c r="G175"/>
      <c r="H175"/>
      <c r="I175"/>
      <c r="J175" s="321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 s="48"/>
      <c r="AA175"/>
      <c r="AB175"/>
      <c r="AC175"/>
      <c r="AD175"/>
      <c r="AE175"/>
      <c r="AF175"/>
      <c r="AG175"/>
      <c r="AH175"/>
      <c r="AI175"/>
      <c r="AJ175"/>
      <c r="AK175"/>
      <c r="AL175" s="48"/>
      <c r="AM175"/>
      <c r="AN175"/>
      <c r="AO175"/>
      <c r="AP175"/>
      <c r="AQ175"/>
      <c r="AR175"/>
      <c r="AS175"/>
      <c r="AT175"/>
      <c r="AU175"/>
      <c r="AV175"/>
      <c r="AW175"/>
      <c r="AX175" s="48"/>
    </row>
    <row r="176" spans="4:50" s="93" customFormat="1" x14ac:dyDescent="0.35">
      <c r="D176" s="92"/>
      <c r="F176" s="168"/>
      <c r="G176"/>
      <c r="H176"/>
      <c r="I176"/>
      <c r="J176" s="321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 s="48"/>
      <c r="AA176"/>
      <c r="AB176"/>
      <c r="AC176"/>
      <c r="AD176"/>
      <c r="AE176"/>
      <c r="AF176"/>
      <c r="AG176"/>
      <c r="AH176"/>
      <c r="AI176"/>
      <c r="AJ176"/>
      <c r="AK176"/>
      <c r="AL176" s="48"/>
      <c r="AM176"/>
      <c r="AN176"/>
      <c r="AO176"/>
      <c r="AP176"/>
      <c r="AQ176"/>
      <c r="AR176"/>
      <c r="AS176"/>
      <c r="AT176"/>
      <c r="AU176"/>
      <c r="AV176"/>
      <c r="AW176"/>
      <c r="AX176" s="48"/>
    </row>
    <row r="177" spans="4:50" s="93" customFormat="1" x14ac:dyDescent="0.35">
      <c r="D177" s="92"/>
      <c r="F177" s="168"/>
      <c r="G177"/>
      <c r="H177"/>
      <c r="I177"/>
      <c r="J177" s="321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 s="48"/>
      <c r="AA177"/>
      <c r="AB177"/>
      <c r="AC177"/>
      <c r="AD177"/>
      <c r="AE177"/>
      <c r="AF177"/>
      <c r="AG177"/>
      <c r="AH177"/>
      <c r="AI177"/>
      <c r="AJ177"/>
      <c r="AK177"/>
      <c r="AL177" s="48"/>
      <c r="AM177"/>
      <c r="AN177"/>
      <c r="AO177"/>
      <c r="AP177"/>
      <c r="AQ177"/>
      <c r="AR177"/>
      <c r="AS177"/>
      <c r="AT177"/>
      <c r="AU177"/>
      <c r="AV177"/>
      <c r="AW177"/>
      <c r="AX177" s="48"/>
    </row>
    <row r="178" spans="4:50" s="93" customFormat="1" x14ac:dyDescent="0.35">
      <c r="D178" s="92"/>
      <c r="F178" s="168"/>
      <c r="G178"/>
      <c r="H178"/>
      <c r="I178"/>
      <c r="J178" s="321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 s="48"/>
      <c r="AA178"/>
      <c r="AB178"/>
      <c r="AC178"/>
      <c r="AD178"/>
      <c r="AE178"/>
      <c r="AF178"/>
      <c r="AG178"/>
      <c r="AH178"/>
      <c r="AI178"/>
      <c r="AJ178"/>
      <c r="AK178"/>
      <c r="AL178" s="48"/>
      <c r="AM178"/>
      <c r="AN178"/>
      <c r="AO178"/>
      <c r="AP178"/>
      <c r="AQ178"/>
      <c r="AR178"/>
      <c r="AS178"/>
      <c r="AT178"/>
      <c r="AU178"/>
      <c r="AV178"/>
      <c r="AW178"/>
      <c r="AX178" s="48"/>
    </row>
    <row r="179" spans="4:50" s="93" customFormat="1" x14ac:dyDescent="0.35">
      <c r="D179" s="92"/>
      <c r="F179" s="168"/>
      <c r="G179"/>
      <c r="H179"/>
      <c r="I179"/>
      <c r="J179" s="321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 s="48"/>
      <c r="AA179"/>
      <c r="AB179"/>
      <c r="AC179"/>
      <c r="AD179"/>
      <c r="AE179"/>
      <c r="AF179"/>
      <c r="AG179"/>
      <c r="AH179"/>
      <c r="AI179"/>
      <c r="AJ179"/>
      <c r="AK179"/>
      <c r="AL179" s="48"/>
      <c r="AM179"/>
      <c r="AN179"/>
      <c r="AO179"/>
      <c r="AP179"/>
      <c r="AQ179"/>
      <c r="AR179"/>
      <c r="AS179"/>
      <c r="AT179"/>
      <c r="AU179"/>
      <c r="AV179"/>
      <c r="AW179"/>
      <c r="AX179" s="48"/>
    </row>
    <row r="180" spans="4:50" s="93" customFormat="1" x14ac:dyDescent="0.35">
      <c r="D180" s="92"/>
      <c r="F180" s="168"/>
      <c r="G180"/>
      <c r="H180"/>
      <c r="I180"/>
      <c r="J180" s="321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 s="48"/>
      <c r="AA180"/>
      <c r="AB180"/>
      <c r="AC180"/>
      <c r="AD180"/>
      <c r="AE180"/>
      <c r="AF180"/>
      <c r="AG180"/>
      <c r="AH180"/>
      <c r="AI180"/>
      <c r="AJ180"/>
      <c r="AK180"/>
      <c r="AL180" s="48"/>
      <c r="AM180"/>
      <c r="AN180"/>
      <c r="AO180"/>
      <c r="AP180"/>
      <c r="AQ180"/>
      <c r="AR180"/>
      <c r="AS180"/>
      <c r="AT180"/>
      <c r="AU180"/>
      <c r="AV180"/>
      <c r="AW180"/>
      <c r="AX180" s="48"/>
    </row>
    <row r="181" spans="4:50" s="93" customFormat="1" x14ac:dyDescent="0.35">
      <c r="D181" s="92"/>
      <c r="F181" s="168"/>
      <c r="G181"/>
      <c r="H181"/>
      <c r="I181"/>
      <c r="J181" s="32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 s="48"/>
      <c r="AA181"/>
      <c r="AB181"/>
      <c r="AC181"/>
      <c r="AD181"/>
      <c r="AE181"/>
      <c r="AF181"/>
      <c r="AG181"/>
      <c r="AH181"/>
      <c r="AI181"/>
      <c r="AJ181"/>
      <c r="AK181"/>
      <c r="AL181" s="48"/>
      <c r="AM181"/>
      <c r="AN181"/>
      <c r="AO181"/>
      <c r="AP181"/>
      <c r="AQ181"/>
      <c r="AR181"/>
      <c r="AS181"/>
      <c r="AT181"/>
      <c r="AU181"/>
      <c r="AV181"/>
      <c r="AW181"/>
      <c r="AX181" s="48"/>
    </row>
    <row r="182" spans="4:50" s="93" customFormat="1" ht="15" thickBot="1" x14ac:dyDescent="0.4">
      <c r="D182" s="92"/>
      <c r="F182" s="168"/>
      <c r="G182"/>
      <c r="H182"/>
      <c r="I182"/>
      <c r="J182" s="321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 s="48"/>
      <c r="AA182"/>
      <c r="AB182"/>
      <c r="AC182"/>
      <c r="AD182"/>
      <c r="AE182"/>
      <c r="AF182"/>
      <c r="AG182"/>
      <c r="AH182"/>
      <c r="AI182"/>
      <c r="AJ182"/>
      <c r="AK182"/>
      <c r="AL182" s="48"/>
      <c r="AM182"/>
      <c r="AN182"/>
      <c r="AO182"/>
      <c r="AP182"/>
      <c r="AQ182"/>
      <c r="AR182"/>
      <c r="AS182"/>
      <c r="AT182"/>
      <c r="AU182"/>
      <c r="AV182"/>
      <c r="AW182"/>
      <c r="AX182" s="48"/>
    </row>
    <row r="183" spans="4:50" s="99" customFormat="1" x14ac:dyDescent="0.35">
      <c r="D183" s="100"/>
      <c r="F183" s="248"/>
      <c r="G183" s="7"/>
      <c r="H183" s="7"/>
      <c r="I183" s="7"/>
      <c r="J183" s="384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91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91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91"/>
    </row>
    <row r="184" spans="4:50" s="93" customFormat="1" x14ac:dyDescent="0.35">
      <c r="D184" s="92"/>
      <c r="F184" s="168"/>
      <c r="G184"/>
      <c r="H184"/>
      <c r="I184"/>
      <c r="J184" s="321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 s="48"/>
      <c r="AA184"/>
      <c r="AB184"/>
      <c r="AC184"/>
      <c r="AD184"/>
      <c r="AE184"/>
      <c r="AF184"/>
      <c r="AG184"/>
      <c r="AH184"/>
      <c r="AI184"/>
      <c r="AJ184"/>
      <c r="AK184"/>
      <c r="AL184" s="48"/>
      <c r="AM184"/>
      <c r="AN184"/>
      <c r="AO184"/>
      <c r="AP184"/>
      <c r="AQ184"/>
      <c r="AR184"/>
      <c r="AS184"/>
      <c r="AT184"/>
      <c r="AU184"/>
      <c r="AV184"/>
      <c r="AW184"/>
      <c r="AX184" s="48"/>
    </row>
    <row r="185" spans="4:50" s="93" customFormat="1" x14ac:dyDescent="0.35">
      <c r="D185" s="92"/>
      <c r="F185" s="168"/>
      <c r="G185"/>
      <c r="H185"/>
      <c r="I185"/>
      <c r="J185" s="321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 s="48"/>
      <c r="AA185"/>
      <c r="AB185"/>
      <c r="AC185"/>
      <c r="AD185"/>
      <c r="AE185"/>
      <c r="AF185"/>
      <c r="AG185"/>
      <c r="AH185"/>
      <c r="AI185"/>
      <c r="AJ185"/>
      <c r="AK185"/>
      <c r="AL185" s="48"/>
      <c r="AM185"/>
      <c r="AN185"/>
      <c r="AO185"/>
      <c r="AP185"/>
      <c r="AQ185"/>
      <c r="AR185"/>
      <c r="AS185"/>
      <c r="AT185"/>
      <c r="AU185"/>
      <c r="AV185"/>
      <c r="AW185"/>
      <c r="AX185" s="48"/>
    </row>
    <row r="186" spans="4:50" s="93" customFormat="1" x14ac:dyDescent="0.35">
      <c r="D186" s="92"/>
      <c r="F186" s="168"/>
      <c r="G186"/>
      <c r="H186"/>
      <c r="I186"/>
      <c r="J186" s="321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 s="48"/>
      <c r="AA186"/>
      <c r="AB186"/>
      <c r="AC186"/>
      <c r="AD186"/>
      <c r="AE186"/>
      <c r="AF186"/>
      <c r="AG186"/>
      <c r="AH186"/>
      <c r="AI186"/>
      <c r="AJ186"/>
      <c r="AK186"/>
      <c r="AL186" s="48"/>
      <c r="AM186"/>
      <c r="AN186"/>
      <c r="AO186"/>
      <c r="AP186"/>
      <c r="AQ186"/>
      <c r="AR186"/>
      <c r="AS186"/>
      <c r="AT186"/>
      <c r="AU186"/>
      <c r="AV186"/>
      <c r="AW186"/>
      <c r="AX186" s="48"/>
    </row>
    <row r="187" spans="4:50" s="93" customFormat="1" x14ac:dyDescent="0.35">
      <c r="D187" s="92"/>
      <c r="F187" s="168"/>
      <c r="G187"/>
      <c r="H187"/>
      <c r="I187"/>
      <c r="J187" s="321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 s="48"/>
      <c r="AA187"/>
      <c r="AB187"/>
      <c r="AC187"/>
      <c r="AD187"/>
      <c r="AE187"/>
      <c r="AF187"/>
      <c r="AG187"/>
      <c r="AH187"/>
      <c r="AI187"/>
      <c r="AJ187"/>
      <c r="AK187"/>
      <c r="AL187" s="48"/>
      <c r="AM187"/>
      <c r="AN187"/>
      <c r="AO187"/>
      <c r="AP187"/>
      <c r="AQ187"/>
      <c r="AR187"/>
      <c r="AS187"/>
      <c r="AT187"/>
      <c r="AU187"/>
      <c r="AV187"/>
      <c r="AW187"/>
      <c r="AX187" s="48"/>
    </row>
    <row r="188" spans="4:50" s="93" customFormat="1" x14ac:dyDescent="0.35">
      <c r="D188" s="92"/>
      <c r="F188" s="168"/>
      <c r="G188"/>
      <c r="H188"/>
      <c r="I188"/>
      <c r="J188" s="321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 s="48"/>
      <c r="AA188"/>
      <c r="AB188"/>
      <c r="AC188"/>
      <c r="AD188"/>
      <c r="AE188"/>
      <c r="AF188"/>
      <c r="AG188"/>
      <c r="AH188"/>
      <c r="AI188"/>
      <c r="AJ188"/>
      <c r="AK188"/>
      <c r="AL188" s="48"/>
      <c r="AM188"/>
      <c r="AN188"/>
      <c r="AO188"/>
      <c r="AP188"/>
      <c r="AQ188"/>
      <c r="AR188"/>
      <c r="AS188"/>
      <c r="AT188"/>
      <c r="AU188"/>
      <c r="AV188"/>
      <c r="AW188"/>
      <c r="AX188" s="48"/>
    </row>
    <row r="189" spans="4:50" s="93" customFormat="1" x14ac:dyDescent="0.35">
      <c r="D189" s="92"/>
      <c r="F189" s="168"/>
      <c r="G189"/>
      <c r="H189"/>
      <c r="I189"/>
      <c r="J189" s="321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 s="48"/>
      <c r="AA189"/>
      <c r="AB189"/>
      <c r="AC189"/>
      <c r="AD189"/>
      <c r="AE189"/>
      <c r="AF189"/>
      <c r="AG189"/>
      <c r="AH189"/>
      <c r="AI189"/>
      <c r="AJ189"/>
      <c r="AK189"/>
      <c r="AL189" s="48"/>
      <c r="AM189"/>
      <c r="AN189"/>
      <c r="AO189"/>
      <c r="AP189"/>
      <c r="AQ189"/>
      <c r="AR189"/>
      <c r="AS189"/>
      <c r="AT189"/>
      <c r="AU189"/>
      <c r="AV189"/>
      <c r="AW189"/>
      <c r="AX189" s="48"/>
    </row>
    <row r="190" spans="4:50" s="93" customFormat="1" x14ac:dyDescent="0.35">
      <c r="D190" s="92"/>
      <c r="F190" s="168"/>
      <c r="G190"/>
      <c r="H190"/>
      <c r="I190"/>
      <c r="J190" s="321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 s="48"/>
      <c r="AA190"/>
      <c r="AB190"/>
      <c r="AC190"/>
      <c r="AD190"/>
      <c r="AE190"/>
      <c r="AF190"/>
      <c r="AG190"/>
      <c r="AH190"/>
      <c r="AI190"/>
      <c r="AJ190"/>
      <c r="AK190"/>
      <c r="AL190" s="48"/>
      <c r="AM190"/>
      <c r="AN190"/>
      <c r="AO190"/>
      <c r="AP190"/>
      <c r="AQ190"/>
      <c r="AR190"/>
      <c r="AS190"/>
      <c r="AT190"/>
      <c r="AU190"/>
      <c r="AV190"/>
      <c r="AW190"/>
      <c r="AX190" s="48"/>
    </row>
    <row r="191" spans="4:50" s="93" customFormat="1" x14ac:dyDescent="0.35">
      <c r="D191" s="92"/>
      <c r="F191" s="168"/>
      <c r="G191"/>
      <c r="H191"/>
      <c r="I191"/>
      <c r="J191" s="32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 s="48"/>
      <c r="AA191"/>
      <c r="AB191"/>
      <c r="AC191"/>
      <c r="AD191"/>
      <c r="AE191"/>
      <c r="AF191"/>
      <c r="AG191"/>
      <c r="AH191"/>
      <c r="AI191"/>
      <c r="AJ191"/>
      <c r="AK191"/>
      <c r="AL191" s="48"/>
      <c r="AM191"/>
      <c r="AN191"/>
      <c r="AO191"/>
      <c r="AP191"/>
      <c r="AQ191"/>
      <c r="AR191"/>
      <c r="AS191"/>
      <c r="AT191"/>
      <c r="AU191"/>
      <c r="AV191"/>
      <c r="AW191"/>
      <c r="AX191" s="48"/>
    </row>
    <row r="192" spans="4:50" s="93" customFormat="1" x14ac:dyDescent="0.35">
      <c r="D192" s="92"/>
      <c r="F192" s="168"/>
      <c r="G192"/>
      <c r="H192"/>
      <c r="I192"/>
      <c r="J192" s="321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 s="48"/>
      <c r="AA192"/>
      <c r="AB192"/>
      <c r="AC192"/>
      <c r="AD192"/>
      <c r="AE192"/>
      <c r="AF192"/>
      <c r="AG192"/>
      <c r="AH192"/>
      <c r="AI192"/>
      <c r="AJ192"/>
      <c r="AK192"/>
      <c r="AL192" s="48"/>
      <c r="AM192"/>
      <c r="AN192"/>
      <c r="AO192"/>
      <c r="AP192"/>
      <c r="AQ192"/>
      <c r="AR192"/>
      <c r="AS192"/>
      <c r="AT192"/>
      <c r="AU192"/>
      <c r="AV192"/>
      <c r="AW192"/>
      <c r="AX192" s="48"/>
    </row>
    <row r="193" spans="4:50" s="93" customFormat="1" x14ac:dyDescent="0.35">
      <c r="D193" s="92"/>
      <c r="F193" s="168"/>
      <c r="G193"/>
      <c r="H193"/>
      <c r="I193"/>
      <c r="J193" s="321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 s="48"/>
      <c r="AA193"/>
      <c r="AB193"/>
      <c r="AC193"/>
      <c r="AD193"/>
      <c r="AE193"/>
      <c r="AF193"/>
      <c r="AG193"/>
      <c r="AH193"/>
      <c r="AI193"/>
      <c r="AJ193"/>
      <c r="AK193"/>
      <c r="AL193" s="48"/>
      <c r="AM193"/>
      <c r="AN193"/>
      <c r="AO193"/>
      <c r="AP193"/>
      <c r="AQ193"/>
      <c r="AR193"/>
      <c r="AS193"/>
      <c r="AT193"/>
      <c r="AU193"/>
      <c r="AV193"/>
      <c r="AW193"/>
      <c r="AX193" s="48"/>
    </row>
    <row r="194" spans="4:50" s="93" customFormat="1" x14ac:dyDescent="0.35">
      <c r="D194" s="92"/>
      <c r="F194" s="168"/>
      <c r="G194"/>
      <c r="H194"/>
      <c r="I194"/>
      <c r="J194" s="321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 s="48"/>
      <c r="AA194"/>
      <c r="AB194"/>
      <c r="AC194"/>
      <c r="AD194"/>
      <c r="AE194"/>
      <c r="AF194"/>
      <c r="AG194"/>
      <c r="AH194"/>
      <c r="AI194"/>
      <c r="AJ194"/>
      <c r="AK194"/>
      <c r="AL194" s="48"/>
      <c r="AM194"/>
      <c r="AN194"/>
      <c r="AO194"/>
      <c r="AP194"/>
      <c r="AQ194"/>
      <c r="AR194"/>
      <c r="AS194"/>
      <c r="AT194"/>
      <c r="AU194"/>
      <c r="AV194"/>
      <c r="AW194"/>
      <c r="AX194" s="48"/>
    </row>
    <row r="195" spans="4:50" s="93" customFormat="1" x14ac:dyDescent="0.35">
      <c r="D195" s="92"/>
      <c r="F195" s="168"/>
      <c r="G195"/>
      <c r="H195"/>
      <c r="I195"/>
      <c r="J195" s="321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 s="48"/>
      <c r="AA195"/>
      <c r="AB195"/>
      <c r="AC195"/>
      <c r="AD195"/>
      <c r="AE195"/>
      <c r="AF195"/>
      <c r="AG195"/>
      <c r="AH195"/>
      <c r="AI195"/>
      <c r="AJ195"/>
      <c r="AK195"/>
      <c r="AL195" s="48"/>
      <c r="AM195"/>
      <c r="AN195"/>
      <c r="AO195"/>
      <c r="AP195"/>
      <c r="AQ195"/>
      <c r="AR195"/>
      <c r="AS195"/>
      <c r="AT195"/>
      <c r="AU195"/>
      <c r="AV195"/>
      <c r="AW195"/>
      <c r="AX195" s="48"/>
    </row>
    <row r="196" spans="4:50" s="93" customFormat="1" x14ac:dyDescent="0.35">
      <c r="D196" s="92"/>
      <c r="F196" s="168"/>
      <c r="G196"/>
      <c r="H196"/>
      <c r="I196"/>
      <c r="J196" s="321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 s="48"/>
      <c r="AA196"/>
      <c r="AB196"/>
      <c r="AC196"/>
      <c r="AD196"/>
      <c r="AE196"/>
      <c r="AF196"/>
      <c r="AG196"/>
      <c r="AH196"/>
      <c r="AI196"/>
      <c r="AJ196"/>
      <c r="AK196"/>
      <c r="AL196" s="48"/>
      <c r="AM196"/>
      <c r="AN196"/>
      <c r="AO196"/>
      <c r="AP196"/>
      <c r="AQ196"/>
      <c r="AR196"/>
      <c r="AS196"/>
      <c r="AT196"/>
      <c r="AU196"/>
      <c r="AV196"/>
      <c r="AW196"/>
      <c r="AX196" s="48"/>
    </row>
    <row r="197" spans="4:50" s="93" customFormat="1" x14ac:dyDescent="0.35">
      <c r="D197" s="92"/>
      <c r="F197" s="168"/>
      <c r="G197"/>
      <c r="H197"/>
      <c r="I197"/>
      <c r="J197" s="321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 s="48"/>
      <c r="AA197"/>
      <c r="AB197"/>
      <c r="AC197"/>
      <c r="AD197"/>
      <c r="AE197"/>
      <c r="AF197"/>
      <c r="AG197"/>
      <c r="AH197"/>
      <c r="AI197"/>
      <c r="AJ197"/>
      <c r="AK197"/>
      <c r="AL197" s="48"/>
      <c r="AM197"/>
      <c r="AN197"/>
      <c r="AO197"/>
      <c r="AP197"/>
      <c r="AQ197"/>
      <c r="AR197"/>
      <c r="AS197"/>
      <c r="AT197"/>
      <c r="AU197"/>
      <c r="AV197"/>
      <c r="AW197"/>
      <c r="AX197" s="48"/>
    </row>
    <row r="198" spans="4:50" s="93" customFormat="1" x14ac:dyDescent="0.35">
      <c r="D198" s="92"/>
      <c r="F198" s="168"/>
      <c r="G198"/>
      <c r="H198"/>
      <c r="I198"/>
      <c r="J198" s="321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 s="48"/>
      <c r="AA198"/>
      <c r="AB198"/>
      <c r="AC198"/>
      <c r="AD198"/>
      <c r="AE198"/>
      <c r="AF198"/>
      <c r="AG198"/>
      <c r="AH198"/>
      <c r="AI198"/>
      <c r="AJ198"/>
      <c r="AK198"/>
      <c r="AL198" s="48"/>
      <c r="AM198"/>
      <c r="AN198"/>
      <c r="AO198"/>
      <c r="AP198"/>
      <c r="AQ198"/>
      <c r="AR198"/>
      <c r="AS198"/>
      <c r="AT198"/>
      <c r="AU198"/>
      <c r="AV198"/>
      <c r="AW198"/>
      <c r="AX198" s="48"/>
    </row>
    <row r="199" spans="4:50" s="93" customFormat="1" x14ac:dyDescent="0.35">
      <c r="D199" s="92"/>
      <c r="F199" s="168"/>
      <c r="G199"/>
      <c r="H199"/>
      <c r="I199"/>
      <c r="J199" s="321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 s="48"/>
      <c r="AA199"/>
      <c r="AB199"/>
      <c r="AC199"/>
      <c r="AD199"/>
      <c r="AE199"/>
      <c r="AF199"/>
      <c r="AG199"/>
      <c r="AH199"/>
      <c r="AI199"/>
      <c r="AJ199"/>
      <c r="AK199"/>
      <c r="AL199" s="48"/>
      <c r="AM199"/>
      <c r="AN199"/>
      <c r="AO199"/>
      <c r="AP199"/>
      <c r="AQ199"/>
      <c r="AR199"/>
      <c r="AS199"/>
      <c r="AT199"/>
      <c r="AU199"/>
      <c r="AV199"/>
      <c r="AW199"/>
      <c r="AX199" s="48"/>
    </row>
    <row r="200" spans="4:50" s="93" customFormat="1" x14ac:dyDescent="0.35">
      <c r="D200" s="92"/>
      <c r="F200" s="168"/>
      <c r="G200"/>
      <c r="H200"/>
      <c r="I200"/>
      <c r="J200" s="321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 s="48"/>
      <c r="AA200"/>
      <c r="AB200"/>
      <c r="AC200"/>
      <c r="AD200"/>
      <c r="AE200"/>
      <c r="AF200"/>
      <c r="AG200"/>
      <c r="AH200"/>
      <c r="AI200"/>
      <c r="AJ200"/>
      <c r="AK200"/>
      <c r="AL200" s="48"/>
      <c r="AM200"/>
      <c r="AN200"/>
      <c r="AO200"/>
      <c r="AP200"/>
      <c r="AQ200"/>
      <c r="AR200"/>
      <c r="AS200"/>
      <c r="AT200"/>
      <c r="AU200"/>
      <c r="AV200"/>
      <c r="AW200"/>
      <c r="AX200" s="48"/>
    </row>
    <row r="201" spans="4:50" s="93" customFormat="1" x14ac:dyDescent="0.35">
      <c r="D201" s="92"/>
      <c r="F201" s="168"/>
      <c r="G201"/>
      <c r="H201"/>
      <c r="I201"/>
      <c r="J201" s="32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 s="48"/>
      <c r="AA201"/>
      <c r="AB201"/>
      <c r="AC201"/>
      <c r="AD201"/>
      <c r="AE201"/>
      <c r="AF201"/>
      <c r="AG201"/>
      <c r="AH201"/>
      <c r="AI201"/>
      <c r="AJ201"/>
      <c r="AK201"/>
      <c r="AL201" s="48"/>
      <c r="AM201"/>
      <c r="AN201"/>
      <c r="AO201"/>
      <c r="AP201"/>
      <c r="AQ201"/>
      <c r="AR201"/>
      <c r="AS201"/>
      <c r="AT201"/>
      <c r="AU201"/>
      <c r="AV201"/>
      <c r="AW201"/>
      <c r="AX201" s="48"/>
    </row>
    <row r="202" spans="4:50" s="93" customFormat="1" x14ac:dyDescent="0.35">
      <c r="D202" s="92"/>
      <c r="F202" s="168"/>
      <c r="G202"/>
      <c r="H202"/>
      <c r="I202"/>
      <c r="J202" s="321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 s="48"/>
      <c r="AA202"/>
      <c r="AB202"/>
      <c r="AC202"/>
      <c r="AD202"/>
      <c r="AE202"/>
      <c r="AF202"/>
      <c r="AG202"/>
      <c r="AH202"/>
      <c r="AI202"/>
      <c r="AJ202"/>
      <c r="AK202"/>
      <c r="AL202" s="48"/>
      <c r="AM202"/>
      <c r="AN202"/>
      <c r="AO202"/>
      <c r="AP202"/>
      <c r="AQ202"/>
      <c r="AR202"/>
      <c r="AS202"/>
      <c r="AT202"/>
      <c r="AU202"/>
      <c r="AV202"/>
      <c r="AW202"/>
      <c r="AX202" s="48"/>
    </row>
    <row r="203" spans="4:50" s="93" customFormat="1" x14ac:dyDescent="0.35">
      <c r="D203" s="92"/>
      <c r="F203" s="168"/>
      <c r="G203"/>
      <c r="H203"/>
      <c r="I203"/>
      <c r="J203" s="321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 s="48"/>
      <c r="AA203"/>
      <c r="AB203"/>
      <c r="AC203"/>
      <c r="AD203"/>
      <c r="AE203"/>
      <c r="AF203"/>
      <c r="AG203"/>
      <c r="AH203"/>
      <c r="AI203"/>
      <c r="AJ203"/>
      <c r="AK203"/>
      <c r="AL203" s="48"/>
      <c r="AM203"/>
      <c r="AN203"/>
      <c r="AO203"/>
      <c r="AP203"/>
      <c r="AQ203"/>
      <c r="AR203"/>
      <c r="AS203"/>
      <c r="AT203"/>
      <c r="AU203"/>
      <c r="AV203"/>
      <c r="AW203"/>
      <c r="AX203" s="48"/>
    </row>
    <row r="204" spans="4:50" s="93" customFormat="1" x14ac:dyDescent="0.35">
      <c r="D204" s="92"/>
      <c r="F204" s="168"/>
      <c r="G204"/>
      <c r="H204"/>
      <c r="I204"/>
      <c r="J204" s="321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 s="48"/>
      <c r="AA204"/>
      <c r="AB204"/>
      <c r="AC204"/>
      <c r="AD204"/>
      <c r="AE204"/>
      <c r="AF204"/>
      <c r="AG204"/>
      <c r="AH204"/>
      <c r="AI204"/>
      <c r="AJ204"/>
      <c r="AK204"/>
      <c r="AL204" s="48"/>
      <c r="AM204"/>
      <c r="AN204"/>
      <c r="AO204"/>
      <c r="AP204"/>
      <c r="AQ204"/>
      <c r="AR204"/>
      <c r="AS204"/>
      <c r="AT204"/>
      <c r="AU204"/>
      <c r="AV204"/>
      <c r="AW204"/>
      <c r="AX204" s="48"/>
    </row>
    <row r="205" spans="4:50" s="93" customFormat="1" x14ac:dyDescent="0.35">
      <c r="D205" s="92"/>
      <c r="F205" s="168"/>
      <c r="G205"/>
      <c r="H205"/>
      <c r="I205"/>
      <c r="J205" s="321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 s="48"/>
      <c r="AA205"/>
      <c r="AB205"/>
      <c r="AC205"/>
      <c r="AD205"/>
      <c r="AE205"/>
      <c r="AF205"/>
      <c r="AG205"/>
      <c r="AH205"/>
      <c r="AI205"/>
      <c r="AJ205"/>
      <c r="AK205"/>
      <c r="AL205" s="48"/>
      <c r="AM205"/>
      <c r="AN205"/>
      <c r="AO205"/>
      <c r="AP205"/>
      <c r="AQ205"/>
      <c r="AR205"/>
      <c r="AS205"/>
      <c r="AT205"/>
      <c r="AU205"/>
      <c r="AV205"/>
      <c r="AW205"/>
      <c r="AX205" s="48"/>
    </row>
    <row r="206" spans="4:50" s="93" customFormat="1" x14ac:dyDescent="0.35">
      <c r="D206" s="92"/>
      <c r="F206" s="168"/>
      <c r="G206"/>
      <c r="H206"/>
      <c r="I206"/>
      <c r="J206" s="321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 s="48"/>
      <c r="AA206"/>
      <c r="AB206"/>
      <c r="AC206"/>
      <c r="AD206"/>
      <c r="AE206"/>
      <c r="AF206"/>
      <c r="AG206"/>
      <c r="AH206"/>
      <c r="AI206"/>
      <c r="AJ206"/>
      <c r="AK206"/>
      <c r="AL206" s="48"/>
      <c r="AM206"/>
      <c r="AN206"/>
      <c r="AO206"/>
      <c r="AP206"/>
      <c r="AQ206"/>
      <c r="AR206"/>
      <c r="AS206"/>
      <c r="AT206"/>
      <c r="AU206"/>
      <c r="AV206"/>
      <c r="AW206"/>
      <c r="AX206" s="48"/>
    </row>
    <row r="207" spans="4:50" s="93" customFormat="1" x14ac:dyDescent="0.35">
      <c r="D207" s="92"/>
      <c r="F207" s="168"/>
      <c r="G207"/>
      <c r="H207"/>
      <c r="I207"/>
      <c r="J207" s="321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 s="48"/>
      <c r="AA207"/>
      <c r="AB207"/>
      <c r="AC207"/>
      <c r="AD207"/>
      <c r="AE207"/>
      <c r="AF207"/>
      <c r="AG207"/>
      <c r="AH207"/>
      <c r="AI207"/>
      <c r="AJ207"/>
      <c r="AK207"/>
      <c r="AL207" s="48"/>
      <c r="AM207"/>
      <c r="AN207"/>
      <c r="AO207"/>
      <c r="AP207"/>
      <c r="AQ207"/>
      <c r="AR207"/>
      <c r="AS207"/>
      <c r="AT207"/>
      <c r="AU207"/>
      <c r="AV207"/>
      <c r="AW207"/>
      <c r="AX207" s="48"/>
    </row>
    <row r="208" spans="4:50" s="93" customFormat="1" x14ac:dyDescent="0.35">
      <c r="D208" s="92"/>
      <c r="F208" s="168"/>
      <c r="G208"/>
      <c r="H208"/>
      <c r="I208"/>
      <c r="J208" s="321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 s="48"/>
      <c r="AA208"/>
      <c r="AB208"/>
      <c r="AC208"/>
      <c r="AD208"/>
      <c r="AE208"/>
      <c r="AF208"/>
      <c r="AG208"/>
      <c r="AH208"/>
      <c r="AI208"/>
      <c r="AJ208"/>
      <c r="AK208"/>
      <c r="AL208" s="48"/>
      <c r="AM208"/>
      <c r="AN208"/>
      <c r="AO208"/>
      <c r="AP208"/>
      <c r="AQ208"/>
      <c r="AR208"/>
      <c r="AS208"/>
      <c r="AT208"/>
      <c r="AU208"/>
      <c r="AV208"/>
      <c r="AW208"/>
      <c r="AX208" s="48"/>
    </row>
    <row r="209" spans="4:50" s="93" customFormat="1" x14ac:dyDescent="0.35">
      <c r="D209" s="92"/>
      <c r="F209" s="168"/>
      <c r="G209"/>
      <c r="H209"/>
      <c r="I209"/>
      <c r="J209" s="321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 s="48"/>
      <c r="AA209"/>
      <c r="AB209"/>
      <c r="AC209"/>
      <c r="AD209"/>
      <c r="AE209"/>
      <c r="AF209"/>
      <c r="AG209"/>
      <c r="AH209"/>
      <c r="AI209"/>
      <c r="AJ209"/>
      <c r="AK209"/>
      <c r="AL209" s="48"/>
      <c r="AM209"/>
      <c r="AN209"/>
      <c r="AO209"/>
      <c r="AP209"/>
      <c r="AQ209"/>
      <c r="AR209"/>
      <c r="AS209"/>
      <c r="AT209"/>
      <c r="AU209"/>
      <c r="AV209"/>
      <c r="AW209"/>
      <c r="AX209" s="48"/>
    </row>
    <row r="210" spans="4:50" s="93" customFormat="1" x14ac:dyDescent="0.35">
      <c r="D210" s="92"/>
      <c r="F210" s="168"/>
      <c r="G210"/>
      <c r="H210"/>
      <c r="I210"/>
      <c r="J210" s="321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 s="48"/>
      <c r="AA210"/>
      <c r="AB210"/>
      <c r="AC210"/>
      <c r="AD210"/>
      <c r="AE210"/>
      <c r="AF210"/>
      <c r="AG210"/>
      <c r="AH210"/>
      <c r="AI210"/>
      <c r="AJ210"/>
      <c r="AK210"/>
      <c r="AL210" s="48"/>
      <c r="AM210"/>
      <c r="AN210"/>
      <c r="AO210"/>
      <c r="AP210"/>
      <c r="AQ210"/>
      <c r="AR210"/>
      <c r="AS210"/>
      <c r="AT210"/>
      <c r="AU210"/>
      <c r="AV210"/>
      <c r="AW210"/>
      <c r="AX210" s="48"/>
    </row>
    <row r="211" spans="4:50" s="93" customFormat="1" x14ac:dyDescent="0.35">
      <c r="D211" s="92"/>
      <c r="F211" s="168"/>
      <c r="G211"/>
      <c r="H211"/>
      <c r="I211"/>
      <c r="J211" s="32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 s="48"/>
      <c r="AA211"/>
      <c r="AB211"/>
      <c r="AC211"/>
      <c r="AD211"/>
      <c r="AE211"/>
      <c r="AF211"/>
      <c r="AG211"/>
      <c r="AH211"/>
      <c r="AI211"/>
      <c r="AJ211"/>
      <c r="AK211"/>
      <c r="AL211" s="48"/>
      <c r="AM211"/>
      <c r="AN211"/>
      <c r="AO211"/>
      <c r="AP211"/>
      <c r="AQ211"/>
      <c r="AR211"/>
      <c r="AS211"/>
      <c r="AT211"/>
      <c r="AU211"/>
      <c r="AV211"/>
      <c r="AW211"/>
      <c r="AX211" s="48"/>
    </row>
    <row r="212" spans="4:50" s="93" customFormat="1" x14ac:dyDescent="0.35">
      <c r="D212" s="92"/>
      <c r="F212" s="168"/>
      <c r="G212"/>
      <c r="H212"/>
      <c r="I212"/>
      <c r="J212" s="321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 s="48"/>
      <c r="AA212"/>
      <c r="AB212"/>
      <c r="AC212"/>
      <c r="AD212"/>
      <c r="AE212"/>
      <c r="AF212"/>
      <c r="AG212"/>
      <c r="AH212"/>
      <c r="AI212"/>
      <c r="AJ212"/>
      <c r="AK212"/>
      <c r="AL212" s="48"/>
      <c r="AM212"/>
      <c r="AN212"/>
      <c r="AO212"/>
      <c r="AP212"/>
      <c r="AQ212"/>
      <c r="AR212"/>
      <c r="AS212"/>
      <c r="AT212"/>
      <c r="AU212"/>
      <c r="AV212"/>
      <c r="AW212"/>
      <c r="AX212" s="48"/>
    </row>
    <row r="213" spans="4:50" s="93" customFormat="1" x14ac:dyDescent="0.35">
      <c r="D213" s="92"/>
      <c r="F213" s="168"/>
      <c r="G213"/>
      <c r="H213"/>
      <c r="I213"/>
      <c r="J213" s="321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 s="48"/>
      <c r="AA213"/>
      <c r="AB213"/>
      <c r="AC213"/>
      <c r="AD213"/>
      <c r="AE213"/>
      <c r="AF213"/>
      <c r="AG213"/>
      <c r="AH213"/>
      <c r="AI213"/>
      <c r="AJ213"/>
      <c r="AK213"/>
      <c r="AL213" s="48"/>
      <c r="AM213"/>
      <c r="AN213"/>
      <c r="AO213"/>
      <c r="AP213"/>
      <c r="AQ213"/>
      <c r="AR213"/>
      <c r="AS213"/>
      <c r="AT213"/>
      <c r="AU213"/>
      <c r="AV213"/>
      <c r="AW213"/>
      <c r="AX213" s="48"/>
    </row>
    <row r="214" spans="4:50" s="93" customFormat="1" x14ac:dyDescent="0.35">
      <c r="D214" s="92"/>
      <c r="F214" s="168"/>
      <c r="G214"/>
      <c r="H214"/>
      <c r="I214"/>
      <c r="J214" s="321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 s="48"/>
      <c r="AA214"/>
      <c r="AB214"/>
      <c r="AC214"/>
      <c r="AD214"/>
      <c r="AE214"/>
      <c r="AF214"/>
      <c r="AG214"/>
      <c r="AH214"/>
      <c r="AI214"/>
      <c r="AJ214"/>
      <c r="AK214"/>
      <c r="AL214" s="48"/>
      <c r="AM214"/>
      <c r="AN214"/>
      <c r="AO214"/>
      <c r="AP214"/>
      <c r="AQ214"/>
      <c r="AR214"/>
      <c r="AS214"/>
      <c r="AT214"/>
      <c r="AU214"/>
      <c r="AV214"/>
      <c r="AW214"/>
      <c r="AX214" s="48"/>
    </row>
    <row r="215" spans="4:50" s="93" customFormat="1" x14ac:dyDescent="0.35">
      <c r="D215" s="92"/>
      <c r="F215" s="168"/>
      <c r="G215"/>
      <c r="H215"/>
      <c r="I215"/>
      <c r="J215" s="321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 s="48"/>
      <c r="AA215"/>
      <c r="AB215"/>
      <c r="AC215"/>
      <c r="AD215"/>
      <c r="AE215"/>
      <c r="AF215"/>
      <c r="AG215"/>
      <c r="AH215"/>
      <c r="AI215"/>
      <c r="AJ215"/>
      <c r="AK215"/>
      <c r="AL215" s="48"/>
      <c r="AM215"/>
      <c r="AN215"/>
      <c r="AO215"/>
      <c r="AP215"/>
      <c r="AQ215"/>
      <c r="AR215"/>
      <c r="AS215"/>
      <c r="AT215"/>
      <c r="AU215"/>
      <c r="AV215"/>
      <c r="AW215"/>
      <c r="AX215" s="48"/>
    </row>
    <row r="216" spans="4:50" s="93" customFormat="1" x14ac:dyDescent="0.35">
      <c r="D216" s="92"/>
      <c r="F216" s="168"/>
      <c r="G216"/>
      <c r="H216"/>
      <c r="I216"/>
      <c r="J216" s="321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 s="48"/>
      <c r="AA216"/>
      <c r="AB216"/>
      <c r="AC216"/>
      <c r="AD216"/>
      <c r="AE216"/>
      <c r="AF216"/>
      <c r="AG216"/>
      <c r="AH216"/>
      <c r="AI216"/>
      <c r="AJ216"/>
      <c r="AK216"/>
      <c r="AL216" s="48"/>
      <c r="AM216"/>
      <c r="AN216"/>
      <c r="AO216"/>
      <c r="AP216"/>
      <c r="AQ216"/>
      <c r="AR216"/>
      <c r="AS216"/>
      <c r="AT216"/>
      <c r="AU216"/>
      <c r="AV216"/>
      <c r="AW216"/>
      <c r="AX216" s="48"/>
    </row>
    <row r="217" spans="4:50" s="93" customFormat="1" x14ac:dyDescent="0.35">
      <c r="D217" s="92"/>
      <c r="F217" s="168"/>
      <c r="G217"/>
      <c r="H217"/>
      <c r="I217"/>
      <c r="J217" s="321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 s="48"/>
      <c r="AA217"/>
      <c r="AB217"/>
      <c r="AC217"/>
      <c r="AD217"/>
      <c r="AE217"/>
      <c r="AF217"/>
      <c r="AG217"/>
      <c r="AH217"/>
      <c r="AI217"/>
      <c r="AJ217"/>
      <c r="AK217"/>
      <c r="AL217" s="48"/>
      <c r="AM217"/>
      <c r="AN217"/>
      <c r="AO217"/>
      <c r="AP217"/>
      <c r="AQ217"/>
      <c r="AR217"/>
      <c r="AS217"/>
      <c r="AT217"/>
      <c r="AU217"/>
      <c r="AV217"/>
      <c r="AW217"/>
      <c r="AX217" s="48"/>
    </row>
    <row r="218" spans="4:50" s="93" customFormat="1" x14ac:dyDescent="0.35">
      <c r="D218" s="92"/>
      <c r="F218" s="168"/>
      <c r="G218"/>
      <c r="H218"/>
      <c r="I218"/>
      <c r="J218" s="321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 s="48"/>
      <c r="AA218"/>
      <c r="AB218"/>
      <c r="AC218"/>
      <c r="AD218"/>
      <c r="AE218"/>
      <c r="AF218"/>
      <c r="AG218"/>
      <c r="AH218"/>
      <c r="AI218"/>
      <c r="AJ218"/>
      <c r="AK218"/>
      <c r="AL218" s="48"/>
      <c r="AM218"/>
      <c r="AN218"/>
      <c r="AO218"/>
      <c r="AP218"/>
      <c r="AQ218"/>
      <c r="AR218"/>
      <c r="AS218"/>
      <c r="AT218"/>
      <c r="AU218"/>
      <c r="AV218"/>
      <c r="AW218"/>
      <c r="AX218" s="48"/>
    </row>
    <row r="219" spans="4:50" s="93" customFormat="1" x14ac:dyDescent="0.35">
      <c r="D219" s="92"/>
      <c r="F219" s="168"/>
      <c r="G219"/>
      <c r="H219"/>
      <c r="I219"/>
      <c r="J219" s="321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 s="48"/>
      <c r="AA219"/>
      <c r="AB219"/>
      <c r="AC219"/>
      <c r="AD219"/>
      <c r="AE219"/>
      <c r="AF219"/>
      <c r="AG219"/>
      <c r="AH219"/>
      <c r="AI219"/>
      <c r="AJ219"/>
      <c r="AK219"/>
      <c r="AL219" s="48"/>
      <c r="AM219"/>
      <c r="AN219"/>
      <c r="AO219"/>
      <c r="AP219"/>
      <c r="AQ219"/>
      <c r="AR219"/>
      <c r="AS219"/>
      <c r="AT219"/>
      <c r="AU219"/>
      <c r="AV219"/>
      <c r="AW219"/>
      <c r="AX219" s="48"/>
    </row>
    <row r="220" spans="4:50" s="93" customFormat="1" x14ac:dyDescent="0.35">
      <c r="D220" s="92"/>
      <c r="F220" s="168"/>
      <c r="G220"/>
      <c r="H220"/>
      <c r="I220"/>
      <c r="J220" s="321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 s="48"/>
      <c r="AA220"/>
      <c r="AB220"/>
      <c r="AC220"/>
      <c r="AD220"/>
      <c r="AE220"/>
      <c r="AF220"/>
      <c r="AG220"/>
      <c r="AH220"/>
      <c r="AI220"/>
      <c r="AJ220"/>
      <c r="AK220"/>
      <c r="AL220" s="48"/>
      <c r="AM220"/>
      <c r="AN220"/>
      <c r="AO220"/>
      <c r="AP220"/>
      <c r="AQ220"/>
      <c r="AR220"/>
      <c r="AS220"/>
      <c r="AT220"/>
      <c r="AU220"/>
      <c r="AV220"/>
      <c r="AW220"/>
      <c r="AX220" s="48"/>
    </row>
    <row r="221" spans="4:50" s="93" customFormat="1" x14ac:dyDescent="0.35">
      <c r="D221" s="92"/>
      <c r="F221" s="168"/>
      <c r="G221"/>
      <c r="H221"/>
      <c r="I221"/>
      <c r="J221" s="3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 s="48"/>
      <c r="AA221"/>
      <c r="AB221"/>
      <c r="AC221"/>
      <c r="AD221"/>
      <c r="AE221"/>
      <c r="AF221"/>
      <c r="AG221"/>
      <c r="AH221"/>
      <c r="AI221"/>
      <c r="AJ221"/>
      <c r="AK221"/>
      <c r="AL221" s="48"/>
      <c r="AM221"/>
      <c r="AN221"/>
      <c r="AO221"/>
      <c r="AP221"/>
      <c r="AQ221"/>
      <c r="AR221"/>
      <c r="AS221"/>
      <c r="AT221"/>
      <c r="AU221"/>
      <c r="AV221"/>
      <c r="AW221"/>
      <c r="AX221" s="48"/>
    </row>
    <row r="222" spans="4:50" s="93" customFormat="1" x14ac:dyDescent="0.35">
      <c r="D222" s="92"/>
      <c r="F222" s="168"/>
      <c r="G222"/>
      <c r="H222"/>
      <c r="I222"/>
      <c r="J222" s="321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 s="48"/>
      <c r="AA222"/>
      <c r="AB222"/>
      <c r="AC222"/>
      <c r="AD222"/>
      <c r="AE222"/>
      <c r="AF222"/>
      <c r="AG222"/>
      <c r="AH222"/>
      <c r="AI222"/>
      <c r="AJ222"/>
      <c r="AK222"/>
      <c r="AL222" s="48"/>
      <c r="AM222"/>
      <c r="AN222"/>
      <c r="AO222"/>
      <c r="AP222"/>
      <c r="AQ222"/>
      <c r="AR222"/>
      <c r="AS222"/>
      <c r="AT222"/>
      <c r="AU222"/>
      <c r="AV222"/>
      <c r="AW222"/>
      <c r="AX222" s="48"/>
    </row>
    <row r="223" spans="4:50" s="93" customFormat="1" x14ac:dyDescent="0.35">
      <c r="D223" s="92"/>
      <c r="F223" s="168"/>
      <c r="G223"/>
      <c r="H223"/>
      <c r="I223"/>
      <c r="J223" s="321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 s="48"/>
      <c r="AA223"/>
      <c r="AB223"/>
      <c r="AC223"/>
      <c r="AD223"/>
      <c r="AE223"/>
      <c r="AF223"/>
      <c r="AG223"/>
      <c r="AH223"/>
      <c r="AI223"/>
      <c r="AJ223"/>
      <c r="AK223"/>
      <c r="AL223" s="48"/>
      <c r="AM223"/>
      <c r="AN223"/>
      <c r="AO223"/>
      <c r="AP223"/>
      <c r="AQ223"/>
      <c r="AR223"/>
      <c r="AS223"/>
      <c r="AT223"/>
      <c r="AU223"/>
      <c r="AV223"/>
      <c r="AW223"/>
      <c r="AX223" s="48"/>
    </row>
    <row r="224" spans="4:50" s="93" customFormat="1" x14ac:dyDescent="0.35">
      <c r="D224" s="92"/>
      <c r="F224" s="168"/>
      <c r="G224"/>
      <c r="H224"/>
      <c r="I224"/>
      <c r="J224" s="321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 s="48"/>
      <c r="AA224"/>
      <c r="AB224"/>
      <c r="AC224"/>
      <c r="AD224"/>
      <c r="AE224"/>
      <c r="AF224"/>
      <c r="AG224"/>
      <c r="AH224"/>
      <c r="AI224"/>
      <c r="AJ224"/>
      <c r="AK224"/>
      <c r="AL224" s="48"/>
      <c r="AM224"/>
      <c r="AN224"/>
      <c r="AO224"/>
      <c r="AP224"/>
      <c r="AQ224"/>
      <c r="AR224"/>
      <c r="AS224"/>
      <c r="AT224"/>
      <c r="AU224"/>
      <c r="AV224"/>
      <c r="AW224"/>
      <c r="AX224" s="48"/>
    </row>
    <row r="225" spans="4:50" s="93" customFormat="1" x14ac:dyDescent="0.35">
      <c r="D225" s="92"/>
      <c r="F225" s="168"/>
      <c r="G225"/>
      <c r="H225"/>
      <c r="I225"/>
      <c r="J225" s="321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 s="48"/>
      <c r="AA225"/>
      <c r="AB225"/>
      <c r="AC225"/>
      <c r="AD225"/>
      <c r="AE225"/>
      <c r="AF225"/>
      <c r="AG225"/>
      <c r="AH225"/>
      <c r="AI225"/>
      <c r="AJ225"/>
      <c r="AK225"/>
      <c r="AL225" s="48"/>
      <c r="AM225"/>
      <c r="AN225"/>
      <c r="AO225"/>
      <c r="AP225"/>
      <c r="AQ225"/>
      <c r="AR225"/>
      <c r="AS225"/>
      <c r="AT225"/>
      <c r="AU225"/>
      <c r="AV225"/>
      <c r="AW225"/>
      <c r="AX225" s="48"/>
    </row>
    <row r="226" spans="4:50" s="93" customFormat="1" x14ac:dyDescent="0.35">
      <c r="D226" s="92"/>
      <c r="F226" s="168"/>
      <c r="G226"/>
      <c r="H226"/>
      <c r="I226"/>
      <c r="J226" s="321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 s="48"/>
      <c r="AA226"/>
      <c r="AB226"/>
      <c r="AC226"/>
      <c r="AD226"/>
      <c r="AE226"/>
      <c r="AF226"/>
      <c r="AG226"/>
      <c r="AH226"/>
      <c r="AI226"/>
      <c r="AJ226"/>
      <c r="AK226"/>
      <c r="AL226" s="48"/>
      <c r="AM226"/>
      <c r="AN226"/>
      <c r="AO226"/>
      <c r="AP226"/>
      <c r="AQ226"/>
      <c r="AR226"/>
      <c r="AS226"/>
      <c r="AT226"/>
      <c r="AU226"/>
      <c r="AV226"/>
      <c r="AW226"/>
      <c r="AX226" s="48"/>
    </row>
    <row r="227" spans="4:50" s="93" customFormat="1" x14ac:dyDescent="0.35">
      <c r="D227" s="92"/>
      <c r="F227" s="168"/>
      <c r="G227"/>
      <c r="H227"/>
      <c r="I227"/>
      <c r="J227" s="321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 s="48"/>
      <c r="AA227"/>
      <c r="AB227"/>
      <c r="AC227"/>
      <c r="AD227"/>
      <c r="AE227"/>
      <c r="AF227"/>
      <c r="AG227"/>
      <c r="AH227"/>
      <c r="AI227"/>
      <c r="AJ227"/>
      <c r="AK227"/>
      <c r="AL227" s="48"/>
      <c r="AM227"/>
      <c r="AN227"/>
      <c r="AO227"/>
      <c r="AP227"/>
      <c r="AQ227"/>
      <c r="AR227"/>
      <c r="AS227"/>
      <c r="AT227"/>
      <c r="AU227"/>
      <c r="AV227"/>
      <c r="AW227"/>
      <c r="AX227" s="48"/>
    </row>
    <row r="228" spans="4:50" s="93" customFormat="1" x14ac:dyDescent="0.35">
      <c r="D228" s="92"/>
      <c r="F228" s="168"/>
      <c r="G228"/>
      <c r="H228"/>
      <c r="I228"/>
      <c r="J228" s="321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 s="48"/>
      <c r="AA228"/>
      <c r="AB228"/>
      <c r="AC228"/>
      <c r="AD228"/>
      <c r="AE228"/>
      <c r="AF228"/>
      <c r="AG228"/>
      <c r="AH228"/>
      <c r="AI228"/>
      <c r="AJ228"/>
      <c r="AK228"/>
      <c r="AL228" s="48"/>
      <c r="AM228"/>
      <c r="AN228"/>
      <c r="AO228"/>
      <c r="AP228"/>
      <c r="AQ228"/>
      <c r="AR228"/>
      <c r="AS228"/>
      <c r="AT228"/>
      <c r="AU228"/>
      <c r="AV228"/>
      <c r="AW228"/>
      <c r="AX228" s="48"/>
    </row>
    <row r="229" spans="4:50" s="93" customFormat="1" x14ac:dyDescent="0.35">
      <c r="D229" s="92"/>
      <c r="F229" s="168"/>
      <c r="G229"/>
      <c r="H229"/>
      <c r="I229"/>
      <c r="J229" s="321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 s="48"/>
      <c r="AA229"/>
      <c r="AB229"/>
      <c r="AC229"/>
      <c r="AD229"/>
      <c r="AE229"/>
      <c r="AF229"/>
      <c r="AG229"/>
      <c r="AH229"/>
      <c r="AI229"/>
      <c r="AJ229"/>
      <c r="AK229"/>
      <c r="AL229" s="48"/>
      <c r="AM229"/>
      <c r="AN229"/>
      <c r="AO229"/>
      <c r="AP229"/>
      <c r="AQ229"/>
      <c r="AR229"/>
      <c r="AS229"/>
      <c r="AT229"/>
      <c r="AU229"/>
      <c r="AV229"/>
      <c r="AW229"/>
      <c r="AX229" s="48"/>
    </row>
    <row r="230" spans="4:50" s="93" customFormat="1" x14ac:dyDescent="0.35">
      <c r="D230" s="92"/>
      <c r="F230" s="168"/>
      <c r="G230"/>
      <c r="H230"/>
      <c r="I230"/>
      <c r="J230" s="321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 s="48"/>
      <c r="AA230"/>
      <c r="AB230"/>
      <c r="AC230"/>
      <c r="AD230"/>
      <c r="AE230"/>
      <c r="AF230"/>
      <c r="AG230"/>
      <c r="AH230"/>
      <c r="AI230"/>
      <c r="AJ230"/>
      <c r="AK230"/>
      <c r="AL230" s="48"/>
      <c r="AM230"/>
      <c r="AN230"/>
      <c r="AO230"/>
      <c r="AP230"/>
      <c r="AQ230"/>
      <c r="AR230"/>
      <c r="AS230"/>
      <c r="AT230"/>
      <c r="AU230"/>
      <c r="AV230"/>
      <c r="AW230"/>
      <c r="AX230" s="48"/>
    </row>
    <row r="231" spans="4:50" x14ac:dyDescent="0.35">
      <c r="J231" s="321"/>
      <c r="O231"/>
    </row>
    <row r="232" spans="4:50" x14ac:dyDescent="0.35">
      <c r="J232" s="321"/>
      <c r="O232"/>
    </row>
    <row r="233" spans="4:50" x14ac:dyDescent="0.35">
      <c r="J233" s="321"/>
      <c r="O233"/>
    </row>
    <row r="234" spans="4:50" x14ac:dyDescent="0.35">
      <c r="J234" s="321"/>
      <c r="O234"/>
    </row>
    <row r="235" spans="4:50" x14ac:dyDescent="0.35">
      <c r="J235" s="321"/>
      <c r="O235"/>
    </row>
    <row r="236" spans="4:50" x14ac:dyDescent="0.35">
      <c r="J236" s="321"/>
      <c r="O236"/>
    </row>
    <row r="237" spans="4:50" x14ac:dyDescent="0.35">
      <c r="J237" s="321"/>
      <c r="O237"/>
    </row>
    <row r="238" spans="4:50" x14ac:dyDescent="0.35">
      <c r="J238" s="321"/>
      <c r="O238"/>
    </row>
    <row r="239" spans="4:50" x14ac:dyDescent="0.35">
      <c r="J239" s="321"/>
      <c r="O239"/>
    </row>
    <row r="240" spans="4:50" x14ac:dyDescent="0.35">
      <c r="J240" s="321"/>
      <c r="O240"/>
    </row>
    <row r="241" spans="10:15" x14ac:dyDescent="0.35">
      <c r="J241" s="321"/>
      <c r="O241"/>
    </row>
    <row r="242" spans="10:15" x14ac:dyDescent="0.35">
      <c r="J242" s="321"/>
      <c r="O242"/>
    </row>
    <row r="243" spans="10:15" x14ac:dyDescent="0.35">
      <c r="J243" s="321"/>
      <c r="O243"/>
    </row>
    <row r="244" spans="10:15" x14ac:dyDescent="0.35">
      <c r="J244" s="321"/>
      <c r="O244"/>
    </row>
    <row r="245" spans="10:15" x14ac:dyDescent="0.35">
      <c r="J245" s="321"/>
      <c r="O245"/>
    </row>
    <row r="246" spans="10:15" x14ac:dyDescent="0.35">
      <c r="J246" s="321"/>
      <c r="O246"/>
    </row>
    <row r="247" spans="10:15" x14ac:dyDescent="0.35">
      <c r="J247" s="321"/>
      <c r="O247"/>
    </row>
    <row r="248" spans="10:15" x14ac:dyDescent="0.35">
      <c r="J248" s="321"/>
      <c r="O248"/>
    </row>
    <row r="249" spans="10:15" x14ac:dyDescent="0.35">
      <c r="J249" s="321"/>
      <c r="O249"/>
    </row>
    <row r="250" spans="10:15" x14ac:dyDescent="0.35">
      <c r="J250" s="321"/>
      <c r="O250"/>
    </row>
    <row r="251" spans="10:15" x14ac:dyDescent="0.35">
      <c r="J251" s="321"/>
      <c r="O251"/>
    </row>
    <row r="252" spans="10:15" x14ac:dyDescent="0.35">
      <c r="J252" s="321"/>
      <c r="O252"/>
    </row>
    <row r="253" spans="10:15" x14ac:dyDescent="0.35">
      <c r="J253" s="321"/>
      <c r="O253"/>
    </row>
    <row r="254" spans="10:15" x14ac:dyDescent="0.35">
      <c r="J254" s="321"/>
      <c r="O254"/>
    </row>
    <row r="255" spans="10:15" x14ac:dyDescent="0.35">
      <c r="J255" s="321"/>
      <c r="O255"/>
    </row>
    <row r="256" spans="10:15" x14ac:dyDescent="0.35">
      <c r="J256" s="321"/>
      <c r="O256"/>
    </row>
    <row r="257" spans="10:15" x14ac:dyDescent="0.35">
      <c r="J257" s="321"/>
      <c r="O257"/>
    </row>
    <row r="258" spans="10:15" x14ac:dyDescent="0.35">
      <c r="J258" s="321"/>
      <c r="O258"/>
    </row>
    <row r="259" spans="10:15" x14ac:dyDescent="0.35">
      <c r="J259" s="321"/>
      <c r="O259"/>
    </row>
    <row r="260" spans="10:15" x14ac:dyDescent="0.35">
      <c r="J260" s="321"/>
      <c r="O260"/>
    </row>
    <row r="261" spans="10:15" x14ac:dyDescent="0.35">
      <c r="J261" s="321"/>
      <c r="O261"/>
    </row>
    <row r="262" spans="10:15" x14ac:dyDescent="0.35">
      <c r="J262" s="321"/>
      <c r="O262"/>
    </row>
    <row r="263" spans="10:15" x14ac:dyDescent="0.35">
      <c r="J263" s="321"/>
      <c r="O263"/>
    </row>
    <row r="264" spans="10:15" x14ac:dyDescent="0.35">
      <c r="J264" s="321"/>
      <c r="O264"/>
    </row>
    <row r="265" spans="10:15" x14ac:dyDescent="0.35">
      <c r="J265" s="321"/>
      <c r="O265"/>
    </row>
    <row r="266" spans="10:15" x14ac:dyDescent="0.35">
      <c r="J266" s="321"/>
      <c r="O266"/>
    </row>
    <row r="267" spans="10:15" x14ac:dyDescent="0.35">
      <c r="J267" s="321"/>
      <c r="O267"/>
    </row>
    <row r="268" spans="10:15" x14ac:dyDescent="0.35">
      <c r="J268" s="321"/>
      <c r="O268"/>
    </row>
    <row r="269" spans="10:15" x14ac:dyDescent="0.35">
      <c r="J269" s="321"/>
      <c r="O269"/>
    </row>
    <row r="270" spans="10:15" x14ac:dyDescent="0.35">
      <c r="J270" s="321"/>
      <c r="O270"/>
    </row>
    <row r="271" spans="10:15" x14ac:dyDescent="0.35">
      <c r="J271" s="321"/>
      <c r="O271"/>
    </row>
    <row r="272" spans="10:15" x14ac:dyDescent="0.35">
      <c r="J272" s="321"/>
      <c r="O272"/>
    </row>
    <row r="273" spans="10:15" x14ac:dyDescent="0.35">
      <c r="J273" s="321"/>
      <c r="O273"/>
    </row>
    <row r="274" spans="10:15" x14ac:dyDescent="0.35">
      <c r="J274" s="321"/>
      <c r="O274"/>
    </row>
    <row r="275" spans="10:15" x14ac:dyDescent="0.35">
      <c r="J275" s="321"/>
      <c r="O275"/>
    </row>
    <row r="276" spans="10:15" x14ac:dyDescent="0.35">
      <c r="J276" s="321"/>
      <c r="O276"/>
    </row>
    <row r="277" spans="10:15" x14ac:dyDescent="0.35">
      <c r="J277" s="321"/>
      <c r="O277"/>
    </row>
    <row r="278" spans="10:15" x14ac:dyDescent="0.35">
      <c r="J278" s="321"/>
      <c r="O278"/>
    </row>
    <row r="279" spans="10:15" x14ac:dyDescent="0.35">
      <c r="J279" s="321"/>
      <c r="O279"/>
    </row>
    <row r="280" spans="10:15" x14ac:dyDescent="0.35">
      <c r="J280" s="321"/>
      <c r="O280"/>
    </row>
    <row r="281" spans="10:15" x14ac:dyDescent="0.35">
      <c r="J281" s="321"/>
      <c r="O281"/>
    </row>
    <row r="282" spans="10:15" x14ac:dyDescent="0.35">
      <c r="J282" s="321"/>
      <c r="O282"/>
    </row>
    <row r="283" spans="10:15" x14ac:dyDescent="0.35">
      <c r="J283" s="321"/>
      <c r="O283"/>
    </row>
    <row r="284" spans="10:15" x14ac:dyDescent="0.35">
      <c r="J284" s="321"/>
      <c r="O284"/>
    </row>
    <row r="285" spans="10:15" x14ac:dyDescent="0.35">
      <c r="J285" s="321"/>
      <c r="O285"/>
    </row>
    <row r="286" spans="10:15" x14ac:dyDescent="0.35">
      <c r="J286" s="321"/>
      <c r="O286"/>
    </row>
    <row r="287" spans="10:15" x14ac:dyDescent="0.35">
      <c r="J287" s="321"/>
      <c r="O287"/>
    </row>
    <row r="288" spans="10:15" x14ac:dyDescent="0.35">
      <c r="J288" s="321"/>
      <c r="O288"/>
    </row>
    <row r="289" spans="10:15" x14ac:dyDescent="0.35">
      <c r="J289" s="321"/>
      <c r="O289"/>
    </row>
    <row r="290" spans="10:15" x14ac:dyDescent="0.35">
      <c r="J290" s="321"/>
      <c r="O290"/>
    </row>
    <row r="291" spans="10:15" x14ac:dyDescent="0.35">
      <c r="J291" s="321"/>
      <c r="O291"/>
    </row>
    <row r="292" spans="10:15" x14ac:dyDescent="0.35">
      <c r="J292" s="321"/>
      <c r="O292"/>
    </row>
    <row r="293" spans="10:15" x14ac:dyDescent="0.35">
      <c r="J293" s="321"/>
      <c r="O293"/>
    </row>
    <row r="294" spans="10:15" x14ac:dyDescent="0.35">
      <c r="J294" s="321"/>
      <c r="O294"/>
    </row>
    <row r="295" spans="10:15" x14ac:dyDescent="0.35">
      <c r="J295" s="321"/>
      <c r="O295"/>
    </row>
    <row r="296" spans="10:15" x14ac:dyDescent="0.35">
      <c r="J296" s="321"/>
      <c r="O296"/>
    </row>
    <row r="297" spans="10:15" x14ac:dyDescent="0.35">
      <c r="J297" s="321"/>
      <c r="O297"/>
    </row>
    <row r="298" spans="10:15" x14ac:dyDescent="0.35">
      <c r="J298" s="321"/>
      <c r="O298"/>
    </row>
    <row r="299" spans="10:15" x14ac:dyDescent="0.35">
      <c r="J299" s="321"/>
      <c r="O299"/>
    </row>
    <row r="300" spans="10:15" x14ac:dyDescent="0.35">
      <c r="J300" s="321"/>
      <c r="O300"/>
    </row>
    <row r="301" spans="10:15" x14ac:dyDescent="0.35">
      <c r="J301" s="321"/>
      <c r="O301"/>
    </row>
    <row r="302" spans="10:15" x14ac:dyDescent="0.35">
      <c r="J302" s="321"/>
      <c r="O302"/>
    </row>
    <row r="303" spans="10:15" x14ac:dyDescent="0.35">
      <c r="J303" s="321"/>
      <c r="O303"/>
    </row>
    <row r="304" spans="10:15" x14ac:dyDescent="0.35">
      <c r="J304" s="321"/>
      <c r="O304"/>
    </row>
    <row r="305" spans="10:15" x14ac:dyDescent="0.35">
      <c r="J305" s="321"/>
      <c r="O305"/>
    </row>
    <row r="306" spans="10:15" x14ac:dyDescent="0.35">
      <c r="J306" s="321"/>
      <c r="O306"/>
    </row>
    <row r="307" spans="10:15" x14ac:dyDescent="0.35">
      <c r="J307" s="321"/>
      <c r="O307"/>
    </row>
    <row r="308" spans="10:15" x14ac:dyDescent="0.35">
      <c r="J308" s="321"/>
      <c r="O308"/>
    </row>
    <row r="309" spans="10:15" x14ac:dyDescent="0.35">
      <c r="J309" s="321"/>
      <c r="O309"/>
    </row>
    <row r="310" spans="10:15" x14ac:dyDescent="0.35">
      <c r="J310" s="321"/>
      <c r="O310"/>
    </row>
    <row r="311" spans="10:15" x14ac:dyDescent="0.35">
      <c r="J311" s="321"/>
      <c r="O311"/>
    </row>
    <row r="312" spans="10:15" x14ac:dyDescent="0.35">
      <c r="J312" s="321"/>
      <c r="O312"/>
    </row>
    <row r="313" spans="10:15" x14ac:dyDescent="0.35">
      <c r="J313" s="321"/>
      <c r="O313"/>
    </row>
    <row r="314" spans="10:15" x14ac:dyDescent="0.35">
      <c r="J314" s="321"/>
      <c r="O314"/>
    </row>
    <row r="315" spans="10:15" x14ac:dyDescent="0.35">
      <c r="J315" s="321"/>
      <c r="O315"/>
    </row>
    <row r="316" spans="10:15" x14ac:dyDescent="0.35">
      <c r="J316" s="321"/>
      <c r="O316"/>
    </row>
    <row r="317" spans="10:15" x14ac:dyDescent="0.35">
      <c r="J317" s="321"/>
      <c r="O317"/>
    </row>
    <row r="318" spans="10:15" x14ac:dyDescent="0.35">
      <c r="J318" s="321"/>
      <c r="O318"/>
    </row>
    <row r="319" spans="10:15" x14ac:dyDescent="0.35">
      <c r="J319" s="321"/>
      <c r="O319"/>
    </row>
    <row r="320" spans="10:15" x14ac:dyDescent="0.35">
      <c r="J320" s="321"/>
      <c r="O320"/>
    </row>
    <row r="321" spans="10:15" x14ac:dyDescent="0.35">
      <c r="J321" s="321"/>
      <c r="O321"/>
    </row>
    <row r="322" spans="10:15" x14ac:dyDescent="0.35">
      <c r="J322" s="321"/>
      <c r="O322"/>
    </row>
    <row r="323" spans="10:15" x14ac:dyDescent="0.35">
      <c r="J323" s="321"/>
      <c r="O323"/>
    </row>
    <row r="324" spans="10:15" x14ac:dyDescent="0.35">
      <c r="J324" s="321"/>
      <c r="O324"/>
    </row>
    <row r="325" spans="10:15" x14ac:dyDescent="0.35">
      <c r="J325" s="321"/>
      <c r="O325"/>
    </row>
    <row r="326" spans="10:15" x14ac:dyDescent="0.35">
      <c r="J326" s="321"/>
      <c r="O326"/>
    </row>
    <row r="327" spans="10:15" x14ac:dyDescent="0.35">
      <c r="J327" s="321"/>
      <c r="O327"/>
    </row>
    <row r="328" spans="10:15" x14ac:dyDescent="0.35">
      <c r="J328" s="321"/>
      <c r="O328"/>
    </row>
    <row r="329" spans="10:15" x14ac:dyDescent="0.35">
      <c r="J329" s="321"/>
      <c r="O329"/>
    </row>
    <row r="330" spans="10:15" x14ac:dyDescent="0.35">
      <c r="J330" s="321"/>
      <c r="O330"/>
    </row>
    <row r="331" spans="10:15" x14ac:dyDescent="0.35">
      <c r="J331" s="321"/>
      <c r="O331"/>
    </row>
    <row r="332" spans="10:15" x14ac:dyDescent="0.35">
      <c r="J332" s="321"/>
      <c r="O332"/>
    </row>
    <row r="333" spans="10:15" x14ac:dyDescent="0.35">
      <c r="J333" s="321"/>
      <c r="O333"/>
    </row>
    <row r="334" spans="10:15" x14ac:dyDescent="0.35">
      <c r="J334" s="321"/>
      <c r="O334"/>
    </row>
    <row r="335" spans="10:15" x14ac:dyDescent="0.35">
      <c r="J335" s="321"/>
      <c r="O335"/>
    </row>
    <row r="336" spans="10:15" x14ac:dyDescent="0.35">
      <c r="J336" s="321"/>
      <c r="O336"/>
    </row>
    <row r="337" spans="10:15" x14ac:dyDescent="0.35">
      <c r="J337" s="321"/>
      <c r="O337"/>
    </row>
    <row r="338" spans="10:15" x14ac:dyDescent="0.35">
      <c r="J338" s="321"/>
      <c r="O338"/>
    </row>
    <row r="339" spans="10:15" x14ac:dyDescent="0.35">
      <c r="J339" s="321"/>
      <c r="O339"/>
    </row>
    <row r="340" spans="10:15" x14ac:dyDescent="0.35">
      <c r="J340" s="321"/>
      <c r="O340"/>
    </row>
    <row r="341" spans="10:15" x14ac:dyDescent="0.35">
      <c r="J341" s="321"/>
      <c r="O341"/>
    </row>
    <row r="342" spans="10:15" x14ac:dyDescent="0.35">
      <c r="J342" s="321"/>
      <c r="O342"/>
    </row>
    <row r="343" spans="10:15" x14ac:dyDescent="0.35">
      <c r="J343" s="321"/>
      <c r="O343"/>
    </row>
    <row r="344" spans="10:15" x14ac:dyDescent="0.35">
      <c r="J344" s="321"/>
      <c r="O344"/>
    </row>
    <row r="345" spans="10:15" x14ac:dyDescent="0.35">
      <c r="J345" s="321"/>
      <c r="O345"/>
    </row>
    <row r="346" spans="10:15" x14ac:dyDescent="0.35">
      <c r="J346" s="321"/>
      <c r="O346"/>
    </row>
    <row r="347" spans="10:15" x14ac:dyDescent="0.35">
      <c r="J347" s="321"/>
      <c r="O347"/>
    </row>
    <row r="348" spans="10:15" x14ac:dyDescent="0.35">
      <c r="J348" s="321"/>
      <c r="O348"/>
    </row>
    <row r="349" spans="10:15" x14ac:dyDescent="0.35">
      <c r="J349" s="321"/>
      <c r="O349"/>
    </row>
    <row r="350" spans="10:15" x14ac:dyDescent="0.35">
      <c r="J350" s="321"/>
      <c r="O350"/>
    </row>
    <row r="351" spans="10:15" x14ac:dyDescent="0.35">
      <c r="J351" s="321"/>
      <c r="O351"/>
    </row>
    <row r="352" spans="10:15" x14ac:dyDescent="0.35">
      <c r="J352" s="321"/>
      <c r="O352"/>
    </row>
    <row r="353" spans="10:15" x14ac:dyDescent="0.35">
      <c r="J353" s="321"/>
      <c r="O353"/>
    </row>
    <row r="354" spans="10:15" x14ac:dyDescent="0.35">
      <c r="J354" s="321"/>
      <c r="O354"/>
    </row>
    <row r="355" spans="10:15" x14ac:dyDescent="0.35">
      <c r="J355" s="321"/>
      <c r="O355"/>
    </row>
    <row r="356" spans="10:15" x14ac:dyDescent="0.35">
      <c r="J356" s="321"/>
      <c r="O356"/>
    </row>
    <row r="357" spans="10:15" x14ac:dyDescent="0.35">
      <c r="J357" s="321"/>
      <c r="O357"/>
    </row>
    <row r="358" spans="10:15" x14ac:dyDescent="0.35">
      <c r="J358" s="321"/>
      <c r="O358"/>
    </row>
    <row r="359" spans="10:15" x14ac:dyDescent="0.35">
      <c r="J359" s="321"/>
      <c r="O359"/>
    </row>
    <row r="360" spans="10:15" x14ac:dyDescent="0.35">
      <c r="J360" s="321"/>
      <c r="O360"/>
    </row>
    <row r="361" spans="10:15" x14ac:dyDescent="0.35">
      <c r="J361" s="321"/>
      <c r="O361"/>
    </row>
    <row r="362" spans="10:15" x14ac:dyDescent="0.35">
      <c r="J362" s="321"/>
      <c r="O362"/>
    </row>
    <row r="363" spans="10:15" x14ac:dyDescent="0.35">
      <c r="J363" s="321"/>
      <c r="O363"/>
    </row>
    <row r="364" spans="10:15" x14ac:dyDescent="0.35">
      <c r="J364" s="321"/>
      <c r="O364"/>
    </row>
    <row r="365" spans="10:15" x14ac:dyDescent="0.35">
      <c r="J365" s="321"/>
      <c r="O365"/>
    </row>
    <row r="366" spans="10:15" x14ac:dyDescent="0.35">
      <c r="J366" s="321"/>
      <c r="O366"/>
    </row>
    <row r="367" spans="10:15" x14ac:dyDescent="0.35">
      <c r="J367" s="321"/>
      <c r="O367"/>
    </row>
    <row r="368" spans="10:15" x14ac:dyDescent="0.35">
      <c r="J368" s="321"/>
      <c r="O368"/>
    </row>
    <row r="369" spans="10:15" x14ac:dyDescent="0.35">
      <c r="J369" s="321"/>
      <c r="O369"/>
    </row>
    <row r="370" spans="10:15" x14ac:dyDescent="0.35">
      <c r="J370" s="321"/>
      <c r="O370"/>
    </row>
    <row r="371" spans="10:15" x14ac:dyDescent="0.35">
      <c r="J371" s="321"/>
      <c r="O371"/>
    </row>
    <row r="372" spans="10:15" x14ac:dyDescent="0.35">
      <c r="J372" s="321"/>
      <c r="O372"/>
    </row>
    <row r="373" spans="10:15" x14ac:dyDescent="0.35">
      <c r="J373" s="321"/>
      <c r="O373"/>
    </row>
    <row r="374" spans="10:15" x14ac:dyDescent="0.35">
      <c r="J374" s="321"/>
      <c r="O374"/>
    </row>
    <row r="375" spans="10:15" x14ac:dyDescent="0.35">
      <c r="J375" s="321"/>
      <c r="O375"/>
    </row>
    <row r="376" spans="10:15" x14ac:dyDescent="0.35">
      <c r="J376" s="321"/>
      <c r="O376"/>
    </row>
    <row r="377" spans="10:15" x14ac:dyDescent="0.35">
      <c r="J377" s="321"/>
      <c r="O377"/>
    </row>
    <row r="378" spans="10:15" x14ac:dyDescent="0.35">
      <c r="J378" s="321"/>
      <c r="O378"/>
    </row>
    <row r="379" spans="10:15" x14ac:dyDescent="0.35">
      <c r="J379" s="321"/>
      <c r="O379"/>
    </row>
    <row r="380" spans="10:15" x14ac:dyDescent="0.35">
      <c r="J380" s="321"/>
      <c r="O380"/>
    </row>
    <row r="381" spans="10:15" x14ac:dyDescent="0.35">
      <c r="J381" s="321"/>
      <c r="O381"/>
    </row>
    <row r="382" spans="10:15" x14ac:dyDescent="0.35">
      <c r="J382" s="321"/>
      <c r="O382"/>
    </row>
  </sheetData>
  <mergeCells count="2">
    <mergeCell ref="F8:F9"/>
    <mergeCell ref="G8:J9"/>
  </mergeCells>
  <hyperlinks>
    <hyperlink ref="I73" location="'Rebate-Suntory'!I14" display="Rebate (2025: sản lượng dự tính 6000-7000 tấn)" xr:uid="{45472794-BECC-4B70-B3EB-785A9F247E3F}"/>
  </hyperlinks>
  <printOptions horizontalCentered="1"/>
  <pageMargins left="0.2" right="0.2" top="0.2" bottom="0.2" header="0.05" footer="0.05"/>
  <pageSetup paperSize="9" fitToHeight="0" orientation="landscape" horizontalDpi="300" verticalDpi="300" r:id="rId1"/>
  <headerFooter>
    <oddFooter>&amp;CTrang &amp;P/&amp;N</oddFooter>
  </headerFooter>
  <rowBreaks count="3" manualBreakCount="3">
    <brk id="44" max="16383" man="1"/>
    <brk id="68" max="16383" man="1"/>
    <brk id="95" min="5" max="37" man="1"/>
  </rowBreak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9B199-204A-4183-940E-C8F61E98EBC0}">
  <sheetPr>
    <tabColor rgb="FF8E2641"/>
  </sheetPr>
  <dimension ref="C1:AI141"/>
  <sheetViews>
    <sheetView showGridLines="0" topLeftCell="A78" zoomScale="70" zoomScaleNormal="70" workbookViewId="0">
      <selection activeCell="AH98" sqref="AH98"/>
    </sheetView>
  </sheetViews>
  <sheetFormatPr defaultRowHeight="14.5" x14ac:dyDescent="0.35"/>
  <cols>
    <col min="2" max="2" width="12.5" customWidth="1"/>
  </cols>
  <sheetData>
    <row r="1" spans="3:3" s="12" customFormat="1" ht="31.15" customHeight="1" x14ac:dyDescent="0.35">
      <c r="C1" s="407" t="s">
        <v>408</v>
      </c>
    </row>
    <row r="36" spans="3:3" s="12" customFormat="1" ht="31.15" customHeight="1" x14ac:dyDescent="0.35">
      <c r="C36" s="407" t="s">
        <v>408</v>
      </c>
    </row>
    <row r="71" spans="3:3" s="12" customFormat="1" ht="31.15" customHeight="1" x14ac:dyDescent="0.35">
      <c r="C71" s="407" t="s">
        <v>408</v>
      </c>
    </row>
    <row r="106" spans="3:3" s="12" customFormat="1" ht="31.15" customHeight="1" x14ac:dyDescent="0.35">
      <c r="C106" s="407" t="s">
        <v>408</v>
      </c>
    </row>
    <row r="140" spans="3:35" x14ac:dyDescent="0.35">
      <c r="AI140" s="12"/>
    </row>
    <row r="141" spans="3:35" s="12" customFormat="1" ht="31.15" customHeight="1" x14ac:dyDescent="0.35">
      <c r="C141" s="407" t="s">
        <v>408</v>
      </c>
    </row>
  </sheetData>
  <printOptions horizontalCentered="1"/>
  <pageMargins left="0.2" right="0.2" top="0" bottom="0.2" header="0.05" footer="0.05"/>
  <pageSetup paperSize="9" orientation="landscape" r:id="rId1"/>
  <headerFooter>
    <oddFooter>&amp;CTrang &amp;P/&amp;N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55BA1-FB91-4275-837B-3ADACBB2CB7D}">
  <dimension ref="A1:AO91"/>
  <sheetViews>
    <sheetView showGridLines="0" zoomScale="85" zoomScaleNormal="85" workbookViewId="0">
      <pane xSplit="4" ySplit="4" topLeftCell="X25" activePane="bottomRight" state="frozen"/>
      <selection pane="topRight" activeCell="E1" sqref="E1"/>
      <selection pane="bottomLeft" activeCell="A4" sqref="A4"/>
      <selection pane="bottomRight" activeCell="AE69" sqref="AE69"/>
    </sheetView>
  </sheetViews>
  <sheetFormatPr defaultRowHeight="14.5" x14ac:dyDescent="0.35"/>
  <cols>
    <col min="1" max="1" width="5.75" style="14" customWidth="1"/>
    <col min="2" max="2" width="8.83203125" style="14"/>
    <col min="3" max="3" width="13.08203125" bestFit="1" customWidth="1"/>
    <col min="4" max="4" width="31.5" customWidth="1"/>
    <col min="5" max="5" width="10.5" bestFit="1" customWidth="1"/>
    <col min="41" max="41" width="15.25" bestFit="1" customWidth="1"/>
  </cols>
  <sheetData>
    <row r="1" spans="1:41" s="14" customFormat="1" x14ac:dyDescent="0.35">
      <c r="E1" s="14">
        <v>2024</v>
      </c>
      <c r="F1" s="14">
        <v>2024</v>
      </c>
      <c r="G1" s="14">
        <v>2024</v>
      </c>
      <c r="H1" s="14">
        <v>2024</v>
      </c>
      <c r="I1" s="14">
        <v>2024</v>
      </c>
      <c r="J1" s="14">
        <v>2024</v>
      </c>
      <c r="K1" s="14">
        <v>2024</v>
      </c>
      <c r="L1" s="14">
        <v>2024</v>
      </c>
      <c r="M1" s="14">
        <v>2024</v>
      </c>
      <c r="N1" s="14">
        <v>2024</v>
      </c>
      <c r="O1" s="14">
        <v>2024</v>
      </c>
      <c r="P1" s="14">
        <v>2024</v>
      </c>
      <c r="Q1" s="14">
        <v>2025</v>
      </c>
      <c r="R1" s="14">
        <v>2025</v>
      </c>
      <c r="S1" s="14">
        <v>2025</v>
      </c>
      <c r="T1" s="14">
        <v>2025</v>
      </c>
      <c r="U1" s="14">
        <v>2025</v>
      </c>
      <c r="V1" s="14">
        <v>2025</v>
      </c>
      <c r="W1" s="14">
        <v>2025</v>
      </c>
      <c r="X1" s="14">
        <v>2025</v>
      </c>
      <c r="Y1" s="14">
        <v>2025</v>
      </c>
      <c r="Z1" s="14">
        <v>2025</v>
      </c>
      <c r="AA1" s="14">
        <v>2025</v>
      </c>
      <c r="AB1" s="14">
        <v>2025</v>
      </c>
      <c r="AC1" s="14">
        <v>2026</v>
      </c>
      <c r="AD1" s="14">
        <v>2026</v>
      </c>
      <c r="AE1" s="14">
        <v>2026</v>
      </c>
      <c r="AF1" s="14">
        <v>2026</v>
      </c>
      <c r="AG1" s="14">
        <v>2026</v>
      </c>
      <c r="AH1" s="14">
        <v>2026</v>
      </c>
      <c r="AI1" s="14">
        <v>2026</v>
      </c>
      <c r="AJ1" s="14">
        <v>2026</v>
      </c>
      <c r="AK1" s="14">
        <v>2026</v>
      </c>
      <c r="AL1" s="14">
        <v>2026</v>
      </c>
      <c r="AM1" s="14">
        <v>2026</v>
      </c>
      <c r="AN1" s="14">
        <v>2026</v>
      </c>
    </row>
    <row r="2" spans="1:41" s="14" customFormat="1" x14ac:dyDescent="0.35">
      <c r="E2" s="14">
        <v>1</v>
      </c>
      <c r="F2" s="14">
        <v>2</v>
      </c>
      <c r="G2" s="14">
        <v>3</v>
      </c>
      <c r="H2" s="14">
        <v>4</v>
      </c>
      <c r="I2" s="14">
        <v>5</v>
      </c>
      <c r="J2" s="14">
        <v>6</v>
      </c>
      <c r="K2" s="14">
        <v>7</v>
      </c>
      <c r="L2" s="14">
        <v>8</v>
      </c>
      <c r="M2" s="14">
        <v>9</v>
      </c>
      <c r="N2" s="14">
        <v>10</v>
      </c>
      <c r="O2" s="14">
        <v>11</v>
      </c>
      <c r="P2" s="14">
        <v>12</v>
      </c>
      <c r="Q2" s="14">
        <v>1</v>
      </c>
      <c r="R2" s="14">
        <v>2</v>
      </c>
      <c r="S2" s="14">
        <v>3</v>
      </c>
      <c r="T2" s="14">
        <v>4</v>
      </c>
      <c r="U2" s="14">
        <v>5</v>
      </c>
      <c r="V2" s="14">
        <v>6</v>
      </c>
      <c r="W2" s="14">
        <v>7</v>
      </c>
      <c r="X2" s="14">
        <v>8</v>
      </c>
      <c r="Y2" s="14">
        <v>9</v>
      </c>
      <c r="Z2" s="14">
        <v>10</v>
      </c>
      <c r="AA2" s="14">
        <v>11</v>
      </c>
      <c r="AB2" s="14">
        <v>12</v>
      </c>
      <c r="AC2" s="14">
        <v>1</v>
      </c>
      <c r="AD2" s="14">
        <v>2</v>
      </c>
      <c r="AE2" s="14">
        <v>3</v>
      </c>
      <c r="AF2" s="14">
        <v>4</v>
      </c>
      <c r="AG2" s="14">
        <v>5</v>
      </c>
      <c r="AH2" s="14">
        <v>6</v>
      </c>
      <c r="AI2" s="14">
        <v>7</v>
      </c>
      <c r="AJ2" s="14">
        <v>8</v>
      </c>
      <c r="AK2" s="14">
        <v>9</v>
      </c>
      <c r="AL2" s="14">
        <v>10</v>
      </c>
      <c r="AM2" s="14">
        <v>11</v>
      </c>
      <c r="AN2" s="14">
        <v>12</v>
      </c>
    </row>
    <row r="3" spans="1:41" s="14" customFormat="1" x14ac:dyDescent="0.35">
      <c r="D3" s="126" t="s">
        <v>415</v>
      </c>
      <c r="E3" s="425"/>
      <c r="F3" s="425"/>
      <c r="G3" s="425"/>
      <c r="H3" s="425"/>
      <c r="I3" s="425"/>
      <c r="J3" s="425"/>
      <c r="K3" s="425"/>
      <c r="L3" s="425"/>
      <c r="M3" s="425"/>
      <c r="N3" s="425"/>
      <c r="O3" s="425"/>
      <c r="P3" s="425"/>
      <c r="Q3" s="425"/>
      <c r="R3" s="425"/>
      <c r="S3" s="425"/>
      <c r="T3" s="425"/>
      <c r="U3" s="425"/>
      <c r="V3" s="425"/>
      <c r="W3" s="425"/>
      <c r="X3" s="425"/>
      <c r="Y3" s="425"/>
      <c r="Z3" s="425"/>
      <c r="AA3" s="425"/>
      <c r="AB3" s="425" t="s">
        <v>414</v>
      </c>
      <c r="AC3" s="425"/>
      <c r="AD3" s="425"/>
      <c r="AE3" s="425"/>
      <c r="AF3" s="425"/>
      <c r="AG3" s="425"/>
      <c r="AH3" s="425"/>
      <c r="AI3" s="425"/>
      <c r="AJ3" s="425"/>
      <c r="AK3" s="425"/>
      <c r="AL3" s="425"/>
      <c r="AM3" s="425"/>
      <c r="AN3" s="425"/>
      <c r="AO3" s="425"/>
    </row>
    <row r="4" spans="1:41" x14ac:dyDescent="0.35">
      <c r="A4" s="14" t="s">
        <v>358</v>
      </c>
      <c r="B4" s="14" t="s">
        <v>359</v>
      </c>
    </row>
    <row r="5" spans="1:41" ht="17" x14ac:dyDescent="0.4">
      <c r="C5" s="399" t="s">
        <v>15</v>
      </c>
      <c r="D5" s="399" t="s">
        <v>4</v>
      </c>
    </row>
    <row r="6" spans="1:41" x14ac:dyDescent="0.35">
      <c r="C6" s="41"/>
      <c r="D6" s="41"/>
      <c r="E6" s="41">
        <v>2024</v>
      </c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>
        <v>2025</v>
      </c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</row>
    <row r="7" spans="1:41" x14ac:dyDescent="0.35">
      <c r="C7" s="41"/>
      <c r="D7" s="41"/>
      <c r="E7" s="41">
        <v>1</v>
      </c>
      <c r="F7" s="41">
        <v>2</v>
      </c>
      <c r="G7" s="41">
        <v>3</v>
      </c>
      <c r="H7" s="41">
        <v>4</v>
      </c>
      <c r="I7" s="41">
        <v>5</v>
      </c>
      <c r="J7" s="41">
        <v>6</v>
      </c>
      <c r="K7" s="41">
        <v>7</v>
      </c>
      <c r="L7" s="41">
        <v>8</v>
      </c>
      <c r="M7" s="41">
        <v>9</v>
      </c>
      <c r="N7" s="41">
        <v>10</v>
      </c>
      <c r="O7" s="41">
        <v>11</v>
      </c>
      <c r="P7" s="41">
        <v>12</v>
      </c>
      <c r="Q7" s="41">
        <v>1</v>
      </c>
      <c r="R7" s="41">
        <v>2</v>
      </c>
      <c r="S7" s="41">
        <v>3</v>
      </c>
      <c r="T7" s="41">
        <v>4</v>
      </c>
      <c r="U7" s="41">
        <v>5</v>
      </c>
      <c r="V7" s="41">
        <v>6</v>
      </c>
      <c r="W7" s="41">
        <v>7</v>
      </c>
      <c r="X7" s="41">
        <v>8</v>
      </c>
      <c r="Y7" s="41">
        <v>9</v>
      </c>
      <c r="Z7" s="41">
        <v>10</v>
      </c>
      <c r="AA7" s="41">
        <v>11</v>
      </c>
      <c r="AB7" s="41">
        <v>12</v>
      </c>
      <c r="AC7" s="41">
        <v>1</v>
      </c>
      <c r="AD7" s="41">
        <v>2</v>
      </c>
      <c r="AE7" s="41">
        <v>3</v>
      </c>
      <c r="AF7" s="41">
        <v>4</v>
      </c>
      <c r="AG7" s="41">
        <v>5</v>
      </c>
      <c r="AH7" s="41">
        <v>6</v>
      </c>
      <c r="AI7" s="41">
        <v>7</v>
      </c>
      <c r="AJ7" s="41">
        <v>8</v>
      </c>
      <c r="AK7" s="41">
        <v>9</v>
      </c>
      <c r="AL7" s="41">
        <v>10</v>
      </c>
      <c r="AM7" s="41">
        <v>11</v>
      </c>
      <c r="AN7" s="41">
        <v>12</v>
      </c>
      <c r="AO7" s="41" t="s">
        <v>409</v>
      </c>
    </row>
    <row r="8" spans="1:41" x14ac:dyDescent="0.35">
      <c r="B8" s="14" t="s">
        <v>52</v>
      </c>
      <c r="C8" t="s">
        <v>15</v>
      </c>
      <c r="D8" t="s">
        <v>354</v>
      </c>
      <c r="E8" s="400" cm="1">
        <f t="array" ref="E8">IF(SUMPRODUCT('Giá công thức'!$G$11:$AD$106*('Giá công thức'!$A$11:$A$106=$B8)*('Giá công thức'!$B$11:$B$106=$C8)*('Giá công thức'!$C$11:$C$106="GB")*('Giá công thức'!$G$3:$AD$3=E$1)*('Giá công thức'!$G$4:$AD$4=E$2))=0,NA(),SUMPRODUCT('Giá công thức'!$G$11:$AD$106*('Giá công thức'!$A$11:$A$106=$B8)*('Giá công thức'!$B$11:$B$106=$C8)*('Giá công thức'!$C$11:$C$106="GB")*('Giá công thức'!$G$3:$AD$3=E$1)*('Giá công thức'!$G$4:$AD$4=E$2)))</f>
        <v>1180</v>
      </c>
      <c r="F8" s="400" cm="1">
        <f t="array" ref="F8">IF(SUMPRODUCT('Giá công thức'!$G$11:$AD$106*('Giá công thức'!$A$11:$A$106=$B8)*('Giá công thức'!$B$11:$B$106=$C8)*('Giá công thức'!$C$11:$C$106="GB")*('Giá công thức'!$G$3:$AD$3=F$1)*('Giá công thức'!$G$4:$AD$4=F$2))=0,NA(),SUMPRODUCT('Giá công thức'!$G$11:$AD$106*('Giá công thức'!$A$11:$A$106=$B8)*('Giá công thức'!$B$11:$B$106=$C8)*('Giá công thức'!$C$11:$C$106="GB")*('Giá công thức'!$G$3:$AD$3=F$1)*('Giá công thức'!$G$4:$AD$4=F$2)))</f>
        <v>1180</v>
      </c>
      <c r="G8" s="400" cm="1">
        <f t="array" ref="G8">IF(SUMPRODUCT('Giá công thức'!$G$11:$AD$106*('Giá công thức'!$A$11:$A$106=$B8)*('Giá công thức'!$B$11:$B$106=$C8)*('Giá công thức'!$C$11:$C$106="GB")*('Giá công thức'!$G$3:$AD$3=G$1)*('Giá công thức'!$G$4:$AD$4=G$2))=0,NA(),SUMPRODUCT('Giá công thức'!$G$11:$AD$106*('Giá công thức'!$A$11:$A$106=$B8)*('Giá công thức'!$B$11:$B$106=$C8)*('Giá công thức'!$C$11:$C$106="GB")*('Giá công thức'!$G$3:$AD$3=G$1)*('Giá công thức'!$G$4:$AD$4=G$2)))</f>
        <v>1180</v>
      </c>
      <c r="H8" s="400" cm="1">
        <f t="array" ref="H8">IF(SUMPRODUCT('Giá công thức'!$G$11:$AD$106*('Giá công thức'!$A$11:$A$106=$B8)*('Giá công thức'!$B$11:$B$106=$C8)*('Giá công thức'!$C$11:$C$106="GB")*('Giá công thức'!$G$3:$AD$3=H$1)*('Giá công thức'!$G$4:$AD$4=H$2))=0,NA(),SUMPRODUCT('Giá công thức'!$G$11:$AD$106*('Giá công thức'!$A$11:$A$106=$B8)*('Giá công thức'!$B$11:$B$106=$C8)*('Giá công thức'!$C$11:$C$106="GB")*('Giá công thức'!$G$3:$AD$3=H$1)*('Giá công thức'!$G$4:$AD$4=H$2)))</f>
        <v>1180</v>
      </c>
      <c r="I8" s="400" cm="1">
        <f t="array" ref="I8">IF(SUMPRODUCT('Giá công thức'!$G$11:$AD$106*('Giá công thức'!$A$11:$A$106=$B8)*('Giá công thức'!$B$11:$B$106=$C8)*('Giá công thức'!$C$11:$C$106="GB")*('Giá công thức'!$G$3:$AD$3=I$1)*('Giá công thức'!$G$4:$AD$4=I$2))=0,NA(),SUMPRODUCT('Giá công thức'!$G$11:$AD$106*('Giá công thức'!$A$11:$A$106=$B8)*('Giá công thức'!$B$11:$B$106=$C8)*('Giá công thức'!$C$11:$C$106="GB")*('Giá công thức'!$G$3:$AD$3=I$1)*('Giá công thức'!$G$4:$AD$4=I$2)))</f>
        <v>1180</v>
      </c>
      <c r="J8" s="400" cm="1">
        <f t="array" ref="J8">IF(SUMPRODUCT('Giá công thức'!$G$11:$AD$106*('Giá công thức'!$A$11:$A$106=$B8)*('Giá công thức'!$B$11:$B$106=$C8)*('Giá công thức'!$C$11:$C$106="GB")*('Giá công thức'!$G$3:$AD$3=J$1)*('Giá công thức'!$G$4:$AD$4=J$2))=0,NA(),SUMPRODUCT('Giá công thức'!$G$11:$AD$106*('Giá công thức'!$A$11:$A$106=$B8)*('Giá công thức'!$B$11:$B$106=$C8)*('Giá công thức'!$C$11:$C$106="GB")*('Giá công thức'!$G$3:$AD$3=J$1)*('Giá công thức'!$G$4:$AD$4=J$2)))</f>
        <v>1180.8999999999999</v>
      </c>
      <c r="K8" s="400" cm="1">
        <f t="array" ref="K8">IF(SUMPRODUCT('Giá công thức'!$G$11:$AD$106*('Giá công thức'!$A$11:$A$106=$B8)*('Giá công thức'!$B$11:$B$106=$C8)*('Giá công thức'!$C$11:$C$106="GB")*('Giá công thức'!$G$3:$AD$3=K$1)*('Giá công thức'!$G$4:$AD$4=K$2))=0,NA(),SUMPRODUCT('Giá công thức'!$G$11:$AD$106*('Giá công thức'!$A$11:$A$106=$B8)*('Giá công thức'!$B$11:$B$106=$C8)*('Giá công thức'!$C$11:$C$106="GB")*('Giá công thức'!$G$3:$AD$3=K$1)*('Giá công thức'!$G$4:$AD$4=K$2)))</f>
        <v>1194.3999999999999</v>
      </c>
      <c r="L8" s="400" cm="1">
        <f t="array" ref="L8">IF(SUMPRODUCT('Giá công thức'!$G$11:$AD$106*('Giá công thức'!$A$11:$A$106=$B8)*('Giá công thức'!$B$11:$B$106=$C8)*('Giá công thức'!$C$11:$C$106="GB")*('Giá công thức'!$G$3:$AD$3=L$1)*('Giá công thức'!$G$4:$AD$4=L$2))=0,NA(),SUMPRODUCT('Giá công thức'!$G$11:$AD$106*('Giá công thức'!$A$11:$A$106=$B8)*('Giá công thức'!$B$11:$B$106=$C8)*('Giá công thức'!$C$11:$C$106="GB")*('Giá công thức'!$G$3:$AD$3=L$1)*('Giá công thức'!$G$4:$AD$4=L$2)))</f>
        <v>1206.0999999999999</v>
      </c>
      <c r="M8" s="400" cm="1">
        <f t="array" ref="M8">IF(SUMPRODUCT('Giá công thức'!$G$11:$AD$106*('Giá công thức'!$A$11:$A$106=$B8)*('Giá công thức'!$B$11:$B$106=$C8)*('Giá công thức'!$C$11:$C$106="GB")*('Giá công thức'!$G$3:$AD$3=M$1)*('Giá công thức'!$G$4:$AD$4=M$2))=0,NA(),SUMPRODUCT('Giá công thức'!$G$11:$AD$106*('Giá công thức'!$A$11:$A$106=$B8)*('Giá công thức'!$B$11:$B$106=$C8)*('Giá công thức'!$C$11:$C$106="GB")*('Giá công thức'!$G$3:$AD$3=M$1)*('Giá công thức'!$G$4:$AD$4=M$2)))</f>
        <v>1222.6000000000001</v>
      </c>
      <c r="N8" s="400" cm="1">
        <f t="array" ref="N8">IF(SUMPRODUCT('Giá công thức'!$G$11:$AD$106*('Giá công thức'!$A$11:$A$106=$B8)*('Giá công thức'!$B$11:$B$106=$C8)*('Giá công thức'!$C$11:$C$106="GB")*('Giá công thức'!$G$3:$AD$3=N$1)*('Giá công thức'!$G$4:$AD$4=N$2))=0,NA(),SUMPRODUCT('Giá công thức'!$G$11:$AD$106*('Giá công thức'!$A$11:$A$106=$B8)*('Giá công thức'!$B$11:$B$106=$C8)*('Giá công thức'!$C$11:$C$106="GB")*('Giá công thức'!$G$3:$AD$3=N$1)*('Giá công thức'!$G$4:$AD$4=N$2)))</f>
        <v>1241.3499999999999</v>
      </c>
      <c r="O8" s="400" cm="1">
        <f t="array" ref="O8">IF(SUMPRODUCT('Giá công thức'!$G$11:$AD$106*('Giá công thức'!$A$11:$A$106=$B8)*('Giá công thức'!$B$11:$B$106=$C8)*('Giá công thức'!$C$11:$C$106="GB")*('Giá công thức'!$G$3:$AD$3=O$1)*('Giá công thức'!$G$4:$AD$4=O$2))=0,NA(),SUMPRODUCT('Giá công thức'!$G$11:$AD$106*('Giá công thức'!$A$11:$A$106=$B8)*('Giá công thức'!$B$11:$B$106=$C8)*('Giá công thức'!$C$11:$C$106="GB")*('Giá công thức'!$G$3:$AD$3=O$1)*('Giá công thức'!$G$4:$AD$4=O$2)))</f>
        <v>1261.75</v>
      </c>
      <c r="P8" s="400" cm="1">
        <f t="array" ref="P8">IF(SUMPRODUCT('Giá công thức'!$G$11:$AD$106*('Giá công thức'!$A$11:$A$106=$B8)*('Giá công thức'!$B$11:$B$106=$C8)*('Giá công thức'!$C$11:$C$106="GB")*('Giá công thức'!$G$3:$AD$3=P$1)*('Giá công thức'!$G$4:$AD$4=P$2))=0,NA(),SUMPRODUCT('Giá công thức'!$G$11:$AD$106*('Giá công thức'!$A$11:$A$106=$B8)*('Giá công thức'!$B$11:$B$106=$C8)*('Giá công thức'!$C$11:$C$106="GB")*('Giá công thức'!$G$3:$AD$3=P$1)*('Giá công thức'!$G$4:$AD$4=P$2)))</f>
        <v>1270.75</v>
      </c>
      <c r="Q8" s="400" cm="1">
        <f t="array" ref="Q8">IF(SUMPRODUCT('Giá công thức'!$G$11:$AD$106*('Giá công thức'!$A$11:$A$106=$B8)*('Giá công thức'!$B$11:$B$106=$C8)*('Giá công thức'!$C$11:$C$106="GB")*('Giá công thức'!$G$3:$AD$3=Q$1)*('Giá công thức'!$G$4:$AD$4=Q$2))=0,NA(),SUMPRODUCT('Giá công thức'!$G$11:$AD$106*('Giá công thức'!$A$11:$A$106=$B8)*('Giá công thức'!$B$11:$B$106=$C8)*('Giá công thức'!$C$11:$C$106="GB")*('Giá công thức'!$G$3:$AD$3=Q$1)*('Giá công thức'!$G$4:$AD$4=Q$2)))</f>
        <v>1268.875</v>
      </c>
      <c r="R8" s="400" cm="1">
        <f t="array" ref="R8">IF(SUMPRODUCT('Giá công thức'!$G$11:$AD$106*('Giá công thức'!$A$11:$A$106=$B8)*('Giá công thức'!$B$11:$B$106=$C8)*('Giá công thức'!$C$11:$C$106="GB")*('Giá công thức'!$G$3:$AD$3=R$1)*('Giá công thức'!$G$4:$AD$4=R$2))=0,NA(),SUMPRODUCT('Giá công thức'!$G$11:$AD$106*('Giá công thức'!$A$11:$A$106=$B8)*('Giá công thức'!$B$11:$B$106=$C8)*('Giá công thức'!$C$11:$C$106="GB")*('Giá công thức'!$G$3:$AD$3=R$1)*('Giá công thức'!$G$4:$AD$4=R$2)))</f>
        <v>1244.3749999999991</v>
      </c>
      <c r="S8" s="400" cm="1">
        <f t="array" ref="S8">IF(SUMPRODUCT('Giá công thức'!$G$11:$AD$106*('Giá công thức'!$A$11:$A$106=$B8)*('Giá công thức'!$B$11:$B$106=$C8)*('Giá công thức'!$C$11:$C$106="GB")*('Giá công thức'!$G$3:$AD$3=S$1)*('Giá công thức'!$G$4:$AD$4=S$2))=0,NA(),SUMPRODUCT('Giá công thức'!$G$11:$AD$106*('Giá công thức'!$A$11:$A$106=$B8)*('Giá công thức'!$B$11:$B$106=$C8)*('Giá công thức'!$C$11:$C$106="GB")*('Giá công thức'!$G$3:$AD$3=S$1)*('Giá công thức'!$G$4:$AD$4=S$2)))</f>
        <v>1218.8749999999991</v>
      </c>
      <c r="T8" s="400" cm="1">
        <f t="array" ref="T8">IF(SUMPRODUCT('Giá công thức'!$G$11:$AD$106*('Giá công thức'!$A$11:$A$106=$B8)*('Giá công thức'!$B$11:$B$106=$C8)*('Giá công thức'!$C$11:$C$106="GB")*('Giá công thức'!$G$3:$AD$3=T$1)*('Giá công thức'!$G$4:$AD$4=T$2))=0,NA(),SUMPRODUCT('Giá công thức'!$G$11:$AD$106*('Giá công thức'!$A$11:$A$106=$B8)*('Giá công thức'!$B$11:$B$106=$C8)*('Giá công thức'!$C$11:$C$106="GB")*('Giá công thức'!$G$3:$AD$3=T$1)*('Giá công thức'!$G$4:$AD$4=T$2)))</f>
        <v>1197.8800000000001</v>
      </c>
      <c r="U8" s="400" cm="1">
        <f t="array" ref="U8">IF(SUMPRODUCT('Giá công thức'!$G$11:$AD$106*('Giá công thức'!$A$11:$A$106=$B8)*('Giá công thức'!$B$11:$B$106=$C8)*('Giá công thức'!$C$11:$C$106="GB")*('Giá công thức'!$G$3:$AD$3=U$1)*('Giá công thức'!$G$4:$AD$4=U$2))=0,NA(),SUMPRODUCT('Giá công thức'!$G$11:$AD$106*('Giá công thức'!$A$11:$A$106=$B8)*('Giá công thức'!$B$11:$B$106=$C8)*('Giá công thức'!$C$11:$C$106="GB")*('Giá công thức'!$G$3:$AD$3=U$1)*('Giá công thức'!$G$4:$AD$4=U$2)))</f>
        <v>1199</v>
      </c>
      <c r="V8" s="400" cm="1">
        <f t="array" ref="V8">IF(SUMPRODUCT('Giá công thức'!$G$11:$AD$106*('Giá công thức'!$A$11:$A$106=$B8)*('Giá công thức'!$B$11:$B$106=$C8)*('Giá công thức'!$C$11:$C$106="GB")*('Giá công thức'!$G$3:$AD$3=V$1)*('Giá công thức'!$G$4:$AD$4=V$2))=0,NA(),SUMPRODUCT('Giá công thức'!$G$11:$AD$106*('Giá công thức'!$A$11:$A$106=$B8)*('Giá công thức'!$B$11:$B$106=$C8)*('Giá công thức'!$C$11:$C$106="GB")*('Giá công thức'!$G$3:$AD$3=V$1)*('Giá công thức'!$G$4:$AD$4=V$2)))</f>
        <v>1202</v>
      </c>
      <c r="W8" s="400" cm="1">
        <f t="array" ref="W8">IF(SUMPRODUCT('Giá công thức'!$G$11:$AD$106*('Giá công thức'!$A$11:$A$106=$B8)*('Giá công thức'!$B$11:$B$106=$C8)*('Giá công thức'!$C$11:$C$106="GB")*('Giá công thức'!$G$3:$AD$3=W$1)*('Giá công thức'!$G$4:$AD$4=W$2))=0,NA(),SUMPRODUCT('Giá công thức'!$G$11:$AD$106*('Giá công thức'!$A$11:$A$106=$B8)*('Giá công thức'!$B$11:$B$106=$C8)*('Giá công thức'!$C$11:$C$106="GB")*('Giá công thức'!$G$3:$AD$3=W$1)*('Giá công thức'!$G$4:$AD$4=W$2)))</f>
        <v>1202</v>
      </c>
      <c r="X8" s="400" cm="1">
        <f t="array" ref="X8">IF(SUMPRODUCT('Giá công thức'!$G$11:$AD$106*('Giá công thức'!$A$11:$A$106=$B8)*('Giá công thức'!$B$11:$B$106=$C8)*('Giá công thức'!$C$11:$C$106="GB")*('Giá công thức'!$G$3:$AD$3=X$1)*('Giá công thức'!$G$4:$AD$4=X$2))=0,NA(),SUMPRODUCT('Giá công thức'!$G$11:$AD$106*('Giá công thức'!$A$11:$A$106=$B8)*('Giá công thức'!$B$11:$B$106=$C8)*('Giá công thức'!$C$11:$C$106="GB")*('Giá công thức'!$G$3:$AD$3=X$1)*('Giá công thức'!$G$4:$AD$4=X$2)))</f>
        <v>1193.2</v>
      </c>
      <c r="Y8" s="400" cm="1">
        <f t="array" ref="Y8">IF(SUMPRODUCT('Giá công thức'!$G$11:$AD$106*('Giá công thức'!$A$11:$A$106=$B8)*('Giá công thức'!$B$11:$B$106=$C8)*('Giá công thức'!$C$11:$C$106="GB")*('Giá công thức'!$G$3:$AD$3=Y$1)*('Giá công thức'!$G$4:$AD$4=Y$2))=0,NA(),SUMPRODUCT('Giá công thức'!$G$11:$AD$106*('Giá công thức'!$A$11:$A$106=$B8)*('Giá công thức'!$B$11:$B$106=$C8)*('Giá công thức'!$C$11:$C$106="GB")*('Giá công thức'!$G$3:$AD$3=Y$1)*('Giá công thức'!$G$4:$AD$4=Y$2)))</f>
        <v>1180</v>
      </c>
      <c r="Z8" s="400" cm="1">
        <f t="array" ref="Z8">IF(SUMPRODUCT('Giá công thức'!$G$11:$AD$106*('Giá công thức'!$A$11:$A$106=$B8)*('Giá công thức'!$B$11:$B$106=$C8)*('Giá công thức'!$C$11:$C$106="GB")*('Giá công thức'!$G$3:$AD$3=Z$1)*('Giá công thức'!$G$4:$AD$4=Z$2))=0,NA(),SUMPRODUCT('Giá công thức'!$G$11:$AD$106*('Giá công thức'!$A$11:$A$106=$B8)*('Giá công thức'!$B$11:$B$106=$C8)*('Giá công thức'!$C$11:$C$106="GB")*('Giá công thức'!$G$3:$AD$3=Z$1)*('Giá công thức'!$G$4:$AD$4=Z$2)))</f>
        <v>1180</v>
      </c>
      <c r="AA8" s="400" cm="1">
        <f t="array" ref="AA8">IF(SUMPRODUCT('Giá công thức'!$G$11:$AD$106*('Giá công thức'!$A$11:$A$106=$B8)*('Giá công thức'!$B$11:$B$106=$C8)*('Giá công thức'!$C$11:$C$106="GB")*('Giá công thức'!$G$3:$AD$3=AA$1)*('Giá công thức'!$G$4:$AD$4=AA$2))=0,NA(),SUMPRODUCT('Giá công thức'!$G$11:$AD$106*('Giá công thức'!$A$11:$A$106=$B8)*('Giá công thức'!$B$11:$B$106=$C8)*('Giá công thức'!$C$11:$C$106="GB")*('Giá công thức'!$G$3:$AD$3=AA$1)*('Giá công thức'!$G$4:$AD$4=AA$2)))</f>
        <v>1180</v>
      </c>
      <c r="AB8" s="400" cm="1">
        <f t="array" ref="AB8">IF(SUMPRODUCT('Giá công thức'!$G$11:$AD$106*('Giá công thức'!$A$11:$A$106=$B8)*('Giá công thức'!$B$11:$B$106=$C8)*('Giá công thức'!$C$11:$C$106="GB")*('Giá công thức'!$G$3:$AD$3=AB$1)*('Giá công thức'!$G$4:$AD$4=AB$2))=0,NA(),SUMPRODUCT('Giá công thức'!$G$11:$AD$106*('Giá công thức'!$A$11:$A$106=$B8)*('Giá công thức'!$B$11:$B$106=$C8)*('Giá công thức'!$C$11:$C$106="GB")*('Giá công thức'!$G$3:$AD$3=AB$1)*('Giá công thức'!$G$4:$AD$4=AB$2)))</f>
        <v>1180</v>
      </c>
      <c r="AC8" s="400"/>
      <c r="AD8" s="400"/>
      <c r="AE8" s="400"/>
      <c r="AF8" s="400"/>
      <c r="AG8" s="400"/>
      <c r="AH8" s="400"/>
      <c r="AI8" s="400"/>
      <c r="AJ8" s="400"/>
      <c r="AK8" s="400"/>
      <c r="AL8" s="400"/>
      <c r="AM8" s="400"/>
      <c r="AN8" s="400"/>
      <c r="AO8" s="400">
        <f>INDEX($E8:$AB8,MATCH("X",$E$3:$AB$3,0))</f>
        <v>1180</v>
      </c>
    </row>
    <row r="9" spans="1:41" x14ac:dyDescent="0.35">
      <c r="B9" s="14" t="s">
        <v>64</v>
      </c>
      <c r="C9" t="s">
        <v>15</v>
      </c>
      <c r="D9" t="s">
        <v>355</v>
      </c>
      <c r="E9" s="400" cm="1">
        <f t="array" ref="E9">IF(SUMPRODUCT('Giá công thức'!$G$11:$AD$106*('Giá công thức'!$A$11:$A$106=$B9)*('Giá công thức'!$B$11:$B$106=$C9)*('Giá công thức'!$C$11:$C$106="GB")*('Giá công thức'!$G$3:$AD$3=E$1)*('Giá công thức'!$G$4:$AD$4=E$2))=0,NA(),SUMPRODUCT('Giá công thức'!$G$11:$AD$106*('Giá công thức'!$A$11:$A$106=$B9)*('Giá công thức'!$B$11:$B$106=$C9)*('Giá công thức'!$C$11:$C$106="GB")*('Giá công thức'!$G$3:$AD$3=E$1)*('Giá công thức'!$G$4:$AD$4=E$2)))</f>
        <v>1307.795918367347</v>
      </c>
      <c r="F9" s="400" cm="1">
        <f t="array" ref="F9">IF(SUMPRODUCT('Giá công thức'!$G$11:$AD$106*('Giá công thức'!$A$11:$A$106=$B9)*('Giá công thức'!$B$11:$B$106=$C9)*('Giá công thức'!$C$11:$C$106="GB")*('Giá công thức'!$G$3:$AD$3=F$1)*('Giá công thức'!$G$4:$AD$4=F$2))=0,NA(),SUMPRODUCT('Giá công thức'!$G$11:$AD$106*('Giá công thức'!$A$11:$A$106=$B9)*('Giá công thức'!$B$11:$B$106=$C9)*('Giá công thức'!$C$11:$C$106="GB")*('Giá công thức'!$G$3:$AD$3=F$1)*('Giá công thức'!$G$4:$AD$4=F$2)))</f>
        <v>1307.795918367347</v>
      </c>
      <c r="G9" s="400" cm="1">
        <f t="array" ref="G9">IF(SUMPRODUCT('Giá công thức'!$G$11:$AD$106*('Giá công thức'!$A$11:$A$106=$B9)*('Giá công thức'!$B$11:$B$106=$C9)*('Giá công thức'!$C$11:$C$106="GB")*('Giá công thức'!$G$3:$AD$3=G$1)*('Giá công thức'!$G$4:$AD$4=G$2))=0,NA(),SUMPRODUCT('Giá công thức'!$G$11:$AD$106*('Giá công thức'!$A$11:$A$106=$B9)*('Giá công thức'!$B$11:$B$106=$C9)*('Giá công thức'!$C$11:$C$106="GB")*('Giá công thức'!$G$3:$AD$3=G$1)*('Giá công thức'!$G$4:$AD$4=G$2)))</f>
        <v>1307.795918367347</v>
      </c>
      <c r="H9" s="400" cm="1">
        <f t="array" ref="H9">IF(SUMPRODUCT('Giá công thức'!$G$11:$AD$106*('Giá công thức'!$A$11:$A$106=$B9)*('Giá công thức'!$B$11:$B$106=$C9)*('Giá công thức'!$C$11:$C$106="GB")*('Giá công thức'!$G$3:$AD$3=H$1)*('Giá công thức'!$G$4:$AD$4=H$2))=0,NA(),SUMPRODUCT('Giá công thức'!$G$11:$AD$106*('Giá công thức'!$A$11:$A$106=$B9)*('Giá công thức'!$B$11:$B$106=$C9)*('Giá công thức'!$C$11:$C$106="GB")*('Giá công thức'!$G$3:$AD$3=H$1)*('Giá công thức'!$G$4:$AD$4=H$2)))</f>
        <v>1307.795918367347</v>
      </c>
      <c r="I9" s="400" cm="1">
        <f t="array" ref="I9">IF(SUMPRODUCT('Giá công thức'!$G$11:$AD$106*('Giá công thức'!$A$11:$A$106=$B9)*('Giá công thức'!$B$11:$B$106=$C9)*('Giá công thức'!$C$11:$C$106="GB")*('Giá công thức'!$G$3:$AD$3=I$1)*('Giá công thức'!$G$4:$AD$4=I$2))=0,NA(),SUMPRODUCT('Giá công thức'!$G$11:$AD$106*('Giá công thức'!$A$11:$A$106=$B9)*('Giá công thức'!$B$11:$B$106=$C9)*('Giá công thức'!$C$11:$C$106="GB")*('Giá công thức'!$G$3:$AD$3=I$1)*('Giá công thức'!$G$4:$AD$4=I$2)))</f>
        <v>1307.795918367347</v>
      </c>
      <c r="J9" s="400" cm="1">
        <f t="array" ref="J9">IF(SUMPRODUCT('Giá công thức'!$G$11:$AD$106*('Giá công thức'!$A$11:$A$106=$B9)*('Giá công thức'!$B$11:$B$106=$C9)*('Giá công thức'!$C$11:$C$106="GB")*('Giá công thức'!$G$3:$AD$3=J$1)*('Giá công thức'!$G$4:$AD$4=J$2))=0,NA(),SUMPRODUCT('Giá công thức'!$G$11:$AD$106*('Giá công thức'!$A$11:$A$106=$B9)*('Giá công thức'!$B$11:$B$106=$C9)*('Giá công thức'!$C$11:$C$106="GB")*('Giá công thức'!$G$3:$AD$3=J$1)*('Giá công thức'!$G$4:$AD$4=J$2)))</f>
        <v>1307.795918367347</v>
      </c>
      <c r="K9" s="400" cm="1">
        <f t="array" ref="K9">IF(SUMPRODUCT('Giá công thức'!$G$11:$AD$106*('Giá công thức'!$A$11:$A$106=$B9)*('Giá công thức'!$B$11:$B$106=$C9)*('Giá công thức'!$C$11:$C$106="GB")*('Giá công thức'!$G$3:$AD$3=K$1)*('Giá công thức'!$G$4:$AD$4=K$2))=0,NA(),SUMPRODUCT('Giá công thức'!$G$11:$AD$106*('Giá công thức'!$A$11:$A$106=$B9)*('Giá công thức'!$B$11:$B$106=$C9)*('Giá công thức'!$C$11:$C$106="GB")*('Giá công thức'!$G$3:$AD$3=K$1)*('Giá công thức'!$G$4:$AD$4=K$2)))</f>
        <v>1308.04</v>
      </c>
      <c r="L9" s="400" cm="1">
        <f t="array" ref="L9">IF(SUMPRODUCT('Giá công thức'!$G$11:$AD$106*('Giá công thức'!$A$11:$A$106=$B9)*('Giá công thức'!$B$11:$B$106=$C9)*('Giá công thức'!$C$11:$C$106="GB")*('Giá công thức'!$G$3:$AD$3=L$1)*('Giá công thức'!$G$4:$AD$4=L$2))=0,NA(),SUMPRODUCT('Giá công thức'!$G$11:$AD$106*('Giá công thức'!$A$11:$A$106=$B9)*('Giá công thức'!$B$11:$B$106=$C9)*('Giá công thức'!$C$11:$C$106="GB")*('Giá công thức'!$G$3:$AD$3=L$1)*('Giá công thức'!$G$4:$AD$4=L$2)))</f>
        <v>1308.04</v>
      </c>
      <c r="M9" s="400" cm="1">
        <f t="array" ref="M9">IF(SUMPRODUCT('Giá công thức'!$G$11:$AD$106*('Giá công thức'!$A$11:$A$106=$B9)*('Giá công thức'!$B$11:$B$106=$C9)*('Giá công thức'!$C$11:$C$106="GB")*('Giá công thức'!$G$3:$AD$3=M$1)*('Giá công thức'!$G$4:$AD$4=M$2))=0,NA(),SUMPRODUCT('Giá công thức'!$G$11:$AD$106*('Giá công thức'!$A$11:$A$106=$B9)*('Giá công thức'!$B$11:$B$106=$C9)*('Giá công thức'!$C$11:$C$106="GB")*('Giá công thức'!$G$3:$AD$3=M$1)*('Giá công thức'!$G$4:$AD$4=M$2)))</f>
        <v>1308.04</v>
      </c>
      <c r="N9" s="400" cm="1">
        <f t="array" ref="N9">IF(SUMPRODUCT('Giá công thức'!$G$11:$AD$106*('Giá công thức'!$A$11:$A$106=$B9)*('Giá công thức'!$B$11:$B$106=$C9)*('Giá công thức'!$C$11:$C$106="GB")*('Giá công thức'!$G$3:$AD$3=N$1)*('Giá công thức'!$G$4:$AD$4=N$2))=0,NA(),SUMPRODUCT('Giá công thức'!$G$11:$AD$106*('Giá công thức'!$A$11:$A$106=$B9)*('Giá công thức'!$B$11:$B$106=$C9)*('Giá công thức'!$C$11:$C$106="GB")*('Giá công thức'!$G$3:$AD$3=N$1)*('Giá công thức'!$G$4:$AD$4=N$2)))</f>
        <v>1288.04</v>
      </c>
      <c r="O9" s="400" cm="1">
        <f t="array" ref="O9">IF(SUMPRODUCT('Giá công thức'!$G$11:$AD$106*('Giá công thức'!$A$11:$A$106=$B9)*('Giá công thức'!$B$11:$B$106=$C9)*('Giá công thức'!$C$11:$C$106="GB")*('Giá công thức'!$G$3:$AD$3=O$1)*('Giá công thức'!$G$4:$AD$4=O$2))=0,NA(),SUMPRODUCT('Giá công thức'!$G$11:$AD$106*('Giá công thức'!$A$11:$A$106=$B9)*('Giá công thức'!$B$11:$B$106=$C9)*('Giá công thức'!$C$11:$C$106="GB")*('Giá công thức'!$G$3:$AD$3=O$1)*('Giá công thức'!$G$4:$AD$4=O$2)))</f>
        <v>1288.04</v>
      </c>
      <c r="P9" s="400" cm="1">
        <f t="array" ref="P9">IF(SUMPRODUCT('Giá công thức'!$G$11:$AD$106*('Giá công thức'!$A$11:$A$106=$B9)*('Giá công thức'!$B$11:$B$106=$C9)*('Giá công thức'!$C$11:$C$106="GB")*('Giá công thức'!$G$3:$AD$3=P$1)*('Giá công thức'!$G$4:$AD$4=P$2))=0,NA(),SUMPRODUCT('Giá công thức'!$G$11:$AD$106*('Giá công thức'!$A$11:$A$106=$B9)*('Giá công thức'!$B$11:$B$106=$C9)*('Giá công thức'!$C$11:$C$106="GB")*('Giá công thức'!$G$3:$AD$3=P$1)*('Giá công thức'!$G$4:$AD$4=P$2)))</f>
        <v>1288.04</v>
      </c>
      <c r="Q9" s="400" cm="1">
        <f t="array" ref="Q9">IF(SUMPRODUCT('Giá công thức'!$G$11:$AD$106*('Giá công thức'!$A$11:$A$106=$B9)*('Giá công thức'!$B$11:$B$106=$C9)*('Giá công thức'!$C$11:$C$106="GB")*('Giá công thức'!$G$3:$AD$3=Q$1)*('Giá công thức'!$G$4:$AD$4=Q$2))=0,NA(),SUMPRODUCT('Giá công thức'!$G$11:$AD$106*('Giá công thức'!$A$11:$A$106=$B9)*('Giá công thức'!$B$11:$B$106=$C9)*('Giá công thức'!$C$11:$C$106="GB")*('Giá công thức'!$G$3:$AD$3=Q$1)*('Giá công thức'!$G$4:$AD$4=Q$2)))</f>
        <v>1288.04</v>
      </c>
      <c r="R9" s="400" cm="1">
        <f t="array" ref="R9">IF(SUMPRODUCT('Giá công thức'!$G$11:$AD$106*('Giá công thức'!$A$11:$A$106=$B9)*('Giá công thức'!$B$11:$B$106=$C9)*('Giá công thức'!$C$11:$C$106="GB")*('Giá công thức'!$G$3:$AD$3=R$1)*('Giá công thức'!$G$4:$AD$4=R$2))=0,NA(),SUMPRODUCT('Giá công thức'!$G$11:$AD$106*('Giá công thức'!$A$11:$A$106=$B9)*('Giá công thức'!$B$11:$B$106=$C9)*('Giá công thức'!$C$11:$C$106="GB")*('Giá công thức'!$G$3:$AD$3=R$1)*('Giá công thức'!$G$4:$AD$4=R$2)))</f>
        <v>1288.04</v>
      </c>
      <c r="S9" s="400" cm="1">
        <f t="array" ref="S9">IF(SUMPRODUCT('Giá công thức'!$G$11:$AD$106*('Giá công thức'!$A$11:$A$106=$B9)*('Giá công thức'!$B$11:$B$106=$C9)*('Giá công thức'!$C$11:$C$106="GB")*('Giá công thức'!$G$3:$AD$3=S$1)*('Giá công thức'!$G$4:$AD$4=S$2))=0,NA(),SUMPRODUCT('Giá công thức'!$G$11:$AD$106*('Giá công thức'!$A$11:$A$106=$B9)*('Giá công thức'!$B$11:$B$106=$C9)*('Giá công thức'!$C$11:$C$106="GB")*('Giá công thức'!$G$3:$AD$3=S$1)*('Giá công thức'!$G$4:$AD$4=S$2)))</f>
        <v>1288.04</v>
      </c>
      <c r="T9" s="400" cm="1">
        <f t="array" ref="T9">IF(SUMPRODUCT('Giá công thức'!$G$11:$AD$106*('Giá công thức'!$A$11:$A$106=$B9)*('Giá công thức'!$B$11:$B$106=$C9)*('Giá công thức'!$C$11:$C$106="GB")*('Giá công thức'!$G$3:$AD$3=T$1)*('Giá công thức'!$G$4:$AD$4=T$2))=0,NA(),SUMPRODUCT('Giá công thức'!$G$11:$AD$106*('Giá công thức'!$A$11:$A$106=$B9)*('Giá công thức'!$B$11:$B$106=$C9)*('Giá công thức'!$C$11:$C$106="GB")*('Giá công thức'!$G$3:$AD$3=T$1)*('Giá công thức'!$G$4:$AD$4=T$2)))</f>
        <v>1238.04</v>
      </c>
      <c r="U9" s="400" cm="1">
        <f t="array" ref="U9">IF(SUMPRODUCT('Giá công thức'!$G$11:$AD$106*('Giá công thức'!$A$11:$A$106=$B9)*('Giá công thức'!$B$11:$B$106=$C9)*('Giá công thức'!$C$11:$C$106="GB")*('Giá công thức'!$G$3:$AD$3=U$1)*('Giá công thức'!$G$4:$AD$4=U$2))=0,NA(),SUMPRODUCT('Giá công thức'!$G$11:$AD$106*('Giá công thức'!$A$11:$A$106=$B9)*('Giá công thức'!$B$11:$B$106=$C9)*('Giá công thức'!$C$11:$C$106="GB")*('Giá công thức'!$G$3:$AD$3=U$1)*('Giá công thức'!$G$4:$AD$4=U$2)))</f>
        <v>1238.04</v>
      </c>
      <c r="V9" s="400" cm="1">
        <f t="array" ref="V9">IF(SUMPRODUCT('Giá công thức'!$G$11:$AD$106*('Giá công thức'!$A$11:$A$106=$B9)*('Giá công thức'!$B$11:$B$106=$C9)*('Giá công thức'!$C$11:$C$106="GB")*('Giá công thức'!$G$3:$AD$3=V$1)*('Giá công thức'!$G$4:$AD$4=V$2))=0,NA(),SUMPRODUCT('Giá công thức'!$G$11:$AD$106*('Giá công thức'!$A$11:$A$106=$B9)*('Giá công thức'!$B$11:$B$106=$C9)*('Giá công thức'!$C$11:$C$106="GB")*('Giá công thức'!$G$3:$AD$3=V$1)*('Giá công thức'!$G$4:$AD$4=V$2)))</f>
        <v>1238.04</v>
      </c>
      <c r="W9" s="400" cm="1">
        <f t="array" ref="W9">IF(SUMPRODUCT('Giá công thức'!$G$11:$AD$106*('Giá công thức'!$A$11:$A$106=$B9)*('Giá công thức'!$B$11:$B$106=$C9)*('Giá công thức'!$C$11:$C$106="GB")*('Giá công thức'!$G$3:$AD$3=W$1)*('Giá công thức'!$G$4:$AD$4=W$2))=0,NA(),SUMPRODUCT('Giá công thức'!$G$11:$AD$106*('Giá công thức'!$A$11:$A$106=$B9)*('Giá công thức'!$B$11:$B$106=$C9)*('Giá công thức'!$C$11:$C$106="GB")*('Giá công thức'!$G$3:$AD$3=W$1)*('Giá công thức'!$G$4:$AD$4=W$2)))</f>
        <v>1268.04</v>
      </c>
      <c r="X9" s="400" cm="1">
        <f t="array" ref="X9">IF(SUMPRODUCT('Giá công thức'!$G$11:$AD$106*('Giá công thức'!$A$11:$A$106=$B9)*('Giá công thức'!$B$11:$B$106=$C9)*('Giá công thức'!$C$11:$C$106="GB")*('Giá công thức'!$G$3:$AD$3=X$1)*('Giá công thức'!$G$4:$AD$4=X$2))=0,NA(),SUMPRODUCT('Giá công thức'!$G$11:$AD$106*('Giá công thức'!$A$11:$A$106=$B9)*('Giá công thức'!$B$11:$B$106=$C9)*('Giá công thức'!$C$11:$C$106="GB")*('Giá công thức'!$G$3:$AD$3=X$1)*('Giá công thức'!$G$4:$AD$4=X$2)))</f>
        <v>1268.04</v>
      </c>
      <c r="Y9" s="400" cm="1">
        <f t="array" ref="Y9">IF(SUMPRODUCT('Giá công thức'!$G$11:$AD$106*('Giá công thức'!$A$11:$A$106=$B9)*('Giá công thức'!$B$11:$B$106=$C9)*('Giá công thức'!$C$11:$C$106="GB")*('Giá công thức'!$G$3:$AD$3=Y$1)*('Giá công thức'!$G$4:$AD$4=Y$2))=0,NA(),SUMPRODUCT('Giá công thức'!$G$11:$AD$106*('Giá công thức'!$A$11:$A$106=$B9)*('Giá công thức'!$B$11:$B$106=$C9)*('Giá công thức'!$C$11:$C$106="GB")*('Giá công thức'!$G$3:$AD$3=Y$1)*('Giá công thức'!$G$4:$AD$4=Y$2)))</f>
        <v>1268.04</v>
      </c>
      <c r="Z9" s="400" cm="1">
        <f t="array" ref="Z9">IF(SUMPRODUCT('Giá công thức'!$G$11:$AD$106*('Giá công thức'!$A$11:$A$106=$B9)*('Giá công thức'!$B$11:$B$106=$C9)*('Giá công thức'!$C$11:$C$106="GB")*('Giá công thức'!$G$3:$AD$3=Z$1)*('Giá công thức'!$G$4:$AD$4=Z$2))=0,NA(),SUMPRODUCT('Giá công thức'!$G$11:$AD$106*('Giá công thức'!$A$11:$A$106=$B9)*('Giá công thức'!$B$11:$B$106=$C9)*('Giá công thức'!$C$11:$C$106="GB")*('Giá công thức'!$G$3:$AD$3=Z$1)*('Giá công thức'!$G$4:$AD$4=Z$2)))</f>
        <v>1268.04</v>
      </c>
      <c r="AA9" s="400" cm="1">
        <f t="array" ref="AA9">IF(SUMPRODUCT('Giá công thức'!$G$11:$AD$106*('Giá công thức'!$A$11:$A$106=$B9)*('Giá công thức'!$B$11:$B$106=$C9)*('Giá công thức'!$C$11:$C$106="GB")*('Giá công thức'!$G$3:$AD$3=AA$1)*('Giá công thức'!$G$4:$AD$4=AA$2))=0,NA(),SUMPRODUCT('Giá công thức'!$G$11:$AD$106*('Giá công thức'!$A$11:$A$106=$B9)*('Giá công thức'!$B$11:$B$106=$C9)*('Giá công thức'!$C$11:$C$106="GB")*('Giá công thức'!$G$3:$AD$3=AA$1)*('Giá công thức'!$G$4:$AD$4=AA$2)))</f>
        <v>1268.04</v>
      </c>
      <c r="AB9" s="400" cm="1">
        <f t="array" ref="AB9">IF(SUMPRODUCT('Giá công thức'!$G$11:$AD$106*('Giá công thức'!$A$11:$A$106=$B9)*('Giá công thức'!$B$11:$B$106=$C9)*('Giá công thức'!$C$11:$C$106="GB")*('Giá công thức'!$G$3:$AD$3=AB$1)*('Giá công thức'!$G$4:$AD$4=AB$2))=0,NA(),SUMPRODUCT('Giá công thức'!$G$11:$AD$106*('Giá công thức'!$A$11:$A$106=$B9)*('Giá công thức'!$B$11:$B$106=$C9)*('Giá công thức'!$C$11:$C$106="GB")*('Giá công thức'!$G$3:$AD$3=AB$1)*('Giá công thức'!$G$4:$AD$4=AB$2)))</f>
        <v>1268.04</v>
      </c>
      <c r="AC9" s="400"/>
      <c r="AD9" s="400"/>
      <c r="AE9" s="400"/>
      <c r="AF9" s="400"/>
      <c r="AG9" s="400"/>
      <c r="AH9" s="400"/>
      <c r="AI9" s="400"/>
      <c r="AJ9" s="400"/>
      <c r="AK9" s="400"/>
      <c r="AL9" s="400"/>
      <c r="AM9" s="400"/>
      <c r="AN9" s="400"/>
      <c r="AO9" s="428">
        <f>INDEX($E9:$AB9,MATCH("X",$E$3:$AB$3,0))</f>
        <v>1268.04</v>
      </c>
    </row>
    <row r="10" spans="1:41" x14ac:dyDescent="0.35">
      <c r="B10" s="14" t="s">
        <v>62</v>
      </c>
      <c r="C10" s="441" t="s">
        <v>35</v>
      </c>
      <c r="D10" t="s">
        <v>442</v>
      </c>
      <c r="E10" s="400" cm="1">
        <f t="array" ref="E10">IF(SUMPRODUCT('Giá công thức'!$G$11:$AD$106*('Giá công thức'!$A$11:$A$106=$B10)*('Giá công thức'!$B$11:$B$106=$C10)*('Giá công thức'!$C$11:$C$106="GB")*('Giá công thức'!$G$3:$AD$3=E$1)*('Giá công thức'!$G$4:$AD$4=E$2))=0,NA(),SUMPRODUCT('Giá công thức'!$G$11:$AD$106*('Giá công thức'!$A$11:$A$106=$B10)*('Giá công thức'!$B$11:$B$106=$C10)*('Giá công thức'!$C$11:$C$106="GB")*('Giá công thức'!$G$3:$AD$3=E$1)*('Giá công thức'!$G$4:$AD$4=E$2)))</f>
        <v>1250</v>
      </c>
      <c r="F10" s="400" cm="1">
        <f t="array" ref="F10">IF(SUMPRODUCT('Giá công thức'!$G$11:$AD$106*('Giá công thức'!$A$11:$A$106=$B10)*('Giá công thức'!$B$11:$B$106=$C10)*('Giá công thức'!$C$11:$C$106="GB")*('Giá công thức'!$G$3:$AD$3=F$1)*('Giá công thức'!$G$4:$AD$4=F$2))=0,NA(),SUMPRODUCT('Giá công thức'!$G$11:$AD$106*('Giá công thức'!$A$11:$A$106=$B10)*('Giá công thức'!$B$11:$B$106=$C10)*('Giá công thức'!$C$11:$C$106="GB")*('Giá công thức'!$G$3:$AD$3=F$1)*('Giá công thức'!$G$4:$AD$4=F$2)))</f>
        <v>1250</v>
      </c>
      <c r="G10" s="400" cm="1">
        <f t="array" ref="G10">IF(SUMPRODUCT('Giá công thức'!$G$11:$AD$106*('Giá công thức'!$A$11:$A$106=$B10)*('Giá công thức'!$B$11:$B$106=$C10)*('Giá công thức'!$C$11:$C$106="GB")*('Giá công thức'!$G$3:$AD$3=G$1)*('Giá công thức'!$G$4:$AD$4=G$2))=0,NA(),SUMPRODUCT('Giá công thức'!$G$11:$AD$106*('Giá công thức'!$A$11:$A$106=$B10)*('Giá công thức'!$B$11:$B$106=$C10)*('Giá công thức'!$C$11:$C$106="GB")*('Giá công thức'!$G$3:$AD$3=G$1)*('Giá công thức'!$G$4:$AD$4=G$2)))</f>
        <v>1250</v>
      </c>
      <c r="H10" s="400" cm="1">
        <f t="array" ref="H10">IF(SUMPRODUCT('Giá công thức'!$G$11:$AD$106*('Giá công thức'!$A$11:$A$106=$B10)*('Giá công thức'!$B$11:$B$106=$C10)*('Giá công thức'!$C$11:$C$106="GB")*('Giá công thức'!$G$3:$AD$3=H$1)*('Giá công thức'!$G$4:$AD$4=H$2))=0,NA(),SUMPRODUCT('Giá công thức'!$G$11:$AD$106*('Giá công thức'!$A$11:$A$106=$B10)*('Giá công thức'!$B$11:$B$106=$C10)*('Giá công thức'!$C$11:$C$106="GB")*('Giá công thức'!$G$3:$AD$3=H$1)*('Giá công thức'!$G$4:$AD$4=H$2)))</f>
        <v>1250</v>
      </c>
      <c r="I10" s="400" cm="1">
        <f t="array" ref="I10">IF(SUMPRODUCT('Giá công thức'!$G$11:$AD$106*('Giá công thức'!$A$11:$A$106=$B10)*('Giá công thức'!$B$11:$B$106=$C10)*('Giá công thức'!$C$11:$C$106="GB")*('Giá công thức'!$G$3:$AD$3=I$1)*('Giá công thức'!$G$4:$AD$4=I$2))=0,NA(),SUMPRODUCT('Giá công thức'!$G$11:$AD$106*('Giá công thức'!$A$11:$A$106=$B10)*('Giá công thức'!$B$11:$B$106=$C10)*('Giá công thức'!$C$11:$C$106="GB")*('Giá công thức'!$G$3:$AD$3=I$1)*('Giá công thức'!$G$4:$AD$4=I$2)))</f>
        <v>1250</v>
      </c>
      <c r="J10" s="400" cm="1">
        <f t="array" ref="J10">IF(SUMPRODUCT('Giá công thức'!$G$11:$AD$106*('Giá công thức'!$A$11:$A$106=$B10)*('Giá công thức'!$B$11:$B$106=$C10)*('Giá công thức'!$C$11:$C$106="GB")*('Giá công thức'!$G$3:$AD$3=J$1)*('Giá công thức'!$G$4:$AD$4=J$2))=0,NA(),SUMPRODUCT('Giá công thức'!$G$11:$AD$106*('Giá công thức'!$A$11:$A$106=$B10)*('Giá công thức'!$B$11:$B$106=$C10)*('Giá công thức'!$C$11:$C$106="GB")*('Giá công thức'!$G$3:$AD$3=J$1)*('Giá công thức'!$G$4:$AD$4=J$2)))</f>
        <v>1250</v>
      </c>
      <c r="K10" s="400" cm="1">
        <f t="array" ref="K10">IF(SUMPRODUCT('Giá công thức'!$G$11:$AD$106*('Giá công thức'!$A$11:$A$106=$B10)*('Giá công thức'!$B$11:$B$106=$C10)*('Giá công thức'!$C$11:$C$106="GB")*('Giá công thức'!$G$3:$AD$3=K$1)*('Giá công thức'!$G$4:$AD$4=K$2))=0,NA(),SUMPRODUCT('Giá công thức'!$G$11:$AD$106*('Giá công thức'!$A$11:$A$106=$B10)*('Giá công thức'!$B$11:$B$106=$C10)*('Giá công thức'!$C$11:$C$106="GB")*('Giá công thức'!$G$3:$AD$3=K$1)*('Giá công thức'!$G$4:$AD$4=K$2)))</f>
        <v>1330</v>
      </c>
      <c r="L10" s="400" cm="1">
        <f t="array" ref="L10">IF(SUMPRODUCT('Giá công thức'!$G$11:$AD$106*('Giá công thức'!$A$11:$A$106=$B10)*('Giá công thức'!$B$11:$B$106=$C10)*('Giá công thức'!$C$11:$C$106="GB")*('Giá công thức'!$G$3:$AD$3=L$1)*('Giá công thức'!$G$4:$AD$4=L$2))=0,NA(),SUMPRODUCT('Giá công thức'!$G$11:$AD$106*('Giá công thức'!$A$11:$A$106=$B10)*('Giá công thức'!$B$11:$B$106=$C10)*('Giá công thức'!$C$11:$C$106="GB")*('Giá công thức'!$G$3:$AD$3=L$1)*('Giá công thức'!$G$4:$AD$4=L$2)))</f>
        <v>1330</v>
      </c>
      <c r="M10" s="400" cm="1">
        <f t="array" ref="M10">IF(SUMPRODUCT('Giá công thức'!$G$11:$AD$106*('Giá công thức'!$A$11:$A$106=$B10)*('Giá công thức'!$B$11:$B$106=$C10)*('Giá công thức'!$C$11:$C$106="GB")*('Giá công thức'!$G$3:$AD$3=M$1)*('Giá công thức'!$G$4:$AD$4=M$2))=0,NA(),SUMPRODUCT('Giá công thức'!$G$11:$AD$106*('Giá công thức'!$A$11:$A$106=$B10)*('Giá công thức'!$B$11:$B$106=$C10)*('Giá công thức'!$C$11:$C$106="GB")*('Giá công thức'!$G$3:$AD$3=M$1)*('Giá công thức'!$G$4:$AD$4=M$2)))</f>
        <v>1330</v>
      </c>
      <c r="N10" s="400" cm="1">
        <f t="array" ref="N10">IF(SUMPRODUCT('Giá công thức'!$G$11:$AD$106*('Giá công thức'!$A$11:$A$106=$B10)*('Giá công thức'!$B$11:$B$106=$C10)*('Giá công thức'!$C$11:$C$106="GB")*('Giá công thức'!$G$3:$AD$3=N$1)*('Giá công thức'!$G$4:$AD$4=N$2))=0,NA(),SUMPRODUCT('Giá công thức'!$G$11:$AD$106*('Giá công thức'!$A$11:$A$106=$B10)*('Giá công thức'!$B$11:$B$106=$C10)*('Giá công thức'!$C$11:$C$106="GB")*('Giá công thức'!$G$3:$AD$3=N$1)*('Giá công thức'!$G$4:$AD$4=N$2)))</f>
        <v>1330</v>
      </c>
      <c r="O10" s="400" cm="1">
        <f t="array" ref="O10">IF(SUMPRODUCT('Giá công thức'!$G$11:$AD$106*('Giá công thức'!$A$11:$A$106=$B10)*('Giá công thức'!$B$11:$B$106=$C10)*('Giá công thức'!$C$11:$C$106="GB")*('Giá công thức'!$G$3:$AD$3=O$1)*('Giá công thức'!$G$4:$AD$4=O$2))=0,NA(),SUMPRODUCT('Giá công thức'!$G$11:$AD$106*('Giá công thức'!$A$11:$A$106=$B10)*('Giá công thức'!$B$11:$B$106=$C10)*('Giá công thức'!$C$11:$C$106="GB")*('Giá công thức'!$G$3:$AD$3=O$1)*('Giá công thức'!$G$4:$AD$4=O$2)))</f>
        <v>1330</v>
      </c>
      <c r="P10" s="400" cm="1">
        <f t="array" ref="P10">IF(SUMPRODUCT('Giá công thức'!$G$11:$AD$106*('Giá công thức'!$A$11:$A$106=$B10)*('Giá công thức'!$B$11:$B$106=$C10)*('Giá công thức'!$C$11:$C$106="GB")*('Giá công thức'!$G$3:$AD$3=P$1)*('Giá công thức'!$G$4:$AD$4=P$2))=0,NA(),SUMPRODUCT('Giá công thức'!$G$11:$AD$106*('Giá công thức'!$A$11:$A$106=$B10)*('Giá công thức'!$B$11:$B$106=$C10)*('Giá công thức'!$C$11:$C$106="GB")*('Giá công thức'!$G$3:$AD$3=P$1)*('Giá công thức'!$G$4:$AD$4=P$2)))</f>
        <v>1330</v>
      </c>
      <c r="Q10" s="400" cm="1">
        <f t="array" ref="Q10">IF(SUMPRODUCT('Giá công thức'!$G$11:$AD$106*('Giá công thức'!$A$11:$A$106=$B10)*('Giá công thức'!$B$11:$B$106=$C10)*('Giá công thức'!$C$11:$C$106="GB")*('Giá công thức'!$G$3:$AD$3=Q$1)*('Giá công thức'!$G$4:$AD$4=Q$2))=0,NA(),SUMPRODUCT('Giá công thức'!$G$11:$AD$106*('Giá công thức'!$A$11:$A$106=$B10)*('Giá công thức'!$B$11:$B$106=$C10)*('Giá công thức'!$C$11:$C$106="GB")*('Giá công thức'!$G$3:$AD$3=Q$1)*('Giá công thức'!$G$4:$AD$4=Q$2)))</f>
        <v>1250</v>
      </c>
      <c r="R10" s="400" cm="1">
        <f t="array" ref="R10">IF(SUMPRODUCT('Giá công thức'!$G$11:$AD$106*('Giá công thức'!$A$11:$A$106=$B10)*('Giá công thức'!$B$11:$B$106=$C10)*('Giá công thức'!$C$11:$C$106="GB")*('Giá công thức'!$G$3:$AD$3=R$1)*('Giá công thức'!$G$4:$AD$4=R$2))=0,NA(),SUMPRODUCT('Giá công thức'!$G$11:$AD$106*('Giá công thức'!$A$11:$A$106=$B10)*('Giá công thức'!$B$11:$B$106=$C10)*('Giá công thức'!$C$11:$C$106="GB")*('Giá công thức'!$G$3:$AD$3=R$1)*('Giá công thức'!$G$4:$AD$4=R$2)))</f>
        <v>1250</v>
      </c>
      <c r="S10" s="400" cm="1">
        <f t="array" ref="S10">IF(SUMPRODUCT('Giá công thức'!$G$11:$AD$106*('Giá công thức'!$A$11:$A$106=$B10)*('Giá công thức'!$B$11:$B$106=$C10)*('Giá công thức'!$C$11:$C$106="GB")*('Giá công thức'!$G$3:$AD$3=S$1)*('Giá công thức'!$G$4:$AD$4=S$2))=0,NA(),SUMPRODUCT('Giá công thức'!$G$11:$AD$106*('Giá công thức'!$A$11:$A$106=$B10)*('Giá công thức'!$B$11:$B$106=$C10)*('Giá công thức'!$C$11:$C$106="GB")*('Giá công thức'!$G$3:$AD$3=S$1)*('Giá công thức'!$G$4:$AD$4=S$2)))</f>
        <v>1250</v>
      </c>
      <c r="T10" s="400" cm="1">
        <f t="array" ref="T10">IF(SUMPRODUCT('Giá công thức'!$G$11:$AD$106*('Giá công thức'!$A$11:$A$106=$B10)*('Giá công thức'!$B$11:$B$106=$C10)*('Giá công thức'!$C$11:$C$106="GB")*('Giá công thức'!$G$3:$AD$3=T$1)*('Giá công thức'!$G$4:$AD$4=T$2))=0,NA(),SUMPRODUCT('Giá công thức'!$G$11:$AD$106*('Giá công thức'!$A$11:$A$106=$B10)*('Giá công thức'!$B$11:$B$106=$C10)*('Giá công thức'!$C$11:$C$106="GB")*('Giá công thức'!$G$3:$AD$3=T$1)*('Giá công thức'!$G$4:$AD$4=T$2)))</f>
        <v>1250</v>
      </c>
      <c r="U10" s="400" cm="1">
        <f t="array" ref="U10">IF(SUMPRODUCT('Giá công thức'!$G$11:$AD$106*('Giá công thức'!$A$11:$A$106=$B10)*('Giá công thức'!$B$11:$B$106=$C10)*('Giá công thức'!$C$11:$C$106="GB")*('Giá công thức'!$G$3:$AD$3=U$1)*('Giá công thức'!$G$4:$AD$4=U$2))=0,NA(),SUMPRODUCT('Giá công thức'!$G$11:$AD$106*('Giá công thức'!$A$11:$A$106=$B10)*('Giá công thức'!$B$11:$B$106=$C10)*('Giá công thức'!$C$11:$C$106="GB")*('Giá công thức'!$G$3:$AD$3=U$1)*('Giá công thức'!$G$4:$AD$4=U$2)))</f>
        <v>1250</v>
      </c>
      <c r="V10" s="400" cm="1">
        <f t="array" ref="V10">IF(SUMPRODUCT('Giá công thức'!$G$11:$AD$106*('Giá công thức'!$A$11:$A$106=$B10)*('Giá công thức'!$B$11:$B$106=$C10)*('Giá công thức'!$C$11:$C$106="GB")*('Giá công thức'!$G$3:$AD$3=V$1)*('Giá công thức'!$G$4:$AD$4=V$2))=0,NA(),SUMPRODUCT('Giá công thức'!$G$11:$AD$106*('Giá công thức'!$A$11:$A$106=$B10)*('Giá công thức'!$B$11:$B$106=$C10)*('Giá công thức'!$C$11:$C$106="GB")*('Giá công thức'!$G$3:$AD$3=V$1)*('Giá công thức'!$G$4:$AD$4=V$2)))</f>
        <v>1250</v>
      </c>
      <c r="W10" s="400" t="e" cm="1">
        <f t="array" ref="W10">IF(SUMPRODUCT('Giá công thức'!$G$11:$AD$106*('Giá công thức'!$A$11:$A$106=$B10)*('Giá công thức'!$B$11:$B$106=$C10)*('Giá công thức'!$C$11:$C$106="GB")*('Giá công thức'!$G$3:$AD$3=W$1)*('Giá công thức'!$G$4:$AD$4=W$2))=0,NA(),SUMPRODUCT('Giá công thức'!$G$11:$AD$106*('Giá công thức'!$A$11:$A$106=$B10)*('Giá công thức'!$B$11:$B$106=$C10)*('Giá công thức'!$C$11:$C$106="GB")*('Giá công thức'!$G$3:$AD$3=W$1)*('Giá công thức'!$G$4:$AD$4=W$2)))</f>
        <v>#N/A</v>
      </c>
      <c r="X10" s="400" cm="1">
        <f t="array" ref="X10">IF(SUMPRODUCT('Giá công thức'!$G$11:$AD$106*('Giá công thức'!$A$11:$A$106=$B10)*('Giá công thức'!$B$11:$B$106=$C10)*('Giá công thức'!$C$11:$C$106="GB")*('Giá công thức'!$G$3:$AD$3=X$1)*('Giá công thức'!$G$4:$AD$4=X$2))=0,NA(),SUMPRODUCT('Giá công thức'!$G$11:$AD$106*('Giá công thức'!$A$11:$A$106=$B10)*('Giá công thức'!$B$11:$B$106=$C10)*('Giá công thức'!$C$11:$C$106="GB")*('Giá công thức'!$G$3:$AD$3=X$1)*('Giá công thức'!$G$4:$AD$4=X$2)))</f>
        <v>1303.8316268486917</v>
      </c>
      <c r="Y10" s="400" cm="1">
        <f t="array" ref="Y10">IF(SUMPRODUCT('Giá công thức'!$G$11:$AD$106*('Giá công thức'!$A$11:$A$106=$B10)*('Giá công thức'!$B$11:$B$106=$C10)*('Giá công thức'!$C$11:$C$106="GB")*('Giá công thức'!$G$3:$AD$3=Y$1)*('Giá công thức'!$G$4:$AD$4=Y$2))=0,NA(),SUMPRODUCT('Giá công thức'!$G$11:$AD$106*('Giá công thức'!$A$11:$A$106=$B10)*('Giá công thức'!$B$11:$B$106=$C10)*('Giá công thức'!$C$11:$C$106="GB")*('Giá công thức'!$G$3:$AD$3=Y$1)*('Giá công thức'!$G$4:$AD$4=Y$2)))</f>
        <v>1303.8316268486917</v>
      </c>
      <c r="Z10" s="400" cm="1">
        <f t="array" ref="Z10">IF(SUMPRODUCT('Giá công thức'!$G$11:$AD$106*('Giá công thức'!$A$11:$A$106=$B10)*('Giá công thức'!$B$11:$B$106=$C10)*('Giá công thức'!$C$11:$C$106="GB")*('Giá công thức'!$G$3:$AD$3=Z$1)*('Giá công thức'!$G$4:$AD$4=Z$2))=0,NA(),SUMPRODUCT('Giá công thức'!$G$11:$AD$106*('Giá công thức'!$A$11:$A$106=$B10)*('Giá công thức'!$B$11:$B$106=$C10)*('Giá công thức'!$C$11:$C$106="GB")*('Giá công thức'!$G$3:$AD$3=Z$1)*('Giá công thức'!$G$4:$AD$4=Z$2)))</f>
        <v>1303.8316268486917</v>
      </c>
      <c r="AA10" s="400" cm="1">
        <f t="array" ref="AA10">IF(SUMPRODUCT('Giá công thức'!$G$11:$AD$106*('Giá công thức'!$A$11:$A$106=$B10)*('Giá công thức'!$B$11:$B$106=$C10)*('Giá công thức'!$C$11:$C$106="GB")*('Giá công thức'!$G$3:$AD$3=AA$1)*('Giá công thức'!$G$4:$AD$4=AA$2))=0,NA(),SUMPRODUCT('Giá công thức'!$G$11:$AD$106*('Giá công thức'!$A$11:$A$106=$B10)*('Giá công thức'!$B$11:$B$106=$C10)*('Giá công thức'!$C$11:$C$106="GB")*('Giá công thức'!$G$3:$AD$3=AA$1)*('Giá công thức'!$G$4:$AD$4=AA$2)))</f>
        <v>1303.8316268486917</v>
      </c>
      <c r="AB10" s="400" cm="1">
        <f t="array" ref="AB10">IF(SUMPRODUCT('Giá công thức'!$G$11:$AD$106*('Giá công thức'!$A$11:$A$106=$B10)*('Giá công thức'!$B$11:$B$106=$C10)*('Giá công thức'!$C$11:$C$106="GB")*('Giá công thức'!$G$3:$AD$3=AB$1)*('Giá công thức'!$G$4:$AD$4=AB$2))=0,NA(),SUMPRODUCT('Giá công thức'!$G$11:$AD$106*('Giá công thức'!$A$11:$A$106=$B10)*('Giá công thức'!$B$11:$B$106=$C10)*('Giá công thức'!$C$11:$C$106="GB")*('Giá công thức'!$G$3:$AD$3=AB$1)*('Giá công thức'!$G$4:$AD$4=AB$2)))</f>
        <v>1303.8316268486917</v>
      </c>
      <c r="AC10" s="400"/>
      <c r="AD10" s="400"/>
      <c r="AE10" s="400"/>
      <c r="AF10" s="400"/>
      <c r="AG10" s="400"/>
      <c r="AH10" s="400"/>
      <c r="AI10" s="400"/>
      <c r="AJ10" s="400"/>
      <c r="AK10" s="400"/>
      <c r="AL10" s="400"/>
      <c r="AM10" s="400"/>
      <c r="AN10" s="400"/>
      <c r="AO10" s="428">
        <f>INDEX($E10:$AB10,MATCH("X",$E$3:$AB$3,0))</f>
        <v>1303.8316268486917</v>
      </c>
    </row>
    <row r="11" spans="1:41" s="137" customFormat="1" x14ac:dyDescent="0.35">
      <c r="A11" s="137" t="s">
        <v>15</v>
      </c>
      <c r="C11" s="137" t="s">
        <v>15</v>
      </c>
      <c r="D11" s="137" t="s">
        <v>17</v>
      </c>
      <c r="E11" s="403" cm="1">
        <f t="array" ref="E11">SUMPRODUCT(General_Data*(Code_General_Data=$A11)*(Year=E$1)*(Month=E$2))</f>
        <v>1250</v>
      </c>
      <c r="F11" s="403" cm="1">
        <f t="array" ref="F11">SUMPRODUCT(General_Data*(Code_General_Data=$A11)*(Year=F$1)*(Month=F$2))</f>
        <v>1250</v>
      </c>
      <c r="G11" s="403" cm="1">
        <f t="array" ref="G11">SUMPRODUCT(General_Data*(Code_General_Data=$A11)*(Year=G$1)*(Month=G$2))</f>
        <v>1250</v>
      </c>
      <c r="H11" s="403" cm="1">
        <f t="array" ref="H11">SUMPRODUCT(General_Data*(Code_General_Data=$A11)*(Year=H$1)*(Month=H$2))</f>
        <v>1250</v>
      </c>
      <c r="I11" s="403" cm="1">
        <f t="array" ref="I11">SUMPRODUCT(General_Data*(Code_General_Data=$A11)*(Year=I$1)*(Month=I$2))</f>
        <v>1300</v>
      </c>
      <c r="J11" s="403" cm="1">
        <f t="array" ref="J11">SUMPRODUCT(General_Data*(Code_General_Data=$A11)*(Year=J$1)*(Month=J$2))</f>
        <v>1300</v>
      </c>
      <c r="K11" s="403" cm="1">
        <f t="array" ref="K11">SUMPRODUCT(General_Data*(Code_General_Data=$A11)*(Year=K$1)*(Month=K$2))</f>
        <v>1300</v>
      </c>
      <c r="L11" s="403" cm="1">
        <f t="array" ref="L11">SUMPRODUCT(General_Data*(Code_General_Data=$A11)*(Year=L$1)*(Month=L$2))</f>
        <v>1300</v>
      </c>
      <c r="M11" s="403" cm="1">
        <f t="array" ref="M11">SUMPRODUCT(General_Data*(Code_General_Data=$A11)*(Year=M$1)*(Month=M$2))</f>
        <v>1310</v>
      </c>
      <c r="N11" s="403" cm="1">
        <f t="array" ref="N11">SUMPRODUCT(General_Data*(Code_General_Data=$A11)*(Year=N$1)*(Month=N$2))</f>
        <v>1325</v>
      </c>
      <c r="O11" s="403" cm="1">
        <f t="array" ref="O11">SUMPRODUCT(General_Data*(Code_General_Data=$A11)*(Year=O$1)*(Month=O$2))</f>
        <v>1325</v>
      </c>
      <c r="P11" s="403" cm="1">
        <f t="array" ref="P11">SUMPRODUCT(General_Data*(Code_General_Data=$A11)*(Year=P$1)*(Month=P$2))</f>
        <v>1275</v>
      </c>
      <c r="Q11" s="403" cm="1">
        <f t="array" ref="Q11">SUMPRODUCT(General_Data*(Code_General_Data=$A11)*(Year=Q$1)*(Month=Q$2))</f>
        <v>1230</v>
      </c>
      <c r="R11" s="403" cm="1">
        <f t="array" ref="R11">SUMPRODUCT(General_Data*(Code_General_Data=$A11)*(Year=R$1)*(Month=R$2))</f>
        <v>1230</v>
      </c>
      <c r="S11" s="403" cm="1">
        <f t="array" ref="S11">SUMPRODUCT(General_Data*(Code_General_Data=$A11)*(Year=S$1)*(Month=S$2))</f>
        <v>1230</v>
      </c>
      <c r="T11" s="403" cm="1">
        <f t="array" ref="T11">SUMPRODUCT(General_Data*(Code_General_Data=$A11)*(Year=T$1)*(Month=T$2))</f>
        <v>1250</v>
      </c>
      <c r="U11" s="403" cm="1">
        <f t="array" ref="U11">SUMPRODUCT(General_Data*(Code_General_Data=$A11)*(Year=U$1)*(Month=U$2))</f>
        <v>1250</v>
      </c>
      <c r="V11" s="403" cm="1">
        <f t="array" ref="V11">SUMPRODUCT(General_Data*(Code_General_Data=$A11)*(Year=V$1)*(Month=V$2))</f>
        <v>1250</v>
      </c>
      <c r="W11" s="403" cm="1">
        <f t="array" ref="W11">SUMPRODUCT(General_Data*(Code_General_Data=$A11)*(Year=W$1)*(Month=W$2))</f>
        <v>1250</v>
      </c>
      <c r="X11" s="403" cm="1">
        <f t="array" ref="X11">SUMPRODUCT(General_Data*(Code_General_Data=$A11)*(Year=X$1)*(Month=X$2))</f>
        <v>1220</v>
      </c>
      <c r="Y11" s="403" cm="1">
        <f t="array" ref="Y11">SUMPRODUCT(General_Data*(Code_General_Data=$A11)*(Year=Y$1)*(Month=Y$2))</f>
        <v>1220</v>
      </c>
      <c r="Z11" s="403" cm="1">
        <f t="array" ref="Z11">SUMPRODUCT(General_Data*(Code_General_Data=$A11)*(Year=Z$1)*(Month=Z$2))</f>
        <v>1210</v>
      </c>
      <c r="AA11" s="403" cm="1">
        <f t="array" ref="AA11">SUMPRODUCT(General_Data*(Code_General_Data=$A11)*(Year=AA$1)*(Month=AA$2))</f>
        <v>1200</v>
      </c>
      <c r="AB11" s="403" cm="1">
        <f t="array" ref="AB11">SUMPRODUCT(General_Data*(Code_General_Data=$A11)*(Year=AB$1)*(Month=AB$2))</f>
        <v>1200</v>
      </c>
      <c r="AC11" s="403"/>
      <c r="AD11" s="403"/>
      <c r="AE11" s="403"/>
      <c r="AF11" s="403"/>
      <c r="AG11" s="403"/>
      <c r="AH11" s="403"/>
      <c r="AI11" s="403"/>
      <c r="AJ11" s="403"/>
      <c r="AK11" s="403"/>
      <c r="AL11" s="403"/>
      <c r="AM11" s="403"/>
      <c r="AN11" s="403"/>
      <c r="AO11" s="429">
        <f>INDEX($E11:$AB11,MATCH("X",$E$3:$AB$3,0))</f>
        <v>1200</v>
      </c>
    </row>
    <row r="12" spans="1:41" s="401" customFormat="1" x14ac:dyDescent="0.35">
      <c r="A12" s="401" t="s">
        <v>9</v>
      </c>
      <c r="D12" s="401" t="s">
        <v>11</v>
      </c>
      <c r="E12" s="402" cm="1">
        <f t="array" ref="E12">SUMPRODUCT(General_Data*(Code_General_Data=$A12)*(Year=E$1)*(Month=E$2))</f>
        <v>930</v>
      </c>
      <c r="F12" s="402" cm="1">
        <f t="array" ref="F12">SUMPRODUCT(General_Data*(Code_General_Data=$A12)*(Year=F$1)*(Month=F$2))</f>
        <v>943.33333333333337</v>
      </c>
      <c r="G12" s="402" cm="1">
        <f t="array" ref="G12">SUMPRODUCT(General_Data*(Code_General_Data=$A12)*(Year=G$1)*(Month=G$2))</f>
        <v>940</v>
      </c>
      <c r="H12" s="402" cm="1">
        <f t="array" ref="H12">SUMPRODUCT(General_Data*(Code_General_Data=$A12)*(Year=H$1)*(Month=H$2))</f>
        <v>940</v>
      </c>
      <c r="I12" s="402" cm="1">
        <f t="array" ref="I12">SUMPRODUCT(General_Data*(Code_General_Data=$A12)*(Year=I$1)*(Month=I$2))</f>
        <v>942</v>
      </c>
      <c r="J12" s="402" cm="1">
        <f t="array" ref="J12">SUMPRODUCT(General_Data*(Code_General_Data=$A12)*(Year=J$1)*(Month=J$2))</f>
        <v>950</v>
      </c>
      <c r="K12" s="402" cm="1">
        <f t="array" ref="K12">SUMPRODUCT(General_Data*(Code_General_Data=$A12)*(Year=K$1)*(Month=K$2))</f>
        <v>947.5</v>
      </c>
      <c r="L12" s="402" cm="1">
        <f t="array" ref="L12">SUMPRODUCT(General_Data*(Code_General_Data=$A12)*(Year=L$1)*(Month=L$2))</f>
        <v>930</v>
      </c>
      <c r="M12" s="402" cm="1">
        <f t="array" ref="M12">SUMPRODUCT(General_Data*(Code_General_Data=$A12)*(Year=M$1)*(Month=M$2))</f>
        <v>880</v>
      </c>
      <c r="N12" s="402" cm="1">
        <f t="array" ref="N12">SUMPRODUCT(General_Data*(Code_General_Data=$A12)*(Year=N$1)*(Month=N$2))</f>
        <v>862.5</v>
      </c>
      <c r="O12" s="402" cm="1">
        <f t="array" ref="O12">SUMPRODUCT(General_Data*(Code_General_Data=$A12)*(Year=O$1)*(Month=O$2))</f>
        <v>852</v>
      </c>
      <c r="P12" s="402" cm="1">
        <f t="array" ref="P12">SUMPRODUCT(General_Data*(Code_General_Data=$A12)*(Year=P$1)*(Month=P$2))</f>
        <v>830</v>
      </c>
      <c r="Q12" s="402" cm="1">
        <f t="array" ref="Q12">SUMPRODUCT(General_Data*(Code_General_Data=$A12)*(Year=Q$1)*(Month=Q$2))</f>
        <v>828</v>
      </c>
      <c r="R12" s="402" cm="1">
        <f t="array" ref="R12">SUMPRODUCT(General_Data*(Code_General_Data=$A12)*(Year=R$1)*(Month=R$2))</f>
        <v>840</v>
      </c>
      <c r="S12" s="402" cm="1">
        <f t="array" ref="S12">SUMPRODUCT(General_Data*(Code_General_Data=$A12)*(Year=S$1)*(Month=S$2))</f>
        <v>823</v>
      </c>
      <c r="T12" s="402" cm="1">
        <f t="array" ref="T12">SUMPRODUCT(General_Data*(Code_General_Data=$A12)*(Year=T$1)*(Month=T$2))</f>
        <v>765</v>
      </c>
      <c r="U12" s="402" cm="1">
        <f t="array" ref="U12">SUMPRODUCT(General_Data*(Code_General_Data=$A12)*(Year=U$1)*(Month=U$2))</f>
        <v>782</v>
      </c>
      <c r="V12" s="402" cm="1">
        <f t="array" ref="V12">SUMPRODUCT(General_Data*(Code_General_Data=$A12)*(Year=V$1)*(Month=V$2))</f>
        <v>807.5</v>
      </c>
      <c r="W12" s="402" cm="1">
        <f t="array" ref="W12">SUMPRODUCT(General_Data*(Code_General_Data=$A12)*(Year=W$1)*(Month=W$2))</f>
        <v>802</v>
      </c>
      <c r="X12" s="402" cm="1">
        <f t="array" ref="X12">SUMPRODUCT(General_Data*(Code_General_Data=$A12)*(Year=X$1)*(Month=X$2))</f>
        <v>795</v>
      </c>
      <c r="Y12" s="402" cm="1">
        <f t="array" ref="Y12">SUMPRODUCT(General_Data*(Code_General_Data=$A12)*(Year=Y$1)*(Month=Y$2))</f>
        <v>783</v>
      </c>
      <c r="Z12" s="402" cm="1">
        <f t="array" ref="Z12">SUMPRODUCT(General_Data*(Code_General_Data=$A12)*(Year=Z$1)*(Month=Z$2))</f>
        <v>772</v>
      </c>
      <c r="AA12" s="402" cm="1">
        <f t="array" ref="AA12">SUMPRODUCT(General_Data*(Code_General_Data=$A12)*(Year=AA$1)*(Month=AA$2))</f>
        <v>770</v>
      </c>
      <c r="AB12" s="402" cm="1">
        <f t="array" ref="AB12">SUMPRODUCT(General_Data*(Code_General_Data=$A12)*(Year=AB$1)*(Month=AB$2))</f>
        <v>770</v>
      </c>
      <c r="AC12" s="402"/>
      <c r="AD12" s="402"/>
      <c r="AE12" s="402"/>
      <c r="AF12" s="402"/>
      <c r="AG12" s="402"/>
      <c r="AH12" s="402"/>
      <c r="AI12" s="402"/>
      <c r="AJ12" s="402"/>
      <c r="AK12" s="402"/>
      <c r="AL12" s="402"/>
      <c r="AM12" s="402"/>
      <c r="AN12" s="402"/>
      <c r="AO12" s="430">
        <f>INDEX($E12:$AB12,MATCH("X",$E$3:$AB$3,0))</f>
        <v>770</v>
      </c>
    </row>
    <row r="13" spans="1:41" s="408" customFormat="1" x14ac:dyDescent="0.35">
      <c r="D13" s="408" t="s">
        <v>416</v>
      </c>
      <c r="E13" s="409">
        <f>E11-E12</f>
        <v>320</v>
      </c>
      <c r="F13" s="409">
        <f t="shared" ref="F13:AB13" si="0">F11-F12</f>
        <v>306.66666666666663</v>
      </c>
      <c r="G13" s="409">
        <f t="shared" si="0"/>
        <v>310</v>
      </c>
      <c r="H13" s="409">
        <f t="shared" si="0"/>
        <v>310</v>
      </c>
      <c r="I13" s="409">
        <f t="shared" si="0"/>
        <v>358</v>
      </c>
      <c r="J13" s="409">
        <f t="shared" si="0"/>
        <v>350</v>
      </c>
      <c r="K13" s="409">
        <f t="shared" si="0"/>
        <v>352.5</v>
      </c>
      <c r="L13" s="409">
        <f t="shared" si="0"/>
        <v>370</v>
      </c>
      <c r="M13" s="409">
        <f t="shared" si="0"/>
        <v>430</v>
      </c>
      <c r="N13" s="409">
        <f t="shared" si="0"/>
        <v>462.5</v>
      </c>
      <c r="O13" s="409">
        <f t="shared" si="0"/>
        <v>473</v>
      </c>
      <c r="P13" s="409">
        <f t="shared" si="0"/>
        <v>445</v>
      </c>
      <c r="Q13" s="409">
        <f t="shared" si="0"/>
        <v>402</v>
      </c>
      <c r="R13" s="409">
        <f t="shared" si="0"/>
        <v>390</v>
      </c>
      <c r="S13" s="409">
        <f t="shared" si="0"/>
        <v>407</v>
      </c>
      <c r="T13" s="409">
        <f t="shared" si="0"/>
        <v>485</v>
      </c>
      <c r="U13" s="409">
        <f t="shared" si="0"/>
        <v>468</v>
      </c>
      <c r="V13" s="409">
        <f t="shared" si="0"/>
        <v>442.5</v>
      </c>
      <c r="W13" s="409">
        <f t="shared" si="0"/>
        <v>448</v>
      </c>
      <c r="X13" s="409">
        <f t="shared" si="0"/>
        <v>425</v>
      </c>
      <c r="Y13" s="409">
        <f t="shared" si="0"/>
        <v>437</v>
      </c>
      <c r="Z13" s="409">
        <f t="shared" si="0"/>
        <v>438</v>
      </c>
      <c r="AA13" s="409">
        <f t="shared" si="0"/>
        <v>430</v>
      </c>
      <c r="AB13" s="409">
        <f t="shared" si="0"/>
        <v>430</v>
      </c>
      <c r="AC13" s="409"/>
      <c r="AD13" s="409"/>
      <c r="AE13" s="409"/>
      <c r="AF13" s="409"/>
      <c r="AG13" s="409"/>
      <c r="AH13" s="409"/>
      <c r="AI13" s="409"/>
      <c r="AJ13" s="409"/>
      <c r="AK13" s="409"/>
      <c r="AL13" s="409"/>
      <c r="AM13" s="409"/>
      <c r="AN13" s="409"/>
      <c r="AO13" s="431"/>
    </row>
    <row r="14" spans="1:41" s="410" customFormat="1" x14ac:dyDescent="0.35">
      <c r="D14" s="410" t="s">
        <v>394</v>
      </c>
      <c r="E14" s="411">
        <f t="shared" ref="E14:AO14" si="1">IFERROR(E13/E12,0)</f>
        <v>0.34408602150537637</v>
      </c>
      <c r="F14" s="411">
        <f t="shared" si="1"/>
        <v>0.32508833922261476</v>
      </c>
      <c r="G14" s="411">
        <f t="shared" si="1"/>
        <v>0.32978723404255317</v>
      </c>
      <c r="H14" s="411">
        <f t="shared" si="1"/>
        <v>0.32978723404255317</v>
      </c>
      <c r="I14" s="411">
        <f t="shared" si="1"/>
        <v>0.38004246284501064</v>
      </c>
      <c r="J14" s="411">
        <f t="shared" si="1"/>
        <v>0.36842105263157893</v>
      </c>
      <c r="K14" s="411">
        <f t="shared" si="1"/>
        <v>0.37203166226912932</v>
      </c>
      <c r="L14" s="411">
        <f t="shared" si="1"/>
        <v>0.39784946236559138</v>
      </c>
      <c r="M14" s="411">
        <f t="shared" si="1"/>
        <v>0.48863636363636365</v>
      </c>
      <c r="N14" s="411">
        <f t="shared" si="1"/>
        <v>0.53623188405797106</v>
      </c>
      <c r="O14" s="411">
        <f t="shared" si="1"/>
        <v>0.55516431924882625</v>
      </c>
      <c r="P14" s="411">
        <f t="shared" si="1"/>
        <v>0.53614457831325302</v>
      </c>
      <c r="Q14" s="411">
        <f t="shared" si="1"/>
        <v>0.48550724637681159</v>
      </c>
      <c r="R14" s="411">
        <f t="shared" si="1"/>
        <v>0.4642857142857143</v>
      </c>
      <c r="S14" s="411">
        <f t="shared" si="1"/>
        <v>0.49453219927095993</v>
      </c>
      <c r="T14" s="411">
        <f t="shared" si="1"/>
        <v>0.63398692810457513</v>
      </c>
      <c r="U14" s="411">
        <f t="shared" si="1"/>
        <v>0.59846547314578002</v>
      </c>
      <c r="V14" s="411">
        <f t="shared" si="1"/>
        <v>0.54798761609907121</v>
      </c>
      <c r="W14" s="411">
        <f t="shared" si="1"/>
        <v>0.55860349127182041</v>
      </c>
      <c r="X14" s="411">
        <f t="shared" si="1"/>
        <v>0.53459119496855345</v>
      </c>
      <c r="Y14" s="411">
        <f t="shared" si="1"/>
        <v>0.55810983397190295</v>
      </c>
      <c r="Z14" s="411">
        <f t="shared" si="1"/>
        <v>0.56735751295336789</v>
      </c>
      <c r="AA14" s="411">
        <f t="shared" si="1"/>
        <v>0.55844155844155841</v>
      </c>
      <c r="AB14" s="411">
        <f t="shared" si="1"/>
        <v>0.55844155844155841</v>
      </c>
      <c r="AC14" s="411"/>
      <c r="AD14" s="411"/>
      <c r="AE14" s="411"/>
      <c r="AF14" s="411"/>
      <c r="AG14" s="411"/>
      <c r="AH14" s="411"/>
      <c r="AI14" s="411"/>
      <c r="AJ14" s="411"/>
      <c r="AK14" s="411"/>
      <c r="AL14" s="411"/>
      <c r="AM14" s="411"/>
      <c r="AN14" s="411"/>
      <c r="AO14" s="432">
        <f t="shared" si="1"/>
        <v>0</v>
      </c>
    </row>
    <row r="15" spans="1:41" s="426" customFormat="1" x14ac:dyDescent="0.35">
      <c r="D15" s="426" t="s">
        <v>419</v>
      </c>
      <c r="E15" s="427">
        <f>E11</f>
        <v>1250</v>
      </c>
      <c r="F15" s="427">
        <f t="shared" ref="F15:AB15" si="2">F11</f>
        <v>1250</v>
      </c>
      <c r="G15" s="427">
        <f t="shared" si="2"/>
        <v>1250</v>
      </c>
      <c r="H15" s="427">
        <f t="shared" si="2"/>
        <v>1250</v>
      </c>
      <c r="I15" s="427">
        <f t="shared" si="2"/>
        <v>1300</v>
      </c>
      <c r="J15" s="427">
        <f t="shared" si="2"/>
        <v>1300</v>
      </c>
      <c r="K15" s="427">
        <f t="shared" si="2"/>
        <v>1300</v>
      </c>
      <c r="L15" s="427">
        <f t="shared" si="2"/>
        <v>1300</v>
      </c>
      <c r="M15" s="427">
        <f t="shared" si="2"/>
        <v>1310</v>
      </c>
      <c r="N15" s="427">
        <f t="shared" si="2"/>
        <v>1325</v>
      </c>
      <c r="O15" s="427">
        <f t="shared" si="2"/>
        <v>1325</v>
      </c>
      <c r="P15" s="427">
        <f t="shared" si="2"/>
        <v>1275</v>
      </c>
      <c r="Q15" s="427">
        <f t="shared" si="2"/>
        <v>1230</v>
      </c>
      <c r="R15" s="427">
        <f t="shared" si="2"/>
        <v>1230</v>
      </c>
      <c r="S15" s="427">
        <f t="shared" si="2"/>
        <v>1230</v>
      </c>
      <c r="T15" s="427">
        <f t="shared" si="2"/>
        <v>1250</v>
      </c>
      <c r="U15" s="427">
        <f t="shared" si="2"/>
        <v>1250</v>
      </c>
      <c r="V15" s="427">
        <f t="shared" si="2"/>
        <v>1250</v>
      </c>
      <c r="W15" s="427">
        <f t="shared" si="2"/>
        <v>1250</v>
      </c>
      <c r="X15" s="427">
        <f t="shared" si="2"/>
        <v>1220</v>
      </c>
      <c r="Y15" s="427">
        <f t="shared" si="2"/>
        <v>1220</v>
      </c>
      <c r="Z15" s="427">
        <f t="shared" si="2"/>
        <v>1210</v>
      </c>
      <c r="AA15" s="427">
        <f t="shared" si="2"/>
        <v>1200</v>
      </c>
      <c r="AB15" s="427">
        <f t="shared" si="2"/>
        <v>1200</v>
      </c>
      <c r="AC15" s="427"/>
      <c r="AD15" s="427"/>
      <c r="AE15" s="427"/>
      <c r="AF15" s="427"/>
      <c r="AG15" s="427"/>
      <c r="AH15" s="427"/>
      <c r="AI15" s="427"/>
      <c r="AJ15" s="427"/>
      <c r="AK15" s="427"/>
      <c r="AL15" s="427"/>
      <c r="AM15" s="427"/>
      <c r="AN15" s="427"/>
      <c r="AO15" s="437"/>
    </row>
    <row r="16" spans="1:41" s="426" customFormat="1" x14ac:dyDescent="0.35">
      <c r="D16" s="426" t="s">
        <v>420</v>
      </c>
      <c r="E16" s="427">
        <f>E12+E13/2</f>
        <v>1090</v>
      </c>
      <c r="F16" s="427">
        <f t="shared" ref="F16:AB16" si="3">F12+F13/2</f>
        <v>1096.6666666666667</v>
      </c>
      <c r="G16" s="427">
        <f t="shared" si="3"/>
        <v>1095</v>
      </c>
      <c r="H16" s="427">
        <f t="shared" si="3"/>
        <v>1095</v>
      </c>
      <c r="I16" s="427">
        <f t="shared" si="3"/>
        <v>1121</v>
      </c>
      <c r="J16" s="427">
        <f t="shared" si="3"/>
        <v>1125</v>
      </c>
      <c r="K16" s="427">
        <f t="shared" si="3"/>
        <v>1123.75</v>
      </c>
      <c r="L16" s="427">
        <f t="shared" si="3"/>
        <v>1115</v>
      </c>
      <c r="M16" s="427">
        <f t="shared" si="3"/>
        <v>1095</v>
      </c>
      <c r="N16" s="427">
        <f t="shared" si="3"/>
        <v>1093.75</v>
      </c>
      <c r="O16" s="427">
        <f t="shared" si="3"/>
        <v>1088.5</v>
      </c>
      <c r="P16" s="427">
        <f t="shared" si="3"/>
        <v>1052.5</v>
      </c>
      <c r="Q16" s="427">
        <f t="shared" si="3"/>
        <v>1029</v>
      </c>
      <c r="R16" s="427">
        <f t="shared" si="3"/>
        <v>1035</v>
      </c>
      <c r="S16" s="427">
        <f t="shared" si="3"/>
        <v>1026.5</v>
      </c>
      <c r="T16" s="427">
        <f t="shared" si="3"/>
        <v>1007.5</v>
      </c>
      <c r="U16" s="427">
        <f t="shared" si="3"/>
        <v>1016</v>
      </c>
      <c r="V16" s="427">
        <f t="shared" si="3"/>
        <v>1028.75</v>
      </c>
      <c r="W16" s="427">
        <f t="shared" si="3"/>
        <v>1026</v>
      </c>
      <c r="X16" s="427">
        <f t="shared" si="3"/>
        <v>1007.5</v>
      </c>
      <c r="Y16" s="427">
        <f t="shared" si="3"/>
        <v>1001.5</v>
      </c>
      <c r="Z16" s="427">
        <f t="shared" si="3"/>
        <v>991</v>
      </c>
      <c r="AA16" s="427">
        <f t="shared" si="3"/>
        <v>985</v>
      </c>
      <c r="AB16" s="427">
        <f t="shared" si="3"/>
        <v>985</v>
      </c>
      <c r="AC16" s="427"/>
      <c r="AD16" s="427"/>
      <c r="AE16" s="427"/>
      <c r="AF16" s="427"/>
      <c r="AG16" s="427"/>
      <c r="AH16" s="427"/>
      <c r="AI16" s="427"/>
      <c r="AJ16" s="427"/>
      <c r="AK16" s="427"/>
      <c r="AL16" s="427"/>
      <c r="AM16" s="427"/>
      <c r="AN16" s="427"/>
      <c r="AO16" s="437"/>
    </row>
    <row r="17" spans="1:41" s="434" customFormat="1" x14ac:dyDescent="0.35">
      <c r="D17" s="434" t="s">
        <v>417</v>
      </c>
      <c r="E17" s="435">
        <f>E11</f>
        <v>1250</v>
      </c>
      <c r="F17" s="435">
        <f t="shared" ref="F17:AB18" si="4">F11</f>
        <v>1250</v>
      </c>
      <c r="G17" s="435">
        <f t="shared" si="4"/>
        <v>1250</v>
      </c>
      <c r="H17" s="435">
        <f t="shared" si="4"/>
        <v>1250</v>
      </c>
      <c r="I17" s="435">
        <f t="shared" si="4"/>
        <v>1300</v>
      </c>
      <c r="J17" s="435">
        <f t="shared" si="4"/>
        <v>1300</v>
      </c>
      <c r="K17" s="435">
        <f t="shared" si="4"/>
        <v>1300</v>
      </c>
      <c r="L17" s="435">
        <f t="shared" si="4"/>
        <v>1300</v>
      </c>
      <c r="M17" s="435">
        <f t="shared" si="4"/>
        <v>1310</v>
      </c>
      <c r="N17" s="435">
        <f t="shared" si="4"/>
        <v>1325</v>
      </c>
      <c r="O17" s="435">
        <f t="shared" si="4"/>
        <v>1325</v>
      </c>
      <c r="P17" s="435">
        <f t="shared" si="4"/>
        <v>1275</v>
      </c>
      <c r="Q17" s="435">
        <f t="shared" si="4"/>
        <v>1230</v>
      </c>
      <c r="R17" s="435">
        <f t="shared" si="4"/>
        <v>1230</v>
      </c>
      <c r="S17" s="435">
        <f t="shared" si="4"/>
        <v>1230</v>
      </c>
      <c r="T17" s="435">
        <f t="shared" si="4"/>
        <v>1250</v>
      </c>
      <c r="U17" s="435">
        <f t="shared" si="4"/>
        <v>1250</v>
      </c>
      <c r="V17" s="435">
        <f t="shared" si="4"/>
        <v>1250</v>
      </c>
      <c r="W17" s="435">
        <f t="shared" si="4"/>
        <v>1250</v>
      </c>
      <c r="X17" s="435">
        <f t="shared" si="4"/>
        <v>1220</v>
      </c>
      <c r="Y17" s="435">
        <f t="shared" si="4"/>
        <v>1220</v>
      </c>
      <c r="Z17" s="435">
        <f t="shared" si="4"/>
        <v>1210</v>
      </c>
      <c r="AA17" s="435">
        <f t="shared" si="4"/>
        <v>1200</v>
      </c>
      <c r="AB17" s="435">
        <f t="shared" si="4"/>
        <v>1200</v>
      </c>
      <c r="AC17" s="435"/>
      <c r="AD17" s="435"/>
      <c r="AE17" s="435"/>
      <c r="AF17" s="435"/>
      <c r="AG17" s="435"/>
      <c r="AH17" s="435"/>
      <c r="AI17" s="435"/>
      <c r="AJ17" s="435"/>
      <c r="AK17" s="435"/>
      <c r="AL17" s="435"/>
      <c r="AM17" s="435"/>
      <c r="AN17" s="435"/>
      <c r="AO17" s="436"/>
    </row>
    <row r="18" spans="1:41" s="434" customFormat="1" x14ac:dyDescent="0.35">
      <c r="D18" s="434" t="s">
        <v>418</v>
      </c>
      <c r="E18" s="435">
        <f>E12</f>
        <v>930</v>
      </c>
      <c r="F18" s="435">
        <f t="shared" si="4"/>
        <v>943.33333333333337</v>
      </c>
      <c r="G18" s="435">
        <f t="shared" si="4"/>
        <v>940</v>
      </c>
      <c r="H18" s="435">
        <f t="shared" si="4"/>
        <v>940</v>
      </c>
      <c r="I18" s="435">
        <f t="shared" si="4"/>
        <v>942</v>
      </c>
      <c r="J18" s="435">
        <f t="shared" si="4"/>
        <v>950</v>
      </c>
      <c r="K18" s="435">
        <f t="shared" si="4"/>
        <v>947.5</v>
      </c>
      <c r="L18" s="435">
        <f t="shared" si="4"/>
        <v>930</v>
      </c>
      <c r="M18" s="435">
        <f t="shared" si="4"/>
        <v>880</v>
      </c>
      <c r="N18" s="435">
        <f t="shared" si="4"/>
        <v>862.5</v>
      </c>
      <c r="O18" s="435">
        <f t="shared" si="4"/>
        <v>852</v>
      </c>
      <c r="P18" s="435">
        <f t="shared" si="4"/>
        <v>830</v>
      </c>
      <c r="Q18" s="435">
        <f t="shared" si="4"/>
        <v>828</v>
      </c>
      <c r="R18" s="435">
        <f t="shared" si="4"/>
        <v>840</v>
      </c>
      <c r="S18" s="435">
        <f t="shared" si="4"/>
        <v>823</v>
      </c>
      <c r="T18" s="435">
        <f t="shared" si="4"/>
        <v>765</v>
      </c>
      <c r="U18" s="435">
        <f t="shared" si="4"/>
        <v>782</v>
      </c>
      <c r="V18" s="435">
        <f t="shared" si="4"/>
        <v>807.5</v>
      </c>
      <c r="W18" s="435">
        <f t="shared" si="4"/>
        <v>802</v>
      </c>
      <c r="X18" s="435">
        <f t="shared" si="4"/>
        <v>795</v>
      </c>
      <c r="Y18" s="435">
        <f t="shared" si="4"/>
        <v>783</v>
      </c>
      <c r="Z18" s="435">
        <f t="shared" si="4"/>
        <v>772</v>
      </c>
      <c r="AA18" s="435">
        <f t="shared" si="4"/>
        <v>770</v>
      </c>
      <c r="AB18" s="435">
        <f t="shared" si="4"/>
        <v>770</v>
      </c>
      <c r="AC18" s="435"/>
      <c r="AD18" s="435"/>
      <c r="AE18" s="435"/>
      <c r="AF18" s="435"/>
      <c r="AG18" s="435"/>
      <c r="AH18" s="435"/>
      <c r="AI18" s="435"/>
      <c r="AJ18" s="435"/>
      <c r="AK18" s="435"/>
      <c r="AL18" s="435"/>
      <c r="AM18" s="435"/>
      <c r="AN18" s="435"/>
      <c r="AO18" s="436"/>
    </row>
    <row r="19" spans="1:41" x14ac:dyDescent="0.35">
      <c r="C19" s="424"/>
      <c r="D19" s="424" t="s">
        <v>410</v>
      </c>
      <c r="E19" s="438">
        <f>IFERROR(E8,0)</f>
        <v>1180</v>
      </c>
      <c r="F19" s="438">
        <f t="shared" ref="F19:Z19" si="5">IFERROR(F8,0)</f>
        <v>1180</v>
      </c>
      <c r="G19" s="438">
        <f t="shared" si="5"/>
        <v>1180</v>
      </c>
      <c r="H19" s="438">
        <f t="shared" si="5"/>
        <v>1180</v>
      </c>
      <c r="I19" s="438">
        <f t="shared" si="5"/>
        <v>1180</v>
      </c>
      <c r="J19" s="438">
        <f t="shared" si="5"/>
        <v>1180.8999999999999</v>
      </c>
      <c r="K19" s="438">
        <f t="shared" si="5"/>
        <v>1194.3999999999999</v>
      </c>
      <c r="L19" s="438">
        <f t="shared" si="5"/>
        <v>1206.0999999999999</v>
      </c>
      <c r="M19" s="438">
        <f t="shared" si="5"/>
        <v>1222.6000000000001</v>
      </c>
      <c r="N19" s="438">
        <f t="shared" si="5"/>
        <v>1241.3499999999999</v>
      </c>
      <c r="O19" s="438">
        <f t="shared" si="5"/>
        <v>1261.75</v>
      </c>
      <c r="P19" s="438">
        <f t="shared" si="5"/>
        <v>1270.75</v>
      </c>
      <c r="Q19" s="438">
        <f t="shared" si="5"/>
        <v>1268.875</v>
      </c>
      <c r="R19" s="438">
        <f t="shared" si="5"/>
        <v>1244.3749999999991</v>
      </c>
      <c r="S19" s="438">
        <f t="shared" si="5"/>
        <v>1218.8749999999991</v>
      </c>
      <c r="T19" s="438">
        <f t="shared" si="5"/>
        <v>1197.8800000000001</v>
      </c>
      <c r="U19" s="438">
        <f t="shared" si="5"/>
        <v>1199</v>
      </c>
      <c r="V19" s="438">
        <f t="shared" si="5"/>
        <v>1202</v>
      </c>
      <c r="W19" s="438">
        <f t="shared" si="5"/>
        <v>1202</v>
      </c>
      <c r="X19" s="438">
        <f t="shared" si="5"/>
        <v>1193.2</v>
      </c>
      <c r="Y19" s="438">
        <f t="shared" si="5"/>
        <v>1180</v>
      </c>
      <c r="Z19" s="438">
        <f t="shared" si="5"/>
        <v>1180</v>
      </c>
      <c r="AA19" s="438">
        <f t="shared" ref="AA19:AB19" si="6">IFERROR(AA8,0)</f>
        <v>1180</v>
      </c>
      <c r="AB19" s="438">
        <f t="shared" si="6"/>
        <v>1180</v>
      </c>
      <c r="AC19" s="438"/>
      <c r="AD19" s="438"/>
      <c r="AE19" s="438"/>
      <c r="AF19" s="438"/>
      <c r="AG19" s="438"/>
      <c r="AH19" s="438"/>
      <c r="AI19" s="438"/>
      <c r="AJ19" s="438"/>
      <c r="AK19" s="438"/>
      <c r="AL19" s="438"/>
      <c r="AM19" s="438"/>
      <c r="AN19" s="438"/>
      <c r="AO19" s="433" t="s">
        <v>3</v>
      </c>
    </row>
    <row r="20" spans="1:41" x14ac:dyDescent="0.35">
      <c r="C20" s="424"/>
      <c r="D20" s="424" t="s">
        <v>411</v>
      </c>
      <c r="E20" s="438">
        <f t="shared" ref="E20:Z21" si="7">IFERROR(E9,0)</f>
        <v>1307.795918367347</v>
      </c>
      <c r="F20" s="438">
        <f t="shared" si="7"/>
        <v>1307.795918367347</v>
      </c>
      <c r="G20" s="438">
        <f t="shared" si="7"/>
        <v>1307.795918367347</v>
      </c>
      <c r="H20" s="438">
        <f t="shared" si="7"/>
        <v>1307.795918367347</v>
      </c>
      <c r="I20" s="438">
        <f t="shared" si="7"/>
        <v>1307.795918367347</v>
      </c>
      <c r="J20" s="438">
        <f t="shared" si="7"/>
        <v>1307.795918367347</v>
      </c>
      <c r="K20" s="438">
        <f t="shared" si="7"/>
        <v>1308.04</v>
      </c>
      <c r="L20" s="438">
        <f t="shared" si="7"/>
        <v>1308.04</v>
      </c>
      <c r="M20" s="438">
        <f t="shared" si="7"/>
        <v>1308.04</v>
      </c>
      <c r="N20" s="438">
        <f t="shared" si="7"/>
        <v>1288.04</v>
      </c>
      <c r="O20" s="438">
        <f t="shared" si="7"/>
        <v>1288.04</v>
      </c>
      <c r="P20" s="438">
        <f t="shared" si="7"/>
        <v>1288.04</v>
      </c>
      <c r="Q20" s="438">
        <f t="shared" si="7"/>
        <v>1288.04</v>
      </c>
      <c r="R20" s="438">
        <f t="shared" si="7"/>
        <v>1288.04</v>
      </c>
      <c r="S20" s="438">
        <f t="shared" si="7"/>
        <v>1288.04</v>
      </c>
      <c r="T20" s="438">
        <f t="shared" si="7"/>
        <v>1238.04</v>
      </c>
      <c r="U20" s="438">
        <f t="shared" si="7"/>
        <v>1238.04</v>
      </c>
      <c r="V20" s="438">
        <f t="shared" si="7"/>
        <v>1238.04</v>
      </c>
      <c r="W20" s="438">
        <f t="shared" si="7"/>
        <v>1268.04</v>
      </c>
      <c r="X20" s="438">
        <f t="shared" si="7"/>
        <v>1268.04</v>
      </c>
      <c r="Y20" s="438">
        <f t="shared" si="7"/>
        <v>1268.04</v>
      </c>
      <c r="Z20" s="438">
        <f t="shared" si="7"/>
        <v>1268.04</v>
      </c>
      <c r="AA20" s="438">
        <f t="shared" ref="AA20:AB20" si="8">IFERROR(AA9,0)</f>
        <v>1268.04</v>
      </c>
      <c r="AB20" s="438">
        <f t="shared" si="8"/>
        <v>1268.04</v>
      </c>
      <c r="AC20" s="438"/>
      <c r="AD20" s="438"/>
      <c r="AE20" s="438"/>
      <c r="AF20" s="438"/>
      <c r="AG20" s="438"/>
      <c r="AH20" s="438"/>
      <c r="AI20" s="438"/>
      <c r="AJ20" s="438"/>
      <c r="AK20" s="438"/>
      <c r="AL20" s="438"/>
      <c r="AM20" s="438"/>
      <c r="AN20" s="438"/>
      <c r="AO20" s="433" t="s">
        <v>421</v>
      </c>
    </row>
    <row r="21" spans="1:41" x14ac:dyDescent="0.35">
      <c r="C21" s="424"/>
      <c r="D21" s="424" t="s">
        <v>443</v>
      </c>
      <c r="E21" s="438">
        <f t="shared" si="7"/>
        <v>1250</v>
      </c>
      <c r="F21" s="438">
        <f t="shared" si="7"/>
        <v>1250</v>
      </c>
      <c r="G21" s="438">
        <f t="shared" si="7"/>
        <v>1250</v>
      </c>
      <c r="H21" s="438">
        <f t="shared" si="7"/>
        <v>1250</v>
      </c>
      <c r="I21" s="438">
        <f t="shared" si="7"/>
        <v>1250</v>
      </c>
      <c r="J21" s="438">
        <f t="shared" si="7"/>
        <v>1250</v>
      </c>
      <c r="K21" s="438">
        <f t="shared" si="7"/>
        <v>1330</v>
      </c>
      <c r="L21" s="438">
        <f t="shared" si="7"/>
        <v>1330</v>
      </c>
      <c r="M21" s="438">
        <f t="shared" si="7"/>
        <v>1330</v>
      </c>
      <c r="N21" s="438">
        <f t="shared" si="7"/>
        <v>1330</v>
      </c>
      <c r="O21" s="438">
        <f t="shared" si="7"/>
        <v>1330</v>
      </c>
      <c r="P21" s="438">
        <f t="shared" si="7"/>
        <v>1330</v>
      </c>
      <c r="Q21" s="438">
        <f t="shared" si="7"/>
        <v>1250</v>
      </c>
      <c r="R21" s="438">
        <f t="shared" si="7"/>
        <v>1250</v>
      </c>
      <c r="S21" s="438">
        <f t="shared" si="7"/>
        <v>1250</v>
      </c>
      <c r="T21" s="438">
        <f t="shared" si="7"/>
        <v>1250</v>
      </c>
      <c r="U21" s="438">
        <f t="shared" si="7"/>
        <v>1250</v>
      </c>
      <c r="V21" s="438">
        <f t="shared" si="7"/>
        <v>1250</v>
      </c>
      <c r="W21" s="438">
        <f t="shared" si="7"/>
        <v>0</v>
      </c>
      <c r="X21" s="438">
        <f t="shared" si="7"/>
        <v>1303.8316268486917</v>
      </c>
      <c r="Y21" s="438">
        <f t="shared" si="7"/>
        <v>1303.8316268486917</v>
      </c>
      <c r="Z21" s="438">
        <f t="shared" si="7"/>
        <v>1303.8316268486917</v>
      </c>
      <c r="AA21" s="438">
        <f t="shared" ref="AA21:AB21" si="9">IFERROR(AA10,0)</f>
        <v>1303.8316268486917</v>
      </c>
      <c r="AB21" s="438">
        <f t="shared" si="9"/>
        <v>1303.8316268486917</v>
      </c>
      <c r="AC21" s="438"/>
      <c r="AD21" s="438"/>
      <c r="AE21" s="438"/>
      <c r="AF21" s="438"/>
      <c r="AG21" s="438"/>
      <c r="AH21" s="438"/>
      <c r="AI21" s="438"/>
      <c r="AJ21" s="438"/>
      <c r="AK21" s="438"/>
      <c r="AL21" s="438"/>
      <c r="AM21" s="438"/>
      <c r="AN21" s="438"/>
      <c r="AO21" s="433" t="s">
        <v>444</v>
      </c>
    </row>
    <row r="22" spans="1:41" x14ac:dyDescent="0.35">
      <c r="C22" s="424"/>
      <c r="D22" s="424" t="s">
        <v>412</v>
      </c>
      <c r="E22" s="438">
        <f t="shared" ref="E22:Z22" si="10">IFERROR(E11,0)</f>
        <v>1250</v>
      </c>
      <c r="F22" s="438">
        <f t="shared" si="10"/>
        <v>1250</v>
      </c>
      <c r="G22" s="438">
        <f t="shared" si="10"/>
        <v>1250</v>
      </c>
      <c r="H22" s="438">
        <f t="shared" si="10"/>
        <v>1250</v>
      </c>
      <c r="I22" s="438">
        <f t="shared" si="10"/>
        <v>1300</v>
      </c>
      <c r="J22" s="438">
        <f t="shared" si="10"/>
        <v>1300</v>
      </c>
      <c r="K22" s="438">
        <f t="shared" si="10"/>
        <v>1300</v>
      </c>
      <c r="L22" s="438">
        <f t="shared" si="10"/>
        <v>1300</v>
      </c>
      <c r="M22" s="438">
        <f t="shared" si="10"/>
        <v>1310</v>
      </c>
      <c r="N22" s="438">
        <f t="shared" si="10"/>
        <v>1325</v>
      </c>
      <c r="O22" s="438">
        <f t="shared" si="10"/>
        <v>1325</v>
      </c>
      <c r="P22" s="438">
        <f t="shared" si="10"/>
        <v>1275</v>
      </c>
      <c r="Q22" s="438">
        <f t="shared" si="10"/>
        <v>1230</v>
      </c>
      <c r="R22" s="438">
        <f t="shared" si="10"/>
        <v>1230</v>
      </c>
      <c r="S22" s="438">
        <f t="shared" si="10"/>
        <v>1230</v>
      </c>
      <c r="T22" s="438">
        <f t="shared" si="10"/>
        <v>1250</v>
      </c>
      <c r="U22" s="438">
        <f t="shared" si="10"/>
        <v>1250</v>
      </c>
      <c r="V22" s="438">
        <f t="shared" si="10"/>
        <v>1250</v>
      </c>
      <c r="W22" s="438">
        <f t="shared" si="10"/>
        <v>1250</v>
      </c>
      <c r="X22" s="438">
        <f t="shared" si="10"/>
        <v>1220</v>
      </c>
      <c r="Y22" s="438">
        <f t="shared" si="10"/>
        <v>1220</v>
      </c>
      <c r="Z22" s="438">
        <f t="shared" si="10"/>
        <v>1210</v>
      </c>
      <c r="AA22" s="438">
        <f t="shared" ref="AA22:AB22" si="11">IFERROR(AA11,0)</f>
        <v>1200</v>
      </c>
      <c r="AB22" s="438">
        <f t="shared" si="11"/>
        <v>1200</v>
      </c>
      <c r="AC22" s="438"/>
      <c r="AD22" s="438"/>
      <c r="AE22" s="438"/>
      <c r="AF22" s="438"/>
      <c r="AG22" s="438"/>
      <c r="AH22" s="438"/>
      <c r="AI22" s="438"/>
      <c r="AJ22" s="438"/>
      <c r="AK22" s="438"/>
      <c r="AL22" s="438"/>
      <c r="AM22" s="438"/>
      <c r="AN22" s="438"/>
      <c r="AO22" s="433" t="s">
        <v>17</v>
      </c>
    </row>
    <row r="23" spans="1:41" x14ac:dyDescent="0.35">
      <c r="C23" s="424"/>
      <c r="D23" s="424" t="s">
        <v>413</v>
      </c>
      <c r="E23" s="438">
        <f t="shared" ref="E23:Z23" si="12">IFERROR(E12,0)</f>
        <v>930</v>
      </c>
      <c r="F23" s="438">
        <f t="shared" si="12"/>
        <v>943.33333333333337</v>
      </c>
      <c r="G23" s="438">
        <f t="shared" si="12"/>
        <v>940</v>
      </c>
      <c r="H23" s="438">
        <f t="shared" si="12"/>
        <v>940</v>
      </c>
      <c r="I23" s="438">
        <f t="shared" si="12"/>
        <v>942</v>
      </c>
      <c r="J23" s="438">
        <f t="shared" si="12"/>
        <v>950</v>
      </c>
      <c r="K23" s="438">
        <f t="shared" si="12"/>
        <v>947.5</v>
      </c>
      <c r="L23" s="438">
        <f t="shared" si="12"/>
        <v>930</v>
      </c>
      <c r="M23" s="438">
        <f t="shared" si="12"/>
        <v>880</v>
      </c>
      <c r="N23" s="438">
        <f t="shared" si="12"/>
        <v>862.5</v>
      </c>
      <c r="O23" s="438">
        <f t="shared" si="12"/>
        <v>852</v>
      </c>
      <c r="P23" s="438">
        <f t="shared" si="12"/>
        <v>830</v>
      </c>
      <c r="Q23" s="438">
        <f t="shared" si="12"/>
        <v>828</v>
      </c>
      <c r="R23" s="438">
        <f t="shared" si="12"/>
        <v>840</v>
      </c>
      <c r="S23" s="438">
        <f t="shared" si="12"/>
        <v>823</v>
      </c>
      <c r="T23" s="438">
        <f t="shared" si="12"/>
        <v>765</v>
      </c>
      <c r="U23" s="438">
        <f t="shared" si="12"/>
        <v>782</v>
      </c>
      <c r="V23" s="438">
        <f t="shared" si="12"/>
        <v>807.5</v>
      </c>
      <c r="W23" s="438">
        <f t="shared" si="12"/>
        <v>802</v>
      </c>
      <c r="X23" s="438">
        <f t="shared" si="12"/>
        <v>795</v>
      </c>
      <c r="Y23" s="438">
        <f t="shared" si="12"/>
        <v>783</v>
      </c>
      <c r="Z23" s="438">
        <f t="shared" si="12"/>
        <v>772</v>
      </c>
      <c r="AA23" s="438">
        <f t="shared" ref="AA23:AB23" si="13">IFERROR(AA12,0)</f>
        <v>770</v>
      </c>
      <c r="AB23" s="438">
        <f t="shared" si="13"/>
        <v>770</v>
      </c>
      <c r="AC23" s="438"/>
      <c r="AD23" s="438"/>
      <c r="AE23" s="438"/>
      <c r="AF23" s="438"/>
      <c r="AG23" s="438"/>
      <c r="AH23" s="438"/>
      <c r="AI23" s="438"/>
      <c r="AJ23" s="438"/>
      <c r="AK23" s="438"/>
      <c r="AL23" s="438"/>
      <c r="AM23" s="438"/>
      <c r="AN23" s="438"/>
      <c r="AO23" s="433" t="s">
        <v>11</v>
      </c>
    </row>
    <row r="25" spans="1:41" ht="17" x14ac:dyDescent="0.4">
      <c r="C25" s="399" t="s">
        <v>31</v>
      </c>
      <c r="D25" s="399" t="s">
        <v>30</v>
      </c>
    </row>
    <row r="26" spans="1:41" x14ac:dyDescent="0.35">
      <c r="C26" s="41"/>
      <c r="D26" s="41"/>
      <c r="E26" s="41">
        <v>2024</v>
      </c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>
        <v>2025</v>
      </c>
      <c r="R26" s="41"/>
      <c r="S26" s="41"/>
      <c r="T26" s="41"/>
      <c r="U26" s="41"/>
      <c r="V26" s="41"/>
      <c r="W26" s="41"/>
      <c r="X26" s="41"/>
      <c r="Y26" s="41"/>
      <c r="Z26" s="41"/>
      <c r="AA26" s="41"/>
      <c r="AB26" s="41"/>
      <c r="AC26" s="41"/>
      <c r="AD26" s="41"/>
      <c r="AE26" s="41"/>
      <c r="AF26" s="41"/>
      <c r="AG26" s="41"/>
      <c r="AH26" s="41"/>
      <c r="AI26" s="41"/>
      <c r="AJ26" s="41"/>
      <c r="AK26" s="41"/>
      <c r="AL26" s="41"/>
      <c r="AM26" s="41"/>
      <c r="AN26" s="41"/>
      <c r="AO26" s="41"/>
    </row>
    <row r="27" spans="1:41" x14ac:dyDescent="0.35">
      <c r="C27" s="41"/>
      <c r="D27" s="41"/>
      <c r="E27" s="41">
        <v>1</v>
      </c>
      <c r="F27" s="41">
        <v>2</v>
      </c>
      <c r="G27" s="41">
        <v>3</v>
      </c>
      <c r="H27" s="41">
        <v>4</v>
      </c>
      <c r="I27" s="41">
        <v>5</v>
      </c>
      <c r="J27" s="41">
        <v>6</v>
      </c>
      <c r="K27" s="41">
        <v>7</v>
      </c>
      <c r="L27" s="41">
        <v>8</v>
      </c>
      <c r="M27" s="41">
        <v>9</v>
      </c>
      <c r="N27" s="41">
        <v>10</v>
      </c>
      <c r="O27" s="41">
        <v>11</v>
      </c>
      <c r="P27" s="41">
        <v>12</v>
      </c>
      <c r="Q27" s="41">
        <v>1</v>
      </c>
      <c r="R27" s="41">
        <v>2</v>
      </c>
      <c r="S27" s="41">
        <v>3</v>
      </c>
      <c r="T27" s="41">
        <v>4</v>
      </c>
      <c r="U27" s="41">
        <v>5</v>
      </c>
      <c r="V27" s="41">
        <v>6</v>
      </c>
      <c r="W27" s="41">
        <v>7</v>
      </c>
      <c r="X27" s="41">
        <v>8</v>
      </c>
      <c r="Y27" s="41">
        <v>9</v>
      </c>
      <c r="Z27" s="41">
        <v>10</v>
      </c>
      <c r="AA27" s="41">
        <v>11</v>
      </c>
      <c r="AB27" s="41">
        <v>12</v>
      </c>
      <c r="AC27" s="41">
        <v>1</v>
      </c>
      <c r="AD27" s="41">
        <v>2</v>
      </c>
      <c r="AE27" s="41">
        <v>3</v>
      </c>
      <c r="AF27" s="41">
        <v>4</v>
      </c>
      <c r="AG27" s="41">
        <v>5</v>
      </c>
      <c r="AH27" s="41">
        <v>6</v>
      </c>
      <c r="AI27" s="41">
        <v>7</v>
      </c>
      <c r="AJ27" s="41">
        <v>8</v>
      </c>
      <c r="AK27" s="41">
        <v>9</v>
      </c>
      <c r="AL27" s="41">
        <v>10</v>
      </c>
      <c r="AM27" s="41">
        <v>11</v>
      </c>
      <c r="AN27" s="41">
        <v>12</v>
      </c>
      <c r="AO27" s="41" t="s">
        <v>409</v>
      </c>
    </row>
    <row r="28" spans="1:41" x14ac:dyDescent="0.35">
      <c r="B28" s="14" t="s">
        <v>362</v>
      </c>
      <c r="C28" t="s">
        <v>31</v>
      </c>
      <c r="D28" t="s">
        <v>360</v>
      </c>
      <c r="E28" s="400" t="e" cm="1">
        <f t="array" ref="E28">IF(SUMPRODUCT('Giá công thức'!$G$11:$AD$106*('Giá công thức'!$A$11:$A$106=$B28)*('Giá công thức'!$B$11:$B$106=$C28)*('Giá công thức'!$C$11:$C$106="GB")*('Giá công thức'!$G$3:$AD$3=E$1)*('Giá công thức'!$G$4:$AD$4=E$2))=0,NA(),SUMPRODUCT('Giá công thức'!$G$11:$AD$106*('Giá công thức'!$A$11:$A$106=$B28)*('Giá công thức'!$B$11:$B$106=$C28)*('Giá công thức'!$C$11:$C$106="GB")*('Giá công thức'!$G$3:$AD$3=E$1)*('Giá công thức'!$G$4:$AD$4=E$2)))</f>
        <v>#N/A</v>
      </c>
      <c r="F28" s="400" t="e" cm="1">
        <f t="array" ref="F28">IF(SUMPRODUCT('Giá công thức'!$G$11:$AD$106*('Giá công thức'!$A$11:$A$106=$B28)*('Giá công thức'!$B$11:$B$106=$C28)*('Giá công thức'!$C$11:$C$106="GB")*('Giá công thức'!$G$3:$AD$3=F$1)*('Giá công thức'!$G$4:$AD$4=F$2))=0,NA(),SUMPRODUCT('Giá công thức'!$G$11:$AD$106*('Giá công thức'!$A$11:$A$106=$B28)*('Giá công thức'!$B$11:$B$106=$C28)*('Giá công thức'!$C$11:$C$106="GB")*('Giá công thức'!$G$3:$AD$3=F$1)*('Giá công thức'!$G$4:$AD$4=F$2)))</f>
        <v>#N/A</v>
      </c>
      <c r="G28" s="400" t="e" cm="1">
        <f t="array" ref="G28">IF(SUMPRODUCT('Giá công thức'!$G$11:$AD$106*('Giá công thức'!$A$11:$A$106=$B28)*('Giá công thức'!$B$11:$B$106=$C28)*('Giá công thức'!$C$11:$C$106="GB")*('Giá công thức'!$G$3:$AD$3=G$1)*('Giá công thức'!$G$4:$AD$4=G$2))=0,NA(),SUMPRODUCT('Giá công thức'!$G$11:$AD$106*('Giá công thức'!$A$11:$A$106=$B28)*('Giá công thức'!$B$11:$B$106=$C28)*('Giá công thức'!$C$11:$C$106="GB")*('Giá công thức'!$G$3:$AD$3=G$1)*('Giá công thức'!$G$4:$AD$4=G$2)))</f>
        <v>#N/A</v>
      </c>
      <c r="H28" s="400" t="e" cm="1">
        <f t="array" ref="H28">IF(SUMPRODUCT('Giá công thức'!$G$11:$AD$106*('Giá công thức'!$A$11:$A$106=$B28)*('Giá công thức'!$B$11:$B$106=$C28)*('Giá công thức'!$C$11:$C$106="GB")*('Giá công thức'!$G$3:$AD$3=H$1)*('Giá công thức'!$G$4:$AD$4=H$2))=0,NA(),SUMPRODUCT('Giá công thức'!$G$11:$AD$106*('Giá công thức'!$A$11:$A$106=$B28)*('Giá công thức'!$B$11:$B$106=$C28)*('Giá công thức'!$C$11:$C$106="GB")*('Giá công thức'!$G$3:$AD$3=H$1)*('Giá công thức'!$G$4:$AD$4=H$2)))</f>
        <v>#N/A</v>
      </c>
      <c r="I28" s="400" t="e" cm="1">
        <f t="array" ref="I28">IF(SUMPRODUCT('Giá công thức'!$G$11:$AD$106*('Giá công thức'!$A$11:$A$106=$B28)*('Giá công thức'!$B$11:$B$106=$C28)*('Giá công thức'!$C$11:$C$106="GB")*('Giá công thức'!$G$3:$AD$3=I$1)*('Giá công thức'!$G$4:$AD$4=I$2))=0,NA(),SUMPRODUCT('Giá công thức'!$G$11:$AD$106*('Giá công thức'!$A$11:$A$106=$B28)*('Giá công thức'!$B$11:$B$106=$C28)*('Giá công thức'!$C$11:$C$106="GB")*('Giá công thức'!$G$3:$AD$3=I$1)*('Giá công thức'!$G$4:$AD$4=I$2)))</f>
        <v>#N/A</v>
      </c>
      <c r="J28" s="400" t="e" cm="1">
        <f t="array" ref="J28">IF(SUMPRODUCT('Giá công thức'!$G$11:$AD$106*('Giá công thức'!$A$11:$A$106=$B28)*('Giá công thức'!$B$11:$B$106=$C28)*('Giá công thức'!$C$11:$C$106="GB")*('Giá công thức'!$G$3:$AD$3=J$1)*('Giá công thức'!$G$4:$AD$4=J$2))=0,NA(),SUMPRODUCT('Giá công thức'!$G$11:$AD$106*('Giá công thức'!$A$11:$A$106=$B28)*('Giá công thức'!$B$11:$B$106=$C28)*('Giá công thức'!$C$11:$C$106="GB")*('Giá công thức'!$G$3:$AD$3=J$1)*('Giá công thức'!$G$4:$AD$4=J$2)))</f>
        <v>#N/A</v>
      </c>
      <c r="K28" s="400" t="e" cm="1">
        <f t="array" ref="K28">IF(SUMPRODUCT('Giá công thức'!$G$11:$AD$106*('Giá công thức'!$A$11:$A$106=$B28)*('Giá công thức'!$B$11:$B$106=$C28)*('Giá công thức'!$C$11:$C$106="GB")*('Giá công thức'!$G$3:$AD$3=K$1)*('Giá công thức'!$G$4:$AD$4=K$2))=0,NA(),SUMPRODUCT('Giá công thức'!$G$11:$AD$106*('Giá công thức'!$A$11:$A$106=$B28)*('Giá công thức'!$B$11:$B$106=$C28)*('Giá công thức'!$C$11:$C$106="GB")*('Giá công thức'!$G$3:$AD$3=K$1)*('Giá công thức'!$G$4:$AD$4=K$2)))</f>
        <v>#N/A</v>
      </c>
      <c r="L28" s="400" t="e" cm="1">
        <f t="array" ref="L28">IF(SUMPRODUCT('Giá công thức'!$G$11:$AD$106*('Giá công thức'!$A$11:$A$106=$B28)*('Giá công thức'!$B$11:$B$106=$C28)*('Giá công thức'!$C$11:$C$106="GB")*('Giá công thức'!$G$3:$AD$3=L$1)*('Giá công thức'!$G$4:$AD$4=L$2))=0,NA(),SUMPRODUCT('Giá công thức'!$G$11:$AD$106*('Giá công thức'!$A$11:$A$106=$B28)*('Giá công thức'!$B$11:$B$106=$C28)*('Giá công thức'!$C$11:$C$106="GB")*('Giá công thức'!$G$3:$AD$3=L$1)*('Giá công thức'!$G$4:$AD$4=L$2)))</f>
        <v>#N/A</v>
      </c>
      <c r="M28" s="400" t="e" cm="1">
        <f t="array" ref="M28">IF(SUMPRODUCT('Giá công thức'!$G$11:$AD$106*('Giá công thức'!$A$11:$A$106=$B28)*('Giá công thức'!$B$11:$B$106=$C28)*('Giá công thức'!$C$11:$C$106="GB")*('Giá công thức'!$G$3:$AD$3=M$1)*('Giá công thức'!$G$4:$AD$4=M$2))=0,NA(),SUMPRODUCT('Giá công thức'!$G$11:$AD$106*('Giá công thức'!$A$11:$A$106=$B28)*('Giá công thức'!$B$11:$B$106=$C28)*('Giá công thức'!$C$11:$C$106="GB")*('Giá công thức'!$G$3:$AD$3=M$1)*('Giá công thức'!$G$4:$AD$4=M$2)))</f>
        <v>#N/A</v>
      </c>
      <c r="N28" s="400" t="e" cm="1">
        <f t="array" ref="N28">IF(SUMPRODUCT('Giá công thức'!$G$11:$AD$106*('Giá công thức'!$A$11:$A$106=$B28)*('Giá công thức'!$B$11:$B$106=$C28)*('Giá công thức'!$C$11:$C$106="GB")*('Giá công thức'!$G$3:$AD$3=N$1)*('Giá công thức'!$G$4:$AD$4=N$2))=0,NA(),SUMPRODUCT('Giá công thức'!$G$11:$AD$106*('Giá công thức'!$A$11:$A$106=$B28)*('Giá công thức'!$B$11:$B$106=$C28)*('Giá công thức'!$C$11:$C$106="GB")*('Giá công thức'!$G$3:$AD$3=N$1)*('Giá công thức'!$G$4:$AD$4=N$2)))</f>
        <v>#N/A</v>
      </c>
      <c r="O28" s="400" t="e" cm="1">
        <f t="array" ref="O28">IF(SUMPRODUCT('Giá công thức'!$G$11:$AD$106*('Giá công thức'!$A$11:$A$106=$B28)*('Giá công thức'!$B$11:$B$106=$C28)*('Giá công thức'!$C$11:$C$106="GB")*('Giá công thức'!$G$3:$AD$3=O$1)*('Giá công thức'!$G$4:$AD$4=O$2))=0,NA(),SUMPRODUCT('Giá công thức'!$G$11:$AD$106*('Giá công thức'!$A$11:$A$106=$B28)*('Giá công thức'!$B$11:$B$106=$C28)*('Giá công thức'!$C$11:$C$106="GB")*('Giá công thức'!$G$3:$AD$3=O$1)*('Giá công thức'!$G$4:$AD$4=O$2)))</f>
        <v>#N/A</v>
      </c>
      <c r="P28" s="400" t="e" cm="1">
        <f t="array" ref="P28">IF(SUMPRODUCT('Giá công thức'!$G$11:$AD$106*('Giá công thức'!$A$11:$A$106=$B28)*('Giá công thức'!$B$11:$B$106=$C28)*('Giá công thức'!$C$11:$C$106="GB")*('Giá công thức'!$G$3:$AD$3=P$1)*('Giá công thức'!$G$4:$AD$4=P$2))=0,NA(),SUMPRODUCT('Giá công thức'!$G$11:$AD$106*('Giá công thức'!$A$11:$A$106=$B28)*('Giá công thức'!$B$11:$B$106=$C28)*('Giá công thức'!$C$11:$C$106="GB")*('Giá công thức'!$G$3:$AD$3=P$1)*('Giá công thức'!$G$4:$AD$4=P$2)))</f>
        <v>#N/A</v>
      </c>
      <c r="Q28" s="400" cm="1">
        <f t="array" ref="Q28">IF(SUMPRODUCT('Giá công thức'!$G$11:$AD$106*('Giá công thức'!$A$11:$A$106=$B28)*('Giá công thức'!$B$11:$B$106=$C28)*('Giá công thức'!$C$11:$C$106="GB")*('Giá công thức'!$G$3:$AD$3=Q$1)*('Giá công thức'!$G$4:$AD$4=Q$2))=0,NA(),SUMPRODUCT('Giá công thức'!$G$11:$AD$106*('Giá công thức'!$A$11:$A$106=$B28)*('Giá công thức'!$B$11:$B$106=$C28)*('Giá công thức'!$C$11:$C$106="GB")*('Giá công thức'!$G$3:$AD$3=Q$1)*('Giá công thức'!$G$4:$AD$4=Q$2)))</f>
        <v>1230</v>
      </c>
      <c r="R28" s="400" cm="1">
        <f t="array" ref="R28">IF(SUMPRODUCT('Giá công thức'!$G$11:$AD$106*('Giá công thức'!$A$11:$A$106=$B28)*('Giá công thức'!$B$11:$B$106=$C28)*('Giá công thức'!$C$11:$C$106="GB")*('Giá công thức'!$G$3:$AD$3=R$1)*('Giá công thức'!$G$4:$AD$4=R$2))=0,NA(),SUMPRODUCT('Giá công thức'!$G$11:$AD$106*('Giá công thức'!$A$11:$A$106=$B28)*('Giá công thức'!$B$11:$B$106=$C28)*('Giá công thức'!$C$11:$C$106="GB")*('Giá công thức'!$G$3:$AD$3=R$1)*('Giá công thức'!$G$4:$AD$4=R$2)))</f>
        <v>1230</v>
      </c>
      <c r="S28" s="400" cm="1">
        <f t="array" ref="S28">IF(SUMPRODUCT('Giá công thức'!$G$11:$AD$106*('Giá công thức'!$A$11:$A$106=$B28)*('Giá công thức'!$B$11:$B$106=$C28)*('Giá công thức'!$C$11:$C$106="GB")*('Giá công thức'!$G$3:$AD$3=S$1)*('Giá công thức'!$G$4:$AD$4=S$2))=0,NA(),SUMPRODUCT('Giá công thức'!$G$11:$AD$106*('Giá công thức'!$A$11:$A$106=$B28)*('Giá công thức'!$B$11:$B$106=$C28)*('Giá công thức'!$C$11:$C$106="GB")*('Giá công thức'!$G$3:$AD$3=S$1)*('Giá công thức'!$G$4:$AD$4=S$2)))</f>
        <v>1230</v>
      </c>
      <c r="T28" s="400" cm="1">
        <f t="array" ref="T28">IF(SUMPRODUCT('Giá công thức'!$G$11:$AD$106*('Giá công thức'!$A$11:$A$106=$B28)*('Giá công thức'!$B$11:$B$106=$C28)*('Giá công thức'!$C$11:$C$106="GB")*('Giá công thức'!$G$3:$AD$3=T$1)*('Giá công thức'!$G$4:$AD$4=T$2))=0,NA(),SUMPRODUCT('Giá công thức'!$G$11:$AD$106*('Giá công thức'!$A$11:$A$106=$B28)*('Giá công thức'!$B$11:$B$106=$C28)*('Giá công thức'!$C$11:$C$106="GB")*('Giá công thức'!$G$3:$AD$3=T$1)*('Giá công thức'!$G$4:$AD$4=T$2)))</f>
        <v>1228</v>
      </c>
      <c r="U28" s="400" cm="1">
        <f t="array" ref="U28">IF(SUMPRODUCT('Giá công thức'!$G$11:$AD$106*('Giá công thức'!$A$11:$A$106=$B28)*('Giá công thức'!$B$11:$B$106=$C28)*('Giá công thức'!$C$11:$C$106="GB")*('Giá công thức'!$G$3:$AD$3=U$1)*('Giá công thức'!$G$4:$AD$4=U$2))=0,NA(),SUMPRODUCT('Giá công thức'!$G$11:$AD$106*('Giá công thức'!$A$11:$A$106=$B28)*('Giá công thức'!$B$11:$B$106=$C28)*('Giá công thức'!$C$11:$C$106="GB")*('Giá công thức'!$G$3:$AD$3=U$1)*('Giá công thức'!$G$4:$AD$4=U$2)))</f>
        <v>1228</v>
      </c>
      <c r="V28" s="400" cm="1">
        <f t="array" ref="V28">IF(SUMPRODUCT('Giá công thức'!$G$11:$AD$106*('Giá công thức'!$A$11:$A$106=$B28)*('Giá công thức'!$B$11:$B$106=$C28)*('Giá công thức'!$C$11:$C$106="GB")*('Giá công thức'!$G$3:$AD$3=V$1)*('Giá công thức'!$G$4:$AD$4=V$2))=0,NA(),SUMPRODUCT('Giá công thức'!$G$11:$AD$106*('Giá công thức'!$A$11:$A$106=$B28)*('Giá công thức'!$B$11:$B$106=$C28)*('Giá công thức'!$C$11:$C$106="GB")*('Giá công thức'!$G$3:$AD$3=V$1)*('Giá công thức'!$G$4:$AD$4=V$2)))</f>
        <v>1228</v>
      </c>
      <c r="W28" s="400" cm="1">
        <f t="array" ref="W28">IF(SUMPRODUCT('Giá công thức'!$G$11:$AD$106*('Giá công thức'!$A$11:$A$106=$B28)*('Giá công thức'!$B$11:$B$106=$C28)*('Giá công thức'!$C$11:$C$106="GB")*('Giá công thức'!$G$3:$AD$3=W$1)*('Giá công thức'!$G$4:$AD$4=W$2))=0,NA(),SUMPRODUCT('Giá công thức'!$G$11:$AD$106*('Giá công thức'!$A$11:$A$106=$B28)*('Giá công thức'!$B$11:$B$106=$C28)*('Giá công thức'!$C$11:$C$106="GB")*('Giá công thức'!$G$3:$AD$3=W$1)*('Giá công thức'!$G$4:$AD$4=W$2)))</f>
        <v>1228</v>
      </c>
      <c r="X28" s="400" cm="1">
        <f t="array" ref="X28">IF(SUMPRODUCT('Giá công thức'!$G$11:$AD$106*('Giá công thức'!$A$11:$A$106=$B28)*('Giá công thức'!$B$11:$B$106=$C28)*('Giá công thức'!$C$11:$C$106="GB")*('Giá công thức'!$G$3:$AD$3=X$1)*('Giá công thức'!$G$4:$AD$4=X$2))=0,NA(),SUMPRODUCT('Giá công thức'!$G$11:$AD$106*('Giá công thức'!$A$11:$A$106=$B28)*('Giá công thức'!$B$11:$B$106=$C28)*('Giá công thức'!$C$11:$C$106="GB")*('Giá công thức'!$G$3:$AD$3=X$1)*('Giá công thức'!$G$4:$AD$4=X$2)))</f>
        <v>1228</v>
      </c>
      <c r="Y28" s="400" cm="1">
        <f t="array" ref="Y28">IF(SUMPRODUCT('Giá công thức'!$G$11:$AD$106*('Giá công thức'!$A$11:$A$106=$B28)*('Giá công thức'!$B$11:$B$106=$C28)*('Giá công thức'!$C$11:$C$106="GB")*('Giá công thức'!$G$3:$AD$3=Y$1)*('Giá công thức'!$G$4:$AD$4=Y$2))=0,NA(),SUMPRODUCT('Giá công thức'!$G$11:$AD$106*('Giá công thức'!$A$11:$A$106=$B28)*('Giá công thức'!$B$11:$B$106=$C28)*('Giá công thức'!$C$11:$C$106="GB")*('Giá công thức'!$G$3:$AD$3=Y$1)*('Giá công thức'!$G$4:$AD$4=Y$2)))</f>
        <v>1228</v>
      </c>
      <c r="Z28" s="400" cm="1">
        <f t="array" ref="Z28">IF(SUMPRODUCT('Giá công thức'!$G$11:$AD$106*('Giá công thức'!$A$11:$A$106=$B28)*('Giá công thức'!$B$11:$B$106=$C28)*('Giá công thức'!$C$11:$C$106="GB")*('Giá công thức'!$G$3:$AD$3=Z$1)*('Giá công thức'!$G$4:$AD$4=Z$2))=0,NA(),SUMPRODUCT('Giá công thức'!$G$11:$AD$106*('Giá công thức'!$A$11:$A$106=$B28)*('Giá công thức'!$B$11:$B$106=$C28)*('Giá công thức'!$C$11:$C$106="GB")*('Giá công thức'!$G$3:$AD$3=Z$1)*('Giá công thức'!$G$4:$AD$4=Z$2)))</f>
        <v>1228</v>
      </c>
      <c r="AA28" s="400" cm="1">
        <f t="array" ref="AA28">IF(SUMPRODUCT('Giá công thức'!$G$11:$AD$106*('Giá công thức'!$A$11:$A$106=$B28)*('Giá công thức'!$B$11:$B$106=$C28)*('Giá công thức'!$C$11:$C$106="GB")*('Giá công thức'!$G$3:$AD$3=AA$1)*('Giá công thức'!$G$4:$AD$4=AA$2))=0,NA(),SUMPRODUCT('Giá công thức'!$G$11:$AD$106*('Giá công thức'!$A$11:$A$106=$B28)*('Giá công thức'!$B$11:$B$106=$C28)*('Giá công thức'!$C$11:$C$106="GB")*('Giá công thức'!$G$3:$AD$3=AA$1)*('Giá công thức'!$G$4:$AD$4=AA$2)))</f>
        <v>1228</v>
      </c>
      <c r="AB28" s="400" cm="1">
        <f t="array" ref="AB28">IF(SUMPRODUCT('Giá công thức'!$G$11:$AD$106*('Giá công thức'!$A$11:$A$106=$B28)*('Giá công thức'!$B$11:$B$106=$C28)*('Giá công thức'!$C$11:$C$106="GB")*('Giá công thức'!$G$3:$AD$3=AB$1)*('Giá công thức'!$G$4:$AD$4=AB$2))=0,NA(),SUMPRODUCT('Giá công thức'!$G$11:$AD$106*('Giá công thức'!$A$11:$A$106=$B28)*('Giá công thức'!$B$11:$B$106=$C28)*('Giá công thức'!$C$11:$C$106="GB")*('Giá công thức'!$G$3:$AD$3=AB$1)*('Giá công thức'!$G$4:$AD$4=AB$2)))</f>
        <v>1228</v>
      </c>
      <c r="AC28" s="400"/>
      <c r="AD28" s="400"/>
      <c r="AE28" s="400"/>
      <c r="AF28" s="400"/>
      <c r="AG28" s="400"/>
      <c r="AH28" s="400"/>
      <c r="AI28" s="400"/>
      <c r="AJ28" s="400"/>
      <c r="AK28" s="400"/>
      <c r="AL28" s="400"/>
      <c r="AM28" s="400"/>
      <c r="AN28" s="400"/>
      <c r="AO28" s="400">
        <f>INDEX($E28:$AB28,MATCH("X",$E$3:$AB$3,0))</f>
        <v>1228</v>
      </c>
    </row>
    <row r="29" spans="1:41" x14ac:dyDescent="0.35">
      <c r="B29" s="14" t="s">
        <v>40</v>
      </c>
      <c r="C29" t="s">
        <v>31</v>
      </c>
      <c r="D29" t="s">
        <v>26</v>
      </c>
      <c r="E29" s="400" cm="1">
        <f t="array" ref="E29">IF(SUMPRODUCT('Giá công thức'!$G$11:$AD$106*('Giá công thức'!$A$11:$A$106=$B29)*('Giá công thức'!$B$11:$B$106=$C29)*('Giá công thức'!$C$11:$C$106="GB")*('Giá công thức'!$G$3:$AD$3=E$1)*('Giá công thức'!$G$4:$AD$4=E$2))=0,NA(),SUMPRODUCT('Giá công thức'!$G$11:$AD$106*('Giá công thức'!$A$11:$A$106=$B29)*('Giá công thức'!$B$11:$B$106=$C29)*('Giá công thức'!$C$11:$C$106="GB")*('Giá công thức'!$G$3:$AD$3=E$1)*('Giá công thức'!$G$4:$AD$4=E$2)))</f>
        <v>1320</v>
      </c>
      <c r="F29" s="400" cm="1">
        <f t="array" ref="F29">IF(SUMPRODUCT('Giá công thức'!$G$11:$AD$106*('Giá công thức'!$A$11:$A$106=$B29)*('Giá công thức'!$B$11:$B$106=$C29)*('Giá công thức'!$C$11:$C$106="GB")*('Giá công thức'!$G$3:$AD$3=F$1)*('Giá công thức'!$G$4:$AD$4=F$2))=0,NA(),SUMPRODUCT('Giá công thức'!$G$11:$AD$106*('Giá công thức'!$A$11:$A$106=$B29)*('Giá công thức'!$B$11:$B$106=$C29)*('Giá công thức'!$C$11:$C$106="GB")*('Giá công thức'!$G$3:$AD$3=F$1)*('Giá công thức'!$G$4:$AD$4=F$2)))</f>
        <v>1327.5</v>
      </c>
      <c r="G29" s="400" cm="1">
        <f t="array" ref="G29">IF(SUMPRODUCT('Giá công thức'!$G$11:$AD$106*('Giá công thức'!$A$11:$A$106=$B29)*('Giá công thức'!$B$11:$B$106=$C29)*('Giá công thức'!$C$11:$C$106="GB")*('Giá công thức'!$G$3:$AD$3=G$1)*('Giá công thức'!$G$4:$AD$4=G$2))=0,NA(),SUMPRODUCT('Giá công thức'!$G$11:$AD$106*('Giá công thức'!$A$11:$A$106=$B29)*('Giá công thức'!$B$11:$B$106=$C29)*('Giá công thức'!$C$11:$C$106="GB")*('Giá công thức'!$G$3:$AD$3=G$1)*('Giá công thức'!$G$4:$AD$4=G$2)))</f>
        <v>1340</v>
      </c>
      <c r="H29" s="400" cm="1">
        <f t="array" ref="H29">IF(SUMPRODUCT('Giá công thức'!$G$11:$AD$106*('Giá công thức'!$A$11:$A$106=$B29)*('Giá công thức'!$B$11:$B$106=$C29)*('Giá công thức'!$C$11:$C$106="GB")*('Giá công thức'!$G$3:$AD$3=H$1)*('Giá công thức'!$G$4:$AD$4=H$2))=0,NA(),SUMPRODUCT('Giá công thức'!$G$11:$AD$106*('Giá công thức'!$A$11:$A$106=$B29)*('Giá công thức'!$B$11:$B$106=$C29)*('Giá công thức'!$C$11:$C$106="GB")*('Giá công thức'!$G$3:$AD$3=H$1)*('Giá công thức'!$G$4:$AD$4=H$2)))</f>
        <v>1342.5</v>
      </c>
      <c r="I29" s="400" cm="1">
        <f t="array" ref="I29">IF(SUMPRODUCT('Giá công thức'!$G$11:$AD$106*('Giá công thức'!$A$11:$A$106=$B29)*('Giá công thức'!$B$11:$B$106=$C29)*('Giá công thức'!$C$11:$C$106="GB")*('Giá công thức'!$G$3:$AD$3=I$1)*('Giá công thức'!$G$4:$AD$4=I$2))=0,NA(),SUMPRODUCT('Giá công thức'!$G$11:$AD$106*('Giá công thức'!$A$11:$A$106=$B29)*('Giá công thức'!$B$11:$B$106=$C29)*('Giá công thức'!$C$11:$C$106="GB")*('Giá công thức'!$G$3:$AD$3=I$1)*('Giá công thức'!$G$4:$AD$4=I$2)))</f>
        <v>1346.5</v>
      </c>
      <c r="J29" s="400" cm="1">
        <f t="array" ref="J29">IF(SUMPRODUCT('Giá công thức'!$G$11:$AD$106*('Giá công thức'!$A$11:$A$106=$B29)*('Giá công thức'!$B$11:$B$106=$C29)*('Giá công thức'!$C$11:$C$106="GB")*('Giá công thức'!$G$3:$AD$3=J$1)*('Giá công thức'!$G$4:$AD$4=J$2))=0,NA(),SUMPRODUCT('Giá công thức'!$G$11:$AD$106*('Giá công thức'!$A$11:$A$106=$B29)*('Giá công thức'!$B$11:$B$106=$C29)*('Giá công thức'!$C$11:$C$106="GB")*('Giá công thức'!$G$3:$AD$3=J$1)*('Giá công thức'!$G$4:$AD$4=J$2)))</f>
        <v>1361.5</v>
      </c>
      <c r="K29" s="400" cm="1">
        <f t="array" ref="K29">IF(SUMPRODUCT('Giá công thức'!$G$11:$AD$106*('Giá công thức'!$A$11:$A$106=$B29)*('Giá công thức'!$B$11:$B$106=$C29)*('Giá công thức'!$C$11:$C$106="GB")*('Giá công thức'!$G$3:$AD$3=K$1)*('Giá công thức'!$G$4:$AD$4=K$2))=0,NA(),SUMPRODUCT('Giá công thức'!$G$11:$AD$106*('Giá công thức'!$A$11:$A$106=$B29)*('Giá công thức'!$B$11:$B$106=$C29)*('Giá công thức'!$C$11:$C$106="GB")*('Giá công thức'!$G$3:$AD$3=K$1)*('Giá công thức'!$G$4:$AD$4=K$2)))</f>
        <v>1377.5</v>
      </c>
      <c r="L29" s="400" cm="1">
        <f t="array" ref="L29">IF(SUMPRODUCT('Giá công thức'!$G$11:$AD$106*('Giá công thức'!$A$11:$A$106=$B29)*('Giá công thức'!$B$11:$B$106=$C29)*('Giá công thức'!$C$11:$C$106="GB")*('Giá công thức'!$G$3:$AD$3=L$1)*('Giá công thức'!$G$4:$AD$4=L$2))=0,NA(),SUMPRODUCT('Giá công thức'!$G$11:$AD$106*('Giá công thức'!$A$11:$A$106=$B29)*('Giá công thức'!$B$11:$B$106=$C29)*('Giá công thức'!$C$11:$C$106="GB")*('Giá công thức'!$G$3:$AD$3=L$1)*('Giá công thức'!$G$4:$AD$4=L$2)))</f>
        <v>1388.5</v>
      </c>
      <c r="M29" s="400" cm="1">
        <f t="array" ref="M29">IF(SUMPRODUCT('Giá công thức'!$G$11:$AD$106*('Giá công thức'!$A$11:$A$106=$B29)*('Giá công thức'!$B$11:$B$106=$C29)*('Giá công thức'!$C$11:$C$106="GB")*('Giá công thức'!$G$3:$AD$3=M$1)*('Giá công thức'!$G$4:$AD$4=M$2))=0,NA(),SUMPRODUCT('Giá công thức'!$G$11:$AD$106*('Giá công thức'!$A$11:$A$106=$B29)*('Giá công thức'!$B$11:$B$106=$C29)*('Giá công thức'!$C$11:$C$106="GB")*('Giá công thức'!$G$3:$AD$3=M$1)*('Giá công thức'!$G$4:$AD$4=M$2)))</f>
        <v>1408.5</v>
      </c>
      <c r="N29" s="400" cm="1">
        <f t="array" ref="N29">IF(SUMPRODUCT('Giá công thức'!$G$11:$AD$106*('Giá công thức'!$A$11:$A$106=$B29)*('Giá công thức'!$B$11:$B$106=$C29)*('Giá công thức'!$C$11:$C$106="GB")*('Giá công thức'!$G$3:$AD$3=N$1)*('Giá công thức'!$G$4:$AD$4=N$2))=0,NA(),SUMPRODUCT('Giá công thức'!$G$11:$AD$106*('Giá công thức'!$A$11:$A$106=$B29)*('Giá công thức'!$B$11:$B$106=$C29)*('Giá công thức'!$C$11:$C$106="GB")*('Giá công thức'!$G$3:$AD$3=N$1)*('Giá công thức'!$G$4:$AD$4=N$2)))</f>
        <v>1436.25</v>
      </c>
      <c r="O29" s="400" cm="1">
        <f t="array" ref="O29">IF(SUMPRODUCT('Giá công thức'!$G$11:$AD$106*('Giá công thức'!$A$11:$A$106=$B29)*('Giá công thức'!$B$11:$B$106=$C29)*('Giá công thức'!$C$11:$C$106="GB")*('Giá công thức'!$G$3:$AD$3=O$1)*('Giá công thức'!$G$4:$AD$4=O$2))=0,NA(),SUMPRODUCT('Giá công thức'!$G$11:$AD$106*('Giá công thức'!$A$11:$A$106=$B29)*('Giá công thức'!$B$11:$B$106=$C29)*('Giá công thức'!$C$11:$C$106="GB")*('Giá công thức'!$G$3:$AD$3=O$1)*('Giá công thức'!$G$4:$AD$4=O$2)))</f>
        <v>1453.75</v>
      </c>
      <c r="P29" s="400" cm="1">
        <f t="array" ref="P29">IF(SUMPRODUCT('Giá công thức'!$G$11:$AD$106*('Giá công thức'!$A$11:$A$106=$B29)*('Giá công thức'!$B$11:$B$106=$C29)*('Giá công thức'!$C$11:$C$106="GB")*('Giá công thức'!$G$3:$AD$3=P$1)*('Giá công thức'!$G$4:$AD$4=P$2))=0,NA(),SUMPRODUCT('Giá công thức'!$G$11:$AD$106*('Giá công thức'!$A$11:$A$106=$B29)*('Giá công thức'!$B$11:$B$106=$C29)*('Giá công thức'!$C$11:$C$106="GB")*('Giá công thức'!$G$3:$AD$3=P$1)*('Giá công thức'!$G$4:$AD$4=P$2)))</f>
        <v>1457.5</v>
      </c>
      <c r="Q29" s="400" cm="1">
        <f t="array" ref="Q29">IF(SUMPRODUCT('Giá công thức'!$G$11:$AD$106*('Giá công thức'!$A$11:$A$106=$B29)*('Giá công thức'!$B$11:$B$106=$C29)*('Giá công thức'!$C$11:$C$106="GB")*('Giá công thức'!$G$3:$AD$3=Q$1)*('Giá công thức'!$G$4:$AD$4=Q$2))=0,NA(),SUMPRODUCT('Giá công thức'!$G$11:$AD$106*('Giá công thức'!$A$11:$A$106=$B29)*('Giá công thức'!$B$11:$B$106=$C29)*('Giá công thức'!$C$11:$C$106="GB")*('Giá công thức'!$G$3:$AD$3=Q$1)*('Giá công thức'!$G$4:$AD$4=Q$2)))</f>
        <v>1375.71875</v>
      </c>
      <c r="R29" s="400" cm="1">
        <f t="array" ref="R29">IF(SUMPRODUCT('Giá công thức'!$G$11:$AD$106*('Giá công thức'!$A$11:$A$106=$B29)*('Giá công thức'!$B$11:$B$106=$C29)*('Giá công thức'!$C$11:$C$106="GB")*('Giá công thức'!$G$3:$AD$3=R$1)*('Giá công thức'!$G$4:$AD$4=R$2))=0,NA(),SUMPRODUCT('Giá công thức'!$G$11:$AD$106*('Giá công thức'!$A$11:$A$106=$B29)*('Giá công thức'!$B$11:$B$106=$C29)*('Giá công thức'!$C$11:$C$106="GB")*('Giá công thức'!$G$3:$AD$3=R$1)*('Giá công thức'!$G$4:$AD$4=R$2)))</f>
        <v>1339.3020833333319</v>
      </c>
      <c r="S29" s="400" cm="1">
        <f t="array" ref="S29">IF(SUMPRODUCT('Giá công thức'!$G$11:$AD$106*('Giá công thức'!$A$11:$A$106=$B29)*('Giá công thức'!$B$11:$B$106=$C29)*('Giá công thức'!$C$11:$C$106="GB")*('Giá công thức'!$G$3:$AD$3=S$1)*('Giá công thức'!$G$4:$AD$4=S$2))=0,NA(),SUMPRODUCT('Giá công thức'!$G$11:$AD$106*('Giá công thức'!$A$11:$A$106=$B29)*('Giá công thức'!$B$11:$B$106=$C29)*('Giá công thức'!$C$11:$C$106="GB")*('Giá công thức'!$G$3:$AD$3=S$1)*('Giá công thức'!$G$4:$AD$4=S$2)))</f>
        <v>1305.4583333333319</v>
      </c>
      <c r="T29" s="400" cm="1">
        <f t="array" ref="T29">IF(SUMPRODUCT('Giá công thức'!$G$11:$AD$106*('Giá công thức'!$A$11:$A$106=$B29)*('Giá công thức'!$B$11:$B$106=$C29)*('Giá công thức'!$C$11:$C$106="GB")*('Giá công thức'!$G$3:$AD$3=T$1)*('Giá công thức'!$G$4:$AD$4=T$2))=0,NA(),SUMPRODUCT('Giá công thức'!$G$11:$AD$106*('Giá công thức'!$A$11:$A$106=$B29)*('Giá công thức'!$B$11:$B$106=$C29)*('Giá công thức'!$C$11:$C$106="GB")*('Giá công thức'!$G$3:$AD$3=T$1)*('Giá công thức'!$G$4:$AD$4=T$2)))</f>
        <v>1306.25</v>
      </c>
      <c r="U29" s="400" cm="1">
        <f t="array" ref="U29">IF(SUMPRODUCT('Giá công thức'!$G$11:$AD$106*('Giá công thức'!$A$11:$A$106=$B29)*('Giá công thức'!$B$11:$B$106=$C29)*('Giá công thức'!$C$11:$C$106="GB")*('Giá công thức'!$G$3:$AD$3=U$1)*('Giá công thức'!$G$4:$AD$4=U$2))=0,NA(),SUMPRODUCT('Giá công thức'!$G$11:$AD$106*('Giá công thức'!$A$11:$A$106=$B29)*('Giá công thức'!$B$11:$B$106=$C29)*('Giá công thức'!$C$11:$C$106="GB")*('Giá công thức'!$G$3:$AD$3=U$1)*('Giá công thức'!$G$4:$AD$4=U$2)))</f>
        <v>1311</v>
      </c>
      <c r="V29" s="400" cm="1">
        <f t="array" ref="V29">IF(SUMPRODUCT('Giá công thức'!$G$11:$AD$106*('Giá công thức'!$A$11:$A$106=$B29)*('Giá công thức'!$B$11:$B$106=$C29)*('Giá công thức'!$C$11:$C$106="GB")*('Giá công thức'!$G$3:$AD$3=V$1)*('Giá công thức'!$G$4:$AD$4=V$2))=0,NA(),SUMPRODUCT('Giá công thức'!$G$11:$AD$106*('Giá công thức'!$A$11:$A$106=$B29)*('Giá công thức'!$B$11:$B$106=$C29)*('Giá công thức'!$C$11:$C$106="GB")*('Giá công thức'!$G$3:$AD$3=V$1)*('Giá công thức'!$G$4:$AD$4=V$2)))</f>
        <v>1311</v>
      </c>
      <c r="W29" s="400" cm="1">
        <f t="array" ref="W29">IF(SUMPRODUCT('Giá công thức'!$G$11:$AD$106*('Giá công thức'!$A$11:$A$106=$B29)*('Giá công thức'!$B$11:$B$106=$C29)*('Giá công thức'!$C$11:$C$106="GB")*('Giá công thức'!$G$3:$AD$3=W$1)*('Giá công thức'!$G$4:$AD$4=W$2))=0,NA(),SUMPRODUCT('Giá công thức'!$G$11:$AD$106*('Giá công thức'!$A$11:$A$106=$B29)*('Giá công thức'!$B$11:$B$106=$C29)*('Giá công thức'!$C$11:$C$106="GB")*('Giá công thức'!$G$3:$AD$3=W$1)*('Giá công thức'!$G$4:$AD$4=W$2)))</f>
        <v>1311</v>
      </c>
      <c r="X29" s="400" cm="1">
        <f t="array" ref="X29">IF(SUMPRODUCT('Giá công thức'!$G$11:$AD$106*('Giá công thức'!$A$11:$A$106=$B29)*('Giá công thức'!$B$11:$B$106=$C29)*('Giá công thức'!$C$11:$C$106="GB")*('Giá công thức'!$G$3:$AD$3=X$1)*('Giá công thức'!$G$4:$AD$4=X$2))=0,NA(),SUMPRODUCT('Giá công thức'!$G$11:$AD$106*('Giá công thức'!$A$11:$A$106=$B29)*('Giá công thức'!$B$11:$B$106=$C29)*('Giá công thức'!$C$11:$C$106="GB")*('Giá công thức'!$G$3:$AD$3=X$1)*('Giá công thức'!$G$4:$AD$4=X$2)))</f>
        <v>1293.9000000000001</v>
      </c>
      <c r="Y29" s="400" cm="1">
        <f t="array" ref="Y29">IF(SUMPRODUCT('Giá công thức'!$G$11:$AD$106*('Giá công thức'!$A$11:$A$106=$B29)*('Giá công thức'!$B$11:$B$106=$C29)*('Giá công thức'!$C$11:$C$106="GB")*('Giá công thức'!$G$3:$AD$3=Y$1)*('Giá công thức'!$G$4:$AD$4=Y$2))=0,NA(),SUMPRODUCT('Giá công thức'!$G$11:$AD$106*('Giá công thức'!$A$11:$A$106=$B29)*('Giá công thức'!$B$11:$B$106=$C29)*('Giá công thức'!$C$11:$C$106="GB")*('Giá công thức'!$G$3:$AD$3=Y$1)*('Giá công thức'!$G$4:$AD$4=Y$2)))</f>
        <v>1263.5250000000001</v>
      </c>
      <c r="Z29" s="400" cm="1">
        <f t="array" ref="Z29">IF(SUMPRODUCT('Giá công thức'!$G$11:$AD$106*('Giá công thức'!$A$11:$A$106=$B29)*('Giá công thức'!$B$11:$B$106=$C29)*('Giá công thức'!$C$11:$C$106="GB")*('Giá công thức'!$G$3:$AD$3=Z$1)*('Giá công thức'!$G$4:$AD$4=Z$2))=0,NA(),SUMPRODUCT('Giá công thức'!$G$11:$AD$106*('Giá công thức'!$A$11:$A$106=$B29)*('Giá công thức'!$B$11:$B$106=$C29)*('Giá công thức'!$C$11:$C$106="GB")*('Giá công thức'!$G$3:$AD$3=Z$1)*('Giá công thức'!$G$4:$AD$4=Z$2)))</f>
        <v>1264.925</v>
      </c>
      <c r="AA29" s="400" cm="1">
        <f t="array" ref="AA29">IF(SUMPRODUCT('Giá công thức'!$G$11:$AD$106*('Giá công thức'!$A$11:$A$106=$B29)*('Giá công thức'!$B$11:$B$106=$C29)*('Giá công thức'!$C$11:$C$106="GB")*('Giá công thức'!$G$3:$AD$3=AA$1)*('Giá công thức'!$G$4:$AD$4=AA$2))=0,NA(),SUMPRODUCT('Giá công thức'!$G$11:$AD$106*('Giá công thức'!$A$11:$A$106=$B29)*('Giá công thức'!$B$11:$B$106=$C29)*('Giá công thức'!$C$11:$C$106="GB")*('Giá công thức'!$G$3:$AD$3=AA$1)*('Giá công thức'!$G$4:$AD$4=AA$2)))</f>
        <v>1266.05</v>
      </c>
      <c r="AB29" s="400" cm="1">
        <f t="array" ref="AB29">IF(SUMPRODUCT('Giá công thức'!$G$11:$AD$106*('Giá công thức'!$A$11:$A$106=$B29)*('Giá công thức'!$B$11:$B$106=$C29)*('Giá công thức'!$C$11:$C$106="GB")*('Giá công thức'!$G$3:$AD$3=AB$1)*('Giá công thức'!$G$4:$AD$4=AB$2))=0,NA(),SUMPRODUCT('Giá công thức'!$G$11:$AD$106*('Giá công thức'!$A$11:$A$106=$B29)*('Giá công thức'!$B$11:$B$106=$C29)*('Giá công thức'!$C$11:$C$106="GB")*('Giá công thức'!$G$3:$AD$3=AB$1)*('Giá công thức'!$G$4:$AD$4=AB$2)))</f>
        <v>1266.65625</v>
      </c>
      <c r="AC29" s="400"/>
      <c r="AD29" s="400"/>
      <c r="AE29" s="400"/>
      <c r="AF29" s="400"/>
      <c r="AG29" s="400"/>
      <c r="AH29" s="400"/>
      <c r="AI29" s="400"/>
      <c r="AJ29" s="400"/>
      <c r="AK29" s="400"/>
      <c r="AL29" s="400"/>
      <c r="AM29" s="400"/>
      <c r="AN29" s="400"/>
      <c r="AO29" s="400">
        <f t="shared" ref="AO29:AO31" si="14">INDEX($E29:$AB29,MATCH("X",$E$3:$AB$3,0))</f>
        <v>1266.65625</v>
      </c>
    </row>
    <row r="30" spans="1:41" s="137" customFormat="1" x14ac:dyDescent="0.35">
      <c r="A30" s="137" t="s">
        <v>31</v>
      </c>
      <c r="C30" s="137" t="s">
        <v>31</v>
      </c>
      <c r="D30" s="137" t="s">
        <v>17</v>
      </c>
      <c r="E30" s="403" cm="1">
        <f t="array" ref="E30">SUMPRODUCT(General_Data*(Code_General_Data=$A30)*(Year=E$1)*(Month=E$2))</f>
        <v>1280</v>
      </c>
      <c r="F30" s="403" cm="1">
        <f t="array" ref="F30">SUMPRODUCT(General_Data*(Code_General_Data=$A30)*(Year=F$1)*(Month=F$2))</f>
        <v>1280</v>
      </c>
      <c r="G30" s="403" cm="1">
        <f t="array" ref="G30">SUMPRODUCT(General_Data*(Code_General_Data=$A30)*(Year=G$1)*(Month=G$2))</f>
        <v>1280</v>
      </c>
      <c r="H30" s="403" cm="1">
        <f t="array" ref="H30">SUMPRODUCT(General_Data*(Code_General_Data=$A30)*(Year=H$1)*(Month=H$2))</f>
        <v>1280</v>
      </c>
      <c r="I30" s="403" cm="1">
        <f t="array" ref="I30">SUMPRODUCT(General_Data*(Code_General_Data=$A30)*(Year=I$1)*(Month=I$2))</f>
        <v>1330</v>
      </c>
      <c r="J30" s="403" cm="1">
        <f t="array" ref="J30">SUMPRODUCT(General_Data*(Code_General_Data=$A30)*(Year=J$1)*(Month=J$2))</f>
        <v>1330</v>
      </c>
      <c r="K30" s="403" cm="1">
        <f t="array" ref="K30">SUMPRODUCT(General_Data*(Code_General_Data=$A30)*(Year=K$1)*(Month=K$2))</f>
        <v>1330</v>
      </c>
      <c r="L30" s="403" cm="1">
        <f t="array" ref="L30">SUMPRODUCT(General_Data*(Code_General_Data=$A30)*(Year=L$1)*(Month=L$2))</f>
        <v>1330</v>
      </c>
      <c r="M30" s="403" cm="1">
        <f t="array" ref="M30">SUMPRODUCT(General_Data*(Code_General_Data=$A30)*(Year=M$1)*(Month=M$2))</f>
        <v>1340</v>
      </c>
      <c r="N30" s="403" cm="1">
        <f t="array" ref="N30">SUMPRODUCT(General_Data*(Code_General_Data=$A30)*(Year=N$1)*(Month=N$2))</f>
        <v>1355</v>
      </c>
      <c r="O30" s="403" cm="1">
        <f t="array" ref="O30">SUMPRODUCT(General_Data*(Code_General_Data=$A30)*(Year=O$1)*(Month=O$2))</f>
        <v>1355</v>
      </c>
      <c r="P30" s="403" cm="1">
        <f t="array" ref="P30">SUMPRODUCT(General_Data*(Code_General_Data=$A30)*(Year=P$1)*(Month=P$2))</f>
        <v>1305</v>
      </c>
      <c r="Q30" s="403" cm="1">
        <f t="array" ref="Q30">SUMPRODUCT(General_Data*(Code_General_Data=$A30)*(Year=Q$1)*(Month=Q$2))</f>
        <v>1260</v>
      </c>
      <c r="R30" s="403" cm="1">
        <f t="array" ref="R30">SUMPRODUCT(General_Data*(Code_General_Data=$A30)*(Year=R$1)*(Month=R$2))</f>
        <v>1260</v>
      </c>
      <c r="S30" s="403" cm="1">
        <f t="array" ref="S30">SUMPRODUCT(General_Data*(Code_General_Data=$A30)*(Year=S$1)*(Month=S$2))</f>
        <v>1260</v>
      </c>
      <c r="T30" s="403" cm="1">
        <f t="array" ref="T30">SUMPRODUCT(General_Data*(Code_General_Data=$A30)*(Year=T$1)*(Month=T$2))</f>
        <v>1280</v>
      </c>
      <c r="U30" s="403" cm="1">
        <f t="array" ref="U30">SUMPRODUCT(General_Data*(Code_General_Data=$A30)*(Year=U$1)*(Month=U$2))</f>
        <v>1280</v>
      </c>
      <c r="V30" s="403" cm="1">
        <f t="array" ref="V30">SUMPRODUCT(General_Data*(Code_General_Data=$A30)*(Year=V$1)*(Month=V$2))</f>
        <v>1280</v>
      </c>
      <c r="W30" s="403" cm="1">
        <f t="array" ref="W30">SUMPRODUCT(General_Data*(Code_General_Data=$A30)*(Year=W$1)*(Month=W$2))</f>
        <v>1280</v>
      </c>
      <c r="X30" s="403" cm="1">
        <f t="array" ref="X30">SUMPRODUCT(General_Data*(Code_General_Data=$A30)*(Year=X$1)*(Month=X$2))</f>
        <v>1250</v>
      </c>
      <c r="Y30" s="403" cm="1">
        <f t="array" ref="Y30">SUMPRODUCT(General_Data*(Code_General_Data=$A30)*(Year=Y$1)*(Month=Y$2))</f>
        <v>1250</v>
      </c>
      <c r="Z30" s="403" cm="1">
        <f t="array" ref="Z30">SUMPRODUCT(General_Data*(Code_General_Data=$A30)*(Year=Z$1)*(Month=Z$2))</f>
        <v>1240</v>
      </c>
      <c r="AA30" s="403" cm="1">
        <f t="array" ref="AA30">SUMPRODUCT(General_Data*(Code_General_Data=$A30)*(Year=AA$1)*(Month=AA$2))</f>
        <v>1230</v>
      </c>
      <c r="AB30" s="403" cm="1">
        <f t="array" ref="AB30">SUMPRODUCT(General_Data*(Code_General_Data=$A30)*(Year=AB$1)*(Month=AB$2))</f>
        <v>1230</v>
      </c>
      <c r="AC30" s="403"/>
      <c r="AD30" s="403"/>
      <c r="AE30" s="403"/>
      <c r="AF30" s="403"/>
      <c r="AG30" s="403"/>
      <c r="AH30" s="403"/>
      <c r="AI30" s="403"/>
      <c r="AJ30" s="403"/>
      <c r="AK30" s="403"/>
      <c r="AL30" s="403"/>
      <c r="AM30" s="403"/>
      <c r="AN30" s="403"/>
      <c r="AO30" s="403">
        <f t="shared" si="14"/>
        <v>1230</v>
      </c>
    </row>
    <row r="31" spans="1:41" s="401" customFormat="1" x14ac:dyDescent="0.35">
      <c r="A31" s="401" t="s">
        <v>9</v>
      </c>
      <c r="D31" s="401" t="s">
        <v>11</v>
      </c>
      <c r="E31" s="402" cm="1">
        <f t="array" ref="E31">SUMPRODUCT(General_Data*(Code_General_Data=$A31)*(Year=E$1)*(Month=E$2))</f>
        <v>930</v>
      </c>
      <c r="F31" s="402" cm="1">
        <f t="array" ref="F31">SUMPRODUCT(General_Data*(Code_General_Data=$A31)*(Year=F$1)*(Month=F$2))</f>
        <v>943.33333333333337</v>
      </c>
      <c r="G31" s="402" cm="1">
        <f t="array" ref="G31">SUMPRODUCT(General_Data*(Code_General_Data=$A31)*(Year=G$1)*(Month=G$2))</f>
        <v>940</v>
      </c>
      <c r="H31" s="402" cm="1">
        <f t="array" ref="H31">SUMPRODUCT(General_Data*(Code_General_Data=$A31)*(Year=H$1)*(Month=H$2))</f>
        <v>940</v>
      </c>
      <c r="I31" s="402" cm="1">
        <f t="array" ref="I31">SUMPRODUCT(General_Data*(Code_General_Data=$A31)*(Year=I$1)*(Month=I$2))</f>
        <v>942</v>
      </c>
      <c r="J31" s="402" cm="1">
        <f t="array" ref="J31">SUMPRODUCT(General_Data*(Code_General_Data=$A31)*(Year=J$1)*(Month=J$2))</f>
        <v>950</v>
      </c>
      <c r="K31" s="402" cm="1">
        <f t="array" ref="K31">SUMPRODUCT(General_Data*(Code_General_Data=$A31)*(Year=K$1)*(Month=K$2))</f>
        <v>947.5</v>
      </c>
      <c r="L31" s="402" cm="1">
        <f t="array" ref="L31">SUMPRODUCT(General_Data*(Code_General_Data=$A31)*(Year=L$1)*(Month=L$2))</f>
        <v>930</v>
      </c>
      <c r="M31" s="402" cm="1">
        <f t="array" ref="M31">SUMPRODUCT(General_Data*(Code_General_Data=$A31)*(Year=M$1)*(Month=M$2))</f>
        <v>880</v>
      </c>
      <c r="N31" s="402" cm="1">
        <f t="array" ref="N31">SUMPRODUCT(General_Data*(Code_General_Data=$A31)*(Year=N$1)*(Month=N$2))</f>
        <v>862.5</v>
      </c>
      <c r="O31" s="402" cm="1">
        <f t="array" ref="O31">SUMPRODUCT(General_Data*(Code_General_Data=$A31)*(Year=O$1)*(Month=O$2))</f>
        <v>852</v>
      </c>
      <c r="P31" s="402" cm="1">
        <f t="array" ref="P31">SUMPRODUCT(General_Data*(Code_General_Data=$A31)*(Year=P$1)*(Month=P$2))</f>
        <v>830</v>
      </c>
      <c r="Q31" s="402" cm="1">
        <f t="array" ref="Q31">SUMPRODUCT(General_Data*(Code_General_Data=$A31)*(Year=Q$1)*(Month=Q$2))</f>
        <v>828</v>
      </c>
      <c r="R31" s="402" cm="1">
        <f t="array" ref="R31">SUMPRODUCT(General_Data*(Code_General_Data=$A31)*(Year=R$1)*(Month=R$2))</f>
        <v>840</v>
      </c>
      <c r="S31" s="402" cm="1">
        <f t="array" ref="S31">SUMPRODUCT(General_Data*(Code_General_Data=$A31)*(Year=S$1)*(Month=S$2))</f>
        <v>823</v>
      </c>
      <c r="T31" s="402" cm="1">
        <f t="array" ref="T31">SUMPRODUCT(General_Data*(Code_General_Data=$A31)*(Year=T$1)*(Month=T$2))</f>
        <v>765</v>
      </c>
      <c r="U31" s="402" cm="1">
        <f t="array" ref="U31">SUMPRODUCT(General_Data*(Code_General_Data=$A31)*(Year=U$1)*(Month=U$2))</f>
        <v>782</v>
      </c>
      <c r="V31" s="402" cm="1">
        <f t="array" ref="V31">SUMPRODUCT(General_Data*(Code_General_Data=$A31)*(Year=V$1)*(Month=V$2))</f>
        <v>807.5</v>
      </c>
      <c r="W31" s="402" cm="1">
        <f t="array" ref="W31">SUMPRODUCT(General_Data*(Code_General_Data=$A31)*(Year=W$1)*(Month=W$2))</f>
        <v>802</v>
      </c>
      <c r="X31" s="402" cm="1">
        <f t="array" ref="X31">SUMPRODUCT(General_Data*(Code_General_Data=$A31)*(Year=X$1)*(Month=X$2))</f>
        <v>795</v>
      </c>
      <c r="Y31" s="402" cm="1">
        <f t="array" ref="Y31">SUMPRODUCT(General_Data*(Code_General_Data=$A31)*(Year=Y$1)*(Month=Y$2))</f>
        <v>783</v>
      </c>
      <c r="Z31" s="402" cm="1">
        <f t="array" ref="Z31">SUMPRODUCT(General_Data*(Code_General_Data=$A31)*(Year=Z$1)*(Month=Z$2))</f>
        <v>772</v>
      </c>
      <c r="AA31" s="402" cm="1">
        <f t="array" ref="AA31">SUMPRODUCT(General_Data*(Code_General_Data=$A31)*(Year=AA$1)*(Month=AA$2))</f>
        <v>770</v>
      </c>
      <c r="AB31" s="402" cm="1">
        <f t="array" ref="AB31">SUMPRODUCT(General_Data*(Code_General_Data=$A31)*(Year=AB$1)*(Month=AB$2))</f>
        <v>770</v>
      </c>
      <c r="AC31" s="402"/>
      <c r="AD31" s="402"/>
      <c r="AE31" s="402"/>
      <c r="AF31" s="402"/>
      <c r="AG31" s="402"/>
      <c r="AH31" s="402"/>
      <c r="AI31" s="402"/>
      <c r="AJ31" s="402"/>
      <c r="AK31" s="402"/>
      <c r="AL31" s="402"/>
      <c r="AM31" s="402"/>
      <c r="AN31" s="402"/>
      <c r="AO31" s="402">
        <f t="shared" si="14"/>
        <v>770</v>
      </c>
    </row>
    <row r="32" spans="1:41" s="408" customFormat="1" x14ac:dyDescent="0.35">
      <c r="D32" s="408" t="s">
        <v>416</v>
      </c>
      <c r="E32" s="409">
        <f t="shared" ref="E32:AA32" si="15">E30-E31</f>
        <v>350</v>
      </c>
      <c r="F32" s="409">
        <f t="shared" si="15"/>
        <v>336.66666666666663</v>
      </c>
      <c r="G32" s="409">
        <f t="shared" si="15"/>
        <v>340</v>
      </c>
      <c r="H32" s="409">
        <f t="shared" si="15"/>
        <v>340</v>
      </c>
      <c r="I32" s="409">
        <f t="shared" si="15"/>
        <v>388</v>
      </c>
      <c r="J32" s="409">
        <f t="shared" si="15"/>
        <v>380</v>
      </c>
      <c r="K32" s="409">
        <f t="shared" si="15"/>
        <v>382.5</v>
      </c>
      <c r="L32" s="409">
        <f t="shared" si="15"/>
        <v>400</v>
      </c>
      <c r="M32" s="409">
        <f t="shared" si="15"/>
        <v>460</v>
      </c>
      <c r="N32" s="409">
        <f t="shared" si="15"/>
        <v>492.5</v>
      </c>
      <c r="O32" s="409">
        <f t="shared" si="15"/>
        <v>503</v>
      </c>
      <c r="P32" s="409">
        <f t="shared" si="15"/>
        <v>475</v>
      </c>
      <c r="Q32" s="409">
        <f t="shared" si="15"/>
        <v>432</v>
      </c>
      <c r="R32" s="409">
        <f t="shared" si="15"/>
        <v>420</v>
      </c>
      <c r="S32" s="409">
        <f t="shared" si="15"/>
        <v>437</v>
      </c>
      <c r="T32" s="409">
        <f t="shared" si="15"/>
        <v>515</v>
      </c>
      <c r="U32" s="409">
        <f t="shared" si="15"/>
        <v>498</v>
      </c>
      <c r="V32" s="409">
        <f t="shared" si="15"/>
        <v>472.5</v>
      </c>
      <c r="W32" s="409">
        <f t="shared" si="15"/>
        <v>478</v>
      </c>
      <c r="X32" s="409">
        <f t="shared" si="15"/>
        <v>455</v>
      </c>
      <c r="Y32" s="409">
        <f t="shared" si="15"/>
        <v>467</v>
      </c>
      <c r="Z32" s="409">
        <f t="shared" si="15"/>
        <v>468</v>
      </c>
      <c r="AA32" s="409">
        <f t="shared" si="15"/>
        <v>460</v>
      </c>
      <c r="AB32" s="409">
        <f t="shared" ref="AB32" si="16">AB30-AB31</f>
        <v>460</v>
      </c>
      <c r="AC32" s="409"/>
      <c r="AD32" s="409"/>
      <c r="AE32" s="409"/>
      <c r="AF32" s="409"/>
      <c r="AG32" s="409"/>
      <c r="AH32" s="409"/>
      <c r="AI32" s="409"/>
      <c r="AJ32" s="409"/>
      <c r="AK32" s="409"/>
      <c r="AL32" s="409"/>
      <c r="AM32" s="409"/>
      <c r="AN32" s="409"/>
      <c r="AO32" s="409"/>
    </row>
    <row r="33" spans="1:41" s="410" customFormat="1" x14ac:dyDescent="0.35">
      <c r="D33" s="410" t="s">
        <v>394</v>
      </c>
      <c r="E33" s="411">
        <f t="shared" ref="E33:AA33" si="17">IFERROR(E32/E31,0)</f>
        <v>0.37634408602150538</v>
      </c>
      <c r="F33" s="411">
        <f t="shared" si="17"/>
        <v>0.35689045936395752</v>
      </c>
      <c r="G33" s="411">
        <f t="shared" si="17"/>
        <v>0.36170212765957449</v>
      </c>
      <c r="H33" s="411">
        <f t="shared" si="17"/>
        <v>0.36170212765957449</v>
      </c>
      <c r="I33" s="411">
        <f t="shared" si="17"/>
        <v>0.41188959660297242</v>
      </c>
      <c r="J33" s="411">
        <f t="shared" si="17"/>
        <v>0.4</v>
      </c>
      <c r="K33" s="411">
        <f t="shared" si="17"/>
        <v>0.40369393139841686</v>
      </c>
      <c r="L33" s="411">
        <f t="shared" si="17"/>
        <v>0.43010752688172044</v>
      </c>
      <c r="M33" s="411">
        <f t="shared" si="17"/>
        <v>0.52272727272727271</v>
      </c>
      <c r="N33" s="411">
        <f t="shared" si="17"/>
        <v>0.57101449275362315</v>
      </c>
      <c r="O33" s="411">
        <f t="shared" si="17"/>
        <v>0.59037558685446012</v>
      </c>
      <c r="P33" s="411">
        <f t="shared" si="17"/>
        <v>0.57228915662650603</v>
      </c>
      <c r="Q33" s="411">
        <f t="shared" si="17"/>
        <v>0.52173913043478259</v>
      </c>
      <c r="R33" s="411">
        <f t="shared" si="17"/>
        <v>0.5</v>
      </c>
      <c r="S33" s="411">
        <f t="shared" si="17"/>
        <v>0.53098420413122727</v>
      </c>
      <c r="T33" s="411">
        <f t="shared" si="17"/>
        <v>0.67320261437908502</v>
      </c>
      <c r="U33" s="411">
        <f t="shared" si="17"/>
        <v>0.63682864450127874</v>
      </c>
      <c r="V33" s="411">
        <f t="shared" si="17"/>
        <v>0.5851393188854489</v>
      </c>
      <c r="W33" s="411">
        <f t="shared" si="17"/>
        <v>0.5960099750623441</v>
      </c>
      <c r="X33" s="411">
        <f t="shared" si="17"/>
        <v>0.57232704402515722</v>
      </c>
      <c r="Y33" s="411">
        <f t="shared" si="17"/>
        <v>0.59642401021711366</v>
      </c>
      <c r="Z33" s="411">
        <f t="shared" si="17"/>
        <v>0.60621761658031093</v>
      </c>
      <c r="AA33" s="411">
        <f t="shared" si="17"/>
        <v>0.59740259740259738</v>
      </c>
      <c r="AB33" s="411">
        <f t="shared" ref="AB33" si="18">IFERROR(AB32/AB31,0)</f>
        <v>0.59740259740259738</v>
      </c>
      <c r="AC33" s="411"/>
      <c r="AD33" s="411"/>
      <c r="AE33" s="411"/>
      <c r="AF33" s="411"/>
      <c r="AG33" s="411"/>
      <c r="AH33" s="411"/>
      <c r="AI33" s="411"/>
      <c r="AJ33" s="411"/>
      <c r="AK33" s="411"/>
      <c r="AL33" s="411"/>
      <c r="AM33" s="411"/>
      <c r="AN33" s="411"/>
      <c r="AO33" s="411"/>
    </row>
    <row r="34" spans="1:41" s="426" customFormat="1" x14ac:dyDescent="0.35">
      <c r="D34" s="426" t="s">
        <v>419</v>
      </c>
      <c r="E34" s="427">
        <f>E30</f>
        <v>1280</v>
      </c>
      <c r="F34" s="427">
        <f t="shared" ref="F34:AB34" si="19">F30</f>
        <v>1280</v>
      </c>
      <c r="G34" s="427">
        <f t="shared" si="19"/>
        <v>1280</v>
      </c>
      <c r="H34" s="427">
        <f t="shared" si="19"/>
        <v>1280</v>
      </c>
      <c r="I34" s="427">
        <f t="shared" si="19"/>
        <v>1330</v>
      </c>
      <c r="J34" s="427">
        <f t="shared" si="19"/>
        <v>1330</v>
      </c>
      <c r="K34" s="427">
        <f t="shared" si="19"/>
        <v>1330</v>
      </c>
      <c r="L34" s="427">
        <f t="shared" si="19"/>
        <v>1330</v>
      </c>
      <c r="M34" s="427">
        <f t="shared" si="19"/>
        <v>1340</v>
      </c>
      <c r="N34" s="427">
        <f t="shared" si="19"/>
        <v>1355</v>
      </c>
      <c r="O34" s="427">
        <f t="shared" si="19"/>
        <v>1355</v>
      </c>
      <c r="P34" s="427">
        <f t="shared" si="19"/>
        <v>1305</v>
      </c>
      <c r="Q34" s="427">
        <f t="shared" si="19"/>
        <v>1260</v>
      </c>
      <c r="R34" s="427">
        <f t="shared" si="19"/>
        <v>1260</v>
      </c>
      <c r="S34" s="427">
        <f t="shared" si="19"/>
        <v>1260</v>
      </c>
      <c r="T34" s="427">
        <f t="shared" si="19"/>
        <v>1280</v>
      </c>
      <c r="U34" s="427">
        <f t="shared" si="19"/>
        <v>1280</v>
      </c>
      <c r="V34" s="427">
        <f t="shared" si="19"/>
        <v>1280</v>
      </c>
      <c r="W34" s="427">
        <f t="shared" si="19"/>
        <v>1280</v>
      </c>
      <c r="X34" s="427">
        <f t="shared" si="19"/>
        <v>1250</v>
      </c>
      <c r="Y34" s="427">
        <f t="shared" si="19"/>
        <v>1250</v>
      </c>
      <c r="Z34" s="427">
        <f t="shared" si="19"/>
        <v>1240</v>
      </c>
      <c r="AA34" s="427">
        <f t="shared" si="19"/>
        <v>1230</v>
      </c>
      <c r="AB34" s="427">
        <f t="shared" si="19"/>
        <v>1230</v>
      </c>
      <c r="AC34" s="427"/>
      <c r="AD34" s="427"/>
      <c r="AE34" s="427"/>
      <c r="AF34" s="427"/>
      <c r="AG34" s="427"/>
      <c r="AH34" s="427"/>
      <c r="AI34" s="427"/>
      <c r="AJ34" s="427"/>
      <c r="AK34" s="427"/>
      <c r="AL34" s="427"/>
      <c r="AM34" s="427"/>
      <c r="AN34" s="427"/>
      <c r="AO34" s="437"/>
    </row>
    <row r="35" spans="1:41" s="426" customFormat="1" x14ac:dyDescent="0.35">
      <c r="D35" s="426" t="s">
        <v>420</v>
      </c>
      <c r="E35" s="427">
        <f>E31+E32/2</f>
        <v>1105</v>
      </c>
      <c r="F35" s="427">
        <f t="shared" ref="F35:AB35" si="20">F31+F32/2</f>
        <v>1111.6666666666667</v>
      </c>
      <c r="G35" s="427">
        <f t="shared" si="20"/>
        <v>1110</v>
      </c>
      <c r="H35" s="427">
        <f t="shared" si="20"/>
        <v>1110</v>
      </c>
      <c r="I35" s="427">
        <f t="shared" si="20"/>
        <v>1136</v>
      </c>
      <c r="J35" s="427">
        <f t="shared" si="20"/>
        <v>1140</v>
      </c>
      <c r="K35" s="427">
        <f t="shared" si="20"/>
        <v>1138.75</v>
      </c>
      <c r="L35" s="427">
        <f t="shared" si="20"/>
        <v>1130</v>
      </c>
      <c r="M35" s="427">
        <f t="shared" si="20"/>
        <v>1110</v>
      </c>
      <c r="N35" s="427">
        <f t="shared" si="20"/>
        <v>1108.75</v>
      </c>
      <c r="O35" s="427">
        <f t="shared" si="20"/>
        <v>1103.5</v>
      </c>
      <c r="P35" s="427">
        <f t="shared" si="20"/>
        <v>1067.5</v>
      </c>
      <c r="Q35" s="427">
        <f t="shared" si="20"/>
        <v>1044</v>
      </c>
      <c r="R35" s="427">
        <f t="shared" si="20"/>
        <v>1050</v>
      </c>
      <c r="S35" s="427">
        <f t="shared" si="20"/>
        <v>1041.5</v>
      </c>
      <c r="T35" s="427">
        <f t="shared" si="20"/>
        <v>1022.5</v>
      </c>
      <c r="U35" s="427">
        <f t="shared" si="20"/>
        <v>1031</v>
      </c>
      <c r="V35" s="427">
        <f t="shared" si="20"/>
        <v>1043.75</v>
      </c>
      <c r="W35" s="427">
        <f t="shared" si="20"/>
        <v>1041</v>
      </c>
      <c r="X35" s="427">
        <f t="shared" si="20"/>
        <v>1022.5</v>
      </c>
      <c r="Y35" s="427">
        <f t="shared" si="20"/>
        <v>1016.5</v>
      </c>
      <c r="Z35" s="427">
        <f t="shared" si="20"/>
        <v>1006</v>
      </c>
      <c r="AA35" s="427">
        <f t="shared" si="20"/>
        <v>1000</v>
      </c>
      <c r="AB35" s="427">
        <f t="shared" si="20"/>
        <v>1000</v>
      </c>
      <c r="AC35" s="427"/>
      <c r="AD35" s="427"/>
      <c r="AE35" s="427"/>
      <c r="AF35" s="427"/>
      <c r="AG35" s="427"/>
      <c r="AH35" s="427"/>
      <c r="AI35" s="427"/>
      <c r="AJ35" s="427"/>
      <c r="AK35" s="427"/>
      <c r="AL35" s="427"/>
      <c r="AM35" s="427"/>
      <c r="AN35" s="427"/>
      <c r="AO35" s="437"/>
    </row>
    <row r="36" spans="1:41" s="434" customFormat="1" x14ac:dyDescent="0.35">
      <c r="D36" s="434" t="s">
        <v>417</v>
      </c>
      <c r="E36" s="435">
        <f>E30</f>
        <v>1280</v>
      </c>
      <c r="F36" s="435">
        <f t="shared" ref="F36:AB36" si="21">F30</f>
        <v>1280</v>
      </c>
      <c r="G36" s="435">
        <f t="shared" si="21"/>
        <v>1280</v>
      </c>
      <c r="H36" s="435">
        <f t="shared" si="21"/>
        <v>1280</v>
      </c>
      <c r="I36" s="435">
        <f t="shared" si="21"/>
        <v>1330</v>
      </c>
      <c r="J36" s="435">
        <f t="shared" si="21"/>
        <v>1330</v>
      </c>
      <c r="K36" s="435">
        <f t="shared" si="21"/>
        <v>1330</v>
      </c>
      <c r="L36" s="435">
        <f t="shared" si="21"/>
        <v>1330</v>
      </c>
      <c r="M36" s="435">
        <f t="shared" si="21"/>
        <v>1340</v>
      </c>
      <c r="N36" s="435">
        <f t="shared" si="21"/>
        <v>1355</v>
      </c>
      <c r="O36" s="435">
        <f t="shared" si="21"/>
        <v>1355</v>
      </c>
      <c r="P36" s="435">
        <f t="shared" si="21"/>
        <v>1305</v>
      </c>
      <c r="Q36" s="435">
        <f t="shared" si="21"/>
        <v>1260</v>
      </c>
      <c r="R36" s="435">
        <f t="shared" si="21"/>
        <v>1260</v>
      </c>
      <c r="S36" s="435">
        <f t="shared" si="21"/>
        <v>1260</v>
      </c>
      <c r="T36" s="435">
        <f t="shared" si="21"/>
        <v>1280</v>
      </c>
      <c r="U36" s="435">
        <f t="shared" si="21"/>
        <v>1280</v>
      </c>
      <c r="V36" s="435">
        <f t="shared" si="21"/>
        <v>1280</v>
      </c>
      <c r="W36" s="435">
        <f t="shared" si="21"/>
        <v>1280</v>
      </c>
      <c r="X36" s="435">
        <f t="shared" si="21"/>
        <v>1250</v>
      </c>
      <c r="Y36" s="435">
        <f t="shared" si="21"/>
        <v>1250</v>
      </c>
      <c r="Z36" s="435">
        <f t="shared" si="21"/>
        <v>1240</v>
      </c>
      <c r="AA36" s="435">
        <f t="shared" si="21"/>
        <v>1230</v>
      </c>
      <c r="AB36" s="435">
        <f t="shared" si="21"/>
        <v>1230</v>
      </c>
      <c r="AC36" s="435"/>
      <c r="AD36" s="435"/>
      <c r="AE36" s="435"/>
      <c r="AF36" s="435"/>
      <c r="AG36" s="435"/>
      <c r="AH36" s="435"/>
      <c r="AI36" s="435"/>
      <c r="AJ36" s="435"/>
      <c r="AK36" s="435"/>
      <c r="AL36" s="435"/>
      <c r="AM36" s="435"/>
      <c r="AN36" s="435"/>
      <c r="AO36" s="436"/>
    </row>
    <row r="37" spans="1:41" s="434" customFormat="1" x14ac:dyDescent="0.35">
      <c r="D37" s="434" t="s">
        <v>418</v>
      </c>
      <c r="E37" s="435">
        <f>E31</f>
        <v>930</v>
      </c>
      <c r="F37" s="435">
        <f t="shared" ref="F37:AB37" si="22">F31</f>
        <v>943.33333333333337</v>
      </c>
      <c r="G37" s="435">
        <f t="shared" si="22"/>
        <v>940</v>
      </c>
      <c r="H37" s="435">
        <f t="shared" si="22"/>
        <v>940</v>
      </c>
      <c r="I37" s="435">
        <f t="shared" si="22"/>
        <v>942</v>
      </c>
      <c r="J37" s="435">
        <f t="shared" si="22"/>
        <v>950</v>
      </c>
      <c r="K37" s="435">
        <f t="shared" si="22"/>
        <v>947.5</v>
      </c>
      <c r="L37" s="435">
        <f t="shared" si="22"/>
        <v>930</v>
      </c>
      <c r="M37" s="435">
        <f t="shared" si="22"/>
        <v>880</v>
      </c>
      <c r="N37" s="435">
        <f t="shared" si="22"/>
        <v>862.5</v>
      </c>
      <c r="O37" s="435">
        <f t="shared" si="22"/>
        <v>852</v>
      </c>
      <c r="P37" s="435">
        <f t="shared" si="22"/>
        <v>830</v>
      </c>
      <c r="Q37" s="435">
        <f t="shared" si="22"/>
        <v>828</v>
      </c>
      <c r="R37" s="435">
        <f t="shared" si="22"/>
        <v>840</v>
      </c>
      <c r="S37" s="435">
        <f t="shared" si="22"/>
        <v>823</v>
      </c>
      <c r="T37" s="435">
        <f t="shared" si="22"/>
        <v>765</v>
      </c>
      <c r="U37" s="435">
        <f t="shared" si="22"/>
        <v>782</v>
      </c>
      <c r="V37" s="435">
        <f t="shared" si="22"/>
        <v>807.5</v>
      </c>
      <c r="W37" s="435">
        <f t="shared" si="22"/>
        <v>802</v>
      </c>
      <c r="X37" s="435">
        <f t="shared" si="22"/>
        <v>795</v>
      </c>
      <c r="Y37" s="435">
        <f t="shared" si="22"/>
        <v>783</v>
      </c>
      <c r="Z37" s="435">
        <f t="shared" si="22"/>
        <v>772</v>
      </c>
      <c r="AA37" s="435">
        <f t="shared" si="22"/>
        <v>770</v>
      </c>
      <c r="AB37" s="435">
        <f t="shared" si="22"/>
        <v>770</v>
      </c>
      <c r="AC37" s="435"/>
      <c r="AD37" s="435"/>
      <c r="AE37" s="435"/>
      <c r="AF37" s="435"/>
      <c r="AG37" s="435"/>
      <c r="AH37" s="435"/>
      <c r="AI37" s="435"/>
      <c r="AJ37" s="435"/>
      <c r="AK37" s="435"/>
      <c r="AL37" s="435"/>
      <c r="AM37" s="435"/>
      <c r="AN37" s="435"/>
      <c r="AO37" s="436"/>
    </row>
    <row r="38" spans="1:41" x14ac:dyDescent="0.35">
      <c r="C38" s="424"/>
      <c r="D38" s="424" t="s">
        <v>423</v>
      </c>
      <c r="E38" s="438">
        <f>IFERROR(E28,0)</f>
        <v>0</v>
      </c>
      <c r="F38" s="438">
        <f t="shared" ref="F38:AB38" si="23">IFERROR(F28,0)</f>
        <v>0</v>
      </c>
      <c r="G38" s="438">
        <f t="shared" si="23"/>
        <v>0</v>
      </c>
      <c r="H38" s="438">
        <f t="shared" si="23"/>
        <v>0</v>
      </c>
      <c r="I38" s="438">
        <f t="shared" si="23"/>
        <v>0</v>
      </c>
      <c r="J38" s="438">
        <f t="shared" si="23"/>
        <v>0</v>
      </c>
      <c r="K38" s="438">
        <f t="shared" si="23"/>
        <v>0</v>
      </c>
      <c r="L38" s="438">
        <f t="shared" si="23"/>
        <v>0</v>
      </c>
      <c r="M38" s="438">
        <f t="shared" si="23"/>
        <v>0</v>
      </c>
      <c r="N38" s="438">
        <f t="shared" si="23"/>
        <v>0</v>
      </c>
      <c r="O38" s="438">
        <f t="shared" si="23"/>
        <v>0</v>
      </c>
      <c r="P38" s="438">
        <f t="shared" si="23"/>
        <v>0</v>
      </c>
      <c r="Q38" s="438">
        <f t="shared" si="23"/>
        <v>1230</v>
      </c>
      <c r="R38" s="438">
        <f t="shared" si="23"/>
        <v>1230</v>
      </c>
      <c r="S38" s="438">
        <f t="shared" si="23"/>
        <v>1230</v>
      </c>
      <c r="T38" s="438">
        <f t="shared" si="23"/>
        <v>1228</v>
      </c>
      <c r="U38" s="438">
        <f t="shared" si="23"/>
        <v>1228</v>
      </c>
      <c r="V38" s="438">
        <f t="shared" si="23"/>
        <v>1228</v>
      </c>
      <c r="W38" s="438">
        <f t="shared" si="23"/>
        <v>1228</v>
      </c>
      <c r="X38" s="438">
        <f t="shared" si="23"/>
        <v>1228</v>
      </c>
      <c r="Y38" s="438">
        <f t="shared" si="23"/>
        <v>1228</v>
      </c>
      <c r="Z38" s="438">
        <f t="shared" si="23"/>
        <v>1228</v>
      </c>
      <c r="AA38" s="438">
        <f t="shared" si="23"/>
        <v>1228</v>
      </c>
      <c r="AB38" s="438">
        <f t="shared" si="23"/>
        <v>1228</v>
      </c>
      <c r="AC38" s="438"/>
      <c r="AD38" s="438"/>
      <c r="AE38" s="438"/>
      <c r="AF38" s="438"/>
      <c r="AG38" s="438"/>
      <c r="AH38" s="438"/>
      <c r="AI38" s="438"/>
      <c r="AJ38" s="438"/>
      <c r="AK38" s="438"/>
      <c r="AL38" s="438"/>
      <c r="AM38" s="438"/>
      <c r="AN38" s="438"/>
      <c r="AO38" s="433" t="s">
        <v>360</v>
      </c>
    </row>
    <row r="39" spans="1:41" x14ac:dyDescent="0.35">
      <c r="C39" s="424"/>
      <c r="D39" s="424" t="s">
        <v>424</v>
      </c>
      <c r="E39" s="438">
        <f t="shared" ref="E39:AB39" si="24">IFERROR(E29,0)</f>
        <v>1320</v>
      </c>
      <c r="F39" s="438">
        <f t="shared" si="24"/>
        <v>1327.5</v>
      </c>
      <c r="G39" s="438">
        <f t="shared" si="24"/>
        <v>1340</v>
      </c>
      <c r="H39" s="438">
        <f t="shared" si="24"/>
        <v>1342.5</v>
      </c>
      <c r="I39" s="438">
        <f t="shared" si="24"/>
        <v>1346.5</v>
      </c>
      <c r="J39" s="438">
        <f t="shared" si="24"/>
        <v>1361.5</v>
      </c>
      <c r="K39" s="438">
        <f t="shared" si="24"/>
        <v>1377.5</v>
      </c>
      <c r="L39" s="438">
        <f t="shared" si="24"/>
        <v>1388.5</v>
      </c>
      <c r="M39" s="438">
        <f t="shared" si="24"/>
        <v>1408.5</v>
      </c>
      <c r="N39" s="438">
        <f t="shared" si="24"/>
        <v>1436.25</v>
      </c>
      <c r="O39" s="438">
        <f t="shared" si="24"/>
        <v>1453.75</v>
      </c>
      <c r="P39" s="438">
        <f t="shared" si="24"/>
        <v>1457.5</v>
      </c>
      <c r="Q39" s="438">
        <f t="shared" si="24"/>
        <v>1375.71875</v>
      </c>
      <c r="R39" s="438">
        <f t="shared" si="24"/>
        <v>1339.3020833333319</v>
      </c>
      <c r="S39" s="438">
        <f t="shared" si="24"/>
        <v>1305.4583333333319</v>
      </c>
      <c r="T39" s="438">
        <f t="shared" si="24"/>
        <v>1306.25</v>
      </c>
      <c r="U39" s="438">
        <f t="shared" si="24"/>
        <v>1311</v>
      </c>
      <c r="V39" s="438">
        <f t="shared" si="24"/>
        <v>1311</v>
      </c>
      <c r="W39" s="438">
        <f t="shared" si="24"/>
        <v>1311</v>
      </c>
      <c r="X39" s="438">
        <f t="shared" si="24"/>
        <v>1293.9000000000001</v>
      </c>
      <c r="Y39" s="438">
        <f t="shared" si="24"/>
        <v>1263.5250000000001</v>
      </c>
      <c r="Z39" s="438">
        <f t="shared" si="24"/>
        <v>1264.925</v>
      </c>
      <c r="AA39" s="438">
        <f t="shared" si="24"/>
        <v>1266.05</v>
      </c>
      <c r="AB39" s="438">
        <f t="shared" si="24"/>
        <v>1266.65625</v>
      </c>
      <c r="AC39" s="438"/>
      <c r="AD39" s="438"/>
      <c r="AE39" s="438"/>
      <c r="AF39" s="438"/>
      <c r="AG39" s="438"/>
      <c r="AH39" s="438"/>
      <c r="AI39" s="438"/>
      <c r="AJ39" s="438"/>
      <c r="AK39" s="438"/>
      <c r="AL39" s="438"/>
      <c r="AM39" s="438"/>
      <c r="AN39" s="438"/>
      <c r="AO39" s="433" t="s">
        <v>422</v>
      </c>
    </row>
    <row r="40" spans="1:41" x14ac:dyDescent="0.35">
      <c r="C40" s="424"/>
      <c r="D40" s="424" t="s">
        <v>412</v>
      </c>
      <c r="E40" s="438">
        <f t="shared" ref="E40:AB40" si="25">IFERROR(E30,0)</f>
        <v>1280</v>
      </c>
      <c r="F40" s="438">
        <f t="shared" si="25"/>
        <v>1280</v>
      </c>
      <c r="G40" s="438">
        <f t="shared" si="25"/>
        <v>1280</v>
      </c>
      <c r="H40" s="438">
        <f t="shared" si="25"/>
        <v>1280</v>
      </c>
      <c r="I40" s="438">
        <f t="shared" si="25"/>
        <v>1330</v>
      </c>
      <c r="J40" s="438">
        <f t="shared" si="25"/>
        <v>1330</v>
      </c>
      <c r="K40" s="438">
        <f t="shared" si="25"/>
        <v>1330</v>
      </c>
      <c r="L40" s="438">
        <f t="shared" si="25"/>
        <v>1330</v>
      </c>
      <c r="M40" s="438">
        <f t="shared" si="25"/>
        <v>1340</v>
      </c>
      <c r="N40" s="438">
        <f t="shared" si="25"/>
        <v>1355</v>
      </c>
      <c r="O40" s="438">
        <f t="shared" si="25"/>
        <v>1355</v>
      </c>
      <c r="P40" s="438">
        <f t="shared" si="25"/>
        <v>1305</v>
      </c>
      <c r="Q40" s="438">
        <f t="shared" si="25"/>
        <v>1260</v>
      </c>
      <c r="R40" s="438">
        <f t="shared" si="25"/>
        <v>1260</v>
      </c>
      <c r="S40" s="438">
        <f t="shared" si="25"/>
        <v>1260</v>
      </c>
      <c r="T40" s="438">
        <f t="shared" si="25"/>
        <v>1280</v>
      </c>
      <c r="U40" s="438">
        <f t="shared" si="25"/>
        <v>1280</v>
      </c>
      <c r="V40" s="438">
        <f t="shared" si="25"/>
        <v>1280</v>
      </c>
      <c r="W40" s="438">
        <f t="shared" si="25"/>
        <v>1280</v>
      </c>
      <c r="X40" s="438">
        <f t="shared" si="25"/>
        <v>1250</v>
      </c>
      <c r="Y40" s="438">
        <f t="shared" si="25"/>
        <v>1250</v>
      </c>
      <c r="Z40" s="438">
        <f t="shared" si="25"/>
        <v>1240</v>
      </c>
      <c r="AA40" s="438">
        <f t="shared" si="25"/>
        <v>1230</v>
      </c>
      <c r="AB40" s="438">
        <f t="shared" si="25"/>
        <v>1230</v>
      </c>
      <c r="AC40" s="438"/>
      <c r="AD40" s="438"/>
      <c r="AE40" s="438"/>
      <c r="AF40" s="438"/>
      <c r="AG40" s="438"/>
      <c r="AH40" s="438"/>
      <c r="AI40" s="438"/>
      <c r="AJ40" s="438"/>
      <c r="AK40" s="438"/>
      <c r="AL40" s="438"/>
      <c r="AM40" s="438"/>
      <c r="AN40" s="438"/>
      <c r="AO40" s="433" t="s">
        <v>17</v>
      </c>
    </row>
    <row r="41" spans="1:41" x14ac:dyDescent="0.35">
      <c r="C41" s="424"/>
      <c r="D41" s="424" t="s">
        <v>413</v>
      </c>
      <c r="E41" s="438">
        <f t="shared" ref="E41:AB41" si="26">IFERROR(E31,0)</f>
        <v>930</v>
      </c>
      <c r="F41" s="438">
        <f t="shared" si="26"/>
        <v>943.33333333333337</v>
      </c>
      <c r="G41" s="438">
        <f t="shared" si="26"/>
        <v>940</v>
      </c>
      <c r="H41" s="438">
        <f t="shared" si="26"/>
        <v>940</v>
      </c>
      <c r="I41" s="438">
        <f t="shared" si="26"/>
        <v>942</v>
      </c>
      <c r="J41" s="438">
        <f t="shared" si="26"/>
        <v>950</v>
      </c>
      <c r="K41" s="438">
        <f t="shared" si="26"/>
        <v>947.5</v>
      </c>
      <c r="L41" s="438">
        <f t="shared" si="26"/>
        <v>930</v>
      </c>
      <c r="M41" s="438">
        <f t="shared" si="26"/>
        <v>880</v>
      </c>
      <c r="N41" s="438">
        <f t="shared" si="26"/>
        <v>862.5</v>
      </c>
      <c r="O41" s="438">
        <f t="shared" si="26"/>
        <v>852</v>
      </c>
      <c r="P41" s="438">
        <f t="shared" si="26"/>
        <v>830</v>
      </c>
      <c r="Q41" s="438">
        <f t="shared" si="26"/>
        <v>828</v>
      </c>
      <c r="R41" s="438">
        <f t="shared" si="26"/>
        <v>840</v>
      </c>
      <c r="S41" s="438">
        <f t="shared" si="26"/>
        <v>823</v>
      </c>
      <c r="T41" s="438">
        <f t="shared" si="26"/>
        <v>765</v>
      </c>
      <c r="U41" s="438">
        <f t="shared" si="26"/>
        <v>782</v>
      </c>
      <c r="V41" s="438">
        <f t="shared" si="26"/>
        <v>807.5</v>
      </c>
      <c r="W41" s="438">
        <f t="shared" si="26"/>
        <v>802</v>
      </c>
      <c r="X41" s="438">
        <f t="shared" si="26"/>
        <v>795</v>
      </c>
      <c r="Y41" s="438">
        <f t="shared" si="26"/>
        <v>783</v>
      </c>
      <c r="Z41" s="438">
        <f t="shared" si="26"/>
        <v>772</v>
      </c>
      <c r="AA41" s="438">
        <f t="shared" si="26"/>
        <v>770</v>
      </c>
      <c r="AB41" s="438">
        <f t="shared" si="26"/>
        <v>770</v>
      </c>
      <c r="AC41" s="438"/>
      <c r="AD41" s="438"/>
      <c r="AE41" s="438"/>
      <c r="AF41" s="438"/>
      <c r="AG41" s="438"/>
      <c r="AH41" s="438"/>
      <c r="AI41" s="438"/>
      <c r="AJ41" s="438"/>
      <c r="AK41" s="438"/>
      <c r="AL41" s="438"/>
      <c r="AM41" s="438"/>
      <c r="AN41" s="438"/>
      <c r="AO41" s="433" t="s">
        <v>11</v>
      </c>
    </row>
    <row r="43" spans="1:41" ht="17" x14ac:dyDescent="0.4">
      <c r="C43" s="399" t="s">
        <v>29</v>
      </c>
      <c r="D43" s="399" t="s">
        <v>27</v>
      </c>
    </row>
    <row r="44" spans="1:41" x14ac:dyDescent="0.35">
      <c r="C44" s="41"/>
      <c r="D44" s="41"/>
      <c r="E44" s="41">
        <v>2024</v>
      </c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>
        <v>2025</v>
      </c>
      <c r="R44" s="41"/>
      <c r="S44" s="41"/>
      <c r="T44" s="41"/>
      <c r="U44" s="41"/>
      <c r="V44" s="41"/>
      <c r="W44" s="41"/>
      <c r="X44" s="41"/>
      <c r="Y44" s="41"/>
      <c r="Z44" s="41"/>
      <c r="AA44" s="41"/>
      <c r="AB44" s="41"/>
      <c r="AC44" s="41"/>
      <c r="AD44" s="41"/>
      <c r="AE44" s="41"/>
      <c r="AF44" s="41"/>
      <c r="AG44" s="41"/>
      <c r="AH44" s="41"/>
      <c r="AI44" s="41"/>
      <c r="AJ44" s="41"/>
      <c r="AK44" s="41"/>
      <c r="AL44" s="41"/>
      <c r="AM44" s="41"/>
      <c r="AN44" s="41"/>
      <c r="AO44" s="41"/>
    </row>
    <row r="45" spans="1:41" x14ac:dyDescent="0.35">
      <c r="C45" s="41"/>
      <c r="D45" s="41"/>
      <c r="E45" s="41">
        <v>1</v>
      </c>
      <c r="F45" s="41">
        <v>2</v>
      </c>
      <c r="G45" s="41">
        <v>3</v>
      </c>
      <c r="H45" s="41">
        <v>4</v>
      </c>
      <c r="I45" s="41">
        <v>5</v>
      </c>
      <c r="J45" s="41">
        <v>6</v>
      </c>
      <c r="K45" s="41">
        <v>7</v>
      </c>
      <c r="L45" s="41">
        <v>8</v>
      </c>
      <c r="M45" s="41">
        <v>9</v>
      </c>
      <c r="N45" s="41">
        <v>10</v>
      </c>
      <c r="O45" s="41">
        <v>11</v>
      </c>
      <c r="P45" s="41">
        <v>12</v>
      </c>
      <c r="Q45" s="41">
        <v>1</v>
      </c>
      <c r="R45" s="41">
        <v>2</v>
      </c>
      <c r="S45" s="41">
        <v>3</v>
      </c>
      <c r="T45" s="41">
        <v>4</v>
      </c>
      <c r="U45" s="41">
        <v>5</v>
      </c>
      <c r="V45" s="41">
        <v>6</v>
      </c>
      <c r="W45" s="41">
        <v>7</v>
      </c>
      <c r="X45" s="41">
        <v>8</v>
      </c>
      <c r="Y45" s="41">
        <v>9</v>
      </c>
      <c r="Z45" s="41">
        <v>10</v>
      </c>
      <c r="AA45" s="41">
        <v>11</v>
      </c>
      <c r="AB45" s="41">
        <v>12</v>
      </c>
      <c r="AC45" s="41">
        <v>1</v>
      </c>
      <c r="AD45" s="41">
        <v>2</v>
      </c>
      <c r="AE45" s="41">
        <v>3</v>
      </c>
      <c r="AF45" s="41">
        <v>4</v>
      </c>
      <c r="AG45" s="41">
        <v>5</v>
      </c>
      <c r="AH45" s="41">
        <v>6</v>
      </c>
      <c r="AI45" s="41">
        <v>7</v>
      </c>
      <c r="AJ45" s="41">
        <v>8</v>
      </c>
      <c r="AK45" s="41">
        <v>9</v>
      </c>
      <c r="AL45" s="41">
        <v>10</v>
      </c>
      <c r="AM45" s="41">
        <v>11</v>
      </c>
      <c r="AN45" s="41">
        <v>12</v>
      </c>
      <c r="AO45" s="41" t="s">
        <v>409</v>
      </c>
    </row>
    <row r="46" spans="1:41" x14ac:dyDescent="0.35">
      <c r="B46" s="14" t="s">
        <v>49</v>
      </c>
      <c r="C46" t="s">
        <v>29</v>
      </c>
      <c r="D46" t="s">
        <v>36</v>
      </c>
      <c r="E46" s="400" cm="1">
        <f t="array" ref="E46">IF(SUMPRODUCT('Giá công thức'!$G$11:$AD$106*('Giá công thức'!$A$11:$A$106=$B46)*('Giá công thức'!$B$11:$B$106=$C46)*('Giá công thức'!$C$11:$C$106="GB")*('Giá công thức'!$G$3:$AD$3=E$1)*('Giá công thức'!$G$4:$AD$4=E$2))=0,NA(),SUMPRODUCT('Giá công thức'!$G$11:$AD$106*('Giá công thức'!$A$11:$A$106=$B46)*('Giá công thức'!$B$11:$B$106=$C46)*('Giá công thức'!$C$11:$C$106="GB")*('Giá công thức'!$G$3:$AD$3=E$1)*('Giá công thức'!$G$4:$AD$4=E$2)))</f>
        <v>1315</v>
      </c>
      <c r="F46" s="400" cm="1">
        <f t="array" ref="F46">IF(SUMPRODUCT('Giá công thức'!$G$11:$AD$106*('Giá công thức'!$A$11:$A$106=$B46)*('Giá công thức'!$B$11:$B$106=$C46)*('Giá công thức'!$C$11:$C$106="GB")*('Giá công thức'!$G$3:$AD$3=F$1)*('Giá công thức'!$G$4:$AD$4=F$2))=0,NA(),SUMPRODUCT('Giá công thức'!$G$11:$AD$106*('Giá công thức'!$A$11:$A$106=$B46)*('Giá công thức'!$B$11:$B$106=$C46)*('Giá công thức'!$C$11:$C$106="GB")*('Giá công thức'!$G$3:$AD$3=F$1)*('Giá công thức'!$G$4:$AD$4=F$2)))</f>
        <v>1315</v>
      </c>
      <c r="G46" s="400" cm="1">
        <f t="array" ref="G46">IF(SUMPRODUCT('Giá công thức'!$G$11:$AD$106*('Giá công thức'!$A$11:$A$106=$B46)*('Giá công thức'!$B$11:$B$106=$C46)*('Giá công thức'!$C$11:$C$106="GB")*('Giá công thức'!$G$3:$AD$3=G$1)*('Giá công thức'!$G$4:$AD$4=G$2))=0,NA(),SUMPRODUCT('Giá công thức'!$G$11:$AD$106*('Giá công thức'!$A$11:$A$106=$B46)*('Giá công thức'!$B$11:$B$106=$C46)*('Giá công thức'!$C$11:$C$106="GB")*('Giá công thức'!$G$3:$AD$3=G$1)*('Giá công thức'!$G$4:$AD$4=G$2)))</f>
        <v>1315</v>
      </c>
      <c r="H46" s="400" cm="1">
        <f t="array" ref="H46">IF(SUMPRODUCT('Giá công thức'!$G$11:$AD$106*('Giá công thức'!$A$11:$A$106=$B46)*('Giá công thức'!$B$11:$B$106=$C46)*('Giá công thức'!$C$11:$C$106="GB")*('Giá công thức'!$G$3:$AD$3=H$1)*('Giá công thức'!$G$4:$AD$4=H$2))=0,NA(),SUMPRODUCT('Giá công thức'!$G$11:$AD$106*('Giá công thức'!$A$11:$A$106=$B46)*('Giá công thức'!$B$11:$B$106=$C46)*('Giá công thức'!$C$11:$C$106="GB")*('Giá công thức'!$G$3:$AD$3=H$1)*('Giá công thức'!$G$4:$AD$4=H$2)))</f>
        <v>1315</v>
      </c>
      <c r="I46" s="400" cm="1">
        <f t="array" ref="I46">IF(SUMPRODUCT('Giá công thức'!$G$11:$AD$106*('Giá công thức'!$A$11:$A$106=$B46)*('Giá công thức'!$B$11:$B$106=$C46)*('Giá công thức'!$C$11:$C$106="GB")*('Giá công thức'!$G$3:$AD$3=I$1)*('Giá công thức'!$G$4:$AD$4=I$2))=0,NA(),SUMPRODUCT('Giá công thức'!$G$11:$AD$106*('Giá công thức'!$A$11:$A$106=$B46)*('Giá công thức'!$B$11:$B$106=$C46)*('Giá công thức'!$C$11:$C$106="GB")*('Giá công thức'!$G$3:$AD$3=I$1)*('Giá công thức'!$G$4:$AD$4=I$2)))</f>
        <v>1315</v>
      </c>
      <c r="J46" s="400" cm="1">
        <f t="array" ref="J46">IF(SUMPRODUCT('Giá công thức'!$G$11:$AD$106*('Giá công thức'!$A$11:$A$106=$B46)*('Giá công thức'!$B$11:$B$106=$C46)*('Giá công thức'!$C$11:$C$106="GB")*('Giá công thức'!$G$3:$AD$3=J$1)*('Giá công thức'!$G$4:$AD$4=J$2))=0,NA(),SUMPRODUCT('Giá công thức'!$G$11:$AD$106*('Giá công thức'!$A$11:$A$106=$B46)*('Giá công thức'!$B$11:$B$106=$C46)*('Giá công thức'!$C$11:$C$106="GB")*('Giá công thức'!$G$3:$AD$3=J$1)*('Giá công thức'!$G$4:$AD$4=J$2)))</f>
        <v>1315</v>
      </c>
      <c r="K46" s="400" cm="1">
        <f t="array" ref="K46">IF(SUMPRODUCT('Giá công thức'!$G$11:$AD$106*('Giá công thức'!$A$11:$A$106=$B46)*('Giá công thức'!$B$11:$B$106=$C46)*('Giá công thức'!$C$11:$C$106="GB")*('Giá công thức'!$G$3:$AD$3=K$1)*('Giá công thức'!$G$4:$AD$4=K$2))=0,NA(),SUMPRODUCT('Giá công thức'!$G$11:$AD$106*('Giá công thức'!$A$11:$A$106=$B46)*('Giá công thức'!$B$11:$B$106=$C46)*('Giá công thức'!$C$11:$C$106="GB")*('Giá công thức'!$G$3:$AD$3=K$1)*('Giá công thức'!$G$4:$AD$4=K$2)))</f>
        <v>1315</v>
      </c>
      <c r="L46" s="400" cm="1">
        <f t="array" ref="L46">IF(SUMPRODUCT('Giá công thức'!$G$11:$AD$106*('Giá công thức'!$A$11:$A$106=$B46)*('Giá công thức'!$B$11:$B$106=$C46)*('Giá công thức'!$C$11:$C$106="GB")*('Giá công thức'!$G$3:$AD$3=L$1)*('Giá công thức'!$G$4:$AD$4=L$2))=0,NA(),SUMPRODUCT('Giá công thức'!$G$11:$AD$106*('Giá công thức'!$A$11:$A$106=$B46)*('Giá công thức'!$B$11:$B$106=$C46)*('Giá công thức'!$C$11:$C$106="GB")*('Giá công thức'!$G$3:$AD$3=L$1)*('Giá công thức'!$G$4:$AD$4=L$2)))</f>
        <v>1315</v>
      </c>
      <c r="M46" s="400" cm="1">
        <f t="array" ref="M46">IF(SUMPRODUCT('Giá công thức'!$G$11:$AD$106*('Giá công thức'!$A$11:$A$106=$B46)*('Giá công thức'!$B$11:$B$106=$C46)*('Giá công thức'!$C$11:$C$106="GB")*('Giá công thức'!$G$3:$AD$3=M$1)*('Giá công thức'!$G$4:$AD$4=M$2))=0,NA(),SUMPRODUCT('Giá công thức'!$G$11:$AD$106*('Giá công thức'!$A$11:$A$106=$B46)*('Giá công thức'!$B$11:$B$106=$C46)*('Giá công thức'!$C$11:$C$106="GB")*('Giá công thức'!$G$3:$AD$3=M$1)*('Giá công thức'!$G$4:$AD$4=M$2)))</f>
        <v>1315</v>
      </c>
      <c r="N46" s="400" cm="1">
        <f t="array" ref="N46">IF(SUMPRODUCT('Giá công thức'!$G$11:$AD$106*('Giá công thức'!$A$11:$A$106=$B46)*('Giá công thức'!$B$11:$B$106=$C46)*('Giá công thức'!$C$11:$C$106="GB")*('Giá công thức'!$G$3:$AD$3=N$1)*('Giá công thức'!$G$4:$AD$4=N$2))=0,NA(),SUMPRODUCT('Giá công thức'!$G$11:$AD$106*('Giá công thức'!$A$11:$A$106=$B46)*('Giá công thức'!$B$11:$B$106=$C46)*('Giá công thức'!$C$11:$C$106="GB")*('Giá công thức'!$G$3:$AD$3=N$1)*('Giá công thức'!$G$4:$AD$4=N$2)))</f>
        <v>1315</v>
      </c>
      <c r="O46" s="400" cm="1">
        <f t="array" ref="O46">IF(SUMPRODUCT('Giá công thức'!$G$11:$AD$106*('Giá công thức'!$A$11:$A$106=$B46)*('Giá công thức'!$B$11:$B$106=$C46)*('Giá công thức'!$C$11:$C$106="GB")*('Giá công thức'!$G$3:$AD$3=O$1)*('Giá công thức'!$G$4:$AD$4=O$2))=0,NA(),SUMPRODUCT('Giá công thức'!$G$11:$AD$106*('Giá công thức'!$A$11:$A$106=$B46)*('Giá công thức'!$B$11:$B$106=$C46)*('Giá công thức'!$C$11:$C$106="GB")*('Giá công thức'!$G$3:$AD$3=O$1)*('Giá công thức'!$G$4:$AD$4=O$2)))</f>
        <v>1315</v>
      </c>
      <c r="P46" s="400" cm="1">
        <f t="array" ref="P46">IF(SUMPRODUCT('Giá công thức'!$G$11:$AD$106*('Giá công thức'!$A$11:$A$106=$B46)*('Giá công thức'!$B$11:$B$106=$C46)*('Giá công thức'!$C$11:$C$106="GB")*('Giá công thức'!$G$3:$AD$3=P$1)*('Giá công thức'!$G$4:$AD$4=P$2))=0,NA(),SUMPRODUCT('Giá công thức'!$G$11:$AD$106*('Giá công thức'!$A$11:$A$106=$B46)*('Giá công thức'!$B$11:$B$106=$C46)*('Giá công thức'!$C$11:$C$106="GB")*('Giá công thức'!$G$3:$AD$3=P$1)*('Giá công thức'!$G$4:$AD$4=P$2)))</f>
        <v>1315</v>
      </c>
      <c r="Q46" s="400" cm="1">
        <f t="array" ref="Q46">IF(SUMPRODUCT('Giá công thức'!$G$11:$AD$106*('Giá công thức'!$A$11:$A$106=$B46)*('Giá công thức'!$B$11:$B$106=$C46)*('Giá công thức'!$C$11:$C$106="GB")*('Giá công thức'!$G$3:$AD$3=Q$1)*('Giá công thức'!$G$4:$AD$4=Q$2))=0,NA(),SUMPRODUCT('Giá công thức'!$G$11:$AD$106*('Giá công thức'!$A$11:$A$106=$B46)*('Giá công thức'!$B$11:$B$106=$C46)*('Giá công thức'!$C$11:$C$106="GB")*('Giá công thức'!$G$3:$AD$3=Q$1)*('Giá công thức'!$G$4:$AD$4=Q$2)))</f>
        <v>1348.3</v>
      </c>
      <c r="R46" s="400" cm="1">
        <f t="array" ref="R46">IF(SUMPRODUCT('Giá công thức'!$G$11:$AD$106*('Giá công thức'!$A$11:$A$106=$B46)*('Giá công thức'!$B$11:$B$106=$C46)*('Giá công thức'!$C$11:$C$106="GB")*('Giá công thức'!$G$3:$AD$3=R$1)*('Giá công thức'!$G$4:$AD$4=R$2))=0,NA(),SUMPRODUCT('Giá công thức'!$G$11:$AD$106*('Giá công thức'!$A$11:$A$106=$B46)*('Giá công thức'!$B$11:$B$106=$C46)*('Giá công thức'!$C$11:$C$106="GB")*('Giá công thức'!$G$3:$AD$3=R$1)*('Giá công thức'!$G$4:$AD$4=R$2)))</f>
        <v>1348.3</v>
      </c>
      <c r="S46" s="400" cm="1">
        <f t="array" ref="S46">IF(SUMPRODUCT('Giá công thức'!$G$11:$AD$106*('Giá công thức'!$A$11:$A$106=$B46)*('Giá công thức'!$B$11:$B$106=$C46)*('Giá công thức'!$C$11:$C$106="GB")*('Giá công thức'!$G$3:$AD$3=S$1)*('Giá công thức'!$G$4:$AD$4=S$2))=0,NA(),SUMPRODUCT('Giá công thức'!$G$11:$AD$106*('Giá công thức'!$A$11:$A$106=$B46)*('Giá công thức'!$B$11:$B$106=$C46)*('Giá công thức'!$C$11:$C$106="GB")*('Giá công thức'!$G$3:$AD$3=S$1)*('Giá công thức'!$G$4:$AD$4=S$2)))</f>
        <v>1348.3</v>
      </c>
      <c r="T46" s="400" cm="1">
        <f t="array" ref="T46">IF(SUMPRODUCT('Giá công thức'!$G$11:$AD$106*('Giá công thức'!$A$11:$A$106=$B46)*('Giá công thức'!$B$11:$B$106=$C46)*('Giá công thức'!$C$11:$C$106="GB")*('Giá công thức'!$G$3:$AD$3=T$1)*('Giá công thức'!$G$4:$AD$4=T$2))=0,NA(),SUMPRODUCT('Giá công thức'!$G$11:$AD$106*('Giá công thức'!$A$11:$A$106=$B46)*('Giá công thức'!$B$11:$B$106=$C46)*('Giá công thức'!$C$11:$C$106="GB")*('Giá công thức'!$G$3:$AD$3=T$1)*('Giá công thức'!$G$4:$AD$4=T$2)))</f>
        <v>1348.3</v>
      </c>
      <c r="U46" s="400" cm="1">
        <f t="array" ref="U46">IF(SUMPRODUCT('Giá công thức'!$G$11:$AD$106*('Giá công thức'!$A$11:$A$106=$B46)*('Giá công thức'!$B$11:$B$106=$C46)*('Giá công thức'!$C$11:$C$106="GB")*('Giá công thức'!$G$3:$AD$3=U$1)*('Giá công thức'!$G$4:$AD$4=U$2))=0,NA(),SUMPRODUCT('Giá công thức'!$G$11:$AD$106*('Giá công thức'!$A$11:$A$106=$B46)*('Giá công thức'!$B$11:$B$106=$C46)*('Giá công thức'!$C$11:$C$106="GB")*('Giá công thức'!$G$3:$AD$3=U$1)*('Giá công thức'!$G$4:$AD$4=U$2)))</f>
        <v>1348.3</v>
      </c>
      <c r="V46" s="400" cm="1">
        <f t="array" ref="V46">IF(SUMPRODUCT('Giá công thức'!$G$11:$AD$106*('Giá công thức'!$A$11:$A$106=$B46)*('Giá công thức'!$B$11:$B$106=$C46)*('Giá công thức'!$C$11:$C$106="GB")*('Giá công thức'!$G$3:$AD$3=V$1)*('Giá công thức'!$G$4:$AD$4=V$2))=0,NA(),SUMPRODUCT('Giá công thức'!$G$11:$AD$106*('Giá công thức'!$A$11:$A$106=$B46)*('Giá công thức'!$B$11:$B$106=$C46)*('Giá công thức'!$C$11:$C$106="GB")*('Giá công thức'!$G$3:$AD$3=V$1)*('Giá công thức'!$G$4:$AD$4=V$2)))</f>
        <v>1348.3</v>
      </c>
      <c r="W46" s="400" cm="1">
        <f t="array" ref="W46">IF(SUMPRODUCT('Giá công thức'!$G$11:$AD$106*('Giá công thức'!$A$11:$A$106=$B46)*('Giá công thức'!$B$11:$B$106=$C46)*('Giá công thức'!$C$11:$C$106="GB")*('Giá công thức'!$G$3:$AD$3=W$1)*('Giá công thức'!$G$4:$AD$4=W$2))=0,NA(),SUMPRODUCT('Giá công thức'!$G$11:$AD$106*('Giá công thức'!$A$11:$A$106=$B46)*('Giá công thức'!$B$11:$B$106=$C46)*('Giá công thức'!$C$11:$C$106="GB")*('Giá công thức'!$G$3:$AD$3=W$1)*('Giá công thức'!$G$4:$AD$4=W$2)))</f>
        <v>1348.3</v>
      </c>
      <c r="X46" s="400" cm="1">
        <f t="array" ref="X46">IF(SUMPRODUCT('Giá công thức'!$G$11:$AD$106*('Giá công thức'!$A$11:$A$106=$B46)*('Giá công thức'!$B$11:$B$106=$C46)*('Giá công thức'!$C$11:$C$106="GB")*('Giá công thức'!$G$3:$AD$3=X$1)*('Giá công thức'!$G$4:$AD$4=X$2))=0,NA(),SUMPRODUCT('Giá công thức'!$G$11:$AD$106*('Giá công thức'!$A$11:$A$106=$B46)*('Giá công thức'!$B$11:$B$106=$C46)*('Giá công thức'!$C$11:$C$106="GB")*('Giá công thức'!$G$3:$AD$3=X$1)*('Giá công thức'!$G$4:$AD$4=X$2)))</f>
        <v>1348.3</v>
      </c>
      <c r="Y46" s="400" cm="1">
        <f t="array" ref="Y46">IF(SUMPRODUCT('Giá công thức'!$G$11:$AD$106*('Giá công thức'!$A$11:$A$106=$B46)*('Giá công thức'!$B$11:$B$106=$C46)*('Giá công thức'!$C$11:$C$106="GB")*('Giá công thức'!$G$3:$AD$3=Y$1)*('Giá công thức'!$G$4:$AD$4=Y$2))=0,NA(),SUMPRODUCT('Giá công thức'!$G$11:$AD$106*('Giá công thức'!$A$11:$A$106=$B46)*('Giá công thức'!$B$11:$B$106=$C46)*('Giá công thức'!$C$11:$C$106="GB")*('Giá công thức'!$G$3:$AD$3=Y$1)*('Giá công thức'!$G$4:$AD$4=Y$2)))</f>
        <v>1348.3</v>
      </c>
      <c r="Z46" s="400" cm="1">
        <f t="array" ref="Z46">IF(SUMPRODUCT('Giá công thức'!$G$11:$AD$106*('Giá công thức'!$A$11:$A$106=$B46)*('Giá công thức'!$B$11:$B$106=$C46)*('Giá công thức'!$C$11:$C$106="GB")*('Giá công thức'!$G$3:$AD$3=Z$1)*('Giá công thức'!$G$4:$AD$4=Z$2))=0,NA(),SUMPRODUCT('Giá công thức'!$G$11:$AD$106*('Giá công thức'!$A$11:$A$106=$B46)*('Giá công thức'!$B$11:$B$106=$C46)*('Giá công thức'!$C$11:$C$106="GB")*('Giá công thức'!$G$3:$AD$3=Z$1)*('Giá công thức'!$G$4:$AD$4=Z$2)))</f>
        <v>1348.3</v>
      </c>
      <c r="AA46" s="400" cm="1">
        <f t="array" ref="AA46">IF(SUMPRODUCT('Giá công thức'!$G$11:$AD$106*('Giá công thức'!$A$11:$A$106=$B46)*('Giá công thức'!$B$11:$B$106=$C46)*('Giá công thức'!$C$11:$C$106="GB")*('Giá công thức'!$G$3:$AD$3=AA$1)*('Giá công thức'!$G$4:$AD$4=AA$2))=0,NA(),SUMPRODUCT('Giá công thức'!$G$11:$AD$106*('Giá công thức'!$A$11:$A$106=$B46)*('Giá công thức'!$B$11:$B$106=$C46)*('Giá công thức'!$C$11:$C$106="GB")*('Giá công thức'!$G$3:$AD$3=AA$1)*('Giá công thức'!$G$4:$AD$4=AA$2)))</f>
        <v>1348.3</v>
      </c>
      <c r="AB46" s="400" cm="1">
        <f t="array" ref="AB46">IF(SUMPRODUCT('Giá công thức'!$G$11:$AD$106*('Giá công thức'!$A$11:$A$106=$B46)*('Giá công thức'!$B$11:$B$106=$C46)*('Giá công thức'!$C$11:$C$106="GB")*('Giá công thức'!$G$3:$AD$3=AB$1)*('Giá công thức'!$G$4:$AD$4=AB$2))=0,NA(),SUMPRODUCT('Giá công thức'!$G$11:$AD$106*('Giá công thức'!$A$11:$A$106=$B46)*('Giá công thức'!$B$11:$B$106=$C46)*('Giá công thức'!$C$11:$C$106="GB")*('Giá công thức'!$G$3:$AD$3=AB$1)*('Giá công thức'!$G$4:$AD$4=AB$2)))</f>
        <v>1348.3</v>
      </c>
      <c r="AC46" s="400"/>
      <c r="AD46" s="400"/>
      <c r="AE46" s="400"/>
      <c r="AF46" s="400"/>
      <c r="AG46" s="400"/>
      <c r="AH46" s="400"/>
      <c r="AI46" s="400"/>
      <c r="AJ46" s="400"/>
      <c r="AK46" s="400"/>
      <c r="AL46" s="400"/>
      <c r="AM46" s="400"/>
      <c r="AN46" s="400"/>
      <c r="AO46" s="400">
        <f t="shared" ref="AO46:AO49" si="27">INDEX($E46:$AB46,MATCH("X",$E$3:$AB$3,0))</f>
        <v>1348.3</v>
      </c>
    </row>
    <row r="47" spans="1:41" x14ac:dyDescent="0.35">
      <c r="B47" s="14" t="s">
        <v>40</v>
      </c>
      <c r="C47" t="s">
        <v>29</v>
      </c>
      <c r="D47" t="s">
        <v>26</v>
      </c>
      <c r="E47" s="400" cm="1">
        <f t="array" ref="E47">IF(SUMPRODUCT('Giá công thức'!$G$11:$AD$106*('Giá công thức'!$A$11:$A$106=$B47)*('Giá công thức'!$B$11:$B$106=$C47)*('Giá công thức'!$C$11:$C$106="GB")*('Giá công thức'!$G$3:$AD$3=E$1)*('Giá công thức'!$G$4:$AD$4=E$2))=0,NA(),SUMPRODUCT('Giá công thức'!$G$11:$AD$106*('Giá công thức'!$A$11:$A$106=$B47)*('Giá công thức'!$B$11:$B$106=$C47)*('Giá công thức'!$C$11:$C$106="GB")*('Giá công thức'!$G$3:$AD$3=E$1)*('Giá công thức'!$G$4:$AD$4=E$2)))</f>
        <v>1340</v>
      </c>
      <c r="F47" s="400" cm="1">
        <f t="array" ref="F47">IF(SUMPRODUCT('Giá công thức'!$G$11:$AD$106*('Giá công thức'!$A$11:$A$106=$B47)*('Giá công thức'!$B$11:$B$106=$C47)*('Giá công thức'!$C$11:$C$106="GB")*('Giá công thức'!$G$3:$AD$3=F$1)*('Giá công thức'!$G$4:$AD$4=F$2))=0,NA(),SUMPRODUCT('Giá công thức'!$G$11:$AD$106*('Giá công thức'!$A$11:$A$106=$B47)*('Giá công thức'!$B$11:$B$106=$C47)*('Giá công thức'!$C$11:$C$106="GB")*('Giá công thức'!$G$3:$AD$3=F$1)*('Giá công thức'!$G$4:$AD$4=F$2)))</f>
        <v>1347.5</v>
      </c>
      <c r="G47" s="400" cm="1">
        <f t="array" ref="G47">IF(SUMPRODUCT('Giá công thức'!$G$11:$AD$106*('Giá công thức'!$A$11:$A$106=$B47)*('Giá công thức'!$B$11:$B$106=$C47)*('Giá công thức'!$C$11:$C$106="GB")*('Giá công thức'!$G$3:$AD$3=G$1)*('Giá công thức'!$G$4:$AD$4=G$2))=0,NA(),SUMPRODUCT('Giá công thức'!$G$11:$AD$106*('Giá công thức'!$A$11:$A$106=$B47)*('Giá công thức'!$B$11:$B$106=$C47)*('Giá công thức'!$C$11:$C$106="GB")*('Giá công thức'!$G$3:$AD$3=G$1)*('Giá công thức'!$G$4:$AD$4=G$2)))</f>
        <v>1360</v>
      </c>
      <c r="H47" s="400" cm="1">
        <f t="array" ref="H47">IF(SUMPRODUCT('Giá công thức'!$G$11:$AD$106*('Giá công thức'!$A$11:$A$106=$B47)*('Giá công thức'!$B$11:$B$106=$C47)*('Giá công thức'!$C$11:$C$106="GB")*('Giá công thức'!$G$3:$AD$3=H$1)*('Giá công thức'!$G$4:$AD$4=H$2))=0,NA(),SUMPRODUCT('Giá công thức'!$G$11:$AD$106*('Giá công thức'!$A$11:$A$106=$B47)*('Giá công thức'!$B$11:$B$106=$C47)*('Giá công thức'!$C$11:$C$106="GB")*('Giá công thức'!$G$3:$AD$3=H$1)*('Giá công thức'!$G$4:$AD$4=H$2)))</f>
        <v>1362.5</v>
      </c>
      <c r="I47" s="400" cm="1">
        <f t="array" ref="I47">IF(SUMPRODUCT('Giá công thức'!$G$11:$AD$106*('Giá công thức'!$A$11:$A$106=$B47)*('Giá công thức'!$B$11:$B$106=$C47)*('Giá công thức'!$C$11:$C$106="GB")*('Giá công thức'!$G$3:$AD$3=I$1)*('Giá công thức'!$G$4:$AD$4=I$2))=0,NA(),SUMPRODUCT('Giá công thức'!$G$11:$AD$106*('Giá công thức'!$A$11:$A$106=$B47)*('Giá công thức'!$B$11:$B$106=$C47)*('Giá công thức'!$C$11:$C$106="GB")*('Giá công thức'!$G$3:$AD$3=I$1)*('Giá công thức'!$G$4:$AD$4=I$2)))</f>
        <v>1366.5</v>
      </c>
      <c r="J47" s="400" cm="1">
        <f t="array" ref="J47">IF(SUMPRODUCT('Giá công thức'!$G$11:$AD$106*('Giá công thức'!$A$11:$A$106=$B47)*('Giá công thức'!$B$11:$B$106=$C47)*('Giá công thức'!$C$11:$C$106="GB")*('Giá công thức'!$G$3:$AD$3=J$1)*('Giá công thức'!$G$4:$AD$4=J$2))=0,NA(),SUMPRODUCT('Giá công thức'!$G$11:$AD$106*('Giá công thức'!$A$11:$A$106=$B47)*('Giá công thức'!$B$11:$B$106=$C47)*('Giá công thức'!$C$11:$C$106="GB")*('Giá công thức'!$G$3:$AD$3=J$1)*('Giá công thức'!$G$4:$AD$4=J$2)))</f>
        <v>1381.5</v>
      </c>
      <c r="K47" s="400" cm="1">
        <f t="array" ref="K47">IF(SUMPRODUCT('Giá công thức'!$G$11:$AD$106*('Giá công thức'!$A$11:$A$106=$B47)*('Giá công thức'!$B$11:$B$106=$C47)*('Giá công thức'!$C$11:$C$106="GB")*('Giá công thức'!$G$3:$AD$3=K$1)*('Giá công thức'!$G$4:$AD$4=K$2))=0,NA(),SUMPRODUCT('Giá công thức'!$G$11:$AD$106*('Giá công thức'!$A$11:$A$106=$B47)*('Giá công thức'!$B$11:$B$106=$C47)*('Giá công thức'!$C$11:$C$106="GB")*('Giá công thức'!$G$3:$AD$3=K$1)*('Giá công thức'!$G$4:$AD$4=K$2)))</f>
        <v>1397.5</v>
      </c>
      <c r="L47" s="400" cm="1">
        <f t="array" ref="L47">IF(SUMPRODUCT('Giá công thức'!$G$11:$AD$106*('Giá công thức'!$A$11:$A$106=$B47)*('Giá công thức'!$B$11:$B$106=$C47)*('Giá công thức'!$C$11:$C$106="GB")*('Giá công thức'!$G$3:$AD$3=L$1)*('Giá công thức'!$G$4:$AD$4=L$2))=0,NA(),SUMPRODUCT('Giá công thức'!$G$11:$AD$106*('Giá công thức'!$A$11:$A$106=$B47)*('Giá công thức'!$B$11:$B$106=$C47)*('Giá công thức'!$C$11:$C$106="GB")*('Giá công thức'!$G$3:$AD$3=L$1)*('Giá công thức'!$G$4:$AD$4=L$2)))</f>
        <v>1408.5</v>
      </c>
      <c r="M47" s="400" cm="1">
        <f t="array" ref="M47">IF(SUMPRODUCT('Giá công thức'!$G$11:$AD$106*('Giá công thức'!$A$11:$A$106=$B47)*('Giá công thức'!$B$11:$B$106=$C47)*('Giá công thức'!$C$11:$C$106="GB")*('Giá công thức'!$G$3:$AD$3=M$1)*('Giá công thức'!$G$4:$AD$4=M$2))=0,NA(),SUMPRODUCT('Giá công thức'!$G$11:$AD$106*('Giá công thức'!$A$11:$A$106=$B47)*('Giá công thức'!$B$11:$B$106=$C47)*('Giá công thức'!$C$11:$C$106="GB")*('Giá công thức'!$G$3:$AD$3=M$1)*('Giá công thức'!$G$4:$AD$4=M$2)))</f>
        <v>1428.5</v>
      </c>
      <c r="N47" s="400" cm="1">
        <f t="array" ref="N47">IF(SUMPRODUCT('Giá công thức'!$G$11:$AD$106*('Giá công thức'!$A$11:$A$106=$B47)*('Giá công thức'!$B$11:$B$106=$C47)*('Giá công thức'!$C$11:$C$106="GB")*('Giá công thức'!$G$3:$AD$3=N$1)*('Giá công thức'!$G$4:$AD$4=N$2))=0,NA(),SUMPRODUCT('Giá công thức'!$G$11:$AD$106*('Giá công thức'!$A$11:$A$106=$B47)*('Giá công thức'!$B$11:$B$106=$C47)*('Giá công thức'!$C$11:$C$106="GB")*('Giá công thức'!$G$3:$AD$3=N$1)*('Giá công thức'!$G$4:$AD$4=N$2)))</f>
        <v>1456.25</v>
      </c>
      <c r="O47" s="400" cm="1">
        <f t="array" ref="O47">IF(SUMPRODUCT('Giá công thức'!$G$11:$AD$106*('Giá công thức'!$A$11:$A$106=$B47)*('Giá công thức'!$B$11:$B$106=$C47)*('Giá công thức'!$C$11:$C$106="GB")*('Giá công thức'!$G$3:$AD$3=O$1)*('Giá công thức'!$G$4:$AD$4=O$2))=0,NA(),SUMPRODUCT('Giá công thức'!$G$11:$AD$106*('Giá công thức'!$A$11:$A$106=$B47)*('Giá công thức'!$B$11:$B$106=$C47)*('Giá công thức'!$C$11:$C$106="GB")*('Giá công thức'!$G$3:$AD$3=O$1)*('Giá công thức'!$G$4:$AD$4=O$2)))</f>
        <v>1473.75</v>
      </c>
      <c r="P47" s="400" cm="1">
        <f t="array" ref="P47">IF(SUMPRODUCT('Giá công thức'!$G$11:$AD$106*('Giá công thức'!$A$11:$A$106=$B47)*('Giá công thức'!$B$11:$B$106=$C47)*('Giá công thức'!$C$11:$C$106="GB")*('Giá công thức'!$G$3:$AD$3=P$1)*('Giá công thức'!$G$4:$AD$4=P$2))=0,NA(),SUMPRODUCT('Giá công thức'!$G$11:$AD$106*('Giá công thức'!$A$11:$A$106=$B47)*('Giá công thức'!$B$11:$B$106=$C47)*('Giá công thức'!$C$11:$C$106="GB")*('Giá công thức'!$G$3:$AD$3=P$1)*('Giá công thức'!$G$4:$AD$4=P$2)))</f>
        <v>1477.5</v>
      </c>
      <c r="Q47" s="400" cm="1">
        <f t="array" ref="Q47">IF(SUMPRODUCT('Giá công thức'!$G$11:$AD$106*('Giá công thức'!$A$11:$A$106=$B47)*('Giá công thức'!$B$11:$B$106=$C47)*('Giá công thức'!$C$11:$C$106="GB")*('Giá công thức'!$G$3:$AD$3=Q$1)*('Giá công thức'!$G$4:$AD$4=Q$2))=0,NA(),SUMPRODUCT('Giá công thức'!$G$11:$AD$106*('Giá công thức'!$A$11:$A$106=$B47)*('Giá công thức'!$B$11:$B$106=$C47)*('Giá công thức'!$C$11:$C$106="GB")*('Giá công thức'!$G$3:$AD$3=Q$1)*('Giá công thức'!$G$4:$AD$4=Q$2)))</f>
        <v>1375.71875</v>
      </c>
      <c r="R47" s="400" cm="1">
        <f t="array" ref="R47">IF(SUMPRODUCT('Giá công thức'!$G$11:$AD$106*('Giá công thức'!$A$11:$A$106=$B47)*('Giá công thức'!$B$11:$B$106=$C47)*('Giá công thức'!$C$11:$C$106="GB")*('Giá công thức'!$G$3:$AD$3=R$1)*('Giá công thức'!$G$4:$AD$4=R$2))=0,NA(),SUMPRODUCT('Giá công thức'!$G$11:$AD$106*('Giá công thức'!$A$11:$A$106=$B47)*('Giá công thức'!$B$11:$B$106=$C47)*('Giá công thức'!$C$11:$C$106="GB")*('Giá công thức'!$G$3:$AD$3=R$1)*('Giá công thức'!$G$4:$AD$4=R$2)))</f>
        <v>1339.3020833333319</v>
      </c>
      <c r="S47" s="400" cm="1">
        <f t="array" ref="S47">IF(SUMPRODUCT('Giá công thức'!$G$11:$AD$106*('Giá công thức'!$A$11:$A$106=$B47)*('Giá công thức'!$B$11:$B$106=$C47)*('Giá công thức'!$C$11:$C$106="GB")*('Giá công thức'!$G$3:$AD$3=S$1)*('Giá công thức'!$G$4:$AD$4=S$2))=0,NA(),SUMPRODUCT('Giá công thức'!$G$11:$AD$106*('Giá công thức'!$A$11:$A$106=$B47)*('Giá công thức'!$B$11:$B$106=$C47)*('Giá công thức'!$C$11:$C$106="GB")*('Giá công thức'!$G$3:$AD$3=S$1)*('Giá công thức'!$G$4:$AD$4=S$2)))</f>
        <v>1305.4583333333319</v>
      </c>
      <c r="T47" s="400" cm="1">
        <f t="array" ref="T47">IF(SUMPRODUCT('Giá công thức'!$G$11:$AD$106*('Giá công thức'!$A$11:$A$106=$B47)*('Giá công thức'!$B$11:$B$106=$C47)*('Giá công thức'!$C$11:$C$106="GB")*('Giá công thức'!$G$3:$AD$3=T$1)*('Giá công thức'!$G$4:$AD$4=T$2))=0,NA(),SUMPRODUCT('Giá công thức'!$G$11:$AD$106*('Giá công thức'!$A$11:$A$106=$B47)*('Giá công thức'!$B$11:$B$106=$C47)*('Giá công thức'!$C$11:$C$106="GB")*('Giá công thức'!$G$3:$AD$3=T$1)*('Giá công thức'!$G$4:$AD$4=T$2)))</f>
        <v>1306.25</v>
      </c>
      <c r="U47" s="400" cm="1">
        <f t="array" ref="U47">IF(SUMPRODUCT('Giá công thức'!$G$11:$AD$106*('Giá công thức'!$A$11:$A$106=$B47)*('Giá công thức'!$B$11:$B$106=$C47)*('Giá công thức'!$C$11:$C$106="GB")*('Giá công thức'!$G$3:$AD$3=U$1)*('Giá công thức'!$G$4:$AD$4=U$2))=0,NA(),SUMPRODUCT('Giá công thức'!$G$11:$AD$106*('Giá công thức'!$A$11:$A$106=$B47)*('Giá công thức'!$B$11:$B$106=$C47)*('Giá công thức'!$C$11:$C$106="GB")*('Giá công thức'!$G$3:$AD$3=U$1)*('Giá công thức'!$G$4:$AD$4=U$2)))</f>
        <v>1311</v>
      </c>
      <c r="V47" s="400" cm="1">
        <f t="array" ref="V47">IF(SUMPRODUCT('Giá công thức'!$G$11:$AD$106*('Giá công thức'!$A$11:$A$106=$B47)*('Giá công thức'!$B$11:$B$106=$C47)*('Giá công thức'!$C$11:$C$106="GB")*('Giá công thức'!$G$3:$AD$3=V$1)*('Giá công thức'!$G$4:$AD$4=V$2))=0,NA(),SUMPRODUCT('Giá công thức'!$G$11:$AD$106*('Giá công thức'!$A$11:$A$106=$B47)*('Giá công thức'!$B$11:$B$106=$C47)*('Giá công thức'!$C$11:$C$106="GB")*('Giá công thức'!$G$3:$AD$3=V$1)*('Giá công thức'!$G$4:$AD$4=V$2)))</f>
        <v>1311</v>
      </c>
      <c r="W47" s="400" cm="1">
        <f t="array" ref="W47">IF(SUMPRODUCT('Giá công thức'!$G$11:$AD$106*('Giá công thức'!$A$11:$A$106=$B47)*('Giá công thức'!$B$11:$B$106=$C47)*('Giá công thức'!$C$11:$C$106="GB")*('Giá công thức'!$G$3:$AD$3=W$1)*('Giá công thức'!$G$4:$AD$4=W$2))=0,NA(),SUMPRODUCT('Giá công thức'!$G$11:$AD$106*('Giá công thức'!$A$11:$A$106=$B47)*('Giá công thức'!$B$11:$B$106=$C47)*('Giá công thức'!$C$11:$C$106="GB")*('Giá công thức'!$G$3:$AD$3=W$1)*('Giá công thức'!$G$4:$AD$4=W$2)))</f>
        <v>1311</v>
      </c>
      <c r="X47" s="400" cm="1">
        <f t="array" ref="X47">IF(SUMPRODUCT('Giá công thức'!$G$11:$AD$106*('Giá công thức'!$A$11:$A$106=$B47)*('Giá công thức'!$B$11:$B$106=$C47)*('Giá công thức'!$C$11:$C$106="GB")*('Giá công thức'!$G$3:$AD$3=X$1)*('Giá công thức'!$G$4:$AD$4=X$2))=0,NA(),SUMPRODUCT('Giá công thức'!$G$11:$AD$106*('Giá công thức'!$A$11:$A$106=$B47)*('Giá công thức'!$B$11:$B$106=$C47)*('Giá công thức'!$C$11:$C$106="GB")*('Giá công thức'!$G$3:$AD$3=X$1)*('Giá công thức'!$G$4:$AD$4=X$2)))</f>
        <v>1293.9000000000001</v>
      </c>
      <c r="Y47" s="400" cm="1">
        <f t="array" ref="Y47">IF(SUMPRODUCT('Giá công thức'!$G$11:$AD$106*('Giá công thức'!$A$11:$A$106=$B47)*('Giá công thức'!$B$11:$B$106=$C47)*('Giá công thức'!$C$11:$C$106="GB")*('Giá công thức'!$G$3:$AD$3=Y$1)*('Giá công thức'!$G$4:$AD$4=Y$2))=0,NA(),SUMPRODUCT('Giá công thức'!$G$11:$AD$106*('Giá công thức'!$A$11:$A$106=$B47)*('Giá công thức'!$B$11:$B$106=$C47)*('Giá công thức'!$C$11:$C$106="GB")*('Giá công thức'!$G$3:$AD$3=Y$1)*('Giá công thức'!$G$4:$AD$4=Y$2)))</f>
        <v>1263.5250000000001</v>
      </c>
      <c r="Z47" s="400" cm="1">
        <f t="array" ref="Z47">IF(SUMPRODUCT('Giá công thức'!$G$11:$AD$106*('Giá công thức'!$A$11:$A$106=$B47)*('Giá công thức'!$B$11:$B$106=$C47)*('Giá công thức'!$C$11:$C$106="GB")*('Giá công thức'!$G$3:$AD$3=Z$1)*('Giá công thức'!$G$4:$AD$4=Z$2))=0,NA(),SUMPRODUCT('Giá công thức'!$G$11:$AD$106*('Giá công thức'!$A$11:$A$106=$B47)*('Giá công thức'!$B$11:$B$106=$C47)*('Giá công thức'!$C$11:$C$106="GB")*('Giá công thức'!$G$3:$AD$3=Z$1)*('Giá công thức'!$G$4:$AD$4=Z$2)))</f>
        <v>1264.925</v>
      </c>
      <c r="AA47" s="400" cm="1">
        <f t="array" ref="AA47">IF(SUMPRODUCT('Giá công thức'!$G$11:$AD$106*('Giá công thức'!$A$11:$A$106=$B47)*('Giá công thức'!$B$11:$B$106=$C47)*('Giá công thức'!$C$11:$C$106="GB")*('Giá công thức'!$G$3:$AD$3=AA$1)*('Giá công thức'!$G$4:$AD$4=AA$2))=0,NA(),SUMPRODUCT('Giá công thức'!$G$11:$AD$106*('Giá công thức'!$A$11:$A$106=$B47)*('Giá công thức'!$B$11:$B$106=$C47)*('Giá công thức'!$C$11:$C$106="GB")*('Giá công thức'!$G$3:$AD$3=AA$1)*('Giá công thức'!$G$4:$AD$4=AA$2)))</f>
        <v>1266.05</v>
      </c>
      <c r="AB47" s="400" cm="1">
        <f t="array" ref="AB47">IF(SUMPRODUCT('Giá công thức'!$G$11:$AD$106*('Giá công thức'!$A$11:$A$106=$B47)*('Giá công thức'!$B$11:$B$106=$C47)*('Giá công thức'!$C$11:$C$106="GB")*('Giá công thức'!$G$3:$AD$3=AB$1)*('Giá công thức'!$G$4:$AD$4=AB$2))=0,NA(),SUMPRODUCT('Giá công thức'!$G$11:$AD$106*('Giá công thức'!$A$11:$A$106=$B47)*('Giá công thức'!$B$11:$B$106=$C47)*('Giá công thức'!$C$11:$C$106="GB")*('Giá công thức'!$G$3:$AD$3=AB$1)*('Giá công thức'!$G$4:$AD$4=AB$2)))</f>
        <v>1266.65625</v>
      </c>
      <c r="AC47" s="400"/>
      <c r="AD47" s="400"/>
      <c r="AE47" s="400"/>
      <c r="AF47" s="400"/>
      <c r="AG47" s="400"/>
      <c r="AH47" s="400"/>
      <c r="AI47" s="400"/>
      <c r="AJ47" s="400"/>
      <c r="AK47" s="400"/>
      <c r="AL47" s="400"/>
      <c r="AM47" s="400"/>
      <c r="AN47" s="400"/>
      <c r="AO47" s="400">
        <f t="shared" si="27"/>
        <v>1266.65625</v>
      </c>
    </row>
    <row r="48" spans="1:41" s="137" customFormat="1" x14ac:dyDescent="0.35">
      <c r="A48" s="137" t="s">
        <v>29</v>
      </c>
      <c r="C48" s="137" t="s">
        <v>29</v>
      </c>
      <c r="D48" s="137" t="s">
        <v>17</v>
      </c>
      <c r="E48" s="403" cm="1">
        <f t="array" ref="E48">SUMPRODUCT(General_Data*(Code_General_Data=$A48)*(Year=E$1)*(Month=E$2))</f>
        <v>1340</v>
      </c>
      <c r="F48" s="403" cm="1">
        <f t="array" ref="F48">SUMPRODUCT(General_Data*(Code_General_Data=$A48)*(Year=F$1)*(Month=F$2))</f>
        <v>1340</v>
      </c>
      <c r="G48" s="403" cm="1">
        <f t="array" ref="G48">SUMPRODUCT(General_Data*(Code_General_Data=$A48)*(Year=G$1)*(Month=G$2))</f>
        <v>1340</v>
      </c>
      <c r="H48" s="403" cm="1">
        <f t="array" ref="H48">SUMPRODUCT(General_Data*(Code_General_Data=$A48)*(Year=H$1)*(Month=H$2))</f>
        <v>1340</v>
      </c>
      <c r="I48" s="403" cm="1">
        <f t="array" ref="I48">SUMPRODUCT(General_Data*(Code_General_Data=$A48)*(Year=I$1)*(Month=I$2))</f>
        <v>1390</v>
      </c>
      <c r="J48" s="403" cm="1">
        <f t="array" ref="J48">SUMPRODUCT(General_Data*(Code_General_Data=$A48)*(Year=J$1)*(Month=J$2))</f>
        <v>1390</v>
      </c>
      <c r="K48" s="403" cm="1">
        <f t="array" ref="K48">SUMPRODUCT(General_Data*(Code_General_Data=$A48)*(Year=K$1)*(Month=K$2))</f>
        <v>1390</v>
      </c>
      <c r="L48" s="403" cm="1">
        <f t="array" ref="L48">SUMPRODUCT(General_Data*(Code_General_Data=$A48)*(Year=L$1)*(Month=L$2))</f>
        <v>1390</v>
      </c>
      <c r="M48" s="403" cm="1">
        <f t="array" ref="M48">SUMPRODUCT(General_Data*(Code_General_Data=$A48)*(Year=M$1)*(Month=M$2))</f>
        <v>1400</v>
      </c>
      <c r="N48" s="403" cm="1">
        <f t="array" ref="N48">SUMPRODUCT(General_Data*(Code_General_Data=$A48)*(Year=N$1)*(Month=N$2))</f>
        <v>1415</v>
      </c>
      <c r="O48" s="403" cm="1">
        <f t="array" ref="O48">SUMPRODUCT(General_Data*(Code_General_Data=$A48)*(Year=O$1)*(Month=O$2))</f>
        <v>1415</v>
      </c>
      <c r="P48" s="403" cm="1">
        <f t="array" ref="P48">SUMPRODUCT(General_Data*(Code_General_Data=$A48)*(Year=P$1)*(Month=P$2))</f>
        <v>1365</v>
      </c>
      <c r="Q48" s="403" cm="1">
        <f t="array" ref="Q48">SUMPRODUCT(General_Data*(Code_General_Data=$A48)*(Year=Q$1)*(Month=Q$2))</f>
        <v>1320</v>
      </c>
      <c r="R48" s="403" cm="1">
        <f t="array" ref="R48">SUMPRODUCT(General_Data*(Code_General_Data=$A48)*(Year=R$1)*(Month=R$2))</f>
        <v>1280</v>
      </c>
      <c r="S48" s="403" cm="1">
        <f t="array" ref="S48">SUMPRODUCT(General_Data*(Code_General_Data=$A48)*(Year=S$1)*(Month=S$2))</f>
        <v>1320</v>
      </c>
      <c r="T48" s="403" cm="1">
        <f t="array" ref="T48">SUMPRODUCT(General_Data*(Code_General_Data=$A48)*(Year=T$1)*(Month=T$2))</f>
        <v>1340</v>
      </c>
      <c r="U48" s="403" cm="1">
        <f t="array" ref="U48">SUMPRODUCT(General_Data*(Code_General_Data=$A48)*(Year=U$1)*(Month=U$2))</f>
        <v>1340</v>
      </c>
      <c r="V48" s="403" cm="1">
        <f t="array" ref="V48">SUMPRODUCT(General_Data*(Code_General_Data=$A48)*(Year=V$1)*(Month=V$2))</f>
        <v>1340</v>
      </c>
      <c r="W48" s="403" cm="1">
        <f t="array" ref="W48">SUMPRODUCT(General_Data*(Code_General_Data=$A48)*(Year=W$1)*(Month=W$2))</f>
        <v>1340</v>
      </c>
      <c r="X48" s="403" cm="1">
        <f t="array" ref="X48">SUMPRODUCT(General_Data*(Code_General_Data=$A48)*(Year=X$1)*(Month=X$2))</f>
        <v>1310</v>
      </c>
      <c r="Y48" s="403" cm="1">
        <f t="array" ref="Y48">SUMPRODUCT(General_Data*(Code_General_Data=$A48)*(Year=Y$1)*(Month=Y$2))</f>
        <v>1310</v>
      </c>
      <c r="Z48" s="403" cm="1">
        <f t="array" ref="Z48">SUMPRODUCT(General_Data*(Code_General_Data=$A48)*(Year=Z$1)*(Month=Z$2))</f>
        <v>1300</v>
      </c>
      <c r="AA48" s="403" cm="1">
        <f t="array" ref="AA48">SUMPRODUCT(General_Data*(Code_General_Data=$A48)*(Year=AA$1)*(Month=AA$2))</f>
        <v>1290</v>
      </c>
      <c r="AB48" s="403" cm="1">
        <f t="array" ref="AB48">SUMPRODUCT(General_Data*(Code_General_Data=$A48)*(Year=AB$1)*(Month=AB$2))</f>
        <v>1290</v>
      </c>
      <c r="AC48" s="403"/>
      <c r="AD48" s="403"/>
      <c r="AE48" s="403"/>
      <c r="AF48" s="403"/>
      <c r="AG48" s="403"/>
      <c r="AH48" s="403"/>
      <c r="AI48" s="403"/>
      <c r="AJ48" s="403"/>
      <c r="AK48" s="403"/>
      <c r="AL48" s="403"/>
      <c r="AM48" s="403"/>
      <c r="AN48" s="403"/>
      <c r="AO48" s="403">
        <f t="shared" si="27"/>
        <v>1290</v>
      </c>
    </row>
    <row r="49" spans="1:41" s="401" customFormat="1" x14ac:dyDescent="0.35">
      <c r="A49" s="401" t="s">
        <v>9</v>
      </c>
      <c r="D49" s="401" t="s">
        <v>11</v>
      </c>
      <c r="E49" s="402" cm="1">
        <f t="array" ref="E49">SUMPRODUCT(General_Data*(Code_General_Data=$A49)*(Year=E$1)*(Month=E$2))</f>
        <v>930</v>
      </c>
      <c r="F49" s="402" cm="1">
        <f t="array" ref="F49">SUMPRODUCT(General_Data*(Code_General_Data=$A49)*(Year=F$1)*(Month=F$2))</f>
        <v>943.33333333333337</v>
      </c>
      <c r="G49" s="402" cm="1">
        <f t="array" ref="G49">SUMPRODUCT(General_Data*(Code_General_Data=$A49)*(Year=G$1)*(Month=G$2))</f>
        <v>940</v>
      </c>
      <c r="H49" s="402" cm="1">
        <f t="array" ref="H49">SUMPRODUCT(General_Data*(Code_General_Data=$A49)*(Year=H$1)*(Month=H$2))</f>
        <v>940</v>
      </c>
      <c r="I49" s="402" cm="1">
        <f t="array" ref="I49">SUMPRODUCT(General_Data*(Code_General_Data=$A49)*(Year=I$1)*(Month=I$2))</f>
        <v>942</v>
      </c>
      <c r="J49" s="402" cm="1">
        <f t="array" ref="J49">SUMPRODUCT(General_Data*(Code_General_Data=$A49)*(Year=J$1)*(Month=J$2))</f>
        <v>950</v>
      </c>
      <c r="K49" s="402" cm="1">
        <f t="array" ref="K49">SUMPRODUCT(General_Data*(Code_General_Data=$A49)*(Year=K$1)*(Month=K$2))</f>
        <v>947.5</v>
      </c>
      <c r="L49" s="402" cm="1">
        <f t="array" ref="L49">SUMPRODUCT(General_Data*(Code_General_Data=$A49)*(Year=L$1)*(Month=L$2))</f>
        <v>930</v>
      </c>
      <c r="M49" s="402" cm="1">
        <f t="array" ref="M49">SUMPRODUCT(General_Data*(Code_General_Data=$A49)*(Year=M$1)*(Month=M$2))</f>
        <v>880</v>
      </c>
      <c r="N49" s="402" cm="1">
        <f t="array" ref="N49">SUMPRODUCT(General_Data*(Code_General_Data=$A49)*(Year=N$1)*(Month=N$2))</f>
        <v>862.5</v>
      </c>
      <c r="O49" s="402" cm="1">
        <f t="array" ref="O49">SUMPRODUCT(General_Data*(Code_General_Data=$A49)*(Year=O$1)*(Month=O$2))</f>
        <v>852</v>
      </c>
      <c r="P49" s="402" cm="1">
        <f t="array" ref="P49">SUMPRODUCT(General_Data*(Code_General_Data=$A49)*(Year=P$1)*(Month=P$2))</f>
        <v>830</v>
      </c>
      <c r="Q49" s="402" cm="1">
        <f t="array" ref="Q49">SUMPRODUCT(General_Data*(Code_General_Data=$A49)*(Year=Q$1)*(Month=Q$2))</f>
        <v>828</v>
      </c>
      <c r="R49" s="402" cm="1">
        <f t="array" ref="R49">SUMPRODUCT(General_Data*(Code_General_Data=$A49)*(Year=R$1)*(Month=R$2))</f>
        <v>840</v>
      </c>
      <c r="S49" s="402" cm="1">
        <f t="array" ref="S49">SUMPRODUCT(General_Data*(Code_General_Data=$A49)*(Year=S$1)*(Month=S$2))</f>
        <v>823</v>
      </c>
      <c r="T49" s="402" cm="1">
        <f t="array" ref="T49">SUMPRODUCT(General_Data*(Code_General_Data=$A49)*(Year=T$1)*(Month=T$2))</f>
        <v>765</v>
      </c>
      <c r="U49" s="402" cm="1">
        <f t="array" ref="U49">SUMPRODUCT(General_Data*(Code_General_Data=$A49)*(Year=U$1)*(Month=U$2))</f>
        <v>782</v>
      </c>
      <c r="V49" s="402" cm="1">
        <f t="array" ref="V49">SUMPRODUCT(General_Data*(Code_General_Data=$A49)*(Year=V$1)*(Month=V$2))</f>
        <v>807.5</v>
      </c>
      <c r="W49" s="402" cm="1">
        <f t="array" ref="W49">SUMPRODUCT(General_Data*(Code_General_Data=$A49)*(Year=W$1)*(Month=W$2))</f>
        <v>802</v>
      </c>
      <c r="X49" s="402" cm="1">
        <f t="array" ref="X49">SUMPRODUCT(General_Data*(Code_General_Data=$A49)*(Year=X$1)*(Month=X$2))</f>
        <v>795</v>
      </c>
      <c r="Y49" s="402" cm="1">
        <f t="array" ref="Y49">SUMPRODUCT(General_Data*(Code_General_Data=$A49)*(Year=Y$1)*(Month=Y$2))</f>
        <v>783</v>
      </c>
      <c r="Z49" s="402" cm="1">
        <f t="array" ref="Z49">SUMPRODUCT(General_Data*(Code_General_Data=$A49)*(Year=Z$1)*(Month=Z$2))</f>
        <v>772</v>
      </c>
      <c r="AA49" s="402" cm="1">
        <f t="array" ref="AA49">SUMPRODUCT(General_Data*(Code_General_Data=$A49)*(Year=AA$1)*(Month=AA$2))</f>
        <v>770</v>
      </c>
      <c r="AB49" s="402" cm="1">
        <f t="array" ref="AB49">SUMPRODUCT(General_Data*(Code_General_Data=$A49)*(Year=AB$1)*(Month=AB$2))</f>
        <v>770</v>
      </c>
      <c r="AC49" s="402"/>
      <c r="AD49" s="402"/>
      <c r="AE49" s="402"/>
      <c r="AF49" s="402"/>
      <c r="AG49" s="402"/>
      <c r="AH49" s="402"/>
      <c r="AI49" s="402"/>
      <c r="AJ49" s="402"/>
      <c r="AK49" s="402"/>
      <c r="AL49" s="402"/>
      <c r="AM49" s="402"/>
      <c r="AN49" s="402"/>
      <c r="AO49" s="402">
        <f t="shared" si="27"/>
        <v>770</v>
      </c>
    </row>
    <row r="50" spans="1:41" s="408" customFormat="1" x14ac:dyDescent="0.35">
      <c r="D50" s="408" t="s">
        <v>395</v>
      </c>
      <c r="E50" s="409">
        <f t="shared" ref="E50" si="28">E48-E49</f>
        <v>410</v>
      </c>
      <c r="F50" s="409">
        <f t="shared" ref="F50" si="29">F48-F49</f>
        <v>396.66666666666663</v>
      </c>
      <c r="G50" s="409">
        <f t="shared" ref="G50" si="30">G48-G49</f>
        <v>400</v>
      </c>
      <c r="H50" s="409">
        <f t="shared" ref="H50" si="31">H48-H49</f>
        <v>400</v>
      </c>
      <c r="I50" s="409">
        <f t="shared" ref="I50" si="32">I48-I49</f>
        <v>448</v>
      </c>
      <c r="J50" s="409">
        <f t="shared" ref="J50" si="33">J48-J49</f>
        <v>440</v>
      </c>
      <c r="K50" s="409">
        <f t="shared" ref="K50" si="34">K48-K49</f>
        <v>442.5</v>
      </c>
      <c r="L50" s="409">
        <f t="shared" ref="L50" si="35">L48-L49</f>
        <v>460</v>
      </c>
      <c r="M50" s="409">
        <f t="shared" ref="M50" si="36">M48-M49</f>
        <v>520</v>
      </c>
      <c r="N50" s="409">
        <f t="shared" ref="N50" si="37">N48-N49</f>
        <v>552.5</v>
      </c>
      <c r="O50" s="409">
        <f t="shared" ref="O50" si="38">O48-O49</f>
        <v>563</v>
      </c>
      <c r="P50" s="409">
        <f t="shared" ref="P50" si="39">P48-P49</f>
        <v>535</v>
      </c>
      <c r="Q50" s="409">
        <f t="shared" ref="Q50" si="40">Q48-Q49</f>
        <v>492</v>
      </c>
      <c r="R50" s="409">
        <f t="shared" ref="R50" si="41">R48-R49</f>
        <v>440</v>
      </c>
      <c r="S50" s="409">
        <f t="shared" ref="S50" si="42">S48-S49</f>
        <v>497</v>
      </c>
      <c r="T50" s="409">
        <f t="shared" ref="T50" si="43">T48-T49</f>
        <v>575</v>
      </c>
      <c r="U50" s="409">
        <f t="shared" ref="U50" si="44">U48-U49</f>
        <v>558</v>
      </c>
      <c r="V50" s="409">
        <f t="shared" ref="V50" si="45">V48-V49</f>
        <v>532.5</v>
      </c>
      <c r="W50" s="409">
        <f t="shared" ref="W50" si="46">W48-W49</f>
        <v>538</v>
      </c>
      <c r="X50" s="409">
        <f t="shared" ref="X50" si="47">X48-X49</f>
        <v>515</v>
      </c>
      <c r="Y50" s="409">
        <f t="shared" ref="Y50" si="48">Y48-Y49</f>
        <v>527</v>
      </c>
      <c r="Z50" s="409">
        <f t="shared" ref="Z50" si="49">Z48-Z49</f>
        <v>528</v>
      </c>
      <c r="AA50" s="409">
        <f t="shared" ref="AA50:AB50" si="50">AA48-AA49</f>
        <v>520</v>
      </c>
      <c r="AB50" s="409">
        <f t="shared" si="50"/>
        <v>520</v>
      </c>
      <c r="AC50" s="409"/>
      <c r="AD50" s="409"/>
      <c r="AE50" s="409"/>
      <c r="AF50" s="409"/>
      <c r="AG50" s="409"/>
      <c r="AH50" s="409"/>
      <c r="AI50" s="409"/>
      <c r="AJ50" s="409"/>
      <c r="AK50" s="409"/>
      <c r="AL50" s="409"/>
      <c r="AM50" s="409"/>
      <c r="AN50" s="409"/>
      <c r="AO50" s="409"/>
    </row>
    <row r="51" spans="1:41" s="410" customFormat="1" x14ac:dyDescent="0.35">
      <c r="D51" s="410" t="s">
        <v>394</v>
      </c>
      <c r="E51" s="411">
        <f t="shared" ref="E51:AA51" si="51">IFERROR(E50/E49,0)</f>
        <v>0.44086021505376344</v>
      </c>
      <c r="F51" s="411">
        <f t="shared" si="51"/>
        <v>0.42049469964664304</v>
      </c>
      <c r="G51" s="411">
        <f t="shared" si="51"/>
        <v>0.42553191489361702</v>
      </c>
      <c r="H51" s="411">
        <f t="shared" si="51"/>
        <v>0.42553191489361702</v>
      </c>
      <c r="I51" s="411">
        <f t="shared" si="51"/>
        <v>0.47558386411889597</v>
      </c>
      <c r="J51" s="411">
        <f t="shared" si="51"/>
        <v>0.4631578947368421</v>
      </c>
      <c r="K51" s="411">
        <f t="shared" si="51"/>
        <v>0.46701846965699206</v>
      </c>
      <c r="L51" s="411">
        <f t="shared" si="51"/>
        <v>0.4946236559139785</v>
      </c>
      <c r="M51" s="411">
        <f t="shared" si="51"/>
        <v>0.59090909090909094</v>
      </c>
      <c r="N51" s="411">
        <f t="shared" si="51"/>
        <v>0.64057971014492754</v>
      </c>
      <c r="O51" s="411">
        <f t="shared" si="51"/>
        <v>0.66079812206572774</v>
      </c>
      <c r="P51" s="411">
        <f t="shared" si="51"/>
        <v>0.64457831325301207</v>
      </c>
      <c r="Q51" s="411">
        <f t="shared" si="51"/>
        <v>0.59420289855072461</v>
      </c>
      <c r="R51" s="411">
        <f t="shared" si="51"/>
        <v>0.52380952380952384</v>
      </c>
      <c r="S51" s="411">
        <f t="shared" si="51"/>
        <v>0.60388821385176183</v>
      </c>
      <c r="T51" s="411">
        <f t="shared" si="51"/>
        <v>0.75163398692810457</v>
      </c>
      <c r="U51" s="411">
        <f t="shared" si="51"/>
        <v>0.71355498721227617</v>
      </c>
      <c r="V51" s="411">
        <f t="shared" si="51"/>
        <v>0.65944272445820429</v>
      </c>
      <c r="W51" s="411">
        <f t="shared" si="51"/>
        <v>0.67082294264339148</v>
      </c>
      <c r="X51" s="411">
        <f t="shared" si="51"/>
        <v>0.64779874213836475</v>
      </c>
      <c r="Y51" s="411">
        <f t="shared" si="51"/>
        <v>0.6730523627075351</v>
      </c>
      <c r="Z51" s="411">
        <f t="shared" si="51"/>
        <v>0.68393782383419688</v>
      </c>
      <c r="AA51" s="411">
        <f t="shared" si="51"/>
        <v>0.67532467532467533</v>
      </c>
      <c r="AB51" s="411">
        <f t="shared" ref="AB51" si="52">IFERROR(AB50/AB49,0)</f>
        <v>0.67532467532467533</v>
      </c>
      <c r="AC51" s="411"/>
      <c r="AD51" s="411"/>
      <c r="AE51" s="411"/>
      <c r="AF51" s="411"/>
      <c r="AG51" s="411"/>
      <c r="AH51" s="411"/>
      <c r="AI51" s="411"/>
      <c r="AJ51" s="411"/>
      <c r="AK51" s="411"/>
      <c r="AL51" s="411"/>
      <c r="AM51" s="411"/>
      <c r="AN51" s="411"/>
      <c r="AO51" s="411"/>
    </row>
    <row r="52" spans="1:41" s="426" customFormat="1" x14ac:dyDescent="0.35">
      <c r="D52" s="426" t="s">
        <v>419</v>
      </c>
      <c r="E52" s="427">
        <f>E48</f>
        <v>1340</v>
      </c>
      <c r="F52" s="427">
        <f t="shared" ref="F52:AB52" si="53">F48</f>
        <v>1340</v>
      </c>
      <c r="G52" s="427">
        <f t="shared" si="53"/>
        <v>1340</v>
      </c>
      <c r="H52" s="427">
        <f t="shared" si="53"/>
        <v>1340</v>
      </c>
      <c r="I52" s="427">
        <f t="shared" si="53"/>
        <v>1390</v>
      </c>
      <c r="J52" s="427">
        <f t="shared" si="53"/>
        <v>1390</v>
      </c>
      <c r="K52" s="427">
        <f t="shared" si="53"/>
        <v>1390</v>
      </c>
      <c r="L52" s="427">
        <f t="shared" si="53"/>
        <v>1390</v>
      </c>
      <c r="M52" s="427">
        <f t="shared" si="53"/>
        <v>1400</v>
      </c>
      <c r="N52" s="427">
        <f t="shared" si="53"/>
        <v>1415</v>
      </c>
      <c r="O52" s="427">
        <f t="shared" si="53"/>
        <v>1415</v>
      </c>
      <c r="P52" s="427">
        <f t="shared" si="53"/>
        <v>1365</v>
      </c>
      <c r="Q52" s="427">
        <f t="shared" si="53"/>
        <v>1320</v>
      </c>
      <c r="R52" s="427">
        <f t="shared" si="53"/>
        <v>1280</v>
      </c>
      <c r="S52" s="427">
        <f t="shared" si="53"/>
        <v>1320</v>
      </c>
      <c r="T52" s="427">
        <f t="shared" si="53"/>
        <v>1340</v>
      </c>
      <c r="U52" s="427">
        <f t="shared" si="53"/>
        <v>1340</v>
      </c>
      <c r="V52" s="427">
        <f t="shared" si="53"/>
        <v>1340</v>
      </c>
      <c r="W52" s="427">
        <f t="shared" si="53"/>
        <v>1340</v>
      </c>
      <c r="X52" s="427">
        <f t="shared" si="53"/>
        <v>1310</v>
      </c>
      <c r="Y52" s="427">
        <f t="shared" si="53"/>
        <v>1310</v>
      </c>
      <c r="Z52" s="427">
        <f t="shared" si="53"/>
        <v>1300</v>
      </c>
      <c r="AA52" s="427">
        <f t="shared" si="53"/>
        <v>1290</v>
      </c>
      <c r="AB52" s="427">
        <f t="shared" si="53"/>
        <v>1290</v>
      </c>
      <c r="AC52" s="427"/>
      <c r="AD52" s="427"/>
      <c r="AE52" s="427"/>
      <c r="AF52" s="427"/>
      <c r="AG52" s="427"/>
      <c r="AH52" s="427"/>
      <c r="AI52" s="427"/>
      <c r="AJ52" s="427"/>
      <c r="AK52" s="427"/>
      <c r="AL52" s="427"/>
      <c r="AM52" s="427"/>
      <c r="AN52" s="427"/>
      <c r="AO52" s="437"/>
    </row>
    <row r="53" spans="1:41" s="426" customFormat="1" x14ac:dyDescent="0.35">
      <c r="D53" s="426" t="s">
        <v>420</v>
      </c>
      <c r="E53" s="427">
        <f>E49+E50/2</f>
        <v>1135</v>
      </c>
      <c r="F53" s="427">
        <f t="shared" ref="F53:AB53" si="54">F49+F50/2</f>
        <v>1141.6666666666667</v>
      </c>
      <c r="G53" s="427">
        <f t="shared" si="54"/>
        <v>1140</v>
      </c>
      <c r="H53" s="427">
        <f t="shared" si="54"/>
        <v>1140</v>
      </c>
      <c r="I53" s="427">
        <f t="shared" si="54"/>
        <v>1166</v>
      </c>
      <c r="J53" s="427">
        <f t="shared" si="54"/>
        <v>1170</v>
      </c>
      <c r="K53" s="427">
        <f t="shared" si="54"/>
        <v>1168.75</v>
      </c>
      <c r="L53" s="427">
        <f t="shared" si="54"/>
        <v>1160</v>
      </c>
      <c r="M53" s="427">
        <f t="shared" si="54"/>
        <v>1140</v>
      </c>
      <c r="N53" s="427">
        <f t="shared" si="54"/>
        <v>1138.75</v>
      </c>
      <c r="O53" s="427">
        <f t="shared" si="54"/>
        <v>1133.5</v>
      </c>
      <c r="P53" s="427">
        <f t="shared" si="54"/>
        <v>1097.5</v>
      </c>
      <c r="Q53" s="427">
        <f t="shared" si="54"/>
        <v>1074</v>
      </c>
      <c r="R53" s="427">
        <f t="shared" si="54"/>
        <v>1060</v>
      </c>
      <c r="S53" s="427">
        <f t="shared" si="54"/>
        <v>1071.5</v>
      </c>
      <c r="T53" s="427">
        <f t="shared" si="54"/>
        <v>1052.5</v>
      </c>
      <c r="U53" s="427">
        <f t="shared" si="54"/>
        <v>1061</v>
      </c>
      <c r="V53" s="427">
        <f t="shared" si="54"/>
        <v>1073.75</v>
      </c>
      <c r="W53" s="427">
        <f t="shared" si="54"/>
        <v>1071</v>
      </c>
      <c r="X53" s="427">
        <f t="shared" si="54"/>
        <v>1052.5</v>
      </c>
      <c r="Y53" s="427">
        <f t="shared" si="54"/>
        <v>1046.5</v>
      </c>
      <c r="Z53" s="427">
        <f t="shared" si="54"/>
        <v>1036</v>
      </c>
      <c r="AA53" s="427">
        <f t="shared" si="54"/>
        <v>1030</v>
      </c>
      <c r="AB53" s="427">
        <f t="shared" si="54"/>
        <v>1030</v>
      </c>
      <c r="AC53" s="427"/>
      <c r="AD53" s="427"/>
      <c r="AE53" s="427"/>
      <c r="AF53" s="427"/>
      <c r="AG53" s="427"/>
      <c r="AH53" s="427"/>
      <c r="AI53" s="427"/>
      <c r="AJ53" s="427"/>
      <c r="AK53" s="427"/>
      <c r="AL53" s="427"/>
      <c r="AM53" s="427"/>
      <c r="AN53" s="427"/>
      <c r="AO53" s="437"/>
    </row>
    <row r="54" spans="1:41" s="434" customFormat="1" x14ac:dyDescent="0.35">
      <c r="D54" s="434" t="s">
        <v>417</v>
      </c>
      <c r="E54" s="435">
        <f>E48</f>
        <v>1340</v>
      </c>
      <c r="F54" s="435">
        <f t="shared" ref="F54:AB54" si="55">F48</f>
        <v>1340</v>
      </c>
      <c r="G54" s="435">
        <f t="shared" si="55"/>
        <v>1340</v>
      </c>
      <c r="H54" s="435">
        <f t="shared" si="55"/>
        <v>1340</v>
      </c>
      <c r="I54" s="435">
        <f t="shared" si="55"/>
        <v>1390</v>
      </c>
      <c r="J54" s="435">
        <f t="shared" si="55"/>
        <v>1390</v>
      </c>
      <c r="K54" s="435">
        <f t="shared" si="55"/>
        <v>1390</v>
      </c>
      <c r="L54" s="435">
        <f t="shared" si="55"/>
        <v>1390</v>
      </c>
      <c r="M54" s="435">
        <f t="shared" si="55"/>
        <v>1400</v>
      </c>
      <c r="N54" s="435">
        <f t="shared" si="55"/>
        <v>1415</v>
      </c>
      <c r="O54" s="435">
        <f t="shared" si="55"/>
        <v>1415</v>
      </c>
      <c r="P54" s="435">
        <f t="shared" si="55"/>
        <v>1365</v>
      </c>
      <c r="Q54" s="435">
        <f t="shared" si="55"/>
        <v>1320</v>
      </c>
      <c r="R54" s="435">
        <f t="shared" si="55"/>
        <v>1280</v>
      </c>
      <c r="S54" s="435">
        <f t="shared" si="55"/>
        <v>1320</v>
      </c>
      <c r="T54" s="435">
        <f t="shared" si="55"/>
        <v>1340</v>
      </c>
      <c r="U54" s="435">
        <f t="shared" si="55"/>
        <v>1340</v>
      </c>
      <c r="V54" s="435">
        <f t="shared" si="55"/>
        <v>1340</v>
      </c>
      <c r="W54" s="435">
        <f t="shared" si="55"/>
        <v>1340</v>
      </c>
      <c r="X54" s="435">
        <f t="shared" si="55"/>
        <v>1310</v>
      </c>
      <c r="Y54" s="435">
        <f t="shared" si="55"/>
        <v>1310</v>
      </c>
      <c r="Z54" s="435">
        <f t="shared" si="55"/>
        <v>1300</v>
      </c>
      <c r="AA54" s="435">
        <f t="shared" si="55"/>
        <v>1290</v>
      </c>
      <c r="AB54" s="435">
        <f t="shared" si="55"/>
        <v>1290</v>
      </c>
      <c r="AC54" s="435"/>
      <c r="AD54" s="435"/>
      <c r="AE54" s="435"/>
      <c r="AF54" s="435"/>
      <c r="AG54" s="435"/>
      <c r="AH54" s="435"/>
      <c r="AI54" s="435"/>
      <c r="AJ54" s="435"/>
      <c r="AK54" s="435"/>
      <c r="AL54" s="435"/>
      <c r="AM54" s="435"/>
      <c r="AN54" s="435"/>
      <c r="AO54" s="436"/>
    </row>
    <row r="55" spans="1:41" s="434" customFormat="1" x14ac:dyDescent="0.35">
      <c r="D55" s="434" t="s">
        <v>418</v>
      </c>
      <c r="E55" s="435">
        <f>E49</f>
        <v>930</v>
      </c>
      <c r="F55" s="435">
        <f t="shared" ref="F55:AB55" si="56">F49</f>
        <v>943.33333333333337</v>
      </c>
      <c r="G55" s="435">
        <f t="shared" si="56"/>
        <v>940</v>
      </c>
      <c r="H55" s="435">
        <f t="shared" si="56"/>
        <v>940</v>
      </c>
      <c r="I55" s="435">
        <f t="shared" si="56"/>
        <v>942</v>
      </c>
      <c r="J55" s="435">
        <f t="shared" si="56"/>
        <v>950</v>
      </c>
      <c r="K55" s="435">
        <f t="shared" si="56"/>
        <v>947.5</v>
      </c>
      <c r="L55" s="435">
        <f t="shared" si="56"/>
        <v>930</v>
      </c>
      <c r="M55" s="435">
        <f t="shared" si="56"/>
        <v>880</v>
      </c>
      <c r="N55" s="435">
        <f t="shared" si="56"/>
        <v>862.5</v>
      </c>
      <c r="O55" s="435">
        <f t="shared" si="56"/>
        <v>852</v>
      </c>
      <c r="P55" s="435">
        <f t="shared" si="56"/>
        <v>830</v>
      </c>
      <c r="Q55" s="435">
        <f t="shared" si="56"/>
        <v>828</v>
      </c>
      <c r="R55" s="435">
        <f t="shared" si="56"/>
        <v>840</v>
      </c>
      <c r="S55" s="435">
        <f t="shared" si="56"/>
        <v>823</v>
      </c>
      <c r="T55" s="435">
        <f t="shared" si="56"/>
        <v>765</v>
      </c>
      <c r="U55" s="435">
        <f t="shared" si="56"/>
        <v>782</v>
      </c>
      <c r="V55" s="435">
        <f t="shared" si="56"/>
        <v>807.5</v>
      </c>
      <c r="W55" s="435">
        <f t="shared" si="56"/>
        <v>802</v>
      </c>
      <c r="X55" s="435">
        <f t="shared" si="56"/>
        <v>795</v>
      </c>
      <c r="Y55" s="435">
        <f t="shared" si="56"/>
        <v>783</v>
      </c>
      <c r="Z55" s="435">
        <f t="shared" si="56"/>
        <v>772</v>
      </c>
      <c r="AA55" s="435">
        <f t="shared" si="56"/>
        <v>770</v>
      </c>
      <c r="AB55" s="435">
        <f t="shared" si="56"/>
        <v>770</v>
      </c>
      <c r="AC55" s="435"/>
      <c r="AD55" s="435"/>
      <c r="AE55" s="435"/>
      <c r="AF55" s="435"/>
      <c r="AG55" s="435"/>
      <c r="AH55" s="435"/>
      <c r="AI55" s="435"/>
      <c r="AJ55" s="435"/>
      <c r="AK55" s="435"/>
      <c r="AL55" s="435"/>
      <c r="AM55" s="435"/>
      <c r="AN55" s="435"/>
      <c r="AO55" s="436"/>
    </row>
    <row r="56" spans="1:41" x14ac:dyDescent="0.35">
      <c r="C56" s="424"/>
      <c r="D56" s="424" t="s">
        <v>425</v>
      </c>
      <c r="E56" s="438">
        <f>IFERROR(E46,0)</f>
        <v>1315</v>
      </c>
      <c r="F56" s="438">
        <f t="shared" ref="F56:AB56" si="57">IFERROR(F46,0)</f>
        <v>1315</v>
      </c>
      <c r="G56" s="438">
        <f t="shared" si="57"/>
        <v>1315</v>
      </c>
      <c r="H56" s="438">
        <f t="shared" si="57"/>
        <v>1315</v>
      </c>
      <c r="I56" s="438">
        <f t="shared" si="57"/>
        <v>1315</v>
      </c>
      <c r="J56" s="438">
        <f t="shared" si="57"/>
        <v>1315</v>
      </c>
      <c r="K56" s="438">
        <f t="shared" si="57"/>
        <v>1315</v>
      </c>
      <c r="L56" s="438">
        <f t="shared" si="57"/>
        <v>1315</v>
      </c>
      <c r="M56" s="438">
        <f t="shared" si="57"/>
        <v>1315</v>
      </c>
      <c r="N56" s="438">
        <f t="shared" si="57"/>
        <v>1315</v>
      </c>
      <c r="O56" s="438">
        <f t="shared" si="57"/>
        <v>1315</v>
      </c>
      <c r="P56" s="438">
        <f t="shared" si="57"/>
        <v>1315</v>
      </c>
      <c r="Q56" s="438">
        <f t="shared" si="57"/>
        <v>1348.3</v>
      </c>
      <c r="R56" s="438">
        <f t="shared" si="57"/>
        <v>1348.3</v>
      </c>
      <c r="S56" s="438">
        <f t="shared" si="57"/>
        <v>1348.3</v>
      </c>
      <c r="T56" s="438">
        <f t="shared" si="57"/>
        <v>1348.3</v>
      </c>
      <c r="U56" s="438">
        <f t="shared" si="57"/>
        <v>1348.3</v>
      </c>
      <c r="V56" s="438">
        <f t="shared" si="57"/>
        <v>1348.3</v>
      </c>
      <c r="W56" s="438">
        <f t="shared" si="57"/>
        <v>1348.3</v>
      </c>
      <c r="X56" s="438">
        <f t="shared" si="57"/>
        <v>1348.3</v>
      </c>
      <c r="Y56" s="438">
        <f t="shared" si="57"/>
        <v>1348.3</v>
      </c>
      <c r="Z56" s="438">
        <f t="shared" si="57"/>
        <v>1348.3</v>
      </c>
      <c r="AA56" s="438">
        <f t="shared" si="57"/>
        <v>1348.3</v>
      </c>
      <c r="AB56" s="438">
        <f t="shared" si="57"/>
        <v>1348.3</v>
      </c>
      <c r="AC56" s="438"/>
      <c r="AD56" s="438"/>
      <c r="AE56" s="438"/>
      <c r="AF56" s="438"/>
      <c r="AG56" s="438"/>
      <c r="AH56" s="438"/>
      <c r="AI56" s="438"/>
      <c r="AJ56" s="438"/>
      <c r="AK56" s="438"/>
      <c r="AL56" s="438"/>
      <c r="AM56" s="438"/>
      <c r="AN56" s="438"/>
      <c r="AO56" s="433" t="s">
        <v>426</v>
      </c>
    </row>
    <row r="57" spans="1:41" x14ac:dyDescent="0.35">
      <c r="C57" s="424"/>
      <c r="D57" s="424" t="s">
        <v>424</v>
      </c>
      <c r="E57" s="438">
        <f t="shared" ref="E57:AB57" si="58">IFERROR(E47,0)</f>
        <v>1340</v>
      </c>
      <c r="F57" s="438">
        <f t="shared" si="58"/>
        <v>1347.5</v>
      </c>
      <c r="G57" s="438">
        <f t="shared" si="58"/>
        <v>1360</v>
      </c>
      <c r="H57" s="438">
        <f t="shared" si="58"/>
        <v>1362.5</v>
      </c>
      <c r="I57" s="438">
        <f t="shared" si="58"/>
        <v>1366.5</v>
      </c>
      <c r="J57" s="438">
        <f t="shared" si="58"/>
        <v>1381.5</v>
      </c>
      <c r="K57" s="438">
        <f t="shared" si="58"/>
        <v>1397.5</v>
      </c>
      <c r="L57" s="438">
        <f t="shared" si="58"/>
        <v>1408.5</v>
      </c>
      <c r="M57" s="438">
        <f t="shared" si="58"/>
        <v>1428.5</v>
      </c>
      <c r="N57" s="438">
        <f t="shared" si="58"/>
        <v>1456.25</v>
      </c>
      <c r="O57" s="438">
        <f t="shared" si="58"/>
        <v>1473.75</v>
      </c>
      <c r="P57" s="438">
        <f t="shared" si="58"/>
        <v>1477.5</v>
      </c>
      <c r="Q57" s="438">
        <f t="shared" si="58"/>
        <v>1375.71875</v>
      </c>
      <c r="R57" s="438">
        <f t="shared" si="58"/>
        <v>1339.3020833333319</v>
      </c>
      <c r="S57" s="438">
        <f t="shared" si="58"/>
        <v>1305.4583333333319</v>
      </c>
      <c r="T57" s="438">
        <f t="shared" si="58"/>
        <v>1306.25</v>
      </c>
      <c r="U57" s="438">
        <f t="shared" si="58"/>
        <v>1311</v>
      </c>
      <c r="V57" s="438">
        <f t="shared" si="58"/>
        <v>1311</v>
      </c>
      <c r="W57" s="438">
        <f t="shared" si="58"/>
        <v>1311</v>
      </c>
      <c r="X57" s="438">
        <f t="shared" si="58"/>
        <v>1293.9000000000001</v>
      </c>
      <c r="Y57" s="438">
        <f t="shared" si="58"/>
        <v>1263.5250000000001</v>
      </c>
      <c r="Z57" s="438">
        <f t="shared" si="58"/>
        <v>1264.925</v>
      </c>
      <c r="AA57" s="438">
        <f t="shared" si="58"/>
        <v>1266.05</v>
      </c>
      <c r="AB57" s="438">
        <f t="shared" si="58"/>
        <v>1266.65625</v>
      </c>
      <c r="AC57" s="438"/>
      <c r="AD57" s="438"/>
      <c r="AE57" s="438"/>
      <c r="AF57" s="438"/>
      <c r="AG57" s="438"/>
      <c r="AH57" s="438"/>
      <c r="AI57" s="438"/>
      <c r="AJ57" s="438"/>
      <c r="AK57" s="438"/>
      <c r="AL57" s="438"/>
      <c r="AM57" s="438"/>
      <c r="AN57" s="438"/>
      <c r="AO57" s="433" t="s">
        <v>422</v>
      </c>
    </row>
    <row r="58" spans="1:41" x14ac:dyDescent="0.35">
      <c r="C58" s="424"/>
      <c r="D58" s="424" t="s">
        <v>412</v>
      </c>
      <c r="E58" s="438">
        <f t="shared" ref="E58:AB58" si="59">IFERROR(E48,0)</f>
        <v>1340</v>
      </c>
      <c r="F58" s="438">
        <f t="shared" si="59"/>
        <v>1340</v>
      </c>
      <c r="G58" s="438">
        <f t="shared" si="59"/>
        <v>1340</v>
      </c>
      <c r="H58" s="438">
        <f t="shared" si="59"/>
        <v>1340</v>
      </c>
      <c r="I58" s="438">
        <f t="shared" si="59"/>
        <v>1390</v>
      </c>
      <c r="J58" s="438">
        <f t="shared" si="59"/>
        <v>1390</v>
      </c>
      <c r="K58" s="438">
        <f t="shared" si="59"/>
        <v>1390</v>
      </c>
      <c r="L58" s="438">
        <f t="shared" si="59"/>
        <v>1390</v>
      </c>
      <c r="M58" s="438">
        <f t="shared" si="59"/>
        <v>1400</v>
      </c>
      <c r="N58" s="438">
        <f t="shared" si="59"/>
        <v>1415</v>
      </c>
      <c r="O58" s="438">
        <f t="shared" si="59"/>
        <v>1415</v>
      </c>
      <c r="P58" s="438">
        <f t="shared" si="59"/>
        <v>1365</v>
      </c>
      <c r="Q58" s="438">
        <f t="shared" si="59"/>
        <v>1320</v>
      </c>
      <c r="R58" s="438">
        <f t="shared" si="59"/>
        <v>1280</v>
      </c>
      <c r="S58" s="438">
        <f t="shared" si="59"/>
        <v>1320</v>
      </c>
      <c r="T58" s="438">
        <f t="shared" si="59"/>
        <v>1340</v>
      </c>
      <c r="U58" s="438">
        <f t="shared" si="59"/>
        <v>1340</v>
      </c>
      <c r="V58" s="438">
        <f t="shared" si="59"/>
        <v>1340</v>
      </c>
      <c r="W58" s="438">
        <f t="shared" si="59"/>
        <v>1340</v>
      </c>
      <c r="X58" s="438">
        <f t="shared" si="59"/>
        <v>1310</v>
      </c>
      <c r="Y58" s="438">
        <f t="shared" si="59"/>
        <v>1310</v>
      </c>
      <c r="Z58" s="438">
        <f t="shared" si="59"/>
        <v>1300</v>
      </c>
      <c r="AA58" s="438">
        <f t="shared" si="59"/>
        <v>1290</v>
      </c>
      <c r="AB58" s="438">
        <f t="shared" si="59"/>
        <v>1290</v>
      </c>
      <c r="AC58" s="438"/>
      <c r="AD58" s="438"/>
      <c r="AE58" s="438"/>
      <c r="AF58" s="438"/>
      <c r="AG58" s="438"/>
      <c r="AH58" s="438"/>
      <c r="AI58" s="438"/>
      <c r="AJ58" s="438"/>
      <c r="AK58" s="438"/>
      <c r="AL58" s="438"/>
      <c r="AM58" s="438"/>
      <c r="AN58" s="438"/>
      <c r="AO58" s="433" t="s">
        <v>17</v>
      </c>
    </row>
    <row r="59" spans="1:41" x14ac:dyDescent="0.35">
      <c r="C59" s="424"/>
      <c r="D59" s="424" t="s">
        <v>413</v>
      </c>
      <c r="E59" s="438">
        <f t="shared" ref="E59:AB59" si="60">IFERROR(E49,0)</f>
        <v>930</v>
      </c>
      <c r="F59" s="438">
        <f t="shared" si="60"/>
        <v>943.33333333333337</v>
      </c>
      <c r="G59" s="438">
        <f t="shared" si="60"/>
        <v>940</v>
      </c>
      <c r="H59" s="438">
        <f t="shared" si="60"/>
        <v>940</v>
      </c>
      <c r="I59" s="438">
        <f t="shared" si="60"/>
        <v>942</v>
      </c>
      <c r="J59" s="438">
        <f t="shared" si="60"/>
        <v>950</v>
      </c>
      <c r="K59" s="438">
        <f t="shared" si="60"/>
        <v>947.5</v>
      </c>
      <c r="L59" s="438">
        <f t="shared" si="60"/>
        <v>930</v>
      </c>
      <c r="M59" s="438">
        <f t="shared" si="60"/>
        <v>880</v>
      </c>
      <c r="N59" s="438">
        <f t="shared" si="60"/>
        <v>862.5</v>
      </c>
      <c r="O59" s="438">
        <f t="shared" si="60"/>
        <v>852</v>
      </c>
      <c r="P59" s="438">
        <f t="shared" si="60"/>
        <v>830</v>
      </c>
      <c r="Q59" s="438">
        <f t="shared" si="60"/>
        <v>828</v>
      </c>
      <c r="R59" s="438">
        <f t="shared" si="60"/>
        <v>840</v>
      </c>
      <c r="S59" s="438">
        <f t="shared" si="60"/>
        <v>823</v>
      </c>
      <c r="T59" s="438">
        <f t="shared" si="60"/>
        <v>765</v>
      </c>
      <c r="U59" s="438">
        <f t="shared" si="60"/>
        <v>782</v>
      </c>
      <c r="V59" s="438">
        <f t="shared" si="60"/>
        <v>807.5</v>
      </c>
      <c r="W59" s="438">
        <f t="shared" si="60"/>
        <v>802</v>
      </c>
      <c r="X59" s="438">
        <f t="shared" si="60"/>
        <v>795</v>
      </c>
      <c r="Y59" s="438">
        <f t="shared" si="60"/>
        <v>783</v>
      </c>
      <c r="Z59" s="438">
        <f t="shared" si="60"/>
        <v>772</v>
      </c>
      <c r="AA59" s="438">
        <f t="shared" si="60"/>
        <v>770</v>
      </c>
      <c r="AB59" s="438">
        <f t="shared" si="60"/>
        <v>770</v>
      </c>
      <c r="AC59" s="438"/>
      <c r="AD59" s="438"/>
      <c r="AE59" s="438"/>
      <c r="AF59" s="438"/>
      <c r="AG59" s="438"/>
      <c r="AH59" s="438"/>
      <c r="AI59" s="438"/>
      <c r="AJ59" s="438"/>
      <c r="AK59" s="438"/>
      <c r="AL59" s="438"/>
      <c r="AM59" s="438"/>
      <c r="AN59" s="438"/>
      <c r="AO59" s="433" t="s">
        <v>11</v>
      </c>
    </row>
    <row r="61" spans="1:41" ht="17" x14ac:dyDescent="0.4">
      <c r="C61" s="399" t="s">
        <v>22</v>
      </c>
      <c r="D61" s="399" t="s">
        <v>20</v>
      </c>
    </row>
    <row r="62" spans="1:41" x14ac:dyDescent="0.35">
      <c r="C62" s="41"/>
      <c r="D62" s="41"/>
      <c r="E62" s="41">
        <v>2024</v>
      </c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>
        <v>2025</v>
      </c>
      <c r="R62" s="41"/>
      <c r="S62" s="41"/>
      <c r="T62" s="41"/>
      <c r="U62" s="41"/>
      <c r="V62" s="41"/>
      <c r="W62" s="41"/>
      <c r="X62" s="41"/>
      <c r="Y62" s="41"/>
      <c r="Z62" s="41"/>
      <c r="AA62" s="41"/>
      <c r="AB62" s="41"/>
      <c r="AC62" s="41"/>
      <c r="AD62" s="41"/>
      <c r="AE62" s="41"/>
      <c r="AF62" s="41"/>
      <c r="AG62" s="41"/>
      <c r="AH62" s="41"/>
      <c r="AI62" s="41"/>
      <c r="AJ62" s="41"/>
      <c r="AK62" s="41"/>
      <c r="AL62" s="41"/>
      <c r="AM62" s="41"/>
      <c r="AN62" s="41"/>
      <c r="AO62" s="41"/>
    </row>
    <row r="63" spans="1:41" x14ac:dyDescent="0.35">
      <c r="C63" s="41"/>
      <c r="D63" s="41"/>
      <c r="E63" s="41">
        <v>1</v>
      </c>
      <c r="F63" s="41">
        <v>2</v>
      </c>
      <c r="G63" s="41">
        <v>3</v>
      </c>
      <c r="H63" s="41">
        <v>4</v>
      </c>
      <c r="I63" s="41">
        <v>5</v>
      </c>
      <c r="J63" s="41">
        <v>6</v>
      </c>
      <c r="K63" s="41">
        <v>7</v>
      </c>
      <c r="L63" s="41">
        <v>8</v>
      </c>
      <c r="M63" s="41">
        <v>9</v>
      </c>
      <c r="N63" s="41">
        <v>10</v>
      </c>
      <c r="O63" s="41">
        <v>11</v>
      </c>
      <c r="P63" s="41">
        <v>12</v>
      </c>
      <c r="Q63" s="41">
        <v>1</v>
      </c>
      <c r="R63" s="41">
        <v>2</v>
      </c>
      <c r="S63" s="41">
        <v>3</v>
      </c>
      <c r="T63" s="41">
        <v>4</v>
      </c>
      <c r="U63" s="41">
        <v>5</v>
      </c>
      <c r="V63" s="41">
        <v>6</v>
      </c>
      <c r="W63" s="41">
        <v>7</v>
      </c>
      <c r="X63" s="41">
        <v>8</v>
      </c>
      <c r="Y63" s="41">
        <v>9</v>
      </c>
      <c r="Z63" s="41">
        <v>10</v>
      </c>
      <c r="AA63" s="41">
        <v>11</v>
      </c>
      <c r="AB63" s="41">
        <v>12</v>
      </c>
      <c r="AC63" s="41">
        <v>1</v>
      </c>
      <c r="AD63" s="41">
        <v>2</v>
      </c>
      <c r="AE63" s="41">
        <v>3</v>
      </c>
      <c r="AF63" s="41">
        <v>4</v>
      </c>
      <c r="AG63" s="41">
        <v>5</v>
      </c>
      <c r="AH63" s="41">
        <v>6</v>
      </c>
      <c r="AI63" s="41">
        <v>7</v>
      </c>
      <c r="AJ63" s="41">
        <v>8</v>
      </c>
      <c r="AK63" s="41">
        <v>9</v>
      </c>
      <c r="AL63" s="41">
        <v>10</v>
      </c>
      <c r="AM63" s="41">
        <v>11</v>
      </c>
      <c r="AN63" s="41">
        <v>12</v>
      </c>
      <c r="AO63" s="41" t="s">
        <v>409</v>
      </c>
    </row>
    <row r="64" spans="1:41" x14ac:dyDescent="0.35">
      <c r="B64" s="14" t="s">
        <v>64</v>
      </c>
      <c r="C64" t="s">
        <v>22</v>
      </c>
      <c r="D64" t="s">
        <v>355</v>
      </c>
      <c r="E64" s="400" t="e" cm="1">
        <f t="array" ref="E64">IF(SUMPRODUCT('Giá công thức'!$G$11:$AD$106*('Giá công thức'!$A$11:$A$106=$B64)*('Giá công thức'!$B$11:$B$106=$C64)*('Giá công thức'!$C$11:$C$106="GB")*('Giá công thức'!$G$3:$AD$3=E$1)*('Giá công thức'!$G$4:$AD$4=E$2))=0,NA(),SUMPRODUCT('Giá công thức'!$G$11:$AD$106*('Giá công thức'!$A$11:$A$106=$B64)*('Giá công thức'!$B$11:$B$106=$C64)*('Giá công thức'!$C$11:$C$106="GB")*('Giá công thức'!$G$3:$AD$3=E$1)*('Giá công thức'!$G$4:$AD$4=E$2)))</f>
        <v>#N/A</v>
      </c>
      <c r="F64" s="400" t="e" cm="1">
        <f t="array" ref="F64">IF(SUMPRODUCT('Giá công thức'!$G$11:$AD$106*('Giá công thức'!$A$11:$A$106=$B64)*('Giá công thức'!$B$11:$B$106=$C64)*('Giá công thức'!$C$11:$C$106="GB")*('Giá công thức'!$G$3:$AD$3=F$1)*('Giá công thức'!$G$4:$AD$4=F$2))=0,NA(),SUMPRODUCT('Giá công thức'!$G$11:$AD$106*('Giá công thức'!$A$11:$A$106=$B64)*('Giá công thức'!$B$11:$B$106=$C64)*('Giá công thức'!$C$11:$C$106="GB")*('Giá công thức'!$G$3:$AD$3=F$1)*('Giá công thức'!$G$4:$AD$4=F$2)))</f>
        <v>#N/A</v>
      </c>
      <c r="G64" s="400" t="e" cm="1">
        <f t="array" ref="G64">IF(SUMPRODUCT('Giá công thức'!$G$11:$AD$106*('Giá công thức'!$A$11:$A$106=$B64)*('Giá công thức'!$B$11:$B$106=$C64)*('Giá công thức'!$C$11:$C$106="GB")*('Giá công thức'!$G$3:$AD$3=G$1)*('Giá công thức'!$G$4:$AD$4=G$2))=0,NA(),SUMPRODUCT('Giá công thức'!$G$11:$AD$106*('Giá công thức'!$A$11:$A$106=$B64)*('Giá công thức'!$B$11:$B$106=$C64)*('Giá công thức'!$C$11:$C$106="GB")*('Giá công thức'!$G$3:$AD$3=G$1)*('Giá công thức'!$G$4:$AD$4=G$2)))</f>
        <v>#N/A</v>
      </c>
      <c r="H64" s="400" t="e" cm="1">
        <f t="array" ref="H64">IF(SUMPRODUCT('Giá công thức'!$G$11:$AD$106*('Giá công thức'!$A$11:$A$106=$B64)*('Giá công thức'!$B$11:$B$106=$C64)*('Giá công thức'!$C$11:$C$106="GB")*('Giá công thức'!$G$3:$AD$3=H$1)*('Giá công thức'!$G$4:$AD$4=H$2))=0,NA(),SUMPRODUCT('Giá công thức'!$G$11:$AD$106*('Giá công thức'!$A$11:$A$106=$B64)*('Giá công thức'!$B$11:$B$106=$C64)*('Giá công thức'!$C$11:$C$106="GB")*('Giá công thức'!$G$3:$AD$3=H$1)*('Giá công thức'!$G$4:$AD$4=H$2)))</f>
        <v>#N/A</v>
      </c>
      <c r="I64" s="400" t="e" cm="1">
        <f t="array" ref="I64">IF(SUMPRODUCT('Giá công thức'!$G$11:$AD$106*('Giá công thức'!$A$11:$A$106=$B64)*('Giá công thức'!$B$11:$B$106=$C64)*('Giá công thức'!$C$11:$C$106="GB")*('Giá công thức'!$G$3:$AD$3=I$1)*('Giá công thức'!$G$4:$AD$4=I$2))=0,NA(),SUMPRODUCT('Giá công thức'!$G$11:$AD$106*('Giá công thức'!$A$11:$A$106=$B64)*('Giá công thức'!$B$11:$B$106=$C64)*('Giá công thức'!$C$11:$C$106="GB")*('Giá công thức'!$G$3:$AD$3=I$1)*('Giá công thức'!$G$4:$AD$4=I$2)))</f>
        <v>#N/A</v>
      </c>
      <c r="J64" s="400" t="e" cm="1">
        <f t="array" ref="J64">IF(SUMPRODUCT('Giá công thức'!$G$11:$AD$106*('Giá công thức'!$A$11:$A$106=$B64)*('Giá công thức'!$B$11:$B$106=$C64)*('Giá công thức'!$C$11:$C$106="GB")*('Giá công thức'!$G$3:$AD$3=J$1)*('Giá công thức'!$G$4:$AD$4=J$2))=0,NA(),SUMPRODUCT('Giá công thức'!$G$11:$AD$106*('Giá công thức'!$A$11:$A$106=$B64)*('Giá công thức'!$B$11:$B$106=$C64)*('Giá công thức'!$C$11:$C$106="GB")*('Giá công thức'!$G$3:$AD$3=J$1)*('Giá công thức'!$G$4:$AD$4=J$2)))</f>
        <v>#N/A</v>
      </c>
      <c r="K64" s="400" t="e" cm="1">
        <f t="array" ref="K64">IF(SUMPRODUCT('Giá công thức'!$G$11:$AD$106*('Giá công thức'!$A$11:$A$106=$B64)*('Giá công thức'!$B$11:$B$106=$C64)*('Giá công thức'!$C$11:$C$106="GB")*('Giá công thức'!$G$3:$AD$3=K$1)*('Giá công thức'!$G$4:$AD$4=K$2))=0,NA(),SUMPRODUCT('Giá công thức'!$G$11:$AD$106*('Giá công thức'!$A$11:$A$106=$B64)*('Giá công thức'!$B$11:$B$106=$C64)*('Giá công thức'!$C$11:$C$106="GB")*('Giá công thức'!$G$3:$AD$3=K$1)*('Giá công thức'!$G$4:$AD$4=K$2)))</f>
        <v>#N/A</v>
      </c>
      <c r="L64" s="400" t="e" cm="1">
        <f t="array" ref="L64">IF(SUMPRODUCT('Giá công thức'!$G$11:$AD$106*('Giá công thức'!$A$11:$A$106=$B64)*('Giá công thức'!$B$11:$B$106=$C64)*('Giá công thức'!$C$11:$C$106="GB")*('Giá công thức'!$G$3:$AD$3=L$1)*('Giá công thức'!$G$4:$AD$4=L$2))=0,NA(),SUMPRODUCT('Giá công thức'!$G$11:$AD$106*('Giá công thức'!$A$11:$A$106=$B64)*('Giá công thức'!$B$11:$B$106=$C64)*('Giá công thức'!$C$11:$C$106="GB")*('Giá công thức'!$G$3:$AD$3=L$1)*('Giá công thức'!$G$4:$AD$4=L$2)))</f>
        <v>#N/A</v>
      </c>
      <c r="M64" s="400" t="e" cm="1">
        <f t="array" ref="M64">IF(SUMPRODUCT('Giá công thức'!$G$11:$AD$106*('Giá công thức'!$A$11:$A$106=$B64)*('Giá công thức'!$B$11:$B$106=$C64)*('Giá công thức'!$C$11:$C$106="GB")*('Giá công thức'!$G$3:$AD$3=M$1)*('Giá công thức'!$G$4:$AD$4=M$2))=0,NA(),SUMPRODUCT('Giá công thức'!$G$11:$AD$106*('Giá công thức'!$A$11:$A$106=$B64)*('Giá công thức'!$B$11:$B$106=$C64)*('Giá công thức'!$C$11:$C$106="GB")*('Giá công thức'!$G$3:$AD$3=M$1)*('Giá công thức'!$G$4:$AD$4=M$2)))</f>
        <v>#N/A</v>
      </c>
      <c r="N64" s="400" t="e" cm="1">
        <f t="array" ref="N64">IF(SUMPRODUCT('Giá công thức'!$G$11:$AD$106*('Giá công thức'!$A$11:$A$106=$B64)*('Giá công thức'!$B$11:$B$106=$C64)*('Giá công thức'!$C$11:$C$106="GB")*('Giá công thức'!$G$3:$AD$3=N$1)*('Giá công thức'!$G$4:$AD$4=N$2))=0,NA(),SUMPRODUCT('Giá công thức'!$G$11:$AD$106*('Giá công thức'!$A$11:$A$106=$B64)*('Giá công thức'!$B$11:$B$106=$C64)*('Giá công thức'!$C$11:$C$106="GB")*('Giá công thức'!$G$3:$AD$3=N$1)*('Giá công thức'!$G$4:$AD$4=N$2)))</f>
        <v>#N/A</v>
      </c>
      <c r="O64" s="400" t="e" cm="1">
        <f t="array" ref="O64">IF(SUMPRODUCT('Giá công thức'!$G$11:$AD$106*('Giá công thức'!$A$11:$A$106=$B64)*('Giá công thức'!$B$11:$B$106=$C64)*('Giá công thức'!$C$11:$C$106="GB")*('Giá công thức'!$G$3:$AD$3=O$1)*('Giá công thức'!$G$4:$AD$4=O$2))=0,NA(),SUMPRODUCT('Giá công thức'!$G$11:$AD$106*('Giá công thức'!$A$11:$A$106=$B64)*('Giá công thức'!$B$11:$B$106=$C64)*('Giá công thức'!$C$11:$C$106="GB")*('Giá công thức'!$G$3:$AD$3=O$1)*('Giá công thức'!$G$4:$AD$4=O$2)))</f>
        <v>#N/A</v>
      </c>
      <c r="P64" s="400" t="e" cm="1">
        <f t="array" ref="P64">IF(SUMPRODUCT('Giá công thức'!$G$11:$AD$106*('Giá công thức'!$A$11:$A$106=$B64)*('Giá công thức'!$B$11:$B$106=$C64)*('Giá công thức'!$C$11:$C$106="GB")*('Giá công thức'!$G$3:$AD$3=P$1)*('Giá công thức'!$G$4:$AD$4=P$2))=0,NA(),SUMPRODUCT('Giá công thức'!$G$11:$AD$106*('Giá công thức'!$A$11:$A$106=$B64)*('Giá công thức'!$B$11:$B$106=$C64)*('Giá công thức'!$C$11:$C$106="GB")*('Giá công thức'!$G$3:$AD$3=P$1)*('Giá công thức'!$G$4:$AD$4=P$2)))</f>
        <v>#N/A</v>
      </c>
      <c r="Q64" s="400" cm="1">
        <f t="array" ref="Q64">IF(SUMPRODUCT('Giá công thức'!$G$11:$AD$106*('Giá công thức'!$A$11:$A$106=$B64)*('Giá công thức'!$B$11:$B$106=$C64)*('Giá công thức'!$C$11:$C$106="GB")*('Giá công thức'!$G$3:$AD$3=Q$1)*('Giá công thức'!$G$4:$AD$4=Q$2))=0,NA(),SUMPRODUCT('Giá công thức'!$G$11:$AD$106*('Giá công thức'!$A$11:$A$106=$B64)*('Giá công thức'!$B$11:$B$106=$C64)*('Giá công thức'!$C$11:$C$106="GB")*('Giá công thức'!$G$3:$AD$3=Q$1)*('Giá công thức'!$G$4:$AD$4=Q$2)))</f>
        <v>1388.04</v>
      </c>
      <c r="R64" s="400" cm="1">
        <f t="array" ref="R64">IF(SUMPRODUCT('Giá công thức'!$G$11:$AD$106*('Giá công thức'!$A$11:$A$106=$B64)*('Giá công thức'!$B$11:$B$106=$C64)*('Giá công thức'!$C$11:$C$106="GB")*('Giá công thức'!$G$3:$AD$3=R$1)*('Giá công thức'!$G$4:$AD$4=R$2))=0,NA(),SUMPRODUCT('Giá công thức'!$G$11:$AD$106*('Giá công thức'!$A$11:$A$106=$B64)*('Giá công thức'!$B$11:$B$106=$C64)*('Giá công thức'!$C$11:$C$106="GB")*('Giá công thức'!$G$3:$AD$3=R$1)*('Giá công thức'!$G$4:$AD$4=R$2)))</f>
        <v>1388.04</v>
      </c>
      <c r="S64" s="400" cm="1">
        <f t="array" ref="S64">IF(SUMPRODUCT('Giá công thức'!$G$11:$AD$106*('Giá công thức'!$A$11:$A$106=$B64)*('Giá công thức'!$B$11:$B$106=$C64)*('Giá công thức'!$C$11:$C$106="GB")*('Giá công thức'!$G$3:$AD$3=S$1)*('Giá công thức'!$G$4:$AD$4=S$2))=0,NA(),SUMPRODUCT('Giá công thức'!$G$11:$AD$106*('Giá công thức'!$A$11:$A$106=$B64)*('Giá công thức'!$B$11:$B$106=$C64)*('Giá công thức'!$C$11:$C$106="GB")*('Giá công thức'!$G$3:$AD$3=S$1)*('Giá công thức'!$G$4:$AD$4=S$2)))</f>
        <v>1388.04</v>
      </c>
      <c r="T64" s="400" cm="1">
        <f t="array" ref="T64">IF(SUMPRODUCT('Giá công thức'!$G$11:$AD$106*('Giá công thức'!$A$11:$A$106=$B64)*('Giá công thức'!$B$11:$B$106=$C64)*('Giá công thức'!$C$11:$C$106="GB")*('Giá công thức'!$G$3:$AD$3=T$1)*('Giá công thức'!$G$4:$AD$4=T$2))=0,NA(),SUMPRODUCT('Giá công thức'!$G$11:$AD$106*('Giá công thức'!$A$11:$A$106=$B64)*('Giá công thức'!$B$11:$B$106=$C64)*('Giá công thức'!$C$11:$C$106="GB")*('Giá công thức'!$G$3:$AD$3=T$1)*('Giá công thức'!$G$4:$AD$4=T$2)))</f>
        <v>1338.04</v>
      </c>
      <c r="U64" s="400" cm="1">
        <f t="array" ref="U64">IF(SUMPRODUCT('Giá công thức'!$G$11:$AD$106*('Giá công thức'!$A$11:$A$106=$B64)*('Giá công thức'!$B$11:$B$106=$C64)*('Giá công thức'!$C$11:$C$106="GB")*('Giá công thức'!$G$3:$AD$3=U$1)*('Giá công thức'!$G$4:$AD$4=U$2))=0,NA(),SUMPRODUCT('Giá công thức'!$G$11:$AD$106*('Giá công thức'!$A$11:$A$106=$B64)*('Giá công thức'!$B$11:$B$106=$C64)*('Giá công thức'!$C$11:$C$106="GB")*('Giá công thức'!$G$3:$AD$3=U$1)*('Giá công thức'!$G$4:$AD$4=U$2)))</f>
        <v>1338.04</v>
      </c>
      <c r="V64" s="400" cm="1">
        <f t="array" ref="V64">IF(SUMPRODUCT('Giá công thức'!$G$11:$AD$106*('Giá công thức'!$A$11:$A$106=$B64)*('Giá công thức'!$B$11:$B$106=$C64)*('Giá công thức'!$C$11:$C$106="GB")*('Giá công thức'!$G$3:$AD$3=V$1)*('Giá công thức'!$G$4:$AD$4=V$2))=0,NA(),SUMPRODUCT('Giá công thức'!$G$11:$AD$106*('Giá công thức'!$A$11:$A$106=$B64)*('Giá công thức'!$B$11:$B$106=$C64)*('Giá công thức'!$C$11:$C$106="GB")*('Giá công thức'!$G$3:$AD$3=V$1)*('Giá công thức'!$G$4:$AD$4=V$2)))</f>
        <v>1338.04</v>
      </c>
      <c r="W64" s="400" cm="1">
        <f t="array" ref="W64">IF(SUMPRODUCT('Giá công thức'!$G$11:$AD$106*('Giá công thức'!$A$11:$A$106=$B64)*('Giá công thức'!$B$11:$B$106=$C64)*('Giá công thức'!$C$11:$C$106="GB")*('Giá công thức'!$G$3:$AD$3=W$1)*('Giá công thức'!$G$4:$AD$4=W$2))=0,NA(),SUMPRODUCT('Giá công thức'!$G$11:$AD$106*('Giá công thức'!$A$11:$A$106=$B64)*('Giá công thức'!$B$11:$B$106=$C64)*('Giá công thức'!$C$11:$C$106="GB")*('Giá công thức'!$G$3:$AD$3=W$1)*('Giá công thức'!$G$4:$AD$4=W$2)))</f>
        <v>1368.04</v>
      </c>
      <c r="X64" s="400" cm="1">
        <f t="array" ref="X64">IF(SUMPRODUCT('Giá công thức'!$G$11:$AD$106*('Giá công thức'!$A$11:$A$106=$B64)*('Giá công thức'!$B$11:$B$106=$C64)*('Giá công thức'!$C$11:$C$106="GB")*('Giá công thức'!$G$3:$AD$3=X$1)*('Giá công thức'!$G$4:$AD$4=X$2))=0,NA(),SUMPRODUCT('Giá công thức'!$G$11:$AD$106*('Giá công thức'!$A$11:$A$106=$B64)*('Giá công thức'!$B$11:$B$106=$C64)*('Giá công thức'!$C$11:$C$106="GB")*('Giá công thức'!$G$3:$AD$3=X$1)*('Giá công thức'!$G$4:$AD$4=X$2)))</f>
        <v>1368.04</v>
      </c>
      <c r="Y64" s="400" cm="1">
        <f t="array" ref="Y64">IF(SUMPRODUCT('Giá công thức'!$G$11:$AD$106*('Giá công thức'!$A$11:$A$106=$B64)*('Giá công thức'!$B$11:$B$106=$C64)*('Giá công thức'!$C$11:$C$106="GB")*('Giá công thức'!$G$3:$AD$3=Y$1)*('Giá công thức'!$G$4:$AD$4=Y$2))=0,NA(),SUMPRODUCT('Giá công thức'!$G$11:$AD$106*('Giá công thức'!$A$11:$A$106=$B64)*('Giá công thức'!$B$11:$B$106=$C64)*('Giá công thức'!$C$11:$C$106="GB")*('Giá công thức'!$G$3:$AD$3=Y$1)*('Giá công thức'!$G$4:$AD$4=Y$2)))</f>
        <v>1368.04</v>
      </c>
      <c r="Z64" s="400" cm="1">
        <f t="array" ref="Z64">IF(SUMPRODUCT('Giá công thức'!$G$11:$AD$106*('Giá công thức'!$A$11:$A$106=$B64)*('Giá công thức'!$B$11:$B$106=$C64)*('Giá công thức'!$C$11:$C$106="GB")*('Giá công thức'!$G$3:$AD$3=Z$1)*('Giá công thức'!$G$4:$AD$4=Z$2))=0,NA(),SUMPRODUCT('Giá công thức'!$G$11:$AD$106*('Giá công thức'!$A$11:$A$106=$B64)*('Giá công thức'!$B$11:$B$106=$C64)*('Giá công thức'!$C$11:$C$106="GB")*('Giá công thức'!$G$3:$AD$3=Z$1)*('Giá công thức'!$G$4:$AD$4=Z$2)))</f>
        <v>1368.04</v>
      </c>
      <c r="AA64" s="400" cm="1">
        <f t="array" ref="AA64">IF(SUMPRODUCT('Giá công thức'!$G$11:$AD$106*('Giá công thức'!$A$11:$A$106=$B64)*('Giá công thức'!$B$11:$B$106=$C64)*('Giá công thức'!$C$11:$C$106="GB")*('Giá công thức'!$G$3:$AD$3=AA$1)*('Giá công thức'!$G$4:$AD$4=AA$2))=0,NA(),SUMPRODUCT('Giá công thức'!$G$11:$AD$106*('Giá công thức'!$A$11:$A$106=$B64)*('Giá công thức'!$B$11:$B$106=$C64)*('Giá công thức'!$C$11:$C$106="GB")*('Giá công thức'!$G$3:$AD$3=AA$1)*('Giá công thức'!$G$4:$AD$4=AA$2)))</f>
        <v>1368.04</v>
      </c>
      <c r="AB64" s="400" cm="1">
        <f t="array" ref="AB64">IF(SUMPRODUCT('Giá công thức'!$G$11:$AD$106*('Giá công thức'!$A$11:$A$106=$B64)*('Giá công thức'!$B$11:$B$106=$C64)*('Giá công thức'!$C$11:$C$106="GB")*('Giá công thức'!$G$3:$AD$3=AB$1)*('Giá công thức'!$G$4:$AD$4=AB$2))=0,NA(),SUMPRODUCT('Giá công thức'!$G$11:$AD$106*('Giá công thức'!$A$11:$A$106=$B64)*('Giá công thức'!$B$11:$B$106=$C64)*('Giá công thức'!$C$11:$C$106="GB")*('Giá công thức'!$G$3:$AD$3=AB$1)*('Giá công thức'!$G$4:$AD$4=AB$2)))</f>
        <v>1368.04</v>
      </c>
      <c r="AC64" s="400"/>
      <c r="AD64" s="400"/>
      <c r="AE64" s="400"/>
      <c r="AF64" s="400"/>
      <c r="AG64" s="400"/>
      <c r="AH64" s="400"/>
      <c r="AI64" s="400"/>
      <c r="AJ64" s="400"/>
      <c r="AK64" s="400"/>
      <c r="AL64" s="400"/>
      <c r="AM64" s="400"/>
      <c r="AN64" s="400"/>
      <c r="AO64" s="400">
        <f>INDEX($E64:$AB64,MATCH("X",$E$3:$AB$3,0))</f>
        <v>1368.04</v>
      </c>
    </row>
    <row r="65" spans="1:41" s="137" customFormat="1" x14ac:dyDescent="0.35">
      <c r="A65" s="137" t="s">
        <v>22</v>
      </c>
      <c r="C65" s="137" t="s">
        <v>22</v>
      </c>
      <c r="D65" s="137" t="s">
        <v>17</v>
      </c>
      <c r="E65" s="403" t="e" cm="1">
        <f t="array" ref="E65">IF(SUMPRODUCT(General_Data*(Code_General_Data=$A65)*(Year=E$1)*(Month=E$2))=0,NA(),SUMPRODUCT(General_Data*(Code_General_Data=$A65)*(Year=E$1)*(Month=E$2)))</f>
        <v>#N/A</v>
      </c>
      <c r="F65" s="403" t="e" cm="1">
        <f t="array" ref="F65">IF(SUMPRODUCT(General_Data*(Code_General_Data=$A65)*(Year=F$1)*(Month=F$2))=0,NA(),SUMPRODUCT(General_Data*(Code_General_Data=$A65)*(Year=F$1)*(Month=F$2)))</f>
        <v>#N/A</v>
      </c>
      <c r="G65" s="403" t="e" cm="1">
        <f t="array" ref="G65">IF(SUMPRODUCT(General_Data*(Code_General_Data=$A65)*(Year=G$1)*(Month=G$2))=0,NA(),SUMPRODUCT(General_Data*(Code_General_Data=$A65)*(Year=G$1)*(Month=G$2)))</f>
        <v>#N/A</v>
      </c>
      <c r="H65" s="403" t="e" cm="1">
        <f t="array" ref="H65">IF(SUMPRODUCT(General_Data*(Code_General_Data=$A65)*(Year=H$1)*(Month=H$2))=0,NA(),SUMPRODUCT(General_Data*(Code_General_Data=$A65)*(Year=H$1)*(Month=H$2)))</f>
        <v>#N/A</v>
      </c>
      <c r="I65" s="403" t="e" cm="1">
        <f t="array" ref="I65">IF(SUMPRODUCT(General_Data*(Code_General_Data=$A65)*(Year=I$1)*(Month=I$2))=0,NA(),SUMPRODUCT(General_Data*(Code_General_Data=$A65)*(Year=I$1)*(Month=I$2)))</f>
        <v>#N/A</v>
      </c>
      <c r="J65" s="403" t="e" cm="1">
        <f t="array" ref="J65">IF(SUMPRODUCT(General_Data*(Code_General_Data=$A65)*(Year=J$1)*(Month=J$2))=0,NA(),SUMPRODUCT(General_Data*(Code_General_Data=$A65)*(Year=J$1)*(Month=J$2)))</f>
        <v>#N/A</v>
      </c>
      <c r="K65" s="403" t="e" cm="1">
        <f t="array" ref="K65">IF(SUMPRODUCT(General_Data*(Code_General_Data=$A65)*(Year=K$1)*(Month=K$2))=0,NA(),SUMPRODUCT(General_Data*(Code_General_Data=$A65)*(Year=K$1)*(Month=K$2)))</f>
        <v>#N/A</v>
      </c>
      <c r="L65" s="403" t="e" cm="1">
        <f t="array" ref="L65">IF(SUMPRODUCT(General_Data*(Code_General_Data=$A65)*(Year=L$1)*(Month=L$2))=0,NA(),SUMPRODUCT(General_Data*(Code_General_Data=$A65)*(Year=L$1)*(Month=L$2)))</f>
        <v>#N/A</v>
      </c>
      <c r="M65" s="403" t="e" cm="1">
        <f t="array" ref="M65">IF(SUMPRODUCT(General_Data*(Code_General_Data=$A65)*(Year=M$1)*(Month=M$2))=0,NA(),SUMPRODUCT(General_Data*(Code_General_Data=$A65)*(Year=M$1)*(Month=M$2)))</f>
        <v>#N/A</v>
      </c>
      <c r="N65" s="403" t="e" cm="1">
        <f t="array" ref="N65">IF(SUMPRODUCT(General_Data*(Code_General_Data=$A65)*(Year=N$1)*(Month=N$2))=0,NA(),SUMPRODUCT(General_Data*(Code_General_Data=$A65)*(Year=N$1)*(Month=N$2)))</f>
        <v>#N/A</v>
      </c>
      <c r="O65" s="403" t="e" cm="1">
        <f t="array" ref="O65">IF(SUMPRODUCT(General_Data*(Code_General_Data=$A65)*(Year=O$1)*(Month=O$2))=0,NA(),SUMPRODUCT(General_Data*(Code_General_Data=$A65)*(Year=O$1)*(Month=O$2)))</f>
        <v>#N/A</v>
      </c>
      <c r="P65" s="403" t="e" cm="1">
        <f t="array" ref="P65">IF(SUMPRODUCT(General_Data*(Code_General_Data=$A65)*(Year=P$1)*(Month=P$2))=0,NA(),SUMPRODUCT(General_Data*(Code_General_Data=$A65)*(Year=P$1)*(Month=P$2)))</f>
        <v>#N/A</v>
      </c>
      <c r="Q65" s="403" cm="1">
        <f t="array" ref="Q65">IF(SUMPRODUCT(General_Data*(Code_General_Data=$A65)*(Year=Q$1)*(Month=Q$2))=0,NA(),SUMPRODUCT(General_Data*(Code_General_Data=$A65)*(Year=Q$1)*(Month=Q$2)))</f>
        <v>1400</v>
      </c>
      <c r="R65" s="403" cm="1">
        <f t="array" ref="R65">IF(SUMPRODUCT(General_Data*(Code_General_Data=$A65)*(Year=R$1)*(Month=R$2))=0,NA(),SUMPRODUCT(General_Data*(Code_General_Data=$A65)*(Year=R$1)*(Month=R$2)))</f>
        <v>1400</v>
      </c>
      <c r="S65" s="403" cm="1">
        <f t="array" ref="S65">IF(SUMPRODUCT(General_Data*(Code_General_Data=$A65)*(Year=S$1)*(Month=S$2))=0,NA(),SUMPRODUCT(General_Data*(Code_General_Data=$A65)*(Year=S$1)*(Month=S$2)))</f>
        <v>1350</v>
      </c>
      <c r="T65" s="403" cm="1">
        <f t="array" ref="T65">IF(SUMPRODUCT(General_Data*(Code_General_Data=$A65)*(Year=T$1)*(Month=T$2))=0,NA(),SUMPRODUCT(General_Data*(Code_General_Data=$A65)*(Year=T$1)*(Month=T$2)))</f>
        <v>1350</v>
      </c>
      <c r="U65" s="403" cm="1">
        <f t="array" ref="U65">IF(SUMPRODUCT(General_Data*(Code_General_Data=$A65)*(Year=U$1)*(Month=U$2))=0,NA(),SUMPRODUCT(General_Data*(Code_General_Data=$A65)*(Year=U$1)*(Month=U$2)))</f>
        <v>1350</v>
      </c>
      <c r="V65" s="403" cm="1">
        <f t="array" ref="V65">IF(SUMPRODUCT(General_Data*(Code_General_Data=$A65)*(Year=V$1)*(Month=V$2))=0,NA(),SUMPRODUCT(General_Data*(Code_General_Data=$A65)*(Year=V$1)*(Month=V$2)))</f>
        <v>1350</v>
      </c>
      <c r="W65" s="403" cm="1">
        <f t="array" ref="W65">IF(SUMPRODUCT(General_Data*(Code_General_Data=$A65)*(Year=W$1)*(Month=W$2))=0,NA(),SUMPRODUCT(General_Data*(Code_General_Data=$A65)*(Year=W$1)*(Month=W$2)))</f>
        <v>1350</v>
      </c>
      <c r="X65" s="403" cm="1">
        <f t="array" ref="X65">IF(SUMPRODUCT(General_Data*(Code_General_Data=$A65)*(Year=X$1)*(Month=X$2))=0,NA(),SUMPRODUCT(General_Data*(Code_General_Data=$A65)*(Year=X$1)*(Month=X$2)))</f>
        <v>1330</v>
      </c>
      <c r="Y65" s="403" cm="1">
        <f t="array" ref="Y65">IF(SUMPRODUCT(General_Data*(Code_General_Data=$A65)*(Year=Y$1)*(Month=Y$2))=0,NA(),SUMPRODUCT(General_Data*(Code_General_Data=$A65)*(Year=Y$1)*(Month=Y$2)))</f>
        <v>1310</v>
      </c>
      <c r="Z65" s="403" cm="1">
        <f t="array" ref="Z65">IF(SUMPRODUCT(General_Data*(Code_General_Data=$A65)*(Year=Z$1)*(Month=Z$2))=0,NA(),SUMPRODUCT(General_Data*(Code_General_Data=$A65)*(Year=Z$1)*(Month=Z$2)))</f>
        <v>1310</v>
      </c>
      <c r="AA65" s="403" cm="1">
        <f t="array" ref="AA65">IF(SUMPRODUCT(General_Data*(Code_General_Data=$A65)*(Year=AA$1)*(Month=AA$2))=0,NA(),SUMPRODUCT(General_Data*(Code_General_Data=$A65)*(Year=AA$1)*(Month=AA$2)))</f>
        <v>1300</v>
      </c>
      <c r="AB65" s="403" cm="1">
        <f t="array" ref="AB65">IF(SUMPRODUCT(General_Data*(Code_General_Data=$A65)*(Year=AB$1)*(Month=AB$2))=0,NA(),SUMPRODUCT(General_Data*(Code_General_Data=$A65)*(Year=AB$1)*(Month=AB$2)))</f>
        <v>1300</v>
      </c>
      <c r="AC65" s="403"/>
      <c r="AD65" s="403"/>
      <c r="AE65" s="403"/>
      <c r="AF65" s="403"/>
      <c r="AG65" s="403"/>
      <c r="AH65" s="403"/>
      <c r="AI65" s="403"/>
      <c r="AJ65" s="403"/>
      <c r="AK65" s="403"/>
      <c r="AL65" s="403"/>
      <c r="AM65" s="403"/>
      <c r="AN65" s="403"/>
      <c r="AO65" s="403">
        <f t="shared" ref="AO65:AO66" si="61">INDEX($E65:$AB65,MATCH("X",$E$3:$AB$3,0))</f>
        <v>1300</v>
      </c>
    </row>
    <row r="66" spans="1:41" s="401" customFormat="1" x14ac:dyDescent="0.35">
      <c r="A66" s="401" t="s">
        <v>21</v>
      </c>
      <c r="D66" s="401" t="s">
        <v>11</v>
      </c>
      <c r="E66" s="402" cm="1">
        <f t="array" ref="E66">SUMPRODUCT(General_Data*(Code_General_Data=$A66)*(Year=E$1)*(Month=E$2))</f>
        <v>940</v>
      </c>
      <c r="F66" s="402" cm="1">
        <f t="array" ref="F66">SUMPRODUCT(General_Data*(Code_General_Data=$A66)*(Year=F$1)*(Month=F$2))</f>
        <v>993.33333333333337</v>
      </c>
      <c r="G66" s="402" cm="1">
        <f t="array" ref="G66">SUMPRODUCT(General_Data*(Code_General_Data=$A66)*(Year=G$1)*(Month=G$2))</f>
        <v>985</v>
      </c>
      <c r="H66" s="402" cm="1">
        <f t="array" ref="H66">SUMPRODUCT(General_Data*(Code_General_Data=$A66)*(Year=H$1)*(Month=H$2))</f>
        <v>962.5</v>
      </c>
      <c r="I66" s="402" cm="1">
        <f t="array" ref="I66">SUMPRODUCT(General_Data*(Code_General_Data=$A66)*(Year=I$1)*(Month=I$2))</f>
        <v>982</v>
      </c>
      <c r="J66" s="402" cm="1">
        <f t="array" ref="J66">SUMPRODUCT(General_Data*(Code_General_Data=$A66)*(Year=J$1)*(Month=J$2))</f>
        <v>1000</v>
      </c>
      <c r="K66" s="402" cm="1">
        <f t="array" ref="K66">SUMPRODUCT(General_Data*(Code_General_Data=$A66)*(Year=K$1)*(Month=K$2))</f>
        <v>1000</v>
      </c>
      <c r="L66" s="402" cm="1">
        <f t="array" ref="L66">SUMPRODUCT(General_Data*(Code_General_Data=$A66)*(Year=L$1)*(Month=L$2))</f>
        <v>984</v>
      </c>
      <c r="M66" s="402" cm="1">
        <f t="array" ref="M66">SUMPRODUCT(General_Data*(Code_General_Data=$A66)*(Year=M$1)*(Month=M$2))</f>
        <v>967.5</v>
      </c>
      <c r="N66" s="402" cm="1">
        <f t="array" ref="N66">SUMPRODUCT(General_Data*(Code_General_Data=$A66)*(Year=N$1)*(Month=N$2))</f>
        <v>965</v>
      </c>
      <c r="O66" s="402" cm="1">
        <f t="array" ref="O66">SUMPRODUCT(General_Data*(Code_General_Data=$A66)*(Year=O$1)*(Month=O$2))</f>
        <v>974</v>
      </c>
      <c r="P66" s="402" cm="1">
        <f t="array" ref="P66">SUMPRODUCT(General_Data*(Code_General_Data=$A66)*(Year=P$1)*(Month=P$2))</f>
        <v>956</v>
      </c>
      <c r="Q66" s="402" cm="1">
        <f t="array" ref="Q66">SUMPRODUCT(General_Data*(Code_General_Data=$A66)*(Year=Q$1)*(Month=Q$2))</f>
        <v>940</v>
      </c>
      <c r="R66" s="402" cm="1">
        <f t="array" ref="R66">SUMPRODUCT(General_Data*(Code_General_Data=$A66)*(Year=R$1)*(Month=R$2))</f>
        <v>918</v>
      </c>
      <c r="S66" s="402" cm="1">
        <f t="array" ref="S66">SUMPRODUCT(General_Data*(Code_General_Data=$A66)*(Year=S$1)*(Month=S$2))</f>
        <v>896</v>
      </c>
      <c r="T66" s="402" cm="1">
        <f t="array" ref="T66">SUMPRODUCT(General_Data*(Code_General_Data=$A66)*(Year=T$1)*(Month=T$2))</f>
        <v>891.5</v>
      </c>
      <c r="U66" s="402" cm="1">
        <f t="array" ref="U66">SUMPRODUCT(General_Data*(Code_General_Data=$A66)*(Year=U$1)*(Month=U$2))</f>
        <v>864</v>
      </c>
      <c r="V66" s="402" cm="1">
        <f t="array" ref="V66">SUMPRODUCT(General_Data*(Code_General_Data=$A66)*(Year=V$1)*(Month=V$2))</f>
        <v>833</v>
      </c>
      <c r="W66" s="402" cm="1">
        <f t="array" ref="W66">SUMPRODUCT(General_Data*(Code_General_Data=$A66)*(Year=W$1)*(Month=W$2))</f>
        <v>833</v>
      </c>
      <c r="X66" s="402" cm="1">
        <f t="array" ref="X66">SUMPRODUCT(General_Data*(Code_General_Data=$A66)*(Year=X$1)*(Month=X$2))</f>
        <v>815</v>
      </c>
      <c r="Y66" s="402" cm="1">
        <f t="array" ref="Y66">SUMPRODUCT(General_Data*(Code_General_Data=$A66)*(Year=Y$1)*(Month=Y$2))</f>
        <v>813</v>
      </c>
      <c r="Z66" s="402" cm="1">
        <f t="array" ref="Z66">SUMPRODUCT(General_Data*(Code_General_Data=$A66)*(Year=Z$1)*(Month=Z$2))</f>
        <v>805</v>
      </c>
      <c r="AA66" s="402" cm="1">
        <f t="array" ref="AA66">SUMPRODUCT(General_Data*(Code_General_Data=$A66)*(Year=AA$1)*(Month=AA$2))</f>
        <v>805</v>
      </c>
      <c r="AB66" s="402" cm="1">
        <f t="array" ref="AB66">SUMPRODUCT(General_Data*(Code_General_Data=$A66)*(Year=AB$1)*(Month=AB$2))</f>
        <v>805</v>
      </c>
      <c r="AC66" s="402"/>
      <c r="AD66" s="402"/>
      <c r="AE66" s="402"/>
      <c r="AF66" s="402"/>
      <c r="AG66" s="402"/>
      <c r="AH66" s="402"/>
      <c r="AI66" s="402"/>
      <c r="AJ66" s="402"/>
      <c r="AK66" s="402"/>
      <c r="AL66" s="402"/>
      <c r="AM66" s="402"/>
      <c r="AN66" s="402"/>
      <c r="AO66" s="402">
        <f t="shared" si="61"/>
        <v>805</v>
      </c>
    </row>
    <row r="67" spans="1:41" s="408" customFormat="1" x14ac:dyDescent="0.35">
      <c r="D67" s="408" t="s">
        <v>395</v>
      </c>
      <c r="E67" s="409" t="e">
        <f t="shared" ref="E67:AA67" si="62">E65-E66</f>
        <v>#N/A</v>
      </c>
      <c r="F67" s="409" t="e">
        <f t="shared" si="62"/>
        <v>#N/A</v>
      </c>
      <c r="G67" s="409" t="e">
        <f t="shared" si="62"/>
        <v>#N/A</v>
      </c>
      <c r="H67" s="409" t="e">
        <f t="shared" si="62"/>
        <v>#N/A</v>
      </c>
      <c r="I67" s="409" t="e">
        <f t="shared" si="62"/>
        <v>#N/A</v>
      </c>
      <c r="J67" s="409" t="e">
        <f t="shared" si="62"/>
        <v>#N/A</v>
      </c>
      <c r="K67" s="409" t="e">
        <f t="shared" si="62"/>
        <v>#N/A</v>
      </c>
      <c r="L67" s="409" t="e">
        <f t="shared" si="62"/>
        <v>#N/A</v>
      </c>
      <c r="M67" s="409" t="e">
        <f t="shared" si="62"/>
        <v>#N/A</v>
      </c>
      <c r="N67" s="409" t="e">
        <f t="shared" si="62"/>
        <v>#N/A</v>
      </c>
      <c r="O67" s="409" t="e">
        <f t="shared" si="62"/>
        <v>#N/A</v>
      </c>
      <c r="P67" s="409" t="e">
        <f t="shared" si="62"/>
        <v>#N/A</v>
      </c>
      <c r="Q67" s="409">
        <f t="shared" si="62"/>
        <v>460</v>
      </c>
      <c r="R67" s="409">
        <f t="shared" si="62"/>
        <v>482</v>
      </c>
      <c r="S67" s="409">
        <f t="shared" si="62"/>
        <v>454</v>
      </c>
      <c r="T67" s="409">
        <f t="shared" si="62"/>
        <v>458.5</v>
      </c>
      <c r="U67" s="409">
        <f t="shared" si="62"/>
        <v>486</v>
      </c>
      <c r="V67" s="409">
        <f t="shared" si="62"/>
        <v>517</v>
      </c>
      <c r="W67" s="409">
        <f t="shared" si="62"/>
        <v>517</v>
      </c>
      <c r="X67" s="409">
        <f t="shared" si="62"/>
        <v>515</v>
      </c>
      <c r="Y67" s="409">
        <f t="shared" si="62"/>
        <v>497</v>
      </c>
      <c r="Z67" s="409">
        <f t="shared" si="62"/>
        <v>505</v>
      </c>
      <c r="AA67" s="409">
        <f t="shared" si="62"/>
        <v>495</v>
      </c>
      <c r="AB67" s="409">
        <f t="shared" ref="AB67" si="63">AB65-AB66</f>
        <v>495</v>
      </c>
      <c r="AC67" s="409"/>
      <c r="AD67" s="409"/>
      <c r="AE67" s="409"/>
      <c r="AF67" s="409"/>
      <c r="AG67" s="409"/>
      <c r="AH67" s="409"/>
      <c r="AI67" s="409"/>
      <c r="AJ67" s="409"/>
      <c r="AK67" s="409"/>
      <c r="AL67" s="409"/>
      <c r="AM67" s="409"/>
      <c r="AN67" s="409"/>
      <c r="AO67" s="402"/>
    </row>
    <row r="68" spans="1:41" s="410" customFormat="1" x14ac:dyDescent="0.35">
      <c r="D68" s="410" t="s">
        <v>394</v>
      </c>
      <c r="E68" s="411">
        <f t="shared" ref="E68:AA68" si="64">IFERROR(E67/E66,0)</f>
        <v>0</v>
      </c>
      <c r="F68" s="411">
        <f t="shared" si="64"/>
        <v>0</v>
      </c>
      <c r="G68" s="411">
        <f t="shared" si="64"/>
        <v>0</v>
      </c>
      <c r="H68" s="411">
        <f t="shared" si="64"/>
        <v>0</v>
      </c>
      <c r="I68" s="411">
        <f t="shared" si="64"/>
        <v>0</v>
      </c>
      <c r="J68" s="411">
        <f t="shared" si="64"/>
        <v>0</v>
      </c>
      <c r="K68" s="411">
        <f t="shared" si="64"/>
        <v>0</v>
      </c>
      <c r="L68" s="411">
        <f t="shared" si="64"/>
        <v>0</v>
      </c>
      <c r="M68" s="411">
        <f t="shared" si="64"/>
        <v>0</v>
      </c>
      <c r="N68" s="411">
        <f t="shared" si="64"/>
        <v>0</v>
      </c>
      <c r="O68" s="411">
        <f t="shared" si="64"/>
        <v>0</v>
      </c>
      <c r="P68" s="411">
        <f t="shared" si="64"/>
        <v>0</v>
      </c>
      <c r="Q68" s="411">
        <f t="shared" si="64"/>
        <v>0.48936170212765956</v>
      </c>
      <c r="R68" s="411">
        <f t="shared" si="64"/>
        <v>0.52505446623093677</v>
      </c>
      <c r="S68" s="411">
        <f t="shared" si="64"/>
        <v>0.5066964285714286</v>
      </c>
      <c r="T68" s="411">
        <f t="shared" si="64"/>
        <v>0.51430173864273698</v>
      </c>
      <c r="U68" s="411">
        <f t="shared" si="64"/>
        <v>0.5625</v>
      </c>
      <c r="V68" s="411">
        <f t="shared" si="64"/>
        <v>0.62064825930372147</v>
      </c>
      <c r="W68" s="411">
        <f t="shared" si="64"/>
        <v>0.62064825930372147</v>
      </c>
      <c r="X68" s="411">
        <f t="shared" si="64"/>
        <v>0.63190184049079756</v>
      </c>
      <c r="Y68" s="411">
        <f t="shared" si="64"/>
        <v>0.61131611316113166</v>
      </c>
      <c r="Z68" s="411">
        <f t="shared" si="64"/>
        <v>0.62732919254658381</v>
      </c>
      <c r="AA68" s="411">
        <f t="shared" si="64"/>
        <v>0.6149068322981367</v>
      </c>
      <c r="AB68" s="411">
        <f t="shared" ref="AB68" si="65">IFERROR(AB67/AB66,0)</f>
        <v>0.6149068322981367</v>
      </c>
      <c r="AC68" s="411"/>
      <c r="AD68" s="411"/>
      <c r="AE68" s="411"/>
      <c r="AF68" s="411"/>
      <c r="AG68" s="411"/>
      <c r="AH68" s="411"/>
      <c r="AI68" s="411"/>
      <c r="AJ68" s="411"/>
      <c r="AK68" s="411"/>
      <c r="AL68" s="411"/>
      <c r="AM68" s="411"/>
      <c r="AN68" s="411"/>
      <c r="AO68" s="409"/>
    </row>
    <row r="69" spans="1:41" s="426" customFormat="1" x14ac:dyDescent="0.35">
      <c r="D69" s="426" t="s">
        <v>419</v>
      </c>
      <c r="E69" s="427" t="e">
        <f>E65</f>
        <v>#N/A</v>
      </c>
      <c r="F69" s="427" t="e">
        <f t="shared" ref="F69:AB69" si="66">F65</f>
        <v>#N/A</v>
      </c>
      <c r="G69" s="427" t="e">
        <f t="shared" si="66"/>
        <v>#N/A</v>
      </c>
      <c r="H69" s="427" t="e">
        <f t="shared" si="66"/>
        <v>#N/A</v>
      </c>
      <c r="I69" s="427" t="e">
        <f t="shared" si="66"/>
        <v>#N/A</v>
      </c>
      <c r="J69" s="427" t="e">
        <f t="shared" si="66"/>
        <v>#N/A</v>
      </c>
      <c r="K69" s="427" t="e">
        <f t="shared" si="66"/>
        <v>#N/A</v>
      </c>
      <c r="L69" s="427" t="e">
        <f t="shared" si="66"/>
        <v>#N/A</v>
      </c>
      <c r="M69" s="427" t="e">
        <f t="shared" si="66"/>
        <v>#N/A</v>
      </c>
      <c r="N69" s="427" t="e">
        <f t="shared" si="66"/>
        <v>#N/A</v>
      </c>
      <c r="O69" s="427" t="e">
        <f t="shared" si="66"/>
        <v>#N/A</v>
      </c>
      <c r="P69" s="427" t="e">
        <f t="shared" si="66"/>
        <v>#N/A</v>
      </c>
      <c r="Q69" s="427">
        <f t="shared" si="66"/>
        <v>1400</v>
      </c>
      <c r="R69" s="427">
        <f t="shared" si="66"/>
        <v>1400</v>
      </c>
      <c r="S69" s="427">
        <f t="shared" si="66"/>
        <v>1350</v>
      </c>
      <c r="T69" s="427">
        <f t="shared" si="66"/>
        <v>1350</v>
      </c>
      <c r="U69" s="427">
        <f t="shared" si="66"/>
        <v>1350</v>
      </c>
      <c r="V69" s="427">
        <f t="shared" si="66"/>
        <v>1350</v>
      </c>
      <c r="W69" s="427">
        <f t="shared" si="66"/>
        <v>1350</v>
      </c>
      <c r="X69" s="427">
        <f t="shared" si="66"/>
        <v>1330</v>
      </c>
      <c r="Y69" s="427">
        <f t="shared" si="66"/>
        <v>1310</v>
      </c>
      <c r="Z69" s="427">
        <f t="shared" si="66"/>
        <v>1310</v>
      </c>
      <c r="AA69" s="427">
        <f t="shared" si="66"/>
        <v>1300</v>
      </c>
      <c r="AB69" s="427">
        <f t="shared" si="66"/>
        <v>1300</v>
      </c>
      <c r="AC69" s="427"/>
      <c r="AD69" s="427"/>
      <c r="AE69" s="427"/>
      <c r="AF69" s="427"/>
      <c r="AG69" s="427"/>
      <c r="AH69" s="427"/>
      <c r="AI69" s="427"/>
      <c r="AJ69" s="427"/>
      <c r="AK69" s="427"/>
      <c r="AL69" s="427"/>
      <c r="AM69" s="427"/>
      <c r="AN69" s="427"/>
      <c r="AO69" s="437"/>
    </row>
    <row r="70" spans="1:41" s="426" customFormat="1" x14ac:dyDescent="0.35">
      <c r="D70" s="426" t="s">
        <v>420</v>
      </c>
      <c r="E70" s="427" t="e">
        <f>E66+E67/2</f>
        <v>#N/A</v>
      </c>
      <c r="F70" s="427" t="e">
        <f t="shared" ref="F70:AB70" si="67">F66+F67/2</f>
        <v>#N/A</v>
      </c>
      <c r="G70" s="427" t="e">
        <f t="shared" si="67"/>
        <v>#N/A</v>
      </c>
      <c r="H70" s="427" t="e">
        <f t="shared" si="67"/>
        <v>#N/A</v>
      </c>
      <c r="I70" s="427" t="e">
        <f t="shared" si="67"/>
        <v>#N/A</v>
      </c>
      <c r="J70" s="427" t="e">
        <f t="shared" si="67"/>
        <v>#N/A</v>
      </c>
      <c r="K70" s="427" t="e">
        <f t="shared" si="67"/>
        <v>#N/A</v>
      </c>
      <c r="L70" s="427" t="e">
        <f t="shared" si="67"/>
        <v>#N/A</v>
      </c>
      <c r="M70" s="427" t="e">
        <f t="shared" si="67"/>
        <v>#N/A</v>
      </c>
      <c r="N70" s="427" t="e">
        <f t="shared" si="67"/>
        <v>#N/A</v>
      </c>
      <c r="O70" s="427" t="e">
        <f t="shared" si="67"/>
        <v>#N/A</v>
      </c>
      <c r="P70" s="427" t="e">
        <f t="shared" si="67"/>
        <v>#N/A</v>
      </c>
      <c r="Q70" s="427">
        <f t="shared" si="67"/>
        <v>1170</v>
      </c>
      <c r="R70" s="427">
        <f t="shared" si="67"/>
        <v>1159</v>
      </c>
      <c r="S70" s="427">
        <f t="shared" si="67"/>
        <v>1123</v>
      </c>
      <c r="T70" s="427">
        <f t="shared" si="67"/>
        <v>1120.75</v>
      </c>
      <c r="U70" s="427">
        <f t="shared" si="67"/>
        <v>1107</v>
      </c>
      <c r="V70" s="427">
        <f t="shared" si="67"/>
        <v>1091.5</v>
      </c>
      <c r="W70" s="427">
        <f t="shared" si="67"/>
        <v>1091.5</v>
      </c>
      <c r="X70" s="427">
        <f t="shared" si="67"/>
        <v>1072.5</v>
      </c>
      <c r="Y70" s="427">
        <f t="shared" si="67"/>
        <v>1061.5</v>
      </c>
      <c r="Z70" s="427">
        <f t="shared" si="67"/>
        <v>1057.5</v>
      </c>
      <c r="AA70" s="427">
        <f t="shared" si="67"/>
        <v>1052.5</v>
      </c>
      <c r="AB70" s="427">
        <f t="shared" si="67"/>
        <v>1052.5</v>
      </c>
      <c r="AC70" s="427"/>
      <c r="AD70" s="427"/>
      <c r="AE70" s="427"/>
      <c r="AF70" s="427"/>
      <c r="AG70" s="427"/>
      <c r="AH70" s="427"/>
      <c r="AI70" s="427"/>
      <c r="AJ70" s="427"/>
      <c r="AK70" s="427"/>
      <c r="AL70" s="427"/>
      <c r="AM70" s="427"/>
      <c r="AN70" s="427"/>
      <c r="AO70" s="437"/>
    </row>
    <row r="71" spans="1:41" s="434" customFormat="1" x14ac:dyDescent="0.35">
      <c r="D71" s="434" t="s">
        <v>417</v>
      </c>
      <c r="E71" s="435" t="e">
        <f>E65</f>
        <v>#N/A</v>
      </c>
      <c r="F71" s="435" t="e">
        <f t="shared" ref="F71:AB71" si="68">F65</f>
        <v>#N/A</v>
      </c>
      <c r="G71" s="435" t="e">
        <f t="shared" si="68"/>
        <v>#N/A</v>
      </c>
      <c r="H71" s="435" t="e">
        <f t="shared" si="68"/>
        <v>#N/A</v>
      </c>
      <c r="I71" s="435" t="e">
        <f t="shared" si="68"/>
        <v>#N/A</v>
      </c>
      <c r="J71" s="435" t="e">
        <f t="shared" si="68"/>
        <v>#N/A</v>
      </c>
      <c r="K71" s="435" t="e">
        <f t="shared" si="68"/>
        <v>#N/A</v>
      </c>
      <c r="L71" s="435" t="e">
        <f t="shared" si="68"/>
        <v>#N/A</v>
      </c>
      <c r="M71" s="435" t="e">
        <f t="shared" si="68"/>
        <v>#N/A</v>
      </c>
      <c r="N71" s="435" t="e">
        <f t="shared" si="68"/>
        <v>#N/A</v>
      </c>
      <c r="O71" s="435" t="e">
        <f t="shared" si="68"/>
        <v>#N/A</v>
      </c>
      <c r="P71" s="435" t="e">
        <f t="shared" si="68"/>
        <v>#N/A</v>
      </c>
      <c r="Q71" s="435">
        <f t="shared" si="68"/>
        <v>1400</v>
      </c>
      <c r="R71" s="435">
        <f t="shared" si="68"/>
        <v>1400</v>
      </c>
      <c r="S71" s="435">
        <f t="shared" si="68"/>
        <v>1350</v>
      </c>
      <c r="T71" s="435">
        <f t="shared" si="68"/>
        <v>1350</v>
      </c>
      <c r="U71" s="435">
        <f t="shared" si="68"/>
        <v>1350</v>
      </c>
      <c r="V71" s="435">
        <f t="shared" si="68"/>
        <v>1350</v>
      </c>
      <c r="W71" s="435">
        <f t="shared" si="68"/>
        <v>1350</v>
      </c>
      <c r="X71" s="435">
        <f t="shared" si="68"/>
        <v>1330</v>
      </c>
      <c r="Y71" s="435">
        <f t="shared" si="68"/>
        <v>1310</v>
      </c>
      <c r="Z71" s="435">
        <f t="shared" si="68"/>
        <v>1310</v>
      </c>
      <c r="AA71" s="435">
        <f t="shared" si="68"/>
        <v>1300</v>
      </c>
      <c r="AB71" s="435">
        <f t="shared" si="68"/>
        <v>1300</v>
      </c>
      <c r="AC71" s="435"/>
      <c r="AD71" s="435"/>
      <c r="AE71" s="435"/>
      <c r="AF71" s="435"/>
      <c r="AG71" s="435"/>
      <c r="AH71" s="435"/>
      <c r="AI71" s="435"/>
      <c r="AJ71" s="435"/>
      <c r="AK71" s="435"/>
      <c r="AL71" s="435"/>
      <c r="AM71" s="435"/>
      <c r="AN71" s="435"/>
      <c r="AO71" s="436"/>
    </row>
    <row r="72" spans="1:41" s="434" customFormat="1" x14ac:dyDescent="0.35">
      <c r="D72" s="434" t="s">
        <v>418</v>
      </c>
      <c r="E72" s="435">
        <f>E66</f>
        <v>940</v>
      </c>
      <c r="F72" s="435">
        <f t="shared" ref="F72:AB72" si="69">F66</f>
        <v>993.33333333333337</v>
      </c>
      <c r="G72" s="435">
        <f t="shared" si="69"/>
        <v>985</v>
      </c>
      <c r="H72" s="435">
        <f t="shared" si="69"/>
        <v>962.5</v>
      </c>
      <c r="I72" s="435">
        <f t="shared" si="69"/>
        <v>982</v>
      </c>
      <c r="J72" s="435">
        <f t="shared" si="69"/>
        <v>1000</v>
      </c>
      <c r="K72" s="435">
        <f t="shared" si="69"/>
        <v>1000</v>
      </c>
      <c r="L72" s="435">
        <f t="shared" si="69"/>
        <v>984</v>
      </c>
      <c r="M72" s="435">
        <f t="shared" si="69"/>
        <v>967.5</v>
      </c>
      <c r="N72" s="435">
        <f t="shared" si="69"/>
        <v>965</v>
      </c>
      <c r="O72" s="435">
        <f t="shared" si="69"/>
        <v>974</v>
      </c>
      <c r="P72" s="435">
        <f t="shared" si="69"/>
        <v>956</v>
      </c>
      <c r="Q72" s="435">
        <f t="shared" si="69"/>
        <v>940</v>
      </c>
      <c r="R72" s="435">
        <f t="shared" si="69"/>
        <v>918</v>
      </c>
      <c r="S72" s="435">
        <f t="shared" si="69"/>
        <v>896</v>
      </c>
      <c r="T72" s="435">
        <f t="shared" si="69"/>
        <v>891.5</v>
      </c>
      <c r="U72" s="435">
        <f t="shared" si="69"/>
        <v>864</v>
      </c>
      <c r="V72" s="435">
        <f t="shared" si="69"/>
        <v>833</v>
      </c>
      <c r="W72" s="435">
        <f t="shared" si="69"/>
        <v>833</v>
      </c>
      <c r="X72" s="435">
        <f t="shared" si="69"/>
        <v>815</v>
      </c>
      <c r="Y72" s="435">
        <f t="shared" si="69"/>
        <v>813</v>
      </c>
      <c r="Z72" s="435">
        <f t="shared" si="69"/>
        <v>805</v>
      </c>
      <c r="AA72" s="435">
        <f t="shared" si="69"/>
        <v>805</v>
      </c>
      <c r="AB72" s="435">
        <f t="shared" si="69"/>
        <v>805</v>
      </c>
      <c r="AC72" s="435"/>
      <c r="AD72" s="435"/>
      <c r="AE72" s="435"/>
      <c r="AF72" s="435"/>
      <c r="AG72" s="435"/>
      <c r="AH72" s="435"/>
      <c r="AI72" s="435"/>
      <c r="AJ72" s="435"/>
      <c r="AK72" s="435"/>
      <c r="AL72" s="435"/>
      <c r="AM72" s="435"/>
      <c r="AN72" s="435"/>
      <c r="AO72" s="436"/>
    </row>
    <row r="73" spans="1:41" x14ac:dyDescent="0.35">
      <c r="C73" s="424"/>
      <c r="D73" s="424" t="s">
        <v>411</v>
      </c>
      <c r="E73" s="438">
        <f>IFERROR(E64,0)</f>
        <v>0</v>
      </c>
      <c r="F73" s="438">
        <f t="shared" ref="F73:AB73" si="70">IFERROR(F64,0)</f>
        <v>0</v>
      </c>
      <c r="G73" s="438">
        <f t="shared" si="70"/>
        <v>0</v>
      </c>
      <c r="H73" s="438">
        <f t="shared" si="70"/>
        <v>0</v>
      </c>
      <c r="I73" s="438">
        <f t="shared" si="70"/>
        <v>0</v>
      </c>
      <c r="J73" s="438">
        <f t="shared" si="70"/>
        <v>0</v>
      </c>
      <c r="K73" s="438">
        <f t="shared" si="70"/>
        <v>0</v>
      </c>
      <c r="L73" s="438">
        <f t="shared" si="70"/>
        <v>0</v>
      </c>
      <c r="M73" s="438">
        <f t="shared" si="70"/>
        <v>0</v>
      </c>
      <c r="N73" s="438">
        <f t="shared" si="70"/>
        <v>0</v>
      </c>
      <c r="O73" s="438">
        <f t="shared" si="70"/>
        <v>0</v>
      </c>
      <c r="P73" s="438">
        <f t="shared" si="70"/>
        <v>0</v>
      </c>
      <c r="Q73" s="438">
        <f t="shared" si="70"/>
        <v>1388.04</v>
      </c>
      <c r="R73" s="438">
        <f t="shared" si="70"/>
        <v>1388.04</v>
      </c>
      <c r="S73" s="438">
        <f t="shared" si="70"/>
        <v>1388.04</v>
      </c>
      <c r="T73" s="438">
        <f t="shared" si="70"/>
        <v>1338.04</v>
      </c>
      <c r="U73" s="438">
        <f t="shared" si="70"/>
        <v>1338.04</v>
      </c>
      <c r="V73" s="438">
        <f t="shared" si="70"/>
        <v>1338.04</v>
      </c>
      <c r="W73" s="438">
        <f t="shared" si="70"/>
        <v>1368.04</v>
      </c>
      <c r="X73" s="438">
        <f t="shared" si="70"/>
        <v>1368.04</v>
      </c>
      <c r="Y73" s="438">
        <f t="shared" si="70"/>
        <v>1368.04</v>
      </c>
      <c r="Z73" s="438">
        <f t="shared" si="70"/>
        <v>1368.04</v>
      </c>
      <c r="AA73" s="438">
        <f t="shared" si="70"/>
        <v>1368.04</v>
      </c>
      <c r="AB73" s="438">
        <f t="shared" si="70"/>
        <v>1368.04</v>
      </c>
      <c r="AC73" s="438"/>
      <c r="AD73" s="438"/>
      <c r="AE73" s="438"/>
      <c r="AF73" s="438"/>
      <c r="AG73" s="438"/>
      <c r="AH73" s="438"/>
      <c r="AI73" s="438"/>
      <c r="AJ73" s="438"/>
      <c r="AK73" s="438"/>
      <c r="AL73" s="438"/>
      <c r="AM73" s="438"/>
      <c r="AN73" s="438"/>
      <c r="AO73" s="433" t="s">
        <v>427</v>
      </c>
    </row>
    <row r="74" spans="1:41" x14ac:dyDescent="0.35">
      <c r="C74" s="424"/>
      <c r="D74" s="424" t="s">
        <v>412</v>
      </c>
      <c r="E74" s="438">
        <f t="shared" ref="E74:AB74" si="71">IFERROR(E65,0)</f>
        <v>0</v>
      </c>
      <c r="F74" s="438">
        <f t="shared" si="71"/>
        <v>0</v>
      </c>
      <c r="G74" s="438">
        <f t="shared" si="71"/>
        <v>0</v>
      </c>
      <c r="H74" s="438">
        <f t="shared" si="71"/>
        <v>0</v>
      </c>
      <c r="I74" s="438">
        <f t="shared" si="71"/>
        <v>0</v>
      </c>
      <c r="J74" s="438">
        <f t="shared" si="71"/>
        <v>0</v>
      </c>
      <c r="K74" s="438">
        <f t="shared" si="71"/>
        <v>0</v>
      </c>
      <c r="L74" s="438">
        <f t="shared" si="71"/>
        <v>0</v>
      </c>
      <c r="M74" s="438">
        <f t="shared" si="71"/>
        <v>0</v>
      </c>
      <c r="N74" s="438">
        <f t="shared" si="71"/>
        <v>0</v>
      </c>
      <c r="O74" s="438">
        <f t="shared" si="71"/>
        <v>0</v>
      </c>
      <c r="P74" s="438">
        <f t="shared" si="71"/>
        <v>0</v>
      </c>
      <c r="Q74" s="438">
        <f t="shared" si="71"/>
        <v>1400</v>
      </c>
      <c r="R74" s="438">
        <f t="shared" si="71"/>
        <v>1400</v>
      </c>
      <c r="S74" s="438">
        <f t="shared" si="71"/>
        <v>1350</v>
      </c>
      <c r="T74" s="438">
        <f t="shared" si="71"/>
        <v>1350</v>
      </c>
      <c r="U74" s="438">
        <f t="shared" si="71"/>
        <v>1350</v>
      </c>
      <c r="V74" s="438">
        <f t="shared" si="71"/>
        <v>1350</v>
      </c>
      <c r="W74" s="438">
        <f t="shared" si="71"/>
        <v>1350</v>
      </c>
      <c r="X74" s="438">
        <f t="shared" si="71"/>
        <v>1330</v>
      </c>
      <c r="Y74" s="438">
        <f t="shared" si="71"/>
        <v>1310</v>
      </c>
      <c r="Z74" s="438">
        <f t="shared" si="71"/>
        <v>1310</v>
      </c>
      <c r="AA74" s="438">
        <f t="shared" si="71"/>
        <v>1300</v>
      </c>
      <c r="AB74" s="438">
        <f t="shared" si="71"/>
        <v>1300</v>
      </c>
      <c r="AC74" s="438"/>
      <c r="AD74" s="438"/>
      <c r="AE74" s="438"/>
      <c r="AF74" s="438"/>
      <c r="AG74" s="438"/>
      <c r="AH74" s="438"/>
      <c r="AI74" s="438"/>
      <c r="AJ74" s="438"/>
      <c r="AK74" s="438"/>
      <c r="AL74" s="438"/>
      <c r="AM74" s="438"/>
      <c r="AN74" s="438"/>
      <c r="AO74" s="433" t="s">
        <v>17</v>
      </c>
    </row>
    <row r="75" spans="1:41" x14ac:dyDescent="0.35">
      <c r="C75" s="424"/>
      <c r="D75" s="424" t="s">
        <v>413</v>
      </c>
      <c r="E75" s="438">
        <f t="shared" ref="E75:AB75" si="72">IFERROR(E66,0)</f>
        <v>940</v>
      </c>
      <c r="F75" s="438">
        <f t="shared" si="72"/>
        <v>993.33333333333337</v>
      </c>
      <c r="G75" s="438">
        <f t="shared" si="72"/>
        <v>985</v>
      </c>
      <c r="H75" s="438">
        <f t="shared" si="72"/>
        <v>962.5</v>
      </c>
      <c r="I75" s="438">
        <f t="shared" si="72"/>
        <v>982</v>
      </c>
      <c r="J75" s="438">
        <f t="shared" si="72"/>
        <v>1000</v>
      </c>
      <c r="K75" s="438">
        <f t="shared" si="72"/>
        <v>1000</v>
      </c>
      <c r="L75" s="438">
        <f t="shared" si="72"/>
        <v>984</v>
      </c>
      <c r="M75" s="438">
        <f t="shared" si="72"/>
        <v>967.5</v>
      </c>
      <c r="N75" s="438">
        <f t="shared" si="72"/>
        <v>965</v>
      </c>
      <c r="O75" s="438">
        <f t="shared" si="72"/>
        <v>974</v>
      </c>
      <c r="P75" s="438">
        <f t="shared" si="72"/>
        <v>956</v>
      </c>
      <c r="Q75" s="438">
        <f t="shared" si="72"/>
        <v>940</v>
      </c>
      <c r="R75" s="438">
        <f t="shared" si="72"/>
        <v>918</v>
      </c>
      <c r="S75" s="438">
        <f t="shared" si="72"/>
        <v>896</v>
      </c>
      <c r="T75" s="438">
        <f t="shared" si="72"/>
        <v>891.5</v>
      </c>
      <c r="U75" s="438">
        <f t="shared" si="72"/>
        <v>864</v>
      </c>
      <c r="V75" s="438">
        <f t="shared" si="72"/>
        <v>833</v>
      </c>
      <c r="W75" s="438">
        <f t="shared" si="72"/>
        <v>833</v>
      </c>
      <c r="X75" s="438">
        <f t="shared" si="72"/>
        <v>815</v>
      </c>
      <c r="Y75" s="438">
        <f t="shared" si="72"/>
        <v>813</v>
      </c>
      <c r="Z75" s="438">
        <f t="shared" si="72"/>
        <v>805</v>
      </c>
      <c r="AA75" s="438">
        <f t="shared" si="72"/>
        <v>805</v>
      </c>
      <c r="AB75" s="438">
        <f t="shared" si="72"/>
        <v>805</v>
      </c>
      <c r="AC75" s="438"/>
      <c r="AD75" s="438"/>
      <c r="AE75" s="438"/>
      <c r="AF75" s="438"/>
      <c r="AG75" s="438"/>
      <c r="AH75" s="438"/>
      <c r="AI75" s="438"/>
      <c r="AJ75" s="438"/>
      <c r="AK75" s="438"/>
      <c r="AL75" s="438"/>
      <c r="AM75" s="438"/>
      <c r="AN75" s="438"/>
      <c r="AO75" s="433" t="s">
        <v>11</v>
      </c>
    </row>
    <row r="76" spans="1:41" x14ac:dyDescent="0.35">
      <c r="C76" s="424"/>
      <c r="D76" s="424"/>
      <c r="E76" s="438"/>
      <c r="F76" s="438"/>
      <c r="G76" s="438"/>
      <c r="H76" s="438"/>
      <c r="I76" s="438"/>
      <c r="J76" s="438"/>
      <c r="K76" s="438"/>
      <c r="L76" s="438"/>
      <c r="M76" s="438"/>
      <c r="N76" s="438"/>
      <c r="O76" s="438"/>
      <c r="P76" s="438"/>
      <c r="Q76" s="438"/>
      <c r="R76" s="438"/>
      <c r="S76" s="438"/>
      <c r="T76" s="438"/>
      <c r="U76" s="438"/>
      <c r="V76" s="438"/>
      <c r="W76" s="438"/>
      <c r="X76" s="438"/>
      <c r="Y76" s="438"/>
      <c r="Z76" s="438"/>
      <c r="AA76" s="438"/>
      <c r="AB76" s="438"/>
      <c r="AC76" s="438"/>
      <c r="AD76" s="438"/>
      <c r="AE76" s="438"/>
      <c r="AF76" s="438"/>
      <c r="AG76" s="438"/>
      <c r="AH76" s="438"/>
      <c r="AI76" s="438"/>
      <c r="AJ76" s="438"/>
      <c r="AK76" s="438"/>
      <c r="AL76" s="438"/>
      <c r="AM76" s="438"/>
      <c r="AN76" s="438"/>
      <c r="AO76" s="433"/>
    </row>
    <row r="77" spans="1:41" ht="17" x14ac:dyDescent="0.4">
      <c r="C77" s="399" t="s">
        <v>24</v>
      </c>
      <c r="D77" s="399" t="s">
        <v>23</v>
      </c>
    </row>
    <row r="78" spans="1:41" x14ac:dyDescent="0.35">
      <c r="C78" s="41"/>
      <c r="D78" s="41"/>
      <c r="E78" s="41">
        <v>2024</v>
      </c>
      <c r="F78" s="41"/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41">
        <v>2025</v>
      </c>
      <c r="R78" s="41"/>
      <c r="S78" s="41"/>
      <c r="T78" s="41"/>
      <c r="U78" s="41"/>
      <c r="V78" s="41"/>
      <c r="W78" s="41"/>
      <c r="X78" s="41"/>
      <c r="Y78" s="41"/>
      <c r="Z78" s="41"/>
      <c r="AA78" s="41"/>
      <c r="AB78" s="41"/>
      <c r="AC78" s="41"/>
      <c r="AD78" s="41"/>
      <c r="AE78" s="41"/>
      <c r="AF78" s="41"/>
      <c r="AG78" s="41"/>
      <c r="AH78" s="41"/>
      <c r="AI78" s="41"/>
      <c r="AJ78" s="41"/>
      <c r="AK78" s="41"/>
      <c r="AL78" s="41"/>
      <c r="AM78" s="41"/>
      <c r="AN78" s="41"/>
      <c r="AO78" s="41"/>
    </row>
    <row r="79" spans="1:41" x14ac:dyDescent="0.35">
      <c r="C79" s="41"/>
      <c r="D79" s="41"/>
      <c r="E79" s="41">
        <v>1</v>
      </c>
      <c r="F79" s="41">
        <v>2</v>
      </c>
      <c r="G79" s="41">
        <v>3</v>
      </c>
      <c r="H79" s="41">
        <v>4</v>
      </c>
      <c r="I79" s="41">
        <v>5</v>
      </c>
      <c r="J79" s="41">
        <v>6</v>
      </c>
      <c r="K79" s="41">
        <v>7</v>
      </c>
      <c r="L79" s="41">
        <v>8</v>
      </c>
      <c r="M79" s="41">
        <v>9</v>
      </c>
      <c r="N79" s="41">
        <v>10</v>
      </c>
      <c r="O79" s="41">
        <v>11</v>
      </c>
      <c r="P79" s="41">
        <v>12</v>
      </c>
      <c r="Q79" s="41">
        <v>1</v>
      </c>
      <c r="R79" s="41">
        <v>2</v>
      </c>
      <c r="S79" s="41">
        <v>3</v>
      </c>
      <c r="T79" s="41">
        <v>4</v>
      </c>
      <c r="U79" s="41">
        <v>5</v>
      </c>
      <c r="V79" s="41">
        <v>6</v>
      </c>
      <c r="W79" s="41">
        <v>7</v>
      </c>
      <c r="X79" s="41">
        <v>8</v>
      </c>
      <c r="Y79" s="41">
        <v>9</v>
      </c>
      <c r="Z79" s="41">
        <v>10</v>
      </c>
      <c r="AA79" s="41">
        <v>11</v>
      </c>
      <c r="AB79" s="41">
        <v>12</v>
      </c>
      <c r="AC79" s="41">
        <v>1</v>
      </c>
      <c r="AD79" s="41">
        <v>2</v>
      </c>
      <c r="AE79" s="41">
        <v>3</v>
      </c>
      <c r="AF79" s="41">
        <v>4</v>
      </c>
      <c r="AG79" s="41">
        <v>5</v>
      </c>
      <c r="AH79" s="41">
        <v>6</v>
      </c>
      <c r="AI79" s="41">
        <v>7</v>
      </c>
      <c r="AJ79" s="41">
        <v>8</v>
      </c>
      <c r="AK79" s="41">
        <v>9</v>
      </c>
      <c r="AL79" s="41">
        <v>10</v>
      </c>
      <c r="AM79" s="41">
        <v>11</v>
      </c>
      <c r="AN79" s="41">
        <v>12</v>
      </c>
      <c r="AO79" s="41" t="s">
        <v>409</v>
      </c>
    </row>
    <row r="80" spans="1:41" x14ac:dyDescent="0.35">
      <c r="B80" s="14" t="s">
        <v>64</v>
      </c>
      <c r="C80" t="s">
        <v>24</v>
      </c>
      <c r="D80" t="s">
        <v>355</v>
      </c>
      <c r="E80" s="400" cm="1">
        <f t="array" ref="E80">IF(SUMPRODUCT('Giá công thức'!$G$11:$AD$106*('Giá công thức'!$A$11:$A$106=$B80)*('Giá công thức'!$B$11:$B$106=$C80)*('Giá công thức'!$C$11:$C$106="GB")*('Giá công thức'!$G$3:$AD$3=E$1)*('Giá công thức'!$G$4:$AD$4=E$2))=0,NA(),SUMPRODUCT('Giá công thức'!$G$11:$AD$106*('Giá công thức'!$A$11:$A$106=$B80)*('Giá công thức'!$B$11:$B$106=$C80)*('Giá công thức'!$C$11:$C$106="GB")*('Giá công thức'!$G$3:$AD$3=E$1)*('Giá công thức'!$G$4:$AD$4=E$2)))</f>
        <v>1487.795918367347</v>
      </c>
      <c r="F80" s="400" cm="1">
        <f t="array" ref="F80">IF(SUMPRODUCT('Giá công thức'!$G$11:$AD$106*('Giá công thức'!$A$11:$A$106=$B80)*('Giá công thức'!$B$11:$B$106=$C80)*('Giá công thức'!$C$11:$C$106="GB")*('Giá công thức'!$G$3:$AD$3=F$1)*('Giá công thức'!$G$4:$AD$4=F$2))=0,NA(),SUMPRODUCT('Giá công thức'!$G$11:$AD$106*('Giá công thức'!$A$11:$A$106=$B80)*('Giá công thức'!$B$11:$B$106=$C80)*('Giá công thức'!$C$11:$C$106="GB")*('Giá công thức'!$G$3:$AD$3=F$1)*('Giá công thức'!$G$4:$AD$4=F$2)))</f>
        <v>1487.795918367347</v>
      </c>
      <c r="G80" s="400" cm="1">
        <f t="array" ref="G80">IF(SUMPRODUCT('Giá công thức'!$G$11:$AD$106*('Giá công thức'!$A$11:$A$106=$B80)*('Giá công thức'!$B$11:$B$106=$C80)*('Giá công thức'!$C$11:$C$106="GB")*('Giá công thức'!$G$3:$AD$3=G$1)*('Giá công thức'!$G$4:$AD$4=G$2))=0,NA(),SUMPRODUCT('Giá công thức'!$G$11:$AD$106*('Giá công thức'!$A$11:$A$106=$B80)*('Giá công thức'!$B$11:$B$106=$C80)*('Giá công thức'!$C$11:$C$106="GB")*('Giá công thức'!$G$3:$AD$3=G$1)*('Giá công thức'!$G$4:$AD$4=G$2)))</f>
        <v>1487.795918367347</v>
      </c>
      <c r="H80" s="400" cm="1">
        <f t="array" ref="H80">IF(SUMPRODUCT('Giá công thức'!$G$11:$AD$106*('Giá công thức'!$A$11:$A$106=$B80)*('Giá công thức'!$B$11:$B$106=$C80)*('Giá công thức'!$C$11:$C$106="GB")*('Giá công thức'!$G$3:$AD$3=H$1)*('Giá công thức'!$G$4:$AD$4=H$2))=0,NA(),SUMPRODUCT('Giá công thức'!$G$11:$AD$106*('Giá công thức'!$A$11:$A$106=$B80)*('Giá công thức'!$B$11:$B$106=$C80)*('Giá công thức'!$C$11:$C$106="GB")*('Giá công thức'!$G$3:$AD$3=H$1)*('Giá công thức'!$G$4:$AD$4=H$2)))</f>
        <v>1417.795918367347</v>
      </c>
      <c r="I80" s="400" cm="1">
        <f t="array" ref="I80">IF(SUMPRODUCT('Giá công thức'!$G$11:$AD$106*('Giá công thức'!$A$11:$A$106=$B80)*('Giá công thức'!$B$11:$B$106=$C80)*('Giá công thức'!$C$11:$C$106="GB")*('Giá công thức'!$G$3:$AD$3=I$1)*('Giá công thức'!$G$4:$AD$4=I$2))=0,NA(),SUMPRODUCT('Giá công thức'!$G$11:$AD$106*('Giá công thức'!$A$11:$A$106=$B80)*('Giá công thức'!$B$11:$B$106=$C80)*('Giá công thức'!$C$11:$C$106="GB")*('Giá công thức'!$G$3:$AD$3=I$1)*('Giá công thức'!$G$4:$AD$4=I$2)))</f>
        <v>1417.795918367347</v>
      </c>
      <c r="J80" s="400" cm="1">
        <f t="array" ref="J80">IF(SUMPRODUCT('Giá công thức'!$G$11:$AD$106*('Giá công thức'!$A$11:$A$106=$B80)*('Giá công thức'!$B$11:$B$106=$C80)*('Giá công thức'!$C$11:$C$106="GB")*('Giá công thức'!$G$3:$AD$3=J$1)*('Giá công thức'!$G$4:$AD$4=J$2))=0,NA(),SUMPRODUCT('Giá công thức'!$G$11:$AD$106*('Giá công thức'!$A$11:$A$106=$B80)*('Giá công thức'!$B$11:$B$106=$C80)*('Giá công thức'!$C$11:$C$106="GB")*('Giá công thức'!$G$3:$AD$3=J$1)*('Giá công thức'!$G$4:$AD$4=J$2)))</f>
        <v>1417.795918367347</v>
      </c>
      <c r="K80" s="400" cm="1">
        <f t="array" ref="K80">IF(SUMPRODUCT('Giá công thức'!$G$11:$AD$106*('Giá công thức'!$A$11:$A$106=$B80)*('Giá công thức'!$B$11:$B$106=$C80)*('Giá công thức'!$C$11:$C$106="GB")*('Giá công thức'!$G$3:$AD$3=K$1)*('Giá công thức'!$G$4:$AD$4=K$2))=0,NA(),SUMPRODUCT('Giá công thức'!$G$11:$AD$106*('Giá công thức'!$A$11:$A$106=$B80)*('Giá công thức'!$B$11:$B$106=$C80)*('Giá công thức'!$C$11:$C$106="GB")*('Giá công thức'!$G$3:$AD$3=K$1)*('Giá công thức'!$G$4:$AD$4=K$2)))</f>
        <v>1418.04</v>
      </c>
      <c r="L80" s="400" cm="1">
        <f t="array" ref="L80">IF(SUMPRODUCT('Giá công thức'!$G$11:$AD$106*('Giá công thức'!$A$11:$A$106=$B80)*('Giá công thức'!$B$11:$B$106=$C80)*('Giá công thức'!$C$11:$C$106="GB")*('Giá công thức'!$G$3:$AD$3=L$1)*('Giá công thức'!$G$4:$AD$4=L$2))=0,NA(),SUMPRODUCT('Giá công thức'!$G$11:$AD$106*('Giá công thức'!$A$11:$A$106=$B80)*('Giá công thức'!$B$11:$B$106=$C80)*('Giá công thức'!$C$11:$C$106="GB")*('Giá công thức'!$G$3:$AD$3=L$1)*('Giá công thức'!$G$4:$AD$4=L$2)))</f>
        <v>1418.04</v>
      </c>
      <c r="M80" s="400" cm="1">
        <f t="array" ref="M80">IF(SUMPRODUCT('Giá công thức'!$G$11:$AD$106*('Giá công thức'!$A$11:$A$106=$B80)*('Giá công thức'!$B$11:$B$106=$C80)*('Giá công thức'!$C$11:$C$106="GB")*('Giá công thức'!$G$3:$AD$3=M$1)*('Giá công thức'!$G$4:$AD$4=M$2))=0,NA(),SUMPRODUCT('Giá công thức'!$G$11:$AD$106*('Giá công thức'!$A$11:$A$106=$B80)*('Giá công thức'!$B$11:$B$106=$C80)*('Giá công thức'!$C$11:$C$106="GB")*('Giá công thức'!$G$3:$AD$3=M$1)*('Giá công thức'!$G$4:$AD$4=M$2)))</f>
        <v>1418.04</v>
      </c>
      <c r="N80" s="400" cm="1">
        <f t="array" ref="N80">IF(SUMPRODUCT('Giá công thức'!$G$11:$AD$106*('Giá công thức'!$A$11:$A$106=$B80)*('Giá công thức'!$B$11:$B$106=$C80)*('Giá công thức'!$C$11:$C$106="GB")*('Giá công thức'!$G$3:$AD$3=N$1)*('Giá công thức'!$G$4:$AD$4=N$2))=0,NA(),SUMPRODUCT('Giá công thức'!$G$11:$AD$106*('Giá công thức'!$A$11:$A$106=$B80)*('Giá công thức'!$B$11:$B$106=$C80)*('Giá công thức'!$C$11:$C$106="GB")*('Giá công thức'!$G$3:$AD$3=N$1)*('Giá công thức'!$G$4:$AD$4=N$2)))</f>
        <v>1418.04</v>
      </c>
      <c r="O80" s="400" cm="1">
        <f t="array" ref="O80">IF(SUMPRODUCT('Giá công thức'!$G$11:$AD$106*('Giá công thức'!$A$11:$A$106=$B80)*('Giá công thức'!$B$11:$B$106=$C80)*('Giá công thức'!$C$11:$C$106="GB")*('Giá công thức'!$G$3:$AD$3=O$1)*('Giá công thức'!$G$4:$AD$4=O$2))=0,NA(),SUMPRODUCT('Giá công thức'!$G$11:$AD$106*('Giá công thức'!$A$11:$A$106=$B80)*('Giá công thức'!$B$11:$B$106=$C80)*('Giá công thức'!$C$11:$C$106="GB")*('Giá công thức'!$G$3:$AD$3=O$1)*('Giá công thức'!$G$4:$AD$4=O$2)))</f>
        <v>1418.04</v>
      </c>
      <c r="P80" s="400" cm="1">
        <f t="array" ref="P80">IF(SUMPRODUCT('Giá công thức'!$G$11:$AD$106*('Giá công thức'!$A$11:$A$106=$B80)*('Giá công thức'!$B$11:$B$106=$C80)*('Giá công thức'!$C$11:$C$106="GB")*('Giá công thức'!$G$3:$AD$3=P$1)*('Giá công thức'!$G$4:$AD$4=P$2))=0,NA(),SUMPRODUCT('Giá công thức'!$G$11:$AD$106*('Giá công thức'!$A$11:$A$106=$B80)*('Giá công thức'!$B$11:$B$106=$C80)*('Giá công thức'!$C$11:$C$106="GB")*('Giá công thức'!$G$3:$AD$3=P$1)*('Giá công thức'!$G$4:$AD$4=P$2)))</f>
        <v>1418.04</v>
      </c>
      <c r="Q80" s="400" cm="1">
        <f t="array" ref="Q80">IF(SUMPRODUCT('Giá công thức'!$G$11:$AD$106*('Giá công thức'!$A$11:$A$106=$B80)*('Giá công thức'!$B$11:$B$106=$C80)*('Giá công thức'!$C$11:$C$106="GB")*('Giá công thức'!$G$3:$AD$3=Q$1)*('Giá công thức'!$G$4:$AD$4=Q$2))=0,NA(),SUMPRODUCT('Giá công thức'!$G$11:$AD$106*('Giá công thức'!$A$11:$A$106=$B80)*('Giá công thức'!$B$11:$B$106=$C80)*('Giá công thức'!$C$11:$C$106="GB")*('Giá công thức'!$G$3:$AD$3=Q$1)*('Giá công thức'!$G$4:$AD$4=Q$2)))</f>
        <v>1388.04</v>
      </c>
      <c r="R80" s="400" cm="1">
        <f t="array" ref="R80">IF(SUMPRODUCT('Giá công thức'!$G$11:$AD$106*('Giá công thức'!$A$11:$A$106=$B80)*('Giá công thức'!$B$11:$B$106=$C80)*('Giá công thức'!$C$11:$C$106="GB")*('Giá công thức'!$G$3:$AD$3=R$1)*('Giá công thức'!$G$4:$AD$4=R$2))=0,NA(),SUMPRODUCT('Giá công thức'!$G$11:$AD$106*('Giá công thức'!$A$11:$A$106=$B80)*('Giá công thức'!$B$11:$B$106=$C80)*('Giá công thức'!$C$11:$C$106="GB")*('Giá công thức'!$G$3:$AD$3=R$1)*('Giá công thức'!$G$4:$AD$4=R$2)))</f>
        <v>1388.04</v>
      </c>
      <c r="S80" s="400" cm="1">
        <f t="array" ref="S80">IF(SUMPRODUCT('Giá công thức'!$G$11:$AD$106*('Giá công thức'!$A$11:$A$106=$B80)*('Giá công thức'!$B$11:$B$106=$C80)*('Giá công thức'!$C$11:$C$106="GB")*('Giá công thức'!$G$3:$AD$3=S$1)*('Giá công thức'!$G$4:$AD$4=S$2))=0,NA(),SUMPRODUCT('Giá công thức'!$G$11:$AD$106*('Giá công thức'!$A$11:$A$106=$B80)*('Giá công thức'!$B$11:$B$106=$C80)*('Giá công thức'!$C$11:$C$106="GB")*('Giá công thức'!$G$3:$AD$3=S$1)*('Giá công thức'!$G$4:$AD$4=S$2)))</f>
        <v>1388.04</v>
      </c>
      <c r="T80" s="400" cm="1">
        <f t="array" ref="T80">IF(SUMPRODUCT('Giá công thức'!$G$11:$AD$106*('Giá công thức'!$A$11:$A$106=$B80)*('Giá công thức'!$B$11:$B$106=$C80)*('Giá công thức'!$C$11:$C$106="GB")*('Giá công thức'!$G$3:$AD$3=T$1)*('Giá công thức'!$G$4:$AD$4=T$2))=0,NA(),SUMPRODUCT('Giá công thức'!$G$11:$AD$106*('Giá công thức'!$A$11:$A$106=$B80)*('Giá công thức'!$B$11:$B$106=$C80)*('Giá công thức'!$C$11:$C$106="GB")*('Giá công thức'!$G$3:$AD$3=T$1)*('Giá công thức'!$G$4:$AD$4=T$2)))</f>
        <v>1338.04</v>
      </c>
      <c r="U80" s="400" cm="1">
        <f t="array" ref="U80">IF(SUMPRODUCT('Giá công thức'!$G$11:$AD$106*('Giá công thức'!$A$11:$A$106=$B80)*('Giá công thức'!$B$11:$B$106=$C80)*('Giá công thức'!$C$11:$C$106="GB")*('Giá công thức'!$G$3:$AD$3=U$1)*('Giá công thức'!$G$4:$AD$4=U$2))=0,NA(),SUMPRODUCT('Giá công thức'!$G$11:$AD$106*('Giá công thức'!$A$11:$A$106=$B80)*('Giá công thức'!$B$11:$B$106=$C80)*('Giá công thức'!$C$11:$C$106="GB")*('Giá công thức'!$G$3:$AD$3=U$1)*('Giá công thức'!$G$4:$AD$4=U$2)))</f>
        <v>1338.04</v>
      </c>
      <c r="V80" s="400" cm="1">
        <f t="array" ref="V80">IF(SUMPRODUCT('Giá công thức'!$G$11:$AD$106*('Giá công thức'!$A$11:$A$106=$B80)*('Giá công thức'!$B$11:$B$106=$C80)*('Giá công thức'!$C$11:$C$106="GB")*('Giá công thức'!$G$3:$AD$3=V$1)*('Giá công thức'!$G$4:$AD$4=V$2))=0,NA(),SUMPRODUCT('Giá công thức'!$G$11:$AD$106*('Giá công thức'!$A$11:$A$106=$B80)*('Giá công thức'!$B$11:$B$106=$C80)*('Giá công thức'!$C$11:$C$106="GB")*('Giá công thức'!$G$3:$AD$3=V$1)*('Giá công thức'!$G$4:$AD$4=V$2)))</f>
        <v>1338.04</v>
      </c>
      <c r="W80" s="400" cm="1">
        <f t="array" ref="W80">IF(SUMPRODUCT('Giá công thức'!$G$11:$AD$106*('Giá công thức'!$A$11:$A$106=$B80)*('Giá công thức'!$B$11:$B$106=$C80)*('Giá công thức'!$C$11:$C$106="GB")*('Giá công thức'!$G$3:$AD$3=W$1)*('Giá công thức'!$G$4:$AD$4=W$2))=0,NA(),SUMPRODUCT('Giá công thức'!$G$11:$AD$106*('Giá công thức'!$A$11:$A$106=$B80)*('Giá công thức'!$B$11:$B$106=$C80)*('Giá công thức'!$C$11:$C$106="GB")*('Giá công thức'!$G$3:$AD$3=W$1)*('Giá công thức'!$G$4:$AD$4=W$2)))</f>
        <v>1368.04</v>
      </c>
      <c r="X80" s="400" cm="1">
        <f t="array" ref="X80">IF(SUMPRODUCT('Giá công thức'!$G$11:$AD$106*('Giá công thức'!$A$11:$A$106=$B80)*('Giá công thức'!$B$11:$B$106=$C80)*('Giá công thức'!$C$11:$C$106="GB")*('Giá công thức'!$G$3:$AD$3=X$1)*('Giá công thức'!$G$4:$AD$4=X$2))=0,NA(),SUMPRODUCT('Giá công thức'!$G$11:$AD$106*('Giá công thức'!$A$11:$A$106=$B80)*('Giá công thức'!$B$11:$B$106=$C80)*('Giá công thức'!$C$11:$C$106="GB")*('Giá công thức'!$G$3:$AD$3=X$1)*('Giá công thức'!$G$4:$AD$4=X$2)))</f>
        <v>1368.04</v>
      </c>
      <c r="Y80" s="400" cm="1">
        <f t="array" ref="Y80">IF(SUMPRODUCT('Giá công thức'!$G$11:$AD$106*('Giá công thức'!$A$11:$A$106=$B80)*('Giá công thức'!$B$11:$B$106=$C80)*('Giá công thức'!$C$11:$C$106="GB")*('Giá công thức'!$G$3:$AD$3=Y$1)*('Giá công thức'!$G$4:$AD$4=Y$2))=0,NA(),SUMPRODUCT('Giá công thức'!$G$11:$AD$106*('Giá công thức'!$A$11:$A$106=$B80)*('Giá công thức'!$B$11:$B$106=$C80)*('Giá công thức'!$C$11:$C$106="GB")*('Giá công thức'!$G$3:$AD$3=Y$1)*('Giá công thức'!$G$4:$AD$4=Y$2)))</f>
        <v>1368.04</v>
      </c>
      <c r="Z80" s="400" cm="1">
        <f t="array" ref="Z80">IF(SUMPRODUCT('Giá công thức'!$G$11:$AD$106*('Giá công thức'!$A$11:$A$106=$B80)*('Giá công thức'!$B$11:$B$106=$C80)*('Giá công thức'!$C$11:$C$106="GB")*('Giá công thức'!$G$3:$AD$3=Z$1)*('Giá công thức'!$G$4:$AD$4=Z$2))=0,NA(),SUMPRODUCT('Giá công thức'!$G$11:$AD$106*('Giá công thức'!$A$11:$A$106=$B80)*('Giá công thức'!$B$11:$B$106=$C80)*('Giá công thức'!$C$11:$C$106="GB")*('Giá công thức'!$G$3:$AD$3=Z$1)*('Giá công thức'!$G$4:$AD$4=Z$2)))</f>
        <v>1368.04</v>
      </c>
      <c r="AA80" s="400" cm="1">
        <f t="array" ref="AA80">IF(SUMPRODUCT('Giá công thức'!$G$11:$AD$106*('Giá công thức'!$A$11:$A$106=$B80)*('Giá công thức'!$B$11:$B$106=$C80)*('Giá công thức'!$C$11:$C$106="GB")*('Giá công thức'!$G$3:$AD$3=AA$1)*('Giá công thức'!$G$4:$AD$4=AA$2))=0,NA(),SUMPRODUCT('Giá công thức'!$G$11:$AD$106*('Giá công thức'!$A$11:$A$106=$B80)*('Giá công thức'!$B$11:$B$106=$C80)*('Giá công thức'!$C$11:$C$106="GB")*('Giá công thức'!$G$3:$AD$3=AA$1)*('Giá công thức'!$G$4:$AD$4=AA$2)))</f>
        <v>1368.04</v>
      </c>
      <c r="AB80" s="400" cm="1">
        <f t="array" ref="AB80">IF(SUMPRODUCT('Giá công thức'!$G$11:$AD$106*('Giá công thức'!$A$11:$A$106=$B80)*('Giá công thức'!$B$11:$B$106=$C80)*('Giá công thức'!$C$11:$C$106="GB")*('Giá công thức'!$G$3:$AD$3=AB$1)*('Giá công thức'!$G$4:$AD$4=AB$2))=0,NA(),SUMPRODUCT('Giá công thức'!$G$11:$AD$106*('Giá công thức'!$A$11:$A$106=$B80)*('Giá công thức'!$B$11:$B$106=$C80)*('Giá công thức'!$C$11:$C$106="GB")*('Giá công thức'!$G$3:$AD$3=AB$1)*('Giá công thức'!$G$4:$AD$4=AB$2)))</f>
        <v>1368.04</v>
      </c>
      <c r="AC80" s="400"/>
      <c r="AD80" s="400"/>
      <c r="AE80" s="400"/>
      <c r="AF80" s="400"/>
      <c r="AG80" s="400"/>
      <c r="AH80" s="400"/>
      <c r="AI80" s="400"/>
      <c r="AJ80" s="400"/>
      <c r="AK80" s="400"/>
      <c r="AL80" s="400"/>
      <c r="AM80" s="400"/>
      <c r="AN80" s="400"/>
      <c r="AO80" s="400">
        <f>INDEX($E80:$AB80,MATCH("X",$E$3:$AB$3,0))</f>
        <v>1368.04</v>
      </c>
    </row>
    <row r="81" spans="1:41" s="137" customFormat="1" x14ac:dyDescent="0.35">
      <c r="A81" s="137" t="s">
        <v>24</v>
      </c>
      <c r="C81" s="137" t="s">
        <v>24</v>
      </c>
      <c r="D81" s="137" t="s">
        <v>17</v>
      </c>
      <c r="E81" s="403" cm="1">
        <f t="array" ref="E81">IF(SUMPRODUCT(General_Data*(Code_General_Data=$A81)*(Year=E$1)*(Month=E$2))=0,NA(),SUMPRODUCT(General_Data*(Code_General_Data=$A81)*(Year=E$1)*(Month=E$2)))</f>
        <v>1350</v>
      </c>
      <c r="F81" s="403" cm="1">
        <f t="array" ref="F81">IF(SUMPRODUCT(General_Data*(Code_General_Data=$A81)*(Year=F$1)*(Month=F$2))=0,NA(),SUMPRODUCT(General_Data*(Code_General_Data=$A81)*(Year=F$1)*(Month=F$2)))</f>
        <v>1350</v>
      </c>
      <c r="G81" s="403" cm="1">
        <f t="array" ref="G81">IF(SUMPRODUCT(General_Data*(Code_General_Data=$A81)*(Year=G$1)*(Month=G$2))=0,NA(),SUMPRODUCT(General_Data*(Code_General_Data=$A81)*(Year=G$1)*(Month=G$2)))</f>
        <v>1350</v>
      </c>
      <c r="H81" s="403" cm="1">
        <f t="array" ref="H81">IF(SUMPRODUCT(General_Data*(Code_General_Data=$A81)*(Year=H$1)*(Month=H$2))=0,NA(),SUMPRODUCT(General_Data*(Code_General_Data=$A81)*(Year=H$1)*(Month=H$2)))</f>
        <v>1350</v>
      </c>
      <c r="I81" s="403" cm="1">
        <f t="array" ref="I81">IF(SUMPRODUCT(General_Data*(Code_General_Data=$A81)*(Year=I$1)*(Month=I$2))=0,NA(),SUMPRODUCT(General_Data*(Code_General_Data=$A81)*(Year=I$1)*(Month=I$2)))</f>
        <v>1350</v>
      </c>
      <c r="J81" s="403" cm="1">
        <f t="array" ref="J81">IF(SUMPRODUCT(General_Data*(Code_General_Data=$A81)*(Year=J$1)*(Month=J$2))=0,NA(),SUMPRODUCT(General_Data*(Code_General_Data=$A81)*(Year=J$1)*(Month=J$2)))</f>
        <v>1350</v>
      </c>
      <c r="K81" s="403" cm="1">
        <f t="array" ref="K81">IF(SUMPRODUCT(General_Data*(Code_General_Data=$A81)*(Year=K$1)*(Month=K$2))=0,NA(),SUMPRODUCT(General_Data*(Code_General_Data=$A81)*(Year=K$1)*(Month=K$2)))</f>
        <v>1350</v>
      </c>
      <c r="L81" s="403" cm="1">
        <f t="array" ref="L81">IF(SUMPRODUCT(General_Data*(Code_General_Data=$A81)*(Year=L$1)*(Month=L$2))=0,NA(),SUMPRODUCT(General_Data*(Code_General_Data=$A81)*(Year=L$1)*(Month=L$2)))</f>
        <v>1350</v>
      </c>
      <c r="M81" s="403" cm="1">
        <f t="array" ref="M81">IF(SUMPRODUCT(General_Data*(Code_General_Data=$A81)*(Year=M$1)*(Month=M$2))=0,NA(),SUMPRODUCT(General_Data*(Code_General_Data=$A81)*(Year=M$1)*(Month=M$2)))</f>
        <v>1350</v>
      </c>
      <c r="N81" s="403" cm="1">
        <f t="array" ref="N81">IF(SUMPRODUCT(General_Data*(Code_General_Data=$A81)*(Year=N$1)*(Month=N$2))=0,NA(),SUMPRODUCT(General_Data*(Code_General_Data=$A81)*(Year=N$1)*(Month=N$2)))</f>
        <v>1350</v>
      </c>
      <c r="O81" s="403" cm="1">
        <f t="array" ref="O81">IF(SUMPRODUCT(General_Data*(Code_General_Data=$A81)*(Year=O$1)*(Month=O$2))=0,NA(),SUMPRODUCT(General_Data*(Code_General_Data=$A81)*(Year=O$1)*(Month=O$2)))</f>
        <v>1350</v>
      </c>
      <c r="P81" s="403" cm="1">
        <f t="array" ref="P81">IF(SUMPRODUCT(General_Data*(Code_General_Data=$A81)*(Year=P$1)*(Month=P$2))=0,NA(),SUMPRODUCT(General_Data*(Code_General_Data=$A81)*(Year=P$1)*(Month=P$2)))</f>
        <v>1350</v>
      </c>
      <c r="Q81" s="403" cm="1">
        <f t="array" ref="Q81">IF(SUMPRODUCT(General_Data*(Code_General_Data=$A81)*(Year=Q$1)*(Month=Q$2))=0,NA(),SUMPRODUCT(General_Data*(Code_General_Data=$A81)*(Year=Q$1)*(Month=Q$2)))</f>
        <v>1350</v>
      </c>
      <c r="R81" s="403" cm="1">
        <f t="array" ref="R81">IF(SUMPRODUCT(General_Data*(Code_General_Data=$A81)*(Year=R$1)*(Month=R$2))=0,NA(),SUMPRODUCT(General_Data*(Code_General_Data=$A81)*(Year=R$1)*(Month=R$2)))</f>
        <v>1300</v>
      </c>
      <c r="S81" s="403" cm="1">
        <f t="array" ref="S81">IF(SUMPRODUCT(General_Data*(Code_General_Data=$A81)*(Year=S$1)*(Month=S$2))=0,NA(),SUMPRODUCT(General_Data*(Code_General_Data=$A81)*(Year=S$1)*(Month=S$2)))</f>
        <v>1250</v>
      </c>
      <c r="T81" s="403" cm="1">
        <f t="array" ref="T81">IF(SUMPRODUCT(General_Data*(Code_General_Data=$A81)*(Year=T$1)*(Month=T$2))=0,NA(),SUMPRODUCT(General_Data*(Code_General_Data=$A81)*(Year=T$1)*(Month=T$2)))</f>
        <v>1250</v>
      </c>
      <c r="U81" s="403" cm="1">
        <f t="array" ref="U81">IF(SUMPRODUCT(General_Data*(Code_General_Data=$A81)*(Year=U$1)*(Month=U$2))=0,NA(),SUMPRODUCT(General_Data*(Code_General_Data=$A81)*(Year=U$1)*(Month=U$2)))</f>
        <v>1250</v>
      </c>
      <c r="V81" s="403" cm="1">
        <f t="array" ref="V81">IF(SUMPRODUCT(General_Data*(Code_General_Data=$A81)*(Year=V$1)*(Month=V$2))=0,NA(),SUMPRODUCT(General_Data*(Code_General_Data=$A81)*(Year=V$1)*(Month=V$2)))</f>
        <v>1250</v>
      </c>
      <c r="W81" s="403" cm="1">
        <f t="array" ref="W81">IF(SUMPRODUCT(General_Data*(Code_General_Data=$A81)*(Year=W$1)*(Month=W$2))=0,NA(),SUMPRODUCT(General_Data*(Code_General_Data=$A81)*(Year=W$1)*(Month=W$2)))</f>
        <v>1250</v>
      </c>
      <c r="X81" s="403" cm="1">
        <f t="array" ref="X81">IF(SUMPRODUCT(General_Data*(Code_General_Data=$A81)*(Year=X$1)*(Month=X$2))=0,NA(),SUMPRODUCT(General_Data*(Code_General_Data=$A81)*(Year=X$1)*(Month=X$2)))</f>
        <v>1230</v>
      </c>
      <c r="Y81" s="403" cm="1">
        <f t="array" ref="Y81">IF(SUMPRODUCT(General_Data*(Code_General_Data=$A81)*(Year=Y$1)*(Month=Y$2))=0,NA(),SUMPRODUCT(General_Data*(Code_General_Data=$A81)*(Year=Y$1)*(Month=Y$2)))</f>
        <v>1210</v>
      </c>
      <c r="Z81" s="403" cm="1">
        <f t="array" ref="Z81">IF(SUMPRODUCT(General_Data*(Code_General_Data=$A81)*(Year=Z$1)*(Month=Z$2))=0,NA(),SUMPRODUCT(General_Data*(Code_General_Data=$A81)*(Year=Z$1)*(Month=Z$2)))</f>
        <v>1210</v>
      </c>
      <c r="AA81" s="403" cm="1">
        <f t="array" ref="AA81">IF(SUMPRODUCT(General_Data*(Code_General_Data=$A81)*(Year=AA$1)*(Month=AA$2))=0,NA(),SUMPRODUCT(General_Data*(Code_General_Data=$A81)*(Year=AA$1)*(Month=AA$2)))</f>
        <v>1200</v>
      </c>
      <c r="AB81" s="403" cm="1">
        <f t="array" ref="AB81">IF(SUMPRODUCT(General_Data*(Code_General_Data=$A81)*(Year=AB$1)*(Month=AB$2))=0,NA(),SUMPRODUCT(General_Data*(Code_General_Data=$A81)*(Year=AB$1)*(Month=AB$2)))</f>
        <v>1200</v>
      </c>
      <c r="AC81" s="403"/>
      <c r="AD81" s="403"/>
      <c r="AE81" s="403"/>
      <c r="AF81" s="403"/>
      <c r="AG81" s="403"/>
      <c r="AH81" s="403"/>
      <c r="AI81" s="403"/>
      <c r="AJ81" s="403"/>
      <c r="AK81" s="403"/>
      <c r="AL81" s="403"/>
      <c r="AM81" s="403"/>
      <c r="AN81" s="403"/>
      <c r="AO81" s="403">
        <f t="shared" ref="AO81:AO82" si="73">INDEX($E81:$AB81,MATCH("X",$E$3:$AB$3,0))</f>
        <v>1200</v>
      </c>
    </row>
    <row r="82" spans="1:41" s="401" customFormat="1" x14ac:dyDescent="0.35">
      <c r="A82" s="401" t="s">
        <v>21</v>
      </c>
      <c r="D82" s="401" t="s">
        <v>11</v>
      </c>
      <c r="E82" s="402" cm="1">
        <f t="array" ref="E82">SUMPRODUCT(General_Data*(Code_General_Data=$A82)*(Year=E$1)*(Month=E$2))</f>
        <v>940</v>
      </c>
      <c r="F82" s="402" cm="1">
        <f t="array" ref="F82">SUMPRODUCT(General_Data*(Code_General_Data=$A82)*(Year=F$1)*(Month=F$2))</f>
        <v>993.33333333333337</v>
      </c>
      <c r="G82" s="402" cm="1">
        <f t="array" ref="G82">SUMPRODUCT(General_Data*(Code_General_Data=$A82)*(Year=G$1)*(Month=G$2))</f>
        <v>985</v>
      </c>
      <c r="H82" s="402" cm="1">
        <f t="array" ref="H82">SUMPRODUCT(General_Data*(Code_General_Data=$A82)*(Year=H$1)*(Month=H$2))</f>
        <v>962.5</v>
      </c>
      <c r="I82" s="402" cm="1">
        <f t="array" ref="I82">SUMPRODUCT(General_Data*(Code_General_Data=$A82)*(Year=I$1)*(Month=I$2))</f>
        <v>982</v>
      </c>
      <c r="J82" s="402" cm="1">
        <f t="array" ref="J82">SUMPRODUCT(General_Data*(Code_General_Data=$A82)*(Year=J$1)*(Month=J$2))</f>
        <v>1000</v>
      </c>
      <c r="K82" s="402" cm="1">
        <f t="array" ref="K82">SUMPRODUCT(General_Data*(Code_General_Data=$A82)*(Year=K$1)*(Month=K$2))</f>
        <v>1000</v>
      </c>
      <c r="L82" s="402" cm="1">
        <f t="array" ref="L82">SUMPRODUCT(General_Data*(Code_General_Data=$A82)*(Year=L$1)*(Month=L$2))</f>
        <v>984</v>
      </c>
      <c r="M82" s="402" cm="1">
        <f t="array" ref="M82">SUMPRODUCT(General_Data*(Code_General_Data=$A82)*(Year=M$1)*(Month=M$2))</f>
        <v>967.5</v>
      </c>
      <c r="N82" s="402" cm="1">
        <f t="array" ref="N82">SUMPRODUCT(General_Data*(Code_General_Data=$A82)*(Year=N$1)*(Month=N$2))</f>
        <v>965</v>
      </c>
      <c r="O82" s="402" cm="1">
        <f t="array" ref="O82">SUMPRODUCT(General_Data*(Code_General_Data=$A82)*(Year=O$1)*(Month=O$2))</f>
        <v>974</v>
      </c>
      <c r="P82" s="402" cm="1">
        <f t="array" ref="P82">SUMPRODUCT(General_Data*(Code_General_Data=$A82)*(Year=P$1)*(Month=P$2))</f>
        <v>956</v>
      </c>
      <c r="Q82" s="402" cm="1">
        <f t="array" ref="Q82">SUMPRODUCT(General_Data*(Code_General_Data=$A82)*(Year=Q$1)*(Month=Q$2))</f>
        <v>940</v>
      </c>
      <c r="R82" s="402" cm="1">
        <f t="array" ref="R82">SUMPRODUCT(General_Data*(Code_General_Data=$A82)*(Year=R$1)*(Month=R$2))</f>
        <v>918</v>
      </c>
      <c r="S82" s="402" cm="1">
        <f t="array" ref="S82">SUMPRODUCT(General_Data*(Code_General_Data=$A82)*(Year=S$1)*(Month=S$2))</f>
        <v>896</v>
      </c>
      <c r="T82" s="402" cm="1">
        <f t="array" ref="T82">SUMPRODUCT(General_Data*(Code_General_Data=$A82)*(Year=T$1)*(Month=T$2))</f>
        <v>891.5</v>
      </c>
      <c r="U82" s="402" cm="1">
        <f t="array" ref="U82">SUMPRODUCT(General_Data*(Code_General_Data=$A82)*(Year=U$1)*(Month=U$2))</f>
        <v>864</v>
      </c>
      <c r="V82" s="402" cm="1">
        <f t="array" ref="V82">SUMPRODUCT(General_Data*(Code_General_Data=$A82)*(Year=V$1)*(Month=V$2))</f>
        <v>833</v>
      </c>
      <c r="W82" s="402" cm="1">
        <f t="array" ref="W82">SUMPRODUCT(General_Data*(Code_General_Data=$A82)*(Year=W$1)*(Month=W$2))</f>
        <v>833</v>
      </c>
      <c r="X82" s="402" cm="1">
        <f t="array" ref="X82">SUMPRODUCT(General_Data*(Code_General_Data=$A82)*(Year=X$1)*(Month=X$2))</f>
        <v>815</v>
      </c>
      <c r="Y82" s="402" cm="1">
        <f t="array" ref="Y82">SUMPRODUCT(General_Data*(Code_General_Data=$A82)*(Year=Y$1)*(Month=Y$2))</f>
        <v>813</v>
      </c>
      <c r="Z82" s="402" cm="1">
        <f t="array" ref="Z82">SUMPRODUCT(General_Data*(Code_General_Data=$A82)*(Year=Z$1)*(Month=Z$2))</f>
        <v>805</v>
      </c>
      <c r="AA82" s="402" cm="1">
        <f t="array" ref="AA82">SUMPRODUCT(General_Data*(Code_General_Data=$A82)*(Year=AA$1)*(Month=AA$2))</f>
        <v>805</v>
      </c>
      <c r="AB82" s="402" cm="1">
        <f t="array" ref="AB82">SUMPRODUCT(General_Data*(Code_General_Data=$A82)*(Year=AB$1)*(Month=AB$2))</f>
        <v>805</v>
      </c>
      <c r="AC82" s="402"/>
      <c r="AD82" s="402"/>
      <c r="AE82" s="402"/>
      <c r="AF82" s="402"/>
      <c r="AG82" s="402"/>
      <c r="AH82" s="402"/>
      <c r="AI82" s="402"/>
      <c r="AJ82" s="402"/>
      <c r="AK82" s="402"/>
      <c r="AL82" s="402"/>
      <c r="AM82" s="402"/>
      <c r="AN82" s="402"/>
      <c r="AO82" s="402">
        <f t="shared" si="73"/>
        <v>805</v>
      </c>
    </row>
    <row r="83" spans="1:41" s="408" customFormat="1" x14ac:dyDescent="0.35">
      <c r="D83" s="408" t="s">
        <v>395</v>
      </c>
      <c r="E83" s="409">
        <f t="shared" ref="E83:AA83" si="74">E81-E82</f>
        <v>410</v>
      </c>
      <c r="F83" s="409">
        <f t="shared" si="74"/>
        <v>356.66666666666663</v>
      </c>
      <c r="G83" s="409">
        <f t="shared" si="74"/>
        <v>365</v>
      </c>
      <c r="H83" s="409">
        <f t="shared" si="74"/>
        <v>387.5</v>
      </c>
      <c r="I83" s="409">
        <f t="shared" si="74"/>
        <v>368</v>
      </c>
      <c r="J83" s="409">
        <f t="shared" si="74"/>
        <v>350</v>
      </c>
      <c r="K83" s="409">
        <f t="shared" si="74"/>
        <v>350</v>
      </c>
      <c r="L83" s="409">
        <f t="shared" si="74"/>
        <v>366</v>
      </c>
      <c r="M83" s="409">
        <f t="shared" si="74"/>
        <v>382.5</v>
      </c>
      <c r="N83" s="409">
        <f t="shared" si="74"/>
        <v>385</v>
      </c>
      <c r="O83" s="409">
        <f t="shared" si="74"/>
        <v>376</v>
      </c>
      <c r="P83" s="409">
        <f t="shared" si="74"/>
        <v>394</v>
      </c>
      <c r="Q83" s="409">
        <f t="shared" si="74"/>
        <v>410</v>
      </c>
      <c r="R83" s="409">
        <f t="shared" si="74"/>
        <v>382</v>
      </c>
      <c r="S83" s="409">
        <f t="shared" si="74"/>
        <v>354</v>
      </c>
      <c r="T83" s="409">
        <f t="shared" si="74"/>
        <v>358.5</v>
      </c>
      <c r="U83" s="409">
        <f t="shared" si="74"/>
        <v>386</v>
      </c>
      <c r="V83" s="409">
        <f t="shared" si="74"/>
        <v>417</v>
      </c>
      <c r="W83" s="409">
        <f t="shared" si="74"/>
        <v>417</v>
      </c>
      <c r="X83" s="409">
        <f t="shared" si="74"/>
        <v>415</v>
      </c>
      <c r="Y83" s="409">
        <f t="shared" si="74"/>
        <v>397</v>
      </c>
      <c r="Z83" s="409">
        <f t="shared" si="74"/>
        <v>405</v>
      </c>
      <c r="AA83" s="409">
        <f t="shared" si="74"/>
        <v>395</v>
      </c>
      <c r="AB83" s="409">
        <f t="shared" ref="AB83" si="75">AB81-AB82</f>
        <v>395</v>
      </c>
      <c r="AC83" s="409"/>
      <c r="AD83" s="409"/>
      <c r="AE83" s="409"/>
      <c r="AF83" s="409"/>
      <c r="AG83" s="409"/>
      <c r="AH83" s="409"/>
      <c r="AI83" s="409"/>
      <c r="AJ83" s="409"/>
      <c r="AK83" s="409"/>
      <c r="AL83" s="409"/>
      <c r="AM83" s="409"/>
      <c r="AN83" s="409"/>
      <c r="AO83" s="402"/>
    </row>
    <row r="84" spans="1:41" s="410" customFormat="1" x14ac:dyDescent="0.35">
      <c r="D84" s="410" t="s">
        <v>394</v>
      </c>
      <c r="E84" s="411">
        <f t="shared" ref="E84:AA84" si="76">IFERROR(E83/E82,0)</f>
        <v>0.43617021276595747</v>
      </c>
      <c r="F84" s="411">
        <f t="shared" si="76"/>
        <v>0.35906040268456368</v>
      </c>
      <c r="G84" s="411">
        <f t="shared" si="76"/>
        <v>0.37055837563451777</v>
      </c>
      <c r="H84" s="411">
        <f t="shared" si="76"/>
        <v>0.40259740259740262</v>
      </c>
      <c r="I84" s="411">
        <f t="shared" si="76"/>
        <v>0.37474541751527496</v>
      </c>
      <c r="J84" s="411">
        <f t="shared" si="76"/>
        <v>0.35</v>
      </c>
      <c r="K84" s="411">
        <f t="shared" si="76"/>
        <v>0.35</v>
      </c>
      <c r="L84" s="411">
        <f t="shared" si="76"/>
        <v>0.37195121951219512</v>
      </c>
      <c r="M84" s="411">
        <f t="shared" si="76"/>
        <v>0.39534883720930231</v>
      </c>
      <c r="N84" s="411">
        <f t="shared" si="76"/>
        <v>0.39896373056994816</v>
      </c>
      <c r="O84" s="411">
        <f t="shared" si="76"/>
        <v>0.38603696098562629</v>
      </c>
      <c r="P84" s="411">
        <f t="shared" si="76"/>
        <v>0.41213389121338911</v>
      </c>
      <c r="Q84" s="411">
        <f t="shared" si="76"/>
        <v>0.43617021276595747</v>
      </c>
      <c r="R84" s="411">
        <f t="shared" si="76"/>
        <v>0.41612200435729846</v>
      </c>
      <c r="S84" s="411">
        <f t="shared" si="76"/>
        <v>0.3950892857142857</v>
      </c>
      <c r="T84" s="411">
        <f t="shared" si="76"/>
        <v>0.40213123948401569</v>
      </c>
      <c r="U84" s="411">
        <f t="shared" si="76"/>
        <v>0.44675925925925924</v>
      </c>
      <c r="V84" s="411">
        <f t="shared" si="76"/>
        <v>0.50060024009603843</v>
      </c>
      <c r="W84" s="411">
        <f t="shared" si="76"/>
        <v>0.50060024009603843</v>
      </c>
      <c r="X84" s="411">
        <f t="shared" si="76"/>
        <v>0.50920245398773001</v>
      </c>
      <c r="Y84" s="411">
        <f t="shared" si="76"/>
        <v>0.48831488314883148</v>
      </c>
      <c r="Z84" s="411">
        <f t="shared" si="76"/>
        <v>0.50310559006211175</v>
      </c>
      <c r="AA84" s="411">
        <f t="shared" si="76"/>
        <v>0.49068322981366458</v>
      </c>
      <c r="AB84" s="411">
        <f t="shared" ref="AB84" si="77">IFERROR(AB83/AB82,0)</f>
        <v>0.49068322981366458</v>
      </c>
      <c r="AC84" s="411"/>
      <c r="AD84" s="411"/>
      <c r="AE84" s="411"/>
      <c r="AF84" s="411"/>
      <c r="AG84" s="411"/>
      <c r="AH84" s="411"/>
      <c r="AI84" s="411"/>
      <c r="AJ84" s="411"/>
      <c r="AK84" s="411"/>
      <c r="AL84" s="411"/>
      <c r="AM84" s="411"/>
      <c r="AN84" s="411"/>
      <c r="AO84" s="409"/>
    </row>
    <row r="85" spans="1:41" s="426" customFormat="1" x14ac:dyDescent="0.35">
      <c r="D85" s="426" t="s">
        <v>419</v>
      </c>
      <c r="E85" s="427">
        <f>E81</f>
        <v>1350</v>
      </c>
      <c r="F85" s="427">
        <f t="shared" ref="F85:AB85" si="78">F81</f>
        <v>1350</v>
      </c>
      <c r="G85" s="427">
        <f t="shared" si="78"/>
        <v>1350</v>
      </c>
      <c r="H85" s="427">
        <f t="shared" si="78"/>
        <v>1350</v>
      </c>
      <c r="I85" s="427">
        <f t="shared" si="78"/>
        <v>1350</v>
      </c>
      <c r="J85" s="427">
        <f t="shared" si="78"/>
        <v>1350</v>
      </c>
      <c r="K85" s="427">
        <f t="shared" si="78"/>
        <v>1350</v>
      </c>
      <c r="L85" s="427">
        <f t="shared" si="78"/>
        <v>1350</v>
      </c>
      <c r="M85" s="427">
        <f t="shared" si="78"/>
        <v>1350</v>
      </c>
      <c r="N85" s="427">
        <f t="shared" si="78"/>
        <v>1350</v>
      </c>
      <c r="O85" s="427">
        <f t="shared" si="78"/>
        <v>1350</v>
      </c>
      <c r="P85" s="427">
        <f t="shared" si="78"/>
        <v>1350</v>
      </c>
      <c r="Q85" s="427">
        <f t="shared" si="78"/>
        <v>1350</v>
      </c>
      <c r="R85" s="427">
        <f t="shared" si="78"/>
        <v>1300</v>
      </c>
      <c r="S85" s="427">
        <f t="shared" si="78"/>
        <v>1250</v>
      </c>
      <c r="T85" s="427">
        <f t="shared" si="78"/>
        <v>1250</v>
      </c>
      <c r="U85" s="427">
        <f t="shared" si="78"/>
        <v>1250</v>
      </c>
      <c r="V85" s="427">
        <f t="shared" si="78"/>
        <v>1250</v>
      </c>
      <c r="W85" s="427">
        <f t="shared" si="78"/>
        <v>1250</v>
      </c>
      <c r="X85" s="427">
        <f t="shared" si="78"/>
        <v>1230</v>
      </c>
      <c r="Y85" s="427">
        <f t="shared" si="78"/>
        <v>1210</v>
      </c>
      <c r="Z85" s="427">
        <f t="shared" si="78"/>
        <v>1210</v>
      </c>
      <c r="AA85" s="427">
        <f t="shared" si="78"/>
        <v>1200</v>
      </c>
      <c r="AB85" s="427">
        <f t="shared" si="78"/>
        <v>1200</v>
      </c>
      <c r="AC85" s="427"/>
      <c r="AD85" s="427"/>
      <c r="AE85" s="427"/>
      <c r="AF85" s="427"/>
      <c r="AG85" s="427"/>
      <c r="AH85" s="427"/>
      <c r="AI85" s="427"/>
      <c r="AJ85" s="427"/>
      <c r="AK85" s="427"/>
      <c r="AL85" s="427"/>
      <c r="AM85" s="427"/>
      <c r="AN85" s="427"/>
      <c r="AO85" s="437"/>
    </row>
    <row r="86" spans="1:41" s="426" customFormat="1" x14ac:dyDescent="0.35">
      <c r="D86" s="426" t="s">
        <v>420</v>
      </c>
      <c r="E86" s="427">
        <f>E82+E83/2</f>
        <v>1145</v>
      </c>
      <c r="F86" s="427">
        <f t="shared" ref="F86:AB86" si="79">F82+F83/2</f>
        <v>1171.6666666666667</v>
      </c>
      <c r="G86" s="427">
        <f t="shared" si="79"/>
        <v>1167.5</v>
      </c>
      <c r="H86" s="427">
        <f t="shared" si="79"/>
        <v>1156.25</v>
      </c>
      <c r="I86" s="427">
        <f t="shared" si="79"/>
        <v>1166</v>
      </c>
      <c r="J86" s="427">
        <f t="shared" si="79"/>
        <v>1175</v>
      </c>
      <c r="K86" s="427">
        <f t="shared" si="79"/>
        <v>1175</v>
      </c>
      <c r="L86" s="427">
        <f t="shared" si="79"/>
        <v>1167</v>
      </c>
      <c r="M86" s="427">
        <f t="shared" si="79"/>
        <v>1158.75</v>
      </c>
      <c r="N86" s="427">
        <f t="shared" si="79"/>
        <v>1157.5</v>
      </c>
      <c r="O86" s="427">
        <f t="shared" si="79"/>
        <v>1162</v>
      </c>
      <c r="P86" s="427">
        <f t="shared" si="79"/>
        <v>1153</v>
      </c>
      <c r="Q86" s="427">
        <f t="shared" si="79"/>
        <v>1145</v>
      </c>
      <c r="R86" s="427">
        <f t="shared" si="79"/>
        <v>1109</v>
      </c>
      <c r="S86" s="427">
        <f t="shared" si="79"/>
        <v>1073</v>
      </c>
      <c r="T86" s="427">
        <f t="shared" si="79"/>
        <v>1070.75</v>
      </c>
      <c r="U86" s="427">
        <f t="shared" si="79"/>
        <v>1057</v>
      </c>
      <c r="V86" s="427">
        <f t="shared" si="79"/>
        <v>1041.5</v>
      </c>
      <c r="W86" s="427">
        <f t="shared" si="79"/>
        <v>1041.5</v>
      </c>
      <c r="X86" s="427">
        <f t="shared" si="79"/>
        <v>1022.5</v>
      </c>
      <c r="Y86" s="427">
        <f t="shared" si="79"/>
        <v>1011.5</v>
      </c>
      <c r="Z86" s="427">
        <f t="shared" si="79"/>
        <v>1007.5</v>
      </c>
      <c r="AA86" s="427">
        <f t="shared" si="79"/>
        <v>1002.5</v>
      </c>
      <c r="AB86" s="427">
        <f t="shared" si="79"/>
        <v>1002.5</v>
      </c>
      <c r="AC86" s="427"/>
      <c r="AD86" s="427"/>
      <c r="AE86" s="427"/>
      <c r="AF86" s="427"/>
      <c r="AG86" s="427"/>
      <c r="AH86" s="427"/>
      <c r="AI86" s="427"/>
      <c r="AJ86" s="427"/>
      <c r="AK86" s="427"/>
      <c r="AL86" s="427"/>
      <c r="AM86" s="427"/>
      <c r="AN86" s="427"/>
      <c r="AO86" s="437"/>
    </row>
    <row r="87" spans="1:41" s="434" customFormat="1" x14ac:dyDescent="0.35">
      <c r="D87" s="434" t="s">
        <v>417</v>
      </c>
      <c r="E87" s="435">
        <f>E81</f>
        <v>1350</v>
      </c>
      <c r="F87" s="435">
        <f t="shared" ref="F87:AB87" si="80">F81</f>
        <v>1350</v>
      </c>
      <c r="G87" s="435">
        <f t="shared" si="80"/>
        <v>1350</v>
      </c>
      <c r="H87" s="435">
        <f t="shared" si="80"/>
        <v>1350</v>
      </c>
      <c r="I87" s="435">
        <f t="shared" si="80"/>
        <v>1350</v>
      </c>
      <c r="J87" s="435">
        <f t="shared" si="80"/>
        <v>1350</v>
      </c>
      <c r="K87" s="435">
        <f t="shared" si="80"/>
        <v>1350</v>
      </c>
      <c r="L87" s="435">
        <f t="shared" si="80"/>
        <v>1350</v>
      </c>
      <c r="M87" s="435">
        <f t="shared" si="80"/>
        <v>1350</v>
      </c>
      <c r="N87" s="435">
        <f t="shared" si="80"/>
        <v>1350</v>
      </c>
      <c r="O87" s="435">
        <f t="shared" si="80"/>
        <v>1350</v>
      </c>
      <c r="P87" s="435">
        <f t="shared" si="80"/>
        <v>1350</v>
      </c>
      <c r="Q87" s="435">
        <f t="shared" si="80"/>
        <v>1350</v>
      </c>
      <c r="R87" s="435">
        <f t="shared" si="80"/>
        <v>1300</v>
      </c>
      <c r="S87" s="435">
        <f t="shared" si="80"/>
        <v>1250</v>
      </c>
      <c r="T87" s="435">
        <f t="shared" si="80"/>
        <v>1250</v>
      </c>
      <c r="U87" s="435">
        <f t="shared" si="80"/>
        <v>1250</v>
      </c>
      <c r="V87" s="435">
        <f t="shared" si="80"/>
        <v>1250</v>
      </c>
      <c r="W87" s="435">
        <f t="shared" si="80"/>
        <v>1250</v>
      </c>
      <c r="X87" s="435">
        <f t="shared" si="80"/>
        <v>1230</v>
      </c>
      <c r="Y87" s="435">
        <f t="shared" si="80"/>
        <v>1210</v>
      </c>
      <c r="Z87" s="435">
        <f t="shared" si="80"/>
        <v>1210</v>
      </c>
      <c r="AA87" s="435">
        <f t="shared" si="80"/>
        <v>1200</v>
      </c>
      <c r="AB87" s="435">
        <f t="shared" si="80"/>
        <v>1200</v>
      </c>
      <c r="AC87" s="435"/>
      <c r="AD87" s="435"/>
      <c r="AE87" s="435"/>
      <c r="AF87" s="435"/>
      <c r="AG87" s="435"/>
      <c r="AH87" s="435"/>
      <c r="AI87" s="435"/>
      <c r="AJ87" s="435"/>
      <c r="AK87" s="435"/>
      <c r="AL87" s="435"/>
      <c r="AM87" s="435"/>
      <c r="AN87" s="435"/>
      <c r="AO87" s="436"/>
    </row>
    <row r="88" spans="1:41" s="434" customFormat="1" x14ac:dyDescent="0.35">
      <c r="D88" s="434" t="s">
        <v>418</v>
      </c>
      <c r="E88" s="435">
        <f>E82</f>
        <v>940</v>
      </c>
      <c r="F88" s="435">
        <f t="shared" ref="F88:AB88" si="81">F82</f>
        <v>993.33333333333337</v>
      </c>
      <c r="G88" s="435">
        <f t="shared" si="81"/>
        <v>985</v>
      </c>
      <c r="H88" s="435">
        <f t="shared" si="81"/>
        <v>962.5</v>
      </c>
      <c r="I88" s="435">
        <f t="shared" si="81"/>
        <v>982</v>
      </c>
      <c r="J88" s="435">
        <f t="shared" si="81"/>
        <v>1000</v>
      </c>
      <c r="K88" s="435">
        <f t="shared" si="81"/>
        <v>1000</v>
      </c>
      <c r="L88" s="435">
        <f t="shared" si="81"/>
        <v>984</v>
      </c>
      <c r="M88" s="435">
        <f t="shared" si="81"/>
        <v>967.5</v>
      </c>
      <c r="N88" s="435">
        <f t="shared" si="81"/>
        <v>965</v>
      </c>
      <c r="O88" s="435">
        <f t="shared" si="81"/>
        <v>974</v>
      </c>
      <c r="P88" s="435">
        <f t="shared" si="81"/>
        <v>956</v>
      </c>
      <c r="Q88" s="435">
        <f t="shared" si="81"/>
        <v>940</v>
      </c>
      <c r="R88" s="435">
        <f t="shared" si="81"/>
        <v>918</v>
      </c>
      <c r="S88" s="435">
        <f t="shared" si="81"/>
        <v>896</v>
      </c>
      <c r="T88" s="435">
        <f t="shared" si="81"/>
        <v>891.5</v>
      </c>
      <c r="U88" s="435">
        <f t="shared" si="81"/>
        <v>864</v>
      </c>
      <c r="V88" s="435">
        <f t="shared" si="81"/>
        <v>833</v>
      </c>
      <c r="W88" s="435">
        <f t="shared" si="81"/>
        <v>833</v>
      </c>
      <c r="X88" s="435">
        <f t="shared" si="81"/>
        <v>815</v>
      </c>
      <c r="Y88" s="435">
        <f t="shared" si="81"/>
        <v>813</v>
      </c>
      <c r="Z88" s="435">
        <f t="shared" si="81"/>
        <v>805</v>
      </c>
      <c r="AA88" s="435">
        <f t="shared" si="81"/>
        <v>805</v>
      </c>
      <c r="AB88" s="435">
        <f t="shared" si="81"/>
        <v>805</v>
      </c>
      <c r="AC88" s="435"/>
      <c r="AD88" s="435"/>
      <c r="AE88" s="435"/>
      <c r="AF88" s="435"/>
      <c r="AG88" s="435"/>
      <c r="AH88" s="435"/>
      <c r="AI88" s="435"/>
      <c r="AJ88" s="435"/>
      <c r="AK88" s="435"/>
      <c r="AL88" s="435"/>
      <c r="AM88" s="435"/>
      <c r="AN88" s="435"/>
      <c r="AO88" s="436"/>
    </row>
    <row r="89" spans="1:41" x14ac:dyDescent="0.35">
      <c r="C89" s="424"/>
      <c r="D89" s="424" t="s">
        <v>411</v>
      </c>
      <c r="E89" s="438">
        <f>IFERROR(E80,0)</f>
        <v>1487.795918367347</v>
      </c>
      <c r="F89" s="438">
        <f t="shared" ref="F89:AB89" si="82">IFERROR(F80,0)</f>
        <v>1487.795918367347</v>
      </c>
      <c r="G89" s="438">
        <f t="shared" si="82"/>
        <v>1487.795918367347</v>
      </c>
      <c r="H89" s="438">
        <f t="shared" si="82"/>
        <v>1417.795918367347</v>
      </c>
      <c r="I89" s="438">
        <f t="shared" si="82"/>
        <v>1417.795918367347</v>
      </c>
      <c r="J89" s="438">
        <f t="shared" si="82"/>
        <v>1417.795918367347</v>
      </c>
      <c r="K89" s="438">
        <f t="shared" si="82"/>
        <v>1418.04</v>
      </c>
      <c r="L89" s="438">
        <f t="shared" si="82"/>
        <v>1418.04</v>
      </c>
      <c r="M89" s="438">
        <f t="shared" si="82"/>
        <v>1418.04</v>
      </c>
      <c r="N89" s="438">
        <f t="shared" si="82"/>
        <v>1418.04</v>
      </c>
      <c r="O89" s="438">
        <f t="shared" si="82"/>
        <v>1418.04</v>
      </c>
      <c r="P89" s="438">
        <f t="shared" si="82"/>
        <v>1418.04</v>
      </c>
      <c r="Q89" s="438">
        <f t="shared" si="82"/>
        <v>1388.04</v>
      </c>
      <c r="R89" s="438">
        <f t="shared" si="82"/>
        <v>1388.04</v>
      </c>
      <c r="S89" s="438">
        <f t="shared" si="82"/>
        <v>1388.04</v>
      </c>
      <c r="T89" s="438">
        <f t="shared" si="82"/>
        <v>1338.04</v>
      </c>
      <c r="U89" s="438">
        <f t="shared" si="82"/>
        <v>1338.04</v>
      </c>
      <c r="V89" s="438">
        <f t="shared" si="82"/>
        <v>1338.04</v>
      </c>
      <c r="W89" s="438">
        <f t="shared" si="82"/>
        <v>1368.04</v>
      </c>
      <c r="X89" s="438">
        <f t="shared" si="82"/>
        <v>1368.04</v>
      </c>
      <c r="Y89" s="438">
        <f t="shared" si="82"/>
        <v>1368.04</v>
      </c>
      <c r="Z89" s="438">
        <f t="shared" si="82"/>
        <v>1368.04</v>
      </c>
      <c r="AA89" s="438">
        <f t="shared" si="82"/>
        <v>1368.04</v>
      </c>
      <c r="AB89" s="438">
        <f t="shared" si="82"/>
        <v>1368.04</v>
      </c>
      <c r="AC89" s="438"/>
      <c r="AD89" s="438"/>
      <c r="AE89" s="438"/>
      <c r="AF89" s="438"/>
      <c r="AG89" s="438"/>
      <c r="AH89" s="438"/>
      <c r="AI89" s="438"/>
      <c r="AJ89" s="438"/>
      <c r="AK89" s="438"/>
      <c r="AL89" s="438"/>
      <c r="AM89" s="438"/>
      <c r="AN89" s="438"/>
      <c r="AO89" s="433" t="s">
        <v>427</v>
      </c>
    </row>
    <row r="90" spans="1:41" x14ac:dyDescent="0.35">
      <c r="C90" s="424"/>
      <c r="D90" s="424" t="s">
        <v>412</v>
      </c>
      <c r="E90" s="438">
        <f t="shared" ref="E90:AB90" si="83">IFERROR(E81,0)</f>
        <v>1350</v>
      </c>
      <c r="F90" s="438">
        <f t="shared" si="83"/>
        <v>1350</v>
      </c>
      <c r="G90" s="438">
        <f t="shared" si="83"/>
        <v>1350</v>
      </c>
      <c r="H90" s="438">
        <f t="shared" si="83"/>
        <v>1350</v>
      </c>
      <c r="I90" s="438">
        <f t="shared" si="83"/>
        <v>1350</v>
      </c>
      <c r="J90" s="438">
        <f t="shared" si="83"/>
        <v>1350</v>
      </c>
      <c r="K90" s="438">
        <f t="shared" si="83"/>
        <v>1350</v>
      </c>
      <c r="L90" s="438">
        <f t="shared" si="83"/>
        <v>1350</v>
      </c>
      <c r="M90" s="438">
        <f t="shared" si="83"/>
        <v>1350</v>
      </c>
      <c r="N90" s="438">
        <f t="shared" si="83"/>
        <v>1350</v>
      </c>
      <c r="O90" s="438">
        <f t="shared" si="83"/>
        <v>1350</v>
      </c>
      <c r="P90" s="438">
        <f t="shared" si="83"/>
        <v>1350</v>
      </c>
      <c r="Q90" s="438">
        <f t="shared" si="83"/>
        <v>1350</v>
      </c>
      <c r="R90" s="438">
        <f t="shared" si="83"/>
        <v>1300</v>
      </c>
      <c r="S90" s="438">
        <f t="shared" si="83"/>
        <v>1250</v>
      </c>
      <c r="T90" s="438">
        <f t="shared" si="83"/>
        <v>1250</v>
      </c>
      <c r="U90" s="438">
        <f t="shared" si="83"/>
        <v>1250</v>
      </c>
      <c r="V90" s="438">
        <f t="shared" si="83"/>
        <v>1250</v>
      </c>
      <c r="W90" s="438">
        <f t="shared" si="83"/>
        <v>1250</v>
      </c>
      <c r="X90" s="438">
        <f t="shared" si="83"/>
        <v>1230</v>
      </c>
      <c r="Y90" s="438">
        <f t="shared" si="83"/>
        <v>1210</v>
      </c>
      <c r="Z90" s="438">
        <f t="shared" si="83"/>
        <v>1210</v>
      </c>
      <c r="AA90" s="438">
        <f t="shared" si="83"/>
        <v>1200</v>
      </c>
      <c r="AB90" s="438">
        <f t="shared" si="83"/>
        <v>1200</v>
      </c>
      <c r="AC90" s="438"/>
      <c r="AD90" s="438"/>
      <c r="AE90" s="438"/>
      <c r="AF90" s="438"/>
      <c r="AG90" s="438"/>
      <c r="AH90" s="438"/>
      <c r="AI90" s="438"/>
      <c r="AJ90" s="438"/>
      <c r="AK90" s="438"/>
      <c r="AL90" s="438"/>
      <c r="AM90" s="438"/>
      <c r="AN90" s="438"/>
      <c r="AO90" s="433" t="s">
        <v>17</v>
      </c>
    </row>
    <row r="91" spans="1:41" x14ac:dyDescent="0.35">
      <c r="C91" s="424"/>
      <c r="D91" s="424" t="s">
        <v>413</v>
      </c>
      <c r="E91" s="438">
        <f t="shared" ref="E91:AB91" si="84">IFERROR(E82,0)</f>
        <v>940</v>
      </c>
      <c r="F91" s="438">
        <f t="shared" si="84"/>
        <v>993.33333333333337</v>
      </c>
      <c r="G91" s="438">
        <f t="shared" si="84"/>
        <v>985</v>
      </c>
      <c r="H91" s="438">
        <f t="shared" si="84"/>
        <v>962.5</v>
      </c>
      <c r="I91" s="438">
        <f t="shared" si="84"/>
        <v>982</v>
      </c>
      <c r="J91" s="438">
        <f t="shared" si="84"/>
        <v>1000</v>
      </c>
      <c r="K91" s="438">
        <f t="shared" si="84"/>
        <v>1000</v>
      </c>
      <c r="L91" s="438">
        <f t="shared" si="84"/>
        <v>984</v>
      </c>
      <c r="M91" s="438">
        <f t="shared" si="84"/>
        <v>967.5</v>
      </c>
      <c r="N91" s="438">
        <f t="shared" si="84"/>
        <v>965</v>
      </c>
      <c r="O91" s="438">
        <f t="shared" si="84"/>
        <v>974</v>
      </c>
      <c r="P91" s="438">
        <f t="shared" si="84"/>
        <v>956</v>
      </c>
      <c r="Q91" s="438">
        <f t="shared" si="84"/>
        <v>940</v>
      </c>
      <c r="R91" s="438">
        <f t="shared" si="84"/>
        <v>918</v>
      </c>
      <c r="S91" s="438">
        <f t="shared" si="84"/>
        <v>896</v>
      </c>
      <c r="T91" s="438">
        <f t="shared" si="84"/>
        <v>891.5</v>
      </c>
      <c r="U91" s="438">
        <f t="shared" si="84"/>
        <v>864</v>
      </c>
      <c r="V91" s="438">
        <f t="shared" si="84"/>
        <v>833</v>
      </c>
      <c r="W91" s="438">
        <f t="shared" si="84"/>
        <v>833</v>
      </c>
      <c r="X91" s="438">
        <f t="shared" si="84"/>
        <v>815</v>
      </c>
      <c r="Y91" s="438">
        <f t="shared" si="84"/>
        <v>813</v>
      </c>
      <c r="Z91" s="438">
        <f t="shared" si="84"/>
        <v>805</v>
      </c>
      <c r="AA91" s="438">
        <f t="shared" si="84"/>
        <v>805</v>
      </c>
      <c r="AB91" s="438">
        <f t="shared" si="84"/>
        <v>805</v>
      </c>
      <c r="AC91" s="438"/>
      <c r="AD91" s="438"/>
      <c r="AE91" s="438"/>
      <c r="AF91" s="438"/>
      <c r="AG91" s="438"/>
      <c r="AH91" s="438"/>
      <c r="AI91" s="438"/>
      <c r="AJ91" s="438"/>
      <c r="AK91" s="438"/>
      <c r="AL91" s="438"/>
      <c r="AM91" s="438"/>
      <c r="AN91" s="438"/>
      <c r="AO91" s="433" t="s">
        <v>11</v>
      </c>
    </row>
  </sheetData>
  <conditionalFormatting sqref="E3:AO3">
    <cfRule type="cellIs" dxfId="1" priority="1" operator="equal">
      <formula>"x"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8348E-B508-484B-88E6-3E3C4C44B02F}">
  <sheetPr>
    <tabColor theme="7" tint="-0.249977111117893"/>
  </sheetPr>
  <dimension ref="A1:AL370"/>
  <sheetViews>
    <sheetView showGridLines="0" zoomScale="85" zoomScaleNormal="85" workbookViewId="0">
      <pane xSplit="11" ySplit="10" topLeftCell="Y51" activePane="bottomRight" state="frozen"/>
      <selection pane="topRight" activeCell="L1" sqref="L1"/>
      <selection pane="bottomLeft" activeCell="A11" sqref="A11"/>
      <selection pane="bottomRight" activeCell="AB19" sqref="AB19"/>
    </sheetView>
  </sheetViews>
  <sheetFormatPr defaultRowHeight="14.5" zeroHeight="1" outlineLevelRow="1" outlineLevelCol="1" x14ac:dyDescent="0.35"/>
  <cols>
    <col min="1" max="1" width="8.83203125" style="93" hidden="1" customWidth="1" outlineLevel="1"/>
    <col min="2" max="2" width="13.33203125" style="93" hidden="1" customWidth="1" outlineLevel="1"/>
    <col min="3" max="3" width="8.83203125" style="93" hidden="1" customWidth="1" outlineLevel="1"/>
    <col min="4" max="4" width="4.75" style="92" hidden="1" customWidth="1" outlineLevel="1"/>
    <col min="5" max="5" width="2.33203125" style="93" hidden="1" customWidth="1" outlineLevel="1"/>
    <col min="6" max="6" width="9.33203125" style="168" customWidth="1" collapsed="1"/>
    <col min="7" max="7" width="1.83203125" customWidth="1"/>
    <col min="8" max="8" width="3.33203125" customWidth="1"/>
    <col min="9" max="9" width="5.08203125" customWidth="1"/>
    <col min="10" max="10" width="43.33203125" customWidth="1"/>
    <col min="11" max="11" width="0.58203125" customWidth="1"/>
    <col min="12" max="14" width="12.33203125" customWidth="1"/>
    <col min="15" max="15" width="20.33203125" style="47" customWidth="1"/>
    <col min="16" max="25" width="20.33203125" customWidth="1"/>
    <col min="26" max="26" width="20.33203125" style="48" customWidth="1"/>
    <col min="27" max="27" width="20.33203125" customWidth="1"/>
    <col min="28" max="28" width="21" customWidth="1"/>
    <col min="29" max="37" width="17.75" customWidth="1"/>
    <col min="38" max="38" width="17.75" style="48" customWidth="1"/>
  </cols>
  <sheetData>
    <row r="1" spans="1:38" s="21" customFormat="1" outlineLevel="1" x14ac:dyDescent="0.35">
      <c r="A1" s="92"/>
      <c r="B1" s="92"/>
      <c r="C1" s="92"/>
      <c r="D1" s="92"/>
      <c r="E1" s="92"/>
      <c r="F1" s="246"/>
      <c r="L1" s="77">
        <f t="shared" ref="L1:AL1" si="0">DATE(L3,L4,1)</f>
        <v>45200</v>
      </c>
      <c r="M1" s="77">
        <f t="shared" si="0"/>
        <v>45231</v>
      </c>
      <c r="N1" s="77">
        <f t="shared" si="0"/>
        <v>45261</v>
      </c>
      <c r="O1" s="78">
        <f t="shared" si="0"/>
        <v>45292</v>
      </c>
      <c r="P1" s="77">
        <f t="shared" si="0"/>
        <v>45323</v>
      </c>
      <c r="Q1" s="77">
        <f t="shared" si="0"/>
        <v>45352</v>
      </c>
      <c r="R1" s="77">
        <f t="shared" si="0"/>
        <v>45383</v>
      </c>
      <c r="S1" s="77">
        <f t="shared" si="0"/>
        <v>45413</v>
      </c>
      <c r="T1" s="77">
        <f t="shared" si="0"/>
        <v>45444</v>
      </c>
      <c r="U1" s="77">
        <f t="shared" si="0"/>
        <v>45474</v>
      </c>
      <c r="V1" s="77">
        <f t="shared" si="0"/>
        <v>45505</v>
      </c>
      <c r="W1" s="77">
        <f t="shared" si="0"/>
        <v>45536</v>
      </c>
      <c r="X1" s="77">
        <f t="shared" si="0"/>
        <v>45566</v>
      </c>
      <c r="Y1" s="77">
        <f t="shared" si="0"/>
        <v>45597</v>
      </c>
      <c r="Z1" s="79">
        <f t="shared" si="0"/>
        <v>45627</v>
      </c>
      <c r="AA1" s="77">
        <f t="shared" si="0"/>
        <v>45658</v>
      </c>
      <c r="AB1" s="77">
        <f t="shared" si="0"/>
        <v>45689</v>
      </c>
      <c r="AC1" s="77">
        <f t="shared" si="0"/>
        <v>45717</v>
      </c>
      <c r="AD1" s="77">
        <f t="shared" si="0"/>
        <v>45748</v>
      </c>
      <c r="AE1" s="77">
        <f t="shared" si="0"/>
        <v>45778</v>
      </c>
      <c r="AF1" s="77">
        <f t="shared" si="0"/>
        <v>45809</v>
      </c>
      <c r="AG1" s="77">
        <f t="shared" si="0"/>
        <v>45839</v>
      </c>
      <c r="AH1" s="77">
        <f t="shared" si="0"/>
        <v>45870</v>
      </c>
      <c r="AI1" s="77">
        <f t="shared" si="0"/>
        <v>45901</v>
      </c>
      <c r="AJ1" s="77">
        <f t="shared" si="0"/>
        <v>45931</v>
      </c>
      <c r="AK1" s="77">
        <f t="shared" si="0"/>
        <v>45962</v>
      </c>
      <c r="AL1" s="79">
        <f t="shared" si="0"/>
        <v>45992</v>
      </c>
    </row>
    <row r="2" spans="1:38" s="21" customFormat="1" outlineLevel="1" x14ac:dyDescent="0.35">
      <c r="A2" s="92"/>
      <c r="B2" s="92"/>
      <c r="C2" s="92"/>
      <c r="D2" s="92"/>
      <c r="E2" s="92"/>
      <c r="F2" s="246"/>
      <c r="L2" s="77">
        <f t="shared" ref="L2:AL2" si="1">EOMONTH(L1,0)</f>
        <v>45230</v>
      </c>
      <c r="M2" s="77">
        <f t="shared" si="1"/>
        <v>45260</v>
      </c>
      <c r="N2" s="77">
        <f t="shared" si="1"/>
        <v>45291</v>
      </c>
      <c r="O2" s="78">
        <f t="shared" si="1"/>
        <v>45322</v>
      </c>
      <c r="P2" s="77">
        <f t="shared" si="1"/>
        <v>45351</v>
      </c>
      <c r="Q2" s="77">
        <f t="shared" si="1"/>
        <v>45382</v>
      </c>
      <c r="R2" s="77">
        <f t="shared" si="1"/>
        <v>45412</v>
      </c>
      <c r="S2" s="77">
        <f t="shared" si="1"/>
        <v>45443</v>
      </c>
      <c r="T2" s="77">
        <f t="shared" si="1"/>
        <v>45473</v>
      </c>
      <c r="U2" s="77">
        <f t="shared" si="1"/>
        <v>45504</v>
      </c>
      <c r="V2" s="77">
        <f t="shared" si="1"/>
        <v>45535</v>
      </c>
      <c r="W2" s="77">
        <f t="shared" si="1"/>
        <v>45565</v>
      </c>
      <c r="X2" s="77">
        <f t="shared" si="1"/>
        <v>45596</v>
      </c>
      <c r="Y2" s="77">
        <f t="shared" si="1"/>
        <v>45626</v>
      </c>
      <c r="Z2" s="79">
        <f t="shared" si="1"/>
        <v>45657</v>
      </c>
      <c r="AA2" s="77">
        <f t="shared" si="1"/>
        <v>45688</v>
      </c>
      <c r="AB2" s="77">
        <f t="shared" si="1"/>
        <v>45716</v>
      </c>
      <c r="AC2" s="77">
        <f t="shared" si="1"/>
        <v>45747</v>
      </c>
      <c r="AD2" s="77">
        <f t="shared" si="1"/>
        <v>45777</v>
      </c>
      <c r="AE2" s="77">
        <f t="shared" si="1"/>
        <v>45808</v>
      </c>
      <c r="AF2" s="77">
        <f t="shared" si="1"/>
        <v>45838</v>
      </c>
      <c r="AG2" s="77">
        <f t="shared" si="1"/>
        <v>45869</v>
      </c>
      <c r="AH2" s="77">
        <f t="shared" si="1"/>
        <v>45900</v>
      </c>
      <c r="AI2" s="77">
        <f t="shared" si="1"/>
        <v>45930</v>
      </c>
      <c r="AJ2" s="77">
        <f t="shared" si="1"/>
        <v>45961</v>
      </c>
      <c r="AK2" s="77">
        <f t="shared" si="1"/>
        <v>45991</v>
      </c>
      <c r="AL2" s="79">
        <f t="shared" si="1"/>
        <v>46022</v>
      </c>
    </row>
    <row r="3" spans="1:38" s="21" customFormat="1" outlineLevel="1" x14ac:dyDescent="0.35">
      <c r="A3" s="92"/>
      <c r="B3" s="92"/>
      <c r="C3" s="92"/>
      <c r="D3" s="92"/>
      <c r="E3" s="92"/>
      <c r="F3" s="246"/>
      <c r="L3" s="21">
        <v>2023</v>
      </c>
      <c r="M3" s="21">
        <v>2023</v>
      </c>
      <c r="N3" s="21">
        <v>2023</v>
      </c>
      <c r="O3" s="72">
        <v>2024</v>
      </c>
      <c r="P3" s="21">
        <v>2024</v>
      </c>
      <c r="Q3" s="21">
        <v>2024</v>
      </c>
      <c r="R3" s="21">
        <v>2024</v>
      </c>
      <c r="S3" s="21">
        <v>2024</v>
      </c>
      <c r="T3" s="21">
        <v>2024</v>
      </c>
      <c r="U3" s="21">
        <v>2024</v>
      </c>
      <c r="V3" s="21">
        <v>2024</v>
      </c>
      <c r="W3" s="21">
        <v>2024</v>
      </c>
      <c r="X3" s="21">
        <v>2024</v>
      </c>
      <c r="Y3" s="21">
        <v>2024</v>
      </c>
      <c r="Z3" s="73">
        <v>2024</v>
      </c>
      <c r="AA3" s="21">
        <v>2025</v>
      </c>
      <c r="AB3" s="21">
        <v>2025</v>
      </c>
      <c r="AC3" s="21">
        <v>2025</v>
      </c>
      <c r="AD3" s="21">
        <v>2025</v>
      </c>
      <c r="AE3" s="21">
        <v>2025</v>
      </c>
      <c r="AF3" s="21">
        <v>2025</v>
      </c>
      <c r="AG3" s="21">
        <v>2025</v>
      </c>
      <c r="AH3" s="21">
        <v>2025</v>
      </c>
      <c r="AI3" s="21">
        <v>2025</v>
      </c>
      <c r="AJ3" s="21">
        <v>2025</v>
      </c>
      <c r="AK3" s="21">
        <v>2025</v>
      </c>
      <c r="AL3" s="73">
        <v>2025</v>
      </c>
    </row>
    <row r="4" spans="1:38" s="21" customFormat="1" outlineLevel="1" x14ac:dyDescent="0.35">
      <c r="A4" s="92"/>
      <c r="B4" s="92"/>
      <c r="C4" s="92"/>
      <c r="D4" s="92"/>
      <c r="E4" s="92"/>
      <c r="F4" s="246"/>
      <c r="L4" s="21">
        <v>10</v>
      </c>
      <c r="M4" s="21">
        <v>11</v>
      </c>
      <c r="N4" s="21">
        <v>12</v>
      </c>
      <c r="O4" s="72">
        <v>1</v>
      </c>
      <c r="P4" s="21">
        <v>2</v>
      </c>
      <c r="Q4" s="21">
        <v>3</v>
      </c>
      <c r="R4" s="21">
        <v>4</v>
      </c>
      <c r="S4" s="21">
        <v>5</v>
      </c>
      <c r="T4" s="21">
        <v>6</v>
      </c>
      <c r="U4" s="21">
        <v>7</v>
      </c>
      <c r="V4" s="21">
        <v>8</v>
      </c>
      <c r="W4" s="21">
        <v>9</v>
      </c>
      <c r="X4" s="21">
        <v>10</v>
      </c>
      <c r="Y4" s="21">
        <v>11</v>
      </c>
      <c r="Z4" s="73">
        <v>12</v>
      </c>
      <c r="AA4" s="21">
        <v>1</v>
      </c>
      <c r="AB4" s="21">
        <v>2</v>
      </c>
      <c r="AC4" s="21">
        <v>3</v>
      </c>
      <c r="AD4" s="21">
        <v>4</v>
      </c>
      <c r="AE4" s="21">
        <v>5</v>
      </c>
      <c r="AF4" s="21">
        <v>6</v>
      </c>
      <c r="AG4" s="21">
        <v>7</v>
      </c>
      <c r="AH4" s="21">
        <v>8</v>
      </c>
      <c r="AI4" s="21">
        <v>9</v>
      </c>
      <c r="AJ4" s="21">
        <v>10</v>
      </c>
      <c r="AK4" s="21">
        <v>11</v>
      </c>
      <c r="AL4" s="73">
        <v>12</v>
      </c>
    </row>
    <row r="5" spans="1:38" s="21" customFormat="1" ht="2.25" customHeight="1" x14ac:dyDescent="0.35">
      <c r="A5" s="92"/>
      <c r="B5" s="92"/>
      <c r="C5" s="92"/>
      <c r="D5" s="92"/>
      <c r="E5" s="92"/>
      <c r="F5" s="246"/>
      <c r="O5" s="72"/>
      <c r="Z5" s="73"/>
      <c r="AL5" s="73"/>
    </row>
    <row r="6" spans="1:38" s="249" customFormat="1" ht="22" x14ac:dyDescent="0.5">
      <c r="D6" s="250"/>
      <c r="F6" s="251" t="s">
        <v>38</v>
      </c>
      <c r="O6" s="252"/>
      <c r="Z6" s="253"/>
      <c r="AL6" s="253"/>
    </row>
    <row r="7" spans="1:38" x14ac:dyDescent="0.35">
      <c r="O7" s="83"/>
    </row>
    <row r="8" spans="1:38" s="28" customFormat="1" ht="17" x14ac:dyDescent="0.35">
      <c r="A8" s="94"/>
      <c r="B8" s="94"/>
      <c r="C8" s="94"/>
      <c r="D8" s="95"/>
      <c r="E8" s="94"/>
      <c r="F8" s="489" t="s">
        <v>0</v>
      </c>
      <c r="G8" s="487" t="s">
        <v>39</v>
      </c>
      <c r="H8" s="487"/>
      <c r="I8" s="487"/>
      <c r="J8" s="487"/>
      <c r="L8" s="39">
        <v>2023</v>
      </c>
      <c r="M8" s="40"/>
      <c r="N8" s="40"/>
      <c r="O8" s="84">
        <v>2024</v>
      </c>
      <c r="P8" s="29"/>
      <c r="Q8" s="29"/>
      <c r="R8" s="29"/>
      <c r="S8" s="29"/>
      <c r="T8" s="29"/>
      <c r="U8" s="29"/>
      <c r="V8" s="29"/>
      <c r="W8" s="29"/>
      <c r="X8" s="29"/>
      <c r="Y8" s="29"/>
      <c r="Z8" s="85"/>
      <c r="AA8" s="30">
        <v>2025</v>
      </c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128"/>
    </row>
    <row r="9" spans="1:38" s="28" customFormat="1" ht="17" x14ac:dyDescent="0.35">
      <c r="A9" s="94" t="s">
        <v>318</v>
      </c>
      <c r="B9" s="94" t="s">
        <v>319</v>
      </c>
      <c r="C9" s="94" t="s">
        <v>320</v>
      </c>
      <c r="D9" s="95" t="s">
        <v>321</v>
      </c>
      <c r="E9" s="94"/>
      <c r="F9" s="489"/>
      <c r="G9" s="487"/>
      <c r="H9" s="487"/>
      <c r="I9" s="487"/>
      <c r="J9" s="487"/>
      <c r="L9" s="38">
        <v>10</v>
      </c>
      <c r="M9" s="38">
        <v>11</v>
      </c>
      <c r="N9" s="38">
        <v>12</v>
      </c>
      <c r="O9" s="86">
        <v>1</v>
      </c>
      <c r="P9" s="31">
        <v>2</v>
      </c>
      <c r="Q9" s="31">
        <v>3</v>
      </c>
      <c r="R9" s="31">
        <v>4</v>
      </c>
      <c r="S9" s="31">
        <v>5</v>
      </c>
      <c r="T9" s="31">
        <v>6</v>
      </c>
      <c r="U9" s="31">
        <v>7</v>
      </c>
      <c r="V9" s="31">
        <v>8</v>
      </c>
      <c r="W9" s="31">
        <v>9</v>
      </c>
      <c r="X9" s="31">
        <v>10</v>
      </c>
      <c r="Y9" s="31">
        <v>11</v>
      </c>
      <c r="Z9" s="87">
        <v>12</v>
      </c>
      <c r="AA9" s="32">
        <v>1</v>
      </c>
      <c r="AB9" s="32">
        <v>2</v>
      </c>
      <c r="AC9" s="32">
        <v>3</v>
      </c>
      <c r="AD9" s="32">
        <v>4</v>
      </c>
      <c r="AE9" s="32">
        <v>5</v>
      </c>
      <c r="AF9" s="32">
        <v>6</v>
      </c>
      <c r="AG9" s="32">
        <v>7</v>
      </c>
      <c r="AH9" s="32">
        <v>8</v>
      </c>
      <c r="AI9" s="32">
        <v>9</v>
      </c>
      <c r="AJ9" s="32">
        <v>10</v>
      </c>
      <c r="AK9" s="32">
        <v>11</v>
      </c>
      <c r="AL9" s="129">
        <v>12</v>
      </c>
    </row>
    <row r="10" spans="1:38" ht="3.75" customHeight="1" x14ac:dyDescent="0.35"/>
    <row r="11" spans="1:38" s="178" customFormat="1" ht="19.5" x14ac:dyDescent="0.35">
      <c r="A11" s="176" t="s">
        <v>52</v>
      </c>
      <c r="B11" s="176"/>
      <c r="C11" s="176"/>
      <c r="D11" s="176"/>
      <c r="E11" s="176"/>
      <c r="F11" s="219">
        <v>1</v>
      </c>
      <c r="G11" s="177" t="s">
        <v>3</v>
      </c>
      <c r="H11" s="177"/>
      <c r="I11" s="177"/>
      <c r="J11" s="177"/>
      <c r="L11" s="180"/>
      <c r="M11" s="180"/>
      <c r="N11" s="180"/>
      <c r="O11" s="179"/>
      <c r="P11" s="180"/>
      <c r="Q11" s="180"/>
      <c r="R11" s="180"/>
      <c r="S11" s="180"/>
      <c r="T11" s="180"/>
      <c r="U11" s="180"/>
      <c r="V11" s="180"/>
      <c r="W11" s="180"/>
      <c r="X11" s="180"/>
      <c r="Y11" s="180"/>
      <c r="Z11" s="181"/>
      <c r="AA11" s="182"/>
      <c r="AB11" s="180"/>
      <c r="AC11" s="182"/>
      <c r="AD11" s="182"/>
      <c r="AE11" s="182"/>
      <c r="AF11" s="182"/>
      <c r="AG11" s="182"/>
      <c r="AH11" s="182"/>
      <c r="AI11" s="182"/>
      <c r="AJ11" s="182"/>
      <c r="AK11" s="182"/>
      <c r="AL11" s="181"/>
    </row>
    <row r="12" spans="1:38" s="183" customFormat="1" ht="17" x14ac:dyDescent="0.35">
      <c r="A12" s="183" t="s">
        <v>52</v>
      </c>
      <c r="B12" s="183" t="s">
        <v>15</v>
      </c>
      <c r="D12" s="183" t="s">
        <v>322</v>
      </c>
      <c r="F12" s="220">
        <v>1.1000000000000001</v>
      </c>
      <c r="G12" s="190"/>
      <c r="H12" s="190" t="s">
        <v>206</v>
      </c>
      <c r="I12" s="190"/>
      <c r="J12" s="190"/>
      <c r="L12" s="190"/>
      <c r="M12" s="190"/>
      <c r="N12" s="190"/>
      <c r="O12" s="216">
        <f t="shared" ref="O12:AB12" si="2">MIN(MAX(SUM(O13:O14),O23),O22)</f>
        <v>1200</v>
      </c>
      <c r="P12" s="217">
        <f t="shared" si="2"/>
        <v>1200</v>
      </c>
      <c r="Q12" s="217">
        <f t="shared" si="2"/>
        <v>1200</v>
      </c>
      <c r="R12" s="217">
        <f t="shared" si="2"/>
        <v>1200</v>
      </c>
      <c r="S12" s="217">
        <f t="shared" si="2"/>
        <v>1200</v>
      </c>
      <c r="T12" s="217">
        <f t="shared" si="2"/>
        <v>1200.8999999999999</v>
      </c>
      <c r="U12" s="217">
        <f t="shared" si="2"/>
        <v>1214.3999999999999</v>
      </c>
      <c r="V12" s="217">
        <f t="shared" si="2"/>
        <v>1226.0999999999999</v>
      </c>
      <c r="W12" s="217">
        <f t="shared" si="2"/>
        <v>1242.6000000000001</v>
      </c>
      <c r="X12" s="217">
        <f t="shared" si="2"/>
        <v>1261.3499999999999</v>
      </c>
      <c r="Y12" s="217">
        <f t="shared" si="2"/>
        <v>1281.75</v>
      </c>
      <c r="Z12" s="218">
        <f t="shared" si="2"/>
        <v>1290.75</v>
      </c>
      <c r="AA12" s="217">
        <f t="shared" si="2"/>
        <v>1288.875</v>
      </c>
      <c r="AB12" s="217">
        <f t="shared" si="2"/>
        <v>1264.3749999999991</v>
      </c>
      <c r="AC12" s="217"/>
      <c r="AD12" s="217"/>
      <c r="AE12" s="217"/>
      <c r="AF12" s="217"/>
      <c r="AG12" s="217"/>
      <c r="AH12" s="217"/>
      <c r="AI12" s="217"/>
      <c r="AJ12" s="217"/>
      <c r="AK12" s="217"/>
      <c r="AL12" s="218"/>
    </row>
    <row r="13" spans="1:38" s="96" customFormat="1" outlineLevel="1" x14ac:dyDescent="0.35">
      <c r="A13" s="96" t="s">
        <v>52</v>
      </c>
      <c r="B13" s="96" t="s">
        <v>15</v>
      </c>
      <c r="D13" s="97"/>
      <c r="F13" s="221" t="s">
        <v>201</v>
      </c>
      <c r="G13" s="26"/>
      <c r="H13" s="26" t="s">
        <v>41</v>
      </c>
      <c r="I13" s="26" t="s">
        <v>204</v>
      </c>
      <c r="J13" s="26"/>
      <c r="K13" s="12"/>
      <c r="L13" s="26"/>
      <c r="M13" s="26"/>
      <c r="N13" s="26"/>
      <c r="O13" s="213">
        <f>AVERAGE(L17:N17)</f>
        <v>1296.0416666666667</v>
      </c>
      <c r="P13" s="214">
        <f t="shared" ref="P13:AB13" si="3">AVERAGE(M17:O17)</f>
        <v>1305</v>
      </c>
      <c r="Q13" s="214">
        <f t="shared" si="3"/>
        <v>1313.3333333333333</v>
      </c>
      <c r="R13" s="214">
        <f t="shared" si="3"/>
        <v>1320</v>
      </c>
      <c r="S13" s="214">
        <f t="shared" si="3"/>
        <v>1326</v>
      </c>
      <c r="T13" s="214">
        <f t="shared" si="3"/>
        <v>1334.3333333333333</v>
      </c>
      <c r="U13" s="214">
        <f t="shared" si="3"/>
        <v>1349.3333333333333</v>
      </c>
      <c r="V13" s="214">
        <f t="shared" si="3"/>
        <v>1362.3333333333333</v>
      </c>
      <c r="W13" s="214">
        <f t="shared" si="3"/>
        <v>1380.6666666666667</v>
      </c>
      <c r="X13" s="214">
        <f t="shared" si="3"/>
        <v>1401.5</v>
      </c>
      <c r="Y13" s="214">
        <f t="shared" si="3"/>
        <v>1424.1666666666667</v>
      </c>
      <c r="Z13" s="215">
        <f t="shared" si="3"/>
        <v>1434.1666666666667</v>
      </c>
      <c r="AA13" s="214">
        <f t="shared" si="3"/>
        <v>1432.0833333333333</v>
      </c>
      <c r="AB13" s="214">
        <f t="shared" si="3"/>
        <v>1404.8611111111102</v>
      </c>
      <c r="AC13" s="214"/>
      <c r="AD13" s="214"/>
      <c r="AE13" s="214"/>
      <c r="AF13" s="214"/>
      <c r="AG13" s="214"/>
      <c r="AH13" s="214"/>
      <c r="AI13" s="214"/>
      <c r="AJ13" s="214"/>
      <c r="AK13" s="214"/>
      <c r="AL13" s="215"/>
    </row>
    <row r="14" spans="1:38" s="96" customFormat="1" outlineLevel="1" x14ac:dyDescent="0.35">
      <c r="A14" s="96" t="s">
        <v>52</v>
      </c>
      <c r="B14" s="96" t="s">
        <v>15</v>
      </c>
      <c r="D14" s="97"/>
      <c r="F14" s="221" t="s">
        <v>202</v>
      </c>
      <c r="G14" s="26"/>
      <c r="H14" s="26" t="s">
        <v>41</v>
      </c>
      <c r="I14" s="26" t="s">
        <v>205</v>
      </c>
      <c r="J14" s="26"/>
      <c r="K14" s="12"/>
      <c r="L14" s="26"/>
      <c r="M14" s="26"/>
      <c r="N14" s="26"/>
      <c r="O14" s="213">
        <f>-O13*O18</f>
        <v>-129.60416666666669</v>
      </c>
      <c r="P14" s="214">
        <f t="shared" ref="P14:AB14" si="4">-P13*P18</f>
        <v>-130.5</v>
      </c>
      <c r="Q14" s="214">
        <f t="shared" si="4"/>
        <v>-131.33333333333334</v>
      </c>
      <c r="R14" s="214">
        <f t="shared" si="4"/>
        <v>-132</v>
      </c>
      <c r="S14" s="214">
        <f t="shared" si="4"/>
        <v>-132.6</v>
      </c>
      <c r="T14" s="214">
        <f t="shared" si="4"/>
        <v>-133.43333333333334</v>
      </c>
      <c r="U14" s="214">
        <f t="shared" si="4"/>
        <v>-134.93333333333334</v>
      </c>
      <c r="V14" s="214">
        <f t="shared" si="4"/>
        <v>-136.23333333333332</v>
      </c>
      <c r="W14" s="214">
        <f t="shared" si="4"/>
        <v>-138.06666666666669</v>
      </c>
      <c r="X14" s="214">
        <f t="shared" si="4"/>
        <v>-140.15</v>
      </c>
      <c r="Y14" s="214">
        <f t="shared" si="4"/>
        <v>-142.41666666666669</v>
      </c>
      <c r="Z14" s="215">
        <f t="shared" si="4"/>
        <v>-143.41666666666669</v>
      </c>
      <c r="AA14" s="214">
        <f t="shared" si="4"/>
        <v>-143.20833333333334</v>
      </c>
      <c r="AB14" s="214">
        <f t="shared" si="4"/>
        <v>-140.48611111111103</v>
      </c>
      <c r="AC14" s="214"/>
      <c r="AD14" s="214"/>
      <c r="AE14" s="214"/>
      <c r="AF14" s="214"/>
      <c r="AG14" s="214"/>
      <c r="AH14" s="214"/>
      <c r="AI14" s="214"/>
      <c r="AJ14" s="214"/>
      <c r="AK14" s="214"/>
      <c r="AL14" s="215"/>
    </row>
    <row r="15" spans="1:38" s="94" customFormat="1" outlineLevel="1" x14ac:dyDescent="0.35">
      <c r="A15" s="94" t="s">
        <v>52</v>
      </c>
      <c r="B15" s="94" t="s">
        <v>15</v>
      </c>
      <c r="D15" s="95" t="s">
        <v>162</v>
      </c>
      <c r="F15" s="231" t="s">
        <v>217</v>
      </c>
      <c r="G15" s="232"/>
      <c r="H15" s="232"/>
      <c r="I15" s="232" t="s">
        <v>8</v>
      </c>
      <c r="J15" s="232"/>
      <c r="K15" s="2"/>
      <c r="L15" s="232"/>
      <c r="M15" s="232"/>
      <c r="N15" s="232"/>
      <c r="O15" s="233">
        <f>O12-O16</f>
        <v>1180</v>
      </c>
      <c r="P15" s="234">
        <f t="shared" ref="P15:AB15" si="5">P12-P16</f>
        <v>1180</v>
      </c>
      <c r="Q15" s="234">
        <f t="shared" si="5"/>
        <v>1180</v>
      </c>
      <c r="R15" s="234">
        <f t="shared" si="5"/>
        <v>1180</v>
      </c>
      <c r="S15" s="234">
        <f t="shared" si="5"/>
        <v>1180</v>
      </c>
      <c r="T15" s="234">
        <f t="shared" si="5"/>
        <v>1180.8999999999999</v>
      </c>
      <c r="U15" s="234">
        <f t="shared" si="5"/>
        <v>1194.3999999999999</v>
      </c>
      <c r="V15" s="234">
        <f t="shared" si="5"/>
        <v>1206.0999999999999</v>
      </c>
      <c r="W15" s="234">
        <f t="shared" si="5"/>
        <v>1222.6000000000001</v>
      </c>
      <c r="X15" s="234">
        <f t="shared" si="5"/>
        <v>1241.3499999999999</v>
      </c>
      <c r="Y15" s="234">
        <f t="shared" si="5"/>
        <v>1261.75</v>
      </c>
      <c r="Z15" s="235">
        <f t="shared" si="5"/>
        <v>1270.75</v>
      </c>
      <c r="AA15" s="234">
        <f t="shared" si="5"/>
        <v>1268.875</v>
      </c>
      <c r="AB15" s="234">
        <f t="shared" si="5"/>
        <v>1244.3749999999991</v>
      </c>
      <c r="AC15" s="234"/>
      <c r="AD15" s="234"/>
      <c r="AE15" s="234"/>
      <c r="AF15" s="234"/>
      <c r="AG15" s="234"/>
      <c r="AH15" s="234"/>
      <c r="AI15" s="234"/>
      <c r="AJ15" s="234"/>
      <c r="AK15" s="234"/>
      <c r="AL15" s="235"/>
    </row>
    <row r="16" spans="1:38" s="184" customFormat="1" outlineLevel="1" x14ac:dyDescent="0.35">
      <c r="A16" s="184" t="s">
        <v>52</v>
      </c>
      <c r="B16" s="184" t="s">
        <v>15</v>
      </c>
      <c r="F16" s="222" t="s">
        <v>218</v>
      </c>
      <c r="G16" s="191"/>
      <c r="H16" s="191"/>
      <c r="I16" s="191" t="s">
        <v>50</v>
      </c>
      <c r="J16" s="191"/>
      <c r="K16" s="185"/>
      <c r="L16" s="210"/>
      <c r="M16" s="210"/>
      <c r="N16" s="210"/>
      <c r="O16" s="211">
        <v>20</v>
      </c>
      <c r="P16" s="210">
        <v>20</v>
      </c>
      <c r="Q16" s="210">
        <v>20</v>
      </c>
      <c r="R16" s="210">
        <v>20</v>
      </c>
      <c r="S16" s="210">
        <v>20</v>
      </c>
      <c r="T16" s="210">
        <v>20</v>
      </c>
      <c r="U16" s="210">
        <v>20</v>
      </c>
      <c r="V16" s="210">
        <v>20</v>
      </c>
      <c r="W16" s="210">
        <v>20</v>
      </c>
      <c r="X16" s="210">
        <v>20</v>
      </c>
      <c r="Y16" s="210">
        <v>20</v>
      </c>
      <c r="Z16" s="212">
        <v>20</v>
      </c>
      <c r="AA16" s="210">
        <v>20</v>
      </c>
      <c r="AB16" s="210">
        <v>20</v>
      </c>
      <c r="AC16" s="210"/>
      <c r="AD16" s="210"/>
      <c r="AE16" s="210"/>
      <c r="AF16" s="210"/>
      <c r="AG16" s="210"/>
      <c r="AH16" s="210"/>
      <c r="AI16" s="210"/>
      <c r="AJ16" s="210"/>
      <c r="AK16" s="210"/>
      <c r="AL16" s="212"/>
    </row>
    <row r="17" spans="1:38" s="186" customFormat="1" outlineLevel="1" x14ac:dyDescent="0.35">
      <c r="A17" s="186" t="s">
        <v>52</v>
      </c>
      <c r="B17" s="186" t="s">
        <v>15</v>
      </c>
      <c r="C17" s="186" t="s">
        <v>44</v>
      </c>
      <c r="F17" s="223" t="s">
        <v>219</v>
      </c>
      <c r="G17" s="192"/>
      <c r="H17" s="192"/>
      <c r="I17" s="192"/>
      <c r="J17" s="192" t="s">
        <v>75</v>
      </c>
      <c r="K17" s="187"/>
      <c r="L17" s="204" cm="1">
        <f t="array" ref="L17">SUMPRODUCT(General_Data*(Year=L$3)*(Month=L$4)*(Code_General_Data=$C17))</f>
        <v>1288.125</v>
      </c>
      <c r="M17" s="204" cm="1">
        <f t="array" ref="M17">SUMPRODUCT(General_Data*(Year=M$3)*(Month=M$4)*(Code_General_Data=$C17))</f>
        <v>1300</v>
      </c>
      <c r="N17" s="204" cm="1">
        <f t="array" ref="N17">SUMPRODUCT(General_Data*(Year=N$3)*(Month=N$4)*(Code_General_Data=$C17))</f>
        <v>1300</v>
      </c>
      <c r="O17" s="205" cm="1">
        <f t="array" ref="O17">SUMPRODUCT(General_Data*(Year=O$3)*(Month=O$4)*(Code_General_Data=$C17))</f>
        <v>1315</v>
      </c>
      <c r="P17" s="204" cm="1">
        <f t="array" ref="P17">SUMPRODUCT(General_Data*(Year=P$3)*(Month=P$4)*(Code_General_Data=$C17))</f>
        <v>1325</v>
      </c>
      <c r="Q17" s="204" cm="1">
        <f t="array" ref="Q17">SUMPRODUCT(General_Data*(Year=Q$3)*(Month=Q$4)*(Code_General_Data=$C17))</f>
        <v>1320</v>
      </c>
      <c r="R17" s="204" cm="1">
        <f t="array" ref="R17">SUMPRODUCT(General_Data*(Year=R$3)*(Month=R$4)*(Code_General_Data=$C17))</f>
        <v>1333</v>
      </c>
      <c r="S17" s="204" cm="1">
        <f t="array" ref="S17">SUMPRODUCT(General_Data*(Year=S$3)*(Month=S$4)*(Code_General_Data=$C17))</f>
        <v>1350</v>
      </c>
      <c r="T17" s="204" cm="1">
        <f t="array" ref="T17">SUMPRODUCT(General_Data*(Year=T$3)*(Month=T$4)*(Code_General_Data=$C17))</f>
        <v>1365</v>
      </c>
      <c r="U17" s="204" cm="1">
        <f t="array" ref="U17">SUMPRODUCT(General_Data*(Year=U$3)*(Month=U$4)*(Code_General_Data=$C17))</f>
        <v>1372</v>
      </c>
      <c r="V17" s="204" cm="1">
        <f t="array" ref="V17">SUMPRODUCT(General_Data*(Year=V$3)*(Month=V$4)*(Code_General_Data=$C17))</f>
        <v>1405</v>
      </c>
      <c r="W17" s="204" cm="1">
        <f t="array" ref="W17">SUMPRODUCT(General_Data*(Year=W$3)*(Month=W$4)*(Code_General_Data=$C17))</f>
        <v>1427.5</v>
      </c>
      <c r="X17" s="204" cm="1">
        <f t="array" ref="X17">SUMPRODUCT(General_Data*(Year=X$3)*(Month=X$4)*(Code_General_Data=$C17))</f>
        <v>1440</v>
      </c>
      <c r="Y17" s="204" cm="1">
        <f t="array" ref="Y17">SUMPRODUCT(General_Data*(Year=Y$3)*(Month=Y$4)*(Code_General_Data=$C17))</f>
        <v>1435</v>
      </c>
      <c r="Z17" s="206" cm="1">
        <f t="array" ref="Z17">SUMPRODUCT(General_Data*(Year=Z$3)*(Month=Z$4)*(Code_General_Data=$C17))</f>
        <v>1421.25</v>
      </c>
      <c r="AA17" s="204" cm="1">
        <f t="array" ref="AA17">SUMPRODUCT(General_Data*(Year=AA$3)*(Month=AA$4)*(Code_General_Data=$C17))</f>
        <v>1358.3333333333301</v>
      </c>
      <c r="AB17" s="204" cm="1">
        <f t="array" ref="AB17">SUMPRODUCT(General_Data*(Year=AB$3)*(Month=AB$4)*(Code_General_Data=$C17))</f>
        <v>1350</v>
      </c>
      <c r="AC17" s="204"/>
      <c r="AD17" s="204"/>
      <c r="AE17" s="204"/>
      <c r="AF17" s="204"/>
      <c r="AG17" s="204"/>
      <c r="AH17" s="204"/>
      <c r="AI17" s="204"/>
      <c r="AJ17" s="204"/>
      <c r="AK17" s="204"/>
      <c r="AL17" s="206"/>
    </row>
    <row r="18" spans="1:38" s="98" customFormat="1" outlineLevel="1" x14ac:dyDescent="0.35">
      <c r="A18" s="98" t="s">
        <v>52</v>
      </c>
      <c r="B18" s="98" t="s">
        <v>15</v>
      </c>
      <c r="F18" s="224" t="s">
        <v>220</v>
      </c>
      <c r="G18" s="35"/>
      <c r="H18" s="35"/>
      <c r="I18" s="35"/>
      <c r="J18" s="35" t="s">
        <v>54</v>
      </c>
      <c r="K18" s="34"/>
      <c r="L18" s="35"/>
      <c r="M18" s="35"/>
      <c r="N18" s="35"/>
      <c r="O18" s="207">
        <v>0.1</v>
      </c>
      <c r="P18" s="208">
        <v>0.1</v>
      </c>
      <c r="Q18" s="208">
        <v>0.1</v>
      </c>
      <c r="R18" s="208">
        <v>0.1</v>
      </c>
      <c r="S18" s="208">
        <v>0.1</v>
      </c>
      <c r="T18" s="208">
        <v>0.1</v>
      </c>
      <c r="U18" s="208">
        <v>0.1</v>
      </c>
      <c r="V18" s="208">
        <v>0.1</v>
      </c>
      <c r="W18" s="208">
        <v>0.1</v>
      </c>
      <c r="X18" s="208">
        <v>0.1</v>
      </c>
      <c r="Y18" s="208">
        <v>0.1</v>
      </c>
      <c r="Z18" s="209">
        <v>0.1</v>
      </c>
      <c r="AA18" s="208">
        <v>0.1</v>
      </c>
      <c r="AB18" s="208">
        <v>0.1</v>
      </c>
      <c r="AC18" s="35"/>
      <c r="AD18" s="35"/>
      <c r="AE18" s="35"/>
      <c r="AF18" s="35"/>
      <c r="AG18" s="35"/>
      <c r="AH18" s="35"/>
      <c r="AI18" s="35"/>
      <c r="AJ18" s="35"/>
      <c r="AK18" s="35"/>
      <c r="AL18" s="194"/>
    </row>
    <row r="19" spans="1:38" s="96" customFormat="1" ht="74.5" customHeight="1" outlineLevel="1" x14ac:dyDescent="0.35">
      <c r="A19" s="96" t="s">
        <v>52</v>
      </c>
      <c r="B19" s="96" t="s">
        <v>15</v>
      </c>
      <c r="D19" s="97"/>
      <c r="F19" s="221" t="s">
        <v>221</v>
      </c>
      <c r="G19" s="26"/>
      <c r="H19" s="26"/>
      <c r="I19" s="26"/>
      <c r="J19" s="26" t="s">
        <v>45</v>
      </c>
      <c r="K19" s="12"/>
      <c r="L19" s="195"/>
      <c r="M19" s="195"/>
      <c r="N19" s="195"/>
      <c r="O19" s="88" t="str" cm="1">
        <f t="array" ref="O19">INDEX(Note!$G$3:$G$101,MATCH(1,(Note!$A$3:$A$101=$A19)*(Note!$C$3:$C$101=$B19)*(Note!$E$3:$E$101&lt;=O$1)*(Note!$F$3:$F$101&gt;=O$2),0))</f>
        <v>Giá ICIS rPET ĐNA trung bình 3 tháng trước đó với chiết khấu 10%. Giá trần $1,600; giá sàn $1,200</v>
      </c>
      <c r="P19" s="27" t="str" cm="1">
        <f t="array" ref="P19">INDEX(Note!$G$3:$G$101,MATCH(1,(Note!$A$3:$A$101=$A19)*(Note!$C$3:$C$101=$B19)*(Note!$E$3:$E$101&lt;=P$1)*(Note!$F$3:$F$101&gt;=P$2),0))</f>
        <v>Giá ICIS rPET ĐNA trung bình 3 tháng trước đó với chiết khấu 10%. Giá trần $1,600; giá sàn $1,200</v>
      </c>
      <c r="Q19" s="27" t="str" cm="1">
        <f t="array" ref="Q19">INDEX(Note!$G$3:$G$101,MATCH(1,(Note!$A$3:$A$101=$A19)*(Note!$C$3:$C$101=$B19)*(Note!$E$3:$E$101&lt;=Q$1)*(Note!$F$3:$F$101&gt;=Q$2),0))</f>
        <v>Giá ICIS rPET ĐNA trung bình 3 tháng trước đó với chiết khấu 10%. Giá trần $1,600; giá sàn $1,200</v>
      </c>
      <c r="R19" s="27" t="str" cm="1">
        <f t="array" ref="R19">INDEX(Note!$G$3:$G$101,MATCH(1,(Note!$A$3:$A$101=$A19)*(Note!$C$3:$C$101=$B19)*(Note!$E$3:$E$101&lt;=R$1)*(Note!$F$3:$F$101&gt;=R$2),0))</f>
        <v>Giá ICIS rPET ĐNA trung bình 3 tháng trước đó với chiết khấu 10%. Giá trần $1,600; giá sàn $1,200</v>
      </c>
      <c r="S19" s="27" t="str" cm="1">
        <f t="array" ref="S19">INDEX(Note!$G$3:$G$101,MATCH(1,(Note!$A$3:$A$101=$A19)*(Note!$C$3:$C$101=$B19)*(Note!$E$3:$E$101&lt;=S$1)*(Note!$F$3:$F$101&gt;=S$2),0))</f>
        <v>Giá ICIS rPET ĐNA trung bình 3 tháng trước đó với chiết khấu 10%. Giá trần $1,600; giá sàn $1,200</v>
      </c>
      <c r="T19" s="27" t="str" cm="1">
        <f t="array" ref="T19">INDEX(Note!$G$3:$G$101,MATCH(1,(Note!$A$3:$A$101=$A19)*(Note!$C$3:$C$101=$B19)*(Note!$E$3:$E$101&lt;=T$1)*(Note!$F$3:$F$101&gt;=T$2),0))</f>
        <v>Giá ICIS rPET ĐNA trung bình 3 tháng trước đó với chiết khấu 10%. Giá trần $1,600; giá sàn $1,200</v>
      </c>
      <c r="U19" s="27" t="str" cm="1">
        <f t="array" ref="U19">INDEX(Note!$G$3:$G$101,MATCH(1,(Note!$A$3:$A$101=$A19)*(Note!$C$3:$C$101=$B19)*(Note!$E$3:$E$101&lt;=U$1)*(Note!$F$3:$F$101&gt;=U$2),0))</f>
        <v>Giá ICIS rPET ĐNA trung bình 3 tháng trước đó với chiết khấu 10%. Giá trần $1,600; giá sàn $1,200</v>
      </c>
      <c r="V19" s="27" t="str" cm="1">
        <f t="array" ref="V19">INDEX(Note!$G$3:$G$101,MATCH(1,(Note!$A$3:$A$101=$A19)*(Note!$C$3:$C$101=$B19)*(Note!$E$3:$E$101&lt;=V$1)*(Note!$F$3:$F$101&gt;=V$2),0))</f>
        <v>Giá ICIS rPET ĐNA trung bình 3 tháng trước đó với chiết khấu 10%. Giá trần $1,600; giá sàn $1,200</v>
      </c>
      <c r="W19" s="27" t="str" cm="1">
        <f t="array" ref="W19">INDEX(Note!$G$3:$G$101,MATCH(1,(Note!$A$3:$A$101=$A19)*(Note!$C$3:$C$101=$B19)*(Note!$E$3:$E$101&lt;=W$1)*(Note!$F$3:$F$101&gt;=W$2),0))</f>
        <v>Giá ICIS rPET ĐNA trung bình 3 tháng trước đó với chiết khấu 10%. Giá trần $1,600; giá sàn $1,200</v>
      </c>
      <c r="X19" s="27" t="str" cm="1">
        <f t="array" ref="X19">INDEX(Note!$G$3:$G$101,MATCH(1,(Note!$A$3:$A$101=$A19)*(Note!$C$3:$C$101=$B19)*(Note!$E$3:$E$101&lt;=X$1)*(Note!$F$3:$F$101&gt;=X$2),0))</f>
        <v>Giá ICIS rPET ĐNA trung bình 3 tháng trước đó với chiết khấu 10%. Giá trần $1,600; giá sàn $1,200</v>
      </c>
      <c r="Y19" s="27" t="str" cm="1">
        <f t="array" ref="Y19">INDEX(Note!$G$3:$G$101,MATCH(1,(Note!$A$3:$A$101=$A19)*(Note!$C$3:$C$101=$B19)*(Note!$E$3:$E$101&lt;=Y$1)*(Note!$F$3:$F$101&gt;=Y$2),0))</f>
        <v>Giá ICIS rPET ĐNA trung bình 3 tháng trước đó với chiết khấu 10%. Giá trần $1,600; giá sàn $1,200</v>
      </c>
      <c r="Z19" s="89" t="str" cm="1">
        <f t="array" ref="Z19">INDEX(Note!$G$3:$G$101,MATCH(1,(Note!$A$3:$A$101=$A19)*(Note!$C$3:$C$101=$B19)*(Note!$E$3:$E$101&lt;=Z$1)*(Note!$F$3:$F$101&gt;=Z$2),0))</f>
        <v>Giá ICIS rPET ĐNA trung bình 3 tháng trước đó với chiết khấu 10%. Giá trần $1,600; giá sàn $1,200</v>
      </c>
      <c r="AA19" s="27" t="str" cm="1">
        <f t="array" ref="AA19">INDEX(Note!$G$3:$G$101,MATCH(1,(Note!$A$3:$A$101=$A19)*(Note!$C$3:$C$101=$B19)*(Note!$E$3:$E$101&lt;=AA$1)*(Note!$F$3:$F$101&gt;=AA$2),0))</f>
        <v>Giá ICIS rPET ĐNA trung bình 3 tháng trước đó với chiết khấu 10%. Giá trần $1,600; giá sàn $1,200</v>
      </c>
      <c r="AB19" s="27" t="str" cm="1">
        <f t="array" ref="AB19">INDEX(Note!$G$3:$G$101,MATCH(1,(Note!$A$3:$A$101=$A19)*(Note!$C$3:$C$101=$B19)*(Note!$E$3:$E$101&lt;=AB$1)*(Note!$F$3:$F$101&gt;=AB$2),0))</f>
        <v>Giá ICIS rPET ĐNA trung bình 3 tháng trước đó với chiết khấu 10%. Giá trần $1,600; giá sàn $1,200</v>
      </c>
      <c r="AC19" s="27"/>
      <c r="AD19" s="27"/>
      <c r="AE19" s="27"/>
      <c r="AF19" s="27"/>
      <c r="AG19" s="27"/>
      <c r="AH19" s="27"/>
      <c r="AI19" s="27"/>
      <c r="AJ19" s="27"/>
      <c r="AK19" s="27"/>
      <c r="AL19" s="89"/>
    </row>
    <row r="20" spans="1:38" s="96" customFormat="1" outlineLevel="1" x14ac:dyDescent="0.35">
      <c r="A20" s="96" t="s">
        <v>52</v>
      </c>
      <c r="B20" s="96" t="s">
        <v>15</v>
      </c>
      <c r="D20" s="97"/>
      <c r="F20" s="221" t="s">
        <v>222</v>
      </c>
      <c r="G20" s="26"/>
      <c r="H20" s="26"/>
      <c r="I20" s="26"/>
      <c r="J20" s="26" t="s">
        <v>43</v>
      </c>
      <c r="K20" s="12"/>
      <c r="L20" s="195"/>
      <c r="M20" s="195"/>
      <c r="N20" s="195"/>
      <c r="O20" s="88" t="str" cm="1">
        <f t="array" ref="O20">INDEX(Note!$H$3:$H$101,MATCH(1,(Note!$A$3:$A$101=$A20)*(Note!$C$3:$C$101=$B20)*(Note!$E$3:$E$101&lt;=O$1)*(Note!$F$3:$F$101&gt;=O$2),0))</f>
        <v>FOB</v>
      </c>
      <c r="P20" s="27" t="str" cm="1">
        <f t="array" ref="P20">INDEX(Note!$H$3:$H$101,MATCH(1,(Note!$A$3:$A$101=$A20)*(Note!$C$3:$C$101=$B20)*(Note!$E$3:$E$101&lt;=P$1)*(Note!$F$3:$F$101&gt;=P$2),0))</f>
        <v>FOB</v>
      </c>
      <c r="Q20" s="27" t="str" cm="1">
        <f t="array" ref="Q20">INDEX(Note!$H$3:$H$101,MATCH(1,(Note!$A$3:$A$101=$A20)*(Note!$C$3:$C$101=$B20)*(Note!$E$3:$E$101&lt;=Q$1)*(Note!$F$3:$F$101&gt;=Q$2),0))</f>
        <v>FOB</v>
      </c>
      <c r="R20" s="27" t="str" cm="1">
        <f t="array" ref="R20">INDEX(Note!$H$3:$H$101,MATCH(1,(Note!$A$3:$A$101=$A20)*(Note!$C$3:$C$101=$B20)*(Note!$E$3:$E$101&lt;=R$1)*(Note!$F$3:$F$101&gt;=R$2),0))</f>
        <v>FOB</v>
      </c>
      <c r="S20" s="27" t="str" cm="1">
        <f t="array" ref="S20">INDEX(Note!$H$3:$H$101,MATCH(1,(Note!$A$3:$A$101=$A20)*(Note!$C$3:$C$101=$B20)*(Note!$E$3:$E$101&lt;=S$1)*(Note!$F$3:$F$101&gt;=S$2),0))</f>
        <v>FOB</v>
      </c>
      <c r="T20" s="27" t="str" cm="1">
        <f t="array" ref="T20">INDEX(Note!$H$3:$H$101,MATCH(1,(Note!$A$3:$A$101=$A20)*(Note!$C$3:$C$101=$B20)*(Note!$E$3:$E$101&lt;=T$1)*(Note!$F$3:$F$101&gt;=T$2),0))</f>
        <v>FOB</v>
      </c>
      <c r="U20" s="27" t="str" cm="1">
        <f t="array" ref="U20">INDEX(Note!$H$3:$H$101,MATCH(1,(Note!$A$3:$A$101=$A20)*(Note!$C$3:$C$101=$B20)*(Note!$E$3:$E$101&lt;=U$1)*(Note!$F$3:$F$101&gt;=U$2),0))</f>
        <v>FOB</v>
      </c>
      <c r="V20" s="27" t="str" cm="1">
        <f t="array" ref="V20">INDEX(Note!$H$3:$H$101,MATCH(1,(Note!$A$3:$A$101=$A20)*(Note!$C$3:$C$101=$B20)*(Note!$E$3:$E$101&lt;=V$1)*(Note!$F$3:$F$101&gt;=V$2),0))</f>
        <v>FOB</v>
      </c>
      <c r="W20" s="27" t="str" cm="1">
        <f t="array" ref="W20">INDEX(Note!$H$3:$H$101,MATCH(1,(Note!$A$3:$A$101=$A20)*(Note!$C$3:$C$101=$B20)*(Note!$E$3:$E$101&lt;=W$1)*(Note!$F$3:$F$101&gt;=W$2),0))</f>
        <v>FOB</v>
      </c>
      <c r="X20" s="27" t="str" cm="1">
        <f t="array" ref="X20">INDEX(Note!$H$3:$H$101,MATCH(1,(Note!$A$3:$A$101=$A20)*(Note!$C$3:$C$101=$B20)*(Note!$E$3:$E$101&lt;=X$1)*(Note!$F$3:$F$101&gt;=X$2),0))</f>
        <v>FOB</v>
      </c>
      <c r="Y20" s="27" t="str" cm="1">
        <f t="array" ref="Y20">INDEX(Note!$H$3:$H$101,MATCH(1,(Note!$A$3:$A$101=$A20)*(Note!$C$3:$C$101=$B20)*(Note!$E$3:$E$101&lt;=Y$1)*(Note!$F$3:$F$101&gt;=Y$2),0))</f>
        <v>FOB</v>
      </c>
      <c r="Z20" s="89" t="str" cm="1">
        <f t="array" ref="Z20">INDEX(Note!$H$3:$H$101,MATCH(1,(Note!$A$3:$A$101=$A20)*(Note!$C$3:$C$101=$B20)*(Note!$E$3:$E$101&lt;=Z$1)*(Note!$F$3:$F$101&gt;=Z$2),0))</f>
        <v>FOB</v>
      </c>
      <c r="AA20" s="27" t="str" cm="1">
        <f t="array" ref="AA20">INDEX(Note!$H$3:$H$101,MATCH(1,(Note!$A$3:$A$101=$A20)*(Note!$C$3:$C$101=$B20)*(Note!$E$3:$E$101&lt;=AA$1)*(Note!$F$3:$F$101&gt;=AA$2),0))</f>
        <v>FOB</v>
      </c>
      <c r="AB20" s="27" t="str" cm="1">
        <f t="array" ref="AB20">INDEX(Note!$H$3:$H$101,MATCH(1,(Note!$A$3:$A$101=$A20)*(Note!$C$3:$C$101=$B20)*(Note!$E$3:$E$101&lt;=AB$1)*(Note!$F$3:$F$101&gt;=AB$2),0))</f>
        <v>FOB</v>
      </c>
      <c r="AC20" s="27"/>
      <c r="AD20" s="27"/>
      <c r="AE20" s="27"/>
      <c r="AF20" s="27"/>
      <c r="AG20" s="27"/>
      <c r="AH20" s="27"/>
      <c r="AI20" s="27"/>
      <c r="AJ20" s="27"/>
      <c r="AK20" s="27"/>
      <c r="AL20" s="89"/>
    </row>
    <row r="21" spans="1:38" s="97" customFormat="1" outlineLevel="1" x14ac:dyDescent="0.35">
      <c r="A21" s="97" t="s">
        <v>52</v>
      </c>
      <c r="B21" s="97" t="s">
        <v>15</v>
      </c>
      <c r="F21" s="196" t="s">
        <v>223</v>
      </c>
      <c r="G21" s="107"/>
      <c r="H21" s="107"/>
      <c r="I21" s="107"/>
      <c r="J21" s="107" t="s">
        <v>46</v>
      </c>
      <c r="K21" s="109"/>
      <c r="L21" s="196"/>
      <c r="M21" s="196"/>
      <c r="N21" s="196"/>
      <c r="O21" s="108" t="str" cm="1">
        <f t="array" ref="O21">INDEX(Note!$I$3:$I$101,MATCH(1,(Note!$A$3:$A$101=$A21)*(Note!$C$3:$C$101=$B21)*(Note!$E$3:$E$101&lt;=O$1)*(Note!$F$3:$F$101&gt;=O$2),0))</f>
        <v>Tháng</v>
      </c>
      <c r="P21" s="196" t="str" cm="1">
        <f t="array" ref="P21">INDEX(Note!$I$3:$I$101,MATCH(1,(Note!$A$3:$A$101=$A21)*(Note!$C$3:$C$101=$B21)*(Note!$E$3:$E$101&lt;=P$1)*(Note!$F$3:$F$101&gt;=P$2),0))</f>
        <v>Tháng</v>
      </c>
      <c r="Q21" s="196" t="str" cm="1">
        <f t="array" ref="Q21">INDEX(Note!$I$3:$I$101,MATCH(1,(Note!$A$3:$A$101=$A21)*(Note!$C$3:$C$101=$B21)*(Note!$E$3:$E$101&lt;=Q$1)*(Note!$F$3:$F$101&gt;=Q$2),0))</f>
        <v>Tháng</v>
      </c>
      <c r="R21" s="196" t="str" cm="1">
        <f t="array" ref="R21">INDEX(Note!$I$3:$I$101,MATCH(1,(Note!$A$3:$A$101=$A21)*(Note!$C$3:$C$101=$B21)*(Note!$E$3:$E$101&lt;=R$1)*(Note!$F$3:$F$101&gt;=R$2),0))</f>
        <v>Tháng</v>
      </c>
      <c r="S21" s="196" t="str" cm="1">
        <f t="array" ref="S21">INDEX(Note!$I$3:$I$101,MATCH(1,(Note!$A$3:$A$101=$A21)*(Note!$C$3:$C$101=$B21)*(Note!$E$3:$E$101&lt;=S$1)*(Note!$F$3:$F$101&gt;=S$2),0))</f>
        <v>Tháng</v>
      </c>
      <c r="T21" s="196" t="str" cm="1">
        <f t="array" ref="T21">INDEX(Note!$I$3:$I$101,MATCH(1,(Note!$A$3:$A$101=$A21)*(Note!$C$3:$C$101=$B21)*(Note!$E$3:$E$101&lt;=T$1)*(Note!$F$3:$F$101&gt;=T$2),0))</f>
        <v>Tháng</v>
      </c>
      <c r="U21" s="196" t="str" cm="1">
        <f t="array" ref="U21">INDEX(Note!$I$3:$I$101,MATCH(1,(Note!$A$3:$A$101=$A21)*(Note!$C$3:$C$101=$B21)*(Note!$E$3:$E$101&lt;=U$1)*(Note!$F$3:$F$101&gt;=U$2),0))</f>
        <v>Tháng</v>
      </c>
      <c r="V21" s="196" t="str" cm="1">
        <f t="array" ref="V21">INDEX(Note!$I$3:$I$101,MATCH(1,(Note!$A$3:$A$101=$A21)*(Note!$C$3:$C$101=$B21)*(Note!$E$3:$E$101&lt;=V$1)*(Note!$F$3:$F$101&gt;=V$2),0))</f>
        <v>Tháng</v>
      </c>
      <c r="W21" s="196" t="str" cm="1">
        <f t="array" ref="W21">INDEX(Note!$I$3:$I$101,MATCH(1,(Note!$A$3:$A$101=$A21)*(Note!$C$3:$C$101=$B21)*(Note!$E$3:$E$101&lt;=W$1)*(Note!$F$3:$F$101&gt;=W$2),0))</f>
        <v>Tháng</v>
      </c>
      <c r="X21" s="196" t="str" cm="1">
        <f t="array" ref="X21">INDEX(Note!$I$3:$I$101,MATCH(1,(Note!$A$3:$A$101=$A21)*(Note!$C$3:$C$101=$B21)*(Note!$E$3:$E$101&lt;=X$1)*(Note!$F$3:$F$101&gt;=X$2),0))</f>
        <v>Tháng</v>
      </c>
      <c r="Y21" s="196" t="str" cm="1">
        <f t="array" ref="Y21">INDEX(Note!$I$3:$I$101,MATCH(1,(Note!$A$3:$A$101=$A21)*(Note!$C$3:$C$101=$B21)*(Note!$E$3:$E$101&lt;=Y$1)*(Note!$F$3:$F$101&gt;=Y$2),0))</f>
        <v>Tháng</v>
      </c>
      <c r="Z21" s="197" t="str" cm="1">
        <f t="array" ref="Z21">INDEX(Note!$I$3:$I$101,MATCH(1,(Note!$A$3:$A$101=$A21)*(Note!$C$3:$C$101=$B21)*(Note!$E$3:$E$101&lt;=Z$1)*(Note!$F$3:$F$101&gt;=Z$2),0))</f>
        <v>Tháng</v>
      </c>
      <c r="AA21" s="196" t="str" cm="1">
        <f t="array" ref="AA21">INDEX(Note!$I$3:$I$101,MATCH(1,(Note!$A$3:$A$101=$A21)*(Note!$C$3:$C$101=$B21)*(Note!$E$3:$E$101&lt;=AA$1)*(Note!$F$3:$F$101&gt;=AA$2),0))</f>
        <v>Tháng</v>
      </c>
      <c r="AB21" s="196" t="str" cm="1">
        <f t="array" ref="AB21">INDEX(Note!$I$3:$I$101,MATCH(1,(Note!$A$3:$A$101=$A21)*(Note!$C$3:$C$101=$B21)*(Note!$E$3:$E$101&lt;=AB$1)*(Note!$F$3:$F$101&gt;=AB$2),0))</f>
        <v>Tháng</v>
      </c>
      <c r="AC21" s="196"/>
      <c r="AD21" s="196"/>
      <c r="AE21" s="196"/>
      <c r="AF21" s="196"/>
      <c r="AG21" s="196"/>
      <c r="AH21" s="196"/>
      <c r="AI21" s="196"/>
      <c r="AJ21" s="196"/>
      <c r="AK21" s="196"/>
      <c r="AL21" s="197"/>
    </row>
    <row r="22" spans="1:38" s="97" customFormat="1" outlineLevel="1" x14ac:dyDescent="0.35">
      <c r="A22" s="97" t="s">
        <v>52</v>
      </c>
      <c r="B22" s="97" t="s">
        <v>15</v>
      </c>
      <c r="F22" s="196" t="s">
        <v>224</v>
      </c>
      <c r="G22" s="107"/>
      <c r="H22" s="107"/>
      <c r="I22" s="107"/>
      <c r="J22" s="107" t="s">
        <v>47</v>
      </c>
      <c r="K22" s="109"/>
      <c r="L22" s="199"/>
      <c r="M22" s="199"/>
      <c r="N22" s="199"/>
      <c r="O22" s="198" cm="1">
        <f t="array" ref="O22">INDEX(Note!$J$3:$J$101,MATCH(1,(Note!$A$3:$A$101=$A22)*(Note!$C$3:$C$101=$B22)*(Note!$E$3:$E$101&lt;=O$1)*(Note!$F$3:$F$101&gt;=O$2),0))</f>
        <v>1600</v>
      </c>
      <c r="P22" s="199" cm="1">
        <f t="array" ref="P22">INDEX(Note!$J$3:$J$101,MATCH(1,(Note!$A$3:$A$101=$A22)*(Note!$C$3:$C$101=$B22)*(Note!$E$3:$E$101&lt;=P$1)*(Note!$F$3:$F$101&gt;=P$2),0))</f>
        <v>1600</v>
      </c>
      <c r="Q22" s="199" cm="1">
        <f t="array" ref="Q22">INDEX(Note!$J$3:$J$101,MATCH(1,(Note!$A$3:$A$101=$A22)*(Note!$C$3:$C$101=$B22)*(Note!$E$3:$E$101&lt;=Q$1)*(Note!$F$3:$F$101&gt;=Q$2),0))</f>
        <v>1600</v>
      </c>
      <c r="R22" s="199" cm="1">
        <f t="array" ref="R22">INDEX(Note!$J$3:$J$101,MATCH(1,(Note!$A$3:$A$101=$A22)*(Note!$C$3:$C$101=$B22)*(Note!$E$3:$E$101&lt;=R$1)*(Note!$F$3:$F$101&gt;=R$2),0))</f>
        <v>1600</v>
      </c>
      <c r="S22" s="199" cm="1">
        <f t="array" ref="S22">INDEX(Note!$J$3:$J$101,MATCH(1,(Note!$A$3:$A$101=$A22)*(Note!$C$3:$C$101=$B22)*(Note!$E$3:$E$101&lt;=S$1)*(Note!$F$3:$F$101&gt;=S$2),0))</f>
        <v>1600</v>
      </c>
      <c r="T22" s="199" cm="1">
        <f t="array" ref="T22">INDEX(Note!$J$3:$J$101,MATCH(1,(Note!$A$3:$A$101=$A22)*(Note!$C$3:$C$101=$B22)*(Note!$E$3:$E$101&lt;=T$1)*(Note!$F$3:$F$101&gt;=T$2),0))</f>
        <v>1600</v>
      </c>
      <c r="U22" s="199" cm="1">
        <f t="array" ref="U22">INDEX(Note!$J$3:$J$101,MATCH(1,(Note!$A$3:$A$101=$A22)*(Note!$C$3:$C$101=$B22)*(Note!$E$3:$E$101&lt;=U$1)*(Note!$F$3:$F$101&gt;=U$2),0))</f>
        <v>1600</v>
      </c>
      <c r="V22" s="199" cm="1">
        <f t="array" ref="V22">INDEX(Note!$J$3:$J$101,MATCH(1,(Note!$A$3:$A$101=$A22)*(Note!$C$3:$C$101=$B22)*(Note!$E$3:$E$101&lt;=V$1)*(Note!$F$3:$F$101&gt;=V$2),0))</f>
        <v>1600</v>
      </c>
      <c r="W22" s="199" cm="1">
        <f t="array" ref="W22">INDEX(Note!$J$3:$J$101,MATCH(1,(Note!$A$3:$A$101=$A22)*(Note!$C$3:$C$101=$B22)*(Note!$E$3:$E$101&lt;=W$1)*(Note!$F$3:$F$101&gt;=W$2),0))</f>
        <v>1600</v>
      </c>
      <c r="X22" s="199" cm="1">
        <f t="array" ref="X22">INDEX(Note!$J$3:$J$101,MATCH(1,(Note!$A$3:$A$101=$A22)*(Note!$C$3:$C$101=$B22)*(Note!$E$3:$E$101&lt;=X$1)*(Note!$F$3:$F$101&gt;=X$2),0))</f>
        <v>1600</v>
      </c>
      <c r="Y22" s="199" cm="1">
        <f t="array" ref="Y22">INDEX(Note!$J$3:$J$101,MATCH(1,(Note!$A$3:$A$101=$A22)*(Note!$C$3:$C$101=$B22)*(Note!$E$3:$E$101&lt;=Y$1)*(Note!$F$3:$F$101&gt;=Y$2),0))</f>
        <v>1600</v>
      </c>
      <c r="Z22" s="200" cm="1">
        <f t="array" ref="Z22">INDEX(Note!$J$3:$J$101,MATCH(1,(Note!$A$3:$A$101=$A22)*(Note!$C$3:$C$101=$B22)*(Note!$E$3:$E$101&lt;=Z$1)*(Note!$F$3:$F$101&gt;=Z$2),0))</f>
        <v>1600</v>
      </c>
      <c r="AA22" s="199" cm="1">
        <f t="array" ref="AA22">INDEX(Note!$J$3:$J$101,MATCH(1,(Note!$A$3:$A$101=$A22)*(Note!$C$3:$C$101=$B22)*(Note!$E$3:$E$101&lt;=AA$1)*(Note!$F$3:$F$101&gt;=AA$2),0))</f>
        <v>1600</v>
      </c>
      <c r="AB22" s="199" cm="1">
        <f t="array" ref="AB22">INDEX(Note!$J$3:$J$101,MATCH(1,(Note!$A$3:$A$101=$A22)*(Note!$C$3:$C$101=$B22)*(Note!$E$3:$E$101&lt;=AB$1)*(Note!$F$3:$F$101&gt;=AB$2),0))</f>
        <v>1600</v>
      </c>
      <c r="AC22" s="199"/>
      <c r="AD22" s="199"/>
      <c r="AE22" s="199"/>
      <c r="AF22" s="199"/>
      <c r="AG22" s="199"/>
      <c r="AH22" s="199"/>
      <c r="AI22" s="199"/>
      <c r="AJ22" s="199"/>
      <c r="AK22" s="199"/>
      <c r="AL22" s="200"/>
    </row>
    <row r="23" spans="1:38" s="97" customFormat="1" outlineLevel="1" x14ac:dyDescent="0.35">
      <c r="A23" s="97" t="s">
        <v>52</v>
      </c>
      <c r="B23" s="97" t="s">
        <v>15</v>
      </c>
      <c r="F23" s="196" t="s">
        <v>225</v>
      </c>
      <c r="G23" s="107"/>
      <c r="H23" s="107"/>
      <c r="I23" s="107"/>
      <c r="J23" s="107" t="s">
        <v>48</v>
      </c>
      <c r="K23" s="109"/>
      <c r="L23" s="199"/>
      <c r="M23" s="199"/>
      <c r="N23" s="199"/>
      <c r="O23" s="198" cm="1">
        <f t="array" ref="O23">INDEX(Note!$K$3:$K$101,MATCH(1,(Note!$A$3:$A$101=$A23)*(Note!$C$3:$C$101=$B23)*(Note!$E$3:$E$101&lt;=O$1)*(Note!$F$3:$F$101&gt;=O$2),0))</f>
        <v>1200</v>
      </c>
      <c r="P23" s="199" cm="1">
        <f t="array" ref="P23">INDEX(Note!$K$3:$K$101,MATCH(1,(Note!$A$3:$A$101=$A23)*(Note!$C$3:$C$101=$B23)*(Note!$E$3:$E$101&lt;=P$1)*(Note!$F$3:$F$101&gt;=P$2),0))</f>
        <v>1200</v>
      </c>
      <c r="Q23" s="199" cm="1">
        <f t="array" ref="Q23">INDEX(Note!$K$3:$K$101,MATCH(1,(Note!$A$3:$A$101=$A23)*(Note!$C$3:$C$101=$B23)*(Note!$E$3:$E$101&lt;=Q$1)*(Note!$F$3:$F$101&gt;=Q$2),0))</f>
        <v>1200</v>
      </c>
      <c r="R23" s="199" cm="1">
        <f t="array" ref="R23">INDEX(Note!$K$3:$K$101,MATCH(1,(Note!$A$3:$A$101=$A23)*(Note!$C$3:$C$101=$B23)*(Note!$E$3:$E$101&lt;=R$1)*(Note!$F$3:$F$101&gt;=R$2),0))</f>
        <v>1200</v>
      </c>
      <c r="S23" s="199" cm="1">
        <f t="array" ref="S23">INDEX(Note!$K$3:$K$101,MATCH(1,(Note!$A$3:$A$101=$A23)*(Note!$C$3:$C$101=$B23)*(Note!$E$3:$E$101&lt;=S$1)*(Note!$F$3:$F$101&gt;=S$2),0))</f>
        <v>1200</v>
      </c>
      <c r="T23" s="199" cm="1">
        <f t="array" ref="T23">INDEX(Note!$K$3:$K$101,MATCH(1,(Note!$A$3:$A$101=$A23)*(Note!$C$3:$C$101=$B23)*(Note!$E$3:$E$101&lt;=T$1)*(Note!$F$3:$F$101&gt;=T$2),0))</f>
        <v>1200</v>
      </c>
      <c r="U23" s="199" cm="1">
        <f t="array" ref="U23">INDEX(Note!$K$3:$K$101,MATCH(1,(Note!$A$3:$A$101=$A23)*(Note!$C$3:$C$101=$B23)*(Note!$E$3:$E$101&lt;=U$1)*(Note!$F$3:$F$101&gt;=U$2),0))</f>
        <v>1200</v>
      </c>
      <c r="V23" s="199" cm="1">
        <f t="array" ref="V23">INDEX(Note!$K$3:$K$101,MATCH(1,(Note!$A$3:$A$101=$A23)*(Note!$C$3:$C$101=$B23)*(Note!$E$3:$E$101&lt;=V$1)*(Note!$F$3:$F$101&gt;=V$2),0))</f>
        <v>1200</v>
      </c>
      <c r="W23" s="199" cm="1">
        <f t="array" ref="W23">INDEX(Note!$K$3:$K$101,MATCH(1,(Note!$A$3:$A$101=$A23)*(Note!$C$3:$C$101=$B23)*(Note!$E$3:$E$101&lt;=W$1)*(Note!$F$3:$F$101&gt;=W$2),0))</f>
        <v>1200</v>
      </c>
      <c r="X23" s="199" cm="1">
        <f t="array" ref="X23">INDEX(Note!$K$3:$K$101,MATCH(1,(Note!$A$3:$A$101=$A23)*(Note!$C$3:$C$101=$B23)*(Note!$E$3:$E$101&lt;=X$1)*(Note!$F$3:$F$101&gt;=X$2),0))</f>
        <v>1200</v>
      </c>
      <c r="Y23" s="199" cm="1">
        <f t="array" ref="Y23">INDEX(Note!$K$3:$K$101,MATCH(1,(Note!$A$3:$A$101=$A23)*(Note!$C$3:$C$101=$B23)*(Note!$E$3:$E$101&lt;=Y$1)*(Note!$F$3:$F$101&gt;=Y$2),0))</f>
        <v>1200</v>
      </c>
      <c r="Z23" s="200" cm="1">
        <f t="array" ref="Z23">INDEX(Note!$K$3:$K$101,MATCH(1,(Note!$A$3:$A$101=$A23)*(Note!$C$3:$C$101=$B23)*(Note!$E$3:$E$101&lt;=Z$1)*(Note!$F$3:$F$101&gt;=Z$2),0))</f>
        <v>1200</v>
      </c>
      <c r="AA23" s="199" cm="1">
        <f t="array" ref="AA23">INDEX(Note!$K$3:$K$101,MATCH(1,(Note!$A$3:$A$101=$A23)*(Note!$C$3:$C$101=$B23)*(Note!$E$3:$E$101&lt;=AA$1)*(Note!$F$3:$F$101&gt;=AA$2),0))</f>
        <v>1200</v>
      </c>
      <c r="AB23" s="199" cm="1">
        <f t="array" ref="AB23">INDEX(Note!$K$3:$K$101,MATCH(1,(Note!$A$3:$A$101=$A23)*(Note!$C$3:$C$101=$B23)*(Note!$E$3:$E$101&lt;=AB$1)*(Note!$F$3:$F$101&gt;=AB$2),0))</f>
        <v>1200</v>
      </c>
      <c r="AC23" s="199"/>
      <c r="AD23" s="199"/>
      <c r="AE23" s="199"/>
      <c r="AF23" s="199"/>
      <c r="AG23" s="199"/>
      <c r="AH23" s="199"/>
      <c r="AI23" s="199"/>
      <c r="AJ23" s="199"/>
      <c r="AK23" s="199"/>
      <c r="AL23" s="200"/>
    </row>
    <row r="24" spans="1:38" s="188" customFormat="1" outlineLevel="1" x14ac:dyDescent="0.35">
      <c r="A24" s="188" t="s">
        <v>52</v>
      </c>
      <c r="B24" s="188" t="s">
        <v>15</v>
      </c>
      <c r="F24" s="225" t="s">
        <v>262</v>
      </c>
      <c r="G24" s="193"/>
      <c r="H24" s="193"/>
      <c r="I24" s="193"/>
      <c r="J24" s="193" t="s">
        <v>203</v>
      </c>
      <c r="K24" s="189"/>
      <c r="L24" s="202"/>
      <c r="M24" s="202"/>
      <c r="N24" s="202"/>
      <c r="O24" s="201" cm="1">
        <f t="array" ref="O24">SUMPRODUCT(General_Data*(Year=O$3)*(Month=O$4)*(Code_General_Data=$B24))</f>
        <v>1250</v>
      </c>
      <c r="P24" s="202" cm="1">
        <f t="array" ref="P24">SUMPRODUCT(General_Data*(Year=P$3)*(Month=P$4)*(Code_General_Data=$B24))</f>
        <v>1250</v>
      </c>
      <c r="Q24" s="202" cm="1">
        <f t="array" ref="Q24">SUMPRODUCT(General_Data*(Year=Q$3)*(Month=Q$4)*(Code_General_Data=$B24))</f>
        <v>1250</v>
      </c>
      <c r="R24" s="202" cm="1">
        <f t="array" ref="R24">SUMPRODUCT(General_Data*(Year=R$3)*(Month=R$4)*(Code_General_Data=$B24))</f>
        <v>1250</v>
      </c>
      <c r="S24" s="202" cm="1">
        <f t="array" ref="S24">SUMPRODUCT(General_Data*(Year=S$3)*(Month=S$4)*(Code_General_Data=$B24))</f>
        <v>1300</v>
      </c>
      <c r="T24" s="202" cm="1">
        <f t="array" ref="T24">SUMPRODUCT(General_Data*(Year=T$3)*(Month=T$4)*(Code_General_Data=$B24))</f>
        <v>1300</v>
      </c>
      <c r="U24" s="202" cm="1">
        <f t="array" ref="U24">SUMPRODUCT(General_Data*(Year=U$3)*(Month=U$4)*(Code_General_Data=$B24))</f>
        <v>1300</v>
      </c>
      <c r="V24" s="202" cm="1">
        <f t="array" ref="V24">SUMPRODUCT(General_Data*(Year=V$3)*(Month=V$4)*(Code_General_Data=$B24))</f>
        <v>1300</v>
      </c>
      <c r="W24" s="202" cm="1">
        <f t="array" ref="W24">SUMPRODUCT(General_Data*(Year=W$3)*(Month=W$4)*(Code_General_Data=$B24))</f>
        <v>1310</v>
      </c>
      <c r="X24" s="202" cm="1">
        <f t="array" ref="X24">SUMPRODUCT(General_Data*(Year=X$3)*(Month=X$4)*(Code_General_Data=$B24))</f>
        <v>1325</v>
      </c>
      <c r="Y24" s="202" cm="1">
        <f t="array" ref="Y24">SUMPRODUCT(General_Data*(Year=Y$3)*(Month=Y$4)*(Code_General_Data=$B24))</f>
        <v>1325</v>
      </c>
      <c r="Z24" s="203" cm="1">
        <f t="array" ref="Z24">SUMPRODUCT(General_Data*(Year=Z$3)*(Month=Z$4)*(Code_General_Data=$B24))</f>
        <v>1275</v>
      </c>
      <c r="AA24" s="202" cm="1">
        <f t="array" ref="AA24">SUMPRODUCT(General_Data*(Year=AA$3)*(Month=AA$4)*(Code_General_Data=$B24))</f>
        <v>1230</v>
      </c>
      <c r="AB24" s="202" cm="1">
        <f t="array" ref="AB24">SUMPRODUCT(General_Data*(Year=AB$3)*(Month=AB$4)*(Code_General_Data=$B24))</f>
        <v>1230</v>
      </c>
      <c r="AC24" s="202" cm="1">
        <f t="array" ref="AC24">SUMPRODUCT(General_Data*(Year=AC$3)*(Month=AC$4)*(Code_General_Data=$B24))</f>
        <v>1230</v>
      </c>
      <c r="AD24" s="202"/>
      <c r="AE24" s="202"/>
      <c r="AF24" s="202"/>
      <c r="AG24" s="202"/>
      <c r="AH24" s="202"/>
      <c r="AI24" s="202"/>
      <c r="AJ24" s="202"/>
      <c r="AK24" s="202"/>
      <c r="AL24" s="203"/>
    </row>
    <row r="25" spans="1:38" s="93" customFormat="1" x14ac:dyDescent="0.35">
      <c r="D25" s="92"/>
      <c r="F25" s="168"/>
      <c r="G25"/>
      <c r="H25"/>
      <c r="I25"/>
      <c r="J25"/>
      <c r="K25"/>
      <c r="L25"/>
      <c r="M25"/>
      <c r="N25"/>
      <c r="O25" s="47"/>
      <c r="P25"/>
      <c r="Q25"/>
      <c r="R25"/>
      <c r="S25"/>
      <c r="T25"/>
      <c r="U25"/>
      <c r="V25"/>
      <c r="W25"/>
      <c r="X25"/>
      <c r="Y25"/>
      <c r="Z25" s="48"/>
      <c r="AA25"/>
      <c r="AB25"/>
      <c r="AC25"/>
      <c r="AD25"/>
      <c r="AE25"/>
      <c r="AF25"/>
      <c r="AG25"/>
      <c r="AH25"/>
      <c r="AI25"/>
      <c r="AJ25"/>
      <c r="AK25"/>
      <c r="AL25" s="48"/>
    </row>
    <row r="26" spans="1:38" s="178" customFormat="1" ht="19.5" x14ac:dyDescent="0.35">
      <c r="A26" s="176" t="s">
        <v>64</v>
      </c>
      <c r="B26" s="176"/>
      <c r="C26" s="176"/>
      <c r="D26" s="176"/>
      <c r="E26" s="176"/>
      <c r="F26" s="219">
        <v>2</v>
      </c>
      <c r="G26" s="177" t="s">
        <v>207</v>
      </c>
      <c r="H26" s="177"/>
      <c r="I26" s="177"/>
      <c r="J26" s="177"/>
      <c r="L26" s="180"/>
      <c r="M26" s="180"/>
      <c r="N26" s="180"/>
      <c r="O26" s="179"/>
      <c r="P26" s="180"/>
      <c r="Q26" s="180"/>
      <c r="R26" s="180"/>
      <c r="S26" s="180"/>
      <c r="T26" s="180"/>
      <c r="U26" s="180"/>
      <c r="V26" s="180"/>
      <c r="W26" s="180"/>
      <c r="X26" s="180"/>
      <c r="Y26" s="180"/>
      <c r="Z26" s="181"/>
      <c r="AA26" s="182"/>
      <c r="AB26" s="180"/>
      <c r="AC26" s="182"/>
      <c r="AD26" s="182"/>
      <c r="AE26" s="182"/>
      <c r="AF26" s="182"/>
      <c r="AG26" s="182"/>
      <c r="AH26" s="182"/>
      <c r="AI26" s="182"/>
      <c r="AJ26" s="182"/>
      <c r="AK26" s="182"/>
      <c r="AL26" s="181"/>
    </row>
    <row r="27" spans="1:38" s="183" customFormat="1" ht="17" x14ac:dyDescent="0.35">
      <c r="A27" s="183" t="s">
        <v>64</v>
      </c>
      <c r="B27" s="183" t="s">
        <v>15</v>
      </c>
      <c r="D27" s="183" t="s">
        <v>322</v>
      </c>
      <c r="F27" s="220">
        <v>2.1</v>
      </c>
      <c r="G27" s="190"/>
      <c r="H27" s="190" t="s">
        <v>208</v>
      </c>
      <c r="I27" s="190"/>
      <c r="J27" s="190"/>
      <c r="L27" s="190"/>
      <c r="M27" s="190"/>
      <c r="N27" s="190"/>
      <c r="O27" s="216">
        <f>ROUND(SUM(O28:O33),-2)+O34</f>
        <v>1320</v>
      </c>
      <c r="P27" s="217">
        <f t="shared" ref="P27:W27" si="6">ROUND(SUM(P28:P33),-2)+P34</f>
        <v>1320</v>
      </c>
      <c r="Q27" s="217">
        <f t="shared" si="6"/>
        <v>1320</v>
      </c>
      <c r="R27" s="217">
        <f t="shared" si="6"/>
        <v>1320</v>
      </c>
      <c r="S27" s="217">
        <f t="shared" si="6"/>
        <v>1320</v>
      </c>
      <c r="T27" s="217">
        <f t="shared" si="6"/>
        <v>1320</v>
      </c>
      <c r="U27" s="217">
        <f t="shared" si="6"/>
        <v>1320</v>
      </c>
      <c r="V27" s="217">
        <f t="shared" si="6"/>
        <v>1320</v>
      </c>
      <c r="W27" s="217">
        <f t="shared" si="6"/>
        <v>1320</v>
      </c>
      <c r="X27" s="217">
        <f t="shared" ref="X27:AL27" si="7">ROUND(SUM(X28:X33),-1)+X34</f>
        <v>1300</v>
      </c>
      <c r="Y27" s="217">
        <f t="shared" si="7"/>
        <v>1300</v>
      </c>
      <c r="Z27" s="218">
        <f t="shared" si="7"/>
        <v>1300</v>
      </c>
      <c r="AA27" s="216">
        <f t="shared" si="7"/>
        <v>1300</v>
      </c>
      <c r="AB27" s="217">
        <f t="shared" si="7"/>
        <v>1300</v>
      </c>
      <c r="AC27" s="217">
        <f t="shared" si="7"/>
        <v>1300</v>
      </c>
      <c r="AD27" s="217">
        <f t="shared" si="7"/>
        <v>1300</v>
      </c>
      <c r="AE27" s="217">
        <f t="shared" si="7"/>
        <v>1300</v>
      </c>
      <c r="AF27" s="217">
        <f t="shared" si="7"/>
        <v>1300</v>
      </c>
      <c r="AG27" s="217">
        <f t="shared" si="7"/>
        <v>1350</v>
      </c>
      <c r="AH27" s="217">
        <f t="shared" si="7"/>
        <v>1350</v>
      </c>
      <c r="AI27" s="217">
        <f t="shared" si="7"/>
        <v>1350</v>
      </c>
      <c r="AJ27" s="217">
        <f t="shared" si="7"/>
        <v>1350</v>
      </c>
      <c r="AK27" s="217">
        <f t="shared" si="7"/>
        <v>1350</v>
      </c>
      <c r="AL27" s="218">
        <f t="shared" si="7"/>
        <v>1350</v>
      </c>
    </row>
    <row r="28" spans="1:38" s="96" customFormat="1" outlineLevel="1" x14ac:dyDescent="0.35">
      <c r="A28" s="96" t="s">
        <v>64</v>
      </c>
      <c r="B28" s="96" t="s">
        <v>15</v>
      </c>
      <c r="D28" s="97"/>
      <c r="F28" s="221" t="s">
        <v>210</v>
      </c>
      <c r="G28" s="26"/>
      <c r="H28" s="26" t="s">
        <v>41</v>
      </c>
      <c r="I28" s="26" t="s">
        <v>55</v>
      </c>
      <c r="J28" s="26"/>
      <c r="K28" s="12"/>
      <c r="L28" s="26"/>
      <c r="M28" s="26"/>
      <c r="N28" s="26"/>
      <c r="O28" s="213">
        <f>16500/O$35*10^3</f>
        <v>673.46938775510205</v>
      </c>
      <c r="P28" s="214">
        <f t="shared" ref="P28:AL28" si="8">16500/P$35*10^3</f>
        <v>673.46938775510205</v>
      </c>
      <c r="Q28" s="214">
        <f t="shared" si="8"/>
        <v>673.46938775510205</v>
      </c>
      <c r="R28" s="214">
        <f t="shared" si="8"/>
        <v>673.46938775510205</v>
      </c>
      <c r="S28" s="214">
        <f t="shared" si="8"/>
        <v>673.46938775510205</v>
      </c>
      <c r="T28" s="214">
        <f t="shared" si="8"/>
        <v>673.46938775510205</v>
      </c>
      <c r="U28" s="214">
        <f t="shared" si="8"/>
        <v>660</v>
      </c>
      <c r="V28" s="214">
        <f t="shared" si="8"/>
        <v>660</v>
      </c>
      <c r="W28" s="214">
        <f t="shared" si="8"/>
        <v>660</v>
      </c>
      <c r="X28" s="214">
        <f t="shared" si="8"/>
        <v>660</v>
      </c>
      <c r="Y28" s="214">
        <f t="shared" si="8"/>
        <v>660</v>
      </c>
      <c r="Z28" s="215">
        <f t="shared" si="8"/>
        <v>660</v>
      </c>
      <c r="AA28" s="213">
        <f t="shared" si="8"/>
        <v>660</v>
      </c>
      <c r="AB28" s="214">
        <f t="shared" si="8"/>
        <v>660</v>
      </c>
      <c r="AC28" s="214">
        <f t="shared" si="8"/>
        <v>660</v>
      </c>
      <c r="AD28" s="214">
        <f t="shared" si="8"/>
        <v>660</v>
      </c>
      <c r="AE28" s="214">
        <f t="shared" si="8"/>
        <v>660</v>
      </c>
      <c r="AF28" s="214">
        <f t="shared" si="8"/>
        <v>660</v>
      </c>
      <c r="AG28" s="214">
        <f t="shared" si="8"/>
        <v>660</v>
      </c>
      <c r="AH28" s="214">
        <f t="shared" si="8"/>
        <v>660</v>
      </c>
      <c r="AI28" s="214">
        <f t="shared" si="8"/>
        <v>660</v>
      </c>
      <c r="AJ28" s="214">
        <f t="shared" si="8"/>
        <v>660</v>
      </c>
      <c r="AK28" s="214">
        <f t="shared" si="8"/>
        <v>660</v>
      </c>
      <c r="AL28" s="215">
        <f t="shared" si="8"/>
        <v>660</v>
      </c>
    </row>
    <row r="29" spans="1:38" s="96" customFormat="1" outlineLevel="1" x14ac:dyDescent="0.35">
      <c r="A29" s="96" t="s">
        <v>64</v>
      </c>
      <c r="B29" s="96" t="s">
        <v>15</v>
      </c>
      <c r="D29" s="97"/>
      <c r="F29" s="221" t="s">
        <v>211</v>
      </c>
      <c r="G29" s="26"/>
      <c r="H29" s="26" t="s">
        <v>41</v>
      </c>
      <c r="I29" s="26" t="s">
        <v>56</v>
      </c>
      <c r="J29" s="26"/>
      <c r="K29" s="12"/>
      <c r="L29" s="26"/>
      <c r="M29" s="26"/>
      <c r="N29" s="26"/>
      <c r="O29" s="213">
        <f>O28*O36</f>
        <v>202.0408163265306</v>
      </c>
      <c r="P29" s="214">
        <f t="shared" ref="P29:AL29" si="9">P28*P36</f>
        <v>202.0408163265306</v>
      </c>
      <c r="Q29" s="214">
        <f t="shared" si="9"/>
        <v>202.0408163265306</v>
      </c>
      <c r="R29" s="214">
        <f t="shared" si="9"/>
        <v>202.0408163265306</v>
      </c>
      <c r="S29" s="214">
        <f t="shared" si="9"/>
        <v>202.0408163265306</v>
      </c>
      <c r="T29" s="214">
        <f t="shared" si="9"/>
        <v>202.0408163265306</v>
      </c>
      <c r="U29" s="214">
        <f t="shared" si="9"/>
        <v>198</v>
      </c>
      <c r="V29" s="214">
        <f t="shared" si="9"/>
        <v>198</v>
      </c>
      <c r="W29" s="214">
        <f t="shared" si="9"/>
        <v>198</v>
      </c>
      <c r="X29" s="214">
        <f t="shared" si="9"/>
        <v>198</v>
      </c>
      <c r="Y29" s="214">
        <f t="shared" si="9"/>
        <v>198</v>
      </c>
      <c r="Z29" s="215">
        <f t="shared" si="9"/>
        <v>198</v>
      </c>
      <c r="AA29" s="213">
        <f t="shared" si="9"/>
        <v>198</v>
      </c>
      <c r="AB29" s="214">
        <f t="shared" si="9"/>
        <v>198</v>
      </c>
      <c r="AC29" s="214">
        <f t="shared" si="9"/>
        <v>198</v>
      </c>
      <c r="AD29" s="214">
        <f t="shared" si="9"/>
        <v>198</v>
      </c>
      <c r="AE29" s="214">
        <f t="shared" si="9"/>
        <v>198</v>
      </c>
      <c r="AF29" s="214">
        <f t="shared" si="9"/>
        <v>198</v>
      </c>
      <c r="AG29" s="214">
        <f t="shared" si="9"/>
        <v>198</v>
      </c>
      <c r="AH29" s="214">
        <f t="shared" si="9"/>
        <v>198</v>
      </c>
      <c r="AI29" s="214">
        <f t="shared" si="9"/>
        <v>198</v>
      </c>
      <c r="AJ29" s="214">
        <f t="shared" si="9"/>
        <v>198</v>
      </c>
      <c r="AK29" s="214">
        <f t="shared" si="9"/>
        <v>198</v>
      </c>
      <c r="AL29" s="215">
        <f t="shared" si="9"/>
        <v>198</v>
      </c>
    </row>
    <row r="30" spans="1:38" s="96" customFormat="1" outlineLevel="1" x14ac:dyDescent="0.35">
      <c r="A30" s="96" t="s">
        <v>64</v>
      </c>
      <c r="B30" s="96" t="s">
        <v>15</v>
      </c>
      <c r="D30" s="97"/>
      <c r="F30" s="221" t="s">
        <v>212</v>
      </c>
      <c r="G30" s="26"/>
      <c r="H30" s="26" t="s">
        <v>41</v>
      </c>
      <c r="I30" s="26" t="s">
        <v>57</v>
      </c>
      <c r="J30" s="26"/>
      <c r="K30" s="12"/>
      <c r="L30" s="26"/>
      <c r="M30" s="26"/>
      <c r="N30" s="26"/>
      <c r="O30" s="213">
        <f>9193.7/O35*10^3</f>
        <v>375.25306122448984</v>
      </c>
      <c r="P30" s="214">
        <f t="shared" ref="P30:AL30" si="10">9193.7/P35*10^3</f>
        <v>375.25306122448984</v>
      </c>
      <c r="Q30" s="214">
        <f t="shared" si="10"/>
        <v>375.25306122448984</v>
      </c>
      <c r="R30" s="214">
        <f t="shared" si="10"/>
        <v>375.25306122448984</v>
      </c>
      <c r="S30" s="214">
        <f t="shared" si="10"/>
        <v>375.25306122448984</v>
      </c>
      <c r="T30" s="214">
        <f t="shared" si="10"/>
        <v>375.25306122448984</v>
      </c>
      <c r="U30" s="214">
        <f t="shared" si="10"/>
        <v>367.74800000000005</v>
      </c>
      <c r="V30" s="214">
        <f t="shared" si="10"/>
        <v>367.74800000000005</v>
      </c>
      <c r="W30" s="214">
        <f t="shared" si="10"/>
        <v>367.74800000000005</v>
      </c>
      <c r="X30" s="214">
        <f t="shared" si="10"/>
        <v>367.74800000000005</v>
      </c>
      <c r="Y30" s="214">
        <f t="shared" si="10"/>
        <v>367.74800000000005</v>
      </c>
      <c r="Z30" s="215">
        <f t="shared" si="10"/>
        <v>367.74800000000005</v>
      </c>
      <c r="AA30" s="213">
        <f t="shared" si="10"/>
        <v>367.74800000000005</v>
      </c>
      <c r="AB30" s="214">
        <f t="shared" si="10"/>
        <v>367.74800000000005</v>
      </c>
      <c r="AC30" s="214">
        <f t="shared" si="10"/>
        <v>367.74800000000005</v>
      </c>
      <c r="AD30" s="214">
        <f t="shared" si="10"/>
        <v>367.74800000000005</v>
      </c>
      <c r="AE30" s="214">
        <f t="shared" si="10"/>
        <v>367.74800000000005</v>
      </c>
      <c r="AF30" s="214">
        <f t="shared" si="10"/>
        <v>367.74800000000005</v>
      </c>
      <c r="AG30" s="214">
        <f t="shared" si="10"/>
        <v>367.74800000000005</v>
      </c>
      <c r="AH30" s="214">
        <f t="shared" si="10"/>
        <v>367.74800000000005</v>
      </c>
      <c r="AI30" s="214">
        <f t="shared" si="10"/>
        <v>367.74800000000005</v>
      </c>
      <c r="AJ30" s="214">
        <f t="shared" si="10"/>
        <v>367.74800000000005</v>
      </c>
      <c r="AK30" s="214">
        <f t="shared" si="10"/>
        <v>367.74800000000005</v>
      </c>
      <c r="AL30" s="215">
        <f t="shared" si="10"/>
        <v>367.74800000000005</v>
      </c>
    </row>
    <row r="31" spans="1:38" s="96" customFormat="1" outlineLevel="1" x14ac:dyDescent="0.35">
      <c r="A31" s="96" t="s">
        <v>64</v>
      </c>
      <c r="B31" s="96" t="s">
        <v>15</v>
      </c>
      <c r="D31" s="97"/>
      <c r="F31" s="221" t="s">
        <v>213</v>
      </c>
      <c r="G31" s="26"/>
      <c r="H31" s="26" t="s">
        <v>41</v>
      </c>
      <c r="I31" s="26" t="s">
        <v>50</v>
      </c>
      <c r="J31" s="26"/>
      <c r="K31" s="12"/>
      <c r="L31" s="26"/>
      <c r="M31" s="26"/>
      <c r="N31" s="26"/>
      <c r="O31" s="213">
        <f>299/O35*10^3</f>
        <v>12.204081632653061</v>
      </c>
      <c r="P31" s="214">
        <f t="shared" ref="P31:AL31" si="11">299/P35*10^3</f>
        <v>12.204081632653061</v>
      </c>
      <c r="Q31" s="214">
        <f t="shared" si="11"/>
        <v>12.204081632653061</v>
      </c>
      <c r="R31" s="214">
        <f t="shared" si="11"/>
        <v>12.204081632653061</v>
      </c>
      <c r="S31" s="214">
        <f t="shared" si="11"/>
        <v>12.204081632653061</v>
      </c>
      <c r="T31" s="214">
        <f t="shared" si="11"/>
        <v>12.204081632653061</v>
      </c>
      <c r="U31" s="214">
        <f t="shared" si="11"/>
        <v>11.96</v>
      </c>
      <c r="V31" s="214">
        <f t="shared" si="11"/>
        <v>11.96</v>
      </c>
      <c r="W31" s="214">
        <f t="shared" si="11"/>
        <v>11.96</v>
      </c>
      <c r="X31" s="214">
        <f t="shared" si="11"/>
        <v>11.96</v>
      </c>
      <c r="Y31" s="214">
        <f t="shared" si="11"/>
        <v>11.96</v>
      </c>
      <c r="Z31" s="215">
        <f t="shared" si="11"/>
        <v>11.96</v>
      </c>
      <c r="AA31" s="213">
        <f t="shared" si="11"/>
        <v>11.96</v>
      </c>
      <c r="AB31" s="214">
        <f t="shared" si="11"/>
        <v>11.96</v>
      </c>
      <c r="AC31" s="214">
        <f t="shared" si="11"/>
        <v>11.96</v>
      </c>
      <c r="AD31" s="214">
        <f t="shared" si="11"/>
        <v>11.96</v>
      </c>
      <c r="AE31" s="214">
        <f t="shared" si="11"/>
        <v>11.96</v>
      </c>
      <c r="AF31" s="214">
        <f t="shared" si="11"/>
        <v>11.96</v>
      </c>
      <c r="AG31" s="214">
        <f t="shared" si="11"/>
        <v>11.96</v>
      </c>
      <c r="AH31" s="214">
        <f t="shared" si="11"/>
        <v>11.96</v>
      </c>
      <c r="AI31" s="214">
        <f t="shared" si="11"/>
        <v>11.96</v>
      </c>
      <c r="AJ31" s="214">
        <f t="shared" si="11"/>
        <v>11.96</v>
      </c>
      <c r="AK31" s="214">
        <f t="shared" si="11"/>
        <v>11.96</v>
      </c>
      <c r="AL31" s="215">
        <f t="shared" si="11"/>
        <v>11.96</v>
      </c>
    </row>
    <row r="32" spans="1:38" s="96" customFormat="1" outlineLevel="1" x14ac:dyDescent="0.35">
      <c r="A32" s="96" t="s">
        <v>64</v>
      </c>
      <c r="B32" s="96" t="s">
        <v>15</v>
      </c>
      <c r="D32" s="97"/>
      <c r="F32" s="221" t="s">
        <v>214</v>
      </c>
      <c r="G32" s="26"/>
      <c r="H32" s="26" t="s">
        <v>41</v>
      </c>
      <c r="I32" s="26" t="s">
        <v>58</v>
      </c>
      <c r="J32" s="26"/>
      <c r="K32" s="12"/>
      <c r="L32" s="26"/>
      <c r="M32" s="26"/>
      <c r="N32" s="26"/>
      <c r="O32" s="213">
        <f>3295/O35*10^3</f>
        <v>134.48979591836735</v>
      </c>
      <c r="P32" s="214">
        <f t="shared" ref="P32:AL32" si="12">3295/P35*10^3</f>
        <v>134.48979591836735</v>
      </c>
      <c r="Q32" s="214">
        <f t="shared" si="12"/>
        <v>134.48979591836735</v>
      </c>
      <c r="R32" s="214">
        <f t="shared" si="12"/>
        <v>134.48979591836735</v>
      </c>
      <c r="S32" s="214">
        <f t="shared" si="12"/>
        <v>134.48979591836735</v>
      </c>
      <c r="T32" s="214">
        <f t="shared" si="12"/>
        <v>134.48979591836735</v>
      </c>
      <c r="U32" s="214">
        <f t="shared" si="12"/>
        <v>131.80000000000001</v>
      </c>
      <c r="V32" s="214">
        <f t="shared" si="12"/>
        <v>131.80000000000001</v>
      </c>
      <c r="W32" s="214">
        <f t="shared" si="12"/>
        <v>131.80000000000001</v>
      </c>
      <c r="X32" s="214">
        <f t="shared" si="12"/>
        <v>131.80000000000001</v>
      </c>
      <c r="Y32" s="214">
        <f t="shared" si="12"/>
        <v>131.80000000000001</v>
      </c>
      <c r="Z32" s="215">
        <f t="shared" si="12"/>
        <v>131.80000000000001</v>
      </c>
      <c r="AA32" s="213">
        <f t="shared" si="12"/>
        <v>131.80000000000001</v>
      </c>
      <c r="AB32" s="214">
        <f t="shared" si="12"/>
        <v>131.80000000000001</v>
      </c>
      <c r="AC32" s="214">
        <f t="shared" si="12"/>
        <v>131.80000000000001</v>
      </c>
      <c r="AD32" s="214">
        <f t="shared" si="12"/>
        <v>131.80000000000001</v>
      </c>
      <c r="AE32" s="214">
        <f t="shared" si="12"/>
        <v>131.80000000000001</v>
      </c>
      <c r="AF32" s="214">
        <f t="shared" si="12"/>
        <v>131.80000000000001</v>
      </c>
      <c r="AG32" s="214">
        <f t="shared" si="12"/>
        <v>131.80000000000001</v>
      </c>
      <c r="AH32" s="214">
        <f t="shared" si="12"/>
        <v>131.80000000000001</v>
      </c>
      <c r="AI32" s="214">
        <f t="shared" si="12"/>
        <v>131.80000000000001</v>
      </c>
      <c r="AJ32" s="214">
        <f t="shared" si="12"/>
        <v>131.80000000000001</v>
      </c>
      <c r="AK32" s="214">
        <f t="shared" si="12"/>
        <v>131.80000000000001</v>
      </c>
      <c r="AL32" s="215">
        <f t="shared" si="12"/>
        <v>131.80000000000001</v>
      </c>
    </row>
    <row r="33" spans="1:38" s="96" customFormat="1" outlineLevel="1" x14ac:dyDescent="0.35">
      <c r="A33" s="96" t="s">
        <v>64</v>
      </c>
      <c r="B33" s="96" t="s">
        <v>15</v>
      </c>
      <c r="D33" s="97"/>
      <c r="F33" s="221" t="s">
        <v>215</v>
      </c>
      <c r="G33" s="26"/>
      <c r="H33" s="26" t="s">
        <v>41</v>
      </c>
      <c r="I33" s="26" t="s">
        <v>59</v>
      </c>
      <c r="J33" s="26"/>
      <c r="K33" s="12"/>
      <c r="L33" s="26"/>
      <c r="M33" s="26"/>
      <c r="N33" s="26"/>
      <c r="O33" s="213">
        <f>8%/12*SUM(O28:O32)</f>
        <v>9.3163809523809533</v>
      </c>
      <c r="P33" s="214">
        <f>8%/12*SUM(P28:P32)</f>
        <v>9.3163809523809533</v>
      </c>
      <c r="Q33" s="214">
        <f>8%/12*SUM(Q28:Q32)</f>
        <v>9.3163809523809533</v>
      </c>
      <c r="R33" s="214">
        <f t="shared" ref="R33:AL33" si="13">8%/12*SUM(R28:R32)</f>
        <v>9.3163809523809533</v>
      </c>
      <c r="S33" s="214">
        <f t="shared" si="13"/>
        <v>9.3163809523809533</v>
      </c>
      <c r="T33" s="214">
        <f t="shared" si="13"/>
        <v>9.3163809523809533</v>
      </c>
      <c r="U33" s="214">
        <f t="shared" si="13"/>
        <v>9.1300533333333345</v>
      </c>
      <c r="V33" s="214">
        <f t="shared" si="13"/>
        <v>9.1300533333333345</v>
      </c>
      <c r="W33" s="214">
        <f t="shared" si="13"/>
        <v>9.1300533333333345</v>
      </c>
      <c r="X33" s="214">
        <f t="shared" si="13"/>
        <v>9.1300533333333345</v>
      </c>
      <c r="Y33" s="214">
        <f t="shared" si="13"/>
        <v>9.1300533333333345</v>
      </c>
      <c r="Z33" s="215">
        <f t="shared" si="13"/>
        <v>9.1300533333333345</v>
      </c>
      <c r="AA33" s="213">
        <f t="shared" si="13"/>
        <v>9.1300533333333345</v>
      </c>
      <c r="AB33" s="214">
        <f t="shared" si="13"/>
        <v>9.1300533333333345</v>
      </c>
      <c r="AC33" s="214">
        <f t="shared" si="13"/>
        <v>9.1300533333333345</v>
      </c>
      <c r="AD33" s="214">
        <f t="shared" si="13"/>
        <v>9.1300533333333345</v>
      </c>
      <c r="AE33" s="214">
        <f t="shared" si="13"/>
        <v>9.1300533333333345</v>
      </c>
      <c r="AF33" s="214">
        <f t="shared" si="13"/>
        <v>9.1300533333333345</v>
      </c>
      <c r="AG33" s="214">
        <f t="shared" si="13"/>
        <v>9.1300533333333345</v>
      </c>
      <c r="AH33" s="214">
        <f t="shared" si="13"/>
        <v>9.1300533333333345</v>
      </c>
      <c r="AI33" s="214">
        <f t="shared" si="13"/>
        <v>9.1300533333333345</v>
      </c>
      <c r="AJ33" s="214">
        <f t="shared" si="13"/>
        <v>9.1300533333333345</v>
      </c>
      <c r="AK33" s="214">
        <f t="shared" si="13"/>
        <v>9.1300533333333345</v>
      </c>
      <c r="AL33" s="215">
        <f t="shared" si="13"/>
        <v>9.1300533333333345</v>
      </c>
    </row>
    <row r="34" spans="1:38" s="96" customFormat="1" outlineLevel="1" x14ac:dyDescent="0.35">
      <c r="A34" s="96" t="s">
        <v>64</v>
      </c>
      <c r="B34" s="96" t="s">
        <v>15</v>
      </c>
      <c r="D34" s="97"/>
      <c r="F34" s="221" t="s">
        <v>216</v>
      </c>
      <c r="G34" s="26"/>
      <c r="H34" s="26" t="s">
        <v>41</v>
      </c>
      <c r="I34" s="26" t="s">
        <v>53</v>
      </c>
      <c r="J34" s="26"/>
      <c r="K34" s="12"/>
      <c r="L34" s="26"/>
      <c r="M34" s="26"/>
      <c r="N34" s="26"/>
      <c r="O34" s="213">
        <v>-80</v>
      </c>
      <c r="P34" s="214">
        <v>-80</v>
      </c>
      <c r="Q34" s="214">
        <v>-80</v>
      </c>
      <c r="R34" s="214">
        <v>-80</v>
      </c>
      <c r="S34" s="214">
        <v>-80</v>
      </c>
      <c r="T34" s="214">
        <v>-80</v>
      </c>
      <c r="U34" s="214">
        <v>-80</v>
      </c>
      <c r="V34" s="214">
        <v>-80</v>
      </c>
      <c r="W34" s="214">
        <v>-80</v>
      </c>
      <c r="X34" s="214">
        <v>-80</v>
      </c>
      <c r="Y34" s="214">
        <v>-80</v>
      </c>
      <c r="Z34" s="215">
        <v>-80</v>
      </c>
      <c r="AA34" s="213">
        <v>-80</v>
      </c>
      <c r="AB34" s="214">
        <v>-80</v>
      </c>
      <c r="AC34" s="214">
        <v>-80</v>
      </c>
      <c r="AD34" s="214">
        <v>-80</v>
      </c>
      <c r="AE34" s="214">
        <v>-80</v>
      </c>
      <c r="AF34" s="214">
        <v>-80</v>
      </c>
      <c r="AG34" s="214">
        <v>-30</v>
      </c>
      <c r="AH34" s="214">
        <v>-30</v>
      </c>
      <c r="AI34" s="214">
        <v>-30</v>
      </c>
      <c r="AJ34" s="214">
        <v>-30</v>
      </c>
      <c r="AK34" s="214">
        <v>-30</v>
      </c>
      <c r="AL34" s="215">
        <v>-30</v>
      </c>
    </row>
    <row r="35" spans="1:38" s="237" customFormat="1" outlineLevel="1" x14ac:dyDescent="0.35">
      <c r="A35" s="237" t="s">
        <v>64</v>
      </c>
      <c r="B35" s="237" t="s">
        <v>15</v>
      </c>
      <c r="F35" s="247" t="s">
        <v>226</v>
      </c>
      <c r="G35" s="238"/>
      <c r="H35" s="238"/>
      <c r="I35" s="238"/>
      <c r="J35" s="238" t="s">
        <v>60</v>
      </c>
      <c r="K35" s="239"/>
      <c r="L35" s="238"/>
      <c r="M35" s="238"/>
      <c r="N35" s="238"/>
      <c r="O35" s="240">
        <v>24500</v>
      </c>
      <c r="P35" s="241">
        <v>24500</v>
      </c>
      <c r="Q35" s="241">
        <v>24500</v>
      </c>
      <c r="R35" s="241">
        <v>24500</v>
      </c>
      <c r="S35" s="241">
        <v>24500</v>
      </c>
      <c r="T35" s="241">
        <v>24500</v>
      </c>
      <c r="U35" s="241">
        <v>25000</v>
      </c>
      <c r="V35" s="241">
        <v>25000</v>
      </c>
      <c r="W35" s="241">
        <v>25000</v>
      </c>
      <c r="X35" s="241">
        <v>25000</v>
      </c>
      <c r="Y35" s="241">
        <v>25000</v>
      </c>
      <c r="Z35" s="242">
        <v>25000</v>
      </c>
      <c r="AA35" s="240">
        <v>25000</v>
      </c>
      <c r="AB35" s="241">
        <v>25000</v>
      </c>
      <c r="AC35" s="241">
        <v>25000</v>
      </c>
      <c r="AD35" s="241">
        <v>25000</v>
      </c>
      <c r="AE35" s="241">
        <v>25000</v>
      </c>
      <c r="AF35" s="241">
        <v>25000</v>
      </c>
      <c r="AG35" s="241">
        <v>25000</v>
      </c>
      <c r="AH35" s="241">
        <v>25000</v>
      </c>
      <c r="AI35" s="241">
        <v>25000</v>
      </c>
      <c r="AJ35" s="241">
        <v>25000</v>
      </c>
      <c r="AK35" s="241">
        <v>25000</v>
      </c>
      <c r="AL35" s="242">
        <v>25000</v>
      </c>
    </row>
    <row r="36" spans="1:38" s="237" customFormat="1" outlineLevel="1" x14ac:dyDescent="0.35">
      <c r="A36" s="237" t="s">
        <v>64</v>
      </c>
      <c r="B36" s="237" t="s">
        <v>15</v>
      </c>
      <c r="F36" s="247" t="s">
        <v>227</v>
      </c>
      <c r="G36" s="238"/>
      <c r="H36" s="238"/>
      <c r="I36" s="238"/>
      <c r="J36" s="238" t="s">
        <v>61</v>
      </c>
      <c r="K36" s="239"/>
      <c r="L36" s="238"/>
      <c r="M36" s="238"/>
      <c r="N36" s="238"/>
      <c r="O36" s="243">
        <v>0.3</v>
      </c>
      <c r="P36" s="244">
        <v>0.3</v>
      </c>
      <c r="Q36" s="244">
        <v>0.3</v>
      </c>
      <c r="R36" s="244">
        <v>0.3</v>
      </c>
      <c r="S36" s="244">
        <v>0.3</v>
      </c>
      <c r="T36" s="244">
        <v>0.3</v>
      </c>
      <c r="U36" s="244">
        <v>0.3</v>
      </c>
      <c r="V36" s="244">
        <v>0.3</v>
      </c>
      <c r="W36" s="244">
        <v>0.3</v>
      </c>
      <c r="X36" s="244">
        <v>0.3</v>
      </c>
      <c r="Y36" s="244">
        <v>0.3</v>
      </c>
      <c r="Z36" s="245">
        <v>0.3</v>
      </c>
      <c r="AA36" s="243">
        <v>0.3</v>
      </c>
      <c r="AB36" s="244">
        <v>0.3</v>
      </c>
      <c r="AC36" s="244">
        <v>0.3</v>
      </c>
      <c r="AD36" s="244">
        <v>0.3</v>
      </c>
      <c r="AE36" s="244">
        <v>0.3</v>
      </c>
      <c r="AF36" s="244">
        <v>0.3</v>
      </c>
      <c r="AG36" s="244">
        <v>0.3</v>
      </c>
      <c r="AH36" s="244">
        <v>0.3</v>
      </c>
      <c r="AI36" s="244">
        <v>0.3</v>
      </c>
      <c r="AJ36" s="244">
        <v>0.3</v>
      </c>
      <c r="AK36" s="244">
        <v>0.3</v>
      </c>
      <c r="AL36" s="245">
        <v>0.3</v>
      </c>
    </row>
    <row r="37" spans="1:38" s="94" customFormat="1" outlineLevel="1" x14ac:dyDescent="0.35">
      <c r="A37" s="94" t="s">
        <v>64</v>
      </c>
      <c r="B37" s="94" t="s">
        <v>15</v>
      </c>
      <c r="D37" s="95" t="s">
        <v>162</v>
      </c>
      <c r="F37" s="226" t="s">
        <v>228</v>
      </c>
      <c r="G37" s="227"/>
      <c r="H37" s="227"/>
      <c r="I37" s="227" t="s">
        <v>8</v>
      </c>
      <c r="J37" s="227"/>
      <c r="K37" s="2"/>
      <c r="L37" s="227"/>
      <c r="M37" s="227"/>
      <c r="N37" s="227"/>
      <c r="O37" s="228">
        <f>O27-O31</f>
        <v>1307.795918367347</v>
      </c>
      <c r="P37" s="229">
        <f t="shared" ref="P37:AL37" si="14">P27-P31</f>
        <v>1307.795918367347</v>
      </c>
      <c r="Q37" s="229">
        <f t="shared" si="14"/>
        <v>1307.795918367347</v>
      </c>
      <c r="R37" s="229">
        <f t="shared" si="14"/>
        <v>1307.795918367347</v>
      </c>
      <c r="S37" s="229">
        <f t="shared" si="14"/>
        <v>1307.795918367347</v>
      </c>
      <c r="T37" s="229">
        <f t="shared" si="14"/>
        <v>1307.795918367347</v>
      </c>
      <c r="U37" s="229">
        <f t="shared" si="14"/>
        <v>1308.04</v>
      </c>
      <c r="V37" s="229">
        <f t="shared" si="14"/>
        <v>1308.04</v>
      </c>
      <c r="W37" s="229">
        <f t="shared" si="14"/>
        <v>1308.04</v>
      </c>
      <c r="X37" s="229">
        <f t="shared" si="14"/>
        <v>1288.04</v>
      </c>
      <c r="Y37" s="229">
        <f t="shared" si="14"/>
        <v>1288.04</v>
      </c>
      <c r="Z37" s="230">
        <f t="shared" si="14"/>
        <v>1288.04</v>
      </c>
      <c r="AA37" s="229">
        <f t="shared" si="14"/>
        <v>1288.04</v>
      </c>
      <c r="AB37" s="229">
        <f t="shared" si="14"/>
        <v>1288.04</v>
      </c>
      <c r="AC37" s="229">
        <f t="shared" si="14"/>
        <v>1288.04</v>
      </c>
      <c r="AD37" s="229">
        <f t="shared" si="14"/>
        <v>1288.04</v>
      </c>
      <c r="AE37" s="229">
        <f t="shared" si="14"/>
        <v>1288.04</v>
      </c>
      <c r="AF37" s="229">
        <f t="shared" si="14"/>
        <v>1288.04</v>
      </c>
      <c r="AG37" s="229">
        <f t="shared" si="14"/>
        <v>1338.04</v>
      </c>
      <c r="AH37" s="229">
        <f t="shared" si="14"/>
        <v>1338.04</v>
      </c>
      <c r="AI37" s="229">
        <f t="shared" si="14"/>
        <v>1338.04</v>
      </c>
      <c r="AJ37" s="229">
        <f t="shared" si="14"/>
        <v>1338.04</v>
      </c>
      <c r="AK37" s="229">
        <f t="shared" si="14"/>
        <v>1338.04</v>
      </c>
      <c r="AL37" s="230">
        <f t="shared" si="14"/>
        <v>1338.04</v>
      </c>
    </row>
    <row r="38" spans="1:38" s="96" customFormat="1" ht="79.400000000000006" customHeight="1" outlineLevel="1" x14ac:dyDescent="0.35">
      <c r="A38" s="96" t="s">
        <v>64</v>
      </c>
      <c r="B38" s="96" t="s">
        <v>15</v>
      </c>
      <c r="D38" s="97"/>
      <c r="F38" s="221" t="s">
        <v>229</v>
      </c>
      <c r="G38" s="26"/>
      <c r="H38" s="26"/>
      <c r="I38" s="26"/>
      <c r="J38" s="26" t="s">
        <v>45</v>
      </c>
      <c r="K38" s="12"/>
      <c r="L38" s="26"/>
      <c r="M38" s="26"/>
      <c r="N38" s="26"/>
      <c r="O38" s="88" t="str" cm="1">
        <f t="array" ref="O38">INDEX(Note!$G$3:$G$101,MATCH(1,(Note!$A$3:$A$101=$A38)*(Note!$C$3:$C$101=$B38)*(Note!$E$3:$E$101&lt;=O$1)*(Note!$F$3:$F$101&gt;=O$2),0))</f>
        <v>Giá Bales DTR +% Hao Hụt + Conversion cost</v>
      </c>
      <c r="P38" s="27" t="str" cm="1">
        <f t="array" ref="P38">INDEX(Note!$G$3:$G$101,MATCH(1,(Note!$A$3:$A$101=$A38)*(Note!$C$3:$C$101=$B38)*(Note!$E$3:$E$101&lt;=P$1)*(Note!$F$3:$F$101&gt;=P$2),0))</f>
        <v>Giá Bales DTR +% Hao Hụt + Conversion cost</v>
      </c>
      <c r="Q38" s="27" t="str" cm="1">
        <f t="array" ref="Q38">INDEX(Note!$G$3:$G$101,MATCH(1,(Note!$A$3:$A$101=$A38)*(Note!$C$3:$C$101=$B38)*(Note!$E$3:$E$101&lt;=Q$1)*(Note!$F$3:$F$101&gt;=Q$2),0))</f>
        <v>Giá Bales DTR +% Hao Hụt + Conversion cost</v>
      </c>
      <c r="R38" s="27" t="str" cm="1">
        <f t="array" ref="R38">INDEX(Note!$G$3:$G$101,MATCH(1,(Note!$A$3:$A$101=$A38)*(Note!$C$3:$C$101=$B38)*(Note!$E$3:$E$101&lt;=R$1)*(Note!$F$3:$F$101&gt;=R$2),0))</f>
        <v>Giá Bales DTR +% Hao Hụt + Conversion cost</v>
      </c>
      <c r="S38" s="27" t="str" cm="1">
        <f t="array" ref="S38">INDEX(Note!$G$3:$G$101,MATCH(1,(Note!$A$3:$A$101=$A38)*(Note!$C$3:$C$101=$B38)*(Note!$E$3:$E$101&lt;=S$1)*(Note!$F$3:$F$101&gt;=S$2),0))</f>
        <v>Giá Bales DTR +% Hao Hụt + Conversion cost</v>
      </c>
      <c r="T38" s="27" t="str" cm="1">
        <f t="array" ref="T38">INDEX(Note!$G$3:$G$101,MATCH(1,(Note!$A$3:$A$101=$A38)*(Note!$C$3:$C$101=$B38)*(Note!$E$3:$E$101&lt;=T$1)*(Note!$F$3:$F$101&gt;=T$2),0))</f>
        <v>Giá Bales DTR +% Hao Hụt + Conversion cost</v>
      </c>
      <c r="U38" s="27" t="str" cm="1">
        <f t="array" ref="U38">INDEX(Note!$G$3:$G$101,MATCH(1,(Note!$A$3:$A$101=$A38)*(Note!$C$3:$C$101=$B38)*(Note!$E$3:$E$101&lt;=U$1)*(Note!$F$3:$F$101&gt;=U$2),0))</f>
        <v>Giá Bales DTR +% Hao Hụt + Conversion cost</v>
      </c>
      <c r="V38" s="27" t="str" cm="1">
        <f t="array" ref="V38">INDEX(Note!$G$3:$G$101,MATCH(1,(Note!$A$3:$A$101=$A38)*(Note!$C$3:$C$101=$B38)*(Note!$E$3:$E$101&lt;=V$1)*(Note!$F$3:$F$101&gt;=V$2),0))</f>
        <v>Giá Bales DTR +% Hao Hụt + Conversion cost</v>
      </c>
      <c r="W38" s="27" t="str" cm="1">
        <f t="array" ref="W38">INDEX(Note!$G$3:$G$101,MATCH(1,(Note!$A$3:$A$101=$A38)*(Note!$C$3:$C$101=$B38)*(Note!$E$3:$E$101&lt;=W$1)*(Note!$F$3:$F$101&gt;=W$2),0))</f>
        <v>Giá Bales DTR +% Hao Hụt + Conversion cost</v>
      </c>
      <c r="X38" s="27" t="str" cm="1">
        <f t="array" ref="X38">INDEX(Note!$G$3:$G$101,MATCH(1,(Note!$A$3:$A$101=$A38)*(Note!$C$3:$C$101=$B38)*(Note!$E$3:$E$101&lt;=X$1)*(Note!$F$3:$F$101&gt;=X$2),0))</f>
        <v>Giá Bales DTR +% Hao Hụt + Conversion cost</v>
      </c>
      <c r="Y38" s="27" t="str" cm="1">
        <f t="array" ref="Y38">INDEX(Note!$G$3:$G$101,MATCH(1,(Note!$A$3:$A$101=$A38)*(Note!$C$3:$C$101=$B38)*(Note!$E$3:$E$101&lt;=Y$1)*(Note!$F$3:$F$101&gt;=Y$2),0))</f>
        <v>Giá Bales DTR +% Hao Hụt + Conversion cost</v>
      </c>
      <c r="Z38" s="89" t="str" cm="1">
        <f t="array" ref="Z38">INDEX(Note!$G$3:$G$101,MATCH(1,(Note!$A$3:$A$101=$A38)*(Note!$C$3:$C$101=$B38)*(Note!$E$3:$E$101&lt;=Z$1)*(Note!$F$3:$F$101&gt;=Z$2),0))</f>
        <v>Giá Bales DTR +% Hao Hụt + Conversion cost</v>
      </c>
      <c r="AA38" s="27" t="str" cm="1">
        <f t="array" ref="AA38">INDEX(Note!$G$3:$G$101,MATCH(1,(Note!$A$3:$A$101=$A38)*(Note!$C$3:$C$101=$B38)*(Note!$E$3:$E$101&lt;=AA$1)*(Note!$F$3:$F$101&gt;=AA$2),0))</f>
        <v>Giá cố định (KD đề xuất)</v>
      </c>
      <c r="AB38" s="27" t="str" cm="1">
        <f t="array" ref="AB38">INDEX(Note!$G$3:$G$101,MATCH(1,(Note!$A$3:$A$101=$A38)*(Note!$C$3:$C$101=$B38)*(Note!$E$3:$E$101&lt;=AB$1)*(Note!$F$3:$F$101&gt;=AB$2),0))</f>
        <v>Giá cố định (KD đề xuất)</v>
      </c>
      <c r="AC38" s="27" t="str" cm="1">
        <f t="array" ref="AC38">INDEX(Note!$G$3:$G$101,MATCH(1,(Note!$A$3:$A$101=$A38)*(Note!$C$3:$C$101=$B38)*(Note!$E$3:$E$101&lt;=AC$1)*(Note!$F$3:$F$101&gt;=AC$2),0))</f>
        <v>Giá cố định (KD đề xuất)</v>
      </c>
      <c r="AD38" s="27" t="str" cm="1">
        <f t="array" ref="AD38">INDEX(Note!$G$3:$G$101,MATCH(1,(Note!$A$3:$A$101=$A38)*(Note!$C$3:$C$101=$B38)*(Note!$E$3:$E$101&lt;=AD$1)*(Note!$F$3:$F$101&gt;=AD$2),0))</f>
        <v>Giá cố định (KD đề xuất)</v>
      </c>
      <c r="AE38" s="27" t="str" cm="1">
        <f t="array" ref="AE38">INDEX(Note!$G$3:$G$101,MATCH(1,(Note!$A$3:$A$101=$A38)*(Note!$C$3:$C$101=$B38)*(Note!$E$3:$E$101&lt;=AE$1)*(Note!$F$3:$F$101&gt;=AE$2),0))</f>
        <v>Giá cố định (KD đề xuất)</v>
      </c>
      <c r="AF38" s="27" t="str" cm="1">
        <f t="array" ref="AF38">INDEX(Note!$G$3:$G$101,MATCH(1,(Note!$A$3:$A$101=$A38)*(Note!$C$3:$C$101=$B38)*(Note!$E$3:$E$101&lt;=AF$1)*(Note!$F$3:$F$101&gt;=AF$2),0))</f>
        <v>Giá cố định (KD đề xuất)</v>
      </c>
      <c r="AG38" s="27" t="str" cm="1">
        <f t="array" ref="AG38">INDEX(Note!$G$3:$G$101,MATCH(1,(Note!$A$3:$A$101=$A38)*(Note!$C$3:$C$101=$B38)*(Note!$E$3:$E$101&lt;=AG$1)*(Note!$F$3:$F$101&gt;=AG$2),0))</f>
        <v>Giá cố định (KD đề xuất)</v>
      </c>
      <c r="AH38" s="27" t="str" cm="1">
        <f t="array" ref="AH38">INDEX(Note!$G$3:$G$101,MATCH(1,(Note!$A$3:$A$101=$A38)*(Note!$C$3:$C$101=$B38)*(Note!$E$3:$E$101&lt;=AH$1)*(Note!$F$3:$F$101&gt;=AH$2),0))</f>
        <v>Giá cố định (KD đề xuất)</v>
      </c>
      <c r="AI38" s="27" t="str" cm="1">
        <f t="array" ref="AI38">INDEX(Note!$G$3:$G$101,MATCH(1,(Note!$A$3:$A$101=$A38)*(Note!$C$3:$C$101=$B38)*(Note!$E$3:$E$101&lt;=AI$1)*(Note!$F$3:$F$101&gt;=AI$2),0))</f>
        <v>Giá cố định (KD đề xuất)</v>
      </c>
      <c r="AJ38" s="27" t="str" cm="1">
        <f t="array" ref="AJ38">INDEX(Note!$G$3:$G$101,MATCH(1,(Note!$A$3:$A$101=$A38)*(Note!$C$3:$C$101=$B38)*(Note!$E$3:$E$101&lt;=AJ$1)*(Note!$F$3:$F$101&gt;=AJ$2),0))</f>
        <v>Giá cố định (KD đề xuất)</v>
      </c>
      <c r="AK38" s="27" t="str" cm="1">
        <f t="array" ref="AK38">INDEX(Note!$G$3:$G$101,MATCH(1,(Note!$A$3:$A$101=$A38)*(Note!$C$3:$C$101=$B38)*(Note!$E$3:$E$101&lt;=AK$1)*(Note!$F$3:$F$101&gt;=AK$2),0))</f>
        <v>Giá cố định (KD đề xuất)</v>
      </c>
      <c r="AL38" s="89" t="str" cm="1">
        <f t="array" ref="AL38">INDEX(Note!$G$3:$G$101,MATCH(1,(Note!$A$3:$A$101=$A38)*(Note!$C$3:$C$101=$B38)*(Note!$E$3:$E$101&lt;=AL$1)*(Note!$F$3:$F$101&gt;=AL$2),0))</f>
        <v>Giá cố định (KD đề xuất)</v>
      </c>
    </row>
    <row r="39" spans="1:38" s="96" customFormat="1" outlineLevel="1" x14ac:dyDescent="0.35">
      <c r="A39" s="96" t="s">
        <v>64</v>
      </c>
      <c r="B39" s="96" t="s">
        <v>15</v>
      </c>
      <c r="D39" s="97"/>
      <c r="F39" s="221" t="s">
        <v>230</v>
      </c>
      <c r="G39" s="26"/>
      <c r="H39" s="26"/>
      <c r="I39" s="26"/>
      <c r="J39" s="26" t="s">
        <v>43</v>
      </c>
      <c r="K39" s="12"/>
      <c r="L39" s="26"/>
      <c r="M39" s="26"/>
      <c r="N39" s="26"/>
      <c r="O39" s="88" t="str" cm="1">
        <f t="array" ref="O39">INDEX(Note!$H$3:$H$101,MATCH(1,(Note!$A$3:$A$101=$A39)*(Note!$C$3:$C$101=$B39)*(Note!$E$3:$E$101&lt;=O$1)*(Note!$F$3:$F$101&gt;=O$2),0))</f>
        <v>DDP</v>
      </c>
      <c r="P39" s="27" t="str" cm="1">
        <f t="array" ref="P39">INDEX(Note!$H$3:$H$101,MATCH(1,(Note!$A$3:$A$101=$A39)*(Note!$C$3:$C$101=$B39)*(Note!$E$3:$E$101&lt;=P$1)*(Note!$F$3:$F$101&gt;=P$2),0))</f>
        <v>DDP</v>
      </c>
      <c r="Q39" s="27" t="str" cm="1">
        <f t="array" ref="Q39">INDEX(Note!$H$3:$H$101,MATCH(1,(Note!$A$3:$A$101=$A39)*(Note!$C$3:$C$101=$B39)*(Note!$E$3:$E$101&lt;=Q$1)*(Note!$F$3:$F$101&gt;=Q$2),0))</f>
        <v>DDP</v>
      </c>
      <c r="R39" s="27" t="str" cm="1">
        <f t="array" ref="R39">INDEX(Note!$H$3:$H$101,MATCH(1,(Note!$A$3:$A$101=$A39)*(Note!$C$3:$C$101=$B39)*(Note!$E$3:$E$101&lt;=R$1)*(Note!$F$3:$F$101&gt;=R$2),0))</f>
        <v>DDP</v>
      </c>
      <c r="S39" s="27" t="str" cm="1">
        <f t="array" ref="S39">INDEX(Note!$H$3:$H$101,MATCH(1,(Note!$A$3:$A$101=$A39)*(Note!$C$3:$C$101=$B39)*(Note!$E$3:$E$101&lt;=S$1)*(Note!$F$3:$F$101&gt;=S$2),0))</f>
        <v>DDP</v>
      </c>
      <c r="T39" s="27" t="str" cm="1">
        <f t="array" ref="T39">INDEX(Note!$H$3:$H$101,MATCH(1,(Note!$A$3:$A$101=$A39)*(Note!$C$3:$C$101=$B39)*(Note!$E$3:$E$101&lt;=T$1)*(Note!$F$3:$F$101&gt;=T$2),0))</f>
        <v>DDP</v>
      </c>
      <c r="U39" s="27" t="str" cm="1">
        <f t="array" ref="U39">INDEX(Note!$H$3:$H$101,MATCH(1,(Note!$A$3:$A$101=$A39)*(Note!$C$3:$C$101=$B39)*(Note!$E$3:$E$101&lt;=U$1)*(Note!$F$3:$F$101&gt;=U$2),0))</f>
        <v>DDP</v>
      </c>
      <c r="V39" s="27" t="str" cm="1">
        <f t="array" ref="V39">INDEX(Note!$H$3:$H$101,MATCH(1,(Note!$A$3:$A$101=$A39)*(Note!$C$3:$C$101=$B39)*(Note!$E$3:$E$101&lt;=V$1)*(Note!$F$3:$F$101&gt;=V$2),0))</f>
        <v>DDP</v>
      </c>
      <c r="W39" s="27" t="str" cm="1">
        <f t="array" ref="W39">INDEX(Note!$H$3:$H$101,MATCH(1,(Note!$A$3:$A$101=$A39)*(Note!$C$3:$C$101=$B39)*(Note!$E$3:$E$101&lt;=W$1)*(Note!$F$3:$F$101&gt;=W$2),0))</f>
        <v>DDP</v>
      </c>
      <c r="X39" s="27" t="str" cm="1">
        <f t="array" ref="X39">INDEX(Note!$H$3:$H$101,MATCH(1,(Note!$A$3:$A$101=$A39)*(Note!$C$3:$C$101=$B39)*(Note!$E$3:$E$101&lt;=X$1)*(Note!$F$3:$F$101&gt;=X$2),0))</f>
        <v>DDP</v>
      </c>
      <c r="Y39" s="27" t="str" cm="1">
        <f t="array" ref="Y39">INDEX(Note!$H$3:$H$101,MATCH(1,(Note!$A$3:$A$101=$A39)*(Note!$C$3:$C$101=$B39)*(Note!$E$3:$E$101&lt;=Y$1)*(Note!$F$3:$F$101&gt;=Y$2),0))</f>
        <v>DDP</v>
      </c>
      <c r="Z39" s="89" t="str" cm="1">
        <f t="array" ref="Z39">INDEX(Note!$H$3:$H$101,MATCH(1,(Note!$A$3:$A$101=$A39)*(Note!$C$3:$C$101=$B39)*(Note!$E$3:$E$101&lt;=Z$1)*(Note!$F$3:$F$101&gt;=Z$2),0))</f>
        <v>DDP</v>
      </c>
      <c r="AA39" s="27" t="str" cm="1">
        <f t="array" ref="AA39">INDEX(Note!$H$3:$H$101,MATCH(1,(Note!$A$3:$A$101=$A39)*(Note!$C$3:$C$101=$B39)*(Note!$E$3:$E$101&lt;=AA$1)*(Note!$F$3:$F$101&gt;=AA$2),0))</f>
        <v>DDP</v>
      </c>
      <c r="AB39" s="27" t="str" cm="1">
        <f t="array" ref="AB39">INDEX(Note!$H$3:$H$101,MATCH(1,(Note!$A$3:$A$101=$A39)*(Note!$C$3:$C$101=$B39)*(Note!$E$3:$E$101&lt;=AB$1)*(Note!$F$3:$F$101&gt;=AB$2),0))</f>
        <v>DDP</v>
      </c>
      <c r="AC39" s="27" t="str" cm="1">
        <f t="array" ref="AC39">INDEX(Note!$H$3:$H$101,MATCH(1,(Note!$A$3:$A$101=$A39)*(Note!$C$3:$C$101=$B39)*(Note!$E$3:$E$101&lt;=AC$1)*(Note!$F$3:$F$101&gt;=AC$2),0))</f>
        <v>DDP</v>
      </c>
      <c r="AD39" s="27" t="str" cm="1">
        <f t="array" ref="AD39">INDEX(Note!$H$3:$H$101,MATCH(1,(Note!$A$3:$A$101=$A39)*(Note!$C$3:$C$101=$B39)*(Note!$E$3:$E$101&lt;=AD$1)*(Note!$F$3:$F$101&gt;=AD$2),0))</f>
        <v>DDP</v>
      </c>
      <c r="AE39" s="27" t="str" cm="1">
        <f t="array" ref="AE39">INDEX(Note!$H$3:$H$101,MATCH(1,(Note!$A$3:$A$101=$A39)*(Note!$C$3:$C$101=$B39)*(Note!$E$3:$E$101&lt;=AE$1)*(Note!$F$3:$F$101&gt;=AE$2),0))</f>
        <v>DDP</v>
      </c>
      <c r="AF39" s="27" t="str" cm="1">
        <f t="array" ref="AF39">INDEX(Note!$H$3:$H$101,MATCH(1,(Note!$A$3:$A$101=$A39)*(Note!$C$3:$C$101=$B39)*(Note!$E$3:$E$101&lt;=AF$1)*(Note!$F$3:$F$101&gt;=AF$2),0))</f>
        <v>DDP</v>
      </c>
      <c r="AG39" s="27" t="str" cm="1">
        <f t="array" ref="AG39">INDEX(Note!$H$3:$H$101,MATCH(1,(Note!$A$3:$A$101=$A39)*(Note!$C$3:$C$101=$B39)*(Note!$E$3:$E$101&lt;=AG$1)*(Note!$F$3:$F$101&gt;=AG$2),0))</f>
        <v>DDP</v>
      </c>
      <c r="AH39" s="27" t="str" cm="1">
        <f t="array" ref="AH39">INDEX(Note!$H$3:$H$101,MATCH(1,(Note!$A$3:$A$101=$A39)*(Note!$C$3:$C$101=$B39)*(Note!$E$3:$E$101&lt;=AH$1)*(Note!$F$3:$F$101&gt;=AH$2),0))</f>
        <v>DDP</v>
      </c>
      <c r="AI39" s="27" t="str" cm="1">
        <f t="array" ref="AI39">INDEX(Note!$H$3:$H$101,MATCH(1,(Note!$A$3:$A$101=$A39)*(Note!$C$3:$C$101=$B39)*(Note!$E$3:$E$101&lt;=AI$1)*(Note!$F$3:$F$101&gt;=AI$2),0))</f>
        <v>DDP</v>
      </c>
      <c r="AJ39" s="27" t="str" cm="1">
        <f t="array" ref="AJ39">INDEX(Note!$H$3:$H$101,MATCH(1,(Note!$A$3:$A$101=$A39)*(Note!$C$3:$C$101=$B39)*(Note!$E$3:$E$101&lt;=AJ$1)*(Note!$F$3:$F$101&gt;=AJ$2),0))</f>
        <v>DDP</v>
      </c>
      <c r="AK39" s="27" t="str" cm="1">
        <f t="array" ref="AK39">INDEX(Note!$H$3:$H$101,MATCH(1,(Note!$A$3:$A$101=$A39)*(Note!$C$3:$C$101=$B39)*(Note!$E$3:$E$101&lt;=AK$1)*(Note!$F$3:$F$101&gt;=AK$2),0))</f>
        <v>DDP</v>
      </c>
      <c r="AL39" s="89" t="str" cm="1">
        <f t="array" ref="AL39">INDEX(Note!$H$3:$H$101,MATCH(1,(Note!$A$3:$A$101=$A39)*(Note!$C$3:$C$101=$B39)*(Note!$E$3:$E$101&lt;=AL$1)*(Note!$F$3:$F$101&gt;=AL$2),0))</f>
        <v>DDP</v>
      </c>
    </row>
    <row r="40" spans="1:38" s="97" customFormat="1" outlineLevel="1" x14ac:dyDescent="0.35">
      <c r="A40" s="97" t="s">
        <v>64</v>
      </c>
      <c r="B40" s="97" t="s">
        <v>15</v>
      </c>
      <c r="F40" s="196" t="s">
        <v>231</v>
      </c>
      <c r="G40" s="107"/>
      <c r="H40" s="107"/>
      <c r="I40" s="107"/>
      <c r="J40" s="107" t="s">
        <v>46</v>
      </c>
      <c r="K40" s="109"/>
      <c r="L40" s="107"/>
      <c r="M40" s="107"/>
      <c r="N40" s="107"/>
      <c r="O40" s="236" t="str" cm="1">
        <f t="array" ref="O40">INDEX(Note!$I$3:$I$101,MATCH(1,(Note!$A$3:$A$101=$A40)*(Note!$C$3:$C$101=$B40)*(Note!$E$3:$E$101&lt;=O$1)*(Note!$F$3:$F$101&gt;=O$2),0))</f>
        <v>Quý</v>
      </c>
      <c r="P40" s="196" t="str" cm="1">
        <f t="array" ref="P40">INDEX(Note!$I$3:$I$101,MATCH(1,(Note!$A$3:$A$101=$A40)*(Note!$C$3:$C$101=$B40)*(Note!$E$3:$E$101&lt;=P$1)*(Note!$F$3:$F$101&gt;=P$2),0))</f>
        <v>Quý</v>
      </c>
      <c r="Q40" s="196" t="str" cm="1">
        <f t="array" ref="Q40">INDEX(Note!$I$3:$I$101,MATCH(1,(Note!$A$3:$A$101=$A40)*(Note!$C$3:$C$101=$B40)*(Note!$E$3:$E$101&lt;=Q$1)*(Note!$F$3:$F$101&gt;=Q$2),0))</f>
        <v>Quý</v>
      </c>
      <c r="R40" s="196" t="str" cm="1">
        <f t="array" ref="R40">INDEX(Note!$I$3:$I$101,MATCH(1,(Note!$A$3:$A$101=$A40)*(Note!$C$3:$C$101=$B40)*(Note!$E$3:$E$101&lt;=R$1)*(Note!$F$3:$F$101&gt;=R$2),0))</f>
        <v>Quý</v>
      </c>
      <c r="S40" s="196" t="str" cm="1">
        <f t="array" ref="S40">INDEX(Note!$I$3:$I$101,MATCH(1,(Note!$A$3:$A$101=$A40)*(Note!$C$3:$C$101=$B40)*(Note!$E$3:$E$101&lt;=S$1)*(Note!$F$3:$F$101&gt;=S$2),0))</f>
        <v>Quý</v>
      </c>
      <c r="T40" s="196" t="str" cm="1">
        <f t="array" ref="T40">INDEX(Note!$I$3:$I$101,MATCH(1,(Note!$A$3:$A$101=$A40)*(Note!$C$3:$C$101=$B40)*(Note!$E$3:$E$101&lt;=T$1)*(Note!$F$3:$F$101&gt;=T$2),0))</f>
        <v>Quý</v>
      </c>
      <c r="U40" s="196" t="str" cm="1">
        <f t="array" ref="U40">INDEX(Note!$I$3:$I$101,MATCH(1,(Note!$A$3:$A$101=$A40)*(Note!$C$3:$C$101=$B40)*(Note!$E$3:$E$101&lt;=U$1)*(Note!$F$3:$F$101&gt;=U$2),0))</f>
        <v>Quý</v>
      </c>
      <c r="V40" s="196" t="str" cm="1">
        <f t="array" ref="V40">INDEX(Note!$I$3:$I$101,MATCH(1,(Note!$A$3:$A$101=$A40)*(Note!$C$3:$C$101=$B40)*(Note!$E$3:$E$101&lt;=V$1)*(Note!$F$3:$F$101&gt;=V$2),0))</f>
        <v>Quý</v>
      </c>
      <c r="W40" s="196" t="str" cm="1">
        <f t="array" ref="W40">INDEX(Note!$I$3:$I$101,MATCH(1,(Note!$A$3:$A$101=$A40)*(Note!$C$3:$C$101=$B40)*(Note!$E$3:$E$101&lt;=W$1)*(Note!$F$3:$F$101&gt;=W$2),0))</f>
        <v>Quý</v>
      </c>
      <c r="X40" s="196" t="str" cm="1">
        <f t="array" ref="X40">INDEX(Note!$I$3:$I$101,MATCH(1,(Note!$A$3:$A$101=$A40)*(Note!$C$3:$C$101=$B40)*(Note!$E$3:$E$101&lt;=X$1)*(Note!$F$3:$F$101&gt;=X$2),0))</f>
        <v>Quý</v>
      </c>
      <c r="Y40" s="196" t="str" cm="1">
        <f t="array" ref="Y40">INDEX(Note!$I$3:$I$101,MATCH(1,(Note!$A$3:$A$101=$A40)*(Note!$C$3:$C$101=$B40)*(Note!$E$3:$E$101&lt;=Y$1)*(Note!$F$3:$F$101&gt;=Y$2),0))</f>
        <v>Quý</v>
      </c>
      <c r="Z40" s="197" t="str" cm="1">
        <f t="array" ref="Z40">INDEX(Note!$I$3:$I$101,MATCH(1,(Note!$A$3:$A$101=$A40)*(Note!$C$3:$C$101=$B40)*(Note!$E$3:$E$101&lt;=Z$1)*(Note!$F$3:$F$101&gt;=Z$2),0))</f>
        <v>Quý</v>
      </c>
      <c r="AA40" s="196" t="str" cm="1">
        <f t="array" ref="AA40">INDEX(Note!$I$3:$I$101,MATCH(1,(Note!$A$3:$A$101=$A40)*(Note!$C$3:$C$101=$B40)*(Note!$E$3:$E$101&lt;=AA$1)*(Note!$F$3:$F$101&gt;=AA$2),0))</f>
        <v>Năm</v>
      </c>
      <c r="AB40" s="196" t="str" cm="1">
        <f t="array" ref="AB40">INDEX(Note!$I$3:$I$101,MATCH(1,(Note!$A$3:$A$101=$A40)*(Note!$C$3:$C$101=$B40)*(Note!$E$3:$E$101&lt;=AB$1)*(Note!$F$3:$F$101&gt;=AB$2),0))</f>
        <v>Năm</v>
      </c>
      <c r="AC40" s="196" t="str" cm="1">
        <f t="array" ref="AC40">INDEX(Note!$I$3:$I$101,MATCH(1,(Note!$A$3:$A$101=$A40)*(Note!$C$3:$C$101=$B40)*(Note!$E$3:$E$101&lt;=AC$1)*(Note!$F$3:$F$101&gt;=AC$2),0))</f>
        <v>Năm</v>
      </c>
      <c r="AD40" s="196" t="str" cm="1">
        <f t="array" ref="AD40">INDEX(Note!$I$3:$I$101,MATCH(1,(Note!$A$3:$A$101=$A40)*(Note!$C$3:$C$101=$B40)*(Note!$E$3:$E$101&lt;=AD$1)*(Note!$F$3:$F$101&gt;=AD$2),0))</f>
        <v>Năm</v>
      </c>
      <c r="AE40" s="196" t="str" cm="1">
        <f t="array" ref="AE40">INDEX(Note!$I$3:$I$101,MATCH(1,(Note!$A$3:$A$101=$A40)*(Note!$C$3:$C$101=$B40)*(Note!$E$3:$E$101&lt;=AE$1)*(Note!$F$3:$F$101&gt;=AE$2),0))</f>
        <v>Năm</v>
      </c>
      <c r="AF40" s="196" t="str" cm="1">
        <f t="array" ref="AF40">INDEX(Note!$I$3:$I$101,MATCH(1,(Note!$A$3:$A$101=$A40)*(Note!$C$3:$C$101=$B40)*(Note!$E$3:$E$101&lt;=AF$1)*(Note!$F$3:$F$101&gt;=AF$2),0))</f>
        <v>Năm</v>
      </c>
      <c r="AG40" s="196" t="str" cm="1">
        <f t="array" ref="AG40">INDEX(Note!$I$3:$I$101,MATCH(1,(Note!$A$3:$A$101=$A40)*(Note!$C$3:$C$101=$B40)*(Note!$E$3:$E$101&lt;=AG$1)*(Note!$F$3:$F$101&gt;=AG$2),0))</f>
        <v>Năm</v>
      </c>
      <c r="AH40" s="196" t="str" cm="1">
        <f t="array" ref="AH40">INDEX(Note!$I$3:$I$101,MATCH(1,(Note!$A$3:$A$101=$A40)*(Note!$C$3:$C$101=$B40)*(Note!$E$3:$E$101&lt;=AH$1)*(Note!$F$3:$F$101&gt;=AH$2),0))</f>
        <v>Năm</v>
      </c>
      <c r="AI40" s="196" t="str" cm="1">
        <f t="array" ref="AI40">INDEX(Note!$I$3:$I$101,MATCH(1,(Note!$A$3:$A$101=$A40)*(Note!$C$3:$C$101=$B40)*(Note!$E$3:$E$101&lt;=AI$1)*(Note!$F$3:$F$101&gt;=AI$2),0))</f>
        <v>Năm</v>
      </c>
      <c r="AJ40" s="196" t="str" cm="1">
        <f t="array" ref="AJ40">INDEX(Note!$I$3:$I$101,MATCH(1,(Note!$A$3:$A$101=$A40)*(Note!$C$3:$C$101=$B40)*(Note!$E$3:$E$101&lt;=AJ$1)*(Note!$F$3:$F$101&gt;=AJ$2),0))</f>
        <v>Năm</v>
      </c>
      <c r="AK40" s="196" t="str" cm="1">
        <f t="array" ref="AK40">INDEX(Note!$I$3:$I$101,MATCH(1,(Note!$A$3:$A$101=$A40)*(Note!$C$3:$C$101=$B40)*(Note!$E$3:$E$101&lt;=AK$1)*(Note!$F$3:$F$101&gt;=AK$2),0))</f>
        <v>Năm</v>
      </c>
      <c r="AL40" s="197" t="str" cm="1">
        <f t="array" ref="AL40">INDEX(Note!$I$3:$I$101,MATCH(1,(Note!$A$3:$A$101=$A40)*(Note!$C$3:$C$101=$B40)*(Note!$E$3:$E$101&lt;=AL$1)*(Note!$F$3:$F$101&gt;=AL$2),0))</f>
        <v>Năm</v>
      </c>
    </row>
    <row r="41" spans="1:38" s="188" customFormat="1" outlineLevel="1" x14ac:dyDescent="0.35">
      <c r="A41" s="188" t="s">
        <v>64</v>
      </c>
      <c r="B41" s="188" t="s">
        <v>15</v>
      </c>
      <c r="F41" s="225" t="s">
        <v>263</v>
      </c>
      <c r="G41" s="193"/>
      <c r="H41" s="193"/>
      <c r="I41" s="193"/>
      <c r="J41" s="193" t="s">
        <v>203</v>
      </c>
      <c r="K41" s="189"/>
      <c r="L41" s="202"/>
      <c r="M41" s="202"/>
      <c r="N41" s="202"/>
      <c r="O41" s="201" cm="1">
        <f t="array" ref="O41">SUMPRODUCT(General_Data*(Year=O$3)*(Month=O$4)*(Code_General_Data=$B41))</f>
        <v>1250</v>
      </c>
      <c r="P41" s="202" cm="1">
        <f t="array" ref="P41">SUMPRODUCT(General_Data*(Year=P$3)*(Month=P$4)*(Code_General_Data=$B41))</f>
        <v>1250</v>
      </c>
      <c r="Q41" s="202" cm="1">
        <f t="array" ref="Q41">SUMPRODUCT(General_Data*(Year=Q$3)*(Month=Q$4)*(Code_General_Data=$B41))</f>
        <v>1250</v>
      </c>
      <c r="R41" s="202" cm="1">
        <f t="array" ref="R41">SUMPRODUCT(General_Data*(Year=R$3)*(Month=R$4)*(Code_General_Data=$B41))</f>
        <v>1250</v>
      </c>
      <c r="S41" s="202" cm="1">
        <f t="array" ref="S41">SUMPRODUCT(General_Data*(Year=S$3)*(Month=S$4)*(Code_General_Data=$B41))</f>
        <v>1300</v>
      </c>
      <c r="T41" s="202" cm="1">
        <f t="array" ref="T41">SUMPRODUCT(General_Data*(Year=T$3)*(Month=T$4)*(Code_General_Data=$B41))</f>
        <v>1300</v>
      </c>
      <c r="U41" s="202" cm="1">
        <f t="array" ref="U41">SUMPRODUCT(General_Data*(Year=U$3)*(Month=U$4)*(Code_General_Data=$B41))</f>
        <v>1300</v>
      </c>
      <c r="V41" s="202" cm="1">
        <f t="array" ref="V41">SUMPRODUCT(General_Data*(Year=V$3)*(Month=V$4)*(Code_General_Data=$B41))</f>
        <v>1300</v>
      </c>
      <c r="W41" s="202" cm="1">
        <f t="array" ref="W41">SUMPRODUCT(General_Data*(Year=W$3)*(Month=W$4)*(Code_General_Data=$B41))</f>
        <v>1310</v>
      </c>
      <c r="X41" s="202" cm="1">
        <f t="array" ref="X41">SUMPRODUCT(General_Data*(Year=X$3)*(Month=X$4)*(Code_General_Data=$B41))</f>
        <v>1325</v>
      </c>
      <c r="Y41" s="202" cm="1">
        <f t="array" ref="Y41">SUMPRODUCT(General_Data*(Year=Y$3)*(Month=Y$4)*(Code_General_Data=$B41))</f>
        <v>1325</v>
      </c>
      <c r="Z41" s="203" cm="1">
        <f t="array" ref="Z41">SUMPRODUCT(General_Data*(Year=Z$3)*(Month=Z$4)*(Code_General_Data=$B41))</f>
        <v>1275</v>
      </c>
      <c r="AA41" s="202" cm="1">
        <f t="array" ref="AA41">SUMPRODUCT(General_Data*(Year=AA$3)*(Month=AA$4)*(Code_General_Data=$B41))</f>
        <v>1230</v>
      </c>
      <c r="AB41" s="202" cm="1">
        <f t="array" ref="AB41">SUMPRODUCT(General_Data*(Year=AB$3)*(Month=AB$4)*(Code_General_Data=$B41))</f>
        <v>1230</v>
      </c>
      <c r="AC41" s="202" cm="1">
        <f t="array" ref="AC41">SUMPRODUCT(General_Data*(Year=AC$3)*(Month=AC$4)*(Code_General_Data=$B41))</f>
        <v>1230</v>
      </c>
      <c r="AD41" s="202"/>
      <c r="AE41" s="202"/>
      <c r="AF41" s="202"/>
      <c r="AG41" s="202"/>
      <c r="AH41" s="202"/>
      <c r="AI41" s="202"/>
      <c r="AJ41" s="202"/>
      <c r="AK41" s="202"/>
      <c r="AL41" s="203"/>
    </row>
    <row r="42" spans="1:38" s="188" customFormat="1" ht="6.65" customHeight="1" x14ac:dyDescent="0.35">
      <c r="F42" s="304"/>
      <c r="G42" s="305"/>
      <c r="H42" s="305"/>
      <c r="I42" s="305"/>
      <c r="J42" s="305"/>
      <c r="K42" s="189"/>
      <c r="L42" s="306"/>
      <c r="M42" s="306"/>
      <c r="N42" s="306"/>
      <c r="O42" s="307"/>
      <c r="P42" s="306"/>
      <c r="Q42" s="306"/>
      <c r="R42" s="306"/>
      <c r="S42" s="306"/>
      <c r="T42" s="306"/>
      <c r="U42" s="306"/>
      <c r="V42" s="306"/>
      <c r="W42" s="306"/>
      <c r="X42" s="306"/>
      <c r="Y42" s="306"/>
      <c r="Z42" s="308"/>
      <c r="AA42" s="306"/>
      <c r="AB42" s="306"/>
      <c r="AC42" s="306"/>
      <c r="AD42" s="306"/>
      <c r="AE42" s="306"/>
      <c r="AF42" s="306"/>
      <c r="AG42" s="306"/>
      <c r="AH42" s="306"/>
      <c r="AI42" s="306"/>
      <c r="AJ42" s="306"/>
      <c r="AK42" s="306"/>
      <c r="AL42" s="308"/>
    </row>
    <row r="43" spans="1:38" s="183" customFormat="1" ht="17" x14ac:dyDescent="0.35">
      <c r="A43" s="183" t="s">
        <v>64</v>
      </c>
      <c r="B43" s="183" t="s">
        <v>24</v>
      </c>
      <c r="D43" s="183" t="s">
        <v>322</v>
      </c>
      <c r="F43" s="220">
        <v>2.2000000000000002</v>
      </c>
      <c r="G43" s="190"/>
      <c r="H43" s="190" t="s">
        <v>209</v>
      </c>
      <c r="I43" s="190"/>
      <c r="J43" s="190"/>
      <c r="L43" s="190"/>
      <c r="M43" s="190"/>
      <c r="N43" s="190"/>
      <c r="O43" s="216">
        <f>ROUND(SUM(O44:O50),-1)</f>
        <v>1500</v>
      </c>
      <c r="P43" s="217">
        <f>ROUND(SUM(P44:P50),-1)</f>
        <v>1500</v>
      </c>
      <c r="Q43" s="217">
        <f>ROUND(SUM(Q44:Q50),-1)</f>
        <v>1500</v>
      </c>
      <c r="R43" s="217">
        <f t="shared" ref="R43:AL43" si="15">ROUND(SUM(R44:R50),-1)</f>
        <v>1430</v>
      </c>
      <c r="S43" s="217">
        <f t="shared" si="15"/>
        <v>1430</v>
      </c>
      <c r="T43" s="217">
        <f t="shared" si="15"/>
        <v>1430</v>
      </c>
      <c r="U43" s="217">
        <f t="shared" si="15"/>
        <v>1430</v>
      </c>
      <c r="V43" s="217">
        <f t="shared" si="15"/>
        <v>1430</v>
      </c>
      <c r="W43" s="217">
        <f t="shared" si="15"/>
        <v>1430</v>
      </c>
      <c r="X43" s="217">
        <f t="shared" si="15"/>
        <v>1430</v>
      </c>
      <c r="Y43" s="217">
        <f t="shared" si="15"/>
        <v>1430</v>
      </c>
      <c r="Z43" s="218">
        <f t="shared" si="15"/>
        <v>1430</v>
      </c>
      <c r="AA43" s="216">
        <f t="shared" si="15"/>
        <v>1400</v>
      </c>
      <c r="AB43" s="217">
        <f t="shared" si="15"/>
        <v>1400</v>
      </c>
      <c r="AC43" s="217">
        <f t="shared" si="15"/>
        <v>1400</v>
      </c>
      <c r="AD43" s="217">
        <f t="shared" si="15"/>
        <v>1400</v>
      </c>
      <c r="AE43" s="217">
        <f t="shared" si="15"/>
        <v>1400</v>
      </c>
      <c r="AF43" s="217">
        <f t="shared" si="15"/>
        <v>1400</v>
      </c>
      <c r="AG43" s="217">
        <f t="shared" si="15"/>
        <v>1400</v>
      </c>
      <c r="AH43" s="217">
        <f t="shared" si="15"/>
        <v>1400</v>
      </c>
      <c r="AI43" s="217">
        <f t="shared" si="15"/>
        <v>1400</v>
      </c>
      <c r="AJ43" s="217">
        <f t="shared" si="15"/>
        <v>1400</v>
      </c>
      <c r="AK43" s="217">
        <f t="shared" si="15"/>
        <v>1400</v>
      </c>
      <c r="AL43" s="218">
        <f t="shared" si="15"/>
        <v>1400</v>
      </c>
    </row>
    <row r="44" spans="1:38" s="96" customFormat="1" outlineLevel="1" x14ac:dyDescent="0.35">
      <c r="A44" s="96" t="s">
        <v>64</v>
      </c>
      <c r="B44" s="96" t="s">
        <v>24</v>
      </c>
      <c r="D44" s="97"/>
      <c r="F44" s="221" t="s">
        <v>232</v>
      </c>
      <c r="G44" s="26"/>
      <c r="H44" s="26" t="s">
        <v>41</v>
      </c>
      <c r="I44" s="26" t="s">
        <v>55</v>
      </c>
      <c r="J44" s="26"/>
      <c r="K44" s="12"/>
      <c r="L44" s="26"/>
      <c r="M44" s="26"/>
      <c r="N44" s="26"/>
      <c r="O44" s="213">
        <f>22500/O51*10^3</f>
        <v>918.36734693877554</v>
      </c>
      <c r="P44" s="214">
        <f>22500/P51*10^3</f>
        <v>918.36734693877554</v>
      </c>
      <c r="Q44" s="214">
        <f>22500/Q51*10^3</f>
        <v>918.36734693877554</v>
      </c>
      <c r="R44" s="214">
        <f>21000/R51*10^3</f>
        <v>857.14285714285711</v>
      </c>
      <c r="S44" s="214">
        <f t="shared" ref="S44:AL44" si="16">21000/S51*10^3</f>
        <v>857.14285714285711</v>
      </c>
      <c r="T44" s="214">
        <f t="shared" si="16"/>
        <v>857.14285714285711</v>
      </c>
      <c r="U44" s="214">
        <f t="shared" si="16"/>
        <v>840</v>
      </c>
      <c r="V44" s="214">
        <f t="shared" si="16"/>
        <v>840</v>
      </c>
      <c r="W44" s="214">
        <f t="shared" si="16"/>
        <v>840</v>
      </c>
      <c r="X44" s="214">
        <f t="shared" si="16"/>
        <v>840</v>
      </c>
      <c r="Y44" s="214">
        <f t="shared" si="16"/>
        <v>840</v>
      </c>
      <c r="Z44" s="215">
        <f t="shared" si="16"/>
        <v>840</v>
      </c>
      <c r="AA44" s="213">
        <f t="shared" si="16"/>
        <v>840</v>
      </c>
      <c r="AB44" s="214">
        <f t="shared" si="16"/>
        <v>840</v>
      </c>
      <c r="AC44" s="214">
        <f t="shared" si="16"/>
        <v>840</v>
      </c>
      <c r="AD44" s="214">
        <f t="shared" si="16"/>
        <v>840</v>
      </c>
      <c r="AE44" s="214">
        <f t="shared" si="16"/>
        <v>840</v>
      </c>
      <c r="AF44" s="214">
        <f t="shared" si="16"/>
        <v>840</v>
      </c>
      <c r="AG44" s="214">
        <f t="shared" si="16"/>
        <v>840</v>
      </c>
      <c r="AH44" s="214">
        <f t="shared" si="16"/>
        <v>840</v>
      </c>
      <c r="AI44" s="214">
        <f t="shared" si="16"/>
        <v>840</v>
      </c>
      <c r="AJ44" s="214">
        <f t="shared" si="16"/>
        <v>840</v>
      </c>
      <c r="AK44" s="214">
        <f t="shared" si="16"/>
        <v>840</v>
      </c>
      <c r="AL44" s="215">
        <f t="shared" si="16"/>
        <v>840</v>
      </c>
    </row>
    <row r="45" spans="1:38" s="96" customFormat="1" outlineLevel="1" x14ac:dyDescent="0.35">
      <c r="A45" s="96" t="s">
        <v>64</v>
      </c>
      <c r="B45" s="96" t="s">
        <v>24</v>
      </c>
      <c r="D45" s="97"/>
      <c r="F45" s="221" t="s">
        <v>233</v>
      </c>
      <c r="G45" s="26"/>
      <c r="H45" s="26" t="s">
        <v>41</v>
      </c>
      <c r="I45" s="26" t="s">
        <v>56</v>
      </c>
      <c r="J45" s="26"/>
      <c r="K45" s="12"/>
      <c r="L45" s="26"/>
      <c r="M45" s="26"/>
      <c r="N45" s="26"/>
      <c r="O45" s="213">
        <f>O44*O52</f>
        <v>195.33673469387756</v>
      </c>
      <c r="P45" s="214">
        <f t="shared" ref="P45:AL45" si="17">P44*P52</f>
        <v>195.33673469387756</v>
      </c>
      <c r="Q45" s="214">
        <f t="shared" si="17"/>
        <v>195.33673469387756</v>
      </c>
      <c r="R45" s="214">
        <f t="shared" si="17"/>
        <v>182.31428571428572</v>
      </c>
      <c r="S45" s="214">
        <f t="shared" si="17"/>
        <v>182.31428571428572</v>
      </c>
      <c r="T45" s="214">
        <f t="shared" si="17"/>
        <v>182.31428571428572</v>
      </c>
      <c r="U45" s="214">
        <f t="shared" si="17"/>
        <v>178.66800000000001</v>
      </c>
      <c r="V45" s="214">
        <f t="shared" si="17"/>
        <v>178.66800000000001</v>
      </c>
      <c r="W45" s="214">
        <f t="shared" si="17"/>
        <v>178.66800000000001</v>
      </c>
      <c r="X45" s="214">
        <f t="shared" si="17"/>
        <v>178.66800000000001</v>
      </c>
      <c r="Y45" s="214">
        <f t="shared" si="17"/>
        <v>178.66800000000001</v>
      </c>
      <c r="Z45" s="215">
        <f t="shared" si="17"/>
        <v>178.66800000000001</v>
      </c>
      <c r="AA45" s="213">
        <f t="shared" si="17"/>
        <v>178.66800000000001</v>
      </c>
      <c r="AB45" s="214">
        <f t="shared" si="17"/>
        <v>178.66800000000001</v>
      </c>
      <c r="AC45" s="214">
        <f t="shared" si="17"/>
        <v>178.66800000000001</v>
      </c>
      <c r="AD45" s="214">
        <f t="shared" si="17"/>
        <v>178.66800000000001</v>
      </c>
      <c r="AE45" s="214">
        <f t="shared" si="17"/>
        <v>178.66800000000001</v>
      </c>
      <c r="AF45" s="214">
        <f t="shared" si="17"/>
        <v>178.66800000000001</v>
      </c>
      <c r="AG45" s="214">
        <f t="shared" si="17"/>
        <v>178.66800000000001</v>
      </c>
      <c r="AH45" s="214">
        <f t="shared" si="17"/>
        <v>178.66800000000001</v>
      </c>
      <c r="AI45" s="214">
        <f t="shared" si="17"/>
        <v>178.66800000000001</v>
      </c>
      <c r="AJ45" s="214">
        <f t="shared" si="17"/>
        <v>178.66800000000001</v>
      </c>
      <c r="AK45" s="214">
        <f t="shared" si="17"/>
        <v>178.66800000000001</v>
      </c>
      <c r="AL45" s="215">
        <f t="shared" si="17"/>
        <v>178.66800000000001</v>
      </c>
    </row>
    <row r="46" spans="1:38" s="96" customFormat="1" outlineLevel="1" x14ac:dyDescent="0.35">
      <c r="A46" s="96" t="s">
        <v>64</v>
      </c>
      <c r="B46" s="96" t="s">
        <v>24</v>
      </c>
      <c r="D46" s="97"/>
      <c r="F46" s="221" t="s">
        <v>234</v>
      </c>
      <c r="G46" s="26"/>
      <c r="H46" s="26" t="s">
        <v>41</v>
      </c>
      <c r="I46" s="26" t="s">
        <v>57</v>
      </c>
      <c r="J46" s="26"/>
      <c r="K46" s="12"/>
      <c r="L46" s="26"/>
      <c r="M46" s="26"/>
      <c r="N46" s="26"/>
      <c r="O46" s="213">
        <f>8720.586/O51*10^3</f>
        <v>355.94228571428573</v>
      </c>
      <c r="P46" s="214">
        <f t="shared" ref="P46:AL46" si="18">8720.586/P51*10^3</f>
        <v>355.94228571428573</v>
      </c>
      <c r="Q46" s="214">
        <f t="shared" si="18"/>
        <v>355.94228571428573</v>
      </c>
      <c r="R46" s="214">
        <f t="shared" si="18"/>
        <v>355.94228571428573</v>
      </c>
      <c r="S46" s="214">
        <f t="shared" si="18"/>
        <v>355.94228571428573</v>
      </c>
      <c r="T46" s="214">
        <f t="shared" si="18"/>
        <v>355.94228571428573</v>
      </c>
      <c r="U46" s="214">
        <f t="shared" si="18"/>
        <v>348.82344000000001</v>
      </c>
      <c r="V46" s="214">
        <f t="shared" si="18"/>
        <v>348.82344000000001</v>
      </c>
      <c r="W46" s="214">
        <f t="shared" si="18"/>
        <v>348.82344000000001</v>
      </c>
      <c r="X46" s="214">
        <f t="shared" si="18"/>
        <v>348.82344000000001</v>
      </c>
      <c r="Y46" s="214">
        <f t="shared" si="18"/>
        <v>348.82344000000001</v>
      </c>
      <c r="Z46" s="215">
        <f t="shared" si="18"/>
        <v>348.82344000000001</v>
      </c>
      <c r="AA46" s="213">
        <f t="shared" si="18"/>
        <v>348.82344000000001</v>
      </c>
      <c r="AB46" s="214">
        <f t="shared" si="18"/>
        <v>348.82344000000001</v>
      </c>
      <c r="AC46" s="214">
        <f t="shared" si="18"/>
        <v>348.82344000000001</v>
      </c>
      <c r="AD46" s="214">
        <f t="shared" si="18"/>
        <v>348.82344000000001</v>
      </c>
      <c r="AE46" s="214">
        <f t="shared" si="18"/>
        <v>348.82344000000001</v>
      </c>
      <c r="AF46" s="214">
        <f t="shared" si="18"/>
        <v>348.82344000000001</v>
      </c>
      <c r="AG46" s="214">
        <f t="shared" si="18"/>
        <v>348.82344000000001</v>
      </c>
      <c r="AH46" s="214">
        <f t="shared" si="18"/>
        <v>348.82344000000001</v>
      </c>
      <c r="AI46" s="214">
        <f t="shared" si="18"/>
        <v>348.82344000000001</v>
      </c>
      <c r="AJ46" s="214">
        <f t="shared" si="18"/>
        <v>348.82344000000001</v>
      </c>
      <c r="AK46" s="214">
        <f t="shared" si="18"/>
        <v>348.82344000000001</v>
      </c>
      <c r="AL46" s="215">
        <f t="shared" si="18"/>
        <v>348.82344000000001</v>
      </c>
    </row>
    <row r="47" spans="1:38" s="96" customFormat="1" outlineLevel="1" x14ac:dyDescent="0.35">
      <c r="A47" s="96" t="s">
        <v>64</v>
      </c>
      <c r="B47" s="96" t="s">
        <v>24</v>
      </c>
      <c r="D47" s="97"/>
      <c r="F47" s="221" t="s">
        <v>235</v>
      </c>
      <c r="G47" s="26"/>
      <c r="H47" s="26" t="s">
        <v>41</v>
      </c>
      <c r="I47" s="26" t="s">
        <v>50</v>
      </c>
      <c r="J47" s="26"/>
      <c r="K47" s="12"/>
      <c r="L47" s="26"/>
      <c r="M47" s="26"/>
      <c r="N47" s="26"/>
      <c r="O47" s="213">
        <f>299/O51*10^3</f>
        <v>12.204081632653061</v>
      </c>
      <c r="P47" s="214">
        <f t="shared" ref="P47:AL47" si="19">299/P51*10^3</f>
        <v>12.204081632653061</v>
      </c>
      <c r="Q47" s="214">
        <f t="shared" si="19"/>
        <v>12.204081632653061</v>
      </c>
      <c r="R47" s="214">
        <f t="shared" si="19"/>
        <v>12.204081632653061</v>
      </c>
      <c r="S47" s="214">
        <f t="shared" si="19"/>
        <v>12.204081632653061</v>
      </c>
      <c r="T47" s="214">
        <f t="shared" si="19"/>
        <v>12.204081632653061</v>
      </c>
      <c r="U47" s="214">
        <f t="shared" si="19"/>
        <v>11.96</v>
      </c>
      <c r="V47" s="214">
        <f t="shared" si="19"/>
        <v>11.96</v>
      </c>
      <c r="W47" s="214">
        <f t="shared" si="19"/>
        <v>11.96</v>
      </c>
      <c r="X47" s="214">
        <f t="shared" si="19"/>
        <v>11.96</v>
      </c>
      <c r="Y47" s="214">
        <f t="shared" si="19"/>
        <v>11.96</v>
      </c>
      <c r="Z47" s="215">
        <f t="shared" si="19"/>
        <v>11.96</v>
      </c>
      <c r="AA47" s="213">
        <f t="shared" si="19"/>
        <v>11.96</v>
      </c>
      <c r="AB47" s="214">
        <f t="shared" si="19"/>
        <v>11.96</v>
      </c>
      <c r="AC47" s="214">
        <f t="shared" si="19"/>
        <v>11.96</v>
      </c>
      <c r="AD47" s="214">
        <f t="shared" si="19"/>
        <v>11.96</v>
      </c>
      <c r="AE47" s="214">
        <f t="shared" si="19"/>
        <v>11.96</v>
      </c>
      <c r="AF47" s="214">
        <f t="shared" si="19"/>
        <v>11.96</v>
      </c>
      <c r="AG47" s="214">
        <f t="shared" si="19"/>
        <v>11.96</v>
      </c>
      <c r="AH47" s="214">
        <f t="shared" si="19"/>
        <v>11.96</v>
      </c>
      <c r="AI47" s="214">
        <f t="shared" si="19"/>
        <v>11.96</v>
      </c>
      <c r="AJ47" s="214">
        <f t="shared" si="19"/>
        <v>11.96</v>
      </c>
      <c r="AK47" s="214">
        <f t="shared" si="19"/>
        <v>11.96</v>
      </c>
      <c r="AL47" s="215">
        <f t="shared" si="19"/>
        <v>11.96</v>
      </c>
    </row>
    <row r="48" spans="1:38" s="96" customFormat="1" outlineLevel="1" x14ac:dyDescent="0.35">
      <c r="A48" s="96" t="s">
        <v>64</v>
      </c>
      <c r="B48" s="96" t="s">
        <v>24</v>
      </c>
      <c r="D48" s="97"/>
      <c r="F48" s="221" t="s">
        <v>236</v>
      </c>
      <c r="G48" s="26"/>
      <c r="H48" s="26" t="s">
        <v>41</v>
      </c>
      <c r="I48" s="26" t="s">
        <v>58</v>
      </c>
      <c r="J48" s="26"/>
      <c r="K48" s="12"/>
      <c r="L48" s="26"/>
      <c r="M48" s="26"/>
      <c r="N48" s="26"/>
      <c r="O48" s="213">
        <f>1248/O51*10^3</f>
        <v>50.938775510204081</v>
      </c>
      <c r="P48" s="214">
        <f t="shared" ref="P48:AL48" si="20">1248/P51*10^3</f>
        <v>50.938775510204081</v>
      </c>
      <c r="Q48" s="214">
        <f t="shared" si="20"/>
        <v>50.938775510204081</v>
      </c>
      <c r="R48" s="214">
        <f t="shared" si="20"/>
        <v>50.938775510204081</v>
      </c>
      <c r="S48" s="214">
        <f t="shared" si="20"/>
        <v>50.938775510204081</v>
      </c>
      <c r="T48" s="214">
        <f t="shared" si="20"/>
        <v>50.938775510204081</v>
      </c>
      <c r="U48" s="214">
        <f t="shared" si="20"/>
        <v>49.92</v>
      </c>
      <c r="V48" s="214">
        <f t="shared" si="20"/>
        <v>49.92</v>
      </c>
      <c r="W48" s="214">
        <f t="shared" si="20"/>
        <v>49.92</v>
      </c>
      <c r="X48" s="214">
        <f t="shared" si="20"/>
        <v>49.92</v>
      </c>
      <c r="Y48" s="214">
        <f t="shared" si="20"/>
        <v>49.92</v>
      </c>
      <c r="Z48" s="215">
        <f t="shared" si="20"/>
        <v>49.92</v>
      </c>
      <c r="AA48" s="213">
        <f t="shared" si="20"/>
        <v>49.92</v>
      </c>
      <c r="AB48" s="214">
        <f t="shared" si="20"/>
        <v>49.92</v>
      </c>
      <c r="AC48" s="214">
        <f t="shared" si="20"/>
        <v>49.92</v>
      </c>
      <c r="AD48" s="214">
        <f t="shared" si="20"/>
        <v>49.92</v>
      </c>
      <c r="AE48" s="214">
        <f t="shared" si="20"/>
        <v>49.92</v>
      </c>
      <c r="AF48" s="214">
        <f t="shared" si="20"/>
        <v>49.92</v>
      </c>
      <c r="AG48" s="214">
        <f t="shared" si="20"/>
        <v>49.92</v>
      </c>
      <c r="AH48" s="214">
        <f t="shared" si="20"/>
        <v>49.92</v>
      </c>
      <c r="AI48" s="214">
        <f t="shared" si="20"/>
        <v>49.92</v>
      </c>
      <c r="AJ48" s="214">
        <f t="shared" si="20"/>
        <v>49.92</v>
      </c>
      <c r="AK48" s="214">
        <f t="shared" si="20"/>
        <v>49.92</v>
      </c>
      <c r="AL48" s="215">
        <f t="shared" si="20"/>
        <v>49.92</v>
      </c>
    </row>
    <row r="49" spans="1:38" s="96" customFormat="1" outlineLevel="1" x14ac:dyDescent="0.35">
      <c r="A49" s="96" t="s">
        <v>64</v>
      </c>
      <c r="B49" s="96" t="s">
        <v>24</v>
      </c>
      <c r="D49" s="97"/>
      <c r="F49" s="221" t="s">
        <v>237</v>
      </c>
      <c r="G49" s="26"/>
      <c r="H49" s="26" t="s">
        <v>41</v>
      </c>
      <c r="I49" s="26" t="s">
        <v>59</v>
      </c>
      <c r="J49" s="26"/>
      <c r="K49" s="12"/>
      <c r="L49" s="26"/>
      <c r="M49" s="26"/>
      <c r="N49" s="26"/>
      <c r="O49" s="213">
        <f>8%*SUM(O44:O48)*2/12</f>
        <v>20.437189659863947</v>
      </c>
      <c r="P49" s="214">
        <f>8%*SUM(P44:P48)*2/12</f>
        <v>20.437189659863947</v>
      </c>
      <c r="Q49" s="214">
        <f>8%*SUM(Q44:Q48)*2/12</f>
        <v>20.437189659863947</v>
      </c>
      <c r="R49" s="214">
        <f t="shared" ref="R49:AL49" si="21">8%*SUM(R44:R48)*2/12</f>
        <v>19.447230476190473</v>
      </c>
      <c r="S49" s="214">
        <f t="shared" si="21"/>
        <v>19.447230476190473</v>
      </c>
      <c r="T49" s="214">
        <f t="shared" si="21"/>
        <v>19.447230476190473</v>
      </c>
      <c r="U49" s="214">
        <f t="shared" si="21"/>
        <v>19.058285866666669</v>
      </c>
      <c r="V49" s="214">
        <f t="shared" si="21"/>
        <v>19.058285866666669</v>
      </c>
      <c r="W49" s="214">
        <f t="shared" si="21"/>
        <v>19.058285866666669</v>
      </c>
      <c r="X49" s="214">
        <f t="shared" si="21"/>
        <v>19.058285866666669</v>
      </c>
      <c r="Y49" s="214">
        <f t="shared" si="21"/>
        <v>19.058285866666669</v>
      </c>
      <c r="Z49" s="215">
        <f t="shared" si="21"/>
        <v>19.058285866666669</v>
      </c>
      <c r="AA49" s="213">
        <f t="shared" si="21"/>
        <v>19.058285866666669</v>
      </c>
      <c r="AB49" s="214">
        <f t="shared" si="21"/>
        <v>19.058285866666669</v>
      </c>
      <c r="AC49" s="214">
        <f t="shared" si="21"/>
        <v>19.058285866666669</v>
      </c>
      <c r="AD49" s="214">
        <f t="shared" si="21"/>
        <v>19.058285866666669</v>
      </c>
      <c r="AE49" s="214">
        <f t="shared" si="21"/>
        <v>19.058285866666669</v>
      </c>
      <c r="AF49" s="214">
        <f t="shared" si="21"/>
        <v>19.058285866666669</v>
      </c>
      <c r="AG49" s="214">
        <f t="shared" si="21"/>
        <v>19.058285866666669</v>
      </c>
      <c r="AH49" s="214">
        <f t="shared" si="21"/>
        <v>19.058285866666669</v>
      </c>
      <c r="AI49" s="214">
        <f t="shared" si="21"/>
        <v>19.058285866666669</v>
      </c>
      <c r="AJ49" s="214">
        <f t="shared" si="21"/>
        <v>19.058285866666669</v>
      </c>
      <c r="AK49" s="214">
        <f t="shared" si="21"/>
        <v>19.058285866666669</v>
      </c>
      <c r="AL49" s="215">
        <f t="shared" si="21"/>
        <v>19.058285866666669</v>
      </c>
    </row>
    <row r="50" spans="1:38" s="96" customFormat="1" outlineLevel="1" x14ac:dyDescent="0.35">
      <c r="A50" s="96" t="s">
        <v>64</v>
      </c>
      <c r="B50" s="96" t="s">
        <v>24</v>
      </c>
      <c r="D50" s="97"/>
      <c r="F50" s="221" t="s">
        <v>238</v>
      </c>
      <c r="G50" s="26"/>
      <c r="H50" s="26" t="s">
        <v>41</v>
      </c>
      <c r="I50" s="26" t="s">
        <v>53</v>
      </c>
      <c r="J50" s="26"/>
      <c r="K50" s="12"/>
      <c r="L50" s="26"/>
      <c r="M50" s="26"/>
      <c r="N50" s="26"/>
      <c r="O50" s="213">
        <v>-50</v>
      </c>
      <c r="P50" s="214">
        <v>-50</v>
      </c>
      <c r="Q50" s="214">
        <v>-50</v>
      </c>
      <c r="R50" s="214">
        <v>-50</v>
      </c>
      <c r="S50" s="214">
        <v>-50</v>
      </c>
      <c r="T50" s="214">
        <v>-50</v>
      </c>
      <c r="U50" s="214">
        <v>-20</v>
      </c>
      <c r="V50" s="214">
        <v>-20</v>
      </c>
      <c r="W50" s="214">
        <v>-20</v>
      </c>
      <c r="X50" s="214">
        <v>-20</v>
      </c>
      <c r="Y50" s="214">
        <v>-20</v>
      </c>
      <c r="Z50" s="215">
        <v>-20</v>
      </c>
      <c r="AA50" s="213">
        <v>-50</v>
      </c>
      <c r="AB50" s="214">
        <v>-50</v>
      </c>
      <c r="AC50" s="214">
        <v>-50</v>
      </c>
      <c r="AD50" s="214">
        <v>-50</v>
      </c>
      <c r="AE50" s="214">
        <v>-50</v>
      </c>
      <c r="AF50" s="214">
        <v>-50</v>
      </c>
      <c r="AG50" s="214">
        <v>-50</v>
      </c>
      <c r="AH50" s="214">
        <v>-50</v>
      </c>
      <c r="AI50" s="214">
        <v>-50</v>
      </c>
      <c r="AJ50" s="214">
        <v>-50</v>
      </c>
      <c r="AK50" s="214">
        <v>-50</v>
      </c>
      <c r="AL50" s="215">
        <v>-50</v>
      </c>
    </row>
    <row r="51" spans="1:38" s="237" customFormat="1" outlineLevel="1" x14ac:dyDescent="0.35">
      <c r="A51" s="237" t="s">
        <v>64</v>
      </c>
      <c r="B51" s="237" t="s">
        <v>24</v>
      </c>
      <c r="F51" s="247" t="s">
        <v>239</v>
      </c>
      <c r="G51" s="238"/>
      <c r="H51" s="238"/>
      <c r="I51" s="238"/>
      <c r="J51" s="238" t="s">
        <v>60</v>
      </c>
      <c r="K51" s="239"/>
      <c r="L51" s="238"/>
      <c r="M51" s="238"/>
      <c r="N51" s="238"/>
      <c r="O51" s="240">
        <v>24500</v>
      </c>
      <c r="P51" s="241">
        <v>24500</v>
      </c>
      <c r="Q51" s="241">
        <v>24500</v>
      </c>
      <c r="R51" s="241">
        <v>24500</v>
      </c>
      <c r="S51" s="241">
        <v>24500</v>
      </c>
      <c r="T51" s="241">
        <v>24500</v>
      </c>
      <c r="U51" s="241">
        <v>25000</v>
      </c>
      <c r="V51" s="241">
        <v>25000</v>
      </c>
      <c r="W51" s="241">
        <v>25000</v>
      </c>
      <c r="X51" s="241">
        <v>25000</v>
      </c>
      <c r="Y51" s="241">
        <v>25000</v>
      </c>
      <c r="Z51" s="242">
        <v>25000</v>
      </c>
      <c r="AA51" s="240">
        <v>25000</v>
      </c>
      <c r="AB51" s="241">
        <v>25000</v>
      </c>
      <c r="AC51" s="241">
        <v>25000</v>
      </c>
      <c r="AD51" s="241">
        <v>25000</v>
      </c>
      <c r="AE51" s="241">
        <v>25000</v>
      </c>
      <c r="AF51" s="241">
        <v>25000</v>
      </c>
      <c r="AG51" s="241">
        <v>25000</v>
      </c>
      <c r="AH51" s="241">
        <v>25000</v>
      </c>
      <c r="AI51" s="241">
        <v>25000</v>
      </c>
      <c r="AJ51" s="241">
        <v>25000</v>
      </c>
      <c r="AK51" s="241">
        <v>25000</v>
      </c>
      <c r="AL51" s="242">
        <v>25000</v>
      </c>
    </row>
    <row r="52" spans="1:38" s="237" customFormat="1" outlineLevel="1" x14ac:dyDescent="0.35">
      <c r="A52" s="237" t="s">
        <v>64</v>
      </c>
      <c r="B52" s="237" t="s">
        <v>24</v>
      </c>
      <c r="F52" s="247" t="s">
        <v>240</v>
      </c>
      <c r="G52" s="238"/>
      <c r="H52" s="238"/>
      <c r="I52" s="238"/>
      <c r="J52" s="238" t="s">
        <v>61</v>
      </c>
      <c r="K52" s="239"/>
      <c r="L52" s="238"/>
      <c r="M52" s="238"/>
      <c r="N52" s="238"/>
      <c r="O52" s="243">
        <v>0.2127</v>
      </c>
      <c r="P52" s="244">
        <v>0.2127</v>
      </c>
      <c r="Q52" s="244">
        <v>0.2127</v>
      </c>
      <c r="R52" s="244">
        <v>0.2127</v>
      </c>
      <c r="S52" s="244">
        <v>0.2127</v>
      </c>
      <c r="T52" s="244">
        <v>0.2127</v>
      </c>
      <c r="U52" s="244">
        <v>0.2127</v>
      </c>
      <c r="V52" s="244">
        <v>0.2127</v>
      </c>
      <c r="W52" s="244">
        <v>0.2127</v>
      </c>
      <c r="X52" s="244">
        <v>0.2127</v>
      </c>
      <c r="Y52" s="244">
        <v>0.2127</v>
      </c>
      <c r="Z52" s="245">
        <v>0.2127</v>
      </c>
      <c r="AA52" s="243">
        <v>0.2127</v>
      </c>
      <c r="AB52" s="244">
        <v>0.2127</v>
      </c>
      <c r="AC52" s="244">
        <v>0.2127</v>
      </c>
      <c r="AD52" s="244">
        <v>0.2127</v>
      </c>
      <c r="AE52" s="244">
        <v>0.2127</v>
      </c>
      <c r="AF52" s="244">
        <v>0.2127</v>
      </c>
      <c r="AG52" s="244">
        <v>0.2127</v>
      </c>
      <c r="AH52" s="244">
        <v>0.2127</v>
      </c>
      <c r="AI52" s="244">
        <v>0.2127</v>
      </c>
      <c r="AJ52" s="244">
        <v>0.2127</v>
      </c>
      <c r="AK52" s="244">
        <v>0.2127</v>
      </c>
      <c r="AL52" s="245">
        <v>0.2127</v>
      </c>
    </row>
    <row r="53" spans="1:38" s="94" customFormat="1" outlineLevel="1" x14ac:dyDescent="0.35">
      <c r="A53" s="94" t="s">
        <v>64</v>
      </c>
      <c r="B53" s="94" t="s">
        <v>24</v>
      </c>
      <c r="D53" s="95" t="s">
        <v>162</v>
      </c>
      <c r="F53" s="226" t="s">
        <v>241</v>
      </c>
      <c r="G53" s="227"/>
      <c r="H53" s="227"/>
      <c r="I53" s="227" t="s">
        <v>8</v>
      </c>
      <c r="J53" s="227"/>
      <c r="K53" s="2"/>
      <c r="L53" s="227"/>
      <c r="M53" s="227"/>
      <c r="N53" s="227"/>
      <c r="O53" s="228">
        <f>O43-O47</f>
        <v>1487.795918367347</v>
      </c>
      <c r="P53" s="229">
        <f t="shared" ref="P53:AL53" si="22">P43-P47</f>
        <v>1487.795918367347</v>
      </c>
      <c r="Q53" s="229">
        <f t="shared" si="22"/>
        <v>1487.795918367347</v>
      </c>
      <c r="R53" s="229">
        <f t="shared" si="22"/>
        <v>1417.795918367347</v>
      </c>
      <c r="S53" s="229">
        <f t="shared" si="22"/>
        <v>1417.795918367347</v>
      </c>
      <c r="T53" s="229">
        <f t="shared" si="22"/>
        <v>1417.795918367347</v>
      </c>
      <c r="U53" s="229">
        <f t="shared" si="22"/>
        <v>1418.04</v>
      </c>
      <c r="V53" s="229">
        <f t="shared" si="22"/>
        <v>1418.04</v>
      </c>
      <c r="W53" s="229">
        <f t="shared" si="22"/>
        <v>1418.04</v>
      </c>
      <c r="X53" s="229">
        <f t="shared" si="22"/>
        <v>1418.04</v>
      </c>
      <c r="Y53" s="229">
        <f t="shared" si="22"/>
        <v>1418.04</v>
      </c>
      <c r="Z53" s="230">
        <f t="shared" si="22"/>
        <v>1418.04</v>
      </c>
      <c r="AA53" s="229">
        <f t="shared" si="22"/>
        <v>1388.04</v>
      </c>
      <c r="AB53" s="229">
        <f t="shared" si="22"/>
        <v>1388.04</v>
      </c>
      <c r="AC53" s="229">
        <f t="shared" si="22"/>
        <v>1388.04</v>
      </c>
      <c r="AD53" s="229">
        <f t="shared" si="22"/>
        <v>1388.04</v>
      </c>
      <c r="AE53" s="229">
        <f t="shared" si="22"/>
        <v>1388.04</v>
      </c>
      <c r="AF53" s="229">
        <f t="shared" si="22"/>
        <v>1388.04</v>
      </c>
      <c r="AG53" s="229">
        <f t="shared" si="22"/>
        <v>1388.04</v>
      </c>
      <c r="AH53" s="229">
        <f t="shared" si="22"/>
        <v>1388.04</v>
      </c>
      <c r="AI53" s="229">
        <f t="shared" si="22"/>
        <v>1388.04</v>
      </c>
      <c r="AJ53" s="229">
        <f t="shared" si="22"/>
        <v>1388.04</v>
      </c>
      <c r="AK53" s="229">
        <f t="shared" si="22"/>
        <v>1388.04</v>
      </c>
      <c r="AL53" s="230">
        <f t="shared" si="22"/>
        <v>1388.04</v>
      </c>
    </row>
    <row r="54" spans="1:38" s="96" customFormat="1" ht="79.400000000000006" customHeight="1" outlineLevel="1" x14ac:dyDescent="0.35">
      <c r="A54" s="96" t="s">
        <v>64</v>
      </c>
      <c r="B54" s="96" t="s">
        <v>24</v>
      </c>
      <c r="D54" s="97"/>
      <c r="F54" s="221" t="s">
        <v>242</v>
      </c>
      <c r="G54" s="26"/>
      <c r="H54" s="26"/>
      <c r="I54" s="26"/>
      <c r="J54" s="26" t="s">
        <v>45</v>
      </c>
      <c r="K54" s="12"/>
      <c r="L54" s="26"/>
      <c r="M54" s="26"/>
      <c r="N54" s="26"/>
      <c r="O54" s="88" t="str" cm="1">
        <f t="array" ref="O54">INDEX(Note!$G$3:$G$101,MATCH(1,(Note!$A$3:$A$101=$A54)*(Note!$C$3:$C$101=$B54)*(Note!$E$3:$E$101&lt;=O$1)*(Note!$F$3:$F$101&gt;=O$2),0))</f>
        <v>Giá Bales DTR Mua +% Hao Hụt + Conversion cost</v>
      </c>
      <c r="P54" s="27" t="str" cm="1">
        <f t="array" ref="P54">INDEX(Note!$G$3:$G$101,MATCH(1,(Note!$A$3:$A$101=$A54)*(Note!$C$3:$C$101=$B54)*(Note!$E$3:$E$101&lt;=P$1)*(Note!$F$3:$F$101&gt;=P$2),0))</f>
        <v>Giá Bales DTR Mua +% Hao Hụt + Conversion cost</v>
      </c>
      <c r="Q54" s="27" t="str" cm="1">
        <f t="array" ref="Q54">INDEX(Note!$G$3:$G$101,MATCH(1,(Note!$A$3:$A$101=$A54)*(Note!$C$3:$C$101=$B54)*(Note!$E$3:$E$101&lt;=Q$1)*(Note!$F$3:$F$101&gt;=Q$2),0))</f>
        <v>Giá Bales DTR Mua +% Hao Hụt + Conversion cost</v>
      </c>
      <c r="R54" s="27" t="str" cm="1">
        <f t="array" ref="R54">INDEX(Note!$G$3:$G$101,MATCH(1,(Note!$A$3:$A$101=$A54)*(Note!$C$3:$C$101=$B54)*(Note!$E$3:$E$101&lt;=R$1)*(Note!$F$3:$F$101&gt;=R$2),0))</f>
        <v>Giá Bales DTR Mua +% Hao Hụt + Conversion cost</v>
      </c>
      <c r="S54" s="27" t="str" cm="1">
        <f t="array" ref="S54">INDEX(Note!$G$3:$G$101,MATCH(1,(Note!$A$3:$A$101=$A54)*(Note!$C$3:$C$101=$B54)*(Note!$E$3:$E$101&lt;=S$1)*(Note!$F$3:$F$101&gt;=S$2),0))</f>
        <v>Giá Bales DTR Mua +% Hao Hụt + Conversion cost</v>
      </c>
      <c r="T54" s="27" t="str" cm="1">
        <f t="array" ref="T54">INDEX(Note!$G$3:$G$101,MATCH(1,(Note!$A$3:$A$101=$A54)*(Note!$C$3:$C$101=$B54)*(Note!$E$3:$E$101&lt;=T$1)*(Note!$F$3:$F$101&gt;=T$2),0))</f>
        <v>Giá Bales DTR Mua +% Hao Hụt + Conversion cost</v>
      </c>
      <c r="U54" s="27" t="str" cm="1">
        <f t="array" ref="U54">INDEX(Note!$G$3:$G$101,MATCH(1,(Note!$A$3:$A$101=$A54)*(Note!$C$3:$C$101=$B54)*(Note!$E$3:$E$101&lt;=U$1)*(Note!$F$3:$F$101&gt;=U$2),0))</f>
        <v>Giá Bales DTR Mua +% Hao Hụt + Conversion cost</v>
      </c>
      <c r="V54" s="27" t="str" cm="1">
        <f t="array" ref="V54">INDEX(Note!$G$3:$G$101,MATCH(1,(Note!$A$3:$A$101=$A54)*(Note!$C$3:$C$101=$B54)*(Note!$E$3:$E$101&lt;=V$1)*(Note!$F$3:$F$101&gt;=V$2),0))</f>
        <v>Giá Bales DTR Mua +% Hao Hụt + Conversion cost</v>
      </c>
      <c r="W54" s="27" t="str" cm="1">
        <f t="array" ref="W54">INDEX(Note!$G$3:$G$101,MATCH(1,(Note!$A$3:$A$101=$A54)*(Note!$C$3:$C$101=$B54)*(Note!$E$3:$E$101&lt;=W$1)*(Note!$F$3:$F$101&gt;=W$2),0))</f>
        <v>Giá Bales DTR Mua +% Hao Hụt + Conversion cost</v>
      </c>
      <c r="X54" s="27" t="str" cm="1">
        <f t="array" ref="X54">INDEX(Note!$G$3:$G$101,MATCH(1,(Note!$A$3:$A$101=$A54)*(Note!$C$3:$C$101=$B54)*(Note!$E$3:$E$101&lt;=X$1)*(Note!$F$3:$F$101&gt;=X$2),0))</f>
        <v>Giá Bales DTR Mua +% Hao Hụt + Conversion cost</v>
      </c>
      <c r="Y54" s="27" t="str" cm="1">
        <f t="array" ref="Y54">INDEX(Note!$G$3:$G$101,MATCH(1,(Note!$A$3:$A$101=$A54)*(Note!$C$3:$C$101=$B54)*(Note!$E$3:$E$101&lt;=Y$1)*(Note!$F$3:$F$101&gt;=Y$2),0))</f>
        <v>Giá Bales DTR Mua +% Hao Hụt + Conversion cost</v>
      </c>
      <c r="Z54" s="89" t="str" cm="1">
        <f t="array" ref="Z54">INDEX(Note!$G$3:$G$101,MATCH(1,(Note!$A$3:$A$101=$A54)*(Note!$C$3:$C$101=$B54)*(Note!$E$3:$E$101&lt;=Z$1)*(Note!$F$3:$F$101&gt;=Z$2),0))</f>
        <v>Giá Bales DTR Mua +% Hao Hụt + Conversion cost</v>
      </c>
      <c r="AA54" s="27" t="str" cm="1">
        <f t="array" ref="AA54">INDEX(Note!$G$3:$G$101,MATCH(1,(Note!$A$3:$A$101=$A54)*(Note!$C$3:$C$101=$B54)*(Note!$E$3:$E$101&lt;=AA$1)*(Note!$F$3:$F$101&gt;=AA$2),0))</f>
        <v>Giá cố định (KD đề xuất)</v>
      </c>
      <c r="AB54" s="27" t="str" cm="1">
        <f t="array" ref="AB54">INDEX(Note!$G$3:$G$101,MATCH(1,(Note!$A$3:$A$101=$A54)*(Note!$C$3:$C$101=$B54)*(Note!$E$3:$E$101&lt;=AB$1)*(Note!$F$3:$F$101&gt;=AB$2),0))</f>
        <v>Giá cố định (KD đề xuất)</v>
      </c>
      <c r="AC54" s="27" t="str" cm="1">
        <f t="array" ref="AC54">INDEX(Note!$G$3:$G$101,MATCH(1,(Note!$A$3:$A$101=$A54)*(Note!$C$3:$C$101=$B54)*(Note!$E$3:$E$101&lt;=AC$1)*(Note!$F$3:$F$101&gt;=AC$2),0))</f>
        <v>Giá cố định (KD đề xuất)</v>
      </c>
      <c r="AD54" s="27" t="str" cm="1">
        <f t="array" ref="AD54">INDEX(Note!$G$3:$G$101,MATCH(1,(Note!$A$3:$A$101=$A54)*(Note!$C$3:$C$101=$B54)*(Note!$E$3:$E$101&lt;=AD$1)*(Note!$F$3:$F$101&gt;=AD$2),0))</f>
        <v>Giá cố định (KD đề xuất)</v>
      </c>
      <c r="AE54" s="27" t="str" cm="1">
        <f t="array" ref="AE54">INDEX(Note!$G$3:$G$101,MATCH(1,(Note!$A$3:$A$101=$A54)*(Note!$C$3:$C$101=$B54)*(Note!$E$3:$E$101&lt;=AE$1)*(Note!$F$3:$F$101&gt;=AE$2),0))</f>
        <v>Giá cố định (KD đề xuất)</v>
      </c>
      <c r="AF54" s="27" t="str" cm="1">
        <f t="array" ref="AF54">INDEX(Note!$G$3:$G$101,MATCH(1,(Note!$A$3:$A$101=$A54)*(Note!$C$3:$C$101=$B54)*(Note!$E$3:$E$101&lt;=AF$1)*(Note!$F$3:$F$101&gt;=AF$2),0))</f>
        <v>Giá cố định (KD đề xuất)</v>
      </c>
      <c r="AG54" s="27" t="str" cm="1">
        <f t="array" ref="AG54">INDEX(Note!$G$3:$G$101,MATCH(1,(Note!$A$3:$A$101=$A54)*(Note!$C$3:$C$101=$B54)*(Note!$E$3:$E$101&lt;=AG$1)*(Note!$F$3:$F$101&gt;=AG$2),0))</f>
        <v>Giá cố định (KD đề xuất)</v>
      </c>
      <c r="AH54" s="27" t="str" cm="1">
        <f t="array" ref="AH54">INDEX(Note!$G$3:$G$101,MATCH(1,(Note!$A$3:$A$101=$A54)*(Note!$C$3:$C$101=$B54)*(Note!$E$3:$E$101&lt;=AH$1)*(Note!$F$3:$F$101&gt;=AH$2),0))</f>
        <v>Giá cố định (KD đề xuất)</v>
      </c>
      <c r="AI54" s="27" t="str" cm="1">
        <f t="array" ref="AI54">INDEX(Note!$G$3:$G$101,MATCH(1,(Note!$A$3:$A$101=$A54)*(Note!$C$3:$C$101=$B54)*(Note!$E$3:$E$101&lt;=AI$1)*(Note!$F$3:$F$101&gt;=AI$2),0))</f>
        <v>Giá cố định (KD đề xuất)</v>
      </c>
      <c r="AJ54" s="27" t="str" cm="1">
        <f t="array" ref="AJ54">INDEX(Note!$G$3:$G$101,MATCH(1,(Note!$A$3:$A$101=$A54)*(Note!$C$3:$C$101=$B54)*(Note!$E$3:$E$101&lt;=AJ$1)*(Note!$F$3:$F$101&gt;=AJ$2),0))</f>
        <v>Giá cố định (KD đề xuất)</v>
      </c>
      <c r="AK54" s="27" t="str" cm="1">
        <f t="array" ref="AK54">INDEX(Note!$G$3:$G$101,MATCH(1,(Note!$A$3:$A$101=$A54)*(Note!$C$3:$C$101=$B54)*(Note!$E$3:$E$101&lt;=AK$1)*(Note!$F$3:$F$101&gt;=AK$2),0))</f>
        <v>Giá cố định (KD đề xuất)</v>
      </c>
      <c r="AL54" s="89" t="str" cm="1">
        <f t="array" ref="AL54">INDEX(Note!$G$3:$G$101,MATCH(1,(Note!$A$3:$A$101=$A54)*(Note!$C$3:$C$101=$B54)*(Note!$E$3:$E$101&lt;=AL$1)*(Note!$F$3:$F$101&gt;=AL$2),0))</f>
        <v>Giá cố định (KD đề xuất)</v>
      </c>
    </row>
    <row r="55" spans="1:38" s="96" customFormat="1" outlineLevel="1" x14ac:dyDescent="0.35">
      <c r="A55" s="96" t="s">
        <v>64</v>
      </c>
      <c r="B55" s="96" t="s">
        <v>24</v>
      </c>
      <c r="D55" s="97"/>
      <c r="F55" s="221" t="s">
        <v>243</v>
      </c>
      <c r="G55" s="26"/>
      <c r="H55" s="26"/>
      <c r="I55" s="26"/>
      <c r="J55" s="26" t="s">
        <v>43</v>
      </c>
      <c r="K55" s="12"/>
      <c r="L55" s="26"/>
      <c r="M55" s="26"/>
      <c r="N55" s="26"/>
      <c r="O55" s="88" t="str" cm="1">
        <f t="array" ref="O55">INDEX(Note!$H$3:$H$101,MATCH(1,(Note!$A$3:$A$101=$A55)*(Note!$C$3:$C$101=$B55)*(Note!$E$3:$E$101&lt;=O$1)*(Note!$F$3:$F$101&gt;=O$2),0))</f>
        <v>DDP</v>
      </c>
      <c r="P55" s="27" t="str" cm="1">
        <f t="array" ref="P55">INDEX(Note!$H$3:$H$101,MATCH(1,(Note!$A$3:$A$101=$A55)*(Note!$C$3:$C$101=$B55)*(Note!$E$3:$E$101&lt;=P$1)*(Note!$F$3:$F$101&gt;=P$2),0))</f>
        <v>DDP</v>
      </c>
      <c r="Q55" s="27" t="str" cm="1">
        <f t="array" ref="Q55">INDEX(Note!$H$3:$H$101,MATCH(1,(Note!$A$3:$A$101=$A55)*(Note!$C$3:$C$101=$B55)*(Note!$E$3:$E$101&lt;=Q$1)*(Note!$F$3:$F$101&gt;=Q$2),0))</f>
        <v>DDP</v>
      </c>
      <c r="R55" s="27" t="str" cm="1">
        <f t="array" ref="R55">INDEX(Note!$H$3:$H$101,MATCH(1,(Note!$A$3:$A$101=$A55)*(Note!$C$3:$C$101=$B55)*(Note!$E$3:$E$101&lt;=R$1)*(Note!$F$3:$F$101&gt;=R$2),0))</f>
        <v>DDP</v>
      </c>
      <c r="S55" s="27" t="str" cm="1">
        <f t="array" ref="S55">INDEX(Note!$H$3:$H$101,MATCH(1,(Note!$A$3:$A$101=$A55)*(Note!$C$3:$C$101=$B55)*(Note!$E$3:$E$101&lt;=S$1)*(Note!$F$3:$F$101&gt;=S$2),0))</f>
        <v>DDP</v>
      </c>
      <c r="T55" s="27" t="str" cm="1">
        <f t="array" ref="T55">INDEX(Note!$H$3:$H$101,MATCH(1,(Note!$A$3:$A$101=$A55)*(Note!$C$3:$C$101=$B55)*(Note!$E$3:$E$101&lt;=T$1)*(Note!$F$3:$F$101&gt;=T$2),0))</f>
        <v>DDP</v>
      </c>
      <c r="U55" s="27" t="str" cm="1">
        <f t="array" ref="U55">INDEX(Note!$H$3:$H$101,MATCH(1,(Note!$A$3:$A$101=$A55)*(Note!$C$3:$C$101=$B55)*(Note!$E$3:$E$101&lt;=U$1)*(Note!$F$3:$F$101&gt;=U$2),0))</f>
        <v>DDP</v>
      </c>
      <c r="V55" s="27" t="str" cm="1">
        <f t="array" ref="V55">INDEX(Note!$H$3:$H$101,MATCH(1,(Note!$A$3:$A$101=$A55)*(Note!$C$3:$C$101=$B55)*(Note!$E$3:$E$101&lt;=V$1)*(Note!$F$3:$F$101&gt;=V$2),0))</f>
        <v>DDP</v>
      </c>
      <c r="W55" s="27" t="str" cm="1">
        <f t="array" ref="W55">INDEX(Note!$H$3:$H$101,MATCH(1,(Note!$A$3:$A$101=$A55)*(Note!$C$3:$C$101=$B55)*(Note!$E$3:$E$101&lt;=W$1)*(Note!$F$3:$F$101&gt;=W$2),0))</f>
        <v>DDP</v>
      </c>
      <c r="X55" s="27" t="str" cm="1">
        <f t="array" ref="X55">INDEX(Note!$H$3:$H$101,MATCH(1,(Note!$A$3:$A$101=$A55)*(Note!$C$3:$C$101=$B55)*(Note!$E$3:$E$101&lt;=X$1)*(Note!$F$3:$F$101&gt;=X$2),0))</f>
        <v>DDP</v>
      </c>
      <c r="Y55" s="27" t="str" cm="1">
        <f t="array" ref="Y55">INDEX(Note!$H$3:$H$101,MATCH(1,(Note!$A$3:$A$101=$A55)*(Note!$C$3:$C$101=$B55)*(Note!$E$3:$E$101&lt;=Y$1)*(Note!$F$3:$F$101&gt;=Y$2),0))</f>
        <v>DDP</v>
      </c>
      <c r="Z55" s="89" t="str" cm="1">
        <f t="array" ref="Z55">INDEX(Note!$H$3:$H$101,MATCH(1,(Note!$A$3:$A$101=$A55)*(Note!$C$3:$C$101=$B55)*(Note!$E$3:$E$101&lt;=Z$1)*(Note!$F$3:$F$101&gt;=Z$2),0))</f>
        <v>DDP</v>
      </c>
      <c r="AA55" s="27" t="str" cm="1">
        <f t="array" ref="AA55">INDEX(Note!$H$3:$H$101,MATCH(1,(Note!$A$3:$A$101=$A55)*(Note!$C$3:$C$101=$B55)*(Note!$E$3:$E$101&lt;=AA$1)*(Note!$F$3:$F$101&gt;=AA$2),0))</f>
        <v>DDP</v>
      </c>
      <c r="AB55" s="27" t="str" cm="1">
        <f t="array" ref="AB55">INDEX(Note!$H$3:$H$101,MATCH(1,(Note!$A$3:$A$101=$A55)*(Note!$C$3:$C$101=$B55)*(Note!$E$3:$E$101&lt;=AB$1)*(Note!$F$3:$F$101&gt;=AB$2),0))</f>
        <v>DDP</v>
      </c>
      <c r="AC55" s="27" t="str" cm="1">
        <f t="array" ref="AC55">INDEX(Note!$H$3:$H$101,MATCH(1,(Note!$A$3:$A$101=$A55)*(Note!$C$3:$C$101=$B55)*(Note!$E$3:$E$101&lt;=AC$1)*(Note!$F$3:$F$101&gt;=AC$2),0))</f>
        <v>DDP</v>
      </c>
      <c r="AD55" s="27" t="str" cm="1">
        <f t="array" ref="AD55">INDEX(Note!$H$3:$H$101,MATCH(1,(Note!$A$3:$A$101=$A55)*(Note!$C$3:$C$101=$B55)*(Note!$E$3:$E$101&lt;=AD$1)*(Note!$F$3:$F$101&gt;=AD$2),0))</f>
        <v>DDP</v>
      </c>
      <c r="AE55" s="27" t="str" cm="1">
        <f t="array" ref="AE55">INDEX(Note!$H$3:$H$101,MATCH(1,(Note!$A$3:$A$101=$A55)*(Note!$C$3:$C$101=$B55)*(Note!$E$3:$E$101&lt;=AE$1)*(Note!$F$3:$F$101&gt;=AE$2),0))</f>
        <v>DDP</v>
      </c>
      <c r="AF55" s="27" t="str" cm="1">
        <f t="array" ref="AF55">INDEX(Note!$H$3:$H$101,MATCH(1,(Note!$A$3:$A$101=$A55)*(Note!$C$3:$C$101=$B55)*(Note!$E$3:$E$101&lt;=AF$1)*(Note!$F$3:$F$101&gt;=AF$2),0))</f>
        <v>DDP</v>
      </c>
      <c r="AG55" s="27" t="str" cm="1">
        <f t="array" ref="AG55">INDEX(Note!$H$3:$H$101,MATCH(1,(Note!$A$3:$A$101=$A55)*(Note!$C$3:$C$101=$B55)*(Note!$E$3:$E$101&lt;=AG$1)*(Note!$F$3:$F$101&gt;=AG$2),0))</f>
        <v>DDP</v>
      </c>
      <c r="AH55" s="27" t="str" cm="1">
        <f t="array" ref="AH55">INDEX(Note!$H$3:$H$101,MATCH(1,(Note!$A$3:$A$101=$A55)*(Note!$C$3:$C$101=$B55)*(Note!$E$3:$E$101&lt;=AH$1)*(Note!$F$3:$F$101&gt;=AH$2),0))</f>
        <v>DDP</v>
      </c>
      <c r="AI55" s="27" t="str" cm="1">
        <f t="array" ref="AI55">INDEX(Note!$H$3:$H$101,MATCH(1,(Note!$A$3:$A$101=$A55)*(Note!$C$3:$C$101=$B55)*(Note!$E$3:$E$101&lt;=AI$1)*(Note!$F$3:$F$101&gt;=AI$2),0))</f>
        <v>DDP</v>
      </c>
      <c r="AJ55" s="27" t="str" cm="1">
        <f t="array" ref="AJ55">INDEX(Note!$H$3:$H$101,MATCH(1,(Note!$A$3:$A$101=$A55)*(Note!$C$3:$C$101=$B55)*(Note!$E$3:$E$101&lt;=AJ$1)*(Note!$F$3:$F$101&gt;=AJ$2),0))</f>
        <v>DDP</v>
      </c>
      <c r="AK55" s="27" t="str" cm="1">
        <f t="array" ref="AK55">INDEX(Note!$H$3:$H$101,MATCH(1,(Note!$A$3:$A$101=$A55)*(Note!$C$3:$C$101=$B55)*(Note!$E$3:$E$101&lt;=AK$1)*(Note!$F$3:$F$101&gt;=AK$2),0))</f>
        <v>DDP</v>
      </c>
      <c r="AL55" s="89" t="str" cm="1">
        <f t="array" ref="AL55">INDEX(Note!$H$3:$H$101,MATCH(1,(Note!$A$3:$A$101=$A55)*(Note!$C$3:$C$101=$B55)*(Note!$E$3:$E$101&lt;=AL$1)*(Note!$F$3:$F$101&gt;=AL$2),0))</f>
        <v>DDP</v>
      </c>
    </row>
    <row r="56" spans="1:38" s="97" customFormat="1" outlineLevel="1" x14ac:dyDescent="0.35">
      <c r="A56" s="97" t="s">
        <v>64</v>
      </c>
      <c r="B56" s="97" t="s">
        <v>24</v>
      </c>
      <c r="F56" s="196" t="s">
        <v>244</v>
      </c>
      <c r="G56" s="107"/>
      <c r="H56" s="107"/>
      <c r="I56" s="107"/>
      <c r="J56" s="107" t="s">
        <v>46</v>
      </c>
      <c r="K56" s="109"/>
      <c r="L56" s="107"/>
      <c r="M56" s="107"/>
      <c r="N56" s="107"/>
      <c r="O56" s="236" t="str" cm="1">
        <f t="array" ref="O56">INDEX(Note!$I$3:$I$101,MATCH(1,(Note!$A$3:$A$101=$A56)*(Note!$C$3:$C$101=$B56)*(Note!$E$3:$E$101&lt;=O$1)*(Note!$F$3:$F$101&gt;=O$2),0))</f>
        <v>Quý</v>
      </c>
      <c r="P56" s="196" t="str" cm="1">
        <f t="array" ref="P56">INDEX(Note!$I$3:$I$101,MATCH(1,(Note!$A$3:$A$101=$A56)*(Note!$C$3:$C$101=$B56)*(Note!$E$3:$E$101&lt;=P$1)*(Note!$F$3:$F$101&gt;=P$2),0))</f>
        <v>Quý</v>
      </c>
      <c r="Q56" s="196" t="str" cm="1">
        <f t="array" ref="Q56">INDEX(Note!$I$3:$I$101,MATCH(1,(Note!$A$3:$A$101=$A56)*(Note!$C$3:$C$101=$B56)*(Note!$E$3:$E$101&lt;=Q$1)*(Note!$F$3:$F$101&gt;=Q$2),0))</f>
        <v>Quý</v>
      </c>
      <c r="R56" s="196" t="str" cm="1">
        <f t="array" ref="R56">INDEX(Note!$I$3:$I$101,MATCH(1,(Note!$A$3:$A$101=$A56)*(Note!$C$3:$C$101=$B56)*(Note!$E$3:$E$101&lt;=R$1)*(Note!$F$3:$F$101&gt;=R$2),0))</f>
        <v>Quý</v>
      </c>
      <c r="S56" s="196" t="str" cm="1">
        <f t="array" ref="S56">INDEX(Note!$I$3:$I$101,MATCH(1,(Note!$A$3:$A$101=$A56)*(Note!$C$3:$C$101=$B56)*(Note!$E$3:$E$101&lt;=S$1)*(Note!$F$3:$F$101&gt;=S$2),0))</f>
        <v>Quý</v>
      </c>
      <c r="T56" s="196" t="str" cm="1">
        <f t="array" ref="T56">INDEX(Note!$I$3:$I$101,MATCH(1,(Note!$A$3:$A$101=$A56)*(Note!$C$3:$C$101=$B56)*(Note!$E$3:$E$101&lt;=T$1)*(Note!$F$3:$F$101&gt;=T$2),0))</f>
        <v>Quý</v>
      </c>
      <c r="U56" s="196" t="str" cm="1">
        <f t="array" ref="U56">INDEX(Note!$I$3:$I$101,MATCH(1,(Note!$A$3:$A$101=$A56)*(Note!$C$3:$C$101=$B56)*(Note!$E$3:$E$101&lt;=U$1)*(Note!$F$3:$F$101&gt;=U$2),0))</f>
        <v>Quý</v>
      </c>
      <c r="V56" s="196" t="str" cm="1">
        <f t="array" ref="V56">INDEX(Note!$I$3:$I$101,MATCH(1,(Note!$A$3:$A$101=$A56)*(Note!$C$3:$C$101=$B56)*(Note!$E$3:$E$101&lt;=V$1)*(Note!$F$3:$F$101&gt;=V$2),0))</f>
        <v>Quý</v>
      </c>
      <c r="W56" s="196" t="str" cm="1">
        <f t="array" ref="W56">INDEX(Note!$I$3:$I$101,MATCH(1,(Note!$A$3:$A$101=$A56)*(Note!$C$3:$C$101=$B56)*(Note!$E$3:$E$101&lt;=W$1)*(Note!$F$3:$F$101&gt;=W$2),0))</f>
        <v>Quý</v>
      </c>
      <c r="X56" s="196" t="str" cm="1">
        <f t="array" ref="X56">INDEX(Note!$I$3:$I$101,MATCH(1,(Note!$A$3:$A$101=$A56)*(Note!$C$3:$C$101=$B56)*(Note!$E$3:$E$101&lt;=X$1)*(Note!$F$3:$F$101&gt;=X$2),0))</f>
        <v>Quý</v>
      </c>
      <c r="Y56" s="196" t="str" cm="1">
        <f t="array" ref="Y56">INDEX(Note!$I$3:$I$101,MATCH(1,(Note!$A$3:$A$101=$A56)*(Note!$C$3:$C$101=$B56)*(Note!$E$3:$E$101&lt;=Y$1)*(Note!$F$3:$F$101&gt;=Y$2),0))</f>
        <v>Quý</v>
      </c>
      <c r="Z56" s="197" t="str" cm="1">
        <f t="array" ref="Z56">INDEX(Note!$I$3:$I$101,MATCH(1,(Note!$A$3:$A$101=$A56)*(Note!$C$3:$C$101=$B56)*(Note!$E$3:$E$101&lt;=Z$1)*(Note!$F$3:$F$101&gt;=Z$2),0))</f>
        <v>Quý</v>
      </c>
      <c r="AA56" s="196" t="str" cm="1">
        <f t="array" ref="AA56">INDEX(Note!$I$3:$I$101,MATCH(1,(Note!$A$3:$A$101=$A56)*(Note!$C$3:$C$101=$B56)*(Note!$E$3:$E$101&lt;=AA$1)*(Note!$F$3:$F$101&gt;=AA$2),0))</f>
        <v>Năm</v>
      </c>
      <c r="AB56" s="196" t="str" cm="1">
        <f t="array" ref="AB56">INDEX(Note!$I$3:$I$101,MATCH(1,(Note!$A$3:$A$101=$A56)*(Note!$C$3:$C$101=$B56)*(Note!$E$3:$E$101&lt;=AB$1)*(Note!$F$3:$F$101&gt;=AB$2),0))</f>
        <v>Năm</v>
      </c>
      <c r="AC56" s="196" t="str" cm="1">
        <f t="array" ref="AC56">INDEX(Note!$I$3:$I$101,MATCH(1,(Note!$A$3:$A$101=$A56)*(Note!$C$3:$C$101=$B56)*(Note!$E$3:$E$101&lt;=AC$1)*(Note!$F$3:$F$101&gt;=AC$2),0))</f>
        <v>Năm</v>
      </c>
      <c r="AD56" s="196" t="str" cm="1">
        <f t="array" ref="AD56">INDEX(Note!$I$3:$I$101,MATCH(1,(Note!$A$3:$A$101=$A56)*(Note!$C$3:$C$101=$B56)*(Note!$E$3:$E$101&lt;=AD$1)*(Note!$F$3:$F$101&gt;=AD$2),0))</f>
        <v>Năm</v>
      </c>
      <c r="AE56" s="196" t="str" cm="1">
        <f t="array" ref="AE56">INDEX(Note!$I$3:$I$101,MATCH(1,(Note!$A$3:$A$101=$A56)*(Note!$C$3:$C$101=$B56)*(Note!$E$3:$E$101&lt;=AE$1)*(Note!$F$3:$F$101&gt;=AE$2),0))</f>
        <v>Năm</v>
      </c>
      <c r="AF56" s="196" t="str" cm="1">
        <f t="array" ref="AF56">INDEX(Note!$I$3:$I$101,MATCH(1,(Note!$A$3:$A$101=$A56)*(Note!$C$3:$C$101=$B56)*(Note!$E$3:$E$101&lt;=AF$1)*(Note!$F$3:$F$101&gt;=AF$2),0))</f>
        <v>Năm</v>
      </c>
      <c r="AG56" s="196" t="str" cm="1">
        <f t="array" ref="AG56">INDEX(Note!$I$3:$I$101,MATCH(1,(Note!$A$3:$A$101=$A56)*(Note!$C$3:$C$101=$B56)*(Note!$E$3:$E$101&lt;=AG$1)*(Note!$F$3:$F$101&gt;=AG$2),0))</f>
        <v>Năm</v>
      </c>
      <c r="AH56" s="196" t="str" cm="1">
        <f t="array" ref="AH56">INDEX(Note!$I$3:$I$101,MATCH(1,(Note!$A$3:$A$101=$A56)*(Note!$C$3:$C$101=$B56)*(Note!$E$3:$E$101&lt;=AH$1)*(Note!$F$3:$F$101&gt;=AH$2),0))</f>
        <v>Năm</v>
      </c>
      <c r="AI56" s="196" t="str" cm="1">
        <f t="array" ref="AI56">INDEX(Note!$I$3:$I$101,MATCH(1,(Note!$A$3:$A$101=$A56)*(Note!$C$3:$C$101=$B56)*(Note!$E$3:$E$101&lt;=AI$1)*(Note!$F$3:$F$101&gt;=AI$2),0))</f>
        <v>Năm</v>
      </c>
      <c r="AJ56" s="196" t="str" cm="1">
        <f t="array" ref="AJ56">INDEX(Note!$I$3:$I$101,MATCH(1,(Note!$A$3:$A$101=$A56)*(Note!$C$3:$C$101=$B56)*(Note!$E$3:$E$101&lt;=AJ$1)*(Note!$F$3:$F$101&gt;=AJ$2),0))</f>
        <v>Năm</v>
      </c>
      <c r="AK56" s="196" t="str" cm="1">
        <f t="array" ref="AK56">INDEX(Note!$I$3:$I$101,MATCH(1,(Note!$A$3:$A$101=$A56)*(Note!$C$3:$C$101=$B56)*(Note!$E$3:$E$101&lt;=AK$1)*(Note!$F$3:$F$101&gt;=AK$2),0))</f>
        <v>Năm</v>
      </c>
      <c r="AL56" s="197" t="str" cm="1">
        <f t="array" ref="AL56">INDEX(Note!$I$3:$I$101,MATCH(1,(Note!$A$3:$A$101=$A56)*(Note!$C$3:$C$101=$B56)*(Note!$E$3:$E$101&lt;=AL$1)*(Note!$F$3:$F$101&gt;=AL$2),0))</f>
        <v>Năm</v>
      </c>
    </row>
    <row r="57" spans="1:38" s="188" customFormat="1" outlineLevel="1" x14ac:dyDescent="0.35">
      <c r="A57" s="188" t="s">
        <v>64</v>
      </c>
      <c r="B57" s="188" t="s">
        <v>24</v>
      </c>
      <c r="F57" s="225" t="s">
        <v>265</v>
      </c>
      <c r="G57" s="193"/>
      <c r="H57" s="193"/>
      <c r="I57" s="193"/>
      <c r="J57" s="193" t="s">
        <v>203</v>
      </c>
      <c r="K57" s="189"/>
      <c r="L57" s="202"/>
      <c r="M57" s="202"/>
      <c r="N57" s="202"/>
      <c r="O57" s="201" cm="1">
        <f t="array" ref="O57">SUMPRODUCT(General_Data*(Year=O$3)*(Month=O$4)*(Code_General_Data=$B57))</f>
        <v>1350</v>
      </c>
      <c r="P57" s="202" cm="1">
        <f t="array" ref="P57">SUMPRODUCT(General_Data*(Year=P$3)*(Month=P$4)*(Code_General_Data=$B57))</f>
        <v>1350</v>
      </c>
      <c r="Q57" s="202" cm="1">
        <f t="array" ref="Q57">SUMPRODUCT(General_Data*(Year=Q$3)*(Month=Q$4)*(Code_General_Data=$B57))</f>
        <v>1350</v>
      </c>
      <c r="R57" s="202" cm="1">
        <f t="array" ref="R57">SUMPRODUCT(General_Data*(Year=R$3)*(Month=R$4)*(Code_General_Data=$B57))</f>
        <v>1350</v>
      </c>
      <c r="S57" s="202" cm="1">
        <f t="array" ref="S57">SUMPRODUCT(General_Data*(Year=S$3)*(Month=S$4)*(Code_General_Data=$B57))</f>
        <v>1350</v>
      </c>
      <c r="T57" s="202" cm="1">
        <f t="array" ref="T57">SUMPRODUCT(General_Data*(Year=T$3)*(Month=T$4)*(Code_General_Data=$B57))</f>
        <v>1350</v>
      </c>
      <c r="U57" s="202" cm="1">
        <f t="array" ref="U57">SUMPRODUCT(General_Data*(Year=U$3)*(Month=U$4)*(Code_General_Data=$B57))</f>
        <v>1350</v>
      </c>
      <c r="V57" s="202" cm="1">
        <f t="array" ref="V57">SUMPRODUCT(General_Data*(Year=V$3)*(Month=V$4)*(Code_General_Data=$B57))</f>
        <v>1350</v>
      </c>
      <c r="W57" s="202" cm="1">
        <f t="array" ref="W57">SUMPRODUCT(General_Data*(Year=W$3)*(Month=W$4)*(Code_General_Data=$B57))</f>
        <v>1350</v>
      </c>
      <c r="X57" s="202" cm="1">
        <f t="array" ref="X57">SUMPRODUCT(General_Data*(Year=X$3)*(Month=X$4)*(Code_General_Data=$B57))</f>
        <v>1350</v>
      </c>
      <c r="Y57" s="202" cm="1">
        <f t="array" ref="Y57">SUMPRODUCT(General_Data*(Year=Y$3)*(Month=Y$4)*(Code_General_Data=$B57))</f>
        <v>1350</v>
      </c>
      <c r="Z57" s="203" cm="1">
        <f t="array" ref="Z57">SUMPRODUCT(General_Data*(Year=Z$3)*(Month=Z$4)*(Code_General_Data=$B57))</f>
        <v>1350</v>
      </c>
      <c r="AA57" s="202" cm="1">
        <f t="array" ref="AA57">SUMPRODUCT(General_Data*(Year=AA$3)*(Month=AA$4)*(Code_General_Data=$B57))</f>
        <v>1350</v>
      </c>
      <c r="AB57" s="202" cm="1">
        <f t="array" ref="AB57">SUMPRODUCT(General_Data*(Year=AB$3)*(Month=AB$4)*(Code_General_Data=$B57))</f>
        <v>1300</v>
      </c>
      <c r="AC57" s="202" cm="1">
        <f t="array" ref="AC57">SUMPRODUCT(General_Data*(Year=AC$3)*(Month=AC$4)*(Code_General_Data=$B57))</f>
        <v>1250</v>
      </c>
      <c r="AD57" s="202"/>
      <c r="AE57" s="202"/>
      <c r="AF57" s="202"/>
      <c r="AG57" s="202"/>
      <c r="AH57" s="202"/>
      <c r="AI57" s="202"/>
      <c r="AJ57" s="202"/>
      <c r="AK57" s="202"/>
      <c r="AL57" s="203"/>
    </row>
    <row r="58" spans="1:38" s="188" customFormat="1" ht="6.65" customHeight="1" x14ac:dyDescent="0.35">
      <c r="F58" s="304"/>
      <c r="G58" s="305"/>
      <c r="H58" s="305"/>
      <c r="I58" s="305"/>
      <c r="J58" s="305"/>
      <c r="K58" s="189"/>
      <c r="L58" s="306"/>
      <c r="M58" s="306"/>
      <c r="N58" s="306"/>
      <c r="O58" s="307"/>
      <c r="P58" s="306"/>
      <c r="Q58" s="306"/>
      <c r="R58" s="306"/>
      <c r="S58" s="306"/>
      <c r="T58" s="306"/>
      <c r="U58" s="306"/>
      <c r="V58" s="306"/>
      <c r="W58" s="306"/>
      <c r="X58" s="306"/>
      <c r="Y58" s="306"/>
      <c r="Z58" s="308"/>
      <c r="AA58" s="306"/>
      <c r="AB58" s="306"/>
      <c r="AC58" s="306"/>
      <c r="AD58" s="306"/>
      <c r="AE58" s="306"/>
      <c r="AF58" s="306"/>
      <c r="AG58" s="306"/>
      <c r="AH58" s="306"/>
      <c r="AI58" s="306"/>
      <c r="AJ58" s="306"/>
      <c r="AK58" s="306"/>
      <c r="AL58" s="308"/>
    </row>
    <row r="59" spans="1:38" s="183" customFormat="1" ht="17" x14ac:dyDescent="0.35">
      <c r="A59" s="183" t="s">
        <v>64</v>
      </c>
      <c r="B59" s="183" t="s">
        <v>22</v>
      </c>
      <c r="D59" s="183" t="s">
        <v>322</v>
      </c>
      <c r="F59" s="220">
        <v>2.2999999999999998</v>
      </c>
      <c r="G59" s="190"/>
      <c r="H59" s="190" t="s">
        <v>245</v>
      </c>
      <c r="I59" s="190"/>
      <c r="J59" s="190"/>
      <c r="L59" s="190"/>
      <c r="M59" s="190"/>
      <c r="N59" s="190"/>
      <c r="O59" s="254"/>
      <c r="P59" s="255"/>
      <c r="Q59" s="255"/>
      <c r="R59" s="255"/>
      <c r="S59" s="255"/>
      <c r="T59" s="255"/>
      <c r="U59" s="255"/>
      <c r="V59" s="255"/>
      <c r="W59" s="255"/>
      <c r="X59" s="255"/>
      <c r="Y59" s="255"/>
      <c r="Z59" s="256"/>
      <c r="AA59" s="216">
        <f>AA60</f>
        <v>1400</v>
      </c>
      <c r="AB59" s="217">
        <f t="shared" ref="AB59:AL59" si="23">AB60</f>
        <v>1400</v>
      </c>
      <c r="AC59" s="217">
        <f t="shared" si="23"/>
        <v>1400</v>
      </c>
      <c r="AD59" s="217">
        <f t="shared" si="23"/>
        <v>1400</v>
      </c>
      <c r="AE59" s="217">
        <f t="shared" si="23"/>
        <v>1400</v>
      </c>
      <c r="AF59" s="217">
        <f t="shared" si="23"/>
        <v>1400</v>
      </c>
      <c r="AG59" s="217">
        <f t="shared" si="23"/>
        <v>1400</v>
      </c>
      <c r="AH59" s="217">
        <f t="shared" si="23"/>
        <v>1400</v>
      </c>
      <c r="AI59" s="217">
        <f t="shared" si="23"/>
        <v>1400</v>
      </c>
      <c r="AJ59" s="217">
        <f t="shared" si="23"/>
        <v>1400</v>
      </c>
      <c r="AK59" s="217">
        <f t="shared" si="23"/>
        <v>1400</v>
      </c>
      <c r="AL59" s="218">
        <f t="shared" si="23"/>
        <v>1400</v>
      </c>
    </row>
    <row r="60" spans="1:38" s="96" customFormat="1" outlineLevel="1" x14ac:dyDescent="0.35">
      <c r="A60" s="96" t="s">
        <v>64</v>
      </c>
      <c r="B60" s="96" t="s">
        <v>22</v>
      </c>
      <c r="D60" s="97"/>
      <c r="F60" s="221" t="s">
        <v>247</v>
      </c>
      <c r="G60" s="26"/>
      <c r="H60" s="26" t="s">
        <v>41</v>
      </c>
      <c r="I60" s="26" t="s">
        <v>246</v>
      </c>
      <c r="J60" s="26"/>
      <c r="K60" s="12"/>
      <c r="L60" s="26"/>
      <c r="M60" s="26"/>
      <c r="N60" s="26"/>
      <c r="O60" s="257"/>
      <c r="P60" s="258"/>
      <c r="Q60" s="258"/>
      <c r="R60" s="258"/>
      <c r="S60" s="258"/>
      <c r="T60" s="258"/>
      <c r="U60" s="258"/>
      <c r="V60" s="258"/>
      <c r="W60" s="258"/>
      <c r="X60" s="258"/>
      <c r="Y60" s="258"/>
      <c r="Z60" s="259"/>
      <c r="AA60" s="213">
        <f t="shared" ref="AA60:AL60" si="24">AA43</f>
        <v>1400</v>
      </c>
      <c r="AB60" s="214">
        <f t="shared" si="24"/>
        <v>1400</v>
      </c>
      <c r="AC60" s="214">
        <f t="shared" si="24"/>
        <v>1400</v>
      </c>
      <c r="AD60" s="214">
        <f t="shared" si="24"/>
        <v>1400</v>
      </c>
      <c r="AE60" s="214">
        <f t="shared" si="24"/>
        <v>1400</v>
      </c>
      <c r="AF60" s="214">
        <f t="shared" si="24"/>
        <v>1400</v>
      </c>
      <c r="AG60" s="214">
        <f t="shared" si="24"/>
        <v>1400</v>
      </c>
      <c r="AH60" s="214">
        <f t="shared" si="24"/>
        <v>1400</v>
      </c>
      <c r="AI60" s="214">
        <f t="shared" si="24"/>
        <v>1400</v>
      </c>
      <c r="AJ60" s="214">
        <f t="shared" si="24"/>
        <v>1400</v>
      </c>
      <c r="AK60" s="214">
        <f t="shared" si="24"/>
        <v>1400</v>
      </c>
      <c r="AL60" s="215">
        <f t="shared" si="24"/>
        <v>1400</v>
      </c>
    </row>
    <row r="61" spans="1:38" s="94" customFormat="1" outlineLevel="1" x14ac:dyDescent="0.35">
      <c r="A61" s="94" t="s">
        <v>64</v>
      </c>
      <c r="B61" s="94" t="s">
        <v>22</v>
      </c>
      <c r="D61" s="95" t="s">
        <v>162</v>
      </c>
      <c r="F61" s="226" t="s">
        <v>248</v>
      </c>
      <c r="G61" s="227"/>
      <c r="H61" s="227"/>
      <c r="I61" s="227" t="s">
        <v>8</v>
      </c>
      <c r="J61" s="227"/>
      <c r="K61" s="2"/>
      <c r="L61" s="227"/>
      <c r="M61" s="227"/>
      <c r="N61" s="227"/>
      <c r="O61" s="260"/>
      <c r="P61" s="261"/>
      <c r="Q61" s="261"/>
      <c r="R61" s="261"/>
      <c r="S61" s="261"/>
      <c r="T61" s="261"/>
      <c r="U61" s="261"/>
      <c r="V61" s="261"/>
      <c r="W61" s="261"/>
      <c r="X61" s="261"/>
      <c r="Y61" s="261"/>
      <c r="Z61" s="262"/>
      <c r="AA61" s="229">
        <f t="shared" ref="AA61:AL61" si="25">AA53</f>
        <v>1388.04</v>
      </c>
      <c r="AB61" s="229">
        <f t="shared" si="25"/>
        <v>1388.04</v>
      </c>
      <c r="AC61" s="229">
        <f t="shared" si="25"/>
        <v>1388.04</v>
      </c>
      <c r="AD61" s="229">
        <f t="shared" si="25"/>
        <v>1388.04</v>
      </c>
      <c r="AE61" s="229">
        <f t="shared" si="25"/>
        <v>1388.04</v>
      </c>
      <c r="AF61" s="229">
        <f t="shared" si="25"/>
        <v>1388.04</v>
      </c>
      <c r="AG61" s="229">
        <f t="shared" si="25"/>
        <v>1388.04</v>
      </c>
      <c r="AH61" s="229">
        <f t="shared" si="25"/>
        <v>1388.04</v>
      </c>
      <c r="AI61" s="229">
        <f t="shared" si="25"/>
        <v>1388.04</v>
      </c>
      <c r="AJ61" s="229">
        <f t="shared" si="25"/>
        <v>1388.04</v>
      </c>
      <c r="AK61" s="229">
        <f t="shared" si="25"/>
        <v>1388.04</v>
      </c>
      <c r="AL61" s="230">
        <f t="shared" si="25"/>
        <v>1388.04</v>
      </c>
    </row>
    <row r="62" spans="1:38" s="96" customFormat="1" ht="79.400000000000006" customHeight="1" outlineLevel="1" x14ac:dyDescent="0.35">
      <c r="A62" s="96" t="s">
        <v>64</v>
      </c>
      <c r="B62" s="96" t="s">
        <v>22</v>
      </c>
      <c r="D62" s="97"/>
      <c r="F62" s="221" t="s">
        <v>249</v>
      </c>
      <c r="G62" s="26"/>
      <c r="H62" s="26"/>
      <c r="I62" s="26"/>
      <c r="J62" s="26" t="s">
        <v>45</v>
      </c>
      <c r="K62" s="12"/>
      <c r="L62" s="26"/>
      <c r="M62" s="26"/>
      <c r="N62" s="26"/>
      <c r="O62" s="263"/>
      <c r="P62" s="264"/>
      <c r="Q62" s="264"/>
      <c r="R62" s="264"/>
      <c r="S62" s="264"/>
      <c r="T62" s="264"/>
      <c r="U62" s="264"/>
      <c r="V62" s="264"/>
      <c r="W62" s="264"/>
      <c r="X62" s="264"/>
      <c r="Y62" s="264"/>
      <c r="Z62" s="265"/>
      <c r="AA62" s="27" t="str" cm="1">
        <f t="array" ref="AA62">INDEX(Note!$G$3:$G$101,MATCH(1,(Note!$A$3:$A$101=$A62)*(Note!$C$3:$C$101=$B62)*(Note!$E$3:$E$101&lt;=AA$1)*(Note!$F$3:$F$101&gt;=AA$2),0))</f>
        <v>Bằng giá MBF01 (KD đề xuất)</v>
      </c>
      <c r="AB62" s="27" t="str" cm="1">
        <f t="array" ref="AB62">INDEX(Note!$G$3:$G$101,MATCH(1,(Note!$A$3:$A$101=$A62)*(Note!$C$3:$C$101=$B62)*(Note!$E$3:$E$101&lt;=AB$1)*(Note!$F$3:$F$101&gt;=AB$2),0))</f>
        <v>Bằng giá MBF01 (KD đề xuất)</v>
      </c>
      <c r="AC62" s="27" t="str" cm="1">
        <f t="array" ref="AC62">INDEX(Note!$G$3:$G$101,MATCH(1,(Note!$A$3:$A$101=$A62)*(Note!$C$3:$C$101=$B62)*(Note!$E$3:$E$101&lt;=AC$1)*(Note!$F$3:$F$101&gt;=AC$2),0))</f>
        <v>Bằng giá MBF01 (KD đề xuất)</v>
      </c>
      <c r="AD62" s="27" t="str" cm="1">
        <f t="array" ref="AD62">INDEX(Note!$G$3:$G$101,MATCH(1,(Note!$A$3:$A$101=$A62)*(Note!$C$3:$C$101=$B62)*(Note!$E$3:$E$101&lt;=AD$1)*(Note!$F$3:$F$101&gt;=AD$2),0))</f>
        <v>Bằng giá MBF01 (KD đề xuất)</v>
      </c>
      <c r="AE62" s="27" t="str" cm="1">
        <f t="array" ref="AE62">INDEX(Note!$G$3:$G$101,MATCH(1,(Note!$A$3:$A$101=$A62)*(Note!$C$3:$C$101=$B62)*(Note!$E$3:$E$101&lt;=AE$1)*(Note!$F$3:$F$101&gt;=AE$2),0))</f>
        <v>Bằng giá MBF01 (KD đề xuất)</v>
      </c>
      <c r="AF62" s="27" t="str" cm="1">
        <f t="array" ref="AF62">INDEX(Note!$G$3:$G$101,MATCH(1,(Note!$A$3:$A$101=$A62)*(Note!$C$3:$C$101=$B62)*(Note!$E$3:$E$101&lt;=AF$1)*(Note!$F$3:$F$101&gt;=AF$2),0))</f>
        <v>Bằng giá MBF01 (KD đề xuất)</v>
      </c>
      <c r="AG62" s="27" t="str" cm="1">
        <f t="array" ref="AG62">INDEX(Note!$G$3:$G$101,MATCH(1,(Note!$A$3:$A$101=$A62)*(Note!$C$3:$C$101=$B62)*(Note!$E$3:$E$101&lt;=AG$1)*(Note!$F$3:$F$101&gt;=AG$2),0))</f>
        <v>Bằng giá MBF01 (KD đề xuất)</v>
      </c>
      <c r="AH62" s="27" t="str" cm="1">
        <f t="array" ref="AH62">INDEX(Note!$G$3:$G$101,MATCH(1,(Note!$A$3:$A$101=$A62)*(Note!$C$3:$C$101=$B62)*(Note!$E$3:$E$101&lt;=AH$1)*(Note!$F$3:$F$101&gt;=AH$2),0))</f>
        <v>Bằng giá MBF01 (KD đề xuất)</v>
      </c>
      <c r="AI62" s="27" t="str" cm="1">
        <f t="array" ref="AI62">INDEX(Note!$G$3:$G$101,MATCH(1,(Note!$A$3:$A$101=$A62)*(Note!$C$3:$C$101=$B62)*(Note!$E$3:$E$101&lt;=AI$1)*(Note!$F$3:$F$101&gt;=AI$2),0))</f>
        <v>Bằng giá MBF01 (KD đề xuất)</v>
      </c>
      <c r="AJ62" s="27" t="str" cm="1">
        <f t="array" ref="AJ62">INDEX(Note!$G$3:$G$101,MATCH(1,(Note!$A$3:$A$101=$A62)*(Note!$C$3:$C$101=$B62)*(Note!$E$3:$E$101&lt;=AJ$1)*(Note!$F$3:$F$101&gt;=AJ$2),0))</f>
        <v>Bằng giá MBF01 (KD đề xuất)</v>
      </c>
      <c r="AK62" s="27" t="str" cm="1">
        <f t="array" ref="AK62">INDEX(Note!$G$3:$G$101,MATCH(1,(Note!$A$3:$A$101=$A62)*(Note!$C$3:$C$101=$B62)*(Note!$E$3:$E$101&lt;=AK$1)*(Note!$F$3:$F$101&gt;=AK$2),0))</f>
        <v>Bằng giá MBF01 (KD đề xuất)</v>
      </c>
      <c r="AL62" s="89" t="str" cm="1">
        <f t="array" ref="AL62">INDEX(Note!$G$3:$G$101,MATCH(1,(Note!$A$3:$A$101=$A62)*(Note!$C$3:$C$101=$B62)*(Note!$E$3:$E$101&lt;=AL$1)*(Note!$F$3:$F$101&gt;=AL$2),0))</f>
        <v>Bằng giá MBF01 (KD đề xuất)</v>
      </c>
    </row>
    <row r="63" spans="1:38" s="96" customFormat="1" outlineLevel="1" x14ac:dyDescent="0.35">
      <c r="A63" s="96" t="s">
        <v>64</v>
      </c>
      <c r="B63" s="96" t="s">
        <v>22</v>
      </c>
      <c r="D63" s="97"/>
      <c r="F63" s="221" t="s">
        <v>250</v>
      </c>
      <c r="G63" s="26"/>
      <c r="H63" s="26"/>
      <c r="I63" s="26"/>
      <c r="J63" s="26" t="s">
        <v>43</v>
      </c>
      <c r="K63" s="12"/>
      <c r="L63" s="26"/>
      <c r="M63" s="26"/>
      <c r="N63" s="26"/>
      <c r="O63" s="263"/>
      <c r="P63" s="264"/>
      <c r="Q63" s="264"/>
      <c r="R63" s="264"/>
      <c r="S63" s="264"/>
      <c r="T63" s="264"/>
      <c r="U63" s="264"/>
      <c r="V63" s="264"/>
      <c r="W63" s="264"/>
      <c r="X63" s="264"/>
      <c r="Y63" s="264"/>
      <c r="Z63" s="265"/>
      <c r="AA63" s="27" t="str" cm="1">
        <f t="array" ref="AA63">INDEX(Note!$H$3:$H$101,MATCH(1,(Note!$A$3:$A$101=$A63)*(Note!$C$3:$C$101=$B63)*(Note!$E$3:$E$101&lt;=AA$1)*(Note!$F$3:$F$101&gt;AA$2),0))</f>
        <v>DDP</v>
      </c>
      <c r="AB63" s="27" t="str" cm="1">
        <f t="array" ref="AB63">INDEX(Note!$H$3:$H$101,MATCH(1,(Note!$A$3:$A$101=$A63)*(Note!$C$3:$C$101=$B63)*(Note!$E$3:$E$101&lt;=AB$1)*(Note!$F$3:$F$101&gt;AB$2),0))</f>
        <v>DDP</v>
      </c>
      <c r="AC63" s="27" t="str" cm="1">
        <f t="array" ref="AC63">INDEX(Note!$H$3:$H$101,MATCH(1,(Note!$A$3:$A$101=$A63)*(Note!$C$3:$C$101=$B63)*(Note!$E$3:$E$101&lt;=AC$1)*(Note!$F$3:$F$101&gt;AC$2),0))</f>
        <v>DDP</v>
      </c>
      <c r="AD63" s="27" t="str" cm="1">
        <f t="array" ref="AD63">INDEX(Note!$H$3:$H$101,MATCH(1,(Note!$A$3:$A$101=$A63)*(Note!$C$3:$C$101=$B63)*(Note!$E$3:$E$101&lt;=AD$1)*(Note!$F$3:$F$101&gt;AD$2),0))</f>
        <v>DDP</v>
      </c>
      <c r="AE63" s="27" t="str" cm="1">
        <f t="array" ref="AE63">INDEX(Note!$H$3:$H$101,MATCH(1,(Note!$A$3:$A$101=$A63)*(Note!$C$3:$C$101=$B63)*(Note!$E$3:$E$101&lt;=AE$1)*(Note!$F$3:$F$101&gt;AE$2),0))</f>
        <v>DDP</v>
      </c>
      <c r="AF63" s="27" t="str" cm="1">
        <f t="array" ref="AF63">INDEX(Note!$H$3:$H$101,MATCH(1,(Note!$A$3:$A$101=$A63)*(Note!$C$3:$C$101=$B63)*(Note!$E$3:$E$101&lt;=AF$1)*(Note!$F$3:$F$101&gt;AF$2),0))</f>
        <v>DDP</v>
      </c>
      <c r="AG63" s="27" t="str" cm="1">
        <f t="array" ref="AG63">INDEX(Note!$H$3:$H$101,MATCH(1,(Note!$A$3:$A$101=$A63)*(Note!$C$3:$C$101=$B63)*(Note!$E$3:$E$101&lt;=AG$1)*(Note!$F$3:$F$101&gt;AG$2),0))</f>
        <v>DDP</v>
      </c>
      <c r="AH63" s="27" t="str" cm="1">
        <f t="array" ref="AH63">INDEX(Note!$H$3:$H$101,MATCH(1,(Note!$A$3:$A$101=$A63)*(Note!$C$3:$C$101=$B63)*(Note!$E$3:$E$101&lt;=AH$1)*(Note!$F$3:$F$101&gt;AH$2),0))</f>
        <v>DDP</v>
      </c>
      <c r="AI63" s="27" t="str" cm="1">
        <f t="array" ref="AI63">INDEX(Note!$H$3:$H$101,MATCH(1,(Note!$A$3:$A$101=$A63)*(Note!$C$3:$C$101=$B63)*(Note!$E$3:$E$101&lt;=AI$1)*(Note!$F$3:$F$101&gt;AI$2),0))</f>
        <v>DDP</v>
      </c>
      <c r="AJ63" s="27" t="str" cm="1">
        <f t="array" ref="AJ63">INDEX(Note!$H$3:$H$101,MATCH(1,(Note!$A$3:$A$101=$A63)*(Note!$C$3:$C$101=$B63)*(Note!$E$3:$E$101&lt;=AJ$1)*(Note!$F$3:$F$101&gt;AJ$2),0))</f>
        <v>DDP</v>
      </c>
      <c r="AK63" s="27" t="str" cm="1">
        <f t="array" ref="AK63">INDEX(Note!$H$3:$H$101,MATCH(1,(Note!$A$3:$A$101=$A63)*(Note!$C$3:$C$101=$B63)*(Note!$E$3:$E$101&lt;=AK$1)*(Note!$F$3:$F$101&gt;AK$2),0))</f>
        <v>DDP</v>
      </c>
      <c r="AL63" s="89" t="str" cm="1">
        <f t="array" ref="AL63">INDEX(Note!$H$3:$H$101,MATCH(1,(Note!$A$3:$A$101=$A63)*(Note!$C$3:$C$101=$B63)*(Note!$E$3:$E$101&lt;=AL$1)*(Note!$F$3:$F$101&gt;AL$2),0))</f>
        <v>DDP</v>
      </c>
    </row>
    <row r="64" spans="1:38" s="97" customFormat="1" outlineLevel="1" x14ac:dyDescent="0.35">
      <c r="A64" s="97" t="s">
        <v>64</v>
      </c>
      <c r="B64" s="97" t="s">
        <v>22</v>
      </c>
      <c r="F64" s="196" t="s">
        <v>251</v>
      </c>
      <c r="G64" s="107"/>
      <c r="H64" s="107"/>
      <c r="I64" s="107"/>
      <c r="J64" s="107" t="s">
        <v>46</v>
      </c>
      <c r="K64" s="109"/>
      <c r="L64" s="107"/>
      <c r="M64" s="107"/>
      <c r="N64" s="107"/>
      <c r="O64" s="266"/>
      <c r="P64" s="267"/>
      <c r="Q64" s="267"/>
      <c r="R64" s="267"/>
      <c r="S64" s="267"/>
      <c r="T64" s="267"/>
      <c r="U64" s="267"/>
      <c r="V64" s="267"/>
      <c r="W64" s="267"/>
      <c r="X64" s="267"/>
      <c r="Y64" s="267"/>
      <c r="Z64" s="268"/>
      <c r="AA64" s="196" t="str" cm="1">
        <f t="array" ref="AA64">INDEX(Note!$I$3:$I$101,MATCH(1,(Note!$A$3:$A$101=$A64)*(Note!$C$3:$C$101=$B64)*(Note!$E$3:$E$101&lt;=AA$1)*(Note!$F$3:$F$101&gt;=AA$2),0))</f>
        <v>Năm</v>
      </c>
      <c r="AB64" s="196" t="str" cm="1">
        <f t="array" ref="AB64">INDEX(Note!$I$3:$I$101,MATCH(1,(Note!$A$3:$A$101=$A64)*(Note!$C$3:$C$101=$B64)*(Note!$E$3:$E$101&lt;=AB$1)*(Note!$F$3:$F$101&gt;=AB$2),0))</f>
        <v>Năm</v>
      </c>
      <c r="AC64" s="196" t="str" cm="1">
        <f t="array" ref="AC64">INDEX(Note!$I$3:$I$101,MATCH(1,(Note!$A$3:$A$101=$A64)*(Note!$C$3:$C$101=$B64)*(Note!$E$3:$E$101&lt;=AC$1)*(Note!$F$3:$F$101&gt;=AC$2),0))</f>
        <v>Năm</v>
      </c>
      <c r="AD64" s="196" t="str" cm="1">
        <f t="array" ref="AD64">INDEX(Note!$I$3:$I$101,MATCH(1,(Note!$A$3:$A$101=$A64)*(Note!$C$3:$C$101=$B64)*(Note!$E$3:$E$101&lt;=AD$1)*(Note!$F$3:$F$101&gt;=AD$2),0))</f>
        <v>Năm</v>
      </c>
      <c r="AE64" s="196" t="str" cm="1">
        <f t="array" ref="AE64">INDEX(Note!$I$3:$I$101,MATCH(1,(Note!$A$3:$A$101=$A64)*(Note!$C$3:$C$101=$B64)*(Note!$E$3:$E$101&lt;=AE$1)*(Note!$F$3:$F$101&gt;=AE$2),0))</f>
        <v>Năm</v>
      </c>
      <c r="AF64" s="196" t="str" cm="1">
        <f t="array" ref="AF64">INDEX(Note!$I$3:$I$101,MATCH(1,(Note!$A$3:$A$101=$A64)*(Note!$C$3:$C$101=$B64)*(Note!$E$3:$E$101&lt;=AF$1)*(Note!$F$3:$F$101&gt;=AF$2),0))</f>
        <v>Năm</v>
      </c>
      <c r="AG64" s="196" t="str" cm="1">
        <f t="array" ref="AG64">INDEX(Note!$I$3:$I$101,MATCH(1,(Note!$A$3:$A$101=$A64)*(Note!$C$3:$C$101=$B64)*(Note!$E$3:$E$101&lt;=AG$1)*(Note!$F$3:$F$101&gt;=AG$2),0))</f>
        <v>Năm</v>
      </c>
      <c r="AH64" s="196" t="str" cm="1">
        <f t="array" ref="AH64">INDEX(Note!$I$3:$I$101,MATCH(1,(Note!$A$3:$A$101=$A64)*(Note!$C$3:$C$101=$B64)*(Note!$E$3:$E$101&lt;=AH$1)*(Note!$F$3:$F$101&gt;=AH$2),0))</f>
        <v>Năm</v>
      </c>
      <c r="AI64" s="196" t="str" cm="1">
        <f t="array" ref="AI64">INDEX(Note!$I$3:$I$101,MATCH(1,(Note!$A$3:$A$101=$A64)*(Note!$C$3:$C$101=$B64)*(Note!$E$3:$E$101&lt;=AI$1)*(Note!$F$3:$F$101&gt;=AI$2),0))</f>
        <v>Năm</v>
      </c>
      <c r="AJ64" s="196" t="str" cm="1">
        <f t="array" ref="AJ64">INDEX(Note!$I$3:$I$101,MATCH(1,(Note!$A$3:$A$101=$A64)*(Note!$C$3:$C$101=$B64)*(Note!$E$3:$E$101&lt;=AJ$1)*(Note!$F$3:$F$101&gt;=AJ$2),0))</f>
        <v>Năm</v>
      </c>
      <c r="AK64" s="196" t="str" cm="1">
        <f t="array" ref="AK64">INDEX(Note!$I$3:$I$101,MATCH(1,(Note!$A$3:$A$101=$A64)*(Note!$C$3:$C$101=$B64)*(Note!$E$3:$E$101&lt;=AK$1)*(Note!$F$3:$F$101&gt;=AK$2),0))</f>
        <v>Năm</v>
      </c>
      <c r="AL64" s="197" t="str" cm="1">
        <f t="array" ref="AL64">INDEX(Note!$I$3:$I$101,MATCH(1,(Note!$A$3:$A$101=$A64)*(Note!$C$3:$C$101=$B64)*(Note!$E$3:$E$101&lt;=AL$1)*(Note!$F$3:$F$101&gt;=AL$2),0))</f>
        <v>Năm</v>
      </c>
    </row>
    <row r="65" spans="1:38" s="188" customFormat="1" outlineLevel="1" x14ac:dyDescent="0.35">
      <c r="A65" s="188" t="s">
        <v>64</v>
      </c>
      <c r="B65" s="188" t="s">
        <v>22</v>
      </c>
      <c r="F65" s="225" t="s">
        <v>264</v>
      </c>
      <c r="G65" s="193"/>
      <c r="H65" s="193"/>
      <c r="I65" s="193"/>
      <c r="J65" s="193" t="s">
        <v>203</v>
      </c>
      <c r="K65" s="189"/>
      <c r="L65" s="202"/>
      <c r="M65" s="202"/>
      <c r="N65" s="202"/>
      <c r="O65" s="269"/>
      <c r="P65" s="270"/>
      <c r="Q65" s="270"/>
      <c r="R65" s="270"/>
      <c r="S65" s="270"/>
      <c r="T65" s="270"/>
      <c r="U65" s="270"/>
      <c r="V65" s="270"/>
      <c r="W65" s="270"/>
      <c r="X65" s="270"/>
      <c r="Y65" s="270"/>
      <c r="Z65" s="271"/>
      <c r="AA65" s="202" cm="1">
        <f t="array" ref="AA65">SUMPRODUCT(General_Data*(Year=AA$3)*(Month=AA$4)*(Code_General_Data=$B65))</f>
        <v>1400</v>
      </c>
      <c r="AB65" s="202" cm="1">
        <f t="array" ref="AB65">SUMPRODUCT(General_Data*(Year=AB$3)*(Month=AB$4)*(Code_General_Data=$B65))</f>
        <v>1400</v>
      </c>
      <c r="AC65" s="202" cm="1">
        <f t="array" ref="AC65">SUMPRODUCT(General_Data*(Year=AC$3)*(Month=AC$4)*(Code_General_Data=$B65))</f>
        <v>1350</v>
      </c>
      <c r="AD65" s="202"/>
      <c r="AE65" s="202"/>
      <c r="AF65" s="202"/>
      <c r="AG65" s="202"/>
      <c r="AH65" s="202"/>
      <c r="AI65" s="202"/>
      <c r="AJ65" s="202"/>
      <c r="AK65" s="202"/>
      <c r="AL65" s="203"/>
    </row>
    <row r="66" spans="1:38" s="188" customFormat="1" ht="6.65" customHeight="1" x14ac:dyDescent="0.35">
      <c r="F66" s="304"/>
      <c r="G66" s="305"/>
      <c r="H66" s="305"/>
      <c r="I66" s="305"/>
      <c r="J66" s="305"/>
      <c r="K66" s="189"/>
      <c r="L66" s="306"/>
      <c r="M66" s="306"/>
      <c r="N66" s="306"/>
      <c r="O66" s="307"/>
      <c r="P66" s="306"/>
      <c r="Q66" s="306"/>
      <c r="R66" s="306"/>
      <c r="S66" s="306"/>
      <c r="T66" s="306"/>
      <c r="U66" s="306"/>
      <c r="V66" s="306"/>
      <c r="W66" s="306"/>
      <c r="X66" s="306"/>
      <c r="Y66" s="306"/>
      <c r="Z66" s="308"/>
      <c r="AA66" s="306"/>
      <c r="AB66" s="306"/>
      <c r="AC66" s="306"/>
      <c r="AD66" s="306"/>
      <c r="AE66" s="306"/>
      <c r="AF66" s="306"/>
      <c r="AG66" s="306"/>
      <c r="AH66" s="306"/>
      <c r="AI66" s="306"/>
      <c r="AJ66" s="306"/>
      <c r="AK66" s="306"/>
      <c r="AL66" s="308"/>
    </row>
    <row r="67" spans="1:38" s="183" customFormat="1" ht="17" x14ac:dyDescent="0.35">
      <c r="A67" s="183" t="s">
        <v>64</v>
      </c>
      <c r="B67" s="183" t="s">
        <v>65</v>
      </c>
      <c r="D67" s="183" t="s">
        <v>322</v>
      </c>
      <c r="F67" s="220">
        <v>2.4</v>
      </c>
      <c r="G67" s="190"/>
      <c r="H67" s="190" t="s">
        <v>252</v>
      </c>
      <c r="I67" s="190"/>
      <c r="J67" s="190"/>
      <c r="L67" s="190"/>
      <c r="M67" s="190"/>
      <c r="N67" s="190"/>
      <c r="O67" s="216">
        <f t="shared" ref="O67:Z67" si="26">ROUND(SUM(O68:O69),-1)</f>
        <v>1450</v>
      </c>
      <c r="P67" s="217">
        <f t="shared" si="26"/>
        <v>1450</v>
      </c>
      <c r="Q67" s="217">
        <f t="shared" si="26"/>
        <v>1450</v>
      </c>
      <c r="R67" s="217">
        <f t="shared" si="26"/>
        <v>1380</v>
      </c>
      <c r="S67" s="217">
        <f t="shared" si="26"/>
        <v>1380</v>
      </c>
      <c r="T67" s="217">
        <f t="shared" si="26"/>
        <v>1380</v>
      </c>
      <c r="U67" s="217">
        <f t="shared" si="26"/>
        <v>1380</v>
      </c>
      <c r="V67" s="217">
        <f t="shared" si="26"/>
        <v>1380</v>
      </c>
      <c r="W67" s="217">
        <f t="shared" si="26"/>
        <v>1380</v>
      </c>
      <c r="X67" s="217">
        <f t="shared" si="26"/>
        <v>1380</v>
      </c>
      <c r="Y67" s="217">
        <f t="shared" si="26"/>
        <v>1380</v>
      </c>
      <c r="Z67" s="218">
        <f t="shared" si="26"/>
        <v>1380</v>
      </c>
      <c r="AA67" s="216">
        <f t="shared" ref="AA67:AL67" si="27">ROUND(SUM(AA68:AA69),-1)</f>
        <v>1350</v>
      </c>
      <c r="AB67" s="217">
        <f t="shared" si="27"/>
        <v>1350</v>
      </c>
      <c r="AC67" s="217">
        <f t="shared" si="27"/>
        <v>1350</v>
      </c>
      <c r="AD67" s="217">
        <f t="shared" si="27"/>
        <v>1350</v>
      </c>
      <c r="AE67" s="217">
        <f t="shared" si="27"/>
        <v>1350</v>
      </c>
      <c r="AF67" s="217">
        <f t="shared" si="27"/>
        <v>1350</v>
      </c>
      <c r="AG67" s="217">
        <f t="shared" si="27"/>
        <v>1350</v>
      </c>
      <c r="AH67" s="217">
        <f t="shared" si="27"/>
        <v>1350</v>
      </c>
      <c r="AI67" s="217">
        <f t="shared" si="27"/>
        <v>1350</v>
      </c>
      <c r="AJ67" s="217">
        <f t="shared" si="27"/>
        <v>1350</v>
      </c>
      <c r="AK67" s="217">
        <f t="shared" si="27"/>
        <v>1350</v>
      </c>
      <c r="AL67" s="218">
        <f t="shared" si="27"/>
        <v>1350</v>
      </c>
    </row>
    <row r="68" spans="1:38" s="96" customFormat="1" outlineLevel="1" x14ac:dyDescent="0.35">
      <c r="A68" s="96" t="s">
        <v>64</v>
      </c>
      <c r="B68" s="96" t="s">
        <v>65</v>
      </c>
      <c r="D68" s="97"/>
      <c r="F68" s="221" t="s">
        <v>255</v>
      </c>
      <c r="G68" s="26"/>
      <c r="H68" s="26" t="s">
        <v>41</v>
      </c>
      <c r="I68" s="26" t="s">
        <v>254</v>
      </c>
      <c r="J68" s="26"/>
      <c r="K68" s="12"/>
      <c r="L68" s="26"/>
      <c r="M68" s="26"/>
      <c r="N68" s="26"/>
      <c r="O68" s="213">
        <f t="shared" ref="O68:Z68" si="28">O43</f>
        <v>1500</v>
      </c>
      <c r="P68" s="214">
        <f t="shared" si="28"/>
        <v>1500</v>
      </c>
      <c r="Q68" s="214">
        <f t="shared" si="28"/>
        <v>1500</v>
      </c>
      <c r="R68" s="214">
        <f t="shared" si="28"/>
        <v>1430</v>
      </c>
      <c r="S68" s="214">
        <f t="shared" si="28"/>
        <v>1430</v>
      </c>
      <c r="T68" s="214">
        <f t="shared" si="28"/>
        <v>1430</v>
      </c>
      <c r="U68" s="214">
        <f t="shared" si="28"/>
        <v>1430</v>
      </c>
      <c r="V68" s="214">
        <f t="shared" si="28"/>
        <v>1430</v>
      </c>
      <c r="W68" s="214">
        <f t="shared" si="28"/>
        <v>1430</v>
      </c>
      <c r="X68" s="214">
        <f t="shared" si="28"/>
        <v>1430</v>
      </c>
      <c r="Y68" s="214">
        <f t="shared" si="28"/>
        <v>1430</v>
      </c>
      <c r="Z68" s="215">
        <f t="shared" si="28"/>
        <v>1430</v>
      </c>
      <c r="AA68" s="213">
        <f t="shared" ref="AA68:AL68" si="29">AA59</f>
        <v>1400</v>
      </c>
      <c r="AB68" s="214">
        <f t="shared" si="29"/>
        <v>1400</v>
      </c>
      <c r="AC68" s="214">
        <f t="shared" si="29"/>
        <v>1400</v>
      </c>
      <c r="AD68" s="214">
        <f t="shared" si="29"/>
        <v>1400</v>
      </c>
      <c r="AE68" s="214">
        <f t="shared" si="29"/>
        <v>1400</v>
      </c>
      <c r="AF68" s="214">
        <f t="shared" si="29"/>
        <v>1400</v>
      </c>
      <c r="AG68" s="214">
        <f t="shared" si="29"/>
        <v>1400</v>
      </c>
      <c r="AH68" s="214">
        <f t="shared" si="29"/>
        <v>1400</v>
      </c>
      <c r="AI68" s="214">
        <f t="shared" si="29"/>
        <v>1400</v>
      </c>
      <c r="AJ68" s="214">
        <f t="shared" si="29"/>
        <v>1400</v>
      </c>
      <c r="AK68" s="214">
        <f t="shared" si="29"/>
        <v>1400</v>
      </c>
      <c r="AL68" s="215">
        <f t="shared" si="29"/>
        <v>1400</v>
      </c>
    </row>
    <row r="69" spans="1:38" s="96" customFormat="1" outlineLevel="1" x14ac:dyDescent="0.35">
      <c r="A69" s="96" t="s">
        <v>64</v>
      </c>
      <c r="B69" s="96" t="s">
        <v>65</v>
      </c>
      <c r="D69" s="97"/>
      <c r="F69" s="221" t="s">
        <v>256</v>
      </c>
      <c r="G69" s="26"/>
      <c r="H69" s="26" t="s">
        <v>41</v>
      </c>
      <c r="I69" s="26" t="s">
        <v>53</v>
      </c>
      <c r="J69" s="26"/>
      <c r="K69" s="12"/>
      <c r="L69" s="26"/>
      <c r="M69" s="26"/>
      <c r="N69" s="26"/>
      <c r="O69" s="213">
        <v>-50</v>
      </c>
      <c r="P69" s="214">
        <v>-50</v>
      </c>
      <c r="Q69" s="214">
        <v>-50</v>
      </c>
      <c r="R69" s="214">
        <v>-50</v>
      </c>
      <c r="S69" s="214">
        <v>-50</v>
      </c>
      <c r="T69" s="214">
        <v>-50</v>
      </c>
      <c r="U69" s="214">
        <v>-50</v>
      </c>
      <c r="V69" s="214">
        <v>-50</v>
      </c>
      <c r="W69" s="214">
        <v>-50</v>
      </c>
      <c r="X69" s="214">
        <v>-50</v>
      </c>
      <c r="Y69" s="214">
        <v>-50</v>
      </c>
      <c r="Z69" s="215">
        <v>-50</v>
      </c>
      <c r="AA69" s="213">
        <v>-50</v>
      </c>
      <c r="AB69" s="214">
        <v>-50</v>
      </c>
      <c r="AC69" s="214">
        <v>-50</v>
      </c>
      <c r="AD69" s="214">
        <v>-50</v>
      </c>
      <c r="AE69" s="214">
        <v>-50</v>
      </c>
      <c r="AF69" s="214">
        <v>-50</v>
      </c>
      <c r="AG69" s="214">
        <v>-50</v>
      </c>
      <c r="AH69" s="214">
        <v>-50</v>
      </c>
      <c r="AI69" s="214">
        <v>-50</v>
      </c>
      <c r="AJ69" s="214">
        <v>-50</v>
      </c>
      <c r="AK69" s="214">
        <v>-50</v>
      </c>
      <c r="AL69" s="215">
        <v>-50</v>
      </c>
    </row>
    <row r="70" spans="1:38" s="94" customFormat="1" outlineLevel="1" x14ac:dyDescent="0.35">
      <c r="A70" s="94" t="s">
        <v>64</v>
      </c>
      <c r="B70" s="94" t="s">
        <v>65</v>
      </c>
      <c r="D70" s="95" t="s">
        <v>162</v>
      </c>
      <c r="F70" s="226" t="s">
        <v>257</v>
      </c>
      <c r="G70" s="227"/>
      <c r="H70" s="227"/>
      <c r="I70" s="227" t="s">
        <v>8</v>
      </c>
      <c r="J70" s="227"/>
      <c r="K70" s="2"/>
      <c r="L70" s="227"/>
      <c r="M70" s="227"/>
      <c r="N70" s="227"/>
      <c r="O70" s="228">
        <f t="shared" ref="O70:AL70" si="30">O67-O47</f>
        <v>1437.795918367347</v>
      </c>
      <c r="P70" s="229">
        <f t="shared" si="30"/>
        <v>1437.795918367347</v>
      </c>
      <c r="Q70" s="229">
        <f t="shared" si="30"/>
        <v>1437.795918367347</v>
      </c>
      <c r="R70" s="229">
        <f t="shared" si="30"/>
        <v>1367.795918367347</v>
      </c>
      <c r="S70" s="229">
        <f t="shared" si="30"/>
        <v>1367.795918367347</v>
      </c>
      <c r="T70" s="229">
        <f t="shared" si="30"/>
        <v>1367.795918367347</v>
      </c>
      <c r="U70" s="229">
        <f t="shared" si="30"/>
        <v>1368.04</v>
      </c>
      <c r="V70" s="229">
        <f t="shared" si="30"/>
        <v>1368.04</v>
      </c>
      <c r="W70" s="229">
        <f t="shared" si="30"/>
        <v>1368.04</v>
      </c>
      <c r="X70" s="229">
        <f t="shared" si="30"/>
        <v>1368.04</v>
      </c>
      <c r="Y70" s="229">
        <f t="shared" si="30"/>
        <v>1368.04</v>
      </c>
      <c r="Z70" s="230">
        <f t="shared" si="30"/>
        <v>1368.04</v>
      </c>
      <c r="AA70" s="229">
        <f t="shared" si="30"/>
        <v>1338.04</v>
      </c>
      <c r="AB70" s="229">
        <f t="shared" si="30"/>
        <v>1338.04</v>
      </c>
      <c r="AC70" s="229">
        <f t="shared" si="30"/>
        <v>1338.04</v>
      </c>
      <c r="AD70" s="229">
        <f t="shared" si="30"/>
        <v>1338.04</v>
      </c>
      <c r="AE70" s="229">
        <f t="shared" si="30"/>
        <v>1338.04</v>
      </c>
      <c r="AF70" s="229">
        <f t="shared" si="30"/>
        <v>1338.04</v>
      </c>
      <c r="AG70" s="229">
        <f t="shared" si="30"/>
        <v>1338.04</v>
      </c>
      <c r="AH70" s="229">
        <f t="shared" si="30"/>
        <v>1338.04</v>
      </c>
      <c r="AI70" s="229">
        <f t="shared" si="30"/>
        <v>1338.04</v>
      </c>
      <c r="AJ70" s="229">
        <f t="shared" si="30"/>
        <v>1338.04</v>
      </c>
      <c r="AK70" s="229">
        <f t="shared" si="30"/>
        <v>1338.04</v>
      </c>
      <c r="AL70" s="230">
        <f t="shared" si="30"/>
        <v>1338.04</v>
      </c>
    </row>
    <row r="71" spans="1:38" s="96" customFormat="1" ht="79.400000000000006" customHeight="1" outlineLevel="1" x14ac:dyDescent="0.35">
      <c r="A71" s="96" t="s">
        <v>64</v>
      </c>
      <c r="B71" s="96" t="s">
        <v>65</v>
      </c>
      <c r="D71" s="97"/>
      <c r="F71" s="221" t="s">
        <v>258</v>
      </c>
      <c r="G71" s="26"/>
      <c r="H71" s="26"/>
      <c r="I71" s="26"/>
      <c r="J71" s="26" t="s">
        <v>45</v>
      </c>
      <c r="K71" s="12"/>
      <c r="L71" s="26"/>
      <c r="M71" s="26"/>
      <c r="N71" s="26"/>
      <c r="O71" s="88" t="str" cm="1">
        <f t="array" ref="O71">INDEX(Note!$G$3:$G$101,MATCH(1,(Note!$A$3:$A$101=$A71)*(Note!$C$3:$C$101=$B71)*(Note!$E$3:$E$101&lt;=O$1)*(Note!$F$3:$F$101&gt;=O$2),0))</f>
        <v>Giá MBF01 trừ $50</v>
      </c>
      <c r="P71" s="27" t="str" cm="1">
        <f t="array" ref="P71">INDEX(Note!$G$3:$G$101,MATCH(1,(Note!$A$3:$A$101=$A71)*(Note!$C$3:$C$101=$B71)*(Note!$E$3:$E$101&lt;=P$1)*(Note!$F$3:$F$101&gt;=P$2),0))</f>
        <v>Giá MBF01 trừ $50</v>
      </c>
      <c r="Q71" s="27" t="str" cm="1">
        <f t="array" ref="Q71">INDEX(Note!$G$3:$G$101,MATCH(1,(Note!$A$3:$A$101=$A71)*(Note!$C$3:$C$101=$B71)*(Note!$E$3:$E$101&lt;=Q$1)*(Note!$F$3:$F$101&gt;=Q$2),0))</f>
        <v>Giá MBF01 trừ $50</v>
      </c>
      <c r="R71" s="27" t="str" cm="1">
        <f t="array" ref="R71">INDEX(Note!$G$3:$G$101,MATCH(1,(Note!$A$3:$A$101=$A71)*(Note!$C$3:$C$101=$B71)*(Note!$E$3:$E$101&lt;=R$1)*(Note!$F$3:$F$101&gt;=R$2),0))</f>
        <v>Giá MBF01 trừ $50</v>
      </c>
      <c r="S71" s="27" t="str" cm="1">
        <f t="array" ref="S71">INDEX(Note!$G$3:$G$101,MATCH(1,(Note!$A$3:$A$101=$A71)*(Note!$C$3:$C$101=$B71)*(Note!$E$3:$E$101&lt;=S$1)*(Note!$F$3:$F$101&gt;=S$2),0))</f>
        <v>Giá MBF01 trừ $50</v>
      </c>
      <c r="T71" s="27" t="str" cm="1">
        <f t="array" ref="T71">INDEX(Note!$G$3:$G$101,MATCH(1,(Note!$A$3:$A$101=$A71)*(Note!$C$3:$C$101=$B71)*(Note!$E$3:$E$101&lt;=T$1)*(Note!$F$3:$F$101&gt;=T$2),0))</f>
        <v>Giá MBF01 trừ $50</v>
      </c>
      <c r="U71" s="27" t="str" cm="1">
        <f t="array" ref="U71">INDEX(Note!$G$3:$G$101,MATCH(1,(Note!$A$3:$A$101=$A71)*(Note!$C$3:$C$101=$B71)*(Note!$E$3:$E$101&lt;=U$1)*(Note!$F$3:$F$101&gt;=U$2),0))</f>
        <v>Giá MBF01 trừ $50</v>
      </c>
      <c r="V71" s="27" t="str" cm="1">
        <f t="array" ref="V71">INDEX(Note!$G$3:$G$101,MATCH(1,(Note!$A$3:$A$101=$A71)*(Note!$C$3:$C$101=$B71)*(Note!$E$3:$E$101&lt;=V$1)*(Note!$F$3:$F$101&gt;=V$2),0))</f>
        <v>Giá MBF01 trừ $50</v>
      </c>
      <c r="W71" s="27" t="str" cm="1">
        <f t="array" ref="W71">INDEX(Note!$G$3:$G$101,MATCH(1,(Note!$A$3:$A$101=$A71)*(Note!$C$3:$C$101=$B71)*(Note!$E$3:$E$101&lt;=W$1)*(Note!$F$3:$F$101&gt;=W$2),0))</f>
        <v>Giá MBF01 trừ $50</v>
      </c>
      <c r="X71" s="27" t="str" cm="1">
        <f t="array" ref="X71">INDEX(Note!$G$3:$G$101,MATCH(1,(Note!$A$3:$A$101=$A71)*(Note!$C$3:$C$101=$B71)*(Note!$E$3:$E$101&lt;=X$1)*(Note!$F$3:$F$101&gt;=X$2),0))</f>
        <v>Giá MBF01 trừ $50</v>
      </c>
      <c r="Y71" s="27" t="str" cm="1">
        <f t="array" ref="Y71">INDEX(Note!$G$3:$G$101,MATCH(1,(Note!$A$3:$A$101=$A71)*(Note!$C$3:$C$101=$B71)*(Note!$E$3:$E$101&lt;=Y$1)*(Note!$F$3:$F$101&gt;=Y$2),0))</f>
        <v>Giá MBF01 trừ $50</v>
      </c>
      <c r="Z71" s="89" t="str" cm="1">
        <f t="array" ref="Z71">INDEX(Note!$G$3:$G$101,MATCH(1,(Note!$A$3:$A$101=$A71)*(Note!$C$3:$C$101=$B71)*(Note!$E$3:$E$101&lt;=Z$1)*(Note!$F$3:$F$101&gt;=Z$2),0))</f>
        <v>Giá MBF01 trừ $50</v>
      </c>
      <c r="AA71" s="27" t="str" cm="1">
        <f t="array" ref="AA71">INDEX(Note!$G$3:$G$101,MATCH(1,(Note!$A$3:$A$101=$A71)*(Note!$C$3:$C$101=$B71)*(Note!$E$3:$E$101&lt;=AA$1)*(Note!$F$3:$F$101&gt;=AA$2),0))</f>
        <v>Giá PCF01 trừ $50</v>
      </c>
      <c r="AB71" s="27" t="str" cm="1">
        <f t="array" ref="AB71">INDEX(Note!$G$3:$G$101,MATCH(1,(Note!$A$3:$A$101=$A71)*(Note!$C$3:$C$101=$B71)*(Note!$E$3:$E$101&lt;=AB$1)*(Note!$F$3:$F$101&gt;=AB$2),0))</f>
        <v>Giá PCF01 trừ $50</v>
      </c>
      <c r="AC71" s="27" t="str" cm="1">
        <f t="array" ref="AC71">INDEX(Note!$G$3:$G$101,MATCH(1,(Note!$A$3:$A$101=$A71)*(Note!$C$3:$C$101=$B71)*(Note!$E$3:$E$101&lt;=AC$1)*(Note!$F$3:$F$101&gt;=AC$2),0))</f>
        <v>Giá PCF01 trừ $50</v>
      </c>
      <c r="AD71" s="27" t="str" cm="1">
        <f t="array" ref="AD71">INDEX(Note!$G$3:$G$101,MATCH(1,(Note!$A$3:$A$101=$A71)*(Note!$C$3:$C$101=$B71)*(Note!$E$3:$E$101&lt;=AD$1)*(Note!$F$3:$F$101&gt;=AD$2),0))</f>
        <v>Giá PCF01 trừ $50</v>
      </c>
      <c r="AE71" s="27" t="str" cm="1">
        <f t="array" ref="AE71">INDEX(Note!$G$3:$G$101,MATCH(1,(Note!$A$3:$A$101=$A71)*(Note!$C$3:$C$101=$B71)*(Note!$E$3:$E$101&lt;=AE$1)*(Note!$F$3:$F$101&gt;=AE$2),0))</f>
        <v>Giá PCF01 trừ $50</v>
      </c>
      <c r="AF71" s="27" t="str" cm="1">
        <f t="array" ref="AF71">INDEX(Note!$G$3:$G$101,MATCH(1,(Note!$A$3:$A$101=$A71)*(Note!$C$3:$C$101=$B71)*(Note!$E$3:$E$101&lt;=AF$1)*(Note!$F$3:$F$101&gt;=AF$2),0))</f>
        <v>Giá PCF01 trừ $50</v>
      </c>
      <c r="AG71" s="27" t="str" cm="1">
        <f t="array" ref="AG71">INDEX(Note!$G$3:$G$101,MATCH(1,(Note!$A$3:$A$101=$A71)*(Note!$C$3:$C$101=$B71)*(Note!$E$3:$E$101&lt;=AG$1)*(Note!$F$3:$F$101&gt;=AG$2),0))</f>
        <v>Giá PCF01 trừ $50</v>
      </c>
      <c r="AH71" s="27" t="str" cm="1">
        <f t="array" ref="AH71">INDEX(Note!$G$3:$G$101,MATCH(1,(Note!$A$3:$A$101=$A71)*(Note!$C$3:$C$101=$B71)*(Note!$E$3:$E$101&lt;=AH$1)*(Note!$F$3:$F$101&gt;=AH$2),0))</f>
        <v>Giá PCF01 trừ $50</v>
      </c>
      <c r="AI71" s="27" t="str" cm="1">
        <f t="array" ref="AI71">INDEX(Note!$G$3:$G$101,MATCH(1,(Note!$A$3:$A$101=$A71)*(Note!$C$3:$C$101=$B71)*(Note!$E$3:$E$101&lt;=AI$1)*(Note!$F$3:$F$101&gt;=AI$2),0))</f>
        <v>Giá PCF01 trừ $50</v>
      </c>
      <c r="AJ71" s="27" t="str" cm="1">
        <f t="array" ref="AJ71">INDEX(Note!$G$3:$G$101,MATCH(1,(Note!$A$3:$A$101=$A71)*(Note!$C$3:$C$101=$B71)*(Note!$E$3:$E$101&lt;=AJ$1)*(Note!$F$3:$F$101&gt;=AJ$2),0))</f>
        <v>Giá PCF01 trừ $50</v>
      </c>
      <c r="AK71" s="27" t="str" cm="1">
        <f t="array" ref="AK71">INDEX(Note!$G$3:$G$101,MATCH(1,(Note!$A$3:$A$101=$A71)*(Note!$C$3:$C$101=$B71)*(Note!$E$3:$E$101&lt;=AK$1)*(Note!$F$3:$F$101&gt;=AK$2),0))</f>
        <v>Giá PCF01 trừ $50</v>
      </c>
      <c r="AL71" s="89" t="str" cm="1">
        <f t="array" ref="AL71">INDEX(Note!$G$3:$G$101,MATCH(1,(Note!$A$3:$A$101=$A71)*(Note!$C$3:$C$101=$B71)*(Note!$E$3:$E$101&lt;=AL$1)*(Note!$F$3:$F$101&gt;=AL$2),0))</f>
        <v>Giá PCF01 trừ $50</v>
      </c>
    </row>
    <row r="72" spans="1:38" s="96" customFormat="1" outlineLevel="1" x14ac:dyDescent="0.35">
      <c r="A72" s="96" t="s">
        <v>64</v>
      </c>
      <c r="B72" s="96" t="s">
        <v>65</v>
      </c>
      <c r="D72" s="97"/>
      <c r="F72" s="221" t="s">
        <v>259</v>
      </c>
      <c r="G72" s="26"/>
      <c r="H72" s="26"/>
      <c r="I72" s="26"/>
      <c r="J72" s="26" t="s">
        <v>43</v>
      </c>
      <c r="K72" s="12"/>
      <c r="L72" s="26"/>
      <c r="M72" s="26"/>
      <c r="N72" s="26"/>
      <c r="O72" s="88" t="str" cm="1">
        <f t="array" ref="O72">INDEX(Note!$H$3:$H$101,MATCH(1,(Note!$A$3:$A$101=$A72)*(Note!$C$3:$C$101=$B72)*(Note!$E$3:$E$101&lt;=O$1)*(Note!$F$3:$F$101&gt;=O$2),0))</f>
        <v>DDP</v>
      </c>
      <c r="P72" s="27" t="str" cm="1">
        <f t="array" ref="P72">INDEX(Note!$H$3:$H$101,MATCH(1,(Note!$A$3:$A$101=$A72)*(Note!$C$3:$C$101=$B72)*(Note!$E$3:$E$101&lt;=P$1)*(Note!$F$3:$F$101&gt;=P$2),0))</f>
        <v>DDP</v>
      </c>
      <c r="Q72" s="27" t="str" cm="1">
        <f t="array" ref="Q72">INDEX(Note!$H$3:$H$101,MATCH(1,(Note!$A$3:$A$101=$A72)*(Note!$C$3:$C$101=$B72)*(Note!$E$3:$E$101&lt;=Q$1)*(Note!$F$3:$F$101&gt;=Q$2),0))</f>
        <v>DDP</v>
      </c>
      <c r="R72" s="27" t="str" cm="1">
        <f t="array" ref="R72">INDEX(Note!$H$3:$H$101,MATCH(1,(Note!$A$3:$A$101=$A72)*(Note!$C$3:$C$101=$B72)*(Note!$E$3:$E$101&lt;=R$1)*(Note!$F$3:$F$101&gt;=R$2),0))</f>
        <v>DDP</v>
      </c>
      <c r="S72" s="27" t="str" cm="1">
        <f t="array" ref="S72">INDEX(Note!$H$3:$H$101,MATCH(1,(Note!$A$3:$A$101=$A72)*(Note!$C$3:$C$101=$B72)*(Note!$E$3:$E$101&lt;=S$1)*(Note!$F$3:$F$101&gt;=S$2),0))</f>
        <v>DDP</v>
      </c>
      <c r="T72" s="27" t="str" cm="1">
        <f t="array" ref="T72">INDEX(Note!$H$3:$H$101,MATCH(1,(Note!$A$3:$A$101=$A72)*(Note!$C$3:$C$101=$B72)*(Note!$E$3:$E$101&lt;=T$1)*(Note!$F$3:$F$101&gt;=T$2),0))</f>
        <v>DDP</v>
      </c>
      <c r="U72" s="27" t="str" cm="1">
        <f t="array" ref="U72">INDEX(Note!$H$3:$H$101,MATCH(1,(Note!$A$3:$A$101=$A72)*(Note!$C$3:$C$101=$B72)*(Note!$E$3:$E$101&lt;=U$1)*(Note!$F$3:$F$101&gt;=U$2),0))</f>
        <v>DDP</v>
      </c>
      <c r="V72" s="27" t="str" cm="1">
        <f t="array" ref="V72">INDEX(Note!$H$3:$H$101,MATCH(1,(Note!$A$3:$A$101=$A72)*(Note!$C$3:$C$101=$B72)*(Note!$E$3:$E$101&lt;=V$1)*(Note!$F$3:$F$101&gt;=V$2),0))</f>
        <v>DDP</v>
      </c>
      <c r="W72" s="27" t="str" cm="1">
        <f t="array" ref="W72">INDEX(Note!$H$3:$H$101,MATCH(1,(Note!$A$3:$A$101=$A72)*(Note!$C$3:$C$101=$B72)*(Note!$E$3:$E$101&lt;=W$1)*(Note!$F$3:$F$101&gt;=W$2),0))</f>
        <v>DDP</v>
      </c>
      <c r="X72" s="27" t="str" cm="1">
        <f t="array" ref="X72">INDEX(Note!$H$3:$H$101,MATCH(1,(Note!$A$3:$A$101=$A72)*(Note!$C$3:$C$101=$B72)*(Note!$E$3:$E$101&lt;=X$1)*(Note!$F$3:$F$101&gt;=X$2),0))</f>
        <v>DDP</v>
      </c>
      <c r="Y72" s="27" t="str" cm="1">
        <f t="array" ref="Y72">INDEX(Note!$H$3:$H$101,MATCH(1,(Note!$A$3:$A$101=$A72)*(Note!$C$3:$C$101=$B72)*(Note!$E$3:$E$101&lt;=Y$1)*(Note!$F$3:$F$101&gt;=Y$2),0))</f>
        <v>DDP</v>
      </c>
      <c r="Z72" s="89" t="str" cm="1">
        <f t="array" ref="Z72">INDEX(Note!$H$3:$H$101,MATCH(1,(Note!$A$3:$A$101=$A72)*(Note!$C$3:$C$101=$B72)*(Note!$E$3:$E$101&lt;=Z$1)*(Note!$F$3:$F$101&gt;=Z$2),0))</f>
        <v>DDP</v>
      </c>
      <c r="AA72" s="27" t="str" cm="1">
        <f t="array" ref="AA72">INDEX(Note!$H$3:$H$101,MATCH(1,(Note!$A$3:$A$101=$A72)*(Note!$C$3:$C$101=$B72)*(Note!$E$3:$E$101&lt;=AA$1)*(Note!$F$3:$F$101&gt;=AA$2),0))</f>
        <v>DDP</v>
      </c>
      <c r="AB72" s="27" t="str" cm="1">
        <f t="array" ref="AB72">INDEX(Note!$H$3:$H$101,MATCH(1,(Note!$A$3:$A$101=$A72)*(Note!$C$3:$C$101=$B72)*(Note!$E$3:$E$101&lt;=AB$1)*(Note!$F$3:$F$101&gt;=AB$2),0))</f>
        <v>DDP</v>
      </c>
      <c r="AC72" s="27" t="str" cm="1">
        <f t="array" ref="AC72">INDEX(Note!$H$3:$H$101,MATCH(1,(Note!$A$3:$A$101=$A72)*(Note!$C$3:$C$101=$B72)*(Note!$E$3:$E$101&lt;=AC$1)*(Note!$F$3:$F$101&gt;=AC$2),0))</f>
        <v>DDP</v>
      </c>
      <c r="AD72" s="27" t="str" cm="1">
        <f t="array" ref="AD72">INDEX(Note!$H$3:$H$101,MATCH(1,(Note!$A$3:$A$101=$A72)*(Note!$C$3:$C$101=$B72)*(Note!$E$3:$E$101&lt;=AD$1)*(Note!$F$3:$F$101&gt;=AD$2),0))</f>
        <v>DDP</v>
      </c>
      <c r="AE72" s="27" t="str" cm="1">
        <f t="array" ref="AE72">INDEX(Note!$H$3:$H$101,MATCH(1,(Note!$A$3:$A$101=$A72)*(Note!$C$3:$C$101=$B72)*(Note!$E$3:$E$101&lt;=AE$1)*(Note!$F$3:$F$101&gt;=AE$2),0))</f>
        <v>DDP</v>
      </c>
      <c r="AF72" s="27" t="str" cm="1">
        <f t="array" ref="AF72">INDEX(Note!$H$3:$H$101,MATCH(1,(Note!$A$3:$A$101=$A72)*(Note!$C$3:$C$101=$B72)*(Note!$E$3:$E$101&lt;=AF$1)*(Note!$F$3:$F$101&gt;=AF$2),0))</f>
        <v>DDP</v>
      </c>
      <c r="AG72" s="27" t="str" cm="1">
        <f t="array" ref="AG72">INDEX(Note!$H$3:$H$101,MATCH(1,(Note!$A$3:$A$101=$A72)*(Note!$C$3:$C$101=$B72)*(Note!$E$3:$E$101&lt;=AG$1)*(Note!$F$3:$F$101&gt;=AG$2),0))</f>
        <v>DDP</v>
      </c>
      <c r="AH72" s="27" t="str" cm="1">
        <f t="array" ref="AH72">INDEX(Note!$H$3:$H$101,MATCH(1,(Note!$A$3:$A$101=$A72)*(Note!$C$3:$C$101=$B72)*(Note!$E$3:$E$101&lt;=AH$1)*(Note!$F$3:$F$101&gt;=AH$2),0))</f>
        <v>DDP</v>
      </c>
      <c r="AI72" s="27" t="str" cm="1">
        <f t="array" ref="AI72">INDEX(Note!$H$3:$H$101,MATCH(1,(Note!$A$3:$A$101=$A72)*(Note!$C$3:$C$101=$B72)*(Note!$E$3:$E$101&lt;=AI$1)*(Note!$F$3:$F$101&gt;=AI$2),0))</f>
        <v>DDP</v>
      </c>
      <c r="AJ72" s="27" t="str" cm="1">
        <f t="array" ref="AJ72">INDEX(Note!$H$3:$H$101,MATCH(1,(Note!$A$3:$A$101=$A72)*(Note!$C$3:$C$101=$B72)*(Note!$E$3:$E$101&lt;=AJ$1)*(Note!$F$3:$F$101&gt;=AJ$2),0))</f>
        <v>DDP</v>
      </c>
      <c r="AK72" s="27" t="str" cm="1">
        <f t="array" ref="AK72">INDEX(Note!$H$3:$H$101,MATCH(1,(Note!$A$3:$A$101=$A72)*(Note!$C$3:$C$101=$B72)*(Note!$E$3:$E$101&lt;=AK$1)*(Note!$F$3:$F$101&gt;=AK$2),0))</f>
        <v>DDP</v>
      </c>
      <c r="AL72" s="89" t="str" cm="1">
        <f t="array" ref="AL72">INDEX(Note!$H$3:$H$101,MATCH(1,(Note!$A$3:$A$101=$A72)*(Note!$C$3:$C$101=$B72)*(Note!$E$3:$E$101&lt;=AL$1)*(Note!$F$3:$F$101&gt;=AL$2),0))</f>
        <v>DDP</v>
      </c>
    </row>
    <row r="73" spans="1:38" s="97" customFormat="1" outlineLevel="1" x14ac:dyDescent="0.35">
      <c r="A73" s="97" t="s">
        <v>64</v>
      </c>
      <c r="B73" s="97" t="s">
        <v>65</v>
      </c>
      <c r="F73" s="196" t="s">
        <v>260</v>
      </c>
      <c r="G73" s="107"/>
      <c r="H73" s="107"/>
      <c r="I73" s="107"/>
      <c r="J73" s="107" t="s">
        <v>46</v>
      </c>
      <c r="K73" s="109"/>
      <c r="L73" s="107"/>
      <c r="M73" s="107"/>
      <c r="N73" s="107"/>
      <c r="O73" s="236" t="str" cm="1">
        <f t="array" ref="O73">INDEX(Note!$I$3:$I$101,MATCH(1,(Note!$A$3:$A$101=$A73)*(Note!$C$3:$C$101=$B73)*(Note!$E$3:$E$101&lt;=O$1)*(Note!$F$3:$F$101&gt;=O$2),0))</f>
        <v>Quý</v>
      </c>
      <c r="P73" s="196" t="str" cm="1">
        <f t="array" ref="P73">INDEX(Note!$I$3:$I$101,MATCH(1,(Note!$A$3:$A$101=$A73)*(Note!$C$3:$C$101=$B73)*(Note!$E$3:$E$101&lt;=P$1)*(Note!$F$3:$F$101&gt;=P$2),0))</f>
        <v>Quý</v>
      </c>
      <c r="Q73" s="196" t="str" cm="1">
        <f t="array" ref="Q73">INDEX(Note!$I$3:$I$101,MATCH(1,(Note!$A$3:$A$101=$A73)*(Note!$C$3:$C$101=$B73)*(Note!$E$3:$E$101&lt;=Q$1)*(Note!$F$3:$F$101&gt;=Q$2),0))</f>
        <v>Quý</v>
      </c>
      <c r="R73" s="196" t="str" cm="1">
        <f t="array" ref="R73">INDEX(Note!$I$3:$I$101,MATCH(1,(Note!$A$3:$A$101=$A73)*(Note!$C$3:$C$101=$B73)*(Note!$E$3:$E$101&lt;=R$1)*(Note!$F$3:$F$101&gt;=R$2),0))</f>
        <v>Quý</v>
      </c>
      <c r="S73" s="196" t="str" cm="1">
        <f t="array" ref="S73">INDEX(Note!$I$3:$I$101,MATCH(1,(Note!$A$3:$A$101=$A73)*(Note!$C$3:$C$101=$B73)*(Note!$E$3:$E$101&lt;=S$1)*(Note!$F$3:$F$101&gt;=S$2),0))</f>
        <v>Quý</v>
      </c>
      <c r="T73" s="196" t="str" cm="1">
        <f t="array" ref="T73">INDEX(Note!$I$3:$I$101,MATCH(1,(Note!$A$3:$A$101=$A73)*(Note!$C$3:$C$101=$B73)*(Note!$E$3:$E$101&lt;=T$1)*(Note!$F$3:$F$101&gt;=T$2),0))</f>
        <v>Quý</v>
      </c>
      <c r="U73" s="196" t="str" cm="1">
        <f t="array" ref="U73">INDEX(Note!$I$3:$I$101,MATCH(1,(Note!$A$3:$A$101=$A73)*(Note!$C$3:$C$101=$B73)*(Note!$E$3:$E$101&lt;=U$1)*(Note!$F$3:$F$101&gt;=U$2),0))</f>
        <v>Quý</v>
      </c>
      <c r="V73" s="196" t="str" cm="1">
        <f t="array" ref="V73">INDEX(Note!$I$3:$I$101,MATCH(1,(Note!$A$3:$A$101=$A73)*(Note!$C$3:$C$101=$B73)*(Note!$E$3:$E$101&lt;=V$1)*(Note!$F$3:$F$101&gt;=V$2),0))</f>
        <v>Quý</v>
      </c>
      <c r="W73" s="196" t="str" cm="1">
        <f t="array" ref="W73">INDEX(Note!$I$3:$I$101,MATCH(1,(Note!$A$3:$A$101=$A73)*(Note!$C$3:$C$101=$B73)*(Note!$E$3:$E$101&lt;=W$1)*(Note!$F$3:$F$101&gt;=W$2),0))</f>
        <v>Quý</v>
      </c>
      <c r="X73" s="196" t="str" cm="1">
        <f t="array" ref="X73">INDEX(Note!$I$3:$I$101,MATCH(1,(Note!$A$3:$A$101=$A73)*(Note!$C$3:$C$101=$B73)*(Note!$E$3:$E$101&lt;=X$1)*(Note!$F$3:$F$101&gt;=X$2),0))</f>
        <v>Quý</v>
      </c>
      <c r="Y73" s="196" t="str" cm="1">
        <f t="array" ref="Y73">INDEX(Note!$I$3:$I$101,MATCH(1,(Note!$A$3:$A$101=$A73)*(Note!$C$3:$C$101=$B73)*(Note!$E$3:$E$101&lt;=Y$1)*(Note!$F$3:$F$101&gt;=Y$2),0))</f>
        <v>Quý</v>
      </c>
      <c r="Z73" s="197" t="str" cm="1">
        <f t="array" ref="Z73">INDEX(Note!$I$3:$I$101,MATCH(1,(Note!$A$3:$A$101=$A73)*(Note!$C$3:$C$101=$B73)*(Note!$E$3:$E$101&lt;=Z$1)*(Note!$F$3:$F$101&gt;=Z$2),0))</f>
        <v>Quý</v>
      </c>
      <c r="AA73" s="196" t="str" cm="1">
        <f t="array" ref="AA73">INDEX(Note!$I$3:$I$101,MATCH(1,(Note!$A$3:$A$101=$A73)*(Note!$C$3:$C$101=$B73)*(Note!$E$3:$E$101&lt;=AA$1)*(Note!$F$3:$F$101&gt;=AA$2),0))</f>
        <v>Năm</v>
      </c>
      <c r="AB73" s="196" t="str" cm="1">
        <f t="array" ref="AB73">INDEX(Note!$I$3:$I$101,MATCH(1,(Note!$A$3:$A$101=$A73)*(Note!$C$3:$C$101=$B73)*(Note!$E$3:$E$101&lt;=AB$1)*(Note!$F$3:$F$101&gt;=AB$2),0))</f>
        <v>Năm</v>
      </c>
      <c r="AC73" s="196" t="str" cm="1">
        <f t="array" ref="AC73">INDEX(Note!$I$3:$I$101,MATCH(1,(Note!$A$3:$A$101=$A73)*(Note!$C$3:$C$101=$B73)*(Note!$E$3:$E$101&lt;=AC$1)*(Note!$F$3:$F$101&gt;=AC$2),0))</f>
        <v>Năm</v>
      </c>
      <c r="AD73" s="196" t="str" cm="1">
        <f t="array" ref="AD73">INDEX(Note!$I$3:$I$101,MATCH(1,(Note!$A$3:$A$101=$A73)*(Note!$C$3:$C$101=$B73)*(Note!$E$3:$E$101&lt;=AD$1)*(Note!$F$3:$F$101&gt;=AD$2),0))</f>
        <v>Năm</v>
      </c>
      <c r="AE73" s="196" t="str" cm="1">
        <f t="array" ref="AE73">INDEX(Note!$I$3:$I$101,MATCH(1,(Note!$A$3:$A$101=$A73)*(Note!$C$3:$C$101=$B73)*(Note!$E$3:$E$101&lt;=AE$1)*(Note!$F$3:$F$101&gt;=AE$2),0))</f>
        <v>Năm</v>
      </c>
      <c r="AF73" s="196" t="str" cm="1">
        <f t="array" ref="AF73">INDEX(Note!$I$3:$I$101,MATCH(1,(Note!$A$3:$A$101=$A73)*(Note!$C$3:$C$101=$B73)*(Note!$E$3:$E$101&lt;=AF$1)*(Note!$F$3:$F$101&gt;=AF$2),0))</f>
        <v>Năm</v>
      </c>
      <c r="AG73" s="196" t="str" cm="1">
        <f t="array" ref="AG73">INDEX(Note!$I$3:$I$101,MATCH(1,(Note!$A$3:$A$101=$A73)*(Note!$C$3:$C$101=$B73)*(Note!$E$3:$E$101&lt;=AG$1)*(Note!$F$3:$F$101&gt;=AG$2),0))</f>
        <v>Năm</v>
      </c>
      <c r="AH73" s="196" t="str" cm="1">
        <f t="array" ref="AH73">INDEX(Note!$I$3:$I$101,MATCH(1,(Note!$A$3:$A$101=$A73)*(Note!$C$3:$C$101=$B73)*(Note!$E$3:$E$101&lt;=AH$1)*(Note!$F$3:$F$101&gt;=AH$2),0))</f>
        <v>Năm</v>
      </c>
      <c r="AI73" s="196" t="str" cm="1">
        <f t="array" ref="AI73">INDEX(Note!$I$3:$I$101,MATCH(1,(Note!$A$3:$A$101=$A73)*(Note!$C$3:$C$101=$B73)*(Note!$E$3:$E$101&lt;=AI$1)*(Note!$F$3:$F$101&gt;=AI$2),0))</f>
        <v>Năm</v>
      </c>
      <c r="AJ73" s="196" t="str" cm="1">
        <f t="array" ref="AJ73">INDEX(Note!$I$3:$I$101,MATCH(1,(Note!$A$3:$A$101=$A73)*(Note!$C$3:$C$101=$B73)*(Note!$E$3:$E$101&lt;=AJ$1)*(Note!$F$3:$F$101&gt;=AJ$2),0))</f>
        <v>Năm</v>
      </c>
      <c r="AK73" s="196" t="str" cm="1">
        <f t="array" ref="AK73">INDEX(Note!$I$3:$I$101,MATCH(1,(Note!$A$3:$A$101=$A73)*(Note!$C$3:$C$101=$B73)*(Note!$E$3:$E$101&lt;=AK$1)*(Note!$F$3:$F$101&gt;=AK$2),0))</f>
        <v>Năm</v>
      </c>
      <c r="AL73" s="197" t="str" cm="1">
        <f t="array" ref="AL73">INDEX(Note!$I$3:$I$101,MATCH(1,(Note!$A$3:$A$101=$A73)*(Note!$C$3:$C$101=$B73)*(Note!$E$3:$E$101&lt;=AL$1)*(Note!$F$3:$F$101&gt;=AL$2),0))</f>
        <v>Năm</v>
      </c>
    </row>
    <row r="74" spans="1:38" s="188" customFormat="1" outlineLevel="1" x14ac:dyDescent="0.35">
      <c r="A74" s="188" t="s">
        <v>64</v>
      </c>
      <c r="B74" s="188" t="s">
        <v>65</v>
      </c>
      <c r="F74" s="225" t="s">
        <v>266</v>
      </c>
      <c r="G74" s="193"/>
      <c r="H74" s="193"/>
      <c r="I74" s="193"/>
      <c r="J74" s="193" t="s">
        <v>203</v>
      </c>
      <c r="K74" s="189"/>
      <c r="L74" s="202"/>
      <c r="M74" s="202"/>
      <c r="N74" s="202"/>
      <c r="O74" s="201" cm="1">
        <f t="array" ref="O74">SUMPRODUCT(General_Data*(Year=O$3)*(Month=O$4)*(Code_General_Data=$B74))</f>
        <v>1350</v>
      </c>
      <c r="P74" s="202" cm="1">
        <f t="array" ref="P74">SUMPRODUCT(General_Data*(Year=P$3)*(Month=P$4)*(Code_General_Data=$B74))</f>
        <v>1350</v>
      </c>
      <c r="Q74" s="202" cm="1">
        <f t="array" ref="Q74">SUMPRODUCT(General_Data*(Year=Q$3)*(Month=Q$4)*(Code_General_Data=$B74))</f>
        <v>1350</v>
      </c>
      <c r="R74" s="202" cm="1">
        <f t="array" ref="R74">SUMPRODUCT(General_Data*(Year=R$3)*(Month=R$4)*(Code_General_Data=$B74))</f>
        <v>1350</v>
      </c>
      <c r="S74" s="202" cm="1">
        <f t="array" ref="S74">SUMPRODUCT(General_Data*(Year=S$3)*(Month=S$4)*(Code_General_Data=$B74))</f>
        <v>1350</v>
      </c>
      <c r="T74" s="202" cm="1">
        <f t="array" ref="T74">SUMPRODUCT(General_Data*(Year=T$3)*(Month=T$4)*(Code_General_Data=$B74))</f>
        <v>1350</v>
      </c>
      <c r="U74" s="202" cm="1">
        <f t="array" ref="U74">SUMPRODUCT(General_Data*(Year=U$3)*(Month=U$4)*(Code_General_Data=$B74))</f>
        <v>1350</v>
      </c>
      <c r="V74" s="202" cm="1">
        <f t="array" ref="V74">SUMPRODUCT(General_Data*(Year=V$3)*(Month=V$4)*(Code_General_Data=$B74))</f>
        <v>1350</v>
      </c>
      <c r="W74" s="202" cm="1">
        <f t="array" ref="W74">SUMPRODUCT(General_Data*(Year=W$3)*(Month=W$4)*(Code_General_Data=$B74))</f>
        <v>1350</v>
      </c>
      <c r="X74" s="202" cm="1">
        <f t="array" ref="X74">SUMPRODUCT(General_Data*(Year=X$3)*(Month=X$4)*(Code_General_Data=$B74))</f>
        <v>1350</v>
      </c>
      <c r="Y74" s="202" cm="1">
        <f t="array" ref="Y74">SUMPRODUCT(General_Data*(Year=Y$3)*(Month=Y$4)*(Code_General_Data=$B74))</f>
        <v>1350</v>
      </c>
      <c r="Z74" s="203" cm="1">
        <f t="array" ref="Z74">SUMPRODUCT(General_Data*(Year=Z$3)*(Month=Z$4)*(Code_General_Data=$B74))</f>
        <v>1350</v>
      </c>
      <c r="AA74" s="202" cm="1">
        <f t="array" ref="AA74">SUMPRODUCT(General_Data*(Year=AA$3)*(Month=AA$4)*(Code_General_Data=$B74))</f>
        <v>1350</v>
      </c>
      <c r="AB74" s="202" cm="1">
        <f t="array" ref="AB74">SUMPRODUCT(General_Data*(Year=AB$3)*(Month=AB$4)*(Code_General_Data=$B74))</f>
        <v>1350</v>
      </c>
      <c r="AC74" s="202" cm="1">
        <f t="array" ref="AC74">SUMPRODUCT(General_Data*(Year=AC$3)*(Month=AC$4)*(Code_General_Data=$B74))</f>
        <v>1300</v>
      </c>
      <c r="AD74" s="202"/>
      <c r="AE74" s="202"/>
      <c r="AF74" s="202"/>
      <c r="AG74" s="202"/>
      <c r="AH74" s="202"/>
      <c r="AI74" s="202"/>
      <c r="AJ74" s="202"/>
      <c r="AK74" s="202"/>
      <c r="AL74" s="203"/>
    </row>
    <row r="75" spans="1:38" s="93" customFormat="1" x14ac:dyDescent="0.35">
      <c r="D75" s="92"/>
      <c r="F75" s="168"/>
      <c r="G75"/>
      <c r="H75"/>
      <c r="I75"/>
      <c r="J75"/>
      <c r="K75"/>
      <c r="L75"/>
      <c r="M75"/>
      <c r="N75"/>
      <c r="O75" s="47"/>
      <c r="P75"/>
      <c r="Q75"/>
      <c r="R75"/>
      <c r="S75"/>
      <c r="T75"/>
      <c r="U75"/>
      <c r="V75"/>
      <c r="W75"/>
      <c r="X75"/>
      <c r="Y75"/>
      <c r="Z75" s="48"/>
      <c r="AA75"/>
      <c r="AB75"/>
      <c r="AC75"/>
      <c r="AD75"/>
      <c r="AE75"/>
      <c r="AF75"/>
      <c r="AG75"/>
      <c r="AH75"/>
      <c r="AI75"/>
      <c r="AJ75"/>
      <c r="AK75"/>
      <c r="AL75" s="48"/>
    </row>
    <row r="76" spans="1:38" s="178" customFormat="1" ht="19.5" x14ac:dyDescent="0.35">
      <c r="A76" s="176" t="s">
        <v>40</v>
      </c>
      <c r="B76" s="176"/>
      <c r="C76" s="176"/>
      <c r="D76" s="176"/>
      <c r="E76" s="176"/>
      <c r="F76" s="219">
        <v>3</v>
      </c>
      <c r="G76" s="177" t="s">
        <v>324</v>
      </c>
      <c r="H76" s="177"/>
      <c r="I76" s="177"/>
      <c r="J76" s="177"/>
      <c r="L76" s="180"/>
      <c r="M76" s="180"/>
      <c r="N76" s="180"/>
      <c r="O76" s="179"/>
      <c r="P76" s="180"/>
      <c r="Q76" s="180"/>
      <c r="R76" s="180"/>
      <c r="S76" s="180"/>
      <c r="T76" s="180"/>
      <c r="U76" s="180"/>
      <c r="V76" s="180"/>
      <c r="W76" s="180"/>
      <c r="X76" s="180"/>
      <c r="Y76" s="180"/>
      <c r="Z76" s="181"/>
      <c r="AA76" s="182">
        <f>AA82-AA80</f>
        <v>1448.125</v>
      </c>
      <c r="AB76" s="180">
        <f>AB82-AB80</f>
        <v>1409.7916666666652</v>
      </c>
      <c r="AC76" s="182"/>
      <c r="AD76" s="182"/>
      <c r="AE76" s="182"/>
      <c r="AF76" s="182"/>
      <c r="AG76" s="182"/>
      <c r="AH76" s="182"/>
      <c r="AI76" s="182"/>
      <c r="AJ76" s="182"/>
      <c r="AK76" s="182"/>
      <c r="AL76" s="181"/>
    </row>
    <row r="77" spans="1:38" s="183" customFormat="1" ht="17" x14ac:dyDescent="0.35">
      <c r="A77" s="183" t="s">
        <v>40</v>
      </c>
      <c r="B77" s="183" t="s">
        <v>29</v>
      </c>
      <c r="D77" s="183" t="s">
        <v>322</v>
      </c>
      <c r="F77" s="273">
        <v>3.1</v>
      </c>
      <c r="G77" s="274"/>
      <c r="H77" s="274" t="s">
        <v>261</v>
      </c>
      <c r="I77" s="274"/>
      <c r="J77" s="274"/>
      <c r="L77" s="274"/>
      <c r="M77" s="274"/>
      <c r="N77" s="288"/>
      <c r="O77" s="216">
        <f>SUM(O78:O81)</f>
        <v>1366.5</v>
      </c>
      <c r="P77" s="217">
        <f t="shared" ref="P77:Z77" si="31">SUM(P78:P81)</f>
        <v>1374</v>
      </c>
      <c r="Q77" s="217">
        <f t="shared" si="31"/>
        <v>1386.5</v>
      </c>
      <c r="R77" s="217">
        <f t="shared" si="31"/>
        <v>1389</v>
      </c>
      <c r="S77" s="217">
        <f t="shared" si="31"/>
        <v>1393</v>
      </c>
      <c r="T77" s="217">
        <f t="shared" si="31"/>
        <v>1408</v>
      </c>
      <c r="U77" s="217">
        <f t="shared" si="31"/>
        <v>1424</v>
      </c>
      <c r="V77" s="217">
        <f t="shared" si="31"/>
        <v>1435</v>
      </c>
      <c r="W77" s="217">
        <f t="shared" si="31"/>
        <v>1455</v>
      </c>
      <c r="X77" s="217">
        <f t="shared" si="31"/>
        <v>1482.75</v>
      </c>
      <c r="Y77" s="217">
        <f t="shared" si="31"/>
        <v>1500.25</v>
      </c>
      <c r="Z77" s="218">
        <f t="shared" si="31"/>
        <v>1504</v>
      </c>
      <c r="AA77" s="216">
        <f>MIN(MAX(SUM(AA78,AA79),AA88),AA87)+AA80+AA81</f>
        <v>1402.21875</v>
      </c>
      <c r="AB77" s="217">
        <f>MIN(MAX(SUM(AB78,AB79),AB88),AB87)+AB80+AB81</f>
        <v>1365.8020833333319</v>
      </c>
      <c r="AC77" s="217"/>
      <c r="AD77" s="217"/>
      <c r="AE77" s="217"/>
      <c r="AF77" s="217"/>
      <c r="AG77" s="217"/>
      <c r="AH77" s="217"/>
      <c r="AI77" s="217"/>
      <c r="AJ77" s="217"/>
      <c r="AK77" s="217"/>
      <c r="AL77" s="218"/>
    </row>
    <row r="78" spans="1:38" s="93" customFormat="1" outlineLevel="1" x14ac:dyDescent="0.35">
      <c r="A78" s="93" t="s">
        <v>40</v>
      </c>
      <c r="B78" s="93" t="s">
        <v>29</v>
      </c>
      <c r="D78" s="92"/>
      <c r="F78" s="275" t="s">
        <v>271</v>
      </c>
      <c r="G78" s="276"/>
      <c r="H78" s="276" t="s">
        <v>41</v>
      </c>
      <c r="I78" s="276" t="s">
        <v>267</v>
      </c>
      <c r="J78" s="276"/>
      <c r="K78"/>
      <c r="L78" s="276"/>
      <c r="M78" s="276"/>
      <c r="N78" s="289"/>
      <c r="O78" s="213">
        <f>(M83+N83)/2</f>
        <v>1300</v>
      </c>
      <c r="P78" s="214">
        <f t="shared" ref="P78:Z78" si="32">(N83+O83)/2</f>
        <v>1307.5</v>
      </c>
      <c r="Q78" s="214">
        <f t="shared" si="32"/>
        <v>1320</v>
      </c>
      <c r="R78" s="214">
        <f t="shared" si="32"/>
        <v>1322.5</v>
      </c>
      <c r="S78" s="214">
        <f t="shared" si="32"/>
        <v>1326.5</v>
      </c>
      <c r="T78" s="214">
        <f t="shared" si="32"/>
        <v>1341.5</v>
      </c>
      <c r="U78" s="214">
        <f t="shared" si="32"/>
        <v>1357.5</v>
      </c>
      <c r="V78" s="214">
        <f t="shared" si="32"/>
        <v>1368.5</v>
      </c>
      <c r="W78" s="214">
        <f t="shared" si="32"/>
        <v>1388.5</v>
      </c>
      <c r="X78" s="214">
        <f t="shared" si="32"/>
        <v>1416.25</v>
      </c>
      <c r="Y78" s="214">
        <f t="shared" si="32"/>
        <v>1433.75</v>
      </c>
      <c r="Z78" s="215">
        <f t="shared" si="32"/>
        <v>1437.5</v>
      </c>
      <c r="AA78" s="213">
        <f>(Y83+Z83)/2</f>
        <v>1428.125</v>
      </c>
      <c r="AB78" s="214">
        <f>(Z83+AA83)/2</f>
        <v>1389.7916666666652</v>
      </c>
      <c r="AC78" s="214"/>
      <c r="AD78" s="214"/>
      <c r="AE78" s="214"/>
      <c r="AF78" s="214"/>
      <c r="AG78" s="214"/>
      <c r="AH78" s="214"/>
      <c r="AI78" s="214"/>
      <c r="AJ78" s="214"/>
      <c r="AK78" s="214"/>
      <c r="AL78" s="215"/>
    </row>
    <row r="79" spans="1:38" s="93" customFormat="1" outlineLevel="1" x14ac:dyDescent="0.35">
      <c r="A79" s="93" t="s">
        <v>40</v>
      </c>
      <c r="B79" s="93" t="s">
        <v>29</v>
      </c>
      <c r="D79" s="92"/>
      <c r="F79" s="275" t="s">
        <v>272</v>
      </c>
      <c r="G79" s="276"/>
      <c r="H79" s="276" t="s">
        <v>41</v>
      </c>
      <c r="I79" s="276" t="s">
        <v>268</v>
      </c>
      <c r="J79" s="276"/>
      <c r="K79"/>
      <c r="L79" s="276"/>
      <c r="M79" s="276"/>
      <c r="N79" s="289"/>
      <c r="O79" s="213">
        <v>50</v>
      </c>
      <c r="P79" s="214">
        <v>50</v>
      </c>
      <c r="Q79" s="214">
        <v>50</v>
      </c>
      <c r="R79" s="214">
        <v>50</v>
      </c>
      <c r="S79" s="214">
        <v>50</v>
      </c>
      <c r="T79" s="214">
        <v>50</v>
      </c>
      <c r="U79" s="214">
        <v>50</v>
      </c>
      <c r="V79" s="214">
        <v>50</v>
      </c>
      <c r="W79" s="214">
        <v>50</v>
      </c>
      <c r="X79" s="214">
        <v>50</v>
      </c>
      <c r="Y79" s="214">
        <v>50</v>
      </c>
      <c r="Z79" s="215">
        <v>50</v>
      </c>
      <c r="AA79" s="213">
        <v>20</v>
      </c>
      <c r="AB79" s="214">
        <v>20</v>
      </c>
      <c r="AC79" s="214"/>
      <c r="AD79" s="214"/>
      <c r="AE79" s="214"/>
      <c r="AF79" s="214"/>
      <c r="AG79" s="214"/>
      <c r="AH79" s="214"/>
      <c r="AI79" s="214"/>
      <c r="AJ79" s="214"/>
      <c r="AK79" s="214"/>
      <c r="AL79" s="215"/>
    </row>
    <row r="80" spans="1:38" s="93" customFormat="1" outlineLevel="1" x14ac:dyDescent="0.35">
      <c r="A80" s="93" t="s">
        <v>40</v>
      </c>
      <c r="B80" s="93" t="s">
        <v>29</v>
      </c>
      <c r="D80" s="92"/>
      <c r="F80" s="275" t="s">
        <v>273</v>
      </c>
      <c r="G80" s="276"/>
      <c r="H80" s="276" t="s">
        <v>41</v>
      </c>
      <c r="I80" s="277" t="s">
        <v>323</v>
      </c>
      <c r="J80" s="276"/>
      <c r="K80"/>
      <c r="L80" s="276"/>
      <c r="M80" s="276"/>
      <c r="N80" s="289"/>
      <c r="O80" s="213">
        <f>-IF('Rebate-Suntory'!$E$14="/tấn",'Rebate-Suntory'!$D$14,IF('Rebate-Suntory'!$E$14="giá trị",'Rebate-Suntory'!$D$14*(O78+O79+O81),0))</f>
        <v>-10</v>
      </c>
      <c r="P80" s="214">
        <f>-IF('Rebate-Suntory'!$E$14="/tấn",'Rebate-Suntory'!$D$14,IF('Rebate-Suntory'!$E$14="giá trị",'Rebate-Suntory'!$D$14*(P78+P79+P81),0))</f>
        <v>-10</v>
      </c>
      <c r="Q80" s="214">
        <f>-IF('Rebate-Suntory'!$E$14="/tấn",'Rebate-Suntory'!$D$14,IF('Rebate-Suntory'!$E$14="giá trị",'Rebate-Suntory'!$D$14*(Q78+Q79+Q81),0))</f>
        <v>-10</v>
      </c>
      <c r="R80" s="214">
        <f>-IF('Rebate-Suntory'!$E$14="/tấn",'Rebate-Suntory'!$D$14,IF('Rebate-Suntory'!$E$14="giá trị",'Rebate-Suntory'!$D$14*(R78+R79+R81),0))</f>
        <v>-10</v>
      </c>
      <c r="S80" s="214">
        <f>-IF('Rebate-Suntory'!$E$14="/tấn",'Rebate-Suntory'!$D$14,IF('Rebate-Suntory'!$E$14="giá trị",'Rebate-Suntory'!$D$14*(S78+S79+S81),0))</f>
        <v>-10</v>
      </c>
      <c r="T80" s="214">
        <f>-IF('Rebate-Suntory'!$E$14="/tấn",'Rebate-Suntory'!$D$14,IF('Rebate-Suntory'!$E$14="giá trị",'Rebate-Suntory'!$D$14*(T78+T79+T81),0))</f>
        <v>-10</v>
      </c>
      <c r="U80" s="214">
        <f>-IF('Rebate-Suntory'!$E$14="/tấn",'Rebate-Suntory'!$D$14,IF('Rebate-Suntory'!$E$14="giá trị",'Rebate-Suntory'!$D$14*(U78+U79+U81),0))</f>
        <v>-10</v>
      </c>
      <c r="V80" s="214">
        <f>-IF('Rebate-Suntory'!$E$14="/tấn",'Rebate-Suntory'!$D$14,IF('Rebate-Suntory'!$E$14="giá trị",'Rebate-Suntory'!$D$14*(V78+V79+V81),0))</f>
        <v>-10</v>
      </c>
      <c r="W80" s="214">
        <f>-IF('Rebate-Suntory'!$E$14="/tấn",'Rebate-Suntory'!$D$14,IF('Rebate-Suntory'!$E$14="giá trị",'Rebate-Suntory'!$D$14*(W78+W79+W81),0))</f>
        <v>-10</v>
      </c>
      <c r="X80" s="214">
        <f>-IF('Rebate-Suntory'!$E$14="/tấn",'Rebate-Suntory'!$D$14,IF('Rebate-Suntory'!$E$14="giá trị",'Rebate-Suntory'!$D$14*(X78+X79+X81),0))</f>
        <v>-10</v>
      </c>
      <c r="Y80" s="214">
        <f>-IF('Rebate-Suntory'!$E$14="/tấn",'Rebate-Suntory'!$D$14,IF('Rebate-Suntory'!$E$14="giá trị",'Rebate-Suntory'!$D$14*(Y78+Y79+Y81),0))</f>
        <v>-10</v>
      </c>
      <c r="Z80" s="215">
        <f>-IF('Rebate-Suntory'!$E$14="/tấn",'Rebate-Suntory'!$D$14,IF('Rebate-Suntory'!$E$14="giá trị",'Rebate-Suntory'!$D$14*(Z78+Z79+Z81),0))</f>
        <v>-10</v>
      </c>
      <c r="AA80" s="213">
        <f>-IF('Rebate-Suntory'!$J$14="/tấn",'Rebate-Suntory'!$I$14,IF('Rebate-Suntory'!$J$14="giá trị",'Rebate-Suntory'!$I$14*(AA78+AA79),0))</f>
        <v>-72.40625</v>
      </c>
      <c r="AB80" s="214">
        <f>-IF('Rebate-Suntory'!$J$14="/tấn",'Rebate-Suntory'!$I$14,IF('Rebate-Suntory'!$J$14="giá trị",'Rebate-Suntory'!$I$14*(AB78+AB79),0))</f>
        <v>-70.489583333333258</v>
      </c>
      <c r="AC80" s="214"/>
      <c r="AD80" s="214"/>
      <c r="AE80" s="214"/>
      <c r="AF80" s="214"/>
      <c r="AG80" s="214"/>
      <c r="AH80" s="214"/>
      <c r="AI80" s="214"/>
      <c r="AJ80" s="214"/>
      <c r="AK80" s="214"/>
      <c r="AL80" s="215"/>
    </row>
    <row r="81" spans="1:38" s="93" customFormat="1" outlineLevel="1" x14ac:dyDescent="0.35">
      <c r="A81" s="93" t="s">
        <v>40</v>
      </c>
      <c r="B81" s="93" t="s">
        <v>29</v>
      </c>
      <c r="D81" s="92"/>
      <c r="F81" s="275" t="s">
        <v>274</v>
      </c>
      <c r="G81" s="276"/>
      <c r="H81" s="276" t="s">
        <v>41</v>
      </c>
      <c r="I81" s="276" t="s">
        <v>42</v>
      </c>
      <c r="J81" s="276"/>
      <c r="K81"/>
      <c r="L81" s="276"/>
      <c r="M81" s="276"/>
      <c r="N81" s="289"/>
      <c r="O81" s="297">
        <v>26.5</v>
      </c>
      <c r="P81" s="298">
        <v>26.5</v>
      </c>
      <c r="Q81" s="298">
        <v>26.5</v>
      </c>
      <c r="R81" s="298">
        <v>26.5</v>
      </c>
      <c r="S81" s="298">
        <v>26.5</v>
      </c>
      <c r="T81" s="298">
        <v>26.5</v>
      </c>
      <c r="U81" s="298">
        <v>26.5</v>
      </c>
      <c r="V81" s="298">
        <v>26.5</v>
      </c>
      <c r="W81" s="298">
        <v>26.5</v>
      </c>
      <c r="X81" s="298">
        <v>26.5</v>
      </c>
      <c r="Y81" s="298">
        <v>26.5</v>
      </c>
      <c r="Z81" s="299">
        <v>26.5</v>
      </c>
      <c r="AA81" s="297">
        <v>26.5</v>
      </c>
      <c r="AB81" s="298">
        <v>26.5</v>
      </c>
      <c r="AC81" s="8"/>
      <c r="AD81" s="8"/>
      <c r="AE81" s="8"/>
      <c r="AF81" s="8"/>
      <c r="AG81" s="8"/>
      <c r="AH81" s="8"/>
      <c r="AI81" s="8"/>
      <c r="AJ81" s="8"/>
      <c r="AK81" s="8"/>
      <c r="AL81" s="56"/>
    </row>
    <row r="82" spans="1:38" s="94" customFormat="1" outlineLevel="1" x14ac:dyDescent="0.35">
      <c r="A82" s="94" t="s">
        <v>40</v>
      </c>
      <c r="B82" s="94" t="s">
        <v>29</v>
      </c>
      <c r="D82" s="95" t="s">
        <v>162</v>
      </c>
      <c r="F82" s="278" t="s">
        <v>275</v>
      </c>
      <c r="G82" s="279"/>
      <c r="H82" s="279"/>
      <c r="I82" s="279" t="s">
        <v>8</v>
      </c>
      <c r="J82" s="279"/>
      <c r="K82" s="2"/>
      <c r="L82" s="279"/>
      <c r="M82" s="279"/>
      <c r="N82" s="290"/>
      <c r="O82" s="228">
        <f>O77-O81</f>
        <v>1340</v>
      </c>
      <c r="P82" s="229">
        <f t="shared" ref="P82:AB82" si="33">P77-P81</f>
        <v>1347.5</v>
      </c>
      <c r="Q82" s="229">
        <f t="shared" si="33"/>
        <v>1360</v>
      </c>
      <c r="R82" s="229">
        <f t="shared" si="33"/>
        <v>1362.5</v>
      </c>
      <c r="S82" s="229">
        <f t="shared" si="33"/>
        <v>1366.5</v>
      </c>
      <c r="T82" s="229">
        <f t="shared" si="33"/>
        <v>1381.5</v>
      </c>
      <c r="U82" s="229">
        <f t="shared" si="33"/>
        <v>1397.5</v>
      </c>
      <c r="V82" s="229">
        <f t="shared" si="33"/>
        <v>1408.5</v>
      </c>
      <c r="W82" s="229">
        <f t="shared" si="33"/>
        <v>1428.5</v>
      </c>
      <c r="X82" s="229">
        <f t="shared" si="33"/>
        <v>1456.25</v>
      </c>
      <c r="Y82" s="229">
        <f t="shared" si="33"/>
        <v>1473.75</v>
      </c>
      <c r="Z82" s="230">
        <f t="shared" si="33"/>
        <v>1477.5</v>
      </c>
      <c r="AA82" s="229">
        <f>AA77-AA81</f>
        <v>1375.71875</v>
      </c>
      <c r="AB82" s="229">
        <f t="shared" si="33"/>
        <v>1339.3020833333319</v>
      </c>
      <c r="AC82" s="229"/>
      <c r="AD82" s="229"/>
      <c r="AE82" s="229"/>
      <c r="AF82" s="229"/>
      <c r="AG82" s="229"/>
      <c r="AH82" s="229"/>
      <c r="AI82" s="229"/>
      <c r="AJ82" s="229"/>
      <c r="AK82" s="229"/>
      <c r="AL82" s="230"/>
    </row>
    <row r="83" spans="1:38" s="186" customFormat="1" outlineLevel="1" x14ac:dyDescent="0.35">
      <c r="A83" s="186" t="s">
        <v>40</v>
      </c>
      <c r="B83" s="186" t="s">
        <v>29</v>
      </c>
      <c r="C83" s="186" t="s">
        <v>44</v>
      </c>
      <c r="F83" s="280" t="s">
        <v>276</v>
      </c>
      <c r="G83" s="281"/>
      <c r="H83" s="281"/>
      <c r="I83" s="281"/>
      <c r="J83" s="281" t="s">
        <v>75</v>
      </c>
      <c r="K83" s="187"/>
      <c r="L83" s="291" cm="1">
        <f t="array" ref="L83">SUMPRODUCT(General_Data*(Year=L$3)*(Month=L$4)*(Code_General_Data=$C83))</f>
        <v>1288.125</v>
      </c>
      <c r="M83" s="291" cm="1">
        <f t="array" ref="M83">SUMPRODUCT(General_Data*(Year=M$3)*(Month=M$4)*(Code_General_Data=$C83))</f>
        <v>1300</v>
      </c>
      <c r="N83" s="292" cm="1">
        <f t="array" ref="N83">SUMPRODUCT(General_Data*(Year=N$3)*(Month=N$4)*(Code_General_Data=$C83))</f>
        <v>1300</v>
      </c>
      <c r="O83" s="205" cm="1">
        <f t="array" ref="O83">SUMPRODUCT(General_Data*(Year=O$3)*(Month=O$4)*(Code_General_Data=$C83))</f>
        <v>1315</v>
      </c>
      <c r="P83" s="204" cm="1">
        <f t="array" ref="P83">SUMPRODUCT(General_Data*(Year=P$3)*(Month=P$4)*(Code_General_Data=$C83))</f>
        <v>1325</v>
      </c>
      <c r="Q83" s="204" cm="1">
        <f t="array" ref="Q83">SUMPRODUCT(General_Data*(Year=Q$3)*(Month=Q$4)*(Code_General_Data=$C83))</f>
        <v>1320</v>
      </c>
      <c r="R83" s="204" cm="1">
        <f t="array" ref="R83">SUMPRODUCT(General_Data*(Year=R$3)*(Month=R$4)*(Code_General_Data=$C83))</f>
        <v>1333</v>
      </c>
      <c r="S83" s="204" cm="1">
        <f t="array" ref="S83">SUMPRODUCT(General_Data*(Year=S$3)*(Month=S$4)*(Code_General_Data=$C83))</f>
        <v>1350</v>
      </c>
      <c r="T83" s="204" cm="1">
        <f t="array" ref="T83">SUMPRODUCT(General_Data*(Year=T$3)*(Month=T$4)*(Code_General_Data=$C83))</f>
        <v>1365</v>
      </c>
      <c r="U83" s="204" cm="1">
        <f t="array" ref="U83">SUMPRODUCT(General_Data*(Year=U$3)*(Month=U$4)*(Code_General_Data=$C83))</f>
        <v>1372</v>
      </c>
      <c r="V83" s="204" cm="1">
        <f t="array" ref="V83">SUMPRODUCT(General_Data*(Year=V$3)*(Month=V$4)*(Code_General_Data=$C83))</f>
        <v>1405</v>
      </c>
      <c r="W83" s="204" cm="1">
        <f t="array" ref="W83">SUMPRODUCT(General_Data*(Year=W$3)*(Month=W$4)*(Code_General_Data=$C83))</f>
        <v>1427.5</v>
      </c>
      <c r="X83" s="204" cm="1">
        <f t="array" ref="X83">SUMPRODUCT(General_Data*(Year=X$3)*(Month=X$4)*(Code_General_Data=$C83))</f>
        <v>1440</v>
      </c>
      <c r="Y83" s="204" cm="1">
        <f t="array" ref="Y83">SUMPRODUCT(General_Data*(Year=Y$3)*(Month=Y$4)*(Code_General_Data=$C83))</f>
        <v>1435</v>
      </c>
      <c r="Z83" s="206" cm="1">
        <f t="array" ref="Z83">SUMPRODUCT(General_Data*(Year=Z$3)*(Month=Z$4)*(Code_General_Data=$C83))</f>
        <v>1421.25</v>
      </c>
      <c r="AA83" s="204" cm="1">
        <f t="array" ref="AA83">SUMPRODUCT(General_Data*(Year=AA$3)*(Month=AA$4)*(Code_General_Data=$C83))</f>
        <v>1358.3333333333301</v>
      </c>
      <c r="AB83" s="204" cm="1">
        <f t="array" ref="AB83">SUMPRODUCT(General_Data*(Year=AB$3)*(Month=AB$4)*(Code_General_Data=$C83))</f>
        <v>1350</v>
      </c>
      <c r="AC83" s="204"/>
      <c r="AD83" s="204"/>
      <c r="AE83" s="204"/>
      <c r="AF83" s="204"/>
      <c r="AG83" s="204"/>
      <c r="AH83" s="204"/>
      <c r="AI83" s="204"/>
      <c r="AJ83" s="204"/>
      <c r="AK83" s="204"/>
      <c r="AL83" s="206"/>
    </row>
    <row r="84" spans="1:38" s="96" customFormat="1" ht="114.65" customHeight="1" outlineLevel="1" x14ac:dyDescent="0.35">
      <c r="A84" s="96" t="s">
        <v>40</v>
      </c>
      <c r="B84" s="96" t="s">
        <v>29</v>
      </c>
      <c r="D84" s="97"/>
      <c r="F84" s="282" t="s">
        <v>277</v>
      </c>
      <c r="G84" s="283"/>
      <c r="H84" s="283"/>
      <c r="I84" s="283"/>
      <c r="J84" s="283" t="s">
        <v>45</v>
      </c>
      <c r="K84" s="12"/>
      <c r="L84" s="283"/>
      <c r="M84" s="283"/>
      <c r="N84" s="293"/>
      <c r="O84" s="88" t="str" cm="1">
        <f t="array" ref="O84">INDEX(Note!$G$3:$G$101,MATCH(1,(Note!$A$3:$A$101=$A84)*(Note!$C$3:$C$101=$B84)*(Note!$E$3:$E$101&lt;=O$1)*(Note!$F$3:$F$101&gt;=O$2),0))</f>
        <v>Giá ICIS rPET ĐNA trung bình từ ngày 16 tháng (X-2) đến ngày 15 tháng (X-1) +Premium ( Chi phí tăng IV ) - REBATE + Cp vận chuyển</v>
      </c>
      <c r="P84" s="27" t="str" cm="1">
        <f t="array" ref="P84">INDEX(Note!$G$3:$G$101,MATCH(1,(Note!$A$3:$A$101=$A84)*(Note!$C$3:$C$101=$B84)*(Note!$E$3:$E$101&lt;=P$1)*(Note!$F$3:$F$101&gt;=P$2),0))</f>
        <v>Giá ICIS rPET ĐNA trung bình từ ngày 16 tháng (X-2) đến ngày 15 tháng (X-1) +Premium ( Chi phí tăng IV ) - REBATE + Cp vận chuyển</v>
      </c>
      <c r="Q84" s="27" t="str" cm="1">
        <f t="array" ref="Q84">INDEX(Note!$G$3:$G$101,MATCH(1,(Note!$A$3:$A$101=$A84)*(Note!$C$3:$C$101=$B84)*(Note!$E$3:$E$101&lt;=Q$1)*(Note!$F$3:$F$101&gt;=Q$2),0))</f>
        <v>Giá ICIS rPET ĐNA trung bình từ ngày 16 tháng (X-2) đến ngày 15 tháng (X-1) +Premium ( Chi phí tăng IV ) - REBATE + Cp vận chuyển</v>
      </c>
      <c r="R84" s="27" t="str" cm="1">
        <f t="array" ref="R84">INDEX(Note!$G$3:$G$101,MATCH(1,(Note!$A$3:$A$101=$A84)*(Note!$C$3:$C$101=$B84)*(Note!$E$3:$E$101&lt;=R$1)*(Note!$F$3:$F$101&gt;=R$2),0))</f>
        <v>Giá ICIS rPET ĐNA trung bình từ ngày 16 tháng (X-2) đến ngày 15 tháng (X-1) +Premium ( Chi phí tăng IV ) - REBATE + Cp vận chuyển</v>
      </c>
      <c r="S84" s="27" t="str" cm="1">
        <f t="array" ref="S84">INDEX(Note!$G$3:$G$101,MATCH(1,(Note!$A$3:$A$101=$A84)*(Note!$C$3:$C$101=$B84)*(Note!$E$3:$E$101&lt;=S$1)*(Note!$F$3:$F$101&gt;=S$2),0))</f>
        <v>Giá ICIS rPET ĐNA trung bình từ ngày 16 tháng (X-2) đến ngày 15 tháng (X-1) +Premium ( Chi phí tăng IV ) - REBATE + Cp vận chuyển</v>
      </c>
      <c r="T84" s="27" t="str" cm="1">
        <f t="array" ref="T84">INDEX(Note!$G$3:$G$101,MATCH(1,(Note!$A$3:$A$101=$A84)*(Note!$C$3:$C$101=$B84)*(Note!$E$3:$E$101&lt;=T$1)*(Note!$F$3:$F$101&gt;=T$2),0))</f>
        <v>Giá ICIS rPET ĐNA trung bình từ ngày 16 tháng (X-2) đến ngày 15 tháng (X-1) +Premium ( Chi phí tăng IV ) - REBATE + Cp vận chuyển</v>
      </c>
      <c r="U84" s="27" t="str" cm="1">
        <f t="array" ref="U84">INDEX(Note!$G$3:$G$101,MATCH(1,(Note!$A$3:$A$101=$A84)*(Note!$C$3:$C$101=$B84)*(Note!$E$3:$E$101&lt;=U$1)*(Note!$F$3:$F$101&gt;=U$2),0))</f>
        <v>Giá ICIS rPET ĐNA trung bình từ ngày 16 tháng (X-2) đến ngày 15 tháng (X-1) +Premium ( Chi phí tăng IV ) - REBATE + Cp vận chuyển</v>
      </c>
      <c r="V84" s="27" t="str" cm="1">
        <f t="array" ref="V84">INDEX(Note!$G$3:$G$101,MATCH(1,(Note!$A$3:$A$101=$A84)*(Note!$C$3:$C$101=$B84)*(Note!$E$3:$E$101&lt;=V$1)*(Note!$F$3:$F$101&gt;=V$2),0))</f>
        <v>Giá ICIS rPET ĐNA trung bình từ ngày 16 tháng (X-2) đến ngày 15 tháng (X-1) +Premium ( Chi phí tăng IV ) - REBATE + Cp vận chuyển</v>
      </c>
      <c r="W84" s="27" t="str" cm="1">
        <f t="array" ref="W84">INDEX(Note!$G$3:$G$101,MATCH(1,(Note!$A$3:$A$101=$A84)*(Note!$C$3:$C$101=$B84)*(Note!$E$3:$E$101&lt;=W$1)*(Note!$F$3:$F$101&gt;=W$2),0))</f>
        <v>Giá ICIS rPET ĐNA trung bình từ ngày 16 tháng (X-2) đến ngày 15 tháng (X-1) +Premium ( Chi phí tăng IV ) - REBATE + Cp vận chuyển</v>
      </c>
      <c r="X84" s="27" t="str" cm="1">
        <f t="array" ref="X84">INDEX(Note!$G$3:$G$101,MATCH(1,(Note!$A$3:$A$101=$A84)*(Note!$C$3:$C$101=$B84)*(Note!$E$3:$E$101&lt;=X$1)*(Note!$F$3:$F$101&gt;=X$2),0))</f>
        <v>Giá ICIS rPET ĐNA trung bình từ ngày 16 tháng (X-2) đến ngày 15 tháng (X-1) +Premium ( Chi phí tăng IV ) - REBATE + Cp vận chuyển</v>
      </c>
      <c r="Y84" s="27" t="str" cm="1">
        <f t="array" ref="Y84">INDEX(Note!$G$3:$G$101,MATCH(1,(Note!$A$3:$A$101=$A84)*(Note!$C$3:$C$101=$B84)*(Note!$E$3:$E$101&lt;=Y$1)*(Note!$F$3:$F$101&gt;=Y$2),0))</f>
        <v>Giá ICIS rPET ĐNA trung bình từ ngày 16 tháng (X-2) đến ngày 15 tháng (X-1) +Premium ( Chi phí tăng IV ) - REBATE + Cp vận chuyển</v>
      </c>
      <c r="Z84" s="89" t="str" cm="1">
        <f t="array" ref="Z84">INDEX(Note!$G$3:$G$101,MATCH(1,(Note!$A$3:$A$101=$A84)*(Note!$C$3:$C$101=$B84)*(Note!$E$3:$E$101&lt;=Z$1)*(Note!$F$3:$F$101&gt;=Z$2),0))</f>
        <v>Giá ICIS rPET ĐNA trung bình từ ngày 16 tháng (X-2) đến ngày 15 tháng (X-1) +Premium ( Chi phí tăng IV ) - REBATE + Cp vận chuyển</v>
      </c>
      <c r="AA84" s="27" t="str" cm="1">
        <f t="array" ref="AA84">INDEX(Note!$G$3:$G$101,MATCH(1,(Note!$A$3:$A$101=$A84)*(Note!$C$3:$C$101=$B84)*(Note!$E$3:$E$101&lt;=AA$1)*(Note!$F$3:$F$101&gt;=AA$2),0))</f>
        <v>Giá ICIS rPET ĐNA trung bình từ ngày 16 tháng (X-2) đến ngày 15 tháng (X-1) +Premium ( Chi phí tăng IV ) - REBATE + Cp vận chuyển. Giá trần $1,550; giá sàn $1,330</v>
      </c>
      <c r="AB84" s="27" t="str" cm="1">
        <f t="array" ref="AB84">INDEX(Note!$G$3:$G$101,MATCH(1,(Note!$A$3:$A$101=$A84)*(Note!$C$3:$C$101=$B84)*(Note!$E$3:$E$101&lt;=AB$1)*(Note!$F$3:$F$101&gt;=AB$2),0))</f>
        <v>Giá ICIS rPET ĐNA trung bình từ ngày 16 tháng (X-2) đến ngày 15 tháng (X-1) +Premium ( Chi phí tăng IV ) - REBATE + Cp vận chuyển. Giá trần $1,550; giá sàn $1,330</v>
      </c>
      <c r="AC84" s="27"/>
      <c r="AD84" s="27"/>
      <c r="AE84" s="27"/>
      <c r="AF84" s="27"/>
      <c r="AG84" s="27"/>
      <c r="AH84" s="27"/>
      <c r="AI84" s="27"/>
      <c r="AJ84" s="27"/>
      <c r="AK84" s="27"/>
      <c r="AL84" s="89"/>
    </row>
    <row r="85" spans="1:38" s="96" customFormat="1" outlineLevel="1" x14ac:dyDescent="0.35">
      <c r="A85" s="96" t="s">
        <v>40</v>
      </c>
      <c r="B85" s="96" t="s">
        <v>29</v>
      </c>
      <c r="D85" s="97"/>
      <c r="F85" s="282" t="s">
        <v>278</v>
      </c>
      <c r="G85" s="283"/>
      <c r="H85" s="283"/>
      <c r="I85" s="283"/>
      <c r="J85" s="283" t="s">
        <v>43</v>
      </c>
      <c r="K85" s="12"/>
      <c r="L85" s="283"/>
      <c r="M85" s="283"/>
      <c r="N85" s="293"/>
      <c r="O85" s="88" t="str" cm="1">
        <f t="array" ref="O85">INDEX(Note!$H$3:$H$101,MATCH(1,(Note!$A$3:$A$101=$A85)*(Note!$C$3:$C$101=$B85)*(Note!$E$3:$E$101&lt;=O$1)*(Note!$F$3:$F$101&gt;=O$2),0))</f>
        <v>DDP</v>
      </c>
      <c r="P85" s="27" t="str" cm="1">
        <f t="array" ref="P85">INDEX(Note!$H$3:$H$101,MATCH(1,(Note!$A$3:$A$101=$A85)*(Note!$C$3:$C$101=$B85)*(Note!$E$3:$E$101&lt;=P$1)*(Note!$F$3:$F$101&gt;=P$2),0))</f>
        <v>DDP</v>
      </c>
      <c r="Q85" s="27" t="str" cm="1">
        <f t="array" ref="Q85">INDEX(Note!$H$3:$H$101,MATCH(1,(Note!$A$3:$A$101=$A85)*(Note!$C$3:$C$101=$B85)*(Note!$E$3:$E$101&lt;=Q$1)*(Note!$F$3:$F$101&gt;=Q$2),0))</f>
        <v>DDP</v>
      </c>
      <c r="R85" s="27" t="str" cm="1">
        <f t="array" ref="R85">INDEX(Note!$H$3:$H$101,MATCH(1,(Note!$A$3:$A$101=$A85)*(Note!$C$3:$C$101=$B85)*(Note!$E$3:$E$101&lt;=R$1)*(Note!$F$3:$F$101&gt;=R$2),0))</f>
        <v>DDP</v>
      </c>
      <c r="S85" s="27" t="str" cm="1">
        <f t="array" ref="S85">INDEX(Note!$H$3:$H$101,MATCH(1,(Note!$A$3:$A$101=$A85)*(Note!$C$3:$C$101=$B85)*(Note!$E$3:$E$101&lt;=S$1)*(Note!$F$3:$F$101&gt;=S$2),0))</f>
        <v>DDP</v>
      </c>
      <c r="T85" s="27" t="str" cm="1">
        <f t="array" ref="T85">INDEX(Note!$H$3:$H$101,MATCH(1,(Note!$A$3:$A$101=$A85)*(Note!$C$3:$C$101=$B85)*(Note!$E$3:$E$101&lt;=T$1)*(Note!$F$3:$F$101&gt;=T$2),0))</f>
        <v>DDP</v>
      </c>
      <c r="U85" s="27" t="str" cm="1">
        <f t="array" ref="U85">INDEX(Note!$H$3:$H$101,MATCH(1,(Note!$A$3:$A$101=$A85)*(Note!$C$3:$C$101=$B85)*(Note!$E$3:$E$101&lt;=U$1)*(Note!$F$3:$F$101&gt;=U$2),0))</f>
        <v>DDP</v>
      </c>
      <c r="V85" s="27" t="str" cm="1">
        <f t="array" ref="V85">INDEX(Note!$H$3:$H$101,MATCH(1,(Note!$A$3:$A$101=$A85)*(Note!$C$3:$C$101=$B85)*(Note!$E$3:$E$101&lt;=V$1)*(Note!$F$3:$F$101&gt;=V$2),0))</f>
        <v>DDP</v>
      </c>
      <c r="W85" s="27" t="str" cm="1">
        <f t="array" ref="W85">INDEX(Note!$H$3:$H$101,MATCH(1,(Note!$A$3:$A$101=$A85)*(Note!$C$3:$C$101=$B85)*(Note!$E$3:$E$101&lt;=W$1)*(Note!$F$3:$F$101&gt;=W$2),0))</f>
        <v>DDP</v>
      </c>
      <c r="X85" s="27" t="str" cm="1">
        <f t="array" ref="X85">INDEX(Note!$H$3:$H$101,MATCH(1,(Note!$A$3:$A$101=$A85)*(Note!$C$3:$C$101=$B85)*(Note!$E$3:$E$101&lt;=X$1)*(Note!$F$3:$F$101&gt;=X$2),0))</f>
        <v>DDP</v>
      </c>
      <c r="Y85" s="27" t="str" cm="1">
        <f t="array" ref="Y85">INDEX(Note!$H$3:$H$101,MATCH(1,(Note!$A$3:$A$101=$A85)*(Note!$C$3:$C$101=$B85)*(Note!$E$3:$E$101&lt;=Y$1)*(Note!$F$3:$F$101&gt;=Y$2),0))</f>
        <v>DDP</v>
      </c>
      <c r="Z85" s="89" t="str" cm="1">
        <f t="array" ref="Z85">INDEX(Note!$H$3:$H$101,MATCH(1,(Note!$A$3:$A$101=$A85)*(Note!$C$3:$C$101=$B85)*(Note!$E$3:$E$101&lt;=Z$1)*(Note!$F$3:$F$101&gt;=Z$2),0))</f>
        <v>DDP</v>
      </c>
      <c r="AA85" s="27" t="str" cm="1">
        <f t="array" ref="AA85">INDEX(Note!$H$3:$H$101,MATCH(1,(Note!$A$3:$A$101=$A85)*(Note!$C$3:$C$101=$B85)*(Note!$E$3:$E$101&lt;=AA$1)*(Note!$F$3:$F$101&gt;=AA$2),0))</f>
        <v>DDP</v>
      </c>
      <c r="AB85" s="27" t="str" cm="1">
        <f t="array" ref="AB85">INDEX(Note!$H$3:$H$101,MATCH(1,(Note!$A$3:$A$101=$A85)*(Note!$C$3:$C$101=$B85)*(Note!$E$3:$E$101&lt;=AB$1)*(Note!$F$3:$F$101&gt;=AB$2),0))</f>
        <v>DDP</v>
      </c>
      <c r="AC85" s="27"/>
      <c r="AD85" s="27"/>
      <c r="AE85" s="27"/>
      <c r="AF85" s="27"/>
      <c r="AG85" s="27"/>
      <c r="AH85" s="27"/>
      <c r="AI85" s="27"/>
      <c r="AJ85" s="27"/>
      <c r="AK85" s="27"/>
      <c r="AL85" s="89"/>
    </row>
    <row r="86" spans="1:38" s="97" customFormat="1" outlineLevel="1" x14ac:dyDescent="0.35">
      <c r="A86" s="97" t="s">
        <v>40</v>
      </c>
      <c r="B86" s="97" t="s">
        <v>29</v>
      </c>
      <c r="F86" s="284" t="s">
        <v>279</v>
      </c>
      <c r="G86" s="285"/>
      <c r="H86" s="285"/>
      <c r="I86" s="285"/>
      <c r="J86" s="285" t="s">
        <v>46</v>
      </c>
      <c r="K86" s="109"/>
      <c r="L86" s="285"/>
      <c r="M86" s="285"/>
      <c r="N86" s="294"/>
      <c r="O86" s="236" t="str" cm="1">
        <f t="array" ref="O86">INDEX(Note!$I$3:$I$101,MATCH(1,(Note!$A$3:$A$101=$A86)*(Note!$C$3:$C$101=$B86)*(Note!$E$3:$E$101&lt;=O$1)*(Note!$F$3:$F$101&gt;=O$2),0))</f>
        <v>Tháng</v>
      </c>
      <c r="P86" s="196" t="str" cm="1">
        <f t="array" ref="P86">INDEX(Note!$I$3:$I$101,MATCH(1,(Note!$A$3:$A$101=$A86)*(Note!$C$3:$C$101=$B86)*(Note!$E$3:$E$101&lt;=P$1)*(Note!$F$3:$F$101&gt;=P$2),0))</f>
        <v>Tháng</v>
      </c>
      <c r="Q86" s="196" t="str" cm="1">
        <f t="array" ref="Q86">INDEX(Note!$I$3:$I$101,MATCH(1,(Note!$A$3:$A$101=$A86)*(Note!$C$3:$C$101=$B86)*(Note!$E$3:$E$101&lt;=Q$1)*(Note!$F$3:$F$101&gt;=Q$2),0))</f>
        <v>Tháng</v>
      </c>
      <c r="R86" s="196" t="str" cm="1">
        <f t="array" ref="R86">INDEX(Note!$I$3:$I$101,MATCH(1,(Note!$A$3:$A$101=$A86)*(Note!$C$3:$C$101=$B86)*(Note!$E$3:$E$101&lt;=R$1)*(Note!$F$3:$F$101&gt;=R$2),0))</f>
        <v>Tháng</v>
      </c>
      <c r="S86" s="196" t="str" cm="1">
        <f t="array" ref="S86">INDEX(Note!$I$3:$I$101,MATCH(1,(Note!$A$3:$A$101=$A86)*(Note!$C$3:$C$101=$B86)*(Note!$E$3:$E$101&lt;=S$1)*(Note!$F$3:$F$101&gt;=S$2),0))</f>
        <v>Tháng</v>
      </c>
      <c r="T86" s="196" t="str" cm="1">
        <f t="array" ref="T86">INDEX(Note!$I$3:$I$101,MATCH(1,(Note!$A$3:$A$101=$A86)*(Note!$C$3:$C$101=$B86)*(Note!$E$3:$E$101&lt;=T$1)*(Note!$F$3:$F$101&gt;=T$2),0))</f>
        <v>Tháng</v>
      </c>
      <c r="U86" s="196" t="str" cm="1">
        <f t="array" ref="U86">INDEX(Note!$I$3:$I$101,MATCH(1,(Note!$A$3:$A$101=$A86)*(Note!$C$3:$C$101=$B86)*(Note!$E$3:$E$101&lt;=U$1)*(Note!$F$3:$F$101&gt;=U$2),0))</f>
        <v>Tháng</v>
      </c>
      <c r="V86" s="196" t="str" cm="1">
        <f t="array" ref="V86">INDEX(Note!$I$3:$I$101,MATCH(1,(Note!$A$3:$A$101=$A86)*(Note!$C$3:$C$101=$B86)*(Note!$E$3:$E$101&lt;=V$1)*(Note!$F$3:$F$101&gt;=V$2),0))</f>
        <v>Tháng</v>
      </c>
      <c r="W86" s="196" t="str" cm="1">
        <f t="array" ref="W86">INDEX(Note!$I$3:$I$101,MATCH(1,(Note!$A$3:$A$101=$A86)*(Note!$C$3:$C$101=$B86)*(Note!$E$3:$E$101&lt;=W$1)*(Note!$F$3:$F$101&gt;=W$2),0))</f>
        <v>Tháng</v>
      </c>
      <c r="X86" s="196" t="str" cm="1">
        <f t="array" ref="X86">INDEX(Note!$I$3:$I$101,MATCH(1,(Note!$A$3:$A$101=$A86)*(Note!$C$3:$C$101=$B86)*(Note!$E$3:$E$101&lt;=X$1)*(Note!$F$3:$F$101&gt;=X$2),0))</f>
        <v>Tháng</v>
      </c>
      <c r="Y86" s="196" t="str" cm="1">
        <f t="array" ref="Y86">INDEX(Note!$I$3:$I$101,MATCH(1,(Note!$A$3:$A$101=$A86)*(Note!$C$3:$C$101=$B86)*(Note!$E$3:$E$101&lt;=Y$1)*(Note!$F$3:$F$101&gt;=Y$2),0))</f>
        <v>Tháng</v>
      </c>
      <c r="Z86" s="197" t="str" cm="1">
        <f t="array" ref="Z86">INDEX(Note!$I$3:$I$101,MATCH(1,(Note!$A$3:$A$101=$A86)*(Note!$C$3:$C$101=$B86)*(Note!$E$3:$E$101&lt;=Z$1)*(Note!$F$3:$F$101&gt;=Z$2),0))</f>
        <v>Tháng</v>
      </c>
      <c r="AA86" s="196" t="str" cm="1">
        <f t="array" ref="AA86">INDEX(Note!$I$3:$I$101,MATCH(1,(Note!$A$3:$A$101=$A86)*(Note!$C$3:$C$101=$B86)*(Note!$E$3:$E$101&lt;=AA$1)*(Note!$F$3:$F$101&gt;=AA$2),0))</f>
        <v>Tháng</v>
      </c>
      <c r="AB86" s="196" t="str" cm="1">
        <f t="array" ref="AB86">INDEX(Note!$I$3:$I$101,MATCH(1,(Note!$A$3:$A$101=$A86)*(Note!$C$3:$C$101=$B86)*(Note!$E$3:$E$101&lt;=AB$1)*(Note!$F$3:$F$101&gt;=AB$2),0))</f>
        <v>Tháng</v>
      </c>
      <c r="AC86" s="196"/>
      <c r="AD86" s="196"/>
      <c r="AE86" s="196"/>
      <c r="AF86" s="196"/>
      <c r="AG86" s="196"/>
      <c r="AH86" s="196"/>
      <c r="AI86" s="196"/>
      <c r="AJ86" s="196"/>
      <c r="AK86" s="196"/>
      <c r="AL86" s="197"/>
    </row>
    <row r="87" spans="1:38" s="97" customFormat="1" outlineLevel="1" x14ac:dyDescent="0.35">
      <c r="A87" s="97" t="s">
        <v>40</v>
      </c>
      <c r="B87" s="97" t="s">
        <v>29</v>
      </c>
      <c r="F87" s="196" t="s">
        <v>280</v>
      </c>
      <c r="G87" s="107"/>
      <c r="H87" s="107"/>
      <c r="I87" s="107"/>
      <c r="J87" s="107" t="s">
        <v>47</v>
      </c>
      <c r="K87" s="109"/>
      <c r="L87" s="199"/>
      <c r="M87" s="199"/>
      <c r="N87" s="199"/>
      <c r="O87" s="198" cm="1">
        <f t="array" ref="O87">INDEX(Note!$J$3:$J$101,MATCH(1,(Note!$A$3:$A$101=$A87)*(Note!$C$3:$C$101=$B87)*(Note!$E$3:$E$101&lt;=O$1)*(Note!$F$3:$F$101&gt;=O$2),0))</f>
        <v>0</v>
      </c>
      <c r="P87" s="199" cm="1">
        <f t="array" ref="P87">INDEX(Note!$J$3:$J$101,MATCH(1,(Note!$A$3:$A$101=$A87)*(Note!$C$3:$C$101=$B87)*(Note!$E$3:$E$101&lt;=P$1)*(Note!$F$3:$F$101&gt;=P$2),0))</f>
        <v>0</v>
      </c>
      <c r="Q87" s="199" cm="1">
        <f t="array" ref="Q87">INDEX(Note!$J$3:$J$101,MATCH(1,(Note!$A$3:$A$101=$A87)*(Note!$C$3:$C$101=$B87)*(Note!$E$3:$E$101&lt;=Q$1)*(Note!$F$3:$F$101&gt;=Q$2),0))</f>
        <v>0</v>
      </c>
      <c r="R87" s="199" cm="1">
        <f t="array" ref="R87">INDEX(Note!$J$3:$J$101,MATCH(1,(Note!$A$3:$A$101=$A87)*(Note!$C$3:$C$101=$B87)*(Note!$E$3:$E$101&lt;=R$1)*(Note!$F$3:$F$101&gt;=R$2),0))</f>
        <v>0</v>
      </c>
      <c r="S87" s="199" cm="1">
        <f t="array" ref="S87">INDEX(Note!$J$3:$J$101,MATCH(1,(Note!$A$3:$A$101=$A87)*(Note!$C$3:$C$101=$B87)*(Note!$E$3:$E$101&lt;=S$1)*(Note!$F$3:$F$101&gt;=S$2),0))</f>
        <v>0</v>
      </c>
      <c r="T87" s="199" cm="1">
        <f t="array" ref="T87">INDEX(Note!$J$3:$J$101,MATCH(1,(Note!$A$3:$A$101=$A87)*(Note!$C$3:$C$101=$B87)*(Note!$E$3:$E$101&lt;=T$1)*(Note!$F$3:$F$101&gt;=T$2),0))</f>
        <v>0</v>
      </c>
      <c r="U87" s="199" cm="1">
        <f t="array" ref="U87">INDEX(Note!$J$3:$J$101,MATCH(1,(Note!$A$3:$A$101=$A87)*(Note!$C$3:$C$101=$B87)*(Note!$E$3:$E$101&lt;=U$1)*(Note!$F$3:$F$101&gt;=U$2),0))</f>
        <v>0</v>
      </c>
      <c r="V87" s="199" cm="1">
        <f t="array" ref="V87">INDEX(Note!$J$3:$J$101,MATCH(1,(Note!$A$3:$A$101=$A87)*(Note!$C$3:$C$101=$B87)*(Note!$E$3:$E$101&lt;=V$1)*(Note!$F$3:$F$101&gt;=V$2),0))</f>
        <v>0</v>
      </c>
      <c r="W87" s="199" cm="1">
        <f t="array" ref="W87">INDEX(Note!$J$3:$J$101,MATCH(1,(Note!$A$3:$A$101=$A87)*(Note!$C$3:$C$101=$B87)*(Note!$E$3:$E$101&lt;=W$1)*(Note!$F$3:$F$101&gt;=W$2),0))</f>
        <v>0</v>
      </c>
      <c r="X87" s="199" cm="1">
        <f t="array" ref="X87">INDEX(Note!$J$3:$J$101,MATCH(1,(Note!$A$3:$A$101=$A87)*(Note!$C$3:$C$101=$B87)*(Note!$E$3:$E$101&lt;=X$1)*(Note!$F$3:$F$101&gt;=X$2),0))</f>
        <v>0</v>
      </c>
      <c r="Y87" s="199" cm="1">
        <f t="array" ref="Y87">INDEX(Note!$J$3:$J$101,MATCH(1,(Note!$A$3:$A$101=$A87)*(Note!$C$3:$C$101=$B87)*(Note!$E$3:$E$101&lt;=Y$1)*(Note!$F$3:$F$101&gt;=Y$2),0))</f>
        <v>0</v>
      </c>
      <c r="Z87" s="200" cm="1">
        <f t="array" ref="Z87">INDEX(Note!$J$3:$J$101,MATCH(1,(Note!$A$3:$A$101=$A87)*(Note!$C$3:$C$101=$B87)*(Note!$E$3:$E$101&lt;=Z$1)*(Note!$F$3:$F$101&gt;=Z$2),0))</f>
        <v>0</v>
      </c>
      <c r="AA87" s="199" cm="1">
        <f t="array" ref="AA87">INDEX(Note!$J$3:$J$101,MATCH(1,(Note!$A$3:$A$101=$A87)*(Note!$C$3:$C$101=$B87)*(Note!$E$3:$E$101&lt;=AA$1)*(Note!$F$3:$F$101&gt;=AA$2),0))</f>
        <v>1550</v>
      </c>
      <c r="AB87" s="199" cm="1">
        <f t="array" ref="AB87">INDEX(Note!$J$3:$J$101,MATCH(1,(Note!$A$3:$A$101=$A87)*(Note!$C$3:$C$101=$B87)*(Note!$E$3:$E$101&lt;=AB$1)*(Note!$F$3:$F$101&gt;=AB$2),0))</f>
        <v>1550</v>
      </c>
      <c r="AC87" s="199"/>
      <c r="AD87" s="199"/>
      <c r="AE87" s="199"/>
      <c r="AF87" s="199"/>
      <c r="AG87" s="199"/>
      <c r="AH87" s="199"/>
      <c r="AI87" s="199"/>
      <c r="AJ87" s="199"/>
      <c r="AK87" s="199"/>
      <c r="AL87" s="200"/>
    </row>
    <row r="88" spans="1:38" s="97" customFormat="1" outlineLevel="1" x14ac:dyDescent="0.35">
      <c r="A88" s="97" t="s">
        <v>40</v>
      </c>
      <c r="B88" s="97" t="s">
        <v>29</v>
      </c>
      <c r="F88" s="196" t="s">
        <v>281</v>
      </c>
      <c r="G88" s="107"/>
      <c r="H88" s="107"/>
      <c r="I88" s="107"/>
      <c r="J88" s="107" t="s">
        <v>48</v>
      </c>
      <c r="K88" s="109"/>
      <c r="L88" s="199"/>
      <c r="M88" s="199"/>
      <c r="N88" s="199"/>
      <c r="O88" s="198" cm="1">
        <f t="array" ref="O88">INDEX(Note!$K$3:$K$101,MATCH(1,(Note!$A$3:$A$101=$A88)*(Note!$C$3:$C$101=$B88)*(Note!$E$3:$E$101&lt;=O$1)*(Note!$F$3:$F$101&gt;=O$2),0))</f>
        <v>0</v>
      </c>
      <c r="P88" s="199" cm="1">
        <f t="array" ref="P88">INDEX(Note!$K$3:$K$101,MATCH(1,(Note!$A$3:$A$101=$A88)*(Note!$C$3:$C$101=$B88)*(Note!$E$3:$E$101&lt;=P$1)*(Note!$F$3:$F$101&gt;=P$2),0))</f>
        <v>0</v>
      </c>
      <c r="Q88" s="199" cm="1">
        <f t="array" ref="Q88">INDEX(Note!$K$3:$K$101,MATCH(1,(Note!$A$3:$A$101=$A88)*(Note!$C$3:$C$101=$B88)*(Note!$E$3:$E$101&lt;=Q$1)*(Note!$F$3:$F$101&gt;=Q$2),0))</f>
        <v>0</v>
      </c>
      <c r="R88" s="199" cm="1">
        <f t="array" ref="R88">INDEX(Note!$K$3:$K$101,MATCH(1,(Note!$A$3:$A$101=$A88)*(Note!$C$3:$C$101=$B88)*(Note!$E$3:$E$101&lt;=R$1)*(Note!$F$3:$F$101&gt;=R$2),0))</f>
        <v>0</v>
      </c>
      <c r="S88" s="199" cm="1">
        <f t="array" ref="S88">INDEX(Note!$K$3:$K$101,MATCH(1,(Note!$A$3:$A$101=$A88)*(Note!$C$3:$C$101=$B88)*(Note!$E$3:$E$101&lt;=S$1)*(Note!$F$3:$F$101&gt;=S$2),0))</f>
        <v>0</v>
      </c>
      <c r="T88" s="199" cm="1">
        <f t="array" ref="T88">INDEX(Note!$K$3:$K$101,MATCH(1,(Note!$A$3:$A$101=$A88)*(Note!$C$3:$C$101=$B88)*(Note!$E$3:$E$101&lt;=T$1)*(Note!$F$3:$F$101&gt;=T$2),0))</f>
        <v>0</v>
      </c>
      <c r="U88" s="199" cm="1">
        <f t="array" ref="U88">INDEX(Note!$K$3:$K$101,MATCH(1,(Note!$A$3:$A$101=$A88)*(Note!$C$3:$C$101=$B88)*(Note!$E$3:$E$101&lt;=U$1)*(Note!$F$3:$F$101&gt;=U$2),0))</f>
        <v>0</v>
      </c>
      <c r="V88" s="199" cm="1">
        <f t="array" ref="V88">INDEX(Note!$K$3:$K$101,MATCH(1,(Note!$A$3:$A$101=$A88)*(Note!$C$3:$C$101=$B88)*(Note!$E$3:$E$101&lt;=V$1)*(Note!$F$3:$F$101&gt;=V$2),0))</f>
        <v>0</v>
      </c>
      <c r="W88" s="199" cm="1">
        <f t="array" ref="W88">INDEX(Note!$K$3:$K$101,MATCH(1,(Note!$A$3:$A$101=$A88)*(Note!$C$3:$C$101=$B88)*(Note!$E$3:$E$101&lt;=W$1)*(Note!$F$3:$F$101&gt;=W$2),0))</f>
        <v>0</v>
      </c>
      <c r="X88" s="199" cm="1">
        <f t="array" ref="X88">INDEX(Note!$K$3:$K$101,MATCH(1,(Note!$A$3:$A$101=$A88)*(Note!$C$3:$C$101=$B88)*(Note!$E$3:$E$101&lt;=X$1)*(Note!$F$3:$F$101&gt;=X$2),0))</f>
        <v>0</v>
      </c>
      <c r="Y88" s="199" cm="1">
        <f t="array" ref="Y88">INDEX(Note!$K$3:$K$101,MATCH(1,(Note!$A$3:$A$101=$A88)*(Note!$C$3:$C$101=$B88)*(Note!$E$3:$E$101&lt;=Y$1)*(Note!$F$3:$F$101&gt;=Y$2),0))</f>
        <v>0</v>
      </c>
      <c r="Z88" s="200" cm="1">
        <f t="array" ref="Z88">INDEX(Note!$K$3:$K$101,MATCH(1,(Note!$A$3:$A$101=$A88)*(Note!$C$3:$C$101=$B88)*(Note!$E$3:$E$101&lt;=Z$1)*(Note!$F$3:$F$101&gt;=Z$2),0))</f>
        <v>0</v>
      </c>
      <c r="AA88" s="199" cm="1">
        <f t="array" ref="AA88">INDEX(Note!$K$3:$K$101,MATCH(1,(Note!$A$3:$A$101=$A88)*(Note!$C$3:$C$101=$B88)*(Note!$E$3:$E$101&lt;=AA$1)*(Note!$F$3:$F$101&gt;=AA$2),0))</f>
        <v>1330</v>
      </c>
      <c r="AB88" s="199" cm="1">
        <f t="array" ref="AB88">INDEX(Note!$K$3:$K$101,MATCH(1,(Note!$A$3:$A$101=$A88)*(Note!$C$3:$C$101=$B88)*(Note!$E$3:$E$101&lt;=AB$1)*(Note!$F$3:$F$101&gt;=AB$2),0))</f>
        <v>1330</v>
      </c>
      <c r="AC88" s="199"/>
      <c r="AD88" s="199"/>
      <c r="AE88" s="199"/>
      <c r="AF88" s="199"/>
      <c r="AG88" s="199"/>
      <c r="AH88" s="199"/>
      <c r="AI88" s="199"/>
      <c r="AJ88" s="199"/>
      <c r="AK88" s="199"/>
      <c r="AL88" s="200"/>
    </row>
    <row r="89" spans="1:38" s="188" customFormat="1" outlineLevel="1" x14ac:dyDescent="0.35">
      <c r="A89" s="188" t="s">
        <v>40</v>
      </c>
      <c r="B89" s="188" t="s">
        <v>29</v>
      </c>
      <c r="F89" s="286" t="s">
        <v>282</v>
      </c>
      <c r="G89" s="287"/>
      <c r="H89" s="287"/>
      <c r="I89" s="287"/>
      <c r="J89" s="287" t="s">
        <v>203</v>
      </c>
      <c r="K89" s="189"/>
      <c r="L89" s="295"/>
      <c r="M89" s="295"/>
      <c r="N89" s="296"/>
      <c r="O89" s="201" cm="1">
        <f t="array" ref="O89">SUMPRODUCT(General_Data*(Year=O$3)*(Month=O$4)*(Code_General_Data=$B89))</f>
        <v>1340</v>
      </c>
      <c r="P89" s="202" cm="1">
        <f t="array" ref="P89">SUMPRODUCT(General_Data*(Year=P$3)*(Month=P$4)*(Code_General_Data=$B89))</f>
        <v>1340</v>
      </c>
      <c r="Q89" s="202" cm="1">
        <f t="array" ref="Q89">SUMPRODUCT(General_Data*(Year=Q$3)*(Month=Q$4)*(Code_General_Data=$B89))</f>
        <v>1340</v>
      </c>
      <c r="R89" s="202" cm="1">
        <f t="array" ref="R89">SUMPRODUCT(General_Data*(Year=R$3)*(Month=R$4)*(Code_General_Data=$B89))</f>
        <v>1340</v>
      </c>
      <c r="S89" s="202" cm="1">
        <f t="array" ref="S89">SUMPRODUCT(General_Data*(Year=S$3)*(Month=S$4)*(Code_General_Data=$B89))</f>
        <v>1390</v>
      </c>
      <c r="T89" s="202" cm="1">
        <f t="array" ref="T89">SUMPRODUCT(General_Data*(Year=T$3)*(Month=T$4)*(Code_General_Data=$B89))</f>
        <v>1390</v>
      </c>
      <c r="U89" s="202" cm="1">
        <f t="array" ref="U89">SUMPRODUCT(General_Data*(Year=U$3)*(Month=U$4)*(Code_General_Data=$B89))</f>
        <v>1390</v>
      </c>
      <c r="V89" s="202" cm="1">
        <f t="array" ref="V89">SUMPRODUCT(General_Data*(Year=V$3)*(Month=V$4)*(Code_General_Data=$B89))</f>
        <v>1390</v>
      </c>
      <c r="W89" s="202" cm="1">
        <f t="array" ref="W89">SUMPRODUCT(General_Data*(Year=W$3)*(Month=W$4)*(Code_General_Data=$B89))</f>
        <v>1400</v>
      </c>
      <c r="X89" s="202" cm="1">
        <f t="array" ref="X89">SUMPRODUCT(General_Data*(Year=X$3)*(Month=X$4)*(Code_General_Data=$B89))</f>
        <v>1415</v>
      </c>
      <c r="Y89" s="202" cm="1">
        <f t="array" ref="Y89">SUMPRODUCT(General_Data*(Year=Y$3)*(Month=Y$4)*(Code_General_Data=$B89))</f>
        <v>1415</v>
      </c>
      <c r="Z89" s="203" cm="1">
        <f t="array" ref="Z89">SUMPRODUCT(General_Data*(Year=Z$3)*(Month=Z$4)*(Code_General_Data=$B89))</f>
        <v>1365</v>
      </c>
      <c r="AA89" s="202" cm="1">
        <f t="array" ref="AA89">SUMPRODUCT(General_Data*(Year=AA$3)*(Month=AA$4)*(Code_General_Data=$B89))</f>
        <v>1320</v>
      </c>
      <c r="AB89" s="202" cm="1">
        <f t="array" ref="AB89">SUMPRODUCT(General_Data*(Year=AB$3)*(Month=AB$4)*(Code_General_Data=$B89))</f>
        <v>1280</v>
      </c>
      <c r="AC89" s="202" cm="1">
        <f t="array" ref="AC89">SUMPRODUCT(General_Data*(Year=AC$3)*(Month=AC$4)*(Code_General_Data=$B89))</f>
        <v>1320</v>
      </c>
      <c r="AD89" s="202"/>
      <c r="AE89" s="202"/>
      <c r="AF89" s="202"/>
      <c r="AG89" s="202"/>
      <c r="AH89" s="202"/>
      <c r="AI89" s="202"/>
      <c r="AJ89" s="202"/>
      <c r="AK89" s="202"/>
      <c r="AL89" s="203"/>
    </row>
    <row r="90" spans="1:38" s="188" customFormat="1" ht="6.65" customHeight="1" x14ac:dyDescent="0.35">
      <c r="F90" s="304"/>
      <c r="G90" s="305"/>
      <c r="H90" s="305"/>
      <c r="I90" s="305"/>
      <c r="J90" s="305"/>
      <c r="K90" s="189"/>
      <c r="L90" s="306"/>
      <c r="M90" s="306"/>
      <c r="N90" s="306"/>
      <c r="O90" s="307"/>
      <c r="P90" s="306"/>
      <c r="Q90" s="306"/>
      <c r="R90" s="306"/>
      <c r="S90" s="306"/>
      <c r="T90" s="306"/>
      <c r="U90" s="306"/>
      <c r="V90" s="306"/>
      <c r="W90" s="306"/>
      <c r="X90" s="306"/>
      <c r="Y90" s="306"/>
      <c r="Z90" s="308"/>
      <c r="AA90" s="306"/>
      <c r="AB90" s="306"/>
      <c r="AC90" s="306"/>
      <c r="AD90" s="306"/>
      <c r="AE90" s="306"/>
      <c r="AF90" s="306"/>
      <c r="AG90" s="306"/>
      <c r="AH90" s="306"/>
      <c r="AI90" s="306"/>
      <c r="AJ90" s="306"/>
      <c r="AK90" s="306"/>
      <c r="AL90" s="308"/>
    </row>
    <row r="91" spans="1:38" s="183" customFormat="1" ht="17" x14ac:dyDescent="0.35">
      <c r="A91" s="183" t="s">
        <v>40</v>
      </c>
      <c r="B91" s="183" t="s">
        <v>31</v>
      </c>
      <c r="D91" s="183" t="s">
        <v>322</v>
      </c>
      <c r="F91" s="273">
        <v>3.2</v>
      </c>
      <c r="G91" s="274"/>
      <c r="H91" s="274" t="s">
        <v>270</v>
      </c>
      <c r="I91" s="274"/>
      <c r="J91" s="274"/>
      <c r="L91" s="274"/>
      <c r="M91" s="274"/>
      <c r="N91" s="288"/>
      <c r="O91" s="216">
        <f>SUM(O92:O95)</f>
        <v>1346.5</v>
      </c>
      <c r="P91" s="217">
        <f t="shared" ref="P91:Z91" si="34">SUM(P92:P95)</f>
        <v>1354</v>
      </c>
      <c r="Q91" s="217">
        <f t="shared" si="34"/>
        <v>1366.5</v>
      </c>
      <c r="R91" s="217">
        <f t="shared" si="34"/>
        <v>1369</v>
      </c>
      <c r="S91" s="217">
        <f t="shared" si="34"/>
        <v>1373</v>
      </c>
      <c r="T91" s="217">
        <f t="shared" si="34"/>
        <v>1388</v>
      </c>
      <c r="U91" s="217">
        <f t="shared" si="34"/>
        <v>1404</v>
      </c>
      <c r="V91" s="217">
        <f t="shared" si="34"/>
        <v>1415</v>
      </c>
      <c r="W91" s="217">
        <f t="shared" si="34"/>
        <v>1435</v>
      </c>
      <c r="X91" s="217">
        <f t="shared" si="34"/>
        <v>1462.75</v>
      </c>
      <c r="Y91" s="217">
        <f t="shared" si="34"/>
        <v>1480.25</v>
      </c>
      <c r="Z91" s="218">
        <f t="shared" si="34"/>
        <v>1484</v>
      </c>
      <c r="AA91" s="216">
        <f>MIN(MAX(SUM(AA92,AA93),AA102),AA101)+AA94+AA95</f>
        <v>1402.21875</v>
      </c>
      <c r="AB91" s="217">
        <f>MIN(MAX(SUM(AB92,AB93),AB102),AB101)+AB94+AB95</f>
        <v>1365.8020833333319</v>
      </c>
      <c r="AC91" s="217"/>
      <c r="AD91" s="217"/>
      <c r="AE91" s="217"/>
      <c r="AF91" s="217"/>
      <c r="AG91" s="217"/>
      <c r="AH91" s="217"/>
      <c r="AI91" s="217"/>
      <c r="AJ91" s="217"/>
      <c r="AK91" s="217"/>
      <c r="AL91" s="218"/>
    </row>
    <row r="92" spans="1:38" s="93" customFormat="1" outlineLevel="1" x14ac:dyDescent="0.35">
      <c r="A92" s="93" t="s">
        <v>40</v>
      </c>
      <c r="B92" s="93" t="s">
        <v>31</v>
      </c>
      <c r="D92" s="92"/>
      <c r="F92" s="275" t="s">
        <v>283</v>
      </c>
      <c r="G92" s="276"/>
      <c r="H92" s="276" t="s">
        <v>41</v>
      </c>
      <c r="I92" s="276" t="s">
        <v>267</v>
      </c>
      <c r="J92" s="276"/>
      <c r="K92"/>
      <c r="L92" s="276"/>
      <c r="M92" s="276"/>
      <c r="N92" s="289"/>
      <c r="O92" s="213">
        <f>(M97+N97)/2</f>
        <v>1300</v>
      </c>
      <c r="P92" s="214">
        <f t="shared" ref="P92:Z92" si="35">(N97+O97)/2</f>
        <v>1307.5</v>
      </c>
      <c r="Q92" s="214">
        <f t="shared" si="35"/>
        <v>1320</v>
      </c>
      <c r="R92" s="214">
        <f t="shared" si="35"/>
        <v>1322.5</v>
      </c>
      <c r="S92" s="214">
        <f t="shared" si="35"/>
        <v>1326.5</v>
      </c>
      <c r="T92" s="214">
        <f t="shared" si="35"/>
        <v>1341.5</v>
      </c>
      <c r="U92" s="214">
        <f t="shared" si="35"/>
        <v>1357.5</v>
      </c>
      <c r="V92" s="214">
        <f t="shared" si="35"/>
        <v>1368.5</v>
      </c>
      <c r="W92" s="214">
        <f t="shared" si="35"/>
        <v>1388.5</v>
      </c>
      <c r="X92" s="214">
        <f t="shared" si="35"/>
        <v>1416.25</v>
      </c>
      <c r="Y92" s="214">
        <f t="shared" si="35"/>
        <v>1433.75</v>
      </c>
      <c r="Z92" s="215">
        <f t="shared" si="35"/>
        <v>1437.5</v>
      </c>
      <c r="AA92" s="213">
        <f>(Y97+Z97)/2</f>
        <v>1428.125</v>
      </c>
      <c r="AB92" s="214">
        <f>(Z97+AA97)/2</f>
        <v>1389.7916666666652</v>
      </c>
      <c r="AC92" s="214"/>
      <c r="AD92" s="214"/>
      <c r="AE92" s="214"/>
      <c r="AF92" s="214"/>
      <c r="AG92" s="214"/>
      <c r="AH92" s="214"/>
      <c r="AI92" s="214"/>
      <c r="AJ92" s="214"/>
      <c r="AK92" s="214"/>
      <c r="AL92" s="215"/>
    </row>
    <row r="93" spans="1:38" s="93" customFormat="1" outlineLevel="1" x14ac:dyDescent="0.35">
      <c r="A93" s="93" t="s">
        <v>40</v>
      </c>
      <c r="B93" s="93" t="s">
        <v>31</v>
      </c>
      <c r="D93" s="92"/>
      <c r="F93" s="275" t="s">
        <v>284</v>
      </c>
      <c r="G93" s="276"/>
      <c r="H93" s="276" t="s">
        <v>41</v>
      </c>
      <c r="I93" s="276" t="s">
        <v>269</v>
      </c>
      <c r="J93" s="276"/>
      <c r="K93"/>
      <c r="L93" s="276"/>
      <c r="M93" s="276"/>
      <c r="N93" s="289"/>
      <c r="O93" s="213">
        <v>30</v>
      </c>
      <c r="P93" s="214">
        <v>30</v>
      </c>
      <c r="Q93" s="214">
        <v>30</v>
      </c>
      <c r="R93" s="214">
        <v>30</v>
      </c>
      <c r="S93" s="214">
        <v>30</v>
      </c>
      <c r="T93" s="214">
        <v>30</v>
      </c>
      <c r="U93" s="214">
        <v>30</v>
      </c>
      <c r="V93" s="214">
        <v>30</v>
      </c>
      <c r="W93" s="214">
        <v>30</v>
      </c>
      <c r="X93" s="214">
        <v>30</v>
      </c>
      <c r="Y93" s="214">
        <v>30</v>
      </c>
      <c r="Z93" s="215">
        <v>30</v>
      </c>
      <c r="AA93" s="213">
        <v>20</v>
      </c>
      <c r="AB93" s="214">
        <v>20</v>
      </c>
      <c r="AC93" s="214"/>
      <c r="AD93" s="214"/>
      <c r="AE93" s="214"/>
      <c r="AF93" s="214"/>
      <c r="AG93" s="214"/>
      <c r="AH93" s="214"/>
      <c r="AI93" s="214"/>
      <c r="AJ93" s="214"/>
      <c r="AK93" s="214"/>
      <c r="AL93" s="215"/>
    </row>
    <row r="94" spans="1:38" s="93" customFormat="1" outlineLevel="1" x14ac:dyDescent="0.35">
      <c r="A94" s="93" t="s">
        <v>40</v>
      </c>
      <c r="B94" s="93" t="s">
        <v>31</v>
      </c>
      <c r="D94" s="92"/>
      <c r="F94" s="275" t="s">
        <v>285</v>
      </c>
      <c r="G94" s="276"/>
      <c r="H94" s="276" t="s">
        <v>41</v>
      </c>
      <c r="I94" s="277" t="s">
        <v>323</v>
      </c>
      <c r="J94" s="276"/>
      <c r="K94"/>
      <c r="L94" s="276"/>
      <c r="M94" s="276"/>
      <c r="N94" s="289"/>
      <c r="O94" s="213">
        <f>-IF('Rebate-Suntory'!$E$14="/tấn",'Rebate-Suntory'!$D$14,IF('Rebate-Suntory'!$E$14="giá trị",'Rebate-Suntory'!$D$14*(O92+O93+O95),0))</f>
        <v>-10</v>
      </c>
      <c r="P94" s="214">
        <f>-IF('Rebate-Suntory'!$E$14="/tấn",'Rebate-Suntory'!$D$14,IF('Rebate-Suntory'!$E$14="giá trị",'Rebate-Suntory'!$D$14*(P92+P93+P95),0))</f>
        <v>-10</v>
      </c>
      <c r="Q94" s="214">
        <f>-IF('Rebate-Suntory'!$E$14="/tấn",'Rebate-Suntory'!$D$14,IF('Rebate-Suntory'!$E$14="giá trị",'Rebate-Suntory'!$D$14*(Q92+Q93+Q95),0))</f>
        <v>-10</v>
      </c>
      <c r="R94" s="214">
        <f>-IF('Rebate-Suntory'!$E$14="/tấn",'Rebate-Suntory'!$D$14,IF('Rebate-Suntory'!$E$14="giá trị",'Rebate-Suntory'!$D$14*(R92+R93+R95),0))</f>
        <v>-10</v>
      </c>
      <c r="S94" s="214">
        <f>-IF('Rebate-Suntory'!$E$14="/tấn",'Rebate-Suntory'!$D$14,IF('Rebate-Suntory'!$E$14="giá trị",'Rebate-Suntory'!$D$14*(S92+S93+S95),0))</f>
        <v>-10</v>
      </c>
      <c r="T94" s="214">
        <f>-IF('Rebate-Suntory'!$E$14="/tấn",'Rebate-Suntory'!$D$14,IF('Rebate-Suntory'!$E$14="giá trị",'Rebate-Suntory'!$D$14*(T92+T93+T95),0))</f>
        <v>-10</v>
      </c>
      <c r="U94" s="214">
        <f>-IF('Rebate-Suntory'!$E$14="/tấn",'Rebate-Suntory'!$D$14,IF('Rebate-Suntory'!$E$14="giá trị",'Rebate-Suntory'!$D$14*(U92+U93+U95),0))</f>
        <v>-10</v>
      </c>
      <c r="V94" s="214">
        <f>-IF('Rebate-Suntory'!$E$14="/tấn",'Rebate-Suntory'!$D$14,IF('Rebate-Suntory'!$E$14="giá trị",'Rebate-Suntory'!$D$14*(V92+V93+V95),0))</f>
        <v>-10</v>
      </c>
      <c r="W94" s="214">
        <f>-IF('Rebate-Suntory'!$E$14="/tấn",'Rebate-Suntory'!$D$14,IF('Rebate-Suntory'!$E$14="giá trị",'Rebate-Suntory'!$D$14*(W92+W93+W95),0))</f>
        <v>-10</v>
      </c>
      <c r="X94" s="214">
        <f>-IF('Rebate-Suntory'!$E$14="/tấn",'Rebate-Suntory'!$D$14,IF('Rebate-Suntory'!$E$14="giá trị",'Rebate-Suntory'!$D$14*(X92+X93+X95),0))</f>
        <v>-10</v>
      </c>
      <c r="Y94" s="214">
        <f>-IF('Rebate-Suntory'!$E$14="/tấn",'Rebate-Suntory'!$D$14,IF('Rebate-Suntory'!$E$14="giá trị",'Rebate-Suntory'!$D$14*(Y92+Y93+Y95),0))</f>
        <v>-10</v>
      </c>
      <c r="Z94" s="215">
        <f>-IF('Rebate-Suntory'!$E$14="/tấn",'Rebate-Suntory'!$D$14,IF('Rebate-Suntory'!$E$14="giá trị",'Rebate-Suntory'!$D$14*(Z92+Z93+Z95),0))</f>
        <v>-10</v>
      </c>
      <c r="AA94" s="213">
        <f>-IF('Rebate-Suntory'!$J$14="/tấn",'Rebate-Suntory'!$I$14,IF('Rebate-Suntory'!$J$14="giá trị",'Rebate-Suntory'!$I$14*(AA92+AA93),0))</f>
        <v>-72.40625</v>
      </c>
      <c r="AB94" s="214">
        <f>-IF('Rebate-Suntory'!$J$14="/tấn",'Rebate-Suntory'!$I$14,IF('Rebate-Suntory'!$J$14="giá trị",'Rebate-Suntory'!$I$14*(AB92+AB93),0))</f>
        <v>-70.489583333333258</v>
      </c>
      <c r="AC94" s="214"/>
      <c r="AD94" s="214"/>
      <c r="AE94" s="214"/>
      <c r="AF94" s="214"/>
      <c r="AG94" s="214"/>
      <c r="AH94" s="214"/>
      <c r="AI94" s="214"/>
      <c r="AJ94" s="214"/>
      <c r="AK94" s="214"/>
      <c r="AL94" s="215"/>
    </row>
    <row r="95" spans="1:38" s="93" customFormat="1" outlineLevel="1" x14ac:dyDescent="0.35">
      <c r="A95" s="93" t="s">
        <v>40</v>
      </c>
      <c r="B95" s="93" t="s">
        <v>31</v>
      </c>
      <c r="D95" s="92"/>
      <c r="F95" s="275" t="s">
        <v>286</v>
      </c>
      <c r="G95" s="276"/>
      <c r="H95" s="276" t="s">
        <v>41</v>
      </c>
      <c r="I95" s="276" t="s">
        <v>42</v>
      </c>
      <c r="J95" s="276"/>
      <c r="K95"/>
      <c r="L95" s="276"/>
      <c r="M95" s="276"/>
      <c r="N95" s="289"/>
      <c r="O95" s="297">
        <v>26.5</v>
      </c>
      <c r="P95" s="298">
        <v>26.5</v>
      </c>
      <c r="Q95" s="298">
        <v>26.5</v>
      </c>
      <c r="R95" s="298">
        <v>26.5</v>
      </c>
      <c r="S95" s="298">
        <v>26.5</v>
      </c>
      <c r="T95" s="298">
        <v>26.5</v>
      </c>
      <c r="U95" s="298">
        <v>26.5</v>
      </c>
      <c r="V95" s="298">
        <v>26.5</v>
      </c>
      <c r="W95" s="298">
        <v>26.5</v>
      </c>
      <c r="X95" s="298">
        <v>26.5</v>
      </c>
      <c r="Y95" s="298">
        <v>26.5</v>
      </c>
      <c r="Z95" s="299">
        <v>26.5</v>
      </c>
      <c r="AA95" s="297">
        <v>26.5</v>
      </c>
      <c r="AB95" s="298">
        <v>26.5</v>
      </c>
      <c r="AC95" s="8"/>
      <c r="AD95" s="8"/>
      <c r="AE95" s="8"/>
      <c r="AF95" s="8"/>
      <c r="AG95" s="8"/>
      <c r="AH95" s="8"/>
      <c r="AI95" s="8"/>
      <c r="AJ95" s="8"/>
      <c r="AK95" s="8"/>
      <c r="AL95" s="56"/>
    </row>
    <row r="96" spans="1:38" s="94" customFormat="1" outlineLevel="1" x14ac:dyDescent="0.35">
      <c r="A96" s="94" t="s">
        <v>40</v>
      </c>
      <c r="B96" s="94" t="s">
        <v>31</v>
      </c>
      <c r="D96" s="95" t="s">
        <v>162</v>
      </c>
      <c r="F96" s="278" t="s">
        <v>287</v>
      </c>
      <c r="G96" s="279"/>
      <c r="H96" s="279"/>
      <c r="I96" s="279" t="s">
        <v>8</v>
      </c>
      <c r="J96" s="279"/>
      <c r="K96" s="2"/>
      <c r="L96" s="279"/>
      <c r="M96" s="279"/>
      <c r="N96" s="290"/>
      <c r="O96" s="228">
        <f>O91-O95</f>
        <v>1320</v>
      </c>
      <c r="P96" s="229">
        <f t="shared" ref="P96:Z96" si="36">P91-P95</f>
        <v>1327.5</v>
      </c>
      <c r="Q96" s="229">
        <f t="shared" si="36"/>
        <v>1340</v>
      </c>
      <c r="R96" s="229">
        <f t="shared" si="36"/>
        <v>1342.5</v>
      </c>
      <c r="S96" s="229">
        <f t="shared" si="36"/>
        <v>1346.5</v>
      </c>
      <c r="T96" s="229">
        <f t="shared" si="36"/>
        <v>1361.5</v>
      </c>
      <c r="U96" s="229">
        <f t="shared" si="36"/>
        <v>1377.5</v>
      </c>
      <c r="V96" s="229">
        <f t="shared" si="36"/>
        <v>1388.5</v>
      </c>
      <c r="W96" s="229">
        <f t="shared" si="36"/>
        <v>1408.5</v>
      </c>
      <c r="X96" s="229">
        <f t="shared" si="36"/>
        <v>1436.25</v>
      </c>
      <c r="Y96" s="229">
        <f t="shared" si="36"/>
        <v>1453.75</v>
      </c>
      <c r="Z96" s="230">
        <f t="shared" si="36"/>
        <v>1457.5</v>
      </c>
      <c r="AA96" s="229">
        <f>AA91-AA95</f>
        <v>1375.71875</v>
      </c>
      <c r="AB96" s="229">
        <f>AB91-AB95</f>
        <v>1339.3020833333319</v>
      </c>
      <c r="AC96" s="229"/>
      <c r="AD96" s="229"/>
      <c r="AE96" s="229"/>
      <c r="AF96" s="229"/>
      <c r="AG96" s="229"/>
      <c r="AH96" s="229"/>
      <c r="AI96" s="229"/>
      <c r="AJ96" s="229"/>
      <c r="AK96" s="229"/>
      <c r="AL96" s="230"/>
    </row>
    <row r="97" spans="1:38" s="186" customFormat="1" outlineLevel="1" x14ac:dyDescent="0.35">
      <c r="A97" s="186" t="s">
        <v>40</v>
      </c>
      <c r="B97" s="186" t="s">
        <v>31</v>
      </c>
      <c r="C97" s="186" t="s">
        <v>44</v>
      </c>
      <c r="F97" s="280" t="s">
        <v>288</v>
      </c>
      <c r="G97" s="281"/>
      <c r="H97" s="281"/>
      <c r="I97" s="281"/>
      <c r="J97" s="281" t="s">
        <v>75</v>
      </c>
      <c r="K97" s="187"/>
      <c r="L97" s="291" cm="1">
        <f t="array" ref="L97">SUMPRODUCT(General_Data*(Year=L$3)*(Month=L$4)*(Code_General_Data=$C97))</f>
        <v>1288.125</v>
      </c>
      <c r="M97" s="291" cm="1">
        <f t="array" ref="M97">SUMPRODUCT(General_Data*(Year=M$3)*(Month=M$4)*(Code_General_Data=$C97))</f>
        <v>1300</v>
      </c>
      <c r="N97" s="292" cm="1">
        <f t="array" ref="N97">SUMPRODUCT(General_Data*(Year=N$3)*(Month=N$4)*(Code_General_Data=$C97))</f>
        <v>1300</v>
      </c>
      <c r="O97" s="205" cm="1">
        <f t="array" ref="O97">SUMPRODUCT(General_Data*(Year=O$3)*(Month=O$4)*(Code_General_Data=$C97))</f>
        <v>1315</v>
      </c>
      <c r="P97" s="204" cm="1">
        <f t="array" ref="P97">SUMPRODUCT(General_Data*(Year=P$3)*(Month=P$4)*(Code_General_Data=$C97))</f>
        <v>1325</v>
      </c>
      <c r="Q97" s="204" cm="1">
        <f t="array" ref="Q97">SUMPRODUCT(General_Data*(Year=Q$3)*(Month=Q$4)*(Code_General_Data=$C97))</f>
        <v>1320</v>
      </c>
      <c r="R97" s="204" cm="1">
        <f t="array" ref="R97">SUMPRODUCT(General_Data*(Year=R$3)*(Month=R$4)*(Code_General_Data=$C97))</f>
        <v>1333</v>
      </c>
      <c r="S97" s="204" cm="1">
        <f t="array" ref="S97">SUMPRODUCT(General_Data*(Year=S$3)*(Month=S$4)*(Code_General_Data=$C97))</f>
        <v>1350</v>
      </c>
      <c r="T97" s="204" cm="1">
        <f t="array" ref="T97">SUMPRODUCT(General_Data*(Year=T$3)*(Month=T$4)*(Code_General_Data=$C97))</f>
        <v>1365</v>
      </c>
      <c r="U97" s="204" cm="1">
        <f t="array" ref="U97">SUMPRODUCT(General_Data*(Year=U$3)*(Month=U$4)*(Code_General_Data=$C97))</f>
        <v>1372</v>
      </c>
      <c r="V97" s="204" cm="1">
        <f t="array" ref="V97">SUMPRODUCT(General_Data*(Year=V$3)*(Month=V$4)*(Code_General_Data=$C97))</f>
        <v>1405</v>
      </c>
      <c r="W97" s="204" cm="1">
        <f t="array" ref="W97">SUMPRODUCT(General_Data*(Year=W$3)*(Month=W$4)*(Code_General_Data=$C97))</f>
        <v>1427.5</v>
      </c>
      <c r="X97" s="204" cm="1">
        <f t="array" ref="X97">SUMPRODUCT(General_Data*(Year=X$3)*(Month=X$4)*(Code_General_Data=$C97))</f>
        <v>1440</v>
      </c>
      <c r="Y97" s="204" cm="1">
        <f t="array" ref="Y97">SUMPRODUCT(General_Data*(Year=Y$3)*(Month=Y$4)*(Code_General_Data=$C97))</f>
        <v>1435</v>
      </c>
      <c r="Z97" s="206" cm="1">
        <f t="array" ref="Z97">SUMPRODUCT(General_Data*(Year=Z$3)*(Month=Z$4)*(Code_General_Data=$C97))</f>
        <v>1421.25</v>
      </c>
      <c r="AA97" s="204" cm="1">
        <f t="array" ref="AA97">SUMPRODUCT(General_Data*(Year=AA$3)*(Month=AA$4)*(Code_General_Data=$C97))</f>
        <v>1358.3333333333301</v>
      </c>
      <c r="AB97" s="204" cm="1">
        <f t="array" ref="AB97">SUMPRODUCT(General_Data*(Year=AB$3)*(Month=AB$4)*(Code_General_Data=$C97))</f>
        <v>1350</v>
      </c>
      <c r="AC97" s="204"/>
      <c r="AD97" s="204"/>
      <c r="AE97" s="204"/>
      <c r="AF97" s="204"/>
      <c r="AG97" s="204"/>
      <c r="AH97" s="204"/>
      <c r="AI97" s="204"/>
      <c r="AJ97" s="204"/>
      <c r="AK97" s="204"/>
      <c r="AL97" s="206"/>
    </row>
    <row r="98" spans="1:38" s="96" customFormat="1" ht="114.65" customHeight="1" outlineLevel="1" x14ac:dyDescent="0.35">
      <c r="A98" s="96" t="s">
        <v>40</v>
      </c>
      <c r="B98" s="96" t="s">
        <v>31</v>
      </c>
      <c r="D98" s="97"/>
      <c r="F98" s="282" t="s">
        <v>289</v>
      </c>
      <c r="G98" s="283"/>
      <c r="H98" s="283"/>
      <c r="I98" s="283"/>
      <c r="J98" s="283" t="s">
        <v>45</v>
      </c>
      <c r="K98" s="12"/>
      <c r="L98" s="283"/>
      <c r="M98" s="283"/>
      <c r="N98" s="293"/>
      <c r="O98" s="88" t="str" cm="1">
        <f t="array" ref="O98">INDEX(Note!$G$3:$G$101,MATCH(1,(Note!$A$3:$A$101=$A98)*(Note!$C$3:$C$101=$B98)*(Note!$E$3:$E$101&lt;=O$1)*(Note!$F$3:$F$101&gt;=O$2),0))</f>
        <v>Giá ICIS rPET ĐNA trung bình từ ngày 16 tháng (X-2) đến ngày 15 tháng (X-1) +Premium ( Chi phí tăng IV ) - REBATE + Cp vận chuyển</v>
      </c>
      <c r="P98" s="27" t="str" cm="1">
        <f t="array" ref="P98">INDEX(Note!$G$3:$G$101,MATCH(1,(Note!$A$3:$A$101=$A98)*(Note!$C$3:$C$101=$B98)*(Note!$E$3:$E$101&lt;=P$1)*(Note!$F$3:$F$101&gt;=P$2),0))</f>
        <v>Giá ICIS rPET ĐNA trung bình từ ngày 16 tháng (X-2) đến ngày 15 tháng (X-1) +Premium ( Chi phí tăng IV ) - REBATE + Cp vận chuyển</v>
      </c>
      <c r="Q98" s="27" t="str" cm="1">
        <f t="array" ref="Q98">INDEX(Note!$G$3:$G$101,MATCH(1,(Note!$A$3:$A$101=$A98)*(Note!$C$3:$C$101=$B98)*(Note!$E$3:$E$101&lt;=Q$1)*(Note!$F$3:$F$101&gt;=Q$2),0))</f>
        <v>Giá ICIS rPET ĐNA trung bình từ ngày 16 tháng (X-2) đến ngày 15 tháng (X-1) +Premium ( Chi phí tăng IV ) - REBATE + Cp vận chuyển</v>
      </c>
      <c r="R98" s="27" t="str" cm="1">
        <f t="array" ref="R98">INDEX(Note!$G$3:$G$101,MATCH(1,(Note!$A$3:$A$101=$A98)*(Note!$C$3:$C$101=$B98)*(Note!$E$3:$E$101&lt;=R$1)*(Note!$F$3:$F$101&gt;=R$2),0))</f>
        <v>Giá ICIS rPET ĐNA trung bình từ ngày 16 tháng (X-2) đến ngày 15 tháng (X-1) +Premium ( Chi phí tăng IV ) - REBATE + Cp vận chuyển</v>
      </c>
      <c r="S98" s="27" t="str" cm="1">
        <f t="array" ref="S98">INDEX(Note!$G$3:$G$101,MATCH(1,(Note!$A$3:$A$101=$A98)*(Note!$C$3:$C$101=$B98)*(Note!$E$3:$E$101&lt;=S$1)*(Note!$F$3:$F$101&gt;=S$2),0))</f>
        <v>Giá ICIS rPET ĐNA trung bình từ ngày 16 tháng (X-2) đến ngày 15 tháng (X-1) +Premium ( Chi phí tăng IV ) - REBATE + Cp vận chuyển</v>
      </c>
      <c r="T98" s="27" t="str" cm="1">
        <f t="array" ref="T98">INDEX(Note!$G$3:$G$101,MATCH(1,(Note!$A$3:$A$101=$A98)*(Note!$C$3:$C$101=$B98)*(Note!$E$3:$E$101&lt;=T$1)*(Note!$F$3:$F$101&gt;=T$2),0))</f>
        <v>Giá ICIS rPET ĐNA trung bình từ ngày 16 tháng (X-2) đến ngày 15 tháng (X-1) +Premium ( Chi phí tăng IV ) - REBATE + Cp vận chuyển</v>
      </c>
      <c r="U98" s="27" t="str" cm="1">
        <f t="array" ref="U98">INDEX(Note!$G$3:$G$101,MATCH(1,(Note!$A$3:$A$101=$A98)*(Note!$C$3:$C$101=$B98)*(Note!$E$3:$E$101&lt;=U$1)*(Note!$F$3:$F$101&gt;=U$2),0))</f>
        <v>Giá ICIS rPET ĐNA trung bình từ ngày 16 tháng (X-2) đến ngày 15 tháng (X-1) +Premium ( Chi phí tăng IV ) - REBATE + Cp vận chuyển</v>
      </c>
      <c r="V98" s="27" t="str" cm="1">
        <f t="array" ref="V98">INDEX(Note!$G$3:$G$101,MATCH(1,(Note!$A$3:$A$101=$A98)*(Note!$C$3:$C$101=$B98)*(Note!$E$3:$E$101&lt;=V$1)*(Note!$F$3:$F$101&gt;=V$2),0))</f>
        <v>Giá ICIS rPET ĐNA trung bình từ ngày 16 tháng (X-2) đến ngày 15 tháng (X-1) +Premium ( Chi phí tăng IV ) - REBATE + Cp vận chuyển</v>
      </c>
      <c r="W98" s="27" t="str" cm="1">
        <f t="array" ref="W98">INDEX(Note!$G$3:$G$101,MATCH(1,(Note!$A$3:$A$101=$A98)*(Note!$C$3:$C$101=$B98)*(Note!$E$3:$E$101&lt;=W$1)*(Note!$F$3:$F$101&gt;=W$2),0))</f>
        <v>Giá ICIS rPET ĐNA trung bình từ ngày 16 tháng (X-2) đến ngày 15 tháng (X-1) +Premium ( Chi phí tăng IV ) - REBATE + Cp vận chuyển</v>
      </c>
      <c r="X98" s="27" t="str" cm="1">
        <f t="array" ref="X98">INDEX(Note!$G$3:$G$101,MATCH(1,(Note!$A$3:$A$101=$A98)*(Note!$C$3:$C$101=$B98)*(Note!$E$3:$E$101&lt;=X$1)*(Note!$F$3:$F$101&gt;=X$2),0))</f>
        <v>Giá ICIS rPET ĐNA trung bình từ ngày 16 tháng (X-2) đến ngày 15 tháng (X-1) +Premium ( Chi phí tăng IV ) - REBATE + Cp vận chuyển</v>
      </c>
      <c r="Y98" s="27" t="str" cm="1">
        <f t="array" ref="Y98">INDEX(Note!$G$3:$G$101,MATCH(1,(Note!$A$3:$A$101=$A98)*(Note!$C$3:$C$101=$B98)*(Note!$E$3:$E$101&lt;=Y$1)*(Note!$F$3:$F$101&gt;=Y$2),0))</f>
        <v>Giá ICIS rPET ĐNA trung bình từ ngày 16 tháng (X-2) đến ngày 15 tháng (X-1) +Premium ( Chi phí tăng IV ) - REBATE + Cp vận chuyển</v>
      </c>
      <c r="Z98" s="89" t="str" cm="1">
        <f t="array" ref="Z98">INDEX(Note!$G$3:$G$101,MATCH(1,(Note!$A$3:$A$101=$A98)*(Note!$C$3:$C$101=$B98)*(Note!$E$3:$E$101&lt;=Z$1)*(Note!$F$3:$F$101&gt;=Z$2),0))</f>
        <v>Giá ICIS rPET ĐNA trung bình từ ngày 16 tháng (X-2) đến ngày 15 tháng (X-1) +Premium ( Chi phí tăng IV ) - REBATE + Cp vận chuyển</v>
      </c>
      <c r="AA98" s="27" t="str" cm="1">
        <f t="array" ref="AA98">INDEX(Note!$G$3:$G$101,MATCH(1,(Note!$A$3:$A$101=$A98)*(Note!$C$3:$C$101=$B98)*(Note!$E$3:$E$101&lt;=AA$1)*(Note!$F$3:$F$101&gt;=AA$2),0))</f>
        <v>Giá ICIS rPET ĐNA trung bình từ ngày 16 tháng (X-2) đến ngày 15 tháng (X-1) +Premium ( Chi phí tăng IV ) - REBATE + Cp vận chuyển. Giá trần $1,550; giá sàn $1,330</v>
      </c>
      <c r="AB98" s="27" t="str" cm="1">
        <f t="array" ref="AB98">INDEX(Note!$G$3:$G$101,MATCH(1,(Note!$A$3:$A$101=$A98)*(Note!$C$3:$C$101=$B98)*(Note!$E$3:$E$101&lt;=AB$1)*(Note!$F$3:$F$101&gt;=AB$2),0))</f>
        <v>Giá ICIS rPET ĐNA trung bình từ ngày 16 tháng (X-2) đến ngày 15 tháng (X-1) +Premium ( Chi phí tăng IV ) - REBATE + Cp vận chuyển. Giá trần $1,550; giá sàn $1,330</v>
      </c>
      <c r="AC98" s="27"/>
      <c r="AD98" s="27"/>
      <c r="AE98" s="27"/>
      <c r="AF98" s="27"/>
      <c r="AG98" s="27"/>
      <c r="AH98" s="27"/>
      <c r="AI98" s="27"/>
      <c r="AJ98" s="27"/>
      <c r="AK98" s="27"/>
      <c r="AL98" s="89"/>
    </row>
    <row r="99" spans="1:38" s="96" customFormat="1" outlineLevel="1" x14ac:dyDescent="0.35">
      <c r="A99" s="96" t="s">
        <v>40</v>
      </c>
      <c r="B99" s="96" t="s">
        <v>31</v>
      </c>
      <c r="D99" s="97"/>
      <c r="F99" s="282" t="s">
        <v>290</v>
      </c>
      <c r="G99" s="283"/>
      <c r="H99" s="283"/>
      <c r="I99" s="283"/>
      <c r="J99" s="283" t="s">
        <v>43</v>
      </c>
      <c r="K99" s="12"/>
      <c r="L99" s="283"/>
      <c r="M99" s="283"/>
      <c r="N99" s="293"/>
      <c r="O99" s="88" t="str" cm="1">
        <f t="array" ref="O99">INDEX(Note!$H$3:$H$101,MATCH(1,(Note!$A$3:$A$101=$A99)*(Note!$C$3:$C$101=$B99)*(Note!$E$3:$E$101&lt;=O$1)*(Note!$F$3:$F$101&gt;=O$2),0))</f>
        <v>DDP</v>
      </c>
      <c r="P99" s="27" t="str" cm="1">
        <f t="array" ref="P99">INDEX(Note!$H$3:$H$101,MATCH(1,(Note!$A$3:$A$101=$A99)*(Note!$C$3:$C$101=$B99)*(Note!$E$3:$E$101&lt;=P$1)*(Note!$F$3:$F$101&gt;=P$2),0))</f>
        <v>DDP</v>
      </c>
      <c r="Q99" s="27" t="str" cm="1">
        <f t="array" ref="Q99">INDEX(Note!$H$3:$H$101,MATCH(1,(Note!$A$3:$A$101=$A99)*(Note!$C$3:$C$101=$B99)*(Note!$E$3:$E$101&lt;=Q$1)*(Note!$F$3:$F$101&gt;=Q$2),0))</f>
        <v>DDP</v>
      </c>
      <c r="R99" s="27" t="str" cm="1">
        <f t="array" ref="R99">INDEX(Note!$H$3:$H$101,MATCH(1,(Note!$A$3:$A$101=$A99)*(Note!$C$3:$C$101=$B99)*(Note!$E$3:$E$101&lt;=R$1)*(Note!$F$3:$F$101&gt;=R$2),0))</f>
        <v>DDP</v>
      </c>
      <c r="S99" s="27" t="str" cm="1">
        <f t="array" ref="S99">INDEX(Note!$H$3:$H$101,MATCH(1,(Note!$A$3:$A$101=$A99)*(Note!$C$3:$C$101=$B99)*(Note!$E$3:$E$101&lt;=S$1)*(Note!$F$3:$F$101&gt;=S$2),0))</f>
        <v>DDP</v>
      </c>
      <c r="T99" s="27" t="str" cm="1">
        <f t="array" ref="T99">INDEX(Note!$H$3:$H$101,MATCH(1,(Note!$A$3:$A$101=$A99)*(Note!$C$3:$C$101=$B99)*(Note!$E$3:$E$101&lt;=T$1)*(Note!$F$3:$F$101&gt;=T$2),0))</f>
        <v>DDP</v>
      </c>
      <c r="U99" s="27" t="str" cm="1">
        <f t="array" ref="U99">INDEX(Note!$H$3:$H$101,MATCH(1,(Note!$A$3:$A$101=$A99)*(Note!$C$3:$C$101=$B99)*(Note!$E$3:$E$101&lt;=U$1)*(Note!$F$3:$F$101&gt;=U$2),0))</f>
        <v>DDP</v>
      </c>
      <c r="V99" s="27" t="str" cm="1">
        <f t="array" ref="V99">INDEX(Note!$H$3:$H$101,MATCH(1,(Note!$A$3:$A$101=$A99)*(Note!$C$3:$C$101=$B99)*(Note!$E$3:$E$101&lt;=V$1)*(Note!$F$3:$F$101&gt;=V$2),0))</f>
        <v>DDP</v>
      </c>
      <c r="W99" s="27" t="str" cm="1">
        <f t="array" ref="W99">INDEX(Note!$H$3:$H$101,MATCH(1,(Note!$A$3:$A$101=$A99)*(Note!$C$3:$C$101=$B99)*(Note!$E$3:$E$101&lt;=W$1)*(Note!$F$3:$F$101&gt;=W$2),0))</f>
        <v>DDP</v>
      </c>
      <c r="X99" s="27" t="str" cm="1">
        <f t="array" ref="X99">INDEX(Note!$H$3:$H$101,MATCH(1,(Note!$A$3:$A$101=$A99)*(Note!$C$3:$C$101=$B99)*(Note!$E$3:$E$101&lt;=X$1)*(Note!$F$3:$F$101&gt;=X$2),0))</f>
        <v>DDP</v>
      </c>
      <c r="Y99" s="27" t="str" cm="1">
        <f t="array" ref="Y99">INDEX(Note!$H$3:$H$101,MATCH(1,(Note!$A$3:$A$101=$A99)*(Note!$C$3:$C$101=$B99)*(Note!$E$3:$E$101&lt;=Y$1)*(Note!$F$3:$F$101&gt;=Y$2),0))</f>
        <v>DDP</v>
      </c>
      <c r="Z99" s="89" t="str" cm="1">
        <f t="array" ref="Z99">INDEX(Note!$H$3:$H$101,MATCH(1,(Note!$A$3:$A$101=$A99)*(Note!$C$3:$C$101=$B99)*(Note!$E$3:$E$101&lt;=Z$1)*(Note!$F$3:$F$101&gt;=Z$2),0))</f>
        <v>DDP</v>
      </c>
      <c r="AA99" s="27" t="str" cm="1">
        <f t="array" ref="AA99">INDEX(Note!$H$3:$H$101,MATCH(1,(Note!$A$3:$A$101=$A99)*(Note!$C$3:$C$101=$B99)*(Note!$E$3:$E$101&lt;=AA$1)*(Note!$F$3:$F$101&gt;=AA$2),0))</f>
        <v>DDP</v>
      </c>
      <c r="AB99" s="27" t="str" cm="1">
        <f t="array" ref="AB99">INDEX(Note!$H$3:$H$101,MATCH(1,(Note!$A$3:$A$101=$A99)*(Note!$C$3:$C$101=$B99)*(Note!$E$3:$E$101&lt;=AB$1)*(Note!$F$3:$F$101&gt;=AB$2),0))</f>
        <v>DDP</v>
      </c>
      <c r="AC99" s="27"/>
      <c r="AD99" s="27"/>
      <c r="AE99" s="27"/>
      <c r="AF99" s="27"/>
      <c r="AG99" s="27"/>
      <c r="AH99" s="27"/>
      <c r="AI99" s="27"/>
      <c r="AJ99" s="27"/>
      <c r="AK99" s="27"/>
      <c r="AL99" s="89"/>
    </row>
    <row r="100" spans="1:38" s="97" customFormat="1" outlineLevel="1" x14ac:dyDescent="0.35">
      <c r="A100" s="97" t="s">
        <v>40</v>
      </c>
      <c r="B100" s="97" t="s">
        <v>31</v>
      </c>
      <c r="F100" s="284" t="s">
        <v>291</v>
      </c>
      <c r="G100" s="285"/>
      <c r="H100" s="285"/>
      <c r="I100" s="285"/>
      <c r="J100" s="285" t="s">
        <v>46</v>
      </c>
      <c r="K100" s="109"/>
      <c r="L100" s="285"/>
      <c r="M100" s="285"/>
      <c r="N100" s="294"/>
      <c r="O100" s="236" t="str" cm="1">
        <f t="array" ref="O100">INDEX(Note!$I$3:$I$101,MATCH(1,(Note!$A$3:$A$101=$A100)*(Note!$C$3:$C$101=$B100)*(Note!$E$3:$E$101&lt;=O$1)*(Note!$F$3:$F$101&gt;=O$2),0))</f>
        <v>Tháng</v>
      </c>
      <c r="P100" s="196" t="str" cm="1">
        <f t="array" ref="P100">INDEX(Note!$I$3:$I$101,MATCH(1,(Note!$A$3:$A$101=$A100)*(Note!$C$3:$C$101=$B100)*(Note!$E$3:$E$101&lt;=P$1)*(Note!$F$3:$F$101&gt;=P$2),0))</f>
        <v>Tháng</v>
      </c>
      <c r="Q100" s="196" t="str" cm="1">
        <f t="array" ref="Q100">INDEX(Note!$I$3:$I$101,MATCH(1,(Note!$A$3:$A$101=$A100)*(Note!$C$3:$C$101=$B100)*(Note!$E$3:$E$101&lt;=Q$1)*(Note!$F$3:$F$101&gt;=Q$2),0))</f>
        <v>Tháng</v>
      </c>
      <c r="R100" s="196" t="str" cm="1">
        <f t="array" ref="R100">INDEX(Note!$I$3:$I$101,MATCH(1,(Note!$A$3:$A$101=$A100)*(Note!$C$3:$C$101=$B100)*(Note!$E$3:$E$101&lt;=R$1)*(Note!$F$3:$F$101&gt;=R$2),0))</f>
        <v>Tháng</v>
      </c>
      <c r="S100" s="196" t="str" cm="1">
        <f t="array" ref="S100">INDEX(Note!$I$3:$I$101,MATCH(1,(Note!$A$3:$A$101=$A100)*(Note!$C$3:$C$101=$B100)*(Note!$E$3:$E$101&lt;=S$1)*(Note!$F$3:$F$101&gt;=S$2),0))</f>
        <v>Tháng</v>
      </c>
      <c r="T100" s="196" t="str" cm="1">
        <f t="array" ref="T100">INDEX(Note!$I$3:$I$101,MATCH(1,(Note!$A$3:$A$101=$A100)*(Note!$C$3:$C$101=$B100)*(Note!$E$3:$E$101&lt;=T$1)*(Note!$F$3:$F$101&gt;=T$2),0))</f>
        <v>Tháng</v>
      </c>
      <c r="U100" s="196" t="str" cm="1">
        <f t="array" ref="U100">INDEX(Note!$I$3:$I$101,MATCH(1,(Note!$A$3:$A$101=$A100)*(Note!$C$3:$C$101=$B100)*(Note!$E$3:$E$101&lt;=U$1)*(Note!$F$3:$F$101&gt;=U$2),0))</f>
        <v>Tháng</v>
      </c>
      <c r="V100" s="196" t="str" cm="1">
        <f t="array" ref="V100">INDEX(Note!$I$3:$I$101,MATCH(1,(Note!$A$3:$A$101=$A100)*(Note!$C$3:$C$101=$B100)*(Note!$E$3:$E$101&lt;=V$1)*(Note!$F$3:$F$101&gt;=V$2),0))</f>
        <v>Tháng</v>
      </c>
      <c r="W100" s="196" t="str" cm="1">
        <f t="array" ref="W100">INDEX(Note!$I$3:$I$101,MATCH(1,(Note!$A$3:$A$101=$A100)*(Note!$C$3:$C$101=$B100)*(Note!$E$3:$E$101&lt;=W$1)*(Note!$F$3:$F$101&gt;=W$2),0))</f>
        <v>Tháng</v>
      </c>
      <c r="X100" s="196" t="str" cm="1">
        <f t="array" ref="X100">INDEX(Note!$I$3:$I$101,MATCH(1,(Note!$A$3:$A$101=$A100)*(Note!$C$3:$C$101=$B100)*(Note!$E$3:$E$101&lt;=X$1)*(Note!$F$3:$F$101&gt;=X$2),0))</f>
        <v>Tháng</v>
      </c>
      <c r="Y100" s="196" t="str" cm="1">
        <f t="array" ref="Y100">INDEX(Note!$I$3:$I$101,MATCH(1,(Note!$A$3:$A$101=$A100)*(Note!$C$3:$C$101=$B100)*(Note!$E$3:$E$101&lt;=Y$1)*(Note!$F$3:$F$101&gt;=Y$2),0))</f>
        <v>Tháng</v>
      </c>
      <c r="Z100" s="197" t="str" cm="1">
        <f t="array" ref="Z100">INDEX(Note!$I$3:$I$101,MATCH(1,(Note!$A$3:$A$101=$A100)*(Note!$C$3:$C$101=$B100)*(Note!$E$3:$E$101&lt;=Z$1)*(Note!$F$3:$F$101&gt;=Z$2),0))</f>
        <v>Tháng</v>
      </c>
      <c r="AA100" s="196" t="str" cm="1">
        <f t="array" ref="AA100">INDEX(Note!$I$3:$I$101,MATCH(1,(Note!$A$3:$A$101=$A100)*(Note!$C$3:$C$101=$B100)*(Note!$E$3:$E$101&lt;=AA$1)*(Note!$F$3:$F$101&gt;=AA$2),0))</f>
        <v>Tháng</v>
      </c>
      <c r="AB100" s="196" t="str" cm="1">
        <f t="array" ref="AB100">INDEX(Note!$I$3:$I$101,MATCH(1,(Note!$A$3:$A$101=$A100)*(Note!$C$3:$C$101=$B100)*(Note!$E$3:$E$101&lt;=AB$1)*(Note!$F$3:$F$101&gt;=AB$2),0))</f>
        <v>Tháng</v>
      </c>
      <c r="AC100" s="196"/>
      <c r="AD100" s="196"/>
      <c r="AE100" s="196"/>
      <c r="AF100" s="196"/>
      <c r="AG100" s="196"/>
      <c r="AH100" s="196"/>
      <c r="AI100" s="196"/>
      <c r="AJ100" s="196"/>
      <c r="AK100" s="196"/>
      <c r="AL100" s="197"/>
    </row>
    <row r="101" spans="1:38" s="97" customFormat="1" outlineLevel="1" x14ac:dyDescent="0.35">
      <c r="A101" s="97" t="s">
        <v>40</v>
      </c>
      <c r="B101" s="97" t="s">
        <v>31</v>
      </c>
      <c r="F101" s="196" t="s">
        <v>292</v>
      </c>
      <c r="G101" s="107"/>
      <c r="H101" s="107"/>
      <c r="I101" s="107"/>
      <c r="J101" s="107" t="s">
        <v>47</v>
      </c>
      <c r="K101" s="109"/>
      <c r="L101" s="199"/>
      <c r="M101" s="199"/>
      <c r="N101" s="199"/>
      <c r="O101" s="198" cm="1">
        <f t="array" ref="O101">INDEX(Note!$J$3:$J$101,MATCH(1,(Note!$A$3:$A$101=$A101)*(Note!$C$3:$C$101=$B101)*(Note!$E$3:$E$101&lt;=O$1)*(Note!$F$3:$F$101&gt;=O$2),0))</f>
        <v>0</v>
      </c>
      <c r="P101" s="199" cm="1">
        <f t="array" ref="P101">INDEX(Note!$J$3:$J$101,MATCH(1,(Note!$A$3:$A$101=$A101)*(Note!$C$3:$C$101=$B101)*(Note!$E$3:$E$101&lt;=P$1)*(Note!$F$3:$F$101&gt;=P$2),0))</f>
        <v>0</v>
      </c>
      <c r="Q101" s="199" cm="1">
        <f t="array" ref="Q101">INDEX(Note!$J$3:$J$101,MATCH(1,(Note!$A$3:$A$101=$A101)*(Note!$C$3:$C$101=$B101)*(Note!$E$3:$E$101&lt;=Q$1)*(Note!$F$3:$F$101&gt;=Q$2),0))</f>
        <v>0</v>
      </c>
      <c r="R101" s="199" cm="1">
        <f t="array" ref="R101">INDEX(Note!$J$3:$J$101,MATCH(1,(Note!$A$3:$A$101=$A101)*(Note!$C$3:$C$101=$B101)*(Note!$E$3:$E$101&lt;=R$1)*(Note!$F$3:$F$101&gt;=R$2),0))</f>
        <v>0</v>
      </c>
      <c r="S101" s="199" cm="1">
        <f t="array" ref="S101">INDEX(Note!$J$3:$J$101,MATCH(1,(Note!$A$3:$A$101=$A101)*(Note!$C$3:$C$101=$B101)*(Note!$E$3:$E$101&lt;=S$1)*(Note!$F$3:$F$101&gt;=S$2),0))</f>
        <v>0</v>
      </c>
      <c r="T101" s="199" cm="1">
        <f t="array" ref="T101">INDEX(Note!$J$3:$J$101,MATCH(1,(Note!$A$3:$A$101=$A101)*(Note!$C$3:$C$101=$B101)*(Note!$E$3:$E$101&lt;=T$1)*(Note!$F$3:$F$101&gt;=T$2),0))</f>
        <v>0</v>
      </c>
      <c r="U101" s="199" cm="1">
        <f t="array" ref="U101">INDEX(Note!$J$3:$J$101,MATCH(1,(Note!$A$3:$A$101=$A101)*(Note!$C$3:$C$101=$B101)*(Note!$E$3:$E$101&lt;=U$1)*(Note!$F$3:$F$101&gt;=U$2),0))</f>
        <v>0</v>
      </c>
      <c r="V101" s="199" cm="1">
        <f t="array" ref="V101">INDEX(Note!$J$3:$J$101,MATCH(1,(Note!$A$3:$A$101=$A101)*(Note!$C$3:$C$101=$B101)*(Note!$E$3:$E$101&lt;=V$1)*(Note!$F$3:$F$101&gt;=V$2),0))</f>
        <v>0</v>
      </c>
      <c r="W101" s="199" cm="1">
        <f t="array" ref="W101">INDEX(Note!$J$3:$J$101,MATCH(1,(Note!$A$3:$A$101=$A101)*(Note!$C$3:$C$101=$B101)*(Note!$E$3:$E$101&lt;=W$1)*(Note!$F$3:$F$101&gt;=W$2),0))</f>
        <v>0</v>
      </c>
      <c r="X101" s="199" cm="1">
        <f t="array" ref="X101">INDEX(Note!$J$3:$J$101,MATCH(1,(Note!$A$3:$A$101=$A101)*(Note!$C$3:$C$101=$B101)*(Note!$E$3:$E$101&lt;=X$1)*(Note!$F$3:$F$101&gt;=X$2),0))</f>
        <v>0</v>
      </c>
      <c r="Y101" s="199" cm="1">
        <f t="array" ref="Y101">INDEX(Note!$J$3:$J$101,MATCH(1,(Note!$A$3:$A$101=$A101)*(Note!$C$3:$C$101=$B101)*(Note!$E$3:$E$101&lt;=Y$1)*(Note!$F$3:$F$101&gt;=Y$2),0))</f>
        <v>0</v>
      </c>
      <c r="Z101" s="200" cm="1">
        <f t="array" ref="Z101">INDEX(Note!$J$3:$J$101,MATCH(1,(Note!$A$3:$A$101=$A101)*(Note!$C$3:$C$101=$B101)*(Note!$E$3:$E$101&lt;=Z$1)*(Note!$F$3:$F$101&gt;=Z$2),0))</f>
        <v>0</v>
      </c>
      <c r="AA101" s="199" cm="1">
        <f t="array" ref="AA101">INDEX(Note!$J$3:$J$101,MATCH(1,(Note!$A$3:$A$101=$A101)*(Note!$C$3:$C$101=$B101)*(Note!$E$3:$E$101&lt;=AA$1)*(Note!$F$3:$F$101&gt;=AA$2),0))</f>
        <v>1550</v>
      </c>
      <c r="AB101" s="199" cm="1">
        <f t="array" ref="AB101">INDEX(Note!$J$3:$J$101,MATCH(1,(Note!$A$3:$A$101=$A101)*(Note!$C$3:$C$101=$B101)*(Note!$E$3:$E$101&lt;=AB$1)*(Note!$F$3:$F$101&gt;=AB$2),0))</f>
        <v>1550</v>
      </c>
      <c r="AC101" s="199"/>
      <c r="AD101" s="199"/>
      <c r="AE101" s="199"/>
      <c r="AF101" s="199"/>
      <c r="AG101" s="199"/>
      <c r="AH101" s="199"/>
      <c r="AI101" s="199"/>
      <c r="AJ101" s="199"/>
      <c r="AK101" s="199"/>
      <c r="AL101" s="200"/>
    </row>
    <row r="102" spans="1:38" s="97" customFormat="1" outlineLevel="1" x14ac:dyDescent="0.35">
      <c r="A102" s="97" t="s">
        <v>40</v>
      </c>
      <c r="B102" s="97" t="s">
        <v>31</v>
      </c>
      <c r="F102" s="196" t="s">
        <v>293</v>
      </c>
      <c r="G102" s="107"/>
      <c r="H102" s="107"/>
      <c r="I102" s="107"/>
      <c r="J102" s="107" t="s">
        <v>48</v>
      </c>
      <c r="K102" s="109"/>
      <c r="L102" s="199"/>
      <c r="M102" s="199"/>
      <c r="N102" s="199"/>
      <c r="O102" s="198" cm="1">
        <f t="array" ref="O102">INDEX(Note!$K$3:$K$101,MATCH(1,(Note!$A$3:$A$101=$A102)*(Note!$C$3:$C$101=$B102)*(Note!$E$3:$E$101&lt;=O$1)*(Note!$F$3:$F$101&gt;=O$2),0))</f>
        <v>0</v>
      </c>
      <c r="P102" s="199" cm="1">
        <f t="array" ref="P102">INDEX(Note!$K$3:$K$101,MATCH(1,(Note!$A$3:$A$101=$A102)*(Note!$C$3:$C$101=$B102)*(Note!$E$3:$E$101&lt;=P$1)*(Note!$F$3:$F$101&gt;=P$2),0))</f>
        <v>0</v>
      </c>
      <c r="Q102" s="199" cm="1">
        <f t="array" ref="Q102">INDEX(Note!$K$3:$K$101,MATCH(1,(Note!$A$3:$A$101=$A102)*(Note!$C$3:$C$101=$B102)*(Note!$E$3:$E$101&lt;=Q$1)*(Note!$F$3:$F$101&gt;=Q$2),0))</f>
        <v>0</v>
      </c>
      <c r="R102" s="199" cm="1">
        <f t="array" ref="R102">INDEX(Note!$K$3:$K$101,MATCH(1,(Note!$A$3:$A$101=$A102)*(Note!$C$3:$C$101=$B102)*(Note!$E$3:$E$101&lt;=R$1)*(Note!$F$3:$F$101&gt;=R$2),0))</f>
        <v>0</v>
      </c>
      <c r="S102" s="199" cm="1">
        <f t="array" ref="S102">INDEX(Note!$K$3:$K$101,MATCH(1,(Note!$A$3:$A$101=$A102)*(Note!$C$3:$C$101=$B102)*(Note!$E$3:$E$101&lt;=S$1)*(Note!$F$3:$F$101&gt;=S$2),0))</f>
        <v>0</v>
      </c>
      <c r="T102" s="199" cm="1">
        <f t="array" ref="T102">INDEX(Note!$K$3:$K$101,MATCH(1,(Note!$A$3:$A$101=$A102)*(Note!$C$3:$C$101=$B102)*(Note!$E$3:$E$101&lt;=T$1)*(Note!$F$3:$F$101&gt;=T$2),0))</f>
        <v>0</v>
      </c>
      <c r="U102" s="199" cm="1">
        <f t="array" ref="U102">INDEX(Note!$K$3:$K$101,MATCH(1,(Note!$A$3:$A$101=$A102)*(Note!$C$3:$C$101=$B102)*(Note!$E$3:$E$101&lt;=U$1)*(Note!$F$3:$F$101&gt;=U$2),0))</f>
        <v>0</v>
      </c>
      <c r="V102" s="199" cm="1">
        <f t="array" ref="V102">INDEX(Note!$K$3:$K$101,MATCH(1,(Note!$A$3:$A$101=$A102)*(Note!$C$3:$C$101=$B102)*(Note!$E$3:$E$101&lt;=V$1)*(Note!$F$3:$F$101&gt;=V$2),0))</f>
        <v>0</v>
      </c>
      <c r="W102" s="199" cm="1">
        <f t="array" ref="W102">INDEX(Note!$K$3:$K$101,MATCH(1,(Note!$A$3:$A$101=$A102)*(Note!$C$3:$C$101=$B102)*(Note!$E$3:$E$101&lt;=W$1)*(Note!$F$3:$F$101&gt;=W$2),0))</f>
        <v>0</v>
      </c>
      <c r="X102" s="199" cm="1">
        <f t="array" ref="X102">INDEX(Note!$K$3:$K$101,MATCH(1,(Note!$A$3:$A$101=$A102)*(Note!$C$3:$C$101=$B102)*(Note!$E$3:$E$101&lt;=X$1)*(Note!$F$3:$F$101&gt;=X$2),0))</f>
        <v>0</v>
      </c>
      <c r="Y102" s="199" cm="1">
        <f t="array" ref="Y102">INDEX(Note!$K$3:$K$101,MATCH(1,(Note!$A$3:$A$101=$A102)*(Note!$C$3:$C$101=$B102)*(Note!$E$3:$E$101&lt;=Y$1)*(Note!$F$3:$F$101&gt;=Y$2),0))</f>
        <v>0</v>
      </c>
      <c r="Z102" s="200" cm="1">
        <f t="array" ref="Z102">INDEX(Note!$K$3:$K$101,MATCH(1,(Note!$A$3:$A$101=$A102)*(Note!$C$3:$C$101=$B102)*(Note!$E$3:$E$101&lt;=Z$1)*(Note!$F$3:$F$101&gt;=Z$2),0))</f>
        <v>0</v>
      </c>
      <c r="AA102" s="199" cm="1">
        <f t="array" ref="AA102">INDEX(Note!$K$3:$K$101,MATCH(1,(Note!$A$3:$A$101=$A102)*(Note!$C$3:$C$101=$B102)*(Note!$E$3:$E$101&lt;=AA$1)*(Note!$F$3:$F$101&gt;=AA$2),0))</f>
        <v>1330</v>
      </c>
      <c r="AB102" s="199" cm="1">
        <f t="array" ref="AB102">INDEX(Note!$K$3:$K$101,MATCH(1,(Note!$A$3:$A$101=$A102)*(Note!$C$3:$C$101=$B102)*(Note!$E$3:$E$101&lt;=AB$1)*(Note!$F$3:$F$101&gt;=AB$2),0))</f>
        <v>1330</v>
      </c>
      <c r="AC102" s="199"/>
      <c r="AD102" s="199"/>
      <c r="AE102" s="199"/>
      <c r="AF102" s="199"/>
      <c r="AG102" s="199"/>
      <c r="AH102" s="199"/>
      <c r="AI102" s="199"/>
      <c r="AJ102" s="199"/>
      <c r="AK102" s="199"/>
      <c r="AL102" s="200"/>
    </row>
    <row r="103" spans="1:38" s="188" customFormat="1" outlineLevel="1" x14ac:dyDescent="0.35">
      <c r="A103" s="188" t="s">
        <v>40</v>
      </c>
      <c r="B103" s="188" t="s">
        <v>31</v>
      </c>
      <c r="F103" s="286" t="s">
        <v>294</v>
      </c>
      <c r="G103" s="287"/>
      <c r="H103" s="287"/>
      <c r="I103" s="287"/>
      <c r="J103" s="287" t="s">
        <v>203</v>
      </c>
      <c r="K103" s="189"/>
      <c r="L103" s="295"/>
      <c r="M103" s="295"/>
      <c r="N103" s="296"/>
      <c r="O103" s="201" cm="1">
        <f t="array" ref="O103">SUMPRODUCT(General_Data*(Year=O$3)*(Month=O$4)*(Code_General_Data=$B103))</f>
        <v>1280</v>
      </c>
      <c r="P103" s="202" cm="1">
        <f t="array" ref="P103">SUMPRODUCT(General_Data*(Year=P$3)*(Month=P$4)*(Code_General_Data=$B103))</f>
        <v>1280</v>
      </c>
      <c r="Q103" s="202" cm="1">
        <f t="array" ref="Q103">SUMPRODUCT(General_Data*(Year=Q$3)*(Month=Q$4)*(Code_General_Data=$B103))</f>
        <v>1280</v>
      </c>
      <c r="R103" s="202" cm="1">
        <f t="array" ref="R103">SUMPRODUCT(General_Data*(Year=R$3)*(Month=R$4)*(Code_General_Data=$B103))</f>
        <v>1280</v>
      </c>
      <c r="S103" s="202" cm="1">
        <f t="array" ref="S103">SUMPRODUCT(General_Data*(Year=S$3)*(Month=S$4)*(Code_General_Data=$B103))</f>
        <v>1330</v>
      </c>
      <c r="T103" s="202" cm="1">
        <f t="array" ref="T103">SUMPRODUCT(General_Data*(Year=T$3)*(Month=T$4)*(Code_General_Data=$B103))</f>
        <v>1330</v>
      </c>
      <c r="U103" s="202" cm="1">
        <f t="array" ref="U103">SUMPRODUCT(General_Data*(Year=U$3)*(Month=U$4)*(Code_General_Data=$B103))</f>
        <v>1330</v>
      </c>
      <c r="V103" s="202" cm="1">
        <f t="array" ref="V103">SUMPRODUCT(General_Data*(Year=V$3)*(Month=V$4)*(Code_General_Data=$B103))</f>
        <v>1330</v>
      </c>
      <c r="W103" s="202" cm="1">
        <f t="array" ref="W103">SUMPRODUCT(General_Data*(Year=W$3)*(Month=W$4)*(Code_General_Data=$B103))</f>
        <v>1340</v>
      </c>
      <c r="X103" s="202" cm="1">
        <f t="array" ref="X103">SUMPRODUCT(General_Data*(Year=X$3)*(Month=X$4)*(Code_General_Data=$B103))</f>
        <v>1355</v>
      </c>
      <c r="Y103" s="202" cm="1">
        <f t="array" ref="Y103">SUMPRODUCT(General_Data*(Year=Y$3)*(Month=Y$4)*(Code_General_Data=$B103))</f>
        <v>1355</v>
      </c>
      <c r="Z103" s="203" cm="1">
        <f t="array" ref="Z103">SUMPRODUCT(General_Data*(Year=Z$3)*(Month=Z$4)*(Code_General_Data=$B103))</f>
        <v>1305</v>
      </c>
      <c r="AA103" s="202" cm="1">
        <f t="array" ref="AA103">SUMPRODUCT(General_Data*(Year=AA$3)*(Month=AA$4)*(Code_General_Data=$B103))</f>
        <v>1260</v>
      </c>
      <c r="AB103" s="202" cm="1">
        <f t="array" ref="AB103">SUMPRODUCT(General_Data*(Year=AB$3)*(Month=AB$4)*(Code_General_Data=$B103))</f>
        <v>1260</v>
      </c>
      <c r="AC103" s="202" cm="1">
        <f t="array" ref="AC103">SUMPRODUCT(General_Data*(Year=AC$3)*(Month=AC$4)*(Code_General_Data=$B103))</f>
        <v>1260</v>
      </c>
      <c r="AD103" s="202"/>
      <c r="AE103" s="202"/>
      <c r="AF103" s="202"/>
      <c r="AG103" s="202"/>
      <c r="AH103" s="202"/>
      <c r="AI103" s="202"/>
      <c r="AJ103" s="202"/>
      <c r="AK103" s="202"/>
      <c r="AL103" s="203"/>
    </row>
    <row r="104" spans="1:38" s="93" customFormat="1" x14ac:dyDescent="0.35">
      <c r="D104" s="92"/>
      <c r="F104" s="168"/>
      <c r="G104"/>
      <c r="H104"/>
      <c r="I104"/>
      <c r="J104"/>
      <c r="K104"/>
      <c r="L104"/>
      <c r="M104"/>
      <c r="N104"/>
      <c r="O104" s="47"/>
      <c r="P104"/>
      <c r="Q104"/>
      <c r="R104"/>
      <c r="S104"/>
      <c r="T104"/>
      <c r="U104"/>
      <c r="V104"/>
      <c r="W104"/>
      <c r="X104"/>
      <c r="Y104"/>
      <c r="Z104" s="48"/>
      <c r="AA104"/>
      <c r="AB104"/>
      <c r="AC104"/>
      <c r="AD104"/>
      <c r="AE104"/>
      <c r="AF104"/>
      <c r="AG104"/>
      <c r="AH104"/>
      <c r="AI104"/>
      <c r="AJ104"/>
      <c r="AK104"/>
      <c r="AL104" s="48"/>
    </row>
    <row r="105" spans="1:38" s="178" customFormat="1" ht="19.5" x14ac:dyDescent="0.35">
      <c r="A105" s="176" t="s">
        <v>62</v>
      </c>
      <c r="B105" s="176"/>
      <c r="C105" s="176"/>
      <c r="D105" s="176"/>
      <c r="E105" s="176"/>
      <c r="F105" s="219">
        <v>4</v>
      </c>
      <c r="G105" s="177" t="s">
        <v>295</v>
      </c>
      <c r="H105" s="177"/>
      <c r="I105" s="177"/>
      <c r="J105" s="177"/>
      <c r="L105" s="180"/>
      <c r="M105" s="180"/>
      <c r="N105" s="180"/>
      <c r="O105" s="179"/>
      <c r="P105" s="180"/>
      <c r="Q105" s="180"/>
      <c r="R105" s="180"/>
      <c r="S105" s="180"/>
      <c r="T105" s="180"/>
      <c r="U105" s="180"/>
      <c r="V105" s="180"/>
      <c r="W105" s="180"/>
      <c r="X105" s="180"/>
      <c r="Y105" s="180"/>
      <c r="Z105" s="181"/>
      <c r="AA105" s="182"/>
      <c r="AB105" s="180"/>
      <c r="AC105" s="182"/>
      <c r="AD105" s="182"/>
      <c r="AE105" s="182"/>
      <c r="AF105" s="182"/>
      <c r="AG105" s="182"/>
      <c r="AH105" s="182"/>
      <c r="AI105" s="182"/>
      <c r="AJ105" s="182"/>
      <c r="AK105" s="182"/>
      <c r="AL105" s="181"/>
    </row>
    <row r="106" spans="1:38" s="183" customFormat="1" ht="17" x14ac:dyDescent="0.35">
      <c r="A106" s="183" t="s">
        <v>62</v>
      </c>
      <c r="B106" s="183" t="s">
        <v>35</v>
      </c>
      <c r="D106" s="183" t="s">
        <v>322</v>
      </c>
      <c r="F106" s="273">
        <v>4.0999999999999996</v>
      </c>
      <c r="G106" s="274"/>
      <c r="H106" s="274" t="s">
        <v>297</v>
      </c>
      <c r="I106" s="274"/>
      <c r="J106" s="274"/>
      <c r="L106" s="274"/>
      <c r="M106" s="274"/>
      <c r="N106" s="288"/>
      <c r="O106" s="216">
        <v>1250</v>
      </c>
      <c r="P106" s="217">
        <v>1250</v>
      </c>
      <c r="Q106" s="217">
        <v>1250</v>
      </c>
      <c r="R106" s="217">
        <v>1250</v>
      </c>
      <c r="S106" s="217">
        <v>1250</v>
      </c>
      <c r="T106" s="217">
        <v>1250</v>
      </c>
      <c r="U106" s="217">
        <v>1330</v>
      </c>
      <c r="V106" s="217">
        <v>1330</v>
      </c>
      <c r="W106" s="217">
        <v>1330</v>
      </c>
      <c r="X106" s="217">
        <v>1330</v>
      </c>
      <c r="Y106" s="217">
        <v>1330</v>
      </c>
      <c r="Z106" s="218">
        <v>1330</v>
      </c>
      <c r="AA106" s="216">
        <v>1250</v>
      </c>
      <c r="AB106" s="217">
        <v>1250</v>
      </c>
      <c r="AC106" s="217">
        <v>1250</v>
      </c>
      <c r="AD106" s="217">
        <v>1250</v>
      </c>
      <c r="AE106" s="217">
        <v>1250</v>
      </c>
      <c r="AF106" s="217">
        <v>1250</v>
      </c>
      <c r="AG106" s="217"/>
      <c r="AH106" s="217"/>
      <c r="AI106" s="217"/>
      <c r="AJ106" s="217"/>
      <c r="AK106" s="217"/>
      <c r="AL106" s="218"/>
    </row>
    <row r="107" spans="1:38" s="94" customFormat="1" outlineLevel="1" x14ac:dyDescent="0.35">
      <c r="A107" s="94" t="s">
        <v>62</v>
      </c>
      <c r="B107" s="300" t="s">
        <v>35</v>
      </c>
      <c r="D107" s="95" t="s">
        <v>162</v>
      </c>
      <c r="F107" s="278" t="s">
        <v>306</v>
      </c>
      <c r="G107" s="279"/>
      <c r="H107" s="279"/>
      <c r="I107" s="279" t="s">
        <v>8</v>
      </c>
      <c r="J107" s="279"/>
      <c r="K107" s="2"/>
      <c r="L107" s="279"/>
      <c r="M107" s="279"/>
      <c r="N107" s="290"/>
      <c r="O107" s="228">
        <f>O106</f>
        <v>1250</v>
      </c>
      <c r="P107" s="229">
        <f t="shared" ref="P107:AF107" si="37">P106</f>
        <v>1250</v>
      </c>
      <c r="Q107" s="229">
        <f t="shared" si="37"/>
        <v>1250</v>
      </c>
      <c r="R107" s="229">
        <f t="shared" si="37"/>
        <v>1250</v>
      </c>
      <c r="S107" s="229">
        <f t="shared" si="37"/>
        <v>1250</v>
      </c>
      <c r="T107" s="229">
        <f t="shared" si="37"/>
        <v>1250</v>
      </c>
      <c r="U107" s="229">
        <f t="shared" si="37"/>
        <v>1330</v>
      </c>
      <c r="V107" s="229">
        <f t="shared" si="37"/>
        <v>1330</v>
      </c>
      <c r="W107" s="229">
        <f t="shared" si="37"/>
        <v>1330</v>
      </c>
      <c r="X107" s="229">
        <f t="shared" si="37"/>
        <v>1330</v>
      </c>
      <c r="Y107" s="229">
        <f t="shared" si="37"/>
        <v>1330</v>
      </c>
      <c r="Z107" s="230">
        <f t="shared" si="37"/>
        <v>1330</v>
      </c>
      <c r="AA107" s="229">
        <f t="shared" si="37"/>
        <v>1250</v>
      </c>
      <c r="AB107" s="229">
        <f t="shared" si="37"/>
        <v>1250</v>
      </c>
      <c r="AC107" s="229">
        <f t="shared" si="37"/>
        <v>1250</v>
      </c>
      <c r="AD107" s="229">
        <f t="shared" si="37"/>
        <v>1250</v>
      </c>
      <c r="AE107" s="229">
        <f t="shared" si="37"/>
        <v>1250</v>
      </c>
      <c r="AF107" s="229">
        <f t="shared" si="37"/>
        <v>1250</v>
      </c>
      <c r="AG107" s="229"/>
      <c r="AH107" s="229"/>
      <c r="AI107" s="229"/>
      <c r="AJ107" s="229"/>
      <c r="AK107" s="229"/>
      <c r="AL107" s="230"/>
    </row>
    <row r="108" spans="1:38" s="96" customFormat="1" ht="63" customHeight="1" outlineLevel="1" x14ac:dyDescent="0.35">
      <c r="A108" s="96" t="s">
        <v>62</v>
      </c>
      <c r="B108" s="301" t="s">
        <v>35</v>
      </c>
      <c r="D108" s="97"/>
      <c r="F108" s="282" t="s">
        <v>307</v>
      </c>
      <c r="G108" s="283"/>
      <c r="H108" s="283"/>
      <c r="I108" s="283"/>
      <c r="J108" s="283" t="s">
        <v>45</v>
      </c>
      <c r="K108" s="12"/>
      <c r="L108" s="283"/>
      <c r="M108" s="283"/>
      <c r="N108" s="293"/>
      <c r="O108" s="88" t="str" cm="1">
        <f t="array" ref="O108">INDEX(Note!$G$3:$G$101,MATCH(1,(Note!$A$3:$A$101=$A108)*(Note!$C$3:$C$101=$B108)*(Note!$E$3:$E$101&lt;=O$1)*(Note!$F$3:$F$101&gt;=O$2),0))</f>
        <v>Giá cố định</v>
      </c>
      <c r="P108" s="27" t="str" cm="1">
        <f t="array" ref="P108">INDEX(Note!$G$3:$G$101,MATCH(1,(Note!$A$3:$A$101=$A108)*(Note!$C$3:$C$101=$B108)*(Note!$E$3:$E$101&lt;=P$1)*(Note!$F$3:$F$101&gt;=P$2),0))</f>
        <v>Giá cố định</v>
      </c>
      <c r="Q108" s="27" t="str" cm="1">
        <f t="array" ref="Q108">INDEX(Note!$G$3:$G$101,MATCH(1,(Note!$A$3:$A$101=$A108)*(Note!$C$3:$C$101=$B108)*(Note!$E$3:$E$101&lt;=Q$1)*(Note!$F$3:$F$101&gt;=Q$2),0))</f>
        <v>Giá cố định</v>
      </c>
      <c r="R108" s="27" t="str" cm="1">
        <f t="array" ref="R108">INDEX(Note!$G$3:$G$101,MATCH(1,(Note!$A$3:$A$101=$A108)*(Note!$C$3:$C$101=$B108)*(Note!$E$3:$E$101&lt;=R$1)*(Note!$F$3:$F$101&gt;=R$2),0))</f>
        <v>Giá cố định</v>
      </c>
      <c r="S108" s="27" t="str" cm="1">
        <f t="array" ref="S108">INDEX(Note!$G$3:$G$101,MATCH(1,(Note!$A$3:$A$101=$A108)*(Note!$C$3:$C$101=$B108)*(Note!$E$3:$E$101&lt;=S$1)*(Note!$F$3:$F$101&gt;=S$2),0))</f>
        <v>Giá cố định</v>
      </c>
      <c r="T108" s="27" t="str" cm="1">
        <f t="array" ref="T108">INDEX(Note!$G$3:$G$101,MATCH(1,(Note!$A$3:$A$101=$A108)*(Note!$C$3:$C$101=$B108)*(Note!$E$3:$E$101&lt;=T$1)*(Note!$F$3:$F$101&gt;=T$2),0))</f>
        <v>Giá cố định</v>
      </c>
      <c r="U108" s="27" t="str" cm="1">
        <f t="array" ref="U108">INDEX(Note!$G$3:$G$101,MATCH(1,(Note!$A$3:$A$101=$A108)*(Note!$C$3:$C$101=$B108)*(Note!$E$3:$E$101&lt;=U$1)*(Note!$F$3:$F$101&gt;=U$2),0))</f>
        <v>Giá cố định</v>
      </c>
      <c r="V108" s="27" t="str" cm="1">
        <f t="array" ref="V108">INDEX(Note!$G$3:$G$101,MATCH(1,(Note!$A$3:$A$101=$A108)*(Note!$C$3:$C$101=$B108)*(Note!$E$3:$E$101&lt;=V$1)*(Note!$F$3:$F$101&gt;=V$2),0))</f>
        <v>Giá cố định</v>
      </c>
      <c r="W108" s="27" t="str" cm="1">
        <f t="array" ref="W108">INDEX(Note!$G$3:$G$101,MATCH(1,(Note!$A$3:$A$101=$A108)*(Note!$C$3:$C$101=$B108)*(Note!$E$3:$E$101&lt;=W$1)*(Note!$F$3:$F$101&gt;=W$2),0))</f>
        <v>Giá cố định</v>
      </c>
      <c r="X108" s="27" t="str" cm="1">
        <f t="array" ref="X108">INDEX(Note!$G$3:$G$101,MATCH(1,(Note!$A$3:$A$101=$A108)*(Note!$C$3:$C$101=$B108)*(Note!$E$3:$E$101&lt;=X$1)*(Note!$F$3:$F$101&gt;=X$2),0))</f>
        <v>Giá cố định</v>
      </c>
      <c r="Y108" s="27" t="str" cm="1">
        <f t="array" ref="Y108">INDEX(Note!$G$3:$G$101,MATCH(1,(Note!$A$3:$A$101=$A108)*(Note!$C$3:$C$101=$B108)*(Note!$E$3:$E$101&lt;=Y$1)*(Note!$F$3:$F$101&gt;=Y$2),0))</f>
        <v>Giá cố định</v>
      </c>
      <c r="Z108" s="89" t="str" cm="1">
        <f t="array" ref="Z108">INDEX(Note!$G$3:$G$101,MATCH(1,(Note!$A$3:$A$101=$A108)*(Note!$C$3:$C$101=$B108)*(Note!$E$3:$E$101&lt;=Z$1)*(Note!$F$3:$F$101&gt;=Z$2),0))</f>
        <v>Giá cố định</v>
      </c>
      <c r="AA108" s="27" t="str" cm="1">
        <f t="array" ref="AA108">INDEX(Note!$G$3:$G$101,MATCH(1,(Note!$A$3:$A$101=$A108)*(Note!$C$3:$C$101=$B108)*(Note!$E$3:$E$101&lt;=AA$1)*(Note!$F$3:$F$101&gt;=AA$2),0))</f>
        <v>Giá cố định (đã thanh toán 100% trong năm 2024)</v>
      </c>
      <c r="AB108" s="27" t="str" cm="1">
        <f t="array" ref="AB108">INDEX(Note!$G$3:$G$101,MATCH(1,(Note!$A$3:$A$101=$A108)*(Note!$C$3:$C$101=$B108)*(Note!$E$3:$E$101&lt;=AB$1)*(Note!$F$3:$F$101&gt;=AB$2),0))</f>
        <v>Giá cố định (đã thanh toán 100% trong năm 2024)</v>
      </c>
      <c r="AC108" s="27" t="str" cm="1">
        <f t="array" ref="AC108">INDEX(Note!$G$3:$G$101,MATCH(1,(Note!$A$3:$A$101=$A108)*(Note!$C$3:$C$101=$B108)*(Note!$E$3:$E$101&lt;=AC$1)*(Note!$F$3:$F$101&gt;=AC$2),0))</f>
        <v>Giá cố định (đã thanh toán 100% trong năm 2024)</v>
      </c>
      <c r="AD108" s="27" t="str" cm="1">
        <f t="array" ref="AD108">INDEX(Note!$G$3:$G$101,MATCH(1,(Note!$A$3:$A$101=$A108)*(Note!$C$3:$C$101=$B108)*(Note!$E$3:$E$101&lt;=AD$1)*(Note!$F$3:$F$101&gt;=AD$2),0))</f>
        <v>Giá cố định (đã thanh toán 100% trong năm 2024)</v>
      </c>
      <c r="AE108" s="27" t="str" cm="1">
        <f t="array" ref="AE108">INDEX(Note!$G$3:$G$101,MATCH(1,(Note!$A$3:$A$101=$A108)*(Note!$C$3:$C$101=$B108)*(Note!$E$3:$E$101&lt;=AE$1)*(Note!$F$3:$F$101&gt;=AE$2),0))</f>
        <v>Giá cố định (đã thanh toán 100% trong năm 2024)</v>
      </c>
      <c r="AF108" s="27" t="str" cm="1">
        <f t="array" ref="AF108">INDEX(Note!$G$3:$G$101,MATCH(1,(Note!$A$3:$A$101=$A108)*(Note!$C$3:$C$101=$B108)*(Note!$E$3:$E$101&lt;=AF$1)*(Note!$F$3:$F$101&gt;=AF$2),0))</f>
        <v>Giá cố định (đã thanh toán 100% trong năm 2024)</v>
      </c>
      <c r="AG108" s="27"/>
      <c r="AH108" s="27"/>
      <c r="AI108" s="27"/>
      <c r="AJ108" s="27"/>
      <c r="AK108" s="27"/>
      <c r="AL108" s="89"/>
    </row>
    <row r="109" spans="1:38" s="96" customFormat="1" outlineLevel="1" x14ac:dyDescent="0.35">
      <c r="A109" s="96" t="s">
        <v>62</v>
      </c>
      <c r="B109" s="301" t="s">
        <v>35</v>
      </c>
      <c r="D109" s="97"/>
      <c r="F109" s="282" t="s">
        <v>308</v>
      </c>
      <c r="G109" s="283"/>
      <c r="H109" s="283"/>
      <c r="I109" s="283"/>
      <c r="J109" s="283" t="s">
        <v>43</v>
      </c>
      <c r="K109" s="12"/>
      <c r="L109" s="283"/>
      <c r="M109" s="283"/>
      <c r="N109" s="293"/>
      <c r="O109" s="88" t="str" cm="1">
        <f t="array" ref="O109">INDEX(Note!$H$3:$H$101,MATCH(1,(Note!$A$3:$A$101=$A109)*(Note!$C$3:$C$101=$B109)*(Note!$E$3:$E$101&lt;=O$1)*(Note!$F$3:$F$101&gt;=O$2),0))</f>
        <v>EXW</v>
      </c>
      <c r="P109" s="27" t="str" cm="1">
        <f t="array" ref="P109">INDEX(Note!$H$3:$H$101,MATCH(1,(Note!$A$3:$A$101=$A109)*(Note!$C$3:$C$101=$B109)*(Note!$E$3:$E$101&lt;=P$1)*(Note!$F$3:$F$101&gt;=P$2),0))</f>
        <v>EXW</v>
      </c>
      <c r="Q109" s="27" t="str" cm="1">
        <f t="array" ref="Q109">INDEX(Note!$H$3:$H$101,MATCH(1,(Note!$A$3:$A$101=$A109)*(Note!$C$3:$C$101=$B109)*(Note!$E$3:$E$101&lt;=Q$1)*(Note!$F$3:$F$101&gt;=Q$2),0))</f>
        <v>EXW</v>
      </c>
      <c r="R109" s="27" t="str" cm="1">
        <f t="array" ref="R109">INDEX(Note!$H$3:$H$101,MATCH(1,(Note!$A$3:$A$101=$A109)*(Note!$C$3:$C$101=$B109)*(Note!$E$3:$E$101&lt;=R$1)*(Note!$F$3:$F$101&gt;=R$2),0))</f>
        <v>EXW</v>
      </c>
      <c r="S109" s="27" t="str" cm="1">
        <f t="array" ref="S109">INDEX(Note!$H$3:$H$101,MATCH(1,(Note!$A$3:$A$101=$A109)*(Note!$C$3:$C$101=$B109)*(Note!$E$3:$E$101&lt;=S$1)*(Note!$F$3:$F$101&gt;=S$2),0))</f>
        <v>EXW</v>
      </c>
      <c r="T109" s="27" t="str" cm="1">
        <f t="array" ref="T109">INDEX(Note!$H$3:$H$101,MATCH(1,(Note!$A$3:$A$101=$A109)*(Note!$C$3:$C$101=$B109)*(Note!$E$3:$E$101&lt;=T$1)*(Note!$F$3:$F$101&gt;=T$2),0))</f>
        <v>EXW</v>
      </c>
      <c r="U109" s="27" t="str" cm="1">
        <f t="array" ref="U109">INDEX(Note!$H$3:$H$101,MATCH(1,(Note!$A$3:$A$101=$A109)*(Note!$C$3:$C$101=$B109)*(Note!$E$3:$E$101&lt;=U$1)*(Note!$F$3:$F$101&gt;=U$2),0))</f>
        <v>EXW</v>
      </c>
      <c r="V109" s="27" t="str" cm="1">
        <f t="array" ref="V109">INDEX(Note!$H$3:$H$101,MATCH(1,(Note!$A$3:$A$101=$A109)*(Note!$C$3:$C$101=$B109)*(Note!$E$3:$E$101&lt;=V$1)*(Note!$F$3:$F$101&gt;=V$2),0))</f>
        <v>EXW</v>
      </c>
      <c r="W109" s="27" t="str" cm="1">
        <f t="array" ref="W109">INDEX(Note!$H$3:$H$101,MATCH(1,(Note!$A$3:$A$101=$A109)*(Note!$C$3:$C$101=$B109)*(Note!$E$3:$E$101&lt;=W$1)*(Note!$F$3:$F$101&gt;=W$2),0))</f>
        <v>EXW</v>
      </c>
      <c r="X109" s="27" t="str" cm="1">
        <f t="array" ref="X109">INDEX(Note!$H$3:$H$101,MATCH(1,(Note!$A$3:$A$101=$A109)*(Note!$C$3:$C$101=$B109)*(Note!$E$3:$E$101&lt;=X$1)*(Note!$F$3:$F$101&gt;=X$2),0))</f>
        <v>EXW</v>
      </c>
      <c r="Y109" s="27" t="str" cm="1">
        <f t="array" ref="Y109">INDEX(Note!$H$3:$H$101,MATCH(1,(Note!$A$3:$A$101=$A109)*(Note!$C$3:$C$101=$B109)*(Note!$E$3:$E$101&lt;=Y$1)*(Note!$F$3:$F$101&gt;=Y$2),0))</f>
        <v>EXW</v>
      </c>
      <c r="Z109" s="89" t="str" cm="1">
        <f t="array" ref="Z109">INDEX(Note!$H$3:$H$101,MATCH(1,(Note!$A$3:$A$101=$A109)*(Note!$C$3:$C$101=$B109)*(Note!$E$3:$E$101&lt;=Z$1)*(Note!$F$3:$F$101&gt;=Z$2),0))</f>
        <v>EXW</v>
      </c>
      <c r="AA109" s="27" t="str" cm="1">
        <f t="array" ref="AA109">INDEX(Note!$H$3:$H$101,MATCH(1,(Note!$A$3:$A$101=$A109)*(Note!$C$3:$C$101=$B109)*(Note!$E$3:$E$101&lt;=AA$1)*(Note!$F$3:$F$101&gt;=AA$2),0))</f>
        <v>EXW</v>
      </c>
      <c r="AB109" s="27" t="str" cm="1">
        <f t="array" ref="AB109">INDEX(Note!$H$3:$H$101,MATCH(1,(Note!$A$3:$A$101=$A109)*(Note!$C$3:$C$101=$B109)*(Note!$E$3:$E$101&lt;=AB$1)*(Note!$F$3:$F$101&gt;=AB$2),0))</f>
        <v>EXW</v>
      </c>
      <c r="AC109" s="27" t="str" cm="1">
        <f t="array" ref="AC109">INDEX(Note!$H$3:$H$101,MATCH(1,(Note!$A$3:$A$101=$A109)*(Note!$C$3:$C$101=$B109)*(Note!$E$3:$E$101&lt;=AC$1)*(Note!$F$3:$F$101&gt;=AC$2),0))</f>
        <v>EXW</v>
      </c>
      <c r="AD109" s="27" t="str" cm="1">
        <f t="array" ref="AD109">INDEX(Note!$H$3:$H$101,MATCH(1,(Note!$A$3:$A$101=$A109)*(Note!$C$3:$C$101=$B109)*(Note!$E$3:$E$101&lt;=AD$1)*(Note!$F$3:$F$101&gt;=AD$2),0))</f>
        <v>EXW</v>
      </c>
      <c r="AE109" s="27" t="str" cm="1">
        <f t="array" ref="AE109">INDEX(Note!$H$3:$H$101,MATCH(1,(Note!$A$3:$A$101=$A109)*(Note!$C$3:$C$101=$B109)*(Note!$E$3:$E$101&lt;=AE$1)*(Note!$F$3:$F$101&gt;=AE$2),0))</f>
        <v>EXW</v>
      </c>
      <c r="AF109" s="27" t="str" cm="1">
        <f t="array" ref="AF109">INDEX(Note!$H$3:$H$101,MATCH(1,(Note!$A$3:$A$101=$A109)*(Note!$C$3:$C$101=$B109)*(Note!$E$3:$E$101&lt;=AF$1)*(Note!$F$3:$F$101&gt;=AF$2),0))</f>
        <v>EXW</v>
      </c>
      <c r="AG109" s="27"/>
      <c r="AH109" s="27"/>
      <c r="AI109" s="27"/>
      <c r="AJ109" s="27"/>
      <c r="AK109" s="27"/>
      <c r="AL109" s="89"/>
    </row>
    <row r="110" spans="1:38" s="97" customFormat="1" outlineLevel="1" x14ac:dyDescent="0.35">
      <c r="A110" s="97" t="s">
        <v>62</v>
      </c>
      <c r="B110" s="302" t="s">
        <v>35</v>
      </c>
      <c r="F110" s="284" t="s">
        <v>309</v>
      </c>
      <c r="G110" s="285"/>
      <c r="H110" s="285"/>
      <c r="I110" s="285"/>
      <c r="J110" s="285" t="s">
        <v>46</v>
      </c>
      <c r="K110" s="109"/>
      <c r="L110" s="285"/>
      <c r="M110" s="285"/>
      <c r="N110" s="294"/>
      <c r="O110" s="236" t="str" cm="1">
        <f t="array" ref="O110">INDEX(Note!$I$3:$I$101,MATCH(1,(Note!$A$3:$A$101=$A110)*(Note!$C$3:$C$101=$B110)*(Note!$E$3:$E$101&lt;=O$1)*(Note!$F$3:$F$101&gt;=O$2),0))</f>
        <v>Lần</v>
      </c>
      <c r="P110" s="196" t="str" cm="1">
        <f t="array" ref="P110">INDEX(Note!$I$3:$I$101,MATCH(1,(Note!$A$3:$A$101=$A110)*(Note!$C$3:$C$101=$B110)*(Note!$E$3:$E$101&lt;=P$1)*(Note!$F$3:$F$101&gt;=P$2),0))</f>
        <v>Lần</v>
      </c>
      <c r="Q110" s="196" t="str" cm="1">
        <f t="array" ref="Q110">INDEX(Note!$I$3:$I$101,MATCH(1,(Note!$A$3:$A$101=$A110)*(Note!$C$3:$C$101=$B110)*(Note!$E$3:$E$101&lt;=Q$1)*(Note!$F$3:$F$101&gt;=Q$2),0))</f>
        <v>Lần</v>
      </c>
      <c r="R110" s="196" t="str" cm="1">
        <f t="array" ref="R110">INDEX(Note!$I$3:$I$101,MATCH(1,(Note!$A$3:$A$101=$A110)*(Note!$C$3:$C$101=$B110)*(Note!$E$3:$E$101&lt;=R$1)*(Note!$F$3:$F$101&gt;=R$2),0))</f>
        <v>Lần</v>
      </c>
      <c r="S110" s="196" t="str" cm="1">
        <f t="array" ref="S110">INDEX(Note!$I$3:$I$101,MATCH(1,(Note!$A$3:$A$101=$A110)*(Note!$C$3:$C$101=$B110)*(Note!$E$3:$E$101&lt;=S$1)*(Note!$F$3:$F$101&gt;=S$2),0))</f>
        <v>Lần</v>
      </c>
      <c r="T110" s="196" t="str" cm="1">
        <f t="array" ref="T110">INDEX(Note!$I$3:$I$101,MATCH(1,(Note!$A$3:$A$101=$A110)*(Note!$C$3:$C$101=$B110)*(Note!$E$3:$E$101&lt;=T$1)*(Note!$F$3:$F$101&gt;=T$2),0))</f>
        <v>Lần</v>
      </c>
      <c r="U110" s="196" t="str" cm="1">
        <f t="array" ref="U110">INDEX(Note!$I$3:$I$101,MATCH(1,(Note!$A$3:$A$101=$A110)*(Note!$C$3:$C$101=$B110)*(Note!$E$3:$E$101&lt;=U$1)*(Note!$F$3:$F$101&gt;=U$2),0))</f>
        <v>Lần</v>
      </c>
      <c r="V110" s="196" t="str" cm="1">
        <f t="array" ref="V110">INDEX(Note!$I$3:$I$101,MATCH(1,(Note!$A$3:$A$101=$A110)*(Note!$C$3:$C$101=$B110)*(Note!$E$3:$E$101&lt;=V$1)*(Note!$F$3:$F$101&gt;=V$2),0))</f>
        <v>Lần</v>
      </c>
      <c r="W110" s="196" t="str" cm="1">
        <f t="array" ref="W110">INDEX(Note!$I$3:$I$101,MATCH(1,(Note!$A$3:$A$101=$A110)*(Note!$C$3:$C$101=$B110)*(Note!$E$3:$E$101&lt;=W$1)*(Note!$F$3:$F$101&gt;=W$2),0))</f>
        <v>Lần</v>
      </c>
      <c r="X110" s="196" t="str" cm="1">
        <f t="array" ref="X110">INDEX(Note!$I$3:$I$101,MATCH(1,(Note!$A$3:$A$101=$A110)*(Note!$C$3:$C$101=$B110)*(Note!$E$3:$E$101&lt;=X$1)*(Note!$F$3:$F$101&gt;=X$2),0))</f>
        <v>Lần</v>
      </c>
      <c r="Y110" s="196" t="str" cm="1">
        <f t="array" ref="Y110">INDEX(Note!$I$3:$I$101,MATCH(1,(Note!$A$3:$A$101=$A110)*(Note!$C$3:$C$101=$B110)*(Note!$E$3:$E$101&lt;=Y$1)*(Note!$F$3:$F$101&gt;=Y$2),0))</f>
        <v>Lần</v>
      </c>
      <c r="Z110" s="197" t="str" cm="1">
        <f t="array" ref="Z110">INDEX(Note!$I$3:$I$101,MATCH(1,(Note!$A$3:$A$101=$A110)*(Note!$C$3:$C$101=$B110)*(Note!$E$3:$E$101&lt;=Z$1)*(Note!$F$3:$F$101&gt;=Z$2),0))</f>
        <v>Lần</v>
      </c>
      <c r="AA110" s="196" t="str" cm="1">
        <f t="array" ref="AA110">INDEX(Note!$I$3:$I$101,MATCH(1,(Note!$A$3:$A$101=$A110)*(Note!$C$3:$C$101=$B110)*(Note!$E$3:$E$101&lt;=AA$1)*(Note!$F$3:$F$101&gt;=AA$2),0))</f>
        <v>H1.25</v>
      </c>
      <c r="AB110" s="196" t="str" cm="1">
        <f t="array" ref="AB110">INDEX(Note!$I$3:$I$101,MATCH(1,(Note!$A$3:$A$101=$A110)*(Note!$C$3:$C$101=$B110)*(Note!$E$3:$E$101&lt;=AB$1)*(Note!$F$3:$F$101&gt;=AB$2),0))</f>
        <v>H1.25</v>
      </c>
      <c r="AC110" s="196" t="str" cm="1">
        <f t="array" ref="AC110">INDEX(Note!$I$3:$I$101,MATCH(1,(Note!$A$3:$A$101=$A110)*(Note!$C$3:$C$101=$B110)*(Note!$E$3:$E$101&lt;=AC$1)*(Note!$F$3:$F$101&gt;=AC$2),0))</f>
        <v>H1.25</v>
      </c>
      <c r="AD110" s="196" t="str" cm="1">
        <f t="array" ref="AD110">INDEX(Note!$I$3:$I$101,MATCH(1,(Note!$A$3:$A$101=$A110)*(Note!$C$3:$C$101=$B110)*(Note!$E$3:$E$101&lt;=AD$1)*(Note!$F$3:$F$101&gt;=AD$2),0))</f>
        <v>H1.25</v>
      </c>
      <c r="AE110" s="196" t="str" cm="1">
        <f t="array" ref="AE110">INDEX(Note!$I$3:$I$101,MATCH(1,(Note!$A$3:$A$101=$A110)*(Note!$C$3:$C$101=$B110)*(Note!$E$3:$E$101&lt;=AE$1)*(Note!$F$3:$F$101&gt;=AE$2),0))</f>
        <v>H1.25</v>
      </c>
      <c r="AF110" s="196" t="str" cm="1">
        <f t="array" ref="AF110">INDEX(Note!$I$3:$I$101,MATCH(1,(Note!$A$3:$A$101=$A110)*(Note!$C$3:$C$101=$B110)*(Note!$E$3:$E$101&lt;=AF$1)*(Note!$F$3:$F$101&gt;=AF$2),0))</f>
        <v>H1.25</v>
      </c>
      <c r="AG110" s="196"/>
      <c r="AH110" s="196"/>
      <c r="AI110" s="196"/>
      <c r="AJ110" s="196"/>
      <c r="AK110" s="196"/>
      <c r="AL110" s="197"/>
    </row>
    <row r="111" spans="1:38" s="188" customFormat="1" outlineLevel="1" x14ac:dyDescent="0.35">
      <c r="A111" s="188" t="s">
        <v>62</v>
      </c>
      <c r="B111" s="303" t="s">
        <v>35</v>
      </c>
      <c r="F111" s="286" t="s">
        <v>310</v>
      </c>
      <c r="G111" s="287"/>
      <c r="H111" s="287"/>
      <c r="I111" s="287"/>
      <c r="J111" s="287" t="s">
        <v>203</v>
      </c>
      <c r="K111" s="189"/>
      <c r="L111" s="295"/>
      <c r="M111" s="295"/>
      <c r="N111" s="296"/>
      <c r="O111" s="201" cm="1">
        <f t="array" ref="O111">SUMPRODUCT(General_Data*(Year=O$3)*(Month=O$4)*(Code_General_Data=$B111))</f>
        <v>1250</v>
      </c>
      <c r="P111" s="202" cm="1">
        <f t="array" ref="P111">SUMPRODUCT(General_Data*(Year=P$3)*(Month=P$4)*(Code_General_Data=$B111))</f>
        <v>1250</v>
      </c>
      <c r="Q111" s="202" cm="1">
        <f t="array" ref="Q111">SUMPRODUCT(General_Data*(Year=Q$3)*(Month=Q$4)*(Code_General_Data=$B111))</f>
        <v>1250</v>
      </c>
      <c r="R111" s="202" cm="1">
        <f t="array" ref="R111">SUMPRODUCT(General_Data*(Year=R$3)*(Month=R$4)*(Code_General_Data=$B111))</f>
        <v>1250</v>
      </c>
      <c r="S111" s="202" cm="1">
        <f t="array" ref="S111">SUMPRODUCT(General_Data*(Year=S$3)*(Month=S$4)*(Code_General_Data=$B111))</f>
        <v>1300</v>
      </c>
      <c r="T111" s="202" cm="1">
        <f t="array" ref="T111">SUMPRODUCT(General_Data*(Year=T$3)*(Month=T$4)*(Code_General_Data=$B111))</f>
        <v>1300</v>
      </c>
      <c r="U111" s="202" cm="1">
        <f t="array" ref="U111">SUMPRODUCT(General_Data*(Year=U$3)*(Month=U$4)*(Code_General_Data=$B111))</f>
        <v>1300</v>
      </c>
      <c r="V111" s="202" cm="1">
        <f t="array" ref="V111">SUMPRODUCT(General_Data*(Year=V$3)*(Month=V$4)*(Code_General_Data=$B111))</f>
        <v>1300</v>
      </c>
      <c r="W111" s="202" cm="1">
        <f t="array" ref="W111">SUMPRODUCT(General_Data*(Year=W$3)*(Month=W$4)*(Code_General_Data=$B111))</f>
        <v>1310</v>
      </c>
      <c r="X111" s="202" cm="1">
        <f t="array" ref="X111">SUMPRODUCT(General_Data*(Year=X$3)*(Month=X$4)*(Code_General_Data=$B111))</f>
        <v>1325</v>
      </c>
      <c r="Y111" s="202" cm="1">
        <f t="array" ref="Y111">SUMPRODUCT(General_Data*(Year=Y$3)*(Month=Y$4)*(Code_General_Data=$B111))</f>
        <v>1325</v>
      </c>
      <c r="Z111" s="203" cm="1">
        <f t="array" ref="Z111">SUMPRODUCT(General_Data*(Year=Z$3)*(Month=Z$4)*(Code_General_Data=$B111))</f>
        <v>1275</v>
      </c>
      <c r="AA111" s="202" cm="1">
        <f t="array" ref="AA111">SUMPRODUCT(General_Data*(Year=AA$3)*(Month=AA$4)*(Code_General_Data=$B111))</f>
        <v>1230</v>
      </c>
      <c r="AB111" s="202" cm="1">
        <f t="array" ref="AB111">SUMPRODUCT(General_Data*(Year=AB$3)*(Month=AB$4)*(Code_General_Data=$B111))</f>
        <v>1230</v>
      </c>
      <c r="AC111" s="202" cm="1">
        <f t="array" ref="AC111">SUMPRODUCT(General_Data*(Year=AC$3)*(Month=AC$4)*(Code_General_Data=$B111))</f>
        <v>1230</v>
      </c>
      <c r="AD111" s="202"/>
      <c r="AE111" s="202"/>
      <c r="AF111" s="202"/>
      <c r="AG111" s="202"/>
      <c r="AH111" s="202"/>
      <c r="AI111" s="202"/>
      <c r="AJ111" s="202"/>
      <c r="AK111" s="202"/>
      <c r="AL111" s="203"/>
    </row>
    <row r="112" spans="1:38" s="93" customFormat="1" x14ac:dyDescent="0.35">
      <c r="D112" s="92"/>
      <c r="F112" s="168"/>
      <c r="G112"/>
      <c r="H112"/>
      <c r="I112"/>
      <c r="J112"/>
      <c r="K112"/>
      <c r="L112"/>
      <c r="M112"/>
      <c r="N112"/>
      <c r="O112" s="47"/>
      <c r="P112"/>
      <c r="Q112"/>
      <c r="R112"/>
      <c r="S112"/>
      <c r="T112"/>
      <c r="U112"/>
      <c r="V112"/>
      <c r="W112"/>
      <c r="X112"/>
      <c r="Y112"/>
      <c r="Z112" s="48"/>
      <c r="AA112"/>
      <c r="AB112"/>
      <c r="AC112"/>
      <c r="AD112"/>
      <c r="AE112"/>
      <c r="AF112"/>
      <c r="AG112"/>
      <c r="AH112"/>
      <c r="AI112"/>
      <c r="AJ112"/>
      <c r="AK112"/>
      <c r="AL112" s="48"/>
    </row>
    <row r="113" spans="1:38" s="178" customFormat="1" ht="19.5" x14ac:dyDescent="0.35">
      <c r="A113" s="176" t="s">
        <v>49</v>
      </c>
      <c r="B113" s="176"/>
      <c r="C113" s="176"/>
      <c r="D113" s="176"/>
      <c r="E113" s="176"/>
      <c r="F113" s="219">
        <v>5</v>
      </c>
      <c r="G113" s="177" t="s">
        <v>298</v>
      </c>
      <c r="H113" s="177"/>
      <c r="I113" s="177"/>
      <c r="J113" s="177"/>
      <c r="L113" s="180"/>
      <c r="M113" s="180"/>
      <c r="N113" s="180"/>
      <c r="O113" s="179"/>
      <c r="P113" s="180"/>
      <c r="Q113" s="180"/>
      <c r="R113" s="180"/>
      <c r="S113" s="180"/>
      <c r="T113" s="180"/>
      <c r="U113" s="180"/>
      <c r="V113" s="180"/>
      <c r="W113" s="180"/>
      <c r="X113" s="180"/>
      <c r="Y113" s="180"/>
      <c r="Z113" s="181"/>
      <c r="AA113" s="182"/>
      <c r="AB113" s="180"/>
      <c r="AC113" s="182"/>
      <c r="AD113" s="182"/>
      <c r="AE113" s="182"/>
      <c r="AF113" s="182"/>
      <c r="AG113" s="182"/>
      <c r="AH113" s="182"/>
      <c r="AI113" s="182"/>
      <c r="AJ113" s="182"/>
      <c r="AK113" s="182"/>
      <c r="AL113" s="181"/>
    </row>
    <row r="114" spans="1:38" s="183" customFormat="1" ht="17" x14ac:dyDescent="0.35">
      <c r="A114" s="183" t="s">
        <v>49</v>
      </c>
      <c r="B114" s="183" t="s">
        <v>29</v>
      </c>
      <c r="D114" s="183" t="s">
        <v>322</v>
      </c>
      <c r="F114" s="273">
        <v>5.0999999999999996</v>
      </c>
      <c r="G114" s="274"/>
      <c r="H114" s="274" t="s">
        <v>261</v>
      </c>
      <c r="I114" s="274"/>
      <c r="J114" s="274"/>
      <c r="L114" s="274"/>
      <c r="M114" s="274"/>
      <c r="N114" s="288"/>
      <c r="O114" s="216">
        <v>1325</v>
      </c>
      <c r="P114" s="217">
        <v>1325</v>
      </c>
      <c r="Q114" s="217">
        <v>1325</v>
      </c>
      <c r="R114" s="217">
        <v>1325</v>
      </c>
      <c r="S114" s="217">
        <v>1325</v>
      </c>
      <c r="T114" s="217">
        <v>1325</v>
      </c>
      <c r="U114" s="217">
        <v>1325</v>
      </c>
      <c r="V114" s="217">
        <v>1325</v>
      </c>
      <c r="W114" s="217">
        <v>1325</v>
      </c>
      <c r="X114" s="217">
        <v>1325</v>
      </c>
      <c r="Y114" s="217">
        <v>1325</v>
      </c>
      <c r="Z114" s="218">
        <v>1325</v>
      </c>
      <c r="AA114" s="216">
        <v>1400</v>
      </c>
      <c r="AB114" s="217">
        <v>1400</v>
      </c>
      <c r="AC114" s="217">
        <v>1400</v>
      </c>
      <c r="AD114" s="217">
        <v>1400</v>
      </c>
      <c r="AE114" s="217">
        <v>1400</v>
      </c>
      <c r="AF114" s="217">
        <v>1400</v>
      </c>
      <c r="AG114" s="217">
        <v>1400</v>
      </c>
      <c r="AH114" s="217">
        <v>1400</v>
      </c>
      <c r="AI114" s="217">
        <v>1400</v>
      </c>
      <c r="AJ114" s="217">
        <v>1400</v>
      </c>
      <c r="AK114" s="217">
        <v>1400</v>
      </c>
      <c r="AL114" s="218">
        <v>1400</v>
      </c>
    </row>
    <row r="115" spans="1:38" s="94" customFormat="1" outlineLevel="1" x14ac:dyDescent="0.35">
      <c r="A115" s="94" t="s">
        <v>49</v>
      </c>
      <c r="B115" s="300" t="s">
        <v>29</v>
      </c>
      <c r="D115" s="95" t="s">
        <v>162</v>
      </c>
      <c r="F115" s="278" t="s">
        <v>299</v>
      </c>
      <c r="G115" s="279"/>
      <c r="H115" s="279"/>
      <c r="I115" s="279" t="s">
        <v>8</v>
      </c>
      <c r="J115" s="279"/>
      <c r="K115" s="2"/>
      <c r="L115" s="279"/>
      <c r="M115" s="279"/>
      <c r="N115" s="290"/>
      <c r="O115" s="228">
        <f>O114-O116-O117</f>
        <v>1315</v>
      </c>
      <c r="P115" s="229">
        <f t="shared" ref="P115:AL115" si="38">P114-P116-P117</f>
        <v>1315</v>
      </c>
      <c r="Q115" s="229">
        <f t="shared" si="38"/>
        <v>1315</v>
      </c>
      <c r="R115" s="229">
        <f t="shared" si="38"/>
        <v>1315</v>
      </c>
      <c r="S115" s="229">
        <f t="shared" si="38"/>
        <v>1315</v>
      </c>
      <c r="T115" s="229">
        <f t="shared" si="38"/>
        <v>1315</v>
      </c>
      <c r="U115" s="229">
        <f t="shared" si="38"/>
        <v>1315</v>
      </c>
      <c r="V115" s="229">
        <f t="shared" si="38"/>
        <v>1315</v>
      </c>
      <c r="W115" s="229">
        <f t="shared" si="38"/>
        <v>1315</v>
      </c>
      <c r="X115" s="229">
        <f t="shared" si="38"/>
        <v>1315</v>
      </c>
      <c r="Y115" s="229">
        <f t="shared" si="38"/>
        <v>1315</v>
      </c>
      <c r="Z115" s="230">
        <f t="shared" si="38"/>
        <v>1315</v>
      </c>
      <c r="AA115" s="229">
        <f t="shared" si="38"/>
        <v>1348</v>
      </c>
      <c r="AB115" s="229">
        <f t="shared" si="38"/>
        <v>1348</v>
      </c>
      <c r="AC115" s="229">
        <f t="shared" si="38"/>
        <v>1348</v>
      </c>
      <c r="AD115" s="229">
        <f t="shared" si="38"/>
        <v>1348</v>
      </c>
      <c r="AE115" s="229">
        <f t="shared" si="38"/>
        <v>1348</v>
      </c>
      <c r="AF115" s="229">
        <f t="shared" si="38"/>
        <v>1348</v>
      </c>
      <c r="AG115" s="229">
        <f t="shared" si="38"/>
        <v>1348</v>
      </c>
      <c r="AH115" s="229">
        <f t="shared" si="38"/>
        <v>1348</v>
      </c>
      <c r="AI115" s="229">
        <f t="shared" si="38"/>
        <v>1348</v>
      </c>
      <c r="AJ115" s="229">
        <f t="shared" si="38"/>
        <v>1348</v>
      </c>
      <c r="AK115" s="229">
        <f t="shared" si="38"/>
        <v>1348</v>
      </c>
      <c r="AL115" s="230">
        <f t="shared" si="38"/>
        <v>1348</v>
      </c>
    </row>
    <row r="116" spans="1:38" s="184" customFormat="1" outlineLevel="1" x14ac:dyDescent="0.35">
      <c r="A116" s="184" t="s">
        <v>49</v>
      </c>
      <c r="B116" s="184" t="s">
        <v>29</v>
      </c>
      <c r="F116" s="222" t="s">
        <v>300</v>
      </c>
      <c r="G116" s="191"/>
      <c r="H116" s="191"/>
      <c r="I116" s="191" t="s">
        <v>50</v>
      </c>
      <c r="J116" s="191"/>
      <c r="K116" s="185"/>
      <c r="L116" s="210"/>
      <c r="M116" s="210"/>
      <c r="N116" s="210"/>
      <c r="O116" s="211">
        <v>10</v>
      </c>
      <c r="P116" s="210">
        <v>10</v>
      </c>
      <c r="Q116" s="210">
        <v>10</v>
      </c>
      <c r="R116" s="210">
        <v>10</v>
      </c>
      <c r="S116" s="210">
        <v>10</v>
      </c>
      <c r="T116" s="210">
        <v>10</v>
      </c>
      <c r="U116" s="210">
        <v>10</v>
      </c>
      <c r="V116" s="210">
        <v>10</v>
      </c>
      <c r="W116" s="210">
        <v>10</v>
      </c>
      <c r="X116" s="210">
        <v>10</v>
      </c>
      <c r="Y116" s="210">
        <v>10</v>
      </c>
      <c r="Z116" s="212">
        <v>10</v>
      </c>
      <c r="AA116" s="210">
        <v>10</v>
      </c>
      <c r="AB116" s="210">
        <v>10</v>
      </c>
      <c r="AC116" s="210">
        <v>10</v>
      </c>
      <c r="AD116" s="210">
        <v>10</v>
      </c>
      <c r="AE116" s="210">
        <v>10</v>
      </c>
      <c r="AF116" s="210">
        <v>10</v>
      </c>
      <c r="AG116" s="210">
        <v>10</v>
      </c>
      <c r="AH116" s="210">
        <v>10</v>
      </c>
      <c r="AI116" s="210">
        <v>10</v>
      </c>
      <c r="AJ116" s="210">
        <v>10</v>
      </c>
      <c r="AK116" s="210">
        <v>10</v>
      </c>
      <c r="AL116" s="212">
        <v>10</v>
      </c>
    </row>
    <row r="117" spans="1:38" s="184" customFormat="1" outlineLevel="1" x14ac:dyDescent="0.35">
      <c r="A117" s="184" t="s">
        <v>49</v>
      </c>
      <c r="B117" s="184" t="s">
        <v>29</v>
      </c>
      <c r="F117" s="222" t="s">
        <v>301</v>
      </c>
      <c r="G117" s="191"/>
      <c r="H117" s="191"/>
      <c r="I117" s="191" t="s">
        <v>51</v>
      </c>
      <c r="J117" s="191"/>
      <c r="K117" s="185"/>
      <c r="L117" s="210"/>
      <c r="M117" s="210"/>
      <c r="N117" s="210"/>
      <c r="O117" s="211"/>
      <c r="P117" s="210"/>
      <c r="Q117" s="210"/>
      <c r="R117" s="210"/>
      <c r="S117" s="210"/>
      <c r="T117" s="210"/>
      <c r="U117" s="210"/>
      <c r="V117" s="210"/>
      <c r="W117" s="210"/>
      <c r="X117" s="210"/>
      <c r="Y117" s="210"/>
      <c r="Z117" s="212"/>
      <c r="AA117" s="210">
        <f t="shared" ref="AA117:AL117" si="39">AA114*3%</f>
        <v>42</v>
      </c>
      <c r="AB117" s="210">
        <f t="shared" si="39"/>
        <v>42</v>
      </c>
      <c r="AC117" s="210">
        <f t="shared" si="39"/>
        <v>42</v>
      </c>
      <c r="AD117" s="210">
        <f t="shared" si="39"/>
        <v>42</v>
      </c>
      <c r="AE117" s="210">
        <f t="shared" si="39"/>
        <v>42</v>
      </c>
      <c r="AF117" s="210">
        <f t="shared" si="39"/>
        <v>42</v>
      </c>
      <c r="AG117" s="210">
        <f t="shared" si="39"/>
        <v>42</v>
      </c>
      <c r="AH117" s="210">
        <f t="shared" si="39"/>
        <v>42</v>
      </c>
      <c r="AI117" s="210">
        <f t="shared" si="39"/>
        <v>42</v>
      </c>
      <c r="AJ117" s="210">
        <f t="shared" si="39"/>
        <v>42</v>
      </c>
      <c r="AK117" s="210">
        <f t="shared" si="39"/>
        <v>42</v>
      </c>
      <c r="AL117" s="212">
        <f t="shared" si="39"/>
        <v>42</v>
      </c>
    </row>
    <row r="118" spans="1:38" s="96" customFormat="1" ht="63" customHeight="1" outlineLevel="1" x14ac:dyDescent="0.35">
      <c r="A118" s="96" t="s">
        <v>49</v>
      </c>
      <c r="B118" s="301" t="s">
        <v>29</v>
      </c>
      <c r="D118" s="97"/>
      <c r="F118" s="282" t="s">
        <v>302</v>
      </c>
      <c r="G118" s="283"/>
      <c r="H118" s="283"/>
      <c r="I118" s="283"/>
      <c r="J118" s="283" t="s">
        <v>45</v>
      </c>
      <c r="K118" s="12"/>
      <c r="L118" s="283"/>
      <c r="M118" s="283"/>
      <c r="N118" s="293"/>
      <c r="O118" s="88" t="str" cm="1">
        <f t="array" ref="O118">INDEX(Note!$G$3:$G$101,MATCH(1,(Note!$A$3:$A$101=$A118)*(Note!$C$3:$C$101=$B118)*(Note!$E$3:$E$101&lt;=O$1)*(Note!$F$3:$F$101&gt;=O$2),0))</f>
        <v>Giá cố định</v>
      </c>
      <c r="P118" s="27" t="str" cm="1">
        <f t="array" ref="P118">INDEX(Note!$G$3:$G$101,MATCH(1,(Note!$A$3:$A$101=$A118)*(Note!$C$3:$C$101=$B118)*(Note!$E$3:$E$101&lt;=P$1)*(Note!$F$3:$F$101&gt;=P$2),0))</f>
        <v>Giá cố định</v>
      </c>
      <c r="Q118" s="27" t="str" cm="1">
        <f t="array" ref="Q118">INDEX(Note!$G$3:$G$101,MATCH(1,(Note!$A$3:$A$101=$A118)*(Note!$C$3:$C$101=$B118)*(Note!$E$3:$E$101&lt;=Q$1)*(Note!$F$3:$F$101&gt;=Q$2),0))</f>
        <v>Giá cố định</v>
      </c>
      <c r="R118" s="27" t="str" cm="1">
        <f t="array" ref="R118">INDEX(Note!$G$3:$G$101,MATCH(1,(Note!$A$3:$A$101=$A118)*(Note!$C$3:$C$101=$B118)*(Note!$E$3:$E$101&lt;=R$1)*(Note!$F$3:$F$101&gt;=R$2),0))</f>
        <v>Giá cố định</v>
      </c>
      <c r="S118" s="27" t="str" cm="1">
        <f t="array" ref="S118">INDEX(Note!$G$3:$G$101,MATCH(1,(Note!$A$3:$A$101=$A118)*(Note!$C$3:$C$101=$B118)*(Note!$E$3:$E$101&lt;=S$1)*(Note!$F$3:$F$101&gt;=S$2),0))</f>
        <v>Giá cố định</v>
      </c>
      <c r="T118" s="27" t="str" cm="1">
        <f t="array" ref="T118">INDEX(Note!$G$3:$G$101,MATCH(1,(Note!$A$3:$A$101=$A118)*(Note!$C$3:$C$101=$B118)*(Note!$E$3:$E$101&lt;=T$1)*(Note!$F$3:$F$101&gt;=T$2),0))</f>
        <v>Giá cố định</v>
      </c>
      <c r="U118" s="27" t="str" cm="1">
        <f t="array" ref="U118">INDEX(Note!$G$3:$G$101,MATCH(1,(Note!$A$3:$A$101=$A118)*(Note!$C$3:$C$101=$B118)*(Note!$E$3:$E$101&lt;=U$1)*(Note!$F$3:$F$101&gt;=U$2),0))</f>
        <v>Giá cố định</v>
      </c>
      <c r="V118" s="27" t="str" cm="1">
        <f t="array" ref="V118">INDEX(Note!$G$3:$G$101,MATCH(1,(Note!$A$3:$A$101=$A118)*(Note!$C$3:$C$101=$B118)*(Note!$E$3:$E$101&lt;=V$1)*(Note!$F$3:$F$101&gt;=V$2),0))</f>
        <v>Giá cố định</v>
      </c>
      <c r="W118" s="27" t="str" cm="1">
        <f t="array" ref="W118">INDEX(Note!$G$3:$G$101,MATCH(1,(Note!$A$3:$A$101=$A118)*(Note!$C$3:$C$101=$B118)*(Note!$E$3:$E$101&lt;=W$1)*(Note!$F$3:$F$101&gt;=W$2),0))</f>
        <v>Giá cố định</v>
      </c>
      <c r="X118" s="27" t="str" cm="1">
        <f t="array" ref="X118">INDEX(Note!$G$3:$G$101,MATCH(1,(Note!$A$3:$A$101=$A118)*(Note!$C$3:$C$101=$B118)*(Note!$E$3:$E$101&lt;=X$1)*(Note!$F$3:$F$101&gt;=X$2),0))</f>
        <v>Giá cố định</v>
      </c>
      <c r="Y118" s="27" t="str" cm="1">
        <f t="array" ref="Y118">INDEX(Note!$G$3:$G$101,MATCH(1,(Note!$A$3:$A$101=$A118)*(Note!$C$3:$C$101=$B118)*(Note!$E$3:$E$101&lt;=Y$1)*(Note!$F$3:$F$101&gt;=Y$2),0))</f>
        <v>Giá cố định</v>
      </c>
      <c r="Z118" s="89" t="str" cm="1">
        <f t="array" ref="Z118">INDEX(Note!$G$3:$G$101,MATCH(1,(Note!$A$3:$A$101=$A118)*(Note!$C$3:$C$101=$B118)*(Note!$E$3:$E$101&lt;=Z$1)*(Note!$F$3:$F$101&gt;=Z$2),0))</f>
        <v>Giá cố định</v>
      </c>
      <c r="AA118" s="27" t="str" cm="1">
        <f t="array" ref="AA118">INDEX(Note!$G$3:$G$101,MATCH(1,(Note!$A$3:$A$101=$A118)*(Note!$C$3:$C$101=$B118)*(Note!$E$3:$E$101&lt;=AA$1)*(Note!$F$3:$F$101&gt;=AA$2),0))</f>
        <v>Giá cố định</v>
      </c>
      <c r="AB118" s="27" t="str" cm="1">
        <f t="array" ref="AB118">INDEX(Note!$G$3:$G$101,MATCH(1,(Note!$A$3:$A$101=$A118)*(Note!$C$3:$C$101=$B118)*(Note!$E$3:$E$101&lt;=AB$1)*(Note!$F$3:$F$101&gt;=AB$2),0))</f>
        <v>Giá cố định</v>
      </c>
      <c r="AC118" s="27" t="str" cm="1">
        <f t="array" ref="AC118">INDEX(Note!$G$3:$G$101,MATCH(1,(Note!$A$3:$A$101=$A118)*(Note!$C$3:$C$101=$B118)*(Note!$E$3:$E$101&lt;=AC$1)*(Note!$F$3:$F$101&gt;=AC$2),0))</f>
        <v>Giá cố định</v>
      </c>
      <c r="AD118" s="27" t="str" cm="1">
        <f t="array" ref="AD118">INDEX(Note!$G$3:$G$101,MATCH(1,(Note!$A$3:$A$101=$A118)*(Note!$C$3:$C$101=$B118)*(Note!$E$3:$E$101&lt;=AD$1)*(Note!$F$3:$F$101&gt;=AD$2),0))</f>
        <v>Giá cố định</v>
      </c>
      <c r="AE118" s="27" t="str" cm="1">
        <f t="array" ref="AE118">INDEX(Note!$G$3:$G$101,MATCH(1,(Note!$A$3:$A$101=$A118)*(Note!$C$3:$C$101=$B118)*(Note!$E$3:$E$101&lt;=AE$1)*(Note!$F$3:$F$101&gt;=AE$2),0))</f>
        <v>Giá cố định</v>
      </c>
      <c r="AF118" s="27" t="str" cm="1">
        <f t="array" ref="AF118">INDEX(Note!$G$3:$G$101,MATCH(1,(Note!$A$3:$A$101=$A118)*(Note!$C$3:$C$101=$B118)*(Note!$E$3:$E$101&lt;=AF$1)*(Note!$F$3:$F$101&gt;=AF$2),0))</f>
        <v>Giá cố định</v>
      </c>
      <c r="AG118" s="27" t="str" cm="1">
        <f t="array" ref="AG118">INDEX(Note!$G$3:$G$101,MATCH(1,(Note!$A$3:$A$101=$A118)*(Note!$C$3:$C$101=$B118)*(Note!$E$3:$E$101&lt;=AG$1)*(Note!$F$3:$F$101&gt;=AG$2),0))</f>
        <v>Giá cố định</v>
      </c>
      <c r="AH118" s="27" t="str" cm="1">
        <f t="array" ref="AH118">INDEX(Note!$G$3:$G$101,MATCH(1,(Note!$A$3:$A$101=$A118)*(Note!$C$3:$C$101=$B118)*(Note!$E$3:$E$101&lt;=AH$1)*(Note!$F$3:$F$101&gt;=AH$2),0))</f>
        <v>Giá cố định</v>
      </c>
      <c r="AI118" s="27" t="str" cm="1">
        <f t="array" ref="AI118">INDEX(Note!$G$3:$G$101,MATCH(1,(Note!$A$3:$A$101=$A118)*(Note!$C$3:$C$101=$B118)*(Note!$E$3:$E$101&lt;=AI$1)*(Note!$F$3:$F$101&gt;=AI$2),0))</f>
        <v>Giá cố định</v>
      </c>
      <c r="AJ118" s="27" t="str" cm="1">
        <f t="array" ref="AJ118">INDEX(Note!$G$3:$G$101,MATCH(1,(Note!$A$3:$A$101=$A118)*(Note!$C$3:$C$101=$B118)*(Note!$E$3:$E$101&lt;=AJ$1)*(Note!$F$3:$F$101&gt;=AJ$2),0))</f>
        <v>Giá cố định</v>
      </c>
      <c r="AK118" s="27" t="str" cm="1">
        <f t="array" ref="AK118">INDEX(Note!$G$3:$G$101,MATCH(1,(Note!$A$3:$A$101=$A118)*(Note!$C$3:$C$101=$B118)*(Note!$E$3:$E$101&lt;=AK$1)*(Note!$F$3:$F$101&gt;=AK$2),0))</f>
        <v>Giá cố định</v>
      </c>
      <c r="AL118" s="89" t="str" cm="1">
        <f t="array" ref="AL118">INDEX(Note!$G$3:$G$101,MATCH(1,(Note!$A$3:$A$101=$A118)*(Note!$C$3:$C$101=$B118)*(Note!$E$3:$E$101&lt;=AL$1)*(Note!$F$3:$F$101&gt;=AL$2),0))</f>
        <v>Giá cố định</v>
      </c>
    </row>
    <row r="119" spans="1:38" s="96" customFormat="1" outlineLevel="1" x14ac:dyDescent="0.35">
      <c r="A119" s="96" t="s">
        <v>49</v>
      </c>
      <c r="B119" s="301" t="s">
        <v>29</v>
      </c>
      <c r="D119" s="97"/>
      <c r="F119" s="282" t="s">
        <v>303</v>
      </c>
      <c r="G119" s="283"/>
      <c r="H119" s="283"/>
      <c r="I119" s="283"/>
      <c r="J119" s="283" t="s">
        <v>43</v>
      </c>
      <c r="K119" s="12"/>
      <c r="L119" s="283"/>
      <c r="M119" s="283"/>
      <c r="N119" s="293"/>
      <c r="O119" s="88" t="str" cm="1">
        <f t="array" ref="O119">INDEX(Note!$H$3:$H$101,MATCH(1,(Note!$A$3:$A$101=$A119)*(Note!$C$3:$C$101=$B119)*(Note!$E$3:$E$101&lt;=O$1)*(Note!$F$3:$F$101&gt;=O$2),0))</f>
        <v>DDP</v>
      </c>
      <c r="P119" s="27" t="str" cm="1">
        <f t="array" ref="P119">INDEX(Note!$H$3:$H$101,MATCH(1,(Note!$A$3:$A$101=$A119)*(Note!$C$3:$C$101=$B119)*(Note!$E$3:$E$101&lt;=P$1)*(Note!$F$3:$F$101&gt;=P$2),0))</f>
        <v>DDP</v>
      </c>
      <c r="Q119" s="27" t="str" cm="1">
        <f t="array" ref="Q119">INDEX(Note!$H$3:$H$101,MATCH(1,(Note!$A$3:$A$101=$A119)*(Note!$C$3:$C$101=$B119)*(Note!$E$3:$E$101&lt;=Q$1)*(Note!$F$3:$F$101&gt;=Q$2),0))</f>
        <v>DDP</v>
      </c>
      <c r="R119" s="27" t="str" cm="1">
        <f t="array" ref="R119">INDEX(Note!$H$3:$H$101,MATCH(1,(Note!$A$3:$A$101=$A119)*(Note!$C$3:$C$101=$B119)*(Note!$E$3:$E$101&lt;=R$1)*(Note!$F$3:$F$101&gt;=R$2),0))</f>
        <v>DDP</v>
      </c>
      <c r="S119" s="27" t="str" cm="1">
        <f t="array" ref="S119">INDEX(Note!$H$3:$H$101,MATCH(1,(Note!$A$3:$A$101=$A119)*(Note!$C$3:$C$101=$B119)*(Note!$E$3:$E$101&lt;=S$1)*(Note!$F$3:$F$101&gt;=S$2),0))</f>
        <v>DDP</v>
      </c>
      <c r="T119" s="27" t="str" cm="1">
        <f t="array" ref="T119">INDEX(Note!$H$3:$H$101,MATCH(1,(Note!$A$3:$A$101=$A119)*(Note!$C$3:$C$101=$B119)*(Note!$E$3:$E$101&lt;=T$1)*(Note!$F$3:$F$101&gt;=T$2),0))</f>
        <v>DDP</v>
      </c>
      <c r="U119" s="27" t="str" cm="1">
        <f t="array" ref="U119">INDEX(Note!$H$3:$H$101,MATCH(1,(Note!$A$3:$A$101=$A119)*(Note!$C$3:$C$101=$B119)*(Note!$E$3:$E$101&lt;=U$1)*(Note!$F$3:$F$101&gt;=U$2),0))</f>
        <v>DDP</v>
      </c>
      <c r="V119" s="27" t="str" cm="1">
        <f t="array" ref="V119">INDEX(Note!$H$3:$H$101,MATCH(1,(Note!$A$3:$A$101=$A119)*(Note!$C$3:$C$101=$B119)*(Note!$E$3:$E$101&lt;=V$1)*(Note!$F$3:$F$101&gt;=V$2),0))</f>
        <v>DDP</v>
      </c>
      <c r="W119" s="27" t="str" cm="1">
        <f t="array" ref="W119">INDEX(Note!$H$3:$H$101,MATCH(1,(Note!$A$3:$A$101=$A119)*(Note!$C$3:$C$101=$B119)*(Note!$E$3:$E$101&lt;=W$1)*(Note!$F$3:$F$101&gt;=W$2),0))</f>
        <v>DDP</v>
      </c>
      <c r="X119" s="27" t="str" cm="1">
        <f t="array" ref="X119">INDEX(Note!$H$3:$H$101,MATCH(1,(Note!$A$3:$A$101=$A119)*(Note!$C$3:$C$101=$B119)*(Note!$E$3:$E$101&lt;=X$1)*(Note!$F$3:$F$101&gt;=X$2),0))</f>
        <v>DDP</v>
      </c>
      <c r="Y119" s="27" t="str" cm="1">
        <f t="array" ref="Y119">INDEX(Note!$H$3:$H$101,MATCH(1,(Note!$A$3:$A$101=$A119)*(Note!$C$3:$C$101=$B119)*(Note!$E$3:$E$101&lt;=Y$1)*(Note!$F$3:$F$101&gt;=Y$2),0))</f>
        <v>DDP</v>
      </c>
      <c r="Z119" s="89" t="str" cm="1">
        <f t="array" ref="Z119">INDEX(Note!$H$3:$H$101,MATCH(1,(Note!$A$3:$A$101=$A119)*(Note!$C$3:$C$101=$B119)*(Note!$E$3:$E$101&lt;=Z$1)*(Note!$F$3:$F$101&gt;=Z$2),0))</f>
        <v>DDP</v>
      </c>
      <c r="AA119" s="27" t="str" cm="1">
        <f t="array" ref="AA119">INDEX(Note!$H$3:$H$101,MATCH(1,(Note!$A$3:$A$101=$A119)*(Note!$C$3:$C$101=$B119)*(Note!$E$3:$E$101&lt;=AA$1)*(Note!$F$3:$F$101&gt;=AA$2),0))</f>
        <v>DDP</v>
      </c>
      <c r="AB119" s="27" t="str" cm="1">
        <f t="array" ref="AB119">INDEX(Note!$H$3:$H$101,MATCH(1,(Note!$A$3:$A$101=$A119)*(Note!$C$3:$C$101=$B119)*(Note!$E$3:$E$101&lt;=AB$1)*(Note!$F$3:$F$101&gt;=AB$2),0))</f>
        <v>DDP</v>
      </c>
      <c r="AC119" s="27" t="str" cm="1">
        <f t="array" ref="AC119">INDEX(Note!$H$3:$H$101,MATCH(1,(Note!$A$3:$A$101=$A119)*(Note!$C$3:$C$101=$B119)*(Note!$E$3:$E$101&lt;=AC$1)*(Note!$F$3:$F$101&gt;=AC$2),0))</f>
        <v>DDP</v>
      </c>
      <c r="AD119" s="27" t="str" cm="1">
        <f t="array" ref="AD119">INDEX(Note!$H$3:$H$101,MATCH(1,(Note!$A$3:$A$101=$A119)*(Note!$C$3:$C$101=$B119)*(Note!$E$3:$E$101&lt;=AD$1)*(Note!$F$3:$F$101&gt;=AD$2),0))</f>
        <v>DDP</v>
      </c>
      <c r="AE119" s="27" t="str" cm="1">
        <f t="array" ref="AE119">INDEX(Note!$H$3:$H$101,MATCH(1,(Note!$A$3:$A$101=$A119)*(Note!$C$3:$C$101=$B119)*(Note!$E$3:$E$101&lt;=AE$1)*(Note!$F$3:$F$101&gt;=AE$2),0))</f>
        <v>DDP</v>
      </c>
      <c r="AF119" s="27" t="str" cm="1">
        <f t="array" ref="AF119">INDEX(Note!$H$3:$H$101,MATCH(1,(Note!$A$3:$A$101=$A119)*(Note!$C$3:$C$101=$B119)*(Note!$E$3:$E$101&lt;=AF$1)*(Note!$F$3:$F$101&gt;=AF$2),0))</f>
        <v>DDP</v>
      </c>
      <c r="AG119" s="27" t="str" cm="1">
        <f t="array" ref="AG119">INDEX(Note!$H$3:$H$101,MATCH(1,(Note!$A$3:$A$101=$A119)*(Note!$C$3:$C$101=$B119)*(Note!$E$3:$E$101&lt;=AG$1)*(Note!$F$3:$F$101&gt;=AG$2),0))</f>
        <v>DDP</v>
      </c>
      <c r="AH119" s="27" t="str" cm="1">
        <f t="array" ref="AH119">INDEX(Note!$H$3:$H$101,MATCH(1,(Note!$A$3:$A$101=$A119)*(Note!$C$3:$C$101=$B119)*(Note!$E$3:$E$101&lt;=AH$1)*(Note!$F$3:$F$101&gt;=AH$2),0))</f>
        <v>DDP</v>
      </c>
      <c r="AI119" s="27" t="str" cm="1">
        <f t="array" ref="AI119">INDEX(Note!$H$3:$H$101,MATCH(1,(Note!$A$3:$A$101=$A119)*(Note!$C$3:$C$101=$B119)*(Note!$E$3:$E$101&lt;=AI$1)*(Note!$F$3:$F$101&gt;=AI$2),0))</f>
        <v>DDP</v>
      </c>
      <c r="AJ119" s="27" t="str" cm="1">
        <f t="array" ref="AJ119">INDEX(Note!$H$3:$H$101,MATCH(1,(Note!$A$3:$A$101=$A119)*(Note!$C$3:$C$101=$B119)*(Note!$E$3:$E$101&lt;=AJ$1)*(Note!$F$3:$F$101&gt;=AJ$2),0))</f>
        <v>DDP</v>
      </c>
      <c r="AK119" s="27" t="str" cm="1">
        <f t="array" ref="AK119">INDEX(Note!$H$3:$H$101,MATCH(1,(Note!$A$3:$A$101=$A119)*(Note!$C$3:$C$101=$B119)*(Note!$E$3:$E$101&lt;=AK$1)*(Note!$F$3:$F$101&gt;=AK$2),0))</f>
        <v>DDP</v>
      </c>
      <c r="AL119" s="89" t="str" cm="1">
        <f t="array" ref="AL119">INDEX(Note!$H$3:$H$101,MATCH(1,(Note!$A$3:$A$101=$A119)*(Note!$C$3:$C$101=$B119)*(Note!$E$3:$E$101&lt;=AL$1)*(Note!$F$3:$F$101&gt;=AL$2),0))</f>
        <v>DDP</v>
      </c>
    </row>
    <row r="120" spans="1:38" s="97" customFormat="1" outlineLevel="1" x14ac:dyDescent="0.35">
      <c r="A120" s="97" t="s">
        <v>49</v>
      </c>
      <c r="B120" s="302" t="s">
        <v>29</v>
      </c>
      <c r="F120" s="284" t="s">
        <v>304</v>
      </c>
      <c r="G120" s="285"/>
      <c r="H120" s="285"/>
      <c r="I120" s="285"/>
      <c r="J120" s="285" t="s">
        <v>46</v>
      </c>
      <c r="K120" s="109"/>
      <c r="L120" s="285"/>
      <c r="M120" s="285"/>
      <c r="N120" s="294"/>
      <c r="O120" s="236" t="str" cm="1">
        <f t="array" ref="O120">INDEX(Note!$I$3:$I$101,MATCH(1,(Note!$A$3:$A$101=$A120)*(Note!$C$3:$C$101=$B120)*(Note!$E$3:$E$101&lt;=O$1)*(Note!$F$3:$F$101&gt;=O$2),0))</f>
        <v>Năm</v>
      </c>
      <c r="P120" s="196" t="str" cm="1">
        <f t="array" ref="P120">INDEX(Note!$I$3:$I$101,MATCH(1,(Note!$A$3:$A$101=$A120)*(Note!$C$3:$C$101=$B120)*(Note!$E$3:$E$101&lt;=P$1)*(Note!$F$3:$F$101&gt;=P$2),0))</f>
        <v>Năm</v>
      </c>
      <c r="Q120" s="196" t="str" cm="1">
        <f t="array" ref="Q120">INDEX(Note!$I$3:$I$101,MATCH(1,(Note!$A$3:$A$101=$A120)*(Note!$C$3:$C$101=$B120)*(Note!$E$3:$E$101&lt;=Q$1)*(Note!$F$3:$F$101&gt;=Q$2),0))</f>
        <v>Năm</v>
      </c>
      <c r="R120" s="196" t="str" cm="1">
        <f t="array" ref="R120">INDEX(Note!$I$3:$I$101,MATCH(1,(Note!$A$3:$A$101=$A120)*(Note!$C$3:$C$101=$B120)*(Note!$E$3:$E$101&lt;=R$1)*(Note!$F$3:$F$101&gt;=R$2),0))</f>
        <v>Năm</v>
      </c>
      <c r="S120" s="196" t="str" cm="1">
        <f t="array" ref="S120">INDEX(Note!$I$3:$I$101,MATCH(1,(Note!$A$3:$A$101=$A120)*(Note!$C$3:$C$101=$B120)*(Note!$E$3:$E$101&lt;=S$1)*(Note!$F$3:$F$101&gt;=S$2),0))</f>
        <v>Năm</v>
      </c>
      <c r="T120" s="196" t="str" cm="1">
        <f t="array" ref="T120">INDEX(Note!$I$3:$I$101,MATCH(1,(Note!$A$3:$A$101=$A120)*(Note!$C$3:$C$101=$B120)*(Note!$E$3:$E$101&lt;=T$1)*(Note!$F$3:$F$101&gt;=T$2),0))</f>
        <v>Năm</v>
      </c>
      <c r="U120" s="196" t="str" cm="1">
        <f t="array" ref="U120">INDEX(Note!$I$3:$I$101,MATCH(1,(Note!$A$3:$A$101=$A120)*(Note!$C$3:$C$101=$B120)*(Note!$E$3:$E$101&lt;=U$1)*(Note!$F$3:$F$101&gt;=U$2),0))</f>
        <v>Năm</v>
      </c>
      <c r="V120" s="196" t="str" cm="1">
        <f t="array" ref="V120">INDEX(Note!$I$3:$I$101,MATCH(1,(Note!$A$3:$A$101=$A120)*(Note!$C$3:$C$101=$B120)*(Note!$E$3:$E$101&lt;=V$1)*(Note!$F$3:$F$101&gt;=V$2),0))</f>
        <v>Năm</v>
      </c>
      <c r="W120" s="196" t="str" cm="1">
        <f t="array" ref="W120">INDEX(Note!$I$3:$I$101,MATCH(1,(Note!$A$3:$A$101=$A120)*(Note!$C$3:$C$101=$B120)*(Note!$E$3:$E$101&lt;=W$1)*(Note!$F$3:$F$101&gt;=W$2),0))</f>
        <v>Năm</v>
      </c>
      <c r="X120" s="196" t="str" cm="1">
        <f t="array" ref="X120">INDEX(Note!$I$3:$I$101,MATCH(1,(Note!$A$3:$A$101=$A120)*(Note!$C$3:$C$101=$B120)*(Note!$E$3:$E$101&lt;=X$1)*(Note!$F$3:$F$101&gt;=X$2),0))</f>
        <v>Năm</v>
      </c>
      <c r="Y120" s="196" t="str" cm="1">
        <f t="array" ref="Y120">INDEX(Note!$I$3:$I$101,MATCH(1,(Note!$A$3:$A$101=$A120)*(Note!$C$3:$C$101=$B120)*(Note!$E$3:$E$101&lt;=Y$1)*(Note!$F$3:$F$101&gt;=Y$2),0))</f>
        <v>Năm</v>
      </c>
      <c r="Z120" s="197" t="str" cm="1">
        <f t="array" ref="Z120">INDEX(Note!$I$3:$I$101,MATCH(1,(Note!$A$3:$A$101=$A120)*(Note!$C$3:$C$101=$B120)*(Note!$E$3:$E$101&lt;=Z$1)*(Note!$F$3:$F$101&gt;=Z$2),0))</f>
        <v>Năm</v>
      </c>
      <c r="AA120" s="196" t="str" cm="1">
        <f t="array" ref="AA120">INDEX(Note!$I$3:$I$101,MATCH(1,(Note!$A$3:$A$101=$A120)*(Note!$C$3:$C$101=$B120)*(Note!$E$3:$E$101&lt;=AA$1)*(Note!$F$3:$F$101&gt;=AA$2),0))</f>
        <v>Năm</v>
      </c>
      <c r="AB120" s="196" t="str" cm="1">
        <f t="array" ref="AB120">INDEX(Note!$I$3:$I$101,MATCH(1,(Note!$A$3:$A$101=$A120)*(Note!$C$3:$C$101=$B120)*(Note!$E$3:$E$101&lt;=AB$1)*(Note!$F$3:$F$101&gt;=AB$2),0))</f>
        <v>Năm</v>
      </c>
      <c r="AC120" s="196" t="str" cm="1">
        <f t="array" ref="AC120">INDEX(Note!$I$3:$I$101,MATCH(1,(Note!$A$3:$A$101=$A120)*(Note!$C$3:$C$101=$B120)*(Note!$E$3:$E$101&lt;=AC$1)*(Note!$F$3:$F$101&gt;=AC$2),0))</f>
        <v>Năm</v>
      </c>
      <c r="AD120" s="196" t="str" cm="1">
        <f t="array" ref="AD120">INDEX(Note!$I$3:$I$101,MATCH(1,(Note!$A$3:$A$101=$A120)*(Note!$C$3:$C$101=$B120)*(Note!$E$3:$E$101&lt;=AD$1)*(Note!$F$3:$F$101&gt;=AD$2),0))</f>
        <v>Năm</v>
      </c>
      <c r="AE120" s="196" t="str" cm="1">
        <f t="array" ref="AE120">INDEX(Note!$I$3:$I$101,MATCH(1,(Note!$A$3:$A$101=$A120)*(Note!$C$3:$C$101=$B120)*(Note!$E$3:$E$101&lt;=AE$1)*(Note!$F$3:$F$101&gt;=AE$2),0))</f>
        <v>Năm</v>
      </c>
      <c r="AF120" s="196" t="str" cm="1">
        <f t="array" ref="AF120">INDEX(Note!$I$3:$I$101,MATCH(1,(Note!$A$3:$A$101=$A120)*(Note!$C$3:$C$101=$B120)*(Note!$E$3:$E$101&lt;=AF$1)*(Note!$F$3:$F$101&gt;=AF$2),0))</f>
        <v>Năm</v>
      </c>
      <c r="AG120" s="196" t="str" cm="1">
        <f t="array" ref="AG120">INDEX(Note!$I$3:$I$101,MATCH(1,(Note!$A$3:$A$101=$A120)*(Note!$C$3:$C$101=$B120)*(Note!$E$3:$E$101&lt;=AG$1)*(Note!$F$3:$F$101&gt;=AG$2),0))</f>
        <v>Năm</v>
      </c>
      <c r="AH120" s="196" t="str" cm="1">
        <f t="array" ref="AH120">INDEX(Note!$I$3:$I$101,MATCH(1,(Note!$A$3:$A$101=$A120)*(Note!$C$3:$C$101=$B120)*(Note!$E$3:$E$101&lt;=AH$1)*(Note!$F$3:$F$101&gt;=AH$2),0))</f>
        <v>Năm</v>
      </c>
      <c r="AI120" s="196" t="str" cm="1">
        <f t="array" ref="AI120">INDEX(Note!$I$3:$I$101,MATCH(1,(Note!$A$3:$A$101=$A120)*(Note!$C$3:$C$101=$B120)*(Note!$E$3:$E$101&lt;=AI$1)*(Note!$F$3:$F$101&gt;=AI$2),0))</f>
        <v>Năm</v>
      </c>
      <c r="AJ120" s="196" t="str" cm="1">
        <f t="array" ref="AJ120">INDEX(Note!$I$3:$I$101,MATCH(1,(Note!$A$3:$A$101=$A120)*(Note!$C$3:$C$101=$B120)*(Note!$E$3:$E$101&lt;=AJ$1)*(Note!$F$3:$F$101&gt;=AJ$2),0))</f>
        <v>Năm</v>
      </c>
      <c r="AK120" s="196" t="str" cm="1">
        <f t="array" ref="AK120">INDEX(Note!$I$3:$I$101,MATCH(1,(Note!$A$3:$A$101=$A120)*(Note!$C$3:$C$101=$B120)*(Note!$E$3:$E$101&lt;=AK$1)*(Note!$F$3:$F$101&gt;=AK$2),0))</f>
        <v>Năm</v>
      </c>
      <c r="AL120" s="197" t="str" cm="1">
        <f t="array" ref="AL120">INDEX(Note!$I$3:$I$101,MATCH(1,(Note!$A$3:$A$101=$A120)*(Note!$C$3:$C$101=$B120)*(Note!$E$3:$E$101&lt;=AL$1)*(Note!$F$3:$F$101&gt;=AL$2),0))</f>
        <v>Năm</v>
      </c>
    </row>
    <row r="121" spans="1:38" s="188" customFormat="1" outlineLevel="1" x14ac:dyDescent="0.35">
      <c r="A121" s="188" t="s">
        <v>49</v>
      </c>
      <c r="B121" s="303" t="s">
        <v>29</v>
      </c>
      <c r="F121" s="286" t="s">
        <v>305</v>
      </c>
      <c r="G121" s="287"/>
      <c r="H121" s="287"/>
      <c r="I121" s="287"/>
      <c r="J121" s="287" t="s">
        <v>203</v>
      </c>
      <c r="K121" s="189"/>
      <c r="L121" s="295"/>
      <c r="M121" s="295"/>
      <c r="N121" s="296"/>
      <c r="O121" s="201" cm="1">
        <f t="array" ref="O121">SUMPRODUCT(General_Data*(Year=O$3)*(Month=O$4)*(Code_General_Data=$B121))</f>
        <v>1340</v>
      </c>
      <c r="P121" s="202" cm="1">
        <f t="array" ref="P121">SUMPRODUCT(General_Data*(Year=P$3)*(Month=P$4)*(Code_General_Data=$B121))</f>
        <v>1340</v>
      </c>
      <c r="Q121" s="202" cm="1">
        <f t="array" ref="Q121">SUMPRODUCT(General_Data*(Year=Q$3)*(Month=Q$4)*(Code_General_Data=$B121))</f>
        <v>1340</v>
      </c>
      <c r="R121" s="202" cm="1">
        <f t="array" ref="R121">SUMPRODUCT(General_Data*(Year=R$3)*(Month=R$4)*(Code_General_Data=$B121))</f>
        <v>1340</v>
      </c>
      <c r="S121" s="202" cm="1">
        <f t="array" ref="S121">SUMPRODUCT(General_Data*(Year=S$3)*(Month=S$4)*(Code_General_Data=$B121))</f>
        <v>1390</v>
      </c>
      <c r="T121" s="202" cm="1">
        <f t="array" ref="T121">SUMPRODUCT(General_Data*(Year=T$3)*(Month=T$4)*(Code_General_Data=$B121))</f>
        <v>1390</v>
      </c>
      <c r="U121" s="202" cm="1">
        <f t="array" ref="U121">SUMPRODUCT(General_Data*(Year=U$3)*(Month=U$4)*(Code_General_Data=$B121))</f>
        <v>1390</v>
      </c>
      <c r="V121" s="202" cm="1">
        <f t="array" ref="V121">SUMPRODUCT(General_Data*(Year=V$3)*(Month=V$4)*(Code_General_Data=$B121))</f>
        <v>1390</v>
      </c>
      <c r="W121" s="202" cm="1">
        <f t="array" ref="W121">SUMPRODUCT(General_Data*(Year=W$3)*(Month=W$4)*(Code_General_Data=$B121))</f>
        <v>1400</v>
      </c>
      <c r="X121" s="202" cm="1">
        <f t="array" ref="X121">SUMPRODUCT(General_Data*(Year=X$3)*(Month=X$4)*(Code_General_Data=$B121))</f>
        <v>1415</v>
      </c>
      <c r="Y121" s="202" cm="1">
        <f t="array" ref="Y121">SUMPRODUCT(General_Data*(Year=Y$3)*(Month=Y$4)*(Code_General_Data=$B121))</f>
        <v>1415</v>
      </c>
      <c r="Z121" s="203" cm="1">
        <f t="array" ref="Z121">SUMPRODUCT(General_Data*(Year=Z$3)*(Month=Z$4)*(Code_General_Data=$B121))</f>
        <v>1365</v>
      </c>
      <c r="AA121" s="202" cm="1">
        <f t="array" ref="AA121">SUMPRODUCT(General_Data*(Year=AA$3)*(Month=AA$4)*(Code_General_Data=$B121))</f>
        <v>1320</v>
      </c>
      <c r="AB121" s="202" cm="1">
        <f t="array" ref="AB121">SUMPRODUCT(General_Data*(Year=AB$3)*(Month=AB$4)*(Code_General_Data=$B121))</f>
        <v>1280</v>
      </c>
      <c r="AC121" s="202" cm="1">
        <f t="array" ref="AC121">SUMPRODUCT(General_Data*(Year=AC$3)*(Month=AC$4)*(Code_General_Data=$B121))</f>
        <v>1320</v>
      </c>
      <c r="AD121" s="202"/>
      <c r="AE121" s="202"/>
      <c r="AF121" s="202"/>
      <c r="AG121" s="202"/>
      <c r="AH121" s="202"/>
      <c r="AI121" s="202"/>
      <c r="AJ121" s="202"/>
      <c r="AK121" s="202"/>
      <c r="AL121" s="203"/>
    </row>
    <row r="122" spans="1:38" s="93" customFormat="1" x14ac:dyDescent="0.35">
      <c r="D122" s="92"/>
      <c r="F122" s="168"/>
      <c r="G122"/>
      <c r="H122"/>
      <c r="I122"/>
      <c r="J122"/>
      <c r="K122"/>
      <c r="L122"/>
      <c r="M122"/>
      <c r="N122"/>
      <c r="O122" s="47"/>
      <c r="P122"/>
      <c r="Q122"/>
      <c r="R122"/>
      <c r="S122"/>
      <c r="T122"/>
      <c r="U122"/>
      <c r="V122"/>
      <c r="W122"/>
      <c r="X122"/>
      <c r="Y122"/>
      <c r="Z122" s="48"/>
      <c r="AA122"/>
      <c r="AB122"/>
      <c r="AC122"/>
      <c r="AD122"/>
      <c r="AE122"/>
      <c r="AF122"/>
      <c r="AG122"/>
      <c r="AH122"/>
      <c r="AI122"/>
      <c r="AJ122"/>
      <c r="AK122"/>
      <c r="AL122" s="48"/>
    </row>
    <row r="123" spans="1:38" s="178" customFormat="1" ht="19.5" x14ac:dyDescent="0.35">
      <c r="A123" s="176" t="s">
        <v>63</v>
      </c>
      <c r="B123" s="176"/>
      <c r="C123" s="176"/>
      <c r="D123" s="176"/>
      <c r="E123" s="176"/>
      <c r="F123" s="219">
        <v>6</v>
      </c>
      <c r="G123" s="177" t="s">
        <v>311</v>
      </c>
      <c r="H123" s="177"/>
      <c r="I123" s="177"/>
      <c r="J123" s="177"/>
      <c r="L123" s="180"/>
      <c r="M123" s="180"/>
      <c r="N123" s="180"/>
      <c r="O123" s="179"/>
      <c r="P123" s="180"/>
      <c r="Q123" s="180"/>
      <c r="R123" s="180"/>
      <c r="S123" s="180"/>
      <c r="T123" s="180"/>
      <c r="U123" s="180"/>
      <c r="V123" s="180"/>
      <c r="W123" s="180"/>
      <c r="X123" s="180"/>
      <c r="Y123" s="180"/>
      <c r="Z123" s="181"/>
      <c r="AA123" s="182"/>
      <c r="AB123" s="180"/>
      <c r="AC123" s="182"/>
      <c r="AD123" s="182"/>
      <c r="AE123" s="182"/>
      <c r="AF123" s="182"/>
      <c r="AG123" s="182"/>
      <c r="AH123" s="182"/>
      <c r="AI123" s="182"/>
      <c r="AJ123" s="182"/>
      <c r="AK123" s="182"/>
      <c r="AL123" s="181"/>
    </row>
    <row r="124" spans="1:38" s="183" customFormat="1" ht="17" x14ac:dyDescent="0.35">
      <c r="A124" s="183" t="s">
        <v>63</v>
      </c>
      <c r="B124" s="183" t="s">
        <v>35</v>
      </c>
      <c r="D124" s="183" t="s">
        <v>322</v>
      </c>
      <c r="F124" s="273">
        <v>6.1</v>
      </c>
      <c r="G124" s="274"/>
      <c r="H124" s="274" t="s">
        <v>296</v>
      </c>
      <c r="I124" s="274"/>
      <c r="J124" s="274"/>
      <c r="L124" s="274"/>
      <c r="M124" s="274"/>
      <c r="N124" s="288"/>
      <c r="O124" s="216"/>
      <c r="P124" s="217"/>
      <c r="Q124" s="217"/>
      <c r="R124" s="217"/>
      <c r="S124" s="217"/>
      <c r="T124" s="217"/>
      <c r="U124" s="217"/>
      <c r="V124" s="217"/>
      <c r="W124" s="217"/>
      <c r="X124" s="217">
        <v>1320</v>
      </c>
      <c r="Y124" s="217">
        <v>1320</v>
      </c>
      <c r="Z124" s="218">
        <v>1320</v>
      </c>
      <c r="AA124" s="216"/>
      <c r="AB124" s="217"/>
      <c r="AC124" s="217"/>
      <c r="AD124" s="217"/>
      <c r="AE124" s="217"/>
      <c r="AF124" s="217"/>
      <c r="AG124" s="217"/>
      <c r="AH124" s="217"/>
      <c r="AI124" s="217"/>
      <c r="AJ124" s="217"/>
      <c r="AK124" s="217"/>
      <c r="AL124" s="218"/>
    </row>
    <row r="125" spans="1:38" s="94" customFormat="1" outlineLevel="1" x14ac:dyDescent="0.35">
      <c r="A125" s="94" t="s">
        <v>63</v>
      </c>
      <c r="B125" s="300" t="s">
        <v>35</v>
      </c>
      <c r="D125" s="95" t="s">
        <v>162</v>
      </c>
      <c r="F125" s="278" t="s">
        <v>312</v>
      </c>
      <c r="G125" s="279"/>
      <c r="H125" s="279"/>
      <c r="I125" s="279" t="s">
        <v>8</v>
      </c>
      <c r="J125" s="279"/>
      <c r="K125" s="2"/>
      <c r="L125" s="279"/>
      <c r="M125" s="279"/>
      <c r="N125" s="290"/>
      <c r="O125" s="228"/>
      <c r="P125" s="229"/>
      <c r="Q125" s="229"/>
      <c r="R125" s="229"/>
      <c r="S125" s="229"/>
      <c r="T125" s="229"/>
      <c r="U125" s="229"/>
      <c r="V125" s="229"/>
      <c r="W125" s="229"/>
      <c r="X125" s="229">
        <f>X124-X126</f>
        <v>1310</v>
      </c>
      <c r="Y125" s="229">
        <f>Y124-Y126</f>
        <v>1310</v>
      </c>
      <c r="Z125" s="230">
        <f>Z124-Z126</f>
        <v>1310</v>
      </c>
      <c r="AA125" s="229"/>
      <c r="AB125" s="229"/>
      <c r="AC125" s="229"/>
      <c r="AD125" s="229"/>
      <c r="AE125" s="229"/>
      <c r="AF125" s="229"/>
      <c r="AG125" s="229"/>
      <c r="AH125" s="229"/>
      <c r="AI125" s="229"/>
      <c r="AJ125" s="229"/>
      <c r="AK125" s="229"/>
      <c r="AL125" s="230"/>
    </row>
    <row r="126" spans="1:38" s="184" customFormat="1" outlineLevel="1" x14ac:dyDescent="0.35">
      <c r="A126" s="184" t="s">
        <v>63</v>
      </c>
      <c r="B126" s="184" t="s">
        <v>35</v>
      </c>
      <c r="F126" s="222" t="s">
        <v>313</v>
      </c>
      <c r="G126" s="191"/>
      <c r="H126" s="191"/>
      <c r="I126" s="191" t="s">
        <v>50</v>
      </c>
      <c r="J126" s="191"/>
      <c r="K126" s="185"/>
      <c r="L126" s="210"/>
      <c r="M126" s="210"/>
      <c r="N126" s="210"/>
      <c r="O126" s="211"/>
      <c r="P126" s="210"/>
      <c r="Q126" s="210"/>
      <c r="R126" s="210"/>
      <c r="S126" s="210"/>
      <c r="T126" s="210"/>
      <c r="U126" s="210"/>
      <c r="V126" s="210"/>
      <c r="W126" s="210"/>
      <c r="X126" s="210">
        <v>10</v>
      </c>
      <c r="Y126" s="210">
        <v>10</v>
      </c>
      <c r="Z126" s="212">
        <v>10</v>
      </c>
      <c r="AA126" s="210"/>
      <c r="AB126" s="210"/>
      <c r="AC126" s="210"/>
      <c r="AD126" s="210"/>
      <c r="AE126" s="210"/>
      <c r="AF126" s="210"/>
      <c r="AG126" s="210"/>
      <c r="AH126" s="210"/>
      <c r="AI126" s="210"/>
      <c r="AJ126" s="210"/>
      <c r="AK126" s="210"/>
      <c r="AL126" s="212"/>
    </row>
    <row r="127" spans="1:38" s="96" customFormat="1" outlineLevel="1" x14ac:dyDescent="0.35">
      <c r="A127" s="96" t="s">
        <v>63</v>
      </c>
      <c r="B127" s="301" t="s">
        <v>35</v>
      </c>
      <c r="D127" s="97"/>
      <c r="F127" s="282" t="s">
        <v>314</v>
      </c>
      <c r="G127" s="283"/>
      <c r="H127" s="283"/>
      <c r="I127" s="283"/>
      <c r="J127" s="283" t="s">
        <v>45</v>
      </c>
      <c r="K127" s="12"/>
      <c r="L127" s="283"/>
      <c r="M127" s="283"/>
      <c r="N127" s="293"/>
      <c r="O127" s="88"/>
      <c r="P127" s="27"/>
      <c r="Q127" s="27"/>
      <c r="R127" s="27"/>
      <c r="S127" s="27"/>
      <c r="T127" s="27"/>
      <c r="U127" s="27"/>
      <c r="V127" s="27"/>
      <c r="W127" s="27"/>
      <c r="X127" s="27" t="str" cm="1">
        <f t="array" ref="X127">INDEX(Note!$G$3:$G$101,MATCH(1,(Note!$A$3:$A$101=$A127)*(Note!$C$3:$C$101=$B127)*(Note!$E$3:$E$101&lt;=X$1)*(Note!$F$3:$F$101&gt;=X$2),0))</f>
        <v>Giá cố định</v>
      </c>
      <c r="Y127" s="27" t="str" cm="1">
        <f t="array" ref="Y127">INDEX(Note!$G$3:$G$101,MATCH(1,(Note!$A$3:$A$101=$A127)*(Note!$C$3:$C$101=$B127)*(Note!$E$3:$E$101&lt;=Y$1)*(Note!$F$3:$F$101&gt;=Y$2),0))</f>
        <v>Giá cố định</v>
      </c>
      <c r="Z127" s="89" t="str" cm="1">
        <f t="array" ref="Z127">INDEX(Note!$G$3:$G$101,MATCH(1,(Note!$A$3:$A$101=$A127)*(Note!$C$3:$C$101=$B127)*(Note!$E$3:$E$101&lt;=Z$1)*(Note!$F$3:$F$101&gt;=Z$2),0))</f>
        <v>Giá cố định</v>
      </c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27"/>
      <c r="AL127" s="89"/>
    </row>
    <row r="128" spans="1:38" s="96" customFormat="1" outlineLevel="1" x14ac:dyDescent="0.35">
      <c r="A128" s="96" t="s">
        <v>63</v>
      </c>
      <c r="B128" s="301" t="s">
        <v>35</v>
      </c>
      <c r="D128" s="97"/>
      <c r="F128" s="282" t="s">
        <v>315</v>
      </c>
      <c r="G128" s="283"/>
      <c r="H128" s="283"/>
      <c r="I128" s="283"/>
      <c r="J128" s="283" t="s">
        <v>43</v>
      </c>
      <c r="K128" s="12"/>
      <c r="L128" s="283"/>
      <c r="M128" s="283"/>
      <c r="N128" s="293"/>
      <c r="O128" s="88"/>
      <c r="P128" s="27"/>
      <c r="Q128" s="27"/>
      <c r="R128" s="27"/>
      <c r="S128" s="27"/>
      <c r="T128" s="27"/>
      <c r="U128" s="27"/>
      <c r="V128" s="27"/>
      <c r="W128" s="27"/>
      <c r="X128" s="27" t="str" cm="1">
        <f t="array" ref="X128">INDEX(Note!$H$3:$H$101,MATCH(1,(Note!$A$3:$A$101=$A128)*(Note!$C$3:$C$101=$B128)*(Note!$E$3:$E$101&lt;=X$1)*(Note!$F$3:$F$101&gt;=X$2),0))</f>
        <v>DDP</v>
      </c>
      <c r="Y128" s="27" t="str" cm="1">
        <f t="array" ref="Y128">INDEX(Note!$H$3:$H$101,MATCH(1,(Note!$A$3:$A$101=$A128)*(Note!$C$3:$C$101=$B128)*(Note!$E$3:$E$101&lt;=Y$1)*(Note!$F$3:$F$101&gt;=Y$2),0))</f>
        <v>DDP</v>
      </c>
      <c r="Z128" s="89" t="str" cm="1">
        <f t="array" ref="Z128">INDEX(Note!$H$3:$H$101,MATCH(1,(Note!$A$3:$A$101=$A128)*(Note!$C$3:$C$101=$B128)*(Note!$E$3:$E$101&lt;=Z$1)*(Note!$F$3:$F$101&gt;=Z$2),0))</f>
        <v>DDP</v>
      </c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27"/>
      <c r="AL128" s="89"/>
    </row>
    <row r="129" spans="1:38" s="97" customFormat="1" outlineLevel="1" x14ac:dyDescent="0.35">
      <c r="A129" s="97" t="s">
        <v>63</v>
      </c>
      <c r="B129" s="302" t="s">
        <v>35</v>
      </c>
      <c r="F129" s="284" t="s">
        <v>316</v>
      </c>
      <c r="G129" s="285"/>
      <c r="H129" s="285"/>
      <c r="I129" s="285"/>
      <c r="J129" s="285" t="s">
        <v>46</v>
      </c>
      <c r="K129" s="109"/>
      <c r="L129" s="285"/>
      <c r="M129" s="285"/>
      <c r="N129" s="294"/>
      <c r="O129" s="236"/>
      <c r="P129" s="196"/>
      <c r="Q129" s="196"/>
      <c r="R129" s="196"/>
      <c r="S129" s="196"/>
      <c r="T129" s="196"/>
      <c r="U129" s="196"/>
      <c r="V129" s="196"/>
      <c r="W129" s="196"/>
      <c r="X129" s="196" t="str" cm="1">
        <f t="array" ref="X129">INDEX(Note!$I$3:$I$101,MATCH(1,(Note!$A$3:$A$101=$A129)*(Note!$C$3:$C$101=$B129)*(Note!$E$3:$E$101&lt;=X$1)*(Note!$F$3:$F$101&gt;=X$2),0))</f>
        <v>Năm</v>
      </c>
      <c r="Y129" s="196" t="str" cm="1">
        <f t="array" ref="Y129">INDEX(Note!$I$3:$I$101,MATCH(1,(Note!$A$3:$A$101=$A129)*(Note!$C$3:$C$101=$B129)*(Note!$E$3:$E$101&lt;=Y$1)*(Note!$F$3:$F$101&gt;=Y$2),0))</f>
        <v>Năm</v>
      </c>
      <c r="Z129" s="197" t="str" cm="1">
        <f t="array" ref="Z129">INDEX(Note!$I$3:$I$101,MATCH(1,(Note!$A$3:$A$101=$A129)*(Note!$C$3:$C$101=$B129)*(Note!$E$3:$E$101&lt;=Z$1)*(Note!$F$3:$F$101&gt;=Z$2),0))</f>
        <v>Năm</v>
      </c>
      <c r="AA129" s="196"/>
      <c r="AB129" s="196"/>
      <c r="AC129" s="196"/>
      <c r="AD129" s="196"/>
      <c r="AE129" s="196"/>
      <c r="AF129" s="196"/>
      <c r="AG129" s="196"/>
      <c r="AH129" s="196"/>
      <c r="AI129" s="196"/>
      <c r="AJ129" s="196"/>
      <c r="AK129" s="196"/>
      <c r="AL129" s="197"/>
    </row>
    <row r="130" spans="1:38" s="188" customFormat="1" outlineLevel="1" x14ac:dyDescent="0.35">
      <c r="A130" s="188" t="s">
        <v>63</v>
      </c>
      <c r="B130" s="303" t="s">
        <v>35</v>
      </c>
      <c r="F130" s="286" t="s">
        <v>317</v>
      </c>
      <c r="G130" s="287"/>
      <c r="H130" s="287"/>
      <c r="I130" s="287"/>
      <c r="J130" s="287" t="s">
        <v>203</v>
      </c>
      <c r="K130" s="189"/>
      <c r="L130" s="295"/>
      <c r="M130" s="295"/>
      <c r="N130" s="296"/>
      <c r="O130" s="201"/>
      <c r="P130" s="202"/>
      <c r="Q130" s="202"/>
      <c r="R130" s="202"/>
      <c r="S130" s="202"/>
      <c r="T130" s="202"/>
      <c r="U130" s="202"/>
      <c r="V130" s="202"/>
      <c r="W130" s="202"/>
      <c r="X130" s="202" cm="1">
        <f t="array" ref="X130">SUMPRODUCT(General_Data*(Year=X$3)*(Month=X$4)*(Code_General_Data=$B130))</f>
        <v>1325</v>
      </c>
      <c r="Y130" s="202" cm="1">
        <f t="array" ref="Y130">SUMPRODUCT(General_Data*(Year=Y$3)*(Month=Y$4)*(Code_General_Data=$B130))</f>
        <v>1325</v>
      </c>
      <c r="Z130" s="203" cm="1">
        <f t="array" ref="Z130">SUMPRODUCT(General_Data*(Year=Z$3)*(Month=Z$4)*(Code_General_Data=$B130))</f>
        <v>1275</v>
      </c>
      <c r="AA130" s="202"/>
      <c r="AB130" s="202"/>
      <c r="AC130" s="202"/>
      <c r="AD130" s="202"/>
      <c r="AE130" s="202"/>
      <c r="AF130" s="202"/>
      <c r="AG130" s="202"/>
      <c r="AH130" s="202"/>
      <c r="AI130" s="202"/>
      <c r="AJ130" s="202"/>
      <c r="AK130" s="202"/>
      <c r="AL130" s="203"/>
    </row>
    <row r="131" spans="1:38" s="93" customFormat="1" x14ac:dyDescent="0.35">
      <c r="D131" s="92"/>
      <c r="F131" s="168"/>
      <c r="G131"/>
      <c r="H131"/>
      <c r="I131"/>
      <c r="J131"/>
      <c r="K131"/>
      <c r="L131"/>
      <c r="M131"/>
      <c r="N131"/>
      <c r="O131" s="47"/>
      <c r="P131"/>
      <c r="Q131"/>
      <c r="R131"/>
      <c r="S131"/>
      <c r="T131"/>
      <c r="U131"/>
      <c r="V131"/>
      <c r="W131"/>
      <c r="X131"/>
      <c r="Y131"/>
      <c r="Z131" s="48"/>
      <c r="AA131"/>
      <c r="AB131"/>
      <c r="AC131"/>
      <c r="AD131"/>
      <c r="AE131"/>
      <c r="AF131"/>
      <c r="AG131"/>
      <c r="AH131"/>
      <c r="AI131"/>
      <c r="AJ131"/>
      <c r="AK131"/>
      <c r="AL131" s="48"/>
    </row>
    <row r="132" spans="1:38" s="93" customFormat="1" x14ac:dyDescent="0.35">
      <c r="D132" s="92"/>
      <c r="F132" s="168"/>
      <c r="G132"/>
      <c r="H132"/>
      <c r="I132"/>
      <c r="J132"/>
      <c r="K132"/>
      <c r="L132"/>
      <c r="M132"/>
      <c r="N132"/>
      <c r="O132" s="47"/>
      <c r="P132"/>
      <c r="Q132"/>
      <c r="R132"/>
      <c r="S132"/>
      <c r="T132"/>
      <c r="U132"/>
      <c r="V132"/>
      <c r="W132"/>
      <c r="X132"/>
      <c r="Y132"/>
      <c r="Z132" s="48"/>
      <c r="AA132"/>
      <c r="AB132"/>
      <c r="AC132"/>
      <c r="AD132"/>
      <c r="AE132"/>
      <c r="AF132"/>
      <c r="AG132"/>
      <c r="AH132"/>
      <c r="AI132"/>
      <c r="AJ132"/>
      <c r="AK132"/>
      <c r="AL132" s="48"/>
    </row>
    <row r="133" spans="1:38" s="93" customFormat="1" x14ac:dyDescent="0.35">
      <c r="D133" s="92"/>
      <c r="F133" s="168"/>
      <c r="G133"/>
      <c r="H133"/>
      <c r="I133"/>
      <c r="J133"/>
      <c r="K133"/>
      <c r="L133"/>
      <c r="M133"/>
      <c r="N133"/>
      <c r="O133" s="47"/>
      <c r="P133"/>
      <c r="Q133"/>
      <c r="R133"/>
      <c r="S133"/>
      <c r="T133"/>
      <c r="U133"/>
      <c r="V133"/>
      <c r="W133"/>
      <c r="X133"/>
      <c r="Y133"/>
      <c r="Z133" s="48"/>
      <c r="AA133"/>
      <c r="AB133"/>
      <c r="AC133"/>
      <c r="AD133"/>
      <c r="AE133"/>
      <c r="AF133"/>
      <c r="AG133"/>
      <c r="AH133"/>
      <c r="AI133"/>
      <c r="AJ133"/>
      <c r="AK133"/>
      <c r="AL133" s="48"/>
    </row>
    <row r="134" spans="1:38" s="93" customFormat="1" x14ac:dyDescent="0.35">
      <c r="D134" s="92"/>
      <c r="F134" s="168"/>
      <c r="G134"/>
      <c r="H134"/>
      <c r="I134"/>
      <c r="J134"/>
      <c r="K134"/>
      <c r="L134"/>
      <c r="M134"/>
      <c r="N134"/>
      <c r="O134" s="47"/>
      <c r="P134"/>
      <c r="Q134"/>
      <c r="R134"/>
      <c r="S134"/>
      <c r="T134"/>
      <c r="U134"/>
      <c r="V134"/>
      <c r="W134"/>
      <c r="X134"/>
      <c r="Y134"/>
      <c r="Z134" s="48"/>
      <c r="AA134"/>
      <c r="AB134"/>
      <c r="AC134"/>
      <c r="AD134"/>
      <c r="AE134"/>
      <c r="AF134"/>
      <c r="AG134"/>
      <c r="AH134"/>
      <c r="AI134"/>
      <c r="AJ134"/>
      <c r="AK134"/>
      <c r="AL134" s="48"/>
    </row>
    <row r="135" spans="1:38" s="93" customFormat="1" x14ac:dyDescent="0.35">
      <c r="D135" s="92"/>
      <c r="F135" s="168"/>
      <c r="G135"/>
      <c r="H135"/>
      <c r="I135"/>
      <c r="J135"/>
      <c r="K135"/>
      <c r="L135"/>
      <c r="M135"/>
      <c r="N135"/>
      <c r="O135" s="47"/>
      <c r="P135"/>
      <c r="Q135"/>
      <c r="R135"/>
      <c r="S135"/>
      <c r="T135"/>
      <c r="U135"/>
      <c r="V135"/>
      <c r="W135"/>
      <c r="X135"/>
      <c r="Y135"/>
      <c r="Z135" s="48"/>
      <c r="AA135"/>
      <c r="AB135"/>
      <c r="AC135"/>
      <c r="AD135"/>
      <c r="AE135"/>
      <c r="AF135"/>
      <c r="AG135"/>
      <c r="AH135"/>
      <c r="AI135"/>
      <c r="AJ135"/>
      <c r="AK135"/>
      <c r="AL135" s="48"/>
    </row>
    <row r="136" spans="1:38" x14ac:dyDescent="0.35"/>
    <row r="137" spans="1:38" x14ac:dyDescent="0.35"/>
    <row r="138" spans="1:38" x14ac:dyDescent="0.35"/>
    <row r="139" spans="1:38" x14ac:dyDescent="0.35"/>
    <row r="140" spans="1:38" x14ac:dyDescent="0.35"/>
    <row r="141" spans="1:38" x14ac:dyDescent="0.35"/>
    <row r="142" spans="1:38" x14ac:dyDescent="0.35"/>
    <row r="143" spans="1:38" x14ac:dyDescent="0.35"/>
    <row r="144" spans="1:38" x14ac:dyDescent="0.35"/>
    <row r="145" spans="1:38" s="7" customFormat="1" hidden="1" x14ac:dyDescent="0.35">
      <c r="A145" s="99"/>
      <c r="B145" s="99"/>
      <c r="C145" s="99"/>
      <c r="D145" s="100"/>
      <c r="E145" s="99"/>
      <c r="F145" s="248"/>
      <c r="O145" s="90"/>
      <c r="Z145" s="91"/>
      <c r="AL145" s="91"/>
    </row>
    <row r="146" spans="1:38" x14ac:dyDescent="0.35"/>
    <row r="147" spans="1:38" x14ac:dyDescent="0.35"/>
    <row r="148" spans="1:38" x14ac:dyDescent="0.35"/>
    <row r="149" spans="1:38" x14ac:dyDescent="0.35"/>
    <row r="150" spans="1:38" x14ac:dyDescent="0.35"/>
    <row r="151" spans="1:38" x14ac:dyDescent="0.35"/>
    <row r="152" spans="1:38" s="93" customFormat="1" x14ac:dyDescent="0.35">
      <c r="D152" s="92"/>
      <c r="F152" s="168"/>
      <c r="G152"/>
      <c r="H152"/>
      <c r="I152"/>
      <c r="J152"/>
      <c r="K152"/>
      <c r="L152"/>
      <c r="M152"/>
      <c r="N152"/>
      <c r="O152" s="47"/>
      <c r="P152"/>
      <c r="Q152"/>
      <c r="R152"/>
      <c r="S152"/>
      <c r="T152"/>
      <c r="U152"/>
      <c r="V152"/>
      <c r="W152"/>
      <c r="X152"/>
      <c r="Y152"/>
      <c r="Z152" s="48"/>
      <c r="AA152"/>
      <c r="AB152"/>
      <c r="AC152"/>
      <c r="AD152"/>
      <c r="AE152"/>
      <c r="AF152"/>
      <c r="AG152"/>
      <c r="AH152"/>
      <c r="AI152"/>
      <c r="AJ152"/>
      <c r="AK152"/>
      <c r="AL152" s="48"/>
    </row>
    <row r="153" spans="1:38" s="93" customFormat="1" x14ac:dyDescent="0.35">
      <c r="D153" s="92"/>
      <c r="F153" s="168"/>
      <c r="G153"/>
      <c r="H153"/>
      <c r="I153"/>
      <c r="J153"/>
      <c r="K153"/>
      <c r="L153"/>
      <c r="M153"/>
      <c r="N153"/>
      <c r="O153" s="47"/>
      <c r="P153"/>
      <c r="Q153"/>
      <c r="R153"/>
      <c r="S153"/>
      <c r="T153"/>
      <c r="U153"/>
      <c r="V153"/>
      <c r="W153"/>
      <c r="X153"/>
      <c r="Y153"/>
      <c r="Z153" s="48"/>
      <c r="AA153"/>
      <c r="AB153"/>
      <c r="AC153"/>
      <c r="AD153"/>
      <c r="AE153"/>
      <c r="AF153"/>
      <c r="AG153"/>
      <c r="AH153"/>
      <c r="AI153"/>
      <c r="AJ153"/>
      <c r="AK153"/>
      <c r="AL153" s="48"/>
    </row>
    <row r="154" spans="1:38" s="93" customFormat="1" x14ac:dyDescent="0.35">
      <c r="D154" s="92"/>
      <c r="F154" s="168"/>
      <c r="G154"/>
      <c r="H154"/>
      <c r="I154"/>
      <c r="J154"/>
      <c r="K154"/>
      <c r="L154"/>
      <c r="M154"/>
      <c r="N154"/>
      <c r="O154" s="47"/>
      <c r="P154"/>
      <c r="Q154"/>
      <c r="R154"/>
      <c r="S154"/>
      <c r="T154"/>
      <c r="U154"/>
      <c r="V154"/>
      <c r="W154"/>
      <c r="X154"/>
      <c r="Y154"/>
      <c r="Z154" s="48"/>
      <c r="AA154"/>
      <c r="AB154"/>
      <c r="AC154"/>
      <c r="AD154"/>
      <c r="AE154"/>
      <c r="AF154"/>
      <c r="AG154"/>
      <c r="AH154"/>
      <c r="AI154"/>
      <c r="AJ154"/>
      <c r="AK154"/>
      <c r="AL154" s="48"/>
    </row>
    <row r="155" spans="1:38" s="93" customFormat="1" x14ac:dyDescent="0.35">
      <c r="D155" s="92"/>
      <c r="F155" s="168"/>
      <c r="G155"/>
      <c r="H155"/>
      <c r="I155"/>
      <c r="J155"/>
      <c r="K155"/>
      <c r="L155"/>
      <c r="M155"/>
      <c r="N155"/>
      <c r="O155" s="47"/>
      <c r="P155"/>
      <c r="Q155"/>
      <c r="R155"/>
      <c r="S155"/>
      <c r="T155"/>
      <c r="U155"/>
      <c r="V155"/>
      <c r="W155"/>
      <c r="X155"/>
      <c r="Y155"/>
      <c r="Z155" s="48"/>
      <c r="AA155"/>
      <c r="AB155"/>
      <c r="AC155"/>
      <c r="AD155"/>
      <c r="AE155"/>
      <c r="AF155"/>
      <c r="AG155"/>
      <c r="AH155"/>
      <c r="AI155"/>
      <c r="AJ155"/>
      <c r="AK155"/>
      <c r="AL155" s="48"/>
    </row>
    <row r="156" spans="1:38" s="93" customFormat="1" x14ac:dyDescent="0.35">
      <c r="D156" s="92"/>
      <c r="F156" s="168"/>
      <c r="G156"/>
      <c r="H156"/>
      <c r="I156"/>
      <c r="J156"/>
      <c r="K156"/>
      <c r="L156"/>
      <c r="M156"/>
      <c r="N156"/>
      <c r="O156" s="47"/>
      <c r="P156"/>
      <c r="Q156"/>
      <c r="R156"/>
      <c r="S156"/>
      <c r="T156"/>
      <c r="U156"/>
      <c r="V156"/>
      <c r="W156"/>
      <c r="X156"/>
      <c r="Y156"/>
      <c r="Z156" s="48"/>
      <c r="AA156"/>
      <c r="AB156"/>
      <c r="AC156"/>
      <c r="AD156"/>
      <c r="AE156"/>
      <c r="AF156"/>
      <c r="AG156"/>
      <c r="AH156"/>
      <c r="AI156"/>
      <c r="AJ156"/>
      <c r="AK156"/>
      <c r="AL156" s="48"/>
    </row>
    <row r="157" spans="1:38" s="93" customFormat="1" x14ac:dyDescent="0.35">
      <c r="D157" s="92"/>
      <c r="F157" s="168"/>
      <c r="G157"/>
      <c r="H157"/>
      <c r="I157"/>
      <c r="J157"/>
      <c r="K157"/>
      <c r="L157"/>
      <c r="M157"/>
      <c r="N157"/>
      <c r="O157" s="47"/>
      <c r="P157"/>
      <c r="Q157"/>
      <c r="R157"/>
      <c r="S157"/>
      <c r="T157"/>
      <c r="U157"/>
      <c r="V157"/>
      <c r="W157"/>
      <c r="X157"/>
      <c r="Y157"/>
      <c r="Z157" s="48"/>
      <c r="AA157"/>
      <c r="AB157"/>
      <c r="AC157"/>
      <c r="AD157"/>
      <c r="AE157"/>
      <c r="AF157"/>
      <c r="AG157"/>
      <c r="AH157"/>
      <c r="AI157"/>
      <c r="AJ157"/>
      <c r="AK157"/>
      <c r="AL157" s="48"/>
    </row>
    <row r="158" spans="1:38" s="93" customFormat="1" x14ac:dyDescent="0.35">
      <c r="D158" s="92"/>
      <c r="F158" s="168"/>
      <c r="G158"/>
      <c r="H158"/>
      <c r="I158"/>
      <c r="J158"/>
      <c r="K158"/>
      <c r="L158"/>
      <c r="M158"/>
      <c r="N158"/>
      <c r="O158" s="47"/>
      <c r="P158"/>
      <c r="Q158"/>
      <c r="R158"/>
      <c r="S158"/>
      <c r="T158"/>
      <c r="U158"/>
      <c r="V158"/>
      <c r="W158"/>
      <c r="X158"/>
      <c r="Y158"/>
      <c r="Z158" s="48"/>
      <c r="AA158"/>
      <c r="AB158"/>
      <c r="AC158"/>
      <c r="AD158"/>
      <c r="AE158"/>
      <c r="AF158"/>
      <c r="AG158"/>
      <c r="AH158"/>
      <c r="AI158"/>
      <c r="AJ158"/>
      <c r="AK158"/>
      <c r="AL158" s="48"/>
    </row>
    <row r="159" spans="1:38" s="93" customFormat="1" x14ac:dyDescent="0.35">
      <c r="D159" s="92"/>
      <c r="F159" s="168"/>
      <c r="G159"/>
      <c r="H159"/>
      <c r="I159"/>
      <c r="J159"/>
      <c r="K159"/>
      <c r="L159"/>
      <c r="M159"/>
      <c r="N159"/>
      <c r="O159" s="47"/>
      <c r="P159"/>
      <c r="Q159"/>
      <c r="R159"/>
      <c r="S159"/>
      <c r="T159"/>
      <c r="U159"/>
      <c r="V159"/>
      <c r="W159"/>
      <c r="X159"/>
      <c r="Y159"/>
      <c r="Z159" s="48"/>
      <c r="AA159"/>
      <c r="AB159"/>
      <c r="AC159"/>
      <c r="AD159"/>
      <c r="AE159"/>
      <c r="AF159"/>
      <c r="AG159"/>
      <c r="AH159"/>
      <c r="AI159"/>
      <c r="AJ159"/>
      <c r="AK159"/>
      <c r="AL159" s="48"/>
    </row>
    <row r="160" spans="1:38" s="93" customFormat="1" x14ac:dyDescent="0.35">
      <c r="D160" s="92"/>
      <c r="F160" s="168"/>
      <c r="G160"/>
      <c r="H160"/>
      <c r="I160"/>
      <c r="J160"/>
      <c r="K160"/>
      <c r="L160"/>
      <c r="M160"/>
      <c r="N160"/>
      <c r="O160" s="47"/>
      <c r="P160"/>
      <c r="Q160"/>
      <c r="R160"/>
      <c r="S160"/>
      <c r="T160"/>
      <c r="U160"/>
      <c r="V160"/>
      <c r="W160"/>
      <c r="X160"/>
      <c r="Y160"/>
      <c r="Z160" s="48"/>
      <c r="AA160"/>
      <c r="AB160"/>
      <c r="AC160"/>
      <c r="AD160"/>
      <c r="AE160"/>
      <c r="AF160"/>
      <c r="AG160"/>
      <c r="AH160"/>
      <c r="AI160"/>
      <c r="AJ160"/>
      <c r="AK160"/>
      <c r="AL160" s="48"/>
    </row>
    <row r="161" spans="4:38" s="93" customFormat="1" x14ac:dyDescent="0.35">
      <c r="D161" s="92"/>
      <c r="F161" s="168"/>
      <c r="G161"/>
      <c r="H161"/>
      <c r="I161"/>
      <c r="J161"/>
      <c r="K161"/>
      <c r="L161"/>
      <c r="M161"/>
      <c r="N161"/>
      <c r="O161" s="47"/>
      <c r="P161"/>
      <c r="Q161"/>
      <c r="R161"/>
      <c r="S161"/>
      <c r="T161"/>
      <c r="U161"/>
      <c r="V161"/>
      <c r="W161"/>
      <c r="X161"/>
      <c r="Y161"/>
      <c r="Z161" s="48"/>
      <c r="AA161"/>
      <c r="AB161"/>
      <c r="AC161"/>
      <c r="AD161"/>
      <c r="AE161"/>
      <c r="AF161"/>
      <c r="AG161"/>
      <c r="AH161"/>
      <c r="AI161"/>
      <c r="AJ161"/>
      <c r="AK161"/>
      <c r="AL161" s="48"/>
    </row>
    <row r="162" spans="4:38" s="93" customFormat="1" x14ac:dyDescent="0.35">
      <c r="D162" s="92"/>
      <c r="F162" s="168"/>
      <c r="G162"/>
      <c r="H162"/>
      <c r="I162"/>
      <c r="J162"/>
      <c r="K162"/>
      <c r="L162"/>
      <c r="M162"/>
      <c r="N162"/>
      <c r="O162" s="47"/>
      <c r="P162"/>
      <c r="Q162"/>
      <c r="R162"/>
      <c r="S162"/>
      <c r="T162"/>
      <c r="U162"/>
      <c r="V162"/>
      <c r="W162"/>
      <c r="X162"/>
      <c r="Y162"/>
      <c r="Z162" s="48"/>
      <c r="AA162"/>
      <c r="AB162"/>
      <c r="AC162"/>
      <c r="AD162"/>
      <c r="AE162"/>
      <c r="AF162"/>
      <c r="AG162"/>
      <c r="AH162"/>
      <c r="AI162"/>
      <c r="AJ162"/>
      <c r="AK162"/>
      <c r="AL162" s="48"/>
    </row>
    <row r="163" spans="4:38" s="93" customFormat="1" x14ac:dyDescent="0.35">
      <c r="D163" s="92"/>
      <c r="F163" s="168"/>
      <c r="G163"/>
      <c r="H163"/>
      <c r="I163"/>
      <c r="J163"/>
      <c r="K163"/>
      <c r="L163"/>
      <c r="M163"/>
      <c r="N163"/>
      <c r="O163" s="47"/>
      <c r="P163"/>
      <c r="Q163"/>
      <c r="R163"/>
      <c r="S163"/>
      <c r="T163"/>
      <c r="U163"/>
      <c r="V163"/>
      <c r="W163"/>
      <c r="X163"/>
      <c r="Y163"/>
      <c r="Z163" s="48"/>
      <c r="AA163"/>
      <c r="AB163"/>
      <c r="AC163"/>
      <c r="AD163"/>
      <c r="AE163"/>
      <c r="AF163"/>
      <c r="AG163"/>
      <c r="AH163"/>
      <c r="AI163"/>
      <c r="AJ163"/>
      <c r="AK163"/>
      <c r="AL163" s="48"/>
    </row>
    <row r="164" spans="4:38" s="93" customFormat="1" x14ac:dyDescent="0.35">
      <c r="D164" s="92"/>
      <c r="F164" s="168"/>
      <c r="G164"/>
      <c r="H164"/>
      <c r="I164"/>
      <c r="J164"/>
      <c r="K164"/>
      <c r="L164"/>
      <c r="M164"/>
      <c r="N164"/>
      <c r="O164" s="47"/>
      <c r="P164"/>
      <c r="Q164"/>
      <c r="R164"/>
      <c r="S164"/>
      <c r="T164"/>
      <c r="U164"/>
      <c r="V164"/>
      <c r="W164"/>
      <c r="X164"/>
      <c r="Y164"/>
      <c r="Z164" s="48"/>
      <c r="AA164"/>
      <c r="AB164"/>
      <c r="AC164"/>
      <c r="AD164"/>
      <c r="AE164"/>
      <c r="AF164"/>
      <c r="AG164"/>
      <c r="AH164"/>
      <c r="AI164"/>
      <c r="AJ164"/>
      <c r="AK164"/>
      <c r="AL164" s="48"/>
    </row>
    <row r="165" spans="4:38" s="93" customFormat="1" x14ac:dyDescent="0.35">
      <c r="D165" s="92"/>
      <c r="F165" s="168"/>
      <c r="G165"/>
      <c r="H165"/>
      <c r="I165"/>
      <c r="J165"/>
      <c r="K165"/>
      <c r="L165"/>
      <c r="M165"/>
      <c r="N165"/>
      <c r="O165" s="47"/>
      <c r="P165"/>
      <c r="Q165"/>
      <c r="R165"/>
      <c r="S165"/>
      <c r="T165"/>
      <c r="U165"/>
      <c r="V165"/>
      <c r="W165"/>
      <c r="X165"/>
      <c r="Y165"/>
      <c r="Z165" s="48"/>
      <c r="AA165"/>
      <c r="AB165"/>
      <c r="AC165"/>
      <c r="AD165"/>
      <c r="AE165"/>
      <c r="AF165"/>
      <c r="AG165"/>
      <c r="AH165"/>
      <c r="AI165"/>
      <c r="AJ165"/>
      <c r="AK165"/>
      <c r="AL165" s="48"/>
    </row>
    <row r="166" spans="4:38" s="93" customFormat="1" x14ac:dyDescent="0.35">
      <c r="D166" s="92"/>
      <c r="F166" s="168"/>
      <c r="G166"/>
      <c r="H166"/>
      <c r="I166"/>
      <c r="J166"/>
      <c r="K166"/>
      <c r="L166"/>
      <c r="M166"/>
      <c r="N166"/>
      <c r="O166" s="47"/>
      <c r="P166"/>
      <c r="Q166"/>
      <c r="R166"/>
      <c r="S166"/>
      <c r="T166"/>
      <c r="U166"/>
      <c r="V166"/>
      <c r="W166"/>
      <c r="X166"/>
      <c r="Y166"/>
      <c r="Z166" s="48"/>
      <c r="AA166"/>
      <c r="AB166"/>
      <c r="AC166"/>
      <c r="AD166"/>
      <c r="AE166"/>
      <c r="AF166"/>
      <c r="AG166"/>
      <c r="AH166"/>
      <c r="AI166"/>
      <c r="AJ166"/>
      <c r="AK166"/>
      <c r="AL166" s="48"/>
    </row>
    <row r="167" spans="4:38" s="93" customFormat="1" x14ac:dyDescent="0.35">
      <c r="D167" s="92"/>
      <c r="F167" s="168"/>
      <c r="G167"/>
      <c r="H167"/>
      <c r="I167"/>
      <c r="J167"/>
      <c r="K167"/>
      <c r="L167"/>
      <c r="M167"/>
      <c r="N167"/>
      <c r="O167" s="47"/>
      <c r="P167"/>
      <c r="Q167"/>
      <c r="R167"/>
      <c r="S167"/>
      <c r="T167"/>
      <c r="U167"/>
      <c r="V167"/>
      <c r="W167"/>
      <c r="X167"/>
      <c r="Y167"/>
      <c r="Z167" s="48"/>
      <c r="AA167"/>
      <c r="AB167"/>
      <c r="AC167"/>
      <c r="AD167"/>
      <c r="AE167"/>
      <c r="AF167"/>
      <c r="AG167"/>
      <c r="AH167"/>
      <c r="AI167"/>
      <c r="AJ167"/>
      <c r="AK167"/>
      <c r="AL167" s="48"/>
    </row>
    <row r="168" spans="4:38" s="93" customFormat="1" x14ac:dyDescent="0.35">
      <c r="D168" s="92"/>
      <c r="F168" s="168"/>
      <c r="G168"/>
      <c r="H168"/>
      <c r="I168"/>
      <c r="J168"/>
      <c r="K168"/>
      <c r="L168"/>
      <c r="M168"/>
      <c r="N168"/>
      <c r="O168" s="47"/>
      <c r="P168"/>
      <c r="Q168"/>
      <c r="R168"/>
      <c r="S168"/>
      <c r="T168"/>
      <c r="U168"/>
      <c r="V168"/>
      <c r="W168"/>
      <c r="X168"/>
      <c r="Y168"/>
      <c r="Z168" s="48"/>
      <c r="AA168"/>
      <c r="AB168"/>
      <c r="AC168"/>
      <c r="AD168"/>
      <c r="AE168"/>
      <c r="AF168"/>
      <c r="AG168"/>
      <c r="AH168"/>
      <c r="AI168"/>
      <c r="AJ168"/>
      <c r="AK168"/>
      <c r="AL168" s="48"/>
    </row>
    <row r="169" spans="4:38" s="93" customFormat="1" x14ac:dyDescent="0.35">
      <c r="D169" s="92"/>
      <c r="F169" s="168"/>
      <c r="G169"/>
      <c r="H169"/>
      <c r="I169"/>
      <c r="J169"/>
      <c r="K169"/>
      <c r="L169"/>
      <c r="M169"/>
      <c r="N169"/>
      <c r="O169" s="47"/>
      <c r="P169"/>
      <c r="Q169"/>
      <c r="R169"/>
      <c r="S169"/>
      <c r="T169"/>
      <c r="U169"/>
      <c r="V169"/>
      <c r="W169"/>
      <c r="X169"/>
      <c r="Y169"/>
      <c r="Z169" s="48"/>
      <c r="AA169"/>
      <c r="AB169"/>
      <c r="AC169"/>
      <c r="AD169"/>
      <c r="AE169"/>
      <c r="AF169"/>
      <c r="AG169"/>
      <c r="AH169"/>
      <c r="AI169"/>
      <c r="AJ169"/>
      <c r="AK169"/>
      <c r="AL169" s="48"/>
    </row>
    <row r="170" spans="4:38" s="93" customFormat="1" x14ac:dyDescent="0.35">
      <c r="D170" s="92"/>
      <c r="F170" s="168"/>
      <c r="G170"/>
      <c r="H170"/>
      <c r="I170"/>
      <c r="J170"/>
      <c r="K170"/>
      <c r="L170"/>
      <c r="M170"/>
      <c r="N170"/>
      <c r="O170" s="47"/>
      <c r="P170"/>
      <c r="Q170"/>
      <c r="R170"/>
      <c r="S170"/>
      <c r="T170"/>
      <c r="U170"/>
      <c r="V170"/>
      <c r="W170"/>
      <c r="X170"/>
      <c r="Y170"/>
      <c r="Z170" s="48"/>
      <c r="AA170"/>
      <c r="AB170"/>
      <c r="AC170"/>
      <c r="AD170"/>
      <c r="AE170"/>
      <c r="AF170"/>
      <c r="AG170"/>
      <c r="AH170"/>
      <c r="AI170"/>
      <c r="AJ170"/>
      <c r="AK170"/>
      <c r="AL170" s="48"/>
    </row>
    <row r="171" spans="4:38" s="93" customFormat="1" x14ac:dyDescent="0.35">
      <c r="D171" s="92"/>
      <c r="F171" s="168"/>
      <c r="G171"/>
      <c r="H171"/>
      <c r="I171"/>
      <c r="J171"/>
      <c r="K171"/>
      <c r="L171"/>
      <c r="M171"/>
      <c r="N171"/>
      <c r="O171" s="47"/>
      <c r="P171"/>
      <c r="Q171"/>
      <c r="R171"/>
      <c r="S171"/>
      <c r="T171"/>
      <c r="U171"/>
      <c r="V171"/>
      <c r="W171"/>
      <c r="X171"/>
      <c r="Y171"/>
      <c r="Z171" s="48"/>
      <c r="AA171"/>
      <c r="AB171"/>
      <c r="AC171"/>
      <c r="AD171"/>
      <c r="AE171"/>
      <c r="AF171"/>
      <c r="AG171"/>
      <c r="AH171"/>
      <c r="AI171"/>
      <c r="AJ171"/>
      <c r="AK171"/>
      <c r="AL171" s="48"/>
    </row>
    <row r="172" spans="4:38" s="93" customFormat="1" x14ac:dyDescent="0.35">
      <c r="D172" s="92"/>
      <c r="F172" s="168"/>
      <c r="G172"/>
      <c r="H172"/>
      <c r="I172"/>
      <c r="J172"/>
      <c r="K172"/>
      <c r="L172"/>
      <c r="M172"/>
      <c r="N172"/>
      <c r="O172" s="47"/>
      <c r="P172"/>
      <c r="Q172"/>
      <c r="R172"/>
      <c r="S172"/>
      <c r="T172"/>
      <c r="U172"/>
      <c r="V172"/>
      <c r="W172"/>
      <c r="X172"/>
      <c r="Y172"/>
      <c r="Z172" s="48"/>
      <c r="AA172"/>
      <c r="AB172"/>
      <c r="AC172"/>
      <c r="AD172"/>
      <c r="AE172"/>
      <c r="AF172"/>
      <c r="AG172"/>
      <c r="AH172"/>
      <c r="AI172"/>
      <c r="AJ172"/>
      <c r="AK172"/>
      <c r="AL172" s="48"/>
    </row>
    <row r="173" spans="4:38" s="93" customFormat="1" x14ac:dyDescent="0.35">
      <c r="D173" s="92"/>
      <c r="F173" s="168"/>
      <c r="G173"/>
      <c r="H173"/>
      <c r="I173"/>
      <c r="J173"/>
      <c r="K173"/>
      <c r="L173"/>
      <c r="M173"/>
      <c r="N173"/>
      <c r="O173" s="47"/>
      <c r="P173"/>
      <c r="Q173"/>
      <c r="R173"/>
      <c r="S173"/>
      <c r="T173"/>
      <c r="U173"/>
      <c r="V173"/>
      <c r="W173"/>
      <c r="X173"/>
      <c r="Y173"/>
      <c r="Z173" s="48"/>
      <c r="AA173"/>
      <c r="AB173"/>
      <c r="AC173"/>
      <c r="AD173"/>
      <c r="AE173"/>
      <c r="AF173"/>
      <c r="AG173"/>
      <c r="AH173"/>
      <c r="AI173"/>
      <c r="AJ173"/>
      <c r="AK173"/>
      <c r="AL173" s="48"/>
    </row>
    <row r="174" spans="4:38" s="93" customFormat="1" x14ac:dyDescent="0.35">
      <c r="D174" s="92"/>
      <c r="F174" s="168"/>
      <c r="G174"/>
      <c r="H174"/>
      <c r="I174"/>
      <c r="J174"/>
      <c r="K174"/>
      <c r="L174"/>
      <c r="M174"/>
      <c r="N174"/>
      <c r="O174" s="47"/>
      <c r="P174"/>
      <c r="Q174"/>
      <c r="R174"/>
      <c r="S174"/>
      <c r="T174"/>
      <c r="U174"/>
      <c r="V174"/>
      <c r="W174"/>
      <c r="X174"/>
      <c r="Y174"/>
      <c r="Z174" s="48"/>
      <c r="AA174"/>
      <c r="AB174"/>
      <c r="AC174"/>
      <c r="AD174"/>
      <c r="AE174"/>
      <c r="AF174"/>
      <c r="AG174"/>
      <c r="AH174"/>
      <c r="AI174"/>
      <c r="AJ174"/>
      <c r="AK174"/>
      <c r="AL174" s="48"/>
    </row>
    <row r="175" spans="4:38" s="93" customFormat="1" x14ac:dyDescent="0.35">
      <c r="D175" s="92"/>
      <c r="F175" s="168"/>
      <c r="G175"/>
      <c r="H175"/>
      <c r="I175"/>
      <c r="J175"/>
      <c r="K175"/>
      <c r="L175"/>
      <c r="M175"/>
      <c r="N175"/>
      <c r="O175" s="47"/>
      <c r="P175"/>
      <c r="Q175"/>
      <c r="R175"/>
      <c r="S175"/>
      <c r="T175"/>
      <c r="U175"/>
      <c r="V175"/>
      <c r="W175"/>
      <c r="X175"/>
      <c r="Y175"/>
      <c r="Z175" s="48"/>
      <c r="AA175"/>
      <c r="AB175"/>
      <c r="AC175"/>
      <c r="AD175"/>
      <c r="AE175"/>
      <c r="AF175"/>
      <c r="AG175"/>
      <c r="AH175"/>
      <c r="AI175"/>
      <c r="AJ175"/>
      <c r="AK175"/>
      <c r="AL175" s="48"/>
    </row>
    <row r="176" spans="4:38" s="93" customFormat="1" x14ac:dyDescent="0.35">
      <c r="D176" s="92"/>
      <c r="F176" s="168"/>
      <c r="G176"/>
      <c r="H176"/>
      <c r="I176"/>
      <c r="J176"/>
      <c r="K176"/>
      <c r="L176"/>
      <c r="M176"/>
      <c r="N176"/>
      <c r="O176" s="47"/>
      <c r="P176"/>
      <c r="Q176"/>
      <c r="R176"/>
      <c r="S176"/>
      <c r="T176"/>
      <c r="U176"/>
      <c r="V176"/>
      <c r="W176"/>
      <c r="X176"/>
      <c r="Y176"/>
      <c r="Z176" s="48"/>
      <c r="AA176"/>
      <c r="AB176"/>
      <c r="AC176"/>
      <c r="AD176"/>
      <c r="AE176"/>
      <c r="AF176"/>
      <c r="AG176"/>
      <c r="AH176"/>
      <c r="AI176"/>
      <c r="AJ176"/>
      <c r="AK176"/>
      <c r="AL176" s="48"/>
    </row>
    <row r="177" spans="4:38" s="93" customFormat="1" x14ac:dyDescent="0.35">
      <c r="D177" s="92"/>
      <c r="F177" s="168"/>
      <c r="G177"/>
      <c r="H177"/>
      <c r="I177"/>
      <c r="J177"/>
      <c r="K177"/>
      <c r="L177"/>
      <c r="M177"/>
      <c r="N177"/>
      <c r="O177" s="47"/>
      <c r="P177"/>
      <c r="Q177"/>
      <c r="R177"/>
      <c r="S177"/>
      <c r="T177"/>
      <c r="U177"/>
      <c r="V177"/>
      <c r="W177"/>
      <c r="X177"/>
      <c r="Y177"/>
      <c r="Z177" s="48"/>
      <c r="AA177"/>
      <c r="AB177"/>
      <c r="AC177"/>
      <c r="AD177"/>
      <c r="AE177"/>
      <c r="AF177"/>
      <c r="AG177"/>
      <c r="AH177"/>
      <c r="AI177"/>
      <c r="AJ177"/>
      <c r="AK177"/>
      <c r="AL177" s="48"/>
    </row>
    <row r="178" spans="4:38" s="93" customFormat="1" x14ac:dyDescent="0.35">
      <c r="D178" s="92"/>
      <c r="F178" s="168"/>
      <c r="G178"/>
      <c r="H178"/>
      <c r="I178"/>
      <c r="J178"/>
      <c r="K178"/>
      <c r="L178"/>
      <c r="M178"/>
      <c r="N178"/>
      <c r="O178" s="47"/>
      <c r="P178"/>
      <c r="Q178"/>
      <c r="R178"/>
      <c r="S178"/>
      <c r="T178"/>
      <c r="U178"/>
      <c r="V178"/>
      <c r="W178"/>
      <c r="X178"/>
      <c r="Y178"/>
      <c r="Z178" s="48"/>
      <c r="AA178"/>
      <c r="AB178"/>
      <c r="AC178"/>
      <c r="AD178"/>
      <c r="AE178"/>
      <c r="AF178"/>
      <c r="AG178"/>
      <c r="AH178"/>
      <c r="AI178"/>
      <c r="AJ178"/>
      <c r="AK178"/>
      <c r="AL178" s="48"/>
    </row>
    <row r="179" spans="4:38" s="93" customFormat="1" x14ac:dyDescent="0.35">
      <c r="D179" s="92"/>
      <c r="F179" s="168"/>
      <c r="G179"/>
      <c r="H179"/>
      <c r="I179"/>
      <c r="J179"/>
      <c r="K179"/>
      <c r="L179"/>
      <c r="M179"/>
      <c r="N179"/>
      <c r="O179" s="47"/>
      <c r="P179"/>
      <c r="Q179"/>
      <c r="R179"/>
      <c r="S179"/>
      <c r="T179"/>
      <c r="U179"/>
      <c r="V179"/>
      <c r="W179"/>
      <c r="X179"/>
      <c r="Y179"/>
      <c r="Z179" s="48"/>
      <c r="AA179"/>
      <c r="AB179"/>
      <c r="AC179"/>
      <c r="AD179"/>
      <c r="AE179"/>
      <c r="AF179"/>
      <c r="AG179"/>
      <c r="AH179"/>
      <c r="AI179"/>
      <c r="AJ179"/>
      <c r="AK179"/>
      <c r="AL179" s="48"/>
    </row>
    <row r="180" spans="4:38" s="93" customFormat="1" x14ac:dyDescent="0.35">
      <c r="D180" s="92"/>
      <c r="F180" s="168"/>
      <c r="G180"/>
      <c r="H180"/>
      <c r="I180"/>
      <c r="J180"/>
      <c r="K180"/>
      <c r="L180"/>
      <c r="M180"/>
      <c r="N180"/>
      <c r="O180" s="47"/>
      <c r="P180"/>
      <c r="Q180"/>
      <c r="R180"/>
      <c r="S180"/>
      <c r="T180"/>
      <c r="U180"/>
      <c r="V180"/>
      <c r="W180"/>
      <c r="X180"/>
      <c r="Y180"/>
      <c r="Z180" s="48"/>
      <c r="AA180"/>
      <c r="AB180"/>
      <c r="AC180"/>
      <c r="AD180"/>
      <c r="AE180"/>
      <c r="AF180"/>
      <c r="AG180"/>
      <c r="AH180"/>
      <c r="AI180"/>
      <c r="AJ180"/>
      <c r="AK180"/>
      <c r="AL180" s="48"/>
    </row>
    <row r="181" spans="4:38" s="93" customFormat="1" x14ac:dyDescent="0.35">
      <c r="D181" s="92"/>
      <c r="F181" s="168"/>
      <c r="G181"/>
      <c r="H181"/>
      <c r="I181"/>
      <c r="J181"/>
      <c r="K181"/>
      <c r="L181"/>
      <c r="M181"/>
      <c r="N181"/>
      <c r="O181" s="47"/>
      <c r="P181"/>
      <c r="Q181"/>
      <c r="R181"/>
      <c r="S181"/>
      <c r="T181"/>
      <c r="U181"/>
      <c r="V181"/>
      <c r="W181"/>
      <c r="X181"/>
      <c r="Y181"/>
      <c r="Z181" s="48"/>
      <c r="AA181"/>
      <c r="AB181"/>
      <c r="AC181"/>
      <c r="AD181"/>
      <c r="AE181"/>
      <c r="AF181"/>
      <c r="AG181"/>
      <c r="AH181"/>
      <c r="AI181"/>
      <c r="AJ181"/>
      <c r="AK181"/>
      <c r="AL181" s="48"/>
    </row>
    <row r="182" spans="4:38" s="93" customFormat="1" x14ac:dyDescent="0.35">
      <c r="D182" s="92"/>
      <c r="F182" s="168"/>
      <c r="G182"/>
      <c r="H182"/>
      <c r="I182"/>
      <c r="J182"/>
      <c r="K182"/>
      <c r="L182"/>
      <c r="M182"/>
      <c r="N182"/>
      <c r="O182" s="47"/>
      <c r="P182"/>
      <c r="Q182"/>
      <c r="R182"/>
      <c r="S182"/>
      <c r="T182"/>
      <c r="U182"/>
      <c r="V182"/>
      <c r="W182"/>
      <c r="X182"/>
      <c r="Y182"/>
      <c r="Z182" s="48"/>
      <c r="AA182"/>
      <c r="AB182"/>
      <c r="AC182"/>
      <c r="AD182"/>
      <c r="AE182"/>
      <c r="AF182"/>
      <c r="AG182"/>
      <c r="AH182"/>
      <c r="AI182"/>
      <c r="AJ182"/>
      <c r="AK182"/>
      <c r="AL182" s="48"/>
    </row>
    <row r="183" spans="4:38" s="93" customFormat="1" x14ac:dyDescent="0.35">
      <c r="D183" s="92"/>
      <c r="F183" s="168"/>
      <c r="G183"/>
      <c r="H183"/>
      <c r="I183"/>
      <c r="J183"/>
      <c r="K183"/>
      <c r="L183"/>
      <c r="M183"/>
      <c r="N183"/>
      <c r="O183" s="47"/>
      <c r="P183"/>
      <c r="Q183"/>
      <c r="R183"/>
      <c r="S183"/>
      <c r="T183"/>
      <c r="U183"/>
      <c r="V183"/>
      <c r="W183"/>
      <c r="X183"/>
      <c r="Y183"/>
      <c r="Z183" s="48"/>
      <c r="AA183"/>
      <c r="AB183"/>
      <c r="AC183"/>
      <c r="AD183"/>
      <c r="AE183"/>
      <c r="AF183"/>
      <c r="AG183"/>
      <c r="AH183"/>
      <c r="AI183"/>
      <c r="AJ183"/>
      <c r="AK183"/>
      <c r="AL183" s="48"/>
    </row>
    <row r="184" spans="4:38" s="93" customFormat="1" x14ac:dyDescent="0.35">
      <c r="D184" s="92"/>
      <c r="F184" s="168"/>
      <c r="G184"/>
      <c r="H184"/>
      <c r="I184"/>
      <c r="J184"/>
      <c r="K184"/>
      <c r="L184"/>
      <c r="M184"/>
      <c r="N184"/>
      <c r="O184" s="47"/>
      <c r="P184"/>
      <c r="Q184"/>
      <c r="R184"/>
      <c r="S184"/>
      <c r="T184"/>
      <c r="U184"/>
      <c r="V184"/>
      <c r="W184"/>
      <c r="X184"/>
      <c r="Y184"/>
      <c r="Z184" s="48"/>
      <c r="AA184"/>
      <c r="AB184"/>
      <c r="AC184"/>
      <c r="AD184"/>
      <c r="AE184"/>
      <c r="AF184"/>
      <c r="AG184"/>
      <c r="AH184"/>
      <c r="AI184"/>
      <c r="AJ184"/>
      <c r="AK184"/>
      <c r="AL184" s="48"/>
    </row>
    <row r="185" spans="4:38" s="93" customFormat="1" x14ac:dyDescent="0.35">
      <c r="D185" s="92"/>
      <c r="F185" s="168"/>
      <c r="G185"/>
      <c r="H185"/>
      <c r="I185"/>
      <c r="J185"/>
      <c r="K185"/>
      <c r="L185"/>
      <c r="M185"/>
      <c r="N185"/>
      <c r="O185" s="47"/>
      <c r="P185"/>
      <c r="Q185"/>
      <c r="R185"/>
      <c r="S185"/>
      <c r="T185"/>
      <c r="U185"/>
      <c r="V185"/>
      <c r="W185"/>
      <c r="X185"/>
      <c r="Y185"/>
      <c r="Z185" s="48"/>
      <c r="AA185"/>
      <c r="AB185"/>
      <c r="AC185"/>
      <c r="AD185"/>
      <c r="AE185"/>
      <c r="AF185"/>
      <c r="AG185"/>
      <c r="AH185"/>
      <c r="AI185"/>
      <c r="AJ185"/>
      <c r="AK185"/>
      <c r="AL185" s="48"/>
    </row>
    <row r="186" spans="4:38" s="93" customFormat="1" x14ac:dyDescent="0.35">
      <c r="D186" s="92"/>
      <c r="F186" s="168"/>
      <c r="G186"/>
      <c r="H186"/>
      <c r="I186"/>
      <c r="J186"/>
      <c r="K186"/>
      <c r="L186"/>
      <c r="M186"/>
      <c r="N186"/>
      <c r="O186" s="47"/>
      <c r="P186"/>
      <c r="Q186"/>
      <c r="R186"/>
      <c r="S186"/>
      <c r="T186"/>
      <c r="U186"/>
      <c r="V186"/>
      <c r="W186"/>
      <c r="X186"/>
      <c r="Y186"/>
      <c r="Z186" s="48"/>
      <c r="AA186"/>
      <c r="AB186"/>
      <c r="AC186"/>
      <c r="AD186"/>
      <c r="AE186"/>
      <c r="AF186"/>
      <c r="AG186"/>
      <c r="AH186"/>
      <c r="AI186"/>
      <c r="AJ186"/>
      <c r="AK186"/>
      <c r="AL186" s="48"/>
    </row>
    <row r="187" spans="4:38" s="93" customFormat="1" x14ac:dyDescent="0.35">
      <c r="D187" s="92"/>
      <c r="F187" s="168"/>
      <c r="G187"/>
      <c r="H187"/>
      <c r="I187"/>
      <c r="J187"/>
      <c r="K187"/>
      <c r="L187"/>
      <c r="M187"/>
      <c r="N187"/>
      <c r="O187" s="47"/>
      <c r="P187"/>
      <c r="Q187"/>
      <c r="R187"/>
      <c r="S187"/>
      <c r="T187"/>
      <c r="U187"/>
      <c r="V187"/>
      <c r="W187"/>
      <c r="X187"/>
      <c r="Y187"/>
      <c r="Z187" s="48"/>
      <c r="AA187"/>
      <c r="AB187"/>
      <c r="AC187"/>
      <c r="AD187"/>
      <c r="AE187"/>
      <c r="AF187"/>
      <c r="AG187"/>
      <c r="AH187"/>
      <c r="AI187"/>
      <c r="AJ187"/>
      <c r="AK187"/>
      <c r="AL187" s="48"/>
    </row>
    <row r="188" spans="4:38" s="93" customFormat="1" x14ac:dyDescent="0.35">
      <c r="D188" s="92"/>
      <c r="F188" s="168"/>
      <c r="G188"/>
      <c r="H188"/>
      <c r="I188"/>
      <c r="J188"/>
      <c r="K188"/>
      <c r="L188"/>
      <c r="M188"/>
      <c r="N188"/>
      <c r="O188" s="47"/>
      <c r="P188"/>
      <c r="Q188"/>
      <c r="R188"/>
      <c r="S188"/>
      <c r="T188"/>
      <c r="U188"/>
      <c r="V188"/>
      <c r="W188"/>
      <c r="X188"/>
      <c r="Y188"/>
      <c r="Z188" s="48"/>
      <c r="AA188"/>
      <c r="AB188"/>
      <c r="AC188"/>
      <c r="AD188"/>
      <c r="AE188"/>
      <c r="AF188"/>
      <c r="AG188"/>
      <c r="AH188"/>
      <c r="AI188"/>
      <c r="AJ188"/>
      <c r="AK188"/>
      <c r="AL188" s="48"/>
    </row>
    <row r="189" spans="4:38" s="93" customFormat="1" x14ac:dyDescent="0.35">
      <c r="D189" s="92"/>
      <c r="F189" s="168"/>
      <c r="G189"/>
      <c r="H189"/>
      <c r="I189"/>
      <c r="J189"/>
      <c r="K189"/>
      <c r="L189"/>
      <c r="M189"/>
      <c r="N189"/>
      <c r="O189" s="47"/>
      <c r="P189"/>
      <c r="Q189"/>
      <c r="R189"/>
      <c r="S189"/>
      <c r="T189"/>
      <c r="U189"/>
      <c r="V189"/>
      <c r="W189"/>
      <c r="X189"/>
      <c r="Y189"/>
      <c r="Z189" s="48"/>
      <c r="AA189"/>
      <c r="AB189"/>
      <c r="AC189"/>
      <c r="AD189"/>
      <c r="AE189"/>
      <c r="AF189"/>
      <c r="AG189"/>
      <c r="AH189"/>
      <c r="AI189"/>
      <c r="AJ189"/>
      <c r="AK189"/>
      <c r="AL189" s="48"/>
    </row>
    <row r="190" spans="4:38" s="93" customFormat="1" x14ac:dyDescent="0.35">
      <c r="D190" s="92"/>
      <c r="F190" s="168"/>
      <c r="G190"/>
      <c r="H190"/>
      <c r="I190"/>
      <c r="J190"/>
      <c r="K190"/>
      <c r="L190"/>
      <c r="M190"/>
      <c r="N190"/>
      <c r="O190" s="47"/>
      <c r="P190"/>
      <c r="Q190"/>
      <c r="R190"/>
      <c r="S190"/>
      <c r="T190"/>
      <c r="U190"/>
      <c r="V190"/>
      <c r="W190"/>
      <c r="X190"/>
      <c r="Y190"/>
      <c r="Z190" s="48"/>
      <c r="AA190"/>
      <c r="AB190"/>
      <c r="AC190"/>
      <c r="AD190"/>
      <c r="AE190"/>
      <c r="AF190"/>
      <c r="AG190"/>
      <c r="AH190"/>
      <c r="AI190"/>
      <c r="AJ190"/>
      <c r="AK190"/>
      <c r="AL190" s="48"/>
    </row>
    <row r="191" spans="4:38" s="93" customFormat="1" x14ac:dyDescent="0.35">
      <c r="D191" s="92"/>
      <c r="F191" s="168"/>
      <c r="G191"/>
      <c r="H191"/>
      <c r="I191"/>
      <c r="J191"/>
      <c r="K191"/>
      <c r="L191"/>
      <c r="M191"/>
      <c r="N191"/>
      <c r="O191" s="47"/>
      <c r="P191"/>
      <c r="Q191"/>
      <c r="R191"/>
      <c r="S191"/>
      <c r="T191"/>
      <c r="U191"/>
      <c r="V191"/>
      <c r="W191"/>
      <c r="X191"/>
      <c r="Y191"/>
      <c r="Z191" s="48"/>
      <c r="AA191"/>
      <c r="AB191"/>
      <c r="AC191"/>
      <c r="AD191"/>
      <c r="AE191"/>
      <c r="AF191"/>
      <c r="AG191"/>
      <c r="AH191"/>
      <c r="AI191"/>
      <c r="AJ191"/>
      <c r="AK191"/>
      <c r="AL191" s="48"/>
    </row>
    <row r="192" spans="4:38" s="93" customFormat="1" x14ac:dyDescent="0.35">
      <c r="D192" s="92"/>
      <c r="F192" s="168"/>
      <c r="G192"/>
      <c r="H192"/>
      <c r="I192"/>
      <c r="J192"/>
      <c r="K192"/>
      <c r="L192"/>
      <c r="M192"/>
      <c r="N192"/>
      <c r="O192" s="47"/>
      <c r="P192"/>
      <c r="Q192"/>
      <c r="R192"/>
      <c r="S192"/>
      <c r="T192"/>
      <c r="U192"/>
      <c r="V192"/>
      <c r="W192"/>
      <c r="X192"/>
      <c r="Y192"/>
      <c r="Z192" s="48"/>
      <c r="AA192"/>
      <c r="AB192"/>
      <c r="AC192"/>
      <c r="AD192"/>
      <c r="AE192"/>
      <c r="AF192"/>
      <c r="AG192"/>
      <c r="AH192"/>
      <c r="AI192"/>
      <c r="AJ192"/>
      <c r="AK192"/>
      <c r="AL192" s="48"/>
    </row>
    <row r="193" spans="4:38" s="93" customFormat="1" x14ac:dyDescent="0.35">
      <c r="D193" s="92"/>
      <c r="F193" s="168"/>
      <c r="G193"/>
      <c r="H193"/>
      <c r="I193"/>
      <c r="J193"/>
      <c r="K193"/>
      <c r="L193"/>
      <c r="M193"/>
      <c r="N193"/>
      <c r="O193" s="47"/>
      <c r="P193"/>
      <c r="Q193"/>
      <c r="R193"/>
      <c r="S193"/>
      <c r="T193"/>
      <c r="U193"/>
      <c r="V193"/>
      <c r="W193"/>
      <c r="X193"/>
      <c r="Y193"/>
      <c r="Z193" s="48"/>
      <c r="AA193"/>
      <c r="AB193"/>
      <c r="AC193"/>
      <c r="AD193"/>
      <c r="AE193"/>
      <c r="AF193"/>
      <c r="AG193"/>
      <c r="AH193"/>
      <c r="AI193"/>
      <c r="AJ193"/>
      <c r="AK193"/>
      <c r="AL193" s="48"/>
    </row>
    <row r="194" spans="4:38" s="93" customFormat="1" x14ac:dyDescent="0.35">
      <c r="D194" s="92"/>
      <c r="F194" s="168"/>
      <c r="G194"/>
      <c r="H194"/>
      <c r="I194"/>
      <c r="J194"/>
      <c r="K194"/>
      <c r="L194"/>
      <c r="M194"/>
      <c r="N194"/>
      <c r="O194" s="47"/>
      <c r="P194"/>
      <c r="Q194"/>
      <c r="R194"/>
      <c r="S194"/>
      <c r="T194"/>
      <c r="U194"/>
      <c r="V194"/>
      <c r="W194"/>
      <c r="X194"/>
      <c r="Y194"/>
      <c r="Z194" s="48"/>
      <c r="AA194"/>
      <c r="AB194"/>
      <c r="AC194"/>
      <c r="AD194"/>
      <c r="AE194"/>
      <c r="AF194"/>
      <c r="AG194"/>
      <c r="AH194"/>
      <c r="AI194"/>
      <c r="AJ194"/>
      <c r="AK194"/>
      <c r="AL194" s="48"/>
    </row>
    <row r="195" spans="4:38" s="93" customFormat="1" x14ac:dyDescent="0.35">
      <c r="D195" s="92"/>
      <c r="F195" s="168"/>
      <c r="G195"/>
      <c r="H195"/>
      <c r="I195"/>
      <c r="J195"/>
      <c r="K195"/>
      <c r="L195"/>
      <c r="M195"/>
      <c r="N195"/>
      <c r="O195" s="47"/>
      <c r="P195"/>
      <c r="Q195"/>
      <c r="R195"/>
      <c r="S195"/>
      <c r="T195"/>
      <c r="U195"/>
      <c r="V195"/>
      <c r="W195"/>
      <c r="X195"/>
      <c r="Y195"/>
      <c r="Z195" s="48"/>
      <c r="AA195"/>
      <c r="AB195"/>
      <c r="AC195"/>
      <c r="AD195"/>
      <c r="AE195"/>
      <c r="AF195"/>
      <c r="AG195"/>
      <c r="AH195"/>
      <c r="AI195"/>
      <c r="AJ195"/>
      <c r="AK195"/>
      <c r="AL195" s="48"/>
    </row>
    <row r="196" spans="4:38" s="93" customFormat="1" x14ac:dyDescent="0.35">
      <c r="D196" s="92"/>
      <c r="F196" s="168"/>
      <c r="G196"/>
      <c r="H196"/>
      <c r="I196"/>
      <c r="J196"/>
      <c r="K196"/>
      <c r="L196"/>
      <c r="M196"/>
      <c r="N196"/>
      <c r="O196" s="47"/>
      <c r="P196"/>
      <c r="Q196"/>
      <c r="R196"/>
      <c r="S196"/>
      <c r="T196"/>
      <c r="U196"/>
      <c r="V196"/>
      <c r="W196"/>
      <c r="X196"/>
      <c r="Y196"/>
      <c r="Z196" s="48"/>
      <c r="AA196"/>
      <c r="AB196"/>
      <c r="AC196"/>
      <c r="AD196"/>
      <c r="AE196"/>
      <c r="AF196"/>
      <c r="AG196"/>
      <c r="AH196"/>
      <c r="AI196"/>
      <c r="AJ196"/>
      <c r="AK196"/>
      <c r="AL196" s="48"/>
    </row>
    <row r="197" spans="4:38" s="93" customFormat="1" x14ac:dyDescent="0.35">
      <c r="D197" s="92"/>
      <c r="F197" s="168"/>
      <c r="G197"/>
      <c r="H197"/>
      <c r="I197"/>
      <c r="J197"/>
      <c r="K197"/>
      <c r="L197"/>
      <c r="M197"/>
      <c r="N197"/>
      <c r="O197" s="47"/>
      <c r="P197"/>
      <c r="Q197"/>
      <c r="R197"/>
      <c r="S197"/>
      <c r="T197"/>
      <c r="U197"/>
      <c r="V197"/>
      <c r="W197"/>
      <c r="X197"/>
      <c r="Y197"/>
      <c r="Z197" s="48"/>
      <c r="AA197"/>
      <c r="AB197"/>
      <c r="AC197"/>
      <c r="AD197"/>
      <c r="AE197"/>
      <c r="AF197"/>
      <c r="AG197"/>
      <c r="AH197"/>
      <c r="AI197"/>
      <c r="AJ197"/>
      <c r="AK197"/>
      <c r="AL197" s="48"/>
    </row>
    <row r="198" spans="4:38" s="93" customFormat="1" x14ac:dyDescent="0.35">
      <c r="D198" s="92"/>
      <c r="F198" s="168"/>
      <c r="G198"/>
      <c r="H198"/>
      <c r="I198"/>
      <c r="J198"/>
      <c r="K198"/>
      <c r="L198"/>
      <c r="M198"/>
      <c r="N198"/>
      <c r="O198" s="47"/>
      <c r="P198"/>
      <c r="Q198"/>
      <c r="R198"/>
      <c r="S198"/>
      <c r="T198"/>
      <c r="U198"/>
      <c r="V198"/>
      <c r="W198"/>
      <c r="X198"/>
      <c r="Y198"/>
      <c r="Z198" s="48"/>
      <c r="AA198"/>
      <c r="AB198"/>
      <c r="AC198"/>
      <c r="AD198"/>
      <c r="AE198"/>
      <c r="AF198"/>
      <c r="AG198"/>
      <c r="AH198"/>
      <c r="AI198"/>
      <c r="AJ198"/>
      <c r="AK198"/>
      <c r="AL198" s="48"/>
    </row>
    <row r="199" spans="4:38" s="93" customFormat="1" x14ac:dyDescent="0.35">
      <c r="D199" s="92"/>
      <c r="F199" s="168"/>
      <c r="G199"/>
      <c r="H199"/>
      <c r="I199"/>
      <c r="J199"/>
      <c r="K199"/>
      <c r="L199"/>
      <c r="M199"/>
      <c r="N199"/>
      <c r="O199" s="47"/>
      <c r="P199"/>
      <c r="Q199"/>
      <c r="R199"/>
      <c r="S199"/>
      <c r="T199"/>
      <c r="U199"/>
      <c r="V199"/>
      <c r="W199"/>
      <c r="X199"/>
      <c r="Y199"/>
      <c r="Z199" s="48"/>
      <c r="AA199"/>
      <c r="AB199"/>
      <c r="AC199"/>
      <c r="AD199"/>
      <c r="AE199"/>
      <c r="AF199"/>
      <c r="AG199"/>
      <c r="AH199"/>
      <c r="AI199"/>
      <c r="AJ199"/>
      <c r="AK199"/>
      <c r="AL199" s="48"/>
    </row>
    <row r="200" spans="4:38" s="93" customFormat="1" ht="15" thickBot="1" x14ac:dyDescent="0.4">
      <c r="D200" s="92"/>
      <c r="F200" s="168"/>
      <c r="G200"/>
      <c r="H200"/>
      <c r="I200"/>
      <c r="J200"/>
      <c r="K200"/>
      <c r="L200"/>
      <c r="M200"/>
      <c r="N200"/>
      <c r="O200" s="47"/>
      <c r="P200"/>
      <c r="Q200"/>
      <c r="R200"/>
      <c r="S200"/>
      <c r="T200"/>
      <c r="U200"/>
      <c r="V200"/>
      <c r="W200"/>
      <c r="X200"/>
      <c r="Y200"/>
      <c r="Z200" s="48"/>
      <c r="AA200"/>
      <c r="AB200"/>
      <c r="AC200"/>
      <c r="AD200"/>
      <c r="AE200"/>
      <c r="AF200"/>
      <c r="AG200"/>
      <c r="AH200"/>
      <c r="AI200"/>
      <c r="AJ200"/>
      <c r="AK200"/>
      <c r="AL200" s="48"/>
    </row>
    <row r="201" spans="4:38" s="99" customFormat="1" x14ac:dyDescent="0.35">
      <c r="D201" s="100"/>
      <c r="F201" s="248"/>
      <c r="G201" s="7"/>
      <c r="H201" s="7"/>
      <c r="I201" s="7"/>
      <c r="J201" s="7"/>
      <c r="K201" s="7"/>
      <c r="L201" s="7"/>
      <c r="M201" s="7"/>
      <c r="N201" s="7"/>
      <c r="O201" s="90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91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91"/>
    </row>
    <row r="202" spans="4:38" s="93" customFormat="1" x14ac:dyDescent="0.35">
      <c r="D202" s="92"/>
      <c r="F202" s="168"/>
      <c r="G202"/>
      <c r="H202"/>
      <c r="I202"/>
      <c r="J202"/>
      <c r="K202"/>
      <c r="L202"/>
      <c r="M202"/>
      <c r="N202"/>
      <c r="O202" s="47"/>
      <c r="P202"/>
      <c r="Q202"/>
      <c r="R202"/>
      <c r="S202"/>
      <c r="T202"/>
      <c r="U202"/>
      <c r="V202"/>
      <c r="W202"/>
      <c r="X202"/>
      <c r="Y202"/>
      <c r="Z202" s="48"/>
      <c r="AA202"/>
      <c r="AB202"/>
      <c r="AC202"/>
      <c r="AD202"/>
      <c r="AE202"/>
      <c r="AF202"/>
      <c r="AG202"/>
      <c r="AH202"/>
      <c r="AI202"/>
      <c r="AJ202"/>
      <c r="AK202"/>
      <c r="AL202" s="48"/>
    </row>
    <row r="203" spans="4:38" s="93" customFormat="1" x14ac:dyDescent="0.35">
      <c r="D203" s="92"/>
      <c r="F203" s="168"/>
      <c r="G203"/>
      <c r="H203"/>
      <c r="I203"/>
      <c r="J203"/>
      <c r="K203"/>
      <c r="L203"/>
      <c r="M203"/>
      <c r="N203"/>
      <c r="O203" s="47"/>
      <c r="P203"/>
      <c r="Q203"/>
      <c r="R203"/>
      <c r="S203"/>
      <c r="T203"/>
      <c r="U203"/>
      <c r="V203"/>
      <c r="W203"/>
      <c r="X203"/>
      <c r="Y203"/>
      <c r="Z203" s="48"/>
      <c r="AA203"/>
      <c r="AB203"/>
      <c r="AC203"/>
      <c r="AD203"/>
      <c r="AE203"/>
      <c r="AF203"/>
      <c r="AG203"/>
      <c r="AH203"/>
      <c r="AI203"/>
      <c r="AJ203"/>
      <c r="AK203"/>
      <c r="AL203" s="48"/>
    </row>
    <row r="204" spans="4:38" s="93" customFormat="1" x14ac:dyDescent="0.35">
      <c r="D204" s="92"/>
      <c r="F204" s="168"/>
      <c r="G204"/>
      <c r="H204"/>
      <c r="I204"/>
      <c r="J204"/>
      <c r="K204"/>
      <c r="L204"/>
      <c r="M204"/>
      <c r="N204"/>
      <c r="O204" s="47"/>
      <c r="P204"/>
      <c r="Q204"/>
      <c r="R204"/>
      <c r="S204"/>
      <c r="T204"/>
      <c r="U204"/>
      <c r="V204"/>
      <c r="W204"/>
      <c r="X204"/>
      <c r="Y204"/>
      <c r="Z204" s="48"/>
      <c r="AA204"/>
      <c r="AB204"/>
      <c r="AC204"/>
      <c r="AD204"/>
      <c r="AE204"/>
      <c r="AF204"/>
      <c r="AG204"/>
      <c r="AH204"/>
      <c r="AI204"/>
      <c r="AJ204"/>
      <c r="AK204"/>
      <c r="AL204" s="48"/>
    </row>
    <row r="205" spans="4:38" s="93" customFormat="1" x14ac:dyDescent="0.35">
      <c r="D205" s="92"/>
      <c r="F205" s="168"/>
      <c r="G205"/>
      <c r="H205"/>
      <c r="I205"/>
      <c r="J205"/>
      <c r="K205"/>
      <c r="L205"/>
      <c r="M205"/>
      <c r="N205"/>
      <c r="O205" s="47"/>
      <c r="P205"/>
      <c r="Q205"/>
      <c r="R205"/>
      <c r="S205"/>
      <c r="T205"/>
      <c r="U205"/>
      <c r="V205"/>
      <c r="W205"/>
      <c r="X205"/>
      <c r="Y205"/>
      <c r="Z205" s="48"/>
      <c r="AA205"/>
      <c r="AB205"/>
      <c r="AC205"/>
      <c r="AD205"/>
      <c r="AE205"/>
      <c r="AF205"/>
      <c r="AG205"/>
      <c r="AH205"/>
      <c r="AI205"/>
      <c r="AJ205"/>
      <c r="AK205"/>
      <c r="AL205" s="48"/>
    </row>
    <row r="206" spans="4:38" s="93" customFormat="1" x14ac:dyDescent="0.35">
      <c r="D206" s="92"/>
      <c r="F206" s="168"/>
      <c r="G206"/>
      <c r="H206"/>
      <c r="I206"/>
      <c r="J206"/>
      <c r="K206"/>
      <c r="L206"/>
      <c r="M206"/>
      <c r="N206"/>
      <c r="O206" s="47"/>
      <c r="P206"/>
      <c r="Q206"/>
      <c r="R206"/>
      <c r="S206"/>
      <c r="T206"/>
      <c r="U206"/>
      <c r="V206"/>
      <c r="W206"/>
      <c r="X206"/>
      <c r="Y206"/>
      <c r="Z206" s="48"/>
      <c r="AA206"/>
      <c r="AB206"/>
      <c r="AC206"/>
      <c r="AD206"/>
      <c r="AE206"/>
      <c r="AF206"/>
      <c r="AG206"/>
      <c r="AH206"/>
      <c r="AI206"/>
      <c r="AJ206"/>
      <c r="AK206"/>
      <c r="AL206" s="48"/>
    </row>
    <row r="207" spans="4:38" s="93" customFormat="1" x14ac:dyDescent="0.35">
      <c r="D207" s="92"/>
      <c r="F207" s="168"/>
      <c r="G207"/>
      <c r="H207"/>
      <c r="I207"/>
      <c r="J207"/>
      <c r="K207"/>
      <c r="L207"/>
      <c r="M207"/>
      <c r="N207"/>
      <c r="O207" s="47"/>
      <c r="P207"/>
      <c r="Q207"/>
      <c r="R207"/>
      <c r="S207"/>
      <c r="T207"/>
      <c r="U207"/>
      <c r="V207"/>
      <c r="W207"/>
      <c r="X207"/>
      <c r="Y207"/>
      <c r="Z207" s="48"/>
      <c r="AA207"/>
      <c r="AB207"/>
      <c r="AC207"/>
      <c r="AD207"/>
      <c r="AE207"/>
      <c r="AF207"/>
      <c r="AG207"/>
      <c r="AH207"/>
      <c r="AI207"/>
      <c r="AJ207"/>
      <c r="AK207"/>
      <c r="AL207" s="48"/>
    </row>
    <row r="208" spans="4:38" s="93" customFormat="1" x14ac:dyDescent="0.35">
      <c r="D208" s="92"/>
      <c r="F208" s="168"/>
      <c r="G208"/>
      <c r="H208"/>
      <c r="I208"/>
      <c r="J208"/>
      <c r="K208"/>
      <c r="L208"/>
      <c r="M208"/>
      <c r="N208"/>
      <c r="O208" s="47"/>
      <c r="P208"/>
      <c r="Q208"/>
      <c r="R208"/>
      <c r="S208"/>
      <c r="T208"/>
      <c r="U208"/>
      <c r="V208"/>
      <c r="W208"/>
      <c r="X208"/>
      <c r="Y208"/>
      <c r="Z208" s="48"/>
      <c r="AA208"/>
      <c r="AB208"/>
      <c r="AC208"/>
      <c r="AD208"/>
      <c r="AE208"/>
      <c r="AF208"/>
      <c r="AG208"/>
      <c r="AH208"/>
      <c r="AI208"/>
      <c r="AJ208"/>
      <c r="AK208"/>
      <c r="AL208" s="48"/>
    </row>
    <row r="209" spans="4:38" s="93" customFormat="1" x14ac:dyDescent="0.35">
      <c r="D209" s="92"/>
      <c r="F209" s="168"/>
      <c r="G209"/>
      <c r="H209"/>
      <c r="I209"/>
      <c r="J209"/>
      <c r="K209"/>
      <c r="L209"/>
      <c r="M209"/>
      <c r="N209"/>
      <c r="O209" s="47"/>
      <c r="P209"/>
      <c r="Q209"/>
      <c r="R209"/>
      <c r="S209"/>
      <c r="T209"/>
      <c r="U209"/>
      <c r="V209"/>
      <c r="W209"/>
      <c r="X209"/>
      <c r="Y209"/>
      <c r="Z209" s="48"/>
      <c r="AA209"/>
      <c r="AB209"/>
      <c r="AC209"/>
      <c r="AD209"/>
      <c r="AE209"/>
      <c r="AF209"/>
      <c r="AG209"/>
      <c r="AH209"/>
      <c r="AI209"/>
      <c r="AJ209"/>
      <c r="AK209"/>
      <c r="AL209" s="48"/>
    </row>
    <row r="210" spans="4:38" s="93" customFormat="1" x14ac:dyDescent="0.35">
      <c r="D210" s="92"/>
      <c r="F210" s="168"/>
      <c r="G210"/>
      <c r="H210"/>
      <c r="I210"/>
      <c r="J210"/>
      <c r="K210"/>
      <c r="L210"/>
      <c r="M210"/>
      <c r="N210"/>
      <c r="O210" s="47"/>
      <c r="P210"/>
      <c r="Q210"/>
      <c r="R210"/>
      <c r="S210"/>
      <c r="T210"/>
      <c r="U210"/>
      <c r="V210"/>
      <c r="W210"/>
      <c r="X210"/>
      <c r="Y210"/>
      <c r="Z210" s="48"/>
      <c r="AA210"/>
      <c r="AB210"/>
      <c r="AC210"/>
      <c r="AD210"/>
      <c r="AE210"/>
      <c r="AF210"/>
      <c r="AG210"/>
      <c r="AH210"/>
      <c r="AI210"/>
      <c r="AJ210"/>
      <c r="AK210"/>
      <c r="AL210" s="48"/>
    </row>
    <row r="211" spans="4:38" s="93" customFormat="1" x14ac:dyDescent="0.35">
      <c r="D211" s="92"/>
      <c r="F211" s="168"/>
      <c r="G211"/>
      <c r="H211"/>
      <c r="I211"/>
      <c r="J211"/>
      <c r="K211"/>
      <c r="L211"/>
      <c r="M211"/>
      <c r="N211"/>
      <c r="O211" s="47"/>
      <c r="P211"/>
      <c r="Q211"/>
      <c r="R211"/>
      <c r="S211"/>
      <c r="T211"/>
      <c r="U211"/>
      <c r="V211"/>
      <c r="W211"/>
      <c r="X211"/>
      <c r="Y211"/>
      <c r="Z211" s="48"/>
      <c r="AA211"/>
      <c r="AB211"/>
      <c r="AC211"/>
      <c r="AD211"/>
      <c r="AE211"/>
      <c r="AF211"/>
      <c r="AG211"/>
      <c r="AH211"/>
      <c r="AI211"/>
      <c r="AJ211"/>
      <c r="AK211"/>
      <c r="AL211" s="48"/>
    </row>
    <row r="212" spans="4:38" s="93" customFormat="1" x14ac:dyDescent="0.35">
      <c r="D212" s="92"/>
      <c r="F212" s="168"/>
      <c r="G212"/>
      <c r="H212"/>
      <c r="I212"/>
      <c r="J212"/>
      <c r="K212"/>
      <c r="L212"/>
      <c r="M212"/>
      <c r="N212"/>
      <c r="O212" s="47"/>
      <c r="P212"/>
      <c r="Q212"/>
      <c r="R212"/>
      <c r="S212"/>
      <c r="T212"/>
      <c r="U212"/>
      <c r="V212"/>
      <c r="W212"/>
      <c r="X212"/>
      <c r="Y212"/>
      <c r="Z212" s="48"/>
      <c r="AA212"/>
      <c r="AB212"/>
      <c r="AC212"/>
      <c r="AD212"/>
      <c r="AE212"/>
      <c r="AF212"/>
      <c r="AG212"/>
      <c r="AH212"/>
      <c r="AI212"/>
      <c r="AJ212"/>
      <c r="AK212"/>
      <c r="AL212" s="48"/>
    </row>
    <row r="213" spans="4:38" s="93" customFormat="1" x14ac:dyDescent="0.35">
      <c r="D213" s="92"/>
      <c r="F213" s="168"/>
      <c r="G213"/>
      <c r="H213"/>
      <c r="I213"/>
      <c r="J213"/>
      <c r="K213"/>
      <c r="L213"/>
      <c r="M213"/>
      <c r="N213"/>
      <c r="O213" s="47"/>
      <c r="P213"/>
      <c r="Q213"/>
      <c r="R213"/>
      <c r="S213"/>
      <c r="T213"/>
      <c r="U213"/>
      <c r="V213"/>
      <c r="W213"/>
      <c r="X213"/>
      <c r="Y213"/>
      <c r="Z213" s="48"/>
      <c r="AA213"/>
      <c r="AB213"/>
      <c r="AC213"/>
      <c r="AD213"/>
      <c r="AE213"/>
      <c r="AF213"/>
      <c r="AG213"/>
      <c r="AH213"/>
      <c r="AI213"/>
      <c r="AJ213"/>
      <c r="AK213"/>
      <c r="AL213" s="48"/>
    </row>
    <row r="214" spans="4:38" s="93" customFormat="1" x14ac:dyDescent="0.35">
      <c r="D214" s="92"/>
      <c r="F214" s="168"/>
      <c r="G214"/>
      <c r="H214"/>
      <c r="I214"/>
      <c r="J214"/>
      <c r="K214"/>
      <c r="L214"/>
      <c r="M214"/>
      <c r="N214"/>
      <c r="O214" s="47"/>
      <c r="P214"/>
      <c r="Q214"/>
      <c r="R214"/>
      <c r="S214"/>
      <c r="T214"/>
      <c r="U214"/>
      <c r="V214"/>
      <c r="W214"/>
      <c r="X214"/>
      <c r="Y214"/>
      <c r="Z214" s="48"/>
      <c r="AA214"/>
      <c r="AB214"/>
      <c r="AC214"/>
      <c r="AD214"/>
      <c r="AE214"/>
      <c r="AF214"/>
      <c r="AG214"/>
      <c r="AH214"/>
      <c r="AI214"/>
      <c r="AJ214"/>
      <c r="AK214"/>
      <c r="AL214" s="48"/>
    </row>
    <row r="215" spans="4:38" s="93" customFormat="1" x14ac:dyDescent="0.35">
      <c r="D215" s="92"/>
      <c r="F215" s="168"/>
      <c r="G215"/>
      <c r="H215"/>
      <c r="I215"/>
      <c r="J215"/>
      <c r="K215"/>
      <c r="L215"/>
      <c r="M215"/>
      <c r="N215"/>
      <c r="O215" s="47"/>
      <c r="P215"/>
      <c r="Q215"/>
      <c r="R215"/>
      <c r="S215"/>
      <c r="T215"/>
      <c r="U215"/>
      <c r="V215"/>
      <c r="W215"/>
      <c r="X215"/>
      <c r="Y215"/>
      <c r="Z215" s="48"/>
      <c r="AA215"/>
      <c r="AB215"/>
      <c r="AC215"/>
      <c r="AD215"/>
      <c r="AE215"/>
      <c r="AF215"/>
      <c r="AG215"/>
      <c r="AH215"/>
      <c r="AI215"/>
      <c r="AJ215"/>
      <c r="AK215"/>
      <c r="AL215" s="48"/>
    </row>
    <row r="216" spans="4:38" s="93" customFormat="1" x14ac:dyDescent="0.35">
      <c r="D216" s="92"/>
      <c r="F216" s="168"/>
      <c r="G216"/>
      <c r="H216"/>
      <c r="I216"/>
      <c r="J216"/>
      <c r="K216"/>
      <c r="L216"/>
      <c r="M216"/>
      <c r="N216"/>
      <c r="O216" s="47"/>
      <c r="P216"/>
      <c r="Q216"/>
      <c r="R216"/>
      <c r="S216"/>
      <c r="T216"/>
      <c r="U216"/>
      <c r="V216"/>
      <c r="W216"/>
      <c r="X216"/>
      <c r="Y216"/>
      <c r="Z216" s="48"/>
      <c r="AA216"/>
      <c r="AB216"/>
      <c r="AC216"/>
      <c r="AD216"/>
      <c r="AE216"/>
      <c r="AF216"/>
      <c r="AG216"/>
      <c r="AH216"/>
      <c r="AI216"/>
      <c r="AJ216"/>
      <c r="AK216"/>
      <c r="AL216" s="48"/>
    </row>
    <row r="217" spans="4:38" s="93" customFormat="1" x14ac:dyDescent="0.35">
      <c r="D217" s="92"/>
      <c r="F217" s="168"/>
      <c r="G217"/>
      <c r="H217"/>
      <c r="I217"/>
      <c r="J217"/>
      <c r="K217"/>
      <c r="L217"/>
      <c r="M217"/>
      <c r="N217"/>
      <c r="O217" s="47"/>
      <c r="P217"/>
      <c r="Q217"/>
      <c r="R217"/>
      <c r="S217"/>
      <c r="T217"/>
      <c r="U217"/>
      <c r="V217"/>
      <c r="W217"/>
      <c r="X217"/>
      <c r="Y217"/>
      <c r="Z217" s="48"/>
      <c r="AA217"/>
      <c r="AB217"/>
      <c r="AC217"/>
      <c r="AD217"/>
      <c r="AE217"/>
      <c r="AF217"/>
      <c r="AG217"/>
      <c r="AH217"/>
      <c r="AI217"/>
      <c r="AJ217"/>
      <c r="AK217"/>
      <c r="AL217" s="48"/>
    </row>
    <row r="218" spans="4:38" s="93" customFormat="1" x14ac:dyDescent="0.35">
      <c r="D218" s="92"/>
      <c r="F218" s="168"/>
      <c r="G218"/>
      <c r="H218"/>
      <c r="I218"/>
      <c r="J218"/>
      <c r="K218"/>
      <c r="L218"/>
      <c r="M218"/>
      <c r="N218"/>
      <c r="O218" s="47"/>
      <c r="P218"/>
      <c r="Q218"/>
      <c r="R218"/>
      <c r="S218"/>
      <c r="T218"/>
      <c r="U218"/>
      <c r="V218"/>
      <c r="W218"/>
      <c r="X218"/>
      <c r="Y218"/>
      <c r="Z218" s="48"/>
      <c r="AA218"/>
      <c r="AB218"/>
      <c r="AC218"/>
      <c r="AD218"/>
      <c r="AE218"/>
      <c r="AF218"/>
      <c r="AG218"/>
      <c r="AH218"/>
      <c r="AI218"/>
      <c r="AJ218"/>
      <c r="AK218"/>
      <c r="AL218" s="48"/>
    </row>
    <row r="219" spans="4:38" s="93" customFormat="1" x14ac:dyDescent="0.35">
      <c r="D219" s="92"/>
      <c r="F219" s="168"/>
      <c r="G219"/>
      <c r="H219"/>
      <c r="I219"/>
      <c r="J219"/>
      <c r="K219"/>
      <c r="L219"/>
      <c r="M219"/>
      <c r="N219"/>
      <c r="O219" s="47"/>
      <c r="P219"/>
      <c r="Q219"/>
      <c r="R219"/>
      <c r="S219"/>
      <c r="T219"/>
      <c r="U219"/>
      <c r="V219"/>
      <c r="W219"/>
      <c r="X219"/>
      <c r="Y219"/>
      <c r="Z219" s="48"/>
      <c r="AA219"/>
      <c r="AB219"/>
      <c r="AC219"/>
      <c r="AD219"/>
      <c r="AE219"/>
      <c r="AF219"/>
      <c r="AG219"/>
      <c r="AH219"/>
      <c r="AI219"/>
      <c r="AJ219"/>
      <c r="AK219"/>
      <c r="AL219" s="48"/>
    </row>
    <row r="220" spans="4:38" s="93" customFormat="1" x14ac:dyDescent="0.35">
      <c r="D220" s="92"/>
      <c r="F220" s="168"/>
      <c r="G220"/>
      <c r="H220"/>
      <c r="I220"/>
      <c r="J220"/>
      <c r="K220"/>
      <c r="L220"/>
      <c r="M220"/>
      <c r="N220"/>
      <c r="O220" s="47"/>
      <c r="P220"/>
      <c r="Q220"/>
      <c r="R220"/>
      <c r="S220"/>
      <c r="T220"/>
      <c r="U220"/>
      <c r="V220"/>
      <c r="W220"/>
      <c r="X220"/>
      <c r="Y220"/>
      <c r="Z220" s="48"/>
      <c r="AA220"/>
      <c r="AB220"/>
      <c r="AC220"/>
      <c r="AD220"/>
      <c r="AE220"/>
      <c r="AF220"/>
      <c r="AG220"/>
      <c r="AH220"/>
      <c r="AI220"/>
      <c r="AJ220"/>
      <c r="AK220"/>
      <c r="AL220" s="48"/>
    </row>
    <row r="221" spans="4:38" s="93" customFormat="1" x14ac:dyDescent="0.35">
      <c r="D221" s="92"/>
      <c r="F221" s="168"/>
      <c r="G221"/>
      <c r="H221"/>
      <c r="I221"/>
      <c r="J221"/>
      <c r="K221"/>
      <c r="L221"/>
      <c r="M221"/>
      <c r="N221"/>
      <c r="O221" s="47"/>
      <c r="P221"/>
      <c r="Q221"/>
      <c r="R221"/>
      <c r="S221"/>
      <c r="T221"/>
      <c r="U221"/>
      <c r="V221"/>
      <c r="W221"/>
      <c r="X221"/>
      <c r="Y221"/>
      <c r="Z221" s="48"/>
      <c r="AA221"/>
      <c r="AB221"/>
      <c r="AC221"/>
      <c r="AD221"/>
      <c r="AE221"/>
      <c r="AF221"/>
      <c r="AG221"/>
      <c r="AH221"/>
      <c r="AI221"/>
      <c r="AJ221"/>
      <c r="AK221"/>
      <c r="AL221" s="48"/>
    </row>
    <row r="222" spans="4:38" s="93" customFormat="1" x14ac:dyDescent="0.35">
      <c r="D222" s="92"/>
      <c r="F222" s="168"/>
      <c r="G222"/>
      <c r="H222"/>
      <c r="I222"/>
      <c r="J222"/>
      <c r="K222"/>
      <c r="L222"/>
      <c r="M222"/>
      <c r="N222"/>
      <c r="O222" s="47"/>
      <c r="P222"/>
      <c r="Q222"/>
      <c r="R222"/>
      <c r="S222"/>
      <c r="T222"/>
      <c r="U222"/>
      <c r="V222"/>
      <c r="W222"/>
      <c r="X222"/>
      <c r="Y222"/>
      <c r="Z222" s="48"/>
      <c r="AA222"/>
      <c r="AB222"/>
      <c r="AC222"/>
      <c r="AD222"/>
      <c r="AE222"/>
      <c r="AF222"/>
      <c r="AG222"/>
      <c r="AH222"/>
      <c r="AI222"/>
      <c r="AJ222"/>
      <c r="AK222"/>
      <c r="AL222" s="48"/>
    </row>
    <row r="223" spans="4:38" s="93" customFormat="1" x14ac:dyDescent="0.35">
      <c r="D223" s="92"/>
      <c r="F223" s="168"/>
      <c r="G223"/>
      <c r="H223"/>
      <c r="I223"/>
      <c r="J223"/>
      <c r="K223"/>
      <c r="L223"/>
      <c r="M223"/>
      <c r="N223"/>
      <c r="O223" s="47"/>
      <c r="P223"/>
      <c r="Q223"/>
      <c r="R223"/>
      <c r="S223"/>
      <c r="T223"/>
      <c r="U223"/>
      <c r="V223"/>
      <c r="W223"/>
      <c r="X223"/>
      <c r="Y223"/>
      <c r="Z223" s="48"/>
      <c r="AA223"/>
      <c r="AB223"/>
      <c r="AC223"/>
      <c r="AD223"/>
      <c r="AE223"/>
      <c r="AF223"/>
      <c r="AG223"/>
      <c r="AH223"/>
      <c r="AI223"/>
      <c r="AJ223"/>
      <c r="AK223"/>
      <c r="AL223" s="48"/>
    </row>
    <row r="224" spans="4:38" s="93" customFormat="1" x14ac:dyDescent="0.35">
      <c r="D224" s="92"/>
      <c r="F224" s="168"/>
      <c r="G224"/>
      <c r="H224"/>
      <c r="I224"/>
      <c r="J224"/>
      <c r="K224"/>
      <c r="L224"/>
      <c r="M224"/>
      <c r="N224"/>
      <c r="O224" s="47"/>
      <c r="P224"/>
      <c r="Q224"/>
      <c r="R224"/>
      <c r="S224"/>
      <c r="T224"/>
      <c r="U224"/>
      <c r="V224"/>
      <c r="W224"/>
      <c r="X224"/>
      <c r="Y224"/>
      <c r="Z224" s="48"/>
      <c r="AA224"/>
      <c r="AB224"/>
      <c r="AC224"/>
      <c r="AD224"/>
      <c r="AE224"/>
      <c r="AF224"/>
      <c r="AG224"/>
      <c r="AH224"/>
      <c r="AI224"/>
      <c r="AJ224"/>
      <c r="AK224"/>
      <c r="AL224" s="48"/>
    </row>
    <row r="225" spans="4:38" s="93" customFormat="1" x14ac:dyDescent="0.35">
      <c r="D225" s="92"/>
      <c r="F225" s="168"/>
      <c r="G225"/>
      <c r="H225"/>
      <c r="I225"/>
      <c r="J225"/>
      <c r="K225"/>
      <c r="L225"/>
      <c r="M225"/>
      <c r="N225"/>
      <c r="O225" s="47"/>
      <c r="P225"/>
      <c r="Q225"/>
      <c r="R225"/>
      <c r="S225"/>
      <c r="T225"/>
      <c r="U225"/>
      <c r="V225"/>
      <c r="W225"/>
      <c r="X225"/>
      <c r="Y225"/>
      <c r="Z225" s="48"/>
      <c r="AA225"/>
      <c r="AB225"/>
      <c r="AC225"/>
      <c r="AD225"/>
      <c r="AE225"/>
      <c r="AF225"/>
      <c r="AG225"/>
      <c r="AH225"/>
      <c r="AI225"/>
      <c r="AJ225"/>
      <c r="AK225"/>
      <c r="AL225" s="48"/>
    </row>
    <row r="226" spans="4:38" s="93" customFormat="1" x14ac:dyDescent="0.35">
      <c r="D226" s="92"/>
      <c r="F226" s="168"/>
      <c r="G226"/>
      <c r="H226"/>
      <c r="I226"/>
      <c r="J226"/>
      <c r="K226"/>
      <c r="L226"/>
      <c r="M226"/>
      <c r="N226"/>
      <c r="O226" s="47"/>
      <c r="P226"/>
      <c r="Q226"/>
      <c r="R226"/>
      <c r="S226"/>
      <c r="T226"/>
      <c r="U226"/>
      <c r="V226"/>
      <c r="W226"/>
      <c r="X226"/>
      <c r="Y226"/>
      <c r="Z226" s="48"/>
      <c r="AA226"/>
      <c r="AB226"/>
      <c r="AC226"/>
      <c r="AD226"/>
      <c r="AE226"/>
      <c r="AF226"/>
      <c r="AG226"/>
      <c r="AH226"/>
      <c r="AI226"/>
      <c r="AJ226"/>
      <c r="AK226"/>
      <c r="AL226" s="48"/>
    </row>
    <row r="227" spans="4:38" s="93" customFormat="1" x14ac:dyDescent="0.35">
      <c r="D227" s="92"/>
      <c r="F227" s="168"/>
      <c r="G227"/>
      <c r="H227"/>
      <c r="I227"/>
      <c r="J227"/>
      <c r="K227"/>
      <c r="L227"/>
      <c r="M227"/>
      <c r="N227"/>
      <c r="O227" s="47"/>
      <c r="P227"/>
      <c r="Q227"/>
      <c r="R227"/>
      <c r="S227"/>
      <c r="T227"/>
      <c r="U227"/>
      <c r="V227"/>
      <c r="W227"/>
      <c r="X227"/>
      <c r="Y227"/>
      <c r="Z227" s="48"/>
      <c r="AA227"/>
      <c r="AB227"/>
      <c r="AC227"/>
      <c r="AD227"/>
      <c r="AE227"/>
      <c r="AF227"/>
      <c r="AG227"/>
      <c r="AH227"/>
      <c r="AI227"/>
      <c r="AJ227"/>
      <c r="AK227"/>
      <c r="AL227" s="48"/>
    </row>
    <row r="228" spans="4:38" s="93" customFormat="1" x14ac:dyDescent="0.35">
      <c r="D228" s="92"/>
      <c r="F228" s="168"/>
      <c r="G228"/>
      <c r="H228"/>
      <c r="I228"/>
      <c r="J228"/>
      <c r="K228"/>
      <c r="L228"/>
      <c r="M228"/>
      <c r="N228"/>
      <c r="O228" s="47"/>
      <c r="P228"/>
      <c r="Q228"/>
      <c r="R228"/>
      <c r="S228"/>
      <c r="T228"/>
      <c r="U228"/>
      <c r="V228"/>
      <c r="W228"/>
      <c r="X228"/>
      <c r="Y228"/>
      <c r="Z228" s="48"/>
      <c r="AA228"/>
      <c r="AB228"/>
      <c r="AC228"/>
      <c r="AD228"/>
      <c r="AE228"/>
      <c r="AF228"/>
      <c r="AG228"/>
      <c r="AH228"/>
      <c r="AI228"/>
      <c r="AJ228"/>
      <c r="AK228"/>
      <c r="AL228" s="48"/>
    </row>
    <row r="229" spans="4:38" s="93" customFormat="1" x14ac:dyDescent="0.35">
      <c r="D229" s="92"/>
      <c r="F229" s="168"/>
      <c r="G229"/>
      <c r="H229"/>
      <c r="I229"/>
      <c r="J229"/>
      <c r="K229"/>
      <c r="L229"/>
      <c r="M229"/>
      <c r="N229"/>
      <c r="O229" s="47"/>
      <c r="P229"/>
      <c r="Q229"/>
      <c r="R229"/>
      <c r="S229"/>
      <c r="T229"/>
      <c r="U229"/>
      <c r="V229"/>
      <c r="W229"/>
      <c r="X229"/>
      <c r="Y229"/>
      <c r="Z229" s="48"/>
      <c r="AA229"/>
      <c r="AB229"/>
      <c r="AC229"/>
      <c r="AD229"/>
      <c r="AE229"/>
      <c r="AF229"/>
      <c r="AG229"/>
      <c r="AH229"/>
      <c r="AI229"/>
      <c r="AJ229"/>
      <c r="AK229"/>
      <c r="AL229" s="48"/>
    </row>
    <row r="230" spans="4:38" s="93" customFormat="1" x14ac:dyDescent="0.35">
      <c r="D230" s="92"/>
      <c r="F230" s="168"/>
      <c r="G230"/>
      <c r="H230"/>
      <c r="I230"/>
      <c r="J230"/>
      <c r="K230"/>
      <c r="L230"/>
      <c r="M230"/>
      <c r="N230"/>
      <c r="O230" s="47"/>
      <c r="P230"/>
      <c r="Q230"/>
      <c r="R230"/>
      <c r="S230"/>
      <c r="T230"/>
      <c r="U230"/>
      <c r="V230"/>
      <c r="W230"/>
      <c r="X230"/>
      <c r="Y230"/>
      <c r="Z230" s="48"/>
      <c r="AA230"/>
      <c r="AB230"/>
      <c r="AC230"/>
      <c r="AD230"/>
      <c r="AE230"/>
      <c r="AF230"/>
      <c r="AG230"/>
      <c r="AH230"/>
      <c r="AI230"/>
      <c r="AJ230"/>
      <c r="AK230"/>
      <c r="AL230" s="48"/>
    </row>
    <row r="231" spans="4:38" s="93" customFormat="1" x14ac:dyDescent="0.35">
      <c r="D231" s="92"/>
      <c r="F231" s="168"/>
      <c r="G231"/>
      <c r="H231"/>
      <c r="I231"/>
      <c r="J231"/>
      <c r="K231"/>
      <c r="L231"/>
      <c r="M231"/>
      <c r="N231"/>
      <c r="O231" s="47"/>
      <c r="P231"/>
      <c r="Q231"/>
      <c r="R231"/>
      <c r="S231"/>
      <c r="T231"/>
      <c r="U231"/>
      <c r="V231"/>
      <c r="W231"/>
      <c r="X231"/>
      <c r="Y231"/>
      <c r="Z231" s="48"/>
      <c r="AA231"/>
      <c r="AB231"/>
      <c r="AC231"/>
      <c r="AD231"/>
      <c r="AE231"/>
      <c r="AF231"/>
      <c r="AG231"/>
      <c r="AH231"/>
      <c r="AI231"/>
      <c r="AJ231"/>
      <c r="AK231"/>
      <c r="AL231" s="48"/>
    </row>
    <row r="232" spans="4:38" s="93" customFormat="1" x14ac:dyDescent="0.35">
      <c r="D232" s="92"/>
      <c r="F232" s="168"/>
      <c r="G232"/>
      <c r="H232"/>
      <c r="I232"/>
      <c r="J232"/>
      <c r="K232"/>
      <c r="L232"/>
      <c r="M232"/>
      <c r="N232"/>
      <c r="O232" s="47"/>
      <c r="P232"/>
      <c r="Q232"/>
      <c r="R232"/>
      <c r="S232"/>
      <c r="T232"/>
      <c r="U232"/>
      <c r="V232"/>
      <c r="W232"/>
      <c r="X232"/>
      <c r="Y232"/>
      <c r="Z232" s="48"/>
      <c r="AA232"/>
      <c r="AB232"/>
      <c r="AC232"/>
      <c r="AD232"/>
      <c r="AE232"/>
      <c r="AF232"/>
      <c r="AG232"/>
      <c r="AH232"/>
      <c r="AI232"/>
      <c r="AJ232"/>
      <c r="AK232"/>
      <c r="AL232" s="48"/>
    </row>
    <row r="233" spans="4:38" s="93" customFormat="1" x14ac:dyDescent="0.35">
      <c r="D233" s="92"/>
      <c r="F233" s="168"/>
      <c r="G233"/>
      <c r="H233"/>
      <c r="I233"/>
      <c r="J233"/>
      <c r="K233"/>
      <c r="L233"/>
      <c r="M233"/>
      <c r="N233"/>
      <c r="O233" s="47"/>
      <c r="P233"/>
      <c r="Q233"/>
      <c r="R233"/>
      <c r="S233"/>
      <c r="T233"/>
      <c r="U233"/>
      <c r="V233"/>
      <c r="W233"/>
      <c r="X233"/>
      <c r="Y233"/>
      <c r="Z233" s="48"/>
      <c r="AA233"/>
      <c r="AB233"/>
      <c r="AC233"/>
      <c r="AD233"/>
      <c r="AE233"/>
      <c r="AF233"/>
      <c r="AG233"/>
      <c r="AH233"/>
      <c r="AI233"/>
      <c r="AJ233"/>
      <c r="AK233"/>
      <c r="AL233" s="48"/>
    </row>
    <row r="234" spans="4:38" s="93" customFormat="1" x14ac:dyDescent="0.35">
      <c r="D234" s="92"/>
      <c r="F234" s="168"/>
      <c r="G234"/>
      <c r="H234"/>
      <c r="I234"/>
      <c r="J234"/>
      <c r="K234"/>
      <c r="L234"/>
      <c r="M234"/>
      <c r="N234"/>
      <c r="O234" s="47"/>
      <c r="P234"/>
      <c r="Q234"/>
      <c r="R234"/>
      <c r="S234"/>
      <c r="T234"/>
      <c r="U234"/>
      <c r="V234"/>
      <c r="W234"/>
      <c r="X234"/>
      <c r="Y234"/>
      <c r="Z234" s="48"/>
      <c r="AA234"/>
      <c r="AB234"/>
      <c r="AC234"/>
      <c r="AD234"/>
      <c r="AE234"/>
      <c r="AF234"/>
      <c r="AG234"/>
      <c r="AH234"/>
      <c r="AI234"/>
      <c r="AJ234"/>
      <c r="AK234"/>
      <c r="AL234" s="48"/>
    </row>
    <row r="235" spans="4:38" s="93" customFormat="1" x14ac:dyDescent="0.35">
      <c r="D235" s="92"/>
      <c r="F235" s="168"/>
      <c r="G235"/>
      <c r="H235"/>
      <c r="I235"/>
      <c r="J235"/>
      <c r="K235"/>
      <c r="L235"/>
      <c r="M235"/>
      <c r="N235"/>
      <c r="O235" s="47"/>
      <c r="P235"/>
      <c r="Q235"/>
      <c r="R235"/>
      <c r="S235"/>
      <c r="T235"/>
      <c r="U235"/>
      <c r="V235"/>
      <c r="W235"/>
      <c r="X235"/>
      <c r="Y235"/>
      <c r="Z235" s="48"/>
      <c r="AA235"/>
      <c r="AB235"/>
      <c r="AC235"/>
      <c r="AD235"/>
      <c r="AE235"/>
      <c r="AF235"/>
      <c r="AG235"/>
      <c r="AH235"/>
      <c r="AI235"/>
      <c r="AJ235"/>
      <c r="AK235"/>
      <c r="AL235" s="48"/>
    </row>
    <row r="236" spans="4:38" s="93" customFormat="1" x14ac:dyDescent="0.35">
      <c r="D236" s="92"/>
      <c r="F236" s="168"/>
      <c r="G236"/>
      <c r="H236"/>
      <c r="I236"/>
      <c r="J236"/>
      <c r="K236"/>
      <c r="L236"/>
      <c r="M236"/>
      <c r="N236"/>
      <c r="O236" s="47"/>
      <c r="P236"/>
      <c r="Q236"/>
      <c r="R236"/>
      <c r="S236"/>
      <c r="T236"/>
      <c r="U236"/>
      <c r="V236"/>
      <c r="W236"/>
      <c r="X236"/>
      <c r="Y236"/>
      <c r="Z236" s="48"/>
      <c r="AA236"/>
      <c r="AB236"/>
      <c r="AC236"/>
      <c r="AD236"/>
      <c r="AE236"/>
      <c r="AF236"/>
      <c r="AG236"/>
      <c r="AH236"/>
      <c r="AI236"/>
      <c r="AJ236"/>
      <c r="AK236"/>
      <c r="AL236" s="48"/>
    </row>
    <row r="237" spans="4:38" s="93" customFormat="1" x14ac:dyDescent="0.35">
      <c r="D237" s="92"/>
      <c r="F237" s="168"/>
      <c r="G237"/>
      <c r="H237"/>
      <c r="I237"/>
      <c r="J237"/>
      <c r="K237"/>
      <c r="L237"/>
      <c r="M237"/>
      <c r="N237"/>
      <c r="O237" s="47"/>
      <c r="P237"/>
      <c r="Q237"/>
      <c r="R237"/>
      <c r="S237"/>
      <c r="T237"/>
      <c r="U237"/>
      <c r="V237"/>
      <c r="W237"/>
      <c r="X237"/>
      <c r="Y237"/>
      <c r="Z237" s="48"/>
      <c r="AA237"/>
      <c r="AB237"/>
      <c r="AC237"/>
      <c r="AD237"/>
      <c r="AE237"/>
      <c r="AF237"/>
      <c r="AG237"/>
      <c r="AH237"/>
      <c r="AI237"/>
      <c r="AJ237"/>
      <c r="AK237"/>
      <c r="AL237" s="48"/>
    </row>
    <row r="238" spans="4:38" s="93" customFormat="1" x14ac:dyDescent="0.35">
      <c r="D238" s="92"/>
      <c r="F238" s="168"/>
      <c r="G238"/>
      <c r="H238"/>
      <c r="I238"/>
      <c r="J238"/>
      <c r="K238"/>
      <c r="L238"/>
      <c r="M238"/>
      <c r="N238"/>
      <c r="O238" s="47"/>
      <c r="P238"/>
      <c r="Q238"/>
      <c r="R238"/>
      <c r="S238"/>
      <c r="T238"/>
      <c r="U238"/>
      <c r="V238"/>
      <c r="W238"/>
      <c r="X238"/>
      <c r="Y238"/>
      <c r="Z238" s="48"/>
      <c r="AA238"/>
      <c r="AB238"/>
      <c r="AC238"/>
      <c r="AD238"/>
      <c r="AE238"/>
      <c r="AF238"/>
      <c r="AG238"/>
      <c r="AH238"/>
      <c r="AI238"/>
      <c r="AJ238"/>
      <c r="AK238"/>
      <c r="AL238" s="48"/>
    </row>
    <row r="239" spans="4:38" s="93" customFormat="1" x14ac:dyDescent="0.35">
      <c r="D239" s="92"/>
      <c r="F239" s="168"/>
      <c r="G239"/>
      <c r="H239"/>
      <c r="I239"/>
      <c r="J239"/>
      <c r="K239"/>
      <c r="L239"/>
      <c r="M239"/>
      <c r="N239"/>
      <c r="O239" s="47"/>
      <c r="P239"/>
      <c r="Q239"/>
      <c r="R239"/>
      <c r="S239"/>
      <c r="T239"/>
      <c r="U239"/>
      <c r="V239"/>
      <c r="W239"/>
      <c r="X239"/>
      <c r="Y239"/>
      <c r="Z239" s="48"/>
      <c r="AA239"/>
      <c r="AB239"/>
      <c r="AC239"/>
      <c r="AD239"/>
      <c r="AE239"/>
      <c r="AF239"/>
      <c r="AG239"/>
      <c r="AH239"/>
      <c r="AI239"/>
      <c r="AJ239"/>
      <c r="AK239"/>
      <c r="AL239" s="48"/>
    </row>
    <row r="240" spans="4:38" s="93" customFormat="1" x14ac:dyDescent="0.35">
      <c r="D240" s="92"/>
      <c r="F240" s="168"/>
      <c r="G240"/>
      <c r="H240"/>
      <c r="I240"/>
      <c r="J240"/>
      <c r="K240"/>
      <c r="L240"/>
      <c r="M240"/>
      <c r="N240"/>
      <c r="O240" s="47"/>
      <c r="P240"/>
      <c r="Q240"/>
      <c r="R240"/>
      <c r="S240"/>
      <c r="T240"/>
      <c r="U240"/>
      <c r="V240"/>
      <c r="W240"/>
      <c r="X240"/>
      <c r="Y240"/>
      <c r="Z240" s="48"/>
      <c r="AA240"/>
      <c r="AB240"/>
      <c r="AC240"/>
      <c r="AD240"/>
      <c r="AE240"/>
      <c r="AF240"/>
      <c r="AG240"/>
      <c r="AH240"/>
      <c r="AI240"/>
      <c r="AJ240"/>
      <c r="AK240"/>
      <c r="AL240" s="48"/>
    </row>
    <row r="241" spans="4:38" s="93" customFormat="1" x14ac:dyDescent="0.35">
      <c r="D241" s="92"/>
      <c r="F241" s="168"/>
      <c r="G241"/>
      <c r="H241"/>
      <c r="I241"/>
      <c r="J241"/>
      <c r="K241"/>
      <c r="L241"/>
      <c r="M241"/>
      <c r="N241"/>
      <c r="O241" s="47"/>
      <c r="P241"/>
      <c r="Q241"/>
      <c r="R241"/>
      <c r="S241"/>
      <c r="T241"/>
      <c r="U241"/>
      <c r="V241"/>
      <c r="W241"/>
      <c r="X241"/>
      <c r="Y241"/>
      <c r="Z241" s="48"/>
      <c r="AA241"/>
      <c r="AB241"/>
      <c r="AC241"/>
      <c r="AD241"/>
      <c r="AE241"/>
      <c r="AF241"/>
      <c r="AG241"/>
      <c r="AH241"/>
      <c r="AI241"/>
      <c r="AJ241"/>
      <c r="AK241"/>
      <c r="AL241" s="48"/>
    </row>
    <row r="242" spans="4:38" s="93" customFormat="1" x14ac:dyDescent="0.35">
      <c r="D242" s="92"/>
      <c r="F242" s="168"/>
      <c r="G242"/>
      <c r="H242"/>
      <c r="I242"/>
      <c r="J242"/>
      <c r="K242"/>
      <c r="L242"/>
      <c r="M242"/>
      <c r="N242"/>
      <c r="O242" s="47"/>
      <c r="P242"/>
      <c r="Q242"/>
      <c r="R242"/>
      <c r="S242"/>
      <c r="T242"/>
      <c r="U242"/>
      <c r="V242"/>
      <c r="W242"/>
      <c r="X242"/>
      <c r="Y242"/>
      <c r="Z242" s="48"/>
      <c r="AA242"/>
      <c r="AB242"/>
      <c r="AC242"/>
      <c r="AD242"/>
      <c r="AE242"/>
      <c r="AF242"/>
      <c r="AG242"/>
      <c r="AH242"/>
      <c r="AI242"/>
      <c r="AJ242"/>
      <c r="AK242"/>
      <c r="AL242" s="48"/>
    </row>
    <row r="243" spans="4:38" s="93" customFormat="1" x14ac:dyDescent="0.35">
      <c r="D243" s="92"/>
      <c r="F243" s="168"/>
      <c r="G243"/>
      <c r="H243"/>
      <c r="I243"/>
      <c r="J243"/>
      <c r="K243"/>
      <c r="L243"/>
      <c r="M243"/>
      <c r="N243"/>
      <c r="O243" s="47"/>
      <c r="P243"/>
      <c r="Q243"/>
      <c r="R243"/>
      <c r="S243"/>
      <c r="T243"/>
      <c r="U243"/>
      <c r="V243"/>
      <c r="W243"/>
      <c r="X243"/>
      <c r="Y243"/>
      <c r="Z243" s="48"/>
      <c r="AA243"/>
      <c r="AB243"/>
      <c r="AC243"/>
      <c r="AD243"/>
      <c r="AE243"/>
      <c r="AF243"/>
      <c r="AG243"/>
      <c r="AH243"/>
      <c r="AI243"/>
      <c r="AJ243"/>
      <c r="AK243"/>
      <c r="AL243" s="48"/>
    </row>
    <row r="244" spans="4:38" s="93" customFormat="1" x14ac:dyDescent="0.35">
      <c r="D244" s="92"/>
      <c r="F244" s="168"/>
      <c r="G244"/>
      <c r="H244"/>
      <c r="I244"/>
      <c r="J244"/>
      <c r="K244"/>
      <c r="L244"/>
      <c r="M244"/>
      <c r="N244"/>
      <c r="O244" s="47"/>
      <c r="P244"/>
      <c r="Q244"/>
      <c r="R244"/>
      <c r="S244"/>
      <c r="T244"/>
      <c r="U244"/>
      <c r="V244"/>
      <c r="W244"/>
      <c r="X244"/>
      <c r="Y244"/>
      <c r="Z244" s="48"/>
      <c r="AA244"/>
      <c r="AB244"/>
      <c r="AC244"/>
      <c r="AD244"/>
      <c r="AE244"/>
      <c r="AF244"/>
      <c r="AG244"/>
      <c r="AH244"/>
      <c r="AI244"/>
      <c r="AJ244"/>
      <c r="AK244"/>
      <c r="AL244" s="48"/>
    </row>
    <row r="245" spans="4:38" s="93" customFormat="1" x14ac:dyDescent="0.35">
      <c r="D245" s="92"/>
      <c r="F245" s="168"/>
      <c r="G245"/>
      <c r="H245"/>
      <c r="I245"/>
      <c r="J245"/>
      <c r="K245"/>
      <c r="L245"/>
      <c r="M245"/>
      <c r="N245"/>
      <c r="O245" s="47"/>
      <c r="P245"/>
      <c r="Q245"/>
      <c r="R245"/>
      <c r="S245"/>
      <c r="T245"/>
      <c r="U245"/>
      <c r="V245"/>
      <c r="W245"/>
      <c r="X245"/>
      <c r="Y245"/>
      <c r="Z245" s="48"/>
      <c r="AA245"/>
      <c r="AB245"/>
      <c r="AC245"/>
      <c r="AD245"/>
      <c r="AE245"/>
      <c r="AF245"/>
      <c r="AG245"/>
      <c r="AH245"/>
      <c r="AI245"/>
      <c r="AJ245"/>
      <c r="AK245"/>
      <c r="AL245" s="48"/>
    </row>
    <row r="246" spans="4:38" s="93" customFormat="1" x14ac:dyDescent="0.35">
      <c r="D246" s="92"/>
      <c r="F246" s="168"/>
      <c r="G246"/>
      <c r="H246"/>
      <c r="I246"/>
      <c r="J246"/>
      <c r="K246"/>
      <c r="L246"/>
      <c r="M246"/>
      <c r="N246"/>
      <c r="O246" s="47"/>
      <c r="P246"/>
      <c r="Q246"/>
      <c r="R246"/>
      <c r="S246"/>
      <c r="T246"/>
      <c r="U246"/>
      <c r="V246"/>
      <c r="W246"/>
      <c r="X246"/>
      <c r="Y246"/>
      <c r="Z246" s="48"/>
      <c r="AA246"/>
      <c r="AB246"/>
      <c r="AC246"/>
      <c r="AD246"/>
      <c r="AE246"/>
      <c r="AF246"/>
      <c r="AG246"/>
      <c r="AH246"/>
      <c r="AI246"/>
      <c r="AJ246"/>
      <c r="AK246"/>
      <c r="AL246" s="48"/>
    </row>
    <row r="247" spans="4:38" s="93" customFormat="1" x14ac:dyDescent="0.35">
      <c r="D247" s="92"/>
      <c r="F247" s="168"/>
      <c r="G247"/>
      <c r="H247"/>
      <c r="I247"/>
      <c r="J247"/>
      <c r="K247"/>
      <c r="L247"/>
      <c r="M247"/>
      <c r="N247"/>
      <c r="O247" s="47"/>
      <c r="P247"/>
      <c r="Q247"/>
      <c r="R247"/>
      <c r="S247"/>
      <c r="T247"/>
      <c r="U247"/>
      <c r="V247"/>
      <c r="W247"/>
      <c r="X247"/>
      <c r="Y247"/>
      <c r="Z247" s="48"/>
      <c r="AA247"/>
      <c r="AB247"/>
      <c r="AC247"/>
      <c r="AD247"/>
      <c r="AE247"/>
      <c r="AF247"/>
      <c r="AG247"/>
      <c r="AH247"/>
      <c r="AI247"/>
      <c r="AJ247"/>
      <c r="AK247"/>
      <c r="AL247" s="48"/>
    </row>
    <row r="248" spans="4:38" s="93" customFormat="1" x14ac:dyDescent="0.35">
      <c r="D248" s="92"/>
      <c r="F248" s="168"/>
      <c r="G248"/>
      <c r="H248"/>
      <c r="I248"/>
      <c r="J248"/>
      <c r="K248"/>
      <c r="L248"/>
      <c r="M248"/>
      <c r="N248"/>
      <c r="O248" s="47"/>
      <c r="P248"/>
      <c r="Q248"/>
      <c r="R248"/>
      <c r="S248"/>
      <c r="T248"/>
      <c r="U248"/>
      <c r="V248"/>
      <c r="W248"/>
      <c r="X248"/>
      <c r="Y248"/>
      <c r="Z248" s="48"/>
      <c r="AA248"/>
      <c r="AB248"/>
      <c r="AC248"/>
      <c r="AD248"/>
      <c r="AE248"/>
      <c r="AF248"/>
      <c r="AG248"/>
      <c r="AH248"/>
      <c r="AI248"/>
      <c r="AJ248"/>
      <c r="AK248"/>
      <c r="AL248" s="48"/>
    </row>
    <row r="249" spans="4:38" x14ac:dyDescent="0.35"/>
    <row r="250" spans="4:38" x14ac:dyDescent="0.35"/>
    <row r="251" spans="4:38" x14ac:dyDescent="0.35"/>
    <row r="252" spans="4:38" x14ac:dyDescent="0.35"/>
    <row r="253" spans="4:38" x14ac:dyDescent="0.35"/>
    <row r="254" spans="4:38" x14ac:dyDescent="0.35"/>
    <row r="255" spans="4:38" x14ac:dyDescent="0.35"/>
    <row r="256" spans="4:38" x14ac:dyDescent="0.35"/>
    <row r="257" x14ac:dyDescent="0.35"/>
    <row r="258" x14ac:dyDescent="0.35"/>
    <row r="259" x14ac:dyDescent="0.35"/>
    <row r="260" x14ac:dyDescent="0.35"/>
    <row r="261" x14ac:dyDescent="0.35"/>
    <row r="262" x14ac:dyDescent="0.35"/>
    <row r="263" x14ac:dyDescent="0.35"/>
    <row r="264" x14ac:dyDescent="0.35"/>
    <row r="265" x14ac:dyDescent="0.35"/>
    <row r="266" x14ac:dyDescent="0.35"/>
    <row r="267" x14ac:dyDescent="0.35"/>
    <row r="268" x14ac:dyDescent="0.35"/>
    <row r="269" x14ac:dyDescent="0.35"/>
    <row r="270" x14ac:dyDescent="0.35"/>
    <row r="271" x14ac:dyDescent="0.35"/>
    <row r="272" x14ac:dyDescent="0.35"/>
    <row r="273" x14ac:dyDescent="0.35"/>
    <row r="274" x14ac:dyDescent="0.35"/>
    <row r="275" x14ac:dyDescent="0.35"/>
    <row r="276" x14ac:dyDescent="0.35"/>
    <row r="277" x14ac:dyDescent="0.35"/>
    <row r="278" x14ac:dyDescent="0.35"/>
    <row r="279" x14ac:dyDescent="0.35"/>
    <row r="280" x14ac:dyDescent="0.35"/>
    <row r="281" x14ac:dyDescent="0.35"/>
    <row r="282" x14ac:dyDescent="0.35"/>
    <row r="283" x14ac:dyDescent="0.35"/>
    <row r="284" x14ac:dyDescent="0.35"/>
    <row r="285" x14ac:dyDescent="0.35"/>
    <row r="286" x14ac:dyDescent="0.35"/>
    <row r="287" x14ac:dyDescent="0.35"/>
    <row r="288" x14ac:dyDescent="0.35"/>
    <row r="289" x14ac:dyDescent="0.35"/>
    <row r="290" x14ac:dyDescent="0.35"/>
    <row r="291" x14ac:dyDescent="0.35"/>
    <row r="292" x14ac:dyDescent="0.35"/>
    <row r="293" x14ac:dyDescent="0.35"/>
    <row r="294" x14ac:dyDescent="0.35"/>
    <row r="295" x14ac:dyDescent="0.35"/>
    <row r="296" x14ac:dyDescent="0.35"/>
    <row r="297" x14ac:dyDescent="0.35"/>
    <row r="298" x14ac:dyDescent="0.35"/>
    <row r="299" x14ac:dyDescent="0.35"/>
    <row r="300" x14ac:dyDescent="0.35"/>
    <row r="301" x14ac:dyDescent="0.35"/>
    <row r="302" x14ac:dyDescent="0.35"/>
    <row r="303" x14ac:dyDescent="0.35"/>
    <row r="304" x14ac:dyDescent="0.35"/>
    <row r="305" x14ac:dyDescent="0.35"/>
    <row r="306" x14ac:dyDescent="0.35"/>
    <row r="307" x14ac:dyDescent="0.35"/>
    <row r="308" x14ac:dyDescent="0.35"/>
    <row r="309" x14ac:dyDescent="0.35"/>
    <row r="310" x14ac:dyDescent="0.35"/>
    <row r="311" x14ac:dyDescent="0.35"/>
    <row r="312" x14ac:dyDescent="0.35"/>
    <row r="313" x14ac:dyDescent="0.35"/>
    <row r="314" x14ac:dyDescent="0.35"/>
    <row r="315" x14ac:dyDescent="0.35"/>
    <row r="316" x14ac:dyDescent="0.35"/>
    <row r="317" x14ac:dyDescent="0.35"/>
    <row r="318" x14ac:dyDescent="0.35"/>
    <row r="319" x14ac:dyDescent="0.35"/>
    <row r="320" x14ac:dyDescent="0.35"/>
    <row r="321" x14ac:dyDescent="0.35"/>
    <row r="322" x14ac:dyDescent="0.35"/>
    <row r="323" x14ac:dyDescent="0.35"/>
    <row r="324" x14ac:dyDescent="0.35"/>
    <row r="325" x14ac:dyDescent="0.35"/>
    <row r="326" x14ac:dyDescent="0.35"/>
    <row r="327" x14ac:dyDescent="0.35"/>
    <row r="328" x14ac:dyDescent="0.35"/>
    <row r="329" x14ac:dyDescent="0.35"/>
    <row r="330" x14ac:dyDescent="0.35"/>
    <row r="331" x14ac:dyDescent="0.35"/>
    <row r="332" x14ac:dyDescent="0.35"/>
    <row r="333" x14ac:dyDescent="0.35"/>
    <row r="334" x14ac:dyDescent="0.35"/>
    <row r="335" x14ac:dyDescent="0.35"/>
    <row r="336" x14ac:dyDescent="0.35"/>
    <row r="337" x14ac:dyDescent="0.35"/>
    <row r="338" x14ac:dyDescent="0.35"/>
    <row r="339" x14ac:dyDescent="0.35"/>
    <row r="340" x14ac:dyDescent="0.35"/>
    <row r="341" x14ac:dyDescent="0.35"/>
    <row r="342" x14ac:dyDescent="0.35"/>
    <row r="343" x14ac:dyDescent="0.35"/>
    <row r="344" x14ac:dyDescent="0.35"/>
    <row r="345" x14ac:dyDescent="0.35"/>
    <row r="346" x14ac:dyDescent="0.35"/>
    <row r="347" x14ac:dyDescent="0.35"/>
    <row r="348" x14ac:dyDescent="0.35"/>
    <row r="349" x14ac:dyDescent="0.35"/>
    <row r="350" x14ac:dyDescent="0.35"/>
    <row r="351" x14ac:dyDescent="0.35"/>
    <row r="352" x14ac:dyDescent="0.35"/>
    <row r="353" x14ac:dyDescent="0.35"/>
    <row r="354" x14ac:dyDescent="0.35"/>
    <row r="355" x14ac:dyDescent="0.35"/>
    <row r="356" x14ac:dyDescent="0.35"/>
    <row r="357" x14ac:dyDescent="0.35"/>
    <row r="358" x14ac:dyDescent="0.35"/>
    <row r="359" x14ac:dyDescent="0.35"/>
    <row r="360" x14ac:dyDescent="0.35"/>
    <row r="361" x14ac:dyDescent="0.35"/>
    <row r="362" x14ac:dyDescent="0.35"/>
    <row r="363" x14ac:dyDescent="0.35"/>
    <row r="364" x14ac:dyDescent="0.35"/>
    <row r="365" x14ac:dyDescent="0.35"/>
    <row r="366" x14ac:dyDescent="0.35"/>
    <row r="367" x14ac:dyDescent="0.35"/>
    <row r="368" x14ac:dyDescent="0.35"/>
    <row r="369" x14ac:dyDescent="0.35"/>
    <row r="370" x14ac:dyDescent="0.35"/>
  </sheetData>
  <mergeCells count="2">
    <mergeCell ref="F8:F9"/>
    <mergeCell ref="G8:J9"/>
  </mergeCells>
  <hyperlinks>
    <hyperlink ref="I80" location="'Rebate-Suntory'!I14" display="Rebate (2025: sản lượng dự tính 6000-7000 tấn)" xr:uid="{94B1B279-E32F-44C7-B26A-89A309FC2316}"/>
  </hyperlink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CCE81-92FA-4DFD-85E7-D907F9B1B0F3}">
  <dimension ref="A1:BB123"/>
  <sheetViews>
    <sheetView showGridLines="0" zoomScale="85" zoomScaleNormal="85" workbookViewId="0">
      <pane xSplit="5" ySplit="8" topLeftCell="AL67" activePane="bottomRight" state="frozen"/>
      <selection activeCell="AB74" sqref="AB74"/>
      <selection pane="topRight" activeCell="AB74" sqref="AB74"/>
      <selection pane="bottomLeft" activeCell="AB74" sqref="AB74"/>
      <selection pane="bottomRight" activeCell="C68" sqref="C68"/>
    </sheetView>
  </sheetViews>
  <sheetFormatPr defaultRowHeight="14.5" zeroHeight="1" outlineLevelRow="1" x14ac:dyDescent="0.35"/>
  <cols>
    <col min="1" max="1" width="9.83203125" style="14" bestFit="1" customWidth="1"/>
    <col min="2" max="2" width="6.08203125" customWidth="1"/>
    <col min="3" max="3" width="31.75" customWidth="1"/>
    <col min="4" max="4" width="6.75" style="9" bestFit="1" customWidth="1"/>
    <col min="5" max="5" width="0.58203125" customWidth="1"/>
    <col min="6" max="17" width="10.08203125" bestFit="1" customWidth="1"/>
    <col min="18" max="18" width="11.58203125" bestFit="1" customWidth="1"/>
    <col min="19" max="29" width="10.08203125" bestFit="1" customWidth="1"/>
    <col min="30" max="40" width="10.33203125" bestFit="1" customWidth="1"/>
    <col min="41" max="53" width="10.33203125" customWidth="1"/>
    <col min="54" max="54" width="1.33203125" customWidth="1"/>
  </cols>
  <sheetData>
    <row r="1" spans="1:54" s="21" customFormat="1" outlineLevel="1" x14ac:dyDescent="0.35">
      <c r="D1" s="23"/>
      <c r="F1" s="78">
        <f t="shared" ref="F1:Q1" si="0">DATE(F3,F4,1)</f>
        <v>44927</v>
      </c>
      <c r="G1" s="77">
        <f t="shared" si="0"/>
        <v>44958</v>
      </c>
      <c r="H1" s="77">
        <f t="shared" si="0"/>
        <v>44986</v>
      </c>
      <c r="I1" s="77">
        <f t="shared" si="0"/>
        <v>45017</v>
      </c>
      <c r="J1" s="77">
        <f t="shared" si="0"/>
        <v>45047</v>
      </c>
      <c r="K1" s="77">
        <f t="shared" si="0"/>
        <v>45078</v>
      </c>
      <c r="L1" s="77">
        <f t="shared" si="0"/>
        <v>45108</v>
      </c>
      <c r="M1" s="77">
        <f t="shared" si="0"/>
        <v>45139</v>
      </c>
      <c r="N1" s="77">
        <f t="shared" si="0"/>
        <v>45170</v>
      </c>
      <c r="O1" s="77">
        <f t="shared" si="0"/>
        <v>45200</v>
      </c>
      <c r="P1" s="77">
        <f t="shared" si="0"/>
        <v>45231</v>
      </c>
      <c r="Q1" s="77">
        <f t="shared" si="0"/>
        <v>45261</v>
      </c>
      <c r="R1" s="78">
        <f>DATE(R3,R4,1)</f>
        <v>45292</v>
      </c>
      <c r="S1" s="77">
        <f t="shared" ref="S1:AO1" si="1">DATE(S3,S4,1)</f>
        <v>45323</v>
      </c>
      <c r="T1" s="77">
        <f t="shared" si="1"/>
        <v>45352</v>
      </c>
      <c r="U1" s="77">
        <f t="shared" si="1"/>
        <v>45383</v>
      </c>
      <c r="V1" s="77">
        <f t="shared" si="1"/>
        <v>45413</v>
      </c>
      <c r="W1" s="77">
        <f t="shared" si="1"/>
        <v>45444</v>
      </c>
      <c r="X1" s="77">
        <f t="shared" si="1"/>
        <v>45474</v>
      </c>
      <c r="Y1" s="77">
        <f t="shared" si="1"/>
        <v>45505</v>
      </c>
      <c r="Z1" s="77">
        <f t="shared" si="1"/>
        <v>45536</v>
      </c>
      <c r="AA1" s="77">
        <f t="shared" si="1"/>
        <v>45566</v>
      </c>
      <c r="AB1" s="77">
        <f t="shared" si="1"/>
        <v>45597</v>
      </c>
      <c r="AC1" s="79">
        <f t="shared" si="1"/>
        <v>45627</v>
      </c>
      <c r="AD1" s="77">
        <f t="shared" si="1"/>
        <v>45658</v>
      </c>
      <c r="AE1" s="77">
        <f t="shared" si="1"/>
        <v>45689</v>
      </c>
      <c r="AF1" s="77">
        <f t="shared" si="1"/>
        <v>45717</v>
      </c>
      <c r="AG1" s="77">
        <f t="shared" si="1"/>
        <v>45748</v>
      </c>
      <c r="AH1" s="77">
        <f t="shared" si="1"/>
        <v>45778</v>
      </c>
      <c r="AI1" s="77">
        <f t="shared" si="1"/>
        <v>45809</v>
      </c>
      <c r="AJ1" s="77">
        <f t="shared" si="1"/>
        <v>45839</v>
      </c>
      <c r="AK1" s="77">
        <f t="shared" si="1"/>
        <v>45870</v>
      </c>
      <c r="AL1" s="77">
        <f t="shared" si="1"/>
        <v>45901</v>
      </c>
      <c r="AM1" s="77">
        <f t="shared" si="1"/>
        <v>45931</v>
      </c>
      <c r="AN1" s="77">
        <f t="shared" si="1"/>
        <v>45962</v>
      </c>
      <c r="AO1" s="79">
        <f t="shared" si="1"/>
        <v>45992</v>
      </c>
      <c r="AP1" s="77">
        <f t="shared" ref="AP1:BA1" si="2">DATE(AP3,AP4,1)</f>
        <v>46023</v>
      </c>
      <c r="AQ1" s="77">
        <f t="shared" si="2"/>
        <v>46054</v>
      </c>
      <c r="AR1" s="77">
        <f t="shared" si="2"/>
        <v>46082</v>
      </c>
      <c r="AS1" s="77">
        <f t="shared" si="2"/>
        <v>46113</v>
      </c>
      <c r="AT1" s="77">
        <f t="shared" si="2"/>
        <v>46143</v>
      </c>
      <c r="AU1" s="77">
        <f t="shared" si="2"/>
        <v>46174</v>
      </c>
      <c r="AV1" s="77">
        <f t="shared" si="2"/>
        <v>46204</v>
      </c>
      <c r="AW1" s="77">
        <f t="shared" si="2"/>
        <v>46235</v>
      </c>
      <c r="AX1" s="77">
        <f t="shared" si="2"/>
        <v>46266</v>
      </c>
      <c r="AY1" s="77">
        <f t="shared" si="2"/>
        <v>46296</v>
      </c>
      <c r="AZ1" s="77">
        <f t="shared" si="2"/>
        <v>46327</v>
      </c>
      <c r="BA1" s="79">
        <f t="shared" si="2"/>
        <v>46357</v>
      </c>
      <c r="BB1" s="24"/>
    </row>
    <row r="2" spans="1:54" s="21" customFormat="1" outlineLevel="1" x14ac:dyDescent="0.35">
      <c r="D2" s="23"/>
      <c r="F2" s="78">
        <f t="shared" ref="F2:Q2" si="3">EOMONTH(F1,0)</f>
        <v>44957</v>
      </c>
      <c r="G2" s="77">
        <f t="shared" si="3"/>
        <v>44985</v>
      </c>
      <c r="H2" s="77">
        <f t="shared" si="3"/>
        <v>45016</v>
      </c>
      <c r="I2" s="77">
        <f t="shared" si="3"/>
        <v>45046</v>
      </c>
      <c r="J2" s="77">
        <f t="shared" si="3"/>
        <v>45077</v>
      </c>
      <c r="K2" s="77">
        <f t="shared" si="3"/>
        <v>45107</v>
      </c>
      <c r="L2" s="77">
        <f t="shared" si="3"/>
        <v>45138</v>
      </c>
      <c r="M2" s="77">
        <f t="shared" si="3"/>
        <v>45169</v>
      </c>
      <c r="N2" s="77">
        <f t="shared" si="3"/>
        <v>45199</v>
      </c>
      <c r="O2" s="77">
        <f t="shared" si="3"/>
        <v>45230</v>
      </c>
      <c r="P2" s="77">
        <f t="shared" si="3"/>
        <v>45260</v>
      </c>
      <c r="Q2" s="77">
        <f t="shared" si="3"/>
        <v>45291</v>
      </c>
      <c r="R2" s="78">
        <f>EOMONTH(R1,0)</f>
        <v>45322</v>
      </c>
      <c r="S2" s="77">
        <f t="shared" ref="S2:AO2" si="4">EOMONTH(S1,0)</f>
        <v>45351</v>
      </c>
      <c r="T2" s="77">
        <f t="shared" si="4"/>
        <v>45382</v>
      </c>
      <c r="U2" s="77">
        <f t="shared" si="4"/>
        <v>45412</v>
      </c>
      <c r="V2" s="77">
        <f t="shared" si="4"/>
        <v>45443</v>
      </c>
      <c r="W2" s="77">
        <f t="shared" si="4"/>
        <v>45473</v>
      </c>
      <c r="X2" s="77">
        <f t="shared" si="4"/>
        <v>45504</v>
      </c>
      <c r="Y2" s="77">
        <f t="shared" si="4"/>
        <v>45535</v>
      </c>
      <c r="Z2" s="77">
        <f t="shared" si="4"/>
        <v>45565</v>
      </c>
      <c r="AA2" s="77">
        <f t="shared" si="4"/>
        <v>45596</v>
      </c>
      <c r="AB2" s="77">
        <f t="shared" si="4"/>
        <v>45626</v>
      </c>
      <c r="AC2" s="79">
        <f t="shared" si="4"/>
        <v>45657</v>
      </c>
      <c r="AD2" s="77">
        <f t="shared" si="4"/>
        <v>45688</v>
      </c>
      <c r="AE2" s="77">
        <f t="shared" si="4"/>
        <v>45716</v>
      </c>
      <c r="AF2" s="77">
        <f t="shared" si="4"/>
        <v>45747</v>
      </c>
      <c r="AG2" s="77">
        <f t="shared" si="4"/>
        <v>45777</v>
      </c>
      <c r="AH2" s="77">
        <f t="shared" si="4"/>
        <v>45808</v>
      </c>
      <c r="AI2" s="77">
        <f t="shared" si="4"/>
        <v>45838</v>
      </c>
      <c r="AJ2" s="77">
        <f t="shared" si="4"/>
        <v>45869</v>
      </c>
      <c r="AK2" s="77">
        <f t="shared" si="4"/>
        <v>45900</v>
      </c>
      <c r="AL2" s="77">
        <f t="shared" si="4"/>
        <v>45930</v>
      </c>
      <c r="AM2" s="77">
        <f t="shared" si="4"/>
        <v>45961</v>
      </c>
      <c r="AN2" s="77">
        <f t="shared" si="4"/>
        <v>45991</v>
      </c>
      <c r="AO2" s="79">
        <f t="shared" si="4"/>
        <v>46022</v>
      </c>
      <c r="AP2" s="77">
        <f t="shared" ref="AP2:BA2" si="5">EOMONTH(AP1,0)</f>
        <v>46053</v>
      </c>
      <c r="AQ2" s="77">
        <f t="shared" si="5"/>
        <v>46081</v>
      </c>
      <c r="AR2" s="77">
        <f t="shared" si="5"/>
        <v>46112</v>
      </c>
      <c r="AS2" s="77">
        <f t="shared" si="5"/>
        <v>46142</v>
      </c>
      <c r="AT2" s="77">
        <f t="shared" si="5"/>
        <v>46173</v>
      </c>
      <c r="AU2" s="77">
        <f t="shared" si="5"/>
        <v>46203</v>
      </c>
      <c r="AV2" s="77">
        <f t="shared" si="5"/>
        <v>46234</v>
      </c>
      <c r="AW2" s="77">
        <f t="shared" si="5"/>
        <v>46265</v>
      </c>
      <c r="AX2" s="77">
        <f t="shared" si="5"/>
        <v>46295</v>
      </c>
      <c r="AY2" s="77">
        <f t="shared" si="5"/>
        <v>46326</v>
      </c>
      <c r="AZ2" s="77">
        <f t="shared" si="5"/>
        <v>46356</v>
      </c>
      <c r="BA2" s="79">
        <f t="shared" si="5"/>
        <v>46387</v>
      </c>
      <c r="BB2" s="24"/>
    </row>
    <row r="3" spans="1:54" s="21" customFormat="1" outlineLevel="1" x14ac:dyDescent="0.35">
      <c r="D3" s="23"/>
      <c r="F3" s="75">
        <v>2023</v>
      </c>
      <c r="G3" s="74">
        <v>2023</v>
      </c>
      <c r="H3" s="74">
        <v>2023</v>
      </c>
      <c r="I3" s="74">
        <v>2023</v>
      </c>
      <c r="J3" s="74">
        <v>2023</v>
      </c>
      <c r="K3" s="74">
        <v>2023</v>
      </c>
      <c r="L3" s="74">
        <v>2023</v>
      </c>
      <c r="M3" s="74">
        <v>2023</v>
      </c>
      <c r="N3" s="74">
        <v>2023</v>
      </c>
      <c r="O3" s="74">
        <v>2023</v>
      </c>
      <c r="P3" s="74">
        <v>2023</v>
      </c>
      <c r="Q3" s="74">
        <v>2023</v>
      </c>
      <c r="R3" s="75">
        <v>2024</v>
      </c>
      <c r="S3" s="74">
        <v>2024</v>
      </c>
      <c r="T3" s="74">
        <v>2024</v>
      </c>
      <c r="U3" s="74">
        <v>2024</v>
      </c>
      <c r="V3" s="74">
        <v>2024</v>
      </c>
      <c r="W3" s="74">
        <v>2024</v>
      </c>
      <c r="X3" s="74">
        <v>2024</v>
      </c>
      <c r="Y3" s="74">
        <v>2024</v>
      </c>
      <c r="Z3" s="74">
        <v>2024</v>
      </c>
      <c r="AA3" s="74">
        <v>2024</v>
      </c>
      <c r="AB3" s="74">
        <v>2024</v>
      </c>
      <c r="AC3" s="76">
        <v>2024</v>
      </c>
      <c r="AD3" s="74">
        <v>2025</v>
      </c>
      <c r="AE3" s="74">
        <v>2025</v>
      </c>
      <c r="AF3" s="74">
        <v>2025</v>
      </c>
      <c r="AG3" s="74">
        <v>2025</v>
      </c>
      <c r="AH3" s="74">
        <v>2025</v>
      </c>
      <c r="AI3" s="74">
        <v>2025</v>
      </c>
      <c r="AJ3" s="74">
        <v>2025</v>
      </c>
      <c r="AK3" s="74">
        <v>2025</v>
      </c>
      <c r="AL3" s="74">
        <v>2025</v>
      </c>
      <c r="AM3" s="74">
        <v>2025</v>
      </c>
      <c r="AN3" s="74">
        <v>2025</v>
      </c>
      <c r="AO3" s="76">
        <v>2025</v>
      </c>
      <c r="AP3" s="74">
        <v>2026</v>
      </c>
      <c r="AQ3" s="74">
        <v>2026</v>
      </c>
      <c r="AR3" s="74">
        <v>2026</v>
      </c>
      <c r="AS3" s="74">
        <v>2026</v>
      </c>
      <c r="AT3" s="74">
        <v>2026</v>
      </c>
      <c r="AU3" s="74">
        <v>2026</v>
      </c>
      <c r="AV3" s="74">
        <v>2026</v>
      </c>
      <c r="AW3" s="74">
        <v>2026</v>
      </c>
      <c r="AX3" s="74">
        <v>2026</v>
      </c>
      <c r="AY3" s="74">
        <v>2026</v>
      </c>
      <c r="AZ3" s="74">
        <v>2026</v>
      </c>
      <c r="BA3" s="76">
        <v>2026</v>
      </c>
      <c r="BB3" s="24"/>
    </row>
    <row r="4" spans="1:54" s="21" customFormat="1" outlineLevel="1" x14ac:dyDescent="0.35">
      <c r="D4" s="23"/>
      <c r="F4" s="75">
        <v>1</v>
      </c>
      <c r="G4" s="74">
        <v>2</v>
      </c>
      <c r="H4" s="74">
        <v>3</v>
      </c>
      <c r="I4" s="74">
        <v>4</v>
      </c>
      <c r="J4" s="74">
        <v>5</v>
      </c>
      <c r="K4" s="74">
        <v>6</v>
      </c>
      <c r="L4" s="74">
        <v>7</v>
      </c>
      <c r="M4" s="74">
        <v>8</v>
      </c>
      <c r="N4" s="74">
        <v>9</v>
      </c>
      <c r="O4" s="74">
        <v>10</v>
      </c>
      <c r="P4" s="74">
        <v>11</v>
      </c>
      <c r="Q4" s="74">
        <v>12</v>
      </c>
      <c r="R4" s="75">
        <v>1</v>
      </c>
      <c r="S4" s="74">
        <v>2</v>
      </c>
      <c r="T4" s="74">
        <v>3</v>
      </c>
      <c r="U4" s="74">
        <v>4</v>
      </c>
      <c r="V4" s="74">
        <v>5</v>
      </c>
      <c r="W4" s="74">
        <v>6</v>
      </c>
      <c r="X4" s="74">
        <v>7</v>
      </c>
      <c r="Y4" s="74">
        <v>8</v>
      </c>
      <c r="Z4" s="74">
        <v>9</v>
      </c>
      <c r="AA4" s="74">
        <v>10</v>
      </c>
      <c r="AB4" s="74">
        <v>11</v>
      </c>
      <c r="AC4" s="76">
        <v>12</v>
      </c>
      <c r="AD4" s="74">
        <v>1</v>
      </c>
      <c r="AE4" s="74">
        <v>2</v>
      </c>
      <c r="AF4" s="74">
        <v>3</v>
      </c>
      <c r="AG4" s="74">
        <v>4</v>
      </c>
      <c r="AH4" s="74">
        <v>5</v>
      </c>
      <c r="AI4" s="74">
        <v>6</v>
      </c>
      <c r="AJ4" s="74">
        <v>7</v>
      </c>
      <c r="AK4" s="74">
        <v>8</v>
      </c>
      <c r="AL4" s="74">
        <v>9</v>
      </c>
      <c r="AM4" s="74">
        <v>10</v>
      </c>
      <c r="AN4" s="74">
        <v>11</v>
      </c>
      <c r="AO4" s="76">
        <v>12</v>
      </c>
      <c r="AP4" s="74">
        <v>1</v>
      </c>
      <c r="AQ4" s="74">
        <v>2</v>
      </c>
      <c r="AR4" s="74">
        <v>3</v>
      </c>
      <c r="AS4" s="74">
        <v>4</v>
      </c>
      <c r="AT4" s="74">
        <v>5</v>
      </c>
      <c r="AU4" s="74">
        <v>6</v>
      </c>
      <c r="AV4" s="74">
        <v>7</v>
      </c>
      <c r="AW4" s="74">
        <v>8</v>
      </c>
      <c r="AX4" s="74">
        <v>9</v>
      </c>
      <c r="AY4" s="74">
        <v>10</v>
      </c>
      <c r="AZ4" s="74">
        <v>11</v>
      </c>
      <c r="BA4" s="76">
        <v>12</v>
      </c>
      <c r="BB4" s="24"/>
    </row>
    <row r="5" spans="1:54" x14ac:dyDescent="0.35">
      <c r="F5" s="47"/>
      <c r="R5" s="47"/>
      <c r="AC5" s="48"/>
      <c r="AO5" s="48"/>
      <c r="BA5" s="48"/>
      <c r="BB5" s="22"/>
    </row>
    <row r="6" spans="1:54" s="2" customFormat="1" x14ac:dyDescent="0.35">
      <c r="A6" s="13"/>
      <c r="B6" s="491" t="s">
        <v>0</v>
      </c>
      <c r="C6" s="491" t="s">
        <v>66</v>
      </c>
      <c r="D6" s="492" t="s">
        <v>67</v>
      </c>
      <c r="F6" s="45">
        <v>2023</v>
      </c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60">
        <v>2024</v>
      </c>
      <c r="S6" s="3"/>
      <c r="T6" s="3"/>
      <c r="U6" s="3"/>
      <c r="V6" s="3"/>
      <c r="W6" s="3"/>
      <c r="X6" s="3"/>
      <c r="Y6" s="3"/>
      <c r="Z6" s="3"/>
      <c r="AA6" s="3"/>
      <c r="AB6" s="3"/>
      <c r="AC6" s="61"/>
      <c r="AD6" s="4">
        <v>2025</v>
      </c>
      <c r="AE6" s="4"/>
      <c r="AF6" s="4"/>
      <c r="AG6" s="4"/>
      <c r="AH6" s="4"/>
      <c r="AI6" s="4"/>
      <c r="AJ6" s="4"/>
      <c r="AK6" s="4"/>
      <c r="AL6" s="4"/>
      <c r="AM6" s="4"/>
      <c r="AN6" s="4"/>
      <c r="AO6" s="70"/>
      <c r="AP6" s="454">
        <v>2026</v>
      </c>
      <c r="AQ6" s="454"/>
      <c r="AR6" s="454"/>
      <c r="AS6" s="454"/>
      <c r="AT6" s="454"/>
      <c r="AU6" s="454"/>
      <c r="AV6" s="454"/>
      <c r="AW6" s="454"/>
      <c r="AX6" s="454"/>
      <c r="AY6" s="454"/>
      <c r="AZ6" s="454"/>
      <c r="BA6" s="480"/>
      <c r="BB6" s="25"/>
    </row>
    <row r="7" spans="1:54" s="2" customFormat="1" x14ac:dyDescent="0.35">
      <c r="A7" s="13"/>
      <c r="B7" s="491"/>
      <c r="C7" s="491"/>
      <c r="D7" s="492"/>
      <c r="F7" s="46">
        <v>1</v>
      </c>
      <c r="G7" s="37">
        <v>2</v>
      </c>
      <c r="H7" s="37">
        <v>3</v>
      </c>
      <c r="I7" s="37">
        <v>4</v>
      </c>
      <c r="J7" s="37">
        <v>5</v>
      </c>
      <c r="K7" s="37">
        <v>6</v>
      </c>
      <c r="L7" s="37">
        <v>7</v>
      </c>
      <c r="M7" s="37">
        <v>8</v>
      </c>
      <c r="N7" s="37">
        <v>9</v>
      </c>
      <c r="O7" s="37">
        <v>10</v>
      </c>
      <c r="P7" s="37">
        <v>11</v>
      </c>
      <c r="Q7" s="37">
        <v>12</v>
      </c>
      <c r="R7" s="62">
        <v>1</v>
      </c>
      <c r="S7" s="5">
        <v>2</v>
      </c>
      <c r="T7" s="5">
        <v>3</v>
      </c>
      <c r="U7" s="5">
        <v>4</v>
      </c>
      <c r="V7" s="5">
        <v>5</v>
      </c>
      <c r="W7" s="5">
        <v>6</v>
      </c>
      <c r="X7" s="5">
        <v>7</v>
      </c>
      <c r="Y7" s="5">
        <v>8</v>
      </c>
      <c r="Z7" s="5">
        <v>9</v>
      </c>
      <c r="AA7" s="5">
        <v>10</v>
      </c>
      <c r="AB7" s="5">
        <v>11</v>
      </c>
      <c r="AC7" s="63">
        <v>12</v>
      </c>
      <c r="AD7" s="6">
        <v>1</v>
      </c>
      <c r="AE7" s="6">
        <v>2</v>
      </c>
      <c r="AF7" s="6">
        <v>3</v>
      </c>
      <c r="AG7" s="6">
        <v>4</v>
      </c>
      <c r="AH7" s="6">
        <v>5</v>
      </c>
      <c r="AI7" s="6">
        <v>6</v>
      </c>
      <c r="AJ7" s="6">
        <v>7</v>
      </c>
      <c r="AK7" s="6">
        <v>8</v>
      </c>
      <c r="AL7" s="6">
        <v>9</v>
      </c>
      <c r="AM7" s="6">
        <v>10</v>
      </c>
      <c r="AN7" s="6">
        <v>11</v>
      </c>
      <c r="AO7" s="71">
        <v>12</v>
      </c>
      <c r="AP7" s="455">
        <v>1</v>
      </c>
      <c r="AQ7" s="456">
        <v>2</v>
      </c>
      <c r="AR7" s="456">
        <v>3</v>
      </c>
      <c r="AS7" s="456">
        <v>4</v>
      </c>
      <c r="AT7" s="456">
        <v>5</v>
      </c>
      <c r="AU7" s="456">
        <v>6</v>
      </c>
      <c r="AV7" s="456">
        <v>7</v>
      </c>
      <c r="AW7" s="456">
        <v>8</v>
      </c>
      <c r="AX7" s="456">
        <v>9</v>
      </c>
      <c r="AY7" s="456">
        <v>10</v>
      </c>
      <c r="AZ7" s="456">
        <v>11</v>
      </c>
      <c r="BA7" s="481">
        <v>12</v>
      </c>
      <c r="BB7" s="25"/>
    </row>
    <row r="8" spans="1:54" ht="3.75" customHeight="1" x14ac:dyDescent="0.35">
      <c r="F8" s="47"/>
      <c r="Q8" s="48"/>
      <c r="R8" s="47"/>
      <c r="AC8" s="48"/>
      <c r="AD8" s="47"/>
      <c r="AO8" s="48"/>
      <c r="BA8" s="48"/>
    </row>
    <row r="9" spans="1:54" x14ac:dyDescent="0.35">
      <c r="A9" s="15" t="s">
        <v>68</v>
      </c>
      <c r="B9" s="8"/>
      <c r="C9" s="8" t="s">
        <v>69</v>
      </c>
      <c r="D9" s="10" t="s">
        <v>70</v>
      </c>
      <c r="F9" s="101"/>
      <c r="G9" s="102"/>
      <c r="H9" s="102"/>
      <c r="I9" s="102"/>
      <c r="J9" s="102"/>
      <c r="K9" s="102"/>
      <c r="L9" s="102"/>
      <c r="M9" s="102"/>
      <c r="N9" s="102"/>
      <c r="O9" s="102"/>
      <c r="P9" s="102"/>
      <c r="Q9" s="103"/>
      <c r="R9" s="101"/>
      <c r="S9" s="102"/>
      <c r="T9" s="102"/>
      <c r="U9" s="102"/>
      <c r="V9" s="102"/>
      <c r="W9" s="102"/>
      <c r="X9" s="102"/>
      <c r="Y9" s="102"/>
      <c r="Z9" s="102"/>
      <c r="AA9" s="102"/>
      <c r="AB9" s="102"/>
      <c r="AC9" s="103"/>
      <c r="AD9" s="101"/>
      <c r="AE9" s="102"/>
      <c r="AF9" s="102"/>
      <c r="AG9" s="102"/>
      <c r="AH9" s="102"/>
      <c r="AI9" s="102"/>
      <c r="AJ9" s="102"/>
      <c r="AK9" s="102"/>
      <c r="AL9" s="102"/>
      <c r="AM9" s="102"/>
      <c r="AN9" s="102"/>
      <c r="AO9" s="103"/>
      <c r="AP9" s="101"/>
      <c r="AQ9" s="102"/>
      <c r="AR9" s="102"/>
      <c r="AS9" s="102"/>
      <c r="AT9" s="102"/>
      <c r="AU9" s="102"/>
      <c r="AV9" s="102"/>
      <c r="AW9" s="102"/>
      <c r="AX9" s="102"/>
      <c r="AY9" s="102"/>
      <c r="AZ9" s="102"/>
      <c r="BA9" s="103"/>
      <c r="BB9" s="22"/>
    </row>
    <row r="10" spans="1:54" x14ac:dyDescent="0.35">
      <c r="A10" s="15" t="s">
        <v>71</v>
      </c>
      <c r="B10" s="8"/>
      <c r="C10" s="8" t="s">
        <v>72</v>
      </c>
      <c r="D10" s="10" t="s">
        <v>70</v>
      </c>
      <c r="F10" s="101"/>
      <c r="G10" s="102"/>
      <c r="H10" s="102"/>
      <c r="I10" s="102"/>
      <c r="J10" s="102"/>
      <c r="K10" s="102"/>
      <c r="L10" s="102"/>
      <c r="M10" s="102"/>
      <c r="N10" s="102"/>
      <c r="O10" s="102"/>
      <c r="P10" s="102"/>
      <c r="Q10" s="103"/>
      <c r="R10" s="101"/>
      <c r="S10" s="102"/>
      <c r="T10" s="102"/>
      <c r="U10" s="102"/>
      <c r="V10" s="102"/>
      <c r="W10" s="102"/>
      <c r="X10" s="102"/>
      <c r="Y10" s="102"/>
      <c r="Z10" s="102"/>
      <c r="AA10" s="102"/>
      <c r="AB10" s="102"/>
      <c r="AC10" s="103"/>
      <c r="AD10" s="101"/>
      <c r="AE10" s="102"/>
      <c r="AF10" s="102"/>
      <c r="AG10" s="102"/>
      <c r="AH10" s="102"/>
      <c r="AI10" s="102"/>
      <c r="AJ10" s="102"/>
      <c r="AK10" s="102"/>
      <c r="AL10" s="102"/>
      <c r="AM10" s="102"/>
      <c r="AN10" s="102"/>
      <c r="AO10" s="103"/>
      <c r="AP10" s="101"/>
      <c r="AQ10" s="102"/>
      <c r="AR10" s="102"/>
      <c r="AS10" s="102"/>
      <c r="AT10" s="102"/>
      <c r="AU10" s="102"/>
      <c r="AV10" s="102"/>
      <c r="AW10" s="102"/>
      <c r="AX10" s="102"/>
      <c r="AY10" s="102"/>
      <c r="AZ10" s="102"/>
      <c r="BA10" s="103"/>
      <c r="BB10" s="22"/>
    </row>
    <row r="11" spans="1:54" x14ac:dyDescent="0.35">
      <c r="A11" s="15" t="s">
        <v>73</v>
      </c>
      <c r="B11" s="8"/>
      <c r="C11" s="8" t="s">
        <v>74</v>
      </c>
      <c r="D11" s="10" t="s">
        <v>70</v>
      </c>
      <c r="F11" s="101"/>
      <c r="G11" s="102"/>
      <c r="H11" s="102"/>
      <c r="I11" s="102"/>
      <c r="J11" s="102"/>
      <c r="K11" s="102"/>
      <c r="L11" s="102"/>
      <c r="M11" s="102"/>
      <c r="N11" s="102"/>
      <c r="O11" s="102"/>
      <c r="P11" s="102"/>
      <c r="Q11" s="103"/>
      <c r="R11" s="101"/>
      <c r="S11" s="102"/>
      <c r="T11" s="102"/>
      <c r="U11" s="102"/>
      <c r="V11" s="102"/>
      <c r="W11" s="102"/>
      <c r="X11" s="102"/>
      <c r="Y11" s="102"/>
      <c r="Z11" s="102"/>
      <c r="AA11" s="102"/>
      <c r="AB11" s="102"/>
      <c r="AC11" s="103"/>
      <c r="AD11" s="101"/>
      <c r="AE11" s="102"/>
      <c r="AF11" s="102"/>
      <c r="AG11" s="102"/>
      <c r="AH11" s="102"/>
      <c r="AI11" s="102"/>
      <c r="AJ11" s="102"/>
      <c r="AK11" s="102"/>
      <c r="AL11" s="102"/>
      <c r="AM11" s="102"/>
      <c r="AN11" s="102"/>
      <c r="AO11" s="103"/>
      <c r="AP11" s="101"/>
      <c r="AQ11" s="102"/>
      <c r="AR11" s="102"/>
      <c r="AS11" s="102"/>
      <c r="AT11" s="102"/>
      <c r="AU11" s="102"/>
      <c r="AV11" s="102"/>
      <c r="AW11" s="102"/>
      <c r="AX11" s="102"/>
      <c r="AY11" s="102"/>
      <c r="AZ11" s="102"/>
      <c r="BA11" s="103"/>
      <c r="BB11" s="22"/>
    </row>
    <row r="12" spans="1:54" x14ac:dyDescent="0.35">
      <c r="A12" s="15" t="s">
        <v>44</v>
      </c>
      <c r="B12" s="8"/>
      <c r="C12" s="8" t="s">
        <v>75</v>
      </c>
      <c r="D12" s="10" t="s">
        <v>70</v>
      </c>
      <c r="F12" s="101"/>
      <c r="G12" s="102"/>
      <c r="H12" s="102"/>
      <c r="I12" s="102"/>
      <c r="J12" s="102"/>
      <c r="K12" s="102"/>
      <c r="L12" s="102"/>
      <c r="M12" s="102"/>
      <c r="N12" s="102"/>
      <c r="O12" s="102">
        <v>1288.125</v>
      </c>
      <c r="P12" s="102">
        <v>1300</v>
      </c>
      <c r="Q12" s="103">
        <v>1300</v>
      </c>
      <c r="R12" s="101">
        <v>1315</v>
      </c>
      <c r="S12" s="102">
        <v>1325</v>
      </c>
      <c r="T12" s="102">
        <v>1320</v>
      </c>
      <c r="U12" s="102">
        <v>1333</v>
      </c>
      <c r="V12" s="102">
        <v>1350</v>
      </c>
      <c r="W12" s="102">
        <v>1365</v>
      </c>
      <c r="X12" s="102">
        <v>1372</v>
      </c>
      <c r="Y12" s="102">
        <v>1405</v>
      </c>
      <c r="Z12" s="102">
        <v>1427.5</v>
      </c>
      <c r="AA12" s="102">
        <v>1440</v>
      </c>
      <c r="AB12" s="102">
        <v>1435</v>
      </c>
      <c r="AC12" s="103">
        <v>1421.25</v>
      </c>
      <c r="AD12" s="101">
        <v>1358.3333333333301</v>
      </c>
      <c r="AE12" s="102">
        <v>1350</v>
      </c>
      <c r="AF12" s="102">
        <v>1360</v>
      </c>
      <c r="AG12" s="102">
        <v>1360</v>
      </c>
      <c r="AH12" s="102">
        <v>1360</v>
      </c>
      <c r="AI12" s="102">
        <v>1360</v>
      </c>
      <c r="AJ12" s="102">
        <v>1324</v>
      </c>
      <c r="AK12" s="102">
        <v>1295</v>
      </c>
      <c r="AL12" s="102">
        <v>1268</v>
      </c>
      <c r="AM12" s="102">
        <v>1250</v>
      </c>
      <c r="AN12" s="102">
        <v>1243.75</v>
      </c>
      <c r="AO12" s="103"/>
      <c r="AP12" s="101"/>
      <c r="AQ12" s="102"/>
      <c r="AR12" s="102"/>
      <c r="AS12" s="102"/>
      <c r="AT12" s="102"/>
      <c r="AU12" s="102"/>
      <c r="AV12" s="102"/>
      <c r="AW12" s="102"/>
      <c r="AX12" s="102"/>
      <c r="AY12" s="102"/>
      <c r="AZ12" s="102"/>
      <c r="BA12" s="103"/>
      <c r="BB12" s="22"/>
    </row>
    <row r="13" spans="1:54" x14ac:dyDescent="0.35">
      <c r="A13" s="15" t="s">
        <v>76</v>
      </c>
      <c r="B13" s="8"/>
      <c r="C13" s="8" t="s">
        <v>77</v>
      </c>
      <c r="D13" s="10" t="s">
        <v>70</v>
      </c>
      <c r="F13" s="101"/>
      <c r="G13" s="102"/>
      <c r="H13" s="102"/>
      <c r="I13" s="102"/>
      <c r="J13" s="102"/>
      <c r="K13" s="102"/>
      <c r="L13" s="102"/>
      <c r="M13" s="102"/>
      <c r="N13" s="102"/>
      <c r="O13" s="102"/>
      <c r="P13" s="102"/>
      <c r="Q13" s="103"/>
      <c r="R13" s="101"/>
      <c r="S13" s="102"/>
      <c r="T13" s="102"/>
      <c r="U13" s="102"/>
      <c r="V13" s="102"/>
      <c r="W13" s="102"/>
      <c r="X13" s="102"/>
      <c r="Y13" s="102"/>
      <c r="Z13" s="102"/>
      <c r="AA13" s="102"/>
      <c r="AB13" s="102"/>
      <c r="AC13" s="103"/>
      <c r="AD13" s="101"/>
      <c r="AE13" s="102"/>
      <c r="AF13" s="102"/>
      <c r="AG13" s="102"/>
      <c r="AH13" s="102"/>
      <c r="AI13" s="102"/>
      <c r="AJ13" s="102"/>
      <c r="AK13" s="102"/>
      <c r="AL13" s="102"/>
      <c r="AM13" s="102"/>
      <c r="AN13" s="102"/>
      <c r="AO13" s="103"/>
      <c r="AP13" s="101"/>
      <c r="AQ13" s="102"/>
      <c r="AR13" s="102"/>
      <c r="AS13" s="102"/>
      <c r="AT13" s="102"/>
      <c r="AU13" s="102"/>
      <c r="AV13" s="102"/>
      <c r="AW13" s="102"/>
      <c r="AX13" s="102"/>
      <c r="AY13" s="102"/>
      <c r="AZ13" s="102"/>
      <c r="BA13" s="103"/>
      <c r="BB13" s="22"/>
    </row>
    <row r="14" spans="1:54" x14ac:dyDescent="0.35">
      <c r="A14" s="15" t="s">
        <v>78</v>
      </c>
      <c r="B14" s="8"/>
      <c r="C14" s="8" t="s">
        <v>79</v>
      </c>
      <c r="D14" s="10" t="s">
        <v>70</v>
      </c>
      <c r="F14" s="101"/>
      <c r="G14" s="102"/>
      <c r="H14" s="102"/>
      <c r="I14" s="102"/>
      <c r="J14" s="102"/>
      <c r="K14" s="102"/>
      <c r="L14" s="102"/>
      <c r="M14" s="102"/>
      <c r="N14" s="102"/>
      <c r="O14" s="102"/>
      <c r="P14" s="102"/>
      <c r="Q14" s="103"/>
      <c r="R14" s="101"/>
      <c r="S14" s="102"/>
      <c r="T14" s="102"/>
      <c r="U14" s="102"/>
      <c r="V14" s="102"/>
      <c r="W14" s="102"/>
      <c r="X14" s="102"/>
      <c r="Y14" s="102"/>
      <c r="Z14" s="102"/>
      <c r="AA14" s="102"/>
      <c r="AB14" s="102"/>
      <c r="AC14" s="103"/>
      <c r="AD14" s="101"/>
      <c r="AE14" s="102"/>
      <c r="AF14" s="102"/>
      <c r="AG14" s="102"/>
      <c r="AH14" s="102"/>
      <c r="AI14" s="102"/>
      <c r="AJ14" s="102"/>
      <c r="AK14" s="102"/>
      <c r="AL14" s="102"/>
      <c r="AM14" s="102"/>
      <c r="AN14" s="102"/>
      <c r="AO14" s="103"/>
      <c r="AP14" s="101"/>
      <c r="AQ14" s="102"/>
      <c r="AR14" s="102"/>
      <c r="AS14" s="102"/>
      <c r="AT14" s="102"/>
      <c r="AU14" s="102"/>
      <c r="AV14" s="102"/>
      <c r="AW14" s="102"/>
      <c r="AX14" s="102"/>
      <c r="AY14" s="102"/>
      <c r="AZ14" s="102"/>
      <c r="BA14" s="103"/>
      <c r="BB14" s="22"/>
    </row>
    <row r="15" spans="1:54" x14ac:dyDescent="0.35">
      <c r="A15" s="16"/>
      <c r="B15" s="8"/>
      <c r="C15" s="8"/>
      <c r="D15" s="10"/>
      <c r="F15" s="49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50"/>
      <c r="R15" s="49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50"/>
      <c r="AD15" s="49"/>
      <c r="AE15" s="33"/>
      <c r="AF15" s="33"/>
      <c r="AG15" s="33"/>
      <c r="AH15" s="33"/>
      <c r="AI15" s="33"/>
      <c r="AJ15" s="33"/>
      <c r="AK15" s="33"/>
      <c r="AL15" s="33"/>
      <c r="AM15" s="33"/>
      <c r="AN15" s="451"/>
      <c r="AO15" s="50"/>
      <c r="AP15" s="49"/>
      <c r="AQ15" s="33"/>
      <c r="AR15" s="33"/>
      <c r="AS15" s="33"/>
      <c r="AT15" s="33"/>
      <c r="AU15" s="33"/>
      <c r="AV15" s="33"/>
      <c r="AW15" s="33"/>
      <c r="AX15" s="33"/>
      <c r="AY15" s="33"/>
      <c r="AZ15" s="33"/>
      <c r="BA15" s="50"/>
      <c r="BB15" s="22"/>
    </row>
    <row r="16" spans="1:54" x14ac:dyDescent="0.35">
      <c r="A16" s="16" t="s">
        <v>80</v>
      </c>
      <c r="B16" s="8"/>
      <c r="C16" s="8" t="s">
        <v>433</v>
      </c>
      <c r="D16" s="10" t="s">
        <v>81</v>
      </c>
      <c r="F16" s="49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50"/>
      <c r="R16" s="49">
        <f>R17*R24/10^3</f>
        <v>11519.207700000001</v>
      </c>
      <c r="S16" s="33">
        <f t="shared" ref="S16:AN16" si="6">S17*S24/10^3</f>
        <v>12049.971299999999</v>
      </c>
      <c r="T16" s="33">
        <f t="shared" si="6"/>
        <v>12135.065000000001</v>
      </c>
      <c r="U16" s="33">
        <f t="shared" si="6"/>
        <v>12874.966200000001</v>
      </c>
      <c r="V16" s="33">
        <f t="shared" si="6"/>
        <v>14118.16</v>
      </c>
      <c r="W16" s="33">
        <f t="shared" si="6"/>
        <v>14219.922500000001</v>
      </c>
      <c r="X16" s="33">
        <f t="shared" si="6"/>
        <v>14288.335200000001</v>
      </c>
      <c r="Y16" s="33">
        <f t="shared" si="6"/>
        <v>14406.2016</v>
      </c>
      <c r="Z16" s="33">
        <f t="shared" si="6"/>
        <v>14726.726000000001</v>
      </c>
      <c r="AA16" s="33">
        <f t="shared" si="6"/>
        <v>15801.072</v>
      </c>
      <c r="AB16" s="33">
        <f t="shared" si="6"/>
        <v>15874.719000000001</v>
      </c>
      <c r="AC16" s="50">
        <f t="shared" si="6"/>
        <v>15453.933399999998</v>
      </c>
      <c r="AD16" s="49">
        <f t="shared" si="6"/>
        <v>14767.103999999998</v>
      </c>
      <c r="AE16" s="33">
        <f t="shared" si="6"/>
        <v>15008.563200000001</v>
      </c>
      <c r="AF16" s="33">
        <f t="shared" si="6"/>
        <v>15097.843200000001</v>
      </c>
      <c r="AG16" s="33">
        <f t="shared" si="6"/>
        <v>14948.187399999999</v>
      </c>
      <c r="AH16" s="33">
        <f t="shared" si="6"/>
        <v>14881.947600000001</v>
      </c>
      <c r="AI16" s="33">
        <f t="shared" si="6"/>
        <v>14984.279100000002</v>
      </c>
      <c r="AJ16" s="33">
        <f t="shared" si="6"/>
        <v>14413.35</v>
      </c>
      <c r="AK16" s="33">
        <f t="shared" si="6"/>
        <v>13640.905200000001</v>
      </c>
      <c r="AL16" s="451">
        <f t="shared" si="6"/>
        <v>13012.5466</v>
      </c>
      <c r="AM16" s="451">
        <f t="shared" si="6"/>
        <v>12108.376</v>
      </c>
      <c r="AN16" s="451">
        <f t="shared" si="6"/>
        <v>11799.326700000001</v>
      </c>
      <c r="AO16" s="462">
        <f t="shared" ref="AO16" si="7">AO17*AO24/10^3</f>
        <v>11799.326700000001</v>
      </c>
      <c r="AP16" s="49"/>
      <c r="AQ16" s="33"/>
      <c r="AR16" s="33"/>
      <c r="AS16" s="33"/>
      <c r="AT16" s="33"/>
      <c r="AU16" s="33"/>
      <c r="AV16" s="33"/>
      <c r="AW16" s="33"/>
      <c r="AX16" s="33"/>
      <c r="AY16" s="33"/>
      <c r="AZ16" s="33"/>
      <c r="BA16" s="50"/>
      <c r="BB16" s="22"/>
    </row>
    <row r="17" spans="1:54" x14ac:dyDescent="0.35">
      <c r="A17" s="16" t="s">
        <v>82</v>
      </c>
      <c r="B17" s="8"/>
      <c r="C17" s="8" t="s">
        <v>434</v>
      </c>
      <c r="D17" s="10" t="s">
        <v>70</v>
      </c>
      <c r="F17" s="101"/>
      <c r="G17" s="102"/>
      <c r="H17" s="102"/>
      <c r="I17" s="102"/>
      <c r="J17" s="102"/>
      <c r="K17" s="102"/>
      <c r="L17" s="102"/>
      <c r="M17" s="102"/>
      <c r="N17" s="102"/>
      <c r="O17" s="102"/>
      <c r="P17" s="102"/>
      <c r="Q17" s="103"/>
      <c r="R17" s="101">
        <v>474.1</v>
      </c>
      <c r="S17" s="102">
        <v>495.7</v>
      </c>
      <c r="T17" s="102">
        <v>494.3</v>
      </c>
      <c r="U17" s="102">
        <v>515.70000000000005</v>
      </c>
      <c r="V17" s="102">
        <v>560</v>
      </c>
      <c r="W17" s="102">
        <v>563.5</v>
      </c>
      <c r="X17" s="102">
        <v>567.20000000000005</v>
      </c>
      <c r="Y17" s="102">
        <v>579.4</v>
      </c>
      <c r="Z17" s="102">
        <v>602</v>
      </c>
      <c r="AA17" s="102">
        <v>635.5</v>
      </c>
      <c r="AB17" s="102">
        <v>630.70000000000005</v>
      </c>
      <c r="AC17" s="103">
        <v>613.29999999999995</v>
      </c>
      <c r="AD17" s="101">
        <v>588.79999999999995</v>
      </c>
      <c r="AE17" s="102">
        <v>595.20000000000005</v>
      </c>
      <c r="AF17" s="102">
        <v>595.20000000000005</v>
      </c>
      <c r="AG17" s="102">
        <v>581.79999999999995</v>
      </c>
      <c r="AH17" s="102">
        <v>577.20000000000005</v>
      </c>
      <c r="AI17" s="102">
        <v>578.70000000000005</v>
      </c>
      <c r="AJ17" s="102">
        <v>555</v>
      </c>
      <c r="AK17" s="102">
        <v>522.6</v>
      </c>
      <c r="AL17" s="452">
        <v>496.7</v>
      </c>
      <c r="AM17" s="452">
        <v>463</v>
      </c>
      <c r="AN17" s="452">
        <v>447.3</v>
      </c>
      <c r="AO17" s="463">
        <v>447.3</v>
      </c>
      <c r="AP17" s="101"/>
      <c r="AQ17" s="102"/>
      <c r="AR17" s="102"/>
      <c r="AS17" s="102"/>
      <c r="AT17" s="102"/>
      <c r="AU17" s="102"/>
      <c r="AV17" s="102"/>
      <c r="AW17" s="102"/>
      <c r="AX17" s="102"/>
      <c r="AY17" s="102"/>
      <c r="AZ17" s="102"/>
      <c r="BA17" s="103"/>
      <c r="BB17" s="22"/>
    </row>
    <row r="18" spans="1:54" x14ac:dyDescent="0.35">
      <c r="A18" s="16"/>
      <c r="B18" s="8"/>
      <c r="C18" s="8"/>
      <c r="D18" s="10"/>
      <c r="F18" s="49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50"/>
      <c r="R18" s="49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50"/>
      <c r="AD18" s="49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50"/>
      <c r="AP18" s="49"/>
      <c r="AQ18" s="33"/>
      <c r="AR18" s="33"/>
      <c r="AS18" s="33"/>
      <c r="AT18" s="33"/>
      <c r="AU18" s="33"/>
      <c r="AV18" s="33"/>
      <c r="AW18" s="33"/>
      <c r="AX18" s="33"/>
      <c r="AY18" s="33"/>
      <c r="AZ18" s="33"/>
      <c r="BA18" s="50"/>
      <c r="BB18" s="22"/>
    </row>
    <row r="19" spans="1:54" x14ac:dyDescent="0.35">
      <c r="A19" s="16"/>
      <c r="B19" s="8"/>
      <c r="C19" s="8"/>
      <c r="D19" s="10"/>
      <c r="F19" s="49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50"/>
      <c r="R19" s="49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50"/>
      <c r="AD19" s="49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50"/>
      <c r="AP19" s="49"/>
      <c r="AQ19" s="33"/>
      <c r="AR19" s="33"/>
      <c r="AS19" s="33"/>
      <c r="AT19" s="33"/>
      <c r="AU19" s="33"/>
      <c r="AV19" s="33"/>
      <c r="AW19" s="33"/>
      <c r="AX19" s="33"/>
      <c r="AY19" s="33"/>
      <c r="AZ19" s="33"/>
      <c r="BA19" s="50"/>
      <c r="BB19" s="22"/>
    </row>
    <row r="20" spans="1:54" x14ac:dyDescent="0.35">
      <c r="A20" s="16"/>
      <c r="B20" s="8"/>
      <c r="C20" s="8"/>
      <c r="D20" s="10"/>
      <c r="F20" s="49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50"/>
      <c r="R20" s="49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50"/>
      <c r="AD20" s="49"/>
      <c r="AE20" s="33"/>
      <c r="AF20" s="33"/>
      <c r="AG20" s="33"/>
      <c r="AH20" s="33"/>
      <c r="AI20" s="33"/>
      <c r="AJ20" s="33"/>
      <c r="AK20" s="33"/>
      <c r="AL20" s="33"/>
      <c r="AM20" s="33"/>
      <c r="AN20" s="33"/>
      <c r="AO20" s="50"/>
      <c r="AP20" s="457"/>
      <c r="AQ20" s="451"/>
      <c r="AR20" s="451"/>
      <c r="AS20" s="451"/>
      <c r="AT20" s="451"/>
      <c r="AU20" s="451"/>
      <c r="AV20" s="451"/>
      <c r="AW20" s="451"/>
      <c r="AX20" s="451"/>
      <c r="AY20" s="451"/>
      <c r="AZ20" s="451"/>
      <c r="BA20" s="482"/>
      <c r="BB20" s="22"/>
    </row>
    <row r="21" spans="1:54" x14ac:dyDescent="0.35">
      <c r="A21" s="16"/>
      <c r="B21" s="8"/>
      <c r="C21" s="8"/>
      <c r="D21" s="10"/>
      <c r="F21" s="49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50"/>
      <c r="R21" s="49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50"/>
      <c r="AD21" s="49"/>
      <c r="AE21" s="33"/>
      <c r="AF21" s="33"/>
      <c r="AG21" s="33"/>
      <c r="AH21" s="33"/>
      <c r="AI21" s="33"/>
      <c r="AJ21" s="33"/>
      <c r="AK21" s="33"/>
      <c r="AL21" s="33"/>
      <c r="AM21" s="33"/>
      <c r="AN21" s="33"/>
      <c r="AO21" s="50"/>
      <c r="AP21" s="457"/>
      <c r="AQ21" s="451"/>
      <c r="AR21" s="451"/>
      <c r="AS21" s="451"/>
      <c r="AT21" s="451"/>
      <c r="AU21" s="451"/>
      <c r="AV21" s="451"/>
      <c r="AW21" s="451"/>
      <c r="AX21" s="451"/>
      <c r="AY21" s="451"/>
      <c r="AZ21" s="451"/>
      <c r="BA21" s="482"/>
      <c r="BB21" s="22"/>
    </row>
    <row r="22" spans="1:54" x14ac:dyDescent="0.35">
      <c r="A22" s="16" t="s">
        <v>83</v>
      </c>
      <c r="B22" s="8"/>
      <c r="C22" s="8" t="s">
        <v>84</v>
      </c>
      <c r="D22" s="10" t="s">
        <v>85</v>
      </c>
      <c r="F22" s="49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50"/>
      <c r="R22" s="49">
        <v>25000</v>
      </c>
      <c r="S22" s="33">
        <v>25000</v>
      </c>
      <c r="T22" s="33">
        <v>25000</v>
      </c>
      <c r="U22" s="33">
        <v>25000</v>
      </c>
      <c r="V22" s="33">
        <v>25000</v>
      </c>
      <c r="W22" s="33">
        <v>25000</v>
      </c>
      <c r="X22" s="33">
        <v>25000</v>
      </c>
      <c r="Y22" s="33">
        <v>25000</v>
      </c>
      <c r="Z22" s="33">
        <v>25000</v>
      </c>
      <c r="AA22" s="33">
        <v>25000</v>
      </c>
      <c r="AB22" s="33">
        <v>25000</v>
      </c>
      <c r="AC22" s="50">
        <v>25000</v>
      </c>
      <c r="AD22" s="49">
        <v>25000</v>
      </c>
      <c r="AE22" s="33">
        <v>25000</v>
      </c>
      <c r="AF22" s="33">
        <v>25000</v>
      </c>
      <c r="AG22" s="33">
        <v>25000</v>
      </c>
      <c r="AH22" s="33">
        <v>25000</v>
      </c>
      <c r="AI22" s="33">
        <v>25000</v>
      </c>
      <c r="AJ22" s="33">
        <v>25000</v>
      </c>
      <c r="AK22" s="33">
        <v>25000</v>
      </c>
      <c r="AL22" s="33">
        <v>25000</v>
      </c>
      <c r="AM22" s="33">
        <v>25000</v>
      </c>
      <c r="AN22" s="33">
        <v>25000</v>
      </c>
      <c r="AO22" s="50">
        <v>25000</v>
      </c>
      <c r="AP22" s="457"/>
      <c r="AQ22" s="451"/>
      <c r="AR22" s="451"/>
      <c r="AS22" s="451"/>
      <c r="AT22" s="451"/>
      <c r="AU22" s="451"/>
      <c r="AV22" s="451"/>
      <c r="AW22" s="451"/>
      <c r="AX22" s="451"/>
      <c r="AY22" s="451"/>
      <c r="AZ22" s="451"/>
      <c r="BA22" s="482"/>
      <c r="BB22" s="22"/>
    </row>
    <row r="23" spans="1:54" x14ac:dyDescent="0.35">
      <c r="A23" s="16" t="s">
        <v>86</v>
      </c>
      <c r="B23" s="8"/>
      <c r="C23" s="8" t="s">
        <v>356</v>
      </c>
      <c r="D23" s="10" t="s">
        <v>85</v>
      </c>
      <c r="F23" s="51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52"/>
      <c r="R23" s="51">
        <v>24637</v>
      </c>
      <c r="S23" s="20">
        <v>24649</v>
      </c>
      <c r="T23" s="20">
        <v>24889</v>
      </c>
      <c r="U23" s="20">
        <v>25297</v>
      </c>
      <c r="V23" s="20">
        <v>25467</v>
      </c>
      <c r="W23" s="20">
        <v>25465</v>
      </c>
      <c r="X23" s="20">
        <v>25460</v>
      </c>
      <c r="Y23" s="20">
        <v>25203</v>
      </c>
      <c r="Z23" s="20">
        <v>24803</v>
      </c>
      <c r="AA23" s="20">
        <v>25200</v>
      </c>
      <c r="AB23" s="20">
        <v>25488</v>
      </c>
      <c r="AC23" s="52">
        <v>25499</v>
      </c>
      <c r="AD23" s="51">
        <v>25464</v>
      </c>
      <c r="AE23" s="20">
        <v>25586</v>
      </c>
      <c r="AF23" s="20">
        <v>25726</v>
      </c>
      <c r="AG23" s="20">
        <v>26053</v>
      </c>
      <c r="AH23" s="20">
        <v>26143</v>
      </c>
      <c r="AI23" s="20">
        <v>26248</v>
      </c>
      <c r="AJ23" s="20">
        <v>26329</v>
      </c>
      <c r="AK23" s="20">
        <v>26459</v>
      </c>
      <c r="AL23" s="453">
        <v>26473</v>
      </c>
      <c r="AM23" s="453">
        <v>26374</v>
      </c>
      <c r="AN23" s="453">
        <v>26147</v>
      </c>
      <c r="AO23" s="439">
        <v>26147</v>
      </c>
      <c r="AP23" s="458"/>
      <c r="AQ23" s="453"/>
      <c r="AR23" s="453"/>
      <c r="AS23" s="453"/>
      <c r="AT23" s="453"/>
      <c r="AU23" s="453"/>
      <c r="AV23" s="453"/>
      <c r="AW23" s="453"/>
      <c r="AX23" s="453"/>
      <c r="AY23" s="453"/>
      <c r="AZ23" s="453"/>
      <c r="BA23" s="483"/>
      <c r="BB23" s="22"/>
    </row>
    <row r="24" spans="1:54" x14ac:dyDescent="0.35">
      <c r="A24" s="16" t="s">
        <v>87</v>
      </c>
      <c r="B24" s="8"/>
      <c r="C24" s="8" t="s">
        <v>357</v>
      </c>
      <c r="D24" s="10" t="s">
        <v>85</v>
      </c>
      <c r="F24" s="51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52"/>
      <c r="R24" s="51">
        <v>24297</v>
      </c>
      <c r="S24" s="20">
        <v>24309</v>
      </c>
      <c r="T24" s="20">
        <v>24550</v>
      </c>
      <c r="U24" s="20">
        <v>24966</v>
      </c>
      <c r="V24" s="20">
        <v>25211</v>
      </c>
      <c r="W24" s="20">
        <v>25235</v>
      </c>
      <c r="X24" s="20">
        <v>25191</v>
      </c>
      <c r="Y24" s="20">
        <v>24864</v>
      </c>
      <c r="Z24" s="20">
        <v>24463</v>
      </c>
      <c r="AA24" s="20">
        <v>24864</v>
      </c>
      <c r="AB24" s="20">
        <v>25170</v>
      </c>
      <c r="AC24" s="52">
        <v>25198</v>
      </c>
      <c r="AD24" s="51">
        <v>25080</v>
      </c>
      <c r="AE24" s="20">
        <v>25216</v>
      </c>
      <c r="AF24" s="20">
        <v>25366</v>
      </c>
      <c r="AG24" s="20">
        <v>25693</v>
      </c>
      <c r="AH24" s="20">
        <v>25783</v>
      </c>
      <c r="AI24" s="20">
        <v>25893</v>
      </c>
      <c r="AJ24" s="20">
        <v>25970</v>
      </c>
      <c r="AK24" s="20">
        <v>26102</v>
      </c>
      <c r="AL24" s="453">
        <v>26198</v>
      </c>
      <c r="AM24" s="453">
        <v>26152</v>
      </c>
      <c r="AN24" s="453">
        <v>26379</v>
      </c>
      <c r="AO24" s="439">
        <v>26379</v>
      </c>
      <c r="AP24" s="458"/>
      <c r="AQ24" s="453"/>
      <c r="AR24" s="453"/>
      <c r="AS24" s="453"/>
      <c r="AT24" s="453"/>
      <c r="AU24" s="453"/>
      <c r="AV24" s="453"/>
      <c r="AW24" s="453"/>
      <c r="AX24" s="453"/>
      <c r="AY24" s="453"/>
      <c r="AZ24" s="453"/>
      <c r="BA24" s="483"/>
      <c r="BB24" s="22"/>
    </row>
    <row r="25" spans="1:54" x14ac:dyDescent="0.35">
      <c r="A25" s="16"/>
      <c r="B25" s="8"/>
      <c r="C25" s="8"/>
      <c r="D25" s="10"/>
      <c r="F25" s="53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54"/>
      <c r="R25" s="53"/>
      <c r="S25" s="8"/>
      <c r="T25" s="8"/>
      <c r="U25" s="8"/>
      <c r="V25" s="8"/>
      <c r="W25" s="8"/>
      <c r="X25" s="8"/>
      <c r="Y25" s="8"/>
      <c r="Z25" s="8"/>
      <c r="AA25" s="8"/>
      <c r="AB25" s="8"/>
      <c r="AC25" s="56"/>
      <c r="AD25" s="55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56"/>
      <c r="AP25" s="55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56"/>
      <c r="BB25" s="22"/>
    </row>
    <row r="26" spans="1:54" s="1" customFormat="1" x14ac:dyDescent="0.35">
      <c r="A26" s="17"/>
      <c r="B26" s="64"/>
      <c r="C26" s="64" t="s">
        <v>88</v>
      </c>
      <c r="D26" s="65"/>
      <c r="E26" s="66"/>
      <c r="F26" s="67"/>
      <c r="G26" s="64"/>
      <c r="H26" s="64"/>
      <c r="I26" s="64"/>
      <c r="J26" s="64"/>
      <c r="K26" s="64"/>
      <c r="L26" s="64"/>
      <c r="M26" s="64"/>
      <c r="N26" s="64"/>
      <c r="O26" s="64"/>
      <c r="P26" s="64"/>
      <c r="Q26" s="68"/>
      <c r="R26" s="67"/>
      <c r="S26" s="64"/>
      <c r="T26" s="64"/>
      <c r="U26" s="64"/>
      <c r="V26" s="64"/>
      <c r="W26" s="64"/>
      <c r="X26" s="64"/>
      <c r="Y26" s="64"/>
      <c r="Z26" s="64"/>
      <c r="AA26" s="64"/>
      <c r="AB26" s="64"/>
      <c r="AC26" s="68"/>
      <c r="AD26" s="67"/>
      <c r="AE26" s="64"/>
      <c r="AF26" s="64"/>
      <c r="AG26" s="64"/>
      <c r="AH26" s="64"/>
      <c r="AI26" s="64"/>
      <c r="AJ26" s="64"/>
      <c r="AK26" s="64"/>
      <c r="AL26" s="64"/>
      <c r="AM26" s="64"/>
      <c r="AN26" s="64"/>
      <c r="AO26" s="68"/>
      <c r="AP26" s="67"/>
      <c r="AQ26" s="64"/>
      <c r="AR26" s="64"/>
      <c r="AS26" s="64"/>
      <c r="AT26" s="64"/>
      <c r="AU26" s="64"/>
      <c r="AV26" s="64"/>
      <c r="AW26" s="64"/>
      <c r="AX26" s="64"/>
      <c r="AY26" s="64"/>
      <c r="AZ26" s="64"/>
      <c r="BA26" s="68"/>
      <c r="BB26" s="41"/>
    </row>
    <row r="27" spans="1:54" x14ac:dyDescent="0.35">
      <c r="A27" s="16" t="s">
        <v>29</v>
      </c>
      <c r="B27" s="8"/>
      <c r="C27" s="8" t="s">
        <v>89</v>
      </c>
      <c r="D27" s="10" t="s">
        <v>70</v>
      </c>
      <c r="F27" s="104"/>
      <c r="G27" s="105"/>
      <c r="H27" s="105"/>
      <c r="I27" s="105"/>
      <c r="J27" s="105"/>
      <c r="K27" s="105"/>
      <c r="L27" s="105"/>
      <c r="M27" s="105"/>
      <c r="N27" s="105"/>
      <c r="O27" s="105"/>
      <c r="P27" s="105"/>
      <c r="Q27" s="106"/>
      <c r="R27" s="101">
        <v>1340</v>
      </c>
      <c r="S27" s="102">
        <v>1340</v>
      </c>
      <c r="T27" s="102">
        <v>1340</v>
      </c>
      <c r="U27" s="102">
        <v>1340</v>
      </c>
      <c r="V27" s="102">
        <v>1390</v>
      </c>
      <c r="W27" s="102">
        <v>1390</v>
      </c>
      <c r="X27" s="102">
        <v>1390</v>
      </c>
      <c r="Y27" s="102">
        <v>1390</v>
      </c>
      <c r="Z27" s="102">
        <v>1400</v>
      </c>
      <c r="AA27" s="102">
        <v>1415</v>
      </c>
      <c r="AB27" s="102">
        <v>1415</v>
      </c>
      <c r="AC27" s="103">
        <v>1365</v>
      </c>
      <c r="AD27" s="101">
        <v>1320</v>
      </c>
      <c r="AE27" s="102">
        <v>1280</v>
      </c>
      <c r="AF27" s="102">
        <v>1320</v>
      </c>
      <c r="AG27" s="102">
        <v>1340</v>
      </c>
      <c r="AH27" s="102">
        <v>1340</v>
      </c>
      <c r="AI27" s="102">
        <v>1340</v>
      </c>
      <c r="AJ27" s="102">
        <v>1340</v>
      </c>
      <c r="AK27" s="102">
        <v>1310</v>
      </c>
      <c r="AL27" s="102">
        <v>1310</v>
      </c>
      <c r="AM27" s="102">
        <v>1300</v>
      </c>
      <c r="AN27" s="102">
        <v>1290</v>
      </c>
      <c r="AO27" s="103">
        <v>1290</v>
      </c>
      <c r="AP27" s="101"/>
      <c r="AQ27" s="102"/>
      <c r="AR27" s="102"/>
      <c r="AS27" s="102"/>
      <c r="AT27" s="102"/>
      <c r="AU27" s="102"/>
      <c r="AV27" s="102"/>
      <c r="AW27" s="102"/>
      <c r="AX27" s="102"/>
      <c r="AY27" s="102"/>
      <c r="AZ27" s="102"/>
      <c r="BA27" s="103"/>
      <c r="BB27" s="22"/>
    </row>
    <row r="28" spans="1:54" x14ac:dyDescent="0.35">
      <c r="A28" s="16" t="s">
        <v>90</v>
      </c>
      <c r="B28" s="8"/>
      <c r="C28" s="8" t="s">
        <v>91</v>
      </c>
      <c r="D28" s="10" t="s">
        <v>70</v>
      </c>
      <c r="F28" s="104"/>
      <c r="G28" s="105"/>
      <c r="H28" s="105"/>
      <c r="I28" s="105"/>
      <c r="J28" s="105"/>
      <c r="K28" s="105"/>
      <c r="L28" s="105"/>
      <c r="M28" s="105"/>
      <c r="N28" s="105"/>
      <c r="O28" s="105"/>
      <c r="P28" s="105"/>
      <c r="Q28" s="106"/>
      <c r="R28" s="101">
        <v>1280</v>
      </c>
      <c r="S28" s="102">
        <v>1280</v>
      </c>
      <c r="T28" s="102">
        <v>1280</v>
      </c>
      <c r="U28" s="102">
        <v>1280</v>
      </c>
      <c r="V28" s="102">
        <v>1330</v>
      </c>
      <c r="W28" s="102">
        <v>1330</v>
      </c>
      <c r="X28" s="102">
        <v>1330</v>
      </c>
      <c r="Y28" s="102">
        <v>1330</v>
      </c>
      <c r="Z28" s="102">
        <v>1340</v>
      </c>
      <c r="AA28" s="102">
        <v>1355</v>
      </c>
      <c r="AB28" s="102">
        <v>1355</v>
      </c>
      <c r="AC28" s="103">
        <v>1305</v>
      </c>
      <c r="AD28" s="101">
        <v>1260</v>
      </c>
      <c r="AE28" s="102">
        <v>1250</v>
      </c>
      <c r="AF28" s="102">
        <v>1260</v>
      </c>
      <c r="AG28" s="102">
        <v>1280</v>
      </c>
      <c r="AH28" s="102">
        <v>1280</v>
      </c>
      <c r="AI28" s="102">
        <v>1280</v>
      </c>
      <c r="AJ28" s="102">
        <v>1280</v>
      </c>
      <c r="AK28" s="102">
        <v>1250</v>
      </c>
      <c r="AL28" s="102">
        <v>1250</v>
      </c>
      <c r="AM28" s="102">
        <v>1240</v>
      </c>
      <c r="AN28" s="102">
        <v>1230</v>
      </c>
      <c r="AO28" s="103">
        <v>1230</v>
      </c>
      <c r="AP28" s="101"/>
      <c r="AQ28" s="102"/>
      <c r="AR28" s="102"/>
      <c r="AS28" s="102"/>
      <c r="AT28" s="102"/>
      <c r="AU28" s="102"/>
      <c r="AV28" s="102"/>
      <c r="AW28" s="102"/>
      <c r="AX28" s="102"/>
      <c r="AY28" s="102"/>
      <c r="AZ28" s="102"/>
      <c r="BA28" s="103"/>
      <c r="BB28" s="22"/>
    </row>
    <row r="29" spans="1:54" x14ac:dyDescent="0.35">
      <c r="A29" s="16" t="s">
        <v>31</v>
      </c>
      <c r="B29" s="8"/>
      <c r="C29" s="8" t="s">
        <v>92</v>
      </c>
      <c r="D29" s="10" t="s">
        <v>70</v>
      </c>
      <c r="F29" s="104"/>
      <c r="G29" s="105"/>
      <c r="H29" s="105"/>
      <c r="I29" s="105"/>
      <c r="J29" s="105"/>
      <c r="K29" s="105"/>
      <c r="L29" s="105"/>
      <c r="M29" s="105"/>
      <c r="N29" s="105"/>
      <c r="O29" s="105"/>
      <c r="P29" s="105"/>
      <c r="Q29" s="106"/>
      <c r="R29" s="101">
        <v>1280</v>
      </c>
      <c r="S29" s="102">
        <v>1280</v>
      </c>
      <c r="T29" s="102">
        <v>1280</v>
      </c>
      <c r="U29" s="102">
        <v>1280</v>
      </c>
      <c r="V29" s="102">
        <v>1330</v>
      </c>
      <c r="W29" s="102">
        <v>1330</v>
      </c>
      <c r="X29" s="102">
        <v>1330</v>
      </c>
      <c r="Y29" s="102">
        <v>1330</v>
      </c>
      <c r="Z29" s="102">
        <v>1340</v>
      </c>
      <c r="AA29" s="102">
        <v>1355</v>
      </c>
      <c r="AB29" s="102">
        <v>1355</v>
      </c>
      <c r="AC29" s="103">
        <v>1305</v>
      </c>
      <c r="AD29" s="101">
        <v>1260</v>
      </c>
      <c r="AE29" s="102">
        <v>1260</v>
      </c>
      <c r="AF29" s="102">
        <v>1260</v>
      </c>
      <c r="AG29" s="102">
        <v>1280</v>
      </c>
      <c r="AH29" s="102">
        <v>1280</v>
      </c>
      <c r="AI29" s="102">
        <v>1280</v>
      </c>
      <c r="AJ29" s="102">
        <v>1280</v>
      </c>
      <c r="AK29" s="102">
        <v>1250</v>
      </c>
      <c r="AL29" s="102">
        <v>1250</v>
      </c>
      <c r="AM29" s="102">
        <v>1240</v>
      </c>
      <c r="AN29" s="102">
        <v>1230</v>
      </c>
      <c r="AO29" s="103">
        <v>1230</v>
      </c>
      <c r="AP29" s="101"/>
      <c r="AQ29" s="102"/>
      <c r="AR29" s="102"/>
      <c r="AS29" s="102"/>
      <c r="AT29" s="102"/>
      <c r="AU29" s="102"/>
      <c r="AV29" s="102"/>
      <c r="AW29" s="102"/>
      <c r="AX29" s="102"/>
      <c r="AY29" s="102"/>
      <c r="AZ29" s="102"/>
      <c r="BA29" s="103"/>
      <c r="BB29" s="22"/>
    </row>
    <row r="30" spans="1:54" x14ac:dyDescent="0.35">
      <c r="A30" s="16" t="s">
        <v>93</v>
      </c>
      <c r="B30" s="8"/>
      <c r="C30" s="8" t="s">
        <v>94</v>
      </c>
      <c r="D30" s="10" t="s">
        <v>70</v>
      </c>
      <c r="F30" s="104"/>
      <c r="G30" s="105"/>
      <c r="H30" s="105"/>
      <c r="I30" s="105"/>
      <c r="J30" s="105"/>
      <c r="K30" s="105"/>
      <c r="L30" s="105"/>
      <c r="M30" s="105"/>
      <c r="N30" s="105"/>
      <c r="O30" s="105"/>
      <c r="P30" s="105"/>
      <c r="Q30" s="106"/>
      <c r="R30" s="101">
        <v>1280</v>
      </c>
      <c r="S30" s="102">
        <v>1280</v>
      </c>
      <c r="T30" s="102">
        <v>1280</v>
      </c>
      <c r="U30" s="102">
        <v>1280</v>
      </c>
      <c r="V30" s="102">
        <v>1330</v>
      </c>
      <c r="W30" s="102">
        <v>1330</v>
      </c>
      <c r="X30" s="102">
        <v>1330</v>
      </c>
      <c r="Y30" s="102">
        <v>1330</v>
      </c>
      <c r="Z30" s="102">
        <v>1340</v>
      </c>
      <c r="AA30" s="102">
        <v>1355</v>
      </c>
      <c r="AB30" s="102">
        <v>1355</v>
      </c>
      <c r="AC30" s="103">
        <v>1305</v>
      </c>
      <c r="AD30" s="101">
        <v>1260</v>
      </c>
      <c r="AE30" s="102">
        <v>1260</v>
      </c>
      <c r="AF30" s="102">
        <v>1260</v>
      </c>
      <c r="AG30" s="102">
        <v>1280</v>
      </c>
      <c r="AH30" s="102">
        <v>1280</v>
      </c>
      <c r="AI30" s="102">
        <v>1280</v>
      </c>
      <c r="AJ30" s="102">
        <v>1280</v>
      </c>
      <c r="AK30" s="102">
        <v>1250</v>
      </c>
      <c r="AL30" s="102">
        <v>1250</v>
      </c>
      <c r="AM30" s="102">
        <v>1240</v>
      </c>
      <c r="AN30" s="102">
        <v>1230</v>
      </c>
      <c r="AO30" s="103">
        <v>1230</v>
      </c>
      <c r="AP30" s="101"/>
      <c r="AQ30" s="102"/>
      <c r="AR30" s="102"/>
      <c r="AS30" s="102"/>
      <c r="AT30" s="102"/>
      <c r="AU30" s="102"/>
      <c r="AV30" s="102"/>
      <c r="AW30" s="102"/>
      <c r="AX30" s="102"/>
      <c r="AY30" s="102"/>
      <c r="AZ30" s="102"/>
      <c r="BA30" s="103"/>
      <c r="BB30" s="22"/>
    </row>
    <row r="31" spans="1:54" x14ac:dyDescent="0.35">
      <c r="A31" s="16" t="s">
        <v>15</v>
      </c>
      <c r="B31" s="8"/>
      <c r="C31" s="8" t="s">
        <v>95</v>
      </c>
      <c r="D31" s="10" t="s">
        <v>70</v>
      </c>
      <c r="F31" s="104"/>
      <c r="G31" s="105"/>
      <c r="H31" s="105"/>
      <c r="I31" s="105"/>
      <c r="J31" s="105"/>
      <c r="K31" s="105"/>
      <c r="L31" s="105"/>
      <c r="M31" s="105"/>
      <c r="N31" s="105"/>
      <c r="O31" s="105"/>
      <c r="P31" s="105"/>
      <c r="Q31" s="106"/>
      <c r="R31" s="101">
        <v>1250</v>
      </c>
      <c r="S31" s="102">
        <v>1250</v>
      </c>
      <c r="T31" s="102">
        <v>1250</v>
      </c>
      <c r="U31" s="102">
        <v>1250</v>
      </c>
      <c r="V31" s="102">
        <v>1300</v>
      </c>
      <c r="W31" s="102">
        <v>1300</v>
      </c>
      <c r="X31" s="102">
        <v>1300</v>
      </c>
      <c r="Y31" s="102">
        <v>1300</v>
      </c>
      <c r="Z31" s="102">
        <v>1310</v>
      </c>
      <c r="AA31" s="102">
        <v>1325</v>
      </c>
      <c r="AB31" s="102">
        <v>1325</v>
      </c>
      <c r="AC31" s="103">
        <v>1275</v>
      </c>
      <c r="AD31" s="101">
        <v>1230</v>
      </c>
      <c r="AE31" s="102">
        <v>1230</v>
      </c>
      <c r="AF31" s="102">
        <v>1230</v>
      </c>
      <c r="AG31" s="102">
        <v>1250</v>
      </c>
      <c r="AH31" s="102">
        <v>1250</v>
      </c>
      <c r="AI31" s="102">
        <v>1250</v>
      </c>
      <c r="AJ31" s="102">
        <v>1250</v>
      </c>
      <c r="AK31" s="102">
        <v>1220</v>
      </c>
      <c r="AL31" s="102">
        <v>1220</v>
      </c>
      <c r="AM31" s="102">
        <v>1210</v>
      </c>
      <c r="AN31" s="102">
        <v>1200</v>
      </c>
      <c r="AO31" s="103">
        <v>1200</v>
      </c>
      <c r="AP31" s="101"/>
      <c r="AQ31" s="102"/>
      <c r="AR31" s="102"/>
      <c r="AS31" s="102"/>
      <c r="AT31" s="102"/>
      <c r="AU31" s="102"/>
      <c r="AV31" s="102"/>
      <c r="AW31" s="102"/>
      <c r="AX31" s="102"/>
      <c r="AY31" s="102"/>
      <c r="AZ31" s="102"/>
      <c r="BA31" s="103"/>
      <c r="BB31" s="22"/>
    </row>
    <row r="32" spans="1:54" x14ac:dyDescent="0.35">
      <c r="A32" s="16" t="s">
        <v>96</v>
      </c>
      <c r="B32" s="8"/>
      <c r="C32" s="8" t="s">
        <v>97</v>
      </c>
      <c r="D32" s="10" t="s">
        <v>70</v>
      </c>
      <c r="F32" s="104"/>
      <c r="G32" s="105"/>
      <c r="H32" s="105"/>
      <c r="I32" s="105"/>
      <c r="J32" s="105"/>
      <c r="K32" s="105"/>
      <c r="L32" s="105"/>
      <c r="M32" s="105"/>
      <c r="N32" s="105"/>
      <c r="O32" s="105"/>
      <c r="P32" s="105"/>
      <c r="Q32" s="106"/>
      <c r="R32" s="101">
        <v>1250</v>
      </c>
      <c r="S32" s="102">
        <v>1250</v>
      </c>
      <c r="T32" s="102">
        <v>1250</v>
      </c>
      <c r="U32" s="102">
        <v>1250</v>
      </c>
      <c r="V32" s="102">
        <v>1300</v>
      </c>
      <c r="W32" s="102">
        <v>1300</v>
      </c>
      <c r="X32" s="102">
        <v>1300</v>
      </c>
      <c r="Y32" s="102">
        <v>1300</v>
      </c>
      <c r="Z32" s="102">
        <v>1310</v>
      </c>
      <c r="AA32" s="102">
        <v>1325</v>
      </c>
      <c r="AB32" s="102">
        <v>1325</v>
      </c>
      <c r="AC32" s="103">
        <v>1275</v>
      </c>
      <c r="AD32" s="101">
        <v>1230</v>
      </c>
      <c r="AE32" s="102">
        <v>1230</v>
      </c>
      <c r="AF32" s="102">
        <v>1230</v>
      </c>
      <c r="AG32" s="102">
        <v>1250</v>
      </c>
      <c r="AH32" s="102">
        <v>1250</v>
      </c>
      <c r="AI32" s="102">
        <v>1250</v>
      </c>
      <c r="AJ32" s="102">
        <v>1250</v>
      </c>
      <c r="AK32" s="102">
        <v>1220</v>
      </c>
      <c r="AL32" s="102">
        <v>1220</v>
      </c>
      <c r="AM32" s="102">
        <v>1210</v>
      </c>
      <c r="AN32" s="102">
        <v>1200</v>
      </c>
      <c r="AO32" s="103">
        <v>1200</v>
      </c>
      <c r="AP32" s="101"/>
      <c r="AQ32" s="102"/>
      <c r="AR32" s="102"/>
      <c r="AS32" s="102"/>
      <c r="AT32" s="102"/>
      <c r="AU32" s="102"/>
      <c r="AV32" s="102"/>
      <c r="AW32" s="102"/>
      <c r="AX32" s="102"/>
      <c r="AY32" s="102"/>
      <c r="AZ32" s="102"/>
      <c r="BA32" s="103"/>
      <c r="BB32" s="22"/>
    </row>
    <row r="33" spans="1:54" s="1" customFormat="1" x14ac:dyDescent="0.35">
      <c r="A33" s="17" t="s">
        <v>35</v>
      </c>
      <c r="B33" s="144"/>
      <c r="C33" s="144" t="s">
        <v>98</v>
      </c>
      <c r="D33" s="389" t="s">
        <v>70</v>
      </c>
      <c r="F33" s="390"/>
      <c r="G33" s="391"/>
      <c r="H33" s="391"/>
      <c r="I33" s="391"/>
      <c r="J33" s="391"/>
      <c r="K33" s="391"/>
      <c r="L33" s="391"/>
      <c r="M33" s="391"/>
      <c r="N33" s="391"/>
      <c r="O33" s="391"/>
      <c r="P33" s="391"/>
      <c r="Q33" s="392"/>
      <c r="R33" s="393">
        <v>1250</v>
      </c>
      <c r="S33" s="394">
        <v>1250</v>
      </c>
      <c r="T33" s="394">
        <v>1250</v>
      </c>
      <c r="U33" s="394">
        <v>1250</v>
      </c>
      <c r="V33" s="394">
        <v>1300</v>
      </c>
      <c r="W33" s="394">
        <v>1300</v>
      </c>
      <c r="X33" s="394">
        <v>1300</v>
      </c>
      <c r="Y33" s="394">
        <v>1300</v>
      </c>
      <c r="Z33" s="394">
        <v>1310</v>
      </c>
      <c r="AA33" s="394">
        <v>1325</v>
      </c>
      <c r="AB33" s="394">
        <v>1325</v>
      </c>
      <c r="AC33" s="395">
        <v>1275</v>
      </c>
      <c r="AD33" s="393">
        <v>1230</v>
      </c>
      <c r="AE33" s="394">
        <v>1230</v>
      </c>
      <c r="AF33" s="394">
        <v>1230</v>
      </c>
      <c r="AG33" s="394">
        <v>1250</v>
      </c>
      <c r="AH33" s="394">
        <v>1250</v>
      </c>
      <c r="AI33" s="394">
        <v>1250</v>
      </c>
      <c r="AJ33" s="394">
        <v>1250</v>
      </c>
      <c r="AK33" s="394">
        <v>1220</v>
      </c>
      <c r="AL33" s="394">
        <v>1220</v>
      </c>
      <c r="AM33" s="394">
        <v>1210</v>
      </c>
      <c r="AN33" s="394">
        <v>1200</v>
      </c>
      <c r="AO33" s="395">
        <v>1200</v>
      </c>
      <c r="AP33" s="393"/>
      <c r="AQ33" s="394"/>
      <c r="AR33" s="394"/>
      <c r="AS33" s="394"/>
      <c r="AT33" s="394"/>
      <c r="AU33" s="394"/>
      <c r="AV33" s="394"/>
      <c r="AW33" s="394"/>
      <c r="AX33" s="394"/>
      <c r="AY33" s="394"/>
      <c r="AZ33" s="394"/>
      <c r="BA33" s="395"/>
      <c r="BB33" s="41"/>
    </row>
    <row r="34" spans="1:54" s="1" customFormat="1" x14ac:dyDescent="0.35">
      <c r="A34" s="17" t="s">
        <v>99</v>
      </c>
      <c r="B34" s="144"/>
      <c r="C34" s="144" t="s">
        <v>100</v>
      </c>
      <c r="D34" s="389" t="s">
        <v>70</v>
      </c>
      <c r="F34" s="390"/>
      <c r="G34" s="391"/>
      <c r="H34" s="391"/>
      <c r="I34" s="391"/>
      <c r="J34" s="391"/>
      <c r="K34" s="391"/>
      <c r="L34" s="391"/>
      <c r="M34" s="391"/>
      <c r="N34" s="391"/>
      <c r="O34" s="391"/>
      <c r="P34" s="391"/>
      <c r="Q34" s="392"/>
      <c r="R34" s="393">
        <v>1240</v>
      </c>
      <c r="S34" s="394">
        <v>1240</v>
      </c>
      <c r="T34" s="394">
        <v>1240</v>
      </c>
      <c r="U34" s="394">
        <v>1240</v>
      </c>
      <c r="V34" s="394">
        <v>1290</v>
      </c>
      <c r="W34" s="394">
        <v>1290</v>
      </c>
      <c r="X34" s="394">
        <v>1270</v>
      </c>
      <c r="Y34" s="394">
        <v>1270</v>
      </c>
      <c r="Z34" s="394">
        <v>1280</v>
      </c>
      <c r="AA34" s="394">
        <v>1295</v>
      </c>
      <c r="AB34" s="394">
        <v>1295</v>
      </c>
      <c r="AC34" s="395">
        <v>1245</v>
      </c>
      <c r="AD34" s="393">
        <v>1200</v>
      </c>
      <c r="AE34" s="394">
        <v>1200</v>
      </c>
      <c r="AF34" s="394">
        <v>1200</v>
      </c>
      <c r="AG34" s="394">
        <v>1220</v>
      </c>
      <c r="AH34" s="394">
        <v>1220</v>
      </c>
      <c r="AI34" s="394">
        <v>1220</v>
      </c>
      <c r="AJ34" s="394">
        <v>1220</v>
      </c>
      <c r="AK34" s="394">
        <v>1190</v>
      </c>
      <c r="AL34" s="394">
        <v>1190</v>
      </c>
      <c r="AM34" s="394">
        <v>1180</v>
      </c>
      <c r="AN34" s="394">
        <v>1170</v>
      </c>
      <c r="AO34" s="395">
        <v>1170</v>
      </c>
      <c r="AP34" s="393"/>
      <c r="AQ34" s="394"/>
      <c r="AR34" s="394"/>
      <c r="AS34" s="394"/>
      <c r="AT34" s="394"/>
      <c r="AU34" s="394"/>
      <c r="AV34" s="394"/>
      <c r="AW34" s="394"/>
      <c r="AX34" s="394"/>
      <c r="AY34" s="394"/>
      <c r="AZ34" s="394"/>
      <c r="BA34" s="395"/>
      <c r="BB34" s="41"/>
    </row>
    <row r="35" spans="1:54" x14ac:dyDescent="0.35">
      <c r="A35" s="16" t="s">
        <v>352</v>
      </c>
      <c r="B35" s="8"/>
      <c r="C35" s="8" t="s">
        <v>353</v>
      </c>
      <c r="D35" s="10" t="s">
        <v>70</v>
      </c>
      <c r="F35" s="104"/>
      <c r="G35" s="105"/>
      <c r="H35" s="105"/>
      <c r="I35" s="105"/>
      <c r="J35" s="105"/>
      <c r="K35" s="105"/>
      <c r="L35" s="105"/>
      <c r="M35" s="105"/>
      <c r="N35" s="105"/>
      <c r="O35" s="105"/>
      <c r="P35" s="105"/>
      <c r="Q35" s="106"/>
      <c r="R35" s="396"/>
      <c r="S35" s="397"/>
      <c r="T35" s="397"/>
      <c r="U35" s="397"/>
      <c r="V35" s="397"/>
      <c r="W35" s="397"/>
      <c r="X35" s="397"/>
      <c r="Y35" s="397"/>
      <c r="Z35" s="397"/>
      <c r="AA35" s="397"/>
      <c r="AB35" s="397"/>
      <c r="AC35" s="398"/>
      <c r="AD35" s="396"/>
      <c r="AE35" s="397"/>
      <c r="AF35" s="397">
        <v>1230</v>
      </c>
      <c r="AG35" s="397">
        <v>1250</v>
      </c>
      <c r="AH35" s="397">
        <v>1250</v>
      </c>
      <c r="AI35" s="397">
        <v>1250</v>
      </c>
      <c r="AJ35" s="397">
        <v>1250</v>
      </c>
      <c r="AK35" s="397">
        <v>1220</v>
      </c>
      <c r="AL35" s="397">
        <v>1220</v>
      </c>
      <c r="AM35" s="397">
        <v>1210</v>
      </c>
      <c r="AN35" s="397">
        <v>1200</v>
      </c>
      <c r="AO35" s="398">
        <v>1200</v>
      </c>
      <c r="AP35" s="396"/>
      <c r="AQ35" s="397"/>
      <c r="AR35" s="397"/>
      <c r="AS35" s="397"/>
      <c r="AT35" s="397"/>
      <c r="AU35" s="397"/>
      <c r="AV35" s="397"/>
      <c r="AW35" s="397"/>
      <c r="AX35" s="397"/>
      <c r="AY35" s="397"/>
      <c r="AZ35" s="397"/>
      <c r="BA35" s="398"/>
      <c r="BB35" s="22"/>
    </row>
    <row r="36" spans="1:54" x14ac:dyDescent="0.35">
      <c r="A36" s="16" t="s">
        <v>101</v>
      </c>
      <c r="B36" s="8"/>
      <c r="C36" s="8" t="s">
        <v>102</v>
      </c>
      <c r="D36" s="10" t="s">
        <v>70</v>
      </c>
      <c r="F36" s="104"/>
      <c r="G36" s="105"/>
      <c r="H36" s="105"/>
      <c r="I36" s="105"/>
      <c r="J36" s="105"/>
      <c r="K36" s="105"/>
      <c r="L36" s="105"/>
      <c r="M36" s="105"/>
      <c r="N36" s="105"/>
      <c r="O36" s="105"/>
      <c r="P36" s="105"/>
      <c r="Q36" s="106"/>
      <c r="R36" s="101">
        <v>1240</v>
      </c>
      <c r="S36" s="102">
        <v>1240</v>
      </c>
      <c r="T36" s="102">
        <v>1240</v>
      </c>
      <c r="U36" s="102">
        <v>1240</v>
      </c>
      <c r="V36" s="102">
        <v>1290</v>
      </c>
      <c r="W36" s="102">
        <v>1290</v>
      </c>
      <c r="X36" s="102">
        <v>1270</v>
      </c>
      <c r="Y36" s="102">
        <v>1270</v>
      </c>
      <c r="Z36" s="102">
        <v>1280</v>
      </c>
      <c r="AA36" s="102">
        <v>1295</v>
      </c>
      <c r="AB36" s="102">
        <v>1295</v>
      </c>
      <c r="AC36" s="103">
        <v>1245</v>
      </c>
      <c r="AD36" s="101">
        <v>1200</v>
      </c>
      <c r="AE36" s="102">
        <v>1200</v>
      </c>
      <c r="AF36" s="102">
        <v>1200</v>
      </c>
      <c r="AG36" s="102">
        <v>1220</v>
      </c>
      <c r="AH36" s="102">
        <v>1220</v>
      </c>
      <c r="AI36" s="102">
        <v>1220</v>
      </c>
      <c r="AJ36" s="102">
        <v>1220</v>
      </c>
      <c r="AK36" s="102">
        <v>1190</v>
      </c>
      <c r="AL36" s="102">
        <v>1190</v>
      </c>
      <c r="AM36" s="102">
        <v>1180</v>
      </c>
      <c r="AN36" s="102">
        <v>1170</v>
      </c>
      <c r="AO36" s="103">
        <v>1170</v>
      </c>
      <c r="AP36" s="101"/>
      <c r="AQ36" s="102"/>
      <c r="AR36" s="102"/>
      <c r="AS36" s="102"/>
      <c r="AT36" s="102"/>
      <c r="AU36" s="102"/>
      <c r="AV36" s="102"/>
      <c r="AW36" s="102"/>
      <c r="AX36" s="102"/>
      <c r="AY36" s="102"/>
      <c r="AZ36" s="102"/>
      <c r="BA36" s="103"/>
      <c r="BB36" s="22"/>
    </row>
    <row r="37" spans="1:54" x14ac:dyDescent="0.35">
      <c r="A37" s="16" t="s">
        <v>103</v>
      </c>
      <c r="B37" s="8"/>
      <c r="C37" s="8" t="s">
        <v>104</v>
      </c>
      <c r="D37" s="10" t="s">
        <v>70</v>
      </c>
      <c r="F37" s="104"/>
      <c r="G37" s="105"/>
      <c r="H37" s="105"/>
      <c r="I37" s="105"/>
      <c r="J37" s="105"/>
      <c r="K37" s="105"/>
      <c r="L37" s="105"/>
      <c r="M37" s="105"/>
      <c r="N37" s="105"/>
      <c r="O37" s="105"/>
      <c r="P37" s="105"/>
      <c r="Q37" s="106"/>
      <c r="R37" s="101">
        <v>1180</v>
      </c>
      <c r="S37" s="102">
        <v>1180</v>
      </c>
      <c r="T37" s="102">
        <v>1180</v>
      </c>
      <c r="U37" s="102">
        <v>1180</v>
      </c>
      <c r="V37" s="102">
        <v>1230</v>
      </c>
      <c r="W37" s="102">
        <v>1230</v>
      </c>
      <c r="X37" s="102">
        <v>1230</v>
      </c>
      <c r="Y37" s="102">
        <v>1230</v>
      </c>
      <c r="Z37" s="102">
        <v>1240</v>
      </c>
      <c r="AA37" s="102">
        <v>1255</v>
      </c>
      <c r="AB37" s="102">
        <v>1255</v>
      </c>
      <c r="AC37" s="103">
        <v>1205</v>
      </c>
      <c r="AD37" s="101">
        <v>1160</v>
      </c>
      <c r="AE37" s="102">
        <v>1160</v>
      </c>
      <c r="AF37" s="102">
        <v>1160</v>
      </c>
      <c r="AG37" s="102">
        <v>1180</v>
      </c>
      <c r="AH37" s="102">
        <v>1180</v>
      </c>
      <c r="AI37" s="102">
        <v>1180</v>
      </c>
      <c r="AJ37" s="102">
        <v>1180</v>
      </c>
      <c r="AK37" s="102">
        <v>1150</v>
      </c>
      <c r="AL37" s="102">
        <v>1150</v>
      </c>
      <c r="AM37" s="102">
        <v>1140</v>
      </c>
      <c r="AN37" s="102">
        <v>1130</v>
      </c>
      <c r="AO37" s="103">
        <v>1130</v>
      </c>
      <c r="AP37" s="101"/>
      <c r="AQ37" s="102"/>
      <c r="AR37" s="102"/>
      <c r="AS37" s="102"/>
      <c r="AT37" s="102"/>
      <c r="AU37" s="102"/>
      <c r="AV37" s="102"/>
      <c r="AW37" s="102"/>
      <c r="AX37" s="102"/>
      <c r="AY37" s="102"/>
      <c r="AZ37" s="102"/>
      <c r="BA37" s="103"/>
      <c r="BB37" s="22"/>
    </row>
    <row r="38" spans="1:54" x14ac:dyDescent="0.35">
      <c r="A38" s="16" t="s">
        <v>105</v>
      </c>
      <c r="B38" s="8"/>
      <c r="C38" s="8" t="s">
        <v>106</v>
      </c>
      <c r="D38" s="10" t="s">
        <v>70</v>
      </c>
      <c r="F38" s="104"/>
      <c r="G38" s="105"/>
      <c r="H38" s="105"/>
      <c r="I38" s="105"/>
      <c r="J38" s="105"/>
      <c r="K38" s="105"/>
      <c r="L38" s="105"/>
      <c r="M38" s="105"/>
      <c r="N38" s="105"/>
      <c r="O38" s="105"/>
      <c r="P38" s="105"/>
      <c r="Q38" s="106"/>
      <c r="R38" s="101">
        <v>1180</v>
      </c>
      <c r="S38" s="102">
        <v>1180</v>
      </c>
      <c r="T38" s="102">
        <v>1180</v>
      </c>
      <c r="U38" s="102">
        <v>1180</v>
      </c>
      <c r="V38" s="102">
        <v>1230</v>
      </c>
      <c r="W38" s="102">
        <v>1230</v>
      </c>
      <c r="X38" s="102">
        <v>1230</v>
      </c>
      <c r="Y38" s="102">
        <v>1230</v>
      </c>
      <c r="Z38" s="102">
        <v>1240</v>
      </c>
      <c r="AA38" s="102">
        <v>1255</v>
      </c>
      <c r="AB38" s="102">
        <v>1255</v>
      </c>
      <c r="AC38" s="103">
        <v>1205</v>
      </c>
      <c r="AD38" s="101">
        <v>1160</v>
      </c>
      <c r="AE38" s="102">
        <v>1160</v>
      </c>
      <c r="AF38" s="102">
        <v>1160</v>
      </c>
      <c r="AG38" s="102">
        <v>1180</v>
      </c>
      <c r="AH38" s="102">
        <v>1180</v>
      </c>
      <c r="AI38" s="102">
        <v>1180</v>
      </c>
      <c r="AJ38" s="102">
        <v>1180</v>
      </c>
      <c r="AK38" s="102">
        <v>1150</v>
      </c>
      <c r="AL38" s="102">
        <v>1150</v>
      </c>
      <c r="AM38" s="102">
        <v>1140</v>
      </c>
      <c r="AN38" s="102">
        <v>1130</v>
      </c>
      <c r="AO38" s="103">
        <v>1130</v>
      </c>
      <c r="AP38" s="101"/>
      <c r="AQ38" s="102"/>
      <c r="AR38" s="102"/>
      <c r="AS38" s="102"/>
      <c r="AT38" s="102"/>
      <c r="AU38" s="102"/>
      <c r="AV38" s="102"/>
      <c r="AW38" s="102"/>
      <c r="AX38" s="102"/>
      <c r="AY38" s="102"/>
      <c r="AZ38" s="102"/>
      <c r="BA38" s="103"/>
      <c r="BB38" s="22"/>
    </row>
    <row r="39" spans="1:54" x14ac:dyDescent="0.35">
      <c r="A39" s="16" t="s">
        <v>107</v>
      </c>
      <c r="B39" s="8"/>
      <c r="C39" s="8" t="s">
        <v>108</v>
      </c>
      <c r="D39" s="10" t="s">
        <v>70</v>
      </c>
      <c r="F39" s="104"/>
      <c r="G39" s="105"/>
      <c r="H39" s="105"/>
      <c r="I39" s="105"/>
      <c r="J39" s="105"/>
      <c r="K39" s="105"/>
      <c r="L39" s="105"/>
      <c r="M39" s="105"/>
      <c r="N39" s="105"/>
      <c r="O39" s="105"/>
      <c r="P39" s="105"/>
      <c r="Q39" s="106"/>
      <c r="R39" s="101">
        <v>1280</v>
      </c>
      <c r="S39" s="102">
        <v>1280</v>
      </c>
      <c r="T39" s="102">
        <v>1280</v>
      </c>
      <c r="U39" s="102">
        <v>1280</v>
      </c>
      <c r="V39" s="102">
        <v>1330</v>
      </c>
      <c r="W39" s="102">
        <v>1330</v>
      </c>
      <c r="X39" s="102">
        <v>1250</v>
      </c>
      <c r="Y39" s="102">
        <v>1250</v>
      </c>
      <c r="Z39" s="102">
        <v>1250</v>
      </c>
      <c r="AA39" s="102">
        <v>1265</v>
      </c>
      <c r="AB39" s="102">
        <v>1265</v>
      </c>
      <c r="AC39" s="103">
        <v>1215</v>
      </c>
      <c r="AD39" s="101"/>
      <c r="AE39" s="102"/>
      <c r="AF39" s="102"/>
      <c r="AG39" s="102"/>
      <c r="AH39" s="102"/>
      <c r="AI39" s="102"/>
      <c r="AJ39" s="102"/>
      <c r="AK39" s="102"/>
      <c r="AL39" s="102"/>
      <c r="AM39" s="102"/>
      <c r="AN39" s="102"/>
      <c r="AO39" s="103"/>
      <c r="AP39" s="101"/>
      <c r="AQ39" s="102"/>
      <c r="AR39" s="102"/>
      <c r="AS39" s="102"/>
      <c r="AT39" s="102"/>
      <c r="AU39" s="102"/>
      <c r="AV39" s="102"/>
      <c r="AW39" s="102"/>
      <c r="AX39" s="102"/>
      <c r="AY39" s="102"/>
      <c r="AZ39" s="102"/>
      <c r="BA39" s="103"/>
      <c r="BB39" s="22"/>
    </row>
    <row r="40" spans="1:54" x14ac:dyDescent="0.35">
      <c r="A40" s="16" t="s">
        <v>109</v>
      </c>
      <c r="B40" s="8"/>
      <c r="C40" s="8" t="s">
        <v>110</v>
      </c>
      <c r="D40" s="10" t="s">
        <v>70</v>
      </c>
      <c r="F40" s="104"/>
      <c r="G40" s="105"/>
      <c r="H40" s="105"/>
      <c r="I40" s="105"/>
      <c r="J40" s="105"/>
      <c r="K40" s="105"/>
      <c r="L40" s="105"/>
      <c r="M40" s="105"/>
      <c r="N40" s="105"/>
      <c r="O40" s="105"/>
      <c r="P40" s="105"/>
      <c r="Q40" s="106"/>
      <c r="R40" s="101">
        <v>1050</v>
      </c>
      <c r="S40" s="102">
        <v>1050</v>
      </c>
      <c r="T40" s="102">
        <v>1050</v>
      </c>
      <c r="U40" s="102">
        <v>1050</v>
      </c>
      <c r="V40" s="102">
        <v>1100</v>
      </c>
      <c r="W40" s="102">
        <v>1100</v>
      </c>
      <c r="X40" s="102">
        <v>1100</v>
      </c>
      <c r="Y40" s="102">
        <v>1100</v>
      </c>
      <c r="Z40" s="102">
        <v>1100</v>
      </c>
      <c r="AA40" s="102">
        <v>1100</v>
      </c>
      <c r="AB40" s="102">
        <v>1100</v>
      </c>
      <c r="AC40" s="103">
        <v>1100</v>
      </c>
      <c r="AD40" s="101">
        <v>1100</v>
      </c>
      <c r="AE40" s="102">
        <v>1100</v>
      </c>
      <c r="AF40" s="102">
        <v>1100</v>
      </c>
      <c r="AG40" s="102">
        <v>1120</v>
      </c>
      <c r="AH40" s="102">
        <v>1120</v>
      </c>
      <c r="AI40" s="102">
        <v>1120</v>
      </c>
      <c r="AJ40" s="102">
        <v>1120</v>
      </c>
      <c r="AK40" s="102">
        <v>1090</v>
      </c>
      <c r="AL40" s="102">
        <v>1090</v>
      </c>
      <c r="AM40" s="102">
        <v>1080</v>
      </c>
      <c r="AN40" s="102">
        <v>1070</v>
      </c>
      <c r="AO40" s="103">
        <v>1070</v>
      </c>
      <c r="AP40" s="101"/>
      <c r="AQ40" s="102"/>
      <c r="AR40" s="102"/>
      <c r="AS40" s="102"/>
      <c r="AT40" s="102"/>
      <c r="AU40" s="102"/>
      <c r="AV40" s="102"/>
      <c r="AW40" s="102"/>
      <c r="AX40" s="102"/>
      <c r="AY40" s="102"/>
      <c r="AZ40" s="102"/>
      <c r="BA40" s="103"/>
      <c r="BB40" s="22"/>
    </row>
    <row r="41" spans="1:54" x14ac:dyDescent="0.35">
      <c r="A41" s="16" t="s">
        <v>111</v>
      </c>
      <c r="B41" s="8"/>
      <c r="C41" s="8" t="s">
        <v>112</v>
      </c>
      <c r="D41" s="10" t="s">
        <v>70</v>
      </c>
      <c r="F41" s="104"/>
      <c r="G41" s="105"/>
      <c r="H41" s="105"/>
      <c r="I41" s="105"/>
      <c r="J41" s="105"/>
      <c r="K41" s="105"/>
      <c r="L41" s="105"/>
      <c r="M41" s="105"/>
      <c r="N41" s="105"/>
      <c r="O41" s="105"/>
      <c r="P41" s="105"/>
      <c r="Q41" s="106"/>
      <c r="R41" s="101">
        <v>1050</v>
      </c>
      <c r="S41" s="102">
        <v>1050</v>
      </c>
      <c r="T41" s="102">
        <v>1050</v>
      </c>
      <c r="U41" s="102">
        <v>1050</v>
      </c>
      <c r="V41" s="102">
        <v>1100</v>
      </c>
      <c r="W41" s="102">
        <v>1100</v>
      </c>
      <c r="X41" s="102">
        <v>1100</v>
      </c>
      <c r="Y41" s="102">
        <v>1100</v>
      </c>
      <c r="Z41" s="102">
        <v>1100</v>
      </c>
      <c r="AA41" s="102">
        <v>1100</v>
      </c>
      <c r="AB41" s="102">
        <v>1100</v>
      </c>
      <c r="AC41" s="103">
        <v>1100</v>
      </c>
      <c r="AD41" s="101">
        <v>1100</v>
      </c>
      <c r="AE41" s="102">
        <v>1100</v>
      </c>
      <c r="AF41" s="102">
        <v>1100</v>
      </c>
      <c r="AG41" s="102">
        <v>1120</v>
      </c>
      <c r="AH41" s="102">
        <v>1120</v>
      </c>
      <c r="AI41" s="102">
        <v>1120</v>
      </c>
      <c r="AJ41" s="102">
        <v>1120</v>
      </c>
      <c r="AK41" s="102">
        <v>1090</v>
      </c>
      <c r="AL41" s="102">
        <v>1090</v>
      </c>
      <c r="AM41" s="102">
        <v>1080</v>
      </c>
      <c r="AN41" s="102">
        <v>1070</v>
      </c>
      <c r="AO41" s="103">
        <v>1070</v>
      </c>
      <c r="AP41" s="101"/>
      <c r="AQ41" s="102"/>
      <c r="AR41" s="102"/>
      <c r="AS41" s="102"/>
      <c r="AT41" s="102"/>
      <c r="AU41" s="102"/>
      <c r="AV41" s="102"/>
      <c r="AW41" s="102"/>
      <c r="AX41" s="102"/>
      <c r="AY41" s="102"/>
      <c r="AZ41" s="102"/>
      <c r="BA41" s="103"/>
      <c r="BB41" s="22"/>
    </row>
    <row r="42" spans="1:54" x14ac:dyDescent="0.35">
      <c r="A42" s="16" t="s">
        <v>113</v>
      </c>
      <c r="B42" s="8"/>
      <c r="C42" s="8" t="s">
        <v>114</v>
      </c>
      <c r="D42" s="10" t="s">
        <v>70</v>
      </c>
      <c r="F42" s="104"/>
      <c r="G42" s="105"/>
      <c r="H42" s="105"/>
      <c r="I42" s="105"/>
      <c r="J42" s="105"/>
      <c r="K42" s="105"/>
      <c r="L42" s="105"/>
      <c r="M42" s="105"/>
      <c r="N42" s="105"/>
      <c r="O42" s="105"/>
      <c r="P42" s="105"/>
      <c r="Q42" s="106"/>
      <c r="R42" s="101">
        <v>1050</v>
      </c>
      <c r="S42" s="102">
        <v>1050</v>
      </c>
      <c r="T42" s="102">
        <v>1050</v>
      </c>
      <c r="U42" s="102">
        <v>1050</v>
      </c>
      <c r="V42" s="102">
        <v>1100</v>
      </c>
      <c r="W42" s="102">
        <v>1100</v>
      </c>
      <c r="X42" s="102">
        <v>1100</v>
      </c>
      <c r="Y42" s="102">
        <v>1100</v>
      </c>
      <c r="Z42" s="102">
        <v>1100</v>
      </c>
      <c r="AA42" s="102">
        <v>1100</v>
      </c>
      <c r="AB42" s="102">
        <v>1100</v>
      </c>
      <c r="AC42" s="103">
        <v>1100</v>
      </c>
      <c r="AD42" s="101">
        <v>1100</v>
      </c>
      <c r="AE42" s="102">
        <v>1100</v>
      </c>
      <c r="AF42" s="102">
        <v>1100</v>
      </c>
      <c r="AG42" s="102">
        <v>1120</v>
      </c>
      <c r="AH42" s="102">
        <v>1120</v>
      </c>
      <c r="AI42" s="102">
        <v>1120</v>
      </c>
      <c r="AJ42" s="102">
        <v>1120</v>
      </c>
      <c r="AK42" s="102">
        <v>1090</v>
      </c>
      <c r="AL42" s="102">
        <v>1090</v>
      </c>
      <c r="AM42" s="102">
        <v>1080</v>
      </c>
      <c r="AN42" s="102">
        <v>1070</v>
      </c>
      <c r="AO42" s="103">
        <v>1070</v>
      </c>
      <c r="AP42" s="101"/>
      <c r="AQ42" s="102"/>
      <c r="AR42" s="102"/>
      <c r="AS42" s="102"/>
      <c r="AT42" s="102"/>
      <c r="AU42" s="102"/>
      <c r="AV42" s="102"/>
      <c r="AW42" s="102"/>
      <c r="AX42" s="102"/>
      <c r="AY42" s="102"/>
      <c r="AZ42" s="102"/>
      <c r="BA42" s="103"/>
      <c r="BB42" s="22"/>
    </row>
    <row r="43" spans="1:54" x14ac:dyDescent="0.35">
      <c r="A43" s="16" t="s">
        <v>115</v>
      </c>
      <c r="B43" s="8"/>
      <c r="C43" s="8" t="s">
        <v>116</v>
      </c>
      <c r="D43" s="10" t="s">
        <v>70</v>
      </c>
      <c r="F43" s="104"/>
      <c r="G43" s="105"/>
      <c r="H43" s="105"/>
      <c r="I43" s="105"/>
      <c r="J43" s="105"/>
      <c r="K43" s="105"/>
      <c r="L43" s="105"/>
      <c r="M43" s="105"/>
      <c r="N43" s="105"/>
      <c r="O43" s="105"/>
      <c r="P43" s="105"/>
      <c r="Q43" s="106"/>
      <c r="R43" s="101"/>
      <c r="S43" s="102"/>
      <c r="T43" s="102"/>
      <c r="U43" s="102"/>
      <c r="V43" s="102"/>
      <c r="W43" s="102"/>
      <c r="X43" s="102"/>
      <c r="Y43" s="102"/>
      <c r="Z43" s="102"/>
      <c r="AA43" s="102"/>
      <c r="AB43" s="102">
        <v>1250</v>
      </c>
      <c r="AC43" s="103">
        <v>1250</v>
      </c>
      <c r="AD43" s="101">
        <v>1250</v>
      </c>
      <c r="AE43" s="102">
        <v>1250</v>
      </c>
      <c r="AF43" s="102">
        <v>1250</v>
      </c>
      <c r="AG43" s="102"/>
      <c r="AH43" s="102"/>
      <c r="AI43" s="102"/>
      <c r="AJ43" s="102"/>
      <c r="AK43" s="102"/>
      <c r="AL43" s="102"/>
      <c r="AM43" s="102"/>
      <c r="AN43" s="102"/>
      <c r="AO43" s="103"/>
      <c r="AP43" s="101"/>
      <c r="AQ43" s="102"/>
      <c r="AR43" s="102"/>
      <c r="AS43" s="102"/>
      <c r="AT43" s="102"/>
      <c r="AU43" s="102"/>
      <c r="AV43" s="102"/>
      <c r="AW43" s="102"/>
      <c r="AX43" s="102"/>
      <c r="AY43" s="102"/>
      <c r="AZ43" s="102"/>
      <c r="BA43" s="103"/>
      <c r="BB43" s="22"/>
    </row>
    <row r="44" spans="1:54" x14ac:dyDescent="0.35">
      <c r="A44" s="16" t="s">
        <v>117</v>
      </c>
      <c r="B44" s="8"/>
      <c r="C44" s="8" t="s">
        <v>118</v>
      </c>
      <c r="D44" s="10" t="s">
        <v>70</v>
      </c>
      <c r="F44" s="104"/>
      <c r="G44" s="105"/>
      <c r="H44" s="105"/>
      <c r="I44" s="105"/>
      <c r="J44" s="105"/>
      <c r="K44" s="105"/>
      <c r="L44" s="105"/>
      <c r="M44" s="105"/>
      <c r="N44" s="105"/>
      <c r="O44" s="105"/>
      <c r="P44" s="105"/>
      <c r="Q44" s="106"/>
      <c r="R44" s="101"/>
      <c r="S44" s="102"/>
      <c r="T44" s="102"/>
      <c r="U44" s="102"/>
      <c r="V44" s="102"/>
      <c r="W44" s="102"/>
      <c r="X44" s="102"/>
      <c r="Y44" s="102"/>
      <c r="Z44" s="102"/>
      <c r="AA44" s="102"/>
      <c r="AB44" s="102">
        <v>1190</v>
      </c>
      <c r="AC44" s="103">
        <v>1190</v>
      </c>
      <c r="AD44" s="101">
        <v>1190</v>
      </c>
      <c r="AE44" s="102">
        <v>1190</v>
      </c>
      <c r="AF44" s="102">
        <v>1190</v>
      </c>
      <c r="AG44" s="102"/>
      <c r="AH44" s="102"/>
      <c r="AI44" s="102"/>
      <c r="AJ44" s="102"/>
      <c r="AK44" s="102"/>
      <c r="AL44" s="102"/>
      <c r="AM44" s="102"/>
      <c r="AN44" s="102"/>
      <c r="AO44" s="103"/>
      <c r="AP44" s="101"/>
      <c r="AQ44" s="102"/>
      <c r="AR44" s="102"/>
      <c r="AS44" s="102"/>
      <c r="AT44" s="102"/>
      <c r="AU44" s="102"/>
      <c r="AV44" s="102"/>
      <c r="AW44" s="102"/>
      <c r="AX44" s="102"/>
      <c r="AY44" s="102"/>
      <c r="AZ44" s="102"/>
      <c r="BA44" s="103"/>
      <c r="BB44" s="22"/>
    </row>
    <row r="45" spans="1:54" x14ac:dyDescent="0.35">
      <c r="A45" s="16" t="s">
        <v>119</v>
      </c>
      <c r="B45" s="8"/>
      <c r="C45" s="8" t="s">
        <v>120</v>
      </c>
      <c r="D45" s="10" t="s">
        <v>70</v>
      </c>
      <c r="F45" s="104"/>
      <c r="G45" s="105"/>
      <c r="H45" s="105"/>
      <c r="I45" s="105"/>
      <c r="J45" s="105"/>
      <c r="K45" s="105"/>
      <c r="L45" s="105"/>
      <c r="M45" s="105"/>
      <c r="N45" s="105"/>
      <c r="O45" s="105"/>
      <c r="P45" s="105"/>
      <c r="Q45" s="106"/>
      <c r="R45" s="101"/>
      <c r="S45" s="102"/>
      <c r="T45" s="102"/>
      <c r="U45" s="102"/>
      <c r="V45" s="102"/>
      <c r="W45" s="102"/>
      <c r="X45" s="102"/>
      <c r="Y45" s="102"/>
      <c r="Z45" s="102"/>
      <c r="AA45" s="102"/>
      <c r="AB45" s="102">
        <v>1160</v>
      </c>
      <c r="AC45" s="103">
        <v>1160</v>
      </c>
      <c r="AD45" s="101">
        <v>1160</v>
      </c>
      <c r="AE45" s="102">
        <v>1160</v>
      </c>
      <c r="AF45" s="102">
        <v>1160</v>
      </c>
      <c r="AG45" s="102"/>
      <c r="AH45" s="102"/>
      <c r="AI45" s="102"/>
      <c r="AJ45" s="102"/>
      <c r="AK45" s="102"/>
      <c r="AL45" s="102"/>
      <c r="AM45" s="102"/>
      <c r="AN45" s="102"/>
      <c r="AO45" s="103"/>
      <c r="AP45" s="101"/>
      <c r="AQ45" s="102"/>
      <c r="AR45" s="102"/>
      <c r="AS45" s="102"/>
      <c r="AT45" s="102"/>
      <c r="AU45" s="102"/>
      <c r="AV45" s="102"/>
      <c r="AW45" s="102"/>
      <c r="AX45" s="102"/>
      <c r="AY45" s="102"/>
      <c r="AZ45" s="102"/>
      <c r="BA45" s="103"/>
      <c r="BB45" s="22"/>
    </row>
    <row r="46" spans="1:54" x14ac:dyDescent="0.35">
      <c r="A46" s="16" t="s">
        <v>121</v>
      </c>
      <c r="B46" s="8"/>
      <c r="C46" s="8" t="s">
        <v>122</v>
      </c>
      <c r="D46" s="10" t="s">
        <v>70</v>
      </c>
      <c r="F46" s="104"/>
      <c r="G46" s="105"/>
      <c r="H46" s="105"/>
      <c r="I46" s="105"/>
      <c r="J46" s="105"/>
      <c r="K46" s="105"/>
      <c r="L46" s="105"/>
      <c r="M46" s="105"/>
      <c r="N46" s="105"/>
      <c r="O46" s="105"/>
      <c r="P46" s="105"/>
      <c r="Q46" s="106"/>
      <c r="R46" s="101"/>
      <c r="S46" s="102"/>
      <c r="T46" s="102"/>
      <c r="U46" s="102"/>
      <c r="V46" s="102"/>
      <c r="W46" s="102"/>
      <c r="X46" s="102"/>
      <c r="Y46" s="102"/>
      <c r="Z46" s="102"/>
      <c r="AA46" s="102"/>
      <c r="AB46" s="102">
        <v>1160</v>
      </c>
      <c r="AC46" s="103">
        <v>1160</v>
      </c>
      <c r="AD46" s="101">
        <v>1160</v>
      </c>
      <c r="AE46" s="102">
        <v>1160</v>
      </c>
      <c r="AF46" s="102">
        <v>1160</v>
      </c>
      <c r="AG46" s="102"/>
      <c r="AH46" s="102"/>
      <c r="AI46" s="102"/>
      <c r="AJ46" s="102"/>
      <c r="AK46" s="102"/>
      <c r="AL46" s="102"/>
      <c r="AM46" s="102"/>
      <c r="AN46" s="102"/>
      <c r="AO46" s="103"/>
      <c r="AP46" s="101"/>
      <c r="AQ46" s="102"/>
      <c r="AR46" s="102"/>
      <c r="AS46" s="102"/>
      <c r="AT46" s="102"/>
      <c r="AU46" s="102"/>
      <c r="AV46" s="102"/>
      <c r="AW46" s="102"/>
      <c r="AX46" s="102"/>
      <c r="AY46" s="102"/>
      <c r="AZ46" s="102"/>
      <c r="BA46" s="103"/>
      <c r="BB46" s="22"/>
    </row>
    <row r="47" spans="1:54" x14ac:dyDescent="0.35">
      <c r="A47" s="16"/>
      <c r="B47" s="8"/>
      <c r="C47" s="8" t="s">
        <v>123</v>
      </c>
      <c r="D47" s="10" t="s">
        <v>70</v>
      </c>
      <c r="F47" s="104"/>
      <c r="G47" s="105"/>
      <c r="H47" s="105"/>
      <c r="I47" s="105"/>
      <c r="J47" s="105"/>
      <c r="K47" s="105"/>
      <c r="L47" s="105"/>
      <c r="M47" s="105"/>
      <c r="N47" s="105"/>
      <c r="O47" s="105"/>
      <c r="P47" s="105"/>
      <c r="Q47" s="106"/>
      <c r="R47" s="101"/>
      <c r="S47" s="102"/>
      <c r="T47" s="102"/>
      <c r="U47" s="102"/>
      <c r="V47" s="102"/>
      <c r="W47" s="102"/>
      <c r="X47" s="102"/>
      <c r="Y47" s="102"/>
      <c r="Z47" s="102"/>
      <c r="AA47" s="102"/>
      <c r="AB47" s="102">
        <v>1130</v>
      </c>
      <c r="AC47" s="103">
        <v>1130</v>
      </c>
      <c r="AD47" s="101"/>
      <c r="AE47" s="102"/>
      <c r="AF47" s="102"/>
      <c r="AG47" s="102"/>
      <c r="AH47" s="102"/>
      <c r="AI47" s="102"/>
      <c r="AJ47" s="102"/>
      <c r="AK47" s="102"/>
      <c r="AL47" s="102"/>
      <c r="AM47" s="102"/>
      <c r="AN47" s="102"/>
      <c r="AO47" s="103"/>
      <c r="AP47" s="101"/>
      <c r="AQ47" s="102"/>
      <c r="AR47" s="102"/>
      <c r="AS47" s="102"/>
      <c r="AT47" s="102"/>
      <c r="AU47" s="102"/>
      <c r="AV47" s="102"/>
      <c r="AW47" s="102"/>
      <c r="AX47" s="102"/>
      <c r="AY47" s="102"/>
      <c r="AZ47" s="102"/>
      <c r="BA47" s="103"/>
      <c r="BB47" s="22"/>
    </row>
    <row r="48" spans="1:54" x14ac:dyDescent="0.35">
      <c r="A48" s="16"/>
      <c r="B48" s="8"/>
      <c r="C48" s="8" t="s">
        <v>124</v>
      </c>
      <c r="D48" s="10" t="s">
        <v>70</v>
      </c>
      <c r="F48" s="104"/>
      <c r="G48" s="105"/>
      <c r="H48" s="105"/>
      <c r="I48" s="105"/>
      <c r="J48" s="105"/>
      <c r="K48" s="105"/>
      <c r="L48" s="105"/>
      <c r="M48" s="105"/>
      <c r="N48" s="105"/>
      <c r="O48" s="105"/>
      <c r="P48" s="105"/>
      <c r="Q48" s="106"/>
      <c r="R48" s="101"/>
      <c r="S48" s="102"/>
      <c r="T48" s="102"/>
      <c r="U48" s="102"/>
      <c r="V48" s="102"/>
      <c r="W48" s="102"/>
      <c r="X48" s="102"/>
      <c r="Y48" s="102"/>
      <c r="Z48" s="102"/>
      <c r="AA48" s="102"/>
      <c r="AB48" s="102">
        <v>1130</v>
      </c>
      <c r="AC48" s="103">
        <v>1130</v>
      </c>
      <c r="AD48" s="101"/>
      <c r="AE48" s="102"/>
      <c r="AF48" s="102"/>
      <c r="AG48" s="102"/>
      <c r="AH48" s="102"/>
      <c r="AI48" s="102"/>
      <c r="AJ48" s="102"/>
      <c r="AK48" s="102"/>
      <c r="AL48" s="102"/>
      <c r="AM48" s="102"/>
      <c r="AN48" s="102"/>
      <c r="AO48" s="103"/>
      <c r="AP48" s="101"/>
      <c r="AQ48" s="102"/>
      <c r="AR48" s="102"/>
      <c r="AS48" s="102"/>
      <c r="AT48" s="102"/>
      <c r="AU48" s="102"/>
      <c r="AV48" s="102"/>
      <c r="AW48" s="102"/>
      <c r="AX48" s="102"/>
      <c r="AY48" s="102"/>
      <c r="AZ48" s="102"/>
      <c r="BA48" s="103"/>
      <c r="BB48" s="22"/>
    </row>
    <row r="49" spans="1:54" x14ac:dyDescent="0.35">
      <c r="A49" s="16"/>
      <c r="B49" s="8"/>
      <c r="C49" s="8" t="s">
        <v>125</v>
      </c>
      <c r="D49" s="10" t="s">
        <v>70</v>
      </c>
      <c r="F49" s="104"/>
      <c r="G49" s="105"/>
      <c r="H49" s="105"/>
      <c r="I49" s="105"/>
      <c r="J49" s="105"/>
      <c r="K49" s="105"/>
      <c r="L49" s="105"/>
      <c r="M49" s="105"/>
      <c r="N49" s="105"/>
      <c r="O49" s="105"/>
      <c r="P49" s="105"/>
      <c r="Q49" s="106"/>
      <c r="R49" s="101"/>
      <c r="S49" s="102"/>
      <c r="T49" s="102"/>
      <c r="U49" s="102"/>
      <c r="V49" s="102"/>
      <c r="W49" s="102"/>
      <c r="X49" s="102"/>
      <c r="Y49" s="102"/>
      <c r="Z49" s="102"/>
      <c r="AA49" s="102"/>
      <c r="AB49" s="102">
        <v>1100</v>
      </c>
      <c r="AC49" s="103">
        <v>1100</v>
      </c>
      <c r="AD49" s="101"/>
      <c r="AE49" s="102"/>
      <c r="AF49" s="102"/>
      <c r="AG49" s="102"/>
      <c r="AH49" s="102"/>
      <c r="AI49" s="102"/>
      <c r="AJ49" s="102"/>
      <c r="AK49" s="102"/>
      <c r="AL49" s="102"/>
      <c r="AM49" s="102"/>
      <c r="AN49" s="102"/>
      <c r="AO49" s="103"/>
      <c r="AP49" s="101"/>
      <c r="AQ49" s="102"/>
      <c r="AR49" s="102"/>
      <c r="AS49" s="102"/>
      <c r="AT49" s="102"/>
      <c r="AU49" s="102"/>
      <c r="AV49" s="102"/>
      <c r="AW49" s="102"/>
      <c r="AX49" s="102"/>
      <c r="AY49" s="102"/>
      <c r="AZ49" s="102"/>
      <c r="BA49" s="103"/>
      <c r="BB49" s="22"/>
    </row>
    <row r="50" spans="1:54" x14ac:dyDescent="0.35">
      <c r="A50" s="16" t="s">
        <v>126</v>
      </c>
      <c r="B50" s="8"/>
      <c r="C50" s="8" t="s">
        <v>127</v>
      </c>
      <c r="D50" s="10" t="s">
        <v>70</v>
      </c>
      <c r="F50" s="104"/>
      <c r="G50" s="105"/>
      <c r="H50" s="105"/>
      <c r="I50" s="105"/>
      <c r="J50" s="105"/>
      <c r="K50" s="105"/>
      <c r="L50" s="105"/>
      <c r="M50" s="105"/>
      <c r="N50" s="105"/>
      <c r="O50" s="105"/>
      <c r="P50" s="105"/>
      <c r="Q50" s="106"/>
      <c r="R50" s="101"/>
      <c r="S50" s="102"/>
      <c r="T50" s="102"/>
      <c r="U50" s="102"/>
      <c r="V50" s="102"/>
      <c r="W50" s="102"/>
      <c r="X50" s="102"/>
      <c r="Y50" s="102"/>
      <c r="Z50" s="102"/>
      <c r="AA50" s="102"/>
      <c r="AB50" s="102">
        <v>1100</v>
      </c>
      <c r="AC50" s="103">
        <v>1100</v>
      </c>
      <c r="AD50" s="101">
        <v>1100</v>
      </c>
      <c r="AE50" s="102">
        <v>1100</v>
      </c>
      <c r="AF50" s="102">
        <v>1100</v>
      </c>
      <c r="AG50" s="102"/>
      <c r="AH50" s="102"/>
      <c r="AI50" s="102"/>
      <c r="AJ50" s="102"/>
      <c r="AK50" s="102"/>
      <c r="AL50" s="102"/>
      <c r="AM50" s="102"/>
      <c r="AN50" s="102"/>
      <c r="AO50" s="103"/>
      <c r="AP50" s="101"/>
      <c r="AQ50" s="102"/>
      <c r="AR50" s="102"/>
      <c r="AS50" s="102"/>
      <c r="AT50" s="102"/>
      <c r="AU50" s="102"/>
      <c r="AV50" s="102"/>
      <c r="AW50" s="102"/>
      <c r="AX50" s="102"/>
      <c r="AY50" s="102"/>
      <c r="AZ50" s="102"/>
      <c r="BA50" s="103"/>
      <c r="BB50" s="22"/>
    </row>
    <row r="51" spans="1:54" x14ac:dyDescent="0.35">
      <c r="A51" s="16"/>
      <c r="B51" s="8"/>
      <c r="C51" s="8"/>
      <c r="D51" s="10"/>
      <c r="F51" s="104"/>
      <c r="G51" s="105"/>
      <c r="H51" s="105"/>
      <c r="I51" s="105"/>
      <c r="J51" s="105"/>
      <c r="K51" s="105"/>
      <c r="L51" s="105"/>
      <c r="M51" s="105"/>
      <c r="N51" s="105"/>
      <c r="O51" s="105"/>
      <c r="P51" s="105"/>
      <c r="Q51" s="106"/>
      <c r="R51" s="101"/>
      <c r="S51" s="102"/>
      <c r="T51" s="102"/>
      <c r="U51" s="102"/>
      <c r="V51" s="102"/>
      <c r="W51" s="102"/>
      <c r="X51" s="102"/>
      <c r="Y51" s="102"/>
      <c r="Z51" s="102"/>
      <c r="AA51" s="102"/>
      <c r="AB51" s="102"/>
      <c r="AC51" s="103"/>
      <c r="AD51" s="101"/>
      <c r="AE51" s="102"/>
      <c r="AF51" s="102"/>
      <c r="AG51" s="102"/>
      <c r="AH51" s="102"/>
      <c r="AI51" s="102"/>
      <c r="AJ51" s="102"/>
      <c r="AK51" s="102"/>
      <c r="AL51" s="102"/>
      <c r="AM51" s="102"/>
      <c r="AN51" s="102"/>
      <c r="AO51" s="103"/>
      <c r="AP51" s="101"/>
      <c r="AQ51" s="102"/>
      <c r="AR51" s="102"/>
      <c r="AS51" s="102"/>
      <c r="AT51" s="102"/>
      <c r="AU51" s="102"/>
      <c r="AV51" s="102"/>
      <c r="AW51" s="102"/>
      <c r="AX51" s="102"/>
      <c r="AY51" s="102"/>
      <c r="AZ51" s="102"/>
      <c r="BA51" s="103"/>
      <c r="BB51" s="22"/>
    </row>
    <row r="52" spans="1:54" x14ac:dyDescent="0.35">
      <c r="A52" s="16" t="s">
        <v>22</v>
      </c>
      <c r="B52" s="8"/>
      <c r="C52" s="8" t="s">
        <v>128</v>
      </c>
      <c r="D52" s="10" t="s">
        <v>70</v>
      </c>
      <c r="F52" s="104"/>
      <c r="G52" s="105"/>
      <c r="H52" s="105"/>
      <c r="I52" s="105"/>
      <c r="J52" s="105"/>
      <c r="K52" s="105"/>
      <c r="L52" s="105"/>
      <c r="M52" s="105"/>
      <c r="N52" s="105"/>
      <c r="O52" s="105"/>
      <c r="P52" s="105"/>
      <c r="Q52" s="106"/>
      <c r="R52" s="101"/>
      <c r="S52" s="102"/>
      <c r="T52" s="102"/>
      <c r="U52" s="102"/>
      <c r="V52" s="102"/>
      <c r="W52" s="102"/>
      <c r="X52" s="102"/>
      <c r="Y52" s="102"/>
      <c r="Z52" s="102"/>
      <c r="AA52" s="102"/>
      <c r="AB52" s="102"/>
      <c r="AC52" s="103"/>
      <c r="AD52" s="101">
        <v>1400</v>
      </c>
      <c r="AE52" s="102">
        <v>1400</v>
      </c>
      <c r="AF52" s="102">
        <v>1350</v>
      </c>
      <c r="AG52" s="102">
        <v>1350</v>
      </c>
      <c r="AH52" s="102">
        <v>1350</v>
      </c>
      <c r="AI52" s="102">
        <v>1350</v>
      </c>
      <c r="AJ52" s="102">
        <v>1350</v>
      </c>
      <c r="AK52" s="102">
        <v>1330</v>
      </c>
      <c r="AL52" s="102">
        <v>1310</v>
      </c>
      <c r="AM52" s="102">
        <v>1310</v>
      </c>
      <c r="AN52" s="102">
        <v>1300</v>
      </c>
      <c r="AO52" s="103">
        <v>1300</v>
      </c>
      <c r="AP52" s="101"/>
      <c r="AQ52" s="102"/>
      <c r="AR52" s="102"/>
      <c r="AS52" s="102"/>
      <c r="AT52" s="102"/>
      <c r="AU52" s="102"/>
      <c r="AV52" s="102"/>
      <c r="AW52" s="102"/>
      <c r="AX52" s="102"/>
      <c r="AY52" s="102"/>
      <c r="AZ52" s="102"/>
      <c r="BA52" s="103"/>
      <c r="BB52" s="22"/>
    </row>
    <row r="53" spans="1:54" x14ac:dyDescent="0.35">
      <c r="A53" s="16" t="s">
        <v>24</v>
      </c>
      <c r="B53" s="8"/>
      <c r="C53" s="8" t="s">
        <v>129</v>
      </c>
      <c r="D53" s="10" t="s">
        <v>70</v>
      </c>
      <c r="F53" s="104"/>
      <c r="G53" s="105"/>
      <c r="H53" s="105"/>
      <c r="I53" s="105"/>
      <c r="J53" s="105"/>
      <c r="K53" s="105"/>
      <c r="L53" s="105"/>
      <c r="M53" s="105"/>
      <c r="N53" s="105"/>
      <c r="O53" s="105"/>
      <c r="P53" s="105"/>
      <c r="Q53" s="106"/>
      <c r="R53" s="101">
        <v>1350</v>
      </c>
      <c r="S53" s="102">
        <v>1350</v>
      </c>
      <c r="T53" s="102">
        <v>1350</v>
      </c>
      <c r="U53" s="102">
        <v>1350</v>
      </c>
      <c r="V53" s="102">
        <v>1350</v>
      </c>
      <c r="W53" s="102">
        <v>1350</v>
      </c>
      <c r="X53" s="102">
        <v>1350</v>
      </c>
      <c r="Y53" s="102">
        <v>1350</v>
      </c>
      <c r="Z53" s="102">
        <v>1350</v>
      </c>
      <c r="AA53" s="102">
        <v>1350</v>
      </c>
      <c r="AB53" s="102">
        <v>1350</v>
      </c>
      <c r="AC53" s="103">
        <v>1350</v>
      </c>
      <c r="AD53" s="101">
        <v>1350</v>
      </c>
      <c r="AE53" s="102">
        <v>1300</v>
      </c>
      <c r="AF53" s="102">
        <v>1250</v>
      </c>
      <c r="AG53" s="102">
        <v>1250</v>
      </c>
      <c r="AH53" s="102">
        <v>1250</v>
      </c>
      <c r="AI53" s="102">
        <v>1250</v>
      </c>
      <c r="AJ53" s="102">
        <v>1250</v>
      </c>
      <c r="AK53" s="102">
        <v>1230</v>
      </c>
      <c r="AL53" s="102">
        <v>1210</v>
      </c>
      <c r="AM53" s="102">
        <v>1210</v>
      </c>
      <c r="AN53" s="102">
        <v>1200</v>
      </c>
      <c r="AO53" s="103">
        <v>1200</v>
      </c>
      <c r="AP53" s="101"/>
      <c r="AQ53" s="102"/>
      <c r="AR53" s="102"/>
      <c r="AS53" s="102"/>
      <c r="AT53" s="102"/>
      <c r="AU53" s="102"/>
      <c r="AV53" s="102"/>
      <c r="AW53" s="102"/>
      <c r="AX53" s="102"/>
      <c r="AY53" s="102"/>
      <c r="AZ53" s="102"/>
      <c r="BA53" s="103"/>
      <c r="BB53" s="22"/>
    </row>
    <row r="54" spans="1:54" x14ac:dyDescent="0.35">
      <c r="A54" s="16" t="s">
        <v>65</v>
      </c>
      <c r="B54" s="8"/>
      <c r="C54" s="8" t="s">
        <v>435</v>
      </c>
      <c r="D54" s="10" t="s">
        <v>70</v>
      </c>
      <c r="F54" s="104"/>
      <c r="G54" s="105"/>
      <c r="H54" s="105"/>
      <c r="I54" s="105"/>
      <c r="J54" s="105"/>
      <c r="K54" s="105"/>
      <c r="L54" s="105"/>
      <c r="M54" s="105"/>
      <c r="N54" s="105"/>
      <c r="O54" s="105"/>
      <c r="P54" s="105"/>
      <c r="Q54" s="106"/>
      <c r="R54" s="101">
        <v>1350</v>
      </c>
      <c r="S54" s="102">
        <v>1350</v>
      </c>
      <c r="T54" s="102">
        <v>1350</v>
      </c>
      <c r="U54" s="102">
        <v>1350</v>
      </c>
      <c r="V54" s="102">
        <v>1350</v>
      </c>
      <c r="W54" s="102">
        <v>1350</v>
      </c>
      <c r="X54" s="102">
        <v>1350</v>
      </c>
      <c r="Y54" s="102">
        <v>1350</v>
      </c>
      <c r="Z54" s="102">
        <v>1350</v>
      </c>
      <c r="AA54" s="102">
        <v>1350</v>
      </c>
      <c r="AB54" s="102">
        <v>1350</v>
      </c>
      <c r="AC54" s="103">
        <v>1350</v>
      </c>
      <c r="AD54" s="101">
        <v>1350</v>
      </c>
      <c r="AE54" s="102">
        <v>1350</v>
      </c>
      <c r="AF54" s="102">
        <v>1300</v>
      </c>
      <c r="AG54" s="102">
        <v>1300</v>
      </c>
      <c r="AH54" s="102">
        <v>1300</v>
      </c>
      <c r="AI54" s="102">
        <v>1300</v>
      </c>
      <c r="AJ54" s="102">
        <v>1300</v>
      </c>
      <c r="AK54" s="102">
        <v>1280</v>
      </c>
      <c r="AL54" s="102">
        <v>1260</v>
      </c>
      <c r="AM54" s="102">
        <v>1260</v>
      </c>
      <c r="AN54" s="102">
        <v>1250</v>
      </c>
      <c r="AO54" s="103">
        <v>1250</v>
      </c>
      <c r="AP54" s="101"/>
      <c r="AQ54" s="102"/>
      <c r="AR54" s="102"/>
      <c r="AS54" s="102"/>
      <c r="AT54" s="102"/>
      <c r="AU54" s="102"/>
      <c r="AV54" s="102"/>
      <c r="AW54" s="102"/>
      <c r="AX54" s="102"/>
      <c r="AY54" s="102"/>
      <c r="AZ54" s="102"/>
      <c r="BA54" s="103"/>
      <c r="BB54" s="22"/>
    </row>
    <row r="55" spans="1:54" x14ac:dyDescent="0.35">
      <c r="A55" s="16"/>
      <c r="B55" s="8"/>
      <c r="C55" s="8"/>
      <c r="D55" s="10"/>
      <c r="F55" s="104"/>
      <c r="G55" s="105"/>
      <c r="H55" s="105"/>
      <c r="I55" s="105"/>
      <c r="J55" s="105"/>
      <c r="K55" s="105"/>
      <c r="L55" s="105"/>
      <c r="M55" s="105"/>
      <c r="N55" s="105"/>
      <c r="O55" s="105"/>
      <c r="P55" s="105"/>
      <c r="Q55" s="106"/>
      <c r="R55" s="101"/>
      <c r="S55" s="102"/>
      <c r="T55" s="102"/>
      <c r="U55" s="102"/>
      <c r="V55" s="102"/>
      <c r="W55" s="102"/>
      <c r="X55" s="102"/>
      <c r="Y55" s="102"/>
      <c r="Z55" s="102"/>
      <c r="AA55" s="102"/>
      <c r="AB55" s="102"/>
      <c r="AC55" s="103"/>
      <c r="AD55" s="101"/>
      <c r="AE55" s="102"/>
      <c r="AF55" s="102"/>
      <c r="AG55" s="102"/>
      <c r="AH55" s="102"/>
      <c r="AI55" s="102"/>
      <c r="AJ55" s="102"/>
      <c r="AK55" s="102"/>
      <c r="AL55" s="102"/>
      <c r="AM55" s="102"/>
      <c r="AN55" s="102"/>
      <c r="AO55" s="103"/>
      <c r="AP55" s="101"/>
      <c r="AQ55" s="102"/>
      <c r="AR55" s="102"/>
      <c r="AS55" s="102"/>
      <c r="AT55" s="102"/>
      <c r="AU55" s="102"/>
      <c r="AV55" s="102"/>
      <c r="AW55" s="102"/>
      <c r="AX55" s="102"/>
      <c r="AY55" s="102"/>
      <c r="AZ55" s="102"/>
      <c r="BA55" s="103"/>
      <c r="BB55" s="22"/>
    </row>
    <row r="56" spans="1:54" x14ac:dyDescent="0.35">
      <c r="A56" s="16"/>
      <c r="B56" s="8"/>
      <c r="C56" s="8"/>
      <c r="D56" s="10"/>
      <c r="F56" s="104"/>
      <c r="G56" s="105"/>
      <c r="H56" s="105"/>
      <c r="I56" s="105"/>
      <c r="J56" s="105"/>
      <c r="K56" s="105"/>
      <c r="L56" s="105"/>
      <c r="M56" s="105"/>
      <c r="N56" s="105"/>
      <c r="O56" s="105"/>
      <c r="P56" s="105"/>
      <c r="Q56" s="106"/>
      <c r="R56" s="101"/>
      <c r="S56" s="102"/>
      <c r="T56" s="102"/>
      <c r="U56" s="102"/>
      <c r="V56" s="102"/>
      <c r="W56" s="102"/>
      <c r="X56" s="102"/>
      <c r="Y56" s="102"/>
      <c r="Z56" s="102"/>
      <c r="AA56" s="102"/>
      <c r="AB56" s="102"/>
      <c r="AC56" s="103"/>
      <c r="AD56" s="101"/>
      <c r="AE56" s="102"/>
      <c r="AF56" s="102"/>
      <c r="AG56" s="102"/>
      <c r="AH56" s="102"/>
      <c r="AI56" s="102"/>
      <c r="AJ56" s="102"/>
      <c r="AK56" s="102"/>
      <c r="AL56" s="102"/>
      <c r="AM56" s="102"/>
      <c r="AN56" s="102"/>
      <c r="AO56" s="103"/>
      <c r="AP56" s="101"/>
      <c r="AQ56" s="102"/>
      <c r="AR56" s="102"/>
      <c r="AS56" s="102"/>
      <c r="AT56" s="102"/>
      <c r="AU56" s="102"/>
      <c r="AV56" s="102"/>
      <c r="AW56" s="102"/>
      <c r="AX56" s="102"/>
      <c r="AY56" s="102"/>
      <c r="AZ56" s="102"/>
      <c r="BA56" s="103"/>
      <c r="BB56" s="22"/>
    </row>
    <row r="57" spans="1:54" x14ac:dyDescent="0.35">
      <c r="A57" s="16"/>
      <c r="B57" s="8"/>
      <c r="C57" s="8"/>
      <c r="D57" s="10"/>
      <c r="F57" s="104"/>
      <c r="G57" s="105"/>
      <c r="H57" s="105"/>
      <c r="I57" s="105"/>
      <c r="J57" s="105"/>
      <c r="K57" s="105"/>
      <c r="L57" s="105"/>
      <c r="M57" s="105"/>
      <c r="N57" s="105"/>
      <c r="O57" s="105"/>
      <c r="P57" s="105"/>
      <c r="Q57" s="106"/>
      <c r="R57" s="101"/>
      <c r="S57" s="102"/>
      <c r="T57" s="102"/>
      <c r="U57" s="102"/>
      <c r="V57" s="102"/>
      <c r="W57" s="102"/>
      <c r="X57" s="102"/>
      <c r="Y57" s="102"/>
      <c r="Z57" s="102"/>
      <c r="AA57" s="102"/>
      <c r="AB57" s="102"/>
      <c r="AC57" s="103"/>
      <c r="AD57" s="101"/>
      <c r="AE57" s="102"/>
      <c r="AF57" s="102"/>
      <c r="AG57" s="102"/>
      <c r="AH57" s="102"/>
      <c r="AI57" s="102"/>
      <c r="AJ57" s="102"/>
      <c r="AK57" s="102"/>
      <c r="AL57" s="102"/>
      <c r="AM57" s="102"/>
      <c r="AN57" s="102"/>
      <c r="AO57" s="103"/>
      <c r="AP57" s="101"/>
      <c r="AQ57" s="102"/>
      <c r="AR57" s="102"/>
      <c r="AS57" s="102"/>
      <c r="AT57" s="102"/>
      <c r="AU57" s="102"/>
      <c r="AV57" s="102"/>
      <c r="AW57" s="102"/>
      <c r="AX57" s="102"/>
      <c r="AY57" s="102"/>
      <c r="AZ57" s="102"/>
      <c r="BA57" s="103"/>
      <c r="BB57" s="22"/>
    </row>
    <row r="58" spans="1:54" x14ac:dyDescent="0.35">
      <c r="A58" s="16"/>
      <c r="B58" s="8"/>
      <c r="C58" s="8"/>
      <c r="D58" s="10"/>
      <c r="F58" s="104"/>
      <c r="G58" s="105"/>
      <c r="H58" s="105"/>
      <c r="I58" s="105"/>
      <c r="J58" s="105"/>
      <c r="K58" s="105"/>
      <c r="L58" s="105"/>
      <c r="M58" s="105"/>
      <c r="N58" s="105"/>
      <c r="O58" s="105"/>
      <c r="P58" s="105"/>
      <c r="Q58" s="106"/>
      <c r="R58" s="101"/>
      <c r="S58" s="102"/>
      <c r="T58" s="102"/>
      <c r="U58" s="102"/>
      <c r="V58" s="102"/>
      <c r="W58" s="102"/>
      <c r="X58" s="102"/>
      <c r="Y58" s="102"/>
      <c r="Z58" s="102"/>
      <c r="AA58" s="102"/>
      <c r="AB58" s="102"/>
      <c r="AC58" s="103"/>
      <c r="AD58" s="101"/>
      <c r="AE58" s="102"/>
      <c r="AF58" s="102"/>
      <c r="AG58" s="102"/>
      <c r="AH58" s="102"/>
      <c r="AI58" s="102"/>
      <c r="AJ58" s="102"/>
      <c r="AK58" s="102"/>
      <c r="AL58" s="102"/>
      <c r="AM58" s="102"/>
      <c r="AN58" s="102"/>
      <c r="AO58" s="103"/>
      <c r="AP58" s="101"/>
      <c r="AQ58" s="102"/>
      <c r="AR58" s="102"/>
      <c r="AS58" s="102"/>
      <c r="AT58" s="102"/>
      <c r="AU58" s="102"/>
      <c r="AV58" s="102"/>
      <c r="AW58" s="102"/>
      <c r="AX58" s="102"/>
      <c r="AY58" s="102"/>
      <c r="AZ58" s="102"/>
      <c r="BA58" s="103"/>
      <c r="BB58" s="22"/>
    </row>
    <row r="59" spans="1:54" x14ac:dyDescent="0.35">
      <c r="A59" s="16"/>
      <c r="B59" s="8"/>
      <c r="C59" s="8"/>
      <c r="D59" s="10"/>
      <c r="F59" s="104"/>
      <c r="G59" s="105"/>
      <c r="H59" s="105"/>
      <c r="I59" s="105"/>
      <c r="J59" s="105"/>
      <c r="K59" s="105"/>
      <c r="L59" s="105"/>
      <c r="M59" s="105"/>
      <c r="N59" s="105"/>
      <c r="O59" s="105"/>
      <c r="P59" s="105"/>
      <c r="Q59" s="106"/>
      <c r="R59" s="101"/>
      <c r="S59" s="102"/>
      <c r="T59" s="102"/>
      <c r="U59" s="102"/>
      <c r="V59" s="102"/>
      <c r="W59" s="102"/>
      <c r="X59" s="102"/>
      <c r="Y59" s="102"/>
      <c r="Z59" s="102"/>
      <c r="AA59" s="102"/>
      <c r="AB59" s="102"/>
      <c r="AC59" s="103"/>
      <c r="AD59" s="101"/>
      <c r="AE59" s="102"/>
      <c r="AF59" s="102"/>
      <c r="AG59" s="102"/>
      <c r="AH59" s="102"/>
      <c r="AI59" s="102"/>
      <c r="AJ59" s="102"/>
      <c r="AK59" s="102"/>
      <c r="AL59" s="102"/>
      <c r="AM59" s="102"/>
      <c r="AN59" s="102"/>
      <c r="AO59" s="103"/>
      <c r="AP59" s="101"/>
      <c r="AQ59" s="102"/>
      <c r="AR59" s="102"/>
      <c r="AS59" s="102"/>
      <c r="AT59" s="102"/>
      <c r="AU59" s="102"/>
      <c r="AV59" s="102"/>
      <c r="AW59" s="102"/>
      <c r="AX59" s="102"/>
      <c r="AY59" s="102"/>
      <c r="AZ59" s="102"/>
      <c r="BA59" s="103"/>
      <c r="BB59" s="22"/>
    </row>
    <row r="60" spans="1:54" x14ac:dyDescent="0.35">
      <c r="A60" s="16"/>
      <c r="B60" s="8"/>
      <c r="C60" s="8"/>
      <c r="D60" s="10"/>
      <c r="F60" s="104"/>
      <c r="G60" s="105"/>
      <c r="H60" s="105"/>
      <c r="I60" s="105"/>
      <c r="J60" s="105"/>
      <c r="K60" s="105"/>
      <c r="L60" s="105"/>
      <c r="M60" s="105"/>
      <c r="N60" s="105"/>
      <c r="O60" s="105"/>
      <c r="P60" s="105"/>
      <c r="Q60" s="106"/>
      <c r="R60" s="101"/>
      <c r="S60" s="102"/>
      <c r="T60" s="102"/>
      <c r="U60" s="102"/>
      <c r="V60" s="102"/>
      <c r="W60" s="102"/>
      <c r="X60" s="102"/>
      <c r="Y60" s="102"/>
      <c r="Z60" s="102"/>
      <c r="AA60" s="102"/>
      <c r="AB60" s="102"/>
      <c r="AC60" s="103"/>
      <c r="AD60" s="101"/>
      <c r="AE60" s="102"/>
      <c r="AF60" s="102"/>
      <c r="AG60" s="102"/>
      <c r="AH60" s="102"/>
      <c r="AI60" s="102"/>
      <c r="AJ60" s="102"/>
      <c r="AK60" s="102"/>
      <c r="AL60" s="102"/>
      <c r="AM60" s="102"/>
      <c r="AN60" s="102"/>
      <c r="AO60" s="103"/>
      <c r="AP60" s="101"/>
      <c r="AQ60" s="102"/>
      <c r="AR60" s="102"/>
      <c r="AS60" s="102"/>
      <c r="AT60" s="102"/>
      <c r="AU60" s="102"/>
      <c r="AV60" s="102"/>
      <c r="AW60" s="102"/>
      <c r="AX60" s="102"/>
      <c r="AY60" s="102"/>
      <c r="AZ60" s="102"/>
      <c r="BA60" s="103"/>
      <c r="BB60" s="22"/>
    </row>
    <row r="61" spans="1:54" x14ac:dyDescent="0.35">
      <c r="A61" s="16"/>
      <c r="B61" s="8"/>
      <c r="C61" s="8"/>
      <c r="D61" s="10"/>
      <c r="F61" s="104"/>
      <c r="G61" s="105"/>
      <c r="H61" s="105"/>
      <c r="I61" s="105"/>
      <c r="J61" s="105"/>
      <c r="K61" s="105"/>
      <c r="L61" s="105"/>
      <c r="M61" s="105"/>
      <c r="N61" s="105"/>
      <c r="O61" s="105"/>
      <c r="P61" s="105"/>
      <c r="Q61" s="106"/>
      <c r="R61" s="101"/>
      <c r="S61" s="102"/>
      <c r="T61" s="102"/>
      <c r="U61" s="102"/>
      <c r="V61" s="102"/>
      <c r="W61" s="102"/>
      <c r="X61" s="102"/>
      <c r="Y61" s="102"/>
      <c r="Z61" s="102"/>
      <c r="AA61" s="102"/>
      <c r="AB61" s="102"/>
      <c r="AC61" s="103"/>
      <c r="AD61" s="101"/>
      <c r="AE61" s="102"/>
      <c r="AF61" s="102"/>
      <c r="AG61" s="102"/>
      <c r="AH61" s="102"/>
      <c r="AI61" s="102"/>
      <c r="AJ61" s="102"/>
      <c r="AK61" s="102"/>
      <c r="AL61" s="102"/>
      <c r="AM61" s="102"/>
      <c r="AN61" s="102"/>
      <c r="AO61" s="103"/>
      <c r="AP61" s="101"/>
      <c r="AQ61" s="102"/>
      <c r="AR61" s="102"/>
      <c r="AS61" s="102"/>
      <c r="AT61" s="102"/>
      <c r="AU61" s="102"/>
      <c r="AV61" s="102"/>
      <c r="AW61" s="102"/>
      <c r="AX61" s="102"/>
      <c r="AY61" s="102"/>
      <c r="AZ61" s="102"/>
      <c r="BA61" s="103"/>
      <c r="BB61" s="22"/>
    </row>
    <row r="62" spans="1:54" x14ac:dyDescent="0.35">
      <c r="A62" s="16"/>
      <c r="B62" s="8"/>
      <c r="C62" s="8"/>
      <c r="D62" s="10"/>
      <c r="F62" s="104"/>
      <c r="G62" s="105"/>
      <c r="H62" s="105"/>
      <c r="I62" s="105"/>
      <c r="J62" s="105"/>
      <c r="K62" s="105"/>
      <c r="L62" s="105"/>
      <c r="M62" s="105"/>
      <c r="N62" s="105"/>
      <c r="O62" s="105"/>
      <c r="P62" s="105"/>
      <c r="Q62" s="106"/>
      <c r="R62" s="101"/>
      <c r="S62" s="102"/>
      <c r="T62" s="102"/>
      <c r="U62" s="102"/>
      <c r="V62" s="102"/>
      <c r="W62" s="102"/>
      <c r="X62" s="102"/>
      <c r="Y62" s="102"/>
      <c r="Z62" s="102"/>
      <c r="AA62" s="102"/>
      <c r="AB62" s="102"/>
      <c r="AC62" s="103"/>
      <c r="AD62" s="101"/>
      <c r="AE62" s="102"/>
      <c r="AF62" s="102"/>
      <c r="AG62" s="102"/>
      <c r="AH62" s="102"/>
      <c r="AI62" s="102"/>
      <c r="AJ62" s="102"/>
      <c r="AK62" s="102"/>
      <c r="AL62" s="102"/>
      <c r="AM62" s="102"/>
      <c r="AN62" s="102"/>
      <c r="AO62" s="103"/>
      <c r="AP62" s="101"/>
      <c r="AQ62" s="102"/>
      <c r="AR62" s="102"/>
      <c r="AS62" s="102"/>
      <c r="AT62" s="102"/>
      <c r="AU62" s="102"/>
      <c r="AV62" s="102"/>
      <c r="AW62" s="102"/>
      <c r="AX62" s="102"/>
      <c r="AY62" s="102"/>
      <c r="AZ62" s="102"/>
      <c r="BA62" s="103"/>
      <c r="BB62" s="22"/>
    </row>
    <row r="63" spans="1:54" x14ac:dyDescent="0.35">
      <c r="A63" s="16"/>
      <c r="B63" s="8"/>
      <c r="C63" s="8"/>
      <c r="D63" s="10"/>
      <c r="F63" s="104"/>
      <c r="G63" s="105"/>
      <c r="H63" s="105"/>
      <c r="I63" s="105"/>
      <c r="J63" s="105"/>
      <c r="K63" s="105"/>
      <c r="L63" s="105"/>
      <c r="M63" s="105"/>
      <c r="N63" s="105"/>
      <c r="O63" s="105"/>
      <c r="P63" s="105"/>
      <c r="Q63" s="106"/>
      <c r="R63" s="101"/>
      <c r="S63" s="102"/>
      <c r="T63" s="102"/>
      <c r="U63" s="102"/>
      <c r="V63" s="102"/>
      <c r="W63" s="102"/>
      <c r="X63" s="102"/>
      <c r="Y63" s="102"/>
      <c r="Z63" s="102"/>
      <c r="AA63" s="102"/>
      <c r="AB63" s="102"/>
      <c r="AC63" s="103"/>
      <c r="AD63" s="101"/>
      <c r="AE63" s="102"/>
      <c r="AF63" s="102"/>
      <c r="AG63" s="102"/>
      <c r="AH63" s="102"/>
      <c r="AI63" s="102"/>
      <c r="AJ63" s="102"/>
      <c r="AK63" s="102"/>
      <c r="AL63" s="102"/>
      <c r="AM63" s="102"/>
      <c r="AN63" s="102"/>
      <c r="AO63" s="103"/>
      <c r="AP63" s="101"/>
      <c r="AQ63" s="102"/>
      <c r="AR63" s="102"/>
      <c r="AS63" s="102"/>
      <c r="AT63" s="102"/>
      <c r="AU63" s="102"/>
      <c r="AV63" s="102"/>
      <c r="AW63" s="102"/>
      <c r="AX63" s="102"/>
      <c r="AY63" s="102"/>
      <c r="AZ63" s="102"/>
      <c r="BA63" s="103"/>
      <c r="BB63" s="22"/>
    </row>
    <row r="64" spans="1:54" x14ac:dyDescent="0.35">
      <c r="A64" s="16"/>
      <c r="B64" s="8"/>
      <c r="C64" s="8"/>
      <c r="D64" s="10"/>
      <c r="F64" s="55"/>
      <c r="G64" s="8"/>
      <c r="H64" s="8"/>
      <c r="I64" s="8"/>
      <c r="J64" s="8"/>
      <c r="K64" s="8"/>
      <c r="L64" s="8"/>
      <c r="M64" s="8"/>
      <c r="N64" s="8"/>
      <c r="O64" s="8"/>
      <c r="P64" s="8"/>
      <c r="Q64" s="56"/>
      <c r="R64" s="55"/>
      <c r="S64" s="8"/>
      <c r="T64" s="8"/>
      <c r="U64" s="8"/>
      <c r="V64" s="8"/>
      <c r="W64" s="8"/>
      <c r="X64" s="8"/>
      <c r="Y64" s="8"/>
      <c r="Z64" s="8"/>
      <c r="AA64" s="8"/>
      <c r="AB64" s="8"/>
      <c r="AC64" s="50"/>
      <c r="AD64" s="55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56"/>
      <c r="AP64" s="55"/>
      <c r="AQ64" s="8"/>
      <c r="AR64" s="8"/>
      <c r="AS64" s="8"/>
      <c r="AT64" s="8"/>
      <c r="AU64" s="8"/>
      <c r="AV64" s="8"/>
      <c r="AW64" s="8"/>
      <c r="AX64" s="8"/>
      <c r="AY64" s="8"/>
      <c r="AZ64" s="8"/>
      <c r="BA64" s="56"/>
      <c r="BB64" s="22"/>
    </row>
    <row r="65" spans="1:54" s="1" customFormat="1" x14ac:dyDescent="0.35">
      <c r="A65" s="17"/>
      <c r="B65" s="64"/>
      <c r="C65" s="64" t="s">
        <v>131</v>
      </c>
      <c r="D65" s="65"/>
      <c r="E65" s="66"/>
      <c r="F65" s="67"/>
      <c r="G65" s="64"/>
      <c r="H65" s="64"/>
      <c r="I65" s="64"/>
      <c r="J65" s="64"/>
      <c r="K65" s="64"/>
      <c r="L65" s="64"/>
      <c r="M65" s="64"/>
      <c r="N65" s="64"/>
      <c r="O65" s="64"/>
      <c r="P65" s="64"/>
      <c r="Q65" s="68"/>
      <c r="R65" s="67"/>
      <c r="S65" s="64"/>
      <c r="T65" s="64"/>
      <c r="U65" s="64"/>
      <c r="V65" s="64"/>
      <c r="W65" s="64"/>
      <c r="X65" s="64"/>
      <c r="Y65" s="64"/>
      <c r="Z65" s="64"/>
      <c r="AA65" s="64"/>
      <c r="AB65" s="64"/>
      <c r="AC65" s="68"/>
      <c r="AD65" s="67"/>
      <c r="AE65" s="64"/>
      <c r="AF65" s="64"/>
      <c r="AG65" s="64"/>
      <c r="AH65" s="64"/>
      <c r="AI65" s="64"/>
      <c r="AJ65" s="64"/>
      <c r="AK65" s="64"/>
      <c r="AL65" s="64"/>
      <c r="AM65" s="64"/>
      <c r="AN65" s="64"/>
      <c r="AO65" s="68"/>
      <c r="AP65" s="67"/>
      <c r="AQ65" s="64"/>
      <c r="AR65" s="64"/>
      <c r="AS65" s="64"/>
      <c r="AT65" s="64"/>
      <c r="AU65" s="64"/>
      <c r="AV65" s="64"/>
      <c r="AW65" s="64"/>
      <c r="AX65" s="64"/>
      <c r="AY65" s="64"/>
      <c r="AZ65" s="64"/>
      <c r="BA65" s="68"/>
      <c r="BB65" s="41"/>
    </row>
    <row r="66" spans="1:54" x14ac:dyDescent="0.35">
      <c r="A66" s="16" t="s">
        <v>132</v>
      </c>
      <c r="B66" s="8"/>
      <c r="C66" s="8" t="s">
        <v>133</v>
      </c>
      <c r="D66" s="10" t="s">
        <v>70</v>
      </c>
      <c r="F66" s="104"/>
      <c r="G66" s="105"/>
      <c r="H66" s="105"/>
      <c r="I66" s="105"/>
      <c r="J66" s="105"/>
      <c r="K66" s="105"/>
      <c r="L66" s="105"/>
      <c r="M66" s="105"/>
      <c r="N66" s="105"/>
      <c r="O66" s="105"/>
      <c r="P66" s="105"/>
      <c r="Q66" s="106"/>
      <c r="R66" s="104">
        <v>20</v>
      </c>
      <c r="S66" s="105">
        <v>20</v>
      </c>
      <c r="T66" s="105">
        <v>20</v>
      </c>
      <c r="U66" s="105">
        <v>20</v>
      </c>
      <c r="V66" s="105">
        <v>20</v>
      </c>
      <c r="W66" s="105">
        <v>20</v>
      </c>
      <c r="X66" s="105">
        <v>20</v>
      </c>
      <c r="Y66" s="105">
        <v>20</v>
      </c>
      <c r="Z66" s="105">
        <v>20</v>
      </c>
      <c r="AA66" s="105">
        <v>20</v>
      </c>
      <c r="AB66" s="105">
        <v>20</v>
      </c>
      <c r="AC66" s="103">
        <v>20</v>
      </c>
      <c r="AD66" s="104">
        <v>20</v>
      </c>
      <c r="AE66" s="105">
        <v>20</v>
      </c>
      <c r="AF66" s="105">
        <v>22</v>
      </c>
      <c r="AG66" s="105">
        <v>22</v>
      </c>
      <c r="AH66" s="105">
        <v>22</v>
      </c>
      <c r="AI66" s="105">
        <v>22</v>
      </c>
      <c r="AJ66" s="105">
        <v>22</v>
      </c>
      <c r="AK66" s="105">
        <v>20</v>
      </c>
      <c r="AL66" s="105">
        <v>20</v>
      </c>
      <c r="AM66" s="105">
        <v>20</v>
      </c>
      <c r="AN66" s="105">
        <v>20</v>
      </c>
      <c r="AO66" s="106">
        <v>20</v>
      </c>
      <c r="AP66" s="104"/>
      <c r="AQ66" s="105"/>
      <c r="AR66" s="105"/>
      <c r="AS66" s="105"/>
      <c r="AT66" s="105"/>
      <c r="AU66" s="105"/>
      <c r="AV66" s="105"/>
      <c r="AW66" s="105"/>
      <c r="AX66" s="105"/>
      <c r="AY66" s="105"/>
      <c r="AZ66" s="105"/>
      <c r="BA66" s="106"/>
      <c r="BB66" s="22"/>
    </row>
    <row r="67" spans="1:54" x14ac:dyDescent="0.35">
      <c r="A67" s="16" t="s">
        <v>9</v>
      </c>
      <c r="B67" s="8"/>
      <c r="C67" s="8" t="s">
        <v>134</v>
      </c>
      <c r="D67" s="10" t="s">
        <v>70</v>
      </c>
      <c r="F67" s="55"/>
      <c r="G67" s="8"/>
      <c r="H67" s="8"/>
      <c r="I67" s="8"/>
      <c r="J67" s="8"/>
      <c r="K67" s="8"/>
      <c r="L67" s="8"/>
      <c r="M67" s="8"/>
      <c r="N67" s="8"/>
      <c r="O67" s="8"/>
      <c r="P67" s="8"/>
      <c r="Q67" s="56"/>
      <c r="R67" s="104">
        <v>930</v>
      </c>
      <c r="S67" s="105">
        <v>943.33333333333337</v>
      </c>
      <c r="T67" s="105">
        <v>940</v>
      </c>
      <c r="U67" s="105">
        <v>940</v>
      </c>
      <c r="V67" s="105">
        <v>942</v>
      </c>
      <c r="W67" s="105">
        <v>950</v>
      </c>
      <c r="X67" s="105">
        <v>947.5</v>
      </c>
      <c r="Y67" s="105">
        <v>930</v>
      </c>
      <c r="Z67" s="105">
        <v>880</v>
      </c>
      <c r="AA67" s="105">
        <v>862.5</v>
      </c>
      <c r="AB67" s="105">
        <v>852</v>
      </c>
      <c r="AC67" s="103">
        <v>830</v>
      </c>
      <c r="AD67" s="104">
        <v>828</v>
      </c>
      <c r="AE67" s="105">
        <v>840</v>
      </c>
      <c r="AF67" s="105">
        <v>823</v>
      </c>
      <c r="AG67" s="105">
        <v>765</v>
      </c>
      <c r="AH67" s="105">
        <v>782</v>
      </c>
      <c r="AI67" s="105">
        <v>807.5</v>
      </c>
      <c r="AJ67" s="105">
        <v>802</v>
      </c>
      <c r="AK67" s="105">
        <v>795</v>
      </c>
      <c r="AL67" s="105">
        <v>783</v>
      </c>
      <c r="AM67" s="105">
        <v>772</v>
      </c>
      <c r="AN67" s="105">
        <v>770</v>
      </c>
      <c r="AO67" s="461">
        <v>770</v>
      </c>
      <c r="AP67" s="104"/>
      <c r="AQ67" s="105"/>
      <c r="AR67" s="105"/>
      <c r="AS67" s="105"/>
      <c r="AT67" s="105"/>
      <c r="AU67" s="105"/>
      <c r="AV67" s="105"/>
      <c r="AW67" s="105"/>
      <c r="AX67" s="105"/>
      <c r="AY67" s="105"/>
      <c r="AZ67" s="105"/>
      <c r="BA67" s="106"/>
      <c r="BB67" s="22"/>
    </row>
    <row r="68" spans="1:54" x14ac:dyDescent="0.35">
      <c r="A68" s="16" t="s">
        <v>21</v>
      </c>
      <c r="B68" s="8"/>
      <c r="C68" s="8" t="s">
        <v>135</v>
      </c>
      <c r="D68" s="10" t="s">
        <v>70</v>
      </c>
      <c r="F68" s="55"/>
      <c r="G68" s="8"/>
      <c r="H68" s="8"/>
      <c r="I68" s="8"/>
      <c r="J68" s="8"/>
      <c r="K68" s="8"/>
      <c r="L68" s="8"/>
      <c r="M68" s="8"/>
      <c r="N68" s="8"/>
      <c r="O68" s="8"/>
      <c r="P68" s="8"/>
      <c r="Q68" s="56"/>
      <c r="R68" s="104">
        <v>940</v>
      </c>
      <c r="S68" s="105">
        <v>993.33333333333337</v>
      </c>
      <c r="T68" s="105">
        <v>985</v>
      </c>
      <c r="U68" s="105">
        <v>962.5</v>
      </c>
      <c r="V68" s="105">
        <v>982</v>
      </c>
      <c r="W68" s="105">
        <v>1000</v>
      </c>
      <c r="X68" s="105">
        <v>1000</v>
      </c>
      <c r="Y68" s="105">
        <v>984</v>
      </c>
      <c r="Z68" s="105">
        <v>967.5</v>
      </c>
      <c r="AA68" s="105">
        <v>965</v>
      </c>
      <c r="AB68" s="105">
        <v>974</v>
      </c>
      <c r="AC68" s="103">
        <v>956</v>
      </c>
      <c r="AD68" s="104">
        <v>940</v>
      </c>
      <c r="AE68" s="105">
        <v>918</v>
      </c>
      <c r="AF68" s="105">
        <v>896</v>
      </c>
      <c r="AG68" s="105">
        <v>891.5</v>
      </c>
      <c r="AH68" s="105">
        <v>864</v>
      </c>
      <c r="AI68" s="105">
        <v>833</v>
      </c>
      <c r="AJ68" s="105">
        <v>833</v>
      </c>
      <c r="AK68" s="105">
        <v>815</v>
      </c>
      <c r="AL68" s="105">
        <v>813</v>
      </c>
      <c r="AM68" s="105">
        <v>805</v>
      </c>
      <c r="AN68" s="105">
        <v>805</v>
      </c>
      <c r="AO68" s="461">
        <v>805</v>
      </c>
      <c r="AP68" s="104"/>
      <c r="AQ68" s="105"/>
      <c r="AR68" s="105"/>
      <c r="AS68" s="105"/>
      <c r="AT68" s="105"/>
      <c r="AU68" s="105"/>
      <c r="AV68" s="105"/>
      <c r="AW68" s="105"/>
      <c r="AX68" s="105"/>
      <c r="AY68" s="105"/>
      <c r="AZ68" s="105"/>
      <c r="BA68" s="106"/>
      <c r="BB68" s="22"/>
    </row>
    <row r="69" spans="1:54" x14ac:dyDescent="0.35">
      <c r="A69" s="16" t="s">
        <v>136</v>
      </c>
      <c r="B69" s="8"/>
      <c r="C69" s="8" t="s">
        <v>137</v>
      </c>
      <c r="D69" s="10" t="s">
        <v>70</v>
      </c>
      <c r="F69" s="55"/>
      <c r="G69" s="8"/>
      <c r="H69" s="8"/>
      <c r="I69" s="8"/>
      <c r="J69" s="8"/>
      <c r="K69" s="8"/>
      <c r="L69" s="8"/>
      <c r="M69" s="8"/>
      <c r="N69" s="8"/>
      <c r="O69" s="8"/>
      <c r="P69" s="8"/>
      <c r="Q69" s="56"/>
      <c r="R69" s="104">
        <v>962.5</v>
      </c>
      <c r="S69" s="105">
        <v>986.66666666666663</v>
      </c>
      <c r="T69" s="105">
        <v>990</v>
      </c>
      <c r="U69" s="105">
        <v>992.5</v>
      </c>
      <c r="V69" s="105">
        <v>1002</v>
      </c>
      <c r="W69" s="105">
        <v>1025</v>
      </c>
      <c r="X69" s="105">
        <v>1020</v>
      </c>
      <c r="Y69" s="105">
        <v>970</v>
      </c>
      <c r="Z69" s="105">
        <v>955</v>
      </c>
      <c r="AA69" s="105">
        <v>956.66666666666663</v>
      </c>
      <c r="AB69" s="105">
        <v>968</v>
      </c>
      <c r="AC69" s="103">
        <v>960</v>
      </c>
      <c r="AD69" s="104">
        <v>970</v>
      </c>
      <c r="AE69" s="105">
        <v>985</v>
      </c>
      <c r="AF69" s="105">
        <v>980</v>
      </c>
      <c r="AG69" s="105">
        <v>965</v>
      </c>
      <c r="AH69" s="105">
        <v>932</v>
      </c>
      <c r="AI69" s="105">
        <v>922.5</v>
      </c>
      <c r="AJ69" s="105">
        <v>918</v>
      </c>
      <c r="AK69" s="105">
        <v>895</v>
      </c>
      <c r="AL69" s="105">
        <v>870</v>
      </c>
      <c r="AM69" s="105">
        <v>842</v>
      </c>
      <c r="AN69" s="105">
        <v>830</v>
      </c>
      <c r="AO69" s="461">
        <v>830</v>
      </c>
      <c r="AP69" s="104"/>
      <c r="AQ69" s="105"/>
      <c r="AR69" s="105"/>
      <c r="AS69" s="105"/>
      <c r="AT69" s="105"/>
      <c r="AU69" s="105"/>
      <c r="AV69" s="105"/>
      <c r="AW69" s="105"/>
      <c r="AX69" s="105"/>
      <c r="AY69" s="105"/>
      <c r="AZ69" s="105"/>
      <c r="BA69" s="106"/>
      <c r="BB69" s="22"/>
    </row>
    <row r="70" spans="1:54" x14ac:dyDescent="0.35">
      <c r="A70" s="16"/>
      <c r="B70" s="8"/>
      <c r="C70" s="8"/>
      <c r="D70" s="10"/>
      <c r="F70" s="55"/>
      <c r="G70" s="8"/>
      <c r="H70" s="8"/>
      <c r="I70" s="8"/>
      <c r="J70" s="8"/>
      <c r="K70" s="8"/>
      <c r="L70" s="8"/>
      <c r="M70" s="8"/>
      <c r="N70" s="8"/>
      <c r="O70" s="8"/>
      <c r="P70" s="8"/>
      <c r="Q70" s="56"/>
      <c r="R70" s="55"/>
      <c r="S70" s="8"/>
      <c r="T70" s="8"/>
      <c r="U70" s="8"/>
      <c r="V70" s="8"/>
      <c r="W70" s="8"/>
      <c r="X70" s="8"/>
      <c r="Y70" s="8"/>
      <c r="Z70" s="8"/>
      <c r="AA70" s="8"/>
      <c r="AB70" s="8"/>
      <c r="AC70" s="56"/>
      <c r="AD70" s="55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56"/>
      <c r="AP70" s="55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56"/>
      <c r="BB70" s="22"/>
    </row>
    <row r="71" spans="1:54" x14ac:dyDescent="0.35">
      <c r="A71" s="16"/>
      <c r="B71" s="8"/>
      <c r="C71" s="8"/>
      <c r="D71" s="10"/>
      <c r="F71" s="55"/>
      <c r="G71" s="8"/>
      <c r="H71" s="8"/>
      <c r="I71" s="8"/>
      <c r="J71" s="8"/>
      <c r="K71" s="8"/>
      <c r="L71" s="8"/>
      <c r="M71" s="8"/>
      <c r="N71" s="8"/>
      <c r="O71" s="8"/>
      <c r="P71" s="8"/>
      <c r="Q71" s="56"/>
      <c r="R71" s="55"/>
      <c r="S71" s="8"/>
      <c r="T71" s="8"/>
      <c r="U71" s="8"/>
      <c r="V71" s="8"/>
      <c r="W71" s="8"/>
      <c r="X71" s="8"/>
      <c r="Y71" s="8"/>
      <c r="Z71" s="8"/>
      <c r="AA71" s="8"/>
      <c r="AB71" s="8"/>
      <c r="AC71" s="56"/>
      <c r="AD71" s="55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56"/>
      <c r="AP71" s="55"/>
      <c r="AQ71" s="8"/>
      <c r="AR71" s="8"/>
      <c r="AS71" s="8"/>
      <c r="AT71" s="8"/>
      <c r="AU71" s="8"/>
      <c r="AV71" s="8"/>
      <c r="AW71" s="8"/>
      <c r="AX71" s="8"/>
      <c r="AY71" s="8"/>
      <c r="AZ71" s="8"/>
      <c r="BA71" s="56"/>
      <c r="BB71" s="22"/>
    </row>
    <row r="72" spans="1:54" x14ac:dyDescent="0.35">
      <c r="A72" s="16"/>
      <c r="B72" s="8"/>
      <c r="C72" s="8"/>
      <c r="D72" s="10"/>
      <c r="F72" s="55"/>
      <c r="G72" s="8"/>
      <c r="H72" s="8"/>
      <c r="I72" s="8"/>
      <c r="J72" s="8"/>
      <c r="K72" s="8"/>
      <c r="L72" s="8"/>
      <c r="M72" s="8"/>
      <c r="N72" s="8"/>
      <c r="O72" s="8"/>
      <c r="P72" s="8"/>
      <c r="Q72" s="56"/>
      <c r="R72" s="55"/>
      <c r="S72" s="8"/>
      <c r="T72" s="8"/>
      <c r="U72" s="8"/>
      <c r="V72" s="8"/>
      <c r="W72" s="8"/>
      <c r="X72" s="8"/>
      <c r="Y72" s="8"/>
      <c r="Z72" s="8"/>
      <c r="AA72" s="8"/>
      <c r="AB72" s="8"/>
      <c r="AC72" s="56"/>
      <c r="AD72" s="55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56"/>
      <c r="AP72" s="55"/>
      <c r="AQ72" s="8"/>
      <c r="AR72" s="8"/>
      <c r="AS72" s="8"/>
      <c r="AT72" s="8"/>
      <c r="AU72" s="8"/>
      <c r="AV72" s="8"/>
      <c r="AW72" s="8"/>
      <c r="AX72" s="8"/>
      <c r="AY72" s="8"/>
      <c r="AZ72" s="8"/>
      <c r="BA72" s="56"/>
      <c r="BB72" s="22"/>
    </row>
    <row r="73" spans="1:54" x14ac:dyDescent="0.35">
      <c r="A73" s="16"/>
      <c r="B73" s="8"/>
      <c r="C73" s="8"/>
      <c r="D73" s="10"/>
      <c r="F73" s="55"/>
      <c r="G73" s="8"/>
      <c r="H73" s="8"/>
      <c r="I73" s="8"/>
      <c r="J73" s="8"/>
      <c r="K73" s="8"/>
      <c r="L73" s="8"/>
      <c r="M73" s="8"/>
      <c r="N73" s="8"/>
      <c r="O73" s="8"/>
      <c r="P73" s="8"/>
      <c r="Q73" s="56"/>
      <c r="R73" s="55"/>
      <c r="S73" s="8"/>
      <c r="T73" s="8"/>
      <c r="U73" s="8"/>
      <c r="V73" s="8"/>
      <c r="W73" s="8"/>
      <c r="X73" s="8"/>
      <c r="Y73" s="8"/>
      <c r="Z73" s="8"/>
      <c r="AA73" s="8"/>
      <c r="AB73" s="8"/>
      <c r="AC73" s="56"/>
      <c r="AD73" s="55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56"/>
      <c r="AP73" s="55"/>
      <c r="AQ73" s="8"/>
      <c r="AR73" s="8"/>
      <c r="AS73" s="8"/>
      <c r="AT73" s="8"/>
      <c r="AU73" s="8"/>
      <c r="AV73" s="8"/>
      <c r="AW73" s="8"/>
      <c r="AX73" s="8"/>
      <c r="AY73" s="8"/>
      <c r="AZ73" s="8"/>
      <c r="BA73" s="56"/>
      <c r="BB73" s="22"/>
    </row>
    <row r="74" spans="1:54" x14ac:dyDescent="0.35">
      <c r="A74" s="16"/>
      <c r="B74" s="8"/>
      <c r="C74" s="8"/>
      <c r="D74" s="10"/>
      <c r="F74" s="55"/>
      <c r="G74" s="8"/>
      <c r="H74" s="8"/>
      <c r="I74" s="8"/>
      <c r="J74" s="8"/>
      <c r="K74" s="8"/>
      <c r="L74" s="8"/>
      <c r="M74" s="8"/>
      <c r="N74" s="8"/>
      <c r="O74" s="8"/>
      <c r="P74" s="8"/>
      <c r="Q74" s="56"/>
      <c r="R74" s="55"/>
      <c r="S74" s="8"/>
      <c r="T74" s="8"/>
      <c r="U74" s="8"/>
      <c r="V74" s="8"/>
      <c r="W74" s="8"/>
      <c r="X74" s="8"/>
      <c r="Y74" s="8"/>
      <c r="Z74" s="8"/>
      <c r="AA74" s="8"/>
      <c r="AB74" s="8"/>
      <c r="AC74" s="56"/>
      <c r="AD74" s="55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56"/>
      <c r="AP74" s="55"/>
      <c r="AQ74" s="8"/>
      <c r="AR74" s="8"/>
      <c r="AS74" s="8"/>
      <c r="AT74" s="8"/>
      <c r="AU74" s="8"/>
      <c r="AV74" s="8"/>
      <c r="AW74" s="8"/>
      <c r="AX74" s="8"/>
      <c r="AY74" s="8"/>
      <c r="AZ74" s="8"/>
      <c r="BA74" s="56"/>
      <c r="BB74" s="22"/>
    </row>
    <row r="75" spans="1:54" x14ac:dyDescent="0.35">
      <c r="A75" s="16"/>
      <c r="B75" s="8"/>
      <c r="C75" s="8"/>
      <c r="D75" s="10"/>
      <c r="F75" s="55"/>
      <c r="G75" s="8"/>
      <c r="H75" s="8"/>
      <c r="I75" s="8"/>
      <c r="J75" s="8"/>
      <c r="K75" s="8"/>
      <c r="L75" s="8"/>
      <c r="M75" s="8"/>
      <c r="N75" s="8"/>
      <c r="O75" s="8"/>
      <c r="P75" s="8"/>
      <c r="Q75" s="56"/>
      <c r="R75" s="55"/>
      <c r="S75" s="8"/>
      <c r="T75" s="8"/>
      <c r="U75" s="8"/>
      <c r="V75" s="8"/>
      <c r="W75" s="8"/>
      <c r="X75" s="8"/>
      <c r="Y75" s="8"/>
      <c r="Z75" s="8"/>
      <c r="AA75" s="8"/>
      <c r="AB75" s="8"/>
      <c r="AC75" s="56"/>
      <c r="AD75" s="55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56"/>
      <c r="AP75" s="55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56"/>
      <c r="BB75" s="22"/>
    </row>
    <row r="76" spans="1:54" x14ac:dyDescent="0.35">
      <c r="A76" s="16"/>
      <c r="B76" s="8"/>
      <c r="C76" s="8"/>
      <c r="D76" s="10"/>
      <c r="F76" s="55"/>
      <c r="G76" s="8"/>
      <c r="H76" s="8"/>
      <c r="I76" s="8"/>
      <c r="J76" s="8"/>
      <c r="K76" s="8"/>
      <c r="L76" s="8"/>
      <c r="M76" s="8"/>
      <c r="N76" s="8"/>
      <c r="O76" s="8"/>
      <c r="P76" s="8"/>
      <c r="Q76" s="56"/>
      <c r="R76" s="55"/>
      <c r="S76" s="8"/>
      <c r="T76" s="8"/>
      <c r="U76" s="8"/>
      <c r="V76" s="8"/>
      <c r="W76" s="8"/>
      <c r="X76" s="8"/>
      <c r="Y76" s="8"/>
      <c r="Z76" s="8"/>
      <c r="AA76" s="8"/>
      <c r="AB76" s="8"/>
      <c r="AC76" s="56"/>
      <c r="AD76" s="55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56"/>
      <c r="AP76" s="55"/>
      <c r="AQ76" s="8"/>
      <c r="AR76" s="8"/>
      <c r="AS76" s="8"/>
      <c r="AT76" s="8"/>
      <c r="AU76" s="8"/>
      <c r="AV76" s="8"/>
      <c r="AW76" s="8"/>
      <c r="AX76" s="8"/>
      <c r="AY76" s="8"/>
      <c r="AZ76" s="8"/>
      <c r="BA76" s="56"/>
      <c r="BB76" s="22"/>
    </row>
    <row r="77" spans="1:54" x14ac:dyDescent="0.35">
      <c r="A77" s="16"/>
      <c r="B77" s="8"/>
      <c r="C77" s="8"/>
      <c r="D77" s="10"/>
      <c r="F77" s="55"/>
      <c r="G77" s="8"/>
      <c r="H77" s="8"/>
      <c r="I77" s="8"/>
      <c r="J77" s="8"/>
      <c r="K77" s="8"/>
      <c r="L77" s="8"/>
      <c r="M77" s="8"/>
      <c r="N77" s="8"/>
      <c r="O77" s="8"/>
      <c r="P77" s="8"/>
      <c r="Q77" s="56"/>
      <c r="R77" s="55"/>
      <c r="S77" s="8"/>
      <c r="T77" s="8"/>
      <c r="U77" s="8"/>
      <c r="V77" s="8"/>
      <c r="W77" s="8"/>
      <c r="X77" s="8"/>
      <c r="Y77" s="8"/>
      <c r="Z77" s="8"/>
      <c r="AA77" s="8"/>
      <c r="AB77" s="8"/>
      <c r="AC77" s="56"/>
      <c r="AD77" s="55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56"/>
      <c r="AP77" s="55"/>
      <c r="AQ77" s="8"/>
      <c r="AR77" s="8"/>
      <c r="AS77" s="8"/>
      <c r="AT77" s="8"/>
      <c r="AU77" s="8"/>
      <c r="AV77" s="8"/>
      <c r="AW77" s="8"/>
      <c r="AX77" s="8"/>
      <c r="AY77" s="8"/>
      <c r="AZ77" s="8"/>
      <c r="BA77" s="56"/>
      <c r="BB77" s="22"/>
    </row>
    <row r="78" spans="1:54" x14ac:dyDescent="0.35">
      <c r="A78" s="16"/>
      <c r="B78" s="8"/>
      <c r="C78" s="8"/>
      <c r="D78" s="10"/>
      <c r="F78" s="55"/>
      <c r="G78" s="8"/>
      <c r="H78" s="8"/>
      <c r="I78" s="8"/>
      <c r="J78" s="8"/>
      <c r="K78" s="8"/>
      <c r="L78" s="8"/>
      <c r="M78" s="8"/>
      <c r="N78" s="8"/>
      <c r="O78" s="8"/>
      <c r="P78" s="8"/>
      <c r="Q78" s="56"/>
      <c r="R78" s="55"/>
      <c r="S78" s="8"/>
      <c r="T78" s="8"/>
      <c r="U78" s="8"/>
      <c r="V78" s="8"/>
      <c r="W78" s="8"/>
      <c r="X78" s="8"/>
      <c r="Y78" s="8"/>
      <c r="Z78" s="8"/>
      <c r="AA78" s="8"/>
      <c r="AB78" s="8"/>
      <c r="AC78" s="56"/>
      <c r="AD78" s="55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56"/>
      <c r="AP78" s="55"/>
      <c r="AQ78" s="8"/>
      <c r="AR78" s="8"/>
      <c r="AS78" s="8"/>
      <c r="AT78" s="8"/>
      <c r="AU78" s="8"/>
      <c r="AV78" s="8"/>
      <c r="AW78" s="8"/>
      <c r="AX78" s="8"/>
      <c r="AY78" s="8"/>
      <c r="AZ78" s="8"/>
      <c r="BA78" s="56"/>
      <c r="BB78" s="22"/>
    </row>
    <row r="79" spans="1:54" x14ac:dyDescent="0.35">
      <c r="A79" s="16"/>
      <c r="B79" s="8"/>
      <c r="C79" s="8"/>
      <c r="D79" s="10"/>
      <c r="F79" s="55"/>
      <c r="G79" s="8"/>
      <c r="H79" s="8"/>
      <c r="I79" s="8"/>
      <c r="J79" s="8"/>
      <c r="K79" s="8"/>
      <c r="L79" s="8"/>
      <c r="M79" s="8"/>
      <c r="N79" s="8"/>
      <c r="O79" s="8"/>
      <c r="P79" s="8"/>
      <c r="Q79" s="56"/>
      <c r="R79" s="55"/>
      <c r="S79" s="8"/>
      <c r="T79" s="8"/>
      <c r="U79" s="8"/>
      <c r="V79" s="8"/>
      <c r="W79" s="8"/>
      <c r="X79" s="8"/>
      <c r="Y79" s="8"/>
      <c r="Z79" s="8"/>
      <c r="AA79" s="8"/>
      <c r="AB79" s="8"/>
      <c r="AC79" s="56"/>
      <c r="AD79" s="55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56"/>
      <c r="AP79" s="55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56"/>
      <c r="BB79" s="22"/>
    </row>
    <row r="80" spans="1:54" x14ac:dyDescent="0.35">
      <c r="A80" s="16"/>
      <c r="B80" s="8"/>
      <c r="C80" s="8"/>
      <c r="D80" s="10"/>
      <c r="F80" s="55"/>
      <c r="G80" s="8"/>
      <c r="H80" s="8"/>
      <c r="I80" s="8"/>
      <c r="J80" s="8"/>
      <c r="K80" s="8"/>
      <c r="L80" s="8"/>
      <c r="M80" s="8"/>
      <c r="N80" s="8"/>
      <c r="O80" s="8"/>
      <c r="P80" s="8"/>
      <c r="Q80" s="56"/>
      <c r="R80" s="55"/>
      <c r="S80" s="8"/>
      <c r="T80" s="8"/>
      <c r="U80" s="8"/>
      <c r="V80" s="8"/>
      <c r="W80" s="8"/>
      <c r="X80" s="8"/>
      <c r="Y80" s="8"/>
      <c r="Z80" s="8"/>
      <c r="AA80" s="8"/>
      <c r="AB80" s="8"/>
      <c r="AC80" s="56"/>
      <c r="AD80" s="55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56"/>
      <c r="AP80" s="55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56"/>
      <c r="BB80" s="22"/>
    </row>
    <row r="81" spans="1:54" x14ac:dyDescent="0.35">
      <c r="A81" s="16"/>
      <c r="B81" s="8"/>
      <c r="C81" s="8"/>
      <c r="D81" s="10"/>
      <c r="F81" s="55"/>
      <c r="G81" s="8"/>
      <c r="H81" s="8"/>
      <c r="I81" s="8"/>
      <c r="J81" s="8"/>
      <c r="K81" s="8"/>
      <c r="L81" s="8"/>
      <c r="M81" s="8"/>
      <c r="N81" s="8"/>
      <c r="O81" s="8"/>
      <c r="P81" s="8"/>
      <c r="Q81" s="56"/>
      <c r="R81" s="55"/>
      <c r="S81" s="8"/>
      <c r="T81" s="8"/>
      <c r="U81" s="8"/>
      <c r="V81" s="8"/>
      <c r="W81" s="8"/>
      <c r="X81" s="8"/>
      <c r="Y81" s="8"/>
      <c r="Z81" s="8"/>
      <c r="AA81" s="8"/>
      <c r="AB81" s="8"/>
      <c r="AC81" s="56"/>
      <c r="AD81" s="55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56"/>
      <c r="AP81" s="55"/>
      <c r="AQ81" s="8"/>
      <c r="AR81" s="8"/>
      <c r="AS81" s="8"/>
      <c r="AT81" s="8"/>
      <c r="AU81" s="8"/>
      <c r="AV81" s="8"/>
      <c r="AW81" s="8"/>
      <c r="AX81" s="8"/>
      <c r="AY81" s="8"/>
      <c r="AZ81" s="8"/>
      <c r="BA81" s="56"/>
      <c r="BB81" s="22"/>
    </row>
    <row r="82" spans="1:54" x14ac:dyDescent="0.35">
      <c r="A82" s="16"/>
      <c r="B82" s="8"/>
      <c r="C82" s="8"/>
      <c r="D82" s="10"/>
      <c r="F82" s="55"/>
      <c r="G82" s="8"/>
      <c r="H82" s="8"/>
      <c r="I82" s="8"/>
      <c r="J82" s="8"/>
      <c r="K82" s="8"/>
      <c r="L82" s="8"/>
      <c r="M82" s="8"/>
      <c r="N82" s="8"/>
      <c r="O82" s="8"/>
      <c r="P82" s="8"/>
      <c r="Q82" s="56"/>
      <c r="R82" s="55"/>
      <c r="S82" s="8"/>
      <c r="T82" s="8"/>
      <c r="U82" s="8"/>
      <c r="V82" s="8"/>
      <c r="W82" s="8"/>
      <c r="X82" s="8"/>
      <c r="Y82" s="8"/>
      <c r="Z82" s="8"/>
      <c r="AA82" s="8"/>
      <c r="AB82" s="8"/>
      <c r="AC82" s="56"/>
      <c r="AD82" s="55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56"/>
      <c r="AP82" s="55"/>
      <c r="AQ82" s="8"/>
      <c r="AR82" s="8"/>
      <c r="AS82" s="8"/>
      <c r="AT82" s="8"/>
      <c r="AU82" s="8"/>
      <c r="AV82" s="8"/>
      <c r="AW82" s="8"/>
      <c r="AX82" s="8"/>
      <c r="AY82" s="8"/>
      <c r="AZ82" s="8"/>
      <c r="BA82" s="56"/>
      <c r="BB82" s="22"/>
    </row>
    <row r="83" spans="1:54" x14ac:dyDescent="0.35">
      <c r="A83" s="16"/>
      <c r="B83" s="8"/>
      <c r="C83" s="8"/>
      <c r="D83" s="10"/>
      <c r="F83" s="55"/>
      <c r="G83" s="8"/>
      <c r="H83" s="8"/>
      <c r="I83" s="8"/>
      <c r="J83" s="8"/>
      <c r="K83" s="8"/>
      <c r="L83" s="8"/>
      <c r="M83" s="8"/>
      <c r="N83" s="8"/>
      <c r="O83" s="8"/>
      <c r="P83" s="8"/>
      <c r="Q83" s="56"/>
      <c r="R83" s="55"/>
      <c r="S83" s="8"/>
      <c r="T83" s="8"/>
      <c r="U83" s="8"/>
      <c r="V83" s="8"/>
      <c r="W83" s="8"/>
      <c r="X83" s="8"/>
      <c r="Y83" s="8"/>
      <c r="Z83" s="8"/>
      <c r="AA83" s="8"/>
      <c r="AB83" s="8"/>
      <c r="AC83" s="56"/>
      <c r="AD83" s="55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56"/>
      <c r="AP83" s="55"/>
      <c r="AQ83" s="8"/>
      <c r="AR83" s="8"/>
      <c r="AS83" s="8"/>
      <c r="AT83" s="8"/>
      <c r="AU83" s="8"/>
      <c r="AV83" s="8"/>
      <c r="AW83" s="8"/>
      <c r="AX83" s="8"/>
      <c r="AY83" s="8"/>
      <c r="AZ83" s="8"/>
      <c r="BA83" s="56"/>
      <c r="BB83" s="22"/>
    </row>
    <row r="84" spans="1:54" x14ac:dyDescent="0.35">
      <c r="A84" s="16"/>
      <c r="B84" s="8"/>
      <c r="C84" s="8"/>
      <c r="D84" s="10"/>
      <c r="F84" s="55"/>
      <c r="G84" s="8"/>
      <c r="H84" s="8"/>
      <c r="I84" s="8"/>
      <c r="J84" s="8"/>
      <c r="K84" s="8"/>
      <c r="L84" s="8"/>
      <c r="M84" s="8"/>
      <c r="N84" s="8"/>
      <c r="O84" s="8"/>
      <c r="P84" s="8"/>
      <c r="Q84" s="56"/>
      <c r="R84" s="55"/>
      <c r="S84" s="8"/>
      <c r="T84" s="8"/>
      <c r="U84" s="8"/>
      <c r="V84" s="8"/>
      <c r="W84" s="8"/>
      <c r="X84" s="8"/>
      <c r="Y84" s="8"/>
      <c r="Z84" s="8"/>
      <c r="AA84" s="8"/>
      <c r="AB84" s="8"/>
      <c r="AC84" s="56"/>
      <c r="AD84" s="55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56"/>
      <c r="AP84" s="55"/>
      <c r="AQ84" s="8"/>
      <c r="AR84" s="8"/>
      <c r="AS84" s="8"/>
      <c r="AT84" s="8"/>
      <c r="AU84" s="8"/>
      <c r="AV84" s="8"/>
      <c r="AW84" s="8"/>
      <c r="AX84" s="8"/>
      <c r="AY84" s="8"/>
      <c r="AZ84" s="8"/>
      <c r="BA84" s="56"/>
      <c r="BB84" s="22"/>
    </row>
    <row r="85" spans="1:54" x14ac:dyDescent="0.35">
      <c r="A85" s="16"/>
      <c r="B85" s="8"/>
      <c r="C85" s="8"/>
      <c r="D85" s="10"/>
      <c r="F85" s="55"/>
      <c r="G85" s="8"/>
      <c r="H85" s="8"/>
      <c r="I85" s="8"/>
      <c r="J85" s="8"/>
      <c r="K85" s="8"/>
      <c r="L85" s="8"/>
      <c r="M85" s="8"/>
      <c r="N85" s="8"/>
      <c r="O85" s="8"/>
      <c r="P85" s="8"/>
      <c r="Q85" s="56"/>
      <c r="R85" s="55"/>
      <c r="S85" s="8"/>
      <c r="T85" s="8"/>
      <c r="U85" s="8"/>
      <c r="V85" s="8"/>
      <c r="W85" s="8"/>
      <c r="X85" s="8"/>
      <c r="Y85" s="8"/>
      <c r="Z85" s="8"/>
      <c r="AA85" s="8"/>
      <c r="AB85" s="8"/>
      <c r="AC85" s="56"/>
      <c r="AD85" s="55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56"/>
      <c r="AP85" s="55"/>
      <c r="AQ85" s="8"/>
      <c r="AR85" s="8"/>
      <c r="AS85" s="8"/>
      <c r="AT85" s="8"/>
      <c r="AU85" s="8"/>
      <c r="AV85" s="8"/>
      <c r="AW85" s="8"/>
      <c r="AX85" s="8"/>
      <c r="AY85" s="8"/>
      <c r="AZ85" s="8"/>
      <c r="BA85" s="56"/>
      <c r="BB85" s="22"/>
    </row>
    <row r="86" spans="1:54" x14ac:dyDescent="0.35">
      <c r="A86" s="16"/>
      <c r="B86" s="8"/>
      <c r="C86" s="8"/>
      <c r="D86" s="10"/>
      <c r="F86" s="55"/>
      <c r="G86" s="8"/>
      <c r="H86" s="8"/>
      <c r="I86" s="8"/>
      <c r="J86" s="8"/>
      <c r="K86" s="8"/>
      <c r="L86" s="8"/>
      <c r="M86" s="8"/>
      <c r="N86" s="8"/>
      <c r="O86" s="8"/>
      <c r="P86" s="8"/>
      <c r="Q86" s="56"/>
      <c r="R86" s="55"/>
      <c r="S86" s="8"/>
      <c r="T86" s="8"/>
      <c r="U86" s="8"/>
      <c r="V86" s="8"/>
      <c r="W86" s="8"/>
      <c r="X86" s="8"/>
      <c r="Y86" s="8"/>
      <c r="Z86" s="8"/>
      <c r="AA86" s="8"/>
      <c r="AB86" s="8"/>
      <c r="AC86" s="56"/>
      <c r="AD86" s="55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56"/>
      <c r="AP86" s="55"/>
      <c r="AQ86" s="8"/>
      <c r="AR86" s="8"/>
      <c r="AS86" s="8"/>
      <c r="AT86" s="8"/>
      <c r="AU86" s="8"/>
      <c r="AV86" s="8"/>
      <c r="AW86" s="8"/>
      <c r="AX86" s="8"/>
      <c r="AY86" s="8"/>
      <c r="AZ86" s="8"/>
      <c r="BA86" s="56"/>
      <c r="BB86" s="22"/>
    </row>
    <row r="87" spans="1:54" x14ac:dyDescent="0.35">
      <c r="A87" s="16"/>
      <c r="B87" s="8"/>
      <c r="C87" s="8"/>
      <c r="D87" s="10"/>
      <c r="F87" s="55"/>
      <c r="G87" s="8"/>
      <c r="H87" s="8"/>
      <c r="I87" s="8"/>
      <c r="J87" s="8"/>
      <c r="K87" s="8"/>
      <c r="L87" s="8"/>
      <c r="M87" s="8"/>
      <c r="N87" s="8"/>
      <c r="O87" s="8"/>
      <c r="P87" s="8"/>
      <c r="Q87" s="56"/>
      <c r="R87" s="55"/>
      <c r="S87" s="8"/>
      <c r="T87" s="8"/>
      <c r="U87" s="8"/>
      <c r="V87" s="8"/>
      <c r="W87" s="8"/>
      <c r="X87" s="8"/>
      <c r="Y87" s="8"/>
      <c r="Z87" s="8"/>
      <c r="AA87" s="8"/>
      <c r="AB87" s="8"/>
      <c r="AC87" s="56"/>
      <c r="AD87" s="55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56"/>
      <c r="AP87" s="55"/>
      <c r="AQ87" s="8"/>
      <c r="AR87" s="8"/>
      <c r="AS87" s="8"/>
      <c r="AT87" s="8"/>
      <c r="AU87" s="8"/>
      <c r="AV87" s="8"/>
      <c r="AW87" s="8"/>
      <c r="AX87" s="8"/>
      <c r="AY87" s="8"/>
      <c r="AZ87" s="8"/>
      <c r="BA87" s="56"/>
      <c r="BB87" s="22"/>
    </row>
    <row r="88" spans="1:54" x14ac:dyDescent="0.35">
      <c r="A88" s="16"/>
      <c r="B88" s="8"/>
      <c r="C88" s="8"/>
      <c r="D88" s="10"/>
      <c r="F88" s="55"/>
      <c r="G88" s="8"/>
      <c r="H88" s="8"/>
      <c r="I88" s="8"/>
      <c r="J88" s="8"/>
      <c r="K88" s="8"/>
      <c r="L88" s="8"/>
      <c r="M88" s="8"/>
      <c r="N88" s="8"/>
      <c r="O88" s="8"/>
      <c r="P88" s="8"/>
      <c r="Q88" s="56"/>
      <c r="R88" s="55"/>
      <c r="S88" s="8"/>
      <c r="T88" s="8"/>
      <c r="U88" s="8"/>
      <c r="V88" s="8"/>
      <c r="W88" s="8"/>
      <c r="X88" s="8"/>
      <c r="Y88" s="8"/>
      <c r="Z88" s="8"/>
      <c r="AA88" s="8"/>
      <c r="AB88" s="8"/>
      <c r="AC88" s="56"/>
      <c r="AD88" s="55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56"/>
      <c r="AP88" s="55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56"/>
      <c r="BB88" s="22"/>
    </row>
    <row r="89" spans="1:54" x14ac:dyDescent="0.35">
      <c r="A89" s="16"/>
      <c r="B89" s="8"/>
      <c r="C89" s="8"/>
      <c r="D89" s="10"/>
      <c r="F89" s="55"/>
      <c r="G89" s="8"/>
      <c r="H89" s="8"/>
      <c r="I89" s="8"/>
      <c r="J89" s="8"/>
      <c r="K89" s="8"/>
      <c r="L89" s="8"/>
      <c r="M89" s="8"/>
      <c r="N89" s="8"/>
      <c r="O89" s="8"/>
      <c r="P89" s="8"/>
      <c r="Q89" s="56"/>
      <c r="R89" s="55"/>
      <c r="S89" s="8"/>
      <c r="T89" s="8"/>
      <c r="U89" s="8"/>
      <c r="V89" s="8"/>
      <c r="W89" s="8"/>
      <c r="X89" s="8"/>
      <c r="Y89" s="8"/>
      <c r="Z89" s="8"/>
      <c r="AA89" s="8"/>
      <c r="AB89" s="8"/>
      <c r="AC89" s="56"/>
      <c r="AD89" s="55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56"/>
      <c r="AP89" s="55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56"/>
      <c r="BB89" s="22"/>
    </row>
    <row r="90" spans="1:54" x14ac:dyDescent="0.35">
      <c r="A90" s="16"/>
      <c r="B90" s="8"/>
      <c r="C90" s="8"/>
      <c r="D90" s="10"/>
      <c r="F90" s="55"/>
      <c r="G90" s="8"/>
      <c r="H90" s="8"/>
      <c r="I90" s="8"/>
      <c r="J90" s="8"/>
      <c r="K90" s="8"/>
      <c r="L90" s="8"/>
      <c r="M90" s="8"/>
      <c r="N90" s="8"/>
      <c r="O90" s="8"/>
      <c r="P90" s="8"/>
      <c r="Q90" s="56"/>
      <c r="R90" s="55"/>
      <c r="S90" s="8"/>
      <c r="T90" s="8"/>
      <c r="U90" s="8"/>
      <c r="V90" s="8"/>
      <c r="W90" s="8"/>
      <c r="X90" s="8"/>
      <c r="Y90" s="8"/>
      <c r="Z90" s="8"/>
      <c r="AA90" s="8"/>
      <c r="AB90" s="8"/>
      <c r="AC90" s="56"/>
      <c r="AD90" s="55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56"/>
      <c r="AP90" s="55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56"/>
      <c r="BB90" s="22"/>
    </row>
    <row r="91" spans="1:54" x14ac:dyDescent="0.35">
      <c r="A91" s="16"/>
      <c r="B91" s="8"/>
      <c r="C91" s="8"/>
      <c r="D91" s="10"/>
      <c r="F91" s="55"/>
      <c r="G91" s="8"/>
      <c r="H91" s="8"/>
      <c r="I91" s="8"/>
      <c r="J91" s="8"/>
      <c r="K91" s="8"/>
      <c r="L91" s="8"/>
      <c r="M91" s="8"/>
      <c r="N91" s="8"/>
      <c r="O91" s="8"/>
      <c r="P91" s="8"/>
      <c r="Q91" s="56"/>
      <c r="R91" s="55"/>
      <c r="S91" s="8"/>
      <c r="T91" s="8"/>
      <c r="U91" s="8"/>
      <c r="V91" s="8"/>
      <c r="W91" s="8"/>
      <c r="X91" s="8"/>
      <c r="Y91" s="8"/>
      <c r="Z91" s="8"/>
      <c r="AA91" s="8"/>
      <c r="AB91" s="8"/>
      <c r="AC91" s="56"/>
      <c r="AD91" s="55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56"/>
      <c r="AP91" s="55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56"/>
      <c r="BB91" s="22"/>
    </row>
    <row r="92" spans="1:54" x14ac:dyDescent="0.35">
      <c r="A92" s="16"/>
      <c r="B92" s="8"/>
      <c r="C92" s="8"/>
      <c r="D92" s="10"/>
      <c r="F92" s="55"/>
      <c r="G92" s="8"/>
      <c r="H92" s="8"/>
      <c r="I92" s="8"/>
      <c r="J92" s="8"/>
      <c r="K92" s="8"/>
      <c r="L92" s="8"/>
      <c r="M92" s="8"/>
      <c r="N92" s="8"/>
      <c r="O92" s="8"/>
      <c r="P92" s="8"/>
      <c r="Q92" s="56"/>
      <c r="R92" s="55"/>
      <c r="S92" s="8"/>
      <c r="T92" s="8"/>
      <c r="U92" s="8"/>
      <c r="V92" s="8"/>
      <c r="W92" s="8"/>
      <c r="X92" s="8"/>
      <c r="Y92" s="8"/>
      <c r="Z92" s="8"/>
      <c r="AA92" s="8"/>
      <c r="AB92" s="8"/>
      <c r="AC92" s="56"/>
      <c r="AD92" s="55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56"/>
      <c r="AP92" s="55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56"/>
      <c r="BB92" s="22"/>
    </row>
    <row r="93" spans="1:54" x14ac:dyDescent="0.35">
      <c r="A93" s="16"/>
      <c r="B93" s="8"/>
      <c r="C93" s="8"/>
      <c r="D93" s="10"/>
      <c r="F93" s="55"/>
      <c r="G93" s="8"/>
      <c r="H93" s="8"/>
      <c r="I93" s="8"/>
      <c r="J93" s="8"/>
      <c r="K93" s="8"/>
      <c r="L93" s="8"/>
      <c r="M93" s="8"/>
      <c r="N93" s="8"/>
      <c r="O93" s="8"/>
      <c r="P93" s="8"/>
      <c r="Q93" s="56"/>
      <c r="R93" s="55"/>
      <c r="S93" s="8"/>
      <c r="T93" s="8"/>
      <c r="U93" s="8"/>
      <c r="V93" s="8"/>
      <c r="W93" s="8"/>
      <c r="X93" s="8"/>
      <c r="Y93" s="8"/>
      <c r="Z93" s="8"/>
      <c r="AA93" s="8"/>
      <c r="AB93" s="8"/>
      <c r="AC93" s="56"/>
      <c r="AD93" s="55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56"/>
      <c r="AP93" s="55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56"/>
      <c r="BB93" s="22"/>
    </row>
    <row r="94" spans="1:54" x14ac:dyDescent="0.35">
      <c r="A94" s="16"/>
      <c r="B94" s="8"/>
      <c r="C94" s="8"/>
      <c r="D94" s="10"/>
      <c r="F94" s="55"/>
      <c r="G94" s="8"/>
      <c r="H94" s="8"/>
      <c r="I94" s="8"/>
      <c r="J94" s="8"/>
      <c r="K94" s="8"/>
      <c r="L94" s="8"/>
      <c r="M94" s="8"/>
      <c r="N94" s="8"/>
      <c r="O94" s="8"/>
      <c r="P94" s="8"/>
      <c r="Q94" s="56"/>
      <c r="R94" s="55"/>
      <c r="S94" s="8"/>
      <c r="T94" s="8"/>
      <c r="U94" s="8"/>
      <c r="V94" s="8"/>
      <c r="W94" s="8"/>
      <c r="X94" s="8"/>
      <c r="Y94" s="8"/>
      <c r="Z94" s="8"/>
      <c r="AA94" s="8"/>
      <c r="AB94" s="8"/>
      <c r="AC94" s="56"/>
      <c r="AD94" s="55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56"/>
      <c r="AP94" s="55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56"/>
      <c r="BB94" s="22"/>
    </row>
    <row r="95" spans="1:54" x14ac:dyDescent="0.35">
      <c r="A95" s="16"/>
      <c r="B95" s="8"/>
      <c r="C95" s="8"/>
      <c r="D95" s="10"/>
      <c r="F95" s="55"/>
      <c r="G95" s="8"/>
      <c r="H95" s="8"/>
      <c r="I95" s="8"/>
      <c r="J95" s="8"/>
      <c r="K95" s="8"/>
      <c r="L95" s="8"/>
      <c r="M95" s="8"/>
      <c r="N95" s="8"/>
      <c r="O95" s="8"/>
      <c r="P95" s="8"/>
      <c r="Q95" s="56"/>
      <c r="R95" s="55"/>
      <c r="S95" s="8"/>
      <c r="T95" s="8"/>
      <c r="U95" s="8"/>
      <c r="V95" s="8"/>
      <c r="W95" s="8"/>
      <c r="X95" s="8"/>
      <c r="Y95" s="8"/>
      <c r="Z95" s="8"/>
      <c r="AA95" s="8"/>
      <c r="AB95" s="8"/>
      <c r="AC95" s="56"/>
      <c r="AD95" s="55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56"/>
      <c r="AP95" s="55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56"/>
      <c r="BB95" s="22"/>
    </row>
    <row r="96" spans="1:54" x14ac:dyDescent="0.35">
      <c r="A96" s="16"/>
      <c r="B96" s="8"/>
      <c r="C96" s="8"/>
      <c r="D96" s="10"/>
      <c r="F96" s="55"/>
      <c r="G96" s="8"/>
      <c r="H96" s="8"/>
      <c r="I96" s="8"/>
      <c r="J96" s="8"/>
      <c r="K96" s="8"/>
      <c r="L96" s="8"/>
      <c r="M96" s="8"/>
      <c r="N96" s="8"/>
      <c r="O96" s="8"/>
      <c r="P96" s="8"/>
      <c r="Q96" s="56"/>
      <c r="R96" s="55"/>
      <c r="S96" s="8"/>
      <c r="T96" s="8"/>
      <c r="U96" s="8"/>
      <c r="V96" s="8"/>
      <c r="W96" s="8"/>
      <c r="X96" s="8"/>
      <c r="Y96" s="8"/>
      <c r="Z96" s="8"/>
      <c r="AA96" s="8"/>
      <c r="AB96" s="8"/>
      <c r="AC96" s="56"/>
      <c r="AD96" s="55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56"/>
      <c r="AP96" s="55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56"/>
      <c r="BB96" s="22"/>
    </row>
    <row r="97" spans="1:54" x14ac:dyDescent="0.35">
      <c r="A97" s="16"/>
      <c r="B97" s="8"/>
      <c r="C97" s="8"/>
      <c r="D97" s="10"/>
      <c r="F97" s="55"/>
      <c r="G97" s="8"/>
      <c r="H97" s="8"/>
      <c r="I97" s="8"/>
      <c r="J97" s="8"/>
      <c r="K97" s="8"/>
      <c r="L97" s="8"/>
      <c r="M97" s="8"/>
      <c r="N97" s="8"/>
      <c r="O97" s="8"/>
      <c r="P97" s="8"/>
      <c r="Q97" s="56"/>
      <c r="R97" s="55"/>
      <c r="S97" s="8"/>
      <c r="T97" s="8"/>
      <c r="U97" s="8"/>
      <c r="V97" s="8"/>
      <c r="W97" s="8"/>
      <c r="X97" s="8"/>
      <c r="Y97" s="8"/>
      <c r="Z97" s="8"/>
      <c r="AA97" s="8"/>
      <c r="AB97" s="8"/>
      <c r="AC97" s="56"/>
      <c r="AD97" s="55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56"/>
      <c r="AP97" s="55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56"/>
      <c r="BB97" s="22"/>
    </row>
    <row r="98" spans="1:54" x14ac:dyDescent="0.35">
      <c r="A98" s="16"/>
      <c r="B98" s="8"/>
      <c r="C98" s="8"/>
      <c r="D98" s="10"/>
      <c r="F98" s="55"/>
      <c r="G98" s="8"/>
      <c r="H98" s="8"/>
      <c r="I98" s="8"/>
      <c r="J98" s="8"/>
      <c r="K98" s="8"/>
      <c r="L98" s="8"/>
      <c r="M98" s="8"/>
      <c r="N98" s="8"/>
      <c r="O98" s="8"/>
      <c r="P98" s="8"/>
      <c r="Q98" s="56"/>
      <c r="R98" s="55"/>
      <c r="S98" s="8"/>
      <c r="T98" s="8"/>
      <c r="U98" s="8"/>
      <c r="V98" s="8"/>
      <c r="W98" s="8"/>
      <c r="X98" s="8"/>
      <c r="Y98" s="8"/>
      <c r="Z98" s="8"/>
      <c r="AA98" s="8"/>
      <c r="AB98" s="8"/>
      <c r="AC98" s="56"/>
      <c r="AD98" s="55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56"/>
      <c r="AP98" s="55"/>
      <c r="AQ98" s="8"/>
      <c r="AR98" s="8"/>
      <c r="AS98" s="8"/>
      <c r="AT98" s="8"/>
      <c r="AU98" s="8"/>
      <c r="AV98" s="8"/>
      <c r="AW98" s="8"/>
      <c r="AX98" s="8"/>
      <c r="AY98" s="8"/>
      <c r="AZ98" s="8"/>
      <c r="BA98" s="56"/>
      <c r="BB98" s="22"/>
    </row>
    <row r="99" spans="1:54" x14ac:dyDescent="0.35">
      <c r="A99" s="16"/>
      <c r="B99" s="8"/>
      <c r="C99" s="8"/>
      <c r="D99" s="10"/>
      <c r="F99" s="55"/>
      <c r="G99" s="8"/>
      <c r="H99" s="8"/>
      <c r="I99" s="8"/>
      <c r="J99" s="8"/>
      <c r="K99" s="8"/>
      <c r="L99" s="8"/>
      <c r="M99" s="8"/>
      <c r="N99" s="8"/>
      <c r="O99" s="8"/>
      <c r="P99" s="8"/>
      <c r="Q99" s="56"/>
      <c r="R99" s="55"/>
      <c r="S99" s="8"/>
      <c r="T99" s="8"/>
      <c r="U99" s="8"/>
      <c r="V99" s="8"/>
      <c r="W99" s="8"/>
      <c r="X99" s="8"/>
      <c r="Y99" s="8"/>
      <c r="Z99" s="8"/>
      <c r="AA99" s="8"/>
      <c r="AB99" s="8"/>
      <c r="AC99" s="56"/>
      <c r="AD99" s="55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56"/>
      <c r="AP99" s="55"/>
      <c r="AQ99" s="8"/>
      <c r="AR99" s="8"/>
      <c r="AS99" s="8"/>
      <c r="AT99" s="8"/>
      <c r="AU99" s="8"/>
      <c r="AV99" s="8"/>
      <c r="AW99" s="8"/>
      <c r="AX99" s="8"/>
      <c r="AY99" s="8"/>
      <c r="AZ99" s="8"/>
      <c r="BA99" s="56"/>
      <c r="BB99" s="22"/>
    </row>
    <row r="100" spans="1:54" x14ac:dyDescent="0.35">
      <c r="A100" s="16"/>
      <c r="B100" s="8"/>
      <c r="C100" s="8"/>
      <c r="D100" s="10"/>
      <c r="F100" s="55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56"/>
      <c r="R100" s="55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56"/>
      <c r="AD100" s="55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56"/>
      <c r="AP100" s="55"/>
      <c r="AQ100" s="8"/>
      <c r="AR100" s="8"/>
      <c r="AS100" s="8"/>
      <c r="AT100" s="8"/>
      <c r="AU100" s="8"/>
      <c r="AV100" s="8"/>
      <c r="AW100" s="8"/>
      <c r="AX100" s="8"/>
      <c r="AY100" s="8"/>
      <c r="AZ100" s="8"/>
      <c r="BA100" s="56"/>
      <c r="BB100" s="22"/>
    </row>
    <row r="101" spans="1:54" x14ac:dyDescent="0.35">
      <c r="A101" s="16"/>
      <c r="B101" s="8"/>
      <c r="C101" s="8"/>
      <c r="D101" s="10"/>
      <c r="F101" s="55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56"/>
      <c r="R101" s="55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56"/>
      <c r="AD101" s="55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56"/>
      <c r="AP101" s="55"/>
      <c r="AQ101" s="8"/>
      <c r="AR101" s="8"/>
      <c r="AS101" s="8"/>
      <c r="AT101" s="8"/>
      <c r="AU101" s="8"/>
      <c r="AV101" s="8"/>
      <c r="AW101" s="8"/>
      <c r="AX101" s="8"/>
      <c r="AY101" s="8"/>
      <c r="AZ101" s="8"/>
      <c r="BA101" s="56"/>
      <c r="BB101" s="22"/>
    </row>
    <row r="102" spans="1:54" x14ac:dyDescent="0.35">
      <c r="A102" s="16"/>
      <c r="B102" s="8"/>
      <c r="C102" s="8"/>
      <c r="D102" s="10"/>
      <c r="F102" s="55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56"/>
      <c r="R102" s="55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56"/>
      <c r="AD102" s="55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56"/>
      <c r="AP102" s="55"/>
      <c r="AQ102" s="8"/>
      <c r="AR102" s="8"/>
      <c r="AS102" s="8"/>
      <c r="AT102" s="8"/>
      <c r="AU102" s="8"/>
      <c r="AV102" s="8"/>
      <c r="AW102" s="8"/>
      <c r="AX102" s="8"/>
      <c r="AY102" s="8"/>
      <c r="AZ102" s="8"/>
      <c r="BA102" s="56"/>
      <c r="BB102" s="22"/>
    </row>
    <row r="103" spans="1:54" x14ac:dyDescent="0.35">
      <c r="A103" s="16"/>
      <c r="B103" s="8"/>
      <c r="C103" s="8"/>
      <c r="D103" s="10"/>
      <c r="F103" s="55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56"/>
      <c r="R103" s="55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56"/>
      <c r="AD103" s="55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56"/>
      <c r="AP103" s="55"/>
      <c r="AQ103" s="8"/>
      <c r="AR103" s="8"/>
      <c r="AS103" s="8"/>
      <c r="AT103" s="8"/>
      <c r="AU103" s="8"/>
      <c r="AV103" s="8"/>
      <c r="AW103" s="8"/>
      <c r="AX103" s="8"/>
      <c r="AY103" s="8"/>
      <c r="AZ103" s="8"/>
      <c r="BA103" s="56"/>
      <c r="BB103" s="22"/>
    </row>
    <row r="104" spans="1:54" x14ac:dyDescent="0.35">
      <c r="A104" s="16"/>
      <c r="B104" s="8"/>
      <c r="C104" s="8"/>
      <c r="D104" s="10"/>
      <c r="F104" s="55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56"/>
      <c r="R104" s="55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56"/>
      <c r="AD104" s="55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56"/>
      <c r="AP104" s="55"/>
      <c r="AQ104" s="8"/>
      <c r="AR104" s="8"/>
      <c r="AS104" s="8"/>
      <c r="AT104" s="8"/>
      <c r="AU104" s="8"/>
      <c r="AV104" s="8"/>
      <c r="AW104" s="8"/>
      <c r="AX104" s="8"/>
      <c r="AY104" s="8"/>
      <c r="AZ104" s="8"/>
      <c r="BA104" s="56"/>
      <c r="BB104" s="22"/>
    </row>
    <row r="105" spans="1:54" x14ac:dyDescent="0.35">
      <c r="A105" s="16"/>
      <c r="B105" s="8"/>
      <c r="C105" s="8"/>
      <c r="D105" s="10"/>
      <c r="F105" s="55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56"/>
      <c r="R105" s="55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56"/>
      <c r="AD105" s="55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56"/>
      <c r="AP105" s="55"/>
      <c r="AQ105" s="8"/>
      <c r="AR105" s="8"/>
      <c r="AS105" s="8"/>
      <c r="AT105" s="8"/>
      <c r="AU105" s="8"/>
      <c r="AV105" s="8"/>
      <c r="AW105" s="8"/>
      <c r="AX105" s="8"/>
      <c r="AY105" s="8"/>
      <c r="AZ105" s="8"/>
      <c r="BA105" s="56"/>
      <c r="BB105" s="22"/>
    </row>
    <row r="106" spans="1:54" x14ac:dyDescent="0.35">
      <c r="A106" s="16"/>
      <c r="B106" s="8"/>
      <c r="C106" s="8"/>
      <c r="D106" s="10"/>
      <c r="F106" s="55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56"/>
      <c r="R106" s="55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56"/>
      <c r="AD106" s="55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56"/>
      <c r="AP106" s="55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56"/>
      <c r="BB106" s="22"/>
    </row>
    <row r="107" spans="1:54" x14ac:dyDescent="0.35">
      <c r="A107" s="16"/>
      <c r="B107" s="8"/>
      <c r="C107" s="8"/>
      <c r="D107" s="10"/>
      <c r="F107" s="55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56"/>
      <c r="R107" s="55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56"/>
      <c r="AD107" s="55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56"/>
      <c r="AP107" s="55"/>
      <c r="AQ107" s="8"/>
      <c r="AR107" s="8"/>
      <c r="AS107" s="8"/>
      <c r="AT107" s="8"/>
      <c r="AU107" s="8"/>
      <c r="AV107" s="8"/>
      <c r="AW107" s="8"/>
      <c r="AX107" s="8"/>
      <c r="AY107" s="8"/>
      <c r="AZ107" s="8"/>
      <c r="BA107" s="56"/>
      <c r="BB107" s="22"/>
    </row>
    <row r="108" spans="1:54" x14ac:dyDescent="0.35">
      <c r="A108" s="16"/>
      <c r="B108" s="8"/>
      <c r="C108" s="8"/>
      <c r="D108" s="10"/>
      <c r="F108" s="55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56"/>
      <c r="R108" s="55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56"/>
      <c r="AD108" s="55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56"/>
      <c r="AP108" s="55"/>
      <c r="AQ108" s="8"/>
      <c r="AR108" s="8"/>
      <c r="AS108" s="8"/>
      <c r="AT108" s="8"/>
      <c r="AU108" s="8"/>
      <c r="AV108" s="8"/>
      <c r="AW108" s="8"/>
      <c r="AX108" s="8"/>
      <c r="AY108" s="8"/>
      <c r="AZ108" s="8"/>
      <c r="BA108" s="56"/>
      <c r="BB108" s="22"/>
    </row>
    <row r="109" spans="1:54" x14ac:dyDescent="0.35">
      <c r="A109" s="16"/>
      <c r="B109" s="8"/>
      <c r="C109" s="8"/>
      <c r="D109" s="10"/>
      <c r="F109" s="55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56"/>
      <c r="R109" s="55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56"/>
      <c r="AD109" s="55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56"/>
      <c r="AP109" s="55"/>
      <c r="AQ109" s="8"/>
      <c r="AR109" s="8"/>
      <c r="AS109" s="8"/>
      <c r="AT109" s="8"/>
      <c r="AU109" s="8"/>
      <c r="AV109" s="8"/>
      <c r="AW109" s="8"/>
      <c r="AX109" s="8"/>
      <c r="AY109" s="8"/>
      <c r="AZ109" s="8"/>
      <c r="BA109" s="56"/>
      <c r="BB109" s="22"/>
    </row>
    <row r="110" spans="1:54" x14ac:dyDescent="0.35">
      <c r="A110" s="16"/>
      <c r="B110" s="8"/>
      <c r="C110" s="8"/>
      <c r="D110" s="10"/>
      <c r="F110" s="55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56"/>
      <c r="R110" s="55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56"/>
      <c r="AD110" s="55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56"/>
      <c r="AP110" s="55"/>
      <c r="AQ110" s="8"/>
      <c r="AR110" s="8"/>
      <c r="AS110" s="8"/>
      <c r="AT110" s="8"/>
      <c r="AU110" s="8"/>
      <c r="AV110" s="8"/>
      <c r="AW110" s="8"/>
      <c r="AX110" s="8"/>
      <c r="AY110" s="8"/>
      <c r="AZ110" s="8"/>
      <c r="BA110" s="56"/>
      <c r="BB110" s="22"/>
    </row>
    <row r="111" spans="1:54" x14ac:dyDescent="0.35">
      <c r="A111" s="16"/>
      <c r="B111" s="8"/>
      <c r="C111" s="8"/>
      <c r="D111" s="10"/>
      <c r="F111" s="55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56"/>
      <c r="R111" s="55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56"/>
      <c r="AD111" s="55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56"/>
      <c r="AP111" s="55"/>
      <c r="AQ111" s="8"/>
      <c r="AR111" s="8"/>
      <c r="AS111" s="8"/>
      <c r="AT111" s="8"/>
      <c r="AU111" s="8"/>
      <c r="AV111" s="8"/>
      <c r="AW111" s="8"/>
      <c r="AX111" s="8"/>
      <c r="AY111" s="8"/>
      <c r="AZ111" s="8"/>
      <c r="BA111" s="56"/>
      <c r="BB111" s="22"/>
    </row>
    <row r="112" spans="1:54" x14ac:dyDescent="0.35">
      <c r="A112" s="16"/>
      <c r="B112" s="8"/>
      <c r="C112" s="8"/>
      <c r="D112" s="10"/>
      <c r="F112" s="55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56"/>
      <c r="R112" s="55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56"/>
      <c r="AD112" s="55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56"/>
      <c r="AP112" s="55"/>
      <c r="AQ112" s="8"/>
      <c r="AR112" s="8"/>
      <c r="AS112" s="8"/>
      <c r="AT112" s="8"/>
      <c r="AU112" s="8"/>
      <c r="AV112" s="8"/>
      <c r="AW112" s="8"/>
      <c r="AX112" s="8"/>
      <c r="AY112" s="8"/>
      <c r="AZ112" s="8"/>
      <c r="BA112" s="56"/>
      <c r="BB112" s="22"/>
    </row>
    <row r="113" spans="1:54" x14ac:dyDescent="0.35">
      <c r="A113" s="16"/>
      <c r="B113" s="8"/>
      <c r="C113" s="8"/>
      <c r="D113" s="10"/>
      <c r="F113" s="55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56"/>
      <c r="R113" s="55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56"/>
      <c r="AD113" s="55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56"/>
      <c r="AP113" s="55"/>
      <c r="AQ113" s="8"/>
      <c r="AR113" s="8"/>
      <c r="AS113" s="8"/>
      <c r="AT113" s="8"/>
      <c r="AU113" s="8"/>
      <c r="AV113" s="8"/>
      <c r="AW113" s="8"/>
      <c r="AX113" s="8"/>
      <c r="AY113" s="8"/>
      <c r="AZ113" s="8"/>
      <c r="BA113" s="56"/>
      <c r="BB113" s="22"/>
    </row>
    <row r="114" spans="1:54" x14ac:dyDescent="0.35">
      <c r="A114" s="16"/>
      <c r="B114" s="8"/>
      <c r="C114" s="8"/>
      <c r="D114" s="10"/>
      <c r="F114" s="55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56"/>
      <c r="R114" s="55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56"/>
      <c r="AD114" s="55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56"/>
      <c r="AP114" s="55"/>
      <c r="AQ114" s="8"/>
      <c r="AR114" s="8"/>
      <c r="AS114" s="8"/>
      <c r="AT114" s="8"/>
      <c r="AU114" s="8"/>
      <c r="AV114" s="8"/>
      <c r="AW114" s="8"/>
      <c r="AX114" s="8"/>
      <c r="AY114" s="8"/>
      <c r="AZ114" s="8"/>
      <c r="BA114" s="56"/>
      <c r="BB114" s="22"/>
    </row>
    <row r="115" spans="1:54" x14ac:dyDescent="0.35">
      <c r="A115" s="16"/>
      <c r="B115" s="8"/>
      <c r="C115" s="8"/>
      <c r="D115" s="10"/>
      <c r="F115" s="55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56"/>
      <c r="R115" s="55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56"/>
      <c r="AD115" s="55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56"/>
      <c r="AP115" s="55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56"/>
      <c r="BB115" s="22"/>
    </row>
    <row r="116" spans="1:54" x14ac:dyDescent="0.35">
      <c r="A116" s="16"/>
      <c r="B116" s="8"/>
      <c r="C116" s="8"/>
      <c r="D116" s="10"/>
      <c r="F116" s="55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56"/>
      <c r="R116" s="55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56"/>
      <c r="AD116" s="55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56"/>
      <c r="AP116" s="55"/>
      <c r="AQ116" s="8"/>
      <c r="AR116" s="8"/>
      <c r="AS116" s="8"/>
      <c r="AT116" s="8"/>
      <c r="AU116" s="8"/>
      <c r="AV116" s="8"/>
      <c r="AW116" s="8"/>
      <c r="AX116" s="8"/>
      <c r="AY116" s="8"/>
      <c r="AZ116" s="8"/>
      <c r="BA116" s="56"/>
      <c r="BB116" s="22"/>
    </row>
    <row r="117" spans="1:54" x14ac:dyDescent="0.35">
      <c r="A117" s="16"/>
      <c r="B117" s="8"/>
      <c r="C117" s="8"/>
      <c r="D117" s="10"/>
      <c r="F117" s="55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56"/>
      <c r="R117" s="55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56"/>
      <c r="AD117" s="55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56"/>
      <c r="AP117" s="55"/>
      <c r="AQ117" s="8"/>
      <c r="AR117" s="8"/>
      <c r="AS117" s="8"/>
      <c r="AT117" s="8"/>
      <c r="AU117" s="8"/>
      <c r="AV117" s="8"/>
      <c r="AW117" s="8"/>
      <c r="AX117" s="8"/>
      <c r="AY117" s="8"/>
      <c r="AZ117" s="8"/>
      <c r="BA117" s="56"/>
      <c r="BB117" s="22"/>
    </row>
    <row r="118" spans="1:54" x14ac:dyDescent="0.35">
      <c r="A118" s="16"/>
      <c r="B118" s="8"/>
      <c r="C118" s="8"/>
      <c r="D118" s="10"/>
      <c r="F118" s="55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56"/>
      <c r="R118" s="55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56"/>
      <c r="AD118" s="55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56"/>
      <c r="AP118" s="55"/>
      <c r="AQ118" s="8"/>
      <c r="AR118" s="8"/>
      <c r="AS118" s="8"/>
      <c r="AT118" s="8"/>
      <c r="AU118" s="8"/>
      <c r="AV118" s="8"/>
      <c r="AW118" s="8"/>
      <c r="AX118" s="8"/>
      <c r="AY118" s="8"/>
      <c r="AZ118" s="8"/>
      <c r="BA118" s="56"/>
      <c r="BB118" s="22"/>
    </row>
    <row r="119" spans="1:54" x14ac:dyDescent="0.35">
      <c r="A119" s="16"/>
      <c r="B119" s="8"/>
      <c r="C119" s="8"/>
      <c r="D119" s="10"/>
      <c r="F119" s="55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56"/>
      <c r="R119" s="55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56"/>
      <c r="AD119" s="55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56"/>
      <c r="AP119" s="55"/>
      <c r="AQ119" s="8"/>
      <c r="AR119" s="8"/>
      <c r="AS119" s="8"/>
      <c r="AT119" s="8"/>
      <c r="AU119" s="8"/>
      <c r="AV119" s="8"/>
      <c r="AW119" s="8"/>
      <c r="AX119" s="8"/>
      <c r="AY119" s="8"/>
      <c r="AZ119" s="8"/>
      <c r="BA119" s="56"/>
      <c r="BB119" s="22"/>
    </row>
    <row r="120" spans="1:54" x14ac:dyDescent="0.35">
      <c r="A120" s="16"/>
      <c r="B120" s="8"/>
      <c r="C120" s="8"/>
      <c r="D120" s="10"/>
      <c r="F120" s="55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56"/>
      <c r="R120" s="55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56"/>
      <c r="AD120" s="55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56"/>
      <c r="AP120" s="55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56"/>
      <c r="BB120" s="22"/>
    </row>
    <row r="121" spans="1:54" ht="15" thickBot="1" x14ac:dyDescent="0.4">
      <c r="F121" s="57"/>
      <c r="G121" s="58"/>
      <c r="H121" s="58"/>
      <c r="I121" s="58"/>
      <c r="J121" s="58"/>
      <c r="K121" s="58"/>
      <c r="L121" s="58"/>
      <c r="M121" s="58"/>
      <c r="N121" s="58"/>
      <c r="O121" s="58"/>
      <c r="P121" s="58"/>
      <c r="Q121" s="59"/>
      <c r="R121" s="57"/>
      <c r="S121" s="58"/>
      <c r="T121" s="58"/>
      <c r="U121" s="58"/>
      <c r="V121" s="58"/>
      <c r="W121" s="58"/>
      <c r="X121" s="58"/>
      <c r="Y121" s="58"/>
      <c r="Z121" s="58"/>
      <c r="AA121" s="58"/>
      <c r="AB121" s="58"/>
      <c r="AC121" s="59"/>
      <c r="AD121" s="57"/>
      <c r="AE121" s="58"/>
      <c r="AF121" s="58"/>
      <c r="AG121" s="58"/>
      <c r="AH121" s="58"/>
      <c r="AI121" s="58"/>
      <c r="AJ121" s="58"/>
      <c r="AK121" s="58"/>
      <c r="AL121" s="58"/>
      <c r="AM121" s="58"/>
      <c r="AN121" s="58"/>
      <c r="AO121" s="59"/>
      <c r="AP121" s="459"/>
      <c r="AQ121" s="460"/>
      <c r="AR121" s="460"/>
      <c r="AS121" s="460"/>
      <c r="AT121" s="460"/>
      <c r="AU121" s="460"/>
      <c r="AV121" s="460"/>
      <c r="AW121" s="460"/>
      <c r="AX121" s="460"/>
      <c r="AY121" s="460"/>
      <c r="AZ121" s="460"/>
      <c r="BA121" s="484"/>
      <c r="BB121" s="22"/>
    </row>
    <row r="122" spans="1:54" s="7" customFormat="1" hidden="1" x14ac:dyDescent="0.35">
      <c r="A122" s="18"/>
      <c r="D122" s="11"/>
    </row>
    <row r="123" spans="1:54" x14ac:dyDescent="0.35"/>
  </sheetData>
  <mergeCells count="3">
    <mergeCell ref="B6:B7"/>
    <mergeCell ref="C6:C7"/>
    <mergeCell ref="D6:D7"/>
  </mergeCells>
  <phoneticPr fontId="9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AA026-BC32-4724-82BD-F84FBBA20123}">
  <dimension ref="A1:Q102"/>
  <sheetViews>
    <sheetView showGridLines="0" zoomScale="85" zoomScaleNormal="85" workbookViewId="0">
      <pane ySplit="2" topLeftCell="A12" activePane="bottomLeft" state="frozen"/>
      <selection activeCell="AB74" sqref="AB74"/>
      <selection pane="bottomLeft" activeCell="C22" sqref="C22"/>
    </sheetView>
  </sheetViews>
  <sheetFormatPr defaultRowHeight="14.5" x14ac:dyDescent="0.35"/>
  <cols>
    <col min="1" max="1" width="13.75" customWidth="1"/>
    <col min="2" max="2" width="33.25" customWidth="1"/>
    <col min="3" max="3" width="16.08203125" bestFit="1" customWidth="1"/>
    <col min="4" max="4" width="28.75" bestFit="1" customWidth="1"/>
    <col min="5" max="5" width="11.25" bestFit="1" customWidth="1"/>
    <col min="6" max="6" width="13.25" customWidth="1"/>
    <col min="7" max="7" width="135.83203125" bestFit="1" customWidth="1"/>
    <col min="8" max="8" width="10.08203125" customWidth="1"/>
    <col min="9" max="9" width="13.08203125" bestFit="1" customWidth="1"/>
    <col min="10" max="11" width="13.08203125" customWidth="1"/>
    <col min="12" max="12" width="13.33203125" bestFit="1" customWidth="1"/>
    <col min="13" max="13" width="11.25" bestFit="1" customWidth="1"/>
    <col min="14" max="14" width="12.58203125" bestFit="1" customWidth="1"/>
    <col min="15" max="15" width="18.75" bestFit="1" customWidth="1"/>
    <col min="16" max="16" width="30.25" customWidth="1"/>
    <col min="17" max="17" width="148.58203125" bestFit="1" customWidth="1"/>
  </cols>
  <sheetData>
    <row r="1" spans="1:17" x14ac:dyDescent="0.35">
      <c r="A1" s="126" t="s">
        <v>138</v>
      </c>
      <c r="F1" s="126"/>
      <c r="L1" t="s">
        <v>139</v>
      </c>
      <c r="Q1" t="s">
        <v>140</v>
      </c>
    </row>
    <row r="2" spans="1:17" x14ac:dyDescent="0.35">
      <c r="A2" s="43" t="s">
        <v>141</v>
      </c>
      <c r="B2" s="43" t="s">
        <v>142</v>
      </c>
      <c r="C2" s="43" t="s">
        <v>143</v>
      </c>
      <c r="D2" s="43" t="s">
        <v>144</v>
      </c>
      <c r="E2" s="43" t="s">
        <v>145</v>
      </c>
      <c r="F2" s="43" t="s">
        <v>146</v>
      </c>
      <c r="G2" s="43" t="s">
        <v>147</v>
      </c>
      <c r="H2" s="43" t="s">
        <v>43</v>
      </c>
      <c r="I2" s="43" t="s">
        <v>46</v>
      </c>
      <c r="J2" s="43" t="s">
        <v>47</v>
      </c>
      <c r="K2" s="43" t="s">
        <v>48</v>
      </c>
      <c r="L2" s="43" t="s">
        <v>148</v>
      </c>
      <c r="M2" s="42" t="s">
        <v>149</v>
      </c>
      <c r="N2" s="42" t="s">
        <v>150</v>
      </c>
      <c r="O2" s="42" t="s">
        <v>151</v>
      </c>
      <c r="P2" s="42" t="s">
        <v>152</v>
      </c>
      <c r="Q2" s="42" t="s">
        <v>153</v>
      </c>
    </row>
    <row r="3" spans="1:17" x14ac:dyDescent="0.35">
      <c r="A3" s="80" t="s">
        <v>52</v>
      </c>
      <c r="B3" s="80" t="s">
        <v>154</v>
      </c>
      <c r="C3" s="80" t="s">
        <v>15</v>
      </c>
      <c r="D3" s="80" t="s">
        <v>95</v>
      </c>
      <c r="E3" s="81">
        <v>45292</v>
      </c>
      <c r="F3" s="82">
        <f>IF($E3="","",IF(COUNTIF(O$3:O3,$O3)=COUNTIFS($O$3:$O$101,$O3),DATE(9999,12,31),INDEX($E$3:$E$101,MATCH($O3&amp;" | "&amp;TEXT(COUNTIF(O$3:O3,$O3)+1,"00"),$P$3:$P$101,0))-1))</f>
        <v>2958465</v>
      </c>
      <c r="G3" s="80" t="s">
        <v>155</v>
      </c>
      <c r="H3" s="80" t="s">
        <v>156</v>
      </c>
      <c r="I3" s="80" t="s">
        <v>157</v>
      </c>
      <c r="J3" s="147">
        <v>1600</v>
      </c>
      <c r="K3" s="147">
        <v>1200</v>
      </c>
      <c r="L3" s="80"/>
      <c r="M3">
        <f t="shared" ref="M3:M11" si="0">IF($E3="","",YEAR($E3))</f>
        <v>2024</v>
      </c>
      <c r="N3">
        <f>IF($E3="","",MONTH($E3))</f>
        <v>1</v>
      </c>
      <c r="O3" t="str">
        <f t="shared" ref="O3:O33" si="1">IF(OR($A3="",$C3=""),"",$A3&amp;" | "&amp;$C3)</f>
        <v>200319 | 110000354</v>
      </c>
      <c r="P3" t="str">
        <f>IF($O3="","",$O3&amp;" | "&amp;TEXT(COUNTIF(O$3:O3,$O3),"00"))</f>
        <v>200319 | 110000354 | 01</v>
      </c>
      <c r="Q3" t="str">
        <f>$A3&amp;$C3&amp;$E3&amp;$G3&amp;$H3&amp;$I3</f>
        <v>20031911000035445292Giá ICIS rPET ĐNA trung bình 3 tháng trước đó với chiết khấu 10%. Giá trần $1,600; giá sàn $1,200FOBTháng</v>
      </c>
    </row>
    <row r="4" spans="1:17" x14ac:dyDescent="0.35">
      <c r="A4" s="80" t="s">
        <v>158</v>
      </c>
      <c r="B4" s="80" t="s">
        <v>159</v>
      </c>
      <c r="C4" s="80" t="s">
        <v>15</v>
      </c>
      <c r="D4" s="80" t="s">
        <v>95</v>
      </c>
      <c r="E4" s="81">
        <v>45292</v>
      </c>
      <c r="F4" s="44">
        <f>IF($E4="","",IF(COUNTIF(O$3:O4,$O4)=COUNTIFS($O$3:$O$101,$O4),DATE(9999,12,31),INDEX($E$3:$E$101,MATCH($O4&amp;" | "&amp;TEXT(COUNTIF(O$3:O4,$O4)+1,"00"),$P$3:$P$101,0))-1))</f>
        <v>2958465</v>
      </c>
      <c r="G4" s="80" t="s">
        <v>155</v>
      </c>
      <c r="H4" s="80" t="s">
        <v>156</v>
      </c>
      <c r="I4" s="80" t="s">
        <v>157</v>
      </c>
      <c r="J4" s="147">
        <v>1600</v>
      </c>
      <c r="K4" s="147">
        <v>1200</v>
      </c>
      <c r="L4" s="80"/>
      <c r="M4">
        <f t="shared" si="0"/>
        <v>2024</v>
      </c>
      <c r="N4">
        <f t="shared" ref="N4:N66" si="2">IF($E4="","",MONTH($E4))</f>
        <v>1</v>
      </c>
      <c r="O4" t="str">
        <f t="shared" si="1"/>
        <v>200350 | 110000354</v>
      </c>
      <c r="P4" t="str">
        <f>IF($O4="","",$O4&amp;" | "&amp;TEXT(COUNTIF(O$3:O4,$O4),"00"))</f>
        <v>200350 | 110000354 | 01</v>
      </c>
      <c r="Q4" t="str">
        <f>$A4&amp;$C4&amp;$E4&amp;$G4&amp;$H4&amp;$I4</f>
        <v>20035011000035445292Giá ICIS rPET ĐNA trung bình 3 tháng trước đó với chiết khấu 10%. Giá trần $1,600; giá sàn $1,200FOBTháng</v>
      </c>
    </row>
    <row r="5" spans="1:17" x14ac:dyDescent="0.35">
      <c r="A5" s="80" t="s">
        <v>62</v>
      </c>
      <c r="B5" s="80" t="s">
        <v>160</v>
      </c>
      <c r="C5" s="80" t="s">
        <v>35</v>
      </c>
      <c r="D5" s="80" t="s">
        <v>98</v>
      </c>
      <c r="E5" s="81">
        <v>45292</v>
      </c>
      <c r="F5" s="44">
        <f>IF($E5="","",IF(COUNTIF(O$3:O5,$O5)=COUNTIFS($O$3:$O$101,$O5),DATE(9999,12,31),INDEX($E$3:$E$101,MATCH($O5&amp;" | "&amp;TEXT(COUNTIF(O$3:O5,$O5)+1,"00"),$P$3:$P$101,0))-1))</f>
        <v>45657</v>
      </c>
      <c r="G5" s="80" t="s">
        <v>161</v>
      </c>
      <c r="H5" s="80" t="s">
        <v>162</v>
      </c>
      <c r="I5" s="80" t="s">
        <v>163</v>
      </c>
      <c r="J5" s="147"/>
      <c r="K5" s="147"/>
      <c r="L5" s="80"/>
      <c r="M5">
        <f t="shared" si="0"/>
        <v>2024</v>
      </c>
      <c r="N5">
        <f t="shared" si="2"/>
        <v>1</v>
      </c>
      <c r="O5" t="str">
        <f t="shared" si="1"/>
        <v>104909 | 110000329</v>
      </c>
      <c r="P5" t="str">
        <f>IF($O5="","",$O5&amp;" | "&amp;TEXT(COUNTIF(O$3:O5,$O5),"00"))</f>
        <v>104909 | 110000329 | 01</v>
      </c>
      <c r="Q5" t="str">
        <f>$A5&amp;$C5&amp;$E5&amp;$G5&amp;$H5&amp;$I5</f>
        <v>10490911000032945292Giá cố địnhEXWLần</v>
      </c>
    </row>
    <row r="6" spans="1:17" x14ac:dyDescent="0.35">
      <c r="A6" s="80" t="s">
        <v>40</v>
      </c>
      <c r="B6" s="80" t="s">
        <v>164</v>
      </c>
      <c r="C6" s="80" t="s">
        <v>29</v>
      </c>
      <c r="D6" s="80" t="s">
        <v>89</v>
      </c>
      <c r="E6" s="81">
        <v>45292</v>
      </c>
      <c r="F6" s="44">
        <f>IF($E6="","",IF(COUNTIF(O$3:O6,$O6)=COUNTIFS($O$3:$O$101,$O6),DATE(9999,12,31),INDEX($E$3:$E$101,MATCH($O6&amp;" | "&amp;TEXT(COUNTIF(O$3:O6,$O6)+1,"00"),$P$3:$P$101,0))-1))</f>
        <v>45657</v>
      </c>
      <c r="G6" s="80" t="s">
        <v>165</v>
      </c>
      <c r="H6" s="80" t="s">
        <v>166</v>
      </c>
      <c r="I6" s="80" t="s">
        <v>157</v>
      </c>
      <c r="J6" s="147"/>
      <c r="K6" s="147"/>
      <c r="L6" s="80">
        <v>60</v>
      </c>
      <c r="M6">
        <f t="shared" si="0"/>
        <v>2024</v>
      </c>
      <c r="N6">
        <f t="shared" si="2"/>
        <v>1</v>
      </c>
      <c r="O6" t="str">
        <f t="shared" si="1"/>
        <v>105194 | 110000332</v>
      </c>
      <c r="P6" t="str">
        <f>IF($O6="","",$O6&amp;" | "&amp;TEXT(COUNTIF(O$3:O6,$O6),"00"))</f>
        <v>105194 | 110000332 | 01</v>
      </c>
      <c r="Q6" t="str">
        <f>$A6&amp;$C6&amp;$E6&amp;$G6&amp;$H6&amp;$I6&amp;J6&amp;K6</f>
        <v>10519411000033245292Giá ICIS rPET ĐNA trung bình từ ngày 16 tháng (X-2) đến ngày 15 tháng (X-1) +Premium ( Chi phí tăng IV ) - REBATE + Cp vận chuyểnDDPTháng</v>
      </c>
    </row>
    <row r="7" spans="1:17" x14ac:dyDescent="0.35">
      <c r="A7" s="80" t="s">
        <v>40</v>
      </c>
      <c r="B7" s="80" t="s">
        <v>164</v>
      </c>
      <c r="C7" s="80" t="s">
        <v>31</v>
      </c>
      <c r="D7" s="80" t="s">
        <v>92</v>
      </c>
      <c r="E7" s="81">
        <v>45292</v>
      </c>
      <c r="F7" s="44">
        <f>IF($E7="","",IF(COUNTIF(O$3:O7,$O7)=COUNTIFS($O$3:$O$101,$O7),DATE(9999,12,31),INDEX($E$3:$E$101,MATCH($O7&amp;" | "&amp;TEXT(COUNTIF(O$3:O7,$O7)+1,"00"),$P$3:$P$101,0))-1))</f>
        <v>45657</v>
      </c>
      <c r="G7" s="80" t="s">
        <v>165</v>
      </c>
      <c r="H7" s="80" t="s">
        <v>166</v>
      </c>
      <c r="I7" s="80" t="s">
        <v>157</v>
      </c>
      <c r="J7" s="147"/>
      <c r="K7" s="147"/>
      <c r="L7" s="80">
        <v>60</v>
      </c>
      <c r="M7">
        <f t="shared" si="0"/>
        <v>2024</v>
      </c>
      <c r="N7">
        <f t="shared" si="2"/>
        <v>1</v>
      </c>
      <c r="O7" t="str">
        <f t="shared" si="1"/>
        <v>105194 | 110000355</v>
      </c>
      <c r="P7" t="str">
        <f>IF($O7="","",$O7&amp;" | "&amp;TEXT(COUNTIF(O$3:O7,$O7),"00"))</f>
        <v>105194 | 110000355 | 01</v>
      </c>
      <c r="Q7" t="str">
        <f t="shared" ref="Q7:Q70" si="3">$A7&amp;$C7&amp;$E7&amp;$G7&amp;$H7&amp;$I7&amp;J7&amp;K7</f>
        <v>10519411000035545292Giá ICIS rPET ĐNA trung bình từ ngày 16 tháng (X-2) đến ngày 15 tháng (X-1) +Premium ( Chi phí tăng IV ) - REBATE + Cp vận chuyểnDDPTháng</v>
      </c>
    </row>
    <row r="8" spans="1:17" x14ac:dyDescent="0.35">
      <c r="A8" s="80" t="s">
        <v>64</v>
      </c>
      <c r="B8" s="80" t="s">
        <v>167</v>
      </c>
      <c r="C8" s="80" t="s">
        <v>15</v>
      </c>
      <c r="D8" s="80" t="s">
        <v>95</v>
      </c>
      <c r="E8" s="81">
        <v>45200</v>
      </c>
      <c r="F8" s="44">
        <f>IF($E8="","",IF(COUNTIF(O$3:O8,$O8)=COUNTIFS($O$3:$O$101,$O8),DATE(9999,12,31),INDEX($E$3:$E$101,MATCH($O8&amp;" | "&amp;TEXT(COUNTIF(O$3:O8,$O8)+1,"00"),$P$3:$P$101,0))-1))</f>
        <v>45657</v>
      </c>
      <c r="G8" s="80" t="s">
        <v>168</v>
      </c>
      <c r="H8" s="80" t="s">
        <v>166</v>
      </c>
      <c r="I8" s="80" t="s">
        <v>169</v>
      </c>
      <c r="J8" s="147"/>
      <c r="K8" s="147"/>
      <c r="L8" s="80">
        <v>90</v>
      </c>
      <c r="M8">
        <f t="shared" si="0"/>
        <v>2023</v>
      </c>
      <c r="N8">
        <f t="shared" si="2"/>
        <v>10</v>
      </c>
      <c r="O8" t="str">
        <f t="shared" si="1"/>
        <v>105263 | 110000354</v>
      </c>
      <c r="P8" t="str">
        <f>IF($O8="","",$O8&amp;" | "&amp;TEXT(COUNTIF(O$3:O8,$O8),"00"))</f>
        <v>105263 | 110000354 | 01</v>
      </c>
      <c r="Q8" t="str">
        <f t="shared" si="3"/>
        <v>10526311000035445200Giá Bales DTR +% Hao Hụt + Conversion costDDPQuý</v>
      </c>
    </row>
    <row r="9" spans="1:17" x14ac:dyDescent="0.35">
      <c r="A9" s="80" t="s">
        <v>64</v>
      </c>
      <c r="B9" s="80" t="s">
        <v>167</v>
      </c>
      <c r="C9" s="80" t="s">
        <v>15</v>
      </c>
      <c r="D9" s="80" t="s">
        <v>95</v>
      </c>
      <c r="E9" s="81">
        <v>45658</v>
      </c>
      <c r="F9" s="44">
        <f>IF($E9="","",IF(COUNTIF(O$3:O9,$O9)=COUNTIFS($O$3:$O$101,$O9),DATE(9999,12,31),INDEX($E$3:$E$101,MATCH($O9&amp;" | "&amp;TEXT(COUNTIF(O$3:O9,$O9)+1,"00"),$P$3:$P$101,0))-1))</f>
        <v>2958465</v>
      </c>
      <c r="G9" s="80" t="s">
        <v>348</v>
      </c>
      <c r="H9" s="80" t="s">
        <v>166</v>
      </c>
      <c r="I9" s="80" t="s">
        <v>170</v>
      </c>
      <c r="J9" s="147"/>
      <c r="K9" s="147"/>
      <c r="L9" s="80">
        <v>90</v>
      </c>
      <c r="M9">
        <f t="shared" si="0"/>
        <v>2025</v>
      </c>
      <c r="N9">
        <f t="shared" si="2"/>
        <v>1</v>
      </c>
      <c r="O9" t="str">
        <f t="shared" si="1"/>
        <v>105263 | 110000354</v>
      </c>
      <c r="P9" t="str">
        <f>IF($O9="","",$O9&amp;" | "&amp;TEXT(COUNTIF(O$3:O9,$O9),"00"))</f>
        <v>105263 | 110000354 | 02</v>
      </c>
      <c r="Q9" t="str">
        <f t="shared" si="3"/>
        <v>10526311000035445658Giá cố định (KD đề xuất)DDPNăm</v>
      </c>
    </row>
    <row r="10" spans="1:17" x14ac:dyDescent="0.35">
      <c r="A10" s="80" t="s">
        <v>64</v>
      </c>
      <c r="B10" s="80" t="s">
        <v>167</v>
      </c>
      <c r="C10" s="80" t="s">
        <v>24</v>
      </c>
      <c r="D10" s="80" t="s">
        <v>129</v>
      </c>
      <c r="E10" s="81">
        <v>45292</v>
      </c>
      <c r="F10" s="44">
        <f>IF($E10="","",IF(COUNTIF(O$3:O10,$O10)=COUNTIFS($O$3:$O$101,$O10),DATE(9999,12,31),INDEX($E$3:$E$101,MATCH($O10&amp;" | "&amp;TEXT(COUNTIF(O$3:O10,$O10)+1,"00"),$P$3:$P$101,0))-1))</f>
        <v>45657</v>
      </c>
      <c r="G10" s="80" t="s">
        <v>171</v>
      </c>
      <c r="H10" s="80" t="s">
        <v>166</v>
      </c>
      <c r="I10" s="80" t="s">
        <v>169</v>
      </c>
      <c r="J10" s="147"/>
      <c r="K10" s="147"/>
      <c r="L10" s="80">
        <v>90</v>
      </c>
      <c r="M10">
        <f t="shared" si="0"/>
        <v>2024</v>
      </c>
      <c r="N10">
        <f t="shared" si="2"/>
        <v>1</v>
      </c>
      <c r="O10" t="str">
        <f t="shared" si="1"/>
        <v>105263 | 110000339</v>
      </c>
      <c r="P10" t="str">
        <f>IF($O10="","",$O10&amp;" | "&amp;TEXT(COUNTIF(O$3:O10,$O10),"00"))</f>
        <v>105263 | 110000339 | 01</v>
      </c>
      <c r="Q10" t="str">
        <f t="shared" si="3"/>
        <v>10526311000033945292Giá Bales DTR Mua +% Hao Hụt + Conversion costDDPQuý</v>
      </c>
    </row>
    <row r="11" spans="1:17" x14ac:dyDescent="0.35">
      <c r="A11" s="80" t="s">
        <v>64</v>
      </c>
      <c r="B11" s="80" t="s">
        <v>167</v>
      </c>
      <c r="C11" s="80" t="s">
        <v>24</v>
      </c>
      <c r="D11" s="80" t="s">
        <v>129</v>
      </c>
      <c r="E11" s="81">
        <v>45658</v>
      </c>
      <c r="F11" s="44">
        <f>IF($E11="","",IF(COUNTIF(O$3:O11,$O11)=COUNTIFS($O$3:$O$101,$O11),DATE(9999,12,31),INDEX($E$3:$E$101,MATCH($O11&amp;" | "&amp;TEXT(COUNTIF(O$3:O11,$O11)+1,"00"),$P$3:$P$101,0))-1))</f>
        <v>2958465</v>
      </c>
      <c r="G11" s="80" t="s">
        <v>348</v>
      </c>
      <c r="H11" s="80" t="s">
        <v>166</v>
      </c>
      <c r="I11" s="80" t="s">
        <v>170</v>
      </c>
      <c r="J11" s="147"/>
      <c r="K11" s="147"/>
      <c r="L11" s="80">
        <v>90</v>
      </c>
      <c r="M11">
        <f t="shared" si="0"/>
        <v>2025</v>
      </c>
      <c r="N11">
        <f t="shared" si="2"/>
        <v>1</v>
      </c>
      <c r="O11" t="str">
        <f t="shared" si="1"/>
        <v>105263 | 110000339</v>
      </c>
      <c r="P11" t="str">
        <f>IF($O11="","",$O11&amp;" | "&amp;TEXT(COUNTIF(O$3:O11,$O11),"00"))</f>
        <v>105263 | 110000339 | 02</v>
      </c>
      <c r="Q11" t="str">
        <f t="shared" si="3"/>
        <v>10526311000033945658Giá cố định (KD đề xuất)DDPNăm</v>
      </c>
    </row>
    <row r="12" spans="1:17" x14ac:dyDescent="0.35">
      <c r="A12" s="80" t="s">
        <v>64</v>
      </c>
      <c r="B12" s="80" t="s">
        <v>167</v>
      </c>
      <c r="C12" s="80" t="s">
        <v>65</v>
      </c>
      <c r="D12" s="80" t="s">
        <v>130</v>
      </c>
      <c r="E12" s="81">
        <v>45292</v>
      </c>
      <c r="F12" s="44">
        <f>IF($E12="","",IF(COUNTIF(O$3:O12,$O12)=COUNTIFS($O$3:$O$101,$O12),DATE(9999,12,31),INDEX($E$3:$E$101,MATCH($O12&amp;" | "&amp;TEXT(COUNTIF(O$3:O12,$O12)+1,"00"),$P$3:$P$101,0))-1))</f>
        <v>45657</v>
      </c>
      <c r="G12" s="80" t="s">
        <v>172</v>
      </c>
      <c r="H12" s="80" t="s">
        <v>166</v>
      </c>
      <c r="I12" s="80" t="s">
        <v>169</v>
      </c>
      <c r="J12" s="147"/>
      <c r="K12" s="147"/>
      <c r="L12" s="80">
        <v>90</v>
      </c>
      <c r="M12">
        <f>IF($E12="","",YEAR($E12))</f>
        <v>2024</v>
      </c>
      <c r="N12">
        <f t="shared" si="2"/>
        <v>1</v>
      </c>
      <c r="O12" t="str">
        <f t="shared" si="1"/>
        <v>105263 | RHDPETHOI-MAU</v>
      </c>
      <c r="P12" t="str">
        <f>IF($O12="","",$O12&amp;" | "&amp;TEXT(COUNTIF(O$3:O12,$O12),"00"))</f>
        <v>105263 | RHDPETHOI-MAU | 01</v>
      </c>
      <c r="Q12" t="str">
        <f t="shared" si="3"/>
        <v>105263RHDPETHOI-MAU45292Giá MBF01 trừ $50DDPQuý</v>
      </c>
    </row>
    <row r="13" spans="1:17" x14ac:dyDescent="0.35">
      <c r="A13" s="80" t="s">
        <v>64</v>
      </c>
      <c r="B13" s="80" t="s">
        <v>167</v>
      </c>
      <c r="C13" s="80" t="s">
        <v>65</v>
      </c>
      <c r="D13" s="80" t="s">
        <v>130</v>
      </c>
      <c r="E13" s="81">
        <v>45658</v>
      </c>
      <c r="F13" s="44">
        <f>IF($E13="","",IF(COUNTIF(O$3:O13,$O13)=COUNTIFS($O$3:$O$101,$O13),DATE(9999,12,31),INDEX($E$3:$E$101,MATCH($O13&amp;" | "&amp;TEXT(COUNTIF(O$3:O13,$O13)+1,"00"),$P$3:$P$101,0))-1))</f>
        <v>2958465</v>
      </c>
      <c r="G13" s="80" t="s">
        <v>253</v>
      </c>
      <c r="H13" s="80" t="s">
        <v>166</v>
      </c>
      <c r="I13" s="80" t="s">
        <v>170</v>
      </c>
      <c r="J13" s="147"/>
      <c r="K13" s="147"/>
      <c r="L13" s="80">
        <v>90</v>
      </c>
      <c r="M13">
        <f t="shared" ref="M13:M76" si="4">IF($E13="","",YEAR($E13))</f>
        <v>2025</v>
      </c>
      <c r="N13">
        <f t="shared" si="2"/>
        <v>1</v>
      </c>
      <c r="O13" t="str">
        <f t="shared" si="1"/>
        <v>105263 | RHDPETHOI-MAU</v>
      </c>
      <c r="P13" t="str">
        <f>IF($O13="","",$O13&amp;" | "&amp;TEXT(COUNTIF(O$3:O13,$O13),"00"))</f>
        <v>105263 | RHDPETHOI-MAU | 02</v>
      </c>
      <c r="Q13" t="str">
        <f t="shared" si="3"/>
        <v>105263RHDPETHOI-MAU45658Giá PCF01 trừ $50DDPNăm</v>
      </c>
    </row>
    <row r="14" spans="1:17" x14ac:dyDescent="0.35">
      <c r="A14" s="80" t="s">
        <v>40</v>
      </c>
      <c r="B14" s="80" t="s">
        <v>164</v>
      </c>
      <c r="C14" s="80" t="s">
        <v>29</v>
      </c>
      <c r="D14" s="80" t="s">
        <v>89</v>
      </c>
      <c r="E14" s="81">
        <v>45658</v>
      </c>
      <c r="F14" s="44">
        <f>IF($E14="","",IF(COUNTIF(O$3:O14,$O14)=COUNTIFS($O$3:$O$101,$O14),DATE(9999,12,31),INDEX($E$3:$E$101,MATCH($O14&amp;" | "&amp;TEXT(COUNTIF(O$3:O14,$O14)+1,"00"),$P$3:$P$101,0))-1))</f>
        <v>2958465</v>
      </c>
      <c r="G14" s="80" t="s">
        <v>173</v>
      </c>
      <c r="H14" s="80" t="s">
        <v>166</v>
      </c>
      <c r="I14" s="80" t="s">
        <v>157</v>
      </c>
      <c r="J14" s="147">
        <v>1550</v>
      </c>
      <c r="K14" s="147">
        <v>1330</v>
      </c>
      <c r="L14" s="80">
        <v>90</v>
      </c>
      <c r="M14">
        <f t="shared" si="4"/>
        <v>2025</v>
      </c>
      <c r="N14">
        <f t="shared" si="2"/>
        <v>1</v>
      </c>
      <c r="O14" t="str">
        <f t="shared" si="1"/>
        <v>105194 | 110000332</v>
      </c>
      <c r="P14" t="str">
        <f>IF($O14="","",$O14&amp;" | "&amp;TEXT(COUNTIF(O$3:O14,$O14),"00"))</f>
        <v>105194 | 110000332 | 02</v>
      </c>
      <c r="Q14" t="str">
        <f t="shared" si="3"/>
        <v>10519411000033245658Giá ICIS rPET ĐNA trung bình từ ngày 16 tháng (X-2) đến ngày 15 tháng (X-1) +Premium ( Chi phí tăng IV ) - REBATE + Cp vận chuyển. Giá trần $1,550; giá sàn $1,330DDPTháng15501330</v>
      </c>
    </row>
    <row r="15" spans="1:17" x14ac:dyDescent="0.35">
      <c r="A15" s="80" t="s">
        <v>40</v>
      </c>
      <c r="B15" s="80" t="s">
        <v>164</v>
      </c>
      <c r="C15" s="80" t="s">
        <v>31</v>
      </c>
      <c r="D15" s="80" t="s">
        <v>92</v>
      </c>
      <c r="E15" s="81">
        <v>45658</v>
      </c>
      <c r="F15" s="44">
        <f>IF($E15="","",IF(COUNTIF(O$3:O15,$O15)=COUNTIFS($O$3:$O$101,$O15),DATE(9999,12,31),INDEX($E$3:$E$101,MATCH($O15&amp;" | "&amp;TEXT(COUNTIF(O$3:O15,$O15)+1,"00"),$P$3:$P$101,0))-1))</f>
        <v>2958465</v>
      </c>
      <c r="G15" s="80" t="s">
        <v>173</v>
      </c>
      <c r="H15" s="80" t="s">
        <v>166</v>
      </c>
      <c r="I15" s="80" t="s">
        <v>157</v>
      </c>
      <c r="J15" s="147">
        <v>1550</v>
      </c>
      <c r="K15" s="147">
        <v>1330</v>
      </c>
      <c r="L15" s="80">
        <v>90</v>
      </c>
      <c r="M15">
        <f t="shared" si="4"/>
        <v>2025</v>
      </c>
      <c r="N15">
        <f t="shared" si="2"/>
        <v>1</v>
      </c>
      <c r="O15" t="str">
        <f t="shared" si="1"/>
        <v>105194 | 110000355</v>
      </c>
      <c r="P15" t="str">
        <f>IF($O15="","",$O15&amp;" | "&amp;TEXT(COUNTIF(O$3:O15,$O15),"00"))</f>
        <v>105194 | 110000355 | 02</v>
      </c>
      <c r="Q15" t="str">
        <f t="shared" si="3"/>
        <v>10519411000035545658Giá ICIS rPET ĐNA trung bình từ ngày 16 tháng (X-2) đến ngày 15 tháng (X-1) +Premium ( Chi phí tăng IV ) - REBATE + Cp vận chuyển. Giá trần $1,550; giá sàn $1,330DDPTháng15501330</v>
      </c>
    </row>
    <row r="16" spans="1:17" x14ac:dyDescent="0.35">
      <c r="A16" s="80" t="s">
        <v>174</v>
      </c>
      <c r="B16" s="80" t="s">
        <v>175</v>
      </c>
      <c r="C16" s="80" t="s">
        <v>29</v>
      </c>
      <c r="D16" s="80" t="s">
        <v>89</v>
      </c>
      <c r="E16" s="81">
        <v>45017</v>
      </c>
      <c r="F16" s="44">
        <f>IF($E16="","",IF(COUNTIF(O$3:O16,$O16)=COUNTIFS($O$3:$O$101,$O16),DATE(9999,12,31),INDEX($E$3:$E$101,MATCH($O16&amp;" | "&amp;TEXT(COUNTIF(O$3:O16,$O16)+1,"00"),$P$3:$P$101,0))-1))</f>
        <v>2958465</v>
      </c>
      <c r="G16" s="80" t="s">
        <v>161</v>
      </c>
      <c r="H16" s="80" t="s">
        <v>166</v>
      </c>
      <c r="I16" s="80" t="s">
        <v>170</v>
      </c>
      <c r="J16" s="147"/>
      <c r="K16" s="147"/>
      <c r="L16" s="80">
        <v>60</v>
      </c>
      <c r="M16">
        <f t="shared" si="4"/>
        <v>2023</v>
      </c>
      <c r="N16">
        <f t="shared" si="2"/>
        <v>4</v>
      </c>
      <c r="O16" t="str">
        <f t="shared" si="1"/>
        <v>105222 | 110000332</v>
      </c>
      <c r="P16" t="str">
        <f>IF($O16="","",$O16&amp;" | "&amp;TEXT(COUNTIF(O$3:O16,$O16),"00"))</f>
        <v>105222 | 110000332 | 01</v>
      </c>
      <c r="Q16" t="str">
        <f t="shared" si="3"/>
        <v>10522211000033245017Giá cố địnhDDPNăm</v>
      </c>
    </row>
    <row r="17" spans="1:17" x14ac:dyDescent="0.35">
      <c r="A17" s="80" t="s">
        <v>49</v>
      </c>
      <c r="B17" s="80" t="s">
        <v>176</v>
      </c>
      <c r="C17" s="80" t="s">
        <v>29</v>
      </c>
      <c r="D17" s="80" t="s">
        <v>89</v>
      </c>
      <c r="E17" s="81">
        <v>45017</v>
      </c>
      <c r="F17" s="44">
        <f>IF($E17="","",IF(COUNTIF(O$3:O17,$O17)=COUNTIFS($O$3:$O$101,$O17),DATE(9999,12,31),INDEX($E$3:$E$101,MATCH($O17&amp;" | "&amp;TEXT(COUNTIF(O$3:O17,$O17)+1,"00"),$P$3:$P$101,0))-1))</f>
        <v>2958465</v>
      </c>
      <c r="G17" s="80" t="s">
        <v>161</v>
      </c>
      <c r="H17" s="80" t="s">
        <v>166</v>
      </c>
      <c r="I17" s="80" t="s">
        <v>170</v>
      </c>
      <c r="J17" s="147"/>
      <c r="K17" s="147"/>
      <c r="L17" s="80">
        <v>60</v>
      </c>
      <c r="M17">
        <f t="shared" si="4"/>
        <v>2023</v>
      </c>
      <c r="N17">
        <f t="shared" si="2"/>
        <v>4</v>
      </c>
      <c r="O17" t="str">
        <f t="shared" si="1"/>
        <v>102990 | 110000332</v>
      </c>
      <c r="P17" t="str">
        <f>IF($O17="","",$O17&amp;" | "&amp;TEXT(COUNTIF(O$3:O17,$O17),"00"))</f>
        <v>102990 | 110000332 | 01</v>
      </c>
      <c r="Q17" t="str">
        <f t="shared" si="3"/>
        <v>10299011000033245017Giá cố địnhDDPNăm</v>
      </c>
    </row>
    <row r="18" spans="1:17" x14ac:dyDescent="0.35">
      <c r="A18" s="80" t="s">
        <v>64</v>
      </c>
      <c r="B18" s="80" t="s">
        <v>167</v>
      </c>
      <c r="C18" s="80" t="s">
        <v>22</v>
      </c>
      <c r="D18" s="80" t="s">
        <v>128</v>
      </c>
      <c r="E18" s="81">
        <v>45658</v>
      </c>
      <c r="F18" s="44">
        <f>IF($E18="","",IF(COUNTIF(O$3:O18,$O18)=COUNTIFS($O$3:$O$101,$O18),DATE(9999,12,31),INDEX($E$3:$E$101,MATCH($O18&amp;" | "&amp;TEXT(COUNTIF(O$3:O18,$O18)+1,"00"),$P$3:$P$101,0))-1))</f>
        <v>2958465</v>
      </c>
      <c r="G18" s="80" t="s">
        <v>349</v>
      </c>
      <c r="H18" s="80" t="s">
        <v>166</v>
      </c>
      <c r="I18" s="80" t="s">
        <v>170</v>
      </c>
      <c r="J18" s="147"/>
      <c r="K18" s="147"/>
      <c r="L18" s="80">
        <v>90</v>
      </c>
      <c r="M18">
        <f t="shared" si="4"/>
        <v>2025</v>
      </c>
      <c r="N18">
        <f t="shared" si="2"/>
        <v>1</v>
      </c>
      <c r="O18" t="str">
        <f t="shared" si="1"/>
        <v>105263 | 110000481</v>
      </c>
      <c r="P18" t="str">
        <f>IF($O18="","",$O18&amp;" | "&amp;TEXT(COUNTIF(O$3:O18,$O18),"00"))</f>
        <v>105263 | 110000481 | 01</v>
      </c>
      <c r="Q18" t="str">
        <f t="shared" si="3"/>
        <v>10526311000048145658Bằng giá MBF01 (KD đề xuất)DDPNăm</v>
      </c>
    </row>
    <row r="19" spans="1:17" x14ac:dyDescent="0.35">
      <c r="A19" s="80" t="s">
        <v>62</v>
      </c>
      <c r="B19" s="80" t="s">
        <v>160</v>
      </c>
      <c r="C19" s="80" t="s">
        <v>35</v>
      </c>
      <c r="D19" s="80" t="s">
        <v>98</v>
      </c>
      <c r="E19" s="81">
        <v>45658</v>
      </c>
      <c r="F19" s="44">
        <f>IF($E19="","",IF(COUNTIF(O$3:O19,$O19)=COUNTIFS($O$3:$O$101,$O19),DATE(9999,12,31),INDEX($E$3:$E$101,MATCH($O19&amp;" | "&amp;TEXT(COUNTIF(O$3:O19,$O19)+1,"00"),$P$3:$P$101,0))-1))</f>
        <v>45869</v>
      </c>
      <c r="G19" s="80" t="s">
        <v>177</v>
      </c>
      <c r="H19" s="80" t="s">
        <v>162</v>
      </c>
      <c r="I19" s="80" t="s">
        <v>178</v>
      </c>
      <c r="J19" s="147"/>
      <c r="K19" s="147"/>
      <c r="L19" s="80">
        <v>0</v>
      </c>
      <c r="M19">
        <f t="shared" si="4"/>
        <v>2025</v>
      </c>
      <c r="N19">
        <f t="shared" si="2"/>
        <v>1</v>
      </c>
      <c r="O19" t="str">
        <f t="shared" si="1"/>
        <v>104909 | 110000329</v>
      </c>
      <c r="P19" t="str">
        <f>IF($O19="","",$O19&amp;" | "&amp;TEXT(COUNTIF(O$3:O19,$O19),"00"))</f>
        <v>104909 | 110000329 | 02</v>
      </c>
      <c r="Q19" t="str">
        <f t="shared" si="3"/>
        <v>10490911000032945658Giá cố định (đã thanh toán 100% trong năm 2024)EXWH1.25</v>
      </c>
    </row>
    <row r="20" spans="1:17" x14ac:dyDescent="0.35">
      <c r="A20" s="80" t="s">
        <v>63</v>
      </c>
      <c r="B20" s="80" t="s">
        <v>179</v>
      </c>
      <c r="C20" s="80" t="s">
        <v>35</v>
      </c>
      <c r="D20" s="80" t="s">
        <v>98</v>
      </c>
      <c r="E20" s="81">
        <v>45566</v>
      </c>
      <c r="F20" s="44">
        <f>IF($E20="","",IF(COUNTIF(O$3:O20,$O20)=COUNTIFS($O$3:$O$101,$O20),DATE(9999,12,31),INDEX($E$3:$E$101,MATCH($O20&amp;" | "&amp;TEXT(COUNTIF(O$3:O20,$O20)+1,"00"),$P$3:$P$101,0))-1))</f>
        <v>2958465</v>
      </c>
      <c r="G20" s="80" t="s">
        <v>161</v>
      </c>
      <c r="H20" s="80" t="s">
        <v>166</v>
      </c>
      <c r="I20" s="80" t="s">
        <v>170</v>
      </c>
      <c r="J20" s="147"/>
      <c r="K20" s="147"/>
      <c r="L20" s="80">
        <v>60</v>
      </c>
      <c r="M20">
        <f t="shared" si="4"/>
        <v>2024</v>
      </c>
      <c r="N20">
        <f t="shared" si="2"/>
        <v>10</v>
      </c>
      <c r="O20" t="str">
        <f t="shared" si="1"/>
        <v>105217 | 110000329</v>
      </c>
      <c r="P20" t="str">
        <f>IF($O20="","",$O20&amp;" | "&amp;TEXT(COUNTIF(O$3:O20,$O20),"00"))</f>
        <v>105217 | 110000329 | 01</v>
      </c>
      <c r="Q20" t="str">
        <f t="shared" si="3"/>
        <v>10521711000032945566Giá cố địnhDDPNăm</v>
      </c>
    </row>
    <row r="21" spans="1:17" x14ac:dyDescent="0.35">
      <c r="A21" s="80" t="s">
        <v>362</v>
      </c>
      <c r="B21" s="80" t="s">
        <v>360</v>
      </c>
      <c r="C21" s="80" t="s">
        <v>31</v>
      </c>
      <c r="D21" s="80" t="s">
        <v>92</v>
      </c>
      <c r="E21" s="81">
        <v>45658</v>
      </c>
      <c r="F21" s="44">
        <f>IF($E21="","",IF(COUNTIF(O$3:O21,$O21)=COUNTIFS($O$3:$O$101,$O21),DATE(9999,12,31),INDEX($E$3:$E$101,MATCH($O21&amp;" | "&amp;TEXT(COUNTIF(O$3:O21,$O21)+1,"00"),$P$3:$P$101,0))-1))</f>
        <v>2958465</v>
      </c>
      <c r="G21" s="80" t="s">
        <v>406</v>
      </c>
      <c r="H21" s="80" t="s">
        <v>156</v>
      </c>
      <c r="I21" s="80" t="s">
        <v>170</v>
      </c>
      <c r="J21" s="147"/>
      <c r="K21" s="147"/>
      <c r="L21" s="80"/>
      <c r="M21">
        <f t="shared" si="4"/>
        <v>2025</v>
      </c>
      <c r="N21">
        <f t="shared" si="2"/>
        <v>1</v>
      </c>
      <c r="O21" t="str">
        <f t="shared" si="1"/>
        <v>200332 | 110000355</v>
      </c>
      <c r="P21" t="str">
        <f>IF($O21="","",$O21&amp;" | "&amp;TEXT(COUNTIF(O$3:O21,$O21),"00"))</f>
        <v>200332 | 110000355 | 01</v>
      </c>
      <c r="Q21" t="str">
        <f t="shared" si="3"/>
        <v>20033211000035545658Giá cố định: $1250 với sản lượng cam kết 10 ngàn tấn; nếu như sản lượng đạt 16 ngàn tấn thì giá $1230FOBNăm</v>
      </c>
    </row>
    <row r="22" spans="1:17" x14ac:dyDescent="0.35">
      <c r="A22" s="80" t="s">
        <v>62</v>
      </c>
      <c r="B22" s="80" t="s">
        <v>160</v>
      </c>
      <c r="C22" s="80" t="s">
        <v>35</v>
      </c>
      <c r="D22" s="80" t="s">
        <v>98</v>
      </c>
      <c r="E22" s="81">
        <v>45870</v>
      </c>
      <c r="F22" s="44">
        <f>IF($E22="","",IF(COUNTIF(O$3:O22,$O22)=COUNTIFS($O$3:$O$101,$O22),DATE(9999,12,31),INDEX($E$3:$E$101,MATCH($O22&amp;" | "&amp;TEXT(COUNTIF(O$3:O22,$O22)+1,"00"),$P$3:$P$101,0))-1))</f>
        <v>2958465</v>
      </c>
      <c r="G22" s="80" t="s">
        <v>436</v>
      </c>
      <c r="H22" s="80" t="s">
        <v>162</v>
      </c>
      <c r="I22" s="80" t="s">
        <v>170</v>
      </c>
      <c r="J22" s="147"/>
      <c r="K22" s="147"/>
      <c r="L22" s="80">
        <v>60</v>
      </c>
      <c r="M22">
        <f t="shared" si="4"/>
        <v>2025</v>
      </c>
      <c r="N22">
        <f t="shared" si="2"/>
        <v>8</v>
      </c>
      <c r="O22" t="str">
        <f t="shared" si="1"/>
        <v>104909 | 110000329</v>
      </c>
      <c r="P22" t="str">
        <f>IF($O22="","",$O22&amp;" | "&amp;TEXT(COUNTIF(O$3:O22,$O22),"00"))</f>
        <v>104909 | 110000329 | 03</v>
      </c>
      <c r="Q22" t="str">
        <f t="shared" si="3"/>
        <v>10490911000032945870Giá cố định (VND34,382,040/tấn ~ tỷ giá deal lúc ký hợp đồng là 26,370)EXWNăm</v>
      </c>
    </row>
    <row r="23" spans="1:17" x14ac:dyDescent="0.35">
      <c r="A23" s="80" t="s">
        <v>62</v>
      </c>
      <c r="B23" s="80" t="s">
        <v>160</v>
      </c>
      <c r="C23" s="440">
        <v>110000497</v>
      </c>
      <c r="D23" s="80" t="s">
        <v>440</v>
      </c>
      <c r="E23" s="81">
        <v>45870</v>
      </c>
      <c r="F23" s="44">
        <f>IF($E23="","",IF(COUNTIF(O$3:O23,$O23)=COUNTIFS($O$3:$O$101,$O23),DATE(9999,12,31),INDEX($E$3:$E$101,MATCH($O23&amp;" | "&amp;TEXT(COUNTIF(O$3:O23,$O23)+1,"00"),$P$3:$P$101,0))-1))</f>
        <v>2958465</v>
      </c>
      <c r="G23" s="80" t="s">
        <v>441</v>
      </c>
      <c r="H23" s="80" t="s">
        <v>162</v>
      </c>
      <c r="I23" s="80" t="s">
        <v>170</v>
      </c>
      <c r="J23" s="147"/>
      <c r="K23" s="147"/>
      <c r="L23" s="80">
        <v>60</v>
      </c>
      <c r="M23">
        <f t="shared" si="4"/>
        <v>2025</v>
      </c>
      <c r="N23">
        <f t="shared" si="2"/>
        <v>8</v>
      </c>
      <c r="O23" t="str">
        <f t="shared" si="1"/>
        <v>104909 | 110000497</v>
      </c>
      <c r="P23" t="str">
        <f>IF($O23="","",$O23&amp;" | "&amp;TEXT(COUNTIF(O$3:O23,$O23),"00"))</f>
        <v>104909 | 110000497 | 01</v>
      </c>
      <c r="Q23" t="str">
        <f t="shared" si="3"/>
        <v>10490911000049745870Giá cố định (VND37,507,680/tấn ~ tỷ giá deal lúc ký hợp đồng là 26,370)EXWNăm</v>
      </c>
    </row>
    <row r="24" spans="1:17" x14ac:dyDescent="0.35">
      <c r="A24" s="80" t="s">
        <v>62</v>
      </c>
      <c r="B24" s="80" t="s">
        <v>160</v>
      </c>
      <c r="C24" s="440" t="s">
        <v>437</v>
      </c>
      <c r="D24" s="80" t="s">
        <v>438</v>
      </c>
      <c r="E24" s="81">
        <v>45870</v>
      </c>
      <c r="F24" s="44">
        <f>IF($E24="","",IF(COUNTIF(O$3:O24,$O24)=COUNTIFS($O$3:$O$101,$O24),DATE(9999,12,31),INDEX($E$3:$E$101,MATCH($O24&amp;" | "&amp;TEXT(COUNTIF(O$3:O24,$O24)+1,"00"),$P$3:$P$101,0))-1))</f>
        <v>2958465</v>
      </c>
      <c r="G24" s="80" t="s">
        <v>439</v>
      </c>
      <c r="H24" s="80" t="s">
        <v>162</v>
      </c>
      <c r="I24" s="80" t="s">
        <v>170</v>
      </c>
      <c r="J24" s="147"/>
      <c r="K24" s="147"/>
      <c r="L24" s="80">
        <v>60</v>
      </c>
      <c r="M24">
        <f t="shared" si="4"/>
        <v>2025</v>
      </c>
      <c r="N24">
        <f t="shared" si="2"/>
        <v>8</v>
      </c>
      <c r="O24" t="str">
        <f t="shared" si="1"/>
        <v>104909 | 110000506</v>
      </c>
      <c r="P24" t="str">
        <f>IF($O24="","",$O24&amp;" | "&amp;TEXT(COUNTIF(O$3:O24,$O24),"00"))</f>
        <v>104909 | 110000506 | 01</v>
      </c>
      <c r="Q24" t="str">
        <f t="shared" si="3"/>
        <v>10490911000050645870Giá cố định (VND36,726,270/tấn ~ tỷ giá deal lúc ký hợp đồng là 26,370)-Tỷ lệ phối trộn 50:50 (hoặc theo tỷ lệ khác theo yêu cầu)EXWNăm</v>
      </c>
    </row>
    <row r="25" spans="1:17" x14ac:dyDescent="0.35">
      <c r="A25" s="80"/>
      <c r="B25" s="80"/>
      <c r="C25" s="80"/>
      <c r="D25" s="80"/>
      <c r="E25" s="80"/>
      <c r="F25" s="44" t="str">
        <f>IF($E25="","",IF(COUNTIF(O$3:O25,$O25)=COUNTIFS($O$3:$O$101,$O25),DATE(9999,12,31),INDEX($E$3:$E$101,MATCH($O25&amp;" | "&amp;TEXT(COUNTIF(O$3:O25,$O25)+1,"00"),$P$3:$P$101,0))-1))</f>
        <v/>
      </c>
      <c r="G25" s="80"/>
      <c r="H25" s="80"/>
      <c r="I25" s="80"/>
      <c r="J25" s="147"/>
      <c r="K25" s="147"/>
      <c r="L25" s="80"/>
      <c r="M25" t="str">
        <f t="shared" si="4"/>
        <v/>
      </c>
      <c r="N25" t="str">
        <f t="shared" si="2"/>
        <v/>
      </c>
      <c r="O25" t="str">
        <f t="shared" si="1"/>
        <v/>
      </c>
      <c r="P25" t="str">
        <f>IF($O25="","",$O25&amp;" | "&amp;TEXT(COUNTIF(O$3:O25,$O25),"00"))</f>
        <v/>
      </c>
      <c r="Q25" t="str">
        <f t="shared" si="3"/>
        <v/>
      </c>
    </row>
    <row r="26" spans="1:17" x14ac:dyDescent="0.35">
      <c r="A26" s="80"/>
      <c r="B26" s="80"/>
      <c r="C26" s="80"/>
      <c r="D26" s="80"/>
      <c r="E26" s="80"/>
      <c r="F26" s="44" t="str">
        <f>IF($E26="","",IF(COUNTIF(O$3:O26,$O26)=COUNTIFS($O$3:$O$101,$O26),DATE(9999,12,31),INDEX($E$3:$E$101,MATCH($O26&amp;" | "&amp;TEXT(COUNTIF(O$3:O26,$O26)+1,"00"),$P$3:$P$101,0))-1))</f>
        <v/>
      </c>
      <c r="G26" s="80"/>
      <c r="H26" s="80"/>
      <c r="I26" s="80"/>
      <c r="J26" s="147"/>
      <c r="K26" s="147"/>
      <c r="L26" s="80"/>
      <c r="M26" t="str">
        <f t="shared" si="4"/>
        <v/>
      </c>
      <c r="N26" t="str">
        <f t="shared" si="2"/>
        <v/>
      </c>
      <c r="O26" t="str">
        <f t="shared" si="1"/>
        <v/>
      </c>
      <c r="P26" t="str">
        <f>IF($O26="","",$O26&amp;" | "&amp;TEXT(COUNTIF(O$3:O26,$O26),"00"))</f>
        <v/>
      </c>
      <c r="Q26" t="str">
        <f t="shared" si="3"/>
        <v/>
      </c>
    </row>
    <row r="27" spans="1:17" x14ac:dyDescent="0.35">
      <c r="A27" s="80"/>
      <c r="B27" s="80"/>
      <c r="C27" s="80"/>
      <c r="D27" s="80"/>
      <c r="E27" s="80"/>
      <c r="F27" s="44" t="str">
        <f>IF($E27="","",IF(COUNTIF(O$3:O27,$O27)=COUNTIFS($O$3:$O$101,$O27),DATE(9999,12,31),INDEX($E$3:$E$101,MATCH($O27&amp;" | "&amp;TEXT(COUNTIF(O$3:O27,$O27)+1,"00"),$P$3:$P$101,0))-1))</f>
        <v/>
      </c>
      <c r="G27" s="80"/>
      <c r="H27" s="80"/>
      <c r="I27" s="80"/>
      <c r="J27" s="147"/>
      <c r="K27" s="147"/>
      <c r="L27" s="80"/>
      <c r="M27" t="str">
        <f t="shared" si="4"/>
        <v/>
      </c>
      <c r="N27" t="str">
        <f t="shared" si="2"/>
        <v/>
      </c>
      <c r="O27" t="str">
        <f t="shared" si="1"/>
        <v/>
      </c>
      <c r="P27" t="str">
        <f>IF($O27="","",$O27&amp;" | "&amp;TEXT(COUNTIF(O$3:O27,$O27),"00"))</f>
        <v/>
      </c>
      <c r="Q27" t="str">
        <f t="shared" si="3"/>
        <v/>
      </c>
    </row>
    <row r="28" spans="1:17" x14ac:dyDescent="0.35">
      <c r="A28" s="80"/>
      <c r="B28" s="80"/>
      <c r="C28" s="80"/>
      <c r="D28" s="80"/>
      <c r="E28" s="80"/>
      <c r="F28" s="44" t="str">
        <f>IF($E28="","",IF(COUNTIF(O$3:O28,$O28)=COUNTIFS($O$3:$O$101,$O28),DATE(9999,12,31),INDEX($E$3:$E$101,MATCH($O28&amp;" | "&amp;TEXT(COUNTIF(O$3:O28,$O28)+1,"00"),$P$3:$P$101,0))-1))</f>
        <v/>
      </c>
      <c r="G28" s="80"/>
      <c r="H28" s="80"/>
      <c r="I28" s="80"/>
      <c r="J28" s="147"/>
      <c r="K28" s="147"/>
      <c r="L28" s="80"/>
      <c r="M28" t="str">
        <f t="shared" si="4"/>
        <v/>
      </c>
      <c r="N28" t="str">
        <f t="shared" si="2"/>
        <v/>
      </c>
      <c r="O28" t="str">
        <f t="shared" si="1"/>
        <v/>
      </c>
      <c r="P28" t="str">
        <f>IF($O28="","",$O28&amp;" | "&amp;TEXT(COUNTIF(O$3:O28,$O28),"00"))</f>
        <v/>
      </c>
      <c r="Q28" t="str">
        <f t="shared" si="3"/>
        <v/>
      </c>
    </row>
    <row r="29" spans="1:17" x14ac:dyDescent="0.35">
      <c r="A29" s="80"/>
      <c r="B29" s="80"/>
      <c r="C29" s="80"/>
      <c r="D29" s="80"/>
      <c r="E29" s="80"/>
      <c r="F29" s="44" t="str">
        <f>IF($E29="","",IF(COUNTIF(O$3:O29,$O29)=COUNTIFS($O$3:$O$101,$O29),DATE(9999,12,31),INDEX($E$3:$E$101,MATCH($O29&amp;" | "&amp;TEXT(COUNTIF(O$3:O29,$O29)+1,"00"),$P$3:$P$101,0))-1))</f>
        <v/>
      </c>
      <c r="G29" s="80"/>
      <c r="H29" s="80"/>
      <c r="I29" s="80"/>
      <c r="J29" s="147"/>
      <c r="K29" s="147"/>
      <c r="L29" s="80"/>
      <c r="M29" t="str">
        <f t="shared" si="4"/>
        <v/>
      </c>
      <c r="N29" t="str">
        <f t="shared" si="2"/>
        <v/>
      </c>
      <c r="O29" t="str">
        <f t="shared" si="1"/>
        <v/>
      </c>
      <c r="P29" t="str">
        <f>IF($O29="","",$O29&amp;" | "&amp;TEXT(COUNTIF(O$3:O29,$O29),"00"))</f>
        <v/>
      </c>
      <c r="Q29" t="str">
        <f t="shared" si="3"/>
        <v/>
      </c>
    </row>
    <row r="30" spans="1:17" x14ac:dyDescent="0.35">
      <c r="A30" s="80"/>
      <c r="B30" s="80"/>
      <c r="C30" s="80"/>
      <c r="D30" s="80"/>
      <c r="E30" s="80"/>
      <c r="F30" s="44" t="str">
        <f>IF($E30="","",IF(COUNTIF(O$3:O30,$O30)=COUNTIFS($O$3:$O$101,$O30),DATE(9999,12,31),INDEX($E$3:$E$101,MATCH($O30&amp;" | "&amp;TEXT(COUNTIF(O$3:O30,$O30)+1,"00"),$P$3:$P$101,0))-1))</f>
        <v/>
      </c>
      <c r="G30" s="80"/>
      <c r="H30" s="80"/>
      <c r="I30" s="80"/>
      <c r="J30" s="147"/>
      <c r="K30" s="147"/>
      <c r="L30" s="80"/>
      <c r="M30" t="str">
        <f t="shared" si="4"/>
        <v/>
      </c>
      <c r="N30" t="str">
        <f t="shared" si="2"/>
        <v/>
      </c>
      <c r="O30" t="str">
        <f t="shared" si="1"/>
        <v/>
      </c>
      <c r="P30" t="str">
        <f>IF($O30="","",$O30&amp;" | "&amp;TEXT(COUNTIF(O$3:O30,$O30),"00"))</f>
        <v/>
      </c>
      <c r="Q30" t="str">
        <f t="shared" si="3"/>
        <v/>
      </c>
    </row>
    <row r="31" spans="1:17" x14ac:dyDescent="0.35">
      <c r="A31" s="80"/>
      <c r="B31" s="80"/>
      <c r="C31" s="80"/>
      <c r="D31" s="80"/>
      <c r="E31" s="80"/>
      <c r="F31" s="44" t="str">
        <f>IF($E31="","",IF(COUNTIF(O$3:O31,$O31)=COUNTIFS($O$3:$O$101,$O31),DATE(9999,12,31),INDEX($E$3:$E$101,MATCH($O31&amp;" | "&amp;TEXT(COUNTIF(O$3:O31,$O31)+1,"00"),$P$3:$P$101,0))-1))</f>
        <v/>
      </c>
      <c r="G31" s="80"/>
      <c r="H31" s="80"/>
      <c r="I31" s="80"/>
      <c r="J31" s="147"/>
      <c r="K31" s="147"/>
      <c r="L31" s="80"/>
      <c r="M31" t="str">
        <f t="shared" si="4"/>
        <v/>
      </c>
      <c r="N31" t="str">
        <f t="shared" si="2"/>
        <v/>
      </c>
      <c r="O31" t="str">
        <f t="shared" si="1"/>
        <v/>
      </c>
      <c r="P31" t="str">
        <f>IF($O31="","",$O31&amp;" | "&amp;TEXT(COUNTIF(O$3:O31,$O31),"00"))</f>
        <v/>
      </c>
      <c r="Q31" t="str">
        <f t="shared" si="3"/>
        <v/>
      </c>
    </row>
    <row r="32" spans="1:17" x14ac:dyDescent="0.35">
      <c r="A32" s="80"/>
      <c r="B32" s="80"/>
      <c r="C32" s="80"/>
      <c r="D32" s="80"/>
      <c r="E32" s="80"/>
      <c r="F32" s="44" t="str">
        <f>IF($E32="","",IF(COUNTIF(O$3:O32,$O32)=COUNTIFS($O$3:$O$101,$O32),DATE(9999,12,31),INDEX($E$3:$E$101,MATCH($O32&amp;" | "&amp;TEXT(COUNTIF(O$3:O32,$O32)+1,"00"),$P$3:$P$101,0))-1))</f>
        <v/>
      </c>
      <c r="G32" s="80"/>
      <c r="H32" s="80"/>
      <c r="I32" s="80"/>
      <c r="J32" s="147"/>
      <c r="K32" s="147"/>
      <c r="L32" s="80"/>
      <c r="M32" t="str">
        <f t="shared" si="4"/>
        <v/>
      </c>
      <c r="N32" t="str">
        <f t="shared" si="2"/>
        <v/>
      </c>
      <c r="O32" t="str">
        <f t="shared" si="1"/>
        <v/>
      </c>
      <c r="P32" t="str">
        <f>IF($O32="","",$O32&amp;" | "&amp;TEXT(COUNTIF(O$3:O32,$O32),"00"))</f>
        <v/>
      </c>
      <c r="Q32" t="str">
        <f t="shared" si="3"/>
        <v/>
      </c>
    </row>
    <row r="33" spans="1:17" x14ac:dyDescent="0.35">
      <c r="A33" s="80"/>
      <c r="B33" s="80"/>
      <c r="C33" s="80"/>
      <c r="D33" s="80"/>
      <c r="E33" s="80"/>
      <c r="F33" s="44" t="str">
        <f>IF($E33="","",IF(COUNTIF(O$3:O33,$O33)=COUNTIFS($O$3:$O$101,$O33),DATE(9999,12,31),INDEX($E$3:$E$101,MATCH($O33&amp;" | "&amp;TEXT(COUNTIF(O$3:O33,$O33)+1,"00"),$P$3:$P$101,0))-1))</f>
        <v/>
      </c>
      <c r="G33" s="80"/>
      <c r="H33" s="80"/>
      <c r="I33" s="80"/>
      <c r="J33" s="147"/>
      <c r="K33" s="147"/>
      <c r="L33" s="80"/>
      <c r="M33" t="str">
        <f t="shared" si="4"/>
        <v/>
      </c>
      <c r="N33" t="str">
        <f t="shared" si="2"/>
        <v/>
      </c>
      <c r="O33" t="str">
        <f t="shared" si="1"/>
        <v/>
      </c>
      <c r="P33" t="str">
        <f>IF($O33="","",$O33&amp;" | "&amp;TEXT(COUNTIF(O$3:O33,$O33),"00"))</f>
        <v/>
      </c>
      <c r="Q33" t="str">
        <f t="shared" si="3"/>
        <v/>
      </c>
    </row>
    <row r="34" spans="1:17" x14ac:dyDescent="0.35">
      <c r="A34" s="80"/>
      <c r="B34" s="80"/>
      <c r="C34" s="80"/>
      <c r="D34" s="80"/>
      <c r="E34" s="80"/>
      <c r="F34" s="44" t="str">
        <f>IF($E34="","",IF(COUNTIF(O$3:O34,$O34)=COUNTIFS($O$3:$O$101,$O34),DATE(9999,12,31),INDEX($E$3:$E$101,MATCH($O34&amp;" | "&amp;TEXT(COUNTIF(O$3:O34,$O34)+1,"00"),$P$3:$P$101,0))-1))</f>
        <v/>
      </c>
      <c r="G34" s="80"/>
      <c r="H34" s="80"/>
      <c r="I34" s="80"/>
      <c r="J34" s="147"/>
      <c r="K34" s="147"/>
      <c r="L34" s="80"/>
      <c r="M34" t="str">
        <f t="shared" si="4"/>
        <v/>
      </c>
      <c r="N34" t="str">
        <f t="shared" si="2"/>
        <v/>
      </c>
      <c r="O34" t="str">
        <f t="shared" ref="O34:O65" si="5">IF(OR($A34="",$C34=""),"",$A34&amp;" | "&amp;$C34)</f>
        <v/>
      </c>
      <c r="P34" t="str">
        <f>IF($O34="","",$O34&amp;" | "&amp;TEXT(COUNTIF(O$3:O34,$O34),"00"))</f>
        <v/>
      </c>
      <c r="Q34" t="str">
        <f t="shared" si="3"/>
        <v/>
      </c>
    </row>
    <row r="35" spans="1:17" x14ac:dyDescent="0.35">
      <c r="A35" s="80"/>
      <c r="B35" s="80"/>
      <c r="C35" s="80"/>
      <c r="D35" s="80"/>
      <c r="E35" s="80"/>
      <c r="F35" s="44" t="str">
        <f>IF($E35="","",IF(COUNTIF(O$3:O35,$O35)=COUNTIFS($O$3:$O$101,$O35),DATE(9999,12,31),INDEX($E$3:$E$101,MATCH($O35&amp;" | "&amp;TEXT(COUNTIF(O$3:O35,$O35)+1,"00"),$P$3:$P$101,0))-1))</f>
        <v/>
      </c>
      <c r="G35" s="80"/>
      <c r="H35" s="80"/>
      <c r="I35" s="80"/>
      <c r="J35" s="147"/>
      <c r="K35" s="147"/>
      <c r="L35" s="80"/>
      <c r="M35" t="str">
        <f t="shared" si="4"/>
        <v/>
      </c>
      <c r="N35" t="str">
        <f t="shared" si="2"/>
        <v/>
      </c>
      <c r="O35" t="str">
        <f t="shared" si="5"/>
        <v/>
      </c>
      <c r="P35" t="str">
        <f>IF($O35="","",$O35&amp;" | "&amp;TEXT(COUNTIF(O$3:O35,$O35),"00"))</f>
        <v/>
      </c>
      <c r="Q35" t="str">
        <f t="shared" si="3"/>
        <v/>
      </c>
    </row>
    <row r="36" spans="1:17" x14ac:dyDescent="0.35">
      <c r="A36" s="80"/>
      <c r="B36" s="80"/>
      <c r="C36" s="80"/>
      <c r="D36" s="80"/>
      <c r="E36" s="80"/>
      <c r="F36" s="44" t="str">
        <f>IF($E36="","",IF(COUNTIF(O$3:O36,$O36)=COUNTIFS($O$3:$O$101,$O36),DATE(9999,12,31),INDEX($E$3:$E$101,MATCH($O36&amp;" | "&amp;TEXT(COUNTIF(O$3:O36,$O36)+1,"00"),$P$3:$P$101,0))-1))</f>
        <v/>
      </c>
      <c r="G36" s="80"/>
      <c r="H36" s="80"/>
      <c r="I36" s="80"/>
      <c r="J36" s="147"/>
      <c r="K36" s="147"/>
      <c r="L36" s="80"/>
      <c r="M36" t="str">
        <f t="shared" si="4"/>
        <v/>
      </c>
      <c r="N36" t="str">
        <f t="shared" si="2"/>
        <v/>
      </c>
      <c r="O36" t="str">
        <f t="shared" si="5"/>
        <v/>
      </c>
      <c r="P36" t="str">
        <f>IF($O36="","",$O36&amp;" | "&amp;TEXT(COUNTIF(O$3:O36,$O36),"00"))</f>
        <v/>
      </c>
      <c r="Q36" t="str">
        <f t="shared" si="3"/>
        <v/>
      </c>
    </row>
    <row r="37" spans="1:17" x14ac:dyDescent="0.35">
      <c r="A37" s="80"/>
      <c r="B37" s="80"/>
      <c r="C37" s="80"/>
      <c r="D37" s="80"/>
      <c r="E37" s="80"/>
      <c r="F37" s="44" t="str">
        <f>IF($E37="","",IF(COUNTIF(O$3:O37,$O37)=COUNTIFS($O$3:$O$101,$O37),DATE(9999,12,31),INDEX($E$3:$E$101,MATCH($O37&amp;" | "&amp;TEXT(COUNTIF(O$3:O37,$O37)+1,"00"),$P$3:$P$101,0))-1))</f>
        <v/>
      </c>
      <c r="G37" s="80"/>
      <c r="H37" s="80"/>
      <c r="I37" s="80"/>
      <c r="J37" s="147"/>
      <c r="K37" s="147"/>
      <c r="L37" s="80"/>
      <c r="M37" t="str">
        <f t="shared" si="4"/>
        <v/>
      </c>
      <c r="N37" t="str">
        <f t="shared" si="2"/>
        <v/>
      </c>
      <c r="O37" t="str">
        <f t="shared" si="5"/>
        <v/>
      </c>
      <c r="P37" t="str">
        <f>IF($O37="","",$O37&amp;" | "&amp;TEXT(COUNTIF(O$3:O37,$O37),"00"))</f>
        <v/>
      </c>
      <c r="Q37" t="str">
        <f t="shared" si="3"/>
        <v/>
      </c>
    </row>
    <row r="38" spans="1:17" x14ac:dyDescent="0.35">
      <c r="A38" s="80"/>
      <c r="B38" s="80"/>
      <c r="C38" s="80"/>
      <c r="D38" s="80"/>
      <c r="E38" s="80"/>
      <c r="F38" s="44" t="str">
        <f>IF($E38="","",IF(COUNTIF(O$3:O38,$O38)=COUNTIFS($O$3:$O$101,$O38),DATE(9999,12,31),INDEX($E$3:$E$101,MATCH($O38&amp;" | "&amp;TEXT(COUNTIF(O$3:O38,$O38)+1,"00"),$P$3:$P$101,0))-1))</f>
        <v/>
      </c>
      <c r="G38" s="80"/>
      <c r="H38" s="80"/>
      <c r="I38" s="80"/>
      <c r="J38" s="147"/>
      <c r="K38" s="147"/>
      <c r="L38" s="80"/>
      <c r="M38" t="str">
        <f t="shared" si="4"/>
        <v/>
      </c>
      <c r="N38" t="str">
        <f t="shared" si="2"/>
        <v/>
      </c>
      <c r="O38" t="str">
        <f t="shared" si="5"/>
        <v/>
      </c>
      <c r="P38" t="str">
        <f>IF($O38="","",$O38&amp;" | "&amp;TEXT(COUNTIF(O$3:O38,$O38),"00"))</f>
        <v/>
      </c>
      <c r="Q38" t="str">
        <f t="shared" si="3"/>
        <v/>
      </c>
    </row>
    <row r="39" spans="1:17" x14ac:dyDescent="0.35">
      <c r="A39" s="80"/>
      <c r="B39" s="80"/>
      <c r="C39" s="80"/>
      <c r="D39" s="80"/>
      <c r="E39" s="80"/>
      <c r="F39" s="44" t="str">
        <f>IF($E39="","",IF(COUNTIF(O$3:O39,$O39)=COUNTIFS($O$3:$O$101,$O39),DATE(9999,12,31),INDEX($E$3:$E$101,MATCH($O39&amp;" | "&amp;TEXT(COUNTIF(O$3:O39,$O39)+1,"00"),$P$3:$P$101,0))-1))</f>
        <v/>
      </c>
      <c r="G39" s="80"/>
      <c r="H39" s="80"/>
      <c r="I39" s="80"/>
      <c r="J39" s="147"/>
      <c r="K39" s="147"/>
      <c r="L39" s="80"/>
      <c r="M39" t="str">
        <f t="shared" si="4"/>
        <v/>
      </c>
      <c r="N39" t="str">
        <f t="shared" si="2"/>
        <v/>
      </c>
      <c r="O39" t="str">
        <f t="shared" si="5"/>
        <v/>
      </c>
      <c r="P39" t="str">
        <f>IF($O39="","",$O39&amp;" | "&amp;TEXT(COUNTIF(O$3:O39,$O39),"00"))</f>
        <v/>
      </c>
      <c r="Q39" t="str">
        <f t="shared" si="3"/>
        <v/>
      </c>
    </row>
    <row r="40" spans="1:17" x14ac:dyDescent="0.35">
      <c r="A40" s="80"/>
      <c r="B40" s="80"/>
      <c r="C40" s="80"/>
      <c r="D40" s="80"/>
      <c r="E40" s="80"/>
      <c r="F40" s="44" t="str">
        <f>IF($E40="","",IF(COUNTIF(O$3:O40,$O40)=COUNTIFS($O$3:$O$101,$O40),DATE(9999,12,31),INDEX($E$3:$E$101,MATCH($O40&amp;" | "&amp;TEXT(COUNTIF(O$3:O40,$O40)+1,"00"),$P$3:$P$101,0))-1))</f>
        <v/>
      </c>
      <c r="G40" s="80"/>
      <c r="H40" s="80"/>
      <c r="I40" s="80"/>
      <c r="J40" s="147"/>
      <c r="K40" s="147"/>
      <c r="L40" s="80"/>
      <c r="M40" t="str">
        <f t="shared" si="4"/>
        <v/>
      </c>
      <c r="N40" t="str">
        <f t="shared" si="2"/>
        <v/>
      </c>
      <c r="O40" t="str">
        <f t="shared" si="5"/>
        <v/>
      </c>
      <c r="P40" t="str">
        <f>IF($O40="","",$O40&amp;" | "&amp;TEXT(COUNTIF(O$3:O40,$O40),"00"))</f>
        <v/>
      </c>
      <c r="Q40" t="str">
        <f t="shared" si="3"/>
        <v/>
      </c>
    </row>
    <row r="41" spans="1:17" x14ac:dyDescent="0.35">
      <c r="A41" s="80"/>
      <c r="B41" s="80"/>
      <c r="C41" s="80"/>
      <c r="D41" s="80"/>
      <c r="E41" s="80"/>
      <c r="F41" s="44" t="str">
        <f>IF($E41="","",IF(COUNTIF(O$3:O41,$O41)=COUNTIFS($O$3:$O$101,$O41),DATE(9999,12,31),INDEX($E$3:$E$101,MATCH($O41&amp;" | "&amp;TEXT(COUNTIF(O$3:O41,$O41)+1,"00"),$P$3:$P$101,0))-1))</f>
        <v/>
      </c>
      <c r="G41" s="80"/>
      <c r="H41" s="80"/>
      <c r="I41" s="80"/>
      <c r="J41" s="147"/>
      <c r="K41" s="147"/>
      <c r="L41" s="80"/>
      <c r="M41" t="str">
        <f t="shared" si="4"/>
        <v/>
      </c>
      <c r="N41" t="str">
        <f t="shared" si="2"/>
        <v/>
      </c>
      <c r="O41" t="str">
        <f t="shared" si="5"/>
        <v/>
      </c>
      <c r="P41" t="str">
        <f>IF($O41="","",$O41&amp;" | "&amp;TEXT(COUNTIF(O$3:O41,$O41),"00"))</f>
        <v/>
      </c>
      <c r="Q41" t="str">
        <f t="shared" si="3"/>
        <v/>
      </c>
    </row>
    <row r="42" spans="1:17" x14ac:dyDescent="0.35">
      <c r="A42" s="80"/>
      <c r="B42" s="80"/>
      <c r="C42" s="80"/>
      <c r="D42" s="80"/>
      <c r="E42" s="80"/>
      <c r="F42" s="44" t="str">
        <f>IF($E42="","",IF(COUNTIF(O$3:O42,$O42)=COUNTIFS($O$3:$O$101,$O42),DATE(9999,12,31),INDEX($E$3:$E$101,MATCH($O42&amp;" | "&amp;TEXT(COUNTIF(O$3:O42,$O42)+1,"00"),$P$3:$P$101,0))-1))</f>
        <v/>
      </c>
      <c r="G42" s="80"/>
      <c r="H42" s="80"/>
      <c r="I42" s="80"/>
      <c r="J42" s="147"/>
      <c r="K42" s="147"/>
      <c r="L42" s="80"/>
      <c r="M42" t="str">
        <f t="shared" si="4"/>
        <v/>
      </c>
      <c r="N42" t="str">
        <f t="shared" si="2"/>
        <v/>
      </c>
      <c r="O42" t="str">
        <f t="shared" si="5"/>
        <v/>
      </c>
      <c r="P42" t="str">
        <f>IF($O42="","",$O42&amp;" | "&amp;TEXT(COUNTIF(O$3:O42,$O42),"00"))</f>
        <v/>
      </c>
      <c r="Q42" t="str">
        <f t="shared" si="3"/>
        <v/>
      </c>
    </row>
    <row r="43" spans="1:17" x14ac:dyDescent="0.35">
      <c r="A43" s="80"/>
      <c r="B43" s="80"/>
      <c r="C43" s="80"/>
      <c r="D43" s="80"/>
      <c r="E43" s="80"/>
      <c r="F43" s="44" t="str">
        <f>IF($E43="","",IF(COUNTIF(O$3:O43,$O43)=COUNTIFS($O$3:$O$101,$O43),DATE(9999,12,31),INDEX($E$3:$E$101,MATCH($O43&amp;" | "&amp;TEXT(COUNTIF(O$3:O43,$O43)+1,"00"),$P$3:$P$101,0))-1))</f>
        <v/>
      </c>
      <c r="G43" s="80"/>
      <c r="H43" s="80"/>
      <c r="I43" s="80"/>
      <c r="J43" s="147"/>
      <c r="K43" s="147"/>
      <c r="L43" s="80"/>
      <c r="M43" t="str">
        <f t="shared" si="4"/>
        <v/>
      </c>
      <c r="N43" t="str">
        <f t="shared" si="2"/>
        <v/>
      </c>
      <c r="O43" t="str">
        <f t="shared" si="5"/>
        <v/>
      </c>
      <c r="P43" t="str">
        <f>IF($O43="","",$O43&amp;" | "&amp;TEXT(COUNTIF(O$3:O43,$O43),"00"))</f>
        <v/>
      </c>
      <c r="Q43" t="str">
        <f t="shared" si="3"/>
        <v/>
      </c>
    </row>
    <row r="44" spans="1:17" x14ac:dyDescent="0.35">
      <c r="A44" s="80"/>
      <c r="B44" s="80"/>
      <c r="C44" s="80"/>
      <c r="D44" s="80"/>
      <c r="E44" s="80"/>
      <c r="F44" s="44" t="str">
        <f>IF($E44="","",IF(COUNTIF(O$3:O44,$O44)=COUNTIFS($O$3:$O$101,$O44),DATE(9999,12,31),INDEX($E$3:$E$101,MATCH($O44&amp;" | "&amp;TEXT(COUNTIF(O$3:O44,$O44)+1,"00"),$P$3:$P$101,0))-1))</f>
        <v/>
      </c>
      <c r="G44" s="80"/>
      <c r="H44" s="80"/>
      <c r="I44" s="80"/>
      <c r="J44" s="147"/>
      <c r="K44" s="147"/>
      <c r="L44" s="80"/>
      <c r="M44" t="str">
        <f t="shared" si="4"/>
        <v/>
      </c>
      <c r="N44" t="str">
        <f t="shared" si="2"/>
        <v/>
      </c>
      <c r="O44" t="str">
        <f t="shared" si="5"/>
        <v/>
      </c>
      <c r="P44" t="str">
        <f>IF($O44="","",$O44&amp;" | "&amp;TEXT(COUNTIF(O$3:O44,$O44),"00"))</f>
        <v/>
      </c>
      <c r="Q44" t="str">
        <f t="shared" si="3"/>
        <v/>
      </c>
    </row>
    <row r="45" spans="1:17" x14ac:dyDescent="0.35">
      <c r="A45" s="80"/>
      <c r="B45" s="80"/>
      <c r="C45" s="80"/>
      <c r="D45" s="80"/>
      <c r="E45" s="80"/>
      <c r="F45" s="44" t="str">
        <f>IF($E45="","",IF(COUNTIF(O$3:O45,$O45)=COUNTIFS($O$3:$O$101,$O45),DATE(9999,12,31),INDEX($E$3:$E$101,MATCH($O45&amp;" | "&amp;TEXT(COUNTIF(O$3:O45,$O45)+1,"00"),$P$3:$P$101,0))-1))</f>
        <v/>
      </c>
      <c r="G45" s="80"/>
      <c r="H45" s="80"/>
      <c r="I45" s="80"/>
      <c r="J45" s="147"/>
      <c r="K45" s="147"/>
      <c r="L45" s="80"/>
      <c r="M45" t="str">
        <f t="shared" si="4"/>
        <v/>
      </c>
      <c r="N45" t="str">
        <f t="shared" si="2"/>
        <v/>
      </c>
      <c r="O45" t="str">
        <f t="shared" si="5"/>
        <v/>
      </c>
      <c r="P45" t="str">
        <f>IF($O45="","",$O45&amp;" | "&amp;TEXT(COUNTIF(O$3:O45,$O45),"00"))</f>
        <v/>
      </c>
      <c r="Q45" t="str">
        <f t="shared" si="3"/>
        <v/>
      </c>
    </row>
    <row r="46" spans="1:17" x14ac:dyDescent="0.35">
      <c r="A46" s="80"/>
      <c r="B46" s="80"/>
      <c r="C46" s="80"/>
      <c r="D46" s="80"/>
      <c r="E46" s="80"/>
      <c r="F46" s="44" t="str">
        <f>IF($E46="","",IF(COUNTIF(O$3:O46,$O46)=COUNTIFS($O$3:$O$101,$O46),DATE(9999,12,31),INDEX($E$3:$E$101,MATCH($O46&amp;" | "&amp;TEXT(COUNTIF(O$3:O46,$O46)+1,"00"),$P$3:$P$101,0))-1))</f>
        <v/>
      </c>
      <c r="G46" s="80"/>
      <c r="H46" s="80"/>
      <c r="I46" s="80"/>
      <c r="J46" s="147"/>
      <c r="K46" s="147"/>
      <c r="L46" s="80"/>
      <c r="M46" t="str">
        <f t="shared" si="4"/>
        <v/>
      </c>
      <c r="N46" t="str">
        <f t="shared" si="2"/>
        <v/>
      </c>
      <c r="O46" t="str">
        <f t="shared" si="5"/>
        <v/>
      </c>
      <c r="P46" t="str">
        <f>IF($O46="","",$O46&amp;" | "&amp;TEXT(COUNTIF(O$3:O46,$O46),"00"))</f>
        <v/>
      </c>
      <c r="Q46" t="str">
        <f t="shared" si="3"/>
        <v/>
      </c>
    </row>
    <row r="47" spans="1:17" x14ac:dyDescent="0.35">
      <c r="A47" s="80"/>
      <c r="B47" s="80"/>
      <c r="C47" s="80"/>
      <c r="D47" s="80"/>
      <c r="E47" s="80"/>
      <c r="F47" s="44" t="str">
        <f>IF($E47="","",IF(COUNTIF(O$3:O47,$O47)=COUNTIFS($O$3:$O$101,$O47),DATE(9999,12,31),INDEX($E$3:$E$101,MATCH($O47&amp;" | "&amp;TEXT(COUNTIF(O$3:O47,$O47)+1,"00"),$P$3:$P$101,0))-1))</f>
        <v/>
      </c>
      <c r="G47" s="80"/>
      <c r="H47" s="80"/>
      <c r="I47" s="80"/>
      <c r="J47" s="147"/>
      <c r="K47" s="147"/>
      <c r="L47" s="80"/>
      <c r="M47" t="str">
        <f t="shared" si="4"/>
        <v/>
      </c>
      <c r="N47" t="str">
        <f t="shared" si="2"/>
        <v/>
      </c>
      <c r="O47" t="str">
        <f t="shared" si="5"/>
        <v/>
      </c>
      <c r="P47" t="str">
        <f>IF($O47="","",$O47&amp;" | "&amp;TEXT(COUNTIF(O$3:O47,$O47),"00"))</f>
        <v/>
      </c>
      <c r="Q47" t="str">
        <f t="shared" si="3"/>
        <v/>
      </c>
    </row>
    <row r="48" spans="1:17" x14ac:dyDescent="0.35">
      <c r="A48" s="80"/>
      <c r="B48" s="80"/>
      <c r="C48" s="80"/>
      <c r="D48" s="80"/>
      <c r="E48" s="80"/>
      <c r="F48" s="44" t="str">
        <f>IF($E48="","",IF(COUNTIF(O$3:O48,$O48)=COUNTIFS($O$3:$O$101,$O48),DATE(9999,12,31),INDEX($E$3:$E$101,MATCH($O48&amp;" | "&amp;TEXT(COUNTIF(O$3:O48,$O48)+1,"00"),$P$3:$P$101,0))-1))</f>
        <v/>
      </c>
      <c r="G48" s="80"/>
      <c r="H48" s="80"/>
      <c r="I48" s="80"/>
      <c r="J48" s="147"/>
      <c r="K48" s="147"/>
      <c r="L48" s="80"/>
      <c r="M48" t="str">
        <f t="shared" si="4"/>
        <v/>
      </c>
      <c r="N48" t="str">
        <f t="shared" si="2"/>
        <v/>
      </c>
      <c r="O48" t="str">
        <f t="shared" si="5"/>
        <v/>
      </c>
      <c r="P48" t="str">
        <f>IF($O48="","",$O48&amp;" | "&amp;TEXT(COUNTIF(O$3:O48,$O48),"00"))</f>
        <v/>
      </c>
      <c r="Q48" t="str">
        <f t="shared" si="3"/>
        <v/>
      </c>
    </row>
    <row r="49" spans="1:17" x14ac:dyDescent="0.35">
      <c r="A49" s="80"/>
      <c r="B49" s="80"/>
      <c r="C49" s="80"/>
      <c r="D49" s="80"/>
      <c r="E49" s="80"/>
      <c r="F49" s="44" t="str">
        <f>IF($E49="","",IF(COUNTIF(O$3:O49,$O49)=COUNTIFS($O$3:$O$101,$O49),DATE(9999,12,31),INDEX($E$3:$E$101,MATCH($O49&amp;" | "&amp;TEXT(COUNTIF(O$3:O49,$O49)+1,"00"),$P$3:$P$101,0))-1))</f>
        <v/>
      </c>
      <c r="G49" s="80"/>
      <c r="H49" s="80"/>
      <c r="I49" s="80"/>
      <c r="J49" s="147"/>
      <c r="K49" s="147"/>
      <c r="L49" s="80"/>
      <c r="M49" t="str">
        <f t="shared" si="4"/>
        <v/>
      </c>
      <c r="N49" t="str">
        <f t="shared" si="2"/>
        <v/>
      </c>
      <c r="O49" t="str">
        <f t="shared" si="5"/>
        <v/>
      </c>
      <c r="P49" t="str">
        <f>IF($O49="","",$O49&amp;" | "&amp;TEXT(COUNTIF(O$3:O49,$O49),"00"))</f>
        <v/>
      </c>
      <c r="Q49" t="str">
        <f t="shared" si="3"/>
        <v/>
      </c>
    </row>
    <row r="50" spans="1:17" x14ac:dyDescent="0.35">
      <c r="A50" s="80"/>
      <c r="B50" s="80"/>
      <c r="C50" s="80"/>
      <c r="D50" s="80"/>
      <c r="E50" s="80"/>
      <c r="F50" s="44" t="str">
        <f>IF($E50="","",IF(COUNTIF(O$3:O50,$O50)=COUNTIFS($O$3:$O$101,$O50),DATE(9999,12,31),INDEX($E$3:$E$101,MATCH($O50&amp;" | "&amp;TEXT(COUNTIF(O$3:O50,$O50)+1,"00"),$P$3:$P$101,0))-1))</f>
        <v/>
      </c>
      <c r="G50" s="80"/>
      <c r="H50" s="80"/>
      <c r="I50" s="80"/>
      <c r="J50" s="147"/>
      <c r="K50" s="147"/>
      <c r="L50" s="80"/>
      <c r="M50" t="str">
        <f t="shared" si="4"/>
        <v/>
      </c>
      <c r="N50" t="str">
        <f t="shared" si="2"/>
        <v/>
      </c>
      <c r="O50" t="str">
        <f t="shared" si="5"/>
        <v/>
      </c>
      <c r="P50" t="str">
        <f>IF($O50="","",$O50&amp;" | "&amp;TEXT(COUNTIF(O$3:O50,$O50),"00"))</f>
        <v/>
      </c>
      <c r="Q50" t="str">
        <f t="shared" si="3"/>
        <v/>
      </c>
    </row>
    <row r="51" spans="1:17" x14ac:dyDescent="0.35">
      <c r="A51" s="80"/>
      <c r="B51" s="80"/>
      <c r="C51" s="80"/>
      <c r="D51" s="80"/>
      <c r="E51" s="80"/>
      <c r="F51" s="44" t="str">
        <f>IF($E51="","",IF(COUNTIF(O$3:O51,$O51)=COUNTIFS($O$3:$O$101,$O51),DATE(9999,12,31),INDEX($E$3:$E$101,MATCH($O51&amp;" | "&amp;TEXT(COUNTIF(O$3:O51,$O51)+1,"00"),$P$3:$P$101,0))-1))</f>
        <v/>
      </c>
      <c r="G51" s="80"/>
      <c r="H51" s="80"/>
      <c r="I51" s="80"/>
      <c r="J51" s="147"/>
      <c r="K51" s="147"/>
      <c r="L51" s="80"/>
      <c r="M51" t="str">
        <f t="shared" si="4"/>
        <v/>
      </c>
      <c r="N51" t="str">
        <f t="shared" si="2"/>
        <v/>
      </c>
      <c r="O51" t="str">
        <f t="shared" si="5"/>
        <v/>
      </c>
      <c r="P51" t="str">
        <f>IF($O51="","",$O51&amp;" | "&amp;TEXT(COUNTIF(O$3:O51,$O51),"00"))</f>
        <v/>
      </c>
      <c r="Q51" t="str">
        <f t="shared" si="3"/>
        <v/>
      </c>
    </row>
    <row r="52" spans="1:17" x14ac:dyDescent="0.35">
      <c r="A52" s="80"/>
      <c r="B52" s="80"/>
      <c r="C52" s="80"/>
      <c r="D52" s="80"/>
      <c r="E52" s="80"/>
      <c r="F52" s="44" t="str">
        <f>IF($E52="","",IF(COUNTIF(O$3:O52,$O52)=COUNTIFS($O$3:$O$101,$O52),DATE(9999,12,31),INDEX($E$3:$E$101,MATCH($O52&amp;" | "&amp;TEXT(COUNTIF(O$3:O52,$O52)+1,"00"),$P$3:$P$101,0))-1))</f>
        <v/>
      </c>
      <c r="G52" s="80"/>
      <c r="H52" s="80"/>
      <c r="I52" s="80"/>
      <c r="J52" s="147"/>
      <c r="K52" s="147"/>
      <c r="L52" s="80"/>
      <c r="M52" t="str">
        <f t="shared" si="4"/>
        <v/>
      </c>
      <c r="N52" t="str">
        <f t="shared" si="2"/>
        <v/>
      </c>
      <c r="O52" t="str">
        <f t="shared" si="5"/>
        <v/>
      </c>
      <c r="P52" t="str">
        <f>IF($O52="","",$O52&amp;" | "&amp;TEXT(COUNTIF(O$3:O52,$O52),"00"))</f>
        <v/>
      </c>
      <c r="Q52" t="str">
        <f t="shared" si="3"/>
        <v/>
      </c>
    </row>
    <row r="53" spans="1:17" x14ac:dyDescent="0.35">
      <c r="A53" s="80"/>
      <c r="B53" s="80"/>
      <c r="C53" s="80"/>
      <c r="D53" s="80"/>
      <c r="E53" s="80"/>
      <c r="F53" s="44" t="str">
        <f>IF($E53="","",IF(COUNTIF(O$3:O53,$O53)=COUNTIFS($O$3:$O$101,$O53),DATE(9999,12,31),INDEX($E$3:$E$101,MATCH($O53&amp;" | "&amp;TEXT(COUNTIF(O$3:O53,$O53)+1,"00"),$P$3:$P$101,0))-1))</f>
        <v/>
      </c>
      <c r="G53" s="80"/>
      <c r="H53" s="80"/>
      <c r="I53" s="80"/>
      <c r="J53" s="147"/>
      <c r="K53" s="147"/>
      <c r="L53" s="80"/>
      <c r="M53" t="str">
        <f t="shared" si="4"/>
        <v/>
      </c>
      <c r="N53" t="str">
        <f t="shared" si="2"/>
        <v/>
      </c>
      <c r="O53" t="str">
        <f t="shared" si="5"/>
        <v/>
      </c>
      <c r="P53" t="str">
        <f>IF($O53="","",$O53&amp;" | "&amp;TEXT(COUNTIF(O$3:O53,$O53),"00"))</f>
        <v/>
      </c>
      <c r="Q53" t="str">
        <f t="shared" si="3"/>
        <v/>
      </c>
    </row>
    <row r="54" spans="1:17" x14ac:dyDescent="0.35">
      <c r="A54" s="80"/>
      <c r="B54" s="80"/>
      <c r="C54" s="80"/>
      <c r="D54" s="80"/>
      <c r="E54" s="80"/>
      <c r="F54" s="44" t="str">
        <f>IF($E54="","",IF(COUNTIF(O$3:O54,$O54)=COUNTIFS($O$3:$O$101,$O54),DATE(9999,12,31),INDEX($E$3:$E$101,MATCH($O54&amp;" | "&amp;TEXT(COUNTIF(O$3:O54,$O54)+1,"00"),$P$3:$P$101,0))-1))</f>
        <v/>
      </c>
      <c r="G54" s="80"/>
      <c r="H54" s="80"/>
      <c r="I54" s="80"/>
      <c r="J54" s="147"/>
      <c r="K54" s="147"/>
      <c r="L54" s="80"/>
      <c r="M54" t="str">
        <f t="shared" si="4"/>
        <v/>
      </c>
      <c r="N54" t="str">
        <f t="shared" si="2"/>
        <v/>
      </c>
      <c r="O54" t="str">
        <f t="shared" si="5"/>
        <v/>
      </c>
      <c r="P54" t="str">
        <f>IF($O54="","",$O54&amp;" | "&amp;TEXT(COUNTIF(O$3:O54,$O54),"00"))</f>
        <v/>
      </c>
      <c r="Q54" t="str">
        <f t="shared" si="3"/>
        <v/>
      </c>
    </row>
    <row r="55" spans="1:17" x14ac:dyDescent="0.35">
      <c r="A55" s="80"/>
      <c r="B55" s="80"/>
      <c r="C55" s="80"/>
      <c r="D55" s="80"/>
      <c r="E55" s="80"/>
      <c r="F55" s="44" t="str">
        <f>IF($E55="","",IF(COUNTIF(O$3:O55,$O55)=COUNTIFS($O$3:$O$101,$O55),DATE(9999,12,31),INDEX($E$3:$E$101,MATCH($O55&amp;" | "&amp;TEXT(COUNTIF(O$3:O55,$O55)+1,"00"),$P$3:$P$101,0))-1))</f>
        <v/>
      </c>
      <c r="G55" s="80"/>
      <c r="H55" s="80"/>
      <c r="I55" s="80"/>
      <c r="J55" s="147"/>
      <c r="K55" s="147"/>
      <c r="L55" s="80"/>
      <c r="M55" t="str">
        <f t="shared" si="4"/>
        <v/>
      </c>
      <c r="N55" t="str">
        <f t="shared" si="2"/>
        <v/>
      </c>
      <c r="O55" t="str">
        <f t="shared" si="5"/>
        <v/>
      </c>
      <c r="P55" t="str">
        <f>IF($O55="","",$O55&amp;" | "&amp;TEXT(COUNTIF(O$3:O55,$O55),"00"))</f>
        <v/>
      </c>
      <c r="Q55" t="str">
        <f t="shared" si="3"/>
        <v/>
      </c>
    </row>
    <row r="56" spans="1:17" x14ac:dyDescent="0.35">
      <c r="A56" s="80"/>
      <c r="B56" s="80"/>
      <c r="C56" s="80"/>
      <c r="D56" s="80"/>
      <c r="E56" s="80"/>
      <c r="F56" s="44" t="str">
        <f>IF($E56="","",IF(COUNTIF(O$3:O56,$O56)=COUNTIFS($O$3:$O$101,$O56),DATE(9999,12,31),INDEX($E$3:$E$101,MATCH($O56&amp;" | "&amp;TEXT(COUNTIF(O$3:O56,$O56)+1,"00"),$P$3:$P$101,0))-1))</f>
        <v/>
      </c>
      <c r="G56" s="80"/>
      <c r="H56" s="80"/>
      <c r="I56" s="80"/>
      <c r="J56" s="147"/>
      <c r="K56" s="147"/>
      <c r="L56" s="80"/>
      <c r="M56" t="str">
        <f t="shared" si="4"/>
        <v/>
      </c>
      <c r="N56" t="str">
        <f t="shared" si="2"/>
        <v/>
      </c>
      <c r="O56" t="str">
        <f t="shared" si="5"/>
        <v/>
      </c>
      <c r="P56" t="str">
        <f>IF($O56="","",$O56&amp;" | "&amp;TEXT(COUNTIF(O$3:O56,$O56),"00"))</f>
        <v/>
      </c>
      <c r="Q56" t="str">
        <f t="shared" si="3"/>
        <v/>
      </c>
    </row>
    <row r="57" spans="1:17" x14ac:dyDescent="0.35">
      <c r="A57" s="80"/>
      <c r="B57" s="80"/>
      <c r="C57" s="80"/>
      <c r="D57" s="80"/>
      <c r="E57" s="80"/>
      <c r="F57" s="44" t="str">
        <f>IF($E57="","",IF(COUNTIF(O$3:O57,$O57)=COUNTIFS($O$3:$O$101,$O57),DATE(9999,12,31),INDEX($E$3:$E$101,MATCH($O57&amp;" | "&amp;TEXT(COUNTIF(O$3:O57,$O57)+1,"00"),$P$3:$P$101,0))-1))</f>
        <v/>
      </c>
      <c r="G57" s="80"/>
      <c r="H57" s="80"/>
      <c r="I57" s="80"/>
      <c r="J57" s="147"/>
      <c r="K57" s="147"/>
      <c r="L57" s="80"/>
      <c r="M57" t="str">
        <f t="shared" si="4"/>
        <v/>
      </c>
      <c r="N57" t="str">
        <f t="shared" si="2"/>
        <v/>
      </c>
      <c r="O57" t="str">
        <f t="shared" si="5"/>
        <v/>
      </c>
      <c r="P57" t="str">
        <f>IF($O57="","",$O57&amp;" | "&amp;TEXT(COUNTIF(O$3:O57,$O57),"00"))</f>
        <v/>
      </c>
      <c r="Q57" t="str">
        <f t="shared" si="3"/>
        <v/>
      </c>
    </row>
    <row r="58" spans="1:17" x14ac:dyDescent="0.35">
      <c r="A58" s="80"/>
      <c r="B58" s="80"/>
      <c r="C58" s="80"/>
      <c r="D58" s="80"/>
      <c r="E58" s="80"/>
      <c r="F58" s="44" t="str">
        <f>IF($E58="","",IF(COUNTIF(O$3:O58,$O58)=COUNTIFS($O$3:$O$101,$O58),DATE(9999,12,31),INDEX($E$3:$E$101,MATCH($O58&amp;" | "&amp;TEXT(COUNTIF(O$3:O58,$O58)+1,"00"),$P$3:$P$101,0))-1))</f>
        <v/>
      </c>
      <c r="G58" s="80"/>
      <c r="H58" s="80"/>
      <c r="I58" s="80"/>
      <c r="J58" s="147"/>
      <c r="K58" s="147"/>
      <c r="L58" s="80"/>
      <c r="M58" t="str">
        <f t="shared" si="4"/>
        <v/>
      </c>
      <c r="N58" t="str">
        <f t="shared" si="2"/>
        <v/>
      </c>
      <c r="O58" t="str">
        <f t="shared" si="5"/>
        <v/>
      </c>
      <c r="P58" t="str">
        <f>IF($O58="","",$O58&amp;" | "&amp;TEXT(COUNTIF(O$3:O58,$O58),"00"))</f>
        <v/>
      </c>
      <c r="Q58" t="str">
        <f t="shared" si="3"/>
        <v/>
      </c>
    </row>
    <row r="59" spans="1:17" x14ac:dyDescent="0.35">
      <c r="A59" s="80"/>
      <c r="B59" s="80"/>
      <c r="C59" s="80"/>
      <c r="D59" s="80"/>
      <c r="E59" s="80"/>
      <c r="F59" s="44" t="str">
        <f>IF($E59="","",IF(COUNTIF(O$3:O59,$O59)=COUNTIFS($O$3:$O$101,$O59),DATE(9999,12,31),INDEX($E$3:$E$101,MATCH($O59&amp;" | "&amp;TEXT(COUNTIF(O$3:O59,$O59)+1,"00"),$P$3:$P$101,0))-1))</f>
        <v/>
      </c>
      <c r="G59" s="80"/>
      <c r="H59" s="80"/>
      <c r="I59" s="80"/>
      <c r="J59" s="147"/>
      <c r="K59" s="147"/>
      <c r="L59" s="80"/>
      <c r="M59" t="str">
        <f t="shared" si="4"/>
        <v/>
      </c>
      <c r="N59" t="str">
        <f t="shared" si="2"/>
        <v/>
      </c>
      <c r="O59" t="str">
        <f t="shared" si="5"/>
        <v/>
      </c>
      <c r="P59" t="str">
        <f>IF($O59="","",$O59&amp;" | "&amp;TEXT(COUNTIF(O$3:O59,$O59),"00"))</f>
        <v/>
      </c>
      <c r="Q59" t="str">
        <f t="shared" si="3"/>
        <v/>
      </c>
    </row>
    <row r="60" spans="1:17" x14ac:dyDescent="0.35">
      <c r="A60" s="80"/>
      <c r="B60" s="80"/>
      <c r="C60" s="80"/>
      <c r="D60" s="80"/>
      <c r="E60" s="80"/>
      <c r="F60" s="44" t="str">
        <f>IF($E60="","",IF(COUNTIF(O$3:O60,$O60)=COUNTIFS($O$3:$O$101,$O60),DATE(9999,12,31),INDEX($E$3:$E$101,MATCH($O60&amp;" | "&amp;TEXT(COUNTIF(O$3:O60,$O60)+1,"00"),$P$3:$P$101,0))-1))</f>
        <v/>
      </c>
      <c r="G60" s="80"/>
      <c r="H60" s="80"/>
      <c r="I60" s="80"/>
      <c r="J60" s="147"/>
      <c r="K60" s="147"/>
      <c r="L60" s="80"/>
      <c r="M60" t="str">
        <f t="shared" si="4"/>
        <v/>
      </c>
      <c r="N60" t="str">
        <f t="shared" si="2"/>
        <v/>
      </c>
      <c r="O60" t="str">
        <f t="shared" si="5"/>
        <v/>
      </c>
      <c r="P60" t="str">
        <f>IF($O60="","",$O60&amp;" | "&amp;TEXT(COUNTIF(O$3:O60,$O60),"00"))</f>
        <v/>
      </c>
      <c r="Q60" t="str">
        <f t="shared" si="3"/>
        <v/>
      </c>
    </row>
    <row r="61" spans="1:17" x14ac:dyDescent="0.35">
      <c r="A61" s="80"/>
      <c r="B61" s="80"/>
      <c r="C61" s="80"/>
      <c r="D61" s="80"/>
      <c r="E61" s="80"/>
      <c r="F61" s="44" t="str">
        <f>IF($E61="","",IF(COUNTIF(O$3:O61,$O61)=COUNTIFS($O$3:$O$101,$O61),DATE(9999,12,31),INDEX($E$3:$E$101,MATCH($O61&amp;" | "&amp;TEXT(COUNTIF(O$3:O61,$O61)+1,"00"),$P$3:$P$101,0))-1))</f>
        <v/>
      </c>
      <c r="G61" s="80"/>
      <c r="H61" s="80"/>
      <c r="I61" s="80"/>
      <c r="J61" s="147"/>
      <c r="K61" s="147"/>
      <c r="L61" s="80"/>
      <c r="M61" t="str">
        <f t="shared" si="4"/>
        <v/>
      </c>
      <c r="N61" t="str">
        <f t="shared" si="2"/>
        <v/>
      </c>
      <c r="O61" t="str">
        <f t="shared" si="5"/>
        <v/>
      </c>
      <c r="P61" t="str">
        <f>IF($O61="","",$O61&amp;" | "&amp;TEXT(COUNTIF(O$3:O61,$O61),"00"))</f>
        <v/>
      </c>
      <c r="Q61" t="str">
        <f t="shared" si="3"/>
        <v/>
      </c>
    </row>
    <row r="62" spans="1:17" x14ac:dyDescent="0.35">
      <c r="A62" s="80"/>
      <c r="B62" s="80"/>
      <c r="C62" s="80"/>
      <c r="D62" s="80"/>
      <c r="E62" s="80"/>
      <c r="F62" s="44" t="str">
        <f>IF($E62="","",IF(COUNTIF(O$3:O62,$O62)=COUNTIFS($O$3:$O$101,$O62),DATE(9999,12,31),INDEX($E$3:$E$101,MATCH($O62&amp;" | "&amp;TEXT(COUNTIF(O$3:O62,$O62)+1,"00"),$P$3:$P$101,0))-1))</f>
        <v/>
      </c>
      <c r="G62" s="80"/>
      <c r="H62" s="80"/>
      <c r="I62" s="80"/>
      <c r="J62" s="147"/>
      <c r="K62" s="147"/>
      <c r="L62" s="80"/>
      <c r="M62" t="str">
        <f t="shared" si="4"/>
        <v/>
      </c>
      <c r="N62" t="str">
        <f t="shared" si="2"/>
        <v/>
      </c>
      <c r="O62" t="str">
        <f t="shared" si="5"/>
        <v/>
      </c>
      <c r="P62" t="str">
        <f>IF($O62="","",$O62&amp;" | "&amp;TEXT(COUNTIF(O$3:O62,$O62),"00"))</f>
        <v/>
      </c>
      <c r="Q62" t="str">
        <f t="shared" si="3"/>
        <v/>
      </c>
    </row>
    <row r="63" spans="1:17" x14ac:dyDescent="0.35">
      <c r="A63" s="80"/>
      <c r="B63" s="80"/>
      <c r="C63" s="80"/>
      <c r="D63" s="80"/>
      <c r="E63" s="80"/>
      <c r="F63" s="44" t="str">
        <f>IF($E63="","",IF(COUNTIF(O$3:O63,$O63)=COUNTIFS($O$3:$O$101,$O63),DATE(9999,12,31),INDEX($E$3:$E$101,MATCH($O63&amp;" | "&amp;TEXT(COUNTIF(O$3:O63,$O63)+1,"00"),$P$3:$P$101,0))-1))</f>
        <v/>
      </c>
      <c r="G63" s="80"/>
      <c r="H63" s="80"/>
      <c r="I63" s="80"/>
      <c r="J63" s="147"/>
      <c r="K63" s="147"/>
      <c r="L63" s="80"/>
      <c r="M63" t="str">
        <f t="shared" si="4"/>
        <v/>
      </c>
      <c r="N63" t="str">
        <f t="shared" si="2"/>
        <v/>
      </c>
      <c r="O63" t="str">
        <f t="shared" si="5"/>
        <v/>
      </c>
      <c r="P63" t="str">
        <f>IF($O63="","",$O63&amp;" | "&amp;TEXT(COUNTIF(O$3:O63,$O63),"00"))</f>
        <v/>
      </c>
      <c r="Q63" t="str">
        <f t="shared" si="3"/>
        <v/>
      </c>
    </row>
    <row r="64" spans="1:17" x14ac:dyDescent="0.35">
      <c r="A64" s="80"/>
      <c r="B64" s="80"/>
      <c r="C64" s="80"/>
      <c r="D64" s="80"/>
      <c r="E64" s="80"/>
      <c r="F64" s="44" t="str">
        <f>IF($E64="","",IF(COUNTIF(O$3:O64,$O64)=COUNTIFS($O$3:$O$101,$O64),DATE(9999,12,31),INDEX($E$3:$E$101,MATCH($O64&amp;" | "&amp;TEXT(COUNTIF(O$3:O64,$O64)+1,"00"),$P$3:$P$101,0))-1))</f>
        <v/>
      </c>
      <c r="G64" s="80"/>
      <c r="H64" s="80"/>
      <c r="I64" s="80"/>
      <c r="J64" s="147"/>
      <c r="K64" s="147"/>
      <c r="L64" s="80"/>
      <c r="M64" t="str">
        <f t="shared" si="4"/>
        <v/>
      </c>
      <c r="N64" t="str">
        <f t="shared" si="2"/>
        <v/>
      </c>
      <c r="O64" t="str">
        <f t="shared" si="5"/>
        <v/>
      </c>
      <c r="P64" t="str">
        <f>IF($O64="","",$O64&amp;" | "&amp;TEXT(COUNTIF(O$3:O64,$O64),"00"))</f>
        <v/>
      </c>
      <c r="Q64" t="str">
        <f t="shared" si="3"/>
        <v/>
      </c>
    </row>
    <row r="65" spans="1:17" x14ac:dyDescent="0.35">
      <c r="A65" s="80"/>
      <c r="B65" s="80"/>
      <c r="C65" s="80"/>
      <c r="D65" s="80"/>
      <c r="E65" s="80"/>
      <c r="F65" s="44" t="str">
        <f>IF($E65="","",IF(COUNTIF(O$3:O65,$O65)=COUNTIFS($O$3:$O$101,$O65),DATE(9999,12,31),INDEX($E$3:$E$101,MATCH($O65&amp;" | "&amp;TEXT(COUNTIF(O$3:O65,$O65)+1,"00"),$P$3:$P$101,0))-1))</f>
        <v/>
      </c>
      <c r="G65" s="80"/>
      <c r="H65" s="80"/>
      <c r="I65" s="80"/>
      <c r="J65" s="147"/>
      <c r="K65" s="147"/>
      <c r="L65" s="80"/>
      <c r="M65" t="str">
        <f t="shared" si="4"/>
        <v/>
      </c>
      <c r="N65" t="str">
        <f t="shared" si="2"/>
        <v/>
      </c>
      <c r="O65" t="str">
        <f t="shared" si="5"/>
        <v/>
      </c>
      <c r="P65" t="str">
        <f>IF($O65="","",$O65&amp;" | "&amp;TEXT(COUNTIF(O$3:O65,$O65),"00"))</f>
        <v/>
      </c>
      <c r="Q65" t="str">
        <f t="shared" si="3"/>
        <v/>
      </c>
    </row>
    <row r="66" spans="1:17" x14ac:dyDescent="0.35">
      <c r="A66" s="80"/>
      <c r="B66" s="80"/>
      <c r="C66" s="80"/>
      <c r="D66" s="80"/>
      <c r="E66" s="80"/>
      <c r="F66" s="44" t="str">
        <f>IF($E66="","",IF(COUNTIF(O$3:O66,$O66)=COUNTIFS($O$3:$O$101,$O66),DATE(9999,12,31),INDEX($E$3:$E$101,MATCH($O66&amp;" | "&amp;TEXT(COUNTIF(O$3:O66,$O66)+1,"00"),$P$3:$P$101,0))-1))</f>
        <v/>
      </c>
      <c r="G66" s="80"/>
      <c r="H66" s="80"/>
      <c r="I66" s="80"/>
      <c r="J66" s="147"/>
      <c r="K66" s="147"/>
      <c r="L66" s="80"/>
      <c r="M66" t="str">
        <f t="shared" si="4"/>
        <v/>
      </c>
      <c r="N66" t="str">
        <f t="shared" si="2"/>
        <v/>
      </c>
      <c r="O66" t="str">
        <f t="shared" ref="O66:O101" si="6">IF(OR($A66="",$C66=""),"",$A66&amp;" | "&amp;$C66)</f>
        <v/>
      </c>
      <c r="P66" t="str">
        <f>IF($O66="","",$O66&amp;" | "&amp;TEXT(COUNTIF(O$3:O66,$O66),"00"))</f>
        <v/>
      </c>
      <c r="Q66" t="str">
        <f t="shared" si="3"/>
        <v/>
      </c>
    </row>
    <row r="67" spans="1:17" x14ac:dyDescent="0.35">
      <c r="A67" s="80"/>
      <c r="B67" s="80"/>
      <c r="C67" s="80"/>
      <c r="D67" s="80"/>
      <c r="E67" s="80"/>
      <c r="F67" s="44" t="str">
        <f>IF($E67="","",IF(COUNTIF(O$3:O67,$O67)=COUNTIFS($O$3:$O$101,$O67),DATE(9999,12,31),INDEX($E$3:$E$101,MATCH($O67&amp;" | "&amp;TEXT(COUNTIF(O$3:O67,$O67)+1,"00"),$P$3:$P$101,0))-1))</f>
        <v/>
      </c>
      <c r="G67" s="80"/>
      <c r="H67" s="80"/>
      <c r="I67" s="80"/>
      <c r="J67" s="147"/>
      <c r="K67" s="147"/>
      <c r="L67" s="80"/>
      <c r="M67" t="str">
        <f t="shared" si="4"/>
        <v/>
      </c>
      <c r="N67" t="str">
        <f t="shared" ref="N67:N101" si="7">IF($E67="","",MONTH($E67))</f>
        <v/>
      </c>
      <c r="O67" t="str">
        <f t="shared" si="6"/>
        <v/>
      </c>
      <c r="P67" t="str">
        <f>IF($O67="","",$O67&amp;" | "&amp;TEXT(COUNTIF(O$3:O67,$O67),"00"))</f>
        <v/>
      </c>
      <c r="Q67" t="str">
        <f t="shared" si="3"/>
        <v/>
      </c>
    </row>
    <row r="68" spans="1:17" x14ac:dyDescent="0.35">
      <c r="A68" s="80"/>
      <c r="B68" s="80"/>
      <c r="C68" s="80"/>
      <c r="D68" s="80"/>
      <c r="E68" s="80"/>
      <c r="F68" s="44" t="str">
        <f>IF($E68="","",IF(COUNTIF(O$3:O68,$O68)=COUNTIFS($O$3:$O$101,$O68),DATE(9999,12,31),INDEX($E$3:$E$101,MATCH($O68&amp;" | "&amp;TEXT(COUNTIF(O$3:O68,$O68)+1,"00"),$P$3:$P$101,0))-1))</f>
        <v/>
      </c>
      <c r="G68" s="80"/>
      <c r="H68" s="80"/>
      <c r="I68" s="80"/>
      <c r="J68" s="147"/>
      <c r="K68" s="147"/>
      <c r="L68" s="80"/>
      <c r="M68" t="str">
        <f t="shared" si="4"/>
        <v/>
      </c>
      <c r="N68" t="str">
        <f t="shared" si="7"/>
        <v/>
      </c>
      <c r="O68" t="str">
        <f t="shared" si="6"/>
        <v/>
      </c>
      <c r="P68" t="str">
        <f>IF($O68="","",$O68&amp;" | "&amp;TEXT(COUNTIF(O$3:O68,$O68),"00"))</f>
        <v/>
      </c>
      <c r="Q68" t="str">
        <f t="shared" si="3"/>
        <v/>
      </c>
    </row>
    <row r="69" spans="1:17" x14ac:dyDescent="0.35">
      <c r="A69" s="80"/>
      <c r="B69" s="80"/>
      <c r="C69" s="80"/>
      <c r="D69" s="80"/>
      <c r="E69" s="80"/>
      <c r="F69" s="44" t="str">
        <f>IF($E69="","",IF(COUNTIF(O$3:O69,$O69)=COUNTIFS($O$3:$O$101,$O69),DATE(9999,12,31),INDEX($E$3:$E$101,MATCH($O69&amp;" | "&amp;TEXT(COUNTIF(O$3:O69,$O69)+1,"00"),$P$3:$P$101,0))-1))</f>
        <v/>
      </c>
      <c r="G69" s="80"/>
      <c r="H69" s="80"/>
      <c r="I69" s="80"/>
      <c r="J69" s="147"/>
      <c r="K69" s="147"/>
      <c r="L69" s="80"/>
      <c r="M69" t="str">
        <f t="shared" si="4"/>
        <v/>
      </c>
      <c r="N69" t="str">
        <f t="shared" si="7"/>
        <v/>
      </c>
      <c r="O69" t="str">
        <f t="shared" si="6"/>
        <v/>
      </c>
      <c r="P69" t="str">
        <f>IF($O69="","",$O69&amp;" | "&amp;TEXT(COUNTIF(O$3:O69,$O69),"00"))</f>
        <v/>
      </c>
      <c r="Q69" t="str">
        <f t="shared" si="3"/>
        <v/>
      </c>
    </row>
    <row r="70" spans="1:17" x14ac:dyDescent="0.35">
      <c r="A70" s="80"/>
      <c r="B70" s="80"/>
      <c r="C70" s="80"/>
      <c r="D70" s="80"/>
      <c r="E70" s="80"/>
      <c r="F70" s="44" t="str">
        <f>IF($E70="","",IF(COUNTIF(O$3:O70,$O70)=COUNTIFS($O$3:$O$101,$O70),DATE(9999,12,31),INDEX($E$3:$E$101,MATCH($O70&amp;" | "&amp;TEXT(COUNTIF(O$3:O70,$O70)+1,"00"),$P$3:$P$101,0))-1))</f>
        <v/>
      </c>
      <c r="G70" s="80"/>
      <c r="H70" s="80"/>
      <c r="I70" s="80"/>
      <c r="J70" s="147"/>
      <c r="K70" s="147"/>
      <c r="L70" s="80"/>
      <c r="M70" t="str">
        <f t="shared" si="4"/>
        <v/>
      </c>
      <c r="N70" t="str">
        <f t="shared" si="7"/>
        <v/>
      </c>
      <c r="O70" t="str">
        <f t="shared" si="6"/>
        <v/>
      </c>
      <c r="P70" t="str">
        <f>IF($O70="","",$O70&amp;" | "&amp;TEXT(COUNTIF(O$3:O70,$O70),"00"))</f>
        <v/>
      </c>
      <c r="Q70" t="str">
        <f t="shared" si="3"/>
        <v/>
      </c>
    </row>
    <row r="71" spans="1:17" x14ac:dyDescent="0.35">
      <c r="A71" s="80"/>
      <c r="B71" s="80"/>
      <c r="C71" s="80"/>
      <c r="D71" s="80"/>
      <c r="E71" s="80"/>
      <c r="F71" s="44" t="str">
        <f>IF($E71="","",IF(COUNTIF(O$3:O71,$O71)=COUNTIFS($O$3:$O$101,$O71),DATE(9999,12,31),INDEX($E$3:$E$101,MATCH($O71&amp;" | "&amp;TEXT(COUNTIF(O$3:O71,$O71)+1,"00"),$P$3:$P$101,0))-1))</f>
        <v/>
      </c>
      <c r="G71" s="80"/>
      <c r="H71" s="80"/>
      <c r="I71" s="80"/>
      <c r="J71" s="147"/>
      <c r="K71" s="147"/>
      <c r="L71" s="80"/>
      <c r="M71" t="str">
        <f t="shared" si="4"/>
        <v/>
      </c>
      <c r="N71" t="str">
        <f t="shared" si="7"/>
        <v/>
      </c>
      <c r="O71" t="str">
        <f t="shared" si="6"/>
        <v/>
      </c>
      <c r="P71" t="str">
        <f>IF($O71="","",$O71&amp;" | "&amp;TEXT(COUNTIF(O$3:O71,$O71),"00"))</f>
        <v/>
      </c>
      <c r="Q71" t="str">
        <f t="shared" ref="Q71:Q101" si="8">$A71&amp;$C71&amp;$E71&amp;$G71&amp;$H71&amp;$I71&amp;J71&amp;K71</f>
        <v/>
      </c>
    </row>
    <row r="72" spans="1:17" x14ac:dyDescent="0.35">
      <c r="A72" s="80"/>
      <c r="B72" s="80"/>
      <c r="C72" s="80"/>
      <c r="D72" s="80"/>
      <c r="E72" s="80"/>
      <c r="F72" s="44" t="str">
        <f>IF($E72="","",IF(COUNTIF(O$3:O72,$O72)=COUNTIFS($O$3:$O$101,$O72),DATE(9999,12,31),INDEX($E$3:$E$101,MATCH($O72&amp;" | "&amp;TEXT(COUNTIF(O$3:O72,$O72)+1,"00"),$P$3:$P$101,0))-1))</f>
        <v/>
      </c>
      <c r="G72" s="80"/>
      <c r="H72" s="80"/>
      <c r="I72" s="80"/>
      <c r="J72" s="147"/>
      <c r="K72" s="147"/>
      <c r="L72" s="80"/>
      <c r="M72" t="str">
        <f t="shared" si="4"/>
        <v/>
      </c>
      <c r="N72" t="str">
        <f t="shared" si="7"/>
        <v/>
      </c>
      <c r="O72" t="str">
        <f t="shared" si="6"/>
        <v/>
      </c>
      <c r="P72" t="str">
        <f>IF($O72="","",$O72&amp;" | "&amp;TEXT(COUNTIF(O$3:O72,$O72),"00"))</f>
        <v/>
      </c>
      <c r="Q72" t="str">
        <f t="shared" si="8"/>
        <v/>
      </c>
    </row>
    <row r="73" spans="1:17" x14ac:dyDescent="0.35">
      <c r="A73" s="80"/>
      <c r="B73" s="80"/>
      <c r="C73" s="80"/>
      <c r="D73" s="80"/>
      <c r="E73" s="80"/>
      <c r="F73" s="44" t="str">
        <f>IF($E73="","",IF(COUNTIF(O$3:O73,$O73)=COUNTIFS($O$3:$O$101,$O73),DATE(9999,12,31),INDEX($E$3:$E$101,MATCH($O73&amp;" | "&amp;TEXT(COUNTIF(O$3:O73,$O73)+1,"00"),$P$3:$P$101,0))-1))</f>
        <v/>
      </c>
      <c r="G73" s="80"/>
      <c r="H73" s="80"/>
      <c r="I73" s="80"/>
      <c r="J73" s="147"/>
      <c r="K73" s="147"/>
      <c r="L73" s="80"/>
      <c r="M73" t="str">
        <f t="shared" si="4"/>
        <v/>
      </c>
      <c r="N73" t="str">
        <f t="shared" si="7"/>
        <v/>
      </c>
      <c r="O73" t="str">
        <f t="shared" si="6"/>
        <v/>
      </c>
      <c r="P73" t="str">
        <f>IF($O73="","",$O73&amp;" | "&amp;TEXT(COUNTIF(O$3:O73,$O73),"00"))</f>
        <v/>
      </c>
      <c r="Q73" t="str">
        <f t="shared" si="8"/>
        <v/>
      </c>
    </row>
    <row r="74" spans="1:17" x14ac:dyDescent="0.35">
      <c r="A74" s="80"/>
      <c r="B74" s="80"/>
      <c r="C74" s="80"/>
      <c r="D74" s="80"/>
      <c r="E74" s="80"/>
      <c r="F74" s="44" t="str">
        <f>IF($E74="","",IF(COUNTIF(O$3:O74,$O74)=COUNTIFS($O$3:$O$101,$O74),DATE(9999,12,31),INDEX($E$3:$E$101,MATCH($O74&amp;" | "&amp;TEXT(COUNTIF(O$3:O74,$O74)+1,"00"),$P$3:$P$101,0))-1))</f>
        <v/>
      </c>
      <c r="G74" s="80"/>
      <c r="H74" s="80"/>
      <c r="I74" s="80"/>
      <c r="J74" s="147"/>
      <c r="K74" s="147"/>
      <c r="L74" s="80"/>
      <c r="M74" t="str">
        <f t="shared" si="4"/>
        <v/>
      </c>
      <c r="N74" t="str">
        <f t="shared" si="7"/>
        <v/>
      </c>
      <c r="O74" t="str">
        <f t="shared" si="6"/>
        <v/>
      </c>
      <c r="P74" t="str">
        <f>IF($O74="","",$O74&amp;" | "&amp;TEXT(COUNTIF(O$3:O74,$O74),"00"))</f>
        <v/>
      </c>
      <c r="Q74" t="str">
        <f t="shared" si="8"/>
        <v/>
      </c>
    </row>
    <row r="75" spans="1:17" x14ac:dyDescent="0.35">
      <c r="A75" s="80"/>
      <c r="B75" s="80"/>
      <c r="C75" s="80"/>
      <c r="D75" s="80"/>
      <c r="E75" s="80"/>
      <c r="F75" s="44" t="str">
        <f>IF($E75="","",IF(COUNTIF(O$3:O75,$O75)=COUNTIFS($O$3:$O$101,$O75),DATE(9999,12,31),INDEX($E$3:$E$101,MATCH($O75&amp;" | "&amp;TEXT(COUNTIF(O$3:O75,$O75)+1,"00"),$P$3:$P$101,0))-1))</f>
        <v/>
      </c>
      <c r="G75" s="80"/>
      <c r="H75" s="80"/>
      <c r="I75" s="80"/>
      <c r="J75" s="147"/>
      <c r="K75" s="147"/>
      <c r="L75" s="80"/>
      <c r="M75" t="str">
        <f t="shared" si="4"/>
        <v/>
      </c>
      <c r="N75" t="str">
        <f t="shared" si="7"/>
        <v/>
      </c>
      <c r="O75" t="str">
        <f t="shared" si="6"/>
        <v/>
      </c>
      <c r="P75" t="str">
        <f>IF($O75="","",$O75&amp;" | "&amp;TEXT(COUNTIF(O$3:O75,$O75),"00"))</f>
        <v/>
      </c>
      <c r="Q75" t="str">
        <f t="shared" si="8"/>
        <v/>
      </c>
    </row>
    <row r="76" spans="1:17" x14ac:dyDescent="0.35">
      <c r="A76" s="80"/>
      <c r="B76" s="80"/>
      <c r="C76" s="80"/>
      <c r="D76" s="80"/>
      <c r="E76" s="80"/>
      <c r="F76" s="44" t="str">
        <f>IF($E76="","",IF(COUNTIF(O$3:O76,$O76)=COUNTIFS($O$3:$O$101,$O76),DATE(9999,12,31),INDEX($E$3:$E$101,MATCH($O76&amp;" | "&amp;TEXT(COUNTIF(O$3:O76,$O76)+1,"00"),$P$3:$P$101,0))-1))</f>
        <v/>
      </c>
      <c r="G76" s="80"/>
      <c r="H76" s="80"/>
      <c r="I76" s="80"/>
      <c r="J76" s="147"/>
      <c r="K76" s="147"/>
      <c r="L76" s="80"/>
      <c r="M76" t="str">
        <f t="shared" si="4"/>
        <v/>
      </c>
      <c r="N76" t="str">
        <f t="shared" si="7"/>
        <v/>
      </c>
      <c r="O76" t="str">
        <f t="shared" si="6"/>
        <v/>
      </c>
      <c r="P76" t="str">
        <f>IF($O76="","",$O76&amp;" | "&amp;TEXT(COUNTIF(O$3:O76,$O76),"00"))</f>
        <v/>
      </c>
      <c r="Q76" t="str">
        <f t="shared" si="8"/>
        <v/>
      </c>
    </row>
    <row r="77" spans="1:17" x14ac:dyDescent="0.35">
      <c r="A77" s="80"/>
      <c r="B77" s="80"/>
      <c r="C77" s="80"/>
      <c r="D77" s="80"/>
      <c r="E77" s="80"/>
      <c r="F77" s="44" t="str">
        <f>IF($E77="","",IF(COUNTIF(O$3:O77,$O77)=COUNTIFS($O$3:$O$101,$O77),DATE(9999,12,31),INDEX($E$3:$E$101,MATCH($O77&amp;" | "&amp;TEXT(COUNTIF(O$3:O77,$O77)+1,"00"),$P$3:$P$101,0))-1))</f>
        <v/>
      </c>
      <c r="G77" s="80"/>
      <c r="H77" s="80"/>
      <c r="I77" s="80"/>
      <c r="J77" s="147"/>
      <c r="K77" s="147"/>
      <c r="L77" s="80"/>
      <c r="M77" t="str">
        <f t="shared" ref="M77:M101" si="9">IF($E77="","",YEAR($E77))</f>
        <v/>
      </c>
      <c r="N77" t="str">
        <f t="shared" si="7"/>
        <v/>
      </c>
      <c r="O77" t="str">
        <f t="shared" si="6"/>
        <v/>
      </c>
      <c r="P77" t="str">
        <f>IF($O77="","",$O77&amp;" | "&amp;TEXT(COUNTIF(O$3:O77,$O77),"00"))</f>
        <v/>
      </c>
      <c r="Q77" t="str">
        <f t="shared" si="8"/>
        <v/>
      </c>
    </row>
    <row r="78" spans="1:17" x14ac:dyDescent="0.35">
      <c r="A78" s="80"/>
      <c r="B78" s="80"/>
      <c r="C78" s="80"/>
      <c r="D78" s="80"/>
      <c r="E78" s="80"/>
      <c r="F78" s="44" t="str">
        <f>IF($E78="","",IF(COUNTIF(O$3:O78,$O78)=COUNTIFS($O$3:$O$101,$O78),DATE(9999,12,31),INDEX($E$3:$E$101,MATCH($O78&amp;" | "&amp;TEXT(COUNTIF(O$3:O78,$O78)+1,"00"),$P$3:$P$101,0))-1))</f>
        <v/>
      </c>
      <c r="G78" s="80"/>
      <c r="H78" s="80"/>
      <c r="I78" s="80"/>
      <c r="J78" s="147"/>
      <c r="K78" s="147"/>
      <c r="L78" s="80"/>
      <c r="M78" t="str">
        <f t="shared" si="9"/>
        <v/>
      </c>
      <c r="N78" t="str">
        <f t="shared" si="7"/>
        <v/>
      </c>
      <c r="O78" t="str">
        <f t="shared" si="6"/>
        <v/>
      </c>
      <c r="P78" t="str">
        <f>IF($O78="","",$O78&amp;" | "&amp;TEXT(COUNTIF(O$3:O78,$O78),"00"))</f>
        <v/>
      </c>
      <c r="Q78" t="str">
        <f t="shared" si="8"/>
        <v/>
      </c>
    </row>
    <row r="79" spans="1:17" x14ac:dyDescent="0.35">
      <c r="A79" s="80"/>
      <c r="B79" s="80"/>
      <c r="C79" s="80"/>
      <c r="D79" s="80"/>
      <c r="E79" s="80"/>
      <c r="F79" s="44" t="str">
        <f>IF($E79="","",IF(COUNTIF(O$3:O79,$O79)=COUNTIFS($O$3:$O$101,$O79),DATE(9999,12,31),INDEX($E$3:$E$101,MATCH($O79&amp;" | "&amp;TEXT(COUNTIF(O$3:O79,$O79)+1,"00"),$P$3:$P$101,0))-1))</f>
        <v/>
      </c>
      <c r="G79" s="80"/>
      <c r="H79" s="80"/>
      <c r="I79" s="80"/>
      <c r="J79" s="147"/>
      <c r="K79" s="147"/>
      <c r="L79" s="80"/>
      <c r="M79" t="str">
        <f t="shared" si="9"/>
        <v/>
      </c>
      <c r="N79" t="str">
        <f t="shared" si="7"/>
        <v/>
      </c>
      <c r="O79" t="str">
        <f t="shared" si="6"/>
        <v/>
      </c>
      <c r="P79" t="str">
        <f>IF($O79="","",$O79&amp;" | "&amp;TEXT(COUNTIF(O$3:O79,$O79),"00"))</f>
        <v/>
      </c>
      <c r="Q79" t="str">
        <f t="shared" si="8"/>
        <v/>
      </c>
    </row>
    <row r="80" spans="1:17" x14ac:dyDescent="0.35">
      <c r="A80" s="80"/>
      <c r="B80" s="80"/>
      <c r="C80" s="80"/>
      <c r="D80" s="80"/>
      <c r="E80" s="80"/>
      <c r="F80" s="44" t="str">
        <f>IF($E80="","",IF(COUNTIF(O$3:O80,$O80)=COUNTIFS($O$3:$O$101,$O80),DATE(9999,12,31),INDEX($E$3:$E$101,MATCH($O80&amp;" | "&amp;TEXT(COUNTIF(O$3:O80,$O80)+1,"00"),$P$3:$P$101,0))-1))</f>
        <v/>
      </c>
      <c r="G80" s="80"/>
      <c r="H80" s="80"/>
      <c r="I80" s="80"/>
      <c r="J80" s="147"/>
      <c r="K80" s="147"/>
      <c r="L80" s="80"/>
      <c r="M80" t="str">
        <f t="shared" si="9"/>
        <v/>
      </c>
      <c r="N80" t="str">
        <f t="shared" si="7"/>
        <v/>
      </c>
      <c r="O80" t="str">
        <f t="shared" si="6"/>
        <v/>
      </c>
      <c r="P80" t="str">
        <f>IF($O80="","",$O80&amp;" | "&amp;TEXT(COUNTIF(O$3:O80,$O80),"00"))</f>
        <v/>
      </c>
      <c r="Q80" t="str">
        <f t="shared" si="8"/>
        <v/>
      </c>
    </row>
    <row r="81" spans="1:17" x14ac:dyDescent="0.35">
      <c r="A81" s="80"/>
      <c r="B81" s="80"/>
      <c r="C81" s="80"/>
      <c r="D81" s="80"/>
      <c r="E81" s="80"/>
      <c r="F81" s="44" t="str">
        <f>IF($E81="","",IF(COUNTIF(O$3:O81,$O81)=COUNTIFS($O$3:$O$101,$O81),DATE(9999,12,31),INDEX($E$3:$E$101,MATCH($O81&amp;" | "&amp;TEXT(COUNTIF(O$3:O81,$O81)+1,"00"),$P$3:$P$101,0))-1))</f>
        <v/>
      </c>
      <c r="G81" s="80"/>
      <c r="H81" s="80"/>
      <c r="I81" s="80"/>
      <c r="J81" s="147"/>
      <c r="K81" s="147"/>
      <c r="L81" s="80"/>
      <c r="M81" t="str">
        <f t="shared" si="9"/>
        <v/>
      </c>
      <c r="N81" t="str">
        <f t="shared" si="7"/>
        <v/>
      </c>
      <c r="O81" t="str">
        <f t="shared" si="6"/>
        <v/>
      </c>
      <c r="P81" t="str">
        <f>IF($O81="","",$O81&amp;" | "&amp;TEXT(COUNTIF(O$3:O81,$O81),"00"))</f>
        <v/>
      </c>
      <c r="Q81" t="str">
        <f t="shared" si="8"/>
        <v/>
      </c>
    </row>
    <row r="82" spans="1:17" x14ac:dyDescent="0.35">
      <c r="A82" s="80"/>
      <c r="B82" s="80"/>
      <c r="C82" s="80"/>
      <c r="D82" s="80"/>
      <c r="E82" s="80"/>
      <c r="F82" s="44" t="str">
        <f>IF($E82="","",IF(COUNTIF(O$3:O82,$O82)=COUNTIFS($O$3:$O$101,$O82),DATE(9999,12,31),INDEX($E$3:$E$101,MATCH($O82&amp;" | "&amp;TEXT(COUNTIF(O$3:O82,$O82)+1,"00"),$P$3:$P$101,0))-1))</f>
        <v/>
      </c>
      <c r="G82" s="80"/>
      <c r="H82" s="80"/>
      <c r="I82" s="80"/>
      <c r="J82" s="147"/>
      <c r="K82" s="147"/>
      <c r="L82" s="80"/>
      <c r="M82" t="str">
        <f t="shared" si="9"/>
        <v/>
      </c>
      <c r="N82" t="str">
        <f t="shared" si="7"/>
        <v/>
      </c>
      <c r="O82" t="str">
        <f t="shared" si="6"/>
        <v/>
      </c>
      <c r="P82" t="str">
        <f>IF($O82="","",$O82&amp;" | "&amp;TEXT(COUNTIF(O$3:O82,$O82),"00"))</f>
        <v/>
      </c>
      <c r="Q82" t="str">
        <f t="shared" si="8"/>
        <v/>
      </c>
    </row>
    <row r="83" spans="1:17" x14ac:dyDescent="0.35">
      <c r="A83" s="80"/>
      <c r="B83" s="80"/>
      <c r="C83" s="80"/>
      <c r="D83" s="80"/>
      <c r="E83" s="80"/>
      <c r="F83" s="44" t="str">
        <f>IF($E83="","",IF(COUNTIF(O$3:O83,$O83)=COUNTIFS($O$3:$O$101,$O83),DATE(9999,12,31),INDEX($E$3:$E$101,MATCH($O83&amp;" | "&amp;TEXT(COUNTIF(O$3:O83,$O83)+1,"00"),$P$3:$P$101,0))-1))</f>
        <v/>
      </c>
      <c r="G83" s="80"/>
      <c r="H83" s="80"/>
      <c r="I83" s="80"/>
      <c r="J83" s="147"/>
      <c r="K83" s="147"/>
      <c r="L83" s="80"/>
      <c r="M83" t="str">
        <f t="shared" si="9"/>
        <v/>
      </c>
      <c r="N83" t="str">
        <f t="shared" si="7"/>
        <v/>
      </c>
      <c r="O83" t="str">
        <f t="shared" si="6"/>
        <v/>
      </c>
      <c r="P83" t="str">
        <f>IF($O83="","",$O83&amp;" | "&amp;TEXT(COUNTIF(O$3:O83,$O83),"00"))</f>
        <v/>
      </c>
      <c r="Q83" t="str">
        <f t="shared" si="8"/>
        <v/>
      </c>
    </row>
    <row r="84" spans="1:17" x14ac:dyDescent="0.35">
      <c r="A84" s="80"/>
      <c r="B84" s="80"/>
      <c r="C84" s="80"/>
      <c r="D84" s="80"/>
      <c r="E84" s="80"/>
      <c r="F84" s="44" t="str">
        <f>IF($E84="","",IF(COUNTIF(O$3:O84,$O84)=COUNTIFS($O$3:$O$101,$O84),DATE(9999,12,31),INDEX($E$3:$E$101,MATCH($O84&amp;" | "&amp;TEXT(COUNTIF(O$3:O84,$O84)+1,"00"),$P$3:$P$101,0))-1))</f>
        <v/>
      </c>
      <c r="G84" s="80"/>
      <c r="H84" s="80"/>
      <c r="I84" s="80"/>
      <c r="J84" s="147"/>
      <c r="K84" s="147"/>
      <c r="L84" s="80"/>
      <c r="M84" t="str">
        <f t="shared" si="9"/>
        <v/>
      </c>
      <c r="N84" t="str">
        <f t="shared" si="7"/>
        <v/>
      </c>
      <c r="O84" t="str">
        <f t="shared" si="6"/>
        <v/>
      </c>
      <c r="P84" t="str">
        <f>IF($O84="","",$O84&amp;" | "&amp;TEXT(COUNTIF(O$3:O84,$O84),"00"))</f>
        <v/>
      </c>
      <c r="Q84" t="str">
        <f t="shared" si="8"/>
        <v/>
      </c>
    </row>
    <row r="85" spans="1:17" x14ac:dyDescent="0.35">
      <c r="A85" s="80"/>
      <c r="B85" s="80"/>
      <c r="C85" s="80"/>
      <c r="D85" s="80"/>
      <c r="E85" s="80"/>
      <c r="F85" s="44" t="str">
        <f>IF($E85="","",IF(COUNTIF(O$3:O85,$O85)=COUNTIFS($O$3:$O$101,$O85),DATE(9999,12,31),INDEX($E$3:$E$101,MATCH($O85&amp;" | "&amp;TEXT(COUNTIF(O$3:O85,$O85)+1,"00"),$P$3:$P$101,0))-1))</f>
        <v/>
      </c>
      <c r="G85" s="80"/>
      <c r="H85" s="80"/>
      <c r="I85" s="80"/>
      <c r="J85" s="147"/>
      <c r="K85" s="147"/>
      <c r="L85" s="80"/>
      <c r="M85" t="str">
        <f t="shared" si="9"/>
        <v/>
      </c>
      <c r="N85" t="str">
        <f t="shared" si="7"/>
        <v/>
      </c>
      <c r="O85" t="str">
        <f t="shared" si="6"/>
        <v/>
      </c>
      <c r="P85" t="str">
        <f>IF($O85="","",$O85&amp;" | "&amp;TEXT(COUNTIF(O$3:O85,$O85),"00"))</f>
        <v/>
      </c>
      <c r="Q85" t="str">
        <f t="shared" si="8"/>
        <v/>
      </c>
    </row>
    <row r="86" spans="1:17" x14ac:dyDescent="0.35">
      <c r="A86" s="80"/>
      <c r="B86" s="80"/>
      <c r="C86" s="80"/>
      <c r="D86" s="80"/>
      <c r="E86" s="80"/>
      <c r="F86" s="44" t="str">
        <f>IF($E86="","",IF(COUNTIF(O$3:O86,$O86)=COUNTIFS($O$3:$O$101,$O86),DATE(9999,12,31),INDEX($E$3:$E$101,MATCH($O86&amp;" | "&amp;TEXT(COUNTIF(O$3:O86,$O86)+1,"00"),$P$3:$P$101,0))-1))</f>
        <v/>
      </c>
      <c r="G86" s="80"/>
      <c r="H86" s="80"/>
      <c r="I86" s="80"/>
      <c r="J86" s="147"/>
      <c r="K86" s="147"/>
      <c r="L86" s="80"/>
      <c r="M86" t="str">
        <f t="shared" si="9"/>
        <v/>
      </c>
      <c r="N86" t="str">
        <f t="shared" si="7"/>
        <v/>
      </c>
      <c r="O86" t="str">
        <f t="shared" si="6"/>
        <v/>
      </c>
      <c r="P86" t="str">
        <f>IF($O86="","",$O86&amp;" | "&amp;TEXT(COUNTIF(O$3:O86,$O86),"00"))</f>
        <v/>
      </c>
      <c r="Q86" t="str">
        <f t="shared" si="8"/>
        <v/>
      </c>
    </row>
    <row r="87" spans="1:17" x14ac:dyDescent="0.35">
      <c r="A87" s="80"/>
      <c r="B87" s="80"/>
      <c r="C87" s="80"/>
      <c r="D87" s="80"/>
      <c r="E87" s="80"/>
      <c r="F87" s="44" t="str">
        <f>IF($E87="","",IF(COUNTIF(O$3:O87,$O87)=COUNTIFS($O$3:$O$101,$O87),DATE(9999,12,31),INDEX($E$3:$E$101,MATCH($O87&amp;" | "&amp;TEXT(COUNTIF(O$3:O87,$O87)+1,"00"),$P$3:$P$101,0))-1))</f>
        <v/>
      </c>
      <c r="G87" s="80"/>
      <c r="H87" s="80"/>
      <c r="I87" s="80"/>
      <c r="J87" s="147"/>
      <c r="K87" s="147"/>
      <c r="L87" s="80"/>
      <c r="M87" t="str">
        <f t="shared" si="9"/>
        <v/>
      </c>
      <c r="N87" t="str">
        <f t="shared" si="7"/>
        <v/>
      </c>
      <c r="O87" t="str">
        <f t="shared" si="6"/>
        <v/>
      </c>
      <c r="P87" t="str">
        <f>IF($O87="","",$O87&amp;" | "&amp;TEXT(COUNTIF(O$3:O87,$O87),"00"))</f>
        <v/>
      </c>
      <c r="Q87" t="str">
        <f t="shared" si="8"/>
        <v/>
      </c>
    </row>
    <row r="88" spans="1:17" x14ac:dyDescent="0.35">
      <c r="A88" s="80"/>
      <c r="B88" s="80"/>
      <c r="C88" s="80"/>
      <c r="D88" s="80"/>
      <c r="E88" s="80"/>
      <c r="F88" s="44" t="str">
        <f>IF($E88="","",IF(COUNTIF(O$3:O88,$O88)=COUNTIFS($O$3:$O$101,$O88),DATE(9999,12,31),INDEX($E$3:$E$101,MATCH($O88&amp;" | "&amp;TEXT(COUNTIF(O$3:O88,$O88)+1,"00"),$P$3:$P$101,0))-1))</f>
        <v/>
      </c>
      <c r="G88" s="80"/>
      <c r="H88" s="80"/>
      <c r="I88" s="80"/>
      <c r="J88" s="147"/>
      <c r="K88" s="147"/>
      <c r="L88" s="80"/>
      <c r="M88" t="str">
        <f t="shared" si="9"/>
        <v/>
      </c>
      <c r="N88" t="str">
        <f t="shared" si="7"/>
        <v/>
      </c>
      <c r="O88" t="str">
        <f t="shared" si="6"/>
        <v/>
      </c>
      <c r="P88" t="str">
        <f>IF($O88="","",$O88&amp;" | "&amp;TEXT(COUNTIF(O$3:O88,$O88),"00"))</f>
        <v/>
      </c>
      <c r="Q88" t="str">
        <f t="shared" si="8"/>
        <v/>
      </c>
    </row>
    <row r="89" spans="1:17" x14ac:dyDescent="0.35">
      <c r="A89" s="80"/>
      <c r="B89" s="80"/>
      <c r="C89" s="80"/>
      <c r="D89" s="80"/>
      <c r="E89" s="80"/>
      <c r="F89" s="44" t="str">
        <f>IF($E89="","",IF(COUNTIF(O$3:O89,$O89)=COUNTIFS($O$3:$O$101,$O89),DATE(9999,12,31),INDEX($E$3:$E$101,MATCH($O89&amp;" | "&amp;TEXT(COUNTIF(O$3:O89,$O89)+1,"00"),$P$3:$P$101,0))-1))</f>
        <v/>
      </c>
      <c r="G89" s="80"/>
      <c r="H89" s="80"/>
      <c r="I89" s="80"/>
      <c r="J89" s="147"/>
      <c r="K89" s="147"/>
      <c r="L89" s="80"/>
      <c r="M89" t="str">
        <f t="shared" si="9"/>
        <v/>
      </c>
      <c r="N89" t="str">
        <f t="shared" si="7"/>
        <v/>
      </c>
      <c r="O89" t="str">
        <f t="shared" si="6"/>
        <v/>
      </c>
      <c r="P89" t="str">
        <f>IF($O89="","",$O89&amp;" | "&amp;TEXT(COUNTIF(O$3:O89,$O89),"00"))</f>
        <v/>
      </c>
      <c r="Q89" t="str">
        <f t="shared" si="8"/>
        <v/>
      </c>
    </row>
    <row r="90" spans="1:17" x14ac:dyDescent="0.35">
      <c r="A90" s="80"/>
      <c r="B90" s="80"/>
      <c r="C90" s="80"/>
      <c r="D90" s="80"/>
      <c r="E90" s="80"/>
      <c r="F90" s="44" t="str">
        <f>IF($E90="","",IF(COUNTIF(O$3:O90,$O90)=COUNTIFS($O$3:$O$101,$O90),DATE(9999,12,31),INDEX($E$3:$E$101,MATCH($O90&amp;" | "&amp;TEXT(COUNTIF(O$3:O90,$O90)+1,"00"),$P$3:$P$101,0))-1))</f>
        <v/>
      </c>
      <c r="G90" s="80"/>
      <c r="H90" s="80"/>
      <c r="I90" s="80"/>
      <c r="J90" s="147"/>
      <c r="K90" s="147"/>
      <c r="L90" s="80"/>
      <c r="M90" t="str">
        <f t="shared" si="9"/>
        <v/>
      </c>
      <c r="N90" t="str">
        <f t="shared" si="7"/>
        <v/>
      </c>
      <c r="O90" t="str">
        <f t="shared" si="6"/>
        <v/>
      </c>
      <c r="P90" t="str">
        <f>IF($O90="","",$O90&amp;" | "&amp;TEXT(COUNTIF(O$3:O90,$O90),"00"))</f>
        <v/>
      </c>
      <c r="Q90" t="str">
        <f t="shared" si="8"/>
        <v/>
      </c>
    </row>
    <row r="91" spans="1:17" x14ac:dyDescent="0.35">
      <c r="A91" s="80"/>
      <c r="B91" s="80"/>
      <c r="C91" s="80"/>
      <c r="D91" s="80"/>
      <c r="E91" s="80"/>
      <c r="F91" s="44" t="str">
        <f>IF($E91="","",IF(COUNTIF(O$3:O91,$O91)=COUNTIFS($O$3:$O$101,$O91),DATE(9999,12,31),INDEX($E$3:$E$101,MATCH($O91&amp;" | "&amp;TEXT(COUNTIF(O$3:O91,$O91)+1,"00"),$P$3:$P$101,0))-1))</f>
        <v/>
      </c>
      <c r="G91" s="80"/>
      <c r="H91" s="80"/>
      <c r="I91" s="80"/>
      <c r="J91" s="147"/>
      <c r="K91" s="147"/>
      <c r="L91" s="80"/>
      <c r="M91" t="str">
        <f t="shared" si="9"/>
        <v/>
      </c>
      <c r="N91" t="str">
        <f t="shared" si="7"/>
        <v/>
      </c>
      <c r="O91" t="str">
        <f t="shared" si="6"/>
        <v/>
      </c>
      <c r="P91" t="str">
        <f>IF($O91="","",$O91&amp;" | "&amp;TEXT(COUNTIF(O$3:O91,$O91),"00"))</f>
        <v/>
      </c>
      <c r="Q91" t="str">
        <f t="shared" si="8"/>
        <v/>
      </c>
    </row>
    <row r="92" spans="1:17" x14ac:dyDescent="0.35">
      <c r="A92" s="80"/>
      <c r="B92" s="80"/>
      <c r="C92" s="80"/>
      <c r="D92" s="80"/>
      <c r="E92" s="80"/>
      <c r="F92" s="44" t="str">
        <f>IF($E92="","",IF(COUNTIF(O$3:O92,$O92)=COUNTIFS($O$3:$O$101,$O92),DATE(9999,12,31),INDEX($E$3:$E$101,MATCH($O92&amp;" | "&amp;TEXT(COUNTIF(O$3:O92,$O92)+1,"00"),$P$3:$P$101,0))-1))</f>
        <v/>
      </c>
      <c r="G92" s="80"/>
      <c r="H92" s="80"/>
      <c r="I92" s="80"/>
      <c r="J92" s="147"/>
      <c r="K92" s="147"/>
      <c r="L92" s="80"/>
      <c r="M92" t="str">
        <f t="shared" si="9"/>
        <v/>
      </c>
      <c r="N92" t="str">
        <f t="shared" si="7"/>
        <v/>
      </c>
      <c r="O92" t="str">
        <f t="shared" si="6"/>
        <v/>
      </c>
      <c r="P92" t="str">
        <f>IF($O92="","",$O92&amp;" | "&amp;TEXT(COUNTIF(O$3:O92,$O92),"00"))</f>
        <v/>
      </c>
      <c r="Q92" t="str">
        <f t="shared" si="8"/>
        <v/>
      </c>
    </row>
    <row r="93" spans="1:17" x14ac:dyDescent="0.35">
      <c r="A93" s="80"/>
      <c r="B93" s="80"/>
      <c r="C93" s="80"/>
      <c r="D93" s="80"/>
      <c r="E93" s="80"/>
      <c r="F93" s="44" t="str">
        <f>IF($E93="","",IF(COUNTIF(O$3:O93,$O93)=COUNTIFS($O$3:$O$101,$O93),DATE(9999,12,31),INDEX($E$3:$E$101,MATCH($O93&amp;" | "&amp;TEXT(COUNTIF(O$3:O93,$O93)+1,"00"),$P$3:$P$101,0))-1))</f>
        <v/>
      </c>
      <c r="G93" s="80"/>
      <c r="H93" s="80"/>
      <c r="I93" s="80"/>
      <c r="J93" s="147"/>
      <c r="K93" s="147"/>
      <c r="L93" s="80"/>
      <c r="M93" t="str">
        <f t="shared" si="9"/>
        <v/>
      </c>
      <c r="N93" t="str">
        <f t="shared" si="7"/>
        <v/>
      </c>
      <c r="O93" t="str">
        <f t="shared" si="6"/>
        <v/>
      </c>
      <c r="P93" t="str">
        <f>IF($O93="","",$O93&amp;" | "&amp;TEXT(COUNTIF(O$3:O93,$O93),"00"))</f>
        <v/>
      </c>
      <c r="Q93" t="str">
        <f t="shared" si="8"/>
        <v/>
      </c>
    </row>
    <row r="94" spans="1:17" x14ac:dyDescent="0.35">
      <c r="A94" s="80"/>
      <c r="B94" s="80"/>
      <c r="C94" s="80"/>
      <c r="D94" s="80"/>
      <c r="E94" s="80"/>
      <c r="F94" s="44" t="str">
        <f>IF($E94="","",IF(COUNTIF(O$3:O94,$O94)=COUNTIFS($O$3:$O$101,$O94),DATE(9999,12,31),INDEX($E$3:$E$101,MATCH($O94&amp;" | "&amp;TEXT(COUNTIF(O$3:O94,$O94)+1,"00"),$P$3:$P$101,0))-1))</f>
        <v/>
      </c>
      <c r="G94" s="80"/>
      <c r="H94" s="80"/>
      <c r="I94" s="80"/>
      <c r="J94" s="147"/>
      <c r="K94" s="147"/>
      <c r="L94" s="80"/>
      <c r="M94" t="str">
        <f t="shared" si="9"/>
        <v/>
      </c>
      <c r="N94" t="str">
        <f t="shared" si="7"/>
        <v/>
      </c>
      <c r="O94" t="str">
        <f t="shared" si="6"/>
        <v/>
      </c>
      <c r="P94" t="str">
        <f>IF($O94="","",$O94&amp;" | "&amp;TEXT(COUNTIF(O$3:O94,$O94),"00"))</f>
        <v/>
      </c>
      <c r="Q94" t="str">
        <f t="shared" si="8"/>
        <v/>
      </c>
    </row>
    <row r="95" spans="1:17" x14ac:dyDescent="0.35">
      <c r="A95" s="80"/>
      <c r="B95" s="80"/>
      <c r="C95" s="80"/>
      <c r="D95" s="80"/>
      <c r="E95" s="80"/>
      <c r="F95" s="44" t="str">
        <f>IF($E95="","",IF(COUNTIF(O$3:O95,$O95)=COUNTIFS($O$3:$O$101,$O95),DATE(9999,12,31),INDEX($E$3:$E$101,MATCH($O95&amp;" | "&amp;TEXT(COUNTIF(O$3:O95,$O95)+1,"00"),$P$3:$P$101,0))-1))</f>
        <v/>
      </c>
      <c r="G95" s="80"/>
      <c r="H95" s="80"/>
      <c r="I95" s="80"/>
      <c r="J95" s="147"/>
      <c r="K95" s="147"/>
      <c r="L95" s="80"/>
      <c r="M95" t="str">
        <f t="shared" si="9"/>
        <v/>
      </c>
      <c r="N95" t="str">
        <f t="shared" si="7"/>
        <v/>
      </c>
      <c r="O95" t="str">
        <f t="shared" si="6"/>
        <v/>
      </c>
      <c r="P95" t="str">
        <f>IF($O95="","",$O95&amp;" | "&amp;TEXT(COUNTIF(O$3:O95,$O95),"00"))</f>
        <v/>
      </c>
      <c r="Q95" t="str">
        <f t="shared" si="8"/>
        <v/>
      </c>
    </row>
    <row r="96" spans="1:17" x14ac:dyDescent="0.35">
      <c r="A96" s="80"/>
      <c r="B96" s="80"/>
      <c r="C96" s="80"/>
      <c r="D96" s="80"/>
      <c r="E96" s="80"/>
      <c r="F96" s="44" t="str">
        <f>IF($E96="","",IF(COUNTIF(O$3:O96,$O96)=COUNTIFS($O$3:$O$101,$O96),DATE(9999,12,31),INDEX($E$3:$E$101,MATCH($O96&amp;" | "&amp;TEXT(COUNTIF(O$3:O96,$O96)+1,"00"),$P$3:$P$101,0))-1))</f>
        <v/>
      </c>
      <c r="G96" s="80"/>
      <c r="H96" s="80"/>
      <c r="I96" s="80"/>
      <c r="J96" s="147"/>
      <c r="K96" s="147"/>
      <c r="L96" s="80"/>
      <c r="M96" t="str">
        <f t="shared" si="9"/>
        <v/>
      </c>
      <c r="N96" t="str">
        <f t="shared" si="7"/>
        <v/>
      </c>
      <c r="O96" t="str">
        <f t="shared" si="6"/>
        <v/>
      </c>
      <c r="P96" t="str">
        <f>IF($O96="","",$O96&amp;" | "&amp;TEXT(COUNTIF(O$3:O96,$O96),"00"))</f>
        <v/>
      </c>
      <c r="Q96" t="str">
        <f t="shared" si="8"/>
        <v/>
      </c>
    </row>
    <row r="97" spans="1:17" x14ac:dyDescent="0.35">
      <c r="A97" s="80"/>
      <c r="B97" s="80"/>
      <c r="C97" s="80"/>
      <c r="D97" s="80"/>
      <c r="E97" s="80"/>
      <c r="F97" s="44" t="str">
        <f>IF($E97="","",IF(COUNTIF(O$3:O97,$O97)=COUNTIFS($O$3:$O$101,$O97),DATE(9999,12,31),INDEX($E$3:$E$101,MATCH($O97&amp;" | "&amp;TEXT(COUNTIF(O$3:O97,$O97)+1,"00"),$P$3:$P$101,0))-1))</f>
        <v/>
      </c>
      <c r="G97" s="80"/>
      <c r="H97" s="80"/>
      <c r="I97" s="80"/>
      <c r="J97" s="147"/>
      <c r="K97" s="147"/>
      <c r="L97" s="80"/>
      <c r="M97" t="str">
        <f t="shared" si="9"/>
        <v/>
      </c>
      <c r="N97" t="str">
        <f t="shared" si="7"/>
        <v/>
      </c>
      <c r="O97" t="str">
        <f t="shared" si="6"/>
        <v/>
      </c>
      <c r="P97" t="str">
        <f>IF($O97="","",$O97&amp;" | "&amp;TEXT(COUNTIF(O$3:O97,$O97),"00"))</f>
        <v/>
      </c>
      <c r="Q97" t="str">
        <f t="shared" si="8"/>
        <v/>
      </c>
    </row>
    <row r="98" spans="1:17" x14ac:dyDescent="0.35">
      <c r="A98" s="80"/>
      <c r="B98" s="80"/>
      <c r="C98" s="80"/>
      <c r="D98" s="80"/>
      <c r="E98" s="80"/>
      <c r="F98" s="44" t="str">
        <f>IF($E98="","",IF(COUNTIF(O$3:O98,$O98)=COUNTIFS($O$3:$O$101,$O98),DATE(9999,12,31),INDEX($E$3:$E$101,MATCH($O98&amp;" | "&amp;TEXT(COUNTIF(O$3:O98,$O98)+1,"00"),$P$3:$P$101,0))-1))</f>
        <v/>
      </c>
      <c r="G98" s="80"/>
      <c r="H98" s="80"/>
      <c r="I98" s="80"/>
      <c r="J98" s="147"/>
      <c r="K98" s="147"/>
      <c r="L98" s="80"/>
      <c r="M98" t="str">
        <f t="shared" si="9"/>
        <v/>
      </c>
      <c r="N98" t="str">
        <f t="shared" si="7"/>
        <v/>
      </c>
      <c r="O98" t="str">
        <f t="shared" si="6"/>
        <v/>
      </c>
      <c r="P98" t="str">
        <f>IF($O98="","",$O98&amp;" | "&amp;TEXT(COUNTIF(O$3:O98,$O98),"00"))</f>
        <v/>
      </c>
      <c r="Q98" t="str">
        <f t="shared" si="8"/>
        <v/>
      </c>
    </row>
    <row r="99" spans="1:17" x14ac:dyDescent="0.35">
      <c r="A99" s="80"/>
      <c r="B99" s="80"/>
      <c r="C99" s="80"/>
      <c r="D99" s="80"/>
      <c r="E99" s="80"/>
      <c r="F99" s="44" t="str">
        <f>IF($E99="","",IF(COUNTIF(O$3:O99,$O99)=COUNTIFS($O$3:$O$101,$O99),DATE(9999,12,31),INDEX($E$3:$E$101,MATCH($O99&amp;" | "&amp;TEXT(COUNTIF(O$3:O99,$O99)+1,"00"),$P$3:$P$101,0))-1))</f>
        <v/>
      </c>
      <c r="G99" s="80"/>
      <c r="H99" s="80"/>
      <c r="I99" s="80"/>
      <c r="J99" s="147"/>
      <c r="K99" s="147"/>
      <c r="L99" s="80"/>
      <c r="M99" t="str">
        <f t="shared" si="9"/>
        <v/>
      </c>
      <c r="N99" t="str">
        <f t="shared" si="7"/>
        <v/>
      </c>
      <c r="O99" t="str">
        <f t="shared" si="6"/>
        <v/>
      </c>
      <c r="P99" t="str">
        <f>IF($O99="","",$O99&amp;" | "&amp;TEXT(COUNTIF(O$3:O99,$O99),"00"))</f>
        <v/>
      </c>
      <c r="Q99" t="str">
        <f t="shared" si="8"/>
        <v/>
      </c>
    </row>
    <row r="100" spans="1:17" x14ac:dyDescent="0.35">
      <c r="A100" s="80"/>
      <c r="B100" s="80"/>
      <c r="C100" s="80"/>
      <c r="D100" s="80"/>
      <c r="E100" s="80"/>
      <c r="F100" s="44" t="str">
        <f>IF($E100="","",IF(COUNTIF(O$3:O100,$O100)=COUNTIFS($O$3:$O$101,$O100),DATE(9999,12,31),INDEX($E$3:$E$101,MATCH($O100&amp;" | "&amp;TEXT(COUNTIF(O$3:O100,$O100)+1,"00"),$P$3:$P$101,0))-1))</f>
        <v/>
      </c>
      <c r="G100" s="80"/>
      <c r="H100" s="80"/>
      <c r="I100" s="80"/>
      <c r="J100" s="147"/>
      <c r="K100" s="147"/>
      <c r="L100" s="80"/>
      <c r="M100" t="str">
        <f t="shared" si="9"/>
        <v/>
      </c>
      <c r="N100" t="str">
        <f t="shared" si="7"/>
        <v/>
      </c>
      <c r="O100" t="str">
        <f t="shared" si="6"/>
        <v/>
      </c>
      <c r="P100" t="str">
        <f>IF($O100="","",$O100&amp;" | "&amp;TEXT(COUNTIF(O$3:O100,$O100),"00"))</f>
        <v/>
      </c>
      <c r="Q100" t="str">
        <f t="shared" si="8"/>
        <v/>
      </c>
    </row>
    <row r="101" spans="1:17" ht="15" thickBot="1" x14ac:dyDescent="0.4">
      <c r="A101" s="80"/>
      <c r="B101" s="80"/>
      <c r="C101" s="80"/>
      <c r="D101" s="80"/>
      <c r="E101" s="80"/>
      <c r="F101" s="44" t="str">
        <f>IF($E101="","",IF(COUNTIF(O$3:O101,$O101)=COUNTIFS($O$3:$O$101,$O101),DATE(9999,12,31),INDEX($E$3:$E$101,MATCH($O101&amp;" | "&amp;TEXT(COUNTIF(O$3:O101,$O101)+1,"00"),$P$3:$P$101,0))-1))</f>
        <v/>
      </c>
      <c r="G101" s="80"/>
      <c r="H101" s="80"/>
      <c r="I101" s="80"/>
      <c r="J101" s="147"/>
      <c r="K101" s="147"/>
      <c r="L101" s="80"/>
      <c r="M101" t="str">
        <f t="shared" si="9"/>
        <v/>
      </c>
      <c r="N101" t="str">
        <f t="shared" si="7"/>
        <v/>
      </c>
      <c r="O101" t="str">
        <f t="shared" si="6"/>
        <v/>
      </c>
      <c r="P101" t="str">
        <f>IF($O101="","",$O101&amp;" | "&amp;TEXT(COUNTIF(O$3:O101,$O101),"00"))</f>
        <v/>
      </c>
      <c r="Q101" t="str">
        <f t="shared" si="8"/>
        <v/>
      </c>
    </row>
    <row r="102" spans="1:17" s="7" customFormat="1" x14ac:dyDescent="0.35"/>
  </sheetData>
  <autoFilter ref="A2:Q101" xr:uid="{2B1AA026-BC32-4724-82BD-F84FBBA20123}"/>
  <conditionalFormatting sqref="Q3:Q101">
    <cfRule type="duplicateValues" dxfId="0" priority="9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0D08A-F3C6-475A-AD0D-1F517963D629}">
  <dimension ref="A1"/>
  <sheetViews>
    <sheetView workbookViewId="0">
      <selection activeCell="AB74" sqref="AB74"/>
    </sheetView>
  </sheetViews>
  <sheetFormatPr defaultRowHeight="14.5" x14ac:dyDescent="0.3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09842-95B6-45C5-9E52-75385DE96983}">
  <dimension ref="B1:L14"/>
  <sheetViews>
    <sheetView showGridLines="0" zoomScale="175" zoomScaleNormal="175" workbookViewId="0">
      <pane xSplit="3" ySplit="3" topLeftCell="D4" activePane="bottomRight" state="frozen"/>
      <selection activeCell="AB74" sqref="AB74"/>
      <selection pane="topRight" activeCell="AB74" sqref="AB74"/>
      <selection pane="bottomLeft" activeCell="AB74" sqref="AB74"/>
      <selection pane="bottomRight" activeCell="E8" sqref="E8"/>
    </sheetView>
  </sheetViews>
  <sheetFormatPr defaultRowHeight="14.5" x14ac:dyDescent="0.35"/>
  <cols>
    <col min="1" max="1" width="0.83203125" customWidth="1"/>
    <col min="2" max="2" width="21.08203125" bestFit="1" customWidth="1"/>
    <col min="3" max="3" width="0.58203125" customWidth="1"/>
    <col min="4" max="5" width="11.33203125" customWidth="1"/>
    <col min="6" max="6" width="13.33203125" customWidth="1"/>
    <col min="8" max="8" width="0.58203125" customWidth="1"/>
  </cols>
  <sheetData>
    <row r="1" spans="2:12" x14ac:dyDescent="0.35">
      <c r="B1" s="272"/>
    </row>
    <row r="2" spans="2:12" x14ac:dyDescent="0.35">
      <c r="D2" s="111" t="s">
        <v>180</v>
      </c>
      <c r="E2" s="111"/>
      <c r="F2" s="111"/>
      <c r="G2" s="111"/>
      <c r="I2" s="123" t="s">
        <v>181</v>
      </c>
      <c r="J2" s="123"/>
      <c r="K2" s="123"/>
      <c r="L2" s="123"/>
    </row>
    <row r="3" spans="2:12" x14ac:dyDescent="0.35">
      <c r="D3" s="110" t="s">
        <v>182</v>
      </c>
      <c r="E3" s="110" t="s">
        <v>183</v>
      </c>
      <c r="F3" s="112" t="s">
        <v>53</v>
      </c>
      <c r="G3" s="112"/>
      <c r="I3" s="124" t="s">
        <v>182</v>
      </c>
      <c r="J3" s="124" t="s">
        <v>183</v>
      </c>
      <c r="K3" s="125" t="s">
        <v>53</v>
      </c>
      <c r="L3" s="125"/>
    </row>
    <row r="4" spans="2:12" s="69" customFormat="1" x14ac:dyDescent="0.35">
      <c r="B4" s="69" t="s">
        <v>184</v>
      </c>
      <c r="D4" s="69" t="s">
        <v>185</v>
      </c>
      <c r="I4" s="69" t="s">
        <v>185</v>
      </c>
    </row>
    <row r="5" spans="2:12" x14ac:dyDescent="0.35">
      <c r="B5" s="113" t="s">
        <v>186</v>
      </c>
      <c r="D5" s="114">
        <v>3000</v>
      </c>
      <c r="E5" s="114">
        <v>4000</v>
      </c>
      <c r="F5" s="115">
        <v>10</v>
      </c>
      <c r="G5" s="116" t="s">
        <v>187</v>
      </c>
      <c r="I5" s="114">
        <v>3000</v>
      </c>
      <c r="J5" s="114">
        <v>4000</v>
      </c>
      <c r="K5" s="117">
        <v>5.0000000000000001E-3</v>
      </c>
      <c r="L5" s="113" t="s">
        <v>188</v>
      </c>
    </row>
    <row r="6" spans="2:12" x14ac:dyDescent="0.35">
      <c r="B6" s="113" t="s">
        <v>189</v>
      </c>
      <c r="D6" s="114">
        <v>4000</v>
      </c>
      <c r="E6" s="114">
        <v>5000</v>
      </c>
      <c r="F6" s="117">
        <v>1.4999999999999999E-2</v>
      </c>
      <c r="G6" s="113" t="s">
        <v>188</v>
      </c>
      <c r="I6" s="114">
        <v>4000</v>
      </c>
      <c r="J6" s="114">
        <v>5000</v>
      </c>
      <c r="K6" s="117">
        <v>0.01</v>
      </c>
      <c r="L6" s="113" t="s">
        <v>188</v>
      </c>
    </row>
    <row r="7" spans="2:12" x14ac:dyDescent="0.35">
      <c r="B7" s="113" t="s">
        <v>190</v>
      </c>
      <c r="D7" s="114">
        <v>5000</v>
      </c>
      <c r="E7" s="114">
        <v>6000</v>
      </c>
      <c r="F7" s="117">
        <v>0.02</v>
      </c>
      <c r="G7" s="113" t="s">
        <v>188</v>
      </c>
      <c r="I7" s="114">
        <v>5000</v>
      </c>
      <c r="J7" s="114">
        <v>6000</v>
      </c>
      <c r="K7" s="117">
        <v>1.4999999999999999E-2</v>
      </c>
      <c r="L7" s="113"/>
    </row>
    <row r="8" spans="2:12" x14ac:dyDescent="0.35">
      <c r="B8" s="113" t="s">
        <v>191</v>
      </c>
      <c r="D8" s="114">
        <v>6000</v>
      </c>
      <c r="E8" s="114">
        <v>8000</v>
      </c>
      <c r="F8" s="117">
        <v>2.5000000000000001E-2</v>
      </c>
      <c r="G8" s="113" t="s">
        <v>188</v>
      </c>
      <c r="I8" s="114">
        <v>6000</v>
      </c>
      <c r="J8" s="114">
        <v>7000</v>
      </c>
      <c r="K8" s="117">
        <v>0.05</v>
      </c>
      <c r="L8" s="113" t="s">
        <v>188</v>
      </c>
    </row>
    <row r="9" spans="2:12" x14ac:dyDescent="0.35">
      <c r="B9" s="113" t="s">
        <v>192</v>
      </c>
      <c r="D9" s="114">
        <v>8000</v>
      </c>
      <c r="E9" s="114">
        <v>10000</v>
      </c>
      <c r="F9" s="117">
        <v>2.5000000000000001E-2</v>
      </c>
      <c r="G9" s="113" t="s">
        <v>188</v>
      </c>
      <c r="I9" s="114">
        <v>7000</v>
      </c>
      <c r="J9" s="114" t="s">
        <v>193</v>
      </c>
      <c r="K9" s="117">
        <v>5.5E-2</v>
      </c>
      <c r="L9" s="113" t="s">
        <v>188</v>
      </c>
    </row>
    <row r="10" spans="2:12" x14ac:dyDescent="0.35">
      <c r="B10" s="113" t="s">
        <v>194</v>
      </c>
      <c r="D10" s="114">
        <v>10000</v>
      </c>
      <c r="E10" s="114" t="s">
        <v>193</v>
      </c>
      <c r="F10" s="117">
        <v>2.5000000000000001E-2</v>
      </c>
      <c r="G10" s="113" t="s">
        <v>188</v>
      </c>
      <c r="I10" s="114"/>
      <c r="J10" s="114"/>
      <c r="K10" s="117"/>
      <c r="L10" s="113"/>
    </row>
    <row r="11" spans="2:12" x14ac:dyDescent="0.35">
      <c r="D11" s="118"/>
      <c r="E11" s="118"/>
      <c r="F11" s="119"/>
      <c r="I11" s="118"/>
      <c r="K11" s="119"/>
    </row>
    <row r="12" spans="2:12" s="1" customFormat="1" x14ac:dyDescent="0.35">
      <c r="B12" s="41" t="s">
        <v>195</v>
      </c>
      <c r="C12"/>
      <c r="D12" s="120">
        <v>2326.4</v>
      </c>
      <c r="E12" s="41" t="s">
        <v>196</v>
      </c>
      <c r="H12"/>
      <c r="I12" s="120"/>
      <c r="J12" s="41"/>
    </row>
    <row r="13" spans="2:12" x14ac:dyDescent="0.35">
      <c r="B13" s="22" t="s">
        <v>197</v>
      </c>
      <c r="D13" s="22"/>
      <c r="E13" s="22"/>
      <c r="F13" t="s">
        <v>198</v>
      </c>
      <c r="I13" s="22"/>
      <c r="J13" s="22"/>
    </row>
    <row r="14" spans="2:12" s="122" customFormat="1" x14ac:dyDescent="0.35">
      <c r="B14" s="121" t="s">
        <v>199</v>
      </c>
      <c r="D14" s="141">
        <v>10</v>
      </c>
      <c r="E14" s="121" t="s">
        <v>187</v>
      </c>
      <c r="F14" s="122" t="s">
        <v>200</v>
      </c>
      <c r="I14" s="142">
        <v>0.05</v>
      </c>
      <c r="J14" s="121" t="s">
        <v>188</v>
      </c>
    </row>
  </sheetData>
  <dataValidations disablePrompts="1" count="1">
    <dataValidation type="list" allowBlank="1" showInputMessage="1" showErrorMessage="1" sqref="E14 J14" xr:uid="{A5B00513-A575-4C5A-94EA-0FCAD42E06AB}">
      <formula1>$G$5:$G$10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3EBA8-0C9A-44D9-8204-78DAEC0397F9}">
  <dimension ref="A2:E11"/>
  <sheetViews>
    <sheetView showGridLines="0" zoomScale="295" zoomScaleNormal="295" workbookViewId="0">
      <selection activeCell="C9" sqref="C9"/>
    </sheetView>
  </sheetViews>
  <sheetFormatPr defaultRowHeight="14.5" x14ac:dyDescent="0.35"/>
  <cols>
    <col min="1" max="1" width="7.25" customWidth="1"/>
    <col min="2" max="2" width="9.5" bestFit="1" customWidth="1"/>
  </cols>
  <sheetData>
    <row r="2" spans="1:5" x14ac:dyDescent="0.35">
      <c r="A2" t="e" vm="1">
        <v>#VALUE!</v>
      </c>
      <c r="B2" t="s">
        <v>354</v>
      </c>
      <c r="C2" t="s">
        <v>398</v>
      </c>
      <c r="D2" s="413"/>
    </row>
    <row r="3" spans="1:5" x14ac:dyDescent="0.35">
      <c r="A3" t="e" vm="2">
        <v>#VALUE!</v>
      </c>
      <c r="B3" t="s">
        <v>397</v>
      </c>
      <c r="C3" t="s">
        <v>396</v>
      </c>
      <c r="D3" s="412"/>
    </row>
    <row r="4" spans="1:5" x14ac:dyDescent="0.35">
      <c r="A4" t="e" vm="3">
        <v>#VALUE!</v>
      </c>
      <c r="B4" t="s">
        <v>355</v>
      </c>
      <c r="C4" t="s">
        <v>399</v>
      </c>
      <c r="D4" s="414"/>
    </row>
    <row r="5" spans="1:5" x14ac:dyDescent="0.35">
      <c r="A5" t="e" vm="4">
        <v>#VALUE!</v>
      </c>
      <c r="B5" t="s">
        <v>400</v>
      </c>
      <c r="C5" t="s">
        <v>401</v>
      </c>
      <c r="D5" s="415"/>
    </row>
    <row r="6" spans="1:5" x14ac:dyDescent="0.35">
      <c r="A6" t="e" vm="5">
        <v>#VALUE!</v>
      </c>
      <c r="B6" t="s">
        <v>402</v>
      </c>
      <c r="C6" t="s">
        <v>403</v>
      </c>
      <c r="D6" s="416"/>
      <c r="E6" t="s">
        <v>404</v>
      </c>
    </row>
    <row r="7" spans="1:5" x14ac:dyDescent="0.35">
      <c r="C7" t="s">
        <v>405</v>
      </c>
      <c r="D7" s="417"/>
    </row>
    <row r="8" spans="1:5" x14ac:dyDescent="0.35">
      <c r="A8" t="e" vm="6">
        <v>#VALUE!</v>
      </c>
      <c r="B8" t="s">
        <v>442</v>
      </c>
      <c r="C8" t="s">
        <v>445</v>
      </c>
      <c r="D8" s="442"/>
      <c r="E8" t="s">
        <v>404</v>
      </c>
    </row>
    <row r="9" spans="1:5" x14ac:dyDescent="0.35">
      <c r="C9" t="s">
        <v>446</v>
      </c>
      <c r="D9" s="443"/>
    </row>
    <row r="11" spans="1:5" x14ac:dyDescent="0.35">
      <c r="C11" t="s">
        <v>453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13E42-BB0E-412D-A4FB-1A66F96BD3AF}">
  <dimension ref="A1:Y8"/>
  <sheetViews>
    <sheetView showGridLines="0" zoomScaleNormal="100" workbookViewId="0">
      <pane xSplit="1" ySplit="2" topLeftCell="D24" activePane="bottomRight" state="frozen"/>
      <selection pane="topRight" activeCell="B1" sqref="B1"/>
      <selection pane="bottomLeft" activeCell="A3" sqref="A3"/>
      <selection pane="bottomRight" activeCell="B3" sqref="B3:M3"/>
    </sheetView>
  </sheetViews>
  <sheetFormatPr defaultRowHeight="14.5" x14ac:dyDescent="0.35"/>
  <cols>
    <col min="1" max="1" width="20.33203125" bestFit="1" customWidth="1"/>
  </cols>
  <sheetData>
    <row r="1" spans="1:25" x14ac:dyDescent="0.35">
      <c r="A1" s="493" t="s">
        <v>449</v>
      </c>
      <c r="B1" s="444">
        <v>2024</v>
      </c>
      <c r="C1" s="444"/>
      <c r="D1" s="444"/>
      <c r="E1" s="444"/>
      <c r="F1" s="444"/>
      <c r="G1" s="444"/>
      <c r="H1" s="444"/>
      <c r="I1" s="444"/>
      <c r="J1" s="444"/>
      <c r="K1" s="444"/>
      <c r="L1" s="444"/>
      <c r="M1" s="444"/>
      <c r="N1" s="444">
        <v>2025</v>
      </c>
      <c r="O1" s="444"/>
      <c r="P1" s="444"/>
      <c r="Q1" s="444"/>
      <c r="R1" s="444"/>
      <c r="S1" s="444"/>
      <c r="T1" s="444"/>
      <c r="U1" s="444"/>
      <c r="V1" s="444"/>
      <c r="W1" s="444"/>
      <c r="X1" s="444"/>
      <c r="Y1" s="444"/>
    </row>
    <row r="2" spans="1:25" x14ac:dyDescent="0.35">
      <c r="A2" s="493"/>
      <c r="B2" s="445">
        <v>1</v>
      </c>
      <c r="C2" s="445">
        <v>2</v>
      </c>
      <c r="D2" s="445">
        <v>3</v>
      </c>
      <c r="E2" s="445">
        <v>4</v>
      </c>
      <c r="F2" s="445">
        <v>5</v>
      </c>
      <c r="G2" s="445">
        <v>6</v>
      </c>
      <c r="H2" s="445">
        <v>7</v>
      </c>
      <c r="I2" s="445">
        <v>8</v>
      </c>
      <c r="J2" s="445">
        <v>9</v>
      </c>
      <c r="K2" s="445">
        <v>10</v>
      </c>
      <c r="L2" s="445">
        <v>11</v>
      </c>
      <c r="M2" s="445">
        <v>12</v>
      </c>
      <c r="N2" s="445">
        <v>1</v>
      </c>
      <c r="O2" s="445">
        <v>2</v>
      </c>
      <c r="P2" s="445">
        <v>3</v>
      </c>
      <c r="Q2" s="445">
        <v>4</v>
      </c>
      <c r="R2" s="445">
        <v>5</v>
      </c>
      <c r="S2" s="445">
        <v>6</v>
      </c>
      <c r="T2" s="445">
        <v>7</v>
      </c>
      <c r="U2" s="445">
        <v>8</v>
      </c>
      <c r="V2" s="445">
        <v>9</v>
      </c>
      <c r="W2" s="445">
        <v>10</v>
      </c>
      <c r="X2" s="445">
        <v>11</v>
      </c>
      <c r="Y2" s="445">
        <v>12</v>
      </c>
    </row>
    <row r="3" spans="1:25" x14ac:dyDescent="0.35">
      <c r="A3" s="446" t="s">
        <v>447</v>
      </c>
      <c r="B3" s="447">
        <v>1179.0254440971974</v>
      </c>
      <c r="C3" s="447">
        <v>1230.0816716361576</v>
      </c>
      <c r="D3" s="447">
        <v>1221.9587166403103</v>
      </c>
      <c r="E3" s="447">
        <v>1194.3278932717662</v>
      </c>
      <c r="F3" s="447">
        <v>1202.1932537357618</v>
      </c>
      <c r="G3" s="447">
        <v>1239.583018303907</v>
      </c>
      <c r="H3" s="447">
        <v>1189.2092848334682</v>
      </c>
      <c r="I3" s="447">
        <v>1202.9857762533029</v>
      </c>
      <c r="J3" s="447">
        <v>1213.3065569793025</v>
      </c>
      <c r="K3" s="447">
        <v>1227.8743131207696</v>
      </c>
      <c r="L3" s="447">
        <v>1316.8526409588117</v>
      </c>
      <c r="M3" s="447">
        <v>1311.4106423154785</v>
      </c>
      <c r="N3" s="447">
        <v>1223.3919441021076</v>
      </c>
      <c r="O3" s="447">
        <v>1265.1063292133072</v>
      </c>
      <c r="P3" s="447">
        <v>1239.3102075906247</v>
      </c>
      <c r="Q3" s="447">
        <v>1233.3450388163023</v>
      </c>
      <c r="R3" s="447">
        <v>1248.2135659635057</v>
      </c>
      <c r="S3" s="447">
        <v>1226.2639665678107</v>
      </c>
      <c r="T3" s="447">
        <v>1207.0050726030747</v>
      </c>
      <c r="U3" s="447">
        <v>1225.7363795831056</v>
      </c>
      <c r="V3" s="447">
        <v>1214.1843397870807</v>
      </c>
      <c r="W3" s="447">
        <v>1217.0919568932345</v>
      </c>
      <c r="X3" s="447">
        <v>1223.5265814527734</v>
      </c>
      <c r="Y3" s="447">
        <v>1241.2786057654266</v>
      </c>
    </row>
    <row r="4" spans="1:25" x14ac:dyDescent="0.35">
      <c r="A4" s="8" t="s">
        <v>448</v>
      </c>
      <c r="B4" s="33">
        <v>1180.9667866323907</v>
      </c>
      <c r="C4" s="33">
        <v>1199.7013809910641</v>
      </c>
      <c r="D4" s="33">
        <v>1179.0985801217037</v>
      </c>
      <c r="E4" s="33">
        <v>1200.4389513108613</v>
      </c>
      <c r="F4" s="33">
        <v>1207.9269681742044</v>
      </c>
      <c r="G4" s="33">
        <v>1204.3674796747966</v>
      </c>
      <c r="H4" s="33">
        <v>1254.6012676056339</v>
      </c>
      <c r="I4" s="33">
        <v>1259.3826199740597</v>
      </c>
      <c r="J4" s="33">
        <v>1263.7258939893484</v>
      </c>
      <c r="K4" s="33">
        <v>1274.3542384562372</v>
      </c>
      <c r="L4" s="33">
        <v>1261.3793019282402</v>
      </c>
      <c r="M4" s="33">
        <v>1262.2590667311413</v>
      </c>
      <c r="N4" s="33">
        <v>1262.3936634028478</v>
      </c>
      <c r="O4" s="33">
        <v>1262.4865162143126</v>
      </c>
      <c r="P4" s="33">
        <v>1281.4274794843393</v>
      </c>
      <c r="Q4" s="33">
        <v>1277.287898512589</v>
      </c>
      <c r="R4" s="33">
        <v>1278.1904921580881</v>
      </c>
      <c r="S4" s="33">
        <v>1269.824865003445</v>
      </c>
      <c r="T4" s="33">
        <v>1291.0692763217255</v>
      </c>
      <c r="U4" s="33">
        <v>1312.723643450312</v>
      </c>
      <c r="V4" s="33">
        <v>1305.6954905040463</v>
      </c>
      <c r="W4" s="33">
        <v>1308.2516255567853</v>
      </c>
      <c r="X4" s="33">
        <v>1318.955257049731</v>
      </c>
      <c r="Y4" s="33">
        <v>1313.8679149899906</v>
      </c>
    </row>
    <row r="5" spans="1:25" x14ac:dyDescent="0.35">
      <c r="A5" s="8" t="s">
        <v>11</v>
      </c>
      <c r="B5" s="33">
        <v>930</v>
      </c>
      <c r="C5" s="33">
        <v>943.33333333333337</v>
      </c>
      <c r="D5" s="33">
        <v>940</v>
      </c>
      <c r="E5" s="33">
        <v>940</v>
      </c>
      <c r="F5" s="33">
        <v>942</v>
      </c>
      <c r="G5" s="33">
        <v>950</v>
      </c>
      <c r="H5" s="33">
        <v>947.5</v>
      </c>
      <c r="I5" s="33">
        <v>930</v>
      </c>
      <c r="J5" s="33">
        <v>880</v>
      </c>
      <c r="K5" s="33">
        <v>862.5</v>
      </c>
      <c r="L5" s="33">
        <v>852</v>
      </c>
      <c r="M5" s="33">
        <v>830</v>
      </c>
      <c r="N5" s="33">
        <v>828</v>
      </c>
      <c r="O5" s="33">
        <v>840</v>
      </c>
      <c r="P5" s="33">
        <v>823</v>
      </c>
      <c r="Q5" s="33">
        <v>765</v>
      </c>
      <c r="R5" s="33">
        <v>782</v>
      </c>
      <c r="S5" s="33">
        <v>807.5</v>
      </c>
      <c r="T5" s="33">
        <v>802</v>
      </c>
      <c r="U5" s="33">
        <v>795</v>
      </c>
      <c r="V5" s="33">
        <v>783</v>
      </c>
      <c r="W5" s="33">
        <v>772</v>
      </c>
      <c r="X5" s="33">
        <v>770</v>
      </c>
      <c r="Y5" s="33">
        <v>773</v>
      </c>
    </row>
    <row r="6" spans="1:25" x14ac:dyDescent="0.35">
      <c r="A6" s="449" t="s">
        <v>450</v>
      </c>
      <c r="B6" s="448">
        <f>B3-B5</f>
        <v>249.02544409719735</v>
      </c>
      <c r="C6" s="448">
        <f t="shared" ref="C6:Y6" si="0">C3-C5</f>
        <v>286.74833830282421</v>
      </c>
      <c r="D6" s="448">
        <f t="shared" si="0"/>
        <v>281.95871664031029</v>
      </c>
      <c r="E6" s="448">
        <f t="shared" si="0"/>
        <v>254.32789327176624</v>
      </c>
      <c r="F6" s="448">
        <f t="shared" si="0"/>
        <v>260.1932537357618</v>
      </c>
      <c r="G6" s="448">
        <f t="shared" si="0"/>
        <v>289.58301830390701</v>
      </c>
      <c r="H6" s="448">
        <f t="shared" si="0"/>
        <v>241.70928483346825</v>
      </c>
      <c r="I6" s="448">
        <f t="shared" si="0"/>
        <v>272.9857762533029</v>
      </c>
      <c r="J6" s="448">
        <f t="shared" si="0"/>
        <v>333.30655697930251</v>
      </c>
      <c r="K6" s="448">
        <f t="shared" si="0"/>
        <v>365.37431312076956</v>
      </c>
      <c r="L6" s="448">
        <f t="shared" si="0"/>
        <v>464.85264095881166</v>
      </c>
      <c r="M6" s="448">
        <f t="shared" si="0"/>
        <v>481.41064231547853</v>
      </c>
      <c r="N6" s="448">
        <f t="shared" si="0"/>
        <v>395.39194410210757</v>
      </c>
      <c r="O6" s="448">
        <f t="shared" si="0"/>
        <v>425.10632921330716</v>
      </c>
      <c r="P6" s="448">
        <f t="shared" si="0"/>
        <v>416.31020759062471</v>
      </c>
      <c r="Q6" s="448">
        <f t="shared" si="0"/>
        <v>468.34503881630235</v>
      </c>
      <c r="R6" s="448">
        <f t="shared" si="0"/>
        <v>466.21356596350574</v>
      </c>
      <c r="S6" s="448">
        <f t="shared" si="0"/>
        <v>418.76396656781071</v>
      </c>
      <c r="T6" s="448">
        <f t="shared" si="0"/>
        <v>405.00507260307472</v>
      </c>
      <c r="U6" s="448">
        <f t="shared" si="0"/>
        <v>430.73637958310564</v>
      </c>
      <c r="V6" s="448">
        <f t="shared" si="0"/>
        <v>431.18433978708072</v>
      </c>
      <c r="W6" s="448">
        <f t="shared" si="0"/>
        <v>445.09195689323451</v>
      </c>
      <c r="X6" s="448">
        <f t="shared" si="0"/>
        <v>453.52658145277337</v>
      </c>
      <c r="Y6" s="448">
        <f t="shared" si="0"/>
        <v>468.27860576542662</v>
      </c>
    </row>
    <row r="7" spans="1:25" x14ac:dyDescent="0.35">
      <c r="A7" s="449" t="s">
        <v>452</v>
      </c>
      <c r="B7" s="450">
        <f>IFERROR(B6/B5,0)</f>
        <v>0.26776929472816918</v>
      </c>
      <c r="C7" s="450">
        <f t="shared" ref="C7:Y7" si="1">IFERROR(C6/C5,0)</f>
        <v>0.30397350350122704</v>
      </c>
      <c r="D7" s="450">
        <f t="shared" si="1"/>
        <v>0.29995608153224501</v>
      </c>
      <c r="E7" s="450">
        <f t="shared" si="1"/>
        <v>0.27056158858698537</v>
      </c>
      <c r="F7" s="450">
        <f t="shared" si="1"/>
        <v>0.27621364515473651</v>
      </c>
      <c r="G7" s="450">
        <f t="shared" si="1"/>
        <v>0.30482422979358631</v>
      </c>
      <c r="H7" s="450">
        <f t="shared" si="1"/>
        <v>0.25510214758149685</v>
      </c>
      <c r="I7" s="450">
        <f t="shared" si="1"/>
        <v>0.293533092745487</v>
      </c>
      <c r="J7" s="450">
        <f t="shared" si="1"/>
        <v>0.37875745111284376</v>
      </c>
      <c r="K7" s="450">
        <f t="shared" si="1"/>
        <v>0.42362239202408064</v>
      </c>
      <c r="L7" s="450">
        <f t="shared" si="1"/>
        <v>0.54560169126621083</v>
      </c>
      <c r="M7" s="450">
        <f t="shared" si="1"/>
        <v>0.58001282206684157</v>
      </c>
      <c r="N7" s="450">
        <f t="shared" si="1"/>
        <v>0.47752650253877726</v>
      </c>
      <c r="O7" s="450">
        <f t="shared" si="1"/>
        <v>0.50607896334917524</v>
      </c>
      <c r="P7" s="450">
        <f t="shared" si="1"/>
        <v>0.50584472368241151</v>
      </c>
      <c r="Q7" s="450">
        <f t="shared" si="1"/>
        <v>0.61221573701477427</v>
      </c>
      <c r="R7" s="450">
        <f t="shared" si="1"/>
        <v>0.59618103064386929</v>
      </c>
      <c r="S7" s="450">
        <f t="shared" si="1"/>
        <v>0.51859314745239715</v>
      </c>
      <c r="T7" s="450">
        <f t="shared" si="1"/>
        <v>0.50499385611355951</v>
      </c>
      <c r="U7" s="450">
        <f t="shared" si="1"/>
        <v>0.5418067667712021</v>
      </c>
      <c r="V7" s="450">
        <f t="shared" si="1"/>
        <v>0.55068242629256792</v>
      </c>
      <c r="W7" s="450">
        <f t="shared" si="1"/>
        <v>0.57654398561299802</v>
      </c>
      <c r="X7" s="450">
        <f t="shared" si="1"/>
        <v>0.58899556032827716</v>
      </c>
      <c r="Y7" s="450">
        <f t="shared" si="1"/>
        <v>0.6057937978854161</v>
      </c>
    </row>
    <row r="8" spans="1:25" x14ac:dyDescent="0.35">
      <c r="A8" t="s">
        <v>451</v>
      </c>
      <c r="B8" s="400">
        <f>B5+B6/2</f>
        <v>1054.5127220485988</v>
      </c>
      <c r="C8" s="400">
        <f t="shared" ref="C8:Y8" si="2">C5+C6/2</f>
        <v>1086.7075024847454</v>
      </c>
      <c r="D8" s="400">
        <f t="shared" si="2"/>
        <v>1080.9793583201551</v>
      </c>
      <c r="E8" s="400">
        <f t="shared" si="2"/>
        <v>1067.1639466358831</v>
      </c>
      <c r="F8" s="400">
        <f t="shared" si="2"/>
        <v>1072.0966268678808</v>
      </c>
      <c r="G8" s="400">
        <f t="shared" si="2"/>
        <v>1094.7915091519535</v>
      </c>
      <c r="H8" s="400">
        <f t="shared" si="2"/>
        <v>1068.3546424167341</v>
      </c>
      <c r="I8" s="400">
        <f t="shared" si="2"/>
        <v>1066.4928881266515</v>
      </c>
      <c r="J8" s="400">
        <f t="shared" si="2"/>
        <v>1046.6532784896513</v>
      </c>
      <c r="K8" s="400">
        <f t="shared" si="2"/>
        <v>1045.1871565603847</v>
      </c>
      <c r="L8" s="400">
        <f t="shared" si="2"/>
        <v>1084.4263204794058</v>
      </c>
      <c r="M8" s="400">
        <f t="shared" si="2"/>
        <v>1070.7053211577393</v>
      </c>
      <c r="N8" s="400">
        <f t="shared" si="2"/>
        <v>1025.6959720510538</v>
      </c>
      <c r="O8" s="400">
        <f t="shared" si="2"/>
        <v>1052.5531646066536</v>
      </c>
      <c r="P8" s="400">
        <f t="shared" si="2"/>
        <v>1031.1551037953122</v>
      </c>
      <c r="Q8" s="400">
        <f t="shared" si="2"/>
        <v>999.17251940815117</v>
      </c>
      <c r="R8" s="400">
        <f t="shared" si="2"/>
        <v>1015.1067829817529</v>
      </c>
      <c r="S8" s="400">
        <f t="shared" si="2"/>
        <v>1016.8819832839054</v>
      </c>
      <c r="T8" s="400">
        <f t="shared" si="2"/>
        <v>1004.5025363015374</v>
      </c>
      <c r="U8" s="400">
        <f t="shared" si="2"/>
        <v>1010.3681897915528</v>
      </c>
      <c r="V8" s="400">
        <f t="shared" si="2"/>
        <v>998.59216989354036</v>
      </c>
      <c r="W8" s="400">
        <f t="shared" si="2"/>
        <v>994.54597844661726</v>
      </c>
      <c r="X8" s="400">
        <f t="shared" si="2"/>
        <v>996.76329072638669</v>
      </c>
      <c r="Y8" s="400">
        <f t="shared" si="2"/>
        <v>1007.1393028827133</v>
      </c>
    </row>
  </sheetData>
  <mergeCells count="1">
    <mergeCell ref="A1:A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10</vt:i4>
      </vt:variant>
    </vt:vector>
  </HeadingPairs>
  <TitlesOfParts>
    <vt:vector size="22" baseType="lpstr">
      <vt:lpstr>BÌA</vt:lpstr>
      <vt:lpstr>Giá công thức</vt:lpstr>
      <vt:lpstr>Price</vt:lpstr>
      <vt:lpstr>Biểu đồ</vt:lpstr>
      <vt:lpstr>Vẽ Biểu đồ</vt:lpstr>
      <vt:lpstr>Price_cũ</vt:lpstr>
      <vt:lpstr>General Data</vt:lpstr>
      <vt:lpstr>Note</vt:lpstr>
      <vt:lpstr>||</vt:lpstr>
      <vt:lpstr>Rebate-Suntory</vt:lpstr>
      <vt:lpstr>Ghi chú-Màu</vt:lpstr>
      <vt:lpstr>Chart-Price-BCKQKD</vt:lpstr>
      <vt:lpstr>Code_General_Data</vt:lpstr>
      <vt:lpstr>Code_General_Item</vt:lpstr>
      <vt:lpstr>General_Data</vt:lpstr>
      <vt:lpstr>Month</vt:lpstr>
      <vt:lpstr>'Biểu đồ'!Print_Area</vt:lpstr>
      <vt:lpstr>'Giá công thức'!Print_Area</vt:lpstr>
      <vt:lpstr>Price!Print_Area</vt:lpstr>
      <vt:lpstr>'Giá công thức'!Print_Titles</vt:lpstr>
      <vt:lpstr>Price!Print_Titles</vt:lpstr>
      <vt:lpstr>Year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Danh, Hoàng Duy</dc:creator>
  <cp:keywords/>
  <dc:description/>
  <cp:lastModifiedBy>Cư, Lê Hoành</cp:lastModifiedBy>
  <cp:revision/>
  <cp:lastPrinted>2025-05-19T05:34:55Z</cp:lastPrinted>
  <dcterms:created xsi:type="dcterms:W3CDTF">2025-01-17T02:58:25Z</dcterms:created>
  <dcterms:modified xsi:type="dcterms:W3CDTF">2026-03-30T14:55:54Z</dcterms:modified>
  <cp:category/>
  <cp:contentStatus/>
</cp:coreProperties>
</file>