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4. LƯƠNG + NHÂN CÔNG/NĂM 2026/"/>
    </mc:Choice>
  </mc:AlternateContent>
  <xr:revisionPtr revIDLastSave="1594" documentId="13_ncr:1_{643384DF-133B-4BAE-B916-8C9D0333B0AF}" xr6:coauthVersionLast="47" xr6:coauthVersionMax="47" xr10:uidLastSave="{4D7AFC6B-B18A-4C41-8D6D-0138BFA654D4}"/>
  <bookViews>
    <workbookView xWindow="-110" yWindow="-110" windowWidth="19420" windowHeight="10300" activeTab="1" xr2:uid="{00000000-000D-0000-FFFF-FFFF00000000}"/>
  </bookViews>
  <sheets>
    <sheet name="TT" sheetId="1" r:id="rId1"/>
    <sheet name="SS định biên" sheetId="2" r:id="rId2"/>
    <sheet name="CP thưởng khác T1" sheetId="3" state="hidden" r:id="rId3"/>
    <sheet name="CP thưởng lễ T2" sheetId="4" state="hidden" r:id="rId4"/>
  </sheets>
  <definedNames>
    <definedName name="__accountcodevg__X">#REF!</definedName>
    <definedName name="__disaccountcode1__X">#REF!</definedName>
    <definedName name="__disaccountcode2__X">#REF!</definedName>
    <definedName name="__disaccountcode3__X">#REF!</definedName>
    <definedName name="__lookup1__X">#REF!</definedName>
    <definedName name="__lookup2__X">#REF!</definedName>
    <definedName name="__params__">#REF!</definedName>
    <definedName name="_xlnm._FilterDatabase" localSheetId="2" hidden="1">'CP thưởng khác T1'!$A$3:$C$3</definedName>
    <definedName name="_xlnm._FilterDatabase" localSheetId="3" hidden="1">'CP thưởng lễ T2'!$A$3:$C$3</definedName>
    <definedName name="_xlnm._FilterDatabase" localSheetId="1" hidden="1">'SS định biên'!$A$2:$AO$47</definedName>
    <definedName name="_xlnm._FilterDatabase" localSheetId="0" hidden="1">TT!$A$2:$O$46</definedName>
    <definedName name="thang10">#REF!</definedName>
    <definedName name="thang1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G36" i="1"/>
  <c r="G23" i="1"/>
  <c r="G29" i="1"/>
  <c r="G18" i="1"/>
  <c r="G11" i="1"/>
  <c r="G7" i="1"/>
  <c r="E51" i="2"/>
  <c r="O6" i="1" l="1"/>
  <c r="F23" i="1"/>
  <c r="E23" i="1"/>
  <c r="D50" i="2" l="1"/>
  <c r="I3" i="2"/>
  <c r="AM6" i="2" l="1"/>
  <c r="AJ6" i="2"/>
  <c r="AG6" i="2"/>
  <c r="AD6" i="2"/>
  <c r="AA6" i="2"/>
  <c r="X6" i="2"/>
  <c r="U6" i="2"/>
  <c r="R6" i="2"/>
  <c r="O6" i="2"/>
  <c r="L6" i="2"/>
  <c r="I6" i="2"/>
  <c r="F6" i="2"/>
  <c r="AL23" i="2"/>
  <c r="AK23" i="2"/>
  <c r="AI23" i="2"/>
  <c r="AH23" i="2"/>
  <c r="AF23" i="2"/>
  <c r="AE23" i="2"/>
  <c r="AC23" i="2"/>
  <c r="AB23" i="2"/>
  <c r="Z23" i="2"/>
  <c r="Y23" i="2"/>
  <c r="W23" i="2"/>
  <c r="V23" i="2"/>
  <c r="T23" i="2"/>
  <c r="S23" i="2"/>
  <c r="Q23" i="2"/>
  <c r="P23" i="2"/>
  <c r="N23" i="2"/>
  <c r="M23" i="2"/>
  <c r="K23" i="2"/>
  <c r="J23" i="2"/>
  <c r="H23" i="2"/>
  <c r="G23" i="2"/>
  <c r="E23" i="2"/>
  <c r="D23" i="2"/>
  <c r="AM27" i="2"/>
  <c r="AM26" i="2"/>
  <c r="AM25" i="2"/>
  <c r="AM24" i="2"/>
  <c r="AJ27" i="2"/>
  <c r="AJ26" i="2"/>
  <c r="AJ25" i="2"/>
  <c r="AJ24" i="2"/>
  <c r="AJ23" i="2" s="1"/>
  <c r="AG27" i="2"/>
  <c r="AG26" i="2"/>
  <c r="AG25" i="2"/>
  <c r="AG24" i="2"/>
  <c r="AG23" i="2" s="1"/>
  <c r="AD27" i="2"/>
  <c r="AD26" i="2"/>
  <c r="AD25" i="2"/>
  <c r="AD24" i="2"/>
  <c r="AA27" i="2"/>
  <c r="AA26" i="2"/>
  <c r="AA25" i="2"/>
  <c r="AA24" i="2"/>
  <c r="X27" i="2"/>
  <c r="X26" i="2"/>
  <c r="X25" i="2"/>
  <c r="X24" i="2"/>
  <c r="X23" i="2" s="1"/>
  <c r="U27" i="2"/>
  <c r="U26" i="2"/>
  <c r="U25" i="2"/>
  <c r="U24" i="2"/>
  <c r="R25" i="2"/>
  <c r="R26" i="2"/>
  <c r="R27" i="2"/>
  <c r="R24" i="2"/>
  <c r="O25" i="2"/>
  <c r="O26" i="2"/>
  <c r="O27" i="2"/>
  <c r="O24" i="2"/>
  <c r="L25" i="2"/>
  <c r="I25" i="2"/>
  <c r="F25" i="2"/>
  <c r="U23" i="2" l="1"/>
  <c r="O23" i="2"/>
  <c r="AA23" i="2"/>
  <c r="AM23" i="2"/>
  <c r="R23" i="2"/>
  <c r="AD23" i="2"/>
  <c r="AM5" i="2" l="1"/>
  <c r="AJ5" i="2"/>
  <c r="AG5" i="2"/>
  <c r="AD5" i="2"/>
  <c r="AA5" i="2"/>
  <c r="X5" i="2"/>
  <c r="U5" i="2"/>
  <c r="R5" i="2"/>
  <c r="O5" i="2"/>
  <c r="L5" i="2"/>
  <c r="I5" i="2"/>
  <c r="F5" i="2"/>
  <c r="D23" i="1"/>
  <c r="O26" i="1"/>
  <c r="E65" i="1"/>
  <c r="F65" i="1"/>
  <c r="G65" i="1"/>
  <c r="H65" i="1"/>
  <c r="I65" i="1"/>
  <c r="J65" i="1"/>
  <c r="K65" i="1"/>
  <c r="L65" i="1"/>
  <c r="M65" i="1"/>
  <c r="N65" i="1"/>
  <c r="N49" i="1"/>
  <c r="O3" i="1" l="1"/>
  <c r="M49" i="1"/>
  <c r="O4" i="1"/>
  <c r="O5" i="1"/>
  <c r="O8" i="1"/>
  <c r="O9" i="1"/>
  <c r="O10" i="1"/>
  <c r="O12" i="1"/>
  <c r="O13" i="1"/>
  <c r="O14" i="1"/>
  <c r="O15" i="1"/>
  <c r="O16" i="1"/>
  <c r="O17" i="1"/>
  <c r="O19" i="1"/>
  <c r="O20" i="1"/>
  <c r="O21" i="1"/>
  <c r="O22" i="1"/>
  <c r="O24" i="1"/>
  <c r="O25" i="1"/>
  <c r="O27" i="1"/>
  <c r="O28" i="1"/>
  <c r="O30" i="1"/>
  <c r="O31" i="1"/>
  <c r="O32" i="1"/>
  <c r="O33" i="1"/>
  <c r="O34" i="1"/>
  <c r="O35" i="1"/>
  <c r="O37" i="1"/>
  <c r="O38" i="1"/>
  <c r="O39" i="1"/>
  <c r="O40" i="1"/>
  <c r="O41" i="1"/>
  <c r="O42" i="1"/>
  <c r="O43" i="1"/>
  <c r="O44" i="1"/>
  <c r="O45" i="1"/>
  <c r="AM38" i="2"/>
  <c r="AM39" i="2"/>
  <c r="AM40" i="2"/>
  <c r="AM41" i="2"/>
  <c r="AM42" i="2"/>
  <c r="AM43" i="2"/>
  <c r="AJ38" i="2"/>
  <c r="AJ39" i="2"/>
  <c r="AJ40" i="2"/>
  <c r="AJ41" i="2"/>
  <c r="AJ42" i="2"/>
  <c r="AJ43" i="2"/>
  <c r="AG45" i="2"/>
  <c r="AG46" i="2"/>
  <c r="AG38" i="2"/>
  <c r="AG39" i="2"/>
  <c r="AG40" i="2"/>
  <c r="AG41" i="2"/>
  <c r="AG42" i="2"/>
  <c r="AG43" i="2"/>
  <c r="AG44" i="2"/>
  <c r="L49" i="1"/>
  <c r="D49" i="1"/>
  <c r="E49" i="1"/>
  <c r="F49" i="1"/>
  <c r="G49" i="1"/>
  <c r="H49" i="1"/>
  <c r="I49" i="1"/>
  <c r="J49" i="1"/>
  <c r="K49" i="1"/>
  <c r="C49" i="1"/>
  <c r="K71" i="1"/>
  <c r="AM3" i="2"/>
  <c r="AJ3" i="2"/>
  <c r="AG3" i="2"/>
  <c r="AD3" i="2"/>
  <c r="AD38" i="2"/>
  <c r="AD39" i="2"/>
  <c r="AD40" i="2"/>
  <c r="AD41" i="2"/>
  <c r="AD42" i="2"/>
  <c r="AD43" i="2"/>
  <c r="AD44" i="2"/>
  <c r="AD45" i="2"/>
  <c r="AA38" i="2"/>
  <c r="AA39" i="2"/>
  <c r="AA40" i="2"/>
  <c r="AA41" i="2"/>
  <c r="AA42" i="2"/>
  <c r="AA43" i="2"/>
  <c r="AA44" i="2"/>
  <c r="AA45" i="2"/>
  <c r="AA46" i="2"/>
  <c r="AA3" i="2"/>
  <c r="X38" i="2"/>
  <c r="X39" i="2"/>
  <c r="X40" i="2"/>
  <c r="X41" i="2"/>
  <c r="X42" i="2"/>
  <c r="X43" i="2"/>
  <c r="X44" i="2"/>
  <c r="X45" i="2"/>
  <c r="X3" i="2"/>
  <c r="U38" i="2"/>
  <c r="U39" i="2"/>
  <c r="U40" i="2"/>
  <c r="U41" i="2"/>
  <c r="U42" i="2"/>
  <c r="U43" i="2"/>
  <c r="U44" i="2"/>
  <c r="U45" i="2"/>
  <c r="U46" i="2"/>
  <c r="U3" i="2"/>
  <c r="H71" i="1"/>
  <c r="G71" i="1"/>
  <c r="R38" i="2" l="1"/>
  <c r="R39" i="2"/>
  <c r="R40" i="2"/>
  <c r="R41" i="2"/>
  <c r="R42" i="2"/>
  <c r="R43" i="2"/>
  <c r="R44" i="2"/>
  <c r="R45" i="2"/>
  <c r="R3" i="2"/>
  <c r="I71" i="1"/>
  <c r="J71" i="1"/>
  <c r="L71" i="1"/>
  <c r="M71" i="1"/>
  <c r="N71" i="1"/>
  <c r="O38" i="2"/>
  <c r="O39" i="2"/>
  <c r="O40" i="2"/>
  <c r="O41" i="2"/>
  <c r="O42" i="2"/>
  <c r="O43" i="2"/>
  <c r="O44" i="2"/>
  <c r="O45" i="2"/>
  <c r="O46" i="2"/>
  <c r="O3" i="2"/>
  <c r="E71" i="1" l="1"/>
  <c r="F71" i="1"/>
  <c r="L3" i="2" l="1"/>
  <c r="L38" i="2"/>
  <c r="L39" i="2"/>
  <c r="L40" i="2"/>
  <c r="L41" i="2"/>
  <c r="L42" i="2"/>
  <c r="L43" i="2"/>
  <c r="E36" i="1" l="1"/>
  <c r="F36" i="1"/>
  <c r="E29" i="1"/>
  <c r="E50" i="1" s="1"/>
  <c r="F29" i="1"/>
  <c r="F50" i="1" s="1"/>
  <c r="G50" i="1"/>
  <c r="H50" i="1"/>
  <c r="I50" i="1"/>
  <c r="J50" i="1"/>
  <c r="K50" i="1"/>
  <c r="L50" i="1"/>
  <c r="N50" i="1"/>
  <c r="E18" i="1"/>
  <c r="F18" i="1"/>
  <c r="F7" i="1"/>
  <c r="G48" i="1"/>
  <c r="E11" i="1"/>
  <c r="F11" i="1"/>
  <c r="E7" i="1"/>
  <c r="G9" i="4"/>
  <c r="G7" i="4"/>
  <c r="B2" i="4"/>
  <c r="G6" i="4"/>
  <c r="G5" i="4"/>
  <c r="G4" i="4"/>
  <c r="I38" i="2"/>
  <c r="I39" i="2"/>
  <c r="I40" i="2"/>
  <c r="I41" i="2"/>
  <c r="I42" i="2"/>
  <c r="I43" i="2"/>
  <c r="I44" i="2"/>
  <c r="I45" i="2"/>
  <c r="I46" i="2"/>
  <c r="H7" i="2"/>
  <c r="H48" i="2" s="1"/>
  <c r="H11" i="2"/>
  <c r="H18" i="2"/>
  <c r="H29" i="2"/>
  <c r="H36" i="2"/>
  <c r="D65" i="1"/>
  <c r="D71" i="1" s="1"/>
  <c r="D36" i="1"/>
  <c r="F48" i="1" l="1"/>
  <c r="M48" i="1"/>
  <c r="L48" i="1"/>
  <c r="K48" i="1"/>
  <c r="J48" i="1"/>
  <c r="I48" i="1"/>
  <c r="N48" i="1"/>
  <c r="E48" i="1"/>
  <c r="H48" i="1"/>
  <c r="H47" i="2"/>
  <c r="F46" i="1"/>
  <c r="G46" i="1"/>
  <c r="H46" i="1"/>
  <c r="N46" i="1"/>
  <c r="M46" i="1"/>
  <c r="L46" i="1"/>
  <c r="K46" i="1"/>
  <c r="J46" i="1"/>
  <c r="E46" i="1"/>
  <c r="I46" i="1"/>
  <c r="M50" i="1"/>
  <c r="D29" i="1"/>
  <c r="D50" i="1" s="1"/>
  <c r="D18" i="1"/>
  <c r="D11" i="1" l="1"/>
  <c r="D7" i="1"/>
  <c r="G6" i="3"/>
  <c r="G5" i="3"/>
  <c r="G4" i="3"/>
  <c r="G7" i="3" s="1"/>
  <c r="B2" i="3"/>
  <c r="AM53" i="2"/>
  <c r="AL53" i="2"/>
  <c r="AK53" i="2"/>
  <c r="AL52" i="2"/>
  <c r="AK52" i="2"/>
  <c r="AL51" i="2"/>
  <c r="AK51" i="2"/>
  <c r="AL50" i="2"/>
  <c r="AK50" i="2"/>
  <c r="AJ53" i="2"/>
  <c r="AI53" i="2"/>
  <c r="AH53" i="2"/>
  <c r="AI52" i="2"/>
  <c r="AH52" i="2"/>
  <c r="AI51" i="2"/>
  <c r="AH51" i="2"/>
  <c r="AI50" i="2"/>
  <c r="AH50" i="2"/>
  <c r="AG53" i="2"/>
  <c r="AF53" i="2"/>
  <c r="AE53" i="2"/>
  <c r="AF52" i="2"/>
  <c r="AE52" i="2"/>
  <c r="AF51" i="2"/>
  <c r="AE51" i="2"/>
  <c r="AF50" i="2"/>
  <c r="AE50" i="2"/>
  <c r="AD53" i="2"/>
  <c r="AC53" i="2"/>
  <c r="AB53" i="2"/>
  <c r="AC52" i="2"/>
  <c r="AB52" i="2"/>
  <c r="AC51" i="2"/>
  <c r="AB51" i="2"/>
  <c r="AC50" i="2"/>
  <c r="AB50" i="2"/>
  <c r="AA53" i="2"/>
  <c r="Z53" i="2"/>
  <c r="Y53" i="2"/>
  <c r="Z52" i="2"/>
  <c r="Y52" i="2"/>
  <c r="Z51" i="2"/>
  <c r="Y51" i="2"/>
  <c r="Z50" i="2"/>
  <c r="Y50" i="2"/>
  <c r="X53" i="2"/>
  <c r="W53" i="2"/>
  <c r="V53" i="2"/>
  <c r="W52" i="2"/>
  <c r="V52" i="2"/>
  <c r="W51" i="2"/>
  <c r="V51" i="2"/>
  <c r="W50" i="2"/>
  <c r="V50" i="2"/>
  <c r="U53" i="2"/>
  <c r="T53" i="2"/>
  <c r="S53" i="2"/>
  <c r="T52" i="2"/>
  <c r="S52" i="2"/>
  <c r="T51" i="2"/>
  <c r="S51" i="2"/>
  <c r="T50" i="2"/>
  <c r="S50" i="2"/>
  <c r="R53" i="2"/>
  <c r="Q53" i="2"/>
  <c r="P53" i="2"/>
  <c r="Q52" i="2"/>
  <c r="P52" i="2"/>
  <c r="Q51" i="2"/>
  <c r="P51" i="2"/>
  <c r="Q50" i="2"/>
  <c r="P50" i="2"/>
  <c r="O53" i="2"/>
  <c r="N53" i="2"/>
  <c r="M53" i="2"/>
  <c r="N52" i="2"/>
  <c r="M52" i="2"/>
  <c r="N51" i="2"/>
  <c r="M51" i="2"/>
  <c r="N50" i="2"/>
  <c r="M50" i="2"/>
  <c r="L53" i="2"/>
  <c r="K53" i="2"/>
  <c r="J53" i="2"/>
  <c r="K52" i="2"/>
  <c r="J52" i="2"/>
  <c r="K51" i="2"/>
  <c r="J51" i="2"/>
  <c r="K50" i="2"/>
  <c r="J50" i="2"/>
  <c r="I53" i="2"/>
  <c r="H53" i="2"/>
  <c r="G53" i="2"/>
  <c r="H52" i="2"/>
  <c r="G52" i="2"/>
  <c r="H51" i="2"/>
  <c r="G51" i="2"/>
  <c r="H50" i="2"/>
  <c r="G50" i="2"/>
  <c r="E53" i="2"/>
  <c r="D53" i="2"/>
  <c r="E52" i="2"/>
  <c r="D52" i="2"/>
  <c r="D51" i="2"/>
  <c r="E50" i="2"/>
  <c r="F3" i="2"/>
  <c r="F38" i="2"/>
  <c r="F39" i="2"/>
  <c r="F40" i="2"/>
  <c r="F41" i="2"/>
  <c r="F42" i="2"/>
  <c r="F43" i="2"/>
  <c r="F53" i="2" s="1"/>
  <c r="C36" i="1"/>
  <c r="AM46" i="2"/>
  <c r="AM52" i="2" s="1"/>
  <c r="AM45" i="2"/>
  <c r="AM50" i="2" s="1"/>
  <c r="AM44" i="2"/>
  <c r="AM37" i="2"/>
  <c r="AL36" i="2"/>
  <c r="AK36" i="2"/>
  <c r="AM35" i="2"/>
  <c r="AM34" i="2"/>
  <c r="AM33" i="2"/>
  <c r="AM32" i="2"/>
  <c r="AM31" i="2"/>
  <c r="AM30" i="2"/>
  <c r="AL29" i="2"/>
  <c r="AK29" i="2"/>
  <c r="AM28" i="2"/>
  <c r="AM22" i="2"/>
  <c r="AM21" i="2"/>
  <c r="AM20" i="2"/>
  <c r="AM19" i="2"/>
  <c r="AL18" i="2"/>
  <c r="AK18" i="2"/>
  <c r="AM16" i="2"/>
  <c r="AM17" i="2"/>
  <c r="AM15" i="2"/>
  <c r="AM14" i="2"/>
  <c r="AM13" i="2"/>
  <c r="AM12" i="2"/>
  <c r="AL11" i="2"/>
  <c r="AK11" i="2"/>
  <c r="AM10" i="2"/>
  <c r="AM9" i="2"/>
  <c r="AM8" i="2"/>
  <c r="AL7" i="2"/>
  <c r="AK7" i="2"/>
  <c r="AM4" i="2"/>
  <c r="AJ46" i="2"/>
  <c r="AJ52" i="2" s="1"/>
  <c r="AJ45" i="2"/>
  <c r="AJ50" i="2" s="1"/>
  <c r="AJ44" i="2"/>
  <c r="AJ37" i="2"/>
  <c r="AI36" i="2"/>
  <c r="AH36" i="2"/>
  <c r="AJ35" i="2"/>
  <c r="AJ34" i="2"/>
  <c r="AJ33" i="2"/>
  <c r="AJ32" i="2"/>
  <c r="AJ31" i="2"/>
  <c r="AJ30" i="2"/>
  <c r="AI29" i="2"/>
  <c r="AH29" i="2"/>
  <c r="AJ28" i="2"/>
  <c r="AJ22" i="2"/>
  <c r="AJ21" i="2"/>
  <c r="AJ20" i="2"/>
  <c r="AJ19" i="2"/>
  <c r="AI18" i="2"/>
  <c r="AH18" i="2"/>
  <c r="AJ16" i="2"/>
  <c r="AJ17" i="2"/>
  <c r="AJ15" i="2"/>
  <c r="AJ14" i="2"/>
  <c r="AJ13" i="2"/>
  <c r="AJ12" i="2"/>
  <c r="AI11" i="2"/>
  <c r="AH11" i="2"/>
  <c r="AJ10" i="2"/>
  <c r="AJ9" i="2"/>
  <c r="AJ8" i="2"/>
  <c r="AI7" i="2"/>
  <c r="AH7" i="2"/>
  <c r="AJ4" i="2"/>
  <c r="AG52" i="2"/>
  <c r="AG50" i="2"/>
  <c r="AG37" i="2"/>
  <c r="AF36" i="2"/>
  <c r="AE36" i="2"/>
  <c r="AG35" i="2"/>
  <c r="AG34" i="2"/>
  <c r="AG33" i="2"/>
  <c r="AG32" i="2"/>
  <c r="AG31" i="2"/>
  <c r="AG30" i="2"/>
  <c r="AF29" i="2"/>
  <c r="AE29" i="2"/>
  <c r="AG28" i="2"/>
  <c r="AG22" i="2"/>
  <c r="AG21" i="2"/>
  <c r="AG20" i="2"/>
  <c r="AG19" i="2"/>
  <c r="AF18" i="2"/>
  <c r="AE18" i="2"/>
  <c r="AG16" i="2"/>
  <c r="AG17" i="2"/>
  <c r="AG15" i="2"/>
  <c r="AG14" i="2"/>
  <c r="AG13" i="2"/>
  <c r="AG12" i="2"/>
  <c r="AF11" i="2"/>
  <c r="AE11" i="2"/>
  <c r="AG10" i="2"/>
  <c r="AG9" i="2"/>
  <c r="AG8" i="2"/>
  <c r="AF7" i="2"/>
  <c r="AE7" i="2"/>
  <c r="AG4" i="2"/>
  <c r="AD46" i="2"/>
  <c r="AD52" i="2" s="1"/>
  <c r="AD50" i="2"/>
  <c r="AD37" i="2"/>
  <c r="AC36" i="2"/>
  <c r="AB36" i="2"/>
  <c r="AD35" i="2"/>
  <c r="AD34" i="2"/>
  <c r="AD33" i="2"/>
  <c r="AD32" i="2"/>
  <c r="AD31" i="2"/>
  <c r="AD30" i="2"/>
  <c r="AC29" i="2"/>
  <c r="AB29" i="2"/>
  <c r="AD28" i="2"/>
  <c r="AD22" i="2"/>
  <c r="AD21" i="2"/>
  <c r="AD20" i="2"/>
  <c r="AD19" i="2"/>
  <c r="AC18" i="2"/>
  <c r="AB18" i="2"/>
  <c r="AD16" i="2"/>
  <c r="AD17" i="2"/>
  <c r="AD15" i="2"/>
  <c r="AD14" i="2"/>
  <c r="AD13" i="2"/>
  <c r="AD12" i="2"/>
  <c r="AC11" i="2"/>
  <c r="AB11" i="2"/>
  <c r="AD10" i="2"/>
  <c r="AD9" i="2"/>
  <c r="AD8" i="2"/>
  <c r="AC7" i="2"/>
  <c r="AB7" i="2"/>
  <c r="AD4" i="2"/>
  <c r="AA52" i="2"/>
  <c r="AA50" i="2"/>
  <c r="AA37" i="2"/>
  <c r="Z36" i="2"/>
  <c r="Y36" i="2"/>
  <c r="AA35" i="2"/>
  <c r="AA34" i="2"/>
  <c r="AA33" i="2"/>
  <c r="AA32" i="2"/>
  <c r="AA31" i="2"/>
  <c r="AA30" i="2"/>
  <c r="Z29" i="2"/>
  <c r="Y29" i="2"/>
  <c r="AA28" i="2"/>
  <c r="AA22" i="2"/>
  <c r="AA21" i="2"/>
  <c r="AA20" i="2"/>
  <c r="AA19" i="2"/>
  <c r="Z18" i="2"/>
  <c r="Y18" i="2"/>
  <c r="AA16" i="2"/>
  <c r="AA17" i="2"/>
  <c r="AA15" i="2"/>
  <c r="AA14" i="2"/>
  <c r="AA13" i="2"/>
  <c r="AA12" i="2"/>
  <c r="Z11" i="2"/>
  <c r="Y11" i="2"/>
  <c r="AA10" i="2"/>
  <c r="AA9" i="2"/>
  <c r="AA8" i="2"/>
  <c r="Z7" i="2"/>
  <c r="Y7" i="2"/>
  <c r="AA4" i="2"/>
  <c r="X46" i="2"/>
  <c r="X52" i="2" s="1"/>
  <c r="X50" i="2"/>
  <c r="X37" i="2"/>
  <c r="W36" i="2"/>
  <c r="V36" i="2"/>
  <c r="X35" i="2"/>
  <c r="X34" i="2"/>
  <c r="X33" i="2"/>
  <c r="X32" i="2"/>
  <c r="X31" i="2"/>
  <c r="X30" i="2"/>
  <c r="W29" i="2"/>
  <c r="V29" i="2"/>
  <c r="X28" i="2"/>
  <c r="X22" i="2"/>
  <c r="X21" i="2"/>
  <c r="X20" i="2"/>
  <c r="X19" i="2"/>
  <c r="W18" i="2"/>
  <c r="V18" i="2"/>
  <c r="X16" i="2"/>
  <c r="X17" i="2"/>
  <c r="X15" i="2"/>
  <c r="X14" i="2"/>
  <c r="X13" i="2"/>
  <c r="X12" i="2"/>
  <c r="W11" i="2"/>
  <c r="V11" i="2"/>
  <c r="X10" i="2"/>
  <c r="X9" i="2"/>
  <c r="X8" i="2"/>
  <c r="W7" i="2"/>
  <c r="V7" i="2"/>
  <c r="X4" i="2"/>
  <c r="U52" i="2"/>
  <c r="U50" i="2"/>
  <c r="U37" i="2"/>
  <c r="T36" i="2"/>
  <c r="S36" i="2"/>
  <c r="U35" i="2"/>
  <c r="U34" i="2"/>
  <c r="U33" i="2"/>
  <c r="U32" i="2"/>
  <c r="U31" i="2"/>
  <c r="U30" i="2"/>
  <c r="T29" i="2"/>
  <c r="S29" i="2"/>
  <c r="U28" i="2"/>
  <c r="U22" i="2"/>
  <c r="U21" i="2"/>
  <c r="U20" i="2"/>
  <c r="U19" i="2"/>
  <c r="T18" i="2"/>
  <c r="S18" i="2"/>
  <c r="U16" i="2"/>
  <c r="U17" i="2"/>
  <c r="U15" i="2"/>
  <c r="U14" i="2"/>
  <c r="U13" i="2"/>
  <c r="U12" i="2"/>
  <c r="T11" i="2"/>
  <c r="S11" i="2"/>
  <c r="U10" i="2"/>
  <c r="U9" i="2"/>
  <c r="U8" i="2"/>
  <c r="T7" i="2"/>
  <c r="S7" i="2"/>
  <c r="U4" i="2"/>
  <c r="R46" i="2"/>
  <c r="R52" i="2" s="1"/>
  <c r="R50" i="2"/>
  <c r="R37" i="2"/>
  <c r="Q36" i="2"/>
  <c r="P36" i="2"/>
  <c r="R35" i="2"/>
  <c r="R34" i="2"/>
  <c r="R33" i="2"/>
  <c r="R32" i="2"/>
  <c r="R31" i="2"/>
  <c r="R30" i="2"/>
  <c r="Q29" i="2"/>
  <c r="P29" i="2"/>
  <c r="R28" i="2"/>
  <c r="R22" i="2"/>
  <c r="R21" i="2"/>
  <c r="R20" i="2"/>
  <c r="R19" i="2"/>
  <c r="Q18" i="2"/>
  <c r="P18" i="2"/>
  <c r="R16" i="2"/>
  <c r="R17" i="2"/>
  <c r="R15" i="2"/>
  <c r="R14" i="2"/>
  <c r="R13" i="2"/>
  <c r="R12" i="2"/>
  <c r="Q11" i="2"/>
  <c r="P11" i="2"/>
  <c r="R10" i="2"/>
  <c r="R9" i="2"/>
  <c r="R8" i="2"/>
  <c r="Q7" i="2"/>
  <c r="P7" i="2"/>
  <c r="R4" i="2"/>
  <c r="O52" i="2"/>
  <c r="O50" i="2"/>
  <c r="O37" i="2"/>
  <c r="N36" i="2"/>
  <c r="M36" i="2"/>
  <c r="O35" i="2"/>
  <c r="O34" i="2"/>
  <c r="O33" i="2"/>
  <c r="O32" i="2"/>
  <c r="O31" i="2"/>
  <c r="O30" i="2"/>
  <c r="N29" i="2"/>
  <c r="M29" i="2"/>
  <c r="O28" i="2"/>
  <c r="O22" i="2"/>
  <c r="O21" i="2"/>
  <c r="O20" i="2"/>
  <c r="O19" i="2"/>
  <c r="N18" i="2"/>
  <c r="M18" i="2"/>
  <c r="O16" i="2"/>
  <c r="O17" i="2"/>
  <c r="O15" i="2"/>
  <c r="O14" i="2"/>
  <c r="O13" i="2"/>
  <c r="O12" i="2"/>
  <c r="N11" i="2"/>
  <c r="M11" i="2"/>
  <c r="O10" i="2"/>
  <c r="O9" i="2"/>
  <c r="O8" i="2"/>
  <c r="N7" i="2"/>
  <c r="M7" i="2"/>
  <c r="O4" i="2"/>
  <c r="L46" i="2"/>
  <c r="L52" i="2" s="1"/>
  <c r="L45" i="2"/>
  <c r="L50" i="2" s="1"/>
  <c r="L44" i="2"/>
  <c r="L37" i="2"/>
  <c r="K36" i="2"/>
  <c r="J36" i="2"/>
  <c r="L35" i="2"/>
  <c r="L34" i="2"/>
  <c r="L33" i="2"/>
  <c r="L32" i="2"/>
  <c r="L31" i="2"/>
  <c r="L30" i="2"/>
  <c r="K29" i="2"/>
  <c r="J29" i="2"/>
  <c r="L28" i="2"/>
  <c r="L27" i="2"/>
  <c r="L26" i="2"/>
  <c r="L24" i="2"/>
  <c r="L22" i="2"/>
  <c r="L21" i="2"/>
  <c r="L20" i="2"/>
  <c r="L19" i="2"/>
  <c r="K18" i="2"/>
  <c r="J18" i="2"/>
  <c r="L16" i="2"/>
  <c r="L17" i="2"/>
  <c r="L15" i="2"/>
  <c r="L14" i="2"/>
  <c r="L13" i="2"/>
  <c r="L12" i="2"/>
  <c r="K11" i="2"/>
  <c r="J11" i="2"/>
  <c r="L10" i="2"/>
  <c r="L9" i="2"/>
  <c r="L8" i="2"/>
  <c r="K7" i="2"/>
  <c r="J7" i="2"/>
  <c r="L4" i="2"/>
  <c r="I52" i="2"/>
  <c r="I50" i="2"/>
  <c r="I37" i="2"/>
  <c r="G36" i="2"/>
  <c r="I35" i="2"/>
  <c r="I34" i="2"/>
  <c r="I33" i="2"/>
  <c r="I32" i="2"/>
  <c r="I31" i="2"/>
  <c r="I30" i="2"/>
  <c r="G29" i="2"/>
  <c r="I28" i="2"/>
  <c r="I27" i="2"/>
  <c r="I26" i="2"/>
  <c r="I24" i="2"/>
  <c r="I22" i="2"/>
  <c r="I21" i="2"/>
  <c r="I20" i="2"/>
  <c r="I19" i="2"/>
  <c r="G18" i="2"/>
  <c r="I16" i="2"/>
  <c r="I17" i="2"/>
  <c r="I15" i="2"/>
  <c r="I14" i="2"/>
  <c r="I13" i="2"/>
  <c r="I12" i="2"/>
  <c r="G11" i="2"/>
  <c r="I10" i="2"/>
  <c r="I9" i="2"/>
  <c r="I8" i="2"/>
  <c r="G7" i="2"/>
  <c r="I4" i="2"/>
  <c r="E36" i="2"/>
  <c r="D36" i="2"/>
  <c r="E29" i="2"/>
  <c r="D29" i="2"/>
  <c r="E18" i="2"/>
  <c r="D18" i="2"/>
  <c r="E11" i="2"/>
  <c r="D11" i="2"/>
  <c r="F24" i="2"/>
  <c r="F26" i="2"/>
  <c r="F27" i="2"/>
  <c r="F28" i="2"/>
  <c r="F30" i="2"/>
  <c r="F31" i="2"/>
  <c r="F32" i="2"/>
  <c r="F33" i="2"/>
  <c r="F34" i="2"/>
  <c r="F35" i="2"/>
  <c r="F12" i="2"/>
  <c r="F13" i="2"/>
  <c r="F14" i="2"/>
  <c r="F15" i="2"/>
  <c r="F17" i="2"/>
  <c r="F16" i="2"/>
  <c r="F10" i="2"/>
  <c r="F8" i="2"/>
  <c r="F9" i="2"/>
  <c r="E7" i="2"/>
  <c r="D7" i="2"/>
  <c r="M48" i="2" l="1"/>
  <c r="D48" i="2"/>
  <c r="Z47" i="2"/>
  <c r="N48" i="2"/>
  <c r="Y47" i="2"/>
  <c r="E48" i="2"/>
  <c r="G48" i="2"/>
  <c r="I48" i="2" s="1"/>
  <c r="J48" i="2"/>
  <c r="K48" i="2"/>
  <c r="L23" i="2"/>
  <c r="D48" i="1"/>
  <c r="AB47" i="2"/>
  <c r="AC47" i="2"/>
  <c r="G47" i="2"/>
  <c r="AE47" i="2"/>
  <c r="J47" i="2"/>
  <c r="AF47" i="2"/>
  <c r="K47" i="2"/>
  <c r="AH47" i="2"/>
  <c r="AI47" i="2"/>
  <c r="M47" i="2"/>
  <c r="AK47" i="2"/>
  <c r="P47" i="2"/>
  <c r="AL47" i="2"/>
  <c r="N47" i="2"/>
  <c r="Q47" i="2"/>
  <c r="S47" i="2"/>
  <c r="V47" i="2"/>
  <c r="D47" i="2"/>
  <c r="T47" i="2"/>
  <c r="W47" i="2"/>
  <c r="E47" i="2"/>
  <c r="F23" i="2"/>
  <c r="I23" i="2"/>
  <c r="D46" i="1"/>
  <c r="O36" i="1"/>
  <c r="L51" i="2"/>
  <c r="I51" i="2"/>
  <c r="U51" i="2"/>
  <c r="AM51" i="2"/>
  <c r="R51" i="2"/>
  <c r="AD51" i="2"/>
  <c r="AA51" i="2"/>
  <c r="AJ51" i="2"/>
  <c r="O51" i="2"/>
  <c r="X51" i="2"/>
  <c r="AG51" i="2"/>
  <c r="L7" i="2"/>
  <c r="U36" i="2"/>
  <c r="AD7" i="2"/>
  <c r="O7" i="2"/>
  <c r="O11" i="2"/>
  <c r="I7" i="2"/>
  <c r="AG7" i="2"/>
  <c r="AD18" i="2"/>
  <c r="AA7" i="2"/>
  <c r="L18" i="2"/>
  <c r="O36" i="2"/>
  <c r="X18" i="2"/>
  <c r="AA36" i="2"/>
  <c r="X7" i="2"/>
  <c r="X11" i="2"/>
  <c r="X36" i="2"/>
  <c r="R36" i="2"/>
  <c r="AG36" i="2"/>
  <c r="L36" i="2"/>
  <c r="AD36" i="2"/>
  <c r="O29" i="2"/>
  <c r="U7" i="2"/>
  <c r="O18" i="2"/>
  <c r="R7" i="2"/>
  <c r="I36" i="2"/>
  <c r="F29" i="2"/>
  <c r="AJ29" i="2"/>
  <c r="I18" i="2"/>
  <c r="AM36" i="2"/>
  <c r="AA18" i="2"/>
  <c r="F7" i="2"/>
  <c r="R18" i="2"/>
  <c r="U29" i="2"/>
  <c r="AJ18" i="2"/>
  <c r="AJ11" i="2"/>
  <c r="AM7" i="2"/>
  <c r="U18" i="2"/>
  <c r="AJ7" i="2"/>
  <c r="AJ36" i="2"/>
  <c r="AM29" i="2"/>
  <c r="AG29" i="2"/>
  <c r="AD29" i="2"/>
  <c r="AA29" i="2"/>
  <c r="X29" i="2"/>
  <c r="R29" i="2"/>
  <c r="L29" i="2"/>
  <c r="I29" i="2"/>
  <c r="AM18" i="2"/>
  <c r="AG18" i="2"/>
  <c r="AM11" i="2"/>
  <c r="AG11" i="2"/>
  <c r="AD11" i="2"/>
  <c r="AA11" i="2"/>
  <c r="U11" i="2"/>
  <c r="R11" i="2"/>
  <c r="L11" i="2"/>
  <c r="I11" i="2"/>
  <c r="F11" i="2"/>
  <c r="F48" i="2" l="1"/>
  <c r="O48" i="2"/>
  <c r="L48" i="2"/>
  <c r="AJ47" i="2"/>
  <c r="AD47" i="2"/>
  <c r="AG47" i="2"/>
  <c r="R47" i="2"/>
  <c r="X47" i="2"/>
  <c r="AM47" i="2"/>
  <c r="AA47" i="2"/>
  <c r="O47" i="2"/>
  <c r="U47" i="2"/>
  <c r="L47" i="2"/>
  <c r="I47" i="2"/>
  <c r="C65" i="1"/>
  <c r="C71" i="1" s="1"/>
  <c r="C29" i="1"/>
  <c r="O29" i="1" s="1"/>
  <c r="C23" i="1"/>
  <c r="O23" i="1" s="1"/>
  <c r="C18" i="1"/>
  <c r="O18" i="1" s="1"/>
  <c r="C11" i="1"/>
  <c r="O11" i="1" s="1"/>
  <c r="C7" i="1"/>
  <c r="C48" i="1" l="1"/>
  <c r="C46" i="1"/>
  <c r="O7" i="1"/>
  <c r="O46" i="1" s="1"/>
  <c r="C50" i="1"/>
  <c r="F19" i="2" l="1"/>
  <c r="F20" i="2"/>
  <c r="F21" i="2"/>
  <c r="F18" i="2" l="1"/>
  <c r="F22" i="2" l="1"/>
  <c r="F37" i="2"/>
  <c r="F44" i="2"/>
  <c r="F45" i="2"/>
  <c r="F50" i="2" s="1"/>
  <c r="F46" i="2"/>
  <c r="F52" i="2" s="1"/>
  <c r="F4" i="2"/>
  <c r="F51" i="2" l="1"/>
  <c r="F36" i="2"/>
  <c r="F4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D4" authorId="0" shapeId="0" xr:uid="{A6EEEA63-5944-4AB1-AFE2-7CF08E8D435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Chuyển c Oanh từ cung ứng =&gt; BGĐ</t>
        </r>
      </text>
    </comment>
    <comment ref="E5" authorId="0" shapeId="0" xr:uid="{2D544668-5BAB-4771-AA0B-BE89D2D314B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Chuyển Sĩ từ R&amp;D qua VPGD</t>
        </r>
      </text>
    </comment>
    <comment ref="C55" authorId="0" shapeId="0" xr:uid="{A7F65926-3651-4F96-B815-A9A3CBB2BC1B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a.Hoàng</t>
        </r>
      </text>
    </comment>
    <comment ref="F56" authorId="0" shapeId="0" xr:uid="{40BD0958-7ACC-4F57-B33C-7502EABF67E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 Bình + Sỹ</t>
        </r>
      </text>
    </comment>
    <comment ref="G58" authorId="0" shapeId="0" xr:uid="{1F2DABAF-6CF3-4223-8237-6CDB154AAFD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Vinh</t>
        </r>
      </text>
    </comment>
    <comment ref="C59" authorId="0" shapeId="0" xr:uid="{83EA26BC-0431-4271-AE53-0245B6FFC07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Tạp vụ</t>
        </r>
      </text>
    </comment>
    <comment ref="D59" authorId="0" shapeId="0" xr:uid="{28A33B5A-2B17-4A3F-958E-047E8143806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Nghĩa</t>
        </r>
      </text>
    </comment>
    <comment ref="E59" authorId="0" shapeId="0" xr:uid="{975C07FE-1FFB-4F45-81B9-5442C73B85F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Quyền</t>
        </r>
      </text>
    </comment>
    <comment ref="F59" authorId="0" shapeId="0" xr:uid="{13549718-4E89-4960-84D3-802A80E0FC2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Tạp vụ</t>
        </r>
      </text>
    </comment>
    <comment ref="G59" authorId="0" shapeId="0" xr:uid="{DA177396-E7FA-4EDD-943E-4BF8F7A1D55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1 bv + 1 TP HSE (Nam)</t>
        </r>
      </text>
    </comment>
    <comment ref="F60" authorId="0" shapeId="0" xr:uid="{34A4AC35-235D-4A06-AECF-181EAC35FB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Kt kho</t>
        </r>
      </text>
    </comment>
    <comment ref="E61" authorId="0" shapeId="0" xr:uid="{BC3B8053-BA5C-4698-9DAF-74692C64EA2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Duy</t>
        </r>
      </text>
    </comment>
  </commentList>
</comments>
</file>

<file path=xl/sharedStrings.xml><?xml version="1.0" encoding="utf-8"?>
<sst xmlns="http://schemas.openxmlformats.org/spreadsheetml/2006/main" count="279" uniqueCount="111">
  <si>
    <t>Bộ phận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</si>
  <si>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</si>
  <si>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</si>
  <si>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</si>
  <si>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</si>
  <si>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</si>
  <si>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</si>
  <si>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</si>
  <si>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</si>
  <si>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</si>
  <si>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</si>
  <si>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</si>
  <si>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</si>
  <si>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Ban Giám Đốc</t>
  </si>
  <si>
    <t>Văn Phòng Giám Đốc</t>
  </si>
  <si>
    <t>Cung Ứng</t>
  </si>
  <si>
    <t>Hành Chánh Nhân Sự</t>
  </si>
  <si>
    <t>Kế Toán</t>
  </si>
  <si>
    <t>Kinh doanh</t>
  </si>
  <si>
    <t>Kiểm Soát Chất Lượng</t>
  </si>
  <si>
    <t>Nghiên Cứu &amp; Phát Triển</t>
  </si>
  <si>
    <t>Kỹ Thuật</t>
  </si>
  <si>
    <t>Xưởng Sản Xuất</t>
  </si>
  <si>
    <t>Hành Chánh Xưởng</t>
  </si>
  <si>
    <t>Kho</t>
  </si>
  <si>
    <t>Tổ Lái Xe Nâng</t>
  </si>
  <si>
    <t>Vận Hành Máy</t>
  </si>
  <si>
    <t>Tổng</t>
  </si>
  <si>
    <t>NS</t>
  </si>
  <si>
    <t>TT</t>
  </si>
  <si>
    <t>CL TT sv NS</t>
  </si>
  <si>
    <t>NS T3</t>
  </si>
  <si>
    <t>TT T3</t>
  </si>
  <si>
    <t>NS T4</t>
  </si>
  <si>
    <t>TT T4</t>
  </si>
  <si>
    <t>NS T5</t>
  </si>
  <si>
    <t>TT T5</t>
  </si>
  <si>
    <t>Nghĩ việc</t>
  </si>
  <si>
    <t>NS T6</t>
  </si>
  <si>
    <t>TT T6</t>
  </si>
  <si>
    <t>NS T7</t>
  </si>
  <si>
    <t>TT T7</t>
  </si>
  <si>
    <t>TỔNG HỢP NHÂN SỰ VƯỢT ĐỊNH BIÊN</t>
  </si>
  <si>
    <t>NS T8</t>
  </si>
  <si>
    <t>TT T8</t>
  </si>
  <si>
    <t>Stt</t>
  </si>
  <si>
    <t>NS T9</t>
  </si>
  <si>
    <t>TT T9</t>
  </si>
  <si>
    <t>NS T10</t>
  </si>
  <si>
    <t>TT T10</t>
  </si>
  <si>
    <t>NS T11</t>
  </si>
  <si>
    <t>TT T11</t>
  </si>
  <si>
    <t>NS T12</t>
  </si>
  <si>
    <t>TT T12</t>
  </si>
  <si>
    <t>Tổ Cung ứng</t>
  </si>
  <si>
    <t>Tổ Thị trường</t>
  </si>
  <si>
    <t>Bảo vệ</t>
  </si>
  <si>
    <t>Hành chính</t>
  </si>
  <si>
    <t>Nhân sự</t>
  </si>
  <si>
    <t>Tổ Tạp Vụ</t>
  </si>
  <si>
    <t>Tổ chất lượng HDPE</t>
  </si>
  <si>
    <t>Tổ chất lượng PET</t>
  </si>
  <si>
    <t>Bảo trì</t>
  </si>
  <si>
    <t>Tổ Điện</t>
  </si>
  <si>
    <t>Tổ Nước</t>
  </si>
  <si>
    <t>Tổ Vận Hành</t>
  </si>
  <si>
    <t>Tổ Văn Phòng Kỹ Thuật</t>
  </si>
  <si>
    <t>Tổ 5S và An toàn</t>
  </si>
  <si>
    <t>Tổ Quản Trị Hệ Thống</t>
  </si>
  <si>
    <t>Tổ Trợ Lý</t>
  </si>
  <si>
    <t>Tổ Kế Hoạch</t>
  </si>
  <si>
    <t>Tổ Kho</t>
  </si>
  <si>
    <t>Vận Hành Máy HDPE</t>
  </si>
  <si>
    <t>Vận Hành Máy PET</t>
  </si>
  <si>
    <t>Mua hàng XNK</t>
  </si>
  <si>
    <t>Tổ Chất Lượng PP</t>
  </si>
  <si>
    <t>Vận Hành Máy PP</t>
  </si>
  <si>
    <t>Lương nghĩ việc</t>
  </si>
  <si>
    <t>Tổ Tự Động Hóa</t>
  </si>
  <si>
    <t>KTTC</t>
  </si>
  <si>
    <t>KTQT</t>
  </si>
  <si>
    <t>KT kho</t>
  </si>
  <si>
    <t>Tư vấn dịch vụ</t>
  </si>
  <si>
    <t>Hành Chánh Xưởng HDPE</t>
  </si>
  <si>
    <t>Hành Chánh Xưởng PET</t>
  </si>
  <si>
    <t>Lái Xe Nâng HDPE</t>
  </si>
  <si>
    <t>Lái Xe Nâng PET</t>
  </si>
  <si>
    <t>Lái Xe Nâng PP</t>
  </si>
  <si>
    <t>PET</t>
  </si>
  <si>
    <t>HD</t>
  </si>
  <si>
    <t>PP</t>
  </si>
  <si>
    <t>Mua Hàng &amp; XNK</t>
  </si>
  <si>
    <t>CP thưởng cho NV không tham gia tiệc tất niên</t>
  </si>
  <si>
    <t>Đơn vị</t>
  </si>
  <si>
    <t>Thưởng khác</t>
  </si>
  <si>
    <t>KMP</t>
  </si>
  <si>
    <t>Công ty Cổ phần Nhựa Tái Chế Duy Tân</t>
  </si>
  <si>
    <t>CP lì xì đầu năm</t>
  </si>
  <si>
    <t>Kế Toán Kho</t>
  </si>
  <si>
    <t>Tổ Kế Toán Quản Trị</t>
  </si>
  <si>
    <t>Tổ Kế Toán Tài Chính</t>
  </si>
  <si>
    <t>Quản Lý Chất Lượng</t>
  </si>
  <si>
    <t>Tổ Chất lượng HDPE, PP</t>
  </si>
  <si>
    <t>Tổ Chất lượng Nguyên vật liệu</t>
  </si>
  <si>
    <t>Tổ Chất lượng PET</t>
  </si>
  <si>
    <t>Tổ Văn phòng chung</t>
  </si>
  <si>
    <t>Tư Vấn Dịch Vụ</t>
  </si>
  <si>
    <t>Thưởng lễ</t>
  </si>
  <si>
    <t>622+627</t>
  </si>
  <si>
    <t>Chiến lược CCU</t>
  </si>
  <si>
    <t>BQ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</si>
</sst>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sz val="10"/>
      <color rgb="FF0000FF"/>
      <name val="Times New Roman"/>
      <family val="1"/>
    </font>
    <font>
      <sz val="11"/>
      <color rgb="FF0000FF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8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FF"/>
      <name val="Calibri"/>
      <family val="2"/>
    </font>
    <font>
      <b/>
      <sz val="8"/>
      <color indexed="10"/>
      <name val="Arial"/>
      <family val="2"/>
    </font>
    <font>
      <sz val="10"/>
      <color theme="1"/>
      <name val="Times New Roman"/>
      <family val="1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13" fillId="0" borderId="0"/>
    <xf numFmtId="43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103">
    <xf numFmtId="0" fontId="0" fillId="0" borderId="0" xfId="0"/>
    <xf numFmtId="0" fontId="5" fillId="0" borderId="1" xfId="0" applyFont="1" applyBorder="1"/>
    <xf numFmtId="0" fontId="4" fillId="0" borderId="1" xfId="0" applyFont="1" applyBorder="1"/>
    <xf numFmtId="0" fontId="7" fillId="0" borderId="0" xfId="0" applyFont="1"/>
    <xf numFmtId="0" fontId="4" fillId="2" borderId="3" xfId="0" applyFont="1" applyFill="1" applyBorder="1" applyAlignment="1">
      <alignment horizontal="center"/>
    </xf>
    <xf numFmtId="0" fontId="5" fillId="0" borderId="0" xfId="0" applyFont="1"/>
    <xf numFmtId="0" fontId="9" fillId="0" borderId="0" xfId="0" applyFont="1"/>
    <xf numFmtId="0" fontId="10" fillId="0" borderId="1" xfId="0" applyFont="1" applyBorder="1"/>
    <xf numFmtId="0" fontId="11" fillId="0" borderId="0" xfId="0" applyFont="1"/>
    <xf numFmtId="165" fontId="0" fillId="0" borderId="0" xfId="1" applyNumberFormat="1" applyFont="1"/>
    <xf numFmtId="0" fontId="11" fillId="0" borderId="1" xfId="0" applyFont="1" applyBorder="1"/>
    <xf numFmtId="0" fontId="5" fillId="0" borderId="1" xfId="0" applyFont="1" applyBorder="1" applyAlignment="1">
      <alignment horizontal="left" vertical="center"/>
    </xf>
    <xf numFmtId="165" fontId="0" fillId="0" borderId="0" xfId="0" applyNumberFormat="1"/>
    <xf numFmtId="0" fontId="12" fillId="0" borderId="0" xfId="0" applyFont="1"/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5" fontId="15" fillId="0" borderId="0" xfId="1" applyNumberFormat="1" applyFont="1"/>
    <xf numFmtId="165" fontId="5" fillId="0" borderId="2" xfId="1" applyNumberFormat="1" applyFont="1" applyFill="1" applyBorder="1"/>
    <xf numFmtId="0" fontId="4" fillId="3" borderId="0" xfId="0" applyFont="1" applyFill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6" fillId="0" borderId="0" xfId="0" applyFont="1"/>
    <xf numFmtId="0" fontId="5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15" fillId="0" borderId="0" xfId="1" applyNumberFormat="1" applyFont="1" applyAlignment="1">
      <alignment horizontal="right"/>
    </xf>
    <xf numFmtId="0" fontId="14" fillId="0" borderId="0" xfId="0" applyFont="1" applyAlignment="1">
      <alignment horizontal="left" vertical="top"/>
    </xf>
    <xf numFmtId="165" fontId="10" fillId="0" borderId="1" xfId="1" applyNumberFormat="1" applyFont="1" applyBorder="1" applyAlignment="1">
      <alignment horizontal="center" vertical="center"/>
    </xf>
    <xf numFmtId="0" fontId="3" fillId="0" borderId="0" xfId="8"/>
    <xf numFmtId="3" fontId="3" fillId="0" borderId="0" xfId="8" applyNumberFormat="1"/>
    <xf numFmtId="166" fontId="17" fillId="4" borderId="1" xfId="8" applyNumberFormat="1" applyFont="1" applyFill="1" applyBorder="1" applyAlignment="1">
      <alignment horizontal="center" vertical="center" wrapText="1"/>
    </xf>
    <xf numFmtId="0" fontId="3" fillId="0" borderId="0" xfId="8" applyAlignment="1">
      <alignment horizontal="center"/>
    </xf>
    <xf numFmtId="3" fontId="18" fillId="0" borderId="0" xfId="8" applyNumberFormat="1" applyFont="1"/>
    <xf numFmtId="166" fontId="0" fillId="0" borderId="0" xfId="9" applyNumberFormat="1" applyFont="1"/>
    <xf numFmtId="3" fontId="19" fillId="5" borderId="1" xfId="8" applyNumberFormat="1" applyFont="1" applyFill="1" applyBorder="1"/>
    <xf numFmtId="3" fontId="19" fillId="4" borderId="1" xfId="8" applyNumberFormat="1" applyFont="1" applyFill="1" applyBorder="1"/>
    <xf numFmtId="166" fontId="3" fillId="0" borderId="0" xfId="8" applyNumberFormat="1"/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vertical="center" wrapText="1"/>
    </xf>
    <xf numFmtId="0" fontId="2" fillId="0" borderId="0" xfId="8" applyFont="1"/>
    <xf numFmtId="166" fontId="17" fillId="4" borderId="1" xfId="0" applyNumberFormat="1" applyFont="1" applyFill="1" applyBorder="1" applyAlignment="1">
      <alignment horizontal="center" vertical="center" wrapText="1"/>
    </xf>
    <xf numFmtId="3" fontId="18" fillId="0" borderId="0" xfId="0" applyNumberFormat="1" applyFont="1"/>
    <xf numFmtId="3" fontId="19" fillId="5" borderId="1" xfId="0" applyNumberFormat="1" applyFont="1" applyFill="1" applyBorder="1"/>
    <xf numFmtId="3" fontId="19" fillId="4" borderId="1" xfId="0" applyNumberFormat="1" applyFont="1" applyFill="1" applyBorder="1"/>
    <xf numFmtId="165" fontId="5" fillId="0" borderId="1" xfId="1" applyNumberFormat="1" applyFont="1" applyBorder="1" applyAlignment="1">
      <alignment horizontal="right"/>
    </xf>
    <xf numFmtId="165" fontId="5" fillId="0" borderId="1" xfId="1" applyNumberFormat="1" applyFont="1" applyBorder="1"/>
    <xf numFmtId="165" fontId="10" fillId="0" borderId="1" xfId="1" applyNumberFormat="1" applyFont="1" applyBorder="1" applyAlignment="1">
      <alignment horizontal="right"/>
    </xf>
    <xf numFmtId="165" fontId="10" fillId="0" borderId="1" xfId="1" applyNumberFormat="1" applyFont="1" applyBorder="1"/>
    <xf numFmtId="165" fontId="10" fillId="0" borderId="1" xfId="1" applyNumberFormat="1" applyFont="1" applyBorder="1" applyAlignment="1">
      <alignment horizontal="right" vertical="center"/>
    </xf>
    <xf numFmtId="165" fontId="4" fillId="0" borderId="1" xfId="1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0" fontId="4" fillId="0" borderId="0" xfId="0" applyFont="1"/>
    <xf numFmtId="165" fontId="4" fillId="0" borderId="0" xfId="1" applyNumberFormat="1" applyFont="1" applyBorder="1" applyAlignment="1">
      <alignment horizontal="right"/>
    </xf>
    <xf numFmtId="0" fontId="1" fillId="0" borderId="0" xfId="0" applyFont="1"/>
    <xf numFmtId="0" fontId="20" fillId="0" borderId="0" xfId="0" applyFont="1"/>
    <xf numFmtId="165" fontId="20" fillId="0" borderId="0" xfId="1" applyNumberFormat="1" applyFont="1" applyBorder="1" applyAlignment="1">
      <alignment horizontal="right"/>
    </xf>
    <xf numFmtId="165" fontId="5" fillId="0" borderId="0" xfId="1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165" fontId="0" fillId="0" borderId="1" xfId="0" applyNumberFormat="1" applyBorder="1"/>
    <xf numFmtId="41" fontId="4" fillId="2" borderId="3" xfId="10" applyFont="1" applyFill="1" applyBorder="1" applyAlignment="1">
      <alignment horizontal="center" vertical="center"/>
    </xf>
    <xf numFmtId="41" fontId="7" fillId="0" borderId="0" xfId="10" applyFont="1" applyAlignment="1">
      <alignment horizontal="center"/>
    </xf>
    <xf numFmtId="41" fontId="4" fillId="2" borderId="3" xfId="10" applyFont="1" applyFill="1" applyBorder="1" applyAlignment="1">
      <alignment horizontal="center" vertical="center" wrapText="1"/>
    </xf>
    <xf numFmtId="41" fontId="4" fillId="0" borderId="1" xfId="10" applyFont="1" applyBorder="1" applyAlignment="1">
      <alignment horizontal="right"/>
    </xf>
    <xf numFmtId="41" fontId="4" fillId="2" borderId="1" xfId="10" applyFont="1" applyFill="1" applyBorder="1" applyAlignment="1">
      <alignment horizontal="center" vertical="center" wrapText="1"/>
    </xf>
    <xf numFmtId="41" fontId="7" fillId="0" borderId="0" xfId="10" applyFont="1"/>
    <xf numFmtId="41" fontId="5" fillId="0" borderId="1" xfId="10" applyFont="1" applyBorder="1" applyAlignment="1">
      <alignment horizontal="right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10" applyNumberFormat="1" applyFont="1" applyBorder="1" applyAlignment="1">
      <alignment horizontal="right" vertical="center"/>
    </xf>
    <xf numFmtId="1" fontId="5" fillId="0" borderId="1" xfId="1" applyNumberFormat="1" applyFont="1" applyBorder="1" applyAlignment="1">
      <alignment horizontal="center" vertical="center"/>
    </xf>
    <xf numFmtId="1" fontId="5" fillId="0" borderId="1" xfId="1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10" applyNumberFormat="1" applyFont="1" applyBorder="1" applyAlignment="1">
      <alignment horizontal="right" vertical="center"/>
    </xf>
    <xf numFmtId="1" fontId="10" fillId="0" borderId="1" xfId="1" applyNumberFormat="1" applyFont="1" applyBorder="1" applyAlignment="1">
      <alignment horizontal="center" vertical="center"/>
    </xf>
    <xf numFmtId="1" fontId="10" fillId="0" borderId="1" xfId="1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10" fillId="0" borderId="1" xfId="10" applyNumberFormat="1" applyFont="1" applyBorder="1" applyAlignment="1">
      <alignment horizontal="right" vertical="center" wrapText="1"/>
    </xf>
    <xf numFmtId="1" fontId="10" fillId="0" borderId="1" xfId="1" applyNumberFormat="1" applyFont="1" applyBorder="1" applyAlignment="1">
      <alignment horizontal="center" vertical="center" wrapText="1"/>
    </xf>
    <xf numFmtId="1" fontId="10" fillId="0" borderId="1" xfId="1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/>
    </xf>
    <xf numFmtId="1" fontId="10" fillId="0" borderId="1" xfId="10" applyNumberFormat="1" applyFont="1" applyBorder="1" applyAlignment="1">
      <alignment horizontal="right"/>
    </xf>
    <xf numFmtId="1" fontId="10" fillId="0" borderId="1" xfId="10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0" xfId="1" applyNumberFormat="1" applyFont="1" applyBorder="1" applyAlignment="1">
      <alignment horizontal="center"/>
    </xf>
    <xf numFmtId="1" fontId="5" fillId="3" borderId="1" xfId="1" applyNumberFormat="1" applyFont="1" applyFill="1" applyBorder="1" applyAlignment="1">
      <alignment horizontal="center" vertical="center"/>
    </xf>
    <xf numFmtId="41" fontId="11" fillId="0" borderId="1" xfId="10" applyFont="1" applyBorder="1"/>
    <xf numFmtId="41" fontId="10" fillId="0" borderId="1" xfId="10" applyFont="1" applyBorder="1"/>
    <xf numFmtId="41" fontId="10" fillId="0" borderId="1" xfId="10" applyFont="1" applyBorder="1" applyAlignment="1">
      <alignment horizontal="center"/>
    </xf>
    <xf numFmtId="41" fontId="10" fillId="0" borderId="1" xfId="10" applyFont="1" applyBorder="1" applyAlignment="1">
      <alignment horizontal="right"/>
    </xf>
    <xf numFmtId="41" fontId="11" fillId="0" borderId="0" xfId="10" applyFont="1"/>
    <xf numFmtId="41" fontId="10" fillId="0" borderId="1" xfId="10" applyFont="1" applyBorder="1" applyAlignment="1"/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11">
    <cellStyle name="Comma" xfId="1" builtinId="3"/>
    <cellStyle name="Comma [0]" xfId="10" builtinId="6"/>
    <cellStyle name="Comma 2" xfId="5" xr:uid="{F5E32D38-6F39-41F4-ADC7-4893B04A5ECD}"/>
    <cellStyle name="Comma 3" xfId="7" xr:uid="{17D4895E-5B54-4417-9B2E-2B01CE63DADE}"/>
    <cellStyle name="Comma 4" xfId="9" xr:uid="{62EC19FD-DE42-4C4C-9334-CD0E7AE61B5B}"/>
    <cellStyle name="Normal" xfId="0" builtinId="0"/>
    <cellStyle name="Normal 2" xfId="4" xr:uid="{3AA28BD2-94FB-49AC-BA98-18724A7CB897}"/>
    <cellStyle name="Normal 2 2 5 2 7" xfId="3" xr:uid="{A6678943-4F3C-4324-85BA-70744DE51857}"/>
    <cellStyle name="Normal 3" xfId="8" xr:uid="{F577EFD2-3661-49FB-8E24-C129B08C35D9}"/>
    <cellStyle name="Normal 4" xfId="2" xr:uid="{2DF8C59B-E342-4B64-9718-B1DBBEED8591}"/>
    <cellStyle name="Percent 10 2 7" xfId="6" xr:uid="{C8AA7696-8B63-4656-BBDE-7F5FB439680C}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8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7" sqref="G17"/>
    </sheetView>
  </sheetViews>
  <sheetFormatPr defaultRowHeight="14.5" outlineLevelRow="1" outlineLevelCol="1" x14ac:dyDescent="0.35"/>
  <cols>
    <col min="1" max="1" width="6.453125" customWidth="1"/>
    <col min="2" max="2" width="20.453125" bestFit="1" customWidth="1"/>
    <col min="3" max="3" width="8.81640625" style="29" customWidth="1" outlineLevel="1"/>
    <col min="4" max="14" width="8.81640625" customWidth="1" outlineLevel="1"/>
  </cols>
  <sheetData>
    <row r="1" spans="1:16" x14ac:dyDescent="0.35">
      <c r="D1" s="57"/>
      <c r="E1" s="29"/>
      <c r="F1" s="29"/>
      <c r="G1" s="57"/>
      <c r="H1" s="29"/>
    </row>
    <row r="2" spans="1:16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64" t="s">
        <v>110</v>
      </c>
    </row>
    <row r="3" spans="1:16" x14ac:dyDescent="0.35">
      <c r="A3">
        <v>642</v>
      </c>
      <c r="B3" s="1" t="s">
        <v>82</v>
      </c>
      <c r="C3" s="51">
        <v>1</v>
      </c>
      <c r="D3" s="52">
        <v>1</v>
      </c>
      <c r="E3" s="52">
        <v>1</v>
      </c>
      <c r="F3" s="52">
        <v>1</v>
      </c>
      <c r="G3" s="52">
        <v>1</v>
      </c>
      <c r="H3" s="52"/>
      <c r="I3" s="52"/>
      <c r="J3" s="52"/>
      <c r="K3" s="52"/>
      <c r="L3" s="52"/>
      <c r="M3" s="52"/>
      <c r="N3" s="52"/>
      <c r="O3" s="65">
        <f>AVERAGE(C3:N3)</f>
        <v>1</v>
      </c>
      <c r="P3" s="12"/>
    </row>
    <row r="4" spans="1:16" x14ac:dyDescent="0.35">
      <c r="A4">
        <v>642</v>
      </c>
      <c r="B4" s="1" t="s">
        <v>13</v>
      </c>
      <c r="C4" s="51">
        <v>12</v>
      </c>
      <c r="D4" s="52">
        <v>13</v>
      </c>
      <c r="E4" s="52">
        <v>14</v>
      </c>
      <c r="F4" s="52">
        <v>14</v>
      </c>
      <c r="G4" s="52">
        <v>14</v>
      </c>
      <c r="H4" s="52"/>
      <c r="I4" s="52"/>
      <c r="J4" s="52"/>
      <c r="K4" s="52"/>
      <c r="L4" s="52"/>
      <c r="M4" s="52"/>
      <c r="N4" s="52"/>
      <c r="O4" s="65">
        <f t="shared" ref="O4:O45" si="0">AVERAGE(C4:N4)</f>
        <v>13.4</v>
      </c>
      <c r="P4" s="12"/>
    </row>
    <row r="5" spans="1:16" x14ac:dyDescent="0.35">
      <c r="A5">
        <v>642</v>
      </c>
      <c r="B5" s="1" t="s">
        <v>14</v>
      </c>
      <c r="C5" s="51">
        <v>4</v>
      </c>
      <c r="D5" s="52">
        <v>4</v>
      </c>
      <c r="E5" s="52">
        <v>5</v>
      </c>
      <c r="F5" s="52">
        <v>3</v>
      </c>
      <c r="G5" s="52">
        <v>3</v>
      </c>
      <c r="H5" s="52"/>
      <c r="I5" s="52"/>
      <c r="J5" s="52"/>
      <c r="K5" s="52"/>
      <c r="L5" s="52"/>
      <c r="M5" s="52"/>
      <c r="N5" s="52"/>
      <c r="O5" s="65">
        <f t="shared" si="0"/>
        <v>3.8</v>
      </c>
      <c r="P5" s="12"/>
    </row>
    <row r="6" spans="1:16" x14ac:dyDescent="0.35">
      <c r="A6">
        <v>642</v>
      </c>
      <c r="B6" s="1" t="s">
        <v>109</v>
      </c>
      <c r="C6" s="51">
        <v>3</v>
      </c>
      <c r="D6" s="52">
        <v>3</v>
      </c>
      <c r="E6" s="52">
        <v>3</v>
      </c>
      <c r="F6" s="52">
        <v>3</v>
      </c>
      <c r="G6" s="52">
        <v>3</v>
      </c>
      <c r="H6" s="52"/>
      <c r="I6" s="52"/>
      <c r="J6" s="52"/>
      <c r="K6" s="52"/>
      <c r="L6" s="52"/>
      <c r="M6" s="52"/>
      <c r="N6" s="52"/>
      <c r="O6" s="65">
        <f>AVERAGE(C6:N6)</f>
        <v>3</v>
      </c>
      <c r="P6" s="12"/>
    </row>
    <row r="7" spans="1:16" x14ac:dyDescent="0.35">
      <c r="A7">
        <v>642</v>
      </c>
      <c r="B7" s="1" t="s">
        <v>15</v>
      </c>
      <c r="C7" s="51">
        <f>C8+C9</f>
        <v>39</v>
      </c>
      <c r="D7" s="51">
        <f>D8+D9</f>
        <v>36</v>
      </c>
      <c r="E7" s="51">
        <f>E8+E9</f>
        <v>42</v>
      </c>
      <c r="F7" s="51">
        <f t="shared" ref="F7:G7" si="1">F8+F9</f>
        <v>39</v>
      </c>
      <c r="G7" s="51">
        <f t="shared" si="1"/>
        <v>42</v>
      </c>
      <c r="H7" s="51"/>
      <c r="I7" s="51"/>
      <c r="J7" s="51"/>
      <c r="K7" s="51"/>
      <c r="L7" s="51"/>
      <c r="M7" s="51"/>
      <c r="N7" s="51"/>
      <c r="O7" s="65">
        <f t="shared" si="0"/>
        <v>39.6</v>
      </c>
      <c r="P7" s="12"/>
    </row>
    <row r="8" spans="1:16" s="26" customFormat="1" hidden="1" outlineLevel="1" x14ac:dyDescent="0.35">
      <c r="A8">
        <v>642</v>
      </c>
      <c r="B8" s="7" t="s">
        <v>54</v>
      </c>
      <c r="C8" s="53">
        <v>14</v>
      </c>
      <c r="D8" s="54">
        <v>14</v>
      </c>
      <c r="E8" s="54">
        <v>20</v>
      </c>
      <c r="F8" s="54">
        <v>17</v>
      </c>
      <c r="G8" s="54">
        <v>19</v>
      </c>
      <c r="H8" s="54"/>
      <c r="I8" s="54"/>
      <c r="J8" s="54"/>
      <c r="K8" s="54"/>
      <c r="L8" s="54"/>
      <c r="M8" s="54"/>
      <c r="N8" s="54"/>
      <c r="O8" s="65">
        <f t="shared" si="0"/>
        <v>16.8</v>
      </c>
      <c r="P8" s="12"/>
    </row>
    <row r="9" spans="1:16" s="26" customFormat="1" hidden="1" outlineLevel="1" x14ac:dyDescent="0.35">
      <c r="A9">
        <v>642</v>
      </c>
      <c r="B9" s="7" t="s">
        <v>55</v>
      </c>
      <c r="C9" s="53">
        <v>25</v>
      </c>
      <c r="D9" s="54">
        <v>22</v>
      </c>
      <c r="E9" s="54">
        <v>22</v>
      </c>
      <c r="F9" s="54">
        <v>22</v>
      </c>
      <c r="G9" s="54">
        <v>23</v>
      </c>
      <c r="H9" s="54"/>
      <c r="I9" s="54"/>
      <c r="J9" s="54"/>
      <c r="K9" s="54"/>
      <c r="L9" s="54"/>
      <c r="M9" s="54"/>
      <c r="N9" s="54"/>
      <c r="O9" s="65">
        <f t="shared" si="0"/>
        <v>22.8</v>
      </c>
      <c r="P9" s="12"/>
    </row>
    <row r="10" spans="1:16" collapsed="1" x14ac:dyDescent="0.35">
      <c r="A10">
        <v>642</v>
      </c>
      <c r="B10" s="1" t="s">
        <v>74</v>
      </c>
      <c r="C10" s="51">
        <v>9</v>
      </c>
      <c r="D10" s="52">
        <v>9</v>
      </c>
      <c r="E10" s="52">
        <v>9</v>
      </c>
      <c r="F10" s="52">
        <v>9</v>
      </c>
      <c r="G10" s="52">
        <v>8</v>
      </c>
      <c r="H10" s="52"/>
      <c r="I10" s="52"/>
      <c r="J10" s="52"/>
      <c r="K10" s="52"/>
      <c r="L10" s="52"/>
      <c r="M10" s="52"/>
      <c r="N10" s="52"/>
      <c r="O10" s="65">
        <f t="shared" si="0"/>
        <v>8.8000000000000007</v>
      </c>
      <c r="P10" s="12"/>
    </row>
    <row r="11" spans="1:16" x14ac:dyDescent="0.35">
      <c r="A11">
        <v>642</v>
      </c>
      <c r="B11" s="1" t="s">
        <v>16</v>
      </c>
      <c r="C11" s="51">
        <f t="shared" ref="C11:G11" si="2">SUM(C12:C17)</f>
        <v>43</v>
      </c>
      <c r="D11" s="51">
        <f t="shared" si="2"/>
        <v>42</v>
      </c>
      <c r="E11" s="51">
        <f t="shared" si="2"/>
        <v>41</v>
      </c>
      <c r="F11" s="51">
        <f t="shared" si="2"/>
        <v>39</v>
      </c>
      <c r="G11" s="51">
        <f t="shared" si="2"/>
        <v>38</v>
      </c>
      <c r="H11" s="51"/>
      <c r="I11" s="51"/>
      <c r="J11" s="51"/>
      <c r="K11" s="51"/>
      <c r="L11" s="51"/>
      <c r="M11" s="51"/>
      <c r="N11" s="51"/>
      <c r="O11" s="65">
        <f t="shared" si="0"/>
        <v>40.6</v>
      </c>
      <c r="P11" s="12"/>
    </row>
    <row r="12" spans="1:16" s="26" customFormat="1" hidden="1" outlineLevel="1" x14ac:dyDescent="0.35">
      <c r="A12">
        <v>642</v>
      </c>
      <c r="B12" s="7" t="s">
        <v>56</v>
      </c>
      <c r="C12" s="53">
        <v>10</v>
      </c>
      <c r="D12" s="54">
        <v>10</v>
      </c>
      <c r="E12" s="54">
        <v>10</v>
      </c>
      <c r="F12" s="54">
        <v>9</v>
      </c>
      <c r="G12" s="54">
        <v>9</v>
      </c>
      <c r="H12" s="54"/>
      <c r="I12" s="54"/>
      <c r="J12" s="54"/>
      <c r="K12" s="54"/>
      <c r="L12" s="54"/>
      <c r="M12" s="54"/>
      <c r="N12" s="54"/>
      <c r="O12" s="65">
        <f t="shared" si="0"/>
        <v>9.6</v>
      </c>
      <c r="P12" s="12"/>
    </row>
    <row r="13" spans="1:16" s="26" customFormat="1" hidden="1" outlineLevel="1" x14ac:dyDescent="0.35">
      <c r="A13">
        <v>642</v>
      </c>
      <c r="B13" s="7" t="s">
        <v>57</v>
      </c>
      <c r="C13" s="53">
        <v>8</v>
      </c>
      <c r="D13" s="54">
        <v>8</v>
      </c>
      <c r="E13" s="54">
        <v>8</v>
      </c>
      <c r="F13" s="54">
        <v>8</v>
      </c>
      <c r="G13" s="54">
        <v>8</v>
      </c>
      <c r="H13" s="54"/>
      <c r="I13" s="54"/>
      <c r="J13" s="54"/>
      <c r="K13" s="54"/>
      <c r="L13" s="54"/>
      <c r="M13" s="54"/>
      <c r="N13" s="54"/>
      <c r="O13" s="65">
        <f t="shared" si="0"/>
        <v>8</v>
      </c>
      <c r="P13" s="12"/>
    </row>
    <row r="14" spans="1:16" s="26" customFormat="1" hidden="1" outlineLevel="1" x14ac:dyDescent="0.35">
      <c r="A14">
        <v>642</v>
      </c>
      <c r="B14" s="7" t="s">
        <v>58</v>
      </c>
      <c r="C14" s="53">
        <v>8</v>
      </c>
      <c r="D14" s="54">
        <v>7</v>
      </c>
      <c r="E14" s="54">
        <v>5</v>
      </c>
      <c r="F14" s="54">
        <v>5</v>
      </c>
      <c r="G14" s="54">
        <v>5</v>
      </c>
      <c r="H14" s="54"/>
      <c r="I14" s="54"/>
      <c r="J14" s="54"/>
      <c r="K14" s="54"/>
      <c r="L14" s="54"/>
      <c r="M14" s="54"/>
      <c r="N14" s="54"/>
      <c r="O14" s="65">
        <f t="shared" si="0"/>
        <v>6</v>
      </c>
      <c r="P14" s="12"/>
    </row>
    <row r="15" spans="1:16" s="26" customFormat="1" hidden="1" outlineLevel="1" x14ac:dyDescent="0.35">
      <c r="A15">
        <v>642</v>
      </c>
      <c r="B15" s="7" t="s">
        <v>59</v>
      </c>
      <c r="C15" s="53">
        <v>9</v>
      </c>
      <c r="D15" s="53">
        <v>9</v>
      </c>
      <c r="E15" s="54">
        <v>10</v>
      </c>
      <c r="F15" s="54">
        <v>9</v>
      </c>
      <c r="G15" s="54">
        <v>9</v>
      </c>
      <c r="H15" s="54"/>
      <c r="I15" s="54"/>
      <c r="J15" s="54"/>
      <c r="K15" s="54"/>
      <c r="L15" s="54"/>
      <c r="M15" s="54"/>
      <c r="N15" s="54"/>
      <c r="O15" s="65">
        <f t="shared" si="0"/>
        <v>9.1999999999999993</v>
      </c>
      <c r="P15" s="12"/>
    </row>
    <row r="16" spans="1:16" s="26" customFormat="1" hidden="1" outlineLevel="1" x14ac:dyDescent="0.35">
      <c r="A16">
        <v>642</v>
      </c>
      <c r="B16" s="7" t="s">
        <v>67</v>
      </c>
      <c r="C16" s="53">
        <v>5</v>
      </c>
      <c r="D16" s="53">
        <v>5</v>
      </c>
      <c r="E16" s="54">
        <v>5</v>
      </c>
      <c r="F16" s="54">
        <v>5</v>
      </c>
      <c r="G16" s="54">
        <v>4</v>
      </c>
      <c r="H16" s="54"/>
      <c r="I16" s="54"/>
      <c r="J16" s="54"/>
      <c r="K16" s="54"/>
      <c r="L16" s="54"/>
      <c r="M16" s="54"/>
      <c r="N16" s="54"/>
      <c r="O16" s="65">
        <f t="shared" si="0"/>
        <v>4.8</v>
      </c>
      <c r="P16" s="12"/>
    </row>
    <row r="17" spans="1:16" s="26" customFormat="1" hidden="1" outlineLevel="1" x14ac:dyDescent="0.35">
      <c r="A17">
        <v>642</v>
      </c>
      <c r="B17" s="7" t="s">
        <v>68</v>
      </c>
      <c r="C17" s="53">
        <v>3</v>
      </c>
      <c r="D17" s="53">
        <v>3</v>
      </c>
      <c r="E17" s="54">
        <v>3</v>
      </c>
      <c r="F17" s="54">
        <v>3</v>
      </c>
      <c r="G17" s="54">
        <v>3</v>
      </c>
      <c r="H17" s="54"/>
      <c r="I17" s="54"/>
      <c r="J17" s="54"/>
      <c r="K17" s="54"/>
      <c r="L17" s="54"/>
      <c r="M17" s="54"/>
      <c r="N17" s="54"/>
      <c r="O17" s="65">
        <f t="shared" si="0"/>
        <v>3</v>
      </c>
      <c r="P17" s="12"/>
    </row>
    <row r="18" spans="1:16" collapsed="1" x14ac:dyDescent="0.35">
      <c r="A18">
        <v>642</v>
      </c>
      <c r="B18" s="1" t="s">
        <v>17</v>
      </c>
      <c r="C18" s="51">
        <f>SUM(C19:C21)</f>
        <v>29</v>
      </c>
      <c r="D18" s="51">
        <f>SUM(D19:D21)</f>
        <v>28</v>
      </c>
      <c r="E18" s="51">
        <f t="shared" ref="E18:G18" si="3">SUM(E19:E21)</f>
        <v>28</v>
      </c>
      <c r="F18" s="51">
        <f t="shared" si="3"/>
        <v>28</v>
      </c>
      <c r="G18" s="51">
        <f t="shared" si="3"/>
        <v>30</v>
      </c>
      <c r="H18" s="51"/>
      <c r="I18" s="51"/>
      <c r="J18" s="51"/>
      <c r="K18" s="51"/>
      <c r="L18" s="51"/>
      <c r="M18" s="51"/>
      <c r="N18" s="51"/>
      <c r="O18" s="65">
        <f t="shared" si="0"/>
        <v>28.6</v>
      </c>
      <c r="P18" s="12"/>
    </row>
    <row r="19" spans="1:16" hidden="1" outlineLevel="1" x14ac:dyDescent="0.35">
      <c r="B19" s="24" t="s">
        <v>81</v>
      </c>
      <c r="C19" s="55">
        <v>10</v>
      </c>
      <c r="D19" s="32">
        <v>10</v>
      </c>
      <c r="E19" s="32">
        <v>10</v>
      </c>
      <c r="F19" s="32">
        <v>10</v>
      </c>
      <c r="G19" s="32">
        <v>11</v>
      </c>
      <c r="H19" s="32"/>
      <c r="I19" s="32"/>
      <c r="J19" s="32"/>
      <c r="K19" s="32"/>
      <c r="L19" s="32"/>
      <c r="M19" s="32"/>
      <c r="N19" s="32"/>
      <c r="O19" s="65">
        <f t="shared" si="0"/>
        <v>10.199999999999999</v>
      </c>
      <c r="P19" s="12"/>
    </row>
    <row r="20" spans="1:16" hidden="1" outlineLevel="1" x14ac:dyDescent="0.35">
      <c r="B20" s="24" t="s">
        <v>80</v>
      </c>
      <c r="C20" s="55">
        <v>8</v>
      </c>
      <c r="D20" s="32">
        <v>8</v>
      </c>
      <c r="E20" s="32">
        <v>8</v>
      </c>
      <c r="F20" s="32">
        <v>8</v>
      </c>
      <c r="G20" s="32">
        <v>8</v>
      </c>
      <c r="H20" s="32"/>
      <c r="I20" s="32"/>
      <c r="J20" s="32"/>
      <c r="K20" s="32"/>
      <c r="L20" s="32"/>
      <c r="M20" s="32"/>
      <c r="N20" s="32"/>
      <c r="O20" s="65">
        <f t="shared" si="0"/>
        <v>8</v>
      </c>
      <c r="P20" s="12"/>
    </row>
    <row r="21" spans="1:16" hidden="1" outlineLevel="1" x14ac:dyDescent="0.35">
      <c r="B21" s="24" t="s">
        <v>79</v>
      </c>
      <c r="C21" s="55">
        <v>11</v>
      </c>
      <c r="D21" s="32">
        <v>10</v>
      </c>
      <c r="E21" s="32">
        <v>10</v>
      </c>
      <c r="F21" s="32">
        <v>10</v>
      </c>
      <c r="G21" s="32">
        <v>11</v>
      </c>
      <c r="H21" s="32"/>
      <c r="I21" s="32"/>
      <c r="J21" s="32"/>
      <c r="K21" s="32"/>
      <c r="L21" s="32"/>
      <c r="M21" s="32"/>
      <c r="N21" s="32"/>
      <c r="O21" s="65">
        <f t="shared" si="0"/>
        <v>10.4</v>
      </c>
      <c r="P21" s="12"/>
    </row>
    <row r="22" spans="1:16" collapsed="1" x14ac:dyDescent="0.35">
      <c r="A22">
        <v>641</v>
      </c>
      <c r="B22" s="1" t="s">
        <v>18</v>
      </c>
      <c r="C22" s="51">
        <v>9</v>
      </c>
      <c r="D22" s="52">
        <v>9</v>
      </c>
      <c r="E22" s="52">
        <v>9</v>
      </c>
      <c r="F22" s="52">
        <v>9</v>
      </c>
      <c r="G22" s="52">
        <v>9</v>
      </c>
      <c r="H22" s="52"/>
      <c r="I22" s="52"/>
      <c r="J22" s="52"/>
      <c r="K22" s="52"/>
      <c r="L22" s="52"/>
      <c r="M22" s="52"/>
      <c r="N22" s="52"/>
      <c r="O22" s="65">
        <f t="shared" si="0"/>
        <v>9</v>
      </c>
      <c r="P22" s="12"/>
    </row>
    <row r="23" spans="1:16" x14ac:dyDescent="0.35">
      <c r="A23">
        <v>627</v>
      </c>
      <c r="B23" s="1" t="s">
        <v>19</v>
      </c>
      <c r="C23" s="51">
        <f>SUM(C24:C27)</f>
        <v>47</v>
      </c>
      <c r="D23" s="51">
        <f>SUM(D24:D27)</f>
        <v>44</v>
      </c>
      <c r="E23" s="51">
        <f>SUM(E24:E27)</f>
        <v>43</v>
      </c>
      <c r="F23" s="51">
        <f>SUM(F24:F27)</f>
        <v>42</v>
      </c>
      <c r="G23" s="51">
        <f>SUM(G24:G27)</f>
        <v>46</v>
      </c>
      <c r="H23" s="51"/>
      <c r="I23" s="51"/>
      <c r="J23" s="51"/>
      <c r="K23" s="51"/>
      <c r="L23" s="51"/>
      <c r="M23" s="51"/>
      <c r="N23" s="51"/>
      <c r="O23" s="65">
        <f t="shared" si="0"/>
        <v>44.4</v>
      </c>
      <c r="P23" s="12"/>
    </row>
    <row r="24" spans="1:16" s="26" customFormat="1" hidden="1" outlineLevel="1" x14ac:dyDescent="0.35">
      <c r="B24" s="7" t="s">
        <v>102</v>
      </c>
      <c r="C24" s="53">
        <v>11</v>
      </c>
      <c r="D24" s="54">
        <v>11</v>
      </c>
      <c r="E24" s="54">
        <v>11</v>
      </c>
      <c r="F24" s="54">
        <v>11</v>
      </c>
      <c r="G24" s="54">
        <v>11</v>
      </c>
      <c r="H24" s="54"/>
      <c r="I24" s="54"/>
      <c r="J24" s="54"/>
      <c r="K24" s="54"/>
      <c r="L24" s="54"/>
      <c r="M24" s="54"/>
      <c r="N24" s="54"/>
      <c r="O24" s="65">
        <f t="shared" si="0"/>
        <v>11</v>
      </c>
      <c r="P24" s="12"/>
    </row>
    <row r="25" spans="1:16" s="26" customFormat="1" hidden="1" outlineLevel="1" x14ac:dyDescent="0.35">
      <c r="B25" s="7" t="s">
        <v>103</v>
      </c>
      <c r="C25" s="53">
        <v>7</v>
      </c>
      <c r="D25" s="54">
        <v>7</v>
      </c>
      <c r="E25" s="54">
        <v>7</v>
      </c>
      <c r="F25" s="54">
        <v>7</v>
      </c>
      <c r="G25" s="54">
        <v>7</v>
      </c>
      <c r="H25" s="54"/>
      <c r="I25" s="54"/>
      <c r="J25" s="54"/>
      <c r="K25" s="54"/>
      <c r="L25" s="54"/>
      <c r="M25" s="54"/>
      <c r="N25" s="54"/>
      <c r="O25" s="65">
        <f t="shared" si="0"/>
        <v>7</v>
      </c>
      <c r="P25" s="12"/>
    </row>
    <row r="26" spans="1:16" s="26" customFormat="1" hidden="1" outlineLevel="1" x14ac:dyDescent="0.35">
      <c r="B26" s="7" t="s">
        <v>104</v>
      </c>
      <c r="C26" s="53">
        <v>27</v>
      </c>
      <c r="D26" s="54">
        <v>24</v>
      </c>
      <c r="E26" s="54">
        <v>23</v>
      </c>
      <c r="F26" s="54">
        <v>22</v>
      </c>
      <c r="G26" s="54">
        <v>26</v>
      </c>
      <c r="H26" s="54"/>
      <c r="I26" s="54"/>
      <c r="J26" s="54"/>
      <c r="K26" s="54"/>
      <c r="L26" s="54"/>
      <c r="M26" s="54"/>
      <c r="N26" s="54"/>
      <c r="O26" s="65">
        <f t="shared" si="0"/>
        <v>24.4</v>
      </c>
      <c r="P26" s="12"/>
    </row>
    <row r="27" spans="1:16" s="26" customFormat="1" hidden="1" outlineLevel="1" x14ac:dyDescent="0.35">
      <c r="B27" s="7" t="s">
        <v>105</v>
      </c>
      <c r="C27" s="53">
        <v>2</v>
      </c>
      <c r="D27" s="54">
        <v>2</v>
      </c>
      <c r="E27" s="54">
        <v>2</v>
      </c>
      <c r="F27" s="54">
        <v>2</v>
      </c>
      <c r="G27" s="54">
        <v>2</v>
      </c>
      <c r="H27" s="54"/>
      <c r="I27" s="54"/>
      <c r="J27" s="54"/>
      <c r="K27" s="54"/>
      <c r="L27" s="54"/>
      <c r="M27" s="54"/>
      <c r="N27" s="54"/>
      <c r="O27" s="65">
        <f t="shared" si="0"/>
        <v>2</v>
      </c>
      <c r="P27" s="12"/>
    </row>
    <row r="28" spans="1:16" collapsed="1" x14ac:dyDescent="0.35">
      <c r="A28">
        <v>627</v>
      </c>
      <c r="B28" s="1" t="s">
        <v>20</v>
      </c>
      <c r="C28" s="51">
        <v>8</v>
      </c>
      <c r="D28" s="52">
        <v>8</v>
      </c>
      <c r="E28" s="52">
        <v>7</v>
      </c>
      <c r="F28" s="52">
        <v>7</v>
      </c>
      <c r="G28" s="52">
        <v>7</v>
      </c>
      <c r="H28" s="52"/>
      <c r="I28" s="52"/>
      <c r="J28" s="52"/>
      <c r="K28" s="52"/>
      <c r="L28" s="52"/>
      <c r="M28" s="52"/>
      <c r="N28" s="52"/>
      <c r="O28" s="65">
        <f t="shared" si="0"/>
        <v>7.4</v>
      </c>
      <c r="P28" s="12"/>
    </row>
    <row r="29" spans="1:16" x14ac:dyDescent="0.35">
      <c r="A29">
        <v>627</v>
      </c>
      <c r="B29" s="1" t="s">
        <v>21</v>
      </c>
      <c r="C29" s="51">
        <f>SUM(C30:C35)</f>
        <v>86</v>
      </c>
      <c r="D29" s="51">
        <f>SUM(D30:D35)</f>
        <v>83</v>
      </c>
      <c r="E29" s="51">
        <f t="shared" ref="E29:G29" si="4">SUM(E30:E35)</f>
        <v>79</v>
      </c>
      <c r="F29" s="51">
        <f t="shared" si="4"/>
        <v>83</v>
      </c>
      <c r="G29" s="51">
        <f t="shared" si="4"/>
        <v>82</v>
      </c>
      <c r="H29" s="51"/>
      <c r="I29" s="51"/>
      <c r="J29" s="51"/>
      <c r="K29" s="51"/>
      <c r="L29" s="51"/>
      <c r="M29" s="51"/>
      <c r="N29" s="51"/>
      <c r="O29" s="65">
        <f t="shared" si="0"/>
        <v>82.6</v>
      </c>
      <c r="P29" s="12"/>
    </row>
    <row r="30" spans="1:16" s="26" customFormat="1" hidden="1" outlineLevel="1" x14ac:dyDescent="0.35">
      <c r="B30" s="7" t="s">
        <v>62</v>
      </c>
      <c r="C30" s="53">
        <v>13</v>
      </c>
      <c r="D30" s="54">
        <v>13</v>
      </c>
      <c r="E30" s="54">
        <v>12</v>
      </c>
      <c r="F30" s="54">
        <v>12</v>
      </c>
      <c r="G30" s="54">
        <v>12</v>
      </c>
      <c r="H30" s="54"/>
      <c r="I30" s="54"/>
      <c r="J30" s="54"/>
      <c r="K30" s="54"/>
      <c r="L30" s="54"/>
      <c r="M30" s="54"/>
      <c r="N30" s="54"/>
      <c r="O30" s="65">
        <f t="shared" si="0"/>
        <v>12.4</v>
      </c>
      <c r="P30" s="12"/>
    </row>
    <row r="31" spans="1:16" s="26" customFormat="1" hidden="1" outlineLevel="1" x14ac:dyDescent="0.35">
      <c r="B31" s="7" t="s">
        <v>63</v>
      </c>
      <c r="C31" s="53">
        <v>9</v>
      </c>
      <c r="D31" s="54">
        <v>9</v>
      </c>
      <c r="E31" s="54">
        <v>9</v>
      </c>
      <c r="F31" s="54">
        <v>9</v>
      </c>
      <c r="G31" s="54">
        <v>9</v>
      </c>
      <c r="H31" s="54"/>
      <c r="I31" s="54"/>
      <c r="J31" s="54"/>
      <c r="K31" s="54"/>
      <c r="L31" s="54"/>
      <c r="M31" s="54"/>
      <c r="N31" s="54"/>
      <c r="O31" s="65">
        <f t="shared" si="0"/>
        <v>9</v>
      </c>
      <c r="P31" s="12"/>
    </row>
    <row r="32" spans="1:16" s="26" customFormat="1" hidden="1" outlineLevel="1" x14ac:dyDescent="0.35">
      <c r="B32" s="7" t="s">
        <v>64</v>
      </c>
      <c r="C32" s="53">
        <v>9</v>
      </c>
      <c r="D32" s="54">
        <v>9</v>
      </c>
      <c r="E32" s="54">
        <v>8</v>
      </c>
      <c r="F32" s="54">
        <v>8</v>
      </c>
      <c r="G32" s="54">
        <v>8</v>
      </c>
      <c r="H32" s="54"/>
      <c r="I32" s="54"/>
      <c r="J32" s="54"/>
      <c r="K32" s="54"/>
      <c r="L32" s="54"/>
      <c r="M32" s="54"/>
      <c r="N32" s="54"/>
      <c r="O32" s="65">
        <f t="shared" si="0"/>
        <v>8.4</v>
      </c>
      <c r="P32" s="12"/>
    </row>
    <row r="33" spans="1:16" s="26" customFormat="1" hidden="1" outlineLevel="1" x14ac:dyDescent="0.35">
      <c r="B33" s="7" t="s">
        <v>78</v>
      </c>
      <c r="C33" s="53">
        <v>3</v>
      </c>
      <c r="D33" s="54">
        <v>3</v>
      </c>
      <c r="E33" s="54">
        <v>3</v>
      </c>
      <c r="F33" s="54">
        <v>3</v>
      </c>
      <c r="G33" s="54">
        <v>3</v>
      </c>
      <c r="H33" s="54"/>
      <c r="I33" s="54"/>
      <c r="J33" s="54"/>
      <c r="K33" s="54"/>
      <c r="L33" s="54"/>
      <c r="M33" s="54"/>
      <c r="N33" s="54"/>
      <c r="O33" s="65">
        <f t="shared" si="0"/>
        <v>3</v>
      </c>
      <c r="P33" s="12"/>
    </row>
    <row r="34" spans="1:16" s="26" customFormat="1" hidden="1" outlineLevel="1" x14ac:dyDescent="0.35">
      <c r="B34" s="7" t="s">
        <v>65</v>
      </c>
      <c r="C34" s="53">
        <v>39</v>
      </c>
      <c r="D34" s="54">
        <v>37</v>
      </c>
      <c r="E34" s="54">
        <v>35</v>
      </c>
      <c r="F34" s="54">
        <v>40</v>
      </c>
      <c r="G34" s="54">
        <v>39</v>
      </c>
      <c r="H34" s="54"/>
      <c r="I34" s="54"/>
      <c r="J34" s="54"/>
      <c r="K34" s="54"/>
      <c r="L34" s="54"/>
      <c r="M34" s="54"/>
      <c r="N34" s="54"/>
      <c r="O34" s="65">
        <f t="shared" si="0"/>
        <v>38</v>
      </c>
      <c r="P34" s="12"/>
    </row>
    <row r="35" spans="1:16" s="26" customFormat="1" hidden="1" outlineLevel="1" x14ac:dyDescent="0.35">
      <c r="B35" s="7" t="s">
        <v>66</v>
      </c>
      <c r="C35" s="53">
        <v>13</v>
      </c>
      <c r="D35" s="54">
        <v>12</v>
      </c>
      <c r="E35" s="54">
        <v>12</v>
      </c>
      <c r="F35" s="54">
        <v>11</v>
      </c>
      <c r="G35" s="54">
        <v>11</v>
      </c>
      <c r="H35" s="54"/>
      <c r="I35" s="54"/>
      <c r="J35" s="54"/>
      <c r="K35" s="54"/>
      <c r="L35" s="54"/>
      <c r="M35" s="54"/>
      <c r="N35" s="54"/>
      <c r="O35" s="65">
        <f t="shared" si="0"/>
        <v>11.8</v>
      </c>
      <c r="P35" s="12"/>
    </row>
    <row r="36" spans="1:16" collapsed="1" x14ac:dyDescent="0.35">
      <c r="A36" t="s">
        <v>108</v>
      </c>
      <c r="B36" s="1" t="s">
        <v>22</v>
      </c>
      <c r="C36" s="51">
        <f>SUM(C37:C45)</f>
        <v>321</v>
      </c>
      <c r="D36" s="51">
        <f>SUM(D37:D45)</f>
        <v>295</v>
      </c>
      <c r="E36" s="51">
        <f t="shared" ref="E36:G36" si="5">SUM(E37:E45)</f>
        <v>301</v>
      </c>
      <c r="F36" s="51">
        <f t="shared" si="5"/>
        <v>294</v>
      </c>
      <c r="G36" s="51">
        <f t="shared" si="5"/>
        <v>276</v>
      </c>
      <c r="H36" s="51"/>
      <c r="I36" s="51"/>
      <c r="J36" s="51"/>
      <c r="K36" s="51"/>
      <c r="L36" s="51"/>
      <c r="M36" s="51"/>
      <c r="N36" s="51"/>
      <c r="O36" s="65">
        <f>AVERAGE(C36:N36)</f>
        <v>297.39999999999998</v>
      </c>
      <c r="P36" s="12"/>
    </row>
    <row r="37" spans="1:16" hidden="1" outlineLevel="1" x14ac:dyDescent="0.35">
      <c r="A37">
        <v>627</v>
      </c>
      <c r="B37" s="7" t="s">
        <v>83</v>
      </c>
      <c r="C37" s="53">
        <v>12</v>
      </c>
      <c r="D37" s="54">
        <v>11</v>
      </c>
      <c r="E37" s="54">
        <v>12</v>
      </c>
      <c r="F37" s="54">
        <v>12</v>
      </c>
      <c r="G37" s="54">
        <v>12</v>
      </c>
      <c r="H37" s="54"/>
      <c r="I37" s="54"/>
      <c r="J37" s="54"/>
      <c r="K37" s="54"/>
      <c r="L37" s="54"/>
      <c r="M37" s="54"/>
      <c r="N37" s="54"/>
      <c r="O37" s="65">
        <f t="shared" si="0"/>
        <v>11.8</v>
      </c>
      <c r="P37" s="12"/>
    </row>
    <row r="38" spans="1:16" hidden="1" outlineLevel="1" x14ac:dyDescent="0.35">
      <c r="A38">
        <v>627</v>
      </c>
      <c r="B38" s="7" t="s">
        <v>84</v>
      </c>
      <c r="C38" s="53">
        <v>26</v>
      </c>
      <c r="D38" s="54">
        <v>28</v>
      </c>
      <c r="E38" s="54">
        <v>28</v>
      </c>
      <c r="F38" s="54">
        <v>28</v>
      </c>
      <c r="G38" s="54">
        <v>29</v>
      </c>
      <c r="H38" s="54"/>
      <c r="I38" s="54"/>
      <c r="J38" s="54"/>
      <c r="K38" s="54"/>
      <c r="L38" s="54"/>
      <c r="M38" s="54"/>
      <c r="N38" s="54"/>
      <c r="O38" s="65">
        <f t="shared" si="0"/>
        <v>27.8</v>
      </c>
      <c r="P38" s="12"/>
    </row>
    <row r="39" spans="1:16" hidden="1" outlineLevel="1" x14ac:dyDescent="0.35">
      <c r="A39">
        <v>622</v>
      </c>
      <c r="B39" s="7" t="s">
        <v>85</v>
      </c>
      <c r="C39" s="53">
        <v>6</v>
      </c>
      <c r="D39" s="54">
        <v>5</v>
      </c>
      <c r="E39" s="54">
        <v>6</v>
      </c>
      <c r="F39" s="54">
        <v>6</v>
      </c>
      <c r="G39" s="54">
        <v>6</v>
      </c>
      <c r="H39" s="54"/>
      <c r="I39" s="54"/>
      <c r="J39" s="54"/>
      <c r="K39" s="54"/>
      <c r="L39" s="54"/>
      <c r="M39" s="54"/>
      <c r="N39" s="54"/>
      <c r="O39" s="65">
        <f t="shared" si="0"/>
        <v>5.8</v>
      </c>
      <c r="P39" s="12"/>
    </row>
    <row r="40" spans="1:16" hidden="1" outlineLevel="1" x14ac:dyDescent="0.35">
      <c r="A40">
        <v>622</v>
      </c>
      <c r="B40" s="7" t="s">
        <v>86</v>
      </c>
      <c r="C40" s="53">
        <v>21</v>
      </c>
      <c r="D40" s="54">
        <v>19</v>
      </c>
      <c r="E40" s="54">
        <v>19</v>
      </c>
      <c r="F40" s="54">
        <v>21</v>
      </c>
      <c r="G40" s="54">
        <v>20</v>
      </c>
      <c r="H40" s="54"/>
      <c r="I40" s="54"/>
      <c r="J40" s="54"/>
      <c r="K40" s="54"/>
      <c r="L40" s="54"/>
      <c r="M40" s="54"/>
      <c r="N40" s="54"/>
      <c r="O40" s="65">
        <f t="shared" si="0"/>
        <v>20</v>
      </c>
      <c r="P40" s="12"/>
    </row>
    <row r="41" spans="1:16" hidden="1" outlineLevel="1" x14ac:dyDescent="0.35">
      <c r="A41">
        <v>627</v>
      </c>
      <c r="B41" s="7" t="s">
        <v>70</v>
      </c>
      <c r="C41" s="53">
        <v>4</v>
      </c>
      <c r="D41" s="54">
        <v>4</v>
      </c>
      <c r="E41" s="54">
        <v>4</v>
      </c>
      <c r="F41" s="54">
        <v>4</v>
      </c>
      <c r="G41" s="54">
        <v>3</v>
      </c>
      <c r="H41" s="54"/>
      <c r="I41" s="54"/>
      <c r="J41" s="54"/>
      <c r="K41" s="54"/>
      <c r="L41" s="54"/>
      <c r="M41" s="54"/>
      <c r="N41" s="54"/>
      <c r="O41" s="65">
        <f t="shared" si="0"/>
        <v>3.8</v>
      </c>
      <c r="P41" s="12"/>
    </row>
    <row r="42" spans="1:16" hidden="1" outlineLevel="1" x14ac:dyDescent="0.35">
      <c r="A42">
        <v>627</v>
      </c>
      <c r="B42" s="7" t="s">
        <v>71</v>
      </c>
      <c r="C42" s="53">
        <v>43</v>
      </c>
      <c r="D42" s="54">
        <v>40</v>
      </c>
      <c r="E42" s="54">
        <v>35</v>
      </c>
      <c r="F42" s="54">
        <v>42</v>
      </c>
      <c r="G42" s="54">
        <v>43</v>
      </c>
      <c r="H42" s="54"/>
      <c r="I42" s="54"/>
      <c r="J42" s="54"/>
      <c r="K42" s="54"/>
      <c r="L42" s="54"/>
      <c r="M42" s="54"/>
      <c r="N42" s="54"/>
      <c r="O42" s="65">
        <f t="shared" si="0"/>
        <v>40.6</v>
      </c>
      <c r="P42" s="12"/>
    </row>
    <row r="43" spans="1:16" hidden="1" outlineLevel="1" x14ac:dyDescent="0.35">
      <c r="A43">
        <v>622</v>
      </c>
      <c r="B43" s="7" t="s">
        <v>72</v>
      </c>
      <c r="C43" s="53">
        <v>31</v>
      </c>
      <c r="D43" s="54">
        <v>29</v>
      </c>
      <c r="E43" s="54">
        <v>32</v>
      </c>
      <c r="F43" s="54">
        <v>31</v>
      </c>
      <c r="G43" s="54">
        <v>24</v>
      </c>
      <c r="H43" s="54"/>
      <c r="I43" s="54"/>
      <c r="J43" s="54"/>
      <c r="K43" s="54"/>
      <c r="L43" s="54"/>
      <c r="M43" s="54"/>
      <c r="N43" s="54"/>
      <c r="O43" s="65">
        <f t="shared" si="0"/>
        <v>29.4</v>
      </c>
      <c r="P43" s="12"/>
    </row>
    <row r="44" spans="1:16" hidden="1" outlineLevel="1" x14ac:dyDescent="0.35">
      <c r="A44">
        <v>622</v>
      </c>
      <c r="B44" s="7" t="s">
        <v>73</v>
      </c>
      <c r="C44" s="53">
        <v>177</v>
      </c>
      <c r="D44" s="54">
        <v>158</v>
      </c>
      <c r="E44" s="54">
        <v>164</v>
      </c>
      <c r="F44" s="54">
        <v>149</v>
      </c>
      <c r="G44" s="54">
        <v>138</v>
      </c>
      <c r="H44" s="54"/>
      <c r="I44" s="54"/>
      <c r="J44" s="54"/>
      <c r="K44" s="54"/>
      <c r="L44" s="54"/>
      <c r="M44" s="54"/>
      <c r="N44" s="54"/>
      <c r="O44" s="65">
        <f t="shared" si="0"/>
        <v>157.19999999999999</v>
      </c>
      <c r="P44" s="12"/>
    </row>
    <row r="45" spans="1:16" hidden="1" outlineLevel="1" x14ac:dyDescent="0.35">
      <c r="A45">
        <v>622</v>
      </c>
      <c r="B45" s="7" t="s">
        <v>76</v>
      </c>
      <c r="C45" s="53">
        <v>1</v>
      </c>
      <c r="D45" s="54">
        <v>1</v>
      </c>
      <c r="E45" s="54">
        <v>1</v>
      </c>
      <c r="F45" s="54">
        <v>1</v>
      </c>
      <c r="G45" s="54">
        <v>1</v>
      </c>
      <c r="H45" s="54"/>
      <c r="I45" s="54"/>
      <c r="J45" s="54"/>
      <c r="K45" s="54"/>
      <c r="L45" s="54"/>
      <c r="M45" s="54"/>
      <c r="N45" s="54"/>
      <c r="O45" s="65">
        <f t="shared" si="0"/>
        <v>1</v>
      </c>
      <c r="P45" s="12"/>
    </row>
    <row r="46" spans="1:16" collapsed="1" x14ac:dyDescent="0.35">
      <c r="B46" s="2" t="s">
        <v>27</v>
      </c>
      <c r="C46" s="56">
        <f>C3+C4+C5+C7+C10+C11+C18+C22+C23+C28+C29+C36+C6</f>
        <v>611</v>
      </c>
      <c r="D46" s="56">
        <f t="shared" ref="D46:N46" si="6">D3+D4+D5+D7+D10+D11+D18+D22+D23+D28+D29+D36+D6</f>
        <v>575</v>
      </c>
      <c r="E46" s="56">
        <f t="shared" si="6"/>
        <v>582</v>
      </c>
      <c r="F46" s="56">
        <f t="shared" si="6"/>
        <v>571</v>
      </c>
      <c r="G46" s="56">
        <f t="shared" si="6"/>
        <v>559</v>
      </c>
      <c r="H46" s="56">
        <f t="shared" si="6"/>
        <v>0</v>
      </c>
      <c r="I46" s="56">
        <f t="shared" si="6"/>
        <v>0</v>
      </c>
      <c r="J46" s="56">
        <f t="shared" si="6"/>
        <v>0</v>
      </c>
      <c r="K46" s="56">
        <f t="shared" si="6"/>
        <v>0</v>
      </c>
      <c r="L46" s="56">
        <f t="shared" si="6"/>
        <v>0</v>
      </c>
      <c r="M46" s="56">
        <f t="shared" si="6"/>
        <v>0</v>
      </c>
      <c r="N46" s="56">
        <f t="shared" si="6"/>
        <v>0</v>
      </c>
      <c r="O46" s="56">
        <f>O3+O4+O5+O7+O10+O11+O18+O22+O23+O28+O29+O36+O6</f>
        <v>579.59999999999991</v>
      </c>
      <c r="P46" s="12"/>
    </row>
    <row r="47" spans="1:16" x14ac:dyDescent="0.35">
      <c r="B47" s="58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</row>
    <row r="48" spans="1:16" x14ac:dyDescent="0.35">
      <c r="B48" s="5">
        <v>642</v>
      </c>
      <c r="C48" s="63">
        <f>+C3+C4+C5+C7+C10+C11+C18+C6</f>
        <v>140</v>
      </c>
      <c r="D48" s="63">
        <f t="shared" ref="D48:N48" si="7">+D3+D4+D5+D7+D10+D11+D18+D6</f>
        <v>136</v>
      </c>
      <c r="E48" s="63">
        <f t="shared" si="7"/>
        <v>143</v>
      </c>
      <c r="F48" s="63">
        <f t="shared" si="7"/>
        <v>136</v>
      </c>
      <c r="G48" s="63">
        <f t="shared" si="7"/>
        <v>139</v>
      </c>
      <c r="H48" s="63">
        <f t="shared" si="7"/>
        <v>0</v>
      </c>
      <c r="I48" s="63">
        <f t="shared" si="7"/>
        <v>0</v>
      </c>
      <c r="J48" s="63">
        <f t="shared" si="7"/>
        <v>0</v>
      </c>
      <c r="K48" s="63">
        <f t="shared" si="7"/>
        <v>0</v>
      </c>
      <c r="L48" s="63">
        <f t="shared" si="7"/>
        <v>0</v>
      </c>
      <c r="M48" s="63">
        <f t="shared" si="7"/>
        <v>0</v>
      </c>
      <c r="N48" s="63">
        <f t="shared" si="7"/>
        <v>0</v>
      </c>
    </row>
    <row r="49" spans="2:14" s="60" customFormat="1" x14ac:dyDescent="0.35">
      <c r="B49" s="61">
        <v>622</v>
      </c>
      <c r="C49" s="62">
        <f>C39+C40+C43+C44+C45</f>
        <v>236</v>
      </c>
      <c r="D49" s="62">
        <f t="shared" ref="D49:K49" si="8">D39+D40+D43+D44+D45</f>
        <v>212</v>
      </c>
      <c r="E49" s="62">
        <f t="shared" si="8"/>
        <v>222</v>
      </c>
      <c r="F49" s="62">
        <f t="shared" si="8"/>
        <v>208</v>
      </c>
      <c r="G49" s="62">
        <f t="shared" si="8"/>
        <v>189</v>
      </c>
      <c r="H49" s="62">
        <f t="shared" si="8"/>
        <v>0</v>
      </c>
      <c r="I49" s="62">
        <f t="shared" si="8"/>
        <v>0</v>
      </c>
      <c r="J49" s="62">
        <f t="shared" si="8"/>
        <v>0</v>
      </c>
      <c r="K49" s="62">
        <f t="shared" si="8"/>
        <v>0</v>
      </c>
      <c r="L49" s="62">
        <f t="shared" ref="L49:M49" si="9">L39+L40+L43+L44+L45</f>
        <v>0</v>
      </c>
      <c r="M49" s="62">
        <f t="shared" si="9"/>
        <v>0</v>
      </c>
      <c r="N49" s="62">
        <f t="shared" ref="N49" si="10">N39+N40+N43+N44+N45</f>
        <v>0</v>
      </c>
    </row>
    <row r="50" spans="2:14" x14ac:dyDescent="0.35">
      <c r="B50" s="5">
        <v>627</v>
      </c>
      <c r="C50" s="57">
        <f>+C37+C38+C41+C42+C29+C28+C23</f>
        <v>226</v>
      </c>
      <c r="D50" s="57">
        <f t="shared" ref="D50:J50" si="11">+D37+D38+D41+D42+D29+D28+D23</f>
        <v>218</v>
      </c>
      <c r="E50" s="57">
        <f t="shared" si="11"/>
        <v>208</v>
      </c>
      <c r="F50" s="57">
        <f t="shared" si="11"/>
        <v>218</v>
      </c>
      <c r="G50" s="57">
        <f t="shared" si="11"/>
        <v>222</v>
      </c>
      <c r="H50" s="57">
        <f t="shared" si="11"/>
        <v>0</v>
      </c>
      <c r="I50" s="57">
        <f t="shared" si="11"/>
        <v>0</v>
      </c>
      <c r="J50" s="57">
        <f t="shared" si="11"/>
        <v>0</v>
      </c>
      <c r="K50" s="57">
        <f>+K37+K38+K41+K42+K29+K28+K23</f>
        <v>0</v>
      </c>
      <c r="L50" s="57">
        <f>+L37+L38+L41+L42+L29+L28+L23</f>
        <v>0</v>
      </c>
      <c r="M50" s="57">
        <f>+M37+M38+M41+M42+M29+M28+M23</f>
        <v>0</v>
      </c>
      <c r="N50" s="57">
        <f>+N37+N38+N41+N42+N29+N28+N23</f>
        <v>0</v>
      </c>
    </row>
    <row r="51" spans="2:14" x14ac:dyDescent="0.35">
      <c r="B51" s="5"/>
      <c r="C51" s="57"/>
      <c r="D51" s="57"/>
      <c r="E51" s="57"/>
      <c r="F51" s="57"/>
      <c r="G51" s="57"/>
      <c r="H51" s="57"/>
      <c r="I51" s="57"/>
      <c r="J51" s="57"/>
      <c r="K51" s="57"/>
    </row>
    <row r="52" spans="2:14" hidden="1" x14ac:dyDescent="0.35">
      <c r="B52" s="22" t="s">
        <v>37</v>
      </c>
    </row>
    <row r="53" spans="2:14" hidden="1" x14ac:dyDescent="0.35"/>
    <row r="54" spans="2:14" hidden="1" x14ac:dyDescent="0.35">
      <c r="B54" s="4" t="s">
        <v>0</v>
      </c>
      <c r="C54" s="4" t="s">
        <v>1</v>
      </c>
      <c r="D54" s="4" t="s">
        <v>2</v>
      </c>
      <c r="E54" s="4" t="s">
        <v>3</v>
      </c>
      <c r="F54" s="4" t="s">
        <v>4</v>
      </c>
      <c r="G54" s="4" t="s">
        <v>5</v>
      </c>
      <c r="H54" s="4" t="s">
        <v>6</v>
      </c>
      <c r="I54" s="4" t="s">
        <v>7</v>
      </c>
      <c r="J54" s="4" t="s">
        <v>8</v>
      </c>
      <c r="K54" s="4" t="s">
        <v>9</v>
      </c>
      <c r="L54" s="4" t="s">
        <v>10</v>
      </c>
      <c r="M54" s="4" t="s">
        <v>11</v>
      </c>
      <c r="N54" s="4" t="s">
        <v>12</v>
      </c>
    </row>
    <row r="55" spans="2:14" hidden="1" x14ac:dyDescent="0.35">
      <c r="B55" s="1" t="s">
        <v>13</v>
      </c>
      <c r="C55" s="27">
        <v>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 hidden="1" x14ac:dyDescent="0.35">
      <c r="B56" s="1" t="s">
        <v>14</v>
      </c>
      <c r="C56" s="27"/>
      <c r="D56" s="1"/>
      <c r="E56" s="1"/>
      <c r="F56" s="1">
        <v>2</v>
      </c>
      <c r="G56" s="1"/>
      <c r="H56" s="1"/>
      <c r="I56" s="1"/>
      <c r="J56" s="1"/>
      <c r="K56" s="1"/>
      <c r="L56" s="1"/>
      <c r="M56" s="1"/>
      <c r="N56" s="1"/>
    </row>
    <row r="57" spans="2:14" hidden="1" x14ac:dyDescent="0.35">
      <c r="B57" s="1" t="s">
        <v>15</v>
      </c>
      <c r="C57" s="27">
        <v>2</v>
      </c>
      <c r="D57" s="1">
        <v>2</v>
      </c>
      <c r="E57" s="1"/>
      <c r="F57" s="1">
        <v>4</v>
      </c>
      <c r="G57" s="1">
        <v>1</v>
      </c>
      <c r="H57" s="1"/>
      <c r="I57" s="1"/>
      <c r="J57" s="1"/>
      <c r="K57" s="1"/>
      <c r="L57" s="1"/>
      <c r="M57" s="1"/>
      <c r="N57" s="1"/>
    </row>
    <row r="58" spans="2:14" hidden="1" x14ac:dyDescent="0.35">
      <c r="B58" s="1" t="s">
        <v>74</v>
      </c>
      <c r="C58" s="27"/>
      <c r="D58" s="1"/>
      <c r="E58" s="1"/>
      <c r="F58" s="1"/>
      <c r="G58" s="1">
        <v>1</v>
      </c>
      <c r="H58" s="1"/>
      <c r="I58" s="1"/>
      <c r="J58" s="1"/>
      <c r="K58" s="1"/>
      <c r="L58" s="1"/>
      <c r="M58" s="1"/>
      <c r="N58" s="1"/>
    </row>
    <row r="59" spans="2:14" hidden="1" x14ac:dyDescent="0.35">
      <c r="B59" s="1" t="s">
        <v>16</v>
      </c>
      <c r="C59" s="27">
        <v>2</v>
      </c>
      <c r="D59" s="1">
        <v>1</v>
      </c>
      <c r="E59" s="1">
        <v>1</v>
      </c>
      <c r="F59" s="1">
        <v>1</v>
      </c>
      <c r="G59" s="1">
        <v>2</v>
      </c>
      <c r="H59" s="1"/>
      <c r="I59" s="1"/>
      <c r="J59" s="1"/>
      <c r="K59" s="1"/>
      <c r="L59" s="1"/>
      <c r="M59" s="1"/>
      <c r="N59" s="1"/>
    </row>
    <row r="60" spans="2:14" hidden="1" x14ac:dyDescent="0.35">
      <c r="B60" s="1" t="s">
        <v>17</v>
      </c>
      <c r="C60" s="27"/>
      <c r="D60" s="1"/>
      <c r="E60" s="1"/>
      <c r="F60" s="1">
        <v>1</v>
      </c>
      <c r="G60" s="1"/>
      <c r="H60" s="1"/>
      <c r="I60" s="1"/>
      <c r="J60" s="1"/>
      <c r="K60" s="1"/>
      <c r="L60" s="1"/>
      <c r="M60" s="1"/>
      <c r="N60" s="1"/>
    </row>
    <row r="61" spans="2:14" hidden="1" x14ac:dyDescent="0.35">
      <c r="B61" s="1" t="s">
        <v>18</v>
      </c>
      <c r="C61" s="27"/>
      <c r="D61" s="1"/>
      <c r="E61" s="1">
        <v>1</v>
      </c>
      <c r="F61" s="1"/>
      <c r="G61" s="1"/>
      <c r="H61" s="1"/>
      <c r="I61" s="1"/>
      <c r="J61" s="1"/>
      <c r="K61" s="1"/>
      <c r="L61" s="1"/>
      <c r="M61" s="1"/>
      <c r="N61" s="1"/>
    </row>
    <row r="62" spans="2:14" hidden="1" x14ac:dyDescent="0.35">
      <c r="B62" s="1" t="s">
        <v>19</v>
      </c>
      <c r="C62" s="27">
        <v>1</v>
      </c>
      <c r="D62" s="1">
        <v>3</v>
      </c>
      <c r="E62" s="1">
        <v>3</v>
      </c>
      <c r="F62" s="1">
        <v>3</v>
      </c>
      <c r="G62" s="1">
        <v>1</v>
      </c>
      <c r="H62" s="1"/>
      <c r="I62" s="1"/>
      <c r="J62" s="1"/>
      <c r="K62" s="1"/>
      <c r="L62" s="1"/>
      <c r="M62" s="1"/>
      <c r="N62" s="1"/>
    </row>
    <row r="63" spans="2:14" hidden="1" x14ac:dyDescent="0.35">
      <c r="B63" s="1" t="s">
        <v>20</v>
      </c>
      <c r="C63" s="2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hidden="1" x14ac:dyDescent="0.35">
      <c r="B64" s="1" t="s">
        <v>21</v>
      </c>
      <c r="C64" s="27"/>
      <c r="D64" s="1">
        <v>3</v>
      </c>
      <c r="E64" s="1">
        <v>4</v>
      </c>
      <c r="F64" s="1">
        <v>1</v>
      </c>
      <c r="G64" s="1">
        <v>1</v>
      </c>
      <c r="H64" s="1"/>
      <c r="I64" s="1"/>
      <c r="J64" s="1"/>
      <c r="K64" s="1"/>
      <c r="L64" s="1"/>
      <c r="M64" s="1"/>
      <c r="N64" s="1"/>
    </row>
    <row r="65" spans="2:14" hidden="1" x14ac:dyDescent="0.35">
      <c r="B65" s="1" t="s">
        <v>22</v>
      </c>
      <c r="C65" s="72">
        <f>SUM(C66:C69)</f>
        <v>30</v>
      </c>
      <c r="D65" s="72">
        <f>SUM(D66:D69)</f>
        <v>29</v>
      </c>
      <c r="E65" s="72">
        <f t="shared" ref="E65:N65" si="12">SUM(E66:E69)</f>
        <v>57</v>
      </c>
      <c r="F65" s="72">
        <f t="shared" si="12"/>
        <v>45</v>
      </c>
      <c r="G65" s="72">
        <f t="shared" si="12"/>
        <v>47</v>
      </c>
      <c r="H65" s="72">
        <f t="shared" si="12"/>
        <v>0</v>
      </c>
      <c r="I65" s="72">
        <f t="shared" si="12"/>
        <v>0</v>
      </c>
      <c r="J65" s="72">
        <f t="shared" si="12"/>
        <v>0</v>
      </c>
      <c r="K65" s="72">
        <f t="shared" si="12"/>
        <v>0</v>
      </c>
      <c r="L65" s="72">
        <f t="shared" si="12"/>
        <v>0</v>
      </c>
      <c r="M65" s="72">
        <f t="shared" si="12"/>
        <v>0</v>
      </c>
      <c r="N65" s="72">
        <f t="shared" si="12"/>
        <v>0</v>
      </c>
    </row>
    <row r="66" spans="2:14" s="26" customFormat="1" hidden="1" outlineLevel="1" x14ac:dyDescent="0.35">
      <c r="B66" s="7" t="s">
        <v>23</v>
      </c>
      <c r="C66" s="28">
        <v>3</v>
      </c>
      <c r="D66" s="7">
        <v>1</v>
      </c>
      <c r="E66" s="7">
        <v>1</v>
      </c>
      <c r="F66" s="7">
        <v>3</v>
      </c>
      <c r="G66" s="7">
        <f>1+1</f>
        <v>2</v>
      </c>
      <c r="H66" s="7"/>
      <c r="I66" s="7"/>
      <c r="J66" s="7"/>
      <c r="K66" s="7"/>
      <c r="L66" s="7"/>
      <c r="M66" s="7"/>
      <c r="N66" s="7"/>
    </row>
    <row r="67" spans="2:14" s="26" customFormat="1" hidden="1" outlineLevel="1" x14ac:dyDescent="0.35">
      <c r="B67" s="7" t="s">
        <v>24</v>
      </c>
      <c r="C67" s="28">
        <v>8</v>
      </c>
      <c r="D67" s="7">
        <v>4</v>
      </c>
      <c r="E67" s="7">
        <v>15</v>
      </c>
      <c r="F67" s="7">
        <v>6</v>
      </c>
      <c r="G67" s="7">
        <v>5</v>
      </c>
      <c r="H67" s="7"/>
      <c r="I67" s="7"/>
      <c r="J67" s="7"/>
      <c r="K67" s="7"/>
      <c r="L67" s="7"/>
      <c r="M67" s="7"/>
      <c r="N67" s="7"/>
    </row>
    <row r="68" spans="2:14" s="26" customFormat="1" hidden="1" outlineLevel="1" x14ac:dyDescent="0.35">
      <c r="B68" s="7" t="s">
        <v>25</v>
      </c>
      <c r="C68" s="28"/>
      <c r="D68" s="7">
        <v>4</v>
      </c>
      <c r="E68" s="7">
        <v>6</v>
      </c>
      <c r="F68" s="7">
        <v>2</v>
      </c>
      <c r="G68" s="7">
        <v>6</v>
      </c>
      <c r="H68" s="7"/>
      <c r="I68" s="7"/>
      <c r="J68" s="7"/>
      <c r="K68" s="7"/>
      <c r="L68" s="7"/>
      <c r="M68" s="7"/>
      <c r="N68" s="7"/>
    </row>
    <row r="69" spans="2:14" s="26" customFormat="1" hidden="1" outlineLevel="1" x14ac:dyDescent="0.35">
      <c r="B69" s="7" t="s">
        <v>26</v>
      </c>
      <c r="C69" s="28">
        <v>19</v>
      </c>
      <c r="D69" s="7">
        <v>20</v>
      </c>
      <c r="E69" s="7">
        <v>35</v>
      </c>
      <c r="F69" s="7">
        <v>34</v>
      </c>
      <c r="G69" s="7">
        <v>34</v>
      </c>
      <c r="H69" s="7"/>
      <c r="I69" s="7"/>
      <c r="J69" s="7"/>
      <c r="K69" s="7"/>
      <c r="L69" s="7"/>
      <c r="M69" s="7"/>
      <c r="N69" s="7"/>
    </row>
    <row r="70" spans="2:14" hidden="1" collapsed="1" x14ac:dyDescent="0.35">
      <c r="B70" s="1" t="s">
        <v>82</v>
      </c>
      <c r="C70" s="27"/>
      <c r="D70" s="27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 hidden="1" x14ac:dyDescent="0.35">
      <c r="B71" s="2" t="s">
        <v>27</v>
      </c>
      <c r="C71" s="69">
        <f>SUM(C55:C65,C70)</f>
        <v>36</v>
      </c>
      <c r="D71" s="69">
        <f t="shared" ref="D71:N71" si="13">SUM(D55:D65,D70)</f>
        <v>38</v>
      </c>
      <c r="E71" s="69">
        <f t="shared" si="13"/>
        <v>66</v>
      </c>
      <c r="F71" s="69">
        <f t="shared" si="13"/>
        <v>57</v>
      </c>
      <c r="G71" s="69">
        <f>SUM(G55:G65,G70)</f>
        <v>53</v>
      </c>
      <c r="H71" s="69">
        <f t="shared" si="13"/>
        <v>0</v>
      </c>
      <c r="I71" s="69">
        <f t="shared" si="13"/>
        <v>0</v>
      </c>
      <c r="J71" s="69">
        <f t="shared" si="13"/>
        <v>0</v>
      </c>
      <c r="K71" s="69">
        <f>SUM(K55:K65,K70)</f>
        <v>0</v>
      </c>
      <c r="L71" s="69">
        <f t="shared" si="13"/>
        <v>0</v>
      </c>
      <c r="M71" s="69">
        <f t="shared" si="13"/>
        <v>0</v>
      </c>
      <c r="N71" s="69">
        <f t="shared" si="13"/>
        <v>0</v>
      </c>
    </row>
    <row r="72" spans="2:14" s="20" customFormat="1" ht="13" hidden="1" x14ac:dyDescent="0.3">
      <c r="B72" s="21" t="s">
        <v>77</v>
      </c>
      <c r="C72" s="30">
        <v>498875454</v>
      </c>
      <c r="D72" s="20">
        <v>198293535</v>
      </c>
      <c r="E72" s="20">
        <v>135891130</v>
      </c>
      <c r="F72" s="20">
        <v>329274057</v>
      </c>
      <c r="G72" s="20">
        <v>121375190</v>
      </c>
    </row>
    <row r="73" spans="2:14" hidden="1" x14ac:dyDescent="0.35"/>
    <row r="74" spans="2:14" hidden="1" x14ac:dyDescent="0.35">
      <c r="F74" s="12"/>
    </row>
    <row r="75" spans="2:14" hidden="1" x14ac:dyDescent="0.35">
      <c r="J75" s="9"/>
    </row>
    <row r="76" spans="2:14" x14ac:dyDescent="0.35">
      <c r="J76" s="12"/>
    </row>
    <row r="77" spans="2:14" x14ac:dyDescent="0.35">
      <c r="J77" s="12"/>
    </row>
    <row r="78" spans="2:14" x14ac:dyDescent="0.35">
      <c r="J78" s="12"/>
    </row>
    <row r="79" spans="2:14" x14ac:dyDescent="0.35">
      <c r="J79" s="12"/>
    </row>
    <row r="80" spans="2:14" x14ac:dyDescent="0.35">
      <c r="J80" s="12"/>
    </row>
    <row r="81" spans="10:10" x14ac:dyDescent="0.35">
      <c r="J81" s="12"/>
    </row>
    <row r="82" spans="10:10" x14ac:dyDescent="0.35">
      <c r="J82" s="12"/>
    </row>
    <row r="83" spans="10:10" x14ac:dyDescent="0.35">
      <c r="J83" s="12"/>
    </row>
    <row r="84" spans="10:10" x14ac:dyDescent="0.35">
      <c r="J84" s="12"/>
    </row>
    <row r="85" spans="10:10" x14ac:dyDescent="0.35">
      <c r="J85" s="12"/>
    </row>
  </sheetData>
  <autoFilter ref="A2:O46" xr:uid="{00000000-0001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7D26-4023-44F8-AB82-ED5825F104D9}">
  <sheetPr codeName="Sheet2"/>
  <dimension ref="A1:AM53"/>
  <sheetViews>
    <sheetView tabSelected="1" zoomScale="115" zoomScaleNormal="115" workbookViewId="0">
      <pane xSplit="3" ySplit="2" topLeftCell="J9" activePane="bottomRight" state="frozen"/>
      <selection pane="topRight" activeCell="B1" sqref="B1"/>
      <selection pane="bottomLeft" activeCell="A3" sqref="A3"/>
      <selection pane="bottomRight" activeCell="A20" sqref="A20:XFD20"/>
    </sheetView>
  </sheetViews>
  <sheetFormatPr defaultColWidth="8.81640625" defaultRowHeight="14" outlineLevelRow="1" x14ac:dyDescent="0.3"/>
  <cols>
    <col min="1" max="1" width="5.54296875" style="3" customWidth="1"/>
    <col min="2" max="2" width="0" style="3" hidden="1" customWidth="1"/>
    <col min="3" max="3" width="20.1796875" style="3" customWidth="1"/>
    <col min="4" max="5" width="8.81640625" style="17" customWidth="1"/>
    <col min="6" max="6" width="8.81640625" style="71" customWidth="1"/>
    <col min="7" max="8" width="8.81640625" style="17" customWidth="1"/>
    <col min="9" max="9" width="8.81640625" style="67" customWidth="1"/>
    <col min="10" max="11" width="8.81640625" style="17" customWidth="1"/>
    <col min="12" max="12" width="8.81640625" style="67" customWidth="1"/>
    <col min="13" max="14" width="8.81640625" style="17" customWidth="1"/>
    <col min="15" max="15" width="8.81640625" style="67" customWidth="1"/>
    <col min="16" max="17" width="8.81640625" style="17" customWidth="1"/>
    <col min="18" max="18" width="8.81640625" style="67" customWidth="1"/>
    <col min="19" max="20" width="8.81640625" style="17" customWidth="1"/>
    <col min="21" max="21" width="8.81640625" style="67" customWidth="1"/>
    <col min="22" max="23" width="8.81640625" style="17" customWidth="1"/>
    <col min="24" max="24" width="8.81640625" style="67" customWidth="1"/>
    <col min="25" max="26" width="8.81640625" style="17" customWidth="1"/>
    <col min="27" max="27" width="8.81640625" style="67" customWidth="1"/>
    <col min="28" max="29" width="8.81640625" style="17" customWidth="1"/>
    <col min="30" max="30" width="8.81640625" style="67" customWidth="1"/>
    <col min="31" max="31" width="8.81640625" style="17" customWidth="1"/>
    <col min="32" max="32" width="8.453125" style="17" customWidth="1"/>
    <col min="33" max="34" width="8.81640625" style="67" customWidth="1"/>
    <col min="35" max="35" width="11.1796875" style="67" customWidth="1"/>
    <col min="36" max="39" width="8.81640625" style="67" customWidth="1"/>
    <col min="40" max="40" width="8.81640625" style="3" customWidth="1"/>
    <col min="41" max="16384" width="8.81640625" style="3"/>
  </cols>
  <sheetData>
    <row r="1" spans="1:39" s="6" customFormat="1" ht="15" x14ac:dyDescent="0.3">
      <c r="A1" s="31" t="s">
        <v>42</v>
      </c>
      <c r="B1" s="31"/>
      <c r="C1" s="15"/>
      <c r="D1" s="101" t="s">
        <v>1</v>
      </c>
      <c r="E1" s="102"/>
      <c r="F1" s="102"/>
      <c r="G1" s="101" t="s">
        <v>2</v>
      </c>
      <c r="H1" s="102"/>
      <c r="I1" s="102"/>
      <c r="J1" s="99" t="s">
        <v>3</v>
      </c>
      <c r="K1" s="100"/>
      <c r="L1" s="100"/>
      <c r="M1" s="99" t="s">
        <v>4</v>
      </c>
      <c r="N1" s="100"/>
      <c r="O1" s="100"/>
      <c r="P1" s="99" t="s">
        <v>5</v>
      </c>
      <c r="Q1" s="100"/>
      <c r="R1" s="100"/>
      <c r="S1" s="99" t="s">
        <v>6</v>
      </c>
      <c r="T1" s="100"/>
      <c r="U1" s="100"/>
      <c r="V1" s="99" t="s">
        <v>7</v>
      </c>
      <c r="W1" s="100"/>
      <c r="X1" s="100"/>
      <c r="Y1" s="99" t="s">
        <v>8</v>
      </c>
      <c r="Z1" s="100"/>
      <c r="AA1" s="100"/>
      <c r="AB1" s="99" t="s">
        <v>9</v>
      </c>
      <c r="AC1" s="100"/>
      <c r="AD1" s="100"/>
      <c r="AE1" s="99" t="s">
        <v>10</v>
      </c>
      <c r="AF1" s="100"/>
      <c r="AG1" s="100"/>
      <c r="AH1" s="98" t="s">
        <v>11</v>
      </c>
      <c r="AI1" s="98"/>
      <c r="AJ1" s="98"/>
      <c r="AK1" s="98" t="s">
        <v>12</v>
      </c>
      <c r="AL1" s="98"/>
      <c r="AM1" s="98"/>
    </row>
    <row r="2" spans="1:39" s="16" customFormat="1" ht="26" x14ac:dyDescent="0.35">
      <c r="A2" s="18" t="s">
        <v>45</v>
      </c>
      <c r="B2" s="18"/>
      <c r="C2" s="18" t="s">
        <v>0</v>
      </c>
      <c r="D2" s="18" t="s">
        <v>28</v>
      </c>
      <c r="E2" s="18" t="s">
        <v>29</v>
      </c>
      <c r="F2" s="70" t="s">
        <v>30</v>
      </c>
      <c r="G2" s="18" t="s">
        <v>28</v>
      </c>
      <c r="H2" s="18" t="s">
        <v>29</v>
      </c>
      <c r="I2" s="70" t="s">
        <v>30</v>
      </c>
      <c r="J2" s="18" t="s">
        <v>31</v>
      </c>
      <c r="K2" s="18" t="s">
        <v>32</v>
      </c>
      <c r="L2" s="70" t="s">
        <v>30</v>
      </c>
      <c r="M2" s="18" t="s">
        <v>33</v>
      </c>
      <c r="N2" s="18" t="s">
        <v>34</v>
      </c>
      <c r="O2" s="70" t="s">
        <v>30</v>
      </c>
      <c r="P2" s="19" t="s">
        <v>35</v>
      </c>
      <c r="Q2" s="19" t="s">
        <v>36</v>
      </c>
      <c r="R2" s="68" t="s">
        <v>30</v>
      </c>
      <c r="S2" s="19" t="s">
        <v>38</v>
      </c>
      <c r="T2" s="19" t="s">
        <v>39</v>
      </c>
      <c r="U2" s="68" t="s">
        <v>30</v>
      </c>
      <c r="V2" s="19" t="s">
        <v>40</v>
      </c>
      <c r="W2" s="19" t="s">
        <v>41</v>
      </c>
      <c r="X2" s="68" t="s">
        <v>30</v>
      </c>
      <c r="Y2" s="19" t="s">
        <v>43</v>
      </c>
      <c r="Z2" s="19" t="s">
        <v>44</v>
      </c>
      <c r="AA2" s="68" t="s">
        <v>30</v>
      </c>
      <c r="AB2" s="19" t="s">
        <v>46</v>
      </c>
      <c r="AC2" s="19" t="s">
        <v>47</v>
      </c>
      <c r="AD2" s="68" t="s">
        <v>30</v>
      </c>
      <c r="AE2" s="19" t="s">
        <v>48</v>
      </c>
      <c r="AF2" s="19" t="s">
        <v>49</v>
      </c>
      <c r="AG2" s="68" t="s">
        <v>30</v>
      </c>
      <c r="AH2" s="66" t="s">
        <v>50</v>
      </c>
      <c r="AI2" s="66" t="s">
        <v>51</v>
      </c>
      <c r="AJ2" s="68" t="s">
        <v>30</v>
      </c>
      <c r="AK2" s="66" t="s">
        <v>52</v>
      </c>
      <c r="AL2" s="66" t="s">
        <v>53</v>
      </c>
      <c r="AM2" s="68" t="s">
        <v>30</v>
      </c>
    </row>
    <row r="3" spans="1:39" s="16" customFormat="1" x14ac:dyDescent="0.35">
      <c r="A3" s="14">
        <v>642</v>
      </c>
      <c r="B3" s="14"/>
      <c r="C3" s="11" t="s">
        <v>82</v>
      </c>
      <c r="D3" s="73">
        <v>1</v>
      </c>
      <c r="E3" s="73">
        <v>1</v>
      </c>
      <c r="F3" s="74">
        <f>E3-D3</f>
        <v>0</v>
      </c>
      <c r="G3" s="73">
        <v>1</v>
      </c>
      <c r="H3" s="75">
        <v>1</v>
      </c>
      <c r="I3" s="74">
        <f>H3-G3</f>
        <v>0</v>
      </c>
      <c r="J3" s="73">
        <v>1</v>
      </c>
      <c r="K3" s="75">
        <v>1</v>
      </c>
      <c r="L3" s="74">
        <f>K3-J3</f>
        <v>0</v>
      </c>
      <c r="M3" s="73">
        <v>1</v>
      </c>
      <c r="N3" s="75">
        <v>1</v>
      </c>
      <c r="O3" s="74">
        <f>N3-M3</f>
        <v>0</v>
      </c>
      <c r="P3" s="73">
        <v>1</v>
      </c>
      <c r="Q3" s="75">
        <v>1</v>
      </c>
      <c r="R3" s="74">
        <f>Q3-P3</f>
        <v>0</v>
      </c>
      <c r="S3" s="91">
        <v>1</v>
      </c>
      <c r="T3" s="73"/>
      <c r="U3" s="74">
        <f>T3-S3</f>
        <v>-1</v>
      </c>
      <c r="V3" s="73">
        <v>1</v>
      </c>
      <c r="W3" s="73"/>
      <c r="X3" s="74">
        <f>W3-V3</f>
        <v>-1</v>
      </c>
      <c r="Y3" s="73">
        <v>1</v>
      </c>
      <c r="Z3" s="73"/>
      <c r="AA3" s="74">
        <f>Z3-Y3</f>
        <v>-1</v>
      </c>
      <c r="AB3" s="73">
        <v>1</v>
      </c>
      <c r="AC3" s="75"/>
      <c r="AD3" s="74">
        <f>AC3-AB3</f>
        <v>-1</v>
      </c>
      <c r="AE3" s="73">
        <v>1</v>
      </c>
      <c r="AF3" s="75"/>
      <c r="AG3" s="74">
        <f>AF3-AE3</f>
        <v>-1</v>
      </c>
      <c r="AH3" s="73">
        <v>1</v>
      </c>
      <c r="AI3" s="76"/>
      <c r="AJ3" s="74">
        <f>AI3-AH3</f>
        <v>-1</v>
      </c>
      <c r="AK3" s="73">
        <v>1</v>
      </c>
      <c r="AL3" s="76"/>
      <c r="AM3" s="74">
        <f>AL3-AK3</f>
        <v>-1</v>
      </c>
    </row>
    <row r="4" spans="1:39" s="16" customFormat="1" x14ac:dyDescent="0.35">
      <c r="A4" s="14">
        <v>642</v>
      </c>
      <c r="B4" s="14" t="s">
        <v>13</v>
      </c>
      <c r="C4" s="11" t="s">
        <v>13</v>
      </c>
      <c r="D4" s="73">
        <v>12</v>
      </c>
      <c r="E4" s="73">
        <v>12</v>
      </c>
      <c r="F4" s="74">
        <f>E4-D4</f>
        <v>0</v>
      </c>
      <c r="G4" s="75">
        <v>12</v>
      </c>
      <c r="H4" s="75">
        <v>13</v>
      </c>
      <c r="I4" s="74">
        <f>H4-G4</f>
        <v>1</v>
      </c>
      <c r="J4" s="75">
        <v>12</v>
      </c>
      <c r="K4" s="75">
        <v>14</v>
      </c>
      <c r="L4" s="74">
        <f>K4-J4</f>
        <v>2</v>
      </c>
      <c r="M4" s="75">
        <v>13</v>
      </c>
      <c r="N4" s="75">
        <v>14</v>
      </c>
      <c r="O4" s="74">
        <f>N4-M4</f>
        <v>1</v>
      </c>
      <c r="P4" s="75">
        <v>13</v>
      </c>
      <c r="Q4" s="75">
        <v>14</v>
      </c>
      <c r="R4" s="74">
        <f>Q4-P4</f>
        <v>1</v>
      </c>
      <c r="S4" s="75">
        <v>13</v>
      </c>
      <c r="T4" s="75"/>
      <c r="U4" s="74">
        <f>T4-S4</f>
        <v>-13</v>
      </c>
      <c r="V4" s="75">
        <v>13</v>
      </c>
      <c r="W4" s="75"/>
      <c r="X4" s="74">
        <f>W4-V4</f>
        <v>-13</v>
      </c>
      <c r="Y4" s="75">
        <v>13</v>
      </c>
      <c r="Z4" s="75"/>
      <c r="AA4" s="74">
        <f>Z4-Y4</f>
        <v>-13</v>
      </c>
      <c r="AB4" s="75">
        <v>13</v>
      </c>
      <c r="AC4" s="75"/>
      <c r="AD4" s="74">
        <f>AC4-AB4</f>
        <v>-13</v>
      </c>
      <c r="AE4" s="75">
        <v>13</v>
      </c>
      <c r="AF4" s="75"/>
      <c r="AG4" s="74">
        <f>AF4-AE4</f>
        <v>-13</v>
      </c>
      <c r="AH4" s="75">
        <v>13</v>
      </c>
      <c r="AI4" s="76"/>
      <c r="AJ4" s="74">
        <f>AI4-AH4</f>
        <v>-13</v>
      </c>
      <c r="AK4" s="75">
        <v>13</v>
      </c>
      <c r="AL4" s="76"/>
      <c r="AM4" s="74">
        <f>AL4-AK4</f>
        <v>-13</v>
      </c>
    </row>
    <row r="5" spans="1:39" s="16" customFormat="1" x14ac:dyDescent="0.35">
      <c r="A5" s="14">
        <v>642</v>
      </c>
      <c r="B5" s="14" t="s">
        <v>14</v>
      </c>
      <c r="C5" s="11" t="s">
        <v>14</v>
      </c>
      <c r="D5" s="73">
        <v>4</v>
      </c>
      <c r="E5" s="73">
        <v>4</v>
      </c>
      <c r="F5" s="74">
        <f>E5-D5</f>
        <v>0</v>
      </c>
      <c r="G5" s="75">
        <v>4</v>
      </c>
      <c r="H5" s="75">
        <v>4</v>
      </c>
      <c r="I5" s="74">
        <f>H5-G5</f>
        <v>0</v>
      </c>
      <c r="J5" s="75">
        <v>4</v>
      </c>
      <c r="K5" s="75">
        <v>5</v>
      </c>
      <c r="L5" s="74">
        <f>K5-J5</f>
        <v>1</v>
      </c>
      <c r="M5" s="75">
        <v>3</v>
      </c>
      <c r="N5" s="75">
        <v>3</v>
      </c>
      <c r="O5" s="74">
        <f>N5-M5</f>
        <v>0</v>
      </c>
      <c r="P5" s="75">
        <v>3</v>
      </c>
      <c r="Q5" s="75">
        <v>3</v>
      </c>
      <c r="R5" s="74">
        <f>Q5-P5</f>
        <v>0</v>
      </c>
      <c r="S5" s="75">
        <v>3</v>
      </c>
      <c r="T5" s="75"/>
      <c r="U5" s="74">
        <f>T5-S5</f>
        <v>-3</v>
      </c>
      <c r="V5" s="75">
        <v>3</v>
      </c>
      <c r="W5" s="75"/>
      <c r="X5" s="74">
        <f>W5-V5</f>
        <v>-3</v>
      </c>
      <c r="Y5" s="75">
        <v>3</v>
      </c>
      <c r="Z5" s="75"/>
      <c r="AA5" s="74">
        <f>Z5-Y5</f>
        <v>-3</v>
      </c>
      <c r="AB5" s="75">
        <v>3</v>
      </c>
      <c r="AC5" s="75"/>
      <c r="AD5" s="74">
        <f>AC5-AB5</f>
        <v>-3</v>
      </c>
      <c r="AE5" s="75">
        <v>3</v>
      </c>
      <c r="AF5" s="75"/>
      <c r="AG5" s="74">
        <f>AF5-AE5</f>
        <v>-3</v>
      </c>
      <c r="AH5" s="75">
        <v>3</v>
      </c>
      <c r="AI5" s="76"/>
      <c r="AJ5" s="74">
        <f>AI5-AH5</f>
        <v>-3</v>
      </c>
      <c r="AK5" s="75">
        <v>3</v>
      </c>
      <c r="AL5" s="76"/>
      <c r="AM5" s="74">
        <f>AL5-AK5</f>
        <v>-3</v>
      </c>
    </row>
    <row r="6" spans="1:39" s="16" customFormat="1" x14ac:dyDescent="0.35">
      <c r="A6" s="14">
        <v>642</v>
      </c>
      <c r="B6" s="14"/>
      <c r="C6" s="11" t="s">
        <v>109</v>
      </c>
      <c r="D6" s="73">
        <v>3</v>
      </c>
      <c r="E6" s="73">
        <v>3</v>
      </c>
      <c r="F6" s="74">
        <f>E6-D6</f>
        <v>0</v>
      </c>
      <c r="G6" s="73">
        <v>3</v>
      </c>
      <c r="H6" s="75">
        <v>3</v>
      </c>
      <c r="I6" s="74">
        <f>H6-G6</f>
        <v>0</v>
      </c>
      <c r="J6" s="73">
        <v>3</v>
      </c>
      <c r="K6" s="75">
        <v>3</v>
      </c>
      <c r="L6" s="74">
        <f>K6-J6</f>
        <v>0</v>
      </c>
      <c r="M6" s="75">
        <v>3</v>
      </c>
      <c r="N6" s="75">
        <v>3</v>
      </c>
      <c r="O6" s="74">
        <f>N6-M6</f>
        <v>0</v>
      </c>
      <c r="P6" s="75">
        <v>3</v>
      </c>
      <c r="Q6" s="75">
        <v>3</v>
      </c>
      <c r="R6" s="74">
        <f>Q6-P6</f>
        <v>0</v>
      </c>
      <c r="S6" s="75">
        <v>3</v>
      </c>
      <c r="T6" s="75"/>
      <c r="U6" s="74">
        <f>T6-S6</f>
        <v>-3</v>
      </c>
      <c r="V6" s="75">
        <v>3</v>
      </c>
      <c r="W6" s="75"/>
      <c r="X6" s="74">
        <f>W6-V6</f>
        <v>-3</v>
      </c>
      <c r="Y6" s="75">
        <v>3</v>
      </c>
      <c r="Z6" s="75"/>
      <c r="AA6" s="74">
        <f>Z6-Y6</f>
        <v>-3</v>
      </c>
      <c r="AB6" s="75">
        <v>3</v>
      </c>
      <c r="AC6" s="75"/>
      <c r="AD6" s="74">
        <f>AC6-AB6</f>
        <v>-3</v>
      </c>
      <c r="AE6" s="75">
        <v>3</v>
      </c>
      <c r="AF6" s="75"/>
      <c r="AG6" s="74">
        <f>AF6-AE6</f>
        <v>-3</v>
      </c>
      <c r="AH6" s="75">
        <v>3</v>
      </c>
      <c r="AI6" s="76"/>
      <c r="AJ6" s="74">
        <f>AI6-AH6</f>
        <v>-3</v>
      </c>
      <c r="AK6" s="75">
        <v>3</v>
      </c>
      <c r="AL6" s="76"/>
      <c r="AM6" s="74">
        <f>AL6-AK6</f>
        <v>-3</v>
      </c>
    </row>
    <row r="7" spans="1:39" s="16" customFormat="1" x14ac:dyDescent="0.35">
      <c r="A7" s="14">
        <v>642</v>
      </c>
      <c r="B7" s="14" t="s">
        <v>15</v>
      </c>
      <c r="C7" s="11" t="s">
        <v>15</v>
      </c>
      <c r="D7" s="73">
        <f t="shared" ref="D7:AM7" si="0">SUM(D8:D9)</f>
        <v>40</v>
      </c>
      <c r="E7" s="73">
        <f t="shared" si="0"/>
        <v>39</v>
      </c>
      <c r="F7" s="74">
        <f t="shared" si="0"/>
        <v>-1</v>
      </c>
      <c r="G7" s="75">
        <f t="shared" si="0"/>
        <v>40</v>
      </c>
      <c r="H7" s="75">
        <f t="shared" si="0"/>
        <v>36</v>
      </c>
      <c r="I7" s="74">
        <f t="shared" si="0"/>
        <v>-4</v>
      </c>
      <c r="J7" s="75">
        <f t="shared" si="0"/>
        <v>40</v>
      </c>
      <c r="K7" s="75">
        <f t="shared" si="0"/>
        <v>42</v>
      </c>
      <c r="L7" s="74">
        <f t="shared" si="0"/>
        <v>2</v>
      </c>
      <c r="M7" s="75">
        <f t="shared" si="0"/>
        <v>40</v>
      </c>
      <c r="N7" s="75">
        <f t="shared" si="0"/>
        <v>39</v>
      </c>
      <c r="O7" s="74">
        <f t="shared" si="0"/>
        <v>-1</v>
      </c>
      <c r="P7" s="75">
        <f t="shared" si="0"/>
        <v>45</v>
      </c>
      <c r="Q7" s="75">
        <f t="shared" si="0"/>
        <v>42</v>
      </c>
      <c r="R7" s="74">
        <f t="shared" si="0"/>
        <v>-3</v>
      </c>
      <c r="S7" s="75">
        <f t="shared" si="0"/>
        <v>49</v>
      </c>
      <c r="T7" s="75">
        <f t="shared" si="0"/>
        <v>0</v>
      </c>
      <c r="U7" s="74">
        <f t="shared" si="0"/>
        <v>-49</v>
      </c>
      <c r="V7" s="75">
        <f t="shared" si="0"/>
        <v>49</v>
      </c>
      <c r="W7" s="75">
        <f t="shared" si="0"/>
        <v>0</v>
      </c>
      <c r="X7" s="74">
        <f t="shared" si="0"/>
        <v>-49</v>
      </c>
      <c r="Y7" s="75">
        <f t="shared" si="0"/>
        <v>49</v>
      </c>
      <c r="Z7" s="75">
        <f t="shared" si="0"/>
        <v>0</v>
      </c>
      <c r="AA7" s="74">
        <f t="shared" si="0"/>
        <v>-49</v>
      </c>
      <c r="AB7" s="75">
        <f t="shared" si="0"/>
        <v>49</v>
      </c>
      <c r="AC7" s="75">
        <f t="shared" si="0"/>
        <v>0</v>
      </c>
      <c r="AD7" s="74">
        <f t="shared" si="0"/>
        <v>-49</v>
      </c>
      <c r="AE7" s="75">
        <f t="shared" si="0"/>
        <v>49</v>
      </c>
      <c r="AF7" s="75">
        <f t="shared" si="0"/>
        <v>0</v>
      </c>
      <c r="AG7" s="74">
        <f t="shared" si="0"/>
        <v>-49</v>
      </c>
      <c r="AH7" s="76">
        <f t="shared" si="0"/>
        <v>49</v>
      </c>
      <c r="AI7" s="76">
        <f t="shared" si="0"/>
        <v>0</v>
      </c>
      <c r="AJ7" s="74">
        <f t="shared" si="0"/>
        <v>-49</v>
      </c>
      <c r="AK7" s="76">
        <f t="shared" si="0"/>
        <v>49</v>
      </c>
      <c r="AL7" s="76">
        <f t="shared" si="0"/>
        <v>0</v>
      </c>
      <c r="AM7" s="74">
        <f t="shared" si="0"/>
        <v>-49</v>
      </c>
    </row>
    <row r="8" spans="1:39" s="25" customFormat="1" outlineLevel="1" x14ac:dyDescent="0.3">
      <c r="A8" s="23"/>
      <c r="B8" s="23"/>
      <c r="C8" s="7" t="s">
        <v>54</v>
      </c>
      <c r="D8" s="77">
        <v>16</v>
      </c>
      <c r="E8" s="77">
        <v>14</v>
      </c>
      <c r="F8" s="78">
        <f t="shared" ref="F8:F46" si="1">E8-D8</f>
        <v>-2</v>
      </c>
      <c r="G8" s="77">
        <v>16</v>
      </c>
      <c r="H8" s="79">
        <v>14</v>
      </c>
      <c r="I8" s="78">
        <f t="shared" ref="I8:I17" si="2">H8-G8</f>
        <v>-2</v>
      </c>
      <c r="J8" s="77">
        <v>16</v>
      </c>
      <c r="K8" s="79">
        <v>20</v>
      </c>
      <c r="L8" s="78">
        <f t="shared" ref="L8:L17" si="3">K8-J8</f>
        <v>4</v>
      </c>
      <c r="M8" s="77">
        <v>16</v>
      </c>
      <c r="N8" s="79">
        <v>17</v>
      </c>
      <c r="O8" s="78">
        <f t="shared" ref="O8:O17" si="4">N8-M8</f>
        <v>1</v>
      </c>
      <c r="P8" s="79">
        <v>21</v>
      </c>
      <c r="Q8" s="79">
        <v>19</v>
      </c>
      <c r="R8" s="78">
        <f t="shared" ref="R8:R17" si="5">Q8-P8</f>
        <v>-2</v>
      </c>
      <c r="S8" s="79">
        <v>25</v>
      </c>
      <c r="T8" s="79"/>
      <c r="U8" s="78">
        <f t="shared" ref="U8:U17" si="6">T8-S8</f>
        <v>-25</v>
      </c>
      <c r="V8" s="79">
        <v>25</v>
      </c>
      <c r="W8" s="79"/>
      <c r="X8" s="78">
        <f t="shared" ref="X8:X17" si="7">W8-V8</f>
        <v>-25</v>
      </c>
      <c r="Y8" s="79">
        <v>25</v>
      </c>
      <c r="Z8" s="79"/>
      <c r="AA8" s="78">
        <f t="shared" ref="AA8:AA17" si="8">Z8-Y8</f>
        <v>-25</v>
      </c>
      <c r="AB8" s="79">
        <v>25</v>
      </c>
      <c r="AC8" s="79"/>
      <c r="AD8" s="78">
        <f t="shared" ref="AD8:AD17" si="9">AC8-AB8</f>
        <v>-25</v>
      </c>
      <c r="AE8" s="79">
        <v>25</v>
      </c>
      <c r="AF8" s="79"/>
      <c r="AG8" s="78">
        <f t="shared" ref="AG8:AG17" si="10">AF8-AE8</f>
        <v>-25</v>
      </c>
      <c r="AH8" s="79">
        <v>25</v>
      </c>
      <c r="AI8" s="80"/>
      <c r="AJ8" s="78">
        <f t="shared" ref="AJ8:AJ17" si="11">AI8-AH8</f>
        <v>-25</v>
      </c>
      <c r="AK8" s="79">
        <v>25</v>
      </c>
      <c r="AL8" s="80"/>
      <c r="AM8" s="78">
        <f t="shared" ref="AM8:AM17" si="12">AL8-AK8</f>
        <v>-25</v>
      </c>
    </row>
    <row r="9" spans="1:39" s="45" customFormat="1" outlineLevel="1" x14ac:dyDescent="0.3">
      <c r="A9" s="43"/>
      <c r="B9" s="43"/>
      <c r="C9" s="44" t="s">
        <v>55</v>
      </c>
      <c r="D9" s="81">
        <v>24</v>
      </c>
      <c r="E9" s="81">
        <v>25</v>
      </c>
      <c r="F9" s="82">
        <f t="shared" si="1"/>
        <v>1</v>
      </c>
      <c r="G9" s="81">
        <v>24</v>
      </c>
      <c r="H9" s="83">
        <v>22</v>
      </c>
      <c r="I9" s="82">
        <f t="shared" si="2"/>
        <v>-2</v>
      </c>
      <c r="J9" s="81">
        <v>24</v>
      </c>
      <c r="K9" s="83">
        <v>22</v>
      </c>
      <c r="L9" s="82">
        <f t="shared" si="3"/>
        <v>-2</v>
      </c>
      <c r="M9" s="81">
        <v>24</v>
      </c>
      <c r="N9" s="83">
        <v>22</v>
      </c>
      <c r="O9" s="82">
        <f t="shared" si="4"/>
        <v>-2</v>
      </c>
      <c r="P9" s="83">
        <v>24</v>
      </c>
      <c r="Q9" s="83">
        <v>23</v>
      </c>
      <c r="R9" s="82">
        <f t="shared" si="5"/>
        <v>-1</v>
      </c>
      <c r="S9" s="83">
        <v>24</v>
      </c>
      <c r="T9" s="83"/>
      <c r="U9" s="82">
        <f t="shared" si="6"/>
        <v>-24</v>
      </c>
      <c r="V9" s="83">
        <v>24</v>
      </c>
      <c r="W9" s="83"/>
      <c r="X9" s="82">
        <f t="shared" si="7"/>
        <v>-24</v>
      </c>
      <c r="Y9" s="83">
        <v>24</v>
      </c>
      <c r="Z9" s="83"/>
      <c r="AA9" s="82">
        <f t="shared" si="8"/>
        <v>-24</v>
      </c>
      <c r="AB9" s="83">
        <v>24</v>
      </c>
      <c r="AC9" s="83"/>
      <c r="AD9" s="82">
        <f t="shared" si="9"/>
        <v>-24</v>
      </c>
      <c r="AE9" s="83">
        <v>24</v>
      </c>
      <c r="AF9" s="83"/>
      <c r="AG9" s="82">
        <f t="shared" si="10"/>
        <v>-24</v>
      </c>
      <c r="AH9" s="83">
        <v>24</v>
      </c>
      <c r="AI9" s="84"/>
      <c r="AJ9" s="82">
        <f t="shared" si="11"/>
        <v>-24</v>
      </c>
      <c r="AK9" s="83">
        <v>24</v>
      </c>
      <c r="AL9" s="84"/>
      <c r="AM9" s="82">
        <f t="shared" si="12"/>
        <v>-24</v>
      </c>
    </row>
    <row r="10" spans="1:39" s="16" customFormat="1" x14ac:dyDescent="0.35">
      <c r="A10" s="14">
        <v>642</v>
      </c>
      <c r="B10" s="14" t="s">
        <v>91</v>
      </c>
      <c r="C10" s="11" t="s">
        <v>74</v>
      </c>
      <c r="D10" s="73">
        <v>9</v>
      </c>
      <c r="E10" s="73">
        <v>9</v>
      </c>
      <c r="F10" s="74">
        <f t="shared" si="1"/>
        <v>0</v>
      </c>
      <c r="G10" s="73">
        <v>9</v>
      </c>
      <c r="H10" s="75">
        <v>9</v>
      </c>
      <c r="I10" s="74">
        <f t="shared" si="2"/>
        <v>0</v>
      </c>
      <c r="J10" s="73">
        <v>9</v>
      </c>
      <c r="K10" s="75">
        <v>9</v>
      </c>
      <c r="L10" s="74">
        <f t="shared" si="3"/>
        <v>0</v>
      </c>
      <c r="M10" s="73">
        <v>9</v>
      </c>
      <c r="N10" s="75">
        <v>9</v>
      </c>
      <c r="O10" s="74">
        <f t="shared" si="4"/>
        <v>0</v>
      </c>
      <c r="P10" s="73">
        <v>9</v>
      </c>
      <c r="Q10" s="75">
        <v>8</v>
      </c>
      <c r="R10" s="74">
        <f t="shared" si="5"/>
        <v>-1</v>
      </c>
      <c r="S10" s="73">
        <v>9</v>
      </c>
      <c r="T10" s="75"/>
      <c r="U10" s="74">
        <f t="shared" si="6"/>
        <v>-9</v>
      </c>
      <c r="V10" s="73">
        <v>9</v>
      </c>
      <c r="W10" s="75"/>
      <c r="X10" s="74">
        <f t="shared" si="7"/>
        <v>-9</v>
      </c>
      <c r="Y10" s="73">
        <v>9</v>
      </c>
      <c r="Z10" s="75"/>
      <c r="AA10" s="74">
        <f t="shared" si="8"/>
        <v>-9</v>
      </c>
      <c r="AB10" s="73">
        <v>9</v>
      </c>
      <c r="AC10" s="75"/>
      <c r="AD10" s="74">
        <f t="shared" si="9"/>
        <v>-9</v>
      </c>
      <c r="AE10" s="73">
        <v>9</v>
      </c>
      <c r="AF10" s="75"/>
      <c r="AG10" s="74">
        <f t="shared" si="10"/>
        <v>-9</v>
      </c>
      <c r="AH10" s="73">
        <v>9</v>
      </c>
      <c r="AI10" s="76"/>
      <c r="AJ10" s="74">
        <f t="shared" si="11"/>
        <v>-9</v>
      </c>
      <c r="AK10" s="73">
        <v>9</v>
      </c>
      <c r="AL10" s="76"/>
      <c r="AM10" s="74">
        <f t="shared" si="12"/>
        <v>-9</v>
      </c>
    </row>
    <row r="11" spans="1:39" s="16" customFormat="1" x14ac:dyDescent="0.35">
      <c r="A11" s="14">
        <v>642</v>
      </c>
      <c r="B11" s="14" t="s">
        <v>16</v>
      </c>
      <c r="C11" s="11" t="s">
        <v>16</v>
      </c>
      <c r="D11" s="73">
        <f>SUM(D12:D17)</f>
        <v>45</v>
      </c>
      <c r="E11" s="73">
        <f>SUM(E12:E17)</f>
        <v>43</v>
      </c>
      <c r="F11" s="74">
        <f t="shared" si="1"/>
        <v>-2</v>
      </c>
      <c r="G11" s="75">
        <f>SUM(G12:G17)</f>
        <v>45</v>
      </c>
      <c r="H11" s="75">
        <f>SUM(H12:H17)</f>
        <v>42</v>
      </c>
      <c r="I11" s="74">
        <f t="shared" si="2"/>
        <v>-3</v>
      </c>
      <c r="J11" s="75">
        <f>SUM(J12:J17)</f>
        <v>45</v>
      </c>
      <c r="K11" s="75">
        <f>SUM(K12:K17)</f>
        <v>41</v>
      </c>
      <c r="L11" s="74">
        <f t="shared" si="3"/>
        <v>-4</v>
      </c>
      <c r="M11" s="75">
        <f>SUM(M12:M17)</f>
        <v>45</v>
      </c>
      <c r="N11" s="75">
        <f>SUM(N12:N17)</f>
        <v>39</v>
      </c>
      <c r="O11" s="74">
        <f t="shared" si="4"/>
        <v>-6</v>
      </c>
      <c r="P11" s="75">
        <f>SUM(P12:P17)</f>
        <v>45</v>
      </c>
      <c r="Q11" s="75">
        <f>SUM(Q12:Q17)</f>
        <v>38</v>
      </c>
      <c r="R11" s="74">
        <f t="shared" si="5"/>
        <v>-7</v>
      </c>
      <c r="S11" s="75">
        <f>SUM(S12:S17)</f>
        <v>45</v>
      </c>
      <c r="T11" s="75">
        <f>SUM(T12:T17)</f>
        <v>0</v>
      </c>
      <c r="U11" s="74">
        <f t="shared" si="6"/>
        <v>-45</v>
      </c>
      <c r="V11" s="75">
        <f>SUM(V12:V17)</f>
        <v>45</v>
      </c>
      <c r="W11" s="75">
        <f>SUM(W12:W17)</f>
        <v>0</v>
      </c>
      <c r="X11" s="74">
        <f t="shared" si="7"/>
        <v>-45</v>
      </c>
      <c r="Y11" s="75">
        <f>SUM(Y12:Y17)</f>
        <v>45</v>
      </c>
      <c r="Z11" s="75">
        <f>SUM(Z12:Z17)</f>
        <v>0</v>
      </c>
      <c r="AA11" s="74">
        <f t="shared" si="8"/>
        <v>-45</v>
      </c>
      <c r="AB11" s="75">
        <f>SUM(AB12:AB17)</f>
        <v>45</v>
      </c>
      <c r="AC11" s="75">
        <f>SUM(AC12:AC17)</f>
        <v>0</v>
      </c>
      <c r="AD11" s="74">
        <f t="shared" si="9"/>
        <v>-45</v>
      </c>
      <c r="AE11" s="75">
        <f>SUM(AE12:AE17)</f>
        <v>45</v>
      </c>
      <c r="AF11" s="75">
        <f>SUM(AF12:AF17)</f>
        <v>0</v>
      </c>
      <c r="AG11" s="74">
        <f t="shared" si="10"/>
        <v>-45</v>
      </c>
      <c r="AH11" s="76">
        <f>SUM(AH12:AH17)</f>
        <v>45</v>
      </c>
      <c r="AI11" s="76">
        <f>SUM(AI12:AI17)</f>
        <v>0</v>
      </c>
      <c r="AJ11" s="74">
        <f t="shared" si="11"/>
        <v>-45</v>
      </c>
      <c r="AK11" s="76">
        <f>SUM(AK12:AK17)</f>
        <v>45</v>
      </c>
      <c r="AL11" s="76">
        <f>SUM(AL12:AL17)</f>
        <v>0</v>
      </c>
      <c r="AM11" s="74">
        <f t="shared" si="12"/>
        <v>-45</v>
      </c>
    </row>
    <row r="12" spans="1:39" s="25" customFormat="1" outlineLevel="1" x14ac:dyDescent="0.3">
      <c r="A12" s="23"/>
      <c r="B12" s="23"/>
      <c r="C12" s="7" t="s">
        <v>56</v>
      </c>
      <c r="D12" s="77">
        <v>10</v>
      </c>
      <c r="E12" s="77">
        <v>10</v>
      </c>
      <c r="F12" s="78">
        <f t="shared" si="1"/>
        <v>0</v>
      </c>
      <c r="G12" s="77">
        <v>10</v>
      </c>
      <c r="H12" s="79">
        <v>10</v>
      </c>
      <c r="I12" s="78">
        <f t="shared" si="2"/>
        <v>0</v>
      </c>
      <c r="J12" s="77">
        <v>10</v>
      </c>
      <c r="K12" s="79">
        <v>10</v>
      </c>
      <c r="L12" s="78">
        <f t="shared" si="3"/>
        <v>0</v>
      </c>
      <c r="M12" s="77">
        <v>10</v>
      </c>
      <c r="N12" s="79">
        <v>9</v>
      </c>
      <c r="O12" s="78">
        <f t="shared" si="4"/>
        <v>-1</v>
      </c>
      <c r="P12" s="77">
        <v>10</v>
      </c>
      <c r="Q12" s="79">
        <v>9</v>
      </c>
      <c r="R12" s="78">
        <f t="shared" si="5"/>
        <v>-1</v>
      </c>
      <c r="S12" s="77">
        <v>10</v>
      </c>
      <c r="T12" s="79"/>
      <c r="U12" s="78">
        <f t="shared" si="6"/>
        <v>-10</v>
      </c>
      <c r="V12" s="77">
        <v>10</v>
      </c>
      <c r="W12" s="79"/>
      <c r="X12" s="78">
        <f t="shared" si="7"/>
        <v>-10</v>
      </c>
      <c r="Y12" s="77">
        <v>10</v>
      </c>
      <c r="Z12" s="79"/>
      <c r="AA12" s="78">
        <f t="shared" si="8"/>
        <v>-10</v>
      </c>
      <c r="AB12" s="77">
        <v>10</v>
      </c>
      <c r="AC12" s="79"/>
      <c r="AD12" s="78">
        <f t="shared" si="9"/>
        <v>-10</v>
      </c>
      <c r="AE12" s="77">
        <v>10</v>
      </c>
      <c r="AF12" s="79"/>
      <c r="AG12" s="78">
        <f t="shared" si="10"/>
        <v>-10</v>
      </c>
      <c r="AH12" s="77">
        <v>10</v>
      </c>
      <c r="AI12" s="80"/>
      <c r="AJ12" s="78">
        <f t="shared" si="11"/>
        <v>-10</v>
      </c>
      <c r="AK12" s="77">
        <v>10</v>
      </c>
      <c r="AL12" s="80"/>
      <c r="AM12" s="78">
        <f t="shared" si="12"/>
        <v>-10</v>
      </c>
    </row>
    <row r="13" spans="1:39" s="25" customFormat="1" outlineLevel="1" x14ac:dyDescent="0.3">
      <c r="A13" s="23"/>
      <c r="B13" s="23"/>
      <c r="C13" s="7" t="s">
        <v>57</v>
      </c>
      <c r="D13" s="77">
        <v>8</v>
      </c>
      <c r="E13" s="77">
        <v>8</v>
      </c>
      <c r="F13" s="78">
        <f t="shared" si="1"/>
        <v>0</v>
      </c>
      <c r="G13" s="77">
        <v>8</v>
      </c>
      <c r="H13" s="79">
        <v>8</v>
      </c>
      <c r="I13" s="78">
        <f t="shared" si="2"/>
        <v>0</v>
      </c>
      <c r="J13" s="77">
        <v>8</v>
      </c>
      <c r="K13" s="79">
        <v>8</v>
      </c>
      <c r="L13" s="78">
        <f t="shared" si="3"/>
        <v>0</v>
      </c>
      <c r="M13" s="77">
        <v>8</v>
      </c>
      <c r="N13" s="79">
        <v>8</v>
      </c>
      <c r="O13" s="78">
        <f t="shared" si="4"/>
        <v>0</v>
      </c>
      <c r="P13" s="77">
        <v>8</v>
      </c>
      <c r="Q13" s="79">
        <v>8</v>
      </c>
      <c r="R13" s="78">
        <f t="shared" si="5"/>
        <v>0</v>
      </c>
      <c r="S13" s="77">
        <v>8</v>
      </c>
      <c r="T13" s="79"/>
      <c r="U13" s="78">
        <f t="shared" si="6"/>
        <v>-8</v>
      </c>
      <c r="V13" s="77">
        <v>8</v>
      </c>
      <c r="W13" s="79"/>
      <c r="X13" s="78">
        <f t="shared" si="7"/>
        <v>-8</v>
      </c>
      <c r="Y13" s="77">
        <v>8</v>
      </c>
      <c r="Z13" s="79"/>
      <c r="AA13" s="78">
        <f t="shared" si="8"/>
        <v>-8</v>
      </c>
      <c r="AB13" s="77">
        <v>8</v>
      </c>
      <c r="AC13" s="79"/>
      <c r="AD13" s="78">
        <f t="shared" si="9"/>
        <v>-8</v>
      </c>
      <c r="AE13" s="77">
        <v>8</v>
      </c>
      <c r="AF13" s="79"/>
      <c r="AG13" s="78">
        <f t="shared" si="10"/>
        <v>-8</v>
      </c>
      <c r="AH13" s="77">
        <v>8</v>
      </c>
      <c r="AI13" s="80"/>
      <c r="AJ13" s="78">
        <f t="shared" si="11"/>
        <v>-8</v>
      </c>
      <c r="AK13" s="77">
        <v>8</v>
      </c>
      <c r="AL13" s="80"/>
      <c r="AM13" s="78">
        <f t="shared" si="12"/>
        <v>-8</v>
      </c>
    </row>
    <row r="14" spans="1:39" s="25" customFormat="1" outlineLevel="1" x14ac:dyDescent="0.3">
      <c r="A14" s="23"/>
      <c r="B14" s="23"/>
      <c r="C14" s="7" t="s">
        <v>58</v>
      </c>
      <c r="D14" s="77">
        <v>8</v>
      </c>
      <c r="E14" s="77">
        <v>8</v>
      </c>
      <c r="F14" s="78">
        <f t="shared" si="1"/>
        <v>0</v>
      </c>
      <c r="G14" s="77">
        <v>8</v>
      </c>
      <c r="H14" s="79">
        <v>7</v>
      </c>
      <c r="I14" s="78">
        <f t="shared" si="2"/>
        <v>-1</v>
      </c>
      <c r="J14" s="77">
        <v>8</v>
      </c>
      <c r="K14" s="79">
        <v>5</v>
      </c>
      <c r="L14" s="78">
        <f t="shared" si="3"/>
        <v>-3</v>
      </c>
      <c r="M14" s="77">
        <v>8</v>
      </c>
      <c r="N14" s="79">
        <v>5</v>
      </c>
      <c r="O14" s="78">
        <f t="shared" si="4"/>
        <v>-3</v>
      </c>
      <c r="P14" s="77">
        <v>8</v>
      </c>
      <c r="Q14" s="79">
        <v>5</v>
      </c>
      <c r="R14" s="78">
        <f t="shared" si="5"/>
        <v>-3</v>
      </c>
      <c r="S14" s="77">
        <v>8</v>
      </c>
      <c r="T14" s="79"/>
      <c r="U14" s="78">
        <f t="shared" si="6"/>
        <v>-8</v>
      </c>
      <c r="V14" s="77">
        <v>8</v>
      </c>
      <c r="W14" s="79"/>
      <c r="X14" s="78">
        <f t="shared" si="7"/>
        <v>-8</v>
      </c>
      <c r="Y14" s="77">
        <v>8</v>
      </c>
      <c r="Z14" s="79"/>
      <c r="AA14" s="78">
        <f t="shared" si="8"/>
        <v>-8</v>
      </c>
      <c r="AB14" s="77">
        <v>8</v>
      </c>
      <c r="AC14" s="79"/>
      <c r="AD14" s="78">
        <f t="shared" si="9"/>
        <v>-8</v>
      </c>
      <c r="AE14" s="77">
        <v>8</v>
      </c>
      <c r="AF14" s="79"/>
      <c r="AG14" s="78">
        <f t="shared" si="10"/>
        <v>-8</v>
      </c>
      <c r="AH14" s="77">
        <v>8</v>
      </c>
      <c r="AI14" s="80"/>
      <c r="AJ14" s="78">
        <f t="shared" si="11"/>
        <v>-8</v>
      </c>
      <c r="AK14" s="77">
        <v>8</v>
      </c>
      <c r="AL14" s="80"/>
      <c r="AM14" s="78">
        <f t="shared" si="12"/>
        <v>-8</v>
      </c>
    </row>
    <row r="15" spans="1:39" s="25" customFormat="1" outlineLevel="1" x14ac:dyDescent="0.3">
      <c r="A15" s="23"/>
      <c r="B15" s="23"/>
      <c r="C15" s="7" t="s">
        <v>59</v>
      </c>
      <c r="D15" s="77">
        <v>11</v>
      </c>
      <c r="E15" s="77">
        <v>9</v>
      </c>
      <c r="F15" s="78">
        <f t="shared" si="1"/>
        <v>-2</v>
      </c>
      <c r="G15" s="77">
        <v>11</v>
      </c>
      <c r="H15" s="79">
        <v>9</v>
      </c>
      <c r="I15" s="78">
        <f t="shared" si="2"/>
        <v>-2</v>
      </c>
      <c r="J15" s="77">
        <v>11</v>
      </c>
      <c r="K15" s="79">
        <v>10</v>
      </c>
      <c r="L15" s="78">
        <f t="shared" si="3"/>
        <v>-1</v>
      </c>
      <c r="M15" s="77">
        <v>11</v>
      </c>
      <c r="N15" s="79">
        <v>9</v>
      </c>
      <c r="O15" s="78">
        <f t="shared" si="4"/>
        <v>-2</v>
      </c>
      <c r="P15" s="77">
        <v>11</v>
      </c>
      <c r="Q15" s="79">
        <v>9</v>
      </c>
      <c r="R15" s="78">
        <f t="shared" si="5"/>
        <v>-2</v>
      </c>
      <c r="S15" s="77">
        <v>11</v>
      </c>
      <c r="T15" s="79"/>
      <c r="U15" s="78">
        <f t="shared" si="6"/>
        <v>-11</v>
      </c>
      <c r="V15" s="77">
        <v>11</v>
      </c>
      <c r="W15" s="79"/>
      <c r="X15" s="78">
        <f t="shared" si="7"/>
        <v>-11</v>
      </c>
      <c r="Y15" s="77">
        <v>11</v>
      </c>
      <c r="Z15" s="79"/>
      <c r="AA15" s="78">
        <f t="shared" si="8"/>
        <v>-11</v>
      </c>
      <c r="AB15" s="77">
        <v>11</v>
      </c>
      <c r="AC15" s="79"/>
      <c r="AD15" s="78">
        <f t="shared" si="9"/>
        <v>-11</v>
      </c>
      <c r="AE15" s="77">
        <v>11</v>
      </c>
      <c r="AF15" s="79"/>
      <c r="AG15" s="78">
        <f t="shared" si="10"/>
        <v>-11</v>
      </c>
      <c r="AH15" s="77">
        <v>11</v>
      </c>
      <c r="AI15" s="80"/>
      <c r="AJ15" s="78">
        <f t="shared" si="11"/>
        <v>-11</v>
      </c>
      <c r="AK15" s="77">
        <v>11</v>
      </c>
      <c r="AL15" s="80"/>
      <c r="AM15" s="78">
        <f t="shared" si="12"/>
        <v>-11</v>
      </c>
    </row>
    <row r="16" spans="1:39" s="25" customFormat="1" outlineLevel="1" x14ac:dyDescent="0.3">
      <c r="A16" s="23"/>
      <c r="B16" s="23"/>
      <c r="C16" s="7" t="s">
        <v>67</v>
      </c>
      <c r="D16" s="77">
        <v>5</v>
      </c>
      <c r="E16" s="77">
        <v>5</v>
      </c>
      <c r="F16" s="78">
        <f>E16-D16</f>
        <v>0</v>
      </c>
      <c r="G16" s="77">
        <v>5</v>
      </c>
      <c r="H16" s="79">
        <v>5</v>
      </c>
      <c r="I16" s="78">
        <f>H16-G16</f>
        <v>0</v>
      </c>
      <c r="J16" s="77">
        <v>5</v>
      </c>
      <c r="K16" s="79">
        <v>5</v>
      </c>
      <c r="L16" s="78">
        <f>K16-J16</f>
        <v>0</v>
      </c>
      <c r="M16" s="77">
        <v>5</v>
      </c>
      <c r="N16" s="79">
        <v>5</v>
      </c>
      <c r="O16" s="78">
        <f>N16-M16</f>
        <v>0</v>
      </c>
      <c r="P16" s="77">
        <v>5</v>
      </c>
      <c r="Q16" s="79">
        <v>4</v>
      </c>
      <c r="R16" s="78">
        <f>Q16-P16</f>
        <v>-1</v>
      </c>
      <c r="S16" s="77">
        <v>5</v>
      </c>
      <c r="T16" s="79"/>
      <c r="U16" s="78">
        <f>T16-S16</f>
        <v>-5</v>
      </c>
      <c r="V16" s="77">
        <v>5</v>
      </c>
      <c r="W16" s="79"/>
      <c r="X16" s="78">
        <f>W16-V16</f>
        <v>-5</v>
      </c>
      <c r="Y16" s="77">
        <v>5</v>
      </c>
      <c r="Z16" s="79"/>
      <c r="AA16" s="78">
        <f>Z16-Y16</f>
        <v>-5</v>
      </c>
      <c r="AB16" s="77">
        <v>5</v>
      </c>
      <c r="AC16" s="79"/>
      <c r="AD16" s="78">
        <f>AC16-AB16</f>
        <v>-5</v>
      </c>
      <c r="AE16" s="77">
        <v>5</v>
      </c>
      <c r="AF16" s="79"/>
      <c r="AG16" s="78">
        <f>AF16-AE16</f>
        <v>-5</v>
      </c>
      <c r="AH16" s="77">
        <v>5</v>
      </c>
      <c r="AI16" s="80"/>
      <c r="AJ16" s="78">
        <f>AI16-AH16</f>
        <v>-5</v>
      </c>
      <c r="AK16" s="77">
        <v>5</v>
      </c>
      <c r="AL16" s="80"/>
      <c r="AM16" s="78">
        <f>AL16-AK16</f>
        <v>-5</v>
      </c>
    </row>
    <row r="17" spans="1:39" s="25" customFormat="1" outlineLevel="1" x14ac:dyDescent="0.3">
      <c r="A17" s="23"/>
      <c r="B17" s="23"/>
      <c r="C17" s="7" t="s">
        <v>68</v>
      </c>
      <c r="D17" s="77">
        <v>3</v>
      </c>
      <c r="E17" s="77">
        <v>3</v>
      </c>
      <c r="F17" s="78">
        <f t="shared" si="1"/>
        <v>0</v>
      </c>
      <c r="G17" s="77">
        <v>3</v>
      </c>
      <c r="H17" s="79">
        <v>3</v>
      </c>
      <c r="I17" s="78">
        <f t="shared" si="2"/>
        <v>0</v>
      </c>
      <c r="J17" s="77">
        <v>3</v>
      </c>
      <c r="K17" s="79">
        <v>3</v>
      </c>
      <c r="L17" s="78">
        <f t="shared" si="3"/>
        <v>0</v>
      </c>
      <c r="M17" s="77">
        <v>3</v>
      </c>
      <c r="N17" s="79">
        <v>3</v>
      </c>
      <c r="O17" s="78">
        <f t="shared" si="4"/>
        <v>0</v>
      </c>
      <c r="P17" s="77">
        <v>3</v>
      </c>
      <c r="Q17" s="79">
        <v>3</v>
      </c>
      <c r="R17" s="78">
        <f t="shared" si="5"/>
        <v>0</v>
      </c>
      <c r="S17" s="77">
        <v>3</v>
      </c>
      <c r="T17" s="79"/>
      <c r="U17" s="78">
        <f t="shared" si="6"/>
        <v>-3</v>
      </c>
      <c r="V17" s="77">
        <v>3</v>
      </c>
      <c r="W17" s="79"/>
      <c r="X17" s="78">
        <f t="shared" si="7"/>
        <v>-3</v>
      </c>
      <c r="Y17" s="77">
        <v>3</v>
      </c>
      <c r="Z17" s="79"/>
      <c r="AA17" s="78">
        <f t="shared" si="8"/>
        <v>-3</v>
      </c>
      <c r="AB17" s="77">
        <v>3</v>
      </c>
      <c r="AC17" s="79"/>
      <c r="AD17" s="78">
        <f t="shared" si="9"/>
        <v>-3</v>
      </c>
      <c r="AE17" s="77">
        <v>3</v>
      </c>
      <c r="AF17" s="79"/>
      <c r="AG17" s="78">
        <f t="shared" si="10"/>
        <v>-3</v>
      </c>
      <c r="AH17" s="77">
        <v>3</v>
      </c>
      <c r="AI17" s="80"/>
      <c r="AJ17" s="78">
        <f t="shared" si="11"/>
        <v>-3</v>
      </c>
      <c r="AK17" s="77">
        <v>3</v>
      </c>
      <c r="AL17" s="80"/>
      <c r="AM17" s="78">
        <f t="shared" si="12"/>
        <v>-3</v>
      </c>
    </row>
    <row r="18" spans="1:39" s="16" customFormat="1" x14ac:dyDescent="0.35">
      <c r="A18" s="14">
        <v>642</v>
      </c>
      <c r="B18" s="14" t="s">
        <v>17</v>
      </c>
      <c r="C18" s="11" t="s">
        <v>17</v>
      </c>
      <c r="D18" s="73">
        <f t="shared" ref="D18:AM18" si="13">SUM(D19:D21)</f>
        <v>29</v>
      </c>
      <c r="E18" s="73">
        <f t="shared" si="13"/>
        <v>29</v>
      </c>
      <c r="F18" s="74">
        <f t="shared" si="13"/>
        <v>0</v>
      </c>
      <c r="G18" s="75">
        <f t="shared" si="13"/>
        <v>29</v>
      </c>
      <c r="H18" s="75">
        <f t="shared" si="13"/>
        <v>28</v>
      </c>
      <c r="I18" s="74">
        <f t="shared" si="13"/>
        <v>-1</v>
      </c>
      <c r="J18" s="75">
        <f t="shared" si="13"/>
        <v>29</v>
      </c>
      <c r="K18" s="75">
        <f t="shared" si="13"/>
        <v>28</v>
      </c>
      <c r="L18" s="74">
        <f t="shared" si="13"/>
        <v>-1</v>
      </c>
      <c r="M18" s="75">
        <f t="shared" si="13"/>
        <v>29</v>
      </c>
      <c r="N18" s="75">
        <f t="shared" si="13"/>
        <v>28</v>
      </c>
      <c r="O18" s="74">
        <f t="shared" si="13"/>
        <v>-1</v>
      </c>
      <c r="P18" s="75">
        <f t="shared" si="13"/>
        <v>29</v>
      </c>
      <c r="Q18" s="75">
        <f t="shared" si="13"/>
        <v>30</v>
      </c>
      <c r="R18" s="74">
        <f t="shared" si="13"/>
        <v>1</v>
      </c>
      <c r="S18" s="75">
        <f t="shared" si="13"/>
        <v>29</v>
      </c>
      <c r="T18" s="75">
        <f t="shared" si="13"/>
        <v>0</v>
      </c>
      <c r="U18" s="74">
        <f t="shared" si="13"/>
        <v>-29</v>
      </c>
      <c r="V18" s="75">
        <f t="shared" si="13"/>
        <v>29</v>
      </c>
      <c r="W18" s="75">
        <f t="shared" si="13"/>
        <v>0</v>
      </c>
      <c r="X18" s="74">
        <f t="shared" si="13"/>
        <v>-29</v>
      </c>
      <c r="Y18" s="75">
        <f t="shared" si="13"/>
        <v>29</v>
      </c>
      <c r="Z18" s="75">
        <f t="shared" si="13"/>
        <v>0</v>
      </c>
      <c r="AA18" s="74">
        <f t="shared" si="13"/>
        <v>-29</v>
      </c>
      <c r="AB18" s="75">
        <f t="shared" si="13"/>
        <v>29</v>
      </c>
      <c r="AC18" s="75">
        <f t="shared" si="13"/>
        <v>0</v>
      </c>
      <c r="AD18" s="74">
        <f t="shared" si="13"/>
        <v>-29</v>
      </c>
      <c r="AE18" s="75">
        <f t="shared" si="13"/>
        <v>29</v>
      </c>
      <c r="AF18" s="75">
        <f t="shared" si="13"/>
        <v>0</v>
      </c>
      <c r="AG18" s="74">
        <f t="shared" si="13"/>
        <v>-29</v>
      </c>
      <c r="AH18" s="76">
        <f t="shared" si="13"/>
        <v>29</v>
      </c>
      <c r="AI18" s="76">
        <f t="shared" si="13"/>
        <v>0</v>
      </c>
      <c r="AJ18" s="74">
        <f t="shared" si="13"/>
        <v>-29</v>
      </c>
      <c r="AK18" s="76">
        <f t="shared" si="13"/>
        <v>29</v>
      </c>
      <c r="AL18" s="76">
        <f t="shared" si="13"/>
        <v>0</v>
      </c>
      <c r="AM18" s="74">
        <f t="shared" si="13"/>
        <v>-29</v>
      </c>
    </row>
    <row r="19" spans="1:39" s="25" customFormat="1" outlineLevel="1" x14ac:dyDescent="0.35">
      <c r="A19" s="23"/>
      <c r="B19" s="23"/>
      <c r="C19" s="24" t="s">
        <v>81</v>
      </c>
      <c r="D19" s="77">
        <v>10</v>
      </c>
      <c r="E19" s="77">
        <v>10</v>
      </c>
      <c r="F19" s="78">
        <f t="shared" si="1"/>
        <v>0</v>
      </c>
      <c r="G19" s="77">
        <v>10</v>
      </c>
      <c r="H19" s="79">
        <v>10</v>
      </c>
      <c r="I19" s="78">
        <f t="shared" ref="I19:I22" si="14">H19-G19</f>
        <v>0</v>
      </c>
      <c r="J19" s="77">
        <v>10</v>
      </c>
      <c r="K19" s="79">
        <v>10</v>
      </c>
      <c r="L19" s="78">
        <f t="shared" ref="L19:L22" si="15">K19-J19</f>
        <v>0</v>
      </c>
      <c r="M19" s="77">
        <v>10</v>
      </c>
      <c r="N19" s="79">
        <v>10</v>
      </c>
      <c r="O19" s="78">
        <f t="shared" ref="O19:O27" si="16">N19-M19</f>
        <v>0</v>
      </c>
      <c r="P19" s="77">
        <v>10</v>
      </c>
      <c r="Q19" s="79">
        <v>11</v>
      </c>
      <c r="R19" s="78">
        <f t="shared" ref="R19:R27" si="17">Q19-P19</f>
        <v>1</v>
      </c>
      <c r="S19" s="77">
        <v>10</v>
      </c>
      <c r="T19" s="79"/>
      <c r="U19" s="78">
        <f t="shared" ref="U19:U27" si="18">T19-S19</f>
        <v>-10</v>
      </c>
      <c r="V19" s="77">
        <v>10</v>
      </c>
      <c r="W19" s="79"/>
      <c r="X19" s="78">
        <f t="shared" ref="X19:X27" si="19">W19-V19</f>
        <v>-10</v>
      </c>
      <c r="Y19" s="77">
        <v>10</v>
      </c>
      <c r="Z19" s="79"/>
      <c r="AA19" s="78">
        <f t="shared" ref="AA19:AA27" si="20">Z19-Y19</f>
        <v>-10</v>
      </c>
      <c r="AB19" s="77">
        <v>10</v>
      </c>
      <c r="AC19" s="79"/>
      <c r="AD19" s="78">
        <f t="shared" ref="AD19:AD22" si="21">AC19-AB19</f>
        <v>-10</v>
      </c>
      <c r="AE19" s="77">
        <v>10</v>
      </c>
      <c r="AF19" s="79"/>
      <c r="AG19" s="78">
        <f t="shared" ref="AG19:AG27" si="22">AF19-AE19</f>
        <v>-10</v>
      </c>
      <c r="AH19" s="77">
        <v>10</v>
      </c>
      <c r="AI19" s="80"/>
      <c r="AJ19" s="78">
        <f t="shared" ref="AJ19:AJ27" si="23">AI19-AH19</f>
        <v>-10</v>
      </c>
      <c r="AK19" s="77">
        <v>10</v>
      </c>
      <c r="AL19" s="80"/>
      <c r="AM19" s="78">
        <f t="shared" ref="AM19:AM27" si="24">AL19-AK19</f>
        <v>-10</v>
      </c>
    </row>
    <row r="20" spans="1:39" s="25" customFormat="1" outlineLevel="1" x14ac:dyDescent="0.35">
      <c r="A20" s="23"/>
      <c r="B20" s="23"/>
      <c r="C20" s="24" t="s">
        <v>80</v>
      </c>
      <c r="D20" s="77">
        <v>8</v>
      </c>
      <c r="E20" s="77">
        <v>8</v>
      </c>
      <c r="F20" s="78">
        <f t="shared" si="1"/>
        <v>0</v>
      </c>
      <c r="G20" s="77">
        <v>8</v>
      </c>
      <c r="H20" s="79">
        <v>8</v>
      </c>
      <c r="I20" s="78">
        <f t="shared" si="14"/>
        <v>0</v>
      </c>
      <c r="J20" s="77">
        <v>8</v>
      </c>
      <c r="K20" s="79">
        <v>8</v>
      </c>
      <c r="L20" s="78">
        <f t="shared" si="15"/>
        <v>0</v>
      </c>
      <c r="M20" s="77">
        <v>8</v>
      </c>
      <c r="N20" s="79">
        <v>8</v>
      </c>
      <c r="O20" s="78">
        <f t="shared" si="16"/>
        <v>0</v>
      </c>
      <c r="P20" s="77">
        <v>8</v>
      </c>
      <c r="Q20" s="79">
        <v>8</v>
      </c>
      <c r="R20" s="78">
        <f t="shared" si="17"/>
        <v>0</v>
      </c>
      <c r="S20" s="77">
        <v>8</v>
      </c>
      <c r="T20" s="79"/>
      <c r="U20" s="78">
        <f t="shared" si="18"/>
        <v>-8</v>
      </c>
      <c r="V20" s="77">
        <v>8</v>
      </c>
      <c r="W20" s="79"/>
      <c r="X20" s="78">
        <f t="shared" si="19"/>
        <v>-8</v>
      </c>
      <c r="Y20" s="77">
        <v>8</v>
      </c>
      <c r="Z20" s="79"/>
      <c r="AA20" s="78">
        <f t="shared" si="20"/>
        <v>-8</v>
      </c>
      <c r="AB20" s="77">
        <v>8</v>
      </c>
      <c r="AC20" s="79"/>
      <c r="AD20" s="78">
        <f t="shared" si="21"/>
        <v>-8</v>
      </c>
      <c r="AE20" s="77">
        <v>8</v>
      </c>
      <c r="AF20" s="79"/>
      <c r="AG20" s="78">
        <f t="shared" si="22"/>
        <v>-8</v>
      </c>
      <c r="AH20" s="77">
        <v>8</v>
      </c>
      <c r="AI20" s="80"/>
      <c r="AJ20" s="78">
        <f t="shared" si="23"/>
        <v>-8</v>
      </c>
      <c r="AK20" s="77">
        <v>8</v>
      </c>
      <c r="AL20" s="80"/>
      <c r="AM20" s="78">
        <f t="shared" si="24"/>
        <v>-8</v>
      </c>
    </row>
    <row r="21" spans="1:39" s="25" customFormat="1" outlineLevel="1" x14ac:dyDescent="0.35">
      <c r="A21" s="23"/>
      <c r="B21" s="23"/>
      <c r="C21" s="24" t="s">
        <v>79</v>
      </c>
      <c r="D21" s="77">
        <v>11</v>
      </c>
      <c r="E21" s="77">
        <v>11</v>
      </c>
      <c r="F21" s="78">
        <f t="shared" si="1"/>
        <v>0</v>
      </c>
      <c r="G21" s="77">
        <v>11</v>
      </c>
      <c r="H21" s="79">
        <v>10</v>
      </c>
      <c r="I21" s="78">
        <f t="shared" si="14"/>
        <v>-1</v>
      </c>
      <c r="J21" s="77">
        <v>11</v>
      </c>
      <c r="K21" s="79">
        <v>10</v>
      </c>
      <c r="L21" s="78">
        <f t="shared" si="15"/>
        <v>-1</v>
      </c>
      <c r="M21" s="77">
        <v>11</v>
      </c>
      <c r="N21" s="79">
        <v>10</v>
      </c>
      <c r="O21" s="78">
        <f t="shared" si="16"/>
        <v>-1</v>
      </c>
      <c r="P21" s="77">
        <v>11</v>
      </c>
      <c r="Q21" s="79">
        <v>11</v>
      </c>
      <c r="R21" s="78">
        <f t="shared" si="17"/>
        <v>0</v>
      </c>
      <c r="S21" s="77">
        <v>11</v>
      </c>
      <c r="T21" s="79"/>
      <c r="U21" s="78">
        <f t="shared" si="18"/>
        <v>-11</v>
      </c>
      <c r="V21" s="77">
        <v>11</v>
      </c>
      <c r="W21" s="79"/>
      <c r="X21" s="78">
        <f t="shared" si="19"/>
        <v>-11</v>
      </c>
      <c r="Y21" s="77">
        <v>11</v>
      </c>
      <c r="Z21" s="79"/>
      <c r="AA21" s="78">
        <f t="shared" si="20"/>
        <v>-11</v>
      </c>
      <c r="AB21" s="77">
        <v>11</v>
      </c>
      <c r="AC21" s="79"/>
      <c r="AD21" s="78">
        <f t="shared" si="21"/>
        <v>-11</v>
      </c>
      <c r="AE21" s="77">
        <v>11</v>
      </c>
      <c r="AF21" s="79"/>
      <c r="AG21" s="78">
        <f t="shared" si="22"/>
        <v>-11</v>
      </c>
      <c r="AH21" s="77">
        <v>11</v>
      </c>
      <c r="AI21" s="80"/>
      <c r="AJ21" s="78">
        <f t="shared" si="23"/>
        <v>-11</v>
      </c>
      <c r="AK21" s="77">
        <v>11</v>
      </c>
      <c r="AL21" s="80"/>
      <c r="AM21" s="78">
        <f t="shared" si="24"/>
        <v>-11</v>
      </c>
    </row>
    <row r="22" spans="1:39" s="16" customFormat="1" x14ac:dyDescent="0.35">
      <c r="A22" s="14">
        <v>641</v>
      </c>
      <c r="B22" s="14" t="s">
        <v>18</v>
      </c>
      <c r="C22" s="11" t="s">
        <v>18</v>
      </c>
      <c r="D22" s="73">
        <v>9</v>
      </c>
      <c r="E22" s="73">
        <v>9</v>
      </c>
      <c r="F22" s="74">
        <f t="shared" si="1"/>
        <v>0</v>
      </c>
      <c r="G22" s="73">
        <v>9</v>
      </c>
      <c r="H22" s="75">
        <v>9</v>
      </c>
      <c r="I22" s="74">
        <f t="shared" si="14"/>
        <v>0</v>
      </c>
      <c r="J22" s="73">
        <v>9</v>
      </c>
      <c r="K22" s="75">
        <v>9</v>
      </c>
      <c r="L22" s="74">
        <f t="shared" si="15"/>
        <v>0</v>
      </c>
      <c r="M22" s="73">
        <v>9</v>
      </c>
      <c r="N22" s="75">
        <v>9</v>
      </c>
      <c r="O22" s="74">
        <f t="shared" si="16"/>
        <v>0</v>
      </c>
      <c r="P22" s="73">
        <v>9</v>
      </c>
      <c r="Q22" s="75">
        <v>9</v>
      </c>
      <c r="R22" s="74">
        <f t="shared" si="17"/>
        <v>0</v>
      </c>
      <c r="S22" s="73">
        <v>9</v>
      </c>
      <c r="T22" s="75"/>
      <c r="U22" s="74">
        <f t="shared" si="18"/>
        <v>-9</v>
      </c>
      <c r="V22" s="73">
        <v>9</v>
      </c>
      <c r="W22" s="75"/>
      <c r="X22" s="74">
        <f t="shared" si="19"/>
        <v>-9</v>
      </c>
      <c r="Y22" s="73">
        <v>9</v>
      </c>
      <c r="Z22" s="75"/>
      <c r="AA22" s="74">
        <f t="shared" si="20"/>
        <v>-9</v>
      </c>
      <c r="AB22" s="73">
        <v>9</v>
      </c>
      <c r="AC22" s="75"/>
      <c r="AD22" s="74">
        <f t="shared" si="21"/>
        <v>-9</v>
      </c>
      <c r="AE22" s="73">
        <v>9</v>
      </c>
      <c r="AF22" s="75"/>
      <c r="AG22" s="74">
        <f t="shared" si="22"/>
        <v>-9</v>
      </c>
      <c r="AH22" s="73">
        <v>9</v>
      </c>
      <c r="AI22" s="76"/>
      <c r="AJ22" s="74">
        <f t="shared" si="23"/>
        <v>-9</v>
      </c>
      <c r="AK22" s="73">
        <v>9</v>
      </c>
      <c r="AL22" s="76"/>
      <c r="AM22" s="74">
        <f t="shared" si="24"/>
        <v>-9</v>
      </c>
    </row>
    <row r="23" spans="1:39" s="16" customFormat="1" x14ac:dyDescent="0.35">
      <c r="A23" s="14">
        <v>627</v>
      </c>
      <c r="B23" s="14" t="s">
        <v>19</v>
      </c>
      <c r="C23" s="11" t="s">
        <v>19</v>
      </c>
      <c r="D23" s="73">
        <f t="shared" ref="D23:AM23" si="25">SUM(D24:D27)</f>
        <v>50</v>
      </c>
      <c r="E23" s="73">
        <f t="shared" si="25"/>
        <v>47</v>
      </c>
      <c r="F23" s="74">
        <f t="shared" si="25"/>
        <v>-3</v>
      </c>
      <c r="G23" s="73">
        <f t="shared" si="25"/>
        <v>50</v>
      </c>
      <c r="H23" s="73">
        <f t="shared" si="25"/>
        <v>44</v>
      </c>
      <c r="I23" s="74">
        <f t="shared" si="25"/>
        <v>-6</v>
      </c>
      <c r="J23" s="73">
        <f t="shared" si="25"/>
        <v>50</v>
      </c>
      <c r="K23" s="73">
        <f t="shared" si="25"/>
        <v>43</v>
      </c>
      <c r="L23" s="74">
        <f t="shared" si="25"/>
        <v>-7</v>
      </c>
      <c r="M23" s="73">
        <f t="shared" si="25"/>
        <v>50</v>
      </c>
      <c r="N23" s="73">
        <f t="shared" si="25"/>
        <v>42</v>
      </c>
      <c r="O23" s="74">
        <f t="shared" si="25"/>
        <v>-8</v>
      </c>
      <c r="P23" s="73">
        <f t="shared" si="25"/>
        <v>50</v>
      </c>
      <c r="Q23" s="73">
        <f t="shared" si="25"/>
        <v>46</v>
      </c>
      <c r="R23" s="74">
        <f t="shared" si="25"/>
        <v>-4</v>
      </c>
      <c r="S23" s="73">
        <f t="shared" si="25"/>
        <v>50</v>
      </c>
      <c r="T23" s="73">
        <f t="shared" si="25"/>
        <v>0</v>
      </c>
      <c r="U23" s="74">
        <f t="shared" si="25"/>
        <v>-50</v>
      </c>
      <c r="V23" s="73">
        <f t="shared" si="25"/>
        <v>50</v>
      </c>
      <c r="W23" s="73">
        <f t="shared" si="25"/>
        <v>0</v>
      </c>
      <c r="X23" s="74">
        <f t="shared" si="25"/>
        <v>-50</v>
      </c>
      <c r="Y23" s="73">
        <f t="shared" si="25"/>
        <v>50</v>
      </c>
      <c r="Z23" s="73">
        <f t="shared" si="25"/>
        <v>0</v>
      </c>
      <c r="AA23" s="74">
        <f t="shared" si="25"/>
        <v>-50</v>
      </c>
      <c r="AB23" s="73">
        <f t="shared" si="25"/>
        <v>50</v>
      </c>
      <c r="AC23" s="73">
        <f t="shared" si="25"/>
        <v>0</v>
      </c>
      <c r="AD23" s="74">
        <f t="shared" si="25"/>
        <v>-50</v>
      </c>
      <c r="AE23" s="73">
        <f t="shared" si="25"/>
        <v>50</v>
      </c>
      <c r="AF23" s="73">
        <f t="shared" si="25"/>
        <v>0</v>
      </c>
      <c r="AG23" s="74">
        <f t="shared" si="25"/>
        <v>-50</v>
      </c>
      <c r="AH23" s="73">
        <f t="shared" si="25"/>
        <v>50</v>
      </c>
      <c r="AI23" s="73">
        <f t="shared" si="25"/>
        <v>0</v>
      </c>
      <c r="AJ23" s="74">
        <f t="shared" si="25"/>
        <v>-50</v>
      </c>
      <c r="AK23" s="73">
        <f t="shared" si="25"/>
        <v>50</v>
      </c>
      <c r="AL23" s="73">
        <f t="shared" si="25"/>
        <v>0</v>
      </c>
      <c r="AM23" s="74">
        <f t="shared" si="25"/>
        <v>-50</v>
      </c>
    </row>
    <row r="24" spans="1:39" s="25" customFormat="1" hidden="1" outlineLevel="1" x14ac:dyDescent="0.3">
      <c r="A24" s="23"/>
      <c r="B24" s="23"/>
      <c r="C24" s="7" t="s">
        <v>102</v>
      </c>
      <c r="D24" s="77">
        <v>13</v>
      </c>
      <c r="E24" s="77">
        <v>11</v>
      </c>
      <c r="F24" s="78">
        <f t="shared" si="1"/>
        <v>-2</v>
      </c>
      <c r="G24" s="77">
        <v>13</v>
      </c>
      <c r="H24" s="79">
        <v>11</v>
      </c>
      <c r="I24" s="78">
        <f t="shared" ref="I24:I28" si="26">H24-G24</f>
        <v>-2</v>
      </c>
      <c r="J24" s="77">
        <v>13</v>
      </c>
      <c r="K24" s="79">
        <v>11</v>
      </c>
      <c r="L24" s="78">
        <f t="shared" ref="L24:L28" si="27">K24-J24</f>
        <v>-2</v>
      </c>
      <c r="M24" s="77">
        <v>13</v>
      </c>
      <c r="N24" s="79">
        <v>11</v>
      </c>
      <c r="O24" s="78">
        <f t="shared" si="16"/>
        <v>-2</v>
      </c>
      <c r="P24" s="77">
        <v>13</v>
      </c>
      <c r="Q24" s="79">
        <v>11</v>
      </c>
      <c r="R24" s="78">
        <f t="shared" si="17"/>
        <v>-2</v>
      </c>
      <c r="S24" s="77">
        <v>13</v>
      </c>
      <c r="T24" s="79"/>
      <c r="U24" s="78">
        <f t="shared" si="18"/>
        <v>-13</v>
      </c>
      <c r="V24" s="77">
        <v>13</v>
      </c>
      <c r="W24" s="79"/>
      <c r="X24" s="78">
        <f t="shared" si="19"/>
        <v>-13</v>
      </c>
      <c r="Y24" s="77">
        <v>13</v>
      </c>
      <c r="Z24" s="79"/>
      <c r="AA24" s="78">
        <f t="shared" si="20"/>
        <v>-13</v>
      </c>
      <c r="AB24" s="77">
        <v>13</v>
      </c>
      <c r="AC24" s="79"/>
      <c r="AD24" s="78">
        <f t="shared" ref="AD24:AD27" si="28">AC24-AB24</f>
        <v>-13</v>
      </c>
      <c r="AE24" s="77">
        <v>13</v>
      </c>
      <c r="AF24" s="79"/>
      <c r="AG24" s="78">
        <f t="shared" si="22"/>
        <v>-13</v>
      </c>
      <c r="AH24" s="77">
        <v>13</v>
      </c>
      <c r="AI24" s="80"/>
      <c r="AJ24" s="78">
        <f t="shared" si="23"/>
        <v>-13</v>
      </c>
      <c r="AK24" s="77">
        <v>13</v>
      </c>
      <c r="AL24" s="80"/>
      <c r="AM24" s="78">
        <f t="shared" si="24"/>
        <v>-13</v>
      </c>
    </row>
    <row r="25" spans="1:39" s="25" customFormat="1" hidden="1" outlineLevel="1" x14ac:dyDescent="0.3">
      <c r="A25" s="23"/>
      <c r="B25" s="23"/>
      <c r="C25" s="7" t="s">
        <v>103</v>
      </c>
      <c r="D25" s="77">
        <v>7</v>
      </c>
      <c r="E25" s="77">
        <v>7</v>
      </c>
      <c r="F25" s="78">
        <f t="shared" si="1"/>
        <v>0</v>
      </c>
      <c r="G25" s="77">
        <v>7</v>
      </c>
      <c r="H25" s="79">
        <v>7</v>
      </c>
      <c r="I25" s="78">
        <f t="shared" si="26"/>
        <v>0</v>
      </c>
      <c r="J25" s="77">
        <v>7</v>
      </c>
      <c r="K25" s="79">
        <v>7</v>
      </c>
      <c r="L25" s="78">
        <f t="shared" si="27"/>
        <v>0</v>
      </c>
      <c r="M25" s="77">
        <v>7</v>
      </c>
      <c r="N25" s="79">
        <v>7</v>
      </c>
      <c r="O25" s="78">
        <f t="shared" si="16"/>
        <v>0</v>
      </c>
      <c r="P25" s="77">
        <v>7</v>
      </c>
      <c r="Q25" s="79">
        <v>7</v>
      </c>
      <c r="R25" s="78">
        <f t="shared" si="17"/>
        <v>0</v>
      </c>
      <c r="S25" s="77">
        <v>7</v>
      </c>
      <c r="T25" s="79"/>
      <c r="U25" s="78">
        <f t="shared" si="18"/>
        <v>-7</v>
      </c>
      <c r="V25" s="77">
        <v>7</v>
      </c>
      <c r="W25" s="79"/>
      <c r="X25" s="78">
        <f t="shared" si="19"/>
        <v>-7</v>
      </c>
      <c r="Y25" s="77">
        <v>7</v>
      </c>
      <c r="Z25" s="79"/>
      <c r="AA25" s="78">
        <f t="shared" si="20"/>
        <v>-7</v>
      </c>
      <c r="AB25" s="77">
        <v>7</v>
      </c>
      <c r="AC25" s="79"/>
      <c r="AD25" s="78">
        <f t="shared" si="28"/>
        <v>-7</v>
      </c>
      <c r="AE25" s="77">
        <v>7</v>
      </c>
      <c r="AF25" s="79"/>
      <c r="AG25" s="78">
        <f t="shared" si="22"/>
        <v>-7</v>
      </c>
      <c r="AH25" s="77">
        <v>7</v>
      </c>
      <c r="AI25" s="80"/>
      <c r="AJ25" s="78">
        <f t="shared" si="23"/>
        <v>-7</v>
      </c>
      <c r="AK25" s="77">
        <v>7</v>
      </c>
      <c r="AL25" s="80"/>
      <c r="AM25" s="78">
        <f t="shared" si="24"/>
        <v>-7</v>
      </c>
    </row>
    <row r="26" spans="1:39" s="25" customFormat="1" hidden="1" outlineLevel="1" x14ac:dyDescent="0.3">
      <c r="A26" s="23"/>
      <c r="B26" s="23"/>
      <c r="C26" s="7" t="s">
        <v>104</v>
      </c>
      <c r="D26" s="77">
        <v>28</v>
      </c>
      <c r="E26" s="77">
        <v>27</v>
      </c>
      <c r="F26" s="78">
        <f t="shared" si="1"/>
        <v>-1</v>
      </c>
      <c r="G26" s="77">
        <v>28</v>
      </c>
      <c r="H26" s="79">
        <v>24</v>
      </c>
      <c r="I26" s="78">
        <f t="shared" si="26"/>
        <v>-4</v>
      </c>
      <c r="J26" s="77">
        <v>28</v>
      </c>
      <c r="K26" s="79">
        <v>23</v>
      </c>
      <c r="L26" s="78">
        <f t="shared" si="27"/>
        <v>-5</v>
      </c>
      <c r="M26" s="77">
        <v>28</v>
      </c>
      <c r="N26" s="79">
        <v>22</v>
      </c>
      <c r="O26" s="78">
        <f t="shared" si="16"/>
        <v>-6</v>
      </c>
      <c r="P26" s="77">
        <v>28</v>
      </c>
      <c r="Q26" s="79">
        <v>26</v>
      </c>
      <c r="R26" s="78">
        <f t="shared" si="17"/>
        <v>-2</v>
      </c>
      <c r="S26" s="77">
        <v>28</v>
      </c>
      <c r="T26" s="79"/>
      <c r="U26" s="78">
        <f t="shared" si="18"/>
        <v>-28</v>
      </c>
      <c r="V26" s="77">
        <v>28</v>
      </c>
      <c r="W26" s="79"/>
      <c r="X26" s="78">
        <f t="shared" si="19"/>
        <v>-28</v>
      </c>
      <c r="Y26" s="77">
        <v>28</v>
      </c>
      <c r="Z26" s="79"/>
      <c r="AA26" s="78">
        <f t="shared" si="20"/>
        <v>-28</v>
      </c>
      <c r="AB26" s="77">
        <v>28</v>
      </c>
      <c r="AC26" s="79"/>
      <c r="AD26" s="78">
        <f t="shared" si="28"/>
        <v>-28</v>
      </c>
      <c r="AE26" s="77">
        <v>28</v>
      </c>
      <c r="AF26" s="79"/>
      <c r="AG26" s="78">
        <f t="shared" si="22"/>
        <v>-28</v>
      </c>
      <c r="AH26" s="77">
        <v>28</v>
      </c>
      <c r="AI26" s="80"/>
      <c r="AJ26" s="78">
        <f t="shared" si="23"/>
        <v>-28</v>
      </c>
      <c r="AK26" s="77">
        <v>28</v>
      </c>
      <c r="AL26" s="80"/>
      <c r="AM26" s="78">
        <f t="shared" si="24"/>
        <v>-28</v>
      </c>
    </row>
    <row r="27" spans="1:39" s="25" customFormat="1" hidden="1" outlineLevel="1" x14ac:dyDescent="0.3">
      <c r="A27" s="23"/>
      <c r="B27" s="23"/>
      <c r="C27" s="7" t="s">
        <v>105</v>
      </c>
      <c r="D27" s="77">
        <v>2</v>
      </c>
      <c r="E27" s="77">
        <v>2</v>
      </c>
      <c r="F27" s="78">
        <f t="shared" si="1"/>
        <v>0</v>
      </c>
      <c r="G27" s="77">
        <v>2</v>
      </c>
      <c r="H27" s="79">
        <v>2</v>
      </c>
      <c r="I27" s="78">
        <f t="shared" si="26"/>
        <v>0</v>
      </c>
      <c r="J27" s="77">
        <v>2</v>
      </c>
      <c r="K27" s="79">
        <v>2</v>
      </c>
      <c r="L27" s="78">
        <f t="shared" si="27"/>
        <v>0</v>
      </c>
      <c r="M27" s="77">
        <v>2</v>
      </c>
      <c r="N27" s="79">
        <v>2</v>
      </c>
      <c r="O27" s="78">
        <f t="shared" si="16"/>
        <v>0</v>
      </c>
      <c r="P27" s="77">
        <v>2</v>
      </c>
      <c r="Q27" s="79">
        <v>2</v>
      </c>
      <c r="R27" s="78">
        <f t="shared" si="17"/>
        <v>0</v>
      </c>
      <c r="S27" s="77">
        <v>2</v>
      </c>
      <c r="T27" s="79"/>
      <c r="U27" s="78">
        <f t="shared" si="18"/>
        <v>-2</v>
      </c>
      <c r="V27" s="77">
        <v>2</v>
      </c>
      <c r="W27" s="79"/>
      <c r="X27" s="78">
        <f t="shared" si="19"/>
        <v>-2</v>
      </c>
      <c r="Y27" s="77">
        <v>2</v>
      </c>
      <c r="Z27" s="79"/>
      <c r="AA27" s="78">
        <f t="shared" si="20"/>
        <v>-2</v>
      </c>
      <c r="AB27" s="77">
        <v>2</v>
      </c>
      <c r="AC27" s="79"/>
      <c r="AD27" s="78">
        <f t="shared" si="28"/>
        <v>-2</v>
      </c>
      <c r="AE27" s="77">
        <v>2</v>
      </c>
      <c r="AF27" s="79"/>
      <c r="AG27" s="78">
        <f t="shared" si="22"/>
        <v>-2</v>
      </c>
      <c r="AH27" s="77">
        <v>2</v>
      </c>
      <c r="AI27" s="80"/>
      <c r="AJ27" s="78">
        <f t="shared" si="23"/>
        <v>-2</v>
      </c>
      <c r="AK27" s="77">
        <v>2</v>
      </c>
      <c r="AL27" s="80"/>
      <c r="AM27" s="78">
        <f t="shared" si="24"/>
        <v>-2</v>
      </c>
    </row>
    <row r="28" spans="1:39" s="16" customFormat="1" collapsed="1" x14ac:dyDescent="0.35">
      <c r="A28" s="14">
        <v>627</v>
      </c>
      <c r="B28" s="14" t="s">
        <v>20</v>
      </c>
      <c r="C28" s="11" t="s">
        <v>20</v>
      </c>
      <c r="D28" s="73">
        <v>8</v>
      </c>
      <c r="E28" s="73">
        <v>8</v>
      </c>
      <c r="F28" s="74">
        <f t="shared" si="1"/>
        <v>0</v>
      </c>
      <c r="G28" s="75">
        <v>8</v>
      </c>
      <c r="H28" s="75">
        <v>8</v>
      </c>
      <c r="I28" s="74">
        <f t="shared" si="26"/>
        <v>0</v>
      </c>
      <c r="J28" s="75">
        <v>8</v>
      </c>
      <c r="K28" s="75">
        <v>7</v>
      </c>
      <c r="L28" s="74">
        <f t="shared" si="27"/>
        <v>-1</v>
      </c>
      <c r="M28" s="75">
        <v>9</v>
      </c>
      <c r="N28" s="75">
        <v>7</v>
      </c>
      <c r="O28" s="74">
        <f t="shared" ref="O28" si="29">N28-M28</f>
        <v>-2</v>
      </c>
      <c r="P28" s="75">
        <v>9</v>
      </c>
      <c r="Q28" s="75">
        <v>7</v>
      </c>
      <c r="R28" s="74">
        <f t="shared" ref="R28" si="30">Q28-P28</f>
        <v>-2</v>
      </c>
      <c r="S28" s="91">
        <v>9</v>
      </c>
      <c r="T28" s="75"/>
      <c r="U28" s="74">
        <f t="shared" ref="U28" si="31">T28-S28</f>
        <v>-9</v>
      </c>
      <c r="V28" s="75">
        <v>9</v>
      </c>
      <c r="W28" s="75"/>
      <c r="X28" s="74">
        <f t="shared" ref="X28" si="32">W28-V28</f>
        <v>-9</v>
      </c>
      <c r="Y28" s="75">
        <v>9</v>
      </c>
      <c r="Z28" s="75"/>
      <c r="AA28" s="74">
        <f t="shared" ref="AA28" si="33">Z28-Y28</f>
        <v>-9</v>
      </c>
      <c r="AB28" s="75">
        <v>9</v>
      </c>
      <c r="AC28" s="75"/>
      <c r="AD28" s="74">
        <f t="shared" ref="AD28" si="34">AC28-AB28</f>
        <v>-9</v>
      </c>
      <c r="AE28" s="75">
        <v>9</v>
      </c>
      <c r="AF28" s="75"/>
      <c r="AG28" s="74">
        <f t="shared" ref="AG28" si="35">AF28-AE28</f>
        <v>-9</v>
      </c>
      <c r="AH28" s="75">
        <v>9</v>
      </c>
      <c r="AI28" s="76"/>
      <c r="AJ28" s="74">
        <f t="shared" ref="AJ28" si="36">AI28-AH28</f>
        <v>-9</v>
      </c>
      <c r="AK28" s="75">
        <v>9</v>
      </c>
      <c r="AL28" s="76"/>
      <c r="AM28" s="74">
        <f t="shared" ref="AM28" si="37">AL28-AK28</f>
        <v>-9</v>
      </c>
    </row>
    <row r="29" spans="1:39" s="16" customFormat="1" x14ac:dyDescent="0.35">
      <c r="A29" s="14">
        <v>627</v>
      </c>
      <c r="B29" s="14" t="s">
        <v>21</v>
      </c>
      <c r="C29" s="11" t="s">
        <v>21</v>
      </c>
      <c r="D29" s="73">
        <f t="shared" ref="D29:AM29" si="38">SUM(D30:D35)</f>
        <v>86</v>
      </c>
      <c r="E29" s="73">
        <f t="shared" si="38"/>
        <v>86</v>
      </c>
      <c r="F29" s="74">
        <f t="shared" si="38"/>
        <v>0</v>
      </c>
      <c r="G29" s="75">
        <f t="shared" si="38"/>
        <v>86</v>
      </c>
      <c r="H29" s="75">
        <f t="shared" si="38"/>
        <v>83</v>
      </c>
      <c r="I29" s="74">
        <f t="shared" si="38"/>
        <v>-3</v>
      </c>
      <c r="J29" s="75">
        <f t="shared" si="38"/>
        <v>86</v>
      </c>
      <c r="K29" s="75">
        <f t="shared" si="38"/>
        <v>79</v>
      </c>
      <c r="L29" s="74">
        <f t="shared" si="38"/>
        <v>-7</v>
      </c>
      <c r="M29" s="75">
        <f t="shared" si="38"/>
        <v>86</v>
      </c>
      <c r="N29" s="75">
        <f t="shared" si="38"/>
        <v>83</v>
      </c>
      <c r="O29" s="74">
        <f t="shared" si="38"/>
        <v>-3</v>
      </c>
      <c r="P29" s="75">
        <f t="shared" si="38"/>
        <v>86</v>
      </c>
      <c r="Q29" s="75">
        <f t="shared" si="38"/>
        <v>82</v>
      </c>
      <c r="R29" s="74">
        <f t="shared" si="38"/>
        <v>-4</v>
      </c>
      <c r="S29" s="75">
        <f t="shared" si="38"/>
        <v>86</v>
      </c>
      <c r="T29" s="75">
        <f t="shared" si="38"/>
        <v>0</v>
      </c>
      <c r="U29" s="74">
        <f t="shared" si="38"/>
        <v>-86</v>
      </c>
      <c r="V29" s="75">
        <f t="shared" si="38"/>
        <v>86</v>
      </c>
      <c r="W29" s="75">
        <f t="shared" si="38"/>
        <v>0</v>
      </c>
      <c r="X29" s="74">
        <f t="shared" si="38"/>
        <v>-86</v>
      </c>
      <c r="Y29" s="75">
        <f t="shared" si="38"/>
        <v>86</v>
      </c>
      <c r="Z29" s="75">
        <f t="shared" si="38"/>
        <v>0</v>
      </c>
      <c r="AA29" s="74">
        <f t="shared" si="38"/>
        <v>-86</v>
      </c>
      <c r="AB29" s="75">
        <f t="shared" si="38"/>
        <v>86</v>
      </c>
      <c r="AC29" s="75">
        <f t="shared" si="38"/>
        <v>0</v>
      </c>
      <c r="AD29" s="74">
        <f t="shared" si="38"/>
        <v>-86</v>
      </c>
      <c r="AE29" s="75">
        <f t="shared" si="38"/>
        <v>86</v>
      </c>
      <c r="AF29" s="75">
        <f t="shared" si="38"/>
        <v>0</v>
      </c>
      <c r="AG29" s="74">
        <f t="shared" si="38"/>
        <v>-86</v>
      </c>
      <c r="AH29" s="76">
        <f t="shared" si="38"/>
        <v>86</v>
      </c>
      <c r="AI29" s="76">
        <f t="shared" si="38"/>
        <v>0</v>
      </c>
      <c r="AJ29" s="74">
        <f t="shared" si="38"/>
        <v>-86</v>
      </c>
      <c r="AK29" s="76">
        <f t="shared" si="38"/>
        <v>86</v>
      </c>
      <c r="AL29" s="76">
        <f t="shared" si="38"/>
        <v>0</v>
      </c>
      <c r="AM29" s="74">
        <f t="shared" si="38"/>
        <v>-86</v>
      </c>
    </row>
    <row r="30" spans="1:39" s="25" customFormat="1" hidden="1" outlineLevel="1" x14ac:dyDescent="0.3">
      <c r="A30" s="23"/>
      <c r="B30" s="23"/>
      <c r="C30" s="7" t="s">
        <v>62</v>
      </c>
      <c r="D30" s="77">
        <v>13</v>
      </c>
      <c r="E30" s="77">
        <v>13</v>
      </c>
      <c r="F30" s="78">
        <f t="shared" si="1"/>
        <v>0</v>
      </c>
      <c r="G30" s="77">
        <v>13</v>
      </c>
      <c r="H30" s="79">
        <v>13</v>
      </c>
      <c r="I30" s="78">
        <f t="shared" ref="I30:I35" si="39">H30-G30</f>
        <v>0</v>
      </c>
      <c r="J30" s="77">
        <v>13</v>
      </c>
      <c r="K30" s="79">
        <v>12</v>
      </c>
      <c r="L30" s="78">
        <f t="shared" ref="L30:L35" si="40">K30-J30</f>
        <v>-1</v>
      </c>
      <c r="M30" s="77">
        <v>13</v>
      </c>
      <c r="N30" s="79">
        <v>12</v>
      </c>
      <c r="O30" s="78">
        <f t="shared" ref="O30:O35" si="41">N30-M30</f>
        <v>-1</v>
      </c>
      <c r="P30" s="77">
        <v>13</v>
      </c>
      <c r="Q30" s="79">
        <v>12</v>
      </c>
      <c r="R30" s="78">
        <f t="shared" ref="R30:R35" si="42">Q30-P30</f>
        <v>-1</v>
      </c>
      <c r="S30" s="77">
        <v>13</v>
      </c>
      <c r="T30" s="79"/>
      <c r="U30" s="78">
        <f t="shared" ref="U30:U35" si="43">T30-S30</f>
        <v>-13</v>
      </c>
      <c r="V30" s="77">
        <v>13</v>
      </c>
      <c r="W30" s="79"/>
      <c r="X30" s="78">
        <f t="shared" ref="X30:X35" si="44">W30-V30</f>
        <v>-13</v>
      </c>
      <c r="Y30" s="77">
        <v>13</v>
      </c>
      <c r="Z30" s="79"/>
      <c r="AA30" s="78">
        <f t="shared" ref="AA30:AA35" si="45">Z30-Y30</f>
        <v>-13</v>
      </c>
      <c r="AB30" s="77">
        <v>13</v>
      </c>
      <c r="AC30" s="79"/>
      <c r="AD30" s="78">
        <f t="shared" ref="AD30:AD35" si="46">AC30-AB30</f>
        <v>-13</v>
      </c>
      <c r="AE30" s="77">
        <v>13</v>
      </c>
      <c r="AF30" s="79"/>
      <c r="AG30" s="78">
        <f t="shared" ref="AG30:AG35" si="47">AF30-AE30</f>
        <v>-13</v>
      </c>
      <c r="AH30" s="77">
        <v>13</v>
      </c>
      <c r="AI30" s="80"/>
      <c r="AJ30" s="78">
        <f t="shared" ref="AJ30:AJ35" si="48">AI30-AH30</f>
        <v>-13</v>
      </c>
      <c r="AK30" s="77">
        <v>13</v>
      </c>
      <c r="AL30" s="80"/>
      <c r="AM30" s="78">
        <f t="shared" ref="AM30:AM35" si="49">AL30-AK30</f>
        <v>-13</v>
      </c>
    </row>
    <row r="31" spans="1:39" s="25" customFormat="1" hidden="1" outlineLevel="1" x14ac:dyDescent="0.3">
      <c r="A31" s="23"/>
      <c r="B31" s="23"/>
      <c r="C31" s="7" t="s">
        <v>63</v>
      </c>
      <c r="D31" s="77">
        <v>9</v>
      </c>
      <c r="E31" s="77">
        <v>9</v>
      </c>
      <c r="F31" s="78">
        <f t="shared" si="1"/>
        <v>0</v>
      </c>
      <c r="G31" s="77">
        <v>9</v>
      </c>
      <c r="H31" s="79">
        <v>9</v>
      </c>
      <c r="I31" s="78">
        <f t="shared" si="39"/>
        <v>0</v>
      </c>
      <c r="J31" s="77">
        <v>9</v>
      </c>
      <c r="K31" s="79">
        <v>9</v>
      </c>
      <c r="L31" s="78">
        <f t="shared" si="40"/>
        <v>0</v>
      </c>
      <c r="M31" s="77">
        <v>9</v>
      </c>
      <c r="N31" s="79">
        <v>9</v>
      </c>
      <c r="O31" s="78">
        <f t="shared" si="41"/>
        <v>0</v>
      </c>
      <c r="P31" s="77">
        <v>9</v>
      </c>
      <c r="Q31" s="79">
        <v>9</v>
      </c>
      <c r="R31" s="78">
        <f t="shared" si="42"/>
        <v>0</v>
      </c>
      <c r="S31" s="77">
        <v>9</v>
      </c>
      <c r="T31" s="79"/>
      <c r="U31" s="78">
        <f t="shared" si="43"/>
        <v>-9</v>
      </c>
      <c r="V31" s="77">
        <v>9</v>
      </c>
      <c r="W31" s="79"/>
      <c r="X31" s="78">
        <f t="shared" si="44"/>
        <v>-9</v>
      </c>
      <c r="Y31" s="77">
        <v>9</v>
      </c>
      <c r="Z31" s="79"/>
      <c r="AA31" s="78">
        <f t="shared" si="45"/>
        <v>-9</v>
      </c>
      <c r="AB31" s="77">
        <v>9</v>
      </c>
      <c r="AC31" s="79"/>
      <c r="AD31" s="78">
        <f t="shared" si="46"/>
        <v>-9</v>
      </c>
      <c r="AE31" s="77">
        <v>9</v>
      </c>
      <c r="AF31" s="79"/>
      <c r="AG31" s="78">
        <f t="shared" si="47"/>
        <v>-9</v>
      </c>
      <c r="AH31" s="77">
        <v>9</v>
      </c>
      <c r="AI31" s="80"/>
      <c r="AJ31" s="78">
        <f t="shared" si="48"/>
        <v>-9</v>
      </c>
      <c r="AK31" s="77">
        <v>9</v>
      </c>
      <c r="AL31" s="80"/>
      <c r="AM31" s="78">
        <f t="shared" si="49"/>
        <v>-9</v>
      </c>
    </row>
    <row r="32" spans="1:39" s="25" customFormat="1" hidden="1" outlineLevel="1" x14ac:dyDescent="0.3">
      <c r="A32" s="23"/>
      <c r="B32" s="23"/>
      <c r="C32" s="7" t="s">
        <v>64</v>
      </c>
      <c r="D32" s="77">
        <v>9</v>
      </c>
      <c r="E32" s="77">
        <v>9</v>
      </c>
      <c r="F32" s="78">
        <f t="shared" si="1"/>
        <v>0</v>
      </c>
      <c r="G32" s="77">
        <v>9</v>
      </c>
      <c r="H32" s="79">
        <v>9</v>
      </c>
      <c r="I32" s="78">
        <f t="shared" si="39"/>
        <v>0</v>
      </c>
      <c r="J32" s="77">
        <v>9</v>
      </c>
      <c r="K32" s="79">
        <v>8</v>
      </c>
      <c r="L32" s="78">
        <f t="shared" si="40"/>
        <v>-1</v>
      </c>
      <c r="M32" s="77">
        <v>9</v>
      </c>
      <c r="N32" s="79">
        <v>8</v>
      </c>
      <c r="O32" s="78">
        <f t="shared" si="41"/>
        <v>-1</v>
      </c>
      <c r="P32" s="77">
        <v>9</v>
      </c>
      <c r="Q32" s="79">
        <v>8</v>
      </c>
      <c r="R32" s="78">
        <f t="shared" si="42"/>
        <v>-1</v>
      </c>
      <c r="S32" s="77">
        <v>9</v>
      </c>
      <c r="T32" s="79"/>
      <c r="U32" s="78">
        <f t="shared" si="43"/>
        <v>-9</v>
      </c>
      <c r="V32" s="77">
        <v>9</v>
      </c>
      <c r="W32" s="79"/>
      <c r="X32" s="78">
        <f t="shared" si="44"/>
        <v>-9</v>
      </c>
      <c r="Y32" s="77">
        <v>9</v>
      </c>
      <c r="Z32" s="79"/>
      <c r="AA32" s="78">
        <f t="shared" si="45"/>
        <v>-9</v>
      </c>
      <c r="AB32" s="77">
        <v>9</v>
      </c>
      <c r="AC32" s="79"/>
      <c r="AD32" s="78">
        <f t="shared" si="46"/>
        <v>-9</v>
      </c>
      <c r="AE32" s="77">
        <v>9</v>
      </c>
      <c r="AF32" s="79"/>
      <c r="AG32" s="78">
        <f t="shared" si="47"/>
        <v>-9</v>
      </c>
      <c r="AH32" s="77">
        <v>9</v>
      </c>
      <c r="AI32" s="80"/>
      <c r="AJ32" s="78">
        <f t="shared" si="48"/>
        <v>-9</v>
      </c>
      <c r="AK32" s="77">
        <v>9</v>
      </c>
      <c r="AL32" s="80"/>
      <c r="AM32" s="78">
        <f t="shared" si="49"/>
        <v>-9</v>
      </c>
    </row>
    <row r="33" spans="1:39" s="25" customFormat="1" hidden="1" outlineLevel="1" x14ac:dyDescent="0.3">
      <c r="A33" s="23"/>
      <c r="B33" s="23"/>
      <c r="C33" s="7" t="s">
        <v>78</v>
      </c>
      <c r="D33" s="77">
        <v>3</v>
      </c>
      <c r="E33" s="77">
        <v>3</v>
      </c>
      <c r="F33" s="78">
        <f t="shared" si="1"/>
        <v>0</v>
      </c>
      <c r="G33" s="77">
        <v>3</v>
      </c>
      <c r="H33" s="79">
        <v>3</v>
      </c>
      <c r="I33" s="78">
        <f t="shared" si="39"/>
        <v>0</v>
      </c>
      <c r="J33" s="77">
        <v>3</v>
      </c>
      <c r="K33" s="79">
        <v>3</v>
      </c>
      <c r="L33" s="78">
        <f t="shared" si="40"/>
        <v>0</v>
      </c>
      <c r="M33" s="77">
        <v>3</v>
      </c>
      <c r="N33" s="79">
        <v>3</v>
      </c>
      <c r="O33" s="78">
        <f t="shared" si="41"/>
        <v>0</v>
      </c>
      <c r="P33" s="77">
        <v>3</v>
      </c>
      <c r="Q33" s="79">
        <v>3</v>
      </c>
      <c r="R33" s="78">
        <f t="shared" si="42"/>
        <v>0</v>
      </c>
      <c r="S33" s="77">
        <v>3</v>
      </c>
      <c r="T33" s="79"/>
      <c r="U33" s="78">
        <f t="shared" si="43"/>
        <v>-3</v>
      </c>
      <c r="V33" s="77">
        <v>3</v>
      </c>
      <c r="W33" s="79"/>
      <c r="X33" s="78">
        <f t="shared" si="44"/>
        <v>-3</v>
      </c>
      <c r="Y33" s="77">
        <v>3</v>
      </c>
      <c r="Z33" s="79"/>
      <c r="AA33" s="78">
        <f t="shared" si="45"/>
        <v>-3</v>
      </c>
      <c r="AB33" s="77">
        <v>3</v>
      </c>
      <c r="AC33" s="79"/>
      <c r="AD33" s="78">
        <f t="shared" si="46"/>
        <v>-3</v>
      </c>
      <c r="AE33" s="77">
        <v>3</v>
      </c>
      <c r="AF33" s="79"/>
      <c r="AG33" s="78">
        <f t="shared" si="47"/>
        <v>-3</v>
      </c>
      <c r="AH33" s="77">
        <v>3</v>
      </c>
      <c r="AI33" s="80"/>
      <c r="AJ33" s="78">
        <f t="shared" si="48"/>
        <v>-3</v>
      </c>
      <c r="AK33" s="77">
        <v>3</v>
      </c>
      <c r="AL33" s="80"/>
      <c r="AM33" s="78">
        <f t="shared" si="49"/>
        <v>-3</v>
      </c>
    </row>
    <row r="34" spans="1:39" s="25" customFormat="1" hidden="1" outlineLevel="1" x14ac:dyDescent="0.3">
      <c r="A34" s="23"/>
      <c r="B34" s="23"/>
      <c r="C34" s="7" t="s">
        <v>65</v>
      </c>
      <c r="D34" s="77">
        <v>39</v>
      </c>
      <c r="E34" s="77">
        <v>39</v>
      </c>
      <c r="F34" s="78">
        <f t="shared" si="1"/>
        <v>0</v>
      </c>
      <c r="G34" s="77">
        <v>39</v>
      </c>
      <c r="H34" s="79">
        <v>37</v>
      </c>
      <c r="I34" s="78">
        <f t="shared" si="39"/>
        <v>-2</v>
      </c>
      <c r="J34" s="77">
        <v>39</v>
      </c>
      <c r="K34" s="79">
        <v>35</v>
      </c>
      <c r="L34" s="78">
        <f t="shared" si="40"/>
        <v>-4</v>
      </c>
      <c r="M34" s="77">
        <v>39</v>
      </c>
      <c r="N34" s="79">
        <v>40</v>
      </c>
      <c r="O34" s="78">
        <f t="shared" si="41"/>
        <v>1</v>
      </c>
      <c r="P34" s="77">
        <v>39</v>
      </c>
      <c r="Q34" s="79">
        <v>39</v>
      </c>
      <c r="R34" s="78">
        <f t="shared" si="42"/>
        <v>0</v>
      </c>
      <c r="S34" s="77">
        <v>39</v>
      </c>
      <c r="T34" s="79"/>
      <c r="U34" s="78">
        <f t="shared" si="43"/>
        <v>-39</v>
      </c>
      <c r="V34" s="77">
        <v>39</v>
      </c>
      <c r="W34" s="79"/>
      <c r="X34" s="78">
        <f t="shared" si="44"/>
        <v>-39</v>
      </c>
      <c r="Y34" s="77">
        <v>39</v>
      </c>
      <c r="Z34" s="79"/>
      <c r="AA34" s="78">
        <f t="shared" si="45"/>
        <v>-39</v>
      </c>
      <c r="AB34" s="77">
        <v>39</v>
      </c>
      <c r="AC34" s="79"/>
      <c r="AD34" s="78">
        <f t="shared" si="46"/>
        <v>-39</v>
      </c>
      <c r="AE34" s="77">
        <v>39</v>
      </c>
      <c r="AF34" s="79"/>
      <c r="AG34" s="78">
        <f t="shared" si="47"/>
        <v>-39</v>
      </c>
      <c r="AH34" s="77">
        <v>39</v>
      </c>
      <c r="AI34" s="80"/>
      <c r="AJ34" s="78">
        <f t="shared" si="48"/>
        <v>-39</v>
      </c>
      <c r="AK34" s="77">
        <v>39</v>
      </c>
      <c r="AL34" s="80"/>
      <c r="AM34" s="78">
        <f t="shared" si="49"/>
        <v>-39</v>
      </c>
    </row>
    <row r="35" spans="1:39" s="25" customFormat="1" hidden="1" outlineLevel="1" x14ac:dyDescent="0.3">
      <c r="A35" s="23"/>
      <c r="B35" s="23"/>
      <c r="C35" s="7" t="s">
        <v>66</v>
      </c>
      <c r="D35" s="77">
        <v>13</v>
      </c>
      <c r="E35" s="77">
        <v>13</v>
      </c>
      <c r="F35" s="78">
        <f t="shared" si="1"/>
        <v>0</v>
      </c>
      <c r="G35" s="77">
        <v>13</v>
      </c>
      <c r="H35" s="79">
        <v>12</v>
      </c>
      <c r="I35" s="78">
        <f t="shared" si="39"/>
        <v>-1</v>
      </c>
      <c r="J35" s="77">
        <v>13</v>
      </c>
      <c r="K35" s="79">
        <v>12</v>
      </c>
      <c r="L35" s="78">
        <f t="shared" si="40"/>
        <v>-1</v>
      </c>
      <c r="M35" s="77">
        <v>13</v>
      </c>
      <c r="N35" s="79">
        <v>11</v>
      </c>
      <c r="O35" s="78">
        <f t="shared" si="41"/>
        <v>-2</v>
      </c>
      <c r="P35" s="77">
        <v>13</v>
      </c>
      <c r="Q35" s="79">
        <v>11</v>
      </c>
      <c r="R35" s="78">
        <f t="shared" si="42"/>
        <v>-2</v>
      </c>
      <c r="S35" s="77">
        <v>13</v>
      </c>
      <c r="T35" s="79"/>
      <c r="U35" s="78">
        <f t="shared" si="43"/>
        <v>-13</v>
      </c>
      <c r="V35" s="77">
        <v>13</v>
      </c>
      <c r="W35" s="79"/>
      <c r="X35" s="78">
        <f t="shared" si="44"/>
        <v>-13</v>
      </c>
      <c r="Y35" s="77">
        <v>13</v>
      </c>
      <c r="Z35" s="79"/>
      <c r="AA35" s="78">
        <f t="shared" si="45"/>
        <v>-13</v>
      </c>
      <c r="AB35" s="77">
        <v>13</v>
      </c>
      <c r="AC35" s="79"/>
      <c r="AD35" s="78">
        <f t="shared" si="46"/>
        <v>-13</v>
      </c>
      <c r="AE35" s="77">
        <v>13</v>
      </c>
      <c r="AF35" s="79"/>
      <c r="AG35" s="78">
        <f t="shared" si="47"/>
        <v>-13</v>
      </c>
      <c r="AH35" s="77">
        <v>13</v>
      </c>
      <c r="AI35" s="80"/>
      <c r="AJ35" s="78">
        <f t="shared" si="48"/>
        <v>-13</v>
      </c>
      <c r="AK35" s="77">
        <v>13</v>
      </c>
      <c r="AL35" s="80"/>
      <c r="AM35" s="78">
        <f t="shared" si="49"/>
        <v>-13</v>
      </c>
    </row>
    <row r="36" spans="1:39" s="42" customFormat="1" collapsed="1" x14ac:dyDescent="0.35">
      <c r="A36" s="14">
        <v>12</v>
      </c>
      <c r="B36" s="14"/>
      <c r="C36" s="11" t="s">
        <v>22</v>
      </c>
      <c r="D36" s="73">
        <f t="shared" ref="D36:AM36" si="50">SUM(D37:D46)</f>
        <v>366</v>
      </c>
      <c r="E36" s="73">
        <f t="shared" si="50"/>
        <v>321</v>
      </c>
      <c r="F36" s="74">
        <f t="shared" si="50"/>
        <v>-45</v>
      </c>
      <c r="G36" s="75">
        <f t="shared" si="50"/>
        <v>355</v>
      </c>
      <c r="H36" s="75">
        <f t="shared" si="50"/>
        <v>295</v>
      </c>
      <c r="I36" s="74">
        <f t="shared" si="50"/>
        <v>-60</v>
      </c>
      <c r="J36" s="75">
        <f t="shared" si="50"/>
        <v>364</v>
      </c>
      <c r="K36" s="75">
        <f t="shared" si="50"/>
        <v>301</v>
      </c>
      <c r="L36" s="74">
        <f t="shared" si="50"/>
        <v>-63</v>
      </c>
      <c r="M36" s="75">
        <f t="shared" si="50"/>
        <v>368</v>
      </c>
      <c r="N36" s="75">
        <f t="shared" si="50"/>
        <v>294</v>
      </c>
      <c r="O36" s="74">
        <f t="shared" si="50"/>
        <v>-74</v>
      </c>
      <c r="P36" s="75">
        <f t="shared" si="50"/>
        <v>369</v>
      </c>
      <c r="Q36" s="75">
        <f t="shared" si="50"/>
        <v>276</v>
      </c>
      <c r="R36" s="74">
        <f t="shared" si="50"/>
        <v>-93</v>
      </c>
      <c r="S36" s="75">
        <f t="shared" si="50"/>
        <v>369</v>
      </c>
      <c r="T36" s="75">
        <f t="shared" si="50"/>
        <v>0</v>
      </c>
      <c r="U36" s="74">
        <f t="shared" si="50"/>
        <v>-369</v>
      </c>
      <c r="V36" s="75">
        <f t="shared" si="50"/>
        <v>369</v>
      </c>
      <c r="W36" s="75">
        <f t="shared" si="50"/>
        <v>0</v>
      </c>
      <c r="X36" s="74">
        <f t="shared" si="50"/>
        <v>-369</v>
      </c>
      <c r="Y36" s="75">
        <f t="shared" si="50"/>
        <v>369</v>
      </c>
      <c r="Z36" s="75">
        <f t="shared" si="50"/>
        <v>0</v>
      </c>
      <c r="AA36" s="74">
        <f t="shared" si="50"/>
        <v>-369</v>
      </c>
      <c r="AB36" s="75">
        <f t="shared" si="50"/>
        <v>370</v>
      </c>
      <c r="AC36" s="75">
        <f t="shared" si="50"/>
        <v>0</v>
      </c>
      <c r="AD36" s="74">
        <f t="shared" si="50"/>
        <v>-370</v>
      </c>
      <c r="AE36" s="75">
        <f t="shared" si="50"/>
        <v>370</v>
      </c>
      <c r="AF36" s="75">
        <f t="shared" si="50"/>
        <v>0</v>
      </c>
      <c r="AG36" s="74">
        <f t="shared" si="50"/>
        <v>-370</v>
      </c>
      <c r="AH36" s="76">
        <f t="shared" si="50"/>
        <v>370</v>
      </c>
      <c r="AI36" s="76">
        <f t="shared" si="50"/>
        <v>0</v>
      </c>
      <c r="AJ36" s="74">
        <f t="shared" si="50"/>
        <v>-370</v>
      </c>
      <c r="AK36" s="76">
        <f t="shared" si="50"/>
        <v>370</v>
      </c>
      <c r="AL36" s="76">
        <f t="shared" si="50"/>
        <v>0</v>
      </c>
      <c r="AM36" s="74">
        <f t="shared" si="50"/>
        <v>-370</v>
      </c>
    </row>
    <row r="37" spans="1:39" s="8" customFormat="1" hidden="1" outlineLevel="1" x14ac:dyDescent="0.3">
      <c r="A37" s="10">
        <v>627</v>
      </c>
      <c r="B37" s="10"/>
      <c r="C37" s="7" t="s">
        <v>83</v>
      </c>
      <c r="D37" s="85">
        <v>12</v>
      </c>
      <c r="E37" s="85">
        <v>12</v>
      </c>
      <c r="F37" s="86">
        <f t="shared" si="1"/>
        <v>0</v>
      </c>
      <c r="G37" s="85">
        <v>12</v>
      </c>
      <c r="H37" s="85">
        <v>11</v>
      </c>
      <c r="I37" s="86">
        <f t="shared" ref="I37:I46" si="51">H37-G37</f>
        <v>-1</v>
      </c>
      <c r="J37" s="85">
        <v>12</v>
      </c>
      <c r="K37" s="85">
        <v>12</v>
      </c>
      <c r="L37" s="86">
        <f t="shared" ref="L37:L46" si="52">K37-J37</f>
        <v>0</v>
      </c>
      <c r="M37" s="85">
        <v>12</v>
      </c>
      <c r="N37" s="85">
        <v>12</v>
      </c>
      <c r="O37" s="86">
        <f t="shared" ref="O37:O46" si="53">N37-M37</f>
        <v>0</v>
      </c>
      <c r="P37" s="85">
        <v>12</v>
      </c>
      <c r="Q37" s="85">
        <v>12</v>
      </c>
      <c r="R37" s="86">
        <f t="shared" ref="R37:R46" si="54">Q37-P37</f>
        <v>0</v>
      </c>
      <c r="S37" s="85">
        <v>12</v>
      </c>
      <c r="T37" s="85"/>
      <c r="U37" s="86">
        <f t="shared" ref="U37:U46" si="55">T37-S37</f>
        <v>-12</v>
      </c>
      <c r="V37" s="85">
        <v>12</v>
      </c>
      <c r="W37" s="85"/>
      <c r="X37" s="86">
        <f t="shared" ref="X37:X46" si="56">W37-V37</f>
        <v>-12</v>
      </c>
      <c r="Y37" s="85">
        <v>12</v>
      </c>
      <c r="Z37" s="85"/>
      <c r="AA37" s="86">
        <f t="shared" ref="AA37:AA46" si="57">Z37-Y37</f>
        <v>-12</v>
      </c>
      <c r="AB37" s="85">
        <v>12</v>
      </c>
      <c r="AC37" s="85"/>
      <c r="AD37" s="86">
        <f t="shared" ref="AD37:AD46" si="58">AC37-AB37</f>
        <v>-12</v>
      </c>
      <c r="AE37" s="85">
        <v>12</v>
      </c>
      <c r="AF37" s="85"/>
      <c r="AG37" s="86">
        <f t="shared" ref="AG37:AG46" si="59">AF37-AE37</f>
        <v>-12</v>
      </c>
      <c r="AH37" s="87">
        <v>12</v>
      </c>
      <c r="AI37" s="87"/>
      <c r="AJ37" s="86">
        <f t="shared" ref="AJ37:AJ46" si="60">AI37-AH37</f>
        <v>-12</v>
      </c>
      <c r="AK37" s="87">
        <v>12</v>
      </c>
      <c r="AL37" s="87"/>
      <c r="AM37" s="86">
        <f t="shared" ref="AM37:AM46" si="61">AL37-AK37</f>
        <v>-12</v>
      </c>
    </row>
    <row r="38" spans="1:39" s="8" customFormat="1" hidden="1" outlineLevel="1" x14ac:dyDescent="0.3">
      <c r="A38" s="10">
        <v>627</v>
      </c>
      <c r="B38" s="10"/>
      <c r="C38" s="7" t="s">
        <v>84</v>
      </c>
      <c r="D38" s="85">
        <v>31</v>
      </c>
      <c r="E38" s="85">
        <v>26</v>
      </c>
      <c r="F38" s="86">
        <f t="shared" si="1"/>
        <v>-5</v>
      </c>
      <c r="G38" s="85">
        <v>31</v>
      </c>
      <c r="H38" s="85">
        <v>28</v>
      </c>
      <c r="I38" s="86">
        <f t="shared" si="51"/>
        <v>-3</v>
      </c>
      <c r="J38" s="85">
        <v>32</v>
      </c>
      <c r="K38" s="85">
        <v>28</v>
      </c>
      <c r="L38" s="86">
        <f t="shared" si="52"/>
        <v>-4</v>
      </c>
      <c r="M38" s="85">
        <v>32</v>
      </c>
      <c r="N38" s="85">
        <v>28</v>
      </c>
      <c r="O38" s="86">
        <f t="shared" si="53"/>
        <v>-4</v>
      </c>
      <c r="P38" s="85">
        <v>33</v>
      </c>
      <c r="Q38" s="85">
        <v>29</v>
      </c>
      <c r="R38" s="86">
        <f t="shared" si="54"/>
        <v>-4</v>
      </c>
      <c r="S38" s="85">
        <v>33</v>
      </c>
      <c r="T38" s="85"/>
      <c r="U38" s="86">
        <f t="shared" si="55"/>
        <v>-33</v>
      </c>
      <c r="V38" s="85">
        <v>33</v>
      </c>
      <c r="W38" s="85"/>
      <c r="X38" s="86">
        <f t="shared" si="56"/>
        <v>-33</v>
      </c>
      <c r="Y38" s="85">
        <v>33</v>
      </c>
      <c r="Z38" s="85"/>
      <c r="AA38" s="86">
        <f t="shared" si="57"/>
        <v>-33</v>
      </c>
      <c r="AB38" s="85">
        <v>34</v>
      </c>
      <c r="AC38" s="85"/>
      <c r="AD38" s="86">
        <f t="shared" si="58"/>
        <v>-34</v>
      </c>
      <c r="AE38" s="85">
        <v>34</v>
      </c>
      <c r="AF38" s="85"/>
      <c r="AG38" s="86">
        <f t="shared" si="59"/>
        <v>-34</v>
      </c>
      <c r="AH38" s="87">
        <v>34</v>
      </c>
      <c r="AI38" s="87"/>
      <c r="AJ38" s="86">
        <f t="shared" si="60"/>
        <v>-34</v>
      </c>
      <c r="AK38" s="87">
        <v>34</v>
      </c>
      <c r="AL38" s="87"/>
      <c r="AM38" s="86">
        <f t="shared" si="61"/>
        <v>-34</v>
      </c>
    </row>
    <row r="39" spans="1:39" s="8" customFormat="1" hidden="1" outlineLevel="1" x14ac:dyDescent="0.3">
      <c r="A39" s="10">
        <v>622</v>
      </c>
      <c r="B39" s="10"/>
      <c r="C39" s="7" t="s">
        <v>85</v>
      </c>
      <c r="D39" s="85">
        <v>6</v>
      </c>
      <c r="E39" s="85">
        <v>6</v>
      </c>
      <c r="F39" s="86">
        <f t="shared" si="1"/>
        <v>0</v>
      </c>
      <c r="G39" s="85">
        <v>6</v>
      </c>
      <c r="H39" s="85">
        <v>5</v>
      </c>
      <c r="I39" s="86">
        <f t="shared" si="51"/>
        <v>-1</v>
      </c>
      <c r="J39" s="85">
        <v>6</v>
      </c>
      <c r="K39" s="85">
        <v>6</v>
      </c>
      <c r="L39" s="86">
        <f t="shared" si="52"/>
        <v>0</v>
      </c>
      <c r="M39" s="85">
        <v>6</v>
      </c>
      <c r="N39" s="85">
        <v>6</v>
      </c>
      <c r="O39" s="86">
        <f t="shared" si="53"/>
        <v>0</v>
      </c>
      <c r="P39" s="85">
        <v>6</v>
      </c>
      <c r="Q39" s="85">
        <v>6</v>
      </c>
      <c r="R39" s="86">
        <f t="shared" si="54"/>
        <v>0</v>
      </c>
      <c r="S39" s="85">
        <v>6</v>
      </c>
      <c r="T39" s="85"/>
      <c r="U39" s="86">
        <f t="shared" si="55"/>
        <v>-6</v>
      </c>
      <c r="V39" s="85">
        <v>6</v>
      </c>
      <c r="W39" s="85"/>
      <c r="X39" s="86">
        <f t="shared" si="56"/>
        <v>-6</v>
      </c>
      <c r="Y39" s="85">
        <v>6</v>
      </c>
      <c r="Z39" s="85"/>
      <c r="AA39" s="86">
        <f t="shared" si="57"/>
        <v>-6</v>
      </c>
      <c r="AB39" s="85">
        <v>6</v>
      </c>
      <c r="AC39" s="85"/>
      <c r="AD39" s="86">
        <f t="shared" si="58"/>
        <v>-6</v>
      </c>
      <c r="AE39" s="85">
        <v>6</v>
      </c>
      <c r="AF39" s="85"/>
      <c r="AG39" s="86">
        <f t="shared" si="59"/>
        <v>-6</v>
      </c>
      <c r="AH39" s="87">
        <v>6</v>
      </c>
      <c r="AI39" s="87"/>
      <c r="AJ39" s="86">
        <f t="shared" si="60"/>
        <v>-6</v>
      </c>
      <c r="AK39" s="87">
        <v>6</v>
      </c>
      <c r="AL39" s="87"/>
      <c r="AM39" s="86">
        <f t="shared" si="61"/>
        <v>-6</v>
      </c>
    </row>
    <row r="40" spans="1:39" s="8" customFormat="1" hidden="1" outlineLevel="1" x14ac:dyDescent="0.3">
      <c r="A40" s="10">
        <v>622</v>
      </c>
      <c r="B40" s="10"/>
      <c r="C40" s="7" t="s">
        <v>86</v>
      </c>
      <c r="D40" s="85">
        <v>24</v>
      </c>
      <c r="E40" s="85">
        <v>21</v>
      </c>
      <c r="F40" s="86">
        <f t="shared" si="1"/>
        <v>-3</v>
      </c>
      <c r="G40" s="85">
        <v>24</v>
      </c>
      <c r="H40" s="85">
        <v>19</v>
      </c>
      <c r="I40" s="86">
        <f t="shared" si="51"/>
        <v>-5</v>
      </c>
      <c r="J40" s="85">
        <v>24</v>
      </c>
      <c r="K40" s="85">
        <v>19</v>
      </c>
      <c r="L40" s="86">
        <f t="shared" si="52"/>
        <v>-5</v>
      </c>
      <c r="M40" s="85">
        <v>24</v>
      </c>
      <c r="N40" s="85">
        <v>21</v>
      </c>
      <c r="O40" s="86">
        <f t="shared" si="53"/>
        <v>-3</v>
      </c>
      <c r="P40" s="85">
        <v>24</v>
      </c>
      <c r="Q40" s="85">
        <v>20</v>
      </c>
      <c r="R40" s="86">
        <f t="shared" si="54"/>
        <v>-4</v>
      </c>
      <c r="S40" s="85">
        <v>24</v>
      </c>
      <c r="T40" s="85"/>
      <c r="U40" s="86">
        <f t="shared" si="55"/>
        <v>-24</v>
      </c>
      <c r="V40" s="85">
        <v>24</v>
      </c>
      <c r="W40" s="85"/>
      <c r="X40" s="86">
        <f t="shared" si="56"/>
        <v>-24</v>
      </c>
      <c r="Y40" s="85">
        <v>24</v>
      </c>
      <c r="Z40" s="85"/>
      <c r="AA40" s="86">
        <f t="shared" si="57"/>
        <v>-24</v>
      </c>
      <c r="AB40" s="85">
        <v>24</v>
      </c>
      <c r="AC40" s="85"/>
      <c r="AD40" s="86">
        <f t="shared" si="58"/>
        <v>-24</v>
      </c>
      <c r="AE40" s="85">
        <v>24</v>
      </c>
      <c r="AF40" s="85"/>
      <c r="AG40" s="86">
        <f t="shared" si="59"/>
        <v>-24</v>
      </c>
      <c r="AH40" s="87">
        <v>24</v>
      </c>
      <c r="AI40" s="87"/>
      <c r="AJ40" s="86">
        <f t="shared" si="60"/>
        <v>-24</v>
      </c>
      <c r="AK40" s="87">
        <v>24</v>
      </c>
      <c r="AL40" s="87"/>
      <c r="AM40" s="86">
        <f t="shared" si="61"/>
        <v>-24</v>
      </c>
    </row>
    <row r="41" spans="1:39" s="96" customFormat="1" hidden="1" outlineLevel="1" x14ac:dyDescent="0.3">
      <c r="A41" s="92">
        <v>622</v>
      </c>
      <c r="B41" s="92"/>
      <c r="C41" s="93" t="s">
        <v>87</v>
      </c>
      <c r="D41" s="94"/>
      <c r="E41" s="94"/>
      <c r="F41" s="95">
        <f t="shared" si="1"/>
        <v>0</v>
      </c>
      <c r="G41" s="94"/>
      <c r="H41" s="94"/>
      <c r="I41" s="95">
        <f t="shared" si="51"/>
        <v>0</v>
      </c>
      <c r="J41" s="94"/>
      <c r="K41" s="94"/>
      <c r="L41" s="95">
        <f t="shared" si="52"/>
        <v>0</v>
      </c>
      <c r="M41" s="94"/>
      <c r="N41" s="94">
        <v>0</v>
      </c>
      <c r="O41" s="95">
        <f t="shared" si="53"/>
        <v>0</v>
      </c>
      <c r="P41" s="94"/>
      <c r="Q41" s="94"/>
      <c r="R41" s="95">
        <f t="shared" si="54"/>
        <v>0</v>
      </c>
      <c r="S41" s="94"/>
      <c r="T41" s="94"/>
      <c r="U41" s="95">
        <f t="shared" si="55"/>
        <v>0</v>
      </c>
      <c r="V41" s="94"/>
      <c r="W41" s="94"/>
      <c r="X41" s="95">
        <f t="shared" si="56"/>
        <v>0</v>
      </c>
      <c r="Y41" s="94"/>
      <c r="Z41" s="94"/>
      <c r="AA41" s="95">
        <f t="shared" si="57"/>
        <v>0</v>
      </c>
      <c r="AB41" s="94"/>
      <c r="AC41" s="94"/>
      <c r="AD41" s="95">
        <f t="shared" si="58"/>
        <v>0</v>
      </c>
      <c r="AE41" s="94"/>
      <c r="AF41" s="94"/>
      <c r="AG41" s="95">
        <f t="shared" si="59"/>
        <v>0</v>
      </c>
      <c r="AH41" s="94"/>
      <c r="AI41" s="94"/>
      <c r="AJ41" s="95">
        <f t="shared" si="60"/>
        <v>0</v>
      </c>
      <c r="AK41" s="94"/>
      <c r="AL41" s="94"/>
      <c r="AM41" s="95">
        <f t="shared" si="61"/>
        <v>0</v>
      </c>
    </row>
    <row r="42" spans="1:39" s="8" customFormat="1" hidden="1" outlineLevel="1" x14ac:dyDescent="0.3">
      <c r="A42" s="10">
        <v>627</v>
      </c>
      <c r="B42" s="10"/>
      <c r="C42" s="7" t="s">
        <v>70</v>
      </c>
      <c r="D42" s="85">
        <v>4</v>
      </c>
      <c r="E42" s="85">
        <v>4</v>
      </c>
      <c r="F42" s="86">
        <f t="shared" si="1"/>
        <v>0</v>
      </c>
      <c r="G42" s="85">
        <v>4</v>
      </c>
      <c r="H42" s="85">
        <v>4</v>
      </c>
      <c r="I42" s="86">
        <f t="shared" si="51"/>
        <v>0</v>
      </c>
      <c r="J42" s="85">
        <v>4</v>
      </c>
      <c r="K42" s="85">
        <v>4</v>
      </c>
      <c r="L42" s="86">
        <f t="shared" si="52"/>
        <v>0</v>
      </c>
      <c r="M42" s="85">
        <v>4</v>
      </c>
      <c r="N42" s="85">
        <v>4</v>
      </c>
      <c r="O42" s="86">
        <f t="shared" si="53"/>
        <v>0</v>
      </c>
      <c r="P42" s="85">
        <v>4</v>
      </c>
      <c r="Q42" s="97">
        <v>3</v>
      </c>
      <c r="R42" s="86">
        <f t="shared" si="54"/>
        <v>-1</v>
      </c>
      <c r="S42" s="85">
        <v>4</v>
      </c>
      <c r="T42" s="85"/>
      <c r="U42" s="86">
        <f t="shared" si="55"/>
        <v>-4</v>
      </c>
      <c r="V42" s="85">
        <v>4</v>
      </c>
      <c r="W42" s="85"/>
      <c r="X42" s="86">
        <f t="shared" si="56"/>
        <v>-4</v>
      </c>
      <c r="Y42" s="85">
        <v>4</v>
      </c>
      <c r="Z42" s="85"/>
      <c r="AA42" s="86">
        <f t="shared" si="57"/>
        <v>-4</v>
      </c>
      <c r="AB42" s="85">
        <v>4</v>
      </c>
      <c r="AC42" s="85"/>
      <c r="AD42" s="86">
        <f t="shared" si="58"/>
        <v>-4</v>
      </c>
      <c r="AE42" s="85">
        <v>4</v>
      </c>
      <c r="AF42" s="85"/>
      <c r="AG42" s="86">
        <f t="shared" si="59"/>
        <v>-4</v>
      </c>
      <c r="AH42" s="87">
        <v>4</v>
      </c>
      <c r="AI42" s="87"/>
      <c r="AJ42" s="86">
        <f t="shared" si="60"/>
        <v>-4</v>
      </c>
      <c r="AK42" s="87">
        <v>4</v>
      </c>
      <c r="AL42" s="87"/>
      <c r="AM42" s="86">
        <f t="shared" si="61"/>
        <v>-4</v>
      </c>
    </row>
    <row r="43" spans="1:39" s="8" customFormat="1" hidden="1" outlineLevel="1" x14ac:dyDescent="0.3">
      <c r="A43" s="10">
        <v>627</v>
      </c>
      <c r="B43" s="10"/>
      <c r="C43" s="7" t="s">
        <v>71</v>
      </c>
      <c r="D43" s="85">
        <v>49</v>
      </c>
      <c r="E43" s="85">
        <v>43</v>
      </c>
      <c r="F43" s="86">
        <f t="shared" si="1"/>
        <v>-6</v>
      </c>
      <c r="G43" s="85">
        <v>49</v>
      </c>
      <c r="H43" s="85">
        <v>40</v>
      </c>
      <c r="I43" s="86">
        <f t="shared" si="51"/>
        <v>-9</v>
      </c>
      <c r="J43" s="85">
        <v>56</v>
      </c>
      <c r="K43" s="85">
        <v>35</v>
      </c>
      <c r="L43" s="86">
        <f t="shared" si="52"/>
        <v>-21</v>
      </c>
      <c r="M43" s="85">
        <v>56</v>
      </c>
      <c r="N43" s="85">
        <v>42</v>
      </c>
      <c r="O43" s="86">
        <f t="shared" si="53"/>
        <v>-14</v>
      </c>
      <c r="P43" s="85">
        <v>56</v>
      </c>
      <c r="Q43" s="85">
        <v>43</v>
      </c>
      <c r="R43" s="86">
        <f t="shared" si="54"/>
        <v>-13</v>
      </c>
      <c r="S43" s="85">
        <v>56</v>
      </c>
      <c r="T43" s="85"/>
      <c r="U43" s="86">
        <f t="shared" si="55"/>
        <v>-56</v>
      </c>
      <c r="V43" s="85">
        <v>56</v>
      </c>
      <c r="W43" s="85"/>
      <c r="X43" s="86">
        <f t="shared" si="56"/>
        <v>-56</v>
      </c>
      <c r="Y43" s="85">
        <v>56</v>
      </c>
      <c r="Z43" s="85"/>
      <c r="AA43" s="86">
        <f t="shared" si="57"/>
        <v>-56</v>
      </c>
      <c r="AB43" s="85">
        <v>56</v>
      </c>
      <c r="AC43" s="85"/>
      <c r="AD43" s="86">
        <f t="shared" si="58"/>
        <v>-56</v>
      </c>
      <c r="AE43" s="85">
        <v>56</v>
      </c>
      <c r="AF43" s="85"/>
      <c r="AG43" s="86">
        <f t="shared" si="59"/>
        <v>-56</v>
      </c>
      <c r="AH43" s="87">
        <v>56</v>
      </c>
      <c r="AI43" s="87"/>
      <c r="AJ43" s="86">
        <f t="shared" si="60"/>
        <v>-56</v>
      </c>
      <c r="AK43" s="87">
        <v>56</v>
      </c>
      <c r="AL43" s="87"/>
      <c r="AM43" s="86">
        <f t="shared" si="61"/>
        <v>-56</v>
      </c>
    </row>
    <row r="44" spans="1:39" s="8" customFormat="1" hidden="1" outlineLevel="1" x14ac:dyDescent="0.3">
      <c r="A44" s="10">
        <v>622</v>
      </c>
      <c r="B44" s="10"/>
      <c r="C44" s="7" t="s">
        <v>72</v>
      </c>
      <c r="D44" s="85">
        <v>38</v>
      </c>
      <c r="E44" s="85">
        <v>31</v>
      </c>
      <c r="F44" s="86">
        <f t="shared" si="1"/>
        <v>-7</v>
      </c>
      <c r="G44" s="85">
        <v>38</v>
      </c>
      <c r="H44" s="85">
        <v>29</v>
      </c>
      <c r="I44" s="86">
        <f t="shared" si="51"/>
        <v>-9</v>
      </c>
      <c r="J44" s="85">
        <v>41</v>
      </c>
      <c r="K44" s="85">
        <v>32</v>
      </c>
      <c r="L44" s="86">
        <f t="shared" si="52"/>
        <v>-9</v>
      </c>
      <c r="M44" s="85">
        <v>45</v>
      </c>
      <c r="N44" s="85">
        <v>31</v>
      </c>
      <c r="O44" s="86">
        <f t="shared" si="53"/>
        <v>-14</v>
      </c>
      <c r="P44" s="85">
        <v>45</v>
      </c>
      <c r="Q44" s="85">
        <v>24</v>
      </c>
      <c r="R44" s="86">
        <f t="shared" si="54"/>
        <v>-21</v>
      </c>
      <c r="S44" s="85">
        <v>45</v>
      </c>
      <c r="T44" s="85"/>
      <c r="U44" s="86">
        <f t="shared" si="55"/>
        <v>-45</v>
      </c>
      <c r="V44" s="85">
        <v>45</v>
      </c>
      <c r="W44" s="85"/>
      <c r="X44" s="86">
        <f t="shared" si="56"/>
        <v>-45</v>
      </c>
      <c r="Y44" s="85">
        <v>45</v>
      </c>
      <c r="Z44" s="85"/>
      <c r="AA44" s="86">
        <f t="shared" si="57"/>
        <v>-45</v>
      </c>
      <c r="AB44" s="85">
        <v>45</v>
      </c>
      <c r="AC44" s="85"/>
      <c r="AD44" s="86">
        <f t="shared" si="58"/>
        <v>-45</v>
      </c>
      <c r="AE44" s="85">
        <v>45</v>
      </c>
      <c r="AF44" s="85"/>
      <c r="AG44" s="86">
        <f t="shared" si="59"/>
        <v>-45</v>
      </c>
      <c r="AH44" s="87">
        <v>45</v>
      </c>
      <c r="AI44" s="87"/>
      <c r="AJ44" s="86">
        <f t="shared" si="60"/>
        <v>-45</v>
      </c>
      <c r="AK44" s="87">
        <v>45</v>
      </c>
      <c r="AL44" s="87"/>
      <c r="AM44" s="86">
        <f t="shared" si="61"/>
        <v>-45</v>
      </c>
    </row>
    <row r="45" spans="1:39" s="8" customFormat="1" hidden="1" outlineLevel="1" x14ac:dyDescent="0.3">
      <c r="A45" s="10">
        <v>622</v>
      </c>
      <c r="B45" s="10"/>
      <c r="C45" s="7" t="s">
        <v>73</v>
      </c>
      <c r="D45" s="85">
        <v>201</v>
      </c>
      <c r="E45" s="85">
        <v>177</v>
      </c>
      <c r="F45" s="86">
        <f t="shared" si="1"/>
        <v>-24</v>
      </c>
      <c r="G45" s="85">
        <v>191</v>
      </c>
      <c r="H45" s="85">
        <v>158</v>
      </c>
      <c r="I45" s="86">
        <f t="shared" si="51"/>
        <v>-33</v>
      </c>
      <c r="J45" s="85">
        <v>189</v>
      </c>
      <c r="K45" s="85">
        <v>164</v>
      </c>
      <c r="L45" s="86">
        <f t="shared" si="52"/>
        <v>-25</v>
      </c>
      <c r="M45" s="85">
        <v>189</v>
      </c>
      <c r="N45" s="85">
        <v>149</v>
      </c>
      <c r="O45" s="86">
        <f t="shared" si="53"/>
        <v>-40</v>
      </c>
      <c r="P45" s="85">
        <v>189</v>
      </c>
      <c r="Q45" s="85">
        <v>138</v>
      </c>
      <c r="R45" s="86">
        <f t="shared" si="54"/>
        <v>-51</v>
      </c>
      <c r="S45" s="85">
        <v>189</v>
      </c>
      <c r="T45" s="85"/>
      <c r="U45" s="86">
        <f t="shared" si="55"/>
        <v>-189</v>
      </c>
      <c r="V45" s="85">
        <v>189</v>
      </c>
      <c r="W45" s="85"/>
      <c r="X45" s="86">
        <f t="shared" si="56"/>
        <v>-189</v>
      </c>
      <c r="Y45" s="85">
        <v>189</v>
      </c>
      <c r="Z45" s="85"/>
      <c r="AA45" s="86">
        <f t="shared" si="57"/>
        <v>-189</v>
      </c>
      <c r="AB45" s="85">
        <v>189</v>
      </c>
      <c r="AC45" s="85"/>
      <c r="AD45" s="86">
        <f t="shared" si="58"/>
        <v>-189</v>
      </c>
      <c r="AE45" s="85">
        <v>189</v>
      </c>
      <c r="AF45" s="85"/>
      <c r="AG45" s="86">
        <f t="shared" si="59"/>
        <v>-189</v>
      </c>
      <c r="AH45" s="87">
        <v>189</v>
      </c>
      <c r="AI45" s="87"/>
      <c r="AJ45" s="86">
        <f t="shared" si="60"/>
        <v>-189</v>
      </c>
      <c r="AK45" s="87">
        <v>189</v>
      </c>
      <c r="AL45" s="87"/>
      <c r="AM45" s="86">
        <f t="shared" si="61"/>
        <v>-189</v>
      </c>
    </row>
    <row r="46" spans="1:39" s="8" customFormat="1" hidden="1" outlineLevel="1" x14ac:dyDescent="0.3">
      <c r="A46" s="10">
        <v>622</v>
      </c>
      <c r="B46" s="10"/>
      <c r="C46" s="7" t="s">
        <v>76</v>
      </c>
      <c r="D46" s="85">
        <v>1</v>
      </c>
      <c r="E46" s="85">
        <v>1</v>
      </c>
      <c r="F46" s="86">
        <f t="shared" si="1"/>
        <v>0</v>
      </c>
      <c r="G46" s="85">
        <v>0</v>
      </c>
      <c r="H46" s="85">
        <v>1</v>
      </c>
      <c r="I46" s="86">
        <f t="shared" si="51"/>
        <v>1</v>
      </c>
      <c r="J46" s="85">
        <v>0</v>
      </c>
      <c r="K46" s="85">
        <v>1</v>
      </c>
      <c r="L46" s="86">
        <f t="shared" si="52"/>
        <v>1</v>
      </c>
      <c r="M46" s="85">
        <v>0</v>
      </c>
      <c r="N46" s="85">
        <v>1</v>
      </c>
      <c r="O46" s="86">
        <f t="shared" si="53"/>
        <v>1</v>
      </c>
      <c r="P46" s="85">
        <v>0</v>
      </c>
      <c r="Q46" s="85">
        <v>1</v>
      </c>
      <c r="R46" s="86">
        <f t="shared" si="54"/>
        <v>1</v>
      </c>
      <c r="S46" s="85">
        <v>0</v>
      </c>
      <c r="T46" s="85"/>
      <c r="U46" s="86">
        <f t="shared" si="55"/>
        <v>0</v>
      </c>
      <c r="V46" s="85">
        <v>0</v>
      </c>
      <c r="W46" s="85"/>
      <c r="X46" s="86">
        <f t="shared" si="56"/>
        <v>0</v>
      </c>
      <c r="Y46" s="85">
        <v>0</v>
      </c>
      <c r="Z46" s="85"/>
      <c r="AA46" s="86">
        <f t="shared" si="57"/>
        <v>0</v>
      </c>
      <c r="AB46" s="85">
        <v>0</v>
      </c>
      <c r="AC46" s="85"/>
      <c r="AD46" s="86">
        <f t="shared" si="58"/>
        <v>0</v>
      </c>
      <c r="AE46" s="85">
        <v>0</v>
      </c>
      <c r="AF46" s="85"/>
      <c r="AG46" s="86">
        <f t="shared" si="59"/>
        <v>0</v>
      </c>
      <c r="AH46" s="87">
        <v>0</v>
      </c>
      <c r="AI46" s="87"/>
      <c r="AJ46" s="86">
        <f t="shared" si="60"/>
        <v>0</v>
      </c>
      <c r="AK46" s="87">
        <v>0</v>
      </c>
      <c r="AL46" s="87"/>
      <c r="AM46" s="86">
        <f t="shared" si="61"/>
        <v>0</v>
      </c>
    </row>
    <row r="47" spans="1:39" s="13" customFormat="1" collapsed="1" x14ac:dyDescent="0.3">
      <c r="C47" s="2" t="s">
        <v>27</v>
      </c>
      <c r="D47" s="88">
        <f>D4+D5+D7+D10+D11+D18+D22+D23+D28+D29+D36+D3+D17</f>
        <v>662</v>
      </c>
      <c r="E47" s="88">
        <f t="shared" ref="E47:AM47" si="62">E4+E5+E7+E10+E11+E18+E22+E23+E28+E29+E36+E3+E17</f>
        <v>611</v>
      </c>
      <c r="F47" s="88">
        <f t="shared" si="62"/>
        <v>-51</v>
      </c>
      <c r="G47" s="88">
        <f t="shared" si="62"/>
        <v>651</v>
      </c>
      <c r="H47" s="88">
        <f t="shared" si="62"/>
        <v>575</v>
      </c>
      <c r="I47" s="88">
        <f t="shared" si="62"/>
        <v>-76</v>
      </c>
      <c r="J47" s="88">
        <f t="shared" si="62"/>
        <v>660</v>
      </c>
      <c r="K47" s="88">
        <f t="shared" si="62"/>
        <v>582</v>
      </c>
      <c r="L47" s="88">
        <f t="shared" si="62"/>
        <v>-78</v>
      </c>
      <c r="M47" s="88">
        <f t="shared" si="62"/>
        <v>665</v>
      </c>
      <c r="N47" s="88">
        <f t="shared" si="62"/>
        <v>571</v>
      </c>
      <c r="O47" s="88">
        <f t="shared" si="62"/>
        <v>-94</v>
      </c>
      <c r="P47" s="88">
        <f t="shared" si="62"/>
        <v>671</v>
      </c>
      <c r="Q47" s="88">
        <f t="shared" si="62"/>
        <v>559</v>
      </c>
      <c r="R47" s="88">
        <f t="shared" si="62"/>
        <v>-112</v>
      </c>
      <c r="S47" s="88">
        <f t="shared" si="62"/>
        <v>675</v>
      </c>
      <c r="T47" s="88">
        <f t="shared" si="62"/>
        <v>0</v>
      </c>
      <c r="U47" s="88">
        <f t="shared" si="62"/>
        <v>-675</v>
      </c>
      <c r="V47" s="88">
        <f t="shared" si="62"/>
        <v>675</v>
      </c>
      <c r="W47" s="88">
        <f t="shared" si="62"/>
        <v>0</v>
      </c>
      <c r="X47" s="88">
        <f t="shared" si="62"/>
        <v>-675</v>
      </c>
      <c r="Y47" s="88">
        <f t="shared" si="62"/>
        <v>675</v>
      </c>
      <c r="Z47" s="88">
        <f t="shared" si="62"/>
        <v>0</v>
      </c>
      <c r="AA47" s="88">
        <f t="shared" si="62"/>
        <v>-675</v>
      </c>
      <c r="AB47" s="88">
        <f t="shared" si="62"/>
        <v>676</v>
      </c>
      <c r="AC47" s="88">
        <f t="shared" si="62"/>
        <v>0</v>
      </c>
      <c r="AD47" s="88">
        <f t="shared" si="62"/>
        <v>-676</v>
      </c>
      <c r="AE47" s="88">
        <f t="shared" si="62"/>
        <v>676</v>
      </c>
      <c r="AF47" s="88">
        <f t="shared" si="62"/>
        <v>0</v>
      </c>
      <c r="AG47" s="88">
        <f t="shared" si="62"/>
        <v>-676</v>
      </c>
      <c r="AH47" s="88">
        <f t="shared" si="62"/>
        <v>676</v>
      </c>
      <c r="AI47" s="88">
        <f t="shared" si="62"/>
        <v>0</v>
      </c>
      <c r="AJ47" s="88">
        <f t="shared" si="62"/>
        <v>-676</v>
      </c>
      <c r="AK47" s="88">
        <f t="shared" si="62"/>
        <v>676</v>
      </c>
      <c r="AL47" s="88">
        <f t="shared" si="62"/>
        <v>0</v>
      </c>
      <c r="AM47" s="88">
        <f t="shared" si="62"/>
        <v>-676</v>
      </c>
    </row>
    <row r="48" spans="1:39" s="13" customFormat="1" x14ac:dyDescent="0.3">
      <c r="C48" s="58"/>
      <c r="D48" s="90">
        <f>SUBTOTAL(9,D3:D46)</f>
        <v>1278</v>
      </c>
      <c r="E48" s="90">
        <f>SUBTOTAL(9,E3:E46)</f>
        <v>1176</v>
      </c>
      <c r="F48" s="90">
        <f>E48-D48</f>
        <v>-102</v>
      </c>
      <c r="G48" s="90">
        <f>SUBTOTAL(9,G3:G46)</f>
        <v>1256</v>
      </c>
      <c r="H48" s="90">
        <f>SUBTOTAL(9,H3:H46)</f>
        <v>1103</v>
      </c>
      <c r="I48" s="90">
        <f>H48-G48</f>
        <v>-153</v>
      </c>
      <c r="J48" s="90">
        <f>SUBTOTAL(9,J3:J46)</f>
        <v>1274</v>
      </c>
      <c r="K48" s="90">
        <f>SUBTOTAL(9,K3:K46)</f>
        <v>1116</v>
      </c>
      <c r="L48" s="90">
        <f>K48-J48</f>
        <v>-158</v>
      </c>
      <c r="M48" s="90">
        <f>SUBTOTAL(9,M3:M46)</f>
        <v>1283</v>
      </c>
      <c r="N48" s="90">
        <f>SUBTOTAL(9,N3:N46)</f>
        <v>1096</v>
      </c>
      <c r="O48" s="90">
        <f>N48-M48</f>
        <v>-187</v>
      </c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</row>
    <row r="50" spans="3:39" x14ac:dyDescent="0.3">
      <c r="C50" s="3" t="s">
        <v>88</v>
      </c>
      <c r="D50" s="89">
        <f t="shared" ref="D50:AM50" si="63">+D38+D40+D45</f>
        <v>256</v>
      </c>
      <c r="E50" s="17">
        <f t="shared" si="63"/>
        <v>224</v>
      </c>
      <c r="F50" s="67">
        <f t="shared" si="63"/>
        <v>-32</v>
      </c>
      <c r="G50" s="17">
        <f t="shared" si="63"/>
        <v>246</v>
      </c>
      <c r="H50" s="17">
        <f t="shared" si="63"/>
        <v>205</v>
      </c>
      <c r="I50" s="67">
        <f t="shared" si="63"/>
        <v>-41</v>
      </c>
      <c r="J50" s="17">
        <f t="shared" si="63"/>
        <v>245</v>
      </c>
      <c r="K50" s="17">
        <f t="shared" si="63"/>
        <v>211</v>
      </c>
      <c r="L50" s="67">
        <f t="shared" si="63"/>
        <v>-34</v>
      </c>
      <c r="M50" s="17">
        <f t="shared" si="63"/>
        <v>245</v>
      </c>
      <c r="N50" s="17">
        <f t="shared" si="63"/>
        <v>198</v>
      </c>
      <c r="O50" s="67">
        <f t="shared" si="63"/>
        <v>-47</v>
      </c>
      <c r="P50" s="17">
        <f t="shared" si="63"/>
        <v>246</v>
      </c>
      <c r="Q50" s="17">
        <f t="shared" si="63"/>
        <v>187</v>
      </c>
      <c r="R50" s="67">
        <f t="shared" si="63"/>
        <v>-59</v>
      </c>
      <c r="S50" s="17">
        <f t="shared" si="63"/>
        <v>246</v>
      </c>
      <c r="T50" s="17">
        <f t="shared" si="63"/>
        <v>0</v>
      </c>
      <c r="U50" s="67">
        <f t="shared" si="63"/>
        <v>-246</v>
      </c>
      <c r="V50" s="17">
        <f t="shared" si="63"/>
        <v>246</v>
      </c>
      <c r="W50" s="17">
        <f t="shared" si="63"/>
        <v>0</v>
      </c>
      <c r="X50" s="67">
        <f t="shared" si="63"/>
        <v>-246</v>
      </c>
      <c r="Y50" s="17">
        <f t="shared" si="63"/>
        <v>246</v>
      </c>
      <c r="Z50" s="17">
        <f t="shared" si="63"/>
        <v>0</v>
      </c>
      <c r="AA50" s="67">
        <f t="shared" si="63"/>
        <v>-246</v>
      </c>
      <c r="AB50" s="17">
        <f t="shared" si="63"/>
        <v>247</v>
      </c>
      <c r="AC50" s="17">
        <f t="shared" si="63"/>
        <v>0</v>
      </c>
      <c r="AD50" s="67">
        <f t="shared" si="63"/>
        <v>-247</v>
      </c>
      <c r="AE50" s="17">
        <f t="shared" si="63"/>
        <v>247</v>
      </c>
      <c r="AF50" s="17">
        <f t="shared" si="63"/>
        <v>0</v>
      </c>
      <c r="AG50" s="67">
        <f t="shared" si="63"/>
        <v>-247</v>
      </c>
      <c r="AH50" s="67">
        <f t="shared" si="63"/>
        <v>247</v>
      </c>
      <c r="AI50" s="67">
        <f t="shared" si="63"/>
        <v>0</v>
      </c>
      <c r="AJ50" s="67">
        <f t="shared" si="63"/>
        <v>-247</v>
      </c>
      <c r="AK50" s="67">
        <f t="shared" si="63"/>
        <v>247</v>
      </c>
      <c r="AL50" s="67">
        <f t="shared" si="63"/>
        <v>0</v>
      </c>
      <c r="AM50" s="67">
        <f t="shared" si="63"/>
        <v>-247</v>
      </c>
    </row>
    <row r="51" spans="3:39" x14ac:dyDescent="0.3">
      <c r="C51" s="3" t="s">
        <v>89</v>
      </c>
      <c r="D51" s="17">
        <f>+D37+D39+D44</f>
        <v>56</v>
      </c>
      <c r="E51" s="89">
        <f>+E37+E39+E44</f>
        <v>49</v>
      </c>
      <c r="F51" s="67">
        <f t="shared" ref="F51" si="64">+F37+F39+F44</f>
        <v>-7</v>
      </c>
      <c r="G51" s="17">
        <f>+G37+G39+G44</f>
        <v>56</v>
      </c>
      <c r="H51" s="17">
        <f t="shared" ref="H51:I51" si="65">+H37+H39+H44</f>
        <v>45</v>
      </c>
      <c r="I51" s="67">
        <f t="shared" si="65"/>
        <v>-11</v>
      </c>
      <c r="J51" s="17">
        <f>+J37+J39+J44</f>
        <v>59</v>
      </c>
      <c r="K51" s="17">
        <f t="shared" ref="K51:L51" si="66">+K37+K39+K44</f>
        <v>50</v>
      </c>
      <c r="L51" s="67">
        <f t="shared" si="66"/>
        <v>-9</v>
      </c>
      <c r="M51" s="17">
        <f>+M37+M39+M44</f>
        <v>63</v>
      </c>
      <c r="N51" s="17">
        <f t="shared" ref="N51:O51" si="67">+N37+N39+N44</f>
        <v>49</v>
      </c>
      <c r="O51" s="67">
        <f t="shared" si="67"/>
        <v>-14</v>
      </c>
      <c r="P51" s="17">
        <f>+P37+P39+P44</f>
        <v>63</v>
      </c>
      <c r="Q51" s="17">
        <f t="shared" ref="Q51:R51" si="68">+Q37+Q39+Q44</f>
        <v>42</v>
      </c>
      <c r="R51" s="67">
        <f t="shared" si="68"/>
        <v>-21</v>
      </c>
      <c r="S51" s="17">
        <f>+S37+S39+S44</f>
        <v>63</v>
      </c>
      <c r="T51" s="17">
        <f t="shared" ref="T51:U51" si="69">+T37+T39+T44</f>
        <v>0</v>
      </c>
      <c r="U51" s="67">
        <f t="shared" si="69"/>
        <v>-63</v>
      </c>
      <c r="V51" s="17">
        <f>+V37+V39+V44</f>
        <v>63</v>
      </c>
      <c r="W51" s="17">
        <f t="shared" ref="W51:X51" si="70">+W37+W39+W44</f>
        <v>0</v>
      </c>
      <c r="X51" s="67">
        <f t="shared" si="70"/>
        <v>-63</v>
      </c>
      <c r="Y51" s="17">
        <f>+Y37+Y39+Y44</f>
        <v>63</v>
      </c>
      <c r="Z51" s="17">
        <f t="shared" ref="Z51:AA51" si="71">+Z37+Z39+Z44</f>
        <v>0</v>
      </c>
      <c r="AA51" s="67">
        <f t="shared" si="71"/>
        <v>-63</v>
      </c>
      <c r="AB51" s="17">
        <f>+AB37+AB39+AB44</f>
        <v>63</v>
      </c>
      <c r="AC51" s="17">
        <f t="shared" ref="AC51:AD51" si="72">+AC37+AC39+AC44</f>
        <v>0</v>
      </c>
      <c r="AD51" s="67">
        <f t="shared" si="72"/>
        <v>-63</v>
      </c>
      <c r="AE51" s="17">
        <f>+AE37+AE39+AE44</f>
        <v>63</v>
      </c>
      <c r="AF51" s="17">
        <f t="shared" ref="AF51:AG51" si="73">+AF37+AF39+AF44</f>
        <v>0</v>
      </c>
      <c r="AG51" s="67">
        <f t="shared" si="73"/>
        <v>-63</v>
      </c>
      <c r="AH51" s="67">
        <f>+AH37+AH39+AH44</f>
        <v>63</v>
      </c>
      <c r="AI51" s="67">
        <f t="shared" ref="AI51:AJ51" si="74">+AI37+AI39+AI44</f>
        <v>0</v>
      </c>
      <c r="AJ51" s="67">
        <f t="shared" si="74"/>
        <v>-63</v>
      </c>
      <c r="AK51" s="67">
        <f>+AK37+AK39+AK44</f>
        <v>63</v>
      </c>
      <c r="AL51" s="67">
        <f t="shared" ref="AL51:AM51" si="75">+AL37+AL39+AL44</f>
        <v>0</v>
      </c>
      <c r="AM51" s="67">
        <f t="shared" si="75"/>
        <v>-63</v>
      </c>
    </row>
    <row r="52" spans="3:39" x14ac:dyDescent="0.3">
      <c r="C52" s="3" t="s">
        <v>90</v>
      </c>
      <c r="D52" s="17">
        <f>+D41+D46</f>
        <v>1</v>
      </c>
      <c r="E52" s="17">
        <f t="shared" ref="E52:F52" si="76">+E41+E46</f>
        <v>1</v>
      </c>
      <c r="F52" s="67">
        <f t="shared" si="76"/>
        <v>0</v>
      </c>
      <c r="G52" s="17">
        <f>+G41+G46</f>
        <v>0</v>
      </c>
      <c r="H52" s="17">
        <f t="shared" ref="H52:I52" si="77">+H41+H46</f>
        <v>1</v>
      </c>
      <c r="I52" s="67">
        <f t="shared" si="77"/>
        <v>1</v>
      </c>
      <c r="J52" s="17">
        <f>+J41+J46</f>
        <v>0</v>
      </c>
      <c r="K52" s="17">
        <f t="shared" ref="K52:L52" si="78">+K41+K46</f>
        <v>1</v>
      </c>
      <c r="L52" s="67">
        <f t="shared" si="78"/>
        <v>1</v>
      </c>
      <c r="M52" s="17">
        <f>+M41+M46</f>
        <v>0</v>
      </c>
      <c r="N52" s="17">
        <f t="shared" ref="N52:O52" si="79">+N41+N46</f>
        <v>1</v>
      </c>
      <c r="O52" s="67">
        <f t="shared" si="79"/>
        <v>1</v>
      </c>
      <c r="P52" s="17">
        <f>+P41+P46</f>
        <v>0</v>
      </c>
      <c r="Q52" s="17">
        <f t="shared" ref="Q52:R52" si="80">+Q41+Q46</f>
        <v>1</v>
      </c>
      <c r="R52" s="67">
        <f t="shared" si="80"/>
        <v>1</v>
      </c>
      <c r="S52" s="17">
        <f>+S41+S46</f>
        <v>0</v>
      </c>
      <c r="T52" s="17">
        <f t="shared" ref="T52:U52" si="81">+T41+T46</f>
        <v>0</v>
      </c>
      <c r="U52" s="67">
        <f t="shared" si="81"/>
        <v>0</v>
      </c>
      <c r="V52" s="17">
        <f>+V41+V46</f>
        <v>0</v>
      </c>
      <c r="W52" s="17">
        <f t="shared" ref="W52:X52" si="82">+W41+W46</f>
        <v>0</v>
      </c>
      <c r="X52" s="67">
        <f t="shared" si="82"/>
        <v>0</v>
      </c>
      <c r="Y52" s="17">
        <f>+Y41+Y46</f>
        <v>0</v>
      </c>
      <c r="Z52" s="17">
        <f t="shared" ref="Z52:AA52" si="83">+Z41+Z46</f>
        <v>0</v>
      </c>
      <c r="AA52" s="67">
        <f t="shared" si="83"/>
        <v>0</v>
      </c>
      <c r="AB52" s="17">
        <f>+AB41+AB46</f>
        <v>0</v>
      </c>
      <c r="AC52" s="17">
        <f t="shared" ref="AC52:AD52" si="84">+AC41+AC46</f>
        <v>0</v>
      </c>
      <c r="AD52" s="67">
        <f t="shared" si="84"/>
        <v>0</v>
      </c>
      <c r="AE52" s="17">
        <f>+AE41+AE46</f>
        <v>0</v>
      </c>
      <c r="AF52" s="17">
        <f t="shared" ref="AF52:AG52" si="85">+AF41+AF46</f>
        <v>0</v>
      </c>
      <c r="AG52" s="67">
        <f t="shared" si="85"/>
        <v>0</v>
      </c>
      <c r="AH52" s="67">
        <f>+AH41+AH46</f>
        <v>0</v>
      </c>
      <c r="AI52" s="67">
        <f t="shared" ref="AI52:AJ52" si="86">+AI41+AI46</f>
        <v>0</v>
      </c>
      <c r="AJ52" s="67">
        <f t="shared" si="86"/>
        <v>0</v>
      </c>
      <c r="AK52" s="67">
        <f>+AK41+AK46</f>
        <v>0</v>
      </c>
      <c r="AL52" s="67">
        <f t="shared" ref="AL52:AM52" si="87">+AL41+AL46</f>
        <v>0</v>
      </c>
      <c r="AM52" s="67">
        <f t="shared" si="87"/>
        <v>0</v>
      </c>
    </row>
    <row r="53" spans="3:39" x14ac:dyDescent="0.3">
      <c r="C53" s="3" t="s">
        <v>24</v>
      </c>
      <c r="D53" s="17">
        <f>+D43</f>
        <v>49</v>
      </c>
      <c r="E53" s="17">
        <f t="shared" ref="E53:F53" si="88">+E43</f>
        <v>43</v>
      </c>
      <c r="F53" s="67">
        <f t="shared" si="88"/>
        <v>-6</v>
      </c>
      <c r="G53" s="17">
        <f>+G43</f>
        <v>49</v>
      </c>
      <c r="H53" s="17">
        <f t="shared" ref="H53:I53" si="89">+H43</f>
        <v>40</v>
      </c>
      <c r="I53" s="67">
        <f t="shared" si="89"/>
        <v>-9</v>
      </c>
      <c r="J53" s="17">
        <f>+J43</f>
        <v>56</v>
      </c>
      <c r="K53" s="17">
        <f t="shared" ref="K53:L53" si="90">+K43</f>
        <v>35</v>
      </c>
      <c r="L53" s="67">
        <f t="shared" si="90"/>
        <v>-21</v>
      </c>
      <c r="M53" s="17">
        <f>+M43</f>
        <v>56</v>
      </c>
      <c r="N53" s="17">
        <f t="shared" ref="N53:O53" si="91">+N43</f>
        <v>42</v>
      </c>
      <c r="O53" s="67">
        <f t="shared" si="91"/>
        <v>-14</v>
      </c>
      <c r="P53" s="17">
        <f>+P43</f>
        <v>56</v>
      </c>
      <c r="Q53" s="17">
        <f t="shared" ref="Q53:R53" si="92">+Q43</f>
        <v>43</v>
      </c>
      <c r="R53" s="67">
        <f t="shared" si="92"/>
        <v>-13</v>
      </c>
      <c r="S53" s="17">
        <f>+S43</f>
        <v>56</v>
      </c>
      <c r="T53" s="17">
        <f t="shared" ref="T53:U53" si="93">+T43</f>
        <v>0</v>
      </c>
      <c r="U53" s="67">
        <f t="shared" si="93"/>
        <v>-56</v>
      </c>
      <c r="V53" s="17">
        <f>+V43</f>
        <v>56</v>
      </c>
      <c r="W53" s="17">
        <f t="shared" ref="W53:X53" si="94">+W43</f>
        <v>0</v>
      </c>
      <c r="X53" s="67">
        <f t="shared" si="94"/>
        <v>-56</v>
      </c>
      <c r="Y53" s="17">
        <f>+Y43</f>
        <v>56</v>
      </c>
      <c r="Z53" s="17">
        <f t="shared" ref="Z53:AA53" si="95">+Z43</f>
        <v>0</v>
      </c>
      <c r="AA53" s="67">
        <f t="shared" si="95"/>
        <v>-56</v>
      </c>
      <c r="AB53" s="17">
        <f>+AB43</f>
        <v>56</v>
      </c>
      <c r="AC53" s="17">
        <f t="shared" ref="AC53:AD53" si="96">+AC43</f>
        <v>0</v>
      </c>
      <c r="AD53" s="67">
        <f t="shared" si="96"/>
        <v>-56</v>
      </c>
      <c r="AE53" s="17">
        <f>+AE43</f>
        <v>56</v>
      </c>
      <c r="AF53" s="17">
        <f t="shared" ref="AF53:AG53" si="97">+AF43</f>
        <v>0</v>
      </c>
      <c r="AG53" s="67">
        <f t="shared" si="97"/>
        <v>-56</v>
      </c>
      <c r="AH53" s="67">
        <f>+AH43</f>
        <v>56</v>
      </c>
      <c r="AI53" s="67">
        <f t="shared" ref="AI53:AJ53" si="98">+AI43</f>
        <v>0</v>
      </c>
      <c r="AJ53" s="67">
        <f t="shared" si="98"/>
        <v>-56</v>
      </c>
      <c r="AK53" s="67">
        <f>+AK43</f>
        <v>56</v>
      </c>
      <c r="AL53" s="67">
        <f t="shared" ref="AL53:AM53" si="99">+AL43</f>
        <v>0</v>
      </c>
      <c r="AM53" s="67">
        <f t="shared" si="99"/>
        <v>-56</v>
      </c>
    </row>
  </sheetData>
  <autoFilter ref="A2:AO47" xr:uid="{70827D26-4023-44F8-AB82-ED5825F104D9}"/>
  <mergeCells count="12">
    <mergeCell ref="AK1:AM1"/>
    <mergeCell ref="AH1:AJ1"/>
    <mergeCell ref="AE1:AG1"/>
    <mergeCell ref="D1:F1"/>
    <mergeCell ref="G1:I1"/>
    <mergeCell ref="J1:L1"/>
    <mergeCell ref="M1:O1"/>
    <mergeCell ref="AB1:AD1"/>
    <mergeCell ref="Y1:AA1"/>
    <mergeCell ref="V1:X1"/>
    <mergeCell ref="S1:U1"/>
    <mergeCell ref="P1:R1"/>
  </mergeCells>
  <conditionalFormatting sqref="O2:O46 R2:R46 F3:F46 I3:I46 L3:L46 U3:U46 X3:X46">
    <cfRule type="cellIs" dxfId="8" priority="19" operator="greaterThan">
      <formula>0</formula>
    </cfRule>
  </conditionalFormatting>
  <conditionalFormatting sqref="O49">
    <cfRule type="cellIs" dxfId="7" priority="23" operator="greaterThan">
      <formula>0</formula>
    </cfRule>
  </conditionalFormatting>
  <conditionalFormatting sqref="O54:O1048576">
    <cfRule type="cellIs" dxfId="6" priority="68" operator="greaterThan">
      <formula>0</formula>
    </cfRule>
  </conditionalFormatting>
  <conditionalFormatting sqref="AA3:AA22 AA28:AA46">
    <cfRule type="cellIs" dxfId="5" priority="13" operator="greaterThan">
      <formula>"-"</formula>
    </cfRule>
  </conditionalFormatting>
  <conditionalFormatting sqref="AA3:AA46">
    <cfRule type="cellIs" dxfId="4" priority="1" operator="greaterThan">
      <formula>0</formula>
    </cfRule>
  </conditionalFormatting>
  <conditionalFormatting sqref="AD3:AD46">
    <cfRule type="cellIs" dxfId="3" priority="5" operator="greaterThan">
      <formula>0</formula>
    </cfRule>
  </conditionalFormatting>
  <conditionalFormatting sqref="AG3:AG46">
    <cfRule type="cellIs" dxfId="2" priority="4" operator="greaterThan">
      <formula>0</formula>
    </cfRule>
  </conditionalFormatting>
  <conditionalFormatting sqref="AJ3:AJ46">
    <cfRule type="cellIs" dxfId="1" priority="3" operator="greaterThan">
      <formula>0</formula>
    </cfRule>
  </conditionalFormatting>
  <conditionalFormatting sqref="AM3:AM46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C21D-8930-4BC5-8BC2-0A7DF6301DCB}">
  <sheetPr codeName="Sheet3"/>
  <dimension ref="A1:G27"/>
  <sheetViews>
    <sheetView workbookViewId="0">
      <selection activeCell="F19" sqref="F19"/>
    </sheetView>
  </sheetViews>
  <sheetFormatPr defaultColWidth="8.81640625" defaultRowHeight="14.5" x14ac:dyDescent="0.35"/>
  <cols>
    <col min="1" max="1" width="26.453125" style="33" customWidth="1"/>
    <col min="2" max="2" width="13.453125" style="33" customWidth="1"/>
    <col min="3" max="6" width="8.81640625" style="33"/>
    <col min="7" max="7" width="13.81640625" style="33" bestFit="1" customWidth="1"/>
    <col min="8" max="16384" width="8.81640625" style="33"/>
  </cols>
  <sheetData>
    <row r="1" spans="1:7" x14ac:dyDescent="0.35">
      <c r="A1" s="33" t="s">
        <v>92</v>
      </c>
    </row>
    <row r="2" spans="1:7" x14ac:dyDescent="0.35">
      <c r="B2" s="34">
        <f>B5+B7+B10+B14+B19</f>
        <v>103200000</v>
      </c>
    </row>
    <row r="3" spans="1:7" x14ac:dyDescent="0.35">
      <c r="A3" s="35" t="s">
        <v>93</v>
      </c>
      <c r="B3" s="35" t="s">
        <v>94</v>
      </c>
      <c r="C3" s="33" t="s">
        <v>95</v>
      </c>
      <c r="F3" s="36" t="s">
        <v>95</v>
      </c>
    </row>
    <row r="4" spans="1:7" x14ac:dyDescent="0.35">
      <c r="A4" s="37" t="s">
        <v>96</v>
      </c>
      <c r="B4" s="37">
        <v>103200000</v>
      </c>
      <c r="F4" s="33">
        <v>642</v>
      </c>
      <c r="G4" s="38">
        <f>SUMIFS(B:B,C:C,F4)</f>
        <v>8100000</v>
      </c>
    </row>
    <row r="5" spans="1:7" x14ac:dyDescent="0.35">
      <c r="A5" s="39" t="s">
        <v>15</v>
      </c>
      <c r="B5" s="39">
        <v>2100000</v>
      </c>
      <c r="C5" s="33">
        <v>642</v>
      </c>
      <c r="F5" s="33">
        <v>627</v>
      </c>
      <c r="G5" s="38">
        <f t="shared" ref="G5:G6" si="0">SUMIFS(B:B,C:C,F5)</f>
        <v>36300000</v>
      </c>
    </row>
    <row r="6" spans="1:7" x14ac:dyDescent="0.35">
      <c r="A6" s="40" t="s">
        <v>54</v>
      </c>
      <c r="B6" s="40">
        <v>2100000</v>
      </c>
      <c r="F6" s="33">
        <v>622</v>
      </c>
      <c r="G6" s="38">
        <f t="shared" si="0"/>
        <v>58800000</v>
      </c>
    </row>
    <row r="7" spans="1:7" x14ac:dyDescent="0.35">
      <c r="A7" s="39" t="s">
        <v>16</v>
      </c>
      <c r="B7" s="39">
        <v>6000000</v>
      </c>
      <c r="C7" s="33">
        <v>642</v>
      </c>
      <c r="G7" s="41">
        <f>SUM(G4:G6)</f>
        <v>103200000</v>
      </c>
    </row>
    <row r="8" spans="1:7" x14ac:dyDescent="0.35">
      <c r="A8" s="40" t="s">
        <v>56</v>
      </c>
      <c r="B8" s="40">
        <v>3000000</v>
      </c>
    </row>
    <row r="9" spans="1:7" x14ac:dyDescent="0.35">
      <c r="A9" s="40" t="s">
        <v>59</v>
      </c>
      <c r="B9" s="40">
        <v>3000000</v>
      </c>
    </row>
    <row r="10" spans="1:7" x14ac:dyDescent="0.35">
      <c r="A10" s="39" t="s">
        <v>19</v>
      </c>
      <c r="B10" s="39">
        <v>7800000</v>
      </c>
      <c r="C10" s="33">
        <v>627</v>
      </c>
    </row>
    <row r="11" spans="1:7" x14ac:dyDescent="0.35">
      <c r="A11" s="40" t="s">
        <v>60</v>
      </c>
      <c r="B11" s="40">
        <v>1500000</v>
      </c>
    </row>
    <row r="12" spans="1:7" x14ac:dyDescent="0.35">
      <c r="A12" s="40" t="s">
        <v>61</v>
      </c>
      <c r="B12" s="40">
        <v>5700000</v>
      </c>
    </row>
    <row r="13" spans="1:7" x14ac:dyDescent="0.35">
      <c r="A13" s="40" t="s">
        <v>75</v>
      </c>
      <c r="B13" s="40">
        <v>600000</v>
      </c>
    </row>
    <row r="14" spans="1:7" x14ac:dyDescent="0.35">
      <c r="A14" s="39" t="s">
        <v>21</v>
      </c>
      <c r="B14" s="39">
        <v>14700000</v>
      </c>
      <c r="C14" s="33">
        <v>627</v>
      </c>
    </row>
    <row r="15" spans="1:7" x14ac:dyDescent="0.35">
      <c r="A15" s="40" t="s">
        <v>62</v>
      </c>
      <c r="B15" s="40">
        <v>2400000</v>
      </c>
    </row>
    <row r="16" spans="1:7" x14ac:dyDescent="0.35">
      <c r="A16" s="40" t="s">
        <v>63</v>
      </c>
      <c r="B16" s="40">
        <v>1800000</v>
      </c>
    </row>
    <row r="17" spans="1:3" x14ac:dyDescent="0.35">
      <c r="A17" s="40" t="s">
        <v>64</v>
      </c>
      <c r="B17" s="40">
        <v>2100000</v>
      </c>
    </row>
    <row r="18" spans="1:3" x14ac:dyDescent="0.35">
      <c r="A18" s="40" t="s">
        <v>65</v>
      </c>
      <c r="B18" s="40">
        <v>8400000</v>
      </c>
    </row>
    <row r="19" spans="1:3" x14ac:dyDescent="0.35">
      <c r="A19" s="39" t="s">
        <v>22</v>
      </c>
      <c r="B19" s="39">
        <v>72600000</v>
      </c>
    </row>
    <row r="20" spans="1:3" x14ac:dyDescent="0.35">
      <c r="A20" s="40" t="s">
        <v>83</v>
      </c>
      <c r="B20" s="40">
        <v>600000</v>
      </c>
      <c r="C20" s="33">
        <v>627</v>
      </c>
    </row>
    <row r="21" spans="1:3" x14ac:dyDescent="0.35">
      <c r="A21" s="40" t="s">
        <v>84</v>
      </c>
      <c r="B21" s="40">
        <v>2700000</v>
      </c>
      <c r="C21" s="33">
        <v>627</v>
      </c>
    </row>
    <row r="22" spans="1:3" x14ac:dyDescent="0.35">
      <c r="A22" s="40" t="s">
        <v>85</v>
      </c>
      <c r="B22" s="40">
        <v>1800000</v>
      </c>
      <c r="C22" s="33">
        <v>622</v>
      </c>
    </row>
    <row r="23" spans="1:3" x14ac:dyDescent="0.35">
      <c r="A23" s="40" t="s">
        <v>86</v>
      </c>
      <c r="B23" s="40">
        <v>8100000</v>
      </c>
      <c r="C23" s="33">
        <v>622</v>
      </c>
    </row>
    <row r="24" spans="1:3" x14ac:dyDescent="0.35">
      <c r="A24" s="40" t="s">
        <v>71</v>
      </c>
      <c r="B24" s="40">
        <v>10500000</v>
      </c>
      <c r="C24" s="33">
        <v>627</v>
      </c>
    </row>
    <row r="25" spans="1:3" x14ac:dyDescent="0.35">
      <c r="A25" s="40" t="s">
        <v>72</v>
      </c>
      <c r="B25" s="40">
        <v>6900000</v>
      </c>
      <c r="C25" s="33">
        <v>622</v>
      </c>
    </row>
    <row r="26" spans="1:3" x14ac:dyDescent="0.35">
      <c r="A26" s="40" t="s">
        <v>73</v>
      </c>
      <c r="B26" s="40">
        <v>41100000</v>
      </c>
      <c r="C26" s="33">
        <v>622</v>
      </c>
    </row>
    <row r="27" spans="1:3" x14ac:dyDescent="0.35">
      <c r="A27" s="40" t="s">
        <v>76</v>
      </c>
      <c r="B27" s="40">
        <v>900000</v>
      </c>
      <c r="C27" s="33">
        <v>622</v>
      </c>
    </row>
  </sheetData>
  <autoFilter ref="A3:C27" xr:uid="{DFCC614A-8C14-4CA8-9081-F36153597A2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54F7-6583-4405-9992-F0F98327F322}">
  <sheetPr codeName="Sheet4"/>
  <dimension ref="A1:G47"/>
  <sheetViews>
    <sheetView workbookViewId="0">
      <selection activeCell="F19" sqref="F19"/>
    </sheetView>
  </sheetViews>
  <sheetFormatPr defaultColWidth="8.81640625" defaultRowHeight="14.5" x14ac:dyDescent="0.35"/>
  <cols>
    <col min="1" max="1" width="26.453125" style="33" customWidth="1"/>
    <col min="2" max="2" width="13.453125" style="33" customWidth="1"/>
    <col min="3" max="6" width="8.81640625" style="33"/>
    <col min="7" max="7" width="13.81640625" style="33" bestFit="1" customWidth="1"/>
    <col min="8" max="16384" width="8.81640625" style="33"/>
  </cols>
  <sheetData>
    <row r="1" spans="1:7" x14ac:dyDescent="0.35">
      <c r="A1" s="46" t="s">
        <v>97</v>
      </c>
    </row>
    <row r="2" spans="1:7" x14ac:dyDescent="0.35">
      <c r="B2" s="34">
        <f>B5+B6+B9+B16+B20+B21+B28+B29+B30+B35+B36+B38</f>
        <v>258000000</v>
      </c>
    </row>
    <row r="3" spans="1:7" x14ac:dyDescent="0.35">
      <c r="A3" s="47" t="s">
        <v>93</v>
      </c>
      <c r="B3" s="47" t="s">
        <v>107</v>
      </c>
      <c r="C3" s="33" t="s">
        <v>95</v>
      </c>
      <c r="F3" s="36" t="s">
        <v>95</v>
      </c>
    </row>
    <row r="4" spans="1:7" x14ac:dyDescent="0.35">
      <c r="A4" s="48" t="s">
        <v>96</v>
      </c>
      <c r="B4" s="48">
        <v>258000000</v>
      </c>
      <c r="F4" s="33">
        <v>642</v>
      </c>
      <c r="G4" s="38">
        <f>SUMIFS(B:B,C:C,F4)</f>
        <v>58000000</v>
      </c>
    </row>
    <row r="5" spans="1:7" x14ac:dyDescent="0.35">
      <c r="A5" s="49" t="s">
        <v>13</v>
      </c>
      <c r="B5" s="49">
        <v>5500000</v>
      </c>
      <c r="C5" s="33">
        <v>642</v>
      </c>
      <c r="F5" s="33">
        <v>627</v>
      </c>
      <c r="G5" s="38">
        <f t="shared" ref="G5:G7" si="0">SUMIFS(B:B,C:C,F5)</f>
        <v>101000000</v>
      </c>
    </row>
    <row r="6" spans="1:7" x14ac:dyDescent="0.35">
      <c r="A6" s="49" t="s">
        <v>15</v>
      </c>
      <c r="B6" s="49">
        <v>18000000</v>
      </c>
      <c r="C6" s="33">
        <v>642</v>
      </c>
      <c r="F6" s="33">
        <v>622</v>
      </c>
      <c r="G6" s="38">
        <f t="shared" si="0"/>
        <v>95000000</v>
      </c>
    </row>
    <row r="7" spans="1:7" x14ac:dyDescent="0.35">
      <c r="A7" s="50" t="s">
        <v>54</v>
      </c>
      <c r="B7" s="50">
        <v>8500000</v>
      </c>
      <c r="F7" s="33">
        <v>641</v>
      </c>
      <c r="G7" s="38">
        <f t="shared" si="0"/>
        <v>4000000</v>
      </c>
    </row>
    <row r="8" spans="1:7" x14ac:dyDescent="0.35">
      <c r="A8" s="50" t="s">
        <v>55</v>
      </c>
      <c r="B8" s="50">
        <v>9500000</v>
      </c>
    </row>
    <row r="9" spans="1:7" x14ac:dyDescent="0.35">
      <c r="A9" s="49" t="s">
        <v>16</v>
      </c>
      <c r="B9" s="49">
        <v>20500000</v>
      </c>
      <c r="C9" s="33">
        <v>642</v>
      </c>
      <c r="G9" s="41">
        <f>SUM(G4:G7)</f>
        <v>258000000</v>
      </c>
    </row>
    <row r="10" spans="1:7" x14ac:dyDescent="0.35">
      <c r="A10" s="50" t="s">
        <v>56</v>
      </c>
      <c r="B10" s="50">
        <v>5500000</v>
      </c>
    </row>
    <row r="11" spans="1:7" x14ac:dyDescent="0.35">
      <c r="A11" s="50" t="s">
        <v>57</v>
      </c>
      <c r="B11" s="50">
        <v>4000000</v>
      </c>
    </row>
    <row r="12" spans="1:7" x14ac:dyDescent="0.35">
      <c r="A12" s="50" t="s">
        <v>58</v>
      </c>
      <c r="B12" s="50">
        <v>3000000</v>
      </c>
    </row>
    <row r="13" spans="1:7" x14ac:dyDescent="0.35">
      <c r="A13" s="50" t="s">
        <v>67</v>
      </c>
      <c r="B13" s="50">
        <v>2000000</v>
      </c>
    </row>
    <row r="14" spans="1:7" x14ac:dyDescent="0.35">
      <c r="A14" s="50" t="s">
        <v>68</v>
      </c>
      <c r="B14" s="50">
        <v>1500000</v>
      </c>
    </row>
    <row r="15" spans="1:7" x14ac:dyDescent="0.35">
      <c r="A15" s="50" t="s">
        <v>59</v>
      </c>
      <c r="B15" s="50">
        <v>4500000</v>
      </c>
    </row>
    <row r="16" spans="1:7" x14ac:dyDescent="0.35">
      <c r="A16" s="49" t="s">
        <v>17</v>
      </c>
      <c r="B16" s="49">
        <v>11500000</v>
      </c>
      <c r="C16" s="33">
        <v>642</v>
      </c>
    </row>
    <row r="17" spans="1:3" x14ac:dyDescent="0.35">
      <c r="A17" s="50" t="s">
        <v>98</v>
      </c>
      <c r="B17" s="50">
        <v>5000000</v>
      </c>
    </row>
    <row r="18" spans="1:3" x14ac:dyDescent="0.35">
      <c r="A18" s="50" t="s">
        <v>99</v>
      </c>
      <c r="B18" s="50">
        <v>3000000</v>
      </c>
    </row>
    <row r="19" spans="1:3" x14ac:dyDescent="0.35">
      <c r="A19" s="50" t="s">
        <v>100</v>
      </c>
      <c r="B19" s="50">
        <v>3500000</v>
      </c>
    </row>
    <row r="20" spans="1:3" x14ac:dyDescent="0.35">
      <c r="A20" s="49" t="s">
        <v>18</v>
      </c>
      <c r="B20" s="49">
        <v>4000000</v>
      </c>
      <c r="C20" s="33">
        <v>641</v>
      </c>
    </row>
    <row r="21" spans="1:3" x14ac:dyDescent="0.35">
      <c r="A21" s="49" t="s">
        <v>21</v>
      </c>
      <c r="B21" s="49">
        <v>35000000</v>
      </c>
      <c r="C21" s="33">
        <v>627</v>
      </c>
    </row>
    <row r="22" spans="1:3" x14ac:dyDescent="0.35">
      <c r="A22" s="50" t="s">
        <v>62</v>
      </c>
      <c r="B22" s="50">
        <v>5000000</v>
      </c>
    </row>
    <row r="23" spans="1:3" x14ac:dyDescent="0.35">
      <c r="A23" s="50" t="s">
        <v>63</v>
      </c>
      <c r="B23" s="50">
        <v>4000000</v>
      </c>
    </row>
    <row r="24" spans="1:3" x14ac:dyDescent="0.35">
      <c r="A24" s="50" t="s">
        <v>64</v>
      </c>
      <c r="B24" s="50">
        <v>4500000</v>
      </c>
    </row>
    <row r="25" spans="1:3" x14ac:dyDescent="0.35">
      <c r="A25" s="50" t="s">
        <v>78</v>
      </c>
      <c r="B25" s="50">
        <v>1000000</v>
      </c>
    </row>
    <row r="26" spans="1:3" x14ac:dyDescent="0.35">
      <c r="A26" s="50" t="s">
        <v>65</v>
      </c>
      <c r="B26" s="50">
        <v>16000000</v>
      </c>
    </row>
    <row r="27" spans="1:3" x14ac:dyDescent="0.35">
      <c r="A27" s="50" t="s">
        <v>66</v>
      </c>
      <c r="B27" s="50">
        <v>4500000</v>
      </c>
    </row>
    <row r="28" spans="1:3" x14ac:dyDescent="0.35">
      <c r="A28" s="49" t="s">
        <v>91</v>
      </c>
      <c r="B28" s="49">
        <v>1000000</v>
      </c>
      <c r="C28" s="33">
        <v>642</v>
      </c>
    </row>
    <row r="29" spans="1:3" x14ac:dyDescent="0.35">
      <c r="A29" s="49" t="s">
        <v>20</v>
      </c>
      <c r="B29" s="49">
        <v>3000000</v>
      </c>
      <c r="C29" s="33">
        <v>627</v>
      </c>
    </row>
    <row r="30" spans="1:3" x14ac:dyDescent="0.35">
      <c r="A30" s="49" t="s">
        <v>101</v>
      </c>
      <c r="B30" s="49">
        <v>22500000</v>
      </c>
      <c r="C30" s="33">
        <v>627</v>
      </c>
    </row>
    <row r="31" spans="1:3" x14ac:dyDescent="0.35">
      <c r="A31" s="50" t="s">
        <v>102</v>
      </c>
      <c r="B31" s="50">
        <v>6500000</v>
      </c>
    </row>
    <row r="32" spans="1:3" x14ac:dyDescent="0.35">
      <c r="A32" s="50" t="s">
        <v>103</v>
      </c>
      <c r="B32" s="50">
        <v>3500000</v>
      </c>
    </row>
    <row r="33" spans="1:3" x14ac:dyDescent="0.35">
      <c r="A33" s="50" t="s">
        <v>104</v>
      </c>
      <c r="B33" s="50">
        <v>11500000</v>
      </c>
    </row>
    <row r="34" spans="1:3" x14ac:dyDescent="0.35">
      <c r="A34" s="50" t="s">
        <v>105</v>
      </c>
      <c r="B34" s="50">
        <v>1000000</v>
      </c>
    </row>
    <row r="35" spans="1:3" x14ac:dyDescent="0.35">
      <c r="A35" s="49" t="s">
        <v>106</v>
      </c>
      <c r="B35" s="49">
        <v>0</v>
      </c>
      <c r="C35" s="33">
        <v>642</v>
      </c>
    </row>
    <row r="36" spans="1:3" x14ac:dyDescent="0.35">
      <c r="A36" s="49" t="s">
        <v>14</v>
      </c>
      <c r="B36" s="49">
        <v>1500000</v>
      </c>
      <c r="C36" s="33">
        <v>642</v>
      </c>
    </row>
    <row r="37" spans="1:3" x14ac:dyDescent="0.35">
      <c r="A37" s="50" t="s">
        <v>69</v>
      </c>
      <c r="B37" s="50">
        <v>1500000</v>
      </c>
    </row>
    <row r="38" spans="1:3" x14ac:dyDescent="0.35">
      <c r="A38" s="49" t="s">
        <v>22</v>
      </c>
      <c r="B38" s="49">
        <v>135500000</v>
      </c>
    </row>
    <row r="39" spans="1:3" x14ac:dyDescent="0.35">
      <c r="A39" s="50" t="s">
        <v>83</v>
      </c>
      <c r="B39" s="50">
        <v>5500000</v>
      </c>
      <c r="C39" s="33">
        <v>627</v>
      </c>
    </row>
    <row r="40" spans="1:3" x14ac:dyDescent="0.35">
      <c r="A40" s="50" t="s">
        <v>84</v>
      </c>
      <c r="B40" s="50">
        <v>13500000</v>
      </c>
      <c r="C40" s="33">
        <v>627</v>
      </c>
    </row>
    <row r="41" spans="1:3" x14ac:dyDescent="0.35">
      <c r="A41" s="50" t="s">
        <v>85</v>
      </c>
      <c r="B41" s="50">
        <v>3000000</v>
      </c>
      <c r="C41" s="33">
        <v>622</v>
      </c>
    </row>
    <row r="42" spans="1:3" x14ac:dyDescent="0.35">
      <c r="A42" s="50" t="s">
        <v>86</v>
      </c>
      <c r="B42" s="50">
        <v>11500000</v>
      </c>
      <c r="C42" s="33">
        <v>622</v>
      </c>
    </row>
    <row r="43" spans="1:3" x14ac:dyDescent="0.35">
      <c r="A43" s="50" t="s">
        <v>70</v>
      </c>
      <c r="B43" s="50">
        <v>1500000</v>
      </c>
      <c r="C43" s="33">
        <v>627</v>
      </c>
    </row>
    <row r="44" spans="1:3" x14ac:dyDescent="0.35">
      <c r="A44" s="50" t="s">
        <v>71</v>
      </c>
      <c r="B44" s="50">
        <v>20000000</v>
      </c>
      <c r="C44" s="33">
        <v>627</v>
      </c>
    </row>
    <row r="45" spans="1:3" x14ac:dyDescent="0.35">
      <c r="A45" s="50" t="s">
        <v>72</v>
      </c>
      <c r="B45" s="50">
        <v>9500000</v>
      </c>
      <c r="C45" s="33">
        <v>622</v>
      </c>
    </row>
    <row r="46" spans="1:3" x14ac:dyDescent="0.35">
      <c r="A46" s="50" t="s">
        <v>73</v>
      </c>
      <c r="B46" s="50">
        <v>70000000</v>
      </c>
      <c r="C46" s="33">
        <v>622</v>
      </c>
    </row>
    <row r="47" spans="1:3" x14ac:dyDescent="0.35">
      <c r="A47" s="50" t="s">
        <v>76</v>
      </c>
      <c r="B47" s="50">
        <v>1000000</v>
      </c>
      <c r="C47" s="33">
        <v>622</v>
      </c>
    </row>
  </sheetData>
  <autoFilter ref="A3:C27" xr:uid="{DFCC614A-8C14-4CA8-9081-F36153597A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TT</vt:lpstr>
      <vt:lpstr>SS định biên</vt:lpstr>
      <vt:lpstr>CP thưởng khác T1</vt:lpstr>
      <vt:lpstr>CP thưởng lễ 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Diễm, Nguyễn Thị Thanh</dc:creator>
  <cp:keywords/>
  <dc:description/>
  <cp:lastModifiedBy>Diễm, Nguyễn Thị Thanh</cp:lastModifiedBy>
  <cp:revision/>
  <dcterms:created xsi:type="dcterms:W3CDTF">2015-06-05T18:17:20Z</dcterms:created>
  <dcterms:modified xsi:type="dcterms:W3CDTF">2026-06-17T08:38:55Z</dcterms:modified>
  <cp:category/>
  <cp:contentStatus/>
</cp:coreProperties>
</file>