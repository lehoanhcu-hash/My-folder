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tg-my.sharepoint.com/personal/nguyenthithanhdiem_duytanrecycling_com/Documents/KTQT/15. Phòng vệ thương mại - EU/"/>
    </mc:Choice>
  </mc:AlternateContent>
  <xr:revisionPtr revIDLastSave="83" documentId="8_{57B998F6-62AD-4EB1-A361-1FEC51BA0FD2}" xr6:coauthVersionLast="47" xr6:coauthVersionMax="47" xr10:uidLastSave="{02646771-F4E6-4822-B0E7-79E4ED2C13F6}"/>
  <bookViews>
    <workbookView xWindow="-108" yWindow="-108" windowWidth="23256" windowHeight="12456" activeTab="1" xr2:uid="{27B81B48-7C8E-4C5D-841E-0C337EC8CBC4}"/>
  </bookViews>
  <sheets>
    <sheet name="Sheet1" sheetId="8" r:id="rId1"/>
    <sheet name="Checklist" sheetId="7" r:id="rId2"/>
  </sheets>
  <definedNames>
    <definedName name="_xlnm._FilterDatabase" localSheetId="1" hidden="1">Checklist!$A$9:$M$122</definedName>
  </definedNames>
  <calcPr calcId="191028"/>
  <pivotCaches>
    <pivotCache cacheId="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7" l="1"/>
  <c r="L2" i="7"/>
  <c r="L1" i="7"/>
  <c r="L4" i="7"/>
  <c r="L3" i="7"/>
  <c r="M5" i="7" l="1"/>
  <c r="M3" i="7"/>
  <c r="M4" i="7"/>
  <c r="M2" i="7"/>
  <c r="M1" i="7" l="1"/>
</calcChain>
</file>

<file path=xl/sharedStrings.xml><?xml version="1.0" encoding="utf-8"?>
<sst xmlns="http://schemas.openxmlformats.org/spreadsheetml/2006/main" count="838" uniqueCount="347">
  <si>
    <t>Count of Câu hỏi liên quan</t>
  </si>
  <si>
    <t>Trạng thái</t>
  </si>
  <si>
    <t>Thời hạn cung cấp</t>
  </si>
  <si>
    <t>Phòng ban (DTR)</t>
  </si>
  <si>
    <t>Người phụ trách</t>
  </si>
  <si>
    <t>Hoàn tất</t>
  </si>
  <si>
    <t>(blank)</t>
  </si>
  <si>
    <t>Grand Total</t>
  </si>
  <si>
    <t>13/06/2025</t>
  </si>
  <si>
    <t>Chất lượng</t>
  </si>
  <si>
    <t>Đoan</t>
  </si>
  <si>
    <t>Chất lượng, Kinh doanh</t>
  </si>
  <si>
    <t>Anh Quốc Anh, Đoan</t>
  </si>
  <si>
    <t>Kế toán</t>
  </si>
  <si>
    <t>Anh Hoàng</t>
  </si>
  <si>
    <t>Anh Danh</t>
  </si>
  <si>
    <t>Kế toán, Xuất nhập khẩu, Kinh doanh</t>
  </si>
  <si>
    <t>Anh Hoàng, Chị Tuyền, anh Quốc Anh</t>
  </si>
  <si>
    <t>Kinh doanh</t>
  </si>
  <si>
    <t>Anh Quốc Anh</t>
  </si>
  <si>
    <t>Kinh doanh, Chất lượng</t>
  </si>
  <si>
    <t>Kinh doanh, kế toán</t>
  </si>
  <si>
    <t>Anh Quốc Anh, anh Hoàng</t>
  </si>
  <si>
    <t>Anh Quốc Anh, anh Lộc</t>
  </si>
  <si>
    <t>MKT</t>
  </si>
  <si>
    <t>Hiếu</t>
  </si>
  <si>
    <t>Nhân sự</t>
  </si>
  <si>
    <t>Chị Liên</t>
  </si>
  <si>
    <t>Pháp chế</t>
  </si>
  <si>
    <t>Chị Mỹ</t>
  </si>
  <si>
    <t>Sản xuất</t>
  </si>
  <si>
    <t>Anh Nam, anh Giang, chị Ly, anh Ty</t>
  </si>
  <si>
    <t>Sản xuất Kỹ thuật</t>
  </si>
  <si>
    <t>Anh Ty, Anh Nam, Anh Giang</t>
  </si>
  <si>
    <t>Sản xuất Kỹ thuật Chất lượng</t>
  </si>
  <si>
    <t>Anh Ty, Anh Nam, Anh Giang, Đoan</t>
  </si>
  <si>
    <t>Kế toán, Cung ứng</t>
  </si>
  <si>
    <t>Anh Hoàng, Anh Minh Hoàng</t>
  </si>
  <si>
    <t>20/06/2025</t>
  </si>
  <si>
    <t>Anh Lộc</t>
  </si>
  <si>
    <t>Anh Hoàng, chị Mỹ</t>
  </si>
  <si>
    <t>Xuất nhập khẩu</t>
  </si>
  <si>
    <t>Chị Tuyền</t>
  </si>
  <si>
    <t>Tổng</t>
  </si>
  <si>
    <t>Bộ phận điền xong</t>
  </si>
  <si>
    <t>Điều chỉnh</t>
  </si>
  <si>
    <t>TÀI LIỆU, THÔNG TIN CẦN CUNG CẤP ĐỂ PHỤC VỤ VỤ VIỆC ĐIỀU TRA CBPG ĐỐI VỚI SẢN PHẨM HẠT NHỰA PET XUẤT KHẨU SANG LIÊN MINH CHÂU ÂU</t>
  </si>
  <si>
    <t>Giai đoạn điều tra (IP):</t>
  </si>
  <si>
    <t>01/01 - 31/12/2024</t>
  </si>
  <si>
    <t>Anh chị Filter nhớ chọn "see just mine" giúp em để ko ảnh hướng anh chị khác nhé!</t>
  </si>
  <si>
    <t>Sản phẩm bị điều tra:</t>
  </si>
  <si>
    <t>Hạt nhựa PET có IV trên 78 ml/g theo tiêu chuẩn ISO Standard 1628-5</t>
  </si>
  <si>
    <t>Mục</t>
  </si>
  <si>
    <t>Câu hỏi liên quan</t>
  </si>
  <si>
    <t>Bảng biểu liên quan</t>
  </si>
  <si>
    <t>Nội dung / Xin cung cấp</t>
  </si>
  <si>
    <t>Phòng ban liên quan (Dự kiến)</t>
  </si>
  <si>
    <t>Xác nhận (Y/N)</t>
  </si>
  <si>
    <t>Ghi chú</t>
  </si>
  <si>
    <t>A-1. Indentify and Communication</t>
  </si>
  <si>
    <t>Điền thông tin của DTR theo hướng dẫn tại bảng A.1, A.2</t>
  </si>
  <si>
    <t>Legal department</t>
  </si>
  <si>
    <t>A-2. Legal representative</t>
  </si>
  <si>
    <t>VBGB điền thông tin</t>
  </si>
  <si>
    <t>A-3-1,2</t>
  </si>
  <si>
    <t>A-3. Corporate information</t>
  </si>
  <si>
    <t>Điền thông tin của DTR theo hướng dẫn tại bảng A.3.1 về Legal form và Shareholders</t>
  </si>
  <si>
    <t>Điền thông tin của các cổ đông nắm trên 5% cổ phần trong giai đoạn IP</t>
  </si>
  <si>
    <t>A-3-3</t>
  </si>
  <si>
    <t>Điền thông tin của DTR theo hướng dẫn tại bảng A.3.2 về BOD</t>
  </si>
  <si>
    <t>A-3-4</t>
  </si>
  <si>
    <t>Chỉ rõ những điều kiện để cấu thành một đại hội cổ đông hợp lệ, và yêu cầu về tỉ lệ cần thiết để đưa ra quyết định trong các cuộc họp đại hội cổ đông và cuộc họp của Hội đồng Quản trị. Những quy định này có được nêu trong Điều lệ công ty hay các tài liệu khác không? Giải thích cơ quan nào đưa ra quyết định cuối cùng đối với các vấn đề quản lý của côngty.</t>
  </si>
  <si>
    <t>A-3-5</t>
  </si>
  <si>
    <t>Cung cấp các tài liệu sau:</t>
  </si>
  <si>
    <t>1. Điều lệ công ty</t>
  </si>
  <si>
    <t>Đã có</t>
  </si>
  <si>
    <t>2. Giấy ĐKKD</t>
  </si>
  <si>
    <t>3. Bằng chứng chứng minh việc đăng ký kinh doanh với Cơ quan liên quan có thẩm quyền</t>
  </si>
  <si>
    <t>Cung cấp nếu có</t>
  </si>
  <si>
    <t>4. Đánh giá thường niên của Cơ quan liên quan có thẩm quyền đối với hồ sơ ĐKKD của công ty</t>
  </si>
  <si>
    <t>5. Biên bản họp đại hội cổ đông (lần gần nhất)</t>
  </si>
  <si>
    <t>6. Biên bản họp Hội đồng quản trị (lần gần nhất)</t>
  </si>
  <si>
    <t>7. Biên bản họp Ban kiểm soát (lần gần nhất)</t>
  </si>
  <si>
    <t>8. Giấy đăng kí cổ dông / Chứng nhận góp vốn</t>
  </si>
  <si>
    <t>9. Bằng chứng cho việc góp vốn của 05 cổ đông lớn nhất</t>
  </si>
  <si>
    <t>10. Biên bản định giá đối với vốn góp của chủ sở hữu, do một bên độc lập thực hiện</t>
  </si>
  <si>
    <t>11. Hồ sơ thành lập công ty nộp cho Cơ quan chức năng</t>
  </si>
  <si>
    <t>A-3-6</t>
  </si>
  <si>
    <t>12. Sơ đồ phòng ban của công ty, trong đó nêu rõ phòng ban nào liên quan đến hoạt động sản xuất / kinh doanh / phân phối sản phẩm bị điều tra tại tất cả các thị trường. Sơ đồ này cần chỉ rõ các công đoạn sản xuất để tạo thành sản phẩm bị điều tra của công ty.</t>
  </si>
  <si>
    <t>A-3-7</t>
  </si>
  <si>
    <t>13. Cung cấp sơ đồ cấu trúc tập đoàn của công ty, bao gồm tất cả các công ty liên quan / liên kết dù cho có liên quan đến hoạt động sản xuất / kinh doanh / phân phối sản phẩm bị điều tra hay không</t>
  </si>
  <si>
    <t>14. Cung cấp giấy đăng ký kinh doanh hoặc các tài liệu liên quan khác để chứng minh cho thông tin về các hoạt động chính của từng công ty nêu tại Mục 13</t>
  </si>
  <si>
    <t>A-3-8</t>
  </si>
  <si>
    <t>Chỉ rõ chi tiết bất kỳ mối liên kết tài chính hoặc hợp đồng nào và các liên doanh với bất kỳ công ty, cơ quan hoặc chính phủ nào (ở cấp quốc gia, khu vực hoặc địa phương) liên quan đến nghiên cứu và phát triển (R&amp;D), sản xuất, bán hàng, cấp phép, thỏa thuận kỹ thuật và bằng sáng chế, v.v., đối với sản phẩm đang được điều tra và đính kèm bản sao các hợp đồng giữa các bên kèm theo bản dịch tiếng Anh.</t>
  </si>
  <si>
    <t>Cung cấp giải trình và chứng từ liên quan nếu có</t>
  </si>
  <si>
    <t>A-3-9</t>
  </si>
  <si>
    <t>A-9. Production</t>
  </si>
  <si>
    <t>Điền thông tin của DTR theo hướng dẫn tại bảng A.9</t>
  </si>
  <si>
    <t>Accounting department - Production &amp; Cost</t>
  </si>
  <si>
    <t>Cung cấp thông tin của tất cả các mã sản phẩm mà công ty có sản xuất và/hoặc bán trong kì điều tra, kể cả các sản phẩm không thuộc đối tượng điều tra của vụ việc</t>
  </si>
  <si>
    <t>A-3-10</t>
  </si>
  <si>
    <t>A.10. Related Companies</t>
  </si>
  <si>
    <t>Điền thông tin của DTR theo hướng dẫn tại bảng A.10</t>
  </si>
  <si>
    <t>GHC đã điền thông tin theo dữ liệu hiện có. Vui lòng check &amp; confirm, đồng thời điền các thông tin còn thiếu</t>
  </si>
  <si>
    <t>A-3-11</t>
  </si>
  <si>
    <t>A.11. Legal changes</t>
  </si>
  <si>
    <t>Cung cấp thông tin chi tiết về những thay đổi trong hình thức pháp lý, cơ cấu ban lãnh đạo, phạm vi kinh doanh, vốn điều lệ và cơ cấu cổ đông kể từ khi công ty được thành lập, bao gồm cả các hoạt động và/hoặc pháp nhân mà công ty hiện tại là đơn vị kế thừa. Điền thông tin tương ứng vào bảng A.11</t>
  </si>
  <si>
    <t>A-3-12</t>
  </si>
  <si>
    <t>Liệt kê và giải thích tất cả các giấy phép mà công ty bạn bắt buộc phải có để sản xuất (bao gồm cả quyền khai thác khoáng sản), bán hàng trong nước, hoặc xuất khẩu sản phẩm đang bị điều tra. Nêu rõ liệu công ty bạn có đang chịu bất kỳ hạn chế định lượng trực tiếp hoặc gián tiếp, hoặc các hạn chế khác đối với bất kỳ hoạt động nào trong số này hay không.</t>
  </si>
  <si>
    <t>A-3-13</t>
  </si>
  <si>
    <t>Mô tả các trường hợp mà giấy phép kinh doanh và/hoặc Giấy chứng nhận đăng ký doanh nghiệp của công ty có thể bị thu hồi. Công ty đã từng bị thu hồi trong trường hợp nào chưa?</t>
  </si>
  <si>
    <t>A-3-14</t>
  </si>
  <si>
    <t>Nêu rõ liệu công ty có phải là thành viên của Phòng Thương mại (Chamber of Commerce) có liên quan hoặc bất kỳ tổ chức đại diện nào khác hay không. Nếu có, vui lòng cung cấp bản sao giấy chứng nhận đăng ký với Phòng Thương mại tương ứng cùng với các tài liệu liên quan (kèm theo bản dịch tiếng Anh).</t>
  </si>
  <si>
    <t>B-1</t>
  </si>
  <si>
    <t>B-1. Scope of the investigation</t>
  </si>
  <si>
    <t>B-2-1</t>
  </si>
  <si>
    <t>B-2. Product specification</t>
  </si>
  <si>
    <t>Điền bảng quy đổi PCN cho tất cả các mã sản phẩm bị điều tra có sản xuất và/hoặc bán của công ty. Điền theo mẫu của bảng B.2.3</t>
  </si>
  <si>
    <t>Technical / QC department</t>
  </si>
  <si>
    <t>Yes</t>
  </si>
  <si>
    <t>Bộ phận điền</t>
  </si>
  <si>
    <t>Theo GHC hiểu thì toàn bộ các mã sản phẩm hàng điều tra của DTR đều thuộc mã R100. Vui lòng xác nhận</t>
  </si>
  <si>
    <t>B-2-2</t>
  </si>
  <si>
    <t>Điền thông tin theo hướng dẫn tại bảng B-2</t>
  </si>
  <si>
    <t>Accounting department - Sales</t>
  </si>
  <si>
    <t>B-2-3</t>
  </si>
  <si>
    <t>Cung cấp bảng mô tả về hệ thống mã sản phẩm của công ty, ý nghĩa từng ký tự trong mã sản phẩm</t>
  </si>
  <si>
    <t>B-2-4</t>
  </si>
  <si>
    <t>Có trường hợp nào mà cùng một loại sản phẩm nhưng được đưa vào hai mã sản phẩm khác nhau khi bán tại hai thị trường khác nhau không? Nếu có, công ty cần làm bảng đối chiếu giữa các mã sản phẩm tương đồng như vậy</t>
  </si>
  <si>
    <t>B-2-5</t>
  </si>
  <si>
    <t>Nếu việc bán hàng cho khách hàng độc lập tại Liên minh Châu Âu hoặc tại thị trường nội địa được thực hiện thông qua một công ty có liên quan, vui lòng cung cấp bảng đối chiếu mã sản phẩm sản xuất và mã sản phẩm trên hóa đơn bán hàng của công ty bạn với mã sản phẩm tương ứng trên hóa đơn của công ty có liên quan.</t>
  </si>
  <si>
    <t>B-2-6</t>
  </si>
  <si>
    <t>Cung cấp brochure/catalogue liên quan đến sản phẩm bị điều tra của công ty</t>
  </si>
  <si>
    <t>C-1</t>
  </si>
  <si>
    <t>C-1. Turnover</t>
  </si>
  <si>
    <t>Cung cấp thông tin theo hướng dẫn tại bảng C.1</t>
  </si>
  <si>
    <t>Lưu ý:
- Doanh thu ở đây là net of all discount and free of taxes
- Nếu doanh thu của công ty được hợp nhất với công ty khác để làm ra báo cáo tài chính hợp nhất, vui lòng cung cấp số liệu về doanh thu hợp nhất sử dụng cùng format của bảng C.1</t>
  </si>
  <si>
    <t>C-2</t>
  </si>
  <si>
    <t>C-2. Q&amp;V</t>
  </si>
  <si>
    <t>Cung cấp thông tin theo hướng dẫn tại bảng C.2</t>
  </si>
  <si>
    <t>Nếu có công ty liên quan / liên kết có bán sản phẩm bị điều tra tại thị trường nội địa hoặc xuất khẩu sang EU, cần thực hiện việc công hợp số liệu của các công ty đó để tạo thành một bảng số liệu cộng hợp theo format của bảng C.2</t>
  </si>
  <si>
    <t>C-3-1</t>
  </si>
  <si>
    <t>C-3. Production and Capacity</t>
  </si>
  <si>
    <t>Cung cấp thông tin theo hướng dẫn tại bảng C.3</t>
  </si>
  <si>
    <t>C-3-2</t>
  </si>
  <si>
    <t>Giải thích phương pháp tính toán số liệu về công suất thiết kế của công ty (capacity)</t>
  </si>
  <si>
    <t>Manufacturing department</t>
  </si>
  <si>
    <t>Lan, anh Ty
Công suất thiết kế được tính theo tỷ lệ thống kê như trao đổi
Tỷ lệ hàng IV0.78/Tổng sản lượng sản xuất từ năm 2021 =&gt; năm 2025.
=&gt; Anh Ty gửi thông tin anh Hoàng.</t>
  </si>
  <si>
    <t>C-3-3</t>
  </si>
  <si>
    <t>Giải thích chi tiết về kế hoạch gia tăng công suất sản xuất sản phẩm bị điều tra tại VN, EU hoặc bất kỳ nước thứ ba nào</t>
  </si>
  <si>
    <t>Anh Ty, anh Hoàng
Tính từ năm 2025 trở đi</t>
  </si>
  <si>
    <t>C-3-4</t>
  </si>
  <si>
    <t>Giải thích liệu công suất sản xuất nêu trên có thể được sử dụng để sản xuất các sản phẩm khác ngoài sản phẩm đang bị điều tra hay không. Giải thích phương pháp được sử dụng để phân bổ công suất sản xuất trong trường hợp này.</t>
  </si>
  <si>
    <t>An Giang: WSS03G; WSS02G; WSS02; WSS03</t>
  </si>
  <si>
    <t>C-3-5</t>
  </si>
  <si>
    <t>Cung cấp thông tin về tỉ lệ phế liệu sinh ra trong quá trình sản xuất sản phẩm bị điều tra của công ty</t>
  </si>
  <si>
    <t>C-4</t>
  </si>
  <si>
    <t>C-4. Stocks</t>
  </si>
  <si>
    <t>Cung cấp thông tin theo hướng dẫn tại bảng C.4</t>
  </si>
  <si>
    <t>C-5</t>
  </si>
  <si>
    <t>C-5. Employment</t>
  </si>
  <si>
    <t>Cung cấp thông tin theo hướng dẫn tại bảng C.5</t>
  </si>
  <si>
    <t>HR department</t>
  </si>
  <si>
    <t>Cung cấp thông tin về số lao động bình quân trong mỗi kì (có thể tính bình quân theo tháng), chứ không lấy số lao động tại một thời điểm cuối mỗi kỳ</t>
  </si>
  <si>
    <t>C-6</t>
  </si>
  <si>
    <t>C-6. Acquisition of assets</t>
  </si>
  <si>
    <t>Cung cấp thông tin theo hướng dẫn tại bảng C.6</t>
  </si>
  <si>
    <t>Accounting department - Assets</t>
  </si>
  <si>
    <t>Cung cấp thông tin về giá trị của các tài sản mà công ty mua vào có liên quan đến sản xuất / kinh doanh / phân phối sản phẩm bị điều tra</t>
  </si>
  <si>
    <t>C-7</t>
  </si>
  <si>
    <t>C-7. Total export</t>
  </si>
  <si>
    <t>Cung cấp thông tin theo hướng dẫn tại bảng C.7</t>
  </si>
  <si>
    <t>Kê khai doanh thu net of discount, credit note, free of taxes</t>
  </si>
  <si>
    <t>C-8</t>
  </si>
  <si>
    <t>C-8. Purchases</t>
  </si>
  <si>
    <t>Cung cấp thông tin theo hướng dẫn tại bảng C.8</t>
  </si>
  <si>
    <t>Accounting department - Purchases</t>
  </si>
  <si>
    <t>Ko mua thành phẩm nên ko cần kê khai</t>
  </si>
  <si>
    <r>
      <t xml:space="preserve">Kê khai các giao dịch mua vào hàng hóa bị điều tra </t>
    </r>
    <r>
      <rPr>
        <b/>
        <u/>
        <sz val="11"/>
        <color theme="1"/>
        <rFont val="Calibri"/>
        <family val="2"/>
        <scheme val="minor"/>
      </rPr>
      <t>dạng thành phẩm</t>
    </r>
  </si>
  <si>
    <t>D-1-1</t>
  </si>
  <si>
    <t>D-1. General Information</t>
  </si>
  <si>
    <t>Cung cấp quy trình bán hàng và quy trình xuất hóa đơn tại thị trường EU của công ty, bao gồm từ việc hỏi hàng, chào giá, ... cho đến khi hàng hóa được giao đến khách hàng.</t>
  </si>
  <si>
    <t>Domestic sales department</t>
  </si>
  <si>
    <t>Cung cấp danh sách các khách hàng mà công ty bán hàng hóa bị điều tra tại thị trường EU trong giai đoạn IP, sau đó phân loại từng khách hàng thành các nhóm sau:
- 1 = NHÀ SẢN XUẤT
- 2 = NHÀ PHÂN PHỐI 
- 3 = NHÀ BÁN BUÔN 
- 4 = NHÀ BÁN LẺ 
- 5 = LOẠI KHÁC</t>
  </si>
  <si>
    <t>D-1-2</t>
  </si>
  <si>
    <t>Cung cấp quy trình đàm phán giá bán với khách hàng, từ những trao đổi đầu tiên với khách hàng cho đến và bao gồm cả các điều chỉnh giá sau bán hàng (nếu có). Nếu quy trình bán hàng này khác nhau giữa các nhóm khách hàng, hãy mô tả quy trình với từng nhóm khách hàng một cách riêng biệt.</t>
  </si>
  <si>
    <t>D-1-3</t>
  </si>
  <si>
    <t>Có bất kỳ hạn chế nào đối với hoạt động bán hàng trong nước không? Nếu có, những điều kiện này được quy định trong tài liệu nào? Công ty có cần giấy phép nào để bán nội địa sản phẩm bị điều tra hay không?</t>
  </si>
  <si>
    <t>Có thể là những quy định liên quan đến tiêu chuẩn kĩ thuật đối với sản phẩm PET tái chế, hoặc đối với sản phẩm PET nói chung. Vui lòng trả lời</t>
  </si>
  <si>
    <t>D-1-4</t>
  </si>
  <si>
    <t>Giải thích liệu việc sản xuất có bắt đầu sau khi đã thống nhất với khách hàng về các thông số kỹ thuật của sản phẩm và các điều khoản bán hàng, hay sẽ được thực hiện theo lịch trình sản xuất thông thường của công ty.</t>
  </si>
  <si>
    <t>DTR có cả 2 trường hợp</t>
  </si>
  <si>
    <t>D-1-5</t>
  </si>
  <si>
    <t>Công ty có sử dụng bảng giá khi bán sản phẩm bị điều tra tại thị trường nội địa không? Nếu có, vui lòng cung cấp bản sao của tất cả các bảng giá (bằng tiếng Anh hoặc có bản dịch tiếng Anh) đã được ban hành hoặc sử dụng trong thời kỳ IP cho tất cả các loại khách hàng trên thị trường nội địa,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t>
  </si>
  <si>
    <t>D-2-1</t>
  </si>
  <si>
    <t>D-2. Sales to independent and related customers</t>
  </si>
  <si>
    <t>Điền thông tin theo hướng dẫn tại bảng D-2</t>
  </si>
  <si>
    <t>Accounting department - Domestic sales</t>
  </si>
  <si>
    <t>D-2-2</t>
  </si>
  <si>
    <t>Vui lòng cung cấp bản sao của ba hóa đơn bán hàng cho ba khách hàng độc lập khác nhau và, nếu có, ba hóa đơn bán hàng cho ba khách hàng liên kết khác nhau (kèm theo các đơn đặt hàng tương ứng) liên quan đến các giao dịch bán hàng trên thị trường nội địa trong thời kỳ điều tra (bằng tiếng Anh hoặc có bản dịch tiếng Anh).</t>
  </si>
  <si>
    <t>D-3-1</t>
  </si>
  <si>
    <t>D-3. Sales of related parties to independent customers</t>
  </si>
  <si>
    <t>Trong trường hợp DTR có bán hàng cho công ty liên kết và công ty liên kết đó bán lại cho khách hàng độc lập tại Việt Nam, vui lòng điền thông tin theo hướng dẫn tại bảng D-3</t>
  </si>
  <si>
    <t>Theo GHC hiểu thì không có trường hợp này. DTR vui lòng xác nhận</t>
  </si>
  <si>
    <t>D-3-2</t>
  </si>
  <si>
    <t>Vui lòng cung cấp bản sao của ba hóa đơn của các công ty có liên quan của bạn cho ba khách hàng khác nhau (kèm theo các đơn đặt hàng mua và bán tương ứng) liên quan đến các giao dịch bán hàng trên thị trường nội địa trong thời kỳ điều tra (bằng tiếng Anh hoặc có bản dịch tiếng Anh).</t>
  </si>
  <si>
    <t>E-1-1</t>
  </si>
  <si>
    <t>E-1. General information</t>
  </si>
  <si>
    <t>Cung cấp quy trình bán hàng và quy trình xuất hóa đơn tại thị trường EU và các thị trường khác của công ty, bao gồm từ việc hỏi hàng, chào giá, ... cho đến khi hàng hóa được giao đến khách hàng.</t>
  </si>
  <si>
    <t>Export sales department</t>
  </si>
  <si>
    <t>Cung cấp danh sách các khách hàng mà công ty bán hàng hóa bị điều tra tại thị trường nội địa trong giai đoạn IP, sau đó phân loại từng khách hàng thành các nhóm sau:
- 1 = NHÀ SẢN XUẤT
- 2 = NHÀ PHÂN PHỐI 
- 3 = NHÀ BÁN BUÔN 
- 4 = NHÀ BÁN LẺ 
- 5 = LOẠI KHÁC</t>
  </si>
  <si>
    <t>Có sự khác biệt nào về giá bán cho từng đối tượng khách hàng / hay từng nhóm khách hàng tại thị trường EU hay không</t>
  </si>
  <si>
    <t>E-1-2</t>
  </si>
  <si>
    <t>E-1-3</t>
  </si>
  <si>
    <t>Có bất kỳ hạn chế nào đối với hoạt động xuất khẩu không? Nếu có, những văn bản nào quy định các điều kiện cho hoạt động xuất khẩu của công ty? Công ty có cần giấy phép xuất khẩu không?</t>
  </si>
  <si>
    <t>E-1-4</t>
  </si>
  <si>
    <t>Nếu hoạt động bán hàng của công ty bạn được thực hiện theo hợp đồng (dài hạn hoặc ngắn hạn), vui lòng mô tả chi tiết quy trình đàm phán và thống nhất các điều khoản trong hợp đồng, bao gồm giá cả và số lượng. Mô tả từng loại hợp đồng áp dụng cho sản phẩm đang bị điều tra, bao gồm các điều khoản, yêu cầu về việc thay đổi giá hoặc đàm phán lại từ một trong hai bên, v.v. Giải thích các nghĩa vụ của mỗi bên trong trường hợp hợp đồng bị chấm dứt trước thời hạn.</t>
  </si>
  <si>
    <t>E-1-5</t>
  </si>
  <si>
    <t>E-1-6</t>
  </si>
  <si>
    <t>Công ty có sử dụng bảng giá khi bán sản phẩm bị điều tra tại thị trường EU và các quốc gia khác không? Nếu có, vui lòng cung cấp bản sao của tất cả các bảng giá (bằng tiếng Anh hoặc có bản dịch tiếng Anh) đã được ban hành hoặc sử dụng trong thời kỳ IP cho tất cả các loại khách hàng trên thị trường EU và các quốc gia khác,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t>
  </si>
  <si>
    <t>E-1-7</t>
  </si>
  <si>
    <t>Nếu công ty bạn thuộc diện áp dụng chương trình hoàn thuế GTGT hoặc thuế xuất khẩu đối với sản phẩm đang bị điều tra, vui lòng cung cấp đầy đủ thông tin (bao gồm bản sao các chứng từ kế toán và các tài liệu hỗ trợ khác). Liệt kê các tài liệu bắt buộc để yêu cầu hoàn thuế GTGT hoặc thuế xuất khẩu tương đương.</t>
  </si>
  <si>
    <t>E-1-8</t>
  </si>
  <si>
    <t>Đối với tất cả các giao dịch bán hàng thông qua các công ty có liên quan, vui lòng mô tả chi tiết cách thức thực hiện giao dịch, bao gồm quy trình từ thời điểm đặt hàng đến khi giao hàng cho khách hàng độc lập đầu tiên. Giải thích đầy đủ cách lập hóa đơn và thanh toán được thực hiện như thế nào.</t>
  </si>
  <si>
    <t>anh Quốc Anh</t>
  </si>
  <si>
    <t>E-2-1</t>
  </si>
  <si>
    <t>E-2. Sales to independent customers in the European Union</t>
  </si>
  <si>
    <t>Điền thông tin vào bảng E-2 theo hướng dẫn</t>
  </si>
  <si>
    <t>Accounting department - Export sales</t>
  </si>
  <si>
    <t>E-2-2</t>
  </si>
  <si>
    <t>Đối với các giao dịch bán hàng không được thực hiện theo điều kiện CIF, vui lòng giải thích cách công ty ước tính giá CIF tương ứng tại bảng E-2. Giữ nguyên các công thức tính toán trong bảng E-2.</t>
  </si>
  <si>
    <t>E-2-3</t>
  </si>
  <si>
    <t>Vui lòng cung cấp bản sao của ba hóa đơn bán hàng cho ba khách hàng độc lập khác nhau (kèm theo các đơn đặt hàng tương ứng và tờ khai hải quan xuất khẩu) liên quan đến các giao dịch bán hàng tại thị trường Liên minh Châu Âu (bằng tiếng Anh hoặc có bản dịch tiếng Anh).</t>
  </si>
  <si>
    <t>E-3-1</t>
  </si>
  <si>
    <t>E-3. Sales to related parties in the European Union</t>
  </si>
  <si>
    <t>Điền thông tin vào bảng E-3 theo hướng dẫn</t>
  </si>
  <si>
    <t>E-3-2</t>
  </si>
  <si>
    <t>Đối với các giao dịch bán hàng không được thực hiện theo điều kiện CIF, vui lòng giải thích cách công ty ước tính giá CIF tương ứng tại bảng E-3. Giữ nguyên các công thức tính toán trong bảng E-3.</t>
  </si>
  <si>
    <t>E-3-3</t>
  </si>
  <si>
    <t>Liệt kê bất kỳ chi phí nào phát sinh tại các công ty có liên quan nhưng được công ty thanh toán hoặc hoàn trả, trực tiếp hoặc gián tiếp, bất kể chi phí đó có liên quan đến sản phẩm đang bị điều tra hay không. Giải thích chi tiết bản chất của các khoản chi phí đã liệt kê.</t>
  </si>
  <si>
    <t>E-3-4</t>
  </si>
  <si>
    <t>Vui lòng cung cấp bản sao của ba hóa đơn bán hàng cho các khách hàng có liên quan (kèm theo các đơn đặt hàng tương ứng và tờ khai hải quan xuất khẩu) liên quan đến các giao dịch bán hàng hướng đến thị trường Liên minh Châu Âu (bằng tiếng Anh hoặc có bản dịch tiếng Anh).</t>
  </si>
  <si>
    <t>E-4-1</t>
  </si>
  <si>
    <t>E-4. Sales to independent customers in countries other than the European Union</t>
  </si>
  <si>
    <t>Điền thông tin vào bảng E-4 theo hướng dẫn</t>
  </si>
  <si>
    <t>Cần trao đổi với luận sư tại EU xem  có cần thiết phải trả lời bảng này không?</t>
  </si>
  <si>
    <t>E-4-2</t>
  </si>
  <si>
    <t>Đối với các giao dịch bán hàng không được thực hiện theo điều kiện CIF, vui lòng giải thích cách công ty ước tính giá CIF tương ứng tại bảng E-4. Giữ nguyên các công thức tính toán trong bảng E-4.</t>
  </si>
  <si>
    <t>E-4-3</t>
  </si>
  <si>
    <t>Vui lòng cung cấp bản sao của ba hóa đơn bán hàng cho ba khách hàng độc lập khác nhau (kèm theo các đơn đặt hàng tương ứng và tờ khai hải quan xuất khẩu) liên quan đến các giao dịch bán hàng tại các quốc gia xuất khẩu ngoài Liên minh Châu Âu (bằng tiếng Anh hoặc có bản dịch tiếng Anh).</t>
  </si>
  <si>
    <t>E-5-1</t>
  </si>
  <si>
    <t>E-5. Sales to related customers in countries other than the European Union</t>
  </si>
  <si>
    <t>Điền thông tin vào bảng E-5 theo hướng dẫn</t>
  </si>
  <si>
    <t>E-5-2</t>
  </si>
  <si>
    <t>Đối với các giao dịch bán hàng không được thực hiện theo điều kiện CIF, vui lòng giải thích cách bạn đã tính toán các giá trị CIF được ghi trong cột giá trị CIF của Bảng ROWSALRL. Đối với các giá trị CIF được tính toán, hãy cung cấp các phép tính (công thức) trong Bảng ROWSALRL.</t>
  </si>
  <si>
    <t>E-5-3</t>
  </si>
  <si>
    <t>Liệt kê bất kỳ chi phí nào do các công ty có liên quan của bạn phát sinh mà đã được công ty bạn thanh toán hoặc hoàn trả, trực tiếp hoặc gián tiếp, bất kể chi phí đó có liên quan đến sản phẩm đang được rà soát hay không. Giải thích chi tiết bản chất của các khoản chi phí đã liệt kê.</t>
  </si>
  <si>
    <t>E-5-4</t>
  </si>
  <si>
    <t>F-1-1</t>
  </si>
  <si>
    <t>F-1. Accounting system and policies</t>
  </si>
  <si>
    <t>Hằng năm, những tài liệu kế toán nào phải được nộp cho Cơ quan chức năng?</t>
  </si>
  <si>
    <t>Accounting department - General</t>
  </si>
  <si>
    <t>F-1-2</t>
  </si>
  <si>
    <t>Nêu tên các cơ quan chức năng có liên quan đến việc nộp các tài liệu này</t>
  </si>
  <si>
    <t>F-1-3,4</t>
  </si>
  <si>
    <t>Cung cấp BCTC có kiểm toán (bản Tiếng Việt - Tiếng Anh) cho 03 năm tài chính gần nhất</t>
  </si>
  <si>
    <t>F-1-5</t>
  </si>
  <si>
    <t>Mô tả ngắn gọn các yêu cầu pháp lý cơ bản như ngôn ngữ và đơn vị tiền tệ phải sử dụng trong việc ghi chép sổ sách kế toán, cũng như thời gian lưu trữ các hồ sơ kế toán và tài liệu khác (hợp đồng quan trọng, thỏa thuận, điều lệ công ty, biên bản họp hội đồng quản trị, báo cáo tài chính và báo cáo kiểm toán).</t>
  </si>
  <si>
    <t>F-1-8</t>
  </si>
  <si>
    <t>Nếu có các báo cáo tài chính nội bộ và định kỳ, báo cáo quản trị, hoặc đánh giá chi phí tiêu chuẩn được lập và lưu trữ cho sản phẩm đang bị điều tra, vui lòng cung cấp bản sao cho ba năm tài chính gần nhất.</t>
  </si>
  <si>
    <t>DTR có chuẩn bị những báo cáo này không? Vui lòng thảo luận với GHC để cân nhắc có nộp các báo cáo này không</t>
  </si>
  <si>
    <t>F-1-9</t>
  </si>
  <si>
    <t>Cung cấp bản tiếng Anh của hệ thống tài khoản kế toán (chart of accounts) cho từng đơn vị trong tập đoàn có liên quan đến việc sản xuất và/hoặc bán sản phẩm đang bị điều tra.</t>
  </si>
  <si>
    <t>F-1-10</t>
  </si>
  <si>
    <t>Cung cấp địa chỉ nơi lưu trữ hồ sơ kế toán của công ty. Nếu hồ sơ được lưu trữ tại nhiều địa điểm khác nhau, vui lòng chỉ rõ loại hồ sơ nào được lưu tại địa điểm nào. Đặc biệt, hãy chỉ rõ nơi có thể kiểm tra các dữ liệu sau:
– Kế toán tổng hợp
– Bán hàng nội địa
– Bán hàng xuất khẩu
– Giá thành sản xuất</t>
  </si>
  <si>
    <t>F-1-11</t>
  </si>
  <si>
    <t>Mô tả các nguyên tắc và thực tiễn kế toán chung của công ty bạn nếu những nội dung này chưa được đề cập trong báo cáo tài chính. Vui lòng đề cập đến các yếu tố như: tính nhất quán trong phương pháp định giá, việc phân biệt riêng biệt giữa tài sản và nợ phải trả, nguyên tắc thận trọng trong định giá, nguyên tắc hoạt động liên tục, và việc ghi nhận thu nhập và chi phí có được phản ánh đúng trong năm tài chính liên quan hay không.</t>
  </si>
  <si>
    <t>F-1-12</t>
  </si>
  <si>
    <t>Mô tả chi tiết hệ thống kế toán tài chính của công ty bạn. Giải thích liệu các thực tiễn kế toán của bạn có tuân thủ các nguyên tắc kế toán được chấp nhận chung (GAAP) tại quốc gia sản xuất hay không. Mô tả của bạn nên đề cập đến tất cả các nguyên tắc có ảnh hưởng đáng kể đến chi phí sản xuất của sản phẩm đang bị điều tra, bao gồm (nhưng không giới hạn):
a) Phương pháp định giá hàng tồn kho nguyên vật liệu, sản phẩm dở dang và thành phẩm (ví dụ: nhập trước xuất trước – FIFO, nhập sau xuất trước – LIFO, bình quân gia quyền).
b) Phương pháp ghi giảm hoặc xóa sổ hàng tồn kho đối với nguyên vật liệu và thành phẩm.
c) Tuổi thọ hữu ích trung bình của thiết bị sản xuất và phương pháp khấu hao.
d) Giá trị của hàng hóa bị hư hỏng hoặc không đạt tiêu chuẩn trong các giai đoạn sản xuất khác nhau.
e) Lãi/lỗ tỷ giá hối đoái từ các giao dịch và từ việc điều chỉnh cuối năm tài chính (định giá các số dư ngoại tệ). Giải thích tỷ giá nào được sử dụng để quy đổi các giao dịch mua bán bằng ngoại tệ sang nội tệ. Chỉ rõ ngày xác định tỷ giá và nguồn tỷ giá được sử dụng. Nêu rõ đồng tiền được sử dụng để lập hóa đơn xuất khẩu.
f) Khấu hao nhanh.
g) Việc vốn hóa chi phí chung và/hoặc chi phí lãi vay.
h) Dự phòng nợ xấu.
i) Chi phí tái cấu trúc.</t>
  </si>
  <si>
    <t>Tham khảo phần thuyết minh trong BCTC về chính sách kế toán của công ty để trả lời</t>
  </si>
  <si>
    <t>F-1-13</t>
  </si>
  <si>
    <t>Nếu bất kỳ phương pháp kế toán nào của công ty bạn đã thay đổi trong ba năm tài chính gần đây, vui lòng giải thích chi tiết từng thay đổi, ngày thay đổi và lý do thay đổi.</t>
  </si>
  <si>
    <t>F-1-14</t>
  </si>
  <si>
    <t>Mô tả hệ thống kế toán chi phí mà công ty bạn sử dụng để ghi nhận chi phí sản xuất của sản phẩm đang bị điều tra. Mô tả của bạn nên bao gồm:
a) Mô tả chung về phương pháp kế toán chi phí của công ty liên quan đến việc phân bổ chi phí sản xuất cho từng đơn vị sản phẩm. Hệ thống kế toán chi phí này có tích hợp với hệ thống kế toán tài chính dùng để lập báo cáo tài chính không?
b) Nếu công ty sử dụng hệ thống giá thành theo định mức, mô tả các khía cạnh sau:
(i) Các loại chênh lệch (variances) được ghi nhận và cách chúng được sử dụng trong báo cáo quản trị;
(ii) Thời kỳ tính toán và ghi nhận các chênh lệch;
(iii) Phương pháp xây dựng chi phí tiêu chuẩn;
(iv) Tần suất cập nhật chi phí tiêu chuẩn, bao gồm ngày cập nhật gần nhất.
c) Nếu có, cho biết liệu chi phí tiêu chuẩn (standard cost) có được sử dụng trong hồ sơ trả lời hay không và liệu tất cả các chênh lệch giữa chi phí tiêu chuẩn và thực tế có được phân bổ đầy đủ không. Giải thích chi tiết phương pháp phân bổ và các chênh lệch chi phí đáng kể (nếu có) trong thời kỳ điều tra.
d) Nếu có, cung cấp danh sách các trung tâm chi phí (cost center) trực tiếp hoặc yếu tố chi phí trong hệ thống kế toán chi phí. Giải thích bản chất của các trung tâm/yếu tố này.
e) Nếu có, cung cấp danh sách các trung tâm chi phí gián tiếp. Giải thích bản chất của các chi phí gián tiếp được ghi nhận tại mỗi trung tâm và phương pháp phân bổ các chi phí này cho trung tâm chi phí trực tiếp và sản phẩm bị điều tra.
f) Phương pháp phân bổ chi phí cho các đơn vị tổ chức trong công ty (ví dụ: chi phí công ty mẹ phân bổ cho công ty con, chi phí tập đoàn phân bổ cho nhà máy, bộ phận sản phẩm, phân bổ giữa các nhà máy).
g) Phương pháp ghi nhận phế phẩm, hàng hỏng, hàng không đạt tiêu chuẩn trong từng giai đoạn sản xuất. Nêu rõ phương pháp ghi nhận chi phí tái chế (rework).
h) Phương pháp định giá và ghi nhận chi phí bán hàng, nguyên vật liệu, sản phẩm dở dang và thành phẩm.
i) Cung cấp danh sách các chi phí được định giá hoặc xử lý khác nhau giữa kế toán chi phí và kế toán tài chính. Chỉ rõ sự khác biệt và giải thích lý do.</t>
  </si>
  <si>
    <t>Theo GHC hiểu thì DTR sửa dụng phương pháp giá thành thực tế chứ không sử dụng giá thành định mức. DTR vui lòng xác nhận</t>
  </si>
  <si>
    <t>F-1-15</t>
  </si>
  <si>
    <t>Mô tả cách xử lý kế toán đối với chiết khấu, khoản hoàn cuối năm, bao gồm cả các khoản chiết khấu theo số lượng. Vui lòng cho biết các khoản này có được ghi nhận trong tài khoản doanh thu bán hàng và ảnh hưởng đến doanh thu thuần trên báo cáo kết quả kinh doanh hay được ghi nhận vào chi phí và tính vào giá vốn bán hàng.</t>
  </si>
  <si>
    <t>F-1-16</t>
  </si>
  <si>
    <t>Nêu năm tài chính của công ty bạn. Nếu có thay đổi trong ba năm tài chính gần đây, vui lòng giải thích lý do và nội dung thay đổi.</t>
  </si>
  <si>
    <t>F-2-1</t>
  </si>
  <si>
    <t>F - 2. Production process and cost of production of the product under investigation</t>
  </si>
  <si>
    <t>a/b/ An Giang: Gửi Quy trình sản xuất cho Kế toán anh Hoàng, thống nhất trước khi gửi đi.
c/ Đoan, Anh Hoàng Kế toán
d/ Anh Hoàng Kế toán
e/ An Giang: WSS03G; WSS02G; WSS02; WSS03
f/ An Giang: WSS03G; WSS02G; WSS02; WSS03
g/ Không có!</t>
  </si>
  <si>
    <t>F-2-2</t>
  </si>
  <si>
    <t>Điền thông tin được yêu cầu theo hướng dẫn tại bảng F-2. COP Overview</t>
  </si>
  <si>
    <t>Lưu ý: Sản lượng tại bảng F-2 phải khớp với sản lượng tại bảng C-3</t>
  </si>
  <si>
    <t>F-2-3</t>
  </si>
  <si>
    <t>Nếu công ty có quy trình sản xuất tích hợp theo chiều dọc (nguyên liệu đầu vào tự sản xuất trong công ty), hoặc một số nguyên liệu đầu vào (ví dụ: nguyên liệu chính, bán thành phẩm, năng lượng) được sản xuất bởi công ty liên kết, vui lòng hoàn thành bảng 'Tổng quan COP' cho từng sản phẩm đầu vào được khai thác hoặc sản xuất, bao gồm cả các 'nguyên liệu' hoặc 'bộ phận' cơ bản được xác định trong bảng tại mục 2 ở trên.</t>
  </si>
  <si>
    <t>F-2-4</t>
  </si>
  <si>
    <t>Điền thông tin được yêu cầu theo hướng dẫn tại bảng F-2. DM-COP</t>
  </si>
  <si>
    <t>F-2-5</t>
  </si>
  <si>
    <t>Điền thông tin được yêu cầu theo hướng dẫn tại bảng F-2. EU-COP</t>
  </si>
  <si>
    <t>F-2-6</t>
  </si>
  <si>
    <t>Hoàn thành các bảng 'DMCOP raw materials purchases' và 'EUCOP raw materials purchases' cung cấp thông tin về tổng lượng nguyên liệu được mua để sản xuất sản phẩm đang được điều tra.
a) Nếu nguyên liệu chính dùng để sản xuất sản phẩm giống nhau cho cả thị trường xuất khẩu và thị trường nội địa, và không có lý do gì khiến chi phí nguyên liệu thô trên mỗi tấn khác nhau giữa các thị trường, chỉ cần hoàn thành một trong hai bảng.
b) Nếu chi phí đầu vào khác nhau tùy theo thị trường tiêu thụ, vui lòng hoàn thành cả hai bảng và giải thích lý do sự khác biệt, đồng thời nêu rõ các con số khác nhau.
c) Bạn chỉ cần điền thông tin trong các cột có tiêu đề ‘CHI PHÍ MUA HÀNG ĐƯỢC GHI TRÊN HÓA ĐƠN’ trong trường hợp cuộc điều tra có đề cập đến biến dạng nguyên liệu thô theo Điều 7(2a) của Quy định cơ bản (xem mục F-4. Khiếu nại liên quan đến biến dạng nguyên liệu thô).
Dựa trên các yêu cầu trên, hãy hoàn thành bảng mua nguyên liệu thô riêng biệt cho ba nguyên liệu chính được mua. Thông tin này phải bao gồm tất cả các giao dịch mua trong thời kỳ điều tra. Với mỗi giao dịch, vui lòng mô tả nguyên liệu trực tiếp và các đặc điểm của nó (cấp độ, độ tinh khiết, tiêu chuẩn, …)
Nếu bạn mua nguyên liệu từ các bên liên kết, vui lòng xem phần bên dưới.</t>
  </si>
  <si>
    <t>F-2-7</t>
  </si>
  <si>
    <t>Hoàn thành các bảng 'DMCOP raw materials production' và 'EUCOP raw materials production' nếu công ty bạn tự sản xuất các nguyên liệu chính. Thông tin này phải bao gồm tổng chi phí sản xuất các nguyên liệu đó trong thời kỳ điều tra.</t>
  </si>
  <si>
    <t>F-2-8</t>
  </si>
  <si>
    <t>F-2-9</t>
  </si>
  <si>
    <t>Nếu chi phí sản xuất của bạn bị ảnh hưởng bởi việc sử dụng cơ sở sản xuất mới đòi hỏi đầu tư bổ sung đáng kể và dẫn đến tỷ lệ sử dụng công suất thấp do đang trong giai đoạn khởi động, vui lòng cung cấp các thông tin sau:
a) Mô tả chi tiết cơ sở sản xuất mới, bao gồm vị trí, thiết bị sản xuất và các hoạt động sản xuất.
b) Phân tích chi tiết chi phí mua lại/xây dựng cơ sở sản xuất mới (phải khớp với giá trị tài sản trong sổ sách kế toán của bạn).
c) Thông tin chi tiết về tỷ lệ sử dụng công suất trong giai đoạn khởi động.
d) Ngày cụ thể bắt đầu sản xuất để bán.
e) Thông tin về thời gian kéo dài của giai đoạn khởi động.</t>
  </si>
  <si>
    <t>F-3-1</t>
  </si>
  <si>
    <t>F - 3. Production in the exporting country</t>
  </si>
  <si>
    <t>Cung cấp thông tin về các khía cạnh sau liên quan đến việc sản xuất và bán sản phẩm đang được điều tra tại quốc gia xuất khẩu, và so sánh với các thị trường đại diện khác:
Giá của sản phẩm đang được điều tra
Giá nguyên liệu đầu vào của sản phẩm đang được điều tra
Sự tồn tại của hoạt động trao đổi hàng hóa đáng kể (barter trade)
Sự tồn tại của các thỏa thuận gia công phi thương mại
Các khía cạnh liên quan khác</t>
  </si>
  <si>
    <t>F-3-2</t>
  </si>
  <si>
    <t>2.	Chứng minh bằng các bằng chứng hỗ trợ rằng toàn bộ chi phí liên quan đến việc sản xuất và bán sản phẩm đang được điều tra được phản ánh một cách hợp lý và chính xác trong hồ sơ kế toán của công ty bạn. Thông tin này cần được cung cấp đặc biệt cho các khoản mục sau, bao gồm mô tả về bất kỳ cơ chế kiểm soát giá nội địa nào và bảng giá nội địa thực tế được thiết lập cho các khoản mục liên quan:
Nguyên liệu chính
Khí tự nhiên
Dầu mỏ
Điện năng
Chi phí vận chuyển</t>
  </si>
  <si>
    <t>F-3-3</t>
  </si>
  <si>
    <t>Cung cấp thông tin về các chi phí nêu trên mà công ty bạn đã phát sinh, chỉ rõ các nguồn thông tin công khai hoặc bất kỳ cơ sở hợp lý nào khác để xác minh hoặc xác lập các chi phí này, bao gồm thông tin từ các thị trường đại diện khác.</t>
  </si>
  <si>
    <t>F-3-4</t>
  </si>
  <si>
    <t>Cung cấp thông tin về mối quan hệ giữa các nhà sản xuất/nhà cung cấp các khoản mục nêu trên và công ty bạn.</t>
  </si>
  <si>
    <t>F-3-5</t>
  </si>
  <si>
    <t>Cho biết liệu công ty bạn đã từng được tư nhân hóa hay chưa. Nếu có, hãy cung cấp thông tin về các điều khoản của quá trình tư nhân hóa và cách thức thực hiện thực tế. Thông tin này nên tập trung, dựa trên bằng chứng hợp lý có sẵn, vào việc liệu quá trình tư nhân hóa đó có được thực hiện theo nguyên tắc thị trường và phản ánh giá trị thị trường hay không.</t>
  </si>
  <si>
    <t>G-1</t>
  </si>
  <si>
    <t>G - Profitability</t>
  </si>
  <si>
    <t>Hoàn thành bảng tính 'COMPANY CONCERNED' trong 'Table G - PL' cho từng công ty tham gia vào việc bán sản phẩm đang được điều tra (bao gồm công ty bạn và từng công ty liên kết có sổ sách kế toán riêng). Các bảng này phải thể hiện tổng các khoản chi phí được phân chia giữa sản phẩm đang được điều tra và các sản phẩm khác, giữa doanh số bán cho khách hàng độc lập và khách hàng liên kết, và giữa thị trường nội địa và thị trường xuất khẩu. Giải thích cơ sở phân bổ từng khoản chi phí. Nếu sử dụng phương pháp phân bổ khác ngoài phương pháp dựa trên doanh thu, cần giải thích chi tiết phương pháp đó.
Lưu ý rằng số liệu doanh thu liên quan phải là doanh thu thuần (sau khi trừ ghi chú tín dụng, chiết khấu, thuế và tiêu dùng nội bộ) và phải được trình bày riêng cho từng cột.
Các cột '%' thể hiện tỷ lệ phần trăm so với doanh thu thuần; giá trị của từng khoản chi phí phải được biểu thị dưới dạng phần trăm của doanh thu thuần.
Đối với tổng doanh thu, cột ‘Năm tài chính gần nhất’ phải khớp với báo cáo tài chính đã kiểm toán được yêu cầu tại mục F.1.2 và cột ‘Thời kỳ điều tra’ phải khớp với các bảng C.1 và C.2 trong Phần C.</t>
  </si>
  <si>
    <t>G-2</t>
  </si>
  <si>
    <t>Nếu báo cáo tài chính đã kiểm toán bạn cung cấp là báo cáo hợp nhất của nhiều công ty, hãy hoàn thành bảng tính 'CONSOLIDATED' trong tệp 'Table G - PL' và cung cấp bản tiếng Anh của báo cáo tài chính đã kiểm toán cho từng công ty có trong báo cáo hợp nhất, theo yêu cầu tại mục F.1.2.
Trong trường hợp này, cột 'Profit and loss last financial year' trong bảng tính 'COMPANY CONCERNED' phải khớp với cột 'Company Concerned' trong bảng tính 'CONSOLIDATED'.</t>
  </si>
  <si>
    <t>G-3</t>
  </si>
  <si>
    <t>Trong trường hợp công ty bạn là một phần của tập đoàn hợp nhất, hãy giải thích cách thu nhập tài chính và chi phí tài chính được xác định từ tổng chi phí vay của các công ty trong tập đoàn. Nêu rõ liệu lãi vay có được trả cho các bên liên kết hay không và giải thích chi tiết các khoản vay giữa các công ty liên kết.</t>
  </si>
  <si>
    <t>G-4</t>
  </si>
  <si>
    <t>Cung cấp trong ba năm tài chính gần nhất các tờ khai thuế thu nhập doanh nghiệp, thuế giá trị gia tăng (VAT), thuế bán hàng hoặc các loại thuế gián thu khác đã nộp cho cơ quan thuế quốc gia và/hoặc địa phương (vui lòng chỉ rõ cơ quan thuế và cung cấp tên/địa chỉ). Đồng thời cung cấp bằng chứng thanh toán cho tất cả các loại thuế nêu trên nếu có.</t>
  </si>
  <si>
    <t>G-5</t>
  </si>
  <si>
    <t>Cung cấp bảng đối chiếu, trong đó giải thích rõ ràng mối liên hệ giữa 'Bảng G – PL' và báo cáo tài chính đã phát hành/cân đối thử cuối kỳ của bạn.</t>
  </si>
  <si>
    <t>H</t>
  </si>
  <si>
    <t>H - 1. Allowances on export sales</t>
  </si>
  <si>
    <t>Cung cấp giải trình về các khoản điều chỉnh vào giá xuất khẩu mà công ty đã kê khai tại bảng E. Các giải trình này bao gồm:
- Chi phí đó là gì?
- Chi phí đó phát sinh cho một số giao dịch/khách hàng đặc thù hay cho toàn bộ các giao dịch bán hàng của công ty?
- Chi phí đó ghi nhận trên tài khoản kế toán nào của công ty?
- Phương pháp kê khai chi phí tương ứng cho từng giao dịch của công ty là gì (theo dõi đích danh hay phân bổ)?</t>
  </si>
  <si>
    <t>Hiện tại, DTR đang kê khai các khoản điều chỉnh vào giá bán sau:
- Hàng nội địa: Chi phí vận chuyển
- Hàng xuất khẩu đi EU:
+ Lệ phí hải quan
+ Phí đăng kí, kiểm tra hồ sơ
+ Phí nâng cont
+ Phí hạ cont
+ Vệ sinh cont
+ Phí điện giao hàng
+ Cước chuyển phát nhanh
+ Cước vận chuyển
+ Phí Cơ sở hạ tầng
+ Phí nội địa VN
+ Cước tàu
Vui lòng giải thích với từng loại chi phí trên, và nếu danh sách trên chưa đủ các chi phí liên quan đến hoạt động bán sản phẩm bị điều tra tại thị trường nội địa / EU thì vui lòng kiểm tra và bổ sung</t>
  </si>
  <si>
    <t>Không cần kê khai</t>
  </si>
  <si>
    <t>Không có rào cản thị trường nội địa</t>
  </si>
  <si>
    <t>My</t>
  </si>
  <si>
    <t>Tâm/Danh/Nhâm/Cúc</t>
  </si>
  <si>
    <t>Danh/Nhâm</t>
  </si>
  <si>
    <r>
      <t xml:space="preserve">Mô tả quy trình sản xuất của sản phẩm đang được điều tra. Phần mô tả của bạn nên bao gồm các nội dung sau:
a) Mô tả cơ sở sản xuất của công ty bạn. Nếu việc sản xuất hoặc các giai đoạn của quy trình sản xuất diễn ra tại nhiều cơ sở, hãy liệt kê tất cả các cơ sở và giải thích các hoạt động sản xuất tại các cơ sở chính. Giải thích xem các giai đoạn của quy trình sản xuất có được thuê ngoài hay không.
</t>
    </r>
    <r>
      <rPr>
        <sz val="11"/>
        <color rgb="FFFF0000"/>
        <rFont val="Calibri"/>
        <family val="2"/>
        <scheme val="minor"/>
      </rPr>
      <t xml:space="preserve">b) Giải thích quy trình sản xuất của sản phẩm đang được điều tra như được sản xuất và bán bởi công ty bạn, và đính kèm sơ đồ quy trình sản xuất đầy đủ, bao gồm mô tả từng giai đoạn trong quy trình.
c) Mô tả tính chất của các nguyên liệu đầu vào chính trong quy trình sản xuất và mối quan hệ của bạn với nhà cung cấp (có liên kết hay không). Chỉ rõ liệu các nguyên liệu hoặc bộ phận đầu vào này có được nhập khẩu hay không và giá trị đầu vào có bao gồm chi phí nhập khẩu và thuế gián tiếp (đối với cả hàng xuất khẩu và tiêu thụ nội địa).
</t>
    </r>
    <r>
      <rPr>
        <b/>
        <sz val="11"/>
        <color rgb="FFFF0000"/>
        <rFont val="Calibri"/>
        <family val="2"/>
        <scheme val="minor"/>
      </rPr>
      <t>d) Báo cáo số ngày trung bình mà sản phẩm đang được điều tra được lưu kho trước khi bán.</t>
    </r>
    <r>
      <rPr>
        <sz val="11"/>
        <color theme="1"/>
        <rFont val="Calibri"/>
        <family val="2"/>
        <scheme val="minor"/>
      </rPr>
      <t xml:space="preserve">
e) Xác định bất kỳ sản phẩm nào khác được sản xuất bởi công ty bạn tại cùng cơ sở sản xuất với sản phẩm đang được điều tra.
f) Xác định các sản phẩm phụ chính phát sinh từ quá trình sản xuất sản phẩm đang được điều tra và mô tả mục đích sử dụng của chúng.
</t>
    </r>
    <r>
      <rPr>
        <strike/>
        <sz val="11"/>
        <color theme="1"/>
        <rFont val="Calibri"/>
        <family val="2"/>
        <scheme val="minor"/>
      </rPr>
      <t>g) Nếu một dây chuyền sản xuất hoặc thiết bị chính đã bị ngừng hoạt động, hãy cung cấp chi tiết về những gì đã xảy ra với dây chuyền hoặc thiết bị đó.</t>
    </r>
  </si>
  <si>
    <t>My/Cúc</t>
  </si>
  <si>
    <r>
      <t xml:space="preserve">Mô tả chi tiết phương pháp bạn đã sử dụng để báo cáo từng khoản chi phí được liệt kê ở trên. Đính kèm các bảng tính hoặc tài liệu làm việc bạn đã sử dụng trong hồ sơ nộp. Với mỗi khoản chi phí, hãy bao gồm một ví dụ tính toán minh họa. Phần mô tả của bạn nên bao gồm các nội dung sau:
</t>
    </r>
    <r>
      <rPr>
        <b/>
        <sz val="11"/>
        <color theme="1"/>
        <rFont val="Calibri"/>
        <family val="2"/>
        <scheme val="minor"/>
      </rPr>
      <t xml:space="preserve">a) Đối với chi phí nguyên vật liệu mua từ các công ty độc lập, giải thích bản chất của các thỏa thuận hợp đồng. Nêu rõ liệu chi phí nguyên vật liệu có bao gồm chi phí vận chuyển, thuế nhập khẩu và các chi phí khác liên quan đến việc mua nguyên vật liệu sử dụng trong sản xuất hay không.
</t>
    </r>
    <r>
      <rPr>
        <sz val="11"/>
        <color theme="1"/>
        <rFont val="Calibri"/>
        <family val="2"/>
        <scheme val="minor"/>
      </rPr>
      <t xml:space="preserve">
b) Nếu bạn mua nguyên vật liệu từ các nhà cung cấp có liên kết, hãy cho biết bạn có cho rằng giá chuyển nhượng là đại diện cho giá thị trường hợp lý hay không. Ngoài các bảng 'mua nguyên liệu thô' trong các bảng DMCOP và EUCOP, chi phí sản xuất nguyên liệu của các nhà cung cấp liên kết cũng phải được cung cấp theo cùng một cơ sở như yêu cầu trong các bảng 'sản xuất nguyên liệu thô' của bảng COP.
</t>
    </r>
    <r>
      <rPr>
        <b/>
        <sz val="11"/>
        <color theme="1"/>
        <rFont val="Calibri"/>
        <family val="2"/>
        <scheme val="minor"/>
      </rPr>
      <t xml:space="preserve">c) Nếu chi phí lao động trực tiếp bao gồm khoản thanh toán cho lao động hợp đồng, hãy báo cáo riêng khoản chi phí phát sinh cho lao động hợp đồng. Chỉ rõ liệu các nhà thầu có liên kết với công ty bạn hay không. Mô tả các dịch vụ sản xuất được cung cấp bởi các nhà thầu lao động. -&gt; </t>
    </r>
    <r>
      <rPr>
        <b/>
        <sz val="11"/>
        <color rgb="FFFF0000"/>
        <rFont val="Calibri"/>
        <family val="2"/>
        <scheme val="minor"/>
      </rPr>
      <t>Nhâm</t>
    </r>
    <r>
      <rPr>
        <b/>
        <sz val="11"/>
        <color theme="1"/>
        <rFont val="Calibri"/>
        <family val="2"/>
        <scheme val="minor"/>
      </rPr>
      <t xml:space="preserve">
</t>
    </r>
    <r>
      <rPr>
        <b/>
        <sz val="11"/>
        <color rgb="FFFF0000"/>
        <rFont val="Calibri"/>
        <family val="2"/>
        <scheme val="minor"/>
      </rPr>
      <t xml:space="preserve">
</t>
    </r>
    <r>
      <rPr>
        <sz val="11"/>
        <color theme="1"/>
        <rFont val="Calibri"/>
        <family val="2"/>
        <scheme val="minor"/>
      </rPr>
      <t xml:space="preserve">d) Nếu công ty bạn là một phần của tập đoàn hợp nhất, hãy giải thích cách chi phí lãi vay được xác định từ tổng chi phí vay của các công ty trong tập đoàn. Nêu rõ liệu lãi vay có được trả cho các bên liên kết hay không và giải thích chi tiết các khoản vay giữa các công ty liên kết.
e) Trong trường hợp công ty bạn là một phần của tập đoàn hợp nhất, hãy giải thích liệu chi phí khấu hao được báo cáo là trên cơ sở công ty riêng lẻ hay hợp nhất. Vui lòng giải thích sự khác biệt có thể có giữa hai khoản này và cách chúng được xác định.
</t>
    </r>
    <r>
      <rPr>
        <b/>
        <sz val="11"/>
        <color rgb="FFFF0000"/>
        <rFont val="Calibri"/>
        <family val="2"/>
        <scheme val="minor"/>
      </rPr>
      <t>f) Giải thích cách tính chi phí nghiên cứu và phát triển (R&amp;D) cho sản phẩm đang được điều tra.</t>
    </r>
  </si>
  <si>
    <t>ĐỂ XEM LẠI</t>
  </si>
  <si>
    <t>a. Hoàng sẽ confirm với bên GHC</t>
  </si>
  <si>
    <t>Nhâm/Huyền</t>
  </si>
  <si>
    <t>Danh/Cúc</t>
  </si>
  <si>
    <t>a. Lộc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</si>
</sst>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1"/>
      <color theme="1"/>
      <name val="Calibri"/>
      <family val="2"/>
      <scheme val="minor"/>
    </font>
    <font>
      <b/>
      <sz val="11"/>
      <color theme="0"/>
      <name val="Calibri"/>
      <family val="2"/>
      <scheme val="minor"/>
    </font>
    <font>
      <b/>
      <sz val="11"/>
      <color theme="1"/>
      <name val="Arial"/>
      <family val="2"/>
    </font>
    <font>
      <sz val="11"/>
      <name val="Calibri"/>
      <family val="2"/>
      <scheme val="minor"/>
    </font>
    <font>
      <sz val="12"/>
      <color theme="1"/>
      <name val="Calibri"/>
      <family val="2"/>
      <scheme val="minor"/>
    </font>
    <font>
      <b/>
      <u/>
      <sz val="11"/>
      <color theme="1"/>
      <name val="Calibri"/>
      <family val="2"/>
      <scheme val="minor"/>
    </font>
    <font>
      <sz val="8"/>
      <name val="Calibri"/>
      <family val="2"/>
      <scheme val="minor"/>
    </font>
    <font>
      <sz val="11"/>
      <color theme="1"/>
      <name val="Calibri"/>
      <family val="2"/>
      <scheme val="minor"/>
    </font>
    <font>
      <sz val="11"/>
      <color rgb="FF0000FF"/>
      <name val="Calibri"/>
      <family val="2"/>
      <scheme val="minor"/>
    </font>
    <font>
      <b/>
      <sz val="11"/>
      <color rgb="FF0000FF"/>
      <name val="Calibri"/>
      <family val="2"/>
      <scheme val="minor"/>
    </font>
    <font>
      <b/>
      <sz val="14"/>
      <color rgb="FFFF0000"/>
      <name val="Arial"/>
      <family val="2"/>
    </font>
    <font>
      <strike/>
      <sz val="11"/>
      <color theme="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8" fillId="0" borderId="0" applyFont="0" applyFill="0" applyBorder="0" applyAlignment="0" applyProtection="0"/>
  </cellStyleXfs>
  <cellXfs count="71">
    <xf numFmtId="0" fontId="0" fillId="0" borderId="0" xfId="0"/>
    <xf numFmtId="0" fontId="0" fillId="2" borderId="0" xfId="0" applyFill="1"/>
    <xf numFmtId="0" fontId="0" fillId="2" borderId="0" xfId="0" applyFill="1" applyAlignment="1">
      <alignment horizontal="center" vertical="center"/>
    </xf>
    <xf numFmtId="0" fontId="0" fillId="2" borderId="0" xfId="0" applyFill="1" applyAlignment="1">
      <alignment wrapText="1"/>
    </xf>
    <xf numFmtId="0" fontId="3" fillId="0" borderId="0" xfId="0" applyFont="1" applyAlignment="1">
      <alignment horizontal="center" vertical="top" wrapText="1"/>
    </xf>
    <xf numFmtId="0" fontId="1" fillId="2" borderId="0" xfId="0" applyFont="1" applyFill="1"/>
    <xf numFmtId="0" fontId="3" fillId="0" borderId="0" xfId="0" applyFont="1" applyAlignment="1">
      <alignment horizontal="left" vertical="top"/>
    </xf>
    <xf numFmtId="0" fontId="3" fillId="0" borderId="0" xfId="0" applyFont="1" applyAlignment="1">
      <alignment horizontal="left" vertical="top" wrapText="1"/>
    </xf>
    <xf numFmtId="0" fontId="0" fillId="2" borderId="0" xfId="0" applyFill="1" applyAlignment="1">
      <alignment vertical="center"/>
    </xf>
    <xf numFmtId="0" fontId="4" fillId="0" borderId="1" xfId="0" applyFont="1" applyBorder="1" applyAlignment="1">
      <alignment horizontal="left" vertical="top"/>
    </xf>
    <xf numFmtId="0" fontId="0" fillId="2" borderId="1" xfId="0" applyFill="1" applyBorder="1" applyAlignment="1">
      <alignment horizontal="left" vertical="top"/>
    </xf>
    <xf numFmtId="0" fontId="4" fillId="0" borderId="1" xfId="0" applyFont="1" applyBorder="1" applyAlignment="1">
      <alignment horizontal="center" vertical="top"/>
    </xf>
    <xf numFmtId="0" fontId="0" fillId="2" borderId="1" xfId="0" applyFill="1" applyBorder="1" applyAlignment="1">
      <alignment horizontal="center" vertical="top"/>
    </xf>
    <xf numFmtId="0" fontId="4" fillId="0" borderId="1" xfId="0" applyFont="1" applyBorder="1" applyAlignment="1">
      <alignment horizontal="left" vertical="top" wrapText="1"/>
    </xf>
    <xf numFmtId="0" fontId="0" fillId="2" borderId="1" xfId="0" applyFill="1" applyBorder="1" applyAlignment="1">
      <alignment vertical="top" wrapText="1"/>
    </xf>
    <xf numFmtId="0" fontId="0" fillId="2" borderId="1" xfId="0" applyFill="1" applyBorder="1" applyAlignment="1">
      <alignment vertical="top"/>
    </xf>
    <xf numFmtId="14" fontId="0" fillId="2" borderId="1" xfId="0" quotePrefix="1" applyNumberFormat="1" applyFill="1" applyBorder="1" applyAlignment="1">
      <alignment horizontal="left" vertical="top" wrapText="1"/>
    </xf>
    <xf numFmtId="0" fontId="0" fillId="2" borderId="1" xfId="0" applyFill="1" applyBorder="1" applyAlignment="1">
      <alignment horizontal="left" vertical="top" wrapText="1"/>
    </xf>
    <xf numFmtId="14" fontId="0" fillId="2" borderId="1" xfId="0" quotePrefix="1" applyNumberFormat="1" applyFill="1" applyBorder="1" applyAlignment="1">
      <alignment horizontal="center" vertical="top" wrapText="1"/>
    </xf>
    <xf numFmtId="0" fontId="0" fillId="2" borderId="1" xfId="0" applyFill="1" applyBorder="1" applyAlignment="1">
      <alignment horizontal="center" vertical="top" wrapText="1"/>
    </xf>
    <xf numFmtId="0" fontId="3" fillId="0" borderId="0" xfId="0" applyFont="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3" xfId="0" applyFill="1" applyBorder="1" applyAlignment="1">
      <alignment horizontal="left" vertical="top"/>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2" fillId="4" borderId="2" xfId="0" applyFont="1" applyFill="1" applyBorder="1" applyAlignment="1">
      <alignment horizontal="center" vertical="center"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14" fontId="0" fillId="2" borderId="1" xfId="0" quotePrefix="1" applyNumberFormat="1" applyFill="1" applyBorder="1" applyAlignment="1">
      <alignment horizontal="left" vertical="top"/>
    </xf>
    <xf numFmtId="164" fontId="3" fillId="0" borderId="0" xfId="1" applyNumberFormat="1" applyFont="1" applyAlignment="1">
      <alignment horizontal="center" vertical="top" wrapText="1"/>
    </xf>
    <xf numFmtId="0" fontId="3" fillId="5" borderId="0" xfId="0" applyFont="1" applyFill="1" applyAlignment="1">
      <alignment horizontal="left" vertical="top" wrapText="1"/>
    </xf>
    <xf numFmtId="14" fontId="1" fillId="2" borderId="0" xfId="0" quotePrefix="1" applyNumberFormat="1" applyFont="1" applyFill="1" applyAlignment="1">
      <alignment horizontal="left" vertical="top" wrapText="1"/>
    </xf>
    <xf numFmtId="164" fontId="10" fillId="2" borderId="0" xfId="1" applyNumberFormat="1" applyFont="1" applyFill="1" applyAlignment="1">
      <alignment horizontal="left"/>
    </xf>
    <xf numFmtId="14" fontId="1" fillId="2" borderId="0" xfId="0" quotePrefix="1" applyNumberFormat="1" applyFont="1" applyFill="1" applyAlignment="1">
      <alignment horizontal="left" vertical="center" wrapText="1"/>
    </xf>
    <xf numFmtId="14" fontId="1" fillId="2" borderId="0" xfId="0" quotePrefix="1" applyNumberFormat="1" applyFont="1" applyFill="1" applyAlignment="1">
      <alignment horizontal="left" vertical="top"/>
    </xf>
    <xf numFmtId="0" fontId="1" fillId="2" borderId="0" xfId="0" applyFont="1" applyFill="1" applyAlignment="1">
      <alignment wrapText="1"/>
    </xf>
    <xf numFmtId="0" fontId="0" fillId="0" borderId="0" xfId="0" pivotButton="1"/>
    <xf numFmtId="0" fontId="5" fillId="0" borderId="0" xfId="0" applyFont="1" applyAlignment="1">
      <alignment vertical="top" wrapText="1"/>
    </xf>
    <xf numFmtId="0" fontId="9" fillId="0" borderId="0" xfId="0" applyFont="1"/>
    <xf numFmtId="0" fontId="11" fillId="6" borderId="0" xfId="0" applyFont="1" applyFill="1" applyAlignment="1">
      <alignment horizontal="left" vertical="top"/>
    </xf>
    <xf numFmtId="0" fontId="3" fillId="6" borderId="0" xfId="0" applyFont="1" applyFill="1" applyAlignment="1">
      <alignment horizontal="center" vertical="top" wrapText="1"/>
    </xf>
    <xf numFmtId="0" fontId="3" fillId="0" borderId="0" xfId="0" applyFont="1" applyAlignment="1">
      <alignment horizontal="left" vertical="center" wrapText="1"/>
    </xf>
    <xf numFmtId="0" fontId="14" fillId="0" borderId="1" xfId="0" applyFont="1" applyBorder="1" applyAlignment="1">
      <alignment horizontal="center" vertical="top"/>
    </xf>
    <xf numFmtId="0" fontId="14" fillId="2" borderId="1" xfId="0" applyFont="1" applyFill="1" applyBorder="1" applyAlignment="1">
      <alignment horizontal="center" vertical="top"/>
    </xf>
    <xf numFmtId="0" fontId="14" fillId="2" borderId="1" xfId="0" applyFont="1" applyFill="1" applyBorder="1" applyAlignment="1">
      <alignment horizontal="left" vertical="top"/>
    </xf>
    <xf numFmtId="0" fontId="14" fillId="0" borderId="1" xfId="0" applyFont="1" applyBorder="1" applyAlignment="1">
      <alignment horizontal="left" vertical="top" wrapText="1"/>
    </xf>
    <xf numFmtId="14" fontId="14" fillId="2" borderId="1" xfId="0" quotePrefix="1" applyNumberFormat="1" applyFont="1" applyFill="1" applyBorder="1" applyAlignment="1">
      <alignment horizontal="center" vertical="top" wrapText="1"/>
    </xf>
    <xf numFmtId="0" fontId="14" fillId="2" borderId="1" xfId="0" applyFont="1" applyFill="1" applyBorder="1" applyAlignment="1">
      <alignment horizontal="left" vertical="top" wrapText="1"/>
    </xf>
    <xf numFmtId="0" fontId="14" fillId="2" borderId="1" xfId="0" applyFont="1" applyFill="1" applyBorder="1" applyAlignment="1">
      <alignment vertical="top" wrapText="1"/>
    </xf>
    <xf numFmtId="0" fontId="14" fillId="2" borderId="0" xfId="0" applyFont="1" applyFill="1"/>
    <xf numFmtId="0" fontId="14" fillId="6" borderId="1" xfId="0" applyFont="1" applyFill="1" applyBorder="1" applyAlignment="1">
      <alignment horizontal="left" vertical="top" wrapText="1"/>
    </xf>
    <xf numFmtId="0" fontId="14" fillId="2" borderId="4" xfId="0" applyFont="1" applyFill="1" applyBorder="1" applyAlignment="1">
      <alignment horizontal="left" vertical="top"/>
    </xf>
    <xf numFmtId="0" fontId="14" fillId="2" borderId="1" xfId="0" applyFont="1" applyFill="1" applyBorder="1" applyAlignment="1">
      <alignment vertical="top"/>
    </xf>
    <xf numFmtId="0" fontId="15" fillId="7" borderId="1" xfId="0" applyFont="1" applyFill="1" applyBorder="1" applyAlignment="1">
      <alignment horizontal="center" vertical="top"/>
    </xf>
    <xf numFmtId="0" fontId="1" fillId="7" borderId="1" xfId="0" applyFont="1" applyFill="1" applyBorder="1" applyAlignment="1">
      <alignment horizontal="center" vertical="top"/>
    </xf>
    <xf numFmtId="0" fontId="1" fillId="7" borderId="2" xfId="0" applyFont="1" applyFill="1" applyBorder="1" applyAlignment="1">
      <alignment horizontal="left" vertical="top" wrapText="1"/>
    </xf>
    <xf numFmtId="0" fontId="1" fillId="7" borderId="1" xfId="0" applyFont="1" applyFill="1" applyBorder="1" applyAlignment="1">
      <alignment vertical="top" wrapText="1"/>
    </xf>
    <xf numFmtId="0" fontId="1" fillId="7" borderId="1" xfId="0" applyFont="1" applyFill="1" applyBorder="1" applyAlignment="1">
      <alignment horizontal="center" vertical="top" wrapText="1"/>
    </xf>
    <xf numFmtId="0" fontId="1" fillId="7" borderId="1" xfId="0" applyFont="1" applyFill="1" applyBorder="1" applyAlignment="1">
      <alignment horizontal="left" vertical="top" wrapText="1"/>
    </xf>
    <xf numFmtId="0" fontId="1" fillId="7" borderId="1" xfId="0" applyFont="1" applyFill="1" applyBorder="1" applyAlignment="1">
      <alignment vertical="top"/>
    </xf>
    <xf numFmtId="0" fontId="1" fillId="7" borderId="0" xfId="0" applyFont="1" applyFill="1"/>
    <xf numFmtId="0" fontId="14" fillId="2" borderId="1" xfId="0" applyFont="1" applyFill="1" applyBorder="1" applyAlignment="1">
      <alignment horizontal="center" vertical="top" wrapText="1"/>
    </xf>
    <xf numFmtId="0" fontId="14" fillId="2" borderId="0" xfId="0" applyFont="1" applyFill="1" applyAlignment="1">
      <alignment vertical="center" wrapText="1"/>
    </xf>
    <xf numFmtId="0" fontId="14" fillId="2" borderId="0" xfId="0" applyFont="1" applyFill="1" applyAlignment="1">
      <alignment wrapText="1"/>
    </xf>
    <xf numFmtId="0" fontId="1" fillId="7" borderId="0" xfId="0" applyFont="1" applyFill="1" applyAlignment="1">
      <alignment wrapText="1"/>
    </xf>
    <xf numFmtId="0" fontId="13" fillId="2" borderId="0" xfId="0" applyFont="1" applyFill="1" applyAlignment="1">
      <alignment vertical="center" wrapText="1"/>
    </xf>
  </cellXfs>
  <cellStyles count="2">
    <cellStyle name="Normal" xfId="0" builtinId="0"/>
    <cellStyle name="Percent" xfId="1" builtinId="5"/>
  </cellStyles>
  <dxfs count="12">
    <dxf>
      <font>
        <color rgb="FF9C0006"/>
      </font>
      <fill>
        <patternFill>
          <bgColor rgb="FFFFC7CE"/>
        </patternFill>
      </fill>
    </dxf>
    <dxf>
      <font>
        <color rgb="FF9C5700"/>
      </font>
      <fill>
        <patternFill>
          <bgColor theme="5"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theme="5"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FF"/>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95251</xdr:colOff>
      <xdr:row>0</xdr:row>
      <xdr:rowOff>142875</xdr:rowOff>
    </xdr:from>
    <xdr:to>
      <xdr:col>3</xdr:col>
      <xdr:colOff>758350</xdr:colOff>
      <xdr:row>8</xdr:row>
      <xdr:rowOff>227784</xdr:rowOff>
    </xdr:to>
    <xdr:pic>
      <xdr:nvPicPr>
        <xdr:cNvPr id="2" name="Picture 1">
          <a:extLst>
            <a:ext uri="{FF2B5EF4-FFF2-40B4-BE49-F238E27FC236}">
              <a16:creationId xmlns:a16="http://schemas.microsoft.com/office/drawing/2014/main" id="{3250AB88-C532-4237-8238-8442967D25E1}"/>
            </a:ext>
          </a:extLst>
        </xdr:cNvPr>
        <xdr:cNvPicPr>
          <a:picLocks noChangeAspect="1"/>
        </xdr:cNvPicPr>
      </xdr:nvPicPr>
      <xdr:blipFill>
        <a:blip xmlns:r="http://schemas.openxmlformats.org/officeDocument/2006/relationships" r:embed="rId1"/>
        <a:stretch>
          <a:fillRect/>
        </a:stretch>
      </xdr:blipFill>
      <xdr:spPr>
        <a:xfrm>
          <a:off x="95251" y="142875"/>
          <a:ext cx="2147094" cy="4286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ương, Phạm Ngọc Phương" refreshedDate="45815.397768171293" createdVersion="8" refreshedVersion="8" minRefreshableVersion="3" recordCount="113" xr:uid="{3EEF083E-5705-420B-A79C-609C119F0177}">
  <cacheSource type="worksheet">
    <worksheetSource ref="B9:M122" sheet="Checklist"/>
  </cacheSource>
  <cacheFields count="12">
    <cacheField name="Mục" numFmtId="0">
      <sharedItems containsString="0" containsBlank="1" containsNumber="1" containsInteger="1" minValue="1" maxValue="112" count="113">
        <n v="1"/>
        <n v="2"/>
        <n v="3"/>
        <n v="4"/>
        <n v="5"/>
        <n v="6"/>
        <n v="7"/>
        <n v="8"/>
        <n v="9"/>
        <n v="10"/>
        <n v="11"/>
        <n v="12"/>
        <n v="13"/>
        <n v="14"/>
        <n v="15"/>
        <n v="16"/>
        <n v="17"/>
        <n v="18"/>
        <n v="19"/>
        <n v="20"/>
        <n v="21"/>
        <n v="22"/>
        <n v="23"/>
        <n v="24"/>
        <n v="25"/>
        <n v="26"/>
        <n v="27"/>
        <n v="28"/>
        <n v="29"/>
        <m/>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sharedItems>
    </cacheField>
    <cacheField name="Câu hỏi liên quan" numFmtId="0">
      <sharedItems containsBlank="1" count="97">
        <m/>
        <s v="A-3-1,2"/>
        <s v="A-3-3"/>
        <s v="A-3-4"/>
        <s v="A-3-5"/>
        <s v="A-3-6"/>
        <s v="A-3-7"/>
        <s v="A-3-8"/>
        <s v="A-3-9"/>
        <s v="A-3-10"/>
        <s v="A-3-11"/>
        <s v="A-3-12"/>
        <s v="A-3-13"/>
        <s v="A-3-14"/>
        <s v="B-1"/>
        <s v="B-2-1"/>
        <s v="B-2-2"/>
        <s v="B-2-3"/>
        <s v="B-2-4"/>
        <s v="B-2-5"/>
        <s v="B-2-6"/>
        <s v="C-1"/>
        <s v="C-2"/>
        <s v="C-3-1"/>
        <s v="C-3-2"/>
        <s v="C-3-3"/>
        <s v="C-3-4"/>
        <s v="C-3-5"/>
        <s v="C-4"/>
        <s v="C-5"/>
        <s v="C-6"/>
        <s v="C-7"/>
        <s v="C-8"/>
        <s v="D-1-1"/>
        <s v="D-1-2"/>
        <s v="D-1-3"/>
        <s v="D-1-4"/>
        <s v="D-1-5"/>
        <s v="D-2-1"/>
        <s v="D-2-2"/>
        <s v="D-3-1"/>
        <s v="D-3-2"/>
        <s v="E-1-1"/>
        <s v="E-1-2"/>
        <s v="E-1-3"/>
        <s v="E-1-4"/>
        <s v="E-1-5"/>
        <s v="E-1-6"/>
        <s v="E-1-7"/>
        <s v="E-1-8"/>
        <s v="E-2-1"/>
        <s v="E-2-2"/>
        <s v="E-2-3"/>
        <s v="E-3-1"/>
        <s v="E-3-2"/>
        <s v="E-3-3"/>
        <s v="E-3-4"/>
        <s v="E-4-1"/>
        <s v="E-4-2"/>
        <s v="E-4-3"/>
        <s v="E-5-1"/>
        <s v="E-5-2"/>
        <s v="E-5-3"/>
        <s v="E-5-4"/>
        <s v="F-1-1"/>
        <s v="F-1-2"/>
        <s v="F-1-3,4"/>
        <s v="F-1-5"/>
        <s v="F-1-8"/>
        <s v="F-1-9"/>
        <s v="F-1-10"/>
        <s v="F-1-11"/>
        <s v="F-1-12"/>
        <s v="F-1-13"/>
        <s v="F-1-14"/>
        <s v="F-1-15"/>
        <s v="F-1-16"/>
        <s v="F-2-1"/>
        <s v="F-2-2"/>
        <s v="F-2-3"/>
        <s v="F-2-4"/>
        <s v="F-2-5"/>
        <s v="F-2-6"/>
        <s v="F-2-7"/>
        <s v="F-2-8"/>
        <s v="F-2-9"/>
        <s v="F-3-1"/>
        <s v="F-3-2"/>
        <s v="F-3-3"/>
        <s v="F-3-4"/>
        <s v="F-3-5"/>
        <s v="G-1"/>
        <s v="G-2"/>
        <s v="G-3"/>
        <s v="G-4"/>
        <s v="G-5"/>
        <s v="H"/>
      </sharedItems>
    </cacheField>
    <cacheField name="Bảng biểu liên quan" numFmtId="0">
      <sharedItems containsBlank="1"/>
    </cacheField>
    <cacheField name="Nội dung / Xin cung cấp" numFmtId="0">
      <sharedItems containsBlank="1" longText="1"/>
    </cacheField>
    <cacheField name="Thời hạn cung cấp" numFmtId="0">
      <sharedItems containsBlank="1" count="3">
        <s v="13/06/2025"/>
        <m/>
        <s v="20/06/2025"/>
      </sharedItems>
    </cacheField>
    <cacheField name="Phòng ban liên quan (Dự kiến)" numFmtId="0">
      <sharedItems containsBlank="1" count="14">
        <s v="Legal department"/>
        <m/>
        <s v="Accounting department - Production &amp; Cost"/>
        <s v="Technical / QC department"/>
        <s v="Accounting department - Sales"/>
        <s v="Manufacturing department"/>
        <s v="HR department"/>
        <s v="Accounting department - Assets"/>
        <s v="Accounting department - Purchases"/>
        <s v="Domestic sales department"/>
        <s v="Accounting department - Domestic sales"/>
        <s v="Export sales department"/>
        <s v="Accounting department - Export sales"/>
        <s v="Accounting department - General"/>
      </sharedItems>
    </cacheField>
    <cacheField name="Phòng ban (DTR)" numFmtId="0">
      <sharedItems containsBlank="1" count="19">
        <s v="Pháp chế"/>
        <m/>
        <s v="Nhân sự"/>
        <s v="Kế toán"/>
        <s v="Chất lượng"/>
        <s v="Chất lượng, Kinh doanh"/>
        <s v="MKT"/>
        <s v="Sản xuất Kỹ thuật"/>
        <s v="Sản xuất Kỹ thuật Chất lượng"/>
        <s v="Kế toán, Cung ứng"/>
        <s v="Kinh doanh, kế toán"/>
        <s v="Kinh doanh"/>
        <s v="Kinh doanh, Chất lượng"/>
        <s v="Kế toán, Xuất nhập khẩu, Kinh doanh"/>
        <s v="Xuất nhập khẩu"/>
        <s v="Sản xuất"/>
        <s v="VPT" u="1"/>
        <s v="Kế toán, pháp chế" u="1"/>
        <s v="Cung ứng" u="1"/>
      </sharedItems>
    </cacheField>
    <cacheField name="Người phụ trách" numFmtId="0">
      <sharedItems containsBlank="1" count="21">
        <s v="Chị Mỹ"/>
        <m/>
        <s v="Chị Liên"/>
        <s v="Anh Hoàng"/>
        <s v="Đoan"/>
        <s v="Anh Danh"/>
        <s v="Anh Quốc Anh, Đoan"/>
        <s v="Hiếu"/>
        <s v="Anh Ty, Anh Nam, Anh Giang"/>
        <s v="Anh Ty, Anh Nam, Anh Giang, Đoan"/>
        <s v="Anh Hoàng, Anh Minh Hoàng"/>
        <s v="Anh Quốc Anh, anh Lộc"/>
        <s v="Anh Quốc Anh"/>
        <s v="Anh Quốc Anh, anh Hoàng"/>
        <s v="Anh Lộc"/>
        <s v="Anh Hoàng, Chị Tuyền, anh Quốc Anh"/>
        <s v="Chị Tuyền"/>
        <s v="Anh Nam, anh Giang, chị Ly, anh Ty"/>
        <s v="Anh Hoàng, chị Mỹ"/>
        <s v="Chị Oanh" u="1"/>
        <s v="Thiện, Anh Minh" u="1"/>
      </sharedItems>
    </cacheField>
    <cacheField name="Xác nhận (Y/N)" numFmtId="0">
      <sharedItems containsNonDate="0" containsString="0" containsBlank="1"/>
    </cacheField>
    <cacheField name="Ghi chú" numFmtId="0">
      <sharedItems containsBlank="1"/>
    </cacheField>
    <cacheField name="Trạng thái" numFmtId="0">
      <sharedItems containsBlank="1" count="2">
        <m/>
        <s v="Hoàn tất"/>
      </sharedItems>
    </cacheField>
    <cacheField name="Ghi chú2"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x v="0"/>
    <s v="A-1. Indentify and Communication"/>
    <s v="Điền thông tin của DTR theo hướng dẫn tại bảng A.1, A.2"/>
    <x v="0"/>
    <x v="0"/>
    <x v="0"/>
    <x v="0"/>
    <m/>
    <m/>
    <x v="0"/>
    <m/>
  </r>
  <r>
    <x v="1"/>
    <x v="0"/>
    <s v="A-2. Legal representative"/>
    <m/>
    <x v="1"/>
    <x v="1"/>
    <x v="1"/>
    <x v="1"/>
    <m/>
    <m/>
    <x v="0"/>
    <s v="VBGB điền thông tin"/>
  </r>
  <r>
    <x v="2"/>
    <x v="1"/>
    <s v="A-3. Corporate information"/>
    <s v="Điền thông tin của DTR theo hướng dẫn tại bảng A.3.1 về Legal form và Shareholders"/>
    <x v="0"/>
    <x v="0"/>
    <x v="0"/>
    <x v="0"/>
    <m/>
    <m/>
    <x v="0"/>
    <s v="Điền thông tin của các cổ đông nắm trên 5% cổ phần trong giai đoạn IP"/>
  </r>
  <r>
    <x v="3"/>
    <x v="2"/>
    <m/>
    <s v="Điền thông tin của DTR theo hướng dẫn tại bảng A.3.2 về BOD"/>
    <x v="0"/>
    <x v="0"/>
    <x v="0"/>
    <x v="0"/>
    <m/>
    <m/>
    <x v="0"/>
    <m/>
  </r>
  <r>
    <x v="4"/>
    <x v="3"/>
    <m/>
    <s v="Chỉ rõ những điều kiện để cấu thành một đại hội cổ đông hợp lệ, và yêu cầu về tỉ lệ cần thiết để đưa ra quyết định trong các cuộc họp đại hội cổ đông và cuộc họp của Hội đồng Quản trị. Những quy định này có được nêu trong Điều lệ công ty hay các tài liệu khác không? Giải thích cơ quan nào đưa ra quyết định cuối cùng đối với các vấn đề quản lý của côngty."/>
    <x v="0"/>
    <x v="0"/>
    <x v="0"/>
    <x v="0"/>
    <m/>
    <m/>
    <x v="0"/>
    <m/>
  </r>
  <r>
    <x v="5"/>
    <x v="4"/>
    <m/>
    <s v="Cung cấp các tài liệu sau:"/>
    <x v="0"/>
    <x v="0"/>
    <x v="0"/>
    <x v="0"/>
    <m/>
    <m/>
    <x v="0"/>
    <m/>
  </r>
  <r>
    <x v="6"/>
    <x v="4"/>
    <m/>
    <s v="1. Điều lệ công ty"/>
    <x v="0"/>
    <x v="0"/>
    <x v="0"/>
    <x v="0"/>
    <m/>
    <m/>
    <x v="1"/>
    <s v="Đã có"/>
  </r>
  <r>
    <x v="7"/>
    <x v="4"/>
    <m/>
    <s v="2. Giấy ĐKKD"/>
    <x v="0"/>
    <x v="0"/>
    <x v="0"/>
    <x v="0"/>
    <m/>
    <m/>
    <x v="1"/>
    <s v="Đã có"/>
  </r>
  <r>
    <x v="8"/>
    <x v="4"/>
    <m/>
    <s v="3. Bằng chứng chứng minh việc đăng ký kinh doanh với Cơ quan liên quan có thẩm quyền"/>
    <x v="0"/>
    <x v="0"/>
    <x v="0"/>
    <x v="0"/>
    <m/>
    <m/>
    <x v="0"/>
    <s v="Cung cấp nếu có"/>
  </r>
  <r>
    <x v="9"/>
    <x v="4"/>
    <m/>
    <s v="4. Đánh giá thường niên của Cơ quan liên quan có thẩm quyền đối với hồ sơ ĐKKD của công ty"/>
    <x v="0"/>
    <x v="0"/>
    <x v="0"/>
    <x v="0"/>
    <m/>
    <m/>
    <x v="0"/>
    <s v="Cung cấp nếu có"/>
  </r>
  <r>
    <x v="10"/>
    <x v="4"/>
    <m/>
    <s v="5. Biên bản họp đại hội cổ đông (lần gần nhất)"/>
    <x v="0"/>
    <x v="0"/>
    <x v="0"/>
    <x v="0"/>
    <m/>
    <m/>
    <x v="0"/>
    <m/>
  </r>
  <r>
    <x v="11"/>
    <x v="4"/>
    <m/>
    <s v="6. Biên bản họp Hội đồng quản trị (lần gần nhất)"/>
    <x v="0"/>
    <x v="0"/>
    <x v="0"/>
    <x v="0"/>
    <m/>
    <m/>
    <x v="0"/>
    <m/>
  </r>
  <r>
    <x v="12"/>
    <x v="4"/>
    <m/>
    <s v="7. Biên bản họp Ban kiểm soát (lần gần nhất)"/>
    <x v="0"/>
    <x v="0"/>
    <x v="0"/>
    <x v="0"/>
    <m/>
    <m/>
    <x v="0"/>
    <s v="Cung cấp nếu có"/>
  </r>
  <r>
    <x v="13"/>
    <x v="4"/>
    <m/>
    <s v="8. Giấy đăng kí cổ dông / Chứng nhận góp vốn"/>
    <x v="0"/>
    <x v="0"/>
    <x v="0"/>
    <x v="0"/>
    <m/>
    <m/>
    <x v="0"/>
    <m/>
  </r>
  <r>
    <x v="14"/>
    <x v="4"/>
    <m/>
    <s v="9. Bằng chứng cho việc góp vốn của 05 cổ đông lớn nhất"/>
    <x v="0"/>
    <x v="0"/>
    <x v="0"/>
    <x v="0"/>
    <m/>
    <m/>
    <x v="0"/>
    <m/>
  </r>
  <r>
    <x v="15"/>
    <x v="4"/>
    <m/>
    <s v="10. Biên bản định giá đối với vốn góp của chủ sở hữu, do một bên độc lập thực hiện"/>
    <x v="0"/>
    <x v="0"/>
    <x v="0"/>
    <x v="0"/>
    <m/>
    <m/>
    <x v="0"/>
    <s v="Cung cấp nếu có"/>
  </r>
  <r>
    <x v="16"/>
    <x v="4"/>
    <m/>
    <s v="11. Hồ sơ thành lập công ty nộp cho Cơ quan chức năng"/>
    <x v="0"/>
    <x v="0"/>
    <x v="0"/>
    <x v="0"/>
    <m/>
    <m/>
    <x v="0"/>
    <m/>
  </r>
  <r>
    <x v="17"/>
    <x v="5"/>
    <m/>
    <s v="12. Sơ đồ phòng ban của công ty, trong đó nêu rõ phòng ban nào liên quan đến hoạt động sản xuất / kinh doanh / phân phối sản phẩm bị điều tra tại tất cả các thị trường. Sơ đồ này cần chỉ rõ các công đoạn sản xuất để tạo thành sản phẩm bị điều tra của công ty."/>
    <x v="0"/>
    <x v="0"/>
    <x v="2"/>
    <x v="2"/>
    <m/>
    <m/>
    <x v="0"/>
    <m/>
  </r>
  <r>
    <x v="18"/>
    <x v="6"/>
    <m/>
    <s v="13. Cung cấp sơ đồ cấu trúc tập đoàn của công ty, bao gồm tất cả các công ty liên quan / liên kết dù cho có liên quan đến hoạt động sản xuất / kinh doanh / phân phối sản phẩm bị điều tra hay không"/>
    <x v="0"/>
    <x v="0"/>
    <x v="2"/>
    <x v="2"/>
    <m/>
    <m/>
    <x v="1"/>
    <s v="Đã có"/>
  </r>
  <r>
    <x v="19"/>
    <x v="6"/>
    <m/>
    <s v="14. Cung cấp giấy đăng ký kinh doanh hoặc các tài liệu liên quan khác để chứng minh cho thông tin về các hoạt động chính của từng công ty nêu tại Mục 13"/>
    <x v="0"/>
    <x v="0"/>
    <x v="0"/>
    <x v="0"/>
    <m/>
    <m/>
    <x v="0"/>
    <m/>
  </r>
  <r>
    <x v="20"/>
    <x v="7"/>
    <m/>
    <s v="Chỉ rõ chi tiết bất kỳ mối liên kết tài chính hoặc hợp đồng nào và các liên doanh với bất kỳ công ty, cơ quan hoặc chính phủ nào (ở cấp quốc gia, khu vực hoặc địa phương) liên quan đến nghiên cứu và phát triển (R&amp;D), sản xuất, bán hàng, cấp phép, thỏa thuận kỹ thuật và bằng sáng chế, v.v., đối với sản phẩm đang được điều tra và đính kèm bản sao các hợp đồng giữa các bên kèm theo bản dịch tiếng Anh."/>
    <x v="0"/>
    <x v="0"/>
    <x v="0"/>
    <x v="0"/>
    <m/>
    <m/>
    <x v="0"/>
    <s v="Cung cấp giải trình và chứng từ liên quan nếu có"/>
  </r>
  <r>
    <x v="21"/>
    <x v="8"/>
    <s v="A-9. Production"/>
    <s v="Điền thông tin của DTR theo hướng dẫn tại bảng A.9"/>
    <x v="0"/>
    <x v="2"/>
    <x v="3"/>
    <x v="3"/>
    <m/>
    <m/>
    <x v="0"/>
    <s v="Cung cấp thông tin của tất cả các mã sản phẩm mà công ty có sản xuất và/hoặc bán trong kì điều tra, kể cả các sản phẩm không thuộc đối tượng điều tra của vụ việc"/>
  </r>
  <r>
    <x v="22"/>
    <x v="9"/>
    <s v="A.10. Related Companies"/>
    <s v="Điền thông tin của DTR theo hướng dẫn tại bảng A.10"/>
    <x v="0"/>
    <x v="0"/>
    <x v="0"/>
    <x v="0"/>
    <m/>
    <m/>
    <x v="0"/>
    <s v="GHC đã điền thông tin theo dữ liệu hiện có. Vui lòng check &amp; confirm, đồng thời điền các thông tin còn thiếu"/>
  </r>
  <r>
    <x v="23"/>
    <x v="10"/>
    <s v="A.11. Legal changes"/>
    <s v="Cung cấp thông tin chi tiết về những thay đổi trong hình thức pháp lý, cơ cấu ban lãnh đạo, phạm vi kinh doanh, vốn điều lệ và cơ cấu cổ đông kể từ khi công ty được thành lập, bao gồm cả các hoạt động và/hoặc pháp nhân mà công ty hiện tại là đơn vị kế thừa. Điền thông tin tương ứng vào bảng A.11"/>
    <x v="0"/>
    <x v="0"/>
    <x v="0"/>
    <x v="0"/>
    <m/>
    <m/>
    <x v="0"/>
    <m/>
  </r>
  <r>
    <x v="24"/>
    <x v="11"/>
    <m/>
    <s v="Liệt kê và giải thích tất cả các giấy phép mà công ty bạn bắt buộc phải có để sản xuất (bao gồm cả quyền khai thác khoáng sản), bán hàng trong nước, hoặc xuất khẩu sản phẩm đang bị điều tra. Nêu rõ liệu công ty bạn có đang chịu bất kỳ hạn chế định lượng trực tiếp hoặc gián tiếp, hoặc các hạn chế khác đối với bất kỳ hoạt động nào trong số này hay không."/>
    <x v="0"/>
    <x v="0"/>
    <x v="0"/>
    <x v="0"/>
    <m/>
    <m/>
    <x v="0"/>
    <m/>
  </r>
  <r>
    <x v="25"/>
    <x v="12"/>
    <m/>
    <s v="Mô tả các trường hợp mà giấy phép kinh doanh và/hoặc Giấy chứng nhận đăng ký doanh nghiệp của công ty có thể bị thu hồi. Công ty đã từng bị thu hồi trong trường hợp nào chưa?"/>
    <x v="0"/>
    <x v="0"/>
    <x v="0"/>
    <x v="0"/>
    <m/>
    <m/>
    <x v="0"/>
    <m/>
  </r>
  <r>
    <x v="26"/>
    <x v="13"/>
    <m/>
    <s v="Nêu rõ liệu công ty có phải là thành viên của Phòng Thương mại (Chamber of Commerce) có liên quan hoặc bất kỳ tổ chức đại diện nào khác hay không. Nếu có, vui lòng cung cấp bản sao giấy chứng nhận đăng ký với Phòng Thương mại tương ứng cùng với các tài liệu liên quan (kèm theo bản dịch tiếng Anh)."/>
    <x v="0"/>
    <x v="0"/>
    <x v="0"/>
    <x v="0"/>
    <m/>
    <m/>
    <x v="0"/>
    <m/>
  </r>
  <r>
    <x v="27"/>
    <x v="14"/>
    <s v="B-1. Scope of the investigation"/>
    <m/>
    <x v="1"/>
    <x v="1"/>
    <x v="1"/>
    <x v="1"/>
    <m/>
    <m/>
    <x v="0"/>
    <m/>
  </r>
  <r>
    <x v="28"/>
    <x v="15"/>
    <s v="B-2. Product specification"/>
    <s v="Điền bảng quy đổi PCN cho tất cả các mã sản phẩm bị điều tra có sản xuất và/hoặc bán của công ty. Điền theo mẫu của bảng B.2.3"/>
    <x v="0"/>
    <x v="3"/>
    <x v="4"/>
    <x v="4"/>
    <m/>
    <m/>
    <x v="0"/>
    <s v="Theo GHC hiểu thì toàn bộ các mã sản phẩm hàng điều tra của DTR đều thuộc mã R100. Vui lòng xác nhận"/>
  </r>
  <r>
    <x v="29"/>
    <x v="16"/>
    <m/>
    <s v="Điền thông tin theo hướng dẫn tại bảng B-2"/>
    <x v="0"/>
    <x v="4"/>
    <x v="3"/>
    <x v="5"/>
    <m/>
    <m/>
    <x v="0"/>
    <m/>
  </r>
  <r>
    <x v="30"/>
    <x v="17"/>
    <m/>
    <s v="Cung cấp bảng mô tả về hệ thống mã sản phẩm của công ty, ý nghĩa từng ký tự trong mã sản phẩm"/>
    <x v="0"/>
    <x v="3"/>
    <x v="4"/>
    <x v="4"/>
    <m/>
    <m/>
    <x v="0"/>
    <m/>
  </r>
  <r>
    <x v="31"/>
    <x v="18"/>
    <m/>
    <s v="Có trường hợp nào mà cùng một loại sản phẩm nhưng được đưa vào hai mã sản phẩm khác nhau khi bán tại hai thị trường khác nhau không? Nếu có, công ty cần làm bảng đối chiếu giữa các mã sản phẩm tương đồng như vậy"/>
    <x v="0"/>
    <x v="3"/>
    <x v="4"/>
    <x v="4"/>
    <m/>
    <m/>
    <x v="0"/>
    <m/>
  </r>
  <r>
    <x v="32"/>
    <x v="19"/>
    <m/>
    <s v="Nếu việc bán hàng cho khách hàng độc lập tại Liên minh Châu Âu hoặc tại thị trường nội địa được thực hiện thông qua một công ty có liên quan, vui lòng cung cấp bảng đối chiếu mã sản phẩm sản xuất và mã sản phẩm trên hóa đơn bán hàng của công ty bạn với mã sản phẩm tương ứng trên hóa đơn của công ty có liên quan."/>
    <x v="0"/>
    <x v="3"/>
    <x v="5"/>
    <x v="6"/>
    <m/>
    <m/>
    <x v="0"/>
    <m/>
  </r>
  <r>
    <x v="33"/>
    <x v="20"/>
    <m/>
    <s v="Cung cấp brochure/catalogue liên quan đến sản phẩm bị điều tra của công ty"/>
    <x v="0"/>
    <x v="3"/>
    <x v="6"/>
    <x v="7"/>
    <m/>
    <m/>
    <x v="1"/>
    <m/>
  </r>
  <r>
    <x v="34"/>
    <x v="21"/>
    <s v="C-1. Turnover"/>
    <s v="Cung cấp thông tin theo hướng dẫn tại bảng C.1"/>
    <x v="0"/>
    <x v="4"/>
    <x v="3"/>
    <x v="5"/>
    <m/>
    <m/>
    <x v="0"/>
    <s v="Lưu ý:_x000a_- Doanh thu ở đây là net of all discount and free of taxes_x000a_- Nếu doanh thu của công ty được hợp nhất với công ty khác để làm ra báo cáo tài chính hợp nhất, vui lòng cung cấp số liệu về doanh thu hợp nhất sử dụng cùng format của bảng C.1"/>
  </r>
  <r>
    <x v="35"/>
    <x v="22"/>
    <s v="C-2. Q&amp;V"/>
    <s v="Cung cấp thông tin theo hướng dẫn tại bảng C.2"/>
    <x v="0"/>
    <x v="4"/>
    <x v="3"/>
    <x v="5"/>
    <m/>
    <m/>
    <x v="0"/>
    <s v="Nếu có công ty liên quan / liên kết có bán sản phẩm bị điều tra tại thị trường nội địa hoặc xuất khẩu sang EU, cần thực hiện việc công hợp số liệu của các công ty đó để tạo thành một bảng số liệu cộng hợp theo format của bảng C.2"/>
  </r>
  <r>
    <x v="36"/>
    <x v="23"/>
    <s v="C-3. Production and Capacity"/>
    <s v="Cung cấp thông tin theo hướng dẫn tại bảng C.3"/>
    <x v="0"/>
    <x v="2"/>
    <x v="3"/>
    <x v="3"/>
    <m/>
    <m/>
    <x v="0"/>
    <m/>
  </r>
  <r>
    <x v="37"/>
    <x v="24"/>
    <m/>
    <s v="Giải thích phương pháp tính toán số liệu về công suất thiết kế của công ty (capacity)"/>
    <x v="0"/>
    <x v="5"/>
    <x v="7"/>
    <x v="8"/>
    <m/>
    <m/>
    <x v="0"/>
    <m/>
  </r>
  <r>
    <x v="38"/>
    <x v="25"/>
    <m/>
    <s v="Giải thích chi tiết về kế hoạch gia tăng công suất sản xuất sản phẩm bị điều tra tại VN, EU hoặc bất kỳ nước thứ ba nào"/>
    <x v="0"/>
    <x v="5"/>
    <x v="7"/>
    <x v="8"/>
    <m/>
    <m/>
    <x v="0"/>
    <s v="Cung cấp nếu có"/>
  </r>
  <r>
    <x v="39"/>
    <x v="26"/>
    <m/>
    <s v="Giải thích liệu công suất sản xuất nêu trên có thể được sử dụng để sản xuất các sản phẩm khác ngoài sản phẩm đang bị điều tra hay không. Giải thích phương pháp được sử dụng để phân bổ công suất sản xuất trong trường hợp này."/>
    <x v="0"/>
    <x v="5"/>
    <x v="8"/>
    <x v="9"/>
    <m/>
    <m/>
    <x v="0"/>
    <m/>
  </r>
  <r>
    <x v="40"/>
    <x v="27"/>
    <m/>
    <s v="Cung cấp thông tin về tỉ lệ phế liệu sinh ra trong quá trình sản xuất sản phẩm bị điều tra của công ty"/>
    <x v="0"/>
    <x v="2"/>
    <x v="3"/>
    <x v="3"/>
    <m/>
    <m/>
    <x v="0"/>
    <m/>
  </r>
  <r>
    <x v="41"/>
    <x v="28"/>
    <s v="C-4. Stocks"/>
    <s v="Cung cấp thông tin theo hướng dẫn tại bảng C.4"/>
    <x v="0"/>
    <x v="2"/>
    <x v="3"/>
    <x v="3"/>
    <m/>
    <m/>
    <x v="0"/>
    <m/>
  </r>
  <r>
    <x v="42"/>
    <x v="29"/>
    <s v="C-5. Employment"/>
    <s v="Cung cấp thông tin theo hướng dẫn tại bảng C.5"/>
    <x v="0"/>
    <x v="6"/>
    <x v="3"/>
    <x v="3"/>
    <m/>
    <m/>
    <x v="0"/>
    <s v="Cung cấp thông tin về số lao động bình quân trong mỗi kì (có thể tính bình quân theo tháng), chứ không lấy số lao động tại một thời điểm cuối mỗi kỳ"/>
  </r>
  <r>
    <x v="43"/>
    <x v="30"/>
    <s v="C-6. Acquisition of assets"/>
    <s v="Cung cấp thông tin theo hướng dẫn tại bảng C.6"/>
    <x v="0"/>
    <x v="7"/>
    <x v="3"/>
    <x v="3"/>
    <m/>
    <m/>
    <x v="0"/>
    <s v="Cung cấp thông tin về giá trị của các tài sản mà công ty mua vào có liên quan đến sản xuất / kinh doanh / phân phối sản phẩm bị điều tra"/>
  </r>
  <r>
    <x v="44"/>
    <x v="31"/>
    <s v="C-7. Total export"/>
    <s v="Cung cấp thông tin theo hướng dẫn tại bảng C.7"/>
    <x v="0"/>
    <x v="4"/>
    <x v="3"/>
    <x v="3"/>
    <m/>
    <m/>
    <x v="0"/>
    <s v="Kê khai doanh thu net of discount, credit note, free of taxes"/>
  </r>
  <r>
    <x v="45"/>
    <x v="32"/>
    <s v="C-8. Purchases"/>
    <s v="Cung cấp thông tin theo hướng dẫn tại bảng C.8"/>
    <x v="0"/>
    <x v="8"/>
    <x v="9"/>
    <x v="10"/>
    <m/>
    <s v="Ko mua thành phẩm nên ko cần kê khai"/>
    <x v="0"/>
    <s v="Kê khai các giao dịch mua vào hàng hóa bị điều tra dạng thành phẩm"/>
  </r>
  <r>
    <x v="46"/>
    <x v="33"/>
    <s v="D-1. General Information"/>
    <s v="Cung cấp quy trình bán hàng và quy trình xuất hóa đơn tại thị trường EU của công ty, bao gồm từ việc hỏi hàng, chào giá, ... cho đến khi hàng hóa được giao đến khách hàng."/>
    <x v="0"/>
    <x v="9"/>
    <x v="10"/>
    <x v="11"/>
    <m/>
    <m/>
    <x v="0"/>
    <m/>
  </r>
  <r>
    <x v="47"/>
    <x v="33"/>
    <m/>
    <s v="Cung cấp danh sách các khách hàng mà công ty bán hàng hóa bị điều tra tại thị trường EU trong giai đoạn IP, sau đó phân loại từng khách hàng thành các nhóm sau:_x000a_- 1 = NHÀ SẢN XUẤT_x000a_- 2 = NHÀ PHÂN PHỐI _x000a_- 3 = NHÀ BÁN BUÔN _x000a_- 4 = NHÀ BÁN LẺ _x000a_- 5 = LOẠI KHÁC"/>
    <x v="0"/>
    <x v="9"/>
    <x v="11"/>
    <x v="12"/>
    <m/>
    <m/>
    <x v="0"/>
    <m/>
  </r>
  <r>
    <x v="48"/>
    <x v="34"/>
    <m/>
    <s v="Cung cấp quy trình đàm phán giá bán với khách hàng, từ những trao đổi đầu tiên với khách hàng cho đến và bao gồm cả các điều chỉnh giá sau bán hàng (nếu có). Nếu quy trình bán hàng này khác nhau giữa các nhóm khách hàng, hãy mô tả quy trình với từng nhóm khách hàng một cách riêng biệt."/>
    <x v="0"/>
    <x v="9"/>
    <x v="11"/>
    <x v="12"/>
    <m/>
    <m/>
    <x v="0"/>
    <m/>
  </r>
  <r>
    <x v="49"/>
    <x v="35"/>
    <m/>
    <s v="Có bất kỳ hạn chế nào đối với hoạt động bán hàng trong nước không? Nếu có, những điều kiện này được quy định trong tài liệu nào? Công ty có cần giấy phép nào để bán nội địa sản phẩm bị điều tra hay không?"/>
    <x v="0"/>
    <x v="9"/>
    <x v="11"/>
    <x v="12"/>
    <m/>
    <m/>
    <x v="0"/>
    <s v="Có thể là những quy định liên quan đến tiêu chuẩn kĩ thuật đối với sản phẩm PET tái chế, hoặc đối với sản phẩm PET nói chung. Vui lòng trả lời"/>
  </r>
  <r>
    <x v="50"/>
    <x v="36"/>
    <m/>
    <s v="Giải thích liệu việc sản xuất có bắt đầu sau khi đã thống nhất với khách hàng về các thông số kỹ thuật của sản phẩm và các điều khoản bán hàng, hay sẽ được thực hiện theo lịch trình sản xuất thông thường của công ty."/>
    <x v="0"/>
    <x v="9"/>
    <x v="12"/>
    <x v="6"/>
    <m/>
    <m/>
    <x v="0"/>
    <m/>
  </r>
  <r>
    <x v="51"/>
    <x v="37"/>
    <m/>
    <s v="Công ty có sử dụng bảng giá khi bán sản phẩm bị điều tra tại thị trường nội địa không? Nếu có, vui lòng cung cấp bản sao của tất cả các bảng giá (bằng tiếng Anh hoặc có bản dịch tiếng Anh) đã được ban hành hoặc sử dụng trong thời kỳ IP cho tất cả các loại khách hàng trên thị trường nội địa,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
    <x v="0"/>
    <x v="9"/>
    <x v="10"/>
    <x v="13"/>
    <m/>
    <m/>
    <x v="0"/>
    <m/>
  </r>
  <r>
    <x v="52"/>
    <x v="38"/>
    <s v="D-2. Sales to independent and related customers"/>
    <s v="Điền thông tin theo hướng dẫn tại bảng D-2"/>
    <x v="2"/>
    <x v="10"/>
    <x v="3"/>
    <x v="3"/>
    <m/>
    <m/>
    <x v="0"/>
    <m/>
  </r>
  <r>
    <x v="53"/>
    <x v="39"/>
    <m/>
    <s v="Vui lòng cung cấp bản sao của ba hóa đơn bán hàng cho ba khách hàng độc lập khác nhau và, nếu có, ba hóa đơn bán hàng cho ba khách hàng liên kết khác nhau (kèm theo các đơn đặt hàng tương ứng) liên quan đến các giao dịch bán hàng trên thị trường nội địa trong thời kỳ điều tra (bằng tiếng Anh hoặc có bản dịch tiếng Anh)."/>
    <x v="2"/>
    <x v="9"/>
    <x v="3"/>
    <x v="14"/>
    <m/>
    <m/>
    <x v="0"/>
    <m/>
  </r>
  <r>
    <x v="54"/>
    <x v="40"/>
    <s v="D-3. Sales of related parties to independent customers"/>
    <s v="Trong trường hợp DTR có bán hàng cho công ty liên kết và công ty liên kết đó bán lại cho khách hàng độc lập tại Việt Nam, vui lòng điền thông tin theo hướng dẫn tại bảng D-3"/>
    <x v="2"/>
    <x v="10"/>
    <x v="11"/>
    <x v="12"/>
    <m/>
    <m/>
    <x v="0"/>
    <s v="Theo GHC hiểu thì không có trường hợp này. DTR vui lòng xác nhận"/>
  </r>
  <r>
    <x v="55"/>
    <x v="41"/>
    <m/>
    <s v="Vui lòng cung cấp bản sao của ba hóa đơn của các công ty có liên quan của bạn cho ba khách hàng khác nhau (kèm theo các đơn đặt hàng mua và bán tương ứng) liên quan đến các giao dịch bán hàng trên thị trường nội địa trong thời kỳ điều tra (bằng tiếng Anh hoặc có bản dịch tiếng Anh)."/>
    <x v="2"/>
    <x v="9"/>
    <x v="3"/>
    <x v="14"/>
    <m/>
    <m/>
    <x v="0"/>
    <s v="Theo GHC hiểu thì không có trường hợp này. DTR vui lòng xác nhận"/>
  </r>
  <r>
    <x v="56"/>
    <x v="42"/>
    <s v="E-1. General information"/>
    <s v="Cung cấp quy trình bán hàng và quy trình xuất hóa đơn tại thị trường EU và các thị trường khác của công ty, bao gồm từ việc hỏi hàng, chào giá, ... cho đến khi hàng hóa được giao đến khách hàng."/>
    <x v="0"/>
    <x v="11"/>
    <x v="11"/>
    <x v="12"/>
    <m/>
    <m/>
    <x v="0"/>
    <m/>
  </r>
  <r>
    <x v="57"/>
    <x v="42"/>
    <m/>
    <s v="Cung cấp danh sách các khách hàng mà công ty bán hàng hóa bị điều tra tại thị trường nội địa trong giai đoạn IP, sau đó phân loại từng khách hàng thành các nhóm sau:_x000a_- 1 = NHÀ SẢN XUẤT_x000a_- 2 = NHÀ PHÂN PHỐI _x000a_- 3 = NHÀ BÁN BUÔN _x000a_- 4 = NHÀ BÁN LẺ _x000a_- 5 = LOẠI KHÁC"/>
    <x v="0"/>
    <x v="11"/>
    <x v="11"/>
    <x v="12"/>
    <m/>
    <m/>
    <x v="0"/>
    <m/>
  </r>
  <r>
    <x v="58"/>
    <x v="42"/>
    <m/>
    <s v="Có sự khác biệt nào về giá bán cho từng đối tượng khách hàng / hay từng nhóm khách hàng tại thị trường EU hay không"/>
    <x v="0"/>
    <x v="11"/>
    <x v="11"/>
    <x v="12"/>
    <m/>
    <m/>
    <x v="0"/>
    <m/>
  </r>
  <r>
    <x v="59"/>
    <x v="43"/>
    <m/>
    <s v="Cung cấp quy trình đàm phán giá bán với khách hàng, từ những trao đổi đầu tiên với khách hàng cho đến và bao gồm cả các điều chỉnh giá sau bán hàng (nếu có). Nếu quy trình bán hàng này khác nhau giữa các nhóm khách hàng, hãy mô tả quy trình với từng nhóm khách hàng một cách riêng biệt."/>
    <x v="0"/>
    <x v="11"/>
    <x v="11"/>
    <x v="12"/>
    <m/>
    <m/>
    <x v="0"/>
    <m/>
  </r>
  <r>
    <x v="60"/>
    <x v="44"/>
    <m/>
    <s v="Có bất kỳ hạn chế nào đối với hoạt động xuất khẩu không? Nếu có, những văn bản nào quy định các điều kiện cho hoạt động xuất khẩu của công ty? Công ty có cần giấy phép xuất khẩu không?"/>
    <x v="0"/>
    <x v="11"/>
    <x v="11"/>
    <x v="12"/>
    <m/>
    <m/>
    <x v="0"/>
    <m/>
  </r>
  <r>
    <x v="61"/>
    <x v="45"/>
    <m/>
    <s v="Nếu hoạt động bán hàng của công ty bạn được thực hiện theo hợp đồng (dài hạn hoặc ngắn hạn), vui lòng mô tả chi tiết quy trình đàm phán và thống nhất các điều khoản trong hợp đồng, bao gồm giá cả và số lượng. Mô tả từng loại hợp đồng áp dụng cho sản phẩm đang bị điều tra, bao gồm các điều khoản, yêu cầu về việc thay đổi giá hoặc đàm phán lại từ một trong hai bên, v.v. Giải thích các nghĩa vụ của mỗi bên trong trường hợp hợp đồng bị chấm dứt trước thời hạn."/>
    <x v="0"/>
    <x v="11"/>
    <x v="11"/>
    <x v="12"/>
    <m/>
    <m/>
    <x v="0"/>
    <m/>
  </r>
  <r>
    <x v="62"/>
    <x v="46"/>
    <m/>
    <s v="Giải thích liệu việc sản xuất có bắt đầu sau khi đã thống nhất với khách hàng về các thông số kỹ thuật của sản phẩm và các điều khoản bán hàng, hay sẽ được thực hiện theo lịch trình sản xuất thông thường của công ty."/>
    <x v="0"/>
    <x v="11"/>
    <x v="12"/>
    <x v="6"/>
    <m/>
    <m/>
    <x v="0"/>
    <m/>
  </r>
  <r>
    <x v="63"/>
    <x v="47"/>
    <m/>
    <s v="Công ty có sử dụng bảng giá khi bán sản phẩm bị điều tra tại thị trường EU và các quốc gia khác không? Nếu có, vui lòng cung cấp bản sao của tất cả các bảng giá (bằng tiếng Anh hoặc có bản dịch tiếng Anh) đã được ban hành hoặc sử dụng trong thời kỳ IP cho tất cả các loại khách hàng trên thị trường EU và các quốc gia khác, bao gồm cả những bảng giá được sử dụng bởi các công ty có liên quan. Giải thích cách thiết lập giá bán và liệu giá bán có khác nhau giữa các cấp độ, chủng loại hoặc thông số kỹ thuật của sản phẩm đang bị điều tra hay giữa các khách hàng, khu vực hoặc thời kỳ khác nhau hay không."/>
    <x v="0"/>
    <x v="11"/>
    <x v="10"/>
    <x v="13"/>
    <m/>
    <m/>
    <x v="0"/>
    <m/>
  </r>
  <r>
    <x v="64"/>
    <x v="48"/>
    <m/>
    <s v="Nếu công ty bạn thuộc diện áp dụng chương trình hoàn thuế GTGT hoặc thuế xuất khẩu đối với sản phẩm đang bị điều tra, vui lòng cung cấp đầy đủ thông tin (bao gồm bản sao các chứng từ kế toán và các tài liệu hỗ trợ khác). Liệt kê các tài liệu bắt buộc để yêu cầu hoàn thuế GTGT hoặc thuế xuất khẩu tương đương."/>
    <x v="0"/>
    <x v="11"/>
    <x v="13"/>
    <x v="15"/>
    <m/>
    <m/>
    <x v="0"/>
    <m/>
  </r>
  <r>
    <x v="65"/>
    <x v="49"/>
    <m/>
    <s v="Đối với tất cả các giao dịch bán hàng thông qua các công ty có liên quan, vui lòng mô tả chi tiết cách thức thực hiện giao dịch, bao gồm quy trình từ thời điểm đặt hàng đến khi giao hàng cho khách hàng độc lập đầu tiên. Giải thích đầy đủ cách lập hóa đơn và thanh toán được thực hiện như thế nào."/>
    <x v="0"/>
    <x v="11"/>
    <x v="11"/>
    <x v="12"/>
    <m/>
    <m/>
    <x v="0"/>
    <s v="Theo GHC hiểu thì không có trường hợp này. DTR vui lòng xác nhận"/>
  </r>
  <r>
    <x v="66"/>
    <x v="50"/>
    <s v="E-2. Sales to independent customers in the European Union"/>
    <s v="Điền thông tin vào bảng E-2 theo hướng dẫn"/>
    <x v="2"/>
    <x v="12"/>
    <x v="3"/>
    <x v="3"/>
    <m/>
    <m/>
    <x v="0"/>
    <m/>
  </r>
  <r>
    <x v="67"/>
    <x v="51"/>
    <m/>
    <s v="Đối với các giao dịch bán hàng không được thực hiện theo điều kiện CIF, vui lòng giải thích cách công ty ước tính giá CIF tương ứng tại bảng E-2. Giữ nguyên các công thức tính toán trong bảng E-2."/>
    <x v="2"/>
    <x v="12"/>
    <x v="3"/>
    <x v="3"/>
    <m/>
    <m/>
    <x v="0"/>
    <m/>
  </r>
  <r>
    <x v="68"/>
    <x v="52"/>
    <m/>
    <s v="Vui lòng cung cấp bản sao của ba hóa đơn bán hàng cho ba khách hàng độc lập khác nhau (kèm theo các đơn đặt hàng tương ứng và tờ khai hải quan xuất khẩu) liên quan đến các giao dịch bán hàng tại thị trường Liên minh Châu Âu (bằng tiếng Anh hoặc có bản dịch tiếng Anh)."/>
    <x v="2"/>
    <x v="11"/>
    <x v="14"/>
    <x v="16"/>
    <m/>
    <m/>
    <x v="0"/>
    <m/>
  </r>
  <r>
    <x v="69"/>
    <x v="53"/>
    <s v="E-3. Sales to related parties in the European Union"/>
    <s v="Điền thông tin vào bảng E-3 theo hướng dẫn"/>
    <x v="2"/>
    <x v="12"/>
    <x v="3"/>
    <x v="3"/>
    <m/>
    <m/>
    <x v="0"/>
    <m/>
  </r>
  <r>
    <x v="70"/>
    <x v="54"/>
    <m/>
    <s v="Đối với các giao dịch bán hàng không được thực hiện theo điều kiện CIF, vui lòng giải thích cách công ty ước tính giá CIF tương ứng tại bảng E-3. Giữ nguyên các công thức tính toán trong bảng E-3."/>
    <x v="2"/>
    <x v="12"/>
    <x v="3"/>
    <x v="3"/>
    <m/>
    <m/>
    <x v="0"/>
    <m/>
  </r>
  <r>
    <x v="71"/>
    <x v="55"/>
    <m/>
    <s v="Liệt kê bất kỳ chi phí nào phát sinh tại các công ty có liên quan nhưng được công ty thanh toán hoặc hoàn trả, trực tiếp hoặc gián tiếp, bất kể chi phí đó có liên quan đến sản phẩm đang bị điều tra hay không. Giải thích chi tiết bản chất của các khoản chi phí đã liệt kê."/>
    <x v="2"/>
    <x v="12"/>
    <x v="3"/>
    <x v="3"/>
    <m/>
    <m/>
    <x v="0"/>
    <m/>
  </r>
  <r>
    <x v="72"/>
    <x v="56"/>
    <m/>
    <s v="Vui lòng cung cấp bản sao của ba hóa đơn bán hàng cho các khách hàng có liên quan (kèm theo các đơn đặt hàng tương ứng và tờ khai hải quan xuất khẩu) liên quan đến các giao dịch bán hàng hướng đến thị trường Liên minh Châu Âu (bằng tiếng Anh hoặc có bản dịch tiếng Anh)."/>
    <x v="2"/>
    <x v="11"/>
    <x v="14"/>
    <x v="16"/>
    <m/>
    <m/>
    <x v="0"/>
    <m/>
  </r>
  <r>
    <x v="73"/>
    <x v="57"/>
    <s v="E-4. Sales to independent customers in countries other than the European Union"/>
    <s v="Điền thông tin vào bảng E-4 theo hướng dẫn"/>
    <x v="2"/>
    <x v="12"/>
    <x v="3"/>
    <x v="3"/>
    <m/>
    <m/>
    <x v="0"/>
    <s v="Cần trao đổi với luận sư tại EU xem  có cần thiết phải trả lời bảng này không?"/>
  </r>
  <r>
    <x v="74"/>
    <x v="58"/>
    <m/>
    <s v="Đối với các giao dịch bán hàng không được thực hiện theo điều kiện CIF, vui lòng giải thích cách công ty ước tính giá CIF tương ứng tại bảng E-4. Giữ nguyên các công thức tính toán trong bảng E-4."/>
    <x v="2"/>
    <x v="12"/>
    <x v="3"/>
    <x v="3"/>
    <m/>
    <m/>
    <x v="0"/>
    <s v="Cần trao đổi với luận sư tại EU xem  có cần thiết phải trả lời bảng này không?"/>
  </r>
  <r>
    <x v="75"/>
    <x v="59"/>
    <m/>
    <s v="Vui lòng cung cấp bản sao của ba hóa đơn bán hàng cho ba khách hàng độc lập khác nhau (kèm theo các đơn đặt hàng tương ứng và tờ khai hải quan xuất khẩu) liên quan đến các giao dịch bán hàng tại các quốc gia xuất khẩu ngoài Liên minh Châu Âu (bằng tiếng Anh hoặc có bản dịch tiếng Anh)."/>
    <x v="2"/>
    <x v="11"/>
    <x v="14"/>
    <x v="16"/>
    <m/>
    <m/>
    <x v="0"/>
    <s v="Cần trao đổi với luận sư tại EU xem  có cần thiết phải trả lời bảng này không?"/>
  </r>
  <r>
    <x v="76"/>
    <x v="60"/>
    <s v="E-5. Sales to related customers in countries other than the European Union"/>
    <s v="Điền thông tin vào bảng E-5 theo hướng dẫn"/>
    <x v="2"/>
    <x v="12"/>
    <x v="3"/>
    <x v="3"/>
    <m/>
    <m/>
    <x v="0"/>
    <s v="Cần trao đổi với luận sư tại EU xem  có cần thiết phải trả lời bảng này không?"/>
  </r>
  <r>
    <x v="77"/>
    <x v="61"/>
    <m/>
    <s v="Đối với các giao dịch bán hàng không được thực hiện theo điều kiện CIF, vui lòng giải thích cách bạn đã tính toán các giá trị CIF được ghi trong cột giá trị CIF của Bảng ROWSALRL. Đối với các giá trị CIF được tính toán, hãy cung cấp các phép tính (công thức) trong Bảng ROWSALRL."/>
    <x v="2"/>
    <x v="12"/>
    <x v="3"/>
    <x v="3"/>
    <m/>
    <m/>
    <x v="0"/>
    <s v="Cần trao đổi với luận sư tại EU xem  có cần thiết phải trả lời bảng này không?"/>
  </r>
  <r>
    <x v="78"/>
    <x v="62"/>
    <m/>
    <s v="Liệt kê bất kỳ chi phí nào do các công ty có liên quan của bạn phát sinh mà đã được công ty bạn thanh toán hoặc hoàn trả, trực tiếp hoặc gián tiếp, bất kể chi phí đó có liên quan đến sản phẩm đang được rà soát hay không. Giải thích chi tiết bản chất của các khoản chi phí đã liệt kê."/>
    <x v="2"/>
    <x v="12"/>
    <x v="3"/>
    <x v="3"/>
    <m/>
    <m/>
    <x v="0"/>
    <s v="Cần trao đổi với luận sư tại EU xem  có cần thiết phải trả lời bảng này không?"/>
  </r>
  <r>
    <x v="79"/>
    <x v="63"/>
    <m/>
    <s v="Vui lòng cung cấp bản sao của ba hóa đơn bán hàng cho các khách hàng có liên quan (kèm theo các đơn đặt hàng tương ứng và tờ khai hải quan xuất khẩu) liên quan đến các giao dịch bán hàng hướng đến thị trường Liên minh Châu Âu (bằng tiếng Anh hoặc có bản dịch tiếng Anh)."/>
    <x v="2"/>
    <x v="11"/>
    <x v="14"/>
    <x v="16"/>
    <m/>
    <m/>
    <x v="0"/>
    <s v="Cần trao đổi với luận sư tại EU xem  có cần thiết phải trả lời bảng này không?"/>
  </r>
  <r>
    <x v="80"/>
    <x v="64"/>
    <s v="F-1. Accounting system and policies"/>
    <s v="Hằng năm, những tài liệu kế toán nào phải được nộp cho Cơ quan chức năng?"/>
    <x v="0"/>
    <x v="13"/>
    <x v="3"/>
    <x v="3"/>
    <m/>
    <m/>
    <x v="0"/>
    <m/>
  </r>
  <r>
    <x v="81"/>
    <x v="65"/>
    <m/>
    <s v="Nêu tên các cơ quan chức năng có liên quan đến việc nộp các tài liệu này"/>
    <x v="0"/>
    <x v="13"/>
    <x v="3"/>
    <x v="3"/>
    <m/>
    <m/>
    <x v="0"/>
    <m/>
  </r>
  <r>
    <x v="82"/>
    <x v="66"/>
    <m/>
    <s v="Cung cấp BCTC có kiểm toán (bản Tiếng Việt - Tiếng Anh) cho 03 năm tài chính gần nhất"/>
    <x v="0"/>
    <x v="13"/>
    <x v="3"/>
    <x v="3"/>
    <m/>
    <m/>
    <x v="0"/>
    <m/>
  </r>
  <r>
    <x v="83"/>
    <x v="67"/>
    <m/>
    <s v="Mô tả ngắn gọn các yêu cầu pháp lý cơ bản như ngôn ngữ và đơn vị tiền tệ phải sử dụng trong việc ghi chép sổ sách kế toán, cũng như thời gian lưu trữ các hồ sơ kế toán và tài liệu khác (hợp đồng quan trọng, thỏa thuận, điều lệ công ty, biên bản họp hội đồng quản trị, báo cáo tài chính và báo cáo kiểm toán)."/>
    <x v="0"/>
    <x v="13"/>
    <x v="3"/>
    <x v="3"/>
    <m/>
    <m/>
    <x v="0"/>
    <m/>
  </r>
  <r>
    <x v="84"/>
    <x v="68"/>
    <m/>
    <s v="Nếu có các báo cáo tài chính nội bộ và định kỳ, báo cáo quản trị, hoặc đánh giá chi phí tiêu chuẩn được lập và lưu trữ cho sản phẩm đang bị điều tra, vui lòng cung cấp bản sao cho ba năm tài chính gần nhất."/>
    <x v="0"/>
    <x v="13"/>
    <x v="3"/>
    <x v="3"/>
    <m/>
    <m/>
    <x v="0"/>
    <s v="DTR có chuẩn bị những báo cáo này không? Vui lòng thảo luận với GHC để cân nhắc có nộp các báo cáo này không"/>
  </r>
  <r>
    <x v="85"/>
    <x v="69"/>
    <m/>
    <s v="Cung cấp bản tiếng Anh của hệ thống tài khoản kế toán (chart of accounts) cho từng đơn vị trong tập đoàn có liên quan đến việc sản xuất và/hoặc bán sản phẩm đang bị điều tra."/>
    <x v="0"/>
    <x v="13"/>
    <x v="3"/>
    <x v="3"/>
    <m/>
    <m/>
    <x v="0"/>
    <m/>
  </r>
  <r>
    <x v="86"/>
    <x v="70"/>
    <m/>
    <s v="Cung cấp địa chỉ nơi lưu trữ hồ sơ kế toán của công ty. Nếu hồ sơ được lưu trữ tại nhiều địa điểm khác nhau, vui lòng chỉ rõ loại hồ sơ nào được lưu tại địa điểm nào. Đặc biệt, hãy chỉ rõ nơi có thể kiểm tra các dữ liệu sau:_x000a_– Kế toán tổng hợp_x000a_– Bán hàng nội địa_x000a_– Bán hàng xuất khẩu_x000a_– Giá thành sản xuất"/>
    <x v="0"/>
    <x v="13"/>
    <x v="3"/>
    <x v="3"/>
    <m/>
    <m/>
    <x v="0"/>
    <m/>
  </r>
  <r>
    <x v="87"/>
    <x v="71"/>
    <m/>
    <s v="Mô tả các nguyên tắc và thực tiễn kế toán chung của công ty bạn nếu những nội dung này chưa được đề cập trong báo cáo tài chính. Vui lòng đề cập đến các yếu tố như: tính nhất quán trong phương pháp định giá, việc phân biệt riêng biệt giữa tài sản và nợ phải trả, nguyên tắc thận trọng trong định giá, nguyên tắc hoạt động liên tục, và việc ghi nhận thu nhập và chi phí có được phản ánh đúng trong năm tài chính liên quan hay không."/>
    <x v="0"/>
    <x v="13"/>
    <x v="3"/>
    <x v="3"/>
    <m/>
    <m/>
    <x v="0"/>
    <m/>
  </r>
  <r>
    <x v="88"/>
    <x v="72"/>
    <m/>
    <s v="Mô tả chi tiết hệ thống kế toán tài chính của công ty bạn. Giải thích liệu các thực tiễn kế toán của bạn có tuân thủ các nguyên tắc kế toán được chấp nhận chung (GAAP) tại quốc gia sản xuất hay không. Mô tả của bạn nên đề cập đến tất cả các nguyên tắc có ảnh hưởng đáng kể đến chi phí sản xuất của sản phẩm đang bị điều tra, bao gồm (nhưng không giới hạn):_x000a_a) Phương pháp định giá hàng tồn kho nguyên vật liệu, sản phẩm dở dang và thành phẩm (ví dụ: nhập trước xuất trước – FIFO, nhập sau xuất trước – LIFO, bình quân gia quyền)._x000a_b) Phương pháp ghi giảm hoặc xóa sổ hàng tồn kho đối với nguyên vật liệu và thành phẩm._x000a_c) Tuổi thọ hữu ích trung bình của thiết bị sản xuất và phương pháp khấu hao._x000a_d) Giá trị của hàng hóa bị hư hỏng hoặc không đạt tiêu chuẩn trong các giai đoạn sản xuất khác nhau._x000a_e) Lãi/lỗ tỷ giá hối đoái từ các giao dịch và từ việc điều chỉnh cuối năm tài chính (định giá các số dư ngoại tệ). Giải thích tỷ giá nào được sử dụng để quy đổi các giao dịch mua bán bằng ngoại tệ sang nội tệ. Chỉ rõ ngày xác định tỷ giá và nguồn tỷ giá được sử dụng. Nêu rõ đồng tiền được sử dụng để lập hóa đơn xuất khẩu._x000a_f) Khấu hao nhanh._x000a_g) Việc vốn hóa chi phí chung và/hoặc chi phí lãi vay._x000a_h) Dự phòng nợ xấu._x000a_i) Chi phí tái cấu trúc."/>
    <x v="0"/>
    <x v="13"/>
    <x v="3"/>
    <x v="3"/>
    <m/>
    <m/>
    <x v="0"/>
    <s v="Tham khảo phần thuyết minh trong BCTC về chính sách kế toán của công ty để trả lời"/>
  </r>
  <r>
    <x v="89"/>
    <x v="73"/>
    <m/>
    <s v="Nếu bất kỳ phương pháp kế toán nào của công ty bạn đã thay đổi trong ba năm tài chính gần đây, vui lòng giải thích chi tiết từng thay đổi, ngày thay đổi và lý do thay đổi."/>
    <x v="0"/>
    <x v="13"/>
    <x v="3"/>
    <x v="3"/>
    <m/>
    <m/>
    <x v="0"/>
    <m/>
  </r>
  <r>
    <x v="90"/>
    <x v="74"/>
    <m/>
    <s v="Mô tả hệ thống kế toán chi phí mà công ty bạn sử dụng để ghi nhận chi phí sản xuất của sản phẩm đang bị điều tra. Mô tả của bạn nên bao gồm:_x000a_a) Mô tả chung về phương pháp kế toán chi phí của công ty liên quan đến việc phân bổ chi phí sản xuất cho từng đơn vị sản phẩm. Hệ thống kế toán chi phí này có tích hợp với hệ thống kế toán tài chính dùng để lập báo cáo tài chính không?_x000a_b) Nếu công ty sử dụng hệ thống giá thành theo định mức, mô tả các khía cạnh sau:_x000a_(i) Các loại chênh lệch (variances) được ghi nhận và cách chúng được sử dụng trong báo cáo quản trị;_x000a_(ii) Thời kỳ tính toán và ghi nhận các chênh lệch;_x000a_(iii) Phương pháp xây dựng chi phí tiêu chuẩn;_x000a_(iv) Tần suất cập nhật chi phí tiêu chuẩn, bao gồm ngày cập nhật gần nhất._x000a_c) Nếu có, cho biết liệu chi phí tiêu chuẩn (standard cost) có được sử dụng trong hồ sơ trả lời hay không và liệu tất cả các chênh lệch giữa chi phí tiêu chuẩn và thực tế có được phân bổ đầy đủ không. Giải thích chi tiết phương pháp phân bổ và các chênh lệch chi phí đáng kể (nếu có) trong thời kỳ điều tra._x000a_d) Nếu có, cung cấp danh sách các trung tâm chi phí (cost center) trực tiếp hoặc yếu tố chi phí trong hệ thống kế toán chi phí. Giải thích bản chất của các trung tâm/yếu tố này._x000a_e) Nếu có, cung cấp danh sách các trung tâm chi phí gián tiếp. Giải thích bản chất của các chi phí gián tiếp được ghi nhận tại mỗi trung tâm và phương pháp phân bổ các chi phí này cho trung tâm chi phí trực tiếp và sản phẩm bị điều tra._x000a_f) Phương pháp phân bổ chi phí cho các đơn vị tổ chức trong công ty (ví dụ: chi phí công ty mẹ phân bổ cho công ty con, chi phí tập đoàn phân bổ cho nhà máy, bộ phận sản phẩm, phân bổ giữa các nhà máy)._x000a_g) Phương pháp ghi nhận phế phẩm, hàng hỏng, hàng không đạt tiêu chuẩn trong từng giai đoạn sản xuất. Nêu rõ phương pháp ghi nhận chi phí tái chế (rework)._x000a_h) Phương pháp định giá và ghi nhận chi phí bán hàng, nguyên vật liệu, sản phẩm dở dang và thành phẩm._x000a_i) Cung cấp danh sách các chi phí được định giá hoặc xử lý khác nhau giữa kế toán chi phí và kế toán tài chính. Chỉ rõ sự khác biệt và giải thích lý do."/>
    <x v="0"/>
    <x v="13"/>
    <x v="3"/>
    <x v="3"/>
    <m/>
    <m/>
    <x v="0"/>
    <s v="Theo GHC hiểu thì DTR sửa dụng phương pháp giá thành thực tế chứ không sử dụng giá thành định mức. DTR vui lòng xác nhận"/>
  </r>
  <r>
    <x v="91"/>
    <x v="75"/>
    <m/>
    <s v="Mô tả cách xử lý kế toán đối với chiết khấu, khoản hoàn cuối năm, bao gồm cả các khoản chiết khấu theo số lượng. Vui lòng cho biết các khoản này có được ghi nhận trong tài khoản doanh thu bán hàng và ảnh hưởng đến doanh thu thuần trên báo cáo kết quả kinh doanh hay được ghi nhận vào chi phí và tính vào giá vốn bán hàng."/>
    <x v="0"/>
    <x v="13"/>
    <x v="3"/>
    <x v="3"/>
    <m/>
    <m/>
    <x v="0"/>
    <m/>
  </r>
  <r>
    <x v="92"/>
    <x v="76"/>
    <m/>
    <s v="Nêu năm tài chính của công ty bạn. Nếu có thay đổi trong ba năm tài chính gần đây, vui lòng giải thích lý do và nội dung thay đổi."/>
    <x v="0"/>
    <x v="13"/>
    <x v="3"/>
    <x v="3"/>
    <m/>
    <m/>
    <x v="0"/>
    <m/>
  </r>
  <r>
    <x v="93"/>
    <x v="77"/>
    <s v="F - 2. Production process and cost of production of the product under investigation"/>
    <s v="Mô tả quy trình sản xuất của sản phẩm đang được điều tra. Phần mô tả của bạn nên bao gồm các nội dung sau:_x000a_a) Mô tả cơ sở sản xuất của công ty bạn. Nếu việc sản xuất hoặc các giai đoạn của quy trình sản xuất diễn ra tại nhiều cơ sở, hãy liệt kê tất cả các cơ sở và giải thích các hoạt động sản xuất tại các cơ sở chính. Giải thích xem các giai đoạn của quy trình sản xuất có được thuê ngoài hay không._x000a_b) Giải thích quy trình sản xuất của sản phẩm đang được điều tra như được sản xuất và bán bởi công ty bạn, và đính kèm sơ đồ quy trình sản xuất đầy đủ, bao gồm mô tả từng giai đoạn trong quy trình._x000a_c) Mô tả tính chất của các nguyên liệu đầu vào chính trong quy trình sản xuất và mối quan hệ của bạn với nhà cung cấp (có liên kết hay không). Chỉ rõ liệu các nguyên liệu hoặc bộ phận đầu vào này có được nhập khẩu hay không và giá trị đầu vào có bao gồm chi phí nhập khẩu và thuế gián tiếp (đối với cả hàng xuất khẩu và tiêu thụ nội địa)._x000a_d) Báo cáo số ngày trung bình mà sản phẩm đang được điều tra được lưu kho trước khi bán._x000a_e) Xác định bất kỳ sản phẩm nào khác được sản xuất bởi công ty bạn tại cùng cơ sở sản xuất với sản phẩm đang được điều tra._x000a_f) Xác định các sản phẩm phụ chính phát sinh từ quá trình sản xuất sản phẩm đang được điều tra và mô tả mục đích sử dụng của chúng._x000a_g) Nếu một dây chuyền sản xuất hoặc thiết bị chính đã bị ngừng hoạt động, hãy cung cấp chi tiết về những gì đã xảy ra với dây chuyền hoặc thiết bị đó."/>
    <x v="0"/>
    <x v="5"/>
    <x v="15"/>
    <x v="17"/>
    <m/>
    <m/>
    <x v="0"/>
    <m/>
  </r>
  <r>
    <x v="94"/>
    <x v="78"/>
    <m/>
    <s v="Điền thông tin được yêu cầu theo hướng dẫn tại bảng F-2. COP Overview"/>
    <x v="2"/>
    <x v="2"/>
    <x v="3"/>
    <x v="3"/>
    <m/>
    <m/>
    <x v="0"/>
    <s v="Lưu ý: Sản lượng tại bảng F-2 phải khớp với sản lượng tại bảng C-3"/>
  </r>
  <r>
    <x v="95"/>
    <x v="79"/>
    <m/>
    <s v="Nếu công ty có quy trình sản xuất tích hợp theo chiều dọc (nguyên liệu đầu vào tự sản xuất trong công ty), hoặc một số nguyên liệu đầu vào (ví dụ: nguyên liệu chính, bán thành phẩm, năng lượng) được sản xuất bởi công ty liên kết, vui lòng hoàn thành bảng 'Tổng quan COP' cho từng sản phẩm đầu vào được khai thác hoặc sản xuất, bao gồm cả các 'nguyên liệu' hoặc 'bộ phận' cơ bản được xác định trong bảng tại mục 2 ở trên."/>
    <x v="2"/>
    <x v="2"/>
    <x v="3"/>
    <x v="3"/>
    <m/>
    <m/>
    <x v="0"/>
    <m/>
  </r>
  <r>
    <x v="96"/>
    <x v="80"/>
    <m/>
    <s v="Điền thông tin được yêu cầu theo hướng dẫn tại bảng F-2. DM-COP"/>
    <x v="2"/>
    <x v="2"/>
    <x v="3"/>
    <x v="3"/>
    <m/>
    <m/>
    <x v="0"/>
    <m/>
  </r>
  <r>
    <x v="97"/>
    <x v="81"/>
    <m/>
    <s v="Điền thông tin được yêu cầu theo hướng dẫn tại bảng F-2. EU-COP"/>
    <x v="2"/>
    <x v="2"/>
    <x v="3"/>
    <x v="3"/>
    <m/>
    <m/>
    <x v="0"/>
    <m/>
  </r>
  <r>
    <x v="98"/>
    <x v="82"/>
    <m/>
    <s v="Hoàn thành các bảng 'DMCOP raw materials purchases' và 'EUCOP raw materials purchases' cung cấp thông tin về tổng lượng nguyên liệu được mua để sản xuất sản phẩm đang được điều tra._x000a_a) Nếu nguyên liệu chính dùng để sản xuất sản phẩm giống nhau cho cả thị trường xuất khẩu và thị trường nội địa, và không có lý do gì khiến chi phí nguyên liệu thô trên mỗi tấn khác nhau giữa các thị trường, chỉ cần hoàn thành một trong hai bảng._x000a_b) Nếu chi phí đầu vào khác nhau tùy theo thị trường tiêu thụ, vui lòng hoàn thành cả hai bảng và giải thích lý do sự khác biệt, đồng thời nêu rõ các con số khác nhau._x000a_c) Bạn chỉ cần điền thông tin trong các cột có tiêu đề ‘CHI PHÍ MUA HÀNG ĐƯỢC GHI TRÊN HÓA ĐƠN’ trong trường hợp cuộc điều tra có đề cập đến biến dạng nguyên liệu thô theo Điều 7(2a) của Quy định cơ bản (xem mục F-4. Khiếu nại liên quan đến biến dạng nguyên liệu thô)._x000a_Dựa trên các yêu cầu trên, hãy hoàn thành bảng mua nguyên liệu thô riêng biệt cho ba nguyên liệu chính được mua. Thông tin này phải bao gồm tất cả các giao dịch mua trong thời kỳ điều tra. Với mỗi giao dịch, vui lòng mô tả nguyên liệu trực tiếp và các đặc điểm của nó (cấp độ, độ tinh khiết, tiêu chuẩn, …)_x000a_Nếu bạn mua nguyên liệu từ các bên liên kết, vui lòng xem phần bên dưới."/>
    <x v="2"/>
    <x v="2"/>
    <x v="3"/>
    <x v="3"/>
    <m/>
    <m/>
    <x v="0"/>
    <m/>
  </r>
  <r>
    <x v="99"/>
    <x v="83"/>
    <m/>
    <s v="Hoàn thành các bảng 'DMCOP raw materials production' và 'EUCOP raw materials production' nếu công ty bạn tự sản xuất các nguyên liệu chính. Thông tin này phải bao gồm tổng chi phí sản xuất các nguyên liệu đó trong thời kỳ điều tra."/>
    <x v="2"/>
    <x v="2"/>
    <x v="3"/>
    <x v="3"/>
    <m/>
    <m/>
    <x v="0"/>
    <m/>
  </r>
  <r>
    <x v="100"/>
    <x v="84"/>
    <m/>
    <s v="Mô tả chi tiết phương pháp bạn đã sử dụng để báo cáo từng khoản chi phí được liệt kê ở trên. Đính kèm các bảng tính hoặc tài liệu làm việc bạn đã sử dụng trong hồ sơ nộp. Với mỗi khoản chi phí, hãy bao gồm một ví dụ tính toán minh họa. Phần mô tả của bạn nên bao gồm các nội dung sau:_x000a__x000a_a) Đối với chi phí nguyên vật liệu mua từ các công ty độc lập, giải thích bản chất của các thỏa thuận hợp đồng. Nêu rõ liệu chi phí nguyên vật liệu có bao gồm chi phí vận chuyển, thuế nhập khẩu và các chi phí khác liên quan đến việc mua nguyên vật liệu sử dụng trong sản xuất hay không._x000a__x000a_b) Nếu bạn mua nguyên vật liệu từ các nhà cung cấp có liên kết, hãy cho biết bạn có cho rằng giá chuyển nhượng là đại diện cho giá thị trường hợp lý hay không. Ngoài các bảng 'mua nguyên liệu thô' trong các bảng DMCOP và EUCOP, chi phí sản xuất nguyên liệu của các nhà cung cấp liên kết cũng phải được cung cấp theo cùng một cơ sở như yêu cầu trong các bảng 'sản xuất nguyên liệu thô' của bảng COP._x000a__x000a_c) Nếu chi phí lao động trực tiếp bao gồm khoản thanh toán cho lao động hợp đồng, hãy báo cáo riêng khoản chi phí phát sinh cho lao động hợp đồng. Chỉ rõ liệu các nhà thầu có liên kết với công ty bạn hay không. Mô tả các dịch vụ sản xuất được cung cấp bởi các nhà thầu lao động._x000a__x000a_d) Nếu công ty bạn là một phần của tập đoàn hợp nhất, hãy giải thích cách chi phí lãi vay được xác định từ tổng chi phí vay của các công ty trong tập đoàn. Nêu rõ liệu lãi vay có được trả cho các bên liên kết hay không và giải thích chi tiết các khoản vay giữa các công ty liên kết._x000a__x000a_e) Trong trường hợp công ty bạn là một phần của tập đoàn hợp nhất, hãy giải thích liệu chi phí khấu hao được báo cáo là trên cơ sở công ty riêng lẻ hay hợp nhất. Vui lòng giải thích sự khác biệt có thể có giữa hai khoản này và cách chúng được xác định._x000a__x000a_f) Giải thích cách tính chi phí nghiên cứu và phát triển (R&amp;D) cho sản phẩm đang được điều tra."/>
    <x v="2"/>
    <x v="2"/>
    <x v="3"/>
    <x v="3"/>
    <m/>
    <m/>
    <x v="0"/>
    <m/>
  </r>
  <r>
    <x v="101"/>
    <x v="85"/>
    <m/>
    <s v="Nếu chi phí sản xuất của bạn bị ảnh hưởng bởi việc sử dụng cơ sở sản xuất mới đòi hỏi đầu tư bổ sung đáng kể và dẫn đến tỷ lệ sử dụng công suất thấp do đang trong giai đoạn khởi động, vui lòng cung cấp các thông tin sau:_x000a__x000a_a) Mô tả chi tiết cơ sở sản xuất mới, bao gồm vị trí, thiết bị sản xuất và các hoạt động sản xuất._x000a__x000a_b) Phân tích chi tiết chi phí mua lại/xây dựng cơ sở sản xuất mới (phải khớp với giá trị tài sản trong sổ sách kế toán của bạn)._x000a__x000a_c) Thông tin chi tiết về tỷ lệ sử dụng công suất trong giai đoạn khởi động._x000a__x000a_d) Ngày cụ thể bắt đầu sản xuất để bán._x000a__x000a_e) Thông tin về thời gian kéo dài của giai đoạn khởi động."/>
    <x v="2"/>
    <x v="2"/>
    <x v="3"/>
    <x v="3"/>
    <m/>
    <m/>
    <x v="0"/>
    <m/>
  </r>
  <r>
    <x v="102"/>
    <x v="86"/>
    <s v="F - 3. Production in the exporting country"/>
    <s v="Cung cấp thông tin về các khía cạnh sau liên quan đến việc sản xuất và bán sản phẩm đang được điều tra tại quốc gia xuất khẩu, và so sánh với các thị trường đại diện khác:_x000a__x000a_Giá của sản phẩm đang được điều tra_x000a_Giá nguyên liệu đầu vào của sản phẩm đang được điều tra_x000a_Sự tồn tại của hoạt động trao đổi hàng hóa đáng kể (barter trade)_x000a_Sự tồn tại của các thỏa thuận gia công phi thương mại_x000a_Các khía cạnh liên quan khác"/>
    <x v="2"/>
    <x v="0"/>
    <x v="3"/>
    <x v="18"/>
    <m/>
    <m/>
    <x v="0"/>
    <m/>
  </r>
  <r>
    <x v="103"/>
    <x v="87"/>
    <m/>
    <s v="2._x0009_Chứng minh bằng các bằng chứng hỗ trợ rằng toàn bộ chi phí liên quan đến việc sản xuất và bán sản phẩm đang được điều tra được phản ánh một cách hợp lý và chính xác trong hồ sơ kế toán của công ty bạn. Thông tin này cần được cung cấp đặc biệt cho các khoản mục sau, bao gồm mô tả về bất kỳ cơ chế kiểm soát giá nội địa nào và bảng giá nội địa thực tế được thiết lập cho các khoản mục liên quan:_x000a__x000a_Nguyên liệu chính_x000a_Khí tự nhiên_x000a_Dầu mỏ_x000a_Điện năng_x000a_Chi phí vận chuyển"/>
    <x v="2"/>
    <x v="0"/>
    <x v="3"/>
    <x v="3"/>
    <m/>
    <m/>
    <x v="0"/>
    <m/>
  </r>
  <r>
    <x v="104"/>
    <x v="88"/>
    <m/>
    <s v="Cung cấp thông tin về các chi phí nêu trên mà công ty bạn đã phát sinh, chỉ rõ các nguồn thông tin công khai hoặc bất kỳ cơ sở hợp lý nào khác để xác minh hoặc xác lập các chi phí này, bao gồm thông tin từ các thị trường đại diện khác."/>
    <x v="2"/>
    <x v="0"/>
    <x v="0"/>
    <x v="0"/>
    <m/>
    <m/>
    <x v="0"/>
    <m/>
  </r>
  <r>
    <x v="105"/>
    <x v="89"/>
    <m/>
    <s v="Cung cấp thông tin về mối quan hệ giữa các nhà sản xuất/nhà cung cấp các khoản mục nêu trên và công ty bạn."/>
    <x v="2"/>
    <x v="0"/>
    <x v="3"/>
    <x v="3"/>
    <m/>
    <m/>
    <x v="0"/>
    <m/>
  </r>
  <r>
    <x v="106"/>
    <x v="90"/>
    <m/>
    <s v="Cho biết liệu công ty bạn đã từng được tư nhân hóa hay chưa. Nếu có, hãy cung cấp thông tin về các điều khoản của quá trình tư nhân hóa và cách thức thực hiện thực tế. Thông tin này nên tập trung, dựa trên bằng chứng hợp lý có sẵn, vào việc liệu quá trình tư nhân hóa đó có được thực hiện theo nguyên tắc thị trường và phản ánh giá trị thị trường hay không."/>
    <x v="2"/>
    <x v="0"/>
    <x v="0"/>
    <x v="0"/>
    <m/>
    <m/>
    <x v="0"/>
    <m/>
  </r>
  <r>
    <x v="107"/>
    <x v="91"/>
    <s v="G - Profitability"/>
    <s v="Hoàn thành bảng tính 'COMPANY CONCERNED' trong 'Table G - PL' cho từng công ty tham gia vào việc bán sản phẩm đang được điều tra (bao gồm công ty bạn và từng công ty liên kết có sổ sách kế toán riêng). Các bảng này phải thể hiện tổng các khoản chi phí được phân chia giữa sản phẩm đang được điều tra và các sản phẩm khác, giữa doanh số bán cho khách hàng độc lập và khách hàng liên kết, và giữa thị trường nội địa và thị trường xuất khẩu. Giải thích cơ sở phân bổ từng khoản chi phí. Nếu sử dụng phương pháp phân bổ khác ngoài phương pháp dựa trên doanh thu, cần giải thích chi tiết phương pháp đó._x000a_Lưu ý rằng số liệu doanh thu liên quan phải là doanh thu thuần (sau khi trừ ghi chú tín dụng, chiết khấu, thuế và tiêu dùng nội bộ) và phải được trình bày riêng cho từng cột._x000a_Các cột '%' thể hiện tỷ lệ phần trăm so với doanh thu thuần; giá trị của từng khoản chi phí phải được biểu thị dưới dạng phần trăm của doanh thu thuần._x000a_Đối với tổng doanh thu, cột ‘Năm tài chính gần nhất’ phải khớp với báo cáo tài chính đã kiểm toán được yêu cầu tại mục F.1.2 và cột ‘Thời kỳ điều tra’ phải khớp với các bảng C.1 và C.2 trong Phần C."/>
    <x v="2"/>
    <x v="13"/>
    <x v="3"/>
    <x v="3"/>
    <m/>
    <m/>
    <x v="0"/>
    <m/>
  </r>
  <r>
    <x v="108"/>
    <x v="92"/>
    <m/>
    <s v="Nếu báo cáo tài chính đã kiểm toán bạn cung cấp là báo cáo hợp nhất của nhiều công ty, hãy hoàn thành bảng tính 'CONSOLIDATED' trong tệp 'Table G - PL' và cung cấp bản tiếng Anh của báo cáo tài chính đã kiểm toán cho từng công ty có trong báo cáo hợp nhất, theo yêu cầu tại mục F.1.2._x000a_Trong trường hợp này, cột 'Profit and loss last financial year' trong bảng tính 'COMPANY CONCERNED' phải khớp với cột 'Company Concerned' trong bảng tính 'CONSOLIDATED'."/>
    <x v="2"/>
    <x v="13"/>
    <x v="3"/>
    <x v="3"/>
    <m/>
    <m/>
    <x v="0"/>
    <m/>
  </r>
  <r>
    <x v="109"/>
    <x v="93"/>
    <m/>
    <s v="Trong trường hợp công ty bạn là một phần của tập đoàn hợp nhất, hãy giải thích cách thu nhập tài chính và chi phí tài chính được xác định từ tổng chi phí vay của các công ty trong tập đoàn. Nêu rõ liệu lãi vay có được trả cho các bên liên kết hay không và giải thích chi tiết các khoản vay giữa các công ty liên kết."/>
    <x v="2"/>
    <x v="13"/>
    <x v="3"/>
    <x v="3"/>
    <m/>
    <m/>
    <x v="0"/>
    <m/>
  </r>
  <r>
    <x v="110"/>
    <x v="94"/>
    <m/>
    <s v="Cung cấp trong ba năm tài chính gần nhất các tờ khai thuế thu nhập doanh nghiệp, thuế giá trị gia tăng (VAT), thuế bán hàng hoặc các loại thuế gián thu khác đã nộp cho cơ quan thuế quốc gia và/hoặc địa phương (vui lòng chỉ rõ cơ quan thuế và cung cấp tên/địa chỉ). Đồng thời cung cấp bằng chứng thanh toán cho tất cả các loại thuế nêu trên nếu có."/>
    <x v="2"/>
    <x v="13"/>
    <x v="3"/>
    <x v="3"/>
    <m/>
    <m/>
    <x v="0"/>
    <m/>
  </r>
  <r>
    <x v="111"/>
    <x v="95"/>
    <m/>
    <s v="Cung cấp bảng đối chiếu, trong đó giải thích rõ ràng mối liên hệ giữa 'Bảng G – PL' và báo cáo tài chính đã phát hành/cân đối thử cuối kỳ của bạn."/>
    <x v="2"/>
    <x v="13"/>
    <x v="3"/>
    <x v="3"/>
    <m/>
    <m/>
    <x v="0"/>
    <m/>
  </r>
  <r>
    <x v="112"/>
    <x v="96"/>
    <s v="H - 1. Allowances on export sales"/>
    <s v="Cung cấp giải trình về các khoản điều chỉnh vào giá xuất khẩu mà công ty đã kê khai tại bảng E. Các giải trình này bao gồm:_x000a_- Chi phí đó là gì?_x000a_- Chi phí đó phát sinh cho một số giao dịch/khách hàng đặc thù hay cho toàn bộ các giao dịch bán hàng của công ty?_x000a_- Chi phí đó ghi nhận trên tài khoản kế toán nào của công ty?_x000a_- Phương pháp kê khai chi phí tương ứng cho từng giao dịch của công ty là gì (theo dõi đích danh hay phân bổ)?"/>
    <x v="2"/>
    <x v="4"/>
    <x v="3"/>
    <x v="3"/>
    <m/>
    <m/>
    <x v="0"/>
    <s v="Hiện tại, DTR đang kê khai các khoản điều chỉnh vào giá bán sau:_x000a_- Hàng nội địa: Chi phí vận chuyển_x000a_- Hàng xuất khẩu đi EU:_x000a_+ Lệ phí hải quan_x000a_+ Phí đăng kí, kiểm tra hồ sơ_x000a_+ Phí nâng cont_x000a_+ Phí hạ cont_x000a_+ Vệ sinh cont_x000a_+ Phí điện giao hàng_x000a_+ Cước chuyển phát nhanh_x000a_+ Cước vận chuyển_x000a_+ Phí Cơ sở hạ tầng_x000a_+ Phí nội địa VN_x000a_+ Cước tàu_x000a_Vui lòng giải thích với từng loại chi phí trên, và nếu danh sách trên chưa đủ các chi phí liên quan đến hoạt động bán sản phẩm bị điều tra tại thị trường nội địa / EU thì vui lòng kiểm tra và bổ su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8299D9-89AC-47C6-8BAE-EF1FA6CE663E}"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28" firstHeaderRow="1" firstDataRow="2" firstDataCol="3"/>
  <pivotFields count="12">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3">
        <item x="0"/>
        <item x="2"/>
        <item x="1"/>
      </items>
    </pivotField>
    <pivotField compact="0" outline="0" subtotalTop="0" showAll="0" sortType="descending" defaultSubtotal="0">
      <autoSortScope>
        <pivotArea dataOnly="0" outline="0" fieldPosition="0">
          <references count="2">
            <reference field="4294967294" count="1" selected="0">
              <x v="0"/>
            </reference>
            <reference field="10" count="1" selected="0">
              <x v="1"/>
            </reference>
          </references>
        </pivotArea>
      </autoSortScope>
    </pivotField>
    <pivotField axis="axisRow" compact="0" outline="0" subtotalTop="0" showAll="0" defaultSubtotal="0">
      <items count="19">
        <item x="4"/>
        <item x="5"/>
        <item m="1" x="18"/>
        <item x="3"/>
        <item m="1" x="17"/>
        <item x="13"/>
        <item x="11"/>
        <item x="12"/>
        <item x="10"/>
        <item x="6"/>
        <item x="2"/>
        <item x="0"/>
        <item x="15"/>
        <item x="7"/>
        <item x="8"/>
        <item m="1" x="16"/>
        <item x="14"/>
        <item x="1"/>
        <item x="9"/>
      </items>
    </pivotField>
    <pivotField axis="axisRow" compact="0" outline="0" subtotalTop="0" showAll="0" sortType="descending" defaultSubtotal="0">
      <items count="21">
        <item x="5"/>
        <item x="8"/>
        <item x="9"/>
        <item x="2"/>
        <item x="4"/>
        <item x="7"/>
        <item m="1" x="20"/>
        <item x="1"/>
        <item x="0"/>
        <item x="3"/>
        <item m="1" x="19"/>
        <item x="6"/>
        <item x="11"/>
        <item x="12"/>
        <item x="13"/>
        <item x="14"/>
        <item x="15"/>
        <item x="16"/>
        <item x="17"/>
        <item x="18"/>
        <item x="10"/>
      </items>
      <autoSortScope>
        <pivotArea dataOnly="0" outline="0" fieldPosition="0">
          <references count="2">
            <reference field="4294967294" count="1" selected="0">
              <x v="0"/>
            </reference>
            <reference field="10" count="1" selected="0">
              <x v="1"/>
            </reference>
          </references>
        </pivotArea>
      </autoSortScope>
    </pivotField>
    <pivotField compact="0" outline="0" subtotalTop="0" showAll="0" defaultSubtotal="0"/>
    <pivotField compact="0" outline="0" subtotalTop="0" showAll="0" defaultSubtotal="0"/>
    <pivotField axis="axisCol" compact="0" outline="0" subtotalTop="0" showAll="0" defaultSubtotal="0">
      <items count="2">
        <item x="1"/>
        <item x="0"/>
      </items>
    </pivotField>
    <pivotField compact="0" outline="0" subtotalTop="0" showAll="0" defaultSubtotal="0"/>
  </pivotFields>
  <rowFields count="3">
    <field x="4"/>
    <field x="6"/>
    <field x="7"/>
  </rowFields>
  <rowItems count="24">
    <i>
      <x/>
      <x/>
      <x v="4"/>
    </i>
    <i r="1">
      <x v="1"/>
      <x v="11"/>
    </i>
    <i r="1">
      <x v="3"/>
      <x v="9"/>
    </i>
    <i r="2">
      <x/>
    </i>
    <i r="1">
      <x v="5"/>
      <x v="16"/>
    </i>
    <i r="1">
      <x v="6"/>
      <x v="13"/>
    </i>
    <i r="1">
      <x v="7"/>
      <x v="11"/>
    </i>
    <i r="1">
      <x v="8"/>
      <x v="14"/>
    </i>
    <i r="2">
      <x v="12"/>
    </i>
    <i r="1">
      <x v="9"/>
      <x v="5"/>
    </i>
    <i r="1">
      <x v="10"/>
      <x v="3"/>
    </i>
    <i r="1">
      <x v="11"/>
      <x v="8"/>
    </i>
    <i r="1">
      <x v="12"/>
      <x v="18"/>
    </i>
    <i r="1">
      <x v="13"/>
      <x v="1"/>
    </i>
    <i r="1">
      <x v="14"/>
      <x v="2"/>
    </i>
    <i r="1">
      <x v="18"/>
      <x v="20"/>
    </i>
    <i>
      <x v="1"/>
      <x v="3"/>
      <x v="9"/>
    </i>
    <i r="2">
      <x v="15"/>
    </i>
    <i r="2">
      <x v="19"/>
    </i>
    <i r="1">
      <x v="6"/>
      <x v="13"/>
    </i>
    <i r="1">
      <x v="11"/>
      <x v="8"/>
    </i>
    <i r="1">
      <x v="16"/>
      <x v="17"/>
    </i>
    <i>
      <x v="2"/>
      <x v="17"/>
      <x v="7"/>
    </i>
    <i t="grand">
      <x/>
    </i>
  </rowItems>
  <colFields count="1">
    <field x="10"/>
  </colFields>
  <colItems count="3">
    <i>
      <x/>
    </i>
    <i>
      <x v="1"/>
    </i>
    <i t="grand">
      <x/>
    </i>
  </colItems>
  <dataFields count="1">
    <dataField name="Count of Câu hỏi liên quan" fld="1" subtotal="count" baseField="0" baseItem="0"/>
  </dataFields>
  <formats count="1">
    <format dxfId="11">
      <pivotArea dataOnly="0" outline="0" fieldPosition="0">
        <references count="1">
          <reference field="7"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5DB3-F1A9-44C1-B15B-12609355DE92}">
  <dimension ref="A3:F28"/>
  <sheetViews>
    <sheetView workbookViewId="0">
      <selection activeCell="D31" sqref="D31"/>
    </sheetView>
  </sheetViews>
  <sheetFormatPr defaultRowHeight="14.4" x14ac:dyDescent="0.3"/>
  <cols>
    <col min="1" max="2" width="18" bestFit="1" customWidth="1"/>
    <col min="3" max="3" width="38.5546875" bestFit="1" customWidth="1"/>
    <col min="4" max="4" width="11.5546875" bestFit="1" customWidth="1"/>
    <col min="5" max="5" width="6.77734375" bestFit="1" customWidth="1"/>
    <col min="6" max="6" width="10.77734375" bestFit="1" customWidth="1"/>
    <col min="7" max="15" width="38.5546875" bestFit="1" customWidth="1"/>
    <col min="16" max="16" width="10.77734375" bestFit="1" customWidth="1"/>
  </cols>
  <sheetData>
    <row r="3" spans="1:6" x14ac:dyDescent="0.3">
      <c r="A3" s="41" t="s">
        <v>0</v>
      </c>
      <c r="D3" s="41" t="s">
        <v>1</v>
      </c>
    </row>
    <row r="4" spans="1:6" x14ac:dyDescent="0.3">
      <c r="A4" s="41" t="s">
        <v>2</v>
      </c>
      <c r="B4" s="41" t="s">
        <v>3</v>
      </c>
      <c r="C4" s="41" t="s">
        <v>4</v>
      </c>
      <c r="D4" t="s">
        <v>5</v>
      </c>
      <c r="E4" t="s">
        <v>6</v>
      </c>
      <c r="F4" t="s">
        <v>7</v>
      </c>
    </row>
    <row r="5" spans="1:6" x14ac:dyDescent="0.3">
      <c r="A5" t="s">
        <v>8</v>
      </c>
      <c r="B5" t="s">
        <v>9</v>
      </c>
      <c r="C5" t="s">
        <v>10</v>
      </c>
      <c r="E5">
        <v>3</v>
      </c>
      <c r="F5">
        <v>3</v>
      </c>
    </row>
    <row r="6" spans="1:6" x14ac:dyDescent="0.3">
      <c r="B6" t="s">
        <v>11</v>
      </c>
      <c r="C6" t="s">
        <v>12</v>
      </c>
      <c r="E6">
        <v>1</v>
      </c>
      <c r="F6">
        <v>1</v>
      </c>
    </row>
    <row r="7" spans="1:6" x14ac:dyDescent="0.3">
      <c r="B7" t="s">
        <v>13</v>
      </c>
      <c r="C7" t="s">
        <v>14</v>
      </c>
      <c r="E7">
        <v>20</v>
      </c>
      <c r="F7">
        <v>20</v>
      </c>
    </row>
    <row r="8" spans="1:6" x14ac:dyDescent="0.3">
      <c r="C8" t="s">
        <v>15</v>
      </c>
      <c r="E8">
        <v>3</v>
      </c>
      <c r="F8">
        <v>3</v>
      </c>
    </row>
    <row r="9" spans="1:6" x14ac:dyDescent="0.3">
      <c r="B9" t="s">
        <v>16</v>
      </c>
      <c r="C9" t="s">
        <v>17</v>
      </c>
      <c r="E9">
        <v>1</v>
      </c>
      <c r="F9">
        <v>1</v>
      </c>
    </row>
    <row r="10" spans="1:6" x14ac:dyDescent="0.3">
      <c r="B10" t="s">
        <v>18</v>
      </c>
      <c r="C10" t="s">
        <v>19</v>
      </c>
      <c r="E10">
        <v>10</v>
      </c>
      <c r="F10">
        <v>10</v>
      </c>
    </row>
    <row r="11" spans="1:6" x14ac:dyDescent="0.3">
      <c r="B11" t="s">
        <v>20</v>
      </c>
      <c r="C11" t="s">
        <v>12</v>
      </c>
      <c r="E11">
        <v>2</v>
      </c>
      <c r="F11">
        <v>2</v>
      </c>
    </row>
    <row r="12" spans="1:6" x14ac:dyDescent="0.3">
      <c r="B12" t="s">
        <v>21</v>
      </c>
      <c r="C12" t="s">
        <v>22</v>
      </c>
      <c r="E12">
        <v>2</v>
      </c>
      <c r="F12">
        <v>2</v>
      </c>
    </row>
    <row r="13" spans="1:6" x14ac:dyDescent="0.3">
      <c r="C13" t="s">
        <v>23</v>
      </c>
      <c r="E13">
        <v>1</v>
      </c>
      <c r="F13">
        <v>1</v>
      </c>
    </row>
    <row r="14" spans="1:6" x14ac:dyDescent="0.3">
      <c r="B14" t="s">
        <v>24</v>
      </c>
      <c r="C14" t="s">
        <v>25</v>
      </c>
      <c r="D14">
        <v>1</v>
      </c>
      <c r="F14">
        <v>1</v>
      </c>
    </row>
    <row r="15" spans="1:6" x14ac:dyDescent="0.3">
      <c r="B15" t="s">
        <v>26</v>
      </c>
      <c r="C15" t="s">
        <v>27</v>
      </c>
      <c r="D15">
        <v>1</v>
      </c>
      <c r="E15">
        <v>1</v>
      </c>
      <c r="F15">
        <v>2</v>
      </c>
    </row>
    <row r="16" spans="1:6" x14ac:dyDescent="0.3">
      <c r="B16" t="s">
        <v>28</v>
      </c>
      <c r="C16" t="s">
        <v>29</v>
      </c>
      <c r="D16">
        <v>2</v>
      </c>
      <c r="E16">
        <v>20</v>
      </c>
      <c r="F16">
        <v>22</v>
      </c>
    </row>
    <row r="17" spans="1:6" x14ac:dyDescent="0.3">
      <c r="B17" t="s">
        <v>30</v>
      </c>
      <c r="C17" t="s">
        <v>31</v>
      </c>
      <c r="E17">
        <v>1</v>
      </c>
      <c r="F17">
        <v>1</v>
      </c>
    </row>
    <row r="18" spans="1:6" x14ac:dyDescent="0.3">
      <c r="B18" t="s">
        <v>32</v>
      </c>
      <c r="C18" t="s">
        <v>33</v>
      </c>
      <c r="E18">
        <v>2</v>
      </c>
      <c r="F18">
        <v>2</v>
      </c>
    </row>
    <row r="19" spans="1:6" x14ac:dyDescent="0.3">
      <c r="B19" t="s">
        <v>34</v>
      </c>
      <c r="C19" t="s">
        <v>35</v>
      </c>
      <c r="E19">
        <v>1</v>
      </c>
      <c r="F19">
        <v>1</v>
      </c>
    </row>
    <row r="20" spans="1:6" x14ac:dyDescent="0.3">
      <c r="B20" t="s">
        <v>36</v>
      </c>
      <c r="C20" t="s">
        <v>37</v>
      </c>
      <c r="E20">
        <v>1</v>
      </c>
      <c r="F20">
        <v>1</v>
      </c>
    </row>
    <row r="21" spans="1:6" x14ac:dyDescent="0.3">
      <c r="A21" t="s">
        <v>38</v>
      </c>
      <c r="B21" t="s">
        <v>13</v>
      </c>
      <c r="C21" t="s">
        <v>14</v>
      </c>
      <c r="E21">
        <v>27</v>
      </c>
      <c r="F21">
        <v>27</v>
      </c>
    </row>
    <row r="22" spans="1:6" x14ac:dyDescent="0.3">
      <c r="C22" t="s">
        <v>39</v>
      </c>
      <c r="E22">
        <v>2</v>
      </c>
      <c r="F22">
        <v>2</v>
      </c>
    </row>
    <row r="23" spans="1:6" x14ac:dyDescent="0.3">
      <c r="C23" t="s">
        <v>40</v>
      </c>
      <c r="E23">
        <v>1</v>
      </c>
      <c r="F23">
        <v>1</v>
      </c>
    </row>
    <row r="24" spans="1:6" x14ac:dyDescent="0.3">
      <c r="B24" t="s">
        <v>18</v>
      </c>
      <c r="C24" t="s">
        <v>19</v>
      </c>
      <c r="E24">
        <v>1</v>
      </c>
      <c r="F24">
        <v>1</v>
      </c>
    </row>
    <row r="25" spans="1:6" x14ac:dyDescent="0.3">
      <c r="B25" t="s">
        <v>28</v>
      </c>
      <c r="C25" t="s">
        <v>29</v>
      </c>
      <c r="E25">
        <v>2</v>
      </c>
      <c r="F25">
        <v>2</v>
      </c>
    </row>
    <row r="26" spans="1:6" x14ac:dyDescent="0.3">
      <c r="B26" t="s">
        <v>41</v>
      </c>
      <c r="C26" t="s">
        <v>42</v>
      </c>
      <c r="E26">
        <v>4</v>
      </c>
      <c r="F26">
        <v>4</v>
      </c>
    </row>
    <row r="27" spans="1:6" x14ac:dyDescent="0.3">
      <c r="A27" t="s">
        <v>6</v>
      </c>
      <c r="B27" t="s">
        <v>6</v>
      </c>
      <c r="C27" s="43" t="s">
        <v>6</v>
      </c>
      <c r="D27" s="43"/>
      <c r="E27" s="43">
        <v>1</v>
      </c>
      <c r="F27" s="43">
        <v>1</v>
      </c>
    </row>
    <row r="28" spans="1:6" x14ac:dyDescent="0.3">
      <c r="A28" t="s">
        <v>7</v>
      </c>
      <c r="D28">
        <v>4</v>
      </c>
      <c r="E28">
        <v>107</v>
      </c>
      <c r="F28">
        <v>111</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05EB-B2F2-4D95-BA2A-9B4EA93EC571}">
  <sheetPr filterMode="1">
    <pageSetUpPr fitToPage="1"/>
  </sheetPr>
  <dimension ref="A1:M122"/>
  <sheetViews>
    <sheetView showGridLines="0" tabSelected="1" zoomScale="70" zoomScaleNormal="70" workbookViewId="0">
      <pane xSplit="1" ySplit="9" topLeftCell="B110" activePane="bottomRight" state="frozen"/>
      <selection pane="topRight" activeCell="B1" sqref="B1"/>
      <selection pane="bottomLeft" activeCell="A11" sqref="A11"/>
      <selection pane="bottomRight" activeCell="E126" sqref="E126"/>
    </sheetView>
  </sheetViews>
  <sheetFormatPr defaultColWidth="8.77734375" defaultRowHeight="14.4" x14ac:dyDescent="0.3"/>
  <cols>
    <col min="1" max="1" width="5.44140625" style="3" customWidth="1"/>
    <col min="2" max="2" width="7.21875" style="2" customWidth="1"/>
    <col min="3" max="3" width="9.77734375" style="2" customWidth="1"/>
    <col min="4" max="4" width="19.21875" style="8" customWidth="1"/>
    <col min="5" max="5" width="90.5546875" style="3" customWidth="1"/>
    <col min="6" max="7" width="20.21875" style="3" customWidth="1"/>
    <col min="8" max="8" width="16.5546875" style="3" customWidth="1"/>
    <col min="9" max="9" width="19.44140625" style="3" bestFit="1" customWidth="1"/>
    <col min="10" max="10" width="8.5546875" style="3" customWidth="1"/>
    <col min="11" max="11" width="15.5546875" style="3" customWidth="1"/>
    <col min="12" max="12" width="13.77734375" style="3" bestFit="1" customWidth="1"/>
    <col min="13" max="13" width="68.21875" style="1" customWidth="1"/>
    <col min="14" max="16384" width="8.77734375" style="1"/>
  </cols>
  <sheetData>
    <row r="1" spans="1:13" hidden="1" x14ac:dyDescent="0.3">
      <c r="D1" s="2"/>
      <c r="K1" s="35" t="s">
        <v>43</v>
      </c>
      <c r="L1" s="4">
        <f>+COUNT($B$10:$B$122)</f>
        <v>112</v>
      </c>
      <c r="M1" s="37">
        <f>+SUM(M2:M5)</f>
        <v>6.2499999999999993E-2</v>
      </c>
    </row>
    <row r="2" spans="1:13" hidden="1" x14ac:dyDescent="0.3">
      <c r="D2" s="2"/>
      <c r="K2" s="39" t="s">
        <v>44</v>
      </c>
      <c r="L2" s="4">
        <f>+COUNTIFS($L$10:$L$122,"Bộ phận điền")</f>
        <v>2</v>
      </c>
      <c r="M2" s="37">
        <f t="shared" ref="M2:M5" si="0">+L2/$L$1</f>
        <v>1.7857142857142856E-2</v>
      </c>
    </row>
    <row r="3" spans="1:13" hidden="1" x14ac:dyDescent="0.3">
      <c r="D3" s="2"/>
      <c r="K3" s="36" t="s">
        <v>45</v>
      </c>
      <c r="L3" s="4">
        <f>+COUNTIFS($L$10:$L$122,K3)</f>
        <v>0</v>
      </c>
      <c r="M3" s="37">
        <f t="shared" si="0"/>
        <v>0</v>
      </c>
    </row>
    <row r="4" spans="1:13" hidden="1" x14ac:dyDescent="0.3">
      <c r="D4" s="2"/>
      <c r="K4" s="38" t="s">
        <v>5</v>
      </c>
      <c r="L4" s="20">
        <f>+COUNTIFS($L$10:$L$122,K4)</f>
        <v>3</v>
      </c>
      <c r="M4" s="37">
        <f t="shared" si="0"/>
        <v>2.6785714285714284E-2</v>
      </c>
    </row>
    <row r="5" spans="1:13" ht="32.25" hidden="1" customHeight="1" x14ac:dyDescent="0.3">
      <c r="B5" s="20" t="s">
        <v>46</v>
      </c>
      <c r="C5" s="20"/>
      <c r="D5" s="20"/>
      <c r="E5" s="20"/>
      <c r="F5" s="20"/>
      <c r="G5" s="20"/>
      <c r="H5" s="20"/>
      <c r="I5" s="20"/>
      <c r="J5" s="20"/>
      <c r="K5" s="46" t="s">
        <v>334</v>
      </c>
      <c r="L5" s="20">
        <f>+COUNTIFS($L$10:$L$122,K5)</f>
        <v>2</v>
      </c>
      <c r="M5" s="37">
        <f t="shared" si="0"/>
        <v>1.7857142857142856E-2</v>
      </c>
    </row>
    <row r="6" spans="1:13" ht="17.399999999999999" hidden="1" x14ac:dyDescent="0.3">
      <c r="B6" s="1"/>
      <c r="C6" s="1"/>
      <c r="D6" s="6" t="s">
        <v>47</v>
      </c>
      <c r="E6" s="7" t="s">
        <v>48</v>
      </c>
      <c r="F6" s="4"/>
      <c r="G6" s="44" t="s">
        <v>49</v>
      </c>
      <c r="H6" s="45"/>
      <c r="I6" s="45"/>
      <c r="J6" s="45"/>
      <c r="K6" s="45"/>
      <c r="L6" s="45"/>
      <c r="M6" s="45"/>
    </row>
    <row r="7" spans="1:13" ht="27.6" hidden="1" x14ac:dyDescent="0.3">
      <c r="B7" s="6"/>
      <c r="C7" s="6"/>
      <c r="D7" s="7" t="s">
        <v>50</v>
      </c>
      <c r="E7" s="7" t="s">
        <v>51</v>
      </c>
      <c r="F7" s="4"/>
      <c r="G7" s="4"/>
      <c r="H7" s="4"/>
      <c r="I7" s="4"/>
      <c r="J7" s="4"/>
      <c r="K7" s="4"/>
      <c r="L7" s="4"/>
      <c r="M7" s="4"/>
    </row>
    <row r="8" spans="1:13" x14ac:dyDescent="0.3">
      <c r="D8" s="2"/>
      <c r="L8" s="34"/>
    </row>
    <row r="9" spans="1:13" s="40" customFormat="1" ht="43.2" x14ac:dyDescent="0.3">
      <c r="B9" s="21" t="s">
        <v>52</v>
      </c>
      <c r="C9" s="22" t="s">
        <v>53</v>
      </c>
      <c r="D9" s="22" t="s">
        <v>54</v>
      </c>
      <c r="E9" s="21" t="s">
        <v>55</v>
      </c>
      <c r="F9" s="21" t="s">
        <v>2</v>
      </c>
      <c r="G9" s="22" t="s">
        <v>56</v>
      </c>
      <c r="H9" s="29" t="s">
        <v>3</v>
      </c>
      <c r="I9" s="29" t="s">
        <v>4</v>
      </c>
      <c r="J9" s="29" t="s">
        <v>57</v>
      </c>
      <c r="K9" s="29" t="s">
        <v>58</v>
      </c>
      <c r="L9" s="29" t="s">
        <v>1</v>
      </c>
      <c r="M9" s="21" t="s">
        <v>58</v>
      </c>
    </row>
    <row r="10" spans="1:13" s="5" customFormat="1" hidden="1" x14ac:dyDescent="0.3">
      <c r="A10" s="40"/>
      <c r="B10" s="11">
        <v>1</v>
      </c>
      <c r="C10" s="11"/>
      <c r="D10" s="9" t="s">
        <v>59</v>
      </c>
      <c r="E10" s="13" t="s">
        <v>60</v>
      </c>
      <c r="F10" s="18" t="s">
        <v>8</v>
      </c>
      <c r="G10" s="16" t="s">
        <v>61</v>
      </c>
      <c r="H10" s="16" t="s">
        <v>28</v>
      </c>
      <c r="I10" s="16" t="s">
        <v>29</v>
      </c>
      <c r="J10" s="16"/>
      <c r="K10" s="16"/>
      <c r="L10" s="16"/>
      <c r="M10" s="9"/>
    </row>
    <row r="11" spans="1:13" s="5" customFormat="1" hidden="1" x14ac:dyDescent="0.3">
      <c r="A11" s="40"/>
      <c r="B11" s="11">
        <v>2</v>
      </c>
      <c r="C11" s="11"/>
      <c r="D11" s="9" t="s">
        <v>62</v>
      </c>
      <c r="E11" s="13"/>
      <c r="F11" s="18"/>
      <c r="G11" s="16"/>
      <c r="H11" s="16"/>
      <c r="I11" s="16"/>
      <c r="J11" s="16"/>
      <c r="K11" s="16"/>
      <c r="L11" s="16"/>
      <c r="M11" s="9" t="s">
        <v>63</v>
      </c>
    </row>
    <row r="12" spans="1:13" s="5" customFormat="1" ht="14.55" hidden="1" customHeight="1" x14ac:dyDescent="0.3">
      <c r="A12" s="40"/>
      <c r="B12" s="11">
        <v>3</v>
      </c>
      <c r="C12" s="11" t="s">
        <v>64</v>
      </c>
      <c r="D12" s="30" t="s">
        <v>65</v>
      </c>
      <c r="E12" s="13" t="s">
        <v>66</v>
      </c>
      <c r="F12" s="18" t="s">
        <v>8</v>
      </c>
      <c r="G12" s="16" t="s">
        <v>61</v>
      </c>
      <c r="H12" s="16" t="s">
        <v>28</v>
      </c>
      <c r="I12" s="16" t="s">
        <v>29</v>
      </c>
      <c r="J12" s="16"/>
      <c r="K12" s="16"/>
      <c r="L12" s="16"/>
      <c r="M12" s="13" t="s">
        <v>67</v>
      </c>
    </row>
    <row r="13" spans="1:13" s="5" customFormat="1" hidden="1" x14ac:dyDescent="0.3">
      <c r="A13" s="40"/>
      <c r="B13" s="11">
        <v>4</v>
      </c>
      <c r="C13" s="11" t="s">
        <v>68</v>
      </c>
      <c r="D13" s="31"/>
      <c r="E13" s="13" t="s">
        <v>69</v>
      </c>
      <c r="F13" s="18" t="s">
        <v>8</v>
      </c>
      <c r="G13" s="16" t="s">
        <v>61</v>
      </c>
      <c r="H13" s="16" t="s">
        <v>28</v>
      </c>
      <c r="I13" s="16" t="s">
        <v>29</v>
      </c>
      <c r="J13" s="16"/>
      <c r="K13" s="16"/>
      <c r="L13" s="16"/>
      <c r="M13" s="9"/>
    </row>
    <row r="14" spans="1:13" s="5" customFormat="1" ht="62.4" hidden="1" x14ac:dyDescent="0.3">
      <c r="A14" s="40"/>
      <c r="B14" s="11">
        <v>5</v>
      </c>
      <c r="C14" s="11" t="s">
        <v>70</v>
      </c>
      <c r="D14" s="31"/>
      <c r="E14" s="42" t="s">
        <v>71</v>
      </c>
      <c r="F14" s="18" t="s">
        <v>8</v>
      </c>
      <c r="G14" s="16" t="s">
        <v>61</v>
      </c>
      <c r="H14" s="16" t="s">
        <v>28</v>
      </c>
      <c r="I14" s="16" t="s">
        <v>29</v>
      </c>
      <c r="J14" s="16"/>
      <c r="K14" s="16"/>
      <c r="L14" s="16"/>
      <c r="M14" s="9"/>
    </row>
    <row r="15" spans="1:13" s="5" customFormat="1" hidden="1" x14ac:dyDescent="0.3">
      <c r="A15" s="40"/>
      <c r="B15" s="11">
        <v>6</v>
      </c>
      <c r="C15" s="11" t="s">
        <v>72</v>
      </c>
      <c r="D15" s="31"/>
      <c r="E15" s="13" t="s">
        <v>73</v>
      </c>
      <c r="F15" s="18" t="s">
        <v>8</v>
      </c>
      <c r="G15" s="16" t="s">
        <v>61</v>
      </c>
      <c r="H15" s="16" t="s">
        <v>28</v>
      </c>
      <c r="I15" s="16" t="s">
        <v>29</v>
      </c>
      <c r="J15" s="16"/>
      <c r="K15" s="16"/>
      <c r="L15" s="16"/>
      <c r="M15" s="9"/>
    </row>
    <row r="16" spans="1:13" s="5" customFormat="1" hidden="1" x14ac:dyDescent="0.3">
      <c r="A16" s="40"/>
      <c r="B16" s="11">
        <v>7</v>
      </c>
      <c r="C16" s="11" t="s">
        <v>72</v>
      </c>
      <c r="D16" s="31"/>
      <c r="E16" s="13" t="s">
        <v>74</v>
      </c>
      <c r="F16" s="18" t="s">
        <v>8</v>
      </c>
      <c r="G16" s="16" t="s">
        <v>61</v>
      </c>
      <c r="H16" s="16" t="s">
        <v>28</v>
      </c>
      <c r="I16" s="16" t="s">
        <v>29</v>
      </c>
      <c r="J16" s="16"/>
      <c r="K16" s="33"/>
      <c r="L16" s="16" t="s">
        <v>5</v>
      </c>
      <c r="M16" s="13" t="s">
        <v>75</v>
      </c>
    </row>
    <row r="17" spans="1:13" hidden="1" x14ac:dyDescent="0.3">
      <c r="B17" s="11">
        <v>8</v>
      </c>
      <c r="C17" s="11" t="s">
        <v>72</v>
      </c>
      <c r="D17" s="31"/>
      <c r="E17" s="14" t="s">
        <v>76</v>
      </c>
      <c r="F17" s="18" t="s">
        <v>8</v>
      </c>
      <c r="G17" s="16" t="s">
        <v>61</v>
      </c>
      <c r="H17" s="16" t="s">
        <v>28</v>
      </c>
      <c r="I17" s="16" t="s">
        <v>29</v>
      </c>
      <c r="J17" s="16"/>
      <c r="K17" s="33"/>
      <c r="L17" s="16" t="s">
        <v>5</v>
      </c>
      <c r="M17" s="13" t="s">
        <v>75</v>
      </c>
    </row>
    <row r="18" spans="1:13" hidden="1" x14ac:dyDescent="0.3">
      <c r="B18" s="11">
        <v>9</v>
      </c>
      <c r="C18" s="11" t="s">
        <v>72</v>
      </c>
      <c r="D18" s="31"/>
      <c r="E18" s="14" t="s">
        <v>77</v>
      </c>
      <c r="F18" s="18" t="s">
        <v>8</v>
      </c>
      <c r="G18" s="16" t="s">
        <v>61</v>
      </c>
      <c r="H18" s="16" t="s">
        <v>28</v>
      </c>
      <c r="I18" s="16" t="s">
        <v>29</v>
      </c>
      <c r="J18" s="16"/>
      <c r="K18" s="33"/>
      <c r="L18" s="16"/>
      <c r="M18" s="15" t="s">
        <v>78</v>
      </c>
    </row>
    <row r="19" spans="1:13" hidden="1" x14ac:dyDescent="0.3">
      <c r="B19" s="11">
        <v>10</v>
      </c>
      <c r="C19" s="11" t="s">
        <v>72</v>
      </c>
      <c r="D19" s="31"/>
      <c r="E19" s="14" t="s">
        <v>79</v>
      </c>
      <c r="F19" s="18" t="s">
        <v>8</v>
      </c>
      <c r="G19" s="16" t="s">
        <v>61</v>
      </c>
      <c r="H19" s="16" t="s">
        <v>28</v>
      </c>
      <c r="I19" s="16" t="s">
        <v>29</v>
      </c>
      <c r="J19" s="16"/>
      <c r="K19" s="33"/>
      <c r="L19" s="16"/>
      <c r="M19" s="15" t="s">
        <v>78</v>
      </c>
    </row>
    <row r="20" spans="1:13" hidden="1" x14ac:dyDescent="0.3">
      <c r="B20" s="11">
        <v>11</v>
      </c>
      <c r="C20" s="11" t="s">
        <v>72</v>
      </c>
      <c r="D20" s="31"/>
      <c r="E20" s="14" t="s">
        <v>80</v>
      </c>
      <c r="F20" s="18" t="s">
        <v>8</v>
      </c>
      <c r="G20" s="16" t="s">
        <v>61</v>
      </c>
      <c r="H20" s="16" t="s">
        <v>28</v>
      </c>
      <c r="I20" s="16" t="s">
        <v>29</v>
      </c>
      <c r="J20" s="16"/>
      <c r="K20" s="33"/>
      <c r="L20" s="16"/>
      <c r="M20" s="15"/>
    </row>
    <row r="21" spans="1:13" hidden="1" x14ac:dyDescent="0.3">
      <c r="B21" s="11">
        <v>12</v>
      </c>
      <c r="C21" s="11" t="s">
        <v>72</v>
      </c>
      <c r="D21" s="31"/>
      <c r="E21" s="14" t="s">
        <v>81</v>
      </c>
      <c r="F21" s="18" t="s">
        <v>8</v>
      </c>
      <c r="G21" s="16" t="s">
        <v>61</v>
      </c>
      <c r="H21" s="16" t="s">
        <v>28</v>
      </c>
      <c r="I21" s="16" t="s">
        <v>29</v>
      </c>
      <c r="J21" s="16"/>
      <c r="K21" s="33"/>
      <c r="L21" s="16"/>
      <c r="M21" s="15"/>
    </row>
    <row r="22" spans="1:13" hidden="1" x14ac:dyDescent="0.3">
      <c r="B22" s="11">
        <v>13</v>
      </c>
      <c r="C22" s="11" t="s">
        <v>72</v>
      </c>
      <c r="D22" s="31"/>
      <c r="E22" s="14" t="s">
        <v>82</v>
      </c>
      <c r="F22" s="18" t="s">
        <v>8</v>
      </c>
      <c r="G22" s="16" t="s">
        <v>61</v>
      </c>
      <c r="H22" s="16" t="s">
        <v>28</v>
      </c>
      <c r="I22" s="16" t="s">
        <v>29</v>
      </c>
      <c r="J22" s="16"/>
      <c r="K22" s="33"/>
      <c r="L22" s="16"/>
      <c r="M22" s="15" t="s">
        <v>78</v>
      </c>
    </row>
    <row r="23" spans="1:13" hidden="1" x14ac:dyDescent="0.3">
      <c r="B23" s="11">
        <v>14</v>
      </c>
      <c r="C23" s="11" t="s">
        <v>72</v>
      </c>
      <c r="D23" s="31"/>
      <c r="E23" s="14" t="s">
        <v>83</v>
      </c>
      <c r="F23" s="18" t="s">
        <v>8</v>
      </c>
      <c r="G23" s="16" t="s">
        <v>61</v>
      </c>
      <c r="H23" s="16" t="s">
        <v>28</v>
      </c>
      <c r="I23" s="16" t="s">
        <v>29</v>
      </c>
      <c r="J23" s="16"/>
      <c r="K23" s="33"/>
      <c r="L23" s="16"/>
      <c r="M23" s="15"/>
    </row>
    <row r="24" spans="1:13" hidden="1" x14ac:dyDescent="0.3">
      <c r="B24" s="11">
        <v>15</v>
      </c>
      <c r="C24" s="11" t="s">
        <v>72</v>
      </c>
      <c r="D24" s="31"/>
      <c r="E24" s="14" t="s">
        <v>84</v>
      </c>
      <c r="F24" s="18" t="s">
        <v>8</v>
      </c>
      <c r="G24" s="16" t="s">
        <v>61</v>
      </c>
      <c r="H24" s="16" t="s">
        <v>28</v>
      </c>
      <c r="I24" s="16" t="s">
        <v>29</v>
      </c>
      <c r="J24" s="16"/>
      <c r="K24" s="33"/>
      <c r="L24" s="16"/>
      <c r="M24" s="15"/>
    </row>
    <row r="25" spans="1:13" hidden="1" x14ac:dyDescent="0.3">
      <c r="B25" s="11">
        <v>16</v>
      </c>
      <c r="C25" s="11" t="s">
        <v>72</v>
      </c>
      <c r="D25" s="31"/>
      <c r="E25" s="14" t="s">
        <v>85</v>
      </c>
      <c r="F25" s="18" t="s">
        <v>8</v>
      </c>
      <c r="G25" s="16" t="s">
        <v>61</v>
      </c>
      <c r="H25" s="16" t="s">
        <v>28</v>
      </c>
      <c r="I25" s="16" t="s">
        <v>29</v>
      </c>
      <c r="J25" s="16"/>
      <c r="K25" s="33"/>
      <c r="L25" s="16"/>
      <c r="M25" s="15" t="s">
        <v>78</v>
      </c>
    </row>
    <row r="26" spans="1:13" hidden="1" x14ac:dyDescent="0.3">
      <c r="B26" s="11">
        <v>17</v>
      </c>
      <c r="C26" s="11" t="s">
        <v>72</v>
      </c>
      <c r="D26" s="31"/>
      <c r="E26" s="14" t="s">
        <v>86</v>
      </c>
      <c r="F26" s="18" t="s">
        <v>8</v>
      </c>
      <c r="G26" s="16" t="s">
        <v>61</v>
      </c>
      <c r="H26" s="16" t="s">
        <v>28</v>
      </c>
      <c r="I26" s="16" t="s">
        <v>29</v>
      </c>
      <c r="J26" s="16"/>
      <c r="K26" s="33"/>
      <c r="L26" s="16"/>
      <c r="M26" s="15"/>
    </row>
    <row r="27" spans="1:13" ht="43.2" hidden="1" x14ac:dyDescent="0.3">
      <c r="B27" s="11">
        <v>18</v>
      </c>
      <c r="C27" s="11" t="s">
        <v>87</v>
      </c>
      <c r="D27" s="31"/>
      <c r="E27" s="14" t="s">
        <v>88</v>
      </c>
      <c r="F27" s="18" t="s">
        <v>8</v>
      </c>
      <c r="G27" s="16" t="s">
        <v>61</v>
      </c>
      <c r="H27" s="16" t="s">
        <v>28</v>
      </c>
      <c r="I27" s="16" t="s">
        <v>29</v>
      </c>
      <c r="J27" s="16"/>
      <c r="K27" s="33"/>
      <c r="L27" s="16"/>
      <c r="M27" s="15"/>
    </row>
    <row r="28" spans="1:13" ht="28.8" hidden="1" x14ac:dyDescent="0.3">
      <c r="B28" s="11">
        <v>19</v>
      </c>
      <c r="C28" s="11" t="s">
        <v>89</v>
      </c>
      <c r="D28" s="31"/>
      <c r="E28" s="14" t="s">
        <v>90</v>
      </c>
      <c r="F28" s="18" t="s">
        <v>8</v>
      </c>
      <c r="G28" s="16" t="s">
        <v>61</v>
      </c>
      <c r="H28" s="16" t="s">
        <v>28</v>
      </c>
      <c r="I28" s="16" t="s">
        <v>29</v>
      </c>
      <c r="J28" s="16"/>
      <c r="K28" s="33"/>
      <c r="L28" s="16" t="s">
        <v>5</v>
      </c>
      <c r="M28" s="15" t="s">
        <v>75</v>
      </c>
    </row>
    <row r="29" spans="1:13" ht="28.8" hidden="1" x14ac:dyDescent="0.3">
      <c r="B29" s="11">
        <v>20</v>
      </c>
      <c r="C29" s="11" t="s">
        <v>89</v>
      </c>
      <c r="D29" s="31"/>
      <c r="E29" s="14" t="s">
        <v>91</v>
      </c>
      <c r="F29" s="18" t="s">
        <v>8</v>
      </c>
      <c r="G29" s="16" t="s">
        <v>61</v>
      </c>
      <c r="H29" s="16" t="s">
        <v>28</v>
      </c>
      <c r="I29" s="16" t="s">
        <v>29</v>
      </c>
      <c r="J29" s="16"/>
      <c r="K29" s="33"/>
      <c r="L29" s="16"/>
      <c r="M29" s="15"/>
    </row>
    <row r="30" spans="1:13" ht="60.75" hidden="1" customHeight="1" x14ac:dyDescent="0.3">
      <c r="B30" s="11">
        <v>21</v>
      </c>
      <c r="C30" s="11" t="s">
        <v>92</v>
      </c>
      <c r="D30" s="32"/>
      <c r="E30" s="14" t="s">
        <v>93</v>
      </c>
      <c r="F30" s="18" t="s">
        <v>8</v>
      </c>
      <c r="G30" s="16" t="s">
        <v>61</v>
      </c>
      <c r="H30" s="16" t="s">
        <v>28</v>
      </c>
      <c r="I30" s="16" t="s">
        <v>29</v>
      </c>
      <c r="J30" s="16"/>
      <c r="K30" s="33"/>
      <c r="L30" s="16"/>
      <c r="M30" s="15" t="s">
        <v>94</v>
      </c>
    </row>
    <row r="31" spans="1:13" s="54" customFormat="1" ht="43.2" hidden="1" x14ac:dyDescent="0.3">
      <c r="A31" s="68"/>
      <c r="B31" s="47">
        <v>22</v>
      </c>
      <c r="C31" s="48" t="s">
        <v>95</v>
      </c>
      <c r="D31" s="49" t="s">
        <v>96</v>
      </c>
      <c r="E31" s="50" t="s">
        <v>97</v>
      </c>
      <c r="F31" s="51" t="s">
        <v>8</v>
      </c>
      <c r="G31" s="52" t="s">
        <v>98</v>
      </c>
      <c r="H31" s="52" t="s">
        <v>13</v>
      </c>
      <c r="I31" s="52" t="s">
        <v>14</v>
      </c>
      <c r="J31" s="52"/>
      <c r="K31" s="52"/>
      <c r="L31" s="52"/>
      <c r="M31" s="53" t="s">
        <v>99</v>
      </c>
    </row>
    <row r="32" spans="1:13" ht="28.8" hidden="1" x14ac:dyDescent="0.3">
      <c r="B32" s="11">
        <v>23</v>
      </c>
      <c r="C32" s="12" t="s">
        <v>100</v>
      </c>
      <c r="D32" s="10" t="s">
        <v>101</v>
      </c>
      <c r="E32" s="13" t="s">
        <v>102</v>
      </c>
      <c r="F32" s="18" t="s">
        <v>8</v>
      </c>
      <c r="G32" s="16" t="s">
        <v>61</v>
      </c>
      <c r="H32" s="16" t="s">
        <v>28</v>
      </c>
      <c r="I32" s="16" t="s">
        <v>29</v>
      </c>
      <c r="J32" s="16"/>
      <c r="K32" s="16"/>
      <c r="L32" s="16"/>
      <c r="M32" s="14" t="s">
        <v>103</v>
      </c>
    </row>
    <row r="33" spans="1:13" ht="45" hidden="1" customHeight="1" x14ac:dyDescent="0.3">
      <c r="B33" s="11">
        <v>24</v>
      </c>
      <c r="C33" s="12" t="s">
        <v>104</v>
      </c>
      <c r="D33" s="23" t="s">
        <v>105</v>
      </c>
      <c r="E33" s="13" t="s">
        <v>106</v>
      </c>
      <c r="F33" s="18" t="s">
        <v>8</v>
      </c>
      <c r="G33" s="16" t="s">
        <v>61</v>
      </c>
      <c r="H33" s="16" t="s">
        <v>28</v>
      </c>
      <c r="I33" s="16" t="s">
        <v>29</v>
      </c>
      <c r="J33" s="16"/>
      <c r="K33" s="16"/>
      <c r="L33" s="16"/>
      <c r="M33" s="15"/>
    </row>
    <row r="34" spans="1:13" ht="57.6" hidden="1" x14ac:dyDescent="0.3">
      <c r="B34" s="11">
        <v>25</v>
      </c>
      <c r="C34" s="12" t="s">
        <v>107</v>
      </c>
      <c r="D34" s="24"/>
      <c r="E34" s="14" t="s">
        <v>108</v>
      </c>
      <c r="F34" s="18" t="s">
        <v>8</v>
      </c>
      <c r="G34" s="16" t="s">
        <v>61</v>
      </c>
      <c r="H34" s="16" t="s">
        <v>28</v>
      </c>
      <c r="I34" s="16" t="s">
        <v>29</v>
      </c>
      <c r="J34" s="16"/>
      <c r="K34" s="16"/>
      <c r="L34" s="16"/>
      <c r="M34" s="15"/>
    </row>
    <row r="35" spans="1:13" ht="28.8" hidden="1" x14ac:dyDescent="0.3">
      <c r="B35" s="11">
        <v>26</v>
      </c>
      <c r="C35" s="12" t="s">
        <v>109</v>
      </c>
      <c r="D35" s="24"/>
      <c r="E35" s="14" t="s">
        <v>110</v>
      </c>
      <c r="F35" s="18" t="s">
        <v>8</v>
      </c>
      <c r="G35" s="16" t="s">
        <v>61</v>
      </c>
      <c r="H35" s="16" t="s">
        <v>28</v>
      </c>
      <c r="I35" s="16" t="s">
        <v>29</v>
      </c>
      <c r="J35" s="16"/>
      <c r="K35" s="16"/>
      <c r="L35" s="16"/>
      <c r="M35" s="15"/>
    </row>
    <row r="36" spans="1:13" ht="43.2" hidden="1" x14ac:dyDescent="0.3">
      <c r="B36" s="11">
        <v>27</v>
      </c>
      <c r="C36" s="12" t="s">
        <v>111</v>
      </c>
      <c r="D36" s="25"/>
      <c r="E36" s="14" t="s">
        <v>112</v>
      </c>
      <c r="F36" s="18" t="s">
        <v>8</v>
      </c>
      <c r="G36" s="16" t="s">
        <v>61</v>
      </c>
      <c r="H36" s="16" t="s">
        <v>28</v>
      </c>
      <c r="I36" s="16" t="s">
        <v>29</v>
      </c>
      <c r="J36" s="16"/>
      <c r="K36" s="16"/>
      <c r="L36" s="16"/>
      <c r="M36" s="15"/>
    </row>
    <row r="37" spans="1:13" hidden="1" x14ac:dyDescent="0.3">
      <c r="B37" s="11">
        <v>28</v>
      </c>
      <c r="C37" s="12" t="s">
        <v>113</v>
      </c>
      <c r="D37" s="10" t="s">
        <v>114</v>
      </c>
      <c r="E37" s="14"/>
      <c r="F37" s="14"/>
      <c r="G37" s="17"/>
      <c r="H37" s="17"/>
      <c r="I37" s="17"/>
      <c r="J37" s="17"/>
      <c r="K37" s="17"/>
      <c r="L37" s="17"/>
      <c r="M37" s="15"/>
    </row>
    <row r="38" spans="1:13" ht="28.8" hidden="1" x14ac:dyDescent="0.3">
      <c r="B38" s="11">
        <v>29</v>
      </c>
      <c r="C38" s="12" t="s">
        <v>115</v>
      </c>
      <c r="D38" s="23" t="s">
        <v>116</v>
      </c>
      <c r="E38" s="14" t="s">
        <v>117</v>
      </c>
      <c r="F38" s="18" t="s">
        <v>8</v>
      </c>
      <c r="G38" s="17" t="s">
        <v>118</v>
      </c>
      <c r="H38" s="17" t="s">
        <v>9</v>
      </c>
      <c r="I38" s="17" t="s">
        <v>10</v>
      </c>
      <c r="J38" s="17" t="s">
        <v>119</v>
      </c>
      <c r="K38" s="17"/>
      <c r="L38" s="17" t="s">
        <v>120</v>
      </c>
      <c r="M38" s="14" t="s">
        <v>121</v>
      </c>
    </row>
    <row r="39" spans="1:13" s="54" customFormat="1" ht="28.8" hidden="1" x14ac:dyDescent="0.3">
      <c r="A39" s="68"/>
      <c r="B39" s="47"/>
      <c r="C39" s="48" t="s">
        <v>122</v>
      </c>
      <c r="D39" s="49"/>
      <c r="E39" s="53" t="s">
        <v>123</v>
      </c>
      <c r="F39" s="51" t="s">
        <v>8</v>
      </c>
      <c r="G39" s="55" t="s">
        <v>124</v>
      </c>
      <c r="H39" s="52" t="s">
        <v>13</v>
      </c>
      <c r="I39" s="52" t="s">
        <v>14</v>
      </c>
      <c r="J39" s="52"/>
      <c r="K39" s="52"/>
      <c r="L39" s="52"/>
      <c r="M39" s="53"/>
    </row>
    <row r="40" spans="1:13" ht="28.8" hidden="1" x14ac:dyDescent="0.3">
      <c r="B40" s="11">
        <v>30</v>
      </c>
      <c r="C40" s="12" t="s">
        <v>125</v>
      </c>
      <c r="D40" s="24"/>
      <c r="E40" s="14" t="s">
        <v>126</v>
      </c>
      <c r="F40" s="18" t="s">
        <v>8</v>
      </c>
      <c r="G40" s="17" t="s">
        <v>118</v>
      </c>
      <c r="H40" s="17" t="s">
        <v>9</v>
      </c>
      <c r="I40" s="17" t="s">
        <v>10</v>
      </c>
      <c r="J40" s="17"/>
      <c r="K40" s="17"/>
      <c r="L40" s="17"/>
      <c r="M40" s="15"/>
    </row>
    <row r="41" spans="1:13" ht="43.2" hidden="1" x14ac:dyDescent="0.3">
      <c r="B41" s="11">
        <v>31</v>
      </c>
      <c r="C41" s="12" t="s">
        <v>127</v>
      </c>
      <c r="D41" s="24"/>
      <c r="E41" s="14" t="s">
        <v>128</v>
      </c>
      <c r="F41" s="18" t="s">
        <v>8</v>
      </c>
      <c r="G41" s="17" t="s">
        <v>118</v>
      </c>
      <c r="H41" s="17" t="s">
        <v>9</v>
      </c>
      <c r="I41" s="17" t="s">
        <v>10</v>
      </c>
      <c r="J41" s="17"/>
      <c r="K41" s="17"/>
      <c r="L41" s="17"/>
      <c r="M41" s="15"/>
    </row>
    <row r="42" spans="1:13" ht="57.6" hidden="1" x14ac:dyDescent="0.3">
      <c r="B42" s="11">
        <v>32</v>
      </c>
      <c r="C42" s="12" t="s">
        <v>129</v>
      </c>
      <c r="D42" s="24"/>
      <c r="E42" s="14" t="s">
        <v>130</v>
      </c>
      <c r="F42" s="18" t="s">
        <v>8</v>
      </c>
      <c r="G42" s="17" t="s">
        <v>118</v>
      </c>
      <c r="H42" s="17" t="s">
        <v>11</v>
      </c>
      <c r="I42" s="17" t="s">
        <v>12</v>
      </c>
      <c r="J42" s="17"/>
      <c r="K42" s="17"/>
      <c r="L42" s="17"/>
      <c r="M42" s="15"/>
    </row>
    <row r="43" spans="1:13" ht="28.8" hidden="1" x14ac:dyDescent="0.3">
      <c r="B43" s="11">
        <v>33</v>
      </c>
      <c r="C43" s="12" t="s">
        <v>131</v>
      </c>
      <c r="D43" s="24"/>
      <c r="E43" s="14" t="s">
        <v>132</v>
      </c>
      <c r="F43" s="18" t="s">
        <v>8</v>
      </c>
      <c r="G43" s="17" t="s">
        <v>118</v>
      </c>
      <c r="H43" s="17" t="s">
        <v>24</v>
      </c>
      <c r="I43" s="17" t="s">
        <v>25</v>
      </c>
      <c r="J43" s="17"/>
      <c r="K43" s="17"/>
      <c r="L43" s="17" t="s">
        <v>120</v>
      </c>
      <c r="M43" s="15"/>
    </row>
    <row r="44" spans="1:13" ht="72" hidden="1" x14ac:dyDescent="0.3">
      <c r="B44" s="11">
        <v>34</v>
      </c>
      <c r="C44" s="12" t="s">
        <v>133</v>
      </c>
      <c r="D44" s="25" t="s">
        <v>134</v>
      </c>
      <c r="E44" s="14" t="s">
        <v>135</v>
      </c>
      <c r="F44" s="18" t="s">
        <v>8</v>
      </c>
      <c r="G44" s="17" t="s">
        <v>124</v>
      </c>
      <c r="H44" s="17" t="s">
        <v>13</v>
      </c>
      <c r="I44" s="17" t="s">
        <v>14</v>
      </c>
      <c r="J44" s="17"/>
      <c r="K44" s="17"/>
      <c r="L44" s="17"/>
      <c r="M44" s="14" t="s">
        <v>136</v>
      </c>
    </row>
    <row r="45" spans="1:13" ht="43.2" hidden="1" x14ac:dyDescent="0.3">
      <c r="B45" s="11">
        <v>35</v>
      </c>
      <c r="C45" s="12" t="s">
        <v>137</v>
      </c>
      <c r="D45" s="10" t="s">
        <v>138</v>
      </c>
      <c r="E45" s="14" t="s">
        <v>139</v>
      </c>
      <c r="F45" s="18" t="s">
        <v>8</v>
      </c>
      <c r="G45" s="17" t="s">
        <v>124</v>
      </c>
      <c r="H45" s="17" t="s">
        <v>13</v>
      </c>
      <c r="I45" s="17" t="s">
        <v>14</v>
      </c>
      <c r="J45" s="17"/>
      <c r="K45" s="17"/>
      <c r="L45" s="17"/>
      <c r="M45" s="14" t="s">
        <v>140</v>
      </c>
    </row>
    <row r="46" spans="1:13" ht="45" hidden="1" customHeight="1" x14ac:dyDescent="0.3">
      <c r="B46" s="11">
        <v>36</v>
      </c>
      <c r="C46" s="12" t="s">
        <v>141</v>
      </c>
      <c r="D46" s="10" t="s">
        <v>142</v>
      </c>
      <c r="E46" s="14" t="s">
        <v>143</v>
      </c>
      <c r="F46" s="18" t="s">
        <v>8</v>
      </c>
      <c r="G46" s="17" t="s">
        <v>98</v>
      </c>
      <c r="H46" s="17" t="s">
        <v>13</v>
      </c>
      <c r="I46" s="17" t="s">
        <v>14</v>
      </c>
      <c r="J46" s="17"/>
      <c r="K46" s="17"/>
      <c r="L46" s="17"/>
      <c r="M46" s="15"/>
    </row>
    <row r="47" spans="1:13" ht="187.2" hidden="1" x14ac:dyDescent="0.3">
      <c r="B47" s="11">
        <v>37</v>
      </c>
      <c r="C47" s="12" t="s">
        <v>144</v>
      </c>
      <c r="D47" s="23"/>
      <c r="E47" s="14" t="s">
        <v>145</v>
      </c>
      <c r="F47" s="18" t="s">
        <v>8</v>
      </c>
      <c r="G47" s="17" t="s">
        <v>146</v>
      </c>
      <c r="H47" s="17" t="s">
        <v>32</v>
      </c>
      <c r="I47" s="17" t="s">
        <v>33</v>
      </c>
      <c r="J47" s="17"/>
      <c r="K47" s="17" t="s">
        <v>147</v>
      </c>
      <c r="L47" s="17"/>
      <c r="M47" s="15"/>
    </row>
    <row r="48" spans="1:13" ht="57.6" hidden="1" x14ac:dyDescent="0.3">
      <c r="B48" s="11">
        <v>38</v>
      </c>
      <c r="C48" s="12" t="s">
        <v>148</v>
      </c>
      <c r="D48" s="24"/>
      <c r="E48" s="14" t="s">
        <v>149</v>
      </c>
      <c r="F48" s="18" t="s">
        <v>8</v>
      </c>
      <c r="G48" s="17" t="s">
        <v>146</v>
      </c>
      <c r="H48" s="17" t="s">
        <v>32</v>
      </c>
      <c r="I48" s="17" t="s">
        <v>33</v>
      </c>
      <c r="J48" s="17"/>
      <c r="K48" s="17" t="s">
        <v>150</v>
      </c>
      <c r="L48" s="17"/>
      <c r="M48" s="15" t="s">
        <v>78</v>
      </c>
    </row>
    <row r="49" spans="1:13" ht="57.6" hidden="1" x14ac:dyDescent="0.3">
      <c r="B49" s="11">
        <v>39</v>
      </c>
      <c r="C49" s="12" t="s">
        <v>151</v>
      </c>
      <c r="D49" s="24"/>
      <c r="E49" s="14" t="s">
        <v>152</v>
      </c>
      <c r="F49" s="18" t="s">
        <v>8</v>
      </c>
      <c r="G49" s="17" t="s">
        <v>146</v>
      </c>
      <c r="H49" s="17" t="s">
        <v>34</v>
      </c>
      <c r="I49" s="17" t="s">
        <v>35</v>
      </c>
      <c r="J49" s="17"/>
      <c r="K49" s="17" t="s">
        <v>153</v>
      </c>
      <c r="L49" s="17"/>
      <c r="M49" s="15"/>
    </row>
    <row r="50" spans="1:13" ht="43.2" hidden="1" x14ac:dyDescent="0.3">
      <c r="B50" s="11">
        <v>40</v>
      </c>
      <c r="C50" s="12" t="s">
        <v>154</v>
      </c>
      <c r="D50" s="24"/>
      <c r="E50" s="14" t="s">
        <v>155</v>
      </c>
      <c r="F50" s="18" t="s">
        <v>8</v>
      </c>
      <c r="G50" s="17" t="s">
        <v>98</v>
      </c>
      <c r="H50" s="17" t="s">
        <v>13</v>
      </c>
      <c r="I50" s="17" t="s">
        <v>14</v>
      </c>
      <c r="J50" s="17"/>
      <c r="K50" s="17"/>
      <c r="L50" s="17"/>
      <c r="M50" s="15"/>
    </row>
    <row r="51" spans="1:13" ht="43.2" hidden="1" x14ac:dyDescent="0.3">
      <c r="B51" s="11">
        <v>41</v>
      </c>
      <c r="C51" s="12" t="s">
        <v>156</v>
      </c>
      <c r="D51" s="25" t="s">
        <v>157</v>
      </c>
      <c r="E51" s="14" t="s">
        <v>158</v>
      </c>
      <c r="F51" s="18" t="s">
        <v>8</v>
      </c>
      <c r="G51" s="17" t="s">
        <v>98</v>
      </c>
      <c r="H51" s="17" t="s">
        <v>13</v>
      </c>
      <c r="I51" s="17" t="s">
        <v>14</v>
      </c>
      <c r="J51" s="17"/>
      <c r="K51" s="17"/>
      <c r="L51" s="17"/>
      <c r="M51" s="15"/>
    </row>
    <row r="52" spans="1:13" ht="28.8" hidden="1" x14ac:dyDescent="0.3">
      <c r="B52" s="11">
        <v>42</v>
      </c>
      <c r="C52" s="12" t="s">
        <v>159</v>
      </c>
      <c r="D52" s="10" t="s">
        <v>160</v>
      </c>
      <c r="E52" s="14" t="s">
        <v>161</v>
      </c>
      <c r="F52" s="18" t="s">
        <v>8</v>
      </c>
      <c r="G52" s="17" t="s">
        <v>162</v>
      </c>
      <c r="H52" s="17" t="s">
        <v>13</v>
      </c>
      <c r="I52" s="17" t="s">
        <v>14</v>
      </c>
      <c r="J52" s="17"/>
      <c r="K52" s="17"/>
      <c r="L52" s="17"/>
      <c r="M52" s="14" t="s">
        <v>163</v>
      </c>
    </row>
    <row r="53" spans="1:13" ht="28.8" hidden="1" x14ac:dyDescent="0.3">
      <c r="B53" s="11">
        <v>43</v>
      </c>
      <c r="C53" s="12" t="s">
        <v>164</v>
      </c>
      <c r="D53" s="10" t="s">
        <v>165</v>
      </c>
      <c r="E53" s="14" t="s">
        <v>166</v>
      </c>
      <c r="F53" s="18" t="s">
        <v>8</v>
      </c>
      <c r="G53" s="17" t="s">
        <v>167</v>
      </c>
      <c r="H53" s="17" t="s">
        <v>13</v>
      </c>
      <c r="I53" s="17" t="s">
        <v>14</v>
      </c>
      <c r="J53" s="17"/>
      <c r="K53" s="17"/>
      <c r="L53" s="17"/>
      <c r="M53" s="14" t="s">
        <v>168</v>
      </c>
    </row>
    <row r="54" spans="1:13" ht="28.8" hidden="1" x14ac:dyDescent="0.3">
      <c r="B54" s="11">
        <v>44</v>
      </c>
      <c r="C54" s="12" t="s">
        <v>169</v>
      </c>
      <c r="D54" s="10" t="s">
        <v>170</v>
      </c>
      <c r="E54" s="14" t="s">
        <v>171</v>
      </c>
      <c r="F54" s="18" t="s">
        <v>8</v>
      </c>
      <c r="G54" s="17" t="s">
        <v>124</v>
      </c>
      <c r="H54" s="17" t="s">
        <v>13</v>
      </c>
      <c r="I54" s="17" t="s">
        <v>14</v>
      </c>
      <c r="J54" s="17"/>
      <c r="K54" s="17"/>
      <c r="L54" s="17"/>
      <c r="M54" s="15" t="s">
        <v>172</v>
      </c>
    </row>
    <row r="55" spans="1:13" ht="43.2" hidden="1" x14ac:dyDescent="0.3">
      <c r="B55" s="11">
        <v>45</v>
      </c>
      <c r="C55" s="12" t="s">
        <v>173</v>
      </c>
      <c r="D55" s="10" t="s">
        <v>174</v>
      </c>
      <c r="E55" s="14" t="s">
        <v>175</v>
      </c>
      <c r="F55" s="18" t="s">
        <v>8</v>
      </c>
      <c r="G55" s="17" t="s">
        <v>176</v>
      </c>
      <c r="H55" s="17" t="s">
        <v>36</v>
      </c>
      <c r="I55" s="17" t="s">
        <v>37</v>
      </c>
      <c r="J55" s="17"/>
      <c r="K55" s="17" t="s">
        <v>177</v>
      </c>
      <c r="L55" s="17" t="s">
        <v>334</v>
      </c>
      <c r="M55" s="15" t="s">
        <v>178</v>
      </c>
    </row>
    <row r="56" spans="1:13" ht="28.8" hidden="1" x14ac:dyDescent="0.3">
      <c r="B56" s="11">
        <v>46</v>
      </c>
      <c r="C56" s="12" t="s">
        <v>179</v>
      </c>
      <c r="D56" s="10" t="s">
        <v>180</v>
      </c>
      <c r="E56" s="14" t="s">
        <v>181</v>
      </c>
      <c r="F56" s="18" t="s">
        <v>8</v>
      </c>
      <c r="G56" s="17" t="s">
        <v>182</v>
      </c>
      <c r="H56" s="17" t="s">
        <v>21</v>
      </c>
      <c r="I56" s="17" t="s">
        <v>22</v>
      </c>
      <c r="J56" s="17"/>
      <c r="K56" s="17"/>
      <c r="L56" s="17"/>
      <c r="M56" s="15"/>
    </row>
    <row r="57" spans="1:13" ht="100.8" hidden="1" x14ac:dyDescent="0.3">
      <c r="B57" s="11">
        <v>47</v>
      </c>
      <c r="C57" s="12" t="s">
        <v>179</v>
      </c>
      <c r="D57" s="23"/>
      <c r="E57" s="14" t="s">
        <v>183</v>
      </c>
      <c r="F57" s="18" t="s">
        <v>8</v>
      </c>
      <c r="G57" s="17" t="s">
        <v>182</v>
      </c>
      <c r="H57" s="17" t="s">
        <v>18</v>
      </c>
      <c r="I57" s="17" t="s">
        <v>19</v>
      </c>
      <c r="J57" s="17"/>
      <c r="K57" s="17"/>
      <c r="L57" s="17"/>
      <c r="M57" s="15"/>
    </row>
    <row r="58" spans="1:13" s="54" customFormat="1" ht="43.2" hidden="1" x14ac:dyDescent="0.3">
      <c r="A58" s="68" t="s">
        <v>336</v>
      </c>
      <c r="B58" s="47">
        <v>48</v>
      </c>
      <c r="C58" s="48" t="s">
        <v>184</v>
      </c>
      <c r="D58" s="56"/>
      <c r="E58" s="53" t="s">
        <v>185</v>
      </c>
      <c r="F58" s="51" t="s">
        <v>8</v>
      </c>
      <c r="G58" s="52" t="s">
        <v>182</v>
      </c>
      <c r="H58" s="52" t="s">
        <v>18</v>
      </c>
      <c r="I58" s="52" t="s">
        <v>19</v>
      </c>
      <c r="J58" s="52"/>
      <c r="K58" s="52"/>
      <c r="L58" s="52"/>
      <c r="M58" s="57"/>
    </row>
    <row r="59" spans="1:13" ht="28.8" hidden="1" x14ac:dyDescent="0.3">
      <c r="B59" s="11">
        <v>49</v>
      </c>
      <c r="C59" s="12" t="s">
        <v>186</v>
      </c>
      <c r="D59" s="24"/>
      <c r="E59" s="14" t="s">
        <v>187</v>
      </c>
      <c r="F59" s="18" t="s">
        <v>8</v>
      </c>
      <c r="G59" s="17" t="s">
        <v>182</v>
      </c>
      <c r="H59" s="17" t="s">
        <v>18</v>
      </c>
      <c r="I59" s="17" t="s">
        <v>19</v>
      </c>
      <c r="J59" s="17"/>
      <c r="K59" s="17" t="s">
        <v>335</v>
      </c>
      <c r="L59" s="17" t="s">
        <v>334</v>
      </c>
      <c r="M59" s="14" t="s">
        <v>188</v>
      </c>
    </row>
    <row r="60" spans="1:13" ht="43.2" hidden="1" x14ac:dyDescent="0.3">
      <c r="B60" s="11">
        <v>50</v>
      </c>
      <c r="C60" s="12" t="s">
        <v>189</v>
      </c>
      <c r="D60" s="24"/>
      <c r="E60" s="14" t="s">
        <v>190</v>
      </c>
      <c r="F60" s="18" t="s">
        <v>8</v>
      </c>
      <c r="G60" s="17" t="s">
        <v>182</v>
      </c>
      <c r="H60" s="17" t="s">
        <v>20</v>
      </c>
      <c r="I60" s="17" t="s">
        <v>12</v>
      </c>
      <c r="J60" s="17"/>
      <c r="K60" s="17" t="s">
        <v>191</v>
      </c>
      <c r="L60" s="17"/>
      <c r="M60" s="15"/>
    </row>
    <row r="61" spans="1:13" ht="86.4" hidden="1" x14ac:dyDescent="0.3">
      <c r="B61" s="11">
        <v>51</v>
      </c>
      <c r="C61" s="12" t="s">
        <v>192</v>
      </c>
      <c r="D61" s="24"/>
      <c r="E61" s="14" t="s">
        <v>193</v>
      </c>
      <c r="F61" s="18" t="s">
        <v>8</v>
      </c>
      <c r="G61" s="17" t="s">
        <v>182</v>
      </c>
      <c r="H61" s="17" t="s">
        <v>21</v>
      </c>
      <c r="I61" s="17" t="s">
        <v>22</v>
      </c>
      <c r="J61" s="17"/>
      <c r="K61" s="17"/>
      <c r="L61" s="17"/>
      <c r="M61" s="15"/>
    </row>
    <row r="62" spans="1:13" ht="43.2" hidden="1" x14ac:dyDescent="0.3">
      <c r="B62" s="11">
        <v>52</v>
      </c>
      <c r="C62" s="12" t="s">
        <v>194</v>
      </c>
      <c r="D62" s="27" t="s">
        <v>195</v>
      </c>
      <c r="E62" s="14" t="s">
        <v>196</v>
      </c>
      <c r="F62" s="19" t="s">
        <v>38</v>
      </c>
      <c r="G62" s="17" t="s">
        <v>197</v>
      </c>
      <c r="H62" s="17" t="s">
        <v>13</v>
      </c>
      <c r="I62" s="17" t="s">
        <v>14</v>
      </c>
      <c r="J62" s="17"/>
      <c r="K62" s="17"/>
      <c r="L62" s="17"/>
      <c r="M62" s="15"/>
    </row>
    <row r="63" spans="1:13" ht="57.6" hidden="1" x14ac:dyDescent="0.3">
      <c r="B63" s="11">
        <v>53</v>
      </c>
      <c r="C63" s="12" t="s">
        <v>198</v>
      </c>
      <c r="D63" s="26"/>
      <c r="E63" s="14" t="s">
        <v>199</v>
      </c>
      <c r="F63" s="19" t="s">
        <v>38</v>
      </c>
      <c r="G63" s="17" t="s">
        <v>182</v>
      </c>
      <c r="H63" s="17" t="s">
        <v>13</v>
      </c>
      <c r="I63" s="17" t="s">
        <v>14</v>
      </c>
      <c r="J63" s="17"/>
      <c r="K63" s="17"/>
      <c r="L63" s="17"/>
      <c r="M63" s="15"/>
    </row>
    <row r="64" spans="1:13" ht="57.6" hidden="1" x14ac:dyDescent="0.3">
      <c r="B64" s="11">
        <v>54</v>
      </c>
      <c r="C64" s="12" t="s">
        <v>200</v>
      </c>
      <c r="D64" s="27" t="s">
        <v>201</v>
      </c>
      <c r="E64" s="14" t="s">
        <v>202</v>
      </c>
      <c r="F64" s="19" t="s">
        <v>38</v>
      </c>
      <c r="G64" s="17" t="s">
        <v>197</v>
      </c>
      <c r="H64" s="17" t="s">
        <v>18</v>
      </c>
      <c r="I64" s="17" t="s">
        <v>19</v>
      </c>
      <c r="J64" s="17"/>
      <c r="K64" s="17"/>
      <c r="L64" s="17"/>
      <c r="M64" s="15" t="s">
        <v>203</v>
      </c>
    </row>
    <row r="65" spans="1:13" ht="43.5" hidden="1" customHeight="1" x14ac:dyDescent="0.3">
      <c r="B65" s="11">
        <v>55</v>
      </c>
      <c r="C65" s="12" t="s">
        <v>204</v>
      </c>
      <c r="D65" s="26"/>
      <c r="E65" s="14" t="s">
        <v>205</v>
      </c>
      <c r="F65" s="19" t="s">
        <v>38</v>
      </c>
      <c r="G65" s="17" t="s">
        <v>182</v>
      </c>
      <c r="H65" s="17" t="s">
        <v>13</v>
      </c>
      <c r="I65" s="17" t="s">
        <v>14</v>
      </c>
      <c r="J65" s="17"/>
      <c r="K65" s="17"/>
      <c r="L65" s="17"/>
      <c r="M65" s="15" t="s">
        <v>203</v>
      </c>
    </row>
    <row r="66" spans="1:13" ht="28.8" hidden="1" x14ac:dyDescent="0.3">
      <c r="B66" s="11">
        <v>56</v>
      </c>
      <c r="C66" s="12" t="s">
        <v>206</v>
      </c>
      <c r="D66" s="25" t="s">
        <v>207</v>
      </c>
      <c r="E66" s="14" t="s">
        <v>208</v>
      </c>
      <c r="F66" s="19" t="s">
        <v>8</v>
      </c>
      <c r="G66" s="17" t="s">
        <v>209</v>
      </c>
      <c r="H66" s="17" t="s">
        <v>18</v>
      </c>
      <c r="I66" s="17" t="s">
        <v>19</v>
      </c>
      <c r="J66" s="17"/>
      <c r="K66" s="17"/>
      <c r="L66" s="17"/>
      <c r="M66" s="15"/>
    </row>
    <row r="67" spans="1:13" ht="100.8" hidden="1" x14ac:dyDescent="0.3">
      <c r="B67" s="11">
        <v>57</v>
      </c>
      <c r="C67" s="12" t="s">
        <v>206</v>
      </c>
      <c r="D67" s="23"/>
      <c r="E67" s="14" t="s">
        <v>210</v>
      </c>
      <c r="F67" s="19" t="s">
        <v>8</v>
      </c>
      <c r="G67" s="17" t="s">
        <v>209</v>
      </c>
      <c r="H67" s="17" t="s">
        <v>18</v>
      </c>
      <c r="I67" s="17" t="s">
        <v>19</v>
      </c>
      <c r="J67" s="17"/>
      <c r="K67" s="17"/>
      <c r="L67" s="17"/>
      <c r="M67" s="15"/>
    </row>
    <row r="68" spans="1:13" ht="28.8" hidden="1" x14ac:dyDescent="0.3">
      <c r="B68" s="11">
        <v>58</v>
      </c>
      <c r="C68" s="12" t="s">
        <v>206</v>
      </c>
      <c r="D68" s="24"/>
      <c r="E68" s="14" t="s">
        <v>211</v>
      </c>
      <c r="F68" s="19" t="s">
        <v>8</v>
      </c>
      <c r="G68" s="17" t="s">
        <v>209</v>
      </c>
      <c r="H68" s="17" t="s">
        <v>18</v>
      </c>
      <c r="I68" s="17" t="s">
        <v>19</v>
      </c>
      <c r="J68" s="17"/>
      <c r="K68" s="17"/>
      <c r="L68" s="17"/>
      <c r="M68" s="15"/>
    </row>
    <row r="69" spans="1:13" ht="43.2" hidden="1" x14ac:dyDescent="0.3">
      <c r="B69" s="11">
        <v>59</v>
      </c>
      <c r="C69" s="12" t="s">
        <v>212</v>
      </c>
      <c r="D69" s="24"/>
      <c r="E69" s="14" t="s">
        <v>185</v>
      </c>
      <c r="F69" s="19" t="s">
        <v>8</v>
      </c>
      <c r="G69" s="17" t="s">
        <v>209</v>
      </c>
      <c r="H69" s="17" t="s">
        <v>18</v>
      </c>
      <c r="I69" s="17" t="s">
        <v>19</v>
      </c>
      <c r="J69" s="17"/>
      <c r="K69" s="17"/>
      <c r="L69" s="17"/>
      <c r="M69" s="15"/>
    </row>
    <row r="70" spans="1:13" ht="28.8" hidden="1" x14ac:dyDescent="0.3">
      <c r="B70" s="11">
        <v>60</v>
      </c>
      <c r="C70" s="12" t="s">
        <v>213</v>
      </c>
      <c r="D70" s="24"/>
      <c r="E70" s="14" t="s">
        <v>214</v>
      </c>
      <c r="F70" s="19" t="s">
        <v>8</v>
      </c>
      <c r="G70" s="17" t="s">
        <v>209</v>
      </c>
      <c r="H70" s="17" t="s">
        <v>18</v>
      </c>
      <c r="I70" s="17" t="s">
        <v>19</v>
      </c>
      <c r="J70" s="17"/>
      <c r="K70" s="17"/>
      <c r="L70" s="17"/>
      <c r="M70" s="15"/>
    </row>
    <row r="71" spans="1:13" ht="72" hidden="1" x14ac:dyDescent="0.3">
      <c r="B71" s="11">
        <v>61</v>
      </c>
      <c r="C71" s="12" t="s">
        <v>215</v>
      </c>
      <c r="D71" s="24"/>
      <c r="E71" s="14" t="s">
        <v>216</v>
      </c>
      <c r="F71" s="19" t="s">
        <v>8</v>
      </c>
      <c r="G71" s="17" t="s">
        <v>209</v>
      </c>
      <c r="H71" s="17" t="s">
        <v>18</v>
      </c>
      <c r="I71" s="17" t="s">
        <v>19</v>
      </c>
      <c r="J71" s="17"/>
      <c r="K71" s="17"/>
      <c r="L71" s="17"/>
      <c r="M71" s="15"/>
    </row>
    <row r="72" spans="1:13" ht="43.2" hidden="1" x14ac:dyDescent="0.3">
      <c r="B72" s="11">
        <v>62</v>
      </c>
      <c r="C72" s="12" t="s">
        <v>217</v>
      </c>
      <c r="D72" s="24"/>
      <c r="E72" s="14" t="s">
        <v>190</v>
      </c>
      <c r="F72" s="19" t="s">
        <v>8</v>
      </c>
      <c r="G72" s="17" t="s">
        <v>209</v>
      </c>
      <c r="H72" s="17" t="s">
        <v>20</v>
      </c>
      <c r="I72" s="17" t="s">
        <v>12</v>
      </c>
      <c r="J72" s="17"/>
      <c r="K72" s="17" t="s">
        <v>191</v>
      </c>
      <c r="L72" s="17"/>
      <c r="M72" s="15"/>
    </row>
    <row r="73" spans="1:13" ht="86.4" hidden="1" x14ac:dyDescent="0.3">
      <c r="B73" s="11">
        <v>63</v>
      </c>
      <c r="C73" s="12" t="s">
        <v>218</v>
      </c>
      <c r="D73" s="24"/>
      <c r="E73" s="14" t="s">
        <v>219</v>
      </c>
      <c r="F73" s="19" t="s">
        <v>8</v>
      </c>
      <c r="G73" s="17" t="s">
        <v>209</v>
      </c>
      <c r="H73" s="17" t="s">
        <v>21</v>
      </c>
      <c r="I73" s="17" t="s">
        <v>22</v>
      </c>
      <c r="J73" s="17"/>
      <c r="K73" s="17"/>
      <c r="L73" s="17"/>
      <c r="M73" s="15"/>
    </row>
    <row r="74" spans="1:13" ht="90" hidden="1" customHeight="1" x14ac:dyDescent="0.3">
      <c r="B74" s="11">
        <v>64</v>
      </c>
      <c r="C74" s="12" t="s">
        <v>220</v>
      </c>
      <c r="D74" s="24"/>
      <c r="E74" s="14" t="s">
        <v>221</v>
      </c>
      <c r="F74" s="19" t="s">
        <v>8</v>
      </c>
      <c r="G74" s="17" t="s">
        <v>209</v>
      </c>
      <c r="H74" s="17" t="s">
        <v>16</v>
      </c>
      <c r="I74" s="17" t="s">
        <v>17</v>
      </c>
      <c r="J74" s="17"/>
      <c r="K74" s="17"/>
      <c r="L74" s="17"/>
      <c r="M74" s="15"/>
    </row>
    <row r="75" spans="1:13" ht="43.2" hidden="1" x14ac:dyDescent="0.3">
      <c r="B75" s="11">
        <v>65</v>
      </c>
      <c r="C75" s="12" t="s">
        <v>222</v>
      </c>
      <c r="D75" s="24"/>
      <c r="E75" s="14" t="s">
        <v>223</v>
      </c>
      <c r="F75" s="19" t="s">
        <v>8</v>
      </c>
      <c r="G75" s="17" t="s">
        <v>209</v>
      </c>
      <c r="H75" s="17" t="s">
        <v>18</v>
      </c>
      <c r="I75" s="17" t="s">
        <v>224</v>
      </c>
      <c r="J75" s="17"/>
      <c r="K75" s="17"/>
      <c r="L75" s="17"/>
      <c r="M75" s="15" t="s">
        <v>203</v>
      </c>
    </row>
    <row r="76" spans="1:13" ht="45" hidden="1" customHeight="1" x14ac:dyDescent="0.3">
      <c r="B76" s="11">
        <v>66</v>
      </c>
      <c r="C76" s="12" t="s">
        <v>225</v>
      </c>
      <c r="D76" s="27" t="s">
        <v>226</v>
      </c>
      <c r="E76" s="14" t="s">
        <v>227</v>
      </c>
      <c r="F76" s="19" t="s">
        <v>38</v>
      </c>
      <c r="G76" s="17" t="s">
        <v>228</v>
      </c>
      <c r="H76" s="17" t="s">
        <v>13</v>
      </c>
      <c r="I76" s="17" t="s">
        <v>14</v>
      </c>
      <c r="J76" s="17"/>
      <c r="K76" s="17"/>
      <c r="L76" s="17"/>
      <c r="M76" s="15"/>
    </row>
    <row r="77" spans="1:13" s="65" customFormat="1" ht="43.5" hidden="1" customHeight="1" x14ac:dyDescent="0.3">
      <c r="A77" s="69"/>
      <c r="B77" s="58">
        <v>67</v>
      </c>
      <c r="C77" s="59" t="s">
        <v>229</v>
      </c>
      <c r="D77" s="60"/>
      <c r="E77" s="61" t="s">
        <v>230</v>
      </c>
      <c r="F77" s="62" t="s">
        <v>38</v>
      </c>
      <c r="G77" s="63" t="s">
        <v>228</v>
      </c>
      <c r="H77" s="63" t="s">
        <v>13</v>
      </c>
      <c r="I77" s="63" t="s">
        <v>14</v>
      </c>
      <c r="J77" s="63"/>
      <c r="K77" s="63"/>
      <c r="L77" s="63"/>
      <c r="M77" s="64"/>
    </row>
    <row r="78" spans="1:13" ht="43.2" hidden="1" x14ac:dyDescent="0.3">
      <c r="B78" s="11">
        <v>68</v>
      </c>
      <c r="C78" s="12" t="s">
        <v>231</v>
      </c>
      <c r="D78" s="28"/>
      <c r="E78" s="14" t="s">
        <v>232</v>
      </c>
      <c r="F78" s="19" t="s">
        <v>38</v>
      </c>
      <c r="G78" s="17" t="s">
        <v>209</v>
      </c>
      <c r="H78" s="17" t="s">
        <v>41</v>
      </c>
      <c r="I78" s="17" t="s">
        <v>42</v>
      </c>
      <c r="J78" s="17"/>
      <c r="K78" s="17"/>
      <c r="L78" s="17"/>
      <c r="M78" s="15"/>
    </row>
    <row r="79" spans="1:13" ht="43.2" hidden="1" x14ac:dyDescent="0.3">
      <c r="B79" s="11">
        <v>69</v>
      </c>
      <c r="C79" s="12" t="s">
        <v>233</v>
      </c>
      <c r="D79" s="27" t="s">
        <v>234</v>
      </c>
      <c r="E79" s="14" t="s">
        <v>235</v>
      </c>
      <c r="F79" s="19" t="s">
        <v>38</v>
      </c>
      <c r="G79" s="17" t="s">
        <v>228</v>
      </c>
      <c r="H79" s="17" t="s">
        <v>13</v>
      </c>
      <c r="I79" s="17" t="s">
        <v>14</v>
      </c>
      <c r="J79" s="17"/>
      <c r="K79" s="17"/>
      <c r="L79" s="17"/>
      <c r="M79" s="15"/>
    </row>
    <row r="80" spans="1:13" ht="30" hidden="1" customHeight="1" x14ac:dyDescent="0.3">
      <c r="B80" s="11">
        <v>70</v>
      </c>
      <c r="C80" s="12" t="s">
        <v>236</v>
      </c>
      <c r="D80" s="26"/>
      <c r="E80" s="14" t="s">
        <v>237</v>
      </c>
      <c r="F80" s="19" t="s">
        <v>38</v>
      </c>
      <c r="G80" s="17" t="s">
        <v>228</v>
      </c>
      <c r="H80" s="17" t="s">
        <v>13</v>
      </c>
      <c r="I80" s="17" t="s">
        <v>14</v>
      </c>
      <c r="J80" s="17"/>
      <c r="K80" s="17"/>
      <c r="L80" s="17"/>
      <c r="M80" s="15"/>
    </row>
    <row r="81" spans="2:13" ht="43.2" hidden="1" x14ac:dyDescent="0.3">
      <c r="B81" s="11">
        <v>71</v>
      </c>
      <c r="C81" s="12" t="s">
        <v>238</v>
      </c>
      <c r="D81" s="28"/>
      <c r="E81" s="14" t="s">
        <v>239</v>
      </c>
      <c r="F81" s="19" t="s">
        <v>38</v>
      </c>
      <c r="G81" s="17" t="s">
        <v>228</v>
      </c>
      <c r="H81" s="17" t="s">
        <v>13</v>
      </c>
      <c r="I81" s="17" t="s">
        <v>14</v>
      </c>
      <c r="J81" s="17"/>
      <c r="K81" s="17"/>
      <c r="L81" s="17"/>
      <c r="M81" s="15"/>
    </row>
    <row r="82" spans="2:13" ht="43.2" hidden="1" x14ac:dyDescent="0.3">
      <c r="B82" s="11">
        <v>72</v>
      </c>
      <c r="C82" s="12" t="s">
        <v>240</v>
      </c>
      <c r="D82" s="28"/>
      <c r="E82" s="14" t="s">
        <v>241</v>
      </c>
      <c r="F82" s="19" t="s">
        <v>38</v>
      </c>
      <c r="G82" s="17" t="s">
        <v>209</v>
      </c>
      <c r="H82" s="17" t="s">
        <v>41</v>
      </c>
      <c r="I82" s="17" t="s">
        <v>42</v>
      </c>
      <c r="J82" s="17"/>
      <c r="K82" s="17"/>
      <c r="L82" s="17"/>
      <c r="M82" s="15"/>
    </row>
    <row r="83" spans="2:13" ht="72" hidden="1" x14ac:dyDescent="0.3">
      <c r="B83" s="11">
        <v>73</v>
      </c>
      <c r="C83" s="12" t="s">
        <v>242</v>
      </c>
      <c r="D83" s="27" t="s">
        <v>243</v>
      </c>
      <c r="E83" s="14" t="s">
        <v>244</v>
      </c>
      <c r="F83" s="19" t="s">
        <v>38</v>
      </c>
      <c r="G83" s="17" t="s">
        <v>228</v>
      </c>
      <c r="H83" s="17" t="s">
        <v>13</v>
      </c>
      <c r="I83" s="17" t="s">
        <v>14</v>
      </c>
      <c r="J83" s="17"/>
      <c r="K83" s="17"/>
      <c r="L83" s="17"/>
      <c r="M83" s="15" t="s">
        <v>245</v>
      </c>
    </row>
    <row r="84" spans="2:13" ht="45" hidden="1" customHeight="1" x14ac:dyDescent="0.3">
      <c r="B84" s="11">
        <v>74</v>
      </c>
      <c r="C84" s="12" t="s">
        <v>246</v>
      </c>
      <c r="D84" s="26"/>
      <c r="E84" s="14" t="s">
        <v>247</v>
      </c>
      <c r="F84" s="19" t="s">
        <v>38</v>
      </c>
      <c r="G84" s="17" t="s">
        <v>228</v>
      </c>
      <c r="H84" s="17" t="s">
        <v>13</v>
      </c>
      <c r="I84" s="17" t="s">
        <v>14</v>
      </c>
      <c r="J84" s="17"/>
      <c r="K84" s="17"/>
      <c r="L84" s="17"/>
      <c r="M84" s="15" t="s">
        <v>245</v>
      </c>
    </row>
    <row r="85" spans="2:13" ht="43.2" hidden="1" x14ac:dyDescent="0.3">
      <c r="B85" s="11">
        <v>75</v>
      </c>
      <c r="C85" s="12" t="s">
        <v>248</v>
      </c>
      <c r="D85" s="28"/>
      <c r="E85" s="14" t="s">
        <v>249</v>
      </c>
      <c r="F85" s="19" t="s">
        <v>38</v>
      </c>
      <c r="G85" s="17" t="s">
        <v>209</v>
      </c>
      <c r="H85" s="17" t="s">
        <v>41</v>
      </c>
      <c r="I85" s="17" t="s">
        <v>42</v>
      </c>
      <c r="J85" s="17"/>
      <c r="K85" s="17"/>
      <c r="L85" s="17"/>
      <c r="M85" s="15" t="s">
        <v>245</v>
      </c>
    </row>
    <row r="86" spans="2:13" ht="57.6" hidden="1" x14ac:dyDescent="0.3">
      <c r="B86" s="11">
        <v>76</v>
      </c>
      <c r="C86" s="12" t="s">
        <v>250</v>
      </c>
      <c r="D86" s="27" t="s">
        <v>251</v>
      </c>
      <c r="E86" s="14" t="s">
        <v>252</v>
      </c>
      <c r="F86" s="19" t="s">
        <v>38</v>
      </c>
      <c r="G86" s="17" t="s">
        <v>228</v>
      </c>
      <c r="H86" s="17" t="s">
        <v>13</v>
      </c>
      <c r="I86" s="17" t="s">
        <v>14</v>
      </c>
      <c r="J86" s="17"/>
      <c r="K86" s="17"/>
      <c r="L86" s="17"/>
      <c r="M86" s="15" t="s">
        <v>245</v>
      </c>
    </row>
    <row r="87" spans="2:13" ht="45" hidden="1" customHeight="1" x14ac:dyDescent="0.3">
      <c r="B87" s="11">
        <v>77</v>
      </c>
      <c r="C87" s="12" t="s">
        <v>253</v>
      </c>
      <c r="D87" s="26"/>
      <c r="E87" s="14" t="s">
        <v>254</v>
      </c>
      <c r="F87" s="19" t="s">
        <v>38</v>
      </c>
      <c r="G87" s="17" t="s">
        <v>228</v>
      </c>
      <c r="H87" s="17" t="s">
        <v>13</v>
      </c>
      <c r="I87" s="17" t="s">
        <v>14</v>
      </c>
      <c r="J87" s="17"/>
      <c r="K87" s="17"/>
      <c r="L87" s="17"/>
      <c r="M87" s="15" t="s">
        <v>245</v>
      </c>
    </row>
    <row r="88" spans="2:13" ht="43.2" hidden="1" x14ac:dyDescent="0.3">
      <c r="B88" s="11">
        <v>78</v>
      </c>
      <c r="C88" s="12" t="s">
        <v>255</v>
      </c>
      <c r="D88" s="28"/>
      <c r="E88" s="14" t="s">
        <v>256</v>
      </c>
      <c r="F88" s="19" t="s">
        <v>38</v>
      </c>
      <c r="G88" s="17" t="s">
        <v>228</v>
      </c>
      <c r="H88" s="17" t="s">
        <v>13</v>
      </c>
      <c r="I88" s="17" t="s">
        <v>14</v>
      </c>
      <c r="J88" s="17"/>
      <c r="K88" s="17"/>
      <c r="L88" s="17"/>
      <c r="M88" s="15" t="s">
        <v>245</v>
      </c>
    </row>
    <row r="89" spans="2:13" ht="43.2" hidden="1" x14ac:dyDescent="0.3">
      <c r="B89" s="11">
        <v>79</v>
      </c>
      <c r="C89" s="12" t="s">
        <v>257</v>
      </c>
      <c r="D89" s="28"/>
      <c r="E89" s="14" t="s">
        <v>241</v>
      </c>
      <c r="F89" s="19" t="s">
        <v>38</v>
      </c>
      <c r="G89" s="17" t="s">
        <v>209</v>
      </c>
      <c r="H89" s="17" t="s">
        <v>41</v>
      </c>
      <c r="I89" s="17" t="s">
        <v>42</v>
      </c>
      <c r="J89" s="17"/>
      <c r="K89" s="17"/>
      <c r="L89" s="17"/>
      <c r="M89" s="15" t="s">
        <v>245</v>
      </c>
    </row>
    <row r="90" spans="2:13" ht="28.8" hidden="1" x14ac:dyDescent="0.3">
      <c r="B90" s="11">
        <v>80</v>
      </c>
      <c r="C90" s="12" t="s">
        <v>258</v>
      </c>
      <c r="D90" s="25" t="s">
        <v>259</v>
      </c>
      <c r="E90" s="14" t="s">
        <v>260</v>
      </c>
      <c r="F90" s="19" t="s">
        <v>8</v>
      </c>
      <c r="G90" s="17" t="s">
        <v>261</v>
      </c>
      <c r="H90" s="17" t="s">
        <v>13</v>
      </c>
      <c r="I90" s="17" t="s">
        <v>14</v>
      </c>
      <c r="J90" s="17"/>
      <c r="K90" s="17"/>
      <c r="L90" s="17"/>
      <c r="M90" s="15"/>
    </row>
    <row r="91" spans="2:13" ht="28.8" hidden="1" x14ac:dyDescent="0.3">
      <c r="B91" s="11">
        <v>81</v>
      </c>
      <c r="C91" s="12" t="s">
        <v>262</v>
      </c>
      <c r="D91" s="23"/>
      <c r="E91" s="14" t="s">
        <v>263</v>
      </c>
      <c r="F91" s="19" t="s">
        <v>8</v>
      </c>
      <c r="G91" s="17" t="s">
        <v>261</v>
      </c>
      <c r="H91" s="17" t="s">
        <v>13</v>
      </c>
      <c r="I91" s="17" t="s">
        <v>14</v>
      </c>
      <c r="J91" s="17"/>
      <c r="K91" s="17"/>
      <c r="L91" s="17"/>
      <c r="M91" s="15"/>
    </row>
    <row r="92" spans="2:13" ht="28.8" hidden="1" x14ac:dyDescent="0.3">
      <c r="B92" s="11">
        <v>82</v>
      </c>
      <c r="C92" s="12" t="s">
        <v>264</v>
      </c>
      <c r="D92" s="24"/>
      <c r="E92" s="14" t="s">
        <v>265</v>
      </c>
      <c r="F92" s="19" t="s">
        <v>8</v>
      </c>
      <c r="G92" s="17" t="s">
        <v>261</v>
      </c>
      <c r="H92" s="17" t="s">
        <v>13</v>
      </c>
      <c r="I92" s="17" t="s">
        <v>14</v>
      </c>
      <c r="J92" s="17"/>
      <c r="K92" s="17"/>
      <c r="L92" s="17"/>
      <c r="M92" s="15"/>
    </row>
    <row r="93" spans="2:13" ht="43.2" hidden="1" x14ac:dyDescent="0.3">
      <c r="B93" s="11">
        <v>83</v>
      </c>
      <c r="C93" s="12" t="s">
        <v>266</v>
      </c>
      <c r="D93" s="24"/>
      <c r="E93" s="14" t="s">
        <v>267</v>
      </c>
      <c r="F93" s="19" t="s">
        <v>8</v>
      </c>
      <c r="G93" s="17" t="s">
        <v>261</v>
      </c>
      <c r="H93" s="17" t="s">
        <v>13</v>
      </c>
      <c r="I93" s="17" t="s">
        <v>14</v>
      </c>
      <c r="J93" s="17"/>
      <c r="K93" s="17"/>
      <c r="L93" s="17"/>
      <c r="M93" s="15"/>
    </row>
    <row r="94" spans="2:13" ht="28.8" hidden="1" x14ac:dyDescent="0.3">
      <c r="B94" s="11">
        <v>84</v>
      </c>
      <c r="C94" s="12" t="s">
        <v>268</v>
      </c>
      <c r="D94" s="24"/>
      <c r="E94" s="14" t="s">
        <v>269</v>
      </c>
      <c r="F94" s="19" t="s">
        <v>8</v>
      </c>
      <c r="G94" s="17" t="s">
        <v>261</v>
      </c>
      <c r="H94" s="17" t="s">
        <v>13</v>
      </c>
      <c r="I94" s="17" t="s">
        <v>14</v>
      </c>
      <c r="J94" s="17"/>
      <c r="K94" s="17"/>
      <c r="L94" s="17"/>
      <c r="M94" s="14" t="s">
        <v>270</v>
      </c>
    </row>
    <row r="95" spans="2:13" ht="30" hidden="1" customHeight="1" x14ac:dyDescent="0.3">
      <c r="B95" s="11">
        <v>85</v>
      </c>
      <c r="C95" s="12" t="s">
        <v>271</v>
      </c>
      <c r="D95" s="24"/>
      <c r="E95" s="14" t="s">
        <v>272</v>
      </c>
      <c r="F95" s="19" t="s">
        <v>8</v>
      </c>
      <c r="G95" s="17" t="s">
        <v>261</v>
      </c>
      <c r="H95" s="17" t="s">
        <v>13</v>
      </c>
      <c r="I95" s="17" t="s">
        <v>14</v>
      </c>
      <c r="J95" s="17"/>
      <c r="K95" s="17"/>
      <c r="L95" s="17"/>
      <c r="M95" s="15"/>
    </row>
    <row r="96" spans="2:13" ht="100.8" hidden="1" x14ac:dyDescent="0.3">
      <c r="B96" s="11">
        <v>86</v>
      </c>
      <c r="C96" s="12" t="s">
        <v>273</v>
      </c>
      <c r="D96" s="24"/>
      <c r="E96" s="14" t="s">
        <v>274</v>
      </c>
      <c r="F96" s="19" t="s">
        <v>8</v>
      </c>
      <c r="G96" s="17" t="s">
        <v>261</v>
      </c>
      <c r="H96" s="17" t="s">
        <v>13</v>
      </c>
      <c r="I96" s="17" t="s">
        <v>14</v>
      </c>
      <c r="J96" s="17"/>
      <c r="K96" s="17"/>
      <c r="L96" s="17"/>
      <c r="M96" s="15"/>
    </row>
    <row r="97" spans="1:13" ht="72" hidden="1" x14ac:dyDescent="0.3">
      <c r="B97" s="11">
        <v>87</v>
      </c>
      <c r="C97" s="12" t="s">
        <v>275</v>
      </c>
      <c r="D97" s="24"/>
      <c r="E97" s="14" t="s">
        <v>276</v>
      </c>
      <c r="F97" s="19" t="s">
        <v>8</v>
      </c>
      <c r="G97" s="17" t="s">
        <v>261</v>
      </c>
      <c r="H97" s="17" t="s">
        <v>13</v>
      </c>
      <c r="I97" s="17" t="s">
        <v>14</v>
      </c>
      <c r="J97" s="17"/>
      <c r="K97" s="17"/>
      <c r="L97" s="17"/>
      <c r="M97" s="15"/>
    </row>
    <row r="98" spans="1:13" ht="249" hidden="1" customHeight="1" x14ac:dyDescent="0.3">
      <c r="B98" s="11">
        <v>88</v>
      </c>
      <c r="C98" s="12" t="s">
        <v>277</v>
      </c>
      <c r="D98" s="24"/>
      <c r="E98" s="14" t="s">
        <v>278</v>
      </c>
      <c r="F98" s="19" t="s">
        <v>8</v>
      </c>
      <c r="G98" s="17" t="s">
        <v>261</v>
      </c>
      <c r="H98" s="17" t="s">
        <v>13</v>
      </c>
      <c r="I98" s="17" t="s">
        <v>14</v>
      </c>
      <c r="J98" s="17"/>
      <c r="K98" s="17"/>
      <c r="L98" s="17"/>
      <c r="M98" s="14" t="s">
        <v>279</v>
      </c>
    </row>
    <row r="99" spans="1:13" ht="34.950000000000003" hidden="1" customHeight="1" x14ac:dyDescent="0.3">
      <c r="B99" s="11">
        <v>89</v>
      </c>
      <c r="C99" s="12" t="s">
        <v>280</v>
      </c>
      <c r="D99" s="24"/>
      <c r="E99" s="14" t="s">
        <v>281</v>
      </c>
      <c r="F99" s="19" t="s">
        <v>8</v>
      </c>
      <c r="G99" s="17" t="s">
        <v>261</v>
      </c>
      <c r="H99" s="17" t="s">
        <v>13</v>
      </c>
      <c r="I99" s="17" t="s">
        <v>14</v>
      </c>
      <c r="J99" s="17"/>
      <c r="K99" s="17"/>
      <c r="L99" s="17"/>
      <c r="M99" s="15"/>
    </row>
    <row r="100" spans="1:13" s="54" customFormat="1" ht="394.2" hidden="1" customHeight="1" x14ac:dyDescent="0.3">
      <c r="A100" s="67" t="s">
        <v>337</v>
      </c>
      <c r="B100" s="47">
        <v>90</v>
      </c>
      <c r="C100" s="48" t="s">
        <v>282</v>
      </c>
      <c r="D100" s="56"/>
      <c r="E100" s="53" t="s">
        <v>283</v>
      </c>
      <c r="F100" s="66" t="s">
        <v>8</v>
      </c>
      <c r="G100" s="52" t="s">
        <v>261</v>
      </c>
      <c r="H100" s="52" t="s">
        <v>13</v>
      </c>
      <c r="I100" s="52" t="s">
        <v>14</v>
      </c>
      <c r="J100" s="52"/>
      <c r="K100" s="52"/>
      <c r="L100" s="52"/>
      <c r="M100" s="53" t="s">
        <v>284</v>
      </c>
    </row>
    <row r="101" spans="1:13" ht="85.05" hidden="1" customHeight="1" x14ac:dyDescent="0.3">
      <c r="B101" s="11">
        <v>91</v>
      </c>
      <c r="C101" s="12" t="s">
        <v>285</v>
      </c>
      <c r="D101" s="24"/>
      <c r="E101" s="14" t="s">
        <v>286</v>
      </c>
      <c r="F101" s="19" t="s">
        <v>8</v>
      </c>
      <c r="G101" s="17" t="s">
        <v>261</v>
      </c>
      <c r="H101" s="17" t="s">
        <v>13</v>
      </c>
      <c r="I101" s="17" t="s">
        <v>14</v>
      </c>
      <c r="J101" s="17"/>
      <c r="K101" s="17"/>
      <c r="L101" s="17"/>
      <c r="M101" s="15"/>
    </row>
    <row r="102" spans="1:13" ht="28.8" hidden="1" x14ac:dyDescent="0.3">
      <c r="B102" s="11">
        <v>92</v>
      </c>
      <c r="C102" s="12" t="s">
        <v>287</v>
      </c>
      <c r="D102" s="24"/>
      <c r="E102" s="14" t="s">
        <v>288</v>
      </c>
      <c r="F102" s="19" t="s">
        <v>8</v>
      </c>
      <c r="G102" s="17" t="s">
        <v>261</v>
      </c>
      <c r="H102" s="17" t="s">
        <v>13</v>
      </c>
      <c r="I102" s="17" t="s">
        <v>14</v>
      </c>
      <c r="J102" s="17"/>
      <c r="K102" s="17"/>
      <c r="L102" s="17"/>
      <c r="M102" s="15"/>
    </row>
    <row r="103" spans="1:13" ht="333" hidden="1" customHeight="1" x14ac:dyDescent="0.3">
      <c r="A103" s="70" t="s">
        <v>338</v>
      </c>
      <c r="B103" s="11">
        <v>93</v>
      </c>
      <c r="C103" s="12" t="s">
        <v>289</v>
      </c>
      <c r="D103" s="27" t="s">
        <v>290</v>
      </c>
      <c r="E103" s="14" t="s">
        <v>339</v>
      </c>
      <c r="F103" s="19" t="s">
        <v>8</v>
      </c>
      <c r="G103" s="17" t="s">
        <v>146</v>
      </c>
      <c r="H103" s="17" t="s">
        <v>30</v>
      </c>
      <c r="I103" s="17" t="s">
        <v>31</v>
      </c>
      <c r="J103" s="17"/>
      <c r="K103" s="17" t="s">
        <v>291</v>
      </c>
      <c r="L103" s="17"/>
      <c r="M103" s="15"/>
    </row>
    <row r="104" spans="1:13" ht="43.2" hidden="1" x14ac:dyDescent="0.3">
      <c r="B104" s="11">
        <v>94</v>
      </c>
      <c r="C104" s="12" t="s">
        <v>292</v>
      </c>
      <c r="D104" s="26"/>
      <c r="E104" s="14" t="s">
        <v>293</v>
      </c>
      <c r="F104" s="19" t="s">
        <v>38</v>
      </c>
      <c r="G104" s="17" t="s">
        <v>98</v>
      </c>
      <c r="H104" s="17" t="s">
        <v>13</v>
      </c>
      <c r="I104" s="17" t="s">
        <v>14</v>
      </c>
      <c r="J104" s="17"/>
      <c r="K104" s="17"/>
      <c r="L104" s="17"/>
      <c r="M104" s="15" t="s">
        <v>294</v>
      </c>
    </row>
    <row r="105" spans="1:13" ht="57.6" hidden="1" x14ac:dyDescent="0.3">
      <c r="B105" s="11">
        <v>95</v>
      </c>
      <c r="C105" s="12" t="s">
        <v>295</v>
      </c>
      <c r="D105" s="28"/>
      <c r="E105" s="14" t="s">
        <v>296</v>
      </c>
      <c r="F105" s="19" t="s">
        <v>38</v>
      </c>
      <c r="G105" s="17" t="s">
        <v>98</v>
      </c>
      <c r="H105" s="17" t="s">
        <v>13</v>
      </c>
      <c r="I105" s="17" t="s">
        <v>14</v>
      </c>
      <c r="J105" s="17"/>
      <c r="K105" s="17"/>
      <c r="L105" s="17"/>
      <c r="M105" s="15"/>
    </row>
    <row r="106" spans="1:13" ht="43.2" hidden="1" x14ac:dyDescent="0.3">
      <c r="B106" s="11">
        <v>96</v>
      </c>
      <c r="C106" s="12" t="s">
        <v>297</v>
      </c>
      <c r="D106" s="28"/>
      <c r="E106" s="14" t="s">
        <v>298</v>
      </c>
      <c r="F106" s="19" t="s">
        <v>38</v>
      </c>
      <c r="G106" s="17" t="s">
        <v>98</v>
      </c>
      <c r="H106" s="17" t="s">
        <v>13</v>
      </c>
      <c r="I106" s="17" t="s">
        <v>14</v>
      </c>
      <c r="J106" s="17"/>
      <c r="K106" s="17"/>
      <c r="L106" s="17"/>
      <c r="M106" s="15"/>
    </row>
    <row r="107" spans="1:13" ht="43.2" hidden="1" x14ac:dyDescent="0.3">
      <c r="B107" s="11">
        <v>97</v>
      </c>
      <c r="C107" s="12" t="s">
        <v>299</v>
      </c>
      <c r="D107" s="28"/>
      <c r="E107" s="14" t="s">
        <v>300</v>
      </c>
      <c r="F107" s="19" t="s">
        <v>38</v>
      </c>
      <c r="G107" s="17" t="s">
        <v>98</v>
      </c>
      <c r="H107" s="17" t="s">
        <v>13</v>
      </c>
      <c r="I107" s="17" t="s">
        <v>14</v>
      </c>
      <c r="J107" s="17"/>
      <c r="K107" s="17"/>
      <c r="L107" s="17"/>
      <c r="M107" s="15"/>
    </row>
    <row r="108" spans="1:13" ht="201.6" hidden="1" x14ac:dyDescent="0.3">
      <c r="B108" s="11">
        <v>98</v>
      </c>
      <c r="C108" s="12" t="s">
        <v>301</v>
      </c>
      <c r="D108" s="28"/>
      <c r="E108" s="14" t="s">
        <v>302</v>
      </c>
      <c r="F108" s="19" t="s">
        <v>38</v>
      </c>
      <c r="G108" s="17" t="s">
        <v>98</v>
      </c>
      <c r="H108" s="17" t="s">
        <v>13</v>
      </c>
      <c r="I108" s="17" t="s">
        <v>14</v>
      </c>
      <c r="J108" s="17"/>
      <c r="K108" s="17"/>
      <c r="L108" s="17"/>
      <c r="M108" s="15"/>
    </row>
    <row r="109" spans="1:13" ht="43.2" hidden="1" x14ac:dyDescent="0.3">
      <c r="B109" s="11">
        <v>99</v>
      </c>
      <c r="C109" s="12" t="s">
        <v>303</v>
      </c>
      <c r="D109" s="28"/>
      <c r="E109" s="14" t="s">
        <v>304</v>
      </c>
      <c r="F109" s="19" t="s">
        <v>38</v>
      </c>
      <c r="G109" s="17" t="s">
        <v>98</v>
      </c>
      <c r="H109" s="17" t="s">
        <v>13</v>
      </c>
      <c r="I109" s="17" t="s">
        <v>14</v>
      </c>
      <c r="J109" s="17"/>
      <c r="K109" s="17"/>
      <c r="L109" s="17"/>
      <c r="M109" s="15"/>
    </row>
    <row r="110" spans="1:13" ht="409.2" customHeight="1" x14ac:dyDescent="0.3">
      <c r="A110" s="67" t="s">
        <v>340</v>
      </c>
      <c r="B110" s="11">
        <v>100</v>
      </c>
      <c r="C110" s="12" t="s">
        <v>305</v>
      </c>
      <c r="D110" s="27"/>
      <c r="E110" s="14" t="s">
        <v>341</v>
      </c>
      <c r="F110" s="19" t="s">
        <v>38</v>
      </c>
      <c r="G110" s="17" t="s">
        <v>98</v>
      </c>
      <c r="H110" s="17" t="s">
        <v>13</v>
      </c>
      <c r="I110" s="17" t="s">
        <v>14</v>
      </c>
      <c r="J110" s="17"/>
      <c r="K110" s="17"/>
      <c r="L110" s="17"/>
      <c r="M110" s="15"/>
    </row>
    <row r="111" spans="1:13" ht="248.4" hidden="1" customHeight="1" x14ac:dyDescent="0.3">
      <c r="A111" s="67" t="s">
        <v>342</v>
      </c>
      <c r="B111" s="11">
        <v>101</v>
      </c>
      <c r="C111" s="12" t="s">
        <v>306</v>
      </c>
      <c r="D111" s="28"/>
      <c r="E111" s="14" t="s">
        <v>307</v>
      </c>
      <c r="F111" s="19" t="s">
        <v>38</v>
      </c>
      <c r="G111" s="17" t="s">
        <v>98</v>
      </c>
      <c r="H111" s="17" t="s">
        <v>13</v>
      </c>
      <c r="I111" s="17" t="s">
        <v>14</v>
      </c>
      <c r="J111" s="17"/>
      <c r="K111" s="17"/>
      <c r="L111" s="17"/>
      <c r="M111" s="15"/>
    </row>
    <row r="112" spans="1:13" ht="136.19999999999999" hidden="1" customHeight="1" x14ac:dyDescent="0.3">
      <c r="A112" s="67" t="s">
        <v>343</v>
      </c>
      <c r="B112" s="11">
        <v>102</v>
      </c>
      <c r="C112" s="12" t="s">
        <v>308</v>
      </c>
      <c r="D112" s="27" t="s">
        <v>309</v>
      </c>
      <c r="E112" s="14" t="s">
        <v>310</v>
      </c>
      <c r="F112" s="19" t="s">
        <v>38</v>
      </c>
      <c r="G112" s="17" t="s">
        <v>61</v>
      </c>
      <c r="H112" s="16" t="s">
        <v>28</v>
      </c>
      <c r="I112" s="16" t="s">
        <v>29</v>
      </c>
      <c r="J112" s="17"/>
      <c r="K112" s="17"/>
      <c r="L112" s="17"/>
      <c r="M112" s="15"/>
    </row>
    <row r="113" spans="1:13" ht="165.6" hidden="1" customHeight="1" x14ac:dyDescent="0.3">
      <c r="A113" s="67" t="s">
        <v>344</v>
      </c>
      <c r="B113" s="11">
        <v>103</v>
      </c>
      <c r="C113" s="12" t="s">
        <v>311</v>
      </c>
      <c r="D113" s="26"/>
      <c r="E113" s="14" t="s">
        <v>312</v>
      </c>
      <c r="F113" s="19" t="s">
        <v>38</v>
      </c>
      <c r="G113" s="17" t="s">
        <v>61</v>
      </c>
      <c r="H113" s="16" t="s">
        <v>28</v>
      </c>
      <c r="I113" s="16" t="s">
        <v>29</v>
      </c>
      <c r="J113" s="17"/>
      <c r="K113" s="17"/>
      <c r="L113" s="17"/>
      <c r="M113" s="15"/>
    </row>
    <row r="114" spans="1:13" ht="49.8" hidden="1" customHeight="1" x14ac:dyDescent="0.3">
      <c r="A114" s="67" t="s">
        <v>344</v>
      </c>
      <c r="B114" s="11">
        <v>104</v>
      </c>
      <c r="C114" s="12" t="s">
        <v>313</v>
      </c>
      <c r="D114" s="28"/>
      <c r="E114" s="14" t="s">
        <v>314</v>
      </c>
      <c r="F114" s="19" t="s">
        <v>38</v>
      </c>
      <c r="G114" s="17" t="s">
        <v>61</v>
      </c>
      <c r="H114" s="16" t="s">
        <v>28</v>
      </c>
      <c r="I114" s="16" t="s">
        <v>29</v>
      </c>
      <c r="J114" s="16"/>
      <c r="K114" s="17"/>
      <c r="L114" s="17"/>
      <c r="M114" s="15"/>
    </row>
    <row r="115" spans="1:13" ht="43.2" hidden="1" x14ac:dyDescent="0.3">
      <c r="A115" s="67" t="s">
        <v>344</v>
      </c>
      <c r="B115" s="11">
        <v>105</v>
      </c>
      <c r="C115" s="12" t="s">
        <v>315</v>
      </c>
      <c r="D115" s="28"/>
      <c r="E115" s="14" t="s">
        <v>316</v>
      </c>
      <c r="F115" s="19" t="s">
        <v>38</v>
      </c>
      <c r="G115" s="17" t="s">
        <v>61</v>
      </c>
      <c r="H115" s="16" t="s">
        <v>28</v>
      </c>
      <c r="I115" s="16" t="s">
        <v>29</v>
      </c>
      <c r="J115" s="17"/>
      <c r="K115" s="17"/>
      <c r="L115" s="17"/>
      <c r="M115" s="15"/>
    </row>
    <row r="116" spans="1:13" ht="57.6" hidden="1" x14ac:dyDescent="0.3">
      <c r="B116" s="11">
        <v>106</v>
      </c>
      <c r="C116" s="12" t="s">
        <v>317</v>
      </c>
      <c r="D116" s="28"/>
      <c r="E116" s="14" t="s">
        <v>318</v>
      </c>
      <c r="F116" s="19" t="s">
        <v>38</v>
      </c>
      <c r="G116" s="17" t="s">
        <v>61</v>
      </c>
      <c r="H116" s="16" t="s">
        <v>28</v>
      </c>
      <c r="I116" s="16" t="s">
        <v>29</v>
      </c>
      <c r="J116" s="16"/>
      <c r="K116" s="17"/>
      <c r="L116" s="17"/>
      <c r="M116" s="15"/>
    </row>
    <row r="117" spans="1:13" ht="209.4" hidden="1" customHeight="1" x14ac:dyDescent="0.3">
      <c r="A117" s="67" t="s">
        <v>345</v>
      </c>
      <c r="B117" s="11">
        <v>107</v>
      </c>
      <c r="C117" s="12" t="s">
        <v>319</v>
      </c>
      <c r="D117" s="25" t="s">
        <v>320</v>
      </c>
      <c r="E117" s="14" t="s">
        <v>321</v>
      </c>
      <c r="F117" s="19" t="s">
        <v>38</v>
      </c>
      <c r="G117" s="17" t="s">
        <v>261</v>
      </c>
      <c r="H117" s="17" t="s">
        <v>13</v>
      </c>
      <c r="I117" s="17" t="s">
        <v>14</v>
      </c>
      <c r="J117" s="17"/>
      <c r="K117" s="17"/>
      <c r="L117" s="17"/>
      <c r="M117" s="15"/>
    </row>
    <row r="118" spans="1:13" ht="72" hidden="1" x14ac:dyDescent="0.3">
      <c r="A118" s="67" t="s">
        <v>345</v>
      </c>
      <c r="B118" s="11">
        <v>108</v>
      </c>
      <c r="C118" s="12" t="s">
        <v>322</v>
      </c>
      <c r="D118" s="23"/>
      <c r="E118" s="14" t="s">
        <v>323</v>
      </c>
      <c r="F118" s="19" t="s">
        <v>38</v>
      </c>
      <c r="G118" s="17" t="s">
        <v>261</v>
      </c>
      <c r="H118" s="17" t="s">
        <v>13</v>
      </c>
      <c r="I118" s="17" t="s">
        <v>14</v>
      </c>
      <c r="J118" s="17"/>
      <c r="K118" s="17"/>
      <c r="L118" s="17"/>
      <c r="M118" s="15"/>
    </row>
    <row r="119" spans="1:13" ht="43.2" hidden="1" x14ac:dyDescent="0.3">
      <c r="A119" s="67" t="s">
        <v>346</v>
      </c>
      <c r="B119" s="11">
        <v>109</v>
      </c>
      <c r="C119" s="12" t="s">
        <v>324</v>
      </c>
      <c r="D119" s="24"/>
      <c r="E119" s="14" t="s">
        <v>325</v>
      </c>
      <c r="F119" s="19" t="s">
        <v>38</v>
      </c>
      <c r="G119" s="17" t="s">
        <v>261</v>
      </c>
      <c r="H119" s="17" t="s">
        <v>13</v>
      </c>
      <c r="I119" s="17" t="s">
        <v>14</v>
      </c>
      <c r="J119" s="17"/>
      <c r="K119" s="17"/>
      <c r="L119" s="17"/>
      <c r="M119" s="15"/>
    </row>
    <row r="120" spans="1:13" ht="46.5" hidden="1" customHeight="1" x14ac:dyDescent="0.3">
      <c r="A120" s="67" t="s">
        <v>346</v>
      </c>
      <c r="B120" s="11">
        <v>110</v>
      </c>
      <c r="C120" s="12" t="s">
        <v>326</v>
      </c>
      <c r="D120" s="24"/>
      <c r="E120" s="14" t="s">
        <v>327</v>
      </c>
      <c r="F120" s="19" t="s">
        <v>38</v>
      </c>
      <c r="G120" s="17" t="s">
        <v>261</v>
      </c>
      <c r="H120" s="17" t="s">
        <v>13</v>
      </c>
      <c r="I120" s="17" t="s">
        <v>14</v>
      </c>
      <c r="J120" s="17"/>
      <c r="K120" s="17"/>
      <c r="L120" s="17"/>
      <c r="M120" s="15"/>
    </row>
    <row r="121" spans="1:13" ht="28.8" hidden="1" x14ac:dyDescent="0.3">
      <c r="A121" s="67" t="s">
        <v>346</v>
      </c>
      <c r="B121" s="11">
        <v>111</v>
      </c>
      <c r="C121" s="12" t="s">
        <v>328</v>
      </c>
      <c r="D121" s="24"/>
      <c r="E121" s="14" t="s">
        <v>329</v>
      </c>
      <c r="F121" s="19" t="s">
        <v>38</v>
      </c>
      <c r="G121" s="17" t="s">
        <v>261</v>
      </c>
      <c r="H121" s="17" t="s">
        <v>13</v>
      </c>
      <c r="I121" s="17" t="s">
        <v>14</v>
      </c>
      <c r="J121" s="17"/>
      <c r="K121" s="17"/>
      <c r="L121" s="17"/>
      <c r="M121" s="15"/>
    </row>
    <row r="122" spans="1:13" ht="129" hidden="1" customHeight="1" x14ac:dyDescent="0.3">
      <c r="B122" s="11">
        <v>112</v>
      </c>
      <c r="C122" s="12" t="s">
        <v>330</v>
      </c>
      <c r="D122" s="27" t="s">
        <v>331</v>
      </c>
      <c r="E122" s="14" t="s">
        <v>332</v>
      </c>
      <c r="F122" s="19" t="s">
        <v>38</v>
      </c>
      <c r="G122" s="17" t="s">
        <v>124</v>
      </c>
      <c r="H122" s="17" t="s">
        <v>13</v>
      </c>
      <c r="I122" s="17" t="s">
        <v>14</v>
      </c>
      <c r="J122" s="17"/>
      <c r="K122" s="17"/>
      <c r="L122" s="17"/>
      <c r="M122" s="14" t="s">
        <v>333</v>
      </c>
    </row>
  </sheetData>
  <autoFilter ref="A9:M122" xr:uid="{216005EB-B2F2-4D95-BA2A-9B4EA93EC571}">
    <filterColumn colId="1">
      <filters>
        <filter val="100"/>
      </filters>
    </filterColumn>
  </autoFilter>
  <phoneticPr fontId="7" type="noConversion"/>
  <conditionalFormatting sqref="E1:E1048576">
    <cfRule type="duplicateValues" dxfId="10" priority="25"/>
  </conditionalFormatting>
  <conditionalFormatting sqref="E9:E122">
    <cfRule type="duplicateValues" dxfId="9" priority="26"/>
    <cfRule type="duplicateValues" dxfId="8" priority="27"/>
  </conditionalFormatting>
  <conditionalFormatting sqref="K2:K4 L8:L1048576">
    <cfRule type="containsText" dxfId="7" priority="4" operator="containsText" text="Hoàn tất">
      <formula>NOT(ISERROR(SEARCH("Hoàn tất",K2)))</formula>
    </cfRule>
    <cfRule type="containsText" dxfId="6" priority="5" operator="containsText" text="điều chỉnh">
      <formula>NOT(ISERROR(SEARCH("điều chỉnh",K2)))</formula>
    </cfRule>
    <cfRule type="containsText" dxfId="5" priority="6" operator="containsText" text="review">
      <formula>NOT(ISERROR(SEARCH("review",K2)))</formula>
    </cfRule>
    <cfRule type="containsText" dxfId="4" priority="7" operator="containsText" text="điền">
      <formula>NOT(ISERROR(SEARCH("điền",K2)))</formula>
    </cfRule>
  </conditionalFormatting>
  <conditionalFormatting sqref="L1:L5">
    <cfRule type="containsText" dxfId="3" priority="16" operator="containsText" text="Hoàn tất">
      <formula>NOT(ISERROR(SEARCH("Hoàn tất",L1)))</formula>
    </cfRule>
    <cfRule type="containsText" dxfId="2" priority="17" operator="containsText" text="điều chỉnh">
      <formula>NOT(ISERROR(SEARCH("điều chỉnh",L1)))</formula>
    </cfRule>
    <cfRule type="containsText" dxfId="1" priority="18" operator="containsText" text="review">
      <formula>NOT(ISERROR(SEARCH("review",L1)))</formula>
    </cfRule>
    <cfRule type="containsText" dxfId="0" priority="19" operator="containsText" text="điền">
      <formula>NOT(ISERROR(SEARCH("điền",L1)))</formula>
    </cfRule>
  </conditionalFormatting>
  <dataValidations disablePrompts="1" count="3">
    <dataValidation type="list" allowBlank="1" showInputMessage="1" showErrorMessage="1" sqref="L123:L1048576" xr:uid="{08A3EECA-CD7F-44E0-A8A5-E4076985C981}">
      <formula1>"Bộ phận điền, GHC review, Điều chỉnh,  Hoàn tất"</formula1>
    </dataValidation>
    <dataValidation type="list" allowBlank="1" showInputMessage="1" showErrorMessage="1" sqref="L9:L122" xr:uid="{CEE3DEEA-02CC-4E96-91EB-C3535B14BD90}">
      <formula1>"Bộ phận điền, Điều chỉnh,  Hoàn tất, Không cần kê khai"</formula1>
    </dataValidation>
    <dataValidation type="list" allowBlank="1" showInputMessage="1" showErrorMessage="1" sqref="J9:J122" xr:uid="{40A4E3EC-9A61-47C1-AD8E-020D87D4EED8}">
      <formula1>"Yes, No"</formula1>
    </dataValidation>
  </dataValidations>
  <pageMargins left="0.7" right="0.7" top="0.75" bottom="0.75" header="0.3" footer="0.3"/>
  <pageSetup paperSize="9" scale="59" fitToHeight="0" orientation="landscape"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2D1FE6F030DED4BA982408E4F5C1ECD" ma:contentTypeVersion="3" ma:contentTypeDescription="Create a new document." ma:contentTypeScope="" ma:versionID="dc3fa5e45772808c98ce669925a475a5">
  <xsd:schema xmlns:xsd="http://www.w3.org/2001/XMLSchema" xmlns:xs="http://www.w3.org/2001/XMLSchema" xmlns:p="http://schemas.microsoft.com/office/2006/metadata/properties" xmlns:ns2="915792f5-55b6-401d-9be8-f77bd19071f9" targetNamespace="http://schemas.microsoft.com/office/2006/metadata/properties" ma:root="true" ma:fieldsID="63eda5e0d90c599433d0a2e01ff70c16" ns2:_="">
    <xsd:import namespace="915792f5-55b6-401d-9be8-f77bd19071f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5792f5-55b6-401d-9be8-f77bd19071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26B785-FFB4-4C8D-BD18-8B0DB79D175F}">
  <ds:schemaRefs>
    <ds:schemaRef ds:uri="http://schemas.microsoft.com/sharepoint/v3/contenttype/forms"/>
  </ds:schemaRefs>
</ds:datastoreItem>
</file>

<file path=customXml/itemProps2.xml><?xml version="1.0" encoding="utf-8"?>
<ds:datastoreItem xmlns:ds="http://schemas.openxmlformats.org/officeDocument/2006/customXml" ds:itemID="{BAAB17D1-35EC-4154-9A7F-F8A6585F599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285162D-C9C2-4CF8-A530-82796E600C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5792f5-55b6-401d-9be8-f77bd19071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ToanNT</dc:creator>
  <cp:keywords/>
  <dc:description/>
  <cp:lastModifiedBy>Nhâm, Hoàng Thị</cp:lastModifiedBy>
  <cp:revision/>
  <dcterms:created xsi:type="dcterms:W3CDTF">2023-02-01T03:08:44Z</dcterms:created>
  <dcterms:modified xsi:type="dcterms:W3CDTF">2025-06-13T03:38:29Z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0x01010002D1FE6F030DED4BA982408E4F5C1ECD</vt:lpwstr>
  </property>
  <property fmtid="{D5CDD505-2E9C-101B-9397-08002B2CF9AE}" pid="3" name="MediaServiceImageTags">
    <vt:lpwstr/>
  </property>
</Properties>
</file>