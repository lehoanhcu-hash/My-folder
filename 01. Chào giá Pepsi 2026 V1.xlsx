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"/>
    </mc:Choice>
  </mc:AlternateContent>
  <xr:revisionPtr revIDLastSave="0" documentId="13_ncr:1_{7805F797-FC88-4DB0-BDE9-0E82E4E9850F}" xr6:coauthVersionLast="47" xr6:coauthVersionMax="47" xr10:uidLastSave="{00000000-0000-0000-0000-000000000000}"/>
  <bookViews>
    <workbookView xWindow="-110" yWindow="-110" windowWidth="19420" windowHeight="10300" xr2:uid="{540A27B8-DAB8-4B30-953B-3D8C157242EF}"/>
  </bookViews>
  <sheets>
    <sheet name="TH" sheetId="2" r:id="rId1"/>
    <sheet name="Chart" sheetId="5" r:id="rId2"/>
    <sheet name="ISS01084G" sheetId="3" r:id="rId3"/>
    <sheet name="ISS01G-S" sheetId="4" r:id="rId4"/>
    <sheet name="ISS01084G (2)" sheetId="6" r:id="rId5"/>
    <sheet name="ISS01G-S (2)" sheetId="7" r:id="rId6"/>
  </sheets>
  <definedNames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xlnm._FilterDatabase" localSheetId="2" hidden="1">ISS01084G!$C$7:$M$109</definedName>
    <definedName name="_xlnm._FilterDatabase" localSheetId="4" hidden="1">'ISS01084G (2)'!$C$7:$M$109</definedName>
    <definedName name="_xlnm._FilterDatabase" localSheetId="3" hidden="1">'ISS01G-S'!$C$7:$M$109</definedName>
    <definedName name="_xlnm._FilterDatabase" localSheetId="5" hidden="1">'ISS01G-S (2)'!$C$7:$M$109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hemicalReagent">#REF!</definedName>
    <definedName name="CL">#REF!</definedName>
    <definedName name="CLTMP">#REF!</definedName>
    <definedName name="CLVC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ntingency">#REF!</definedName>
    <definedName name="COPY">#REF!</definedName>
    <definedName name="COST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2">{"Book1"}</definedName>
    <definedName name="Document_array" localSheetId="4">{"Book1"}</definedName>
    <definedName name="Document_array" localSheetId="3">{"Book1"}</definedName>
    <definedName name="Document_array" localSheetId="5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DT">#REF!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HDCCT">#REF!</definedName>
    <definedName name="HDCD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2">#REF!</definedName>
    <definedName name="K_1" localSheetId="4">#REF!</definedName>
    <definedName name="K_1" localSheetId="3">#REF!</definedName>
    <definedName name="K_1" localSheetId="5">#REF!</definedName>
    <definedName name="K_1">#REF!</definedName>
    <definedName name="K_2" localSheetId="2">#REF!</definedName>
    <definedName name="K_2" localSheetId="4">#REF!</definedName>
    <definedName name="K_2" localSheetId="3">#REF!</definedName>
    <definedName name="K_2" localSheetId="5">#REF!</definedName>
    <definedName name="K_2">#REF!</definedName>
    <definedName name="KCSCM">#REF!</definedName>
    <definedName name="KH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">#REF!</definedName>
    <definedName name="NCcap0.7">#REF!</definedName>
    <definedName name="NCcap1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NOIDUNG">OFFSET(#REF!,COUNTA(#REF!)-1,0,1)</definedName>
    <definedName name="Nov">#REF!</definedName>
    <definedName name="NToS" localSheetId="2">#REF!</definedName>
    <definedName name="NToS" localSheetId="4">#REF!</definedName>
    <definedName name="NToS" localSheetId="3">#REF!</definedName>
    <definedName name="NToS" localSheetId="5">#REF!</definedName>
    <definedName name="NToS">#REF!</definedName>
    <definedName name="Oct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PHUONG" hidden="1">#REF!</definedName>
    <definedName name="_xlnm.Print_Area" localSheetId="1">Chart!$A$1:$O$28</definedName>
    <definedName name="Print_Area_MI">#REF!</definedName>
    <definedName name="_xlnm.Print_Titles">#N/A</definedName>
    <definedName name="QUYLUONG">#REF!</definedName>
    <definedName name="RawMat">#REF!</definedName>
    <definedName name="re">#REF!</definedName>
    <definedName name="ree">#REF!</definedName>
    <definedName name="rr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ram" hidden="1">#REF!</definedName>
    <definedName name="TSSCM">#REF!</definedName>
    <definedName name="TSSlist">#REF!</definedName>
    <definedName name="ttbt">#REF!</definedName>
    <definedName name="ttt">#REF!</definedName>
    <definedName name="tttb">#REF!</definedName>
    <definedName name="vc3.">#REF!</definedName>
    <definedName name="vc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K17" i="2"/>
  <c r="J17" i="2" s="1"/>
  <c r="I17" i="2"/>
  <c r="I21" i="2" s="1"/>
  <c r="K16" i="2"/>
  <c r="J16" i="2" s="1"/>
  <c r="I16" i="2"/>
  <c r="I13" i="2" l="1"/>
  <c r="I12" i="2"/>
  <c r="K13" i="2"/>
  <c r="K12" i="2"/>
  <c r="J12" i="2" s="1"/>
  <c r="F12" i="2" s="1"/>
  <c r="F16" i="2" s="1"/>
  <c r="F20" i="2" s="1"/>
  <c r="J13" i="2"/>
  <c r="E13" i="2"/>
  <c r="E12" i="2"/>
  <c r="E16" i="2" s="1"/>
  <c r="D12" i="2"/>
  <c r="D16" i="2" s="1"/>
  <c r="I63" i="6"/>
  <c r="I84" i="6"/>
  <c r="I85" i="6"/>
  <c r="K109" i="7"/>
  <c r="J104" i="7"/>
  <c r="K104" i="7" s="1"/>
  <c r="J103" i="7"/>
  <c r="J102" i="7"/>
  <c r="J101" i="7"/>
  <c r="C101" i="7"/>
  <c r="C102" i="7" s="1"/>
  <c r="C103" i="7" s="1"/>
  <c r="K100" i="7"/>
  <c r="J100" i="7"/>
  <c r="J98" i="7"/>
  <c r="J97" i="7"/>
  <c r="K97" i="7" s="1"/>
  <c r="J96" i="7"/>
  <c r="J95" i="7"/>
  <c r="J94" i="7"/>
  <c r="K94" i="7" s="1"/>
  <c r="J93" i="7"/>
  <c r="K93" i="7" s="1"/>
  <c r="J92" i="7"/>
  <c r="J91" i="7"/>
  <c r="J90" i="7"/>
  <c r="J89" i="7"/>
  <c r="K89" i="7" s="1"/>
  <c r="J88" i="7"/>
  <c r="J87" i="7"/>
  <c r="C87" i="7"/>
  <c r="C88" i="7" s="1"/>
  <c r="C89" i="7" s="1"/>
  <c r="C90" i="7" s="1"/>
  <c r="C91" i="7" s="1"/>
  <c r="C92" i="7" s="1"/>
  <c r="C93" i="7" s="1"/>
  <c r="K86" i="7"/>
  <c r="J86" i="7"/>
  <c r="C86" i="7"/>
  <c r="J79" i="7"/>
  <c r="K79" i="7" s="1"/>
  <c r="J78" i="7"/>
  <c r="K78" i="7" s="1"/>
  <c r="J77" i="7"/>
  <c r="K77" i="7" s="1"/>
  <c r="J76" i="7"/>
  <c r="J75" i="7"/>
  <c r="K75" i="7" s="1"/>
  <c r="J74" i="7"/>
  <c r="K74" i="7" s="1"/>
  <c r="J73" i="7"/>
  <c r="J72" i="7"/>
  <c r="J71" i="7"/>
  <c r="K71" i="7" s="1"/>
  <c r="J70" i="7"/>
  <c r="K70" i="7" s="1"/>
  <c r="J69" i="7"/>
  <c r="K69" i="7" s="1"/>
  <c r="C65" i="7"/>
  <c r="C66" i="7" s="1"/>
  <c r="C68" i="7" s="1"/>
  <c r="C69" i="7" s="1"/>
  <c r="C70" i="7" s="1"/>
  <c r="C71" i="7" s="1"/>
  <c r="C72" i="7" s="1"/>
  <c r="C73" i="7" s="1"/>
  <c r="C74" i="7" s="1"/>
  <c r="C64" i="7"/>
  <c r="J57" i="7"/>
  <c r="K57" i="7" s="1"/>
  <c r="J56" i="7"/>
  <c r="K56" i="7" s="1"/>
  <c r="J55" i="7"/>
  <c r="K55" i="7" s="1"/>
  <c r="J54" i="7"/>
  <c r="K54" i="7" s="1"/>
  <c r="J53" i="7"/>
  <c r="J52" i="7"/>
  <c r="J51" i="7"/>
  <c r="J50" i="7"/>
  <c r="K50" i="7" s="1"/>
  <c r="J49" i="7"/>
  <c r="K49" i="7" s="1"/>
  <c r="J48" i="7"/>
  <c r="J47" i="7"/>
  <c r="J46" i="7"/>
  <c r="J45" i="7"/>
  <c r="J44" i="7"/>
  <c r="C40" i="7"/>
  <c r="C41" i="7" s="1"/>
  <c r="C42" i="7" s="1"/>
  <c r="C44" i="7" s="1"/>
  <c r="C45" i="7" s="1"/>
  <c r="C46" i="7" s="1"/>
  <c r="C47" i="7" s="1"/>
  <c r="C48" i="7" s="1"/>
  <c r="C49" i="7" s="1"/>
  <c r="C50" i="7" s="1"/>
  <c r="C51" i="7" s="1"/>
  <c r="J33" i="7"/>
  <c r="C33" i="7"/>
  <c r="J32" i="7"/>
  <c r="J31" i="7"/>
  <c r="J30" i="7"/>
  <c r="K30" i="7" s="1"/>
  <c r="K29" i="7"/>
  <c r="J29" i="7"/>
  <c r="J28" i="7"/>
  <c r="J27" i="7"/>
  <c r="K27" i="7" s="1"/>
  <c r="C27" i="7"/>
  <c r="C29" i="7" s="1"/>
  <c r="C31" i="7" s="1"/>
  <c r="J26" i="7"/>
  <c r="C26" i="7"/>
  <c r="C28" i="7" s="1"/>
  <c r="C30" i="7" s="1"/>
  <c r="J25" i="7"/>
  <c r="C25" i="7"/>
  <c r="J24" i="7"/>
  <c r="C24" i="7"/>
  <c r="J20" i="7"/>
  <c r="J19" i="7"/>
  <c r="J17" i="7"/>
  <c r="J16" i="7"/>
  <c r="K16" i="7" s="1"/>
  <c r="K15" i="7"/>
  <c r="J15" i="7"/>
  <c r="K14" i="7"/>
  <c r="J14" i="7"/>
  <c r="J13" i="7"/>
  <c r="J12" i="7"/>
  <c r="J11" i="7"/>
  <c r="H10" i="7"/>
  <c r="K9" i="7"/>
  <c r="J9" i="7"/>
  <c r="J18" i="7" s="1"/>
  <c r="K109" i="6"/>
  <c r="J109" i="6" s="1"/>
  <c r="J104" i="6"/>
  <c r="K104" i="6" s="1"/>
  <c r="J103" i="6"/>
  <c r="K103" i="6" s="1"/>
  <c r="J102" i="6"/>
  <c r="C102" i="6"/>
  <c r="C103" i="6" s="1"/>
  <c r="J101" i="6"/>
  <c r="C101" i="6"/>
  <c r="J100" i="6"/>
  <c r="J98" i="6"/>
  <c r="K98" i="6" s="1"/>
  <c r="J97" i="6"/>
  <c r="J96" i="6"/>
  <c r="J95" i="6"/>
  <c r="J94" i="6"/>
  <c r="J93" i="6"/>
  <c r="K93" i="6" s="1"/>
  <c r="J92" i="6"/>
  <c r="K92" i="6" s="1"/>
  <c r="J91" i="6"/>
  <c r="J90" i="6"/>
  <c r="K90" i="6" s="1"/>
  <c r="C90" i="6"/>
  <c r="C91" i="6" s="1"/>
  <c r="C92" i="6" s="1"/>
  <c r="C93" i="6" s="1"/>
  <c r="J89" i="6"/>
  <c r="J88" i="6"/>
  <c r="K87" i="6"/>
  <c r="J87" i="6"/>
  <c r="C87" i="6"/>
  <c r="C88" i="6" s="1"/>
  <c r="C89" i="6" s="1"/>
  <c r="K86" i="6"/>
  <c r="J86" i="6"/>
  <c r="C86" i="6"/>
  <c r="J79" i="6"/>
  <c r="J78" i="6"/>
  <c r="K78" i="6" s="1"/>
  <c r="O78" i="6" s="1"/>
  <c r="J77" i="6"/>
  <c r="J76" i="6"/>
  <c r="K76" i="6" s="1"/>
  <c r="O76" i="6" s="1"/>
  <c r="J75" i="6"/>
  <c r="J74" i="6"/>
  <c r="K74" i="6" s="1"/>
  <c r="O74" i="6" s="1"/>
  <c r="J73" i="6"/>
  <c r="J72" i="6"/>
  <c r="J71" i="6"/>
  <c r="J70" i="6"/>
  <c r="K70" i="6" s="1"/>
  <c r="O70" i="6" s="1"/>
  <c r="H69" i="6"/>
  <c r="J69" i="6" s="1"/>
  <c r="C66" i="6"/>
  <c r="C67" i="6" s="1"/>
  <c r="C68" i="6" s="1"/>
  <c r="C69" i="6" s="1"/>
  <c r="C70" i="6" s="1"/>
  <c r="C71" i="6" s="1"/>
  <c r="C72" i="6" s="1"/>
  <c r="C73" i="6" s="1"/>
  <c r="C74" i="6" s="1"/>
  <c r="C64" i="6"/>
  <c r="C65" i="6" s="1"/>
  <c r="J57" i="6"/>
  <c r="K57" i="6" s="1"/>
  <c r="J56" i="6"/>
  <c r="J55" i="6"/>
  <c r="J54" i="6"/>
  <c r="K54" i="6" s="1"/>
  <c r="J53" i="6"/>
  <c r="J52" i="6"/>
  <c r="J51" i="6"/>
  <c r="K51" i="6" s="1"/>
  <c r="J50" i="6"/>
  <c r="K50" i="6" s="1"/>
  <c r="J49" i="6"/>
  <c r="J48" i="6"/>
  <c r="J47" i="6"/>
  <c r="K47" i="6" s="1"/>
  <c r="J46" i="6"/>
  <c r="J45" i="6"/>
  <c r="J44" i="6"/>
  <c r="K44" i="6" s="1"/>
  <c r="C41" i="6"/>
  <c r="C42" i="6" s="1"/>
  <c r="C44" i="6" s="1"/>
  <c r="C45" i="6" s="1"/>
  <c r="C46" i="6" s="1"/>
  <c r="C47" i="6" s="1"/>
  <c r="C48" i="6" s="1"/>
  <c r="C49" i="6" s="1"/>
  <c r="C50" i="6" s="1"/>
  <c r="C51" i="6" s="1"/>
  <c r="C40" i="6"/>
  <c r="J33" i="6"/>
  <c r="J32" i="6"/>
  <c r="J31" i="6"/>
  <c r="K31" i="6" s="1"/>
  <c r="K30" i="6"/>
  <c r="J30" i="6"/>
  <c r="K29" i="6"/>
  <c r="J29" i="6"/>
  <c r="J28" i="6"/>
  <c r="C28" i="6"/>
  <c r="J27" i="6"/>
  <c r="C27" i="6"/>
  <c r="J26" i="6"/>
  <c r="J25" i="6"/>
  <c r="C25" i="6"/>
  <c r="J24" i="6"/>
  <c r="C24" i="6"/>
  <c r="C26" i="6" s="1"/>
  <c r="J18" i="6"/>
  <c r="J17" i="6"/>
  <c r="J13" i="6"/>
  <c r="H10" i="6"/>
  <c r="J9" i="6"/>
  <c r="J100" i="3"/>
  <c r="K109" i="4"/>
  <c r="K109" i="3"/>
  <c r="F13" i="2" l="1"/>
  <c r="F17" i="2" s="1"/>
  <c r="F21" i="2" s="1"/>
  <c r="E17" i="2"/>
  <c r="L76" i="6"/>
  <c r="J109" i="7"/>
  <c r="L98" i="7" s="1"/>
  <c r="G17" i="2"/>
  <c r="G16" i="2"/>
  <c r="L95" i="6"/>
  <c r="L95" i="7"/>
  <c r="L86" i="6"/>
  <c r="L72" i="6"/>
  <c r="L97" i="6"/>
  <c r="L73" i="6"/>
  <c r="L88" i="6"/>
  <c r="L77" i="6"/>
  <c r="L89" i="6"/>
  <c r="L94" i="6"/>
  <c r="L96" i="7"/>
  <c r="L102" i="6"/>
  <c r="L91" i="6"/>
  <c r="L96" i="6"/>
  <c r="L100" i="6"/>
  <c r="L75" i="6"/>
  <c r="L71" i="6"/>
  <c r="L79" i="6"/>
  <c r="G13" i="2"/>
  <c r="G12" i="2"/>
  <c r="K96" i="7"/>
  <c r="J83" i="7"/>
  <c r="K83" i="7" s="1"/>
  <c r="K77" i="6"/>
  <c r="O77" i="6" s="1"/>
  <c r="K79" i="6"/>
  <c r="O79" i="6" s="1"/>
  <c r="L104" i="6"/>
  <c r="L103" i="6"/>
  <c r="L93" i="6"/>
  <c r="J99" i="6"/>
  <c r="L99" i="6" s="1"/>
  <c r="K101" i="6"/>
  <c r="L101" i="6"/>
  <c r="C94" i="7"/>
  <c r="C95" i="7" s="1"/>
  <c r="C96" i="7" s="1"/>
  <c r="C97" i="7"/>
  <c r="C98" i="7" s="1"/>
  <c r="K47" i="7"/>
  <c r="C55" i="7"/>
  <c r="C56" i="7" s="1"/>
  <c r="C57" i="7" s="1"/>
  <c r="C52" i="7"/>
  <c r="C53" i="7" s="1"/>
  <c r="C54" i="7" s="1"/>
  <c r="J10" i="7"/>
  <c r="L76" i="7"/>
  <c r="L91" i="7"/>
  <c r="L102" i="7"/>
  <c r="K18" i="7"/>
  <c r="L73" i="7"/>
  <c r="L92" i="7"/>
  <c r="L103" i="7"/>
  <c r="C75" i="7"/>
  <c r="C76" i="7" s="1"/>
  <c r="C77" i="7" s="1"/>
  <c r="C78" i="7"/>
  <c r="C79" i="7" s="1"/>
  <c r="K20" i="7"/>
  <c r="L104" i="7"/>
  <c r="L75" i="7"/>
  <c r="K72" i="7"/>
  <c r="K11" i="7"/>
  <c r="K33" i="7"/>
  <c r="L79" i="7"/>
  <c r="K44" i="7"/>
  <c r="K51" i="7"/>
  <c r="K76" i="7"/>
  <c r="K87" i="7"/>
  <c r="K12" i="7"/>
  <c r="K48" i="7"/>
  <c r="K73" i="7"/>
  <c r="L94" i="7"/>
  <c r="K91" i="7"/>
  <c r="K98" i="7"/>
  <c r="K45" i="7"/>
  <c r="K52" i="7"/>
  <c r="K13" i="7"/>
  <c r="K24" i="7"/>
  <c r="K31" i="7"/>
  <c r="K88" i="7"/>
  <c r="K95" i="7"/>
  <c r="J99" i="7"/>
  <c r="K101" i="7"/>
  <c r="J21" i="7"/>
  <c r="L69" i="7"/>
  <c r="K26" i="7"/>
  <c r="K90" i="7"/>
  <c r="K17" i="7"/>
  <c r="K28" i="7"/>
  <c r="C32" i="7"/>
  <c r="K92" i="7"/>
  <c r="K103" i="7"/>
  <c r="K46" i="7"/>
  <c r="K53" i="7"/>
  <c r="K19" i="7"/>
  <c r="K25" i="7"/>
  <c r="K32" i="7"/>
  <c r="K102" i="7"/>
  <c r="C94" i="6"/>
  <c r="C95" i="6" s="1"/>
  <c r="C96" i="6" s="1"/>
  <c r="C97" i="6"/>
  <c r="C98" i="6" s="1"/>
  <c r="C78" i="6"/>
  <c r="C79" i="6" s="1"/>
  <c r="C75" i="6"/>
  <c r="C76" i="6" s="1"/>
  <c r="C77" i="6" s="1"/>
  <c r="C55" i="6"/>
  <c r="C56" i="6" s="1"/>
  <c r="C57" i="6" s="1"/>
  <c r="C52" i="6"/>
  <c r="C53" i="6" s="1"/>
  <c r="C54" i="6" s="1"/>
  <c r="K55" i="6"/>
  <c r="L74" i="6"/>
  <c r="L69" i="6"/>
  <c r="K69" i="6"/>
  <c r="O69" i="6" s="1"/>
  <c r="K17" i="6"/>
  <c r="L90" i="6"/>
  <c r="K97" i="6"/>
  <c r="K56" i="6"/>
  <c r="K13" i="6"/>
  <c r="K48" i="6"/>
  <c r="K94" i="6"/>
  <c r="C29" i="6"/>
  <c r="C31" i="6" s="1"/>
  <c r="C32" i="6"/>
  <c r="K49" i="6"/>
  <c r="K27" i="6"/>
  <c r="J11" i="6"/>
  <c r="J20" i="6"/>
  <c r="J16" i="6"/>
  <c r="J15" i="6"/>
  <c r="J19" i="6"/>
  <c r="J14" i="6"/>
  <c r="K18" i="6"/>
  <c r="C33" i="6"/>
  <c r="C30" i="6"/>
  <c r="K9" i="6"/>
  <c r="K28" i="6"/>
  <c r="K45" i="6"/>
  <c r="J12" i="6"/>
  <c r="K52" i="6"/>
  <c r="J21" i="6"/>
  <c r="K71" i="6"/>
  <c r="O71" i="6" s="1"/>
  <c r="K24" i="6"/>
  <c r="J83" i="6"/>
  <c r="L87" i="6"/>
  <c r="K91" i="6"/>
  <c r="K102" i="6"/>
  <c r="K46" i="6"/>
  <c r="K53" i="6"/>
  <c r="K72" i="6"/>
  <c r="O72" i="6" s="1"/>
  <c r="L98" i="6"/>
  <c r="K25" i="6"/>
  <c r="K32" i="6"/>
  <c r="K75" i="6"/>
  <c r="O75" i="6" s="1"/>
  <c r="K88" i="6"/>
  <c r="K95" i="6"/>
  <c r="K26" i="6"/>
  <c r="K33" i="6"/>
  <c r="L70" i="6"/>
  <c r="K73" i="6"/>
  <c r="O73" i="6" s="1"/>
  <c r="K89" i="6"/>
  <c r="K96" i="6"/>
  <c r="K100" i="6"/>
  <c r="L78" i="6"/>
  <c r="L92" i="6"/>
  <c r="H22" i="5"/>
  <c r="I22" i="5" s="1"/>
  <c r="D22" i="5"/>
  <c r="E22" i="5" s="1"/>
  <c r="H21" i="5"/>
  <c r="I21" i="5" s="1"/>
  <c r="D21" i="5"/>
  <c r="E21" i="5" s="1"/>
  <c r="H20" i="5"/>
  <c r="D20" i="5"/>
  <c r="E20" i="5" s="1"/>
  <c r="H17" i="5"/>
  <c r="I17" i="5" s="1"/>
  <c r="D17" i="5"/>
  <c r="E17" i="5" s="1"/>
  <c r="A17" i="5"/>
  <c r="H16" i="5"/>
  <c r="I16" i="5" s="1"/>
  <c r="D16" i="5"/>
  <c r="E16" i="5" s="1"/>
  <c r="A16" i="5"/>
  <c r="H15" i="5"/>
  <c r="I15" i="5" s="1"/>
  <c r="D15" i="5"/>
  <c r="E15" i="5" s="1"/>
  <c r="A15" i="5"/>
  <c r="H14" i="5"/>
  <c r="I14" i="5" s="1"/>
  <c r="D14" i="5"/>
  <c r="E14" i="5" s="1"/>
  <c r="A14" i="5"/>
  <c r="H13" i="5"/>
  <c r="I13" i="5" s="1"/>
  <c r="D13" i="5"/>
  <c r="E13" i="5" s="1"/>
  <c r="A13" i="5"/>
  <c r="H12" i="5"/>
  <c r="I12" i="5" s="1"/>
  <c r="D12" i="5"/>
  <c r="E12" i="5" s="1"/>
  <c r="A12" i="5"/>
  <c r="H11" i="5"/>
  <c r="D11" i="5"/>
  <c r="H9" i="5"/>
  <c r="I9" i="5" s="1"/>
  <c r="D9" i="5"/>
  <c r="E9" i="5" s="1"/>
  <c r="H8" i="5"/>
  <c r="H7" i="5" s="1"/>
  <c r="I7" i="5" s="1"/>
  <c r="D8" i="5"/>
  <c r="D7" i="5" s="1"/>
  <c r="E7" i="5" s="1"/>
  <c r="E4" i="5"/>
  <c r="J109" i="4"/>
  <c r="L76" i="4" s="1"/>
  <c r="K105" i="4"/>
  <c r="J105" i="4"/>
  <c r="K104" i="4"/>
  <c r="J104" i="4"/>
  <c r="K103" i="4"/>
  <c r="J103" i="4"/>
  <c r="C103" i="4"/>
  <c r="K102" i="4"/>
  <c r="J102" i="4"/>
  <c r="C102" i="4"/>
  <c r="K101" i="4"/>
  <c r="J101" i="4"/>
  <c r="C101" i="4"/>
  <c r="K100" i="4"/>
  <c r="J100" i="4"/>
  <c r="K99" i="4"/>
  <c r="J99" i="4"/>
  <c r="K98" i="4"/>
  <c r="J98" i="4"/>
  <c r="C98" i="4"/>
  <c r="K97" i="4"/>
  <c r="J97" i="4"/>
  <c r="C97" i="4"/>
  <c r="K96" i="4"/>
  <c r="J96" i="4"/>
  <c r="C96" i="4"/>
  <c r="K95" i="4"/>
  <c r="J95" i="4"/>
  <c r="C95" i="4"/>
  <c r="K94" i="4"/>
  <c r="J94" i="4"/>
  <c r="C94" i="4"/>
  <c r="K93" i="4"/>
  <c r="J93" i="4"/>
  <c r="C93" i="4"/>
  <c r="K92" i="4"/>
  <c r="J92" i="4"/>
  <c r="C92" i="4"/>
  <c r="K91" i="4"/>
  <c r="J91" i="4"/>
  <c r="C91" i="4"/>
  <c r="K90" i="4"/>
  <c r="J90" i="4"/>
  <c r="C90" i="4"/>
  <c r="K89" i="4"/>
  <c r="J89" i="4"/>
  <c r="C89" i="4"/>
  <c r="K88" i="4"/>
  <c r="J88" i="4"/>
  <c r="C88" i="4"/>
  <c r="K87" i="4"/>
  <c r="J87" i="4"/>
  <c r="C87" i="4"/>
  <c r="K86" i="4"/>
  <c r="J86" i="4"/>
  <c r="C86" i="4"/>
  <c r="K83" i="4"/>
  <c r="J83" i="4"/>
  <c r="K82" i="4"/>
  <c r="J82" i="4"/>
  <c r="K80" i="4"/>
  <c r="J80" i="4"/>
  <c r="K79" i="4"/>
  <c r="J79" i="4"/>
  <c r="C79" i="4"/>
  <c r="K78" i="4"/>
  <c r="J78" i="4"/>
  <c r="C78" i="4"/>
  <c r="K77" i="4"/>
  <c r="J77" i="4"/>
  <c r="C77" i="4"/>
  <c r="K76" i="4"/>
  <c r="J76" i="4"/>
  <c r="C76" i="4"/>
  <c r="K75" i="4"/>
  <c r="J75" i="4"/>
  <c r="C75" i="4"/>
  <c r="K74" i="4"/>
  <c r="J74" i="4"/>
  <c r="C74" i="4"/>
  <c r="K73" i="4"/>
  <c r="J73" i="4"/>
  <c r="C73" i="4"/>
  <c r="K72" i="4"/>
  <c r="J72" i="4"/>
  <c r="C72" i="4"/>
  <c r="K71" i="4"/>
  <c r="J71" i="4"/>
  <c r="C71" i="4"/>
  <c r="K70" i="4"/>
  <c r="J70" i="4"/>
  <c r="C70" i="4"/>
  <c r="K69" i="4"/>
  <c r="J69" i="4"/>
  <c r="C69" i="4"/>
  <c r="K68" i="4"/>
  <c r="J68" i="4"/>
  <c r="C68" i="4"/>
  <c r="K67" i="4"/>
  <c r="J67" i="4"/>
  <c r="K66" i="4"/>
  <c r="J66" i="4"/>
  <c r="C66" i="4"/>
  <c r="K65" i="4"/>
  <c r="J65" i="4"/>
  <c r="C65" i="4"/>
  <c r="K64" i="4"/>
  <c r="J64" i="4"/>
  <c r="C64" i="4"/>
  <c r="L61" i="4"/>
  <c r="K61" i="4"/>
  <c r="J61" i="4"/>
  <c r="K60" i="4"/>
  <c r="J60" i="4"/>
  <c r="L58" i="4"/>
  <c r="K58" i="4"/>
  <c r="J58" i="4"/>
  <c r="L57" i="4"/>
  <c r="K57" i="4"/>
  <c r="J57" i="4"/>
  <c r="C57" i="4"/>
  <c r="L56" i="4"/>
  <c r="K56" i="4"/>
  <c r="J56" i="4"/>
  <c r="C56" i="4"/>
  <c r="L55" i="4"/>
  <c r="K55" i="4"/>
  <c r="J55" i="4"/>
  <c r="C55" i="4"/>
  <c r="L54" i="4"/>
  <c r="K54" i="4"/>
  <c r="J54" i="4"/>
  <c r="C54" i="4"/>
  <c r="L53" i="4"/>
  <c r="K53" i="4"/>
  <c r="J53" i="4"/>
  <c r="C53" i="4"/>
  <c r="L52" i="4"/>
  <c r="K52" i="4"/>
  <c r="J52" i="4"/>
  <c r="C52" i="4"/>
  <c r="L51" i="4"/>
  <c r="K51" i="4"/>
  <c r="J51" i="4"/>
  <c r="C51" i="4"/>
  <c r="L50" i="4"/>
  <c r="K50" i="4"/>
  <c r="J50" i="4"/>
  <c r="C50" i="4"/>
  <c r="L49" i="4"/>
  <c r="K49" i="4"/>
  <c r="J49" i="4"/>
  <c r="C49" i="4"/>
  <c r="L48" i="4"/>
  <c r="K48" i="4"/>
  <c r="J48" i="4"/>
  <c r="C48" i="4"/>
  <c r="L47" i="4"/>
  <c r="K47" i="4"/>
  <c r="J47" i="4"/>
  <c r="C47" i="4"/>
  <c r="L46" i="4"/>
  <c r="K46" i="4"/>
  <c r="J46" i="4"/>
  <c r="C46" i="4"/>
  <c r="L45" i="4"/>
  <c r="K45" i="4"/>
  <c r="J45" i="4"/>
  <c r="C45" i="4"/>
  <c r="L44" i="4"/>
  <c r="K44" i="4"/>
  <c r="J44" i="4"/>
  <c r="C44" i="4"/>
  <c r="L43" i="4"/>
  <c r="K43" i="4"/>
  <c r="J43" i="4"/>
  <c r="L42" i="4"/>
  <c r="K42" i="4"/>
  <c r="J42" i="4"/>
  <c r="C42" i="4"/>
  <c r="L41" i="4"/>
  <c r="K41" i="4"/>
  <c r="J41" i="4"/>
  <c r="C41" i="4"/>
  <c r="L40" i="4"/>
  <c r="K40" i="4"/>
  <c r="J40" i="4"/>
  <c r="C40" i="4"/>
  <c r="L37" i="4"/>
  <c r="K37" i="4"/>
  <c r="J37" i="4"/>
  <c r="L36" i="4"/>
  <c r="K36" i="4"/>
  <c r="J36" i="4"/>
  <c r="I36" i="4"/>
  <c r="L34" i="4"/>
  <c r="K34" i="4"/>
  <c r="J34" i="4"/>
  <c r="L33" i="4"/>
  <c r="K33" i="4"/>
  <c r="J33" i="4"/>
  <c r="C33" i="4"/>
  <c r="L32" i="4"/>
  <c r="K32" i="4"/>
  <c r="J32" i="4"/>
  <c r="C32" i="4"/>
  <c r="L31" i="4"/>
  <c r="K31" i="4"/>
  <c r="J31" i="4"/>
  <c r="C31" i="4"/>
  <c r="L30" i="4"/>
  <c r="K30" i="4"/>
  <c r="J30" i="4"/>
  <c r="C30" i="4"/>
  <c r="L29" i="4"/>
  <c r="K29" i="4"/>
  <c r="J29" i="4"/>
  <c r="C29" i="4"/>
  <c r="L28" i="4"/>
  <c r="K28" i="4"/>
  <c r="J28" i="4"/>
  <c r="C28" i="4"/>
  <c r="L27" i="4"/>
  <c r="K27" i="4"/>
  <c r="J27" i="4"/>
  <c r="C27" i="4"/>
  <c r="L26" i="4"/>
  <c r="K26" i="4"/>
  <c r="J26" i="4"/>
  <c r="C26" i="4"/>
  <c r="L25" i="4"/>
  <c r="K25" i="4"/>
  <c r="J25" i="4"/>
  <c r="C25" i="4"/>
  <c r="L24" i="4"/>
  <c r="K24" i="4"/>
  <c r="J24" i="4"/>
  <c r="C24" i="4"/>
  <c r="L21" i="4"/>
  <c r="K21" i="4"/>
  <c r="J21" i="4"/>
  <c r="L20" i="4"/>
  <c r="K20" i="4"/>
  <c r="J20" i="4"/>
  <c r="L19" i="4"/>
  <c r="K19" i="4"/>
  <c r="J19" i="4"/>
  <c r="L18" i="4"/>
  <c r="K18" i="4"/>
  <c r="J18" i="4"/>
  <c r="L17" i="4"/>
  <c r="K17" i="4"/>
  <c r="J17" i="4"/>
  <c r="L16" i="4"/>
  <c r="K16" i="4"/>
  <c r="J16" i="4"/>
  <c r="L15" i="4"/>
  <c r="K15" i="4"/>
  <c r="J15" i="4"/>
  <c r="L14" i="4"/>
  <c r="K14" i="4"/>
  <c r="J14" i="4"/>
  <c r="L13" i="4"/>
  <c r="K13" i="4"/>
  <c r="J13" i="4"/>
  <c r="L12" i="4"/>
  <c r="K12" i="4"/>
  <c r="J12" i="4"/>
  <c r="L11" i="4"/>
  <c r="K11" i="4"/>
  <c r="J11" i="4"/>
  <c r="L10" i="4"/>
  <c r="K10" i="4"/>
  <c r="J10" i="4"/>
  <c r="H10" i="4"/>
  <c r="L9" i="4"/>
  <c r="K9" i="4"/>
  <c r="J9" i="4"/>
  <c r="J109" i="3"/>
  <c r="L72" i="3" s="1"/>
  <c r="K105" i="3"/>
  <c r="J105" i="3"/>
  <c r="K104" i="3"/>
  <c r="J104" i="3"/>
  <c r="K103" i="3"/>
  <c r="J103" i="3"/>
  <c r="C103" i="3"/>
  <c r="L102" i="3"/>
  <c r="K102" i="3"/>
  <c r="J102" i="3"/>
  <c r="C102" i="3"/>
  <c r="K101" i="3"/>
  <c r="J101" i="3"/>
  <c r="C101" i="3"/>
  <c r="K100" i="3"/>
  <c r="K99" i="3"/>
  <c r="J99" i="3"/>
  <c r="K98" i="3"/>
  <c r="J98" i="3"/>
  <c r="C98" i="3"/>
  <c r="K97" i="3"/>
  <c r="J97" i="3"/>
  <c r="C97" i="3"/>
  <c r="L96" i="3"/>
  <c r="K96" i="3"/>
  <c r="J96" i="3"/>
  <c r="C96" i="3"/>
  <c r="K95" i="3"/>
  <c r="J95" i="3"/>
  <c r="C95" i="3"/>
  <c r="K94" i="3"/>
  <c r="J94" i="3"/>
  <c r="C94" i="3"/>
  <c r="K93" i="3"/>
  <c r="J93" i="3"/>
  <c r="C93" i="3"/>
  <c r="L92" i="3"/>
  <c r="K92" i="3"/>
  <c r="J92" i="3"/>
  <c r="C92" i="3"/>
  <c r="K91" i="3"/>
  <c r="J91" i="3"/>
  <c r="C91" i="3"/>
  <c r="K90" i="3"/>
  <c r="J90" i="3"/>
  <c r="C90" i="3"/>
  <c r="K89" i="3"/>
  <c r="J89" i="3"/>
  <c r="C89" i="3"/>
  <c r="L88" i="3"/>
  <c r="K88" i="3"/>
  <c r="J88" i="3"/>
  <c r="C88" i="3"/>
  <c r="K87" i="3"/>
  <c r="J87" i="3"/>
  <c r="C87" i="3"/>
  <c r="K86" i="3"/>
  <c r="J86" i="3"/>
  <c r="C86" i="3"/>
  <c r="K83" i="3"/>
  <c r="J83" i="3"/>
  <c r="K82" i="3"/>
  <c r="J82" i="3"/>
  <c r="L80" i="3"/>
  <c r="K80" i="3"/>
  <c r="J80" i="3"/>
  <c r="O79" i="3"/>
  <c r="K79" i="3"/>
  <c r="J79" i="3"/>
  <c r="C79" i="3"/>
  <c r="O78" i="3"/>
  <c r="K78" i="3"/>
  <c r="J78" i="3"/>
  <c r="C78" i="3"/>
  <c r="O77" i="3"/>
  <c r="K77" i="3"/>
  <c r="J77" i="3"/>
  <c r="C77" i="3"/>
  <c r="O76" i="3"/>
  <c r="K76" i="3"/>
  <c r="J76" i="3"/>
  <c r="C76" i="3"/>
  <c r="O75" i="3"/>
  <c r="K75" i="3"/>
  <c r="J75" i="3"/>
  <c r="C75" i="3"/>
  <c r="O74" i="3"/>
  <c r="K74" i="3"/>
  <c r="J74" i="3"/>
  <c r="C74" i="3"/>
  <c r="O73" i="3"/>
  <c r="K73" i="3"/>
  <c r="J73" i="3"/>
  <c r="C73" i="3"/>
  <c r="O72" i="3"/>
  <c r="K72" i="3"/>
  <c r="J72" i="3"/>
  <c r="C72" i="3"/>
  <c r="O71" i="3"/>
  <c r="K71" i="3"/>
  <c r="J71" i="3"/>
  <c r="C71" i="3"/>
  <c r="O70" i="3"/>
  <c r="K70" i="3"/>
  <c r="J70" i="3"/>
  <c r="C70" i="3"/>
  <c r="O69" i="3"/>
  <c r="K69" i="3"/>
  <c r="J69" i="3"/>
  <c r="H69" i="3"/>
  <c r="C69" i="3"/>
  <c r="O68" i="3"/>
  <c r="K68" i="3"/>
  <c r="J68" i="3"/>
  <c r="C68" i="3"/>
  <c r="O67" i="3"/>
  <c r="K67" i="3"/>
  <c r="J67" i="3"/>
  <c r="C67" i="3"/>
  <c r="O66" i="3"/>
  <c r="K66" i="3"/>
  <c r="J66" i="3"/>
  <c r="C66" i="3"/>
  <c r="O65" i="3"/>
  <c r="K65" i="3"/>
  <c r="J65" i="3"/>
  <c r="C65" i="3"/>
  <c r="O64" i="3"/>
  <c r="K64" i="3"/>
  <c r="J64" i="3"/>
  <c r="C64" i="3"/>
  <c r="K61" i="3"/>
  <c r="J61" i="3"/>
  <c r="K60" i="3"/>
  <c r="J60" i="3"/>
  <c r="L58" i="3"/>
  <c r="K58" i="3"/>
  <c r="J58" i="3"/>
  <c r="L57" i="3"/>
  <c r="K57" i="3"/>
  <c r="J57" i="3"/>
  <c r="C57" i="3"/>
  <c r="L56" i="3"/>
  <c r="K56" i="3"/>
  <c r="J56" i="3"/>
  <c r="C56" i="3"/>
  <c r="L55" i="3"/>
  <c r="K55" i="3"/>
  <c r="J55" i="3"/>
  <c r="C55" i="3"/>
  <c r="L54" i="3"/>
  <c r="K54" i="3"/>
  <c r="J54" i="3"/>
  <c r="C54" i="3"/>
  <c r="L53" i="3"/>
  <c r="K53" i="3"/>
  <c r="J53" i="3"/>
  <c r="C53" i="3"/>
  <c r="L52" i="3"/>
  <c r="K52" i="3"/>
  <c r="J52" i="3"/>
  <c r="C52" i="3"/>
  <c r="L51" i="3"/>
  <c r="K51" i="3"/>
  <c r="J51" i="3"/>
  <c r="C51" i="3"/>
  <c r="L50" i="3"/>
  <c r="K50" i="3"/>
  <c r="J50" i="3"/>
  <c r="C50" i="3"/>
  <c r="L49" i="3"/>
  <c r="K49" i="3"/>
  <c r="J49" i="3"/>
  <c r="C49" i="3"/>
  <c r="L48" i="3"/>
  <c r="K48" i="3"/>
  <c r="J48" i="3"/>
  <c r="C48" i="3"/>
  <c r="L47" i="3"/>
  <c r="K47" i="3"/>
  <c r="J47" i="3"/>
  <c r="C47" i="3"/>
  <c r="L46" i="3"/>
  <c r="K46" i="3"/>
  <c r="J46" i="3"/>
  <c r="C46" i="3"/>
  <c r="L45" i="3"/>
  <c r="K45" i="3"/>
  <c r="J45" i="3"/>
  <c r="C45" i="3"/>
  <c r="L44" i="3"/>
  <c r="K44" i="3"/>
  <c r="J44" i="3"/>
  <c r="C44" i="3"/>
  <c r="L43" i="3"/>
  <c r="K43" i="3"/>
  <c r="J43" i="3"/>
  <c r="L42" i="3"/>
  <c r="K42" i="3"/>
  <c r="J42" i="3"/>
  <c r="C42" i="3"/>
  <c r="L41" i="3"/>
  <c r="K41" i="3"/>
  <c r="J41" i="3"/>
  <c r="C41" i="3"/>
  <c r="L40" i="3"/>
  <c r="K40" i="3"/>
  <c r="J40" i="3"/>
  <c r="C40" i="3"/>
  <c r="L37" i="3"/>
  <c r="K37" i="3"/>
  <c r="J37" i="3"/>
  <c r="L36" i="3"/>
  <c r="K36" i="3"/>
  <c r="J36" i="3"/>
  <c r="I36" i="3"/>
  <c r="L34" i="3"/>
  <c r="K34" i="3"/>
  <c r="J34" i="3"/>
  <c r="L33" i="3"/>
  <c r="K33" i="3"/>
  <c r="J33" i="3"/>
  <c r="C33" i="3"/>
  <c r="L32" i="3"/>
  <c r="K32" i="3"/>
  <c r="J32" i="3"/>
  <c r="C32" i="3"/>
  <c r="L31" i="3"/>
  <c r="K31" i="3"/>
  <c r="J31" i="3"/>
  <c r="C31" i="3"/>
  <c r="L30" i="3"/>
  <c r="K30" i="3"/>
  <c r="J30" i="3"/>
  <c r="C30" i="3"/>
  <c r="L29" i="3"/>
  <c r="K29" i="3"/>
  <c r="J29" i="3"/>
  <c r="C29" i="3"/>
  <c r="L28" i="3"/>
  <c r="K28" i="3"/>
  <c r="J28" i="3"/>
  <c r="C28" i="3"/>
  <c r="L27" i="3"/>
  <c r="K27" i="3"/>
  <c r="J27" i="3"/>
  <c r="C27" i="3"/>
  <c r="L26" i="3"/>
  <c r="K26" i="3"/>
  <c r="J26" i="3"/>
  <c r="C26" i="3"/>
  <c r="L25" i="3"/>
  <c r="K25" i="3"/>
  <c r="J25" i="3"/>
  <c r="C25" i="3"/>
  <c r="L24" i="3"/>
  <c r="K24" i="3"/>
  <c r="J24" i="3"/>
  <c r="C24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H10" i="3"/>
  <c r="L9" i="3"/>
  <c r="K9" i="3"/>
  <c r="J9" i="3"/>
  <c r="E7" i="2"/>
  <c r="D7" i="2"/>
  <c r="E6" i="2"/>
  <c r="E20" i="2" s="1"/>
  <c r="D6" i="2"/>
  <c r="D20" i="2" s="1"/>
  <c r="H16" i="2" l="1"/>
  <c r="L87" i="7"/>
  <c r="L86" i="7"/>
  <c r="L93" i="7"/>
  <c r="L72" i="7"/>
  <c r="L89" i="4"/>
  <c r="L71" i="7"/>
  <c r="L89" i="7"/>
  <c r="E21" i="2"/>
  <c r="L77" i="3"/>
  <c r="L83" i="4"/>
  <c r="L97" i="7"/>
  <c r="L100" i="7"/>
  <c r="L83" i="7"/>
  <c r="L70" i="7"/>
  <c r="L74" i="7"/>
  <c r="L78" i="7"/>
  <c r="L101" i="7"/>
  <c r="L77" i="7"/>
  <c r="L88" i="7"/>
  <c r="L90" i="7"/>
  <c r="H17" i="2"/>
  <c r="H21" i="2" s="1"/>
  <c r="G21" i="2"/>
  <c r="L67" i="4"/>
  <c r="L78" i="4"/>
  <c r="L74" i="4"/>
  <c r="L64" i="3"/>
  <c r="L86" i="3"/>
  <c r="L90" i="3"/>
  <c r="L94" i="3"/>
  <c r="L98" i="3"/>
  <c r="L80" i="4"/>
  <c r="L91" i="4"/>
  <c r="L75" i="4"/>
  <c r="L68" i="4"/>
  <c r="L102" i="4"/>
  <c r="L95" i="4"/>
  <c r="L99" i="4"/>
  <c r="L103" i="4"/>
  <c r="L94" i="4"/>
  <c r="L98" i="4"/>
  <c r="L87" i="4"/>
  <c r="L73" i="4"/>
  <c r="L77" i="4"/>
  <c r="L82" i="4"/>
  <c r="L88" i="4"/>
  <c r="L72" i="4"/>
  <c r="L100" i="3"/>
  <c r="L60" i="4"/>
  <c r="L66" i="4"/>
  <c r="L70" i="4"/>
  <c r="L92" i="4"/>
  <c r="L100" i="4"/>
  <c r="L104" i="4"/>
  <c r="L71" i="4"/>
  <c r="L64" i="4"/>
  <c r="L79" i="4"/>
  <c r="L96" i="4"/>
  <c r="H19" i="5"/>
  <c r="I19" i="5" s="1"/>
  <c r="D10" i="5"/>
  <c r="E10" i="5" s="1"/>
  <c r="H12" i="2"/>
  <c r="H10" i="5"/>
  <c r="I10" i="5" s="1"/>
  <c r="G6" i="2"/>
  <c r="H6" i="2" s="1"/>
  <c r="L75" i="3"/>
  <c r="L86" i="4"/>
  <c r="L93" i="4"/>
  <c r="H13" i="2"/>
  <c r="L65" i="4"/>
  <c r="L90" i="4"/>
  <c r="L97" i="4"/>
  <c r="L101" i="4"/>
  <c r="J107" i="4"/>
  <c r="G7" i="2"/>
  <c r="H7" i="2" s="1"/>
  <c r="L66" i="3"/>
  <c r="L69" i="3"/>
  <c r="L69" i="4"/>
  <c r="K99" i="6"/>
  <c r="L99" i="7"/>
  <c r="K99" i="7"/>
  <c r="K10" i="7"/>
  <c r="J34" i="7"/>
  <c r="K21" i="7"/>
  <c r="K19" i="6"/>
  <c r="K12" i="6"/>
  <c r="K15" i="6"/>
  <c r="K16" i="6"/>
  <c r="K20" i="6"/>
  <c r="K11" i="6"/>
  <c r="J10" i="6"/>
  <c r="L83" i="6"/>
  <c r="K83" i="6"/>
  <c r="K21" i="6"/>
  <c r="K14" i="6"/>
  <c r="I8" i="5"/>
  <c r="I11" i="5"/>
  <c r="I20" i="5"/>
  <c r="D19" i="5"/>
  <c r="E19" i="5" s="1"/>
  <c r="L65" i="3"/>
  <c r="L76" i="3"/>
  <c r="L99" i="3"/>
  <c r="J107" i="3"/>
  <c r="E11" i="5"/>
  <c r="L74" i="3"/>
  <c r="L82" i="3"/>
  <c r="E8" i="5"/>
  <c r="L61" i="3"/>
  <c r="L68" i="3"/>
  <c r="L71" i="3"/>
  <c r="L79" i="3"/>
  <c r="L101" i="3"/>
  <c r="L103" i="3"/>
  <c r="L73" i="3"/>
  <c r="L83" i="3"/>
  <c r="L87" i="3"/>
  <c r="L89" i="3"/>
  <c r="L91" i="3"/>
  <c r="L93" i="3"/>
  <c r="L95" i="3"/>
  <c r="L97" i="3"/>
  <c r="L67" i="3"/>
  <c r="L70" i="3"/>
  <c r="L78" i="3"/>
  <c r="L104" i="3"/>
  <c r="L60" i="3"/>
  <c r="G20" i="2" l="1"/>
  <c r="H20" i="2"/>
  <c r="D18" i="5"/>
  <c r="H25" i="5"/>
  <c r="I25" i="5" s="1"/>
  <c r="L107" i="4"/>
  <c r="J108" i="4"/>
  <c r="M107" i="4"/>
  <c r="H18" i="5"/>
  <c r="I18" i="5" s="1"/>
  <c r="I36" i="7"/>
  <c r="J36" i="7" s="1"/>
  <c r="J41" i="7"/>
  <c r="J43" i="7"/>
  <c r="J42" i="7"/>
  <c r="K34" i="7"/>
  <c r="J40" i="7"/>
  <c r="K10" i="6"/>
  <c r="J34" i="6"/>
  <c r="E18" i="5"/>
  <c r="D23" i="5"/>
  <c r="M107" i="3"/>
  <c r="L107" i="3"/>
  <c r="J108" i="3"/>
  <c r="J106" i="3" s="1"/>
  <c r="D25" i="5"/>
  <c r="E25" i="5" s="1"/>
  <c r="H23" i="5" l="1"/>
  <c r="H24" i="5"/>
  <c r="I24" i="5" s="1"/>
  <c r="L108" i="4"/>
  <c r="J106" i="4"/>
  <c r="K41" i="7"/>
  <c r="K42" i="7"/>
  <c r="J37" i="7"/>
  <c r="J58" i="7" s="1"/>
  <c r="K40" i="7"/>
  <c r="K43" i="7"/>
  <c r="K36" i="7"/>
  <c r="J40" i="6"/>
  <c r="J43" i="6"/>
  <c r="I36" i="6"/>
  <c r="J36" i="6" s="1"/>
  <c r="K34" i="6"/>
  <c r="J42" i="6"/>
  <c r="J41" i="6"/>
  <c r="I23" i="5"/>
  <c r="I28" i="5" s="1"/>
  <c r="L106" i="3"/>
  <c r="L109" i="3" s="1"/>
  <c r="K106" i="3"/>
  <c r="E23" i="5"/>
  <c r="L108" i="3"/>
  <c r="D24" i="5"/>
  <c r="E24" i="5" s="1"/>
  <c r="H26" i="5" l="1"/>
  <c r="I26" i="5" s="1"/>
  <c r="K106" i="4"/>
  <c r="L106" i="4"/>
  <c r="L109" i="4" s="1"/>
  <c r="L42" i="7"/>
  <c r="L41" i="7"/>
  <c r="L36" i="7"/>
  <c r="L37" i="7"/>
  <c r="K37" i="7"/>
  <c r="J60" i="7"/>
  <c r="L50" i="7"/>
  <c r="L56" i="7"/>
  <c r="L49" i="7"/>
  <c r="L9" i="7"/>
  <c r="L58" i="7"/>
  <c r="K58" i="7"/>
  <c r="L29" i="7"/>
  <c r="L15" i="7"/>
  <c r="L57" i="7"/>
  <c r="L48" i="7"/>
  <c r="L45" i="7"/>
  <c r="L11" i="7"/>
  <c r="L19" i="7"/>
  <c r="L52" i="7"/>
  <c r="L12" i="7"/>
  <c r="L14" i="7"/>
  <c r="L51" i="7"/>
  <c r="L18" i="7"/>
  <c r="L24" i="7"/>
  <c r="L44" i="7"/>
  <c r="L46" i="7"/>
  <c r="L16" i="7"/>
  <c r="L28" i="7"/>
  <c r="L47" i="7"/>
  <c r="L30" i="7"/>
  <c r="L31" i="7"/>
  <c r="L25" i="7"/>
  <c r="L54" i="7"/>
  <c r="L33" i="7"/>
  <c r="L17" i="7"/>
  <c r="L20" i="7"/>
  <c r="L55" i="7"/>
  <c r="L53" i="7"/>
  <c r="L13" i="7"/>
  <c r="L26" i="7"/>
  <c r="L27" i="7"/>
  <c r="L32" i="7"/>
  <c r="L10" i="7"/>
  <c r="L21" i="7"/>
  <c r="L34" i="7"/>
  <c r="L43" i="7"/>
  <c r="L40" i="7"/>
  <c r="K36" i="6"/>
  <c r="K41" i="6"/>
  <c r="K43" i="6"/>
  <c r="K42" i="6"/>
  <c r="K40" i="6"/>
  <c r="J37" i="6"/>
  <c r="E28" i="5"/>
  <c r="D26" i="5"/>
  <c r="E26" i="5" s="1"/>
  <c r="F24" i="5" s="1"/>
  <c r="F23" i="5" l="1"/>
  <c r="L60" i="7"/>
  <c r="J68" i="7"/>
  <c r="J64" i="7"/>
  <c r="J67" i="7"/>
  <c r="J66" i="7"/>
  <c r="K60" i="7"/>
  <c r="J65" i="7"/>
  <c r="K37" i="6"/>
  <c r="J58" i="6"/>
  <c r="J26" i="5"/>
  <c r="J22" i="5"/>
  <c r="J18" i="5"/>
  <c r="J11" i="5"/>
  <c r="J7" i="5"/>
  <c r="J12" i="5"/>
  <c r="J23" i="5"/>
  <c r="J19" i="5"/>
  <c r="J13" i="5"/>
  <c r="J8" i="5"/>
  <c r="J14" i="5"/>
  <c r="J10" i="5"/>
  <c r="F26" i="5"/>
  <c r="J24" i="5"/>
  <c r="J20" i="5"/>
  <c r="J15" i="5"/>
  <c r="J9" i="5"/>
  <c r="J16" i="5"/>
  <c r="J25" i="5"/>
  <c r="J21" i="5"/>
  <c r="J17" i="5"/>
  <c r="F10" i="5"/>
  <c r="F14" i="5"/>
  <c r="F21" i="5"/>
  <c r="F13" i="5"/>
  <c r="F16" i="5"/>
  <c r="F15" i="5"/>
  <c r="F12" i="5"/>
  <c r="F9" i="5"/>
  <c r="F20" i="5"/>
  <c r="F22" i="5"/>
  <c r="F17" i="5"/>
  <c r="F7" i="5"/>
  <c r="F19" i="5"/>
  <c r="F11" i="5"/>
  <c r="F8" i="5"/>
  <c r="F18" i="5"/>
  <c r="F25" i="5"/>
  <c r="L66" i="7" l="1"/>
  <c r="K66" i="7"/>
  <c r="L67" i="7"/>
  <c r="K67" i="7"/>
  <c r="K65" i="7"/>
  <c r="L65" i="7"/>
  <c r="L64" i="7"/>
  <c r="J61" i="7"/>
  <c r="K64" i="7"/>
  <c r="K68" i="7"/>
  <c r="L68" i="7"/>
  <c r="L58" i="6"/>
  <c r="L29" i="6"/>
  <c r="L57" i="6"/>
  <c r="L50" i="6"/>
  <c r="K58" i="6"/>
  <c r="L51" i="6"/>
  <c r="J60" i="6"/>
  <c r="L44" i="6"/>
  <c r="L30" i="6"/>
  <c r="L24" i="6"/>
  <c r="L53" i="6"/>
  <c r="L55" i="6"/>
  <c r="L45" i="6"/>
  <c r="L48" i="6"/>
  <c r="L31" i="6"/>
  <c r="L56" i="6"/>
  <c r="L25" i="6"/>
  <c r="L26" i="6"/>
  <c r="L46" i="6"/>
  <c r="L27" i="6"/>
  <c r="L32" i="6"/>
  <c r="L33" i="6"/>
  <c r="L18" i="6"/>
  <c r="L9" i="6"/>
  <c r="L49" i="6"/>
  <c r="L47" i="6"/>
  <c r="L28" i="6"/>
  <c r="L54" i="6"/>
  <c r="L13" i="6"/>
  <c r="L17" i="6"/>
  <c r="L52" i="6"/>
  <c r="L19" i="6"/>
  <c r="L21" i="6"/>
  <c r="L14" i="6"/>
  <c r="L11" i="6"/>
  <c r="L20" i="6"/>
  <c r="L12" i="6"/>
  <c r="L15" i="6"/>
  <c r="L16" i="6"/>
  <c r="L10" i="6"/>
  <c r="L34" i="6"/>
  <c r="L36" i="6"/>
  <c r="L40" i="6"/>
  <c r="L43" i="6"/>
  <c r="L41" i="6"/>
  <c r="L42" i="6"/>
  <c r="L37" i="6"/>
  <c r="F27" i="5"/>
  <c r="J27" i="5"/>
  <c r="L61" i="7" l="1"/>
  <c r="K61" i="7"/>
  <c r="J80" i="7"/>
  <c r="J68" i="6"/>
  <c r="J65" i="6"/>
  <c r="J67" i="6"/>
  <c r="J64" i="6"/>
  <c r="K60" i="6"/>
  <c r="J66" i="6"/>
  <c r="L60" i="6"/>
  <c r="K80" i="7" l="1"/>
  <c r="L80" i="7"/>
  <c r="J82" i="7"/>
  <c r="L64" i="6"/>
  <c r="K64" i="6"/>
  <c r="O64" i="6" s="1"/>
  <c r="J61" i="6"/>
  <c r="L67" i="6"/>
  <c r="K67" i="6"/>
  <c r="O67" i="6" s="1"/>
  <c r="K65" i="6"/>
  <c r="O65" i="6" s="1"/>
  <c r="L65" i="6"/>
  <c r="L66" i="6"/>
  <c r="K66" i="6"/>
  <c r="O66" i="6" s="1"/>
  <c r="L68" i="6"/>
  <c r="K68" i="6"/>
  <c r="O68" i="6" s="1"/>
  <c r="L82" i="7" l="1"/>
  <c r="K82" i="7"/>
  <c r="J105" i="7"/>
  <c r="D13" i="2" s="1"/>
  <c r="D17" i="2" s="1"/>
  <c r="D21" i="2" s="1"/>
  <c r="L61" i="6"/>
  <c r="K61" i="6"/>
  <c r="J80" i="6"/>
  <c r="K105" i="7" l="1"/>
  <c r="J107" i="7"/>
  <c r="J82" i="6"/>
  <c r="L80" i="6"/>
  <c r="K80" i="6"/>
  <c r="J108" i="7" l="1"/>
  <c r="L108" i="7" s="1"/>
  <c r="M107" i="7"/>
  <c r="L107" i="7"/>
  <c r="J106" i="7"/>
  <c r="L82" i="6"/>
  <c r="K82" i="6"/>
  <c r="J105" i="6"/>
  <c r="L106" i="7" l="1"/>
  <c r="L109" i="7" s="1"/>
  <c r="K106" i="7"/>
  <c r="K105" i="6"/>
  <c r="J107" i="6"/>
  <c r="J108" i="6" l="1"/>
  <c r="L108" i="6" s="1"/>
  <c r="M107" i="6"/>
  <c r="L107" i="6"/>
  <c r="J106" i="6"/>
  <c r="L106" i="6" l="1"/>
  <c r="L109" i="6" s="1"/>
  <c r="K106" i="6"/>
</calcChain>
</file>

<file path=xl/sharedStrings.xml><?xml version="1.0" encoding="utf-8"?>
<sst xmlns="http://schemas.openxmlformats.org/spreadsheetml/2006/main" count="2190" uniqueCount="246">
  <si>
    <t>Danh mục</t>
  </si>
  <si>
    <t>Nguyên liệu:</t>
  </si>
  <si>
    <t>Thành phẩm:</t>
  </si>
  <si>
    <t>Tỷ giá USD:</t>
  </si>
  <si>
    <t>No.</t>
  </si>
  <si>
    <t xml:space="preserve">Nhóm </t>
  </si>
  <si>
    <t>Mã SAP</t>
  </si>
  <si>
    <t>Chi phí
 Cost Items</t>
  </si>
  <si>
    <t>Đơn vị tính
Unit</t>
  </si>
  <si>
    <t>Định mức
Standard</t>
  </si>
  <si>
    <t>Đơn giá (VNĐ)</t>
  </si>
  <si>
    <t>Chi phí đơn vị
(VNĐ /Kg)</t>
  </si>
  <si>
    <t>Đơn giá
(USD /Tấn)</t>
  </si>
  <si>
    <t>% giá bán</t>
  </si>
  <si>
    <t>Cơ sở tính</t>
  </si>
  <si>
    <t>A</t>
  </si>
  <si>
    <t>CÔNG ĐOẠN TẠO VẢY THÔ:</t>
  </si>
  <si>
    <t>I</t>
  </si>
  <si>
    <t>B1 - Chai PET tuyển nước ngọt</t>
  </si>
  <si>
    <t>vnđ /Kg</t>
  </si>
  <si>
    <t>II</t>
  </si>
  <si>
    <t>Hao hụt do băm chai B1 (chai khác loại, bao lót, kẽm, nắp)</t>
  </si>
  <si>
    <t>%</t>
  </si>
  <si>
    <t>160012437</t>
  </si>
  <si>
    <t>Chai PET Phi Thực Phẩm</t>
  </si>
  <si>
    <t>Thu hồi theo giá thị trường</t>
  </si>
  <si>
    <t>Chai khác2</t>
  </si>
  <si>
    <t>160012250</t>
  </si>
  <si>
    <t>Chai PET B8 Sau Phân Loại</t>
  </si>
  <si>
    <t>B4</t>
  </si>
  <si>
    <t>160012398</t>
  </si>
  <si>
    <t>Chai PET B4 Sau Phân Loại</t>
  </si>
  <si>
    <t>B5</t>
  </si>
  <si>
    <t>160012252</t>
  </si>
  <si>
    <t>Chai PET B5 Sau Phân Loại</t>
  </si>
  <si>
    <t>B6</t>
  </si>
  <si>
    <t>160012247</t>
  </si>
  <si>
    <t>Chai PET B6 Sau Phân Loại</t>
  </si>
  <si>
    <t>Olefin</t>
  </si>
  <si>
    <t>160012335</t>
  </si>
  <si>
    <t>Phó Sản PET B1/B8 Vảy-Nắp</t>
  </si>
  <si>
    <t>Bụi</t>
  </si>
  <si>
    <t>160012334</t>
  </si>
  <si>
    <t>Phó Sản PET Bụi Sàn Rung</t>
  </si>
  <si>
    <t>Tomra</t>
  </si>
  <si>
    <t>160012268</t>
  </si>
  <si>
    <t>Phó Sản PET Tomra Cổng 2</t>
  </si>
  <si>
    <t>Zigzag</t>
  </si>
  <si>
    <t>160012311</t>
  </si>
  <si>
    <t>Phó Sản PET Zigzag</t>
  </si>
  <si>
    <t>Mất đi</t>
  </si>
  <si>
    <t>Hao hụt nhãn, PVC, đất, cát, nước mất đi</t>
  </si>
  <si>
    <t>Hao hụt mất đi</t>
  </si>
  <si>
    <t>III</t>
  </si>
  <si>
    <t>Chi phí băm vảy (bale to flake)</t>
  </si>
  <si>
    <t>Băm</t>
  </si>
  <si>
    <t>REL01</t>
  </si>
  <si>
    <t>Công suất máy (capacity)</t>
  </si>
  <si>
    <t>Kg /h</t>
  </si>
  <si>
    <t>Công suất máy 4800 (CW1: 1200, CW2:1200, Boretech 2400)</t>
  </si>
  <si>
    <t>Hiệu suất máy</t>
  </si>
  <si>
    <t>Bình quân 3 tháng liền kề theo BI</t>
  </si>
  <si>
    <t>LAB</t>
  </si>
  <si>
    <t>Chi phí nhân công trực tiếp</t>
  </si>
  <si>
    <t>tháng</t>
  </si>
  <si>
    <t>Chi phí nhân công gián tiếp</t>
  </si>
  <si>
    <t>Lương trưởng ca, hành chính, tổ trưởng, quản lý sản xuất gián tiếp như QC, Kỹ thuật</t>
  </si>
  <si>
    <t>OTH</t>
  </si>
  <si>
    <t>Chi phí  vật tư phân xưởng</t>
  </si>
  <si>
    <t>Chi phí thực tế bình quân 3 tháng liền kề</t>
  </si>
  <si>
    <t>Chi phí CCDC, bảo trì</t>
  </si>
  <si>
    <t>DEP</t>
  </si>
  <si>
    <t>6274.1</t>
  </si>
  <si>
    <t>Chi phí khấu hao MMTB chính</t>
  </si>
  <si>
    <t>Chi phí thực tế bình quân 3 tháng liền kề theo danh sách TSCĐ</t>
  </si>
  <si>
    <t>6274.2</t>
  </si>
  <si>
    <t>Chi phí khấu hao MMTB phụ</t>
  </si>
  <si>
    <t>6274.3</t>
  </si>
  <si>
    <t>Chi phí khấu hao MMTB dùng chung</t>
  </si>
  <si>
    <t>6274.4</t>
  </si>
  <si>
    <t>Chi phí khấu hao nhà xưởng</t>
  </si>
  <si>
    <t>ELEC</t>
  </si>
  <si>
    <t>Điện (electronic) kwh</t>
  </si>
  <si>
    <t>Kwh</t>
  </si>
  <si>
    <t>Chi phí thực tế bình quân 3 tháng liền kề. CW1: 178 Kwh, CW2: 185 Kwh, Boretech: 132 Kwh</t>
  </si>
  <si>
    <t>Chi phí bằng tiền khác</t>
  </si>
  <si>
    <t>Cộng giá thành A0 - Vảy thô (I+II+III)</t>
  </si>
  <si>
    <t>B</t>
  </si>
  <si>
    <t>CÔNG ĐOẠN RỬA VẢY:</t>
  </si>
  <si>
    <t>IV</t>
  </si>
  <si>
    <t>Chi phí A0 - Vảy thô</t>
  </si>
  <si>
    <t>Kg</t>
  </si>
  <si>
    <t>V</t>
  </si>
  <si>
    <t>Chi phí rửa vảy, tách kim loại (clean flake)</t>
  </si>
  <si>
    <t>Hóa chất</t>
  </si>
  <si>
    <t>Rửa</t>
  </si>
  <si>
    <t>VBAL1</t>
  </si>
  <si>
    <t>Công suất máy 5860 (CW1: 1800, CW2:1660, Boretech 2400)</t>
  </si>
  <si>
    <t>160012419</t>
  </si>
  <si>
    <t>Phó Sản PET Tomra Cổng 3</t>
  </si>
  <si>
    <t>160012336</t>
  </si>
  <si>
    <t>Phó Sản PET Bụi Cám</t>
  </si>
  <si>
    <t>CHE</t>
  </si>
  <si>
    <t>700000180</t>
  </si>
  <si>
    <t>Sodium Hydroxide (32%) NaOH</t>
  </si>
  <si>
    <t>Hóa chất theo BOM</t>
  </si>
  <si>
    <t>120002594</t>
  </si>
  <si>
    <t>Chất thủy tinh lỏng Na2-SiO3-9H2O</t>
  </si>
  <si>
    <t>700000185</t>
  </si>
  <si>
    <t>Chất phá bọt Antifoam CS04</t>
  </si>
  <si>
    <t>Nạp liệu 2 người + đóng gói, ra hàng: 2 người + xe nâng 2+ vệ sinh sàn, nước 1 người</t>
  </si>
  <si>
    <t>Chi phí thực tế bình quân 3 tháng liền kề. CW1: 99,5 Kwh, CW2: 99,5 Kwh, Boretech: 316 Kwh</t>
  </si>
  <si>
    <t>H2O</t>
  </si>
  <si>
    <t>Nước (water) m3/giờ</t>
  </si>
  <si>
    <t>Giá thành - A1_Vảy sạch từ chai (IV+V):</t>
  </si>
  <si>
    <t>CÔNG ĐOẠN TẠO HẠT QUA MÁY STARLINGER:</t>
  </si>
  <si>
    <t>Chai</t>
  </si>
  <si>
    <t>Chi phí tạo hạt máy Starlinger</t>
  </si>
  <si>
    <t>Tạo hạt</t>
  </si>
  <si>
    <t>Công suất máy 6000 (CW1: 1500, CW2:1500, Boretech 3000)</t>
  </si>
  <si>
    <t>Đầu keo</t>
  </si>
  <si>
    <t>160012357</t>
  </si>
  <si>
    <t>Phó Sản PET Đầu Keo</t>
  </si>
  <si>
    <t>HAD</t>
  </si>
  <si>
    <t>160012417</t>
  </si>
  <si>
    <t>Phó Sản PET HAD</t>
  </si>
  <si>
    <t>PP Hạt</t>
  </si>
  <si>
    <t>160012418</t>
  </si>
  <si>
    <t>Phó Sản PET Hạt Lẫn Kim Loại</t>
  </si>
  <si>
    <t>Hao hụt mất đi do keo dính lưới</t>
  </si>
  <si>
    <t>Điện (electronic) Starlinger</t>
  </si>
  <si>
    <t>Chi phí thực tế bình quân 3 tháng liền kề. CW1: 752 Kwh, CW2: 752 Kwh, Boretech: 1254 Kwh</t>
  </si>
  <si>
    <t>Giá thành tạo hạt máy Starlinger (III+IV)</t>
  </si>
  <si>
    <t xml:space="preserve">Hạt rPET WSS01 </t>
  </si>
  <si>
    <t>BAG</t>
  </si>
  <si>
    <t>160012673</t>
  </si>
  <si>
    <t>Pallet D4-1137R không nút-GC</t>
  </si>
  <si>
    <t>cái</t>
  </si>
  <si>
    <t>Giao trong nước pallet đen, giao xuất khẩu pallet gỗ</t>
  </si>
  <si>
    <t>140005072</t>
  </si>
  <si>
    <t>Bao jumbo 105Lx105Wx150H (cm) đựng vảy</t>
  </si>
  <si>
    <t>1100 kg hạt/bao</t>
  </si>
  <si>
    <t>140006090</t>
  </si>
  <si>
    <t>Bao PE lót ngoài bao Jumbo</t>
  </si>
  <si>
    <t>Nâng IV</t>
  </si>
  <si>
    <t>Nạp liệu 1, đóng gói 1, xe nâng 1</t>
  </si>
  <si>
    <t>Điện (electronic) SSP</t>
  </si>
  <si>
    <t>Chi phí thực tế bình quân 3 tháng liền kề. CW1: 946 Kwh, Boretech: 487 Kwh</t>
  </si>
  <si>
    <t>Chi phí quản lý</t>
  </si>
  <si>
    <t>LuongBH</t>
  </si>
  <si>
    <t>Chi phí nhân sự bán hàng</t>
  </si>
  <si>
    <t>Chi phí lương BGĐ, kế toán, HCNS, bán hàng…</t>
  </si>
  <si>
    <t>LuongQL</t>
  </si>
  <si>
    <t>Chi phí nhân sự quản lý</t>
  </si>
  <si>
    <t>Banhang</t>
  </si>
  <si>
    <t>Chi phí bán hàng</t>
  </si>
  <si>
    <t>Chi phí hoạt động quản lý, CCDC, khấu hao thiết bị quản lý, chứng nhận, đánh giá…</t>
  </si>
  <si>
    <t>Quanly</t>
  </si>
  <si>
    <t>Chi phí quản lý chung</t>
  </si>
  <si>
    <t>Taichinh</t>
  </si>
  <si>
    <t>Chi phí tài chính 635</t>
  </si>
  <si>
    <t>Chi phí lãi vay vốn lưu động</t>
  </si>
  <si>
    <t xml:space="preserve">Đơn giá vốn rPET </t>
  </si>
  <si>
    <t>VI</t>
  </si>
  <si>
    <t>LN</t>
  </si>
  <si>
    <t>TAX</t>
  </si>
  <si>
    <t>Thuế (income tax)</t>
  </si>
  <si>
    <t>Đơn giá rPET (IV 0,75-0,8) [VIII+IX+X+XI]:</t>
  </si>
  <si>
    <t>HẠT rPET iSS01084G (IV &gt; 0,8)</t>
  </si>
  <si>
    <t>11 người lựa chai trên chuyền, 1 người cắt kiện, phế, 1 người đóng gói, 0,5 xe nâng</t>
  </si>
  <si>
    <t>CÔNG ĐOẠN NÂNG IV LÊN &gt; 0,8 (LƯU MÁY SSP 10 TIẾNG):</t>
  </si>
  <si>
    <t>Chi phí nâng IV (10 tiếng)</t>
  </si>
  <si>
    <t>Nâng IV 10H</t>
  </si>
  <si>
    <t>Công suất máy 3492 (SSP-01: 1092, SSP-02: 2400)</t>
  </si>
  <si>
    <t>Lợi nhuận gia công (conversion margin)</t>
  </si>
  <si>
    <t>Lợi nhuận (margin)</t>
  </si>
  <si>
    <t>ISS01084</t>
  </si>
  <si>
    <t>HẠT rPET ISS01G-S (IV &gt; 0,8)</t>
  </si>
  <si>
    <t>CHÀO GIÁ  SUNTORY PEPSI 2026</t>
  </si>
  <si>
    <t>STT</t>
  </si>
  <si>
    <t>Mã</t>
  </si>
  <si>
    <t>Tên</t>
  </si>
  <si>
    <t>Lợi nhuận sau thuế</t>
  </si>
  <si>
    <t>% Lợi nhuận sau thuế</t>
  </si>
  <si>
    <t>Hạt nhựa rPET iSS01084G</t>
  </si>
  <si>
    <t>Hạt Nhựa rPET iSS01G-S</t>
  </si>
  <si>
    <t>110000332</t>
  </si>
  <si>
    <t>110000483</t>
  </si>
  <si>
    <t>Phụ gia Anti Yellow CC10379752Z8, Avient</t>
  </si>
  <si>
    <t>150000187</t>
  </si>
  <si>
    <t>Chai PET B1.3</t>
  </si>
  <si>
    <t>D</t>
  </si>
  <si>
    <t>C</t>
  </si>
  <si>
    <t>Vảy sạch từ chai</t>
  </si>
  <si>
    <t>CÔNG ĐOẠN TẠO HẠT</t>
  </si>
  <si>
    <t>PHƯƠNG ÁN SẢN XUẤT TỪ  100% CHAI RA HẠT ISS01G-S (NÂNG IV 10h)</t>
  </si>
  <si>
    <t>PHƯƠNG ÁN SẢN XUẤT TỪ  100% CHAI RA HẠT ISS01084G (NÂNG IV 10h)</t>
  </si>
  <si>
    <t>100% chai vảy mua ngoài</t>
  </si>
  <si>
    <t>Hao hụt</t>
  </si>
  <si>
    <t>NCTT</t>
  </si>
  <si>
    <t>NCGT</t>
  </si>
  <si>
    <t>VTPX</t>
  </si>
  <si>
    <t>CCDC</t>
  </si>
  <si>
    <t>Điện</t>
  </si>
  <si>
    <t>KH</t>
  </si>
  <si>
    <t>Khác</t>
  </si>
  <si>
    <t>Phụ gia</t>
  </si>
  <si>
    <t>Bao bì</t>
  </si>
  <si>
    <t>Đơn giá vốn (Vnđ/Kg)</t>
  </si>
  <si>
    <t>Đơn giá vốn (USD/tấn)</t>
  </si>
  <si>
    <t>Giá bán EXW Kinh doanh đề nghị (USD/tấn)</t>
  </si>
  <si>
    <t>SAP</t>
  </si>
  <si>
    <t>Chi phí
VNĐ /Kg</t>
  </si>
  <si>
    <t>Đơn giá
USD /Tấn</t>
  </si>
  <si>
    <t>Cơ cấu % chi phí /Giá</t>
  </si>
  <si>
    <t>Chi phí nguyên vật liệu</t>
  </si>
  <si>
    <t>Chi phí chai B1</t>
  </si>
  <si>
    <t>Hao hụt về tiền</t>
  </si>
  <si>
    <t>Chi phí sản xuất</t>
  </si>
  <si>
    <t>Chi phí nhân công</t>
  </si>
  <si>
    <t>Khấu hao</t>
  </si>
  <si>
    <t>Chi phí gián tiếp</t>
  </si>
  <si>
    <t>Đóng gói</t>
  </si>
  <si>
    <t>Nước</t>
  </si>
  <si>
    <t>Giá thành (A+B+C)</t>
  </si>
  <si>
    <t>E</t>
  </si>
  <si>
    <t>CP quản lý, bán hàng, lãi vay</t>
  </si>
  <si>
    <t>Chi phí lãi vay</t>
  </si>
  <si>
    <t>F</t>
  </si>
  <si>
    <t>Điểm hòa vốn (D+E)</t>
  </si>
  <si>
    <t>Thuế thu nhập</t>
  </si>
  <si>
    <t>G</t>
  </si>
  <si>
    <t>H</t>
  </si>
  <si>
    <t>Giá bán</t>
  </si>
  <si>
    <t>% Lãi gộp nguyên liệu/Giá bán</t>
  </si>
  <si>
    <t>ISS01084G</t>
  </si>
  <si>
    <t>ISS01G-S</t>
  </si>
  <si>
    <t xml:space="preserve">Giá đầu vào tăng </t>
  </si>
  <si>
    <t xml:space="preserve">Chai </t>
  </si>
  <si>
    <t>Tằng giá khác</t>
  </si>
  <si>
    <t>Giá bán duyệt tháng 4</t>
  </si>
  <si>
    <t>Giá bán duyệt tháng 3</t>
  </si>
  <si>
    <t>=&gt; Tăng/giảm:</t>
  </si>
  <si>
    <t>Kinh doanh đề xuất xem xét giá sàn EXW 1250 USD/tấn</t>
  </si>
  <si>
    <t>Tính toán cho chào giá phần tăng thêm sản lượng 1.500-4500 mt</t>
  </si>
  <si>
    <t>Giá bán EXW đề nghị (USD/tấn)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</si>
</sst>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&quot;$&quot;#,##0"/>
    <numFmt numFmtId="166" formatCode="_(* #,##0_);_(* \(#,##0\);_(* &quot;-&quot;??_);_(@_)"/>
    <numFmt numFmtId="167" formatCode="0.0%"/>
    <numFmt numFmtId="168" formatCode="&quot;₫&quot;#,##0"/>
    <numFmt numFmtId="169" formatCode="_-* #,##0_-;\-* #,##0_-;_-* &quot;-&quot;??_-;_-@_-"/>
    <numFmt numFmtId="170" formatCode="0%&quot; /giá bán&quot;"/>
    <numFmt numFmtId="171" formatCode="0.00000%"/>
    <numFmt numFmtId="172" formatCode="_-* #,##0.0_-;\-* #,##0.0_-;_-* &quot;-&quot;??_-;_-@_-"/>
    <numFmt numFmtId="173" formatCode="_-* #,##0.000_-;\-* #,##0.000_-;_-* &quot;-&quot;??_-;_-@_-"/>
  </numFmts>
  <fonts count="40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b/>
      <u/>
      <sz val="11"/>
      <color rgb="FFFF33CC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sz val="11"/>
      <color rgb="FFFF33CC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0070C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3"/>
      <color rgb="FF000099"/>
      <name val="Aptos Narrow"/>
      <family val="2"/>
      <scheme val="minor"/>
    </font>
    <font>
      <b/>
      <sz val="13"/>
      <color rgb="FF0070C0"/>
      <name val="Aptos Narrow"/>
      <family val="2"/>
      <scheme val="minor"/>
    </font>
    <font>
      <i/>
      <u/>
      <sz val="13"/>
      <name val="Aptos Narrow"/>
      <family val="2"/>
      <scheme val="minor"/>
    </font>
    <font>
      <sz val="13"/>
      <name val="Aptos Narrow"/>
      <family val="2"/>
      <scheme val="minor"/>
    </font>
    <font>
      <b/>
      <sz val="13"/>
      <color rgb="FFFF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rgb="FFC00000"/>
      <name val="Aptos Narrow"/>
      <family val="2"/>
      <scheme val="minor"/>
    </font>
    <font>
      <b/>
      <sz val="13"/>
      <color rgb="FF0000FF"/>
      <name val="Aptos Narrow"/>
      <family val="2"/>
      <scheme val="minor"/>
    </font>
    <font>
      <sz val="13"/>
      <color rgb="FF0000FF"/>
      <name val="Aptos Narrow"/>
      <family val="2"/>
      <scheme val="minor"/>
    </font>
    <font>
      <b/>
      <sz val="13"/>
      <name val="Aptos Narrow"/>
      <family val="2"/>
      <scheme val="minor"/>
    </font>
    <font>
      <sz val="13"/>
      <color rgb="FFFF33CC"/>
      <name val="Aptos Narrow"/>
      <family val="2"/>
      <scheme val="minor"/>
    </font>
    <font>
      <b/>
      <sz val="13"/>
      <color rgb="FFFF33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FF"/>
      <name val="Aptos Narrow"/>
      <family val="2"/>
      <charset val="163"/>
      <scheme val="minor"/>
    </font>
    <font>
      <b/>
      <sz val="18"/>
      <color rgb="FF0070C0"/>
      <name val="Arial"/>
      <family val="2"/>
    </font>
    <font>
      <sz val="11"/>
      <color theme="1"/>
      <name val="Arial"/>
      <family val="2"/>
    </font>
    <font>
      <b/>
      <sz val="12"/>
      <color rgb="FF0070C0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Arial"/>
      <family val="2"/>
    </font>
    <font>
      <b/>
      <sz val="13"/>
      <color theme="0"/>
      <name val="Arial"/>
      <family val="2"/>
    </font>
    <font>
      <b/>
      <sz val="13"/>
      <color rgb="FF0033CC"/>
      <name val="Arial"/>
      <family val="2"/>
    </font>
    <font>
      <sz val="13"/>
      <color theme="1"/>
      <name val="Arial"/>
      <family val="2"/>
    </font>
    <font>
      <sz val="13"/>
      <name val="Arial"/>
      <family val="2"/>
    </font>
    <font>
      <b/>
      <sz val="13"/>
      <color rgb="FFFF0000"/>
      <name val="Arial"/>
      <family val="2"/>
    </font>
    <font>
      <b/>
      <sz val="12"/>
      <color rgb="FFFF0000"/>
      <name val="Arial"/>
      <family val="2"/>
    </font>
    <font>
      <b/>
      <sz val="13"/>
      <color rgb="FF0000FF"/>
      <name val="Arial"/>
      <family val="2"/>
    </font>
    <font>
      <sz val="13"/>
      <color rgb="FFFF0000"/>
      <name val="Aptos Narrow"/>
      <family val="2"/>
      <scheme val="minor"/>
    </font>
    <font>
      <sz val="11"/>
      <color rgb="FFFF0000"/>
      <name val="Aptos Narrow"/>
      <family val="2"/>
      <charset val="163"/>
      <scheme val="minor"/>
    </font>
    <font>
      <b/>
      <sz val="11"/>
      <color rgb="FFFF000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9" fontId="5" fillId="0" borderId="0" applyFont="0" applyFill="0" applyBorder="0" applyAlignment="0" applyProtection="0"/>
  </cellStyleXfs>
  <cellXfs count="202">
    <xf numFmtId="0" fontId="0" fillId="0" borderId="0" xfId="0"/>
    <xf numFmtId="0" fontId="2" fillId="2" borderId="0" xfId="3" applyFont="1" applyFill="1" applyAlignment="1">
      <alignment horizontal="left" vertical="center"/>
    </xf>
    <xf numFmtId="0" fontId="4" fillId="3" borderId="0" xfId="0" applyFont="1" applyFill="1"/>
    <xf numFmtId="0" fontId="5" fillId="3" borderId="0" xfId="0" applyFont="1" applyFill="1"/>
    <xf numFmtId="0" fontId="6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11" fillId="3" borderId="0" xfId="0" applyFont="1" applyFill="1" applyAlignment="1">
      <alignment vertical="center"/>
    </xf>
    <xf numFmtId="166" fontId="12" fillId="3" borderId="0" xfId="4" applyNumberFormat="1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vertical="center"/>
    </xf>
    <xf numFmtId="166" fontId="11" fillId="3" borderId="0" xfId="4" applyNumberFormat="1" applyFont="1" applyFill="1" applyAlignment="1">
      <alignment vertical="center"/>
    </xf>
    <xf numFmtId="0" fontId="4" fillId="3" borderId="0" xfId="0" applyFont="1" applyFill="1" applyAlignment="1">
      <alignment wrapText="1"/>
    </xf>
    <xf numFmtId="0" fontId="7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9" fontId="7" fillId="4" borderId="1" xfId="5" applyFont="1" applyFill="1" applyBorder="1" applyAlignment="1">
      <alignment horizontal="center" vertical="center" wrapText="1"/>
    </xf>
    <xf numFmtId="0" fontId="5" fillId="3" borderId="0" xfId="0" applyFont="1" applyFill="1" applyAlignment="1">
      <alignment wrapText="1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/>
    </xf>
    <xf numFmtId="167" fontId="16" fillId="5" borderId="1" xfId="5" applyNumberFormat="1" applyFont="1" applyFill="1" applyBorder="1" applyAlignment="1">
      <alignment vertical="center"/>
    </xf>
    <xf numFmtId="37" fontId="16" fillId="5" borderId="1" xfId="0" applyNumberFormat="1" applyFont="1" applyFill="1" applyBorder="1" applyAlignment="1">
      <alignment vertical="center"/>
    </xf>
    <xf numFmtId="165" fontId="16" fillId="5" borderId="1" xfId="0" applyNumberFormat="1" applyFont="1" applyFill="1" applyBorder="1" applyAlignment="1">
      <alignment vertical="center"/>
    </xf>
    <xf numFmtId="168" fontId="16" fillId="5" borderId="1" xfId="0" applyNumberFormat="1" applyFont="1" applyFill="1" applyBorder="1" applyAlignment="1">
      <alignment vertical="center"/>
    </xf>
    <xf numFmtId="9" fontId="16" fillId="5" borderId="1" xfId="0" applyNumberFormat="1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 wrapText="1"/>
    </xf>
    <xf numFmtId="37" fontId="13" fillId="6" borderId="1" xfId="0" applyNumberFormat="1" applyFont="1" applyFill="1" applyBorder="1" applyAlignment="1">
      <alignment vertical="center"/>
    </xf>
    <xf numFmtId="37" fontId="12" fillId="6" borderId="1" xfId="0" applyNumberFormat="1" applyFont="1" applyFill="1" applyBorder="1" applyAlignment="1">
      <alignment vertical="center"/>
    </xf>
    <xf numFmtId="165" fontId="13" fillId="6" borderId="1" xfId="0" applyNumberFormat="1" applyFont="1" applyFill="1" applyBorder="1" applyAlignment="1">
      <alignment vertical="center"/>
    </xf>
    <xf numFmtId="9" fontId="17" fillId="6" borderId="1" xfId="5" applyFont="1" applyFill="1" applyBorder="1" applyAlignment="1">
      <alignment vertical="center"/>
    </xf>
    <xf numFmtId="9" fontId="17" fillId="6" borderId="1" xfId="0" applyNumberFormat="1" applyFont="1" applyFill="1" applyBorder="1" applyAlignment="1">
      <alignment horizontal="left" vertical="center" wrapText="1"/>
    </xf>
    <xf numFmtId="167" fontId="17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67" fontId="13" fillId="0" borderId="1" xfId="2" applyNumberFormat="1" applyFont="1" applyBorder="1" applyAlignment="1">
      <alignment horizontal="center" vertical="center"/>
    </xf>
    <xf numFmtId="37" fontId="7" fillId="0" borderId="1" xfId="0" applyNumberFormat="1" applyFont="1" applyBorder="1" applyAlignment="1">
      <alignment vertical="center"/>
    </xf>
    <xf numFmtId="165" fontId="7" fillId="0" borderId="1" xfId="0" applyNumberFormat="1" applyFont="1" applyBorder="1" applyAlignment="1">
      <alignment vertical="center"/>
    </xf>
    <xf numFmtId="167" fontId="11" fillId="0" borderId="1" xfId="5" applyNumberFormat="1" applyFont="1" applyFill="1" applyBorder="1" applyAlignment="1">
      <alignment vertical="center"/>
    </xf>
    <xf numFmtId="9" fontId="11" fillId="0" borderId="1" xfId="0" applyNumberFormat="1" applyFont="1" applyBorder="1" applyAlignment="1">
      <alignment horizontal="left" vertical="center" wrapText="1"/>
    </xf>
    <xf numFmtId="0" fontId="18" fillId="3" borderId="0" xfId="0" applyFont="1" applyFill="1"/>
    <xf numFmtId="0" fontId="7" fillId="6" borderId="1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9" fontId="7" fillId="7" borderId="1" xfId="2" applyFont="1" applyFill="1" applyBorder="1" applyAlignment="1">
      <alignment horizontal="center" vertical="center"/>
    </xf>
    <xf numFmtId="169" fontId="7" fillId="3" borderId="1" xfId="1" applyNumberFormat="1" applyFont="1" applyFill="1" applyBorder="1" applyAlignment="1">
      <alignment vertical="center"/>
    </xf>
    <xf numFmtId="9" fontId="11" fillId="0" borderId="1" xfId="5" applyFont="1" applyFill="1" applyBorder="1" applyAlignment="1">
      <alignment vertical="center"/>
    </xf>
    <xf numFmtId="169" fontId="5" fillId="3" borderId="0" xfId="1" applyNumberFormat="1" applyFont="1" applyFill="1"/>
    <xf numFmtId="1" fontId="7" fillId="0" borderId="1" xfId="0" applyNumberFormat="1" applyFont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166" fontId="17" fillId="8" borderId="1" xfId="0" applyNumberFormat="1" applyFont="1" applyFill="1" applyBorder="1" applyAlignment="1">
      <alignment vertical="center"/>
    </xf>
    <xf numFmtId="165" fontId="17" fillId="8" borderId="1" xfId="0" applyNumberFormat="1" applyFont="1" applyFill="1" applyBorder="1" applyAlignment="1">
      <alignment vertical="center"/>
    </xf>
    <xf numFmtId="9" fontId="17" fillId="8" borderId="1" xfId="5" applyFont="1" applyFill="1" applyBorder="1" applyAlignment="1">
      <alignment vertical="center"/>
    </xf>
    <xf numFmtId="0" fontId="11" fillId="8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vertical="center"/>
    </xf>
    <xf numFmtId="165" fontId="13" fillId="5" borderId="1" xfId="0" applyNumberFormat="1" applyFont="1" applyFill="1" applyBorder="1" applyAlignment="1">
      <alignment vertical="center"/>
    </xf>
    <xf numFmtId="9" fontId="13" fillId="5" borderId="1" xfId="5" applyFont="1" applyFill="1" applyBorder="1" applyAlignment="1">
      <alignment vertical="center"/>
    </xf>
    <xf numFmtId="0" fontId="11" fillId="5" borderId="1" xfId="0" applyFont="1" applyFill="1" applyBorder="1" applyAlignment="1">
      <alignment vertical="center" wrapText="1"/>
    </xf>
    <xf numFmtId="166" fontId="13" fillId="6" borderId="1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/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  <xf numFmtId="167" fontId="11" fillId="3" borderId="1" xfId="2" applyNumberFormat="1" applyFont="1" applyFill="1" applyBorder="1" applyAlignment="1">
      <alignment horizontal="center" vertical="center"/>
    </xf>
    <xf numFmtId="37" fontId="7" fillId="3" borderId="1" xfId="0" applyNumberFormat="1" applyFont="1" applyFill="1" applyBorder="1" applyAlignment="1">
      <alignment vertical="center"/>
    </xf>
    <xf numFmtId="9" fontId="11" fillId="3" borderId="1" xfId="5" applyFont="1" applyFill="1" applyBorder="1" applyAlignment="1">
      <alignment vertical="center"/>
    </xf>
    <xf numFmtId="9" fontId="11" fillId="3" borderId="1" xfId="0" applyNumberFormat="1" applyFont="1" applyFill="1" applyBorder="1" applyAlignment="1">
      <alignment horizontal="left" vertical="center" wrapText="1"/>
    </xf>
    <xf numFmtId="10" fontId="11" fillId="3" borderId="1" xfId="2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/>
    </xf>
    <xf numFmtId="37" fontId="11" fillId="5" borderId="1" xfId="0" applyNumberFormat="1" applyFont="1" applyFill="1" applyBorder="1" applyAlignment="1">
      <alignment vertical="center"/>
    </xf>
    <xf numFmtId="165" fontId="11" fillId="5" borderId="1" xfId="0" applyNumberFormat="1" applyFont="1" applyFill="1" applyBorder="1" applyAlignment="1">
      <alignment vertical="center"/>
    </xf>
    <xf numFmtId="9" fontId="11" fillId="5" borderId="1" xfId="5" applyFont="1" applyFill="1" applyBorder="1" applyAlignment="1">
      <alignment vertical="center"/>
    </xf>
    <xf numFmtId="170" fontId="11" fillId="5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37" fontId="11" fillId="3" borderId="1" xfId="0" applyNumberFormat="1" applyFont="1" applyFill="1" applyBorder="1" applyAlignment="1">
      <alignment vertical="center"/>
    </xf>
    <xf numFmtId="165" fontId="11" fillId="3" borderId="1" xfId="0" applyNumberFormat="1" applyFont="1" applyFill="1" applyBorder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vertical="center" wrapText="1"/>
    </xf>
    <xf numFmtId="37" fontId="17" fillId="6" borderId="1" xfId="0" applyNumberFormat="1" applyFont="1" applyFill="1" applyBorder="1" applyAlignment="1">
      <alignment vertical="center"/>
    </xf>
    <xf numFmtId="165" fontId="17" fillId="6" borderId="1" xfId="0" applyNumberFormat="1" applyFont="1" applyFill="1" applyBorder="1" applyAlignment="1">
      <alignment vertical="center"/>
    </xf>
    <xf numFmtId="37" fontId="13" fillId="6" borderId="1" xfId="0" applyNumberFormat="1" applyFont="1" applyFill="1" applyBorder="1" applyAlignment="1">
      <alignment horizontal="center" vertical="center"/>
    </xf>
    <xf numFmtId="170" fontId="11" fillId="6" borderId="1" xfId="0" applyNumberFormat="1" applyFont="1" applyFill="1" applyBorder="1" applyAlignment="1">
      <alignment horizontal="left" vertical="center"/>
    </xf>
    <xf numFmtId="167" fontId="5" fillId="3" borderId="0" xfId="2" applyNumberFormat="1" applyFont="1" applyFill="1"/>
    <xf numFmtId="0" fontId="11" fillId="3" borderId="1" xfId="0" applyFont="1" applyFill="1" applyBorder="1" applyAlignment="1">
      <alignment vertical="center"/>
    </xf>
    <xf numFmtId="10" fontId="11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9" fontId="13" fillId="6" borderId="1" xfId="5" applyFont="1" applyFill="1" applyBorder="1" applyAlignment="1">
      <alignment vertical="center"/>
    </xf>
    <xf numFmtId="37" fontId="11" fillId="0" borderId="1" xfId="0" applyNumberFormat="1" applyFont="1" applyBorder="1" applyAlignment="1">
      <alignment vertical="center"/>
    </xf>
    <xf numFmtId="167" fontId="11" fillId="3" borderId="1" xfId="5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left" vertical="center" indent="1"/>
    </xf>
    <xf numFmtId="166" fontId="7" fillId="3" borderId="1" xfId="4" applyNumberFormat="1" applyFont="1" applyFill="1" applyBorder="1" applyAlignment="1">
      <alignment horizontal="center" vertical="center"/>
    </xf>
    <xf numFmtId="9" fontId="7" fillId="3" borderId="1" xfId="5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vertical="center"/>
    </xf>
    <xf numFmtId="165" fontId="19" fillId="7" borderId="1" xfId="0" applyNumberFormat="1" applyFont="1" applyFill="1" applyBorder="1" applyAlignment="1">
      <alignment vertical="center"/>
    </xf>
    <xf numFmtId="9" fontId="19" fillId="7" borderId="1" xfId="5" applyFont="1" applyFill="1" applyBorder="1" applyAlignment="1">
      <alignment vertical="center"/>
    </xf>
    <xf numFmtId="9" fontId="18" fillId="7" borderId="1" xfId="0" applyNumberFormat="1" applyFont="1" applyFill="1" applyBorder="1" applyAlignment="1">
      <alignment horizontal="left" vertical="center" wrapText="1"/>
    </xf>
    <xf numFmtId="166" fontId="7" fillId="3" borderId="1" xfId="4" applyNumberFormat="1" applyFont="1" applyFill="1" applyBorder="1" applyAlignment="1">
      <alignment vertical="center"/>
    </xf>
    <xf numFmtId="165" fontId="7" fillId="3" borderId="1" xfId="4" applyNumberFormat="1" applyFont="1" applyFill="1" applyBorder="1" applyAlignment="1">
      <alignment vertical="center"/>
    </xf>
    <xf numFmtId="9" fontId="7" fillId="3" borderId="1" xfId="5" applyFont="1" applyFill="1" applyBorder="1" applyAlignment="1">
      <alignment vertical="center"/>
    </xf>
    <xf numFmtId="9" fontId="11" fillId="3" borderId="1" xfId="5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20" fillId="3" borderId="0" xfId="0" applyFont="1" applyFill="1"/>
    <xf numFmtId="37" fontId="20" fillId="3" borderId="0" xfId="0" applyNumberFormat="1" applyFont="1" applyFill="1"/>
    <xf numFmtId="0" fontId="0" fillId="3" borderId="0" xfId="0" applyFill="1"/>
    <xf numFmtId="0" fontId="6" fillId="3" borderId="0" xfId="0" applyFont="1" applyFill="1"/>
    <xf numFmtId="0" fontId="21" fillId="9" borderId="2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3" xfId="0" quotePrefix="1" applyFill="1" applyBorder="1"/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4" xfId="0" quotePrefix="1" applyFill="1" applyBorder="1"/>
    <xf numFmtId="0" fontId="0" fillId="3" borderId="4" xfId="0" applyFill="1" applyBorder="1"/>
    <xf numFmtId="171" fontId="5" fillId="3" borderId="0" xfId="2" applyNumberFormat="1" applyFont="1" applyFill="1"/>
    <xf numFmtId="169" fontId="0" fillId="3" borderId="3" xfId="1" applyNumberFormat="1" applyFont="1" applyFill="1" applyBorder="1"/>
    <xf numFmtId="169" fontId="0" fillId="3" borderId="3" xfId="0" applyNumberFormat="1" applyFill="1" applyBorder="1"/>
    <xf numFmtId="9" fontId="0" fillId="3" borderId="3" xfId="2" applyFont="1" applyFill="1" applyBorder="1"/>
    <xf numFmtId="169" fontId="0" fillId="3" borderId="4" xfId="0" applyNumberFormat="1" applyFill="1" applyBorder="1"/>
    <xf numFmtId="9" fontId="0" fillId="3" borderId="4" xfId="2" applyFont="1" applyFill="1" applyBorder="1"/>
    <xf numFmtId="169" fontId="0" fillId="3" borderId="4" xfId="1" applyNumberFormat="1" applyFont="1" applyFill="1" applyBorder="1"/>
    <xf numFmtId="0" fontId="21" fillId="10" borderId="2" xfId="0" applyFont="1" applyFill="1" applyBorder="1" applyAlignment="1">
      <alignment horizontal="center" vertical="center" wrapText="1"/>
    </xf>
    <xf numFmtId="169" fontId="23" fillId="3" borderId="3" xfId="1" applyNumberFormat="1" applyFont="1" applyFill="1" applyBorder="1"/>
    <xf numFmtId="169" fontId="23" fillId="3" borderId="4" xfId="1" applyNumberFormat="1" applyFont="1" applyFill="1" applyBorder="1"/>
    <xf numFmtId="0" fontId="24" fillId="3" borderId="0" xfId="0" applyFont="1" applyFill="1"/>
    <xf numFmtId="169" fontId="22" fillId="3" borderId="3" xfId="1" applyNumberFormat="1" applyFont="1" applyFill="1" applyBorder="1"/>
    <xf numFmtId="169" fontId="22" fillId="3" borderId="4" xfId="1" applyNumberFormat="1" applyFont="1" applyFill="1" applyBorder="1"/>
    <xf numFmtId="0" fontId="25" fillId="3" borderId="0" xfId="0" applyFont="1" applyFill="1" applyAlignment="1">
      <alignment vertical="center"/>
    </xf>
    <xf numFmtId="0" fontId="26" fillId="3" borderId="0" xfId="0" applyFont="1" applyFill="1"/>
    <xf numFmtId="169" fontId="29" fillId="3" borderId="0" xfId="1" applyNumberFormat="1" applyFont="1" applyFill="1"/>
    <xf numFmtId="0" fontId="30" fillId="9" borderId="5" xfId="0" applyFont="1" applyFill="1" applyBorder="1" applyAlignment="1">
      <alignment horizontal="center" vertical="center"/>
    </xf>
    <xf numFmtId="2" fontId="30" fillId="9" borderId="5" xfId="0" applyNumberFormat="1" applyFont="1" applyFill="1" applyBorder="1" applyAlignment="1">
      <alignment horizontal="center" vertical="center" wrapText="1"/>
    </xf>
    <xf numFmtId="2" fontId="30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65" fontId="31" fillId="11" borderId="1" xfId="0" applyNumberFormat="1" applyFont="1" applyFill="1" applyBorder="1" applyAlignment="1">
      <alignment horizontal="center" vertical="center"/>
    </xf>
    <xf numFmtId="9" fontId="31" fillId="11" borderId="1" xfId="5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vertical="center" wrapText="1"/>
    </xf>
    <xf numFmtId="3" fontId="32" fillId="3" borderId="1" xfId="0" applyNumberFormat="1" applyFont="1" applyFill="1" applyBorder="1" applyAlignment="1">
      <alignment horizontal="center" vertical="center"/>
    </xf>
    <xf numFmtId="165" fontId="32" fillId="3" borderId="1" xfId="4" applyNumberFormat="1" applyFont="1" applyFill="1" applyBorder="1" applyAlignment="1">
      <alignment horizontal="center" vertical="center"/>
    </xf>
    <xf numFmtId="9" fontId="32" fillId="3" borderId="1" xfId="5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center" indent="1"/>
    </xf>
    <xf numFmtId="3" fontId="33" fillId="3" borderId="1" xfId="0" applyNumberFormat="1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left" vertical="center" wrapText="1" indent="1"/>
    </xf>
    <xf numFmtId="0" fontId="34" fillId="11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165" fontId="34" fillId="11" borderId="1" xfId="0" applyNumberFormat="1" applyFont="1" applyFill="1" applyBorder="1" applyAlignment="1">
      <alignment horizontal="center" vertical="center"/>
    </xf>
    <xf numFmtId="9" fontId="34" fillId="11" borderId="1" xfId="5" applyFont="1" applyFill="1" applyBorder="1" applyAlignment="1">
      <alignment horizontal="center" vertical="center"/>
    </xf>
    <xf numFmtId="167" fontId="32" fillId="3" borderId="1" xfId="5" applyNumberFormat="1" applyFont="1" applyFill="1" applyBorder="1" applyAlignment="1">
      <alignment horizontal="center" vertical="center"/>
    </xf>
    <xf numFmtId="0" fontId="35" fillId="11" borderId="6" xfId="6" applyFont="1" applyFill="1" applyBorder="1" applyAlignment="1">
      <alignment horizontal="center" vertical="center"/>
    </xf>
    <xf numFmtId="0" fontId="35" fillId="11" borderId="1" xfId="6" applyFont="1" applyFill="1" applyBorder="1" applyAlignment="1">
      <alignment horizontal="center" vertical="center"/>
    </xf>
    <xf numFmtId="0" fontId="34" fillId="11" borderId="7" xfId="6" applyFont="1" applyFill="1" applyBorder="1" applyAlignment="1">
      <alignment vertical="center" wrapText="1"/>
    </xf>
    <xf numFmtId="3" fontId="35" fillId="11" borderId="8" xfId="6" applyNumberFormat="1" applyFont="1" applyFill="1" applyBorder="1" applyAlignment="1">
      <alignment horizontal="center" vertical="center"/>
    </xf>
    <xf numFmtId="165" fontId="35" fillId="11" borderId="8" xfId="6" applyNumberFormat="1" applyFont="1" applyFill="1" applyBorder="1" applyAlignment="1">
      <alignment horizontal="center" vertical="center"/>
    </xf>
    <xf numFmtId="9" fontId="35" fillId="11" borderId="8" xfId="7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vertical="center"/>
    </xf>
    <xf numFmtId="0" fontId="36" fillId="12" borderId="1" xfId="0" applyFont="1" applyFill="1" applyBorder="1" applyAlignment="1">
      <alignment vertical="center"/>
    </xf>
    <xf numFmtId="167" fontId="32" fillId="12" borderId="1" xfId="5" applyNumberFormat="1" applyFont="1" applyFill="1" applyBorder="1" applyAlignment="1">
      <alignment vertical="center"/>
    </xf>
    <xf numFmtId="9" fontId="36" fillId="12" borderId="1" xfId="0" applyNumberFormat="1" applyFont="1" applyFill="1" applyBorder="1" applyAlignment="1">
      <alignment horizontal="center" vertical="center"/>
    </xf>
    <xf numFmtId="2" fontId="30" fillId="9" borderId="9" xfId="0" applyNumberFormat="1" applyFont="1" applyFill="1" applyBorder="1" applyAlignment="1">
      <alignment vertical="center" wrapText="1"/>
    </xf>
    <xf numFmtId="2" fontId="30" fillId="9" borderId="10" xfId="0" applyNumberFormat="1" applyFont="1" applyFill="1" applyBorder="1" applyAlignment="1">
      <alignment vertical="center" wrapText="1"/>
    </xf>
    <xf numFmtId="0" fontId="27" fillId="3" borderId="0" xfId="0" applyFont="1" applyFill="1" applyAlignment="1">
      <alignment horizontal="center"/>
    </xf>
    <xf numFmtId="165" fontId="28" fillId="3" borderId="0" xfId="0" applyNumberFormat="1" applyFont="1" applyFill="1" applyAlignment="1">
      <alignment horizontal="center"/>
    </xf>
    <xf numFmtId="0" fontId="13" fillId="8" borderId="1" xfId="0" applyFont="1" applyFill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169" fontId="7" fillId="3" borderId="1" xfId="1" applyNumberFormat="1" applyFont="1" applyFill="1" applyBorder="1" applyAlignment="1">
      <alignment horizontal="center" vertical="center"/>
    </xf>
    <xf numFmtId="166" fontId="37" fillId="13" borderId="1" xfId="0" applyNumberFormat="1" applyFont="1" applyFill="1" applyBorder="1" applyAlignment="1">
      <alignment horizontal="center" vertical="center"/>
    </xf>
    <xf numFmtId="2" fontId="37" fillId="3" borderId="1" xfId="0" applyNumberFormat="1" applyFont="1" applyFill="1" applyBorder="1" applyAlignment="1">
      <alignment horizontal="center" vertical="center"/>
    </xf>
    <xf numFmtId="173" fontId="37" fillId="3" borderId="1" xfId="1" applyNumberFormat="1" applyFont="1" applyFill="1" applyBorder="1" applyAlignment="1">
      <alignment horizontal="center" vertical="center"/>
    </xf>
    <xf numFmtId="169" fontId="7" fillId="7" borderId="1" xfId="1" applyNumberFormat="1" applyFont="1" applyFill="1" applyBorder="1" applyAlignment="1">
      <alignment horizontal="center" vertical="center"/>
    </xf>
    <xf numFmtId="169" fontId="0" fillId="3" borderId="0" xfId="1" applyNumberFormat="1" applyFont="1" applyFill="1"/>
    <xf numFmtId="169" fontId="0" fillId="3" borderId="0" xfId="0" applyNumberFormat="1" applyFill="1"/>
    <xf numFmtId="0" fontId="38" fillId="13" borderId="0" xfId="0" quotePrefix="1" applyFont="1" applyFill="1"/>
    <xf numFmtId="0" fontId="0" fillId="3" borderId="0" xfId="0" applyFill="1" applyBorder="1" applyAlignment="1">
      <alignment horizontal="center"/>
    </xf>
    <xf numFmtId="0" fontId="0" fillId="3" borderId="0" xfId="0" quotePrefix="1" applyFill="1" applyBorder="1"/>
    <xf numFmtId="0" fontId="0" fillId="3" borderId="0" xfId="0" applyFill="1" applyBorder="1"/>
    <xf numFmtId="169" fontId="0" fillId="3" borderId="0" xfId="1" applyNumberFormat="1" applyFont="1" applyFill="1" applyBorder="1"/>
    <xf numFmtId="169" fontId="23" fillId="3" borderId="0" xfId="1" applyNumberFormat="1" applyFont="1" applyFill="1" applyBorder="1"/>
    <xf numFmtId="169" fontId="22" fillId="3" borderId="0" xfId="1" applyNumberFormat="1" applyFont="1" applyFill="1" applyBorder="1"/>
    <xf numFmtId="169" fontId="0" fillId="3" borderId="0" xfId="0" applyNumberFormat="1" applyFill="1" applyBorder="1"/>
    <xf numFmtId="9" fontId="0" fillId="3" borderId="0" xfId="2" applyFont="1" applyFill="1" applyBorder="1"/>
    <xf numFmtId="167" fontId="0" fillId="3" borderId="0" xfId="2" applyNumberFormat="1" applyFont="1" applyFill="1"/>
    <xf numFmtId="0" fontId="0" fillId="13" borderId="0" xfId="0" applyFill="1" applyAlignment="1">
      <alignment horizontal="center" vertical="center" wrapText="1"/>
    </xf>
    <xf numFmtId="0" fontId="39" fillId="13" borderId="0" xfId="0" applyFont="1" applyFill="1"/>
    <xf numFmtId="172" fontId="0" fillId="3" borderId="0" xfId="0" applyNumberFormat="1" applyFill="1"/>
    <xf numFmtId="0" fontId="21" fillId="14" borderId="2" xfId="0" applyFont="1" applyFill="1" applyBorder="1" applyAlignment="1">
      <alignment horizontal="center" vertical="center" wrapText="1"/>
    </xf>
  </cellXfs>
  <cellStyles count="8">
    <cellStyle name="Comma" xfId="1" builtinId="3"/>
    <cellStyle name="Comma 2" xfId="4" xr:uid="{DF154CF2-8FC5-431D-BFDF-9B88A8D02F87}"/>
    <cellStyle name="Hyperlink" xfId="3" builtinId="8"/>
    <cellStyle name="Normal" xfId="0" builtinId="0"/>
    <cellStyle name="Normal 2 10" xfId="6" xr:uid="{36E30E9E-01AC-408F-A88A-643C5C4A82AD}"/>
    <cellStyle name="Percent" xfId="2" builtinId="5"/>
    <cellStyle name="Percent 10 2 7" xfId="7" xr:uid="{07864880-9976-4B6E-A513-7C8F7F759C5E}"/>
    <cellStyle name="Percent 2" xfId="5" xr:uid="{62227DF1-2AEF-450F-9DF0-2927C42B6608}"/>
  </cellStyles>
  <dxfs count="2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697520074234945E-2"/>
          <c:y val="9.8327026674509335E-2"/>
          <c:w val="0.68588834365623386"/>
          <c:h val="0.8228606376696073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Chart!$C$7</c:f>
              <c:strCache>
                <c:ptCount val="1"/>
                <c:pt idx="0">
                  <c:v>Chi phí nguyên vật liệu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4.151343787977102E-3"/>
                  <c:y val="-2.73227437526473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0A0980D-5D0B-4C7C-A5FC-C4596EB4456C}" type="CELLRANGE">
                      <a:rPr lang="en-US" b="0" baseline="0"/>
                      <a:pPr>
                        <a:defRPr sz="1300"/>
                      </a:pPr>
                      <a:t>[CELLRANGE]</a:t>
                    </a:fld>
                    <a:r>
                      <a:rPr lang="en-US" b="0" baseline="0"/>
                      <a:t>; </a:t>
                    </a:r>
                    <a:fld id="{BE09B0E0-BCE0-472F-BF10-4235B100A11E}" type="VALUE">
                      <a:rPr lang="en-US" b="0" baseline="0"/>
                      <a:pPr>
                        <a:defRPr sz="1300"/>
                      </a:pPr>
                      <a:t>[VALUE]</a:t>
                    </a:fld>
                    <a:endParaRPr lang="en-US" b="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638870515770777"/>
                      <c:h val="0.10303322184718011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B86-443D-B48F-BB75A9AF06D0}"/>
                </c:ext>
              </c:extLst>
            </c:dLbl>
            <c:dLbl>
              <c:idx val="1"/>
              <c:layout>
                <c:manualLayout>
                  <c:x val="7.6661552375307694E-3"/>
                  <c:y val="-2.4442960331192629E-2"/>
                </c:manualLayout>
              </c:layout>
              <c:tx>
                <c:rich>
                  <a:bodyPr/>
                  <a:lstStyle/>
                  <a:p>
                    <a:fld id="{8AE092BF-3EA2-484A-97D3-159373D8CEF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A9FD230-FA31-458B-8967-7F477F21572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Chart!$D$7:$J$7</c15:sqref>
                  </c15:fullRef>
                </c:ext>
              </c:extLst>
              <c:f>(Chart!$E$7,Chart!$I$7)</c:f>
              <c:numCache>
                <c:formatCode>"$"#,##0</c:formatCode>
                <c:ptCount val="2"/>
                <c:pt idx="0">
                  <c:v>566.03773584905662</c:v>
                </c:pt>
                <c:pt idx="1">
                  <c:v>566.03773584905662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Chart!$E$7:$J$7</c15:f>
                <c15:dlblRangeCache>
                  <c:ptCount val="6"/>
                  <c:pt idx="0">
                    <c:v>$566</c:v>
                  </c:pt>
                  <c:pt idx="1">
                    <c:v>45%</c:v>
                  </c:pt>
                  <c:pt idx="3">
                    <c:v>15,000</c:v>
                  </c:pt>
                  <c:pt idx="4">
                    <c:v>$566</c:v>
                  </c:pt>
                  <c:pt idx="5">
                    <c:v>45%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7E14-477A-B994-F0CDF6B36D37}"/>
            </c:ext>
          </c:extLst>
        </c:ser>
        <c:ser>
          <c:idx val="3"/>
          <c:order val="3"/>
          <c:tx>
            <c:strRef>
              <c:f>Chart!$C$9</c:f>
              <c:strCache>
                <c:ptCount val="1"/>
                <c:pt idx="0">
                  <c:v>Hao hụt về tiền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7820705228936596E-3"/>
                  <c:y val="-3.707823864412782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D272E1C-41A1-44C8-974B-E8323C638E30}" type="CELLRANGE">
                      <a:rPr lang="en-US" b="0" baseline="0"/>
                      <a:pPr>
                        <a:defRPr sz="1300"/>
                      </a:pPr>
                      <a:t>[CELLRANGE]</a:t>
                    </a:fld>
                    <a:r>
                      <a:rPr lang="en-US" b="0" baseline="0"/>
                      <a:t>; </a:t>
                    </a:r>
                    <a:fld id="{8B9AAB5F-A065-4F03-9B24-9347981E5A30}" type="VALUE">
                      <a:rPr lang="en-US" b="0" baseline="0"/>
                      <a:pPr>
                        <a:defRPr sz="1300"/>
                      </a:pPr>
                      <a:t>[VALUE]</a:t>
                    </a:fld>
                    <a:endParaRPr lang="en-US" b="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545802787552881"/>
                      <c:h val="7.438358510865568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E14-477A-B994-F0CDF6B36D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0F31194-3B18-45B4-A7B7-89A28AC189A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AD9C464-04BD-4205-A7B2-5CD19E49C05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Chart!$D$9:$J$9</c15:sqref>
                  </c15:fullRef>
                </c:ext>
              </c:extLst>
              <c:f>(Chart!$E$9,Chart!$I$9)</c:f>
              <c:numCache>
                <c:formatCode>"$"#,##0</c:formatCode>
                <c:ptCount val="2"/>
                <c:pt idx="0">
                  <c:v>110.56185155961967</c:v>
                </c:pt>
                <c:pt idx="1">
                  <c:v>110.56185155961967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Chart!$E$9:$J$9</c15:f>
                <c15:dlblRangeCache>
                  <c:ptCount val="6"/>
                  <c:pt idx="0">
                    <c:v>$111</c:v>
                  </c:pt>
                  <c:pt idx="1">
                    <c:v>9%</c:v>
                  </c:pt>
                  <c:pt idx="3">
                    <c:v>2,930</c:v>
                  </c:pt>
                  <c:pt idx="4">
                    <c:v>$111</c:v>
                  </c:pt>
                  <c:pt idx="5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E14-477A-B994-F0CDF6B36D37}"/>
            </c:ext>
          </c:extLst>
        </c:ser>
        <c:ser>
          <c:idx val="5"/>
          <c:order val="4"/>
          <c:tx>
            <c:strRef>
              <c:f>Chart!$C$10</c:f>
              <c:strCache>
                <c:ptCount val="1"/>
                <c:pt idx="0">
                  <c:v>Chi phí sản xuất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361D7F1-0F33-492F-980E-0A924E1BEF1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C147BF8-5C5E-4498-A9F7-C2621193D5B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778120189317816"/>
                      <c:h val="0.1290378075301195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B86-443D-B48F-BB75A9AF06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4BBE62-7A2C-420C-A013-382E12993166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C92EDD2-B3A1-47EE-B005-F653FFDE75C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7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Chart!$D$10:$J$10</c15:sqref>
                  </c15:fullRef>
                </c:ext>
              </c:extLst>
              <c:f>(Chart!$E$10,Chart!$I$10)</c:f>
              <c:numCache>
                <c:formatCode>"$"#,##0</c:formatCode>
                <c:ptCount val="2"/>
                <c:pt idx="0">
                  <c:v>332.71019147700611</c:v>
                </c:pt>
                <c:pt idx="1">
                  <c:v>332.4060749487042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Chart!$E$10:$J$10</c15:f>
                <c15:dlblRangeCache>
                  <c:ptCount val="6"/>
                  <c:pt idx="0">
                    <c:v>$333</c:v>
                  </c:pt>
                  <c:pt idx="1">
                    <c:v>27%</c:v>
                  </c:pt>
                  <c:pt idx="3">
                    <c:v>8,809</c:v>
                  </c:pt>
                  <c:pt idx="4">
                    <c:v>$332</c:v>
                  </c:pt>
                  <c:pt idx="5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7E14-477A-B994-F0CDF6B36D37}"/>
            </c:ext>
          </c:extLst>
        </c:ser>
        <c:ser>
          <c:idx val="14"/>
          <c:order val="13"/>
          <c:tx>
            <c:strRef>
              <c:f>Chart!$C$19</c:f>
              <c:strCache>
                <c:ptCount val="1"/>
                <c:pt idx="0">
                  <c:v>CP quản lý, bán hàng, lãi vay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1796149-9E86-494C-A4B7-69345B2E87DB}" type="CELLRANGE">
                      <a:rPr lang="en-US" b="0" baseline="0"/>
                      <a:pPr>
                        <a:defRPr sz="1300"/>
                      </a:pPr>
                      <a:t>[CELLRANGE]</a:t>
                    </a:fld>
                    <a:r>
                      <a:rPr lang="en-US" b="0" baseline="0"/>
                      <a:t>; </a:t>
                    </a:r>
                    <a:fld id="{4B992FD5-DFD7-4818-BBC4-69614E6DDB5C}" type="VALUE">
                      <a:rPr lang="en-US" b="0" baseline="0"/>
                      <a:pPr>
                        <a:defRPr sz="1300"/>
                      </a:pPr>
                      <a:t>[VALUE]</a:t>
                    </a:fld>
                    <a:endParaRPr lang="en-US" b="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49074666390203"/>
                      <c:h val="7.209710976428901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E14-477A-B994-F0CDF6B36D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E7C9112-CF70-4BB1-9954-A99BE589526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31F8467-0D92-461C-99FA-142C5B0D01C0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Chart!$D$19:$J$19</c15:sqref>
                  </c15:fullRef>
                </c:ext>
              </c:extLst>
              <c:f>(Chart!$E$19,Chart!$I$19)</c:f>
              <c:numCache>
                <c:formatCode>"$"#,##0</c:formatCode>
                <c:ptCount val="2"/>
                <c:pt idx="0">
                  <c:v>195.38160597425323</c:v>
                </c:pt>
                <c:pt idx="1">
                  <c:v>195.38160597425323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Chart!$E$19:$J$19</c15:f>
                <c15:dlblRangeCache>
                  <c:ptCount val="6"/>
                  <c:pt idx="0">
                    <c:v>$195</c:v>
                  </c:pt>
                  <c:pt idx="1">
                    <c:v>16%</c:v>
                  </c:pt>
                  <c:pt idx="3">
                    <c:v>5,178</c:v>
                  </c:pt>
                  <c:pt idx="4">
                    <c:v>$195</c:v>
                  </c:pt>
                  <c:pt idx="5">
                    <c:v>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9-7E14-477A-B994-F0CDF6B36D37}"/>
            </c:ext>
          </c:extLst>
        </c:ser>
        <c:ser>
          <c:idx val="18"/>
          <c:order val="18"/>
          <c:tx>
            <c:strRef>
              <c:f>Chart!$C$24</c:f>
              <c:strCache>
                <c:ptCount val="1"/>
                <c:pt idx="0">
                  <c:v>Thuế thu nhập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4881108948591337"/>
                  <c:y val="8.490486565921006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8868A29F-C4FB-4DC7-8ECA-DFF3A38F7062}" type="CELLRANGE">
                      <a:rPr lang="en-US" b="1" baseline="0"/>
                      <a:pPr>
                        <a:defRPr sz="1300" b="1"/>
                      </a:pPr>
                      <a:t>[CELLRANGE]</a:t>
                    </a:fld>
                    <a:r>
                      <a:rPr lang="en-US" b="1" baseline="0"/>
                      <a:t>; </a:t>
                    </a:r>
                    <a:fld id="{F7CEE0F2-4D3B-4B8D-BF3E-00C244CB51F7}" type="VALUE">
                      <a:rPr lang="en-US" b="1" baseline="0"/>
                      <a:pPr>
                        <a:defRPr sz="1300" b="1"/>
                      </a:pPr>
                      <a:t>[VALUE]</a:t>
                    </a:fld>
                    <a:endParaRPr lang="en-US" b="1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183428458548963"/>
                      <c:h val="3.977673554271440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B86-443D-B48F-BB75A9AF06D0}"/>
                </c:ext>
              </c:extLst>
            </c:dLbl>
            <c:dLbl>
              <c:idx val="1"/>
              <c:layout>
                <c:manualLayout>
                  <c:x val="0.12074194499111073"/>
                  <c:y val="-1.8802277177840721E-3"/>
                </c:manualLayout>
              </c:layout>
              <c:tx>
                <c:rich>
                  <a:bodyPr/>
                  <a:lstStyle/>
                  <a:p>
                    <a:fld id="{FA5FA119-377C-45DC-B87F-A78F77D442B5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B34748A-92A1-41BF-BA78-A0E4A63D110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1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Chart!$D$24:$J$24</c15:sqref>
                  </c15:fullRef>
                </c:ext>
              </c:extLst>
              <c:f>(Chart!$E$24,Chart!$I$24)</c:f>
              <c:numCache>
                <c:formatCode>"$"#,##0</c:formatCode>
                <c:ptCount val="2"/>
                <c:pt idx="0">
                  <c:v>7.5514358566773669</c:v>
                </c:pt>
                <c:pt idx="1">
                  <c:v>4.2687886113943589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Chart!$E$24:$J$24</c15:f>
                <c15:dlblRangeCache>
                  <c:ptCount val="6"/>
                  <c:pt idx="0">
                    <c:v>$8</c:v>
                  </c:pt>
                  <c:pt idx="1">
                    <c:v>0.6%</c:v>
                  </c:pt>
                  <c:pt idx="3">
                    <c:v>113</c:v>
                  </c:pt>
                  <c:pt idx="4">
                    <c:v>$4</c:v>
                  </c:pt>
                  <c:pt idx="5">
                    <c:v>0.3%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7E14-477A-B994-F0CDF6B36D37}"/>
            </c:ext>
          </c:extLst>
        </c:ser>
        <c:ser>
          <c:idx val="19"/>
          <c:order val="19"/>
          <c:tx>
            <c:strRef>
              <c:f>Chart!$C$25</c:f>
              <c:strCache>
                <c:ptCount val="1"/>
                <c:pt idx="0">
                  <c:v>Lợi nhuận sau thuế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2163810042934996E-3"/>
                  <c:y val="-7.8682348259331066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0" i="0" u="none" strike="noStrike" kern="1200" baseline="0">
                        <a:solidFill>
                          <a:srgbClr val="FF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213DAE5-07D8-4B0B-B030-5B0680F07ED5}" type="CELLRANGE">
                      <a:rPr lang="en-US" b="0" baseline="0">
                        <a:solidFill>
                          <a:srgbClr val="FF0000"/>
                        </a:solidFill>
                      </a:rPr>
                      <a:pPr>
                        <a:defRPr sz="1300">
                          <a:solidFill>
                            <a:srgbClr val="FF0000"/>
                          </a:solidFill>
                        </a:defRPr>
                      </a:pPr>
                      <a:t>[CELLRANGE]</a:t>
                    </a:fld>
                    <a:r>
                      <a:rPr lang="en-US" b="0" baseline="0">
                        <a:solidFill>
                          <a:srgbClr val="FF0000"/>
                        </a:solidFill>
                      </a:rPr>
                      <a:t>; </a:t>
                    </a:r>
                    <a:fld id="{FEEAE733-ED75-4187-8A59-089ED7ACBE77}" type="VALUE">
                      <a:rPr lang="en-US" b="0" baseline="0">
                        <a:solidFill>
                          <a:srgbClr val="FF0000"/>
                        </a:solidFill>
                      </a:rPr>
                      <a:pPr>
                        <a:defRPr sz="1300">
                          <a:solidFill>
                            <a:srgbClr val="FF0000"/>
                          </a:solidFill>
                        </a:defRPr>
                      </a:pPr>
                      <a:t>[VALUE]</a:t>
                    </a:fld>
                    <a:endParaRPr lang="en-US" b="0" baseline="0">
                      <a:solidFill>
                        <a:srgbClr val="FF000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114949017804"/>
                      <c:h val="4.685808766628356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B86-443D-B48F-BB75A9AF06D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9B93F0-4A2C-4D71-8D97-717F659CA9A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8203833-0F97-4F40-9DD5-B3ACFE6B3DD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7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Chart!$D$25:$J$25</c15:sqref>
                  </c15:fullRef>
                </c:ext>
              </c:extLst>
              <c:f>(Chart!$E$25,Chart!$I$25)</c:f>
              <c:numCache>
                <c:formatCode>"$"#,##0</c:formatCode>
                <c:ptCount val="2"/>
                <c:pt idx="0">
                  <c:v>37.757179283386833</c:v>
                </c:pt>
                <c:pt idx="1">
                  <c:v>21.343943056971792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Chart!$E$25:$J$25</c15:f>
                <c15:dlblRangeCache>
                  <c:ptCount val="6"/>
                  <c:pt idx="0">
                    <c:v>$38</c:v>
                  </c:pt>
                  <c:pt idx="1">
                    <c:v>3%</c:v>
                  </c:pt>
                  <c:pt idx="3">
                    <c:v>566</c:v>
                  </c:pt>
                  <c:pt idx="4">
                    <c:v>$21</c:v>
                  </c:pt>
                  <c:pt idx="5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6-7E14-477A-B994-F0CDF6B36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6187152"/>
        <c:axId val="336190512"/>
        <c:extLst>
          <c:ext xmlns:c15="http://schemas.microsoft.com/office/drawing/2012/chart" uri="{02D57815-91ED-43cb-92C2-25804820EDAC}">
            <c15:filteredBa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Chart!$C$8</c15:sqref>
                        </c15:formulaRef>
                      </c:ext>
                    </c:extLst>
                    <c:strCache>
                      <c:ptCount val="1"/>
                      <c:pt idx="0">
                        <c:v>Chi phí chai B1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Chart!$D$8:$J$8</c15:sqref>
                        </c15:fullRef>
                        <c15:formulaRef>
                          <c15:sqref>(Chart!$E$8,Chart!$I$8)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566.03773584905662</c:v>
                      </c:pt>
                      <c:pt idx="1">
                        <c:v>566.03773584905662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7E14-477A-B994-F0CDF6B36D37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Chart!$C$11</c15:sqref>
                        </c15:formulaRef>
                      </c:ext>
                    </c:extLst>
                    <c:strCache>
                      <c:ptCount val="1"/>
                      <c:pt idx="0">
                        <c:v>Chi phí nhân công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Chart!$D$11:$J$11</c15:sqref>
                        </c15:fullRef>
                        <c15:formulaRef>
                          <c15:sqref>(Chart!$E$11,Chart!$I$11)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99.582838341488795</c:v>
                      </c:pt>
                      <c:pt idx="1">
                        <c:v>99.582838341488795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E14-477A-B994-F0CDF6B36D37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Chart!$C$12</c15:sqref>
                        </c15:formulaRef>
                      </c:ext>
                    </c:extLst>
                    <c:strCache>
                      <c:ptCount val="1"/>
                      <c:pt idx="0">
                        <c:v>Khấu hao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Chart!$D$12:$J$12</c15:sqref>
                        </c15:fullRef>
                        <c15:formulaRef>
                          <c15:sqref>(Chart!$E$12,Chart!$I$12)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80.104145937507795</c:v>
                      </c:pt>
                      <c:pt idx="1">
                        <c:v>80.104145937507795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E14-477A-B994-F0CDF6B36D37}"/>
                  </c:ext>
                </c:extLst>
              </c15:ser>
            </c15:filteredBarSeries>
            <c15:filteredBa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Chart!$C$13</c15:sqref>
                        </c15:formulaRef>
                      </c:ext>
                    </c:extLst>
                    <c:strCache>
                      <c:ptCount val="1"/>
                      <c:pt idx="0">
                        <c:v>Chi phí gián tiếp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Chart!$D$13:$J$13</c15:sqref>
                        </c15:fullRef>
                        <c15:formulaRef>
                          <c15:sqref>(Chart!$E$13,Chart!$I$13)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66.131883058059728</c:v>
                      </c:pt>
                      <c:pt idx="1">
                        <c:v>66.131883058059728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E14-477A-B994-F0CDF6B36D37}"/>
                  </c:ext>
                </c:extLst>
              </c15:ser>
            </c15:filteredBarSeries>
            <c15:filteredBarSeries>
              <c15:ser>
                <c:idx val="10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Chart!$C$14</c15:sqref>
                        </c15:formulaRef>
                      </c:ext>
                    </c:extLst>
                    <c:strCache>
                      <c:ptCount val="1"/>
                      <c:pt idx="0">
                        <c:v>Điện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Chart!$D$14:$J$14</c15:sqref>
                        </c15:fullRef>
                        <c15:formulaRef>
                          <c15:sqref>(Chart!$E$14,Chart!$I$14)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55.780394448050572</c:v>
                      </c:pt>
                      <c:pt idx="1">
                        <c:v>55.780394448050572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E14-477A-B994-F0CDF6B36D37}"/>
                  </c:ext>
                </c:extLst>
              </c15:ser>
            </c15:filteredBarSeries>
            <c15:filteredBarSeries>
              <c15:ser>
                <c:idx val="11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Chart!$C$15</c15:sqref>
                        </c15:formulaRef>
                      </c:ext>
                    </c:extLst>
                    <c:strCache>
                      <c:ptCount val="1"/>
                      <c:pt idx="0">
                        <c:v>Đóng gói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Chart!$D$15:$J$15</c15:sqref>
                        </c15:fullRef>
                        <c15:formulaRef>
                          <c15:sqref>(Chart!$E$15,Chart!$I$15)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15.428027444253861</c:v>
                      </c:pt>
                      <c:pt idx="1">
                        <c:v>15.428027444253861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E14-477A-B994-F0CDF6B36D37}"/>
                  </c:ext>
                </c:extLst>
              </c15:ser>
            </c15:filteredBarSeries>
            <c15:filteredBarSeries>
              <c15:ser>
                <c:idx val="12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Chart!$C$16</c15:sqref>
                        </c15:formulaRef>
                      </c:ext>
                    </c:extLst>
                    <c:strCache>
                      <c:ptCount val="1"/>
                      <c:pt idx="0">
                        <c:v>Hóa chất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Chart!$D$16:$J$16</c15:sqref>
                        </c15:fullRef>
                        <c15:formulaRef>
                          <c15:sqref>(Chart!$E$16,Chart!$I$16)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14.849152301886791</c:v>
                      </c:pt>
                      <c:pt idx="1">
                        <c:v>14.545035773584905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E14-477A-B994-F0CDF6B36D37}"/>
                  </c:ext>
                </c:extLst>
              </c15:ser>
            </c15:filteredBarSeries>
            <c15:filteredBarSeries>
              <c15:ser>
                <c:idx val="13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Chart!$C$17</c15:sqref>
                        </c15:formulaRef>
                      </c:ext>
                    </c:extLst>
                    <c:strCache>
                      <c:ptCount val="1"/>
                      <c:pt idx="0">
                        <c:v>Nước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Chart!$D$17:$J$17</c15:sqref>
                        </c15:fullRef>
                        <c15:formulaRef>
                          <c15:sqref>(Chart!$E$17,Chart!$I$17)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0.83374994575860151</c:v>
                      </c:pt>
                      <c:pt idx="1">
                        <c:v>0.83374994575860151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E14-477A-B994-F0CDF6B36D37}"/>
                  </c:ext>
                </c:extLst>
              </c15:ser>
            </c15:filteredBarSeries>
            <c15:filteredBarSeries>
              <c15:ser>
                <c:idx val="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Chart!$C$18</c15:sqref>
                        </c15:formulaRef>
                      </c:ext>
                    </c:extLst>
                    <c:strCache>
                      <c:ptCount val="1"/>
                      <c:pt idx="0">
                        <c:v>Giá thành (A+B+C)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Chart!$D$18:$J$18</c15:sqref>
                        </c15:fullRef>
                        <c15:formulaRef>
                          <c15:sqref>(Chart!$E$18,Chart!$I$18)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1009.3097788856824</c:v>
                      </c:pt>
                      <c:pt idx="1">
                        <c:v>1009.0056623573805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E14-477A-B994-F0CDF6B36D37}"/>
                  </c:ext>
                </c:extLst>
              </c15:ser>
            </c15:filteredBarSeries>
            <c15:filteredBarSeries>
              <c15:ser>
                <c:idx val="15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Chart!$C$20</c15:sqref>
                        </c15:formulaRef>
                      </c:ext>
                    </c:extLst>
                    <c:strCache>
                      <c:ptCount val="1"/>
                      <c:pt idx="0">
                        <c:v>Chi phí bán hàng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Chart!$D$20:$J$20</c15:sqref>
                        </c15:fullRef>
                        <c15:formulaRef>
                          <c15:sqref>(Chart!$E$20,Chart!$I$20)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116.91302759875215</c:v>
                      </c:pt>
                      <c:pt idx="1">
                        <c:v>116.91302759875215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14-477A-B994-F0CDF6B36D37}"/>
                  </c:ext>
                </c:extLst>
              </c15:ser>
            </c15:filteredBarSeries>
            <c15:filteredBarSeries>
              <c15:ser>
                <c:idx val="16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Chart!$C$21</c15:sqref>
                        </c15:formulaRef>
                      </c:ext>
                    </c:extLst>
                    <c:strCache>
                      <c:ptCount val="1"/>
                      <c:pt idx="0">
                        <c:v>Chi phí quản lý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Chart!$D$21:$J$21</c15:sqref>
                        </c15:fullRef>
                        <c15:formulaRef>
                          <c15:sqref>(Chart!$E$21,Chart!$I$21)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57.559474785163125</c:v>
                      </c:pt>
                      <c:pt idx="1">
                        <c:v>57.559474785163125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E14-477A-B994-F0CDF6B36D37}"/>
                  </c:ext>
                </c:extLst>
              </c15:ser>
            </c15:filteredBarSeries>
            <c15:filteredBarSeries>
              <c15:ser>
                <c:idx val="9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Chart!$C$22</c15:sqref>
                        </c15:formulaRef>
                      </c:ext>
                    </c:extLst>
                    <c:strCache>
                      <c:ptCount val="1"/>
                      <c:pt idx="0">
                        <c:v>Chi phí lãi vay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Chart!$D$22:$J$22</c15:sqref>
                        </c15:fullRef>
                        <c15:formulaRef>
                          <c15:sqref>(Chart!$E$22,Chart!$I$22)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20.909103590337985</c:v>
                      </c:pt>
                      <c:pt idx="1">
                        <c:v>20.909103590337985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3-7E14-477A-B994-F0CDF6B36D37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Chart!$C$23</c15:sqref>
                        </c15:formulaRef>
                      </c:ext>
                    </c:extLst>
                    <c:strCache>
                      <c:ptCount val="1"/>
                      <c:pt idx="0">
                        <c:v>Điểm hòa vốn (D+E)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Chart!$D$23:$J$23</c15:sqref>
                        </c15:fullRef>
                        <c15:formulaRef>
                          <c15:sqref>(Chart!$E$23,Chart!$I$23)</c15:sqref>
                        </c15:formulaRef>
                      </c:ext>
                    </c:extLst>
                    <c:numCache>
                      <c:formatCode>"$"#,##0</c:formatCode>
                      <c:ptCount val="2"/>
                      <c:pt idx="0">
                        <c:v>1204.6913848599356</c:v>
                      </c:pt>
                      <c:pt idx="1">
                        <c:v>1204.3872683316338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4-7E14-477A-B994-F0CDF6B36D37}"/>
                  </c:ext>
                </c:extLst>
              </c15:ser>
            </c15:filteredBarSeries>
            <c15:filteredBarSeries>
              <c15:ser>
                <c:idx val="21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Chart!$C$27</c15:sqref>
                        </c15:formulaRef>
                      </c:ext>
                    </c:extLst>
                    <c:strCache>
                      <c:ptCount val="1"/>
                      <c:pt idx="0">
                        <c:v>% Lãi gộp nguyên liệu/Giá bán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Chart!$D$5:$J$5</c15:sqref>
                        </c15:fullRef>
                        <c15:formulaRef>
                          <c15:sqref>(Chart!$E$5,Chart!$I$5)</c15:sqref>
                        </c15:formulaRef>
                      </c:ext>
                    </c:extLst>
                    <c:strCache>
                      <c:ptCount val="2"/>
                      <c:pt idx="0">
                        <c:v>ISS01084G</c:v>
                      </c:pt>
                      <c:pt idx="1">
                        <c:v>ISS01G-S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Chart!$D$27:$J$27</c15:sqref>
                        </c15:fullRef>
                        <c15:formulaRef>
                          <c15:sqref>(Chart!$E$27,Chart!$I$27)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7E14-477A-B994-F0CDF6B36D3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0"/>
          <c:order val="0"/>
          <c:tx>
            <c:strRef>
              <c:f>Chart!$C$26</c:f>
              <c:strCache>
                <c:ptCount val="1"/>
                <c:pt idx="0">
                  <c:v>Giá bán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6183386505967153E-2"/>
                  <c:y val="-5.67272104926773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24004482588094"/>
                      <c:h val="0.10199954075067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B86-443D-B48F-BB75A9AF06D0}"/>
                </c:ext>
              </c:extLst>
            </c:dLbl>
            <c:dLbl>
              <c:idx val="1"/>
              <c:layout>
                <c:manualLayout>
                  <c:x val="-6.8823814096339059E-2"/>
                  <c:y val="-5.2646376097953071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7E14-477A-B994-F0CDF6B36D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Chart!$D$5:$J$5</c15:sqref>
                  </c15:fullRef>
                </c:ext>
              </c:extLst>
              <c:f>(Chart!$E$5,Chart!$I$5)</c:f>
              <c:strCache>
                <c:ptCount val="2"/>
                <c:pt idx="0">
                  <c:v>ISS01084G</c:v>
                </c:pt>
                <c:pt idx="1">
                  <c:v>ISS01G-S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Chart!$D$26:$J$26</c15:sqref>
                  </c15:fullRef>
                </c:ext>
              </c:extLst>
              <c:f>(Chart!$E$26,Chart!$I$26)</c:f>
              <c:numCache>
                <c:formatCode>"$"#,##0</c:formatCode>
                <c:ptCount val="2"/>
                <c:pt idx="0">
                  <c:v>1249.9999999999998</c:v>
                </c:pt>
                <c:pt idx="1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E14-477A-B994-F0CDF6B36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6187152"/>
        <c:axId val="336190512"/>
      </c:lineChart>
      <c:catAx>
        <c:axId val="336187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90512"/>
        <c:crosses val="autoZero"/>
        <c:auto val="1"/>
        <c:lblAlgn val="ctr"/>
        <c:lblOffset val="100"/>
        <c:noMultiLvlLbl val="0"/>
      </c:catAx>
      <c:valAx>
        <c:axId val="336190512"/>
        <c:scaling>
          <c:orientation val="minMax"/>
          <c:max val="1500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33618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layout>
        <c:manualLayout>
          <c:xMode val="edge"/>
          <c:yMode val="edge"/>
          <c:x val="0.7377120057876454"/>
          <c:y val="0.24041020942923838"/>
          <c:w val="0.25078876135605838"/>
          <c:h val="0.370641443387157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70C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200155</xdr:colOff>
      <xdr:row>4</xdr:row>
      <xdr:rowOff>61149</xdr:rowOff>
    </xdr:from>
    <xdr:to>
      <xdr:col>17</xdr:col>
      <xdr:colOff>119530</xdr:colOff>
      <xdr:row>27</xdr:row>
      <xdr:rowOff>82910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73D5AD6C-DACD-4E0F-A68E-D44A9A0F4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0.07534</cdr:x>
      <cdr:y>0.03885</cdr:y>
    </cdr:from>
    <cdr:to>
      <cdr:x>0.36203</cdr:x>
      <cdr:y>0.13776</cdr:y>
    </cdr:to>
    <cdr:sp macro="" textlink="Chart!$E$28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0F4C2C9A-2FBC-B584-7B13-BAB50E27CD30}"/>
            </a:ext>
          </a:extLst>
        </cdr:cNvPr>
        <cdr:cNvSpPr/>
      </cdr:nvSpPr>
      <cdr:spPr>
        <a:xfrm xmlns:a="http://schemas.openxmlformats.org/drawingml/2006/main">
          <a:off x="499215" y="262428"/>
          <a:ext cx="1899781" cy="668068"/>
        </a:xfrm>
        <a:prstGeom xmlns:a="http://schemas.openxmlformats.org/drawingml/2006/main" prst="ellipse">
          <a:avLst/>
        </a:prstGeom>
        <a:ln xmlns:a="http://schemas.openxmlformats.org/drawingml/2006/main" w="3175">
          <a:solidFill>
            <a:srgbClr val="0070C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fld id="{50A5E6BA-58CD-4032-9789-A3E3156651C4}" type="TxLink">
            <a:rPr lang="en-US" sz="1200" b="1" i="0" u="none" strike="noStrike" kern="1200">
              <a:solidFill>
                <a:srgbClr val="0000FF"/>
              </a:solidFill>
              <a:latin typeface="Arial"/>
              <a:cs typeface="Arial"/>
            </a:rPr>
            <a:pPr algn="ctr"/>
            <a:t>ĐIỂM HÒA VỐN 1205$</a:t>
          </a:fld>
          <a:endParaRPr lang="en-US" sz="1200" b="1" kern="1200">
            <a:solidFill>
              <a:srgbClr val="0000FF"/>
            </a:solidFill>
          </a:endParaRPr>
        </a:p>
      </cdr:txBody>
    </cdr:sp>
  </cdr:relSizeAnchor>
  <cdr:relSizeAnchor xmlns:cdr="http://schemas.openxmlformats.org/drawingml/2006/chartDrawing">
    <cdr:from>
      <cdr:x>0.42976</cdr:x>
      <cdr:y>0.02916</cdr:y>
    </cdr:from>
    <cdr:to>
      <cdr:x>0.73063</cdr:x>
      <cdr:y>0.15167</cdr:y>
    </cdr:to>
    <cdr:sp macro="" textlink="Chart!$I$28">
      <cdr:nvSpPr>
        <cdr:cNvPr id="3" name="Oval 2">
          <a:extLst xmlns:a="http://schemas.openxmlformats.org/drawingml/2006/main">
            <a:ext uri="{FF2B5EF4-FFF2-40B4-BE49-F238E27FC236}">
              <a16:creationId xmlns:a16="http://schemas.microsoft.com/office/drawing/2014/main" id="{1D53C145-92F6-ED84-3169-68F5CBD3AEB7}"/>
            </a:ext>
          </a:extLst>
        </cdr:cNvPr>
        <cdr:cNvSpPr/>
      </cdr:nvSpPr>
      <cdr:spPr>
        <a:xfrm xmlns:a="http://schemas.openxmlformats.org/drawingml/2006/main">
          <a:off x="2847845" y="196938"/>
          <a:ext cx="1993726" cy="827502"/>
        </a:xfrm>
        <a:prstGeom xmlns:a="http://schemas.openxmlformats.org/drawingml/2006/main" prst="ellipse">
          <a:avLst/>
        </a:prstGeom>
        <a:ln xmlns:a="http://schemas.openxmlformats.org/drawingml/2006/main" w="3175">
          <a:solidFill>
            <a:srgbClr val="0070C0"/>
          </a:solidFill>
        </a:ln>
      </cdr:spPr>
      <cdr:style>
        <a:lnRef xmlns:a="http://schemas.openxmlformats.org/drawingml/2006/main" idx="2">
          <a:schemeClr val="accent6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AEFB4A0-7D64-4F88-81B6-B33AC6471104}" type="TxLink">
            <a:rPr lang="en-US" sz="1200" b="1" i="0" u="none" strike="noStrike" kern="1200">
              <a:solidFill>
                <a:srgbClr val="0000FF"/>
              </a:solidFill>
              <a:latin typeface="Arial"/>
              <a:cs typeface="Arial"/>
            </a:rPr>
            <a:pPr algn="ctr"/>
            <a:t>ĐIỂM HÒA VỐN 1204$</a:t>
          </a:fld>
          <a:endParaRPr lang="en-US" sz="1200" b="1" kern="1200">
            <a:solidFill>
              <a:srgbClr val="0000FF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8E56A-D9AD-40E3-A2D4-7550E2E03BDE}">
  <sheetPr>
    <tabColor rgb="FF00B050"/>
  </sheetPr>
  <dimension ref="A1:L21"/>
  <sheetViews>
    <sheetView tabSelected="1" zoomScale="70" zoomScaleNormal="70" workbookViewId="0">
      <selection activeCell="F15" sqref="F15"/>
    </sheetView>
  </sheetViews>
  <sheetFormatPr defaultColWidth="8.90625" defaultRowHeight="14.5" x14ac:dyDescent="0.35"/>
  <cols>
    <col min="1" max="1" width="8.90625" style="118"/>
    <col min="2" max="2" width="13.36328125" style="118" customWidth="1"/>
    <col min="3" max="3" width="24.36328125" style="118" customWidth="1"/>
    <col min="4" max="4" width="14.08984375" style="118" bestFit="1" customWidth="1"/>
    <col min="5" max="5" width="15.08984375" style="118" bestFit="1" customWidth="1"/>
    <col min="6" max="6" width="15.6328125" style="118" customWidth="1"/>
    <col min="7" max="7" width="10.453125" style="118" customWidth="1"/>
    <col min="8" max="8" width="13.36328125" style="118" customWidth="1"/>
    <col min="9" max="9" width="13.81640625" style="118" customWidth="1"/>
    <col min="10" max="10" width="11.7265625" style="118" customWidth="1"/>
    <col min="11" max="11" width="10.36328125" style="118" customWidth="1"/>
    <col min="12" max="12" width="10.1796875" style="118" customWidth="1"/>
    <col min="13" max="16384" width="8.90625" style="118"/>
  </cols>
  <sheetData>
    <row r="1" spans="1:12" ht="23.5" x14ac:dyDescent="0.55000000000000004">
      <c r="A1" s="119" t="s">
        <v>178</v>
      </c>
    </row>
    <row r="2" spans="1:12" ht="5" customHeight="1" x14ac:dyDescent="0.35"/>
    <row r="3" spans="1:12" x14ac:dyDescent="0.35">
      <c r="A3" s="137" t="s">
        <v>243</v>
      </c>
    </row>
    <row r="4" spans="1:12" ht="6" customHeight="1" x14ac:dyDescent="0.35"/>
    <row r="5" spans="1:12" ht="43.5" x14ac:dyDescent="0.35">
      <c r="A5" s="120" t="s">
        <v>179</v>
      </c>
      <c r="B5" s="120" t="s">
        <v>180</v>
      </c>
      <c r="C5" s="120" t="s">
        <v>181</v>
      </c>
      <c r="D5" s="120" t="s">
        <v>208</v>
      </c>
      <c r="E5" s="120" t="s">
        <v>209</v>
      </c>
      <c r="F5" s="120" t="s">
        <v>210</v>
      </c>
      <c r="G5" s="120" t="s">
        <v>182</v>
      </c>
      <c r="H5" s="120" t="s">
        <v>183</v>
      </c>
      <c r="I5" s="134" t="s">
        <v>241</v>
      </c>
    </row>
    <row r="6" spans="1:12" ht="16.25" customHeight="1" x14ac:dyDescent="0.35">
      <c r="A6" s="121">
        <v>1</v>
      </c>
      <c r="B6" s="122" t="s">
        <v>186</v>
      </c>
      <c r="C6" s="123" t="s">
        <v>184</v>
      </c>
      <c r="D6" s="128">
        <f>+ISS01084G!J105</f>
        <v>31924.321698788299</v>
      </c>
      <c r="E6" s="135">
        <f>+ISS01084G!K105</f>
        <v>1204.6913848599359</v>
      </c>
      <c r="F6" s="138">
        <v>1250</v>
      </c>
      <c r="G6" s="129">
        <f>+F6-E6</f>
        <v>45.308615140064148</v>
      </c>
      <c r="H6" s="130">
        <f>+G6/F6</f>
        <v>3.6246892112051315E-2</v>
      </c>
      <c r="I6" s="135">
        <v>1250</v>
      </c>
    </row>
    <row r="7" spans="1:12" ht="16.25" hidden="1" customHeight="1" x14ac:dyDescent="0.35">
      <c r="A7" s="124">
        <v>2</v>
      </c>
      <c r="B7" s="125" t="s">
        <v>187</v>
      </c>
      <c r="C7" s="126" t="s">
        <v>185</v>
      </c>
      <c r="D7" s="133">
        <f>+'ISS01G-S'!J105</f>
        <v>31916.262610788297</v>
      </c>
      <c r="E7" s="136">
        <f>+'ISS01G-S'!K105</f>
        <v>1204.3872683316338</v>
      </c>
      <c r="F7" s="139">
        <v>1230</v>
      </c>
      <c r="G7" s="131">
        <f>+F7-E7</f>
        <v>25.612731668366223</v>
      </c>
      <c r="H7" s="132">
        <f>+G7/F7</f>
        <v>2.0823359079972539E-2</v>
      </c>
      <c r="I7" s="136">
        <v>1230</v>
      </c>
    </row>
    <row r="8" spans="1:12" ht="10.5" customHeight="1" x14ac:dyDescent="0.35">
      <c r="A8" s="189"/>
      <c r="B8" s="190"/>
      <c r="C8" s="191"/>
      <c r="D8" s="192"/>
      <c r="E8" s="193"/>
      <c r="F8" s="194"/>
      <c r="G8" s="195"/>
      <c r="H8" s="196"/>
      <c r="I8" s="193"/>
    </row>
    <row r="9" spans="1:12" ht="8" customHeight="1" x14ac:dyDescent="0.35">
      <c r="A9" s="189"/>
      <c r="B9" s="190"/>
      <c r="C9" s="191"/>
      <c r="D9" s="192"/>
      <c r="E9" s="193"/>
      <c r="F9" s="194"/>
      <c r="G9" s="195"/>
      <c r="H9" s="196"/>
      <c r="I9" s="193"/>
    </row>
    <row r="10" spans="1:12" x14ac:dyDescent="0.35">
      <c r="B10" s="199" t="s">
        <v>244</v>
      </c>
    </row>
    <row r="11" spans="1:12" ht="29" x14ac:dyDescent="0.35">
      <c r="A11" s="120" t="s">
        <v>179</v>
      </c>
      <c r="B11" s="120" t="s">
        <v>180</v>
      </c>
      <c r="C11" s="120" t="s">
        <v>181</v>
      </c>
      <c r="D11" s="120" t="s">
        <v>208</v>
      </c>
      <c r="E11" s="120" t="s">
        <v>209</v>
      </c>
      <c r="F11" s="201" t="s">
        <v>245</v>
      </c>
      <c r="G11" s="120" t="s">
        <v>182</v>
      </c>
      <c r="H11" s="120" t="s">
        <v>183</v>
      </c>
      <c r="I11" s="134" t="s">
        <v>240</v>
      </c>
      <c r="J11" s="198" t="s">
        <v>237</v>
      </c>
      <c r="K11" s="198" t="s">
        <v>238</v>
      </c>
      <c r="L11" s="198" t="s">
        <v>239</v>
      </c>
    </row>
    <row r="12" spans="1:12" x14ac:dyDescent="0.35">
      <c r="A12" s="121">
        <v>1</v>
      </c>
      <c r="B12" s="122" t="s">
        <v>186</v>
      </c>
      <c r="C12" s="123" t="s">
        <v>184</v>
      </c>
      <c r="D12" s="128">
        <f>'ISS01084G (2)'!J105</f>
        <v>28638.681109338882</v>
      </c>
      <c r="E12" s="135">
        <f>'ISS01084G (2)'!K105</f>
        <v>1080.704947522222</v>
      </c>
      <c r="F12" s="138">
        <f>F6+J12</f>
        <v>1375.4716981132076</v>
      </c>
      <c r="G12" s="129">
        <f>+F12-E12</f>
        <v>294.76675059098557</v>
      </c>
      <c r="H12" s="130">
        <f>+G12/F12</f>
        <v>0.21430230152705398</v>
      </c>
      <c r="I12" s="135">
        <f>1280+90</f>
        <v>1370</v>
      </c>
      <c r="J12" s="187">
        <f>K12+L12</f>
        <v>125.47169811320755</v>
      </c>
      <c r="K12" s="186">
        <f>(2000*1000)/26500</f>
        <v>75.471698113207552</v>
      </c>
      <c r="L12" s="118">
        <v>50</v>
      </c>
    </row>
    <row r="13" spans="1:12" hidden="1" x14ac:dyDescent="0.35">
      <c r="A13" s="124">
        <v>2</v>
      </c>
      <c r="B13" s="125" t="s">
        <v>187</v>
      </c>
      <c r="C13" s="126" t="s">
        <v>185</v>
      </c>
      <c r="D13" s="133">
        <f>'ISS01G-S (2)'!J105</f>
        <v>28630.622021338884</v>
      </c>
      <c r="E13" s="136">
        <f>'ISS01G-S (2)'!K105</f>
        <v>1080.4008309939202</v>
      </c>
      <c r="F13" s="138">
        <f>F7+J13</f>
        <v>1355.4716981132076</v>
      </c>
      <c r="G13" s="131">
        <f>+F13-E13</f>
        <v>275.07086711928741</v>
      </c>
      <c r="H13" s="132">
        <f>+G13/F13</f>
        <v>0.20293368537475268</v>
      </c>
      <c r="I13" s="135">
        <f>1280+30</f>
        <v>1310</v>
      </c>
      <c r="J13" s="187">
        <f>K13+L13</f>
        <v>125.47169811320755</v>
      </c>
      <c r="K13" s="186">
        <f>(2000*1000)/26500</f>
        <v>75.471698113207552</v>
      </c>
      <c r="L13" s="118">
        <v>50</v>
      </c>
    </row>
    <row r="14" spans="1:12" ht="8" customHeight="1" x14ac:dyDescent="0.35">
      <c r="A14" s="189"/>
      <c r="B14" s="190"/>
      <c r="C14" s="191"/>
      <c r="D14" s="192"/>
      <c r="E14" s="193"/>
      <c r="F14" s="194"/>
      <c r="G14" s="195"/>
      <c r="H14" s="196"/>
      <c r="I14" s="193"/>
      <c r="J14" s="187"/>
      <c r="K14" s="186"/>
    </row>
    <row r="15" spans="1:12" ht="29" x14ac:dyDescent="0.35">
      <c r="A15" s="120" t="s">
        <v>179</v>
      </c>
      <c r="B15" s="120" t="s">
        <v>180</v>
      </c>
      <c r="C15" s="120" t="s">
        <v>181</v>
      </c>
      <c r="D15" s="120" t="s">
        <v>208</v>
      </c>
      <c r="E15" s="120" t="s">
        <v>209</v>
      </c>
      <c r="F15" s="201" t="s">
        <v>245</v>
      </c>
      <c r="G15" s="120" t="s">
        <v>182</v>
      </c>
      <c r="H15" s="120" t="s">
        <v>183</v>
      </c>
      <c r="I15" s="134" t="s">
        <v>240</v>
      </c>
      <c r="J15" s="198" t="s">
        <v>237</v>
      </c>
      <c r="K15" s="198" t="s">
        <v>238</v>
      </c>
      <c r="L15" s="198" t="s">
        <v>239</v>
      </c>
    </row>
    <row r="16" spans="1:12" x14ac:dyDescent="0.35">
      <c r="A16" s="121">
        <v>1</v>
      </c>
      <c r="B16" s="122" t="s">
        <v>186</v>
      </c>
      <c r="C16" s="123" t="s">
        <v>184</v>
      </c>
      <c r="D16" s="128">
        <f>D12+J12*26500/1000</f>
        <v>31963.681109338882</v>
      </c>
      <c r="E16" s="135">
        <f>E12+J12</f>
        <v>1206.1766456354296</v>
      </c>
      <c r="F16" s="138">
        <f>F12</f>
        <v>1375.4716981132076</v>
      </c>
      <c r="G16" s="129">
        <f>+F16-E16</f>
        <v>169.29505247777797</v>
      </c>
      <c r="H16" s="130">
        <f>+G16/F16</f>
        <v>0.12308145104694421</v>
      </c>
      <c r="I16" s="135">
        <f>1280+90</f>
        <v>1370</v>
      </c>
      <c r="J16" s="187">
        <f>K16+L16</f>
        <v>125.47169811320755</v>
      </c>
      <c r="K16" s="186">
        <f>(2000*1000)/26500</f>
        <v>75.471698113207552</v>
      </c>
      <c r="L16" s="118">
        <v>50</v>
      </c>
    </row>
    <row r="17" spans="1:12" hidden="1" x14ac:dyDescent="0.35">
      <c r="A17" s="124">
        <v>2</v>
      </c>
      <c r="B17" s="125" t="s">
        <v>187</v>
      </c>
      <c r="C17" s="126" t="s">
        <v>185</v>
      </c>
      <c r="D17" s="128">
        <f>D13+J13*26500/1000</f>
        <v>31955.622021338884</v>
      </c>
      <c r="E17" s="135">
        <f>E13+J13</f>
        <v>1205.8725291071278</v>
      </c>
      <c r="F17" s="138">
        <f>F13</f>
        <v>1355.4716981132076</v>
      </c>
      <c r="G17" s="131">
        <f>+F17-E17</f>
        <v>149.59916900607982</v>
      </c>
      <c r="H17" s="132">
        <f>+G17/F17</f>
        <v>0.11036687022998649</v>
      </c>
      <c r="I17" s="135">
        <f>1280+30</f>
        <v>1310</v>
      </c>
      <c r="J17" s="187">
        <f>K17+L17</f>
        <v>125.47169811320755</v>
      </c>
      <c r="K17" s="186">
        <f>(2000*1000)/26500</f>
        <v>75.471698113207552</v>
      </c>
      <c r="L17" s="118">
        <v>50</v>
      </c>
    </row>
    <row r="18" spans="1:12" ht="9.5" customHeight="1" x14ac:dyDescent="0.35">
      <c r="A18" s="189"/>
      <c r="B18" s="190"/>
      <c r="C18" s="191"/>
      <c r="D18" s="192"/>
      <c r="E18" s="193"/>
      <c r="F18" s="194"/>
      <c r="G18" s="195"/>
      <c r="H18" s="196"/>
      <c r="I18" s="193"/>
      <c r="J18" s="187"/>
      <c r="K18" s="186"/>
    </row>
    <row r="19" spans="1:12" x14ac:dyDescent="0.35">
      <c r="A19" s="188" t="s">
        <v>242</v>
      </c>
    </row>
    <row r="20" spans="1:12" x14ac:dyDescent="0.35">
      <c r="A20" s="121">
        <v>1</v>
      </c>
      <c r="B20" s="122" t="s">
        <v>186</v>
      </c>
      <c r="C20" s="123" t="s">
        <v>184</v>
      </c>
      <c r="D20" s="187">
        <f t="shared" ref="D20:F20" si="0">D16-D6</f>
        <v>39.359410550583561</v>
      </c>
      <c r="E20" s="200">
        <f t="shared" si="0"/>
        <v>1.4852607754937708</v>
      </c>
      <c r="F20" s="187">
        <f t="shared" si="0"/>
        <v>125.47169811320759</v>
      </c>
      <c r="G20" s="187">
        <f>G16-G6</f>
        <v>123.98643733771382</v>
      </c>
      <c r="H20" s="197">
        <f t="shared" ref="H20:I20" si="1">H16-H6</f>
        <v>8.6834558934892891E-2</v>
      </c>
      <c r="I20" s="187">
        <f t="shared" si="1"/>
        <v>120</v>
      </c>
    </row>
    <row r="21" spans="1:12" hidden="1" x14ac:dyDescent="0.35">
      <c r="A21" s="124">
        <v>2</v>
      </c>
      <c r="B21" s="125" t="s">
        <v>187</v>
      </c>
      <c r="C21" s="126" t="s">
        <v>185</v>
      </c>
      <c r="D21" s="187">
        <f t="shared" ref="D21:F21" si="2">D17-D7</f>
        <v>39.359410550587199</v>
      </c>
      <c r="E21" s="187">
        <f t="shared" si="2"/>
        <v>1.4852607754939982</v>
      </c>
      <c r="F21" s="187">
        <f t="shared" si="2"/>
        <v>125.47169811320759</v>
      </c>
      <c r="G21" s="187">
        <f>G17-G7</f>
        <v>123.9864373377136</v>
      </c>
      <c r="H21" s="197">
        <f t="shared" ref="H21:I21" si="3">H17-H7</f>
        <v>8.9543511150013952E-2</v>
      </c>
      <c r="I21" s="187">
        <f t="shared" si="3"/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CE04-6068-46A0-BC9E-C655DAD58FE3}">
  <sheetPr>
    <tabColor rgb="FFFFFF00"/>
  </sheetPr>
  <dimension ref="A1:L28"/>
  <sheetViews>
    <sheetView zoomScale="85" zoomScaleNormal="85" workbookViewId="0">
      <pane ySplit="1" topLeftCell="A7" activePane="bottomLeft" state="frozen"/>
      <selection pane="bottomLeft" activeCell="H13" sqref="H13"/>
    </sheetView>
  </sheetViews>
  <sheetFormatPr defaultColWidth="8.90625" defaultRowHeight="23" x14ac:dyDescent="0.3"/>
  <cols>
    <col min="1" max="1" width="7.6328125" style="141" customWidth="1"/>
    <col min="2" max="2" width="9.08984375" style="141" customWidth="1"/>
    <col min="3" max="3" width="28.81640625" style="141" customWidth="1"/>
    <col min="4" max="4" width="12.54296875" style="141" customWidth="1"/>
    <col min="5" max="5" width="16.54296875" style="141" customWidth="1"/>
    <col min="6" max="6" width="14.453125" style="141" customWidth="1"/>
    <col min="7" max="7" width="1.6328125" style="140" customWidth="1"/>
    <col min="8" max="10" width="14.453125" style="141" customWidth="1"/>
    <col min="11" max="11" width="32.54296875" style="141" customWidth="1"/>
    <col min="12" max="14" width="8.90625" style="141"/>
    <col min="15" max="15" width="8.90625" style="141" customWidth="1"/>
    <col min="16" max="16384" width="8.90625" style="141"/>
  </cols>
  <sheetData>
    <row r="1" spans="1:12" ht="23.5" x14ac:dyDescent="0.55000000000000004">
      <c r="A1" s="140"/>
      <c r="B1" s="140"/>
      <c r="C1" s="119" t="s">
        <v>178</v>
      </c>
      <c r="D1" s="140"/>
      <c r="E1" s="140"/>
      <c r="F1" s="140"/>
      <c r="H1" s="140"/>
      <c r="I1" s="140"/>
      <c r="J1" s="140"/>
      <c r="K1" s="140"/>
    </row>
    <row r="2" spans="1:12" ht="23.5" x14ac:dyDescent="0.35">
      <c r="A2" s="4"/>
      <c r="K2" s="177"/>
      <c r="L2" s="177"/>
    </row>
    <row r="3" spans="1:12" ht="18.649999999999999" customHeight="1" x14ac:dyDescent="0.4">
      <c r="A3" s="4"/>
      <c r="K3" s="178"/>
      <c r="L3" s="178"/>
    </row>
    <row r="4" spans="1:12" ht="21" customHeight="1" x14ac:dyDescent="0.3">
      <c r="D4" s="10" t="s">
        <v>3</v>
      </c>
      <c r="E4" s="142">
        <f>+ISS01084G!K5</f>
        <v>26500</v>
      </c>
    </row>
    <row r="5" spans="1:12" ht="22.75" customHeight="1" x14ac:dyDescent="0.3">
      <c r="A5" s="143"/>
      <c r="B5" s="143"/>
      <c r="C5" s="144"/>
      <c r="D5" s="175"/>
      <c r="E5" s="175" t="s">
        <v>235</v>
      </c>
      <c r="F5" s="176"/>
      <c r="H5" s="175"/>
      <c r="I5" s="175" t="s">
        <v>236</v>
      </c>
      <c r="J5" s="176"/>
    </row>
    <row r="6" spans="1:12" ht="33" x14ac:dyDescent="0.3">
      <c r="A6" s="143" t="s">
        <v>4</v>
      </c>
      <c r="B6" s="143" t="s">
        <v>211</v>
      </c>
      <c r="C6" s="144" t="s">
        <v>7</v>
      </c>
      <c r="D6" s="145" t="s">
        <v>212</v>
      </c>
      <c r="E6" s="145" t="s">
        <v>213</v>
      </c>
      <c r="F6" s="145" t="s">
        <v>214</v>
      </c>
      <c r="H6" s="145" t="s">
        <v>212</v>
      </c>
      <c r="I6" s="145" t="s">
        <v>213</v>
      </c>
      <c r="J6" s="145" t="s">
        <v>214</v>
      </c>
    </row>
    <row r="7" spans="1:12" ht="21.65" customHeight="1" x14ac:dyDescent="0.3">
      <c r="A7" s="146" t="s">
        <v>15</v>
      </c>
      <c r="B7" s="146">
        <v>1521</v>
      </c>
      <c r="C7" s="147" t="s">
        <v>215</v>
      </c>
      <c r="D7" s="148">
        <f>+SUM(D8:D8)</f>
        <v>15000</v>
      </c>
      <c r="E7" s="149">
        <f>D7*1000/$E$4</f>
        <v>566.03773584905662</v>
      </c>
      <c r="F7" s="150">
        <f t="shared" ref="F7:F22" si="0">E7/$E$26</f>
        <v>0.45283018867924535</v>
      </c>
      <c r="H7" s="148">
        <f>+SUM(H8:H8)</f>
        <v>15000</v>
      </c>
      <c r="I7" s="149">
        <f>H7*1000/$E$4</f>
        <v>566.03773584905662</v>
      </c>
      <c r="J7" s="150">
        <f t="shared" ref="J7:J22" si="1">I7/$E$26</f>
        <v>0.45283018867924535</v>
      </c>
    </row>
    <row r="8" spans="1:12" ht="21.65" customHeight="1" x14ac:dyDescent="0.3">
      <c r="A8" s="151">
        <v>1</v>
      </c>
      <c r="B8" s="151">
        <v>1521</v>
      </c>
      <c r="C8" s="152" t="s">
        <v>216</v>
      </c>
      <c r="D8" s="153">
        <f>+SUMIFS(ISS01084G!J:J,ISS01084G!D:D,Chart!B8)</f>
        <v>15000</v>
      </c>
      <c r="E8" s="154">
        <f>D8*1000/$E$4</f>
        <v>566.03773584905662</v>
      </c>
      <c r="F8" s="155">
        <f t="shared" si="0"/>
        <v>0.45283018867924535</v>
      </c>
      <c r="H8" s="153">
        <f>+SUMIFS('ISS01G-S'!J:J,'ISS01G-S'!D:D,Chart!B8)</f>
        <v>15000</v>
      </c>
      <c r="I8" s="154">
        <f>H8*1000/$E$4</f>
        <v>566.03773584905662</v>
      </c>
      <c r="J8" s="155">
        <f t="shared" si="1"/>
        <v>0.45283018867924535</v>
      </c>
    </row>
    <row r="9" spans="1:12" ht="47.4" customHeight="1" x14ac:dyDescent="0.3">
      <c r="A9" s="146" t="s">
        <v>87</v>
      </c>
      <c r="B9" s="146">
        <v>1522</v>
      </c>
      <c r="C9" s="147" t="s">
        <v>217</v>
      </c>
      <c r="D9" s="148">
        <f>+SUMIFS(ISS01084G!J:J,ISS01084G!D:D,Chart!B9)</f>
        <v>2929.8890663299212</v>
      </c>
      <c r="E9" s="149">
        <f>D9*1000/$E$4</f>
        <v>110.56185155961967</v>
      </c>
      <c r="F9" s="150">
        <f t="shared" si="0"/>
        <v>8.8449481247695749E-2</v>
      </c>
      <c r="H9" s="148">
        <f>+SUMIFS('ISS01G-S'!J:J,'ISS01G-S'!D:D,Chart!B9)</f>
        <v>2929.8890663299212</v>
      </c>
      <c r="I9" s="149">
        <f>H9*1000/$E$4</f>
        <v>110.56185155961967</v>
      </c>
      <c r="J9" s="150">
        <f t="shared" si="1"/>
        <v>8.8449481247695749E-2</v>
      </c>
    </row>
    <row r="10" spans="1:12" ht="21.65" customHeight="1" x14ac:dyDescent="0.3">
      <c r="A10" s="146" t="s">
        <v>192</v>
      </c>
      <c r="B10" s="146"/>
      <c r="C10" s="147" t="s">
        <v>218</v>
      </c>
      <c r="D10" s="148">
        <f>SUM(D11:D17)</f>
        <v>8816.8200741406617</v>
      </c>
      <c r="E10" s="149">
        <f t="shared" ref="E10:E25" si="2">D10*1000/$E$4</f>
        <v>332.71019147700611</v>
      </c>
      <c r="F10" s="150">
        <f t="shared" si="0"/>
        <v>0.26616815318160492</v>
      </c>
      <c r="H10" s="148">
        <f>SUM(H11:H17)</f>
        <v>8808.7609861406618</v>
      </c>
      <c r="I10" s="149">
        <f t="shared" ref="I10:I17" si="3">H10*1000/$E$4</f>
        <v>332.4060749487042</v>
      </c>
      <c r="J10" s="150">
        <f t="shared" si="1"/>
        <v>0.26592485995896342</v>
      </c>
    </row>
    <row r="11" spans="1:12" ht="21.65" customHeight="1" x14ac:dyDescent="0.3">
      <c r="A11" s="151">
        <v>2</v>
      </c>
      <c r="B11" s="151" t="s">
        <v>62</v>
      </c>
      <c r="C11" s="156" t="s">
        <v>219</v>
      </c>
      <c r="D11" s="157">
        <f>+SUMIFS(ISS01084G!J:J,ISS01084G!D:D,Chart!B11)</f>
        <v>2638.9452160494534</v>
      </c>
      <c r="E11" s="154">
        <f t="shared" si="2"/>
        <v>99.582838341488795</v>
      </c>
      <c r="F11" s="155">
        <f t="shared" si="0"/>
        <v>7.9666270673191056E-2</v>
      </c>
      <c r="H11" s="157">
        <f>+SUMIFS('ISS01G-S'!J:J,'ISS01G-S'!D:D,Chart!B11)</f>
        <v>2638.9452160494534</v>
      </c>
      <c r="I11" s="154">
        <f t="shared" si="3"/>
        <v>99.582838341488795</v>
      </c>
      <c r="J11" s="155">
        <f t="shared" si="1"/>
        <v>7.9666270673191056E-2</v>
      </c>
    </row>
    <row r="12" spans="1:12" ht="21.65" customHeight="1" x14ac:dyDescent="0.3">
      <c r="A12" s="151">
        <f t="shared" ref="A12:A17" si="4">+A11+1</f>
        <v>3</v>
      </c>
      <c r="B12" s="151" t="s">
        <v>71</v>
      </c>
      <c r="C12" s="156" t="s">
        <v>220</v>
      </c>
      <c r="D12" s="157">
        <f>+SUMIFS(ISS01084G!J:J,ISS01084G!D:D,Chart!B12)</f>
        <v>2122.7598673439566</v>
      </c>
      <c r="E12" s="154">
        <f t="shared" si="2"/>
        <v>80.104145937507795</v>
      </c>
      <c r="F12" s="155">
        <f t="shared" si="0"/>
        <v>6.4083316750006253E-2</v>
      </c>
      <c r="H12" s="157">
        <f>+SUMIFS('ISS01G-S'!J:J,'ISS01G-S'!D:D,Chart!B12)</f>
        <v>2122.7598673439566</v>
      </c>
      <c r="I12" s="154">
        <f t="shared" si="3"/>
        <v>80.104145937507795</v>
      </c>
      <c r="J12" s="155">
        <f t="shared" si="1"/>
        <v>6.4083316750006253E-2</v>
      </c>
    </row>
    <row r="13" spans="1:12" ht="21.65" customHeight="1" x14ac:dyDescent="0.3">
      <c r="A13" s="151">
        <f t="shared" si="4"/>
        <v>4</v>
      </c>
      <c r="B13" s="151" t="s">
        <v>81</v>
      </c>
      <c r="C13" s="156" t="s">
        <v>221</v>
      </c>
      <c r="D13" s="157">
        <f>+SUMIFS(ISS01084G!J:J,ISS01084G!D:D,Chart!B13)</f>
        <v>1752.4949010385826</v>
      </c>
      <c r="E13" s="154">
        <f t="shared" si="2"/>
        <v>66.131883058059728</v>
      </c>
      <c r="F13" s="155">
        <f t="shared" si="0"/>
        <v>5.2905506446447793E-2</v>
      </c>
      <c r="H13" s="157">
        <f>+SUMIFS('ISS01G-S'!J:J,'ISS01G-S'!D:D,Chart!B13)</f>
        <v>1752.4949010385826</v>
      </c>
      <c r="I13" s="154">
        <f t="shared" si="3"/>
        <v>66.131883058059728</v>
      </c>
      <c r="J13" s="155">
        <f t="shared" si="1"/>
        <v>5.2905506446447793E-2</v>
      </c>
    </row>
    <row r="14" spans="1:12" ht="21.65" customHeight="1" x14ac:dyDescent="0.3">
      <c r="A14" s="151">
        <f t="shared" si="4"/>
        <v>5</v>
      </c>
      <c r="B14" s="151" t="s">
        <v>67</v>
      </c>
      <c r="C14" s="158" t="s">
        <v>203</v>
      </c>
      <c r="D14" s="157">
        <f>+SUMIFS(ISS01084G!J:J,ISS01084G!D:D,Chart!B14)</f>
        <v>1478.1804528733401</v>
      </c>
      <c r="E14" s="154">
        <f t="shared" si="2"/>
        <v>55.780394448050572</v>
      </c>
      <c r="F14" s="155">
        <f t="shared" si="0"/>
        <v>4.4624315558440465E-2</v>
      </c>
      <c r="H14" s="157">
        <f>+SUMIFS('ISS01G-S'!J:J,'ISS01G-S'!D:D,Chart!B14)</f>
        <v>1478.1804528733401</v>
      </c>
      <c r="I14" s="154">
        <f t="shared" si="3"/>
        <v>55.780394448050572</v>
      </c>
      <c r="J14" s="155">
        <f t="shared" si="1"/>
        <v>4.4624315558440465E-2</v>
      </c>
    </row>
    <row r="15" spans="1:12" ht="21.65" customHeight="1" x14ac:dyDescent="0.3">
      <c r="A15" s="151">
        <f t="shared" si="4"/>
        <v>6</v>
      </c>
      <c r="B15" s="151" t="s">
        <v>134</v>
      </c>
      <c r="C15" s="158" t="s">
        <v>222</v>
      </c>
      <c r="D15" s="157">
        <f>+SUMIFS(ISS01084G!J:J,ISS01084G!D:D,Chart!B15)</f>
        <v>408.8427272727273</v>
      </c>
      <c r="E15" s="154">
        <f t="shared" si="2"/>
        <v>15.428027444253861</v>
      </c>
      <c r="F15" s="155">
        <f t="shared" si="0"/>
        <v>1.2342421955403091E-2</v>
      </c>
      <c r="H15" s="157">
        <f>+SUMIFS('ISS01G-S'!J:J,'ISS01G-S'!D:D,Chart!B15)</f>
        <v>408.8427272727273</v>
      </c>
      <c r="I15" s="154">
        <f t="shared" si="3"/>
        <v>15.428027444253861</v>
      </c>
      <c r="J15" s="155">
        <f t="shared" si="1"/>
        <v>1.2342421955403091E-2</v>
      </c>
    </row>
    <row r="16" spans="1:12" ht="21.65" customHeight="1" x14ac:dyDescent="0.3">
      <c r="A16" s="151">
        <f t="shared" si="4"/>
        <v>7</v>
      </c>
      <c r="B16" s="151" t="s">
        <v>102</v>
      </c>
      <c r="C16" s="158" t="s">
        <v>94</v>
      </c>
      <c r="D16" s="157">
        <f>+SUMIFS(ISS01084G!J:J,ISS01084G!D:D,Chart!B16)</f>
        <v>393.50253599999996</v>
      </c>
      <c r="E16" s="154">
        <f t="shared" si="2"/>
        <v>14.849152301886791</v>
      </c>
      <c r="F16" s="155">
        <f t="shared" si="0"/>
        <v>1.1879321841509435E-2</v>
      </c>
      <c r="H16" s="157">
        <f>+SUMIFS('ISS01G-S'!J:J,'ISS01G-S'!D:D,Chart!B16)</f>
        <v>385.44344799999999</v>
      </c>
      <c r="I16" s="154">
        <f t="shared" si="3"/>
        <v>14.545035773584905</v>
      </c>
      <c r="J16" s="155">
        <f t="shared" si="1"/>
        <v>1.1636028618867925E-2</v>
      </c>
    </row>
    <row r="17" spans="1:10" ht="21.65" customHeight="1" x14ac:dyDescent="0.3">
      <c r="A17" s="151">
        <f t="shared" si="4"/>
        <v>8</v>
      </c>
      <c r="B17" s="151" t="s">
        <v>112</v>
      </c>
      <c r="C17" s="158" t="s">
        <v>223</v>
      </c>
      <c r="D17" s="157">
        <f>+SUMIFS(ISS01084G!J:J,ISS01084G!D:D,Chart!B17)</f>
        <v>22.094373562602939</v>
      </c>
      <c r="E17" s="154">
        <f t="shared" si="2"/>
        <v>0.83374994575860151</v>
      </c>
      <c r="F17" s="155">
        <f t="shared" si="0"/>
        <v>6.6699995660688132E-4</v>
      </c>
      <c r="H17" s="157">
        <f>+SUMIFS('ISS01G-S'!J:J,'ISS01G-S'!D:D,Chart!B17)</f>
        <v>22.094373562602939</v>
      </c>
      <c r="I17" s="154">
        <f t="shared" si="3"/>
        <v>0.83374994575860151</v>
      </c>
      <c r="J17" s="155">
        <f t="shared" si="1"/>
        <v>6.6699995660688132E-4</v>
      </c>
    </row>
    <row r="18" spans="1:10" ht="20.149999999999999" customHeight="1" x14ac:dyDescent="0.3">
      <c r="A18" s="159" t="s">
        <v>191</v>
      </c>
      <c r="B18" s="159"/>
      <c r="C18" s="160" t="s">
        <v>224</v>
      </c>
      <c r="D18" s="161">
        <f>SUM(D8:D10)</f>
        <v>26746.709140470582</v>
      </c>
      <c r="E18" s="162">
        <f t="shared" ref="E18:E23" si="5">D18*1000/$E$4</f>
        <v>1009.3097788856824</v>
      </c>
      <c r="F18" s="163">
        <f t="shared" si="0"/>
        <v>0.80744782310854601</v>
      </c>
      <c r="H18" s="161">
        <f>SUM(H8:H10)</f>
        <v>26738.650052470584</v>
      </c>
      <c r="I18" s="162">
        <f t="shared" ref="I18:I26" si="6">H18*1000/$E$4</f>
        <v>1009.0056623573805</v>
      </c>
      <c r="J18" s="163">
        <f t="shared" si="1"/>
        <v>0.80720452988590452</v>
      </c>
    </row>
    <row r="19" spans="1:10" ht="29.5" customHeight="1" x14ac:dyDescent="0.3">
      <c r="A19" s="146" t="s">
        <v>225</v>
      </c>
      <c r="B19" s="146"/>
      <c r="C19" s="147" t="s">
        <v>226</v>
      </c>
      <c r="D19" s="148">
        <f>+SUM(D20:D22)</f>
        <v>5177.6125583177109</v>
      </c>
      <c r="E19" s="149">
        <f t="shared" si="5"/>
        <v>195.38160597425323</v>
      </c>
      <c r="F19" s="150">
        <f t="shared" si="0"/>
        <v>0.15630528477940261</v>
      </c>
      <c r="H19" s="148">
        <f>+SUM(H20:H22)</f>
        <v>5177.6125583177109</v>
      </c>
      <c r="I19" s="149">
        <f t="shared" si="6"/>
        <v>195.38160597425323</v>
      </c>
      <c r="J19" s="150">
        <f t="shared" si="1"/>
        <v>0.15630528477940261</v>
      </c>
    </row>
    <row r="20" spans="1:10" ht="21.65" customHeight="1" x14ac:dyDescent="0.3">
      <c r="A20" s="151">
        <v>9</v>
      </c>
      <c r="B20" s="151">
        <v>642</v>
      </c>
      <c r="C20" s="158" t="s">
        <v>155</v>
      </c>
      <c r="D20" s="157">
        <f>+SUMIFS(ISS01084G!J:J,ISS01084G!D:D,Chart!B20)</f>
        <v>3098.1952313669321</v>
      </c>
      <c r="E20" s="154">
        <f t="shared" si="5"/>
        <v>116.91302759875215</v>
      </c>
      <c r="F20" s="155">
        <f t="shared" si="0"/>
        <v>9.3530422079001738E-2</v>
      </c>
      <c r="H20" s="157">
        <f>+SUMIFS('ISS01G-S'!J:J,'ISS01G-S'!D:D,Chart!B20)</f>
        <v>3098.1952313669321</v>
      </c>
      <c r="I20" s="154">
        <f t="shared" si="6"/>
        <v>116.91302759875215</v>
      </c>
      <c r="J20" s="155">
        <f t="shared" si="1"/>
        <v>9.3530422079001738E-2</v>
      </c>
    </row>
    <row r="21" spans="1:10" ht="21.65" customHeight="1" x14ac:dyDescent="0.3">
      <c r="A21" s="151">
        <v>10</v>
      </c>
      <c r="B21" s="151">
        <v>641</v>
      </c>
      <c r="C21" s="158" t="s">
        <v>148</v>
      </c>
      <c r="D21" s="157">
        <f>+SUMIFS(ISS01084G!J:J,ISS01084G!D:D,Chart!B21)</f>
        <v>1525.3260818068229</v>
      </c>
      <c r="E21" s="154">
        <f t="shared" si="5"/>
        <v>57.559474785163125</v>
      </c>
      <c r="F21" s="155">
        <f t="shared" si="0"/>
        <v>4.6047579828130507E-2</v>
      </c>
      <c r="H21" s="157">
        <f>+SUMIFS('ISS01G-S'!J:J,'ISS01G-S'!D:D,Chart!B21)</f>
        <v>1525.3260818068229</v>
      </c>
      <c r="I21" s="154">
        <f t="shared" si="6"/>
        <v>57.559474785163125</v>
      </c>
      <c r="J21" s="155">
        <f t="shared" si="1"/>
        <v>4.6047579828130507E-2</v>
      </c>
    </row>
    <row r="22" spans="1:10" ht="21.65" customHeight="1" x14ac:dyDescent="0.3">
      <c r="A22" s="151">
        <v>11</v>
      </c>
      <c r="B22" s="151">
        <v>635</v>
      </c>
      <c r="C22" s="158" t="s">
        <v>227</v>
      </c>
      <c r="D22" s="157">
        <f>+SUMIFS(ISS01084G!J:J,ISS01084G!D:D,Chart!B22)</f>
        <v>554.0912451439566</v>
      </c>
      <c r="E22" s="154">
        <f t="shared" si="5"/>
        <v>20.909103590337985</v>
      </c>
      <c r="F22" s="155">
        <f t="shared" si="0"/>
        <v>1.6727282872270391E-2</v>
      </c>
      <c r="H22" s="157">
        <f>+SUMIFS('ISS01G-S'!J:J,'ISS01G-S'!D:D,Chart!B22)</f>
        <v>554.0912451439566</v>
      </c>
      <c r="I22" s="154">
        <f t="shared" si="6"/>
        <v>20.909103590337985</v>
      </c>
      <c r="J22" s="155">
        <f t="shared" si="1"/>
        <v>1.6727282872270391E-2</v>
      </c>
    </row>
    <row r="23" spans="1:10" ht="21.65" customHeight="1" x14ac:dyDescent="0.3">
      <c r="A23" s="159" t="s">
        <v>228</v>
      </c>
      <c r="B23" s="159"/>
      <c r="C23" s="160" t="s">
        <v>229</v>
      </c>
      <c r="D23" s="161">
        <f>+D18+D19</f>
        <v>31924.321698788292</v>
      </c>
      <c r="E23" s="162">
        <f t="shared" si="5"/>
        <v>1204.6913848599356</v>
      </c>
      <c r="F23" s="163">
        <f>E23/$E$26</f>
        <v>0.96375310788794866</v>
      </c>
      <c r="H23" s="161">
        <f>+H18+H19</f>
        <v>31916.262610788297</v>
      </c>
      <c r="I23" s="162">
        <f t="shared" si="6"/>
        <v>1204.3872683316338</v>
      </c>
      <c r="J23" s="163">
        <f>I23/$E$26</f>
        <v>0.96350981466530716</v>
      </c>
    </row>
    <row r="24" spans="1:10" ht="21.65" customHeight="1" x14ac:dyDescent="0.3">
      <c r="A24" s="151">
        <v>12</v>
      </c>
      <c r="B24" s="151" t="s">
        <v>165</v>
      </c>
      <c r="C24" s="156" t="s">
        <v>230</v>
      </c>
      <c r="D24" s="157">
        <f>+SUMIFS(ISS01084G!J:J,ISS01084G!D:D,Chart!B24)</f>
        <v>200.11305020195022</v>
      </c>
      <c r="E24" s="154">
        <f t="shared" si="2"/>
        <v>7.5514358566773669</v>
      </c>
      <c r="F24" s="164">
        <f>E24/$E$26</f>
        <v>6.0411486853418949E-3</v>
      </c>
      <c r="H24" s="157">
        <f>+SUMIFS('ISS01G-S'!J:J,'ISS01G-S'!D:D,Chart!B24)</f>
        <v>113.12289820195052</v>
      </c>
      <c r="I24" s="154">
        <f t="shared" si="6"/>
        <v>4.2687886113943589</v>
      </c>
      <c r="J24" s="164">
        <f>I24/$E$26</f>
        <v>3.4150308891154877E-3</v>
      </c>
    </row>
    <row r="25" spans="1:10" ht="21.65" customHeight="1" x14ac:dyDescent="0.3">
      <c r="A25" s="146" t="s">
        <v>231</v>
      </c>
      <c r="B25" s="146" t="s">
        <v>164</v>
      </c>
      <c r="C25" s="147" t="s">
        <v>182</v>
      </c>
      <c r="D25" s="148">
        <f>+SUMIFS(ISS01084G!J:J,ISS01084G!D:D,Chart!B25)</f>
        <v>1000.565251009751</v>
      </c>
      <c r="E25" s="149">
        <f t="shared" si="2"/>
        <v>37.757179283386833</v>
      </c>
      <c r="F25" s="150">
        <f>E25/$E$26</f>
        <v>3.0205743426709473E-2</v>
      </c>
      <c r="H25" s="148">
        <f>+SUMIFS('ISS01G-S'!J:J,'ISS01G-S'!D:D,Chart!B25)</f>
        <v>565.61449100975256</v>
      </c>
      <c r="I25" s="149">
        <f t="shared" si="6"/>
        <v>21.343943056971792</v>
      </c>
      <c r="J25" s="150">
        <f>I25/$E$26</f>
        <v>1.7075154445577438E-2</v>
      </c>
    </row>
    <row r="26" spans="1:10" ht="21.65" customHeight="1" x14ac:dyDescent="0.3">
      <c r="A26" s="165" t="s">
        <v>232</v>
      </c>
      <c r="B26" s="166"/>
      <c r="C26" s="167" t="s">
        <v>233</v>
      </c>
      <c r="D26" s="168">
        <f>+D23+D24+D25</f>
        <v>33124.999999999993</v>
      </c>
      <c r="E26" s="169">
        <f>D26*1000/$E$4</f>
        <v>1249.9999999999998</v>
      </c>
      <c r="F26" s="170">
        <f>E26/$E$26</f>
        <v>1</v>
      </c>
      <c r="H26" s="168">
        <f>+H23+H24+H25</f>
        <v>32595</v>
      </c>
      <c r="I26" s="169">
        <f t="shared" si="6"/>
        <v>1230</v>
      </c>
      <c r="J26" s="170">
        <f>I26/$E$26</f>
        <v>0.98400000000000021</v>
      </c>
    </row>
    <row r="27" spans="1:10" ht="21.65" customHeight="1" x14ac:dyDescent="0.3">
      <c r="A27" s="171"/>
      <c r="B27" s="171"/>
      <c r="C27" s="172" t="s">
        <v>234</v>
      </c>
      <c r="D27" s="173"/>
      <c r="E27" s="171"/>
      <c r="F27" s="174">
        <f>F26-F7-F9</f>
        <v>0.45872033007305885</v>
      </c>
      <c r="H27" s="173"/>
      <c r="I27" s="171"/>
      <c r="J27" s="174">
        <f>J26-J7-J9</f>
        <v>0.44272033007305905</v>
      </c>
    </row>
    <row r="28" spans="1:10" x14ac:dyDescent="0.3">
      <c r="E28" s="141" t="str">
        <f>"ĐIỂM HÒA VỐN "&amp;ROUND(E23,0)&amp;"$"</f>
        <v>ĐIỂM HÒA VỐN 1205$</v>
      </c>
      <c r="I28" s="141" t="str">
        <f>"ĐIỂM HÒA VỐN "&amp;ROUND(I23,0)&amp;"$"</f>
        <v>ĐIỂM HÒA VỐN 1204$</v>
      </c>
    </row>
  </sheetData>
  <mergeCells count="2">
    <mergeCell ref="K2:L2"/>
    <mergeCell ref="K3:L3"/>
  </mergeCells>
  <conditionalFormatting sqref="E26">
    <cfRule type="expression" dxfId="1" priority="2">
      <formula>#REF!&lt;&gt;0</formula>
    </cfRule>
  </conditionalFormatting>
  <conditionalFormatting sqref="I26">
    <cfRule type="expression" dxfId="0" priority="1">
      <formula>#REF!&lt;&gt;0</formula>
    </cfRule>
  </conditionalFormatting>
  <printOptions horizontalCentered="1"/>
  <pageMargins left="0.51181102362204722" right="0.31496062992125984" top="0.55118110236220474" bottom="0.15748031496062992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54CF-68EF-4419-919E-1E25463D8CB2}">
  <sheetPr>
    <tabColor rgb="FF00B0F0"/>
  </sheetPr>
  <dimension ref="A1:O112"/>
  <sheetViews>
    <sheetView zoomScale="70" zoomScaleNormal="70" workbookViewId="0">
      <pane ySplit="7" topLeftCell="A82" activePane="bottomLeft" state="frozen"/>
      <selection activeCell="K110" sqref="K110"/>
      <selection pane="bottomLeft" activeCell="H84" sqref="H84"/>
    </sheetView>
  </sheetViews>
  <sheetFormatPr defaultColWidth="8.90625" defaultRowHeight="14.5" outlineLevelRow="1" x14ac:dyDescent="0.35"/>
  <cols>
    <col min="1" max="2" width="8.90625" style="2"/>
    <col min="3" max="3" width="12.54296875" style="3" customWidth="1"/>
    <col min="4" max="5" width="13.453125" style="3" customWidth="1"/>
    <col min="6" max="6" width="45.90625" style="3" customWidth="1"/>
    <col min="7" max="7" width="11" style="3" customWidth="1"/>
    <col min="8" max="8" width="14.453125" style="3" customWidth="1"/>
    <col min="9" max="9" width="18.453125" style="3" customWidth="1"/>
    <col min="10" max="10" width="14.54296875" style="3" customWidth="1"/>
    <col min="11" max="11" width="12.54296875" style="3" customWidth="1"/>
    <col min="12" max="12" width="10.08984375" style="3" customWidth="1"/>
    <col min="13" max="13" width="69.54296875" style="3" customWidth="1"/>
    <col min="14" max="14" width="8.90625" style="3"/>
    <col min="15" max="15" width="11.08984375" style="3" bestFit="1" customWidth="1"/>
    <col min="16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14"/>
      <c r="B2" s="114"/>
      <c r="C2" s="4" t="s">
        <v>196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197</v>
      </c>
      <c r="E4" s="6"/>
      <c r="G4" s="15"/>
      <c r="H4" s="6"/>
      <c r="J4" s="6"/>
      <c r="K4" s="6"/>
      <c r="L4" s="6"/>
      <c r="M4" s="6"/>
    </row>
    <row r="5" spans="1:13" ht="17" x14ac:dyDescent="0.35">
      <c r="C5" s="14" t="s">
        <v>2</v>
      </c>
      <c r="D5" s="115" t="s">
        <v>168</v>
      </c>
      <c r="E5" s="6"/>
      <c r="F5" s="7"/>
      <c r="G5" s="8"/>
      <c r="H5" s="8"/>
      <c r="I5" s="9"/>
      <c r="J5" s="10" t="s">
        <v>3</v>
      </c>
      <c r="K5" s="12">
        <v>26500</v>
      </c>
      <c r="M5" s="13"/>
    </row>
    <row r="6" spans="1:13" ht="17" x14ac:dyDescent="0.35">
      <c r="C6" s="6"/>
      <c r="D6" s="6"/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4</v>
      </c>
      <c r="D7" s="18" t="s">
        <v>5</v>
      </c>
      <c r="E7" s="18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19" t="s">
        <v>11</v>
      </c>
      <c r="K7" s="19" t="s">
        <v>12</v>
      </c>
      <c r="L7" s="20" t="s">
        <v>13</v>
      </c>
      <c r="M7" s="19" t="s">
        <v>14</v>
      </c>
    </row>
    <row r="8" spans="1:13" ht="17" x14ac:dyDescent="0.35">
      <c r="C8" s="22" t="s">
        <v>15</v>
      </c>
      <c r="D8" s="23" t="s">
        <v>16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116</v>
      </c>
      <c r="C9" s="31" t="s">
        <v>17</v>
      </c>
      <c r="D9" s="31">
        <v>1521</v>
      </c>
      <c r="E9" s="31"/>
      <c r="F9" s="32" t="s">
        <v>18</v>
      </c>
      <c r="G9" s="31" t="s">
        <v>19</v>
      </c>
      <c r="H9" s="31">
        <v>1</v>
      </c>
      <c r="I9" s="33">
        <v>15000</v>
      </c>
      <c r="J9" s="34">
        <f>I9</f>
        <v>15000</v>
      </c>
      <c r="K9" s="35">
        <f>J9/$K$5*1000</f>
        <v>566.03773584905662</v>
      </c>
      <c r="L9" s="36">
        <f t="shared" ref="L9:L19" si="0">J9/$J$58</f>
        <v>0.71542388531735379</v>
      </c>
      <c r="M9" s="37"/>
    </row>
    <row r="10" spans="1:13" ht="47.4" customHeight="1" x14ac:dyDescent="0.35">
      <c r="B10" s="2" t="s">
        <v>198</v>
      </c>
      <c r="C10" s="31" t="s">
        <v>20</v>
      </c>
      <c r="D10" s="31">
        <v>1522</v>
      </c>
      <c r="E10" s="31"/>
      <c r="F10" s="32" t="s">
        <v>21</v>
      </c>
      <c r="G10" s="31" t="s">
        <v>22</v>
      </c>
      <c r="H10" s="38">
        <f>SUM(H11:H20)</f>
        <v>0.17890491047391213</v>
      </c>
      <c r="I10" s="33"/>
      <c r="J10" s="33">
        <f>SUM(J11:J20)</f>
        <v>1249.9477023961606</v>
      </c>
      <c r="K10" s="35">
        <f>J10/$K$5*1000</f>
        <v>47.167837826270208</v>
      </c>
      <c r="L10" s="36">
        <f t="shared" si="0"/>
        <v>5.9616162779450706E-2</v>
      </c>
      <c r="M10" s="37"/>
    </row>
    <row r="11" spans="1:13" ht="17" outlineLevel="1" x14ac:dyDescent="0.35">
      <c r="C11" s="39"/>
      <c r="D11" s="39"/>
      <c r="E11" s="39" t="s">
        <v>23</v>
      </c>
      <c r="F11" s="40" t="s">
        <v>24</v>
      </c>
      <c r="G11" s="39" t="s">
        <v>22</v>
      </c>
      <c r="H11" s="41">
        <v>0</v>
      </c>
      <c r="I11" s="42">
        <v>6000</v>
      </c>
      <c r="J11" s="42">
        <f>+($J$9-I11)*H11</f>
        <v>0</v>
      </c>
      <c r="K11" s="43">
        <f t="shared" ref="K11:K20" si="1">J11/$K$5*1000</f>
        <v>0</v>
      </c>
      <c r="L11" s="44">
        <f t="shared" si="0"/>
        <v>0</v>
      </c>
      <c r="M11" s="45" t="s">
        <v>25</v>
      </c>
    </row>
    <row r="12" spans="1:13" ht="17" outlineLevel="1" x14ac:dyDescent="0.35">
      <c r="A12" s="2" t="s">
        <v>26</v>
      </c>
      <c r="C12" s="39"/>
      <c r="D12" s="39"/>
      <c r="E12" s="39" t="s">
        <v>27</v>
      </c>
      <c r="F12" s="40" t="s">
        <v>28</v>
      </c>
      <c r="G12" s="39" t="s">
        <v>22</v>
      </c>
      <c r="H12" s="41">
        <v>0</v>
      </c>
      <c r="I12" s="42">
        <v>11000</v>
      </c>
      <c r="J12" s="42">
        <f t="shared" ref="J12:J20" si="2">+($J$9-I12)*H12</f>
        <v>0</v>
      </c>
      <c r="K12" s="43">
        <f t="shared" si="1"/>
        <v>0</v>
      </c>
      <c r="L12" s="44">
        <f t="shared" si="0"/>
        <v>0</v>
      </c>
      <c r="M12" s="45" t="s">
        <v>25</v>
      </c>
    </row>
    <row r="13" spans="1:13" ht="17" outlineLevel="1" x14ac:dyDescent="0.35">
      <c r="A13" s="2" t="s">
        <v>29</v>
      </c>
      <c r="C13" s="39"/>
      <c r="D13" s="39"/>
      <c r="E13" s="39" t="s">
        <v>30</v>
      </c>
      <c r="F13" s="40" t="s">
        <v>31</v>
      </c>
      <c r="G13" s="39" t="s">
        <v>22</v>
      </c>
      <c r="H13" s="41">
        <v>1.3146811248457861E-3</v>
      </c>
      <c r="I13" s="42">
        <v>12500</v>
      </c>
      <c r="J13" s="42">
        <f t="shared" si="2"/>
        <v>3.2867028121144655</v>
      </c>
      <c r="K13" s="43">
        <f t="shared" si="1"/>
        <v>0.12402652121186662</v>
      </c>
      <c r="L13" s="44">
        <f t="shared" si="0"/>
        <v>1.5675904638176022E-4</v>
      </c>
      <c r="M13" s="45" t="s">
        <v>25</v>
      </c>
    </row>
    <row r="14" spans="1:13" ht="17" outlineLevel="1" x14ac:dyDescent="0.35">
      <c r="A14" s="2" t="s">
        <v>32</v>
      </c>
      <c r="C14" s="39"/>
      <c r="D14" s="39"/>
      <c r="E14" s="39" t="s">
        <v>33</v>
      </c>
      <c r="F14" s="40" t="s">
        <v>34</v>
      </c>
      <c r="G14" s="39" t="s">
        <v>22</v>
      </c>
      <c r="H14" s="41">
        <v>2.0155036081746128E-3</v>
      </c>
      <c r="I14" s="42">
        <v>12500</v>
      </c>
      <c r="J14" s="42">
        <f t="shared" si="2"/>
        <v>5.0387590204365322</v>
      </c>
      <c r="K14" s="43">
        <f t="shared" si="1"/>
        <v>0.19014184982779367</v>
      </c>
      <c r="L14" s="44">
        <f t="shared" si="0"/>
        <v>2.4032323703857117E-4</v>
      </c>
      <c r="M14" s="45" t="s">
        <v>25</v>
      </c>
    </row>
    <row r="15" spans="1:13" ht="17" outlineLevel="1" x14ac:dyDescent="0.35">
      <c r="A15" s="2" t="s">
        <v>35</v>
      </c>
      <c r="C15" s="39"/>
      <c r="D15" s="39"/>
      <c r="E15" s="39" t="s">
        <v>36</v>
      </c>
      <c r="F15" s="40" t="s">
        <v>37</v>
      </c>
      <c r="G15" s="39" t="s">
        <v>22</v>
      </c>
      <c r="H15" s="41">
        <v>6.5144366055896942E-4</v>
      </c>
      <c r="I15" s="42">
        <v>12300</v>
      </c>
      <c r="J15" s="42">
        <f t="shared" si="2"/>
        <v>1.7588978835092175</v>
      </c>
      <c r="K15" s="43">
        <f t="shared" si="1"/>
        <v>6.6373505038083688E-2</v>
      </c>
      <c r="L15" s="44">
        <f t="shared" si="0"/>
        <v>8.3890503846442309E-5</v>
      </c>
      <c r="M15" s="45" t="s">
        <v>25</v>
      </c>
    </row>
    <row r="16" spans="1:13" ht="17" outlineLevel="1" x14ac:dyDescent="0.4">
      <c r="A16" s="46" t="s">
        <v>38</v>
      </c>
      <c r="B16" s="46"/>
      <c r="C16" s="39"/>
      <c r="D16" s="39"/>
      <c r="E16" s="39" t="s">
        <v>39</v>
      </c>
      <c r="F16" s="40" t="s">
        <v>40</v>
      </c>
      <c r="G16" s="39" t="s">
        <v>22</v>
      </c>
      <c r="H16" s="41">
        <v>9.4914290817541935E-2</v>
      </c>
      <c r="I16" s="42">
        <v>10500</v>
      </c>
      <c r="J16" s="42">
        <f t="shared" si="2"/>
        <v>427.1143086789387</v>
      </c>
      <c r="K16" s="43">
        <f t="shared" si="1"/>
        <v>16.117521082224101</v>
      </c>
      <c r="L16" s="44">
        <f t="shared" si="0"/>
        <v>2.0371185212648125E-2</v>
      </c>
      <c r="M16" s="45" t="s">
        <v>25</v>
      </c>
    </row>
    <row r="17" spans="1:15" ht="17" outlineLevel="1" x14ac:dyDescent="0.4">
      <c r="A17" s="46" t="s">
        <v>41</v>
      </c>
      <c r="B17" s="46"/>
      <c r="C17" s="39"/>
      <c r="D17" s="39"/>
      <c r="E17" s="39" t="s">
        <v>42</v>
      </c>
      <c r="F17" s="40" t="s">
        <v>43</v>
      </c>
      <c r="G17" s="39" t="s">
        <v>22</v>
      </c>
      <c r="H17" s="41">
        <v>3.2148664297843757E-2</v>
      </c>
      <c r="I17" s="42">
        <v>5000</v>
      </c>
      <c r="J17" s="42">
        <f t="shared" si="2"/>
        <v>321.48664297843754</v>
      </c>
      <c r="K17" s="43">
        <f t="shared" si="1"/>
        <v>12.131571433148586</v>
      </c>
      <c r="L17" s="44">
        <f t="shared" si="0"/>
        <v>1.533328154648445E-2</v>
      </c>
      <c r="M17" s="45" t="s">
        <v>25</v>
      </c>
    </row>
    <row r="18" spans="1:15" ht="17" outlineLevel="1" x14ac:dyDescent="0.4">
      <c r="A18" s="46" t="s">
        <v>44</v>
      </c>
      <c r="B18" s="46"/>
      <c r="C18" s="39"/>
      <c r="D18" s="39"/>
      <c r="E18" s="39" t="s">
        <v>45</v>
      </c>
      <c r="F18" s="40" t="s">
        <v>46</v>
      </c>
      <c r="G18" s="39" t="s">
        <v>22</v>
      </c>
      <c r="H18" s="41">
        <v>1.5908151571050005E-2</v>
      </c>
      <c r="I18" s="42">
        <v>10500</v>
      </c>
      <c r="J18" s="42">
        <f t="shared" si="2"/>
        <v>71.586682069725015</v>
      </c>
      <c r="K18" s="43">
        <f t="shared" si="1"/>
        <v>2.7013842290462273</v>
      </c>
      <c r="L18" s="44">
        <f t="shared" si="0"/>
        <v>3.4143214815533876E-3</v>
      </c>
      <c r="M18" s="45" t="s">
        <v>25</v>
      </c>
    </row>
    <row r="19" spans="1:15" ht="17" outlineLevel="1" x14ac:dyDescent="0.4">
      <c r="A19" s="46" t="s">
        <v>47</v>
      </c>
      <c r="B19" s="46"/>
      <c r="C19" s="39"/>
      <c r="D19" s="39"/>
      <c r="E19" s="39" t="s">
        <v>48</v>
      </c>
      <c r="F19" s="40" t="s">
        <v>49</v>
      </c>
      <c r="G19" s="39" t="s">
        <v>22</v>
      </c>
      <c r="H19" s="41">
        <v>5.4188110868597364E-3</v>
      </c>
      <c r="I19" s="42">
        <v>11000</v>
      </c>
      <c r="J19" s="42">
        <f t="shared" si="2"/>
        <v>21.675244347438944</v>
      </c>
      <c r="K19" s="43">
        <f t="shared" si="1"/>
        <v>0.81793374895996018</v>
      </c>
      <c r="L19" s="44">
        <f t="shared" si="0"/>
        <v>1.0337991684165188E-3</v>
      </c>
      <c r="M19" s="45" t="s">
        <v>25</v>
      </c>
    </row>
    <row r="20" spans="1:15" ht="17" outlineLevel="1" x14ac:dyDescent="0.4">
      <c r="A20" s="46" t="s">
        <v>50</v>
      </c>
      <c r="B20" s="46"/>
      <c r="C20" s="39"/>
      <c r="D20" s="39"/>
      <c r="E20" s="39"/>
      <c r="F20" s="40" t="s">
        <v>51</v>
      </c>
      <c r="G20" s="39" t="s">
        <v>22</v>
      </c>
      <c r="H20" s="41">
        <v>2.6533364307037351E-2</v>
      </c>
      <c r="I20" s="42">
        <v>0</v>
      </c>
      <c r="J20" s="42">
        <f t="shared" si="2"/>
        <v>398.00046460556024</v>
      </c>
      <c r="K20" s="43">
        <f t="shared" si="1"/>
        <v>15.018885456813592</v>
      </c>
      <c r="L20" s="44">
        <f>J20/$J$58</f>
        <v>1.8982602583081456E-2</v>
      </c>
      <c r="M20" s="45" t="s">
        <v>52</v>
      </c>
    </row>
    <row r="21" spans="1:15" ht="17" x14ac:dyDescent="0.35">
      <c r="C21" s="31" t="s">
        <v>53</v>
      </c>
      <c r="D21" s="47"/>
      <c r="E21" s="47"/>
      <c r="F21" s="32" t="s">
        <v>54</v>
      </c>
      <c r="G21" s="31"/>
      <c r="H21" s="31"/>
      <c r="I21" s="31"/>
      <c r="J21" s="33">
        <f>SUM(J22:J33)</f>
        <v>2321.0309940637335</v>
      </c>
      <c r="K21" s="35">
        <f>J21*1000/$K$5</f>
        <v>87.586075247688058</v>
      </c>
      <c r="L21" s="36">
        <f>J21/$J$58</f>
        <v>0.11070140078100507</v>
      </c>
      <c r="M21" s="48"/>
    </row>
    <row r="22" spans="1:15" ht="17" outlineLevel="1" x14ac:dyDescent="0.35">
      <c r="A22" s="2" t="s">
        <v>55</v>
      </c>
      <c r="C22" s="39">
        <v>0</v>
      </c>
      <c r="D22" s="49" t="s">
        <v>56</v>
      </c>
      <c r="E22" s="49"/>
      <c r="F22" s="40" t="s">
        <v>57</v>
      </c>
      <c r="G22" s="39" t="s">
        <v>58</v>
      </c>
      <c r="H22" s="50">
        <v>4800</v>
      </c>
      <c r="I22" s="39"/>
      <c r="J22" s="51"/>
      <c r="K22" s="43"/>
      <c r="L22" s="51"/>
      <c r="M22" s="45" t="s">
        <v>59</v>
      </c>
      <c r="O22" s="55"/>
    </row>
    <row r="23" spans="1:15" ht="17" outlineLevel="1" x14ac:dyDescent="0.35">
      <c r="A23" s="2" t="s">
        <v>55</v>
      </c>
      <c r="C23" s="39"/>
      <c r="D23" s="49"/>
      <c r="E23" s="49"/>
      <c r="F23" s="40" t="s">
        <v>60</v>
      </c>
      <c r="G23" s="39" t="s">
        <v>22</v>
      </c>
      <c r="H23" s="52">
        <v>0.6</v>
      </c>
      <c r="I23" s="39"/>
      <c r="J23" s="51"/>
      <c r="K23" s="43"/>
      <c r="L23" s="51"/>
      <c r="M23" s="45" t="s">
        <v>61</v>
      </c>
      <c r="O23" s="55"/>
    </row>
    <row r="24" spans="1:15" ht="34" outlineLevel="1" x14ac:dyDescent="0.35">
      <c r="A24" s="2" t="s">
        <v>55</v>
      </c>
      <c r="B24" s="2" t="s">
        <v>199</v>
      </c>
      <c r="C24" s="39">
        <f>+C22+1</f>
        <v>1</v>
      </c>
      <c r="D24" s="49" t="s">
        <v>62</v>
      </c>
      <c r="E24" s="49">
        <v>622</v>
      </c>
      <c r="F24" s="40" t="s">
        <v>63</v>
      </c>
      <c r="G24" s="39" t="s">
        <v>64</v>
      </c>
      <c r="H24" s="39">
        <v>1</v>
      </c>
      <c r="I24" s="42">
        <v>1811265742</v>
      </c>
      <c r="J24" s="53">
        <f>+I24/($H$22*$H$23*24*30)</f>
        <v>873.48849440586423</v>
      </c>
      <c r="K24" s="43">
        <f t="shared" ref="K24:K33" si="3">J24/$K$5*1000</f>
        <v>32.961829977579782</v>
      </c>
      <c r="L24" s="54">
        <f t="shared" ref="L24:L34" si="4">J24/$J$58</f>
        <v>4.16609688298566E-2</v>
      </c>
      <c r="M24" s="45" t="s">
        <v>169</v>
      </c>
      <c r="N24" s="116"/>
      <c r="O24" s="55"/>
    </row>
    <row r="25" spans="1:15" ht="34" outlineLevel="1" x14ac:dyDescent="0.35">
      <c r="A25" s="2" t="s">
        <v>55</v>
      </c>
      <c r="B25" s="2" t="s">
        <v>200</v>
      </c>
      <c r="C25" s="39">
        <f t="shared" ref="C25:C31" si="5">+C23+1</f>
        <v>1</v>
      </c>
      <c r="D25" s="49" t="s">
        <v>62</v>
      </c>
      <c r="E25" s="49">
        <v>6271</v>
      </c>
      <c r="F25" s="51" t="s">
        <v>65</v>
      </c>
      <c r="G25" s="39" t="s">
        <v>64</v>
      </c>
      <c r="H25" s="39">
        <v>1</v>
      </c>
      <c r="I25" s="42">
        <v>751521405.09333348</v>
      </c>
      <c r="J25" s="53">
        <f t="shared" ref="J25:J33" si="6">+I25/($H$22*$H$23*24*30)</f>
        <v>362.42351711676963</v>
      </c>
      <c r="K25" s="43">
        <f t="shared" si="3"/>
        <v>13.676359136481873</v>
      </c>
      <c r="L25" s="54">
        <f t="shared" si="4"/>
        <v>1.7285762716403988E-2</v>
      </c>
      <c r="M25" s="45" t="s">
        <v>66</v>
      </c>
      <c r="N25" s="116"/>
      <c r="O25" s="55"/>
    </row>
    <row r="26" spans="1:15" ht="17" outlineLevel="1" x14ac:dyDescent="0.35">
      <c r="A26" s="2" t="s">
        <v>55</v>
      </c>
      <c r="B26" s="2" t="s">
        <v>201</v>
      </c>
      <c r="C26" s="39">
        <f t="shared" si="5"/>
        <v>2</v>
      </c>
      <c r="D26" s="49" t="s">
        <v>67</v>
      </c>
      <c r="E26" s="49">
        <v>6272</v>
      </c>
      <c r="F26" s="51" t="s">
        <v>68</v>
      </c>
      <c r="G26" s="39" t="s">
        <v>64</v>
      </c>
      <c r="H26" s="39">
        <v>1</v>
      </c>
      <c r="I26" s="42">
        <v>330609579.66666669</v>
      </c>
      <c r="J26" s="53">
        <f t="shared" si="6"/>
        <v>159.43749019418726</v>
      </c>
      <c r="K26" s="43">
        <f t="shared" si="3"/>
        <v>6.0165090639315952</v>
      </c>
      <c r="L26" s="54">
        <f t="shared" si="4"/>
        <v>7.6043592466648628E-3</v>
      </c>
      <c r="M26" s="45" t="s">
        <v>69</v>
      </c>
      <c r="N26" s="116"/>
    </row>
    <row r="27" spans="1:15" ht="17" outlineLevel="1" x14ac:dyDescent="0.35">
      <c r="A27" s="2" t="s">
        <v>55</v>
      </c>
      <c r="B27" s="2" t="s">
        <v>202</v>
      </c>
      <c r="C27" s="39">
        <f t="shared" si="5"/>
        <v>2</v>
      </c>
      <c r="D27" s="49" t="s">
        <v>67</v>
      </c>
      <c r="E27" s="49">
        <v>6273</v>
      </c>
      <c r="F27" s="51" t="s">
        <v>70</v>
      </c>
      <c r="G27" s="39" t="s">
        <v>64</v>
      </c>
      <c r="H27" s="39">
        <v>1</v>
      </c>
      <c r="I27" s="42">
        <v>198559347.66666666</v>
      </c>
      <c r="J27" s="53">
        <f t="shared" si="6"/>
        <v>95.755858249742801</v>
      </c>
      <c r="K27" s="43">
        <f t="shared" si="3"/>
        <v>3.6134286131978417</v>
      </c>
      <c r="L27" s="54">
        <f t="shared" si="4"/>
        <v>4.5670685433952521E-3</v>
      </c>
      <c r="M27" s="45" t="s">
        <v>69</v>
      </c>
      <c r="N27" s="116"/>
    </row>
    <row r="28" spans="1:15" ht="17" outlineLevel="1" x14ac:dyDescent="0.35">
      <c r="A28" s="2" t="s">
        <v>55</v>
      </c>
      <c r="B28" s="2" t="s">
        <v>204</v>
      </c>
      <c r="C28" s="39">
        <f t="shared" si="5"/>
        <v>3</v>
      </c>
      <c r="D28" s="49" t="s">
        <v>71</v>
      </c>
      <c r="E28" s="49" t="s">
        <v>72</v>
      </c>
      <c r="F28" s="51" t="s">
        <v>73</v>
      </c>
      <c r="G28" s="49" t="s">
        <v>64</v>
      </c>
      <c r="H28" s="49">
        <v>1</v>
      </c>
      <c r="I28" s="42">
        <v>366989315.53237951</v>
      </c>
      <c r="J28" s="53">
        <f t="shared" si="6"/>
        <v>176.98173009856265</v>
      </c>
      <c r="K28" s="43">
        <f t="shared" si="3"/>
        <v>6.6785558527759488</v>
      </c>
      <c r="L28" s="54">
        <f t="shared" si="4"/>
        <v>8.4411304651533965E-3</v>
      </c>
      <c r="M28" s="45" t="s">
        <v>74</v>
      </c>
      <c r="N28" s="116"/>
    </row>
    <row r="29" spans="1:15" ht="17" outlineLevel="1" x14ac:dyDescent="0.35">
      <c r="A29" s="2" t="s">
        <v>55</v>
      </c>
      <c r="B29" s="2" t="s">
        <v>204</v>
      </c>
      <c r="C29" s="39">
        <f t="shared" si="5"/>
        <v>3</v>
      </c>
      <c r="D29" s="49" t="s">
        <v>71</v>
      </c>
      <c r="E29" s="49" t="s">
        <v>75</v>
      </c>
      <c r="F29" s="51" t="s">
        <v>76</v>
      </c>
      <c r="G29" s="49" t="s">
        <v>64</v>
      </c>
      <c r="H29" s="49">
        <v>1</v>
      </c>
      <c r="I29" s="42">
        <v>295259846.7833333</v>
      </c>
      <c r="J29" s="53">
        <f t="shared" si="6"/>
        <v>142.38997240708588</v>
      </c>
      <c r="K29" s="43">
        <f t="shared" si="3"/>
        <v>5.3732065059277687</v>
      </c>
      <c r="L29" s="54">
        <f t="shared" si="4"/>
        <v>6.7912791526472116E-3</v>
      </c>
      <c r="M29" s="45" t="s">
        <v>74</v>
      </c>
      <c r="N29" s="116"/>
    </row>
    <row r="30" spans="1:15" ht="17" outlineLevel="1" x14ac:dyDescent="0.35">
      <c r="A30" s="2" t="s">
        <v>55</v>
      </c>
      <c r="B30" s="2" t="s">
        <v>204</v>
      </c>
      <c r="C30" s="39">
        <f t="shared" si="5"/>
        <v>4</v>
      </c>
      <c r="D30" s="49" t="s">
        <v>71</v>
      </c>
      <c r="E30" s="49" t="s">
        <v>77</v>
      </c>
      <c r="F30" s="51" t="s">
        <v>78</v>
      </c>
      <c r="G30" s="49" t="s">
        <v>64</v>
      </c>
      <c r="H30" s="49">
        <v>1</v>
      </c>
      <c r="I30" s="42">
        <v>144639418.46608332</v>
      </c>
      <c r="J30" s="53">
        <f t="shared" si="6"/>
        <v>69.752805973226913</v>
      </c>
      <c r="K30" s="43">
        <f t="shared" si="3"/>
        <v>2.6321813574802611</v>
      </c>
      <c r="L30" s="54">
        <f t="shared" si="4"/>
        <v>3.3268548974102344E-3</v>
      </c>
      <c r="M30" s="45" t="s">
        <v>74</v>
      </c>
      <c r="N30" s="116"/>
    </row>
    <row r="31" spans="1:15" ht="17" outlineLevel="1" x14ac:dyDescent="0.35">
      <c r="A31" s="2" t="s">
        <v>55</v>
      </c>
      <c r="B31" s="2" t="s">
        <v>204</v>
      </c>
      <c r="C31" s="39">
        <f t="shared" si="5"/>
        <v>4</v>
      </c>
      <c r="D31" s="49" t="s">
        <v>71</v>
      </c>
      <c r="E31" s="49" t="s">
        <v>79</v>
      </c>
      <c r="F31" s="51" t="s">
        <v>80</v>
      </c>
      <c r="G31" s="49" t="s">
        <v>64</v>
      </c>
      <c r="H31" s="49">
        <v>1</v>
      </c>
      <c r="I31" s="42">
        <v>173587141.46747762</v>
      </c>
      <c r="J31" s="53">
        <f t="shared" si="6"/>
        <v>83.712934735473382</v>
      </c>
      <c r="K31" s="43">
        <f t="shared" si="3"/>
        <v>3.1589786692631465</v>
      </c>
      <c r="L31" s="54">
        <f t="shared" si="4"/>
        <v>3.9926822013180282E-3</v>
      </c>
      <c r="M31" s="45" t="s">
        <v>74</v>
      </c>
      <c r="N31" s="116"/>
    </row>
    <row r="32" spans="1:15" ht="34" outlineLevel="1" x14ac:dyDescent="0.35">
      <c r="A32" s="2" t="s">
        <v>55</v>
      </c>
      <c r="B32" s="2" t="s">
        <v>203</v>
      </c>
      <c r="C32" s="39">
        <f>+C27+1</f>
        <v>3</v>
      </c>
      <c r="D32" s="49" t="s">
        <v>81</v>
      </c>
      <c r="E32" s="49">
        <v>6275</v>
      </c>
      <c r="F32" s="40" t="s">
        <v>82</v>
      </c>
      <c r="G32" s="39" t="s">
        <v>83</v>
      </c>
      <c r="H32" s="56">
        <v>1</v>
      </c>
      <c r="I32" s="42">
        <v>337919308.66666669</v>
      </c>
      <c r="J32" s="53">
        <f t="shared" si="6"/>
        <v>162.96262956532922</v>
      </c>
      <c r="K32" s="43">
        <f t="shared" si="3"/>
        <v>6.1495331911444993</v>
      </c>
      <c r="L32" s="54">
        <f t="shared" si="4"/>
        <v>7.7724905070106999E-3</v>
      </c>
      <c r="M32" s="45" t="s">
        <v>84</v>
      </c>
      <c r="N32" s="116"/>
    </row>
    <row r="33" spans="1:14" ht="17" outlineLevel="1" x14ac:dyDescent="0.35">
      <c r="A33" s="2" t="s">
        <v>55</v>
      </c>
      <c r="B33" s="2" t="s">
        <v>205</v>
      </c>
      <c r="C33" s="39">
        <f>+C28+1</f>
        <v>4</v>
      </c>
      <c r="D33" s="49" t="s">
        <v>67</v>
      </c>
      <c r="E33" s="49">
        <v>6277.6278000000002</v>
      </c>
      <c r="F33" s="51" t="s">
        <v>85</v>
      </c>
      <c r="G33" s="39" t="s">
        <v>64</v>
      </c>
      <c r="H33" s="39">
        <v>1</v>
      </c>
      <c r="I33" s="42">
        <v>402538763.9479506</v>
      </c>
      <c r="J33" s="53">
        <f t="shared" si="6"/>
        <v>194.12556131749162</v>
      </c>
      <c r="K33" s="43">
        <f t="shared" si="3"/>
        <v>7.3254928799053438</v>
      </c>
      <c r="L33" s="54">
        <f t="shared" si="4"/>
        <v>9.2588042211448028E-3</v>
      </c>
      <c r="M33" s="45" t="s">
        <v>69</v>
      </c>
      <c r="N33" s="116"/>
    </row>
    <row r="34" spans="1:14" ht="23.15" customHeight="1" x14ac:dyDescent="0.35">
      <c r="C34" s="57"/>
      <c r="D34" s="179" t="s">
        <v>86</v>
      </c>
      <c r="E34" s="179"/>
      <c r="F34" s="179"/>
      <c r="G34" s="58"/>
      <c r="H34" s="58"/>
      <c r="I34" s="58"/>
      <c r="J34" s="59">
        <f>J9+J10+J21</f>
        <v>18570.978696459893</v>
      </c>
      <c r="K34" s="60">
        <f>J34*1000/$K$5</f>
        <v>700.7916489230148</v>
      </c>
      <c r="L34" s="61">
        <f t="shared" si="4"/>
        <v>0.88574144887780948</v>
      </c>
      <c r="M34" s="62"/>
    </row>
    <row r="35" spans="1:14" ht="17" x14ac:dyDescent="0.35">
      <c r="C35" s="22" t="s">
        <v>87</v>
      </c>
      <c r="D35" s="23" t="s">
        <v>88</v>
      </c>
      <c r="E35" s="23"/>
      <c r="F35" s="63"/>
      <c r="G35" s="64"/>
      <c r="H35" s="64"/>
      <c r="I35" s="64"/>
      <c r="J35" s="65"/>
      <c r="K35" s="66"/>
      <c r="L35" s="67"/>
      <c r="M35" s="68"/>
    </row>
    <row r="36" spans="1:14" ht="17" x14ac:dyDescent="0.35">
      <c r="C36" s="31" t="s">
        <v>89</v>
      </c>
      <c r="D36" s="47"/>
      <c r="E36" s="47"/>
      <c r="F36" s="32" t="s">
        <v>90</v>
      </c>
      <c r="G36" s="31" t="s">
        <v>91</v>
      </c>
      <c r="H36" s="31">
        <v>1</v>
      </c>
      <c r="I36" s="69">
        <f>+J34</f>
        <v>18570.978696459893</v>
      </c>
      <c r="J36" s="33">
        <f>+H36*I36</f>
        <v>18570.978696459893</v>
      </c>
      <c r="K36" s="35">
        <f>J36*1000/$K$5</f>
        <v>700.7916489230148</v>
      </c>
      <c r="L36" s="36">
        <f>J36/$J$58</f>
        <v>0.88574144887780948</v>
      </c>
      <c r="M36" s="48"/>
    </row>
    <row r="37" spans="1:14" ht="17" x14ac:dyDescent="0.35">
      <c r="C37" s="31" t="s">
        <v>92</v>
      </c>
      <c r="D37" s="47"/>
      <c r="E37" s="47"/>
      <c r="F37" s="32" t="s">
        <v>93</v>
      </c>
      <c r="G37" s="31"/>
      <c r="H37" s="31"/>
      <c r="I37" s="31"/>
      <c r="J37" s="33">
        <f>SUM(J40:J57)</f>
        <v>2395.6123104173425</v>
      </c>
      <c r="K37" s="35">
        <f>J37*1000/$K$5</f>
        <v>90.400464544050664</v>
      </c>
      <c r="L37" s="36">
        <f>J37/$J$58</f>
        <v>0.11425855112219052</v>
      </c>
      <c r="M37" s="48"/>
    </row>
    <row r="38" spans="1:14" ht="17" outlineLevel="1" x14ac:dyDescent="0.35">
      <c r="A38" s="2" t="s">
        <v>95</v>
      </c>
      <c r="C38" s="49">
        <v>0</v>
      </c>
      <c r="D38" s="49" t="s">
        <v>96</v>
      </c>
      <c r="E38" s="49"/>
      <c r="F38" s="71" t="s">
        <v>57</v>
      </c>
      <c r="G38" s="49" t="s">
        <v>58</v>
      </c>
      <c r="H38" s="50">
        <v>10760</v>
      </c>
      <c r="I38" s="49"/>
      <c r="J38" s="72"/>
      <c r="K38" s="73"/>
      <c r="L38" s="72"/>
      <c r="M38" s="45" t="s">
        <v>97</v>
      </c>
    </row>
    <row r="39" spans="1:14" ht="17" outlineLevel="1" x14ac:dyDescent="0.35">
      <c r="A39" s="2" t="s">
        <v>95</v>
      </c>
      <c r="C39" s="49"/>
      <c r="D39" s="49"/>
      <c r="E39" s="49"/>
      <c r="F39" s="40" t="s">
        <v>60</v>
      </c>
      <c r="G39" s="39" t="s">
        <v>22</v>
      </c>
      <c r="H39" s="52">
        <v>0.81</v>
      </c>
      <c r="I39" s="49"/>
      <c r="J39" s="72"/>
      <c r="K39" s="73"/>
      <c r="L39" s="72"/>
      <c r="M39" s="45" t="s">
        <v>61</v>
      </c>
    </row>
    <row r="40" spans="1:14" ht="17" outlineLevel="1" x14ac:dyDescent="0.35">
      <c r="A40" s="2" t="s">
        <v>47</v>
      </c>
      <c r="B40" s="2" t="s">
        <v>198</v>
      </c>
      <c r="C40" s="49">
        <f>+C38+1</f>
        <v>1</v>
      </c>
      <c r="D40" s="49">
        <v>1522</v>
      </c>
      <c r="E40" s="49" t="s">
        <v>48</v>
      </c>
      <c r="F40" s="71" t="s">
        <v>49</v>
      </c>
      <c r="G40" s="49" t="s">
        <v>22</v>
      </c>
      <c r="H40" s="74">
        <v>1.6854745509257271E-3</v>
      </c>
      <c r="I40" s="42">
        <v>11000</v>
      </c>
      <c r="J40" s="87">
        <f>+($J$34-I40)*H40</f>
        <v>12.760691918483985</v>
      </c>
      <c r="K40" s="73">
        <f t="shared" ref="K40:K57" si="7">J40/$K$5*1000</f>
        <v>0.48153554409373528</v>
      </c>
      <c r="L40" s="54">
        <f t="shared" ref="L40:L54" si="8">J40/$J$58</f>
        <v>6.0862025277730466E-4</v>
      </c>
      <c r="M40" s="77" t="s">
        <v>25</v>
      </c>
    </row>
    <row r="41" spans="1:14" ht="17" outlineLevel="1" x14ac:dyDescent="0.35">
      <c r="A41" s="2" t="s">
        <v>44</v>
      </c>
      <c r="B41" s="2" t="s">
        <v>198</v>
      </c>
      <c r="C41" s="49">
        <f>+C40+1</f>
        <v>2</v>
      </c>
      <c r="D41" s="49">
        <v>1522</v>
      </c>
      <c r="E41" s="49" t="s">
        <v>98</v>
      </c>
      <c r="F41" s="71" t="s">
        <v>99</v>
      </c>
      <c r="G41" s="49" t="s">
        <v>22</v>
      </c>
      <c r="H41" s="74">
        <v>3.3714200551051586E-2</v>
      </c>
      <c r="I41" s="42">
        <v>9500</v>
      </c>
      <c r="J41" s="87">
        <f>+($J$34-I41)*H41</f>
        <v>305.82079496676533</v>
      </c>
      <c r="K41" s="73">
        <f t="shared" si="7"/>
        <v>11.540407357236427</v>
      </c>
      <c r="L41" s="54">
        <f t="shared" si="8"/>
        <v>1.4586100089731005E-2</v>
      </c>
      <c r="M41" s="77" t="s">
        <v>25</v>
      </c>
    </row>
    <row r="42" spans="1:14" ht="17" outlineLevel="1" x14ac:dyDescent="0.35">
      <c r="A42" s="2" t="s">
        <v>41</v>
      </c>
      <c r="B42" s="2" t="s">
        <v>198</v>
      </c>
      <c r="C42" s="49">
        <f t="shared" ref="C42:C57" si="9">+C41+1</f>
        <v>3</v>
      </c>
      <c r="D42" s="49">
        <v>1522</v>
      </c>
      <c r="E42" s="49" t="s">
        <v>100</v>
      </c>
      <c r="F42" s="71" t="s">
        <v>101</v>
      </c>
      <c r="G42" s="49" t="s">
        <v>22</v>
      </c>
      <c r="H42" s="74">
        <v>2.1619267743347163E-2</v>
      </c>
      <c r="I42" s="42">
        <v>5000</v>
      </c>
      <c r="J42" s="87">
        <f>+($J$34-I42)*H42</f>
        <v>293.39462197802692</v>
      </c>
      <c r="K42" s="73">
        <f t="shared" si="7"/>
        <v>11.071495168982148</v>
      </c>
      <c r="L42" s="54">
        <f t="shared" si="8"/>
        <v>1.3993434692449087E-2</v>
      </c>
      <c r="M42" s="77" t="s">
        <v>25</v>
      </c>
    </row>
    <row r="43" spans="1:14" ht="17" outlineLevel="1" x14ac:dyDescent="0.35">
      <c r="A43" s="2" t="s">
        <v>50</v>
      </c>
      <c r="B43" s="2" t="s">
        <v>198</v>
      </c>
      <c r="C43" s="49"/>
      <c r="D43" s="49">
        <v>1522</v>
      </c>
      <c r="E43" s="49"/>
      <c r="F43" s="71" t="s">
        <v>52</v>
      </c>
      <c r="G43" s="49" t="s">
        <v>22</v>
      </c>
      <c r="H43" s="74">
        <v>1.8663662730002986E-2</v>
      </c>
      <c r="I43" s="42">
        <v>0</v>
      </c>
      <c r="J43" s="87">
        <f>+($J$34-I43)*H43</f>
        <v>346.60248295679793</v>
      </c>
      <c r="K43" s="73">
        <f t="shared" si="7"/>
        <v>13.079338979501809</v>
      </c>
      <c r="L43" s="54">
        <f t="shared" si="8"/>
        <v>1.6531179667839617E-2</v>
      </c>
      <c r="M43" s="77" t="s">
        <v>52</v>
      </c>
    </row>
    <row r="44" spans="1:14" ht="17" outlineLevel="1" x14ac:dyDescent="0.35">
      <c r="B44" s="2" t="s">
        <v>94</v>
      </c>
      <c r="C44" s="49">
        <f>+C42+1</f>
        <v>4</v>
      </c>
      <c r="D44" s="49" t="s">
        <v>102</v>
      </c>
      <c r="E44" s="49" t="s">
        <v>103</v>
      </c>
      <c r="F44" s="71" t="s">
        <v>104</v>
      </c>
      <c r="G44" s="49" t="s">
        <v>91</v>
      </c>
      <c r="H44" s="74">
        <v>3.4759999999999999E-2</v>
      </c>
      <c r="I44" s="42">
        <v>5082</v>
      </c>
      <c r="J44" s="87">
        <f>+H44*I44</f>
        <v>176.65031999999999</v>
      </c>
      <c r="K44" s="73">
        <f t="shared" si="7"/>
        <v>6.6660498113207547</v>
      </c>
      <c r="L44" s="54">
        <f t="shared" si="8"/>
        <v>8.4253238851302557E-3</v>
      </c>
      <c r="M44" s="77" t="s">
        <v>105</v>
      </c>
      <c r="N44" s="116"/>
    </row>
    <row r="45" spans="1:14" ht="17" outlineLevel="1" x14ac:dyDescent="0.35">
      <c r="B45" s="2" t="s">
        <v>94</v>
      </c>
      <c r="C45" s="49">
        <f t="shared" si="9"/>
        <v>5</v>
      </c>
      <c r="D45" s="49" t="s">
        <v>102</v>
      </c>
      <c r="E45" s="49" t="s">
        <v>106</v>
      </c>
      <c r="F45" s="71" t="s">
        <v>107</v>
      </c>
      <c r="G45" s="49" t="s">
        <v>91</v>
      </c>
      <c r="H45" s="74">
        <v>2.8399999999999996E-3</v>
      </c>
      <c r="I45" s="42">
        <v>11500</v>
      </c>
      <c r="J45" s="75">
        <f>+H45*I45</f>
        <v>32.659999999999997</v>
      </c>
      <c r="K45" s="73">
        <f t="shared" si="7"/>
        <v>1.232452830188679</v>
      </c>
      <c r="L45" s="54">
        <f t="shared" si="8"/>
        <v>1.557716272964318E-3</v>
      </c>
      <c r="M45" s="77" t="s">
        <v>105</v>
      </c>
      <c r="N45" s="116"/>
    </row>
    <row r="46" spans="1:14" ht="17" outlineLevel="1" x14ac:dyDescent="0.35">
      <c r="B46" s="2" t="s">
        <v>94</v>
      </c>
      <c r="C46" s="49">
        <f t="shared" si="9"/>
        <v>6</v>
      </c>
      <c r="D46" s="49" t="s">
        <v>102</v>
      </c>
      <c r="E46" s="49" t="s">
        <v>108</v>
      </c>
      <c r="F46" s="71" t="s">
        <v>109</v>
      </c>
      <c r="G46" s="49" t="s">
        <v>91</v>
      </c>
      <c r="H46" s="78">
        <v>5.2000000000000006E-4</v>
      </c>
      <c r="I46" s="42">
        <v>52000</v>
      </c>
      <c r="J46" s="75">
        <f>+H46*I46</f>
        <v>27.040000000000003</v>
      </c>
      <c r="K46" s="73">
        <f t="shared" si="7"/>
        <v>1.020377358490566</v>
      </c>
      <c r="L46" s="54">
        <f t="shared" si="8"/>
        <v>1.2896707905987498E-3</v>
      </c>
      <c r="M46" s="77" t="s">
        <v>105</v>
      </c>
      <c r="N46" s="116"/>
    </row>
    <row r="47" spans="1:14" ht="34" outlineLevel="1" x14ac:dyDescent="0.35">
      <c r="A47" s="2" t="s">
        <v>95</v>
      </c>
      <c r="B47" s="2" t="s">
        <v>199</v>
      </c>
      <c r="C47" s="49">
        <f t="shared" si="9"/>
        <v>7</v>
      </c>
      <c r="D47" s="49" t="s">
        <v>62</v>
      </c>
      <c r="E47" s="49">
        <v>622</v>
      </c>
      <c r="F47" s="71" t="s">
        <v>63</v>
      </c>
      <c r="G47" s="49" t="s">
        <v>64</v>
      </c>
      <c r="H47" s="49">
        <v>1</v>
      </c>
      <c r="I47" s="42">
        <v>861075209.62666678</v>
      </c>
      <c r="J47" s="75">
        <f>+I47/($H$38*$H$39*24*30)</f>
        <v>137.21806773465374</v>
      </c>
      <c r="K47" s="73">
        <f t="shared" si="7"/>
        <v>5.1780402918737254</v>
      </c>
      <c r="L47" s="54">
        <f t="shared" si="8"/>
        <v>6.5446055436310536E-3</v>
      </c>
      <c r="M47" s="79" t="s">
        <v>110</v>
      </c>
      <c r="N47" s="116"/>
    </row>
    <row r="48" spans="1:14" ht="34" outlineLevel="1" x14ac:dyDescent="0.35">
      <c r="A48" s="2" t="s">
        <v>95</v>
      </c>
      <c r="B48" s="2" t="s">
        <v>200</v>
      </c>
      <c r="C48" s="49">
        <f t="shared" si="9"/>
        <v>8</v>
      </c>
      <c r="D48" s="49" t="s">
        <v>62</v>
      </c>
      <c r="E48" s="49">
        <v>6271</v>
      </c>
      <c r="F48" s="71" t="s">
        <v>65</v>
      </c>
      <c r="G48" s="49" t="s">
        <v>64</v>
      </c>
      <c r="H48" s="49">
        <v>1</v>
      </c>
      <c r="I48" s="42">
        <v>1604547060.48</v>
      </c>
      <c r="J48" s="75">
        <f t="shared" ref="J48:J57" si="10">+I48/($H$38*$H$39*24*30)</f>
        <v>255.69525723989165</v>
      </c>
      <c r="K48" s="73">
        <f t="shared" si="7"/>
        <v>9.6488776316940239</v>
      </c>
      <c r="L48" s="54">
        <f t="shared" si="8"/>
        <v>1.2195366292785568E-2</v>
      </c>
      <c r="M48" s="79" t="s">
        <v>66</v>
      </c>
      <c r="N48" s="116"/>
    </row>
    <row r="49" spans="1:15" ht="17" outlineLevel="1" x14ac:dyDescent="0.35">
      <c r="A49" s="2" t="s">
        <v>95</v>
      </c>
      <c r="B49" s="2" t="s">
        <v>201</v>
      </c>
      <c r="C49" s="49">
        <f t="shared" si="9"/>
        <v>9</v>
      </c>
      <c r="D49" s="49" t="s">
        <v>67</v>
      </c>
      <c r="E49" s="49">
        <v>6272</v>
      </c>
      <c r="F49" s="71" t="s">
        <v>68</v>
      </c>
      <c r="G49" s="49" t="s">
        <v>64</v>
      </c>
      <c r="H49" s="49">
        <v>1</v>
      </c>
      <c r="I49" s="42">
        <v>329511625</v>
      </c>
      <c r="J49" s="75">
        <f t="shared" si="10"/>
        <v>52.50987134818282</v>
      </c>
      <c r="K49" s="73">
        <f t="shared" si="7"/>
        <v>1.9815045791767103</v>
      </c>
      <c r="L49" s="54">
        <f t="shared" si="8"/>
        <v>2.5044544118287566E-3</v>
      </c>
      <c r="M49" s="45" t="s">
        <v>69</v>
      </c>
      <c r="N49" s="116"/>
    </row>
    <row r="50" spans="1:15" ht="17" outlineLevel="1" x14ac:dyDescent="0.35">
      <c r="A50" s="2" t="s">
        <v>95</v>
      </c>
      <c r="B50" s="2" t="s">
        <v>202</v>
      </c>
      <c r="C50" s="49">
        <f t="shared" si="9"/>
        <v>10</v>
      </c>
      <c r="D50" s="49" t="s">
        <v>67</v>
      </c>
      <c r="E50" s="49">
        <v>6273</v>
      </c>
      <c r="F50" s="71" t="s">
        <v>70</v>
      </c>
      <c r="G50" s="49" t="s">
        <v>64</v>
      </c>
      <c r="H50" s="49">
        <v>1</v>
      </c>
      <c r="I50" s="42">
        <v>169519413.33333334</v>
      </c>
      <c r="J50" s="75">
        <f t="shared" si="10"/>
        <v>27.014047183169215</v>
      </c>
      <c r="K50" s="73">
        <f t="shared" si="7"/>
        <v>1.0193980069120459</v>
      </c>
      <c r="L50" s="54">
        <f t="shared" si="8"/>
        <v>1.2884329729286157E-3</v>
      </c>
      <c r="M50" s="45" t="s">
        <v>69</v>
      </c>
      <c r="N50" s="116"/>
    </row>
    <row r="51" spans="1:15" ht="17" outlineLevel="1" x14ac:dyDescent="0.35">
      <c r="A51" s="2" t="s">
        <v>95</v>
      </c>
      <c r="B51" s="2" t="s">
        <v>204</v>
      </c>
      <c r="C51" s="49">
        <f t="shared" si="9"/>
        <v>11</v>
      </c>
      <c r="D51" s="49" t="s">
        <v>71</v>
      </c>
      <c r="E51" s="49" t="s">
        <v>72</v>
      </c>
      <c r="F51" s="51" t="s">
        <v>73</v>
      </c>
      <c r="G51" s="49" t="s">
        <v>64</v>
      </c>
      <c r="H51" s="49">
        <v>1</v>
      </c>
      <c r="I51" s="42">
        <v>1033798316.1365891</v>
      </c>
      <c r="J51" s="75">
        <f t="shared" si="10"/>
        <v>164.74264475585747</v>
      </c>
      <c r="K51" s="73">
        <f t="shared" si="7"/>
        <v>6.2167035756927342</v>
      </c>
      <c r="L51" s="54">
        <f t="shared" si="8"/>
        <v>7.857388199246142E-3</v>
      </c>
      <c r="M51" s="45" t="s">
        <v>74</v>
      </c>
      <c r="N51" s="116"/>
    </row>
    <row r="52" spans="1:15" ht="17" outlineLevel="1" x14ac:dyDescent="0.35">
      <c r="A52" s="2" t="s">
        <v>95</v>
      </c>
      <c r="B52" s="2" t="s">
        <v>204</v>
      </c>
      <c r="C52" s="49">
        <f t="shared" si="9"/>
        <v>12</v>
      </c>
      <c r="D52" s="49" t="s">
        <v>71</v>
      </c>
      <c r="E52" s="49" t="s">
        <v>75</v>
      </c>
      <c r="F52" s="51" t="s">
        <v>76</v>
      </c>
      <c r="G52" s="49" t="s">
        <v>64</v>
      </c>
      <c r="H52" s="49">
        <v>1</v>
      </c>
      <c r="I52" s="42">
        <v>405801438.51666665</v>
      </c>
      <c r="J52" s="75">
        <f t="shared" si="10"/>
        <v>64.667161073354194</v>
      </c>
      <c r="K52" s="73">
        <f t="shared" si="7"/>
        <v>2.4402702291831773</v>
      </c>
      <c r="L52" s="54">
        <f t="shared" si="8"/>
        <v>3.0842954418361461E-3</v>
      </c>
      <c r="M52" s="45" t="s">
        <v>74</v>
      </c>
      <c r="N52" s="116"/>
    </row>
    <row r="53" spans="1:15" ht="17" outlineLevel="1" x14ac:dyDescent="0.35">
      <c r="A53" s="2" t="s">
        <v>95</v>
      </c>
      <c r="B53" s="2" t="s">
        <v>204</v>
      </c>
      <c r="C53" s="49">
        <f t="shared" si="9"/>
        <v>13</v>
      </c>
      <c r="D53" s="49" t="s">
        <v>71</v>
      </c>
      <c r="E53" s="49" t="s">
        <v>77</v>
      </c>
      <c r="F53" s="51" t="s">
        <v>78</v>
      </c>
      <c r="G53" s="49" t="s">
        <v>64</v>
      </c>
      <c r="H53" s="49">
        <v>1</v>
      </c>
      <c r="I53" s="42">
        <v>395747641.47301221</v>
      </c>
      <c r="J53" s="75">
        <f t="shared" si="10"/>
        <v>63.065021575777941</v>
      </c>
      <c r="K53" s="73">
        <f t="shared" si="7"/>
        <v>2.3798121349350163</v>
      </c>
      <c r="L53" s="54">
        <f t="shared" si="8"/>
        <v>3.0078815175577198E-3</v>
      </c>
      <c r="M53" s="45" t="s">
        <v>74</v>
      </c>
      <c r="N53" s="116"/>
    </row>
    <row r="54" spans="1:15" ht="17" outlineLevel="1" x14ac:dyDescent="0.35">
      <c r="A54" s="2" t="s">
        <v>95</v>
      </c>
      <c r="B54" s="2" t="s">
        <v>204</v>
      </c>
      <c r="C54" s="49">
        <f t="shared" si="9"/>
        <v>14</v>
      </c>
      <c r="D54" s="49" t="s">
        <v>71</v>
      </c>
      <c r="E54" s="49" t="s">
        <v>79</v>
      </c>
      <c r="F54" s="51" t="s">
        <v>80</v>
      </c>
      <c r="G54" s="49" t="s">
        <v>64</v>
      </c>
      <c r="H54" s="49">
        <v>1</v>
      </c>
      <c r="I54" s="42">
        <v>474951452.06149429</v>
      </c>
      <c r="J54" s="75">
        <f t="shared" si="10"/>
        <v>75.686676135877406</v>
      </c>
      <c r="K54" s="73">
        <f t="shared" si="7"/>
        <v>2.8561009862595248</v>
      </c>
      <c r="L54" s="54">
        <f t="shared" si="8"/>
        <v>3.6098703938590433E-3</v>
      </c>
      <c r="M54" s="45" t="s">
        <v>74</v>
      </c>
      <c r="N54" s="116"/>
    </row>
    <row r="55" spans="1:15" ht="34" outlineLevel="1" x14ac:dyDescent="0.35">
      <c r="A55" s="2" t="s">
        <v>95</v>
      </c>
      <c r="B55" s="2" t="s">
        <v>203</v>
      </c>
      <c r="C55" s="49">
        <f>+C51+1</f>
        <v>12</v>
      </c>
      <c r="D55" s="49" t="s">
        <v>81</v>
      </c>
      <c r="E55" s="49">
        <v>6275</v>
      </c>
      <c r="F55" s="71" t="s">
        <v>82</v>
      </c>
      <c r="G55" s="49" t="s">
        <v>64</v>
      </c>
      <c r="H55" s="49">
        <v>1</v>
      </c>
      <c r="I55" s="42">
        <v>1249738015.3333333</v>
      </c>
      <c r="J55" s="75">
        <f t="shared" si="10"/>
        <v>199.15407355988322</v>
      </c>
      <c r="K55" s="73">
        <f t="shared" si="7"/>
        <v>7.5152480588635182</v>
      </c>
      <c r="L55" s="54">
        <f>J55/$J$58</f>
        <v>9.4986387388659808E-3</v>
      </c>
      <c r="M55" s="45" t="s">
        <v>111</v>
      </c>
      <c r="N55" s="116"/>
    </row>
    <row r="56" spans="1:15" ht="17" outlineLevel="1" x14ac:dyDescent="0.35">
      <c r="A56" s="2" t="s">
        <v>95</v>
      </c>
      <c r="B56" s="2" t="s">
        <v>203</v>
      </c>
      <c r="C56" s="49">
        <f t="shared" si="9"/>
        <v>13</v>
      </c>
      <c r="D56" s="49" t="s">
        <v>112</v>
      </c>
      <c r="E56" s="49">
        <v>6275</v>
      </c>
      <c r="F56" s="71" t="s">
        <v>113</v>
      </c>
      <c r="G56" s="49" t="s">
        <v>64</v>
      </c>
      <c r="H56" s="49">
        <v>1</v>
      </c>
      <c r="I56" s="42">
        <v>138647320</v>
      </c>
      <c r="J56" s="75">
        <f t="shared" si="10"/>
        <v>22.094373562602939</v>
      </c>
      <c r="K56" s="73">
        <f t="shared" si="7"/>
        <v>0.83374994575860151</v>
      </c>
      <c r="L56" s="54">
        <f>J56/$J$58</f>
        <v>1.0537895051873612E-3</v>
      </c>
      <c r="M56" s="45" t="s">
        <v>69</v>
      </c>
      <c r="N56" s="116"/>
    </row>
    <row r="57" spans="1:15" ht="17" outlineLevel="1" x14ac:dyDescent="0.35">
      <c r="A57" s="2" t="s">
        <v>95</v>
      </c>
      <c r="B57" s="2" t="s">
        <v>205</v>
      </c>
      <c r="C57" s="49">
        <f t="shared" si="9"/>
        <v>14</v>
      </c>
      <c r="D57" s="49" t="s">
        <v>67</v>
      </c>
      <c r="E57" s="49">
        <v>6277.6278000000002</v>
      </c>
      <c r="F57" s="71" t="s">
        <v>85</v>
      </c>
      <c r="G57" s="49" t="s">
        <v>64</v>
      </c>
      <c r="H57" s="49">
        <v>1</v>
      </c>
      <c r="I57" s="42">
        <v>871229392.78523934</v>
      </c>
      <c r="J57" s="75">
        <f t="shared" si="10"/>
        <v>138.83620442801782</v>
      </c>
      <c r="K57" s="73">
        <f t="shared" si="7"/>
        <v>5.2391020538874642</v>
      </c>
      <c r="L57" s="54">
        <f>J57/$J$58</f>
        <v>6.6217824529737936E-3</v>
      </c>
      <c r="M57" s="45" t="s">
        <v>69</v>
      </c>
      <c r="N57" s="116"/>
    </row>
    <row r="58" spans="1:15" ht="21" customHeight="1" x14ac:dyDescent="0.35">
      <c r="C58" s="57"/>
      <c r="D58" s="179" t="s">
        <v>114</v>
      </c>
      <c r="E58" s="179"/>
      <c r="F58" s="179"/>
      <c r="G58" s="58"/>
      <c r="H58" s="58"/>
      <c r="I58" s="58"/>
      <c r="J58" s="59">
        <f>J36+J37</f>
        <v>20966.591006877235</v>
      </c>
      <c r="K58" s="60">
        <f>J58*1000/$K$5</f>
        <v>791.1921134670655</v>
      </c>
      <c r="L58" s="61">
        <f>J58/$J$58</f>
        <v>1</v>
      </c>
      <c r="M58" s="62"/>
    </row>
    <row r="59" spans="1:15" ht="17" x14ac:dyDescent="0.35">
      <c r="C59" s="22" t="s">
        <v>192</v>
      </c>
      <c r="D59" s="23" t="s">
        <v>115</v>
      </c>
      <c r="E59" s="23"/>
      <c r="F59" s="80"/>
      <c r="G59" s="81"/>
      <c r="H59" s="81"/>
      <c r="I59" s="82"/>
      <c r="J59" s="82"/>
      <c r="K59" s="83"/>
      <c r="L59" s="84"/>
      <c r="M59" s="85"/>
    </row>
    <row r="60" spans="1:15" ht="17" x14ac:dyDescent="0.35">
      <c r="C60" s="89" t="s">
        <v>17</v>
      </c>
      <c r="D60" s="89"/>
      <c r="E60" s="89"/>
      <c r="F60" s="90" t="s">
        <v>193</v>
      </c>
      <c r="G60" s="89"/>
      <c r="H60" s="89">
        <v>1</v>
      </c>
      <c r="I60" s="91"/>
      <c r="J60" s="91">
        <f>+J58</f>
        <v>20966.591006877235</v>
      </c>
      <c r="K60" s="92">
        <f>J60/$K$5*1000</f>
        <v>791.1921134670655</v>
      </c>
      <c r="L60" s="36">
        <f>J60/$J$109</f>
        <v>0.63295369077365238</v>
      </c>
      <c r="M60" s="48"/>
    </row>
    <row r="61" spans="1:15" ht="17" x14ac:dyDescent="0.35">
      <c r="C61" s="31" t="s">
        <v>20</v>
      </c>
      <c r="D61" s="47"/>
      <c r="E61" s="47"/>
      <c r="F61" s="32" t="s">
        <v>117</v>
      </c>
      <c r="G61" s="31"/>
      <c r="H61" s="93"/>
      <c r="I61" s="93"/>
      <c r="J61" s="33">
        <f>SUM(J62:J79)</f>
        <v>3448.2320310264604</v>
      </c>
      <c r="K61" s="35">
        <f>J61*1000/$K$5</f>
        <v>130.12196343496078</v>
      </c>
      <c r="L61" s="36">
        <f>J61/$J$109</f>
        <v>0.10409757074796862</v>
      </c>
      <c r="M61" s="94"/>
    </row>
    <row r="62" spans="1:15" ht="17" outlineLevel="1" x14ac:dyDescent="0.35">
      <c r="A62" s="2" t="s">
        <v>118</v>
      </c>
      <c r="C62" s="49">
        <v>0</v>
      </c>
      <c r="D62" s="49" t="s">
        <v>56</v>
      </c>
      <c r="E62" s="49"/>
      <c r="F62" s="71" t="s">
        <v>57</v>
      </c>
      <c r="G62" s="49" t="s">
        <v>58</v>
      </c>
      <c r="H62" s="50">
        <v>6000</v>
      </c>
      <c r="I62" s="49"/>
      <c r="J62" s="72"/>
      <c r="K62" s="73"/>
      <c r="L62" s="72"/>
      <c r="M62" s="45" t="s">
        <v>119</v>
      </c>
    </row>
    <row r="63" spans="1:15" ht="17" outlineLevel="1" x14ac:dyDescent="0.35">
      <c r="A63" s="2" t="s">
        <v>118</v>
      </c>
      <c r="C63" s="49"/>
      <c r="D63" s="49"/>
      <c r="E63" s="49"/>
      <c r="F63" s="40" t="s">
        <v>60</v>
      </c>
      <c r="G63" s="39" t="s">
        <v>22</v>
      </c>
      <c r="H63" s="52">
        <v>0.75</v>
      </c>
      <c r="I63" s="49"/>
      <c r="J63" s="72"/>
      <c r="K63" s="73"/>
      <c r="L63" s="72"/>
      <c r="M63" s="45" t="s">
        <v>61</v>
      </c>
    </row>
    <row r="64" spans="1:15" ht="17" outlineLevel="1" x14ac:dyDescent="0.35">
      <c r="A64" s="2" t="s">
        <v>120</v>
      </c>
      <c r="B64" s="2" t="s">
        <v>198</v>
      </c>
      <c r="C64" s="49">
        <f>+C63+1</f>
        <v>1</v>
      </c>
      <c r="D64" s="49">
        <v>1522</v>
      </c>
      <c r="E64" s="49" t="s">
        <v>121</v>
      </c>
      <c r="F64" s="71" t="s">
        <v>122</v>
      </c>
      <c r="G64" s="49" t="s">
        <v>22</v>
      </c>
      <c r="H64" s="74">
        <v>1.6131690255566215E-2</v>
      </c>
      <c r="I64" s="42">
        <v>8000</v>
      </c>
      <c r="J64" s="87">
        <f>+(J$60-I64)*H64</f>
        <v>209.17302979355401</v>
      </c>
      <c r="K64" s="73">
        <f t="shared" ref="K64:K79" si="11">J64/$K$5*1000</f>
        <v>7.8933218790020376</v>
      </c>
      <c r="L64" s="76">
        <f t="shared" ref="L64:L80" si="12">J64/$J$109</f>
        <v>6.3146575032016301E-3</v>
      </c>
      <c r="M64" s="77" t="s">
        <v>25</v>
      </c>
      <c r="N64" s="73">
        <v>4.0389910685896195</v>
      </c>
      <c r="O64" s="70">
        <f>+K64-N64</f>
        <v>3.8543308104124181</v>
      </c>
    </row>
    <row r="65" spans="1:15" ht="17" outlineLevel="1" x14ac:dyDescent="0.35">
      <c r="A65" s="2" t="s">
        <v>123</v>
      </c>
      <c r="B65" s="2" t="s">
        <v>198</v>
      </c>
      <c r="C65" s="49">
        <f t="shared" ref="C65:C79" si="13">+C64+1</f>
        <v>2</v>
      </c>
      <c r="D65" s="49">
        <v>1522</v>
      </c>
      <c r="E65" s="49" t="s">
        <v>124</v>
      </c>
      <c r="F65" s="71" t="s">
        <v>125</v>
      </c>
      <c r="G65" s="49" t="s">
        <v>22</v>
      </c>
      <c r="H65" s="74">
        <v>1.3616788855374437E-2</v>
      </c>
      <c r="I65" s="42">
        <v>9500</v>
      </c>
      <c r="J65" s="87">
        <f>+(J$60-I65)*H65</f>
        <v>156.13814863158268</v>
      </c>
      <c r="K65" s="73">
        <f t="shared" si="11"/>
        <v>5.8920056087389696</v>
      </c>
      <c r="L65" s="76">
        <f t="shared" si="12"/>
        <v>4.7136044869911754E-3</v>
      </c>
      <c r="M65" s="77" t="s">
        <v>25</v>
      </c>
      <c r="N65" s="73">
        <v>3.6668697587890882</v>
      </c>
      <c r="O65" s="70">
        <f t="shared" ref="O65:O79" si="14">+K65-N65</f>
        <v>2.2251358499498815</v>
      </c>
    </row>
    <row r="66" spans="1:15" ht="17" outlineLevel="1" x14ac:dyDescent="0.35">
      <c r="A66" s="2" t="s">
        <v>41</v>
      </c>
      <c r="B66" s="2" t="s">
        <v>198</v>
      </c>
      <c r="C66" s="49">
        <f t="shared" si="13"/>
        <v>3</v>
      </c>
      <c r="D66" s="49">
        <v>1522</v>
      </c>
      <c r="E66" s="49" t="s">
        <v>100</v>
      </c>
      <c r="F66" s="71" t="s">
        <v>101</v>
      </c>
      <c r="G66" s="49" t="s">
        <v>22</v>
      </c>
      <c r="H66" s="78">
        <v>3.1953672104740742E-4</v>
      </c>
      <c r="I66" s="42">
        <v>5000</v>
      </c>
      <c r="J66" s="87">
        <f>+(J$60-I66)*H66</f>
        <v>5.101912136642575</v>
      </c>
      <c r="K66" s="73">
        <f t="shared" si="11"/>
        <v>0.19252498628839906</v>
      </c>
      <c r="L66" s="76">
        <f t="shared" si="12"/>
        <v>1.5401998903071925E-4</v>
      </c>
      <c r="M66" s="77" t="s">
        <v>25</v>
      </c>
      <c r="N66" s="73">
        <v>0</v>
      </c>
      <c r="O66" s="70">
        <f t="shared" si="14"/>
        <v>0.19252498628839906</v>
      </c>
    </row>
    <row r="67" spans="1:15" ht="17" outlineLevel="1" x14ac:dyDescent="0.35">
      <c r="A67" s="2" t="s">
        <v>126</v>
      </c>
      <c r="B67" s="2" t="s">
        <v>198</v>
      </c>
      <c r="C67" s="49">
        <f t="shared" si="13"/>
        <v>4</v>
      </c>
      <c r="D67" s="49">
        <v>1522</v>
      </c>
      <c r="E67" s="49" t="s">
        <v>127</v>
      </c>
      <c r="F67" s="71" t="s">
        <v>128</v>
      </c>
      <c r="G67" s="49" t="s">
        <v>22</v>
      </c>
      <c r="H67" s="74">
        <v>8.5630942654436031E-3</v>
      </c>
      <c r="I67" s="42">
        <v>15000</v>
      </c>
      <c r="J67" s="87">
        <f>+(J$60-I67)*H67</f>
        <v>51.092481235237827</v>
      </c>
      <c r="K67" s="73">
        <f t="shared" si="11"/>
        <v>1.9280181598202952</v>
      </c>
      <c r="L67" s="76">
        <f t="shared" si="12"/>
        <v>1.5424145278562363E-3</v>
      </c>
      <c r="M67" s="77" t="s">
        <v>25</v>
      </c>
      <c r="N67" s="73">
        <v>2.597068528756231</v>
      </c>
      <c r="O67" s="70">
        <f t="shared" si="14"/>
        <v>-0.66905036893593572</v>
      </c>
    </row>
    <row r="68" spans="1:15" ht="17" outlineLevel="1" x14ac:dyDescent="0.35">
      <c r="A68" s="2" t="s">
        <v>50</v>
      </c>
      <c r="B68" s="2" t="s">
        <v>198</v>
      </c>
      <c r="C68" s="49">
        <f t="shared" si="13"/>
        <v>5</v>
      </c>
      <c r="D68" s="49">
        <v>1522</v>
      </c>
      <c r="E68" s="49"/>
      <c r="F68" s="71" t="s">
        <v>129</v>
      </c>
      <c r="G68" s="49" t="s">
        <v>22</v>
      </c>
      <c r="H68" s="74">
        <v>1.4301666886062395E-2</v>
      </c>
      <c r="I68" s="75">
        <v>0</v>
      </c>
      <c r="J68" s="87">
        <f>+(J$60-I68)*H68</f>
        <v>299.85720031666978</v>
      </c>
      <c r="K68" s="73">
        <f t="shared" si="11"/>
        <v>11.315366049685652</v>
      </c>
      <c r="L68" s="76">
        <f t="shared" si="12"/>
        <v>9.0522928397485207E-3</v>
      </c>
      <c r="M68" s="77" t="s">
        <v>52</v>
      </c>
      <c r="N68" s="73">
        <v>1.714515089006758</v>
      </c>
      <c r="O68" s="70">
        <f t="shared" si="14"/>
        <v>9.6008509606788941</v>
      </c>
    </row>
    <row r="69" spans="1:15" ht="17" outlineLevel="1" x14ac:dyDescent="0.35">
      <c r="B69" s="2" t="s">
        <v>206</v>
      </c>
      <c r="C69" s="49">
        <f t="shared" si="13"/>
        <v>6</v>
      </c>
      <c r="D69" s="49" t="s">
        <v>102</v>
      </c>
      <c r="E69" s="49">
        <v>120003033</v>
      </c>
      <c r="F69" s="96" t="s">
        <v>188</v>
      </c>
      <c r="G69" s="86" t="s">
        <v>22</v>
      </c>
      <c r="H69" s="97">
        <f>0.39/2500</f>
        <v>1.56E-4</v>
      </c>
      <c r="I69" s="42">
        <v>1007386</v>
      </c>
      <c r="J69" s="87">
        <f>+H69*I69</f>
        <v>157.15221600000001</v>
      </c>
      <c r="K69" s="73">
        <f t="shared" si="11"/>
        <v>5.9302723018867924</v>
      </c>
      <c r="L69" s="76">
        <f t="shared" si="12"/>
        <v>4.7442178415094344E-3</v>
      </c>
      <c r="M69" s="77" t="s">
        <v>105</v>
      </c>
      <c r="N69" s="73">
        <v>3.7365764705882358</v>
      </c>
      <c r="O69" s="70">
        <f t="shared" si="14"/>
        <v>2.1936958312985566</v>
      </c>
    </row>
    <row r="70" spans="1:15" ht="17" outlineLevel="1" x14ac:dyDescent="0.35">
      <c r="A70" s="2" t="s">
        <v>118</v>
      </c>
      <c r="B70" s="2" t="s">
        <v>199</v>
      </c>
      <c r="C70" s="49">
        <f t="shared" si="13"/>
        <v>7</v>
      </c>
      <c r="D70" s="49" t="s">
        <v>62</v>
      </c>
      <c r="E70" s="49">
        <v>622</v>
      </c>
      <c r="F70" s="71" t="s">
        <v>63</v>
      </c>
      <c r="G70" s="49" t="s">
        <v>64</v>
      </c>
      <c r="H70" s="49">
        <v>1</v>
      </c>
      <c r="I70" s="42">
        <v>484485710.45333332</v>
      </c>
      <c r="J70" s="87">
        <f>H70*I70/($H$62*$H$63*24*30)</f>
        <v>149.53262668312757</v>
      </c>
      <c r="K70" s="73">
        <f t="shared" si="11"/>
        <v>5.6427406295519837</v>
      </c>
      <c r="L70" s="76">
        <f t="shared" si="12"/>
        <v>4.514192503641587E-3</v>
      </c>
      <c r="M70" s="79"/>
      <c r="N70" s="73">
        <v>2.3146075304607443</v>
      </c>
      <c r="O70" s="70">
        <f t="shared" si="14"/>
        <v>3.3281330990912394</v>
      </c>
    </row>
    <row r="71" spans="1:15" ht="34" outlineLevel="1" x14ac:dyDescent="0.35">
      <c r="A71" s="2" t="s">
        <v>118</v>
      </c>
      <c r="B71" s="2" t="s">
        <v>200</v>
      </c>
      <c r="C71" s="49">
        <f t="shared" si="13"/>
        <v>8</v>
      </c>
      <c r="D71" s="49" t="s">
        <v>62</v>
      </c>
      <c r="E71" s="49">
        <v>6271</v>
      </c>
      <c r="F71" s="71" t="s">
        <v>65</v>
      </c>
      <c r="G71" s="49" t="s">
        <v>64</v>
      </c>
      <c r="H71" s="49">
        <v>1</v>
      </c>
      <c r="I71" s="42">
        <v>1220678817.28</v>
      </c>
      <c r="J71" s="87">
        <f t="shared" ref="J71:J79" si="15">H71*I71/($H$62*$H$63*24*30)</f>
        <v>376.75272138271606</v>
      </c>
      <c r="K71" s="73">
        <f t="shared" si="11"/>
        <v>14.21708382576287</v>
      </c>
      <c r="L71" s="76">
        <f t="shared" si="12"/>
        <v>1.1373667060610297E-2</v>
      </c>
      <c r="M71" s="79" t="s">
        <v>66</v>
      </c>
      <c r="N71" s="73">
        <v>10.418754770838376</v>
      </c>
      <c r="O71" s="70">
        <f t="shared" si="14"/>
        <v>3.7983290549244941</v>
      </c>
    </row>
    <row r="72" spans="1:15" ht="17" outlineLevel="1" x14ac:dyDescent="0.35">
      <c r="A72" s="2" t="s">
        <v>118</v>
      </c>
      <c r="B72" s="2" t="s">
        <v>201</v>
      </c>
      <c r="C72" s="49">
        <f t="shared" si="13"/>
        <v>9</v>
      </c>
      <c r="D72" s="49" t="s">
        <v>67</v>
      </c>
      <c r="E72" s="49">
        <v>6272</v>
      </c>
      <c r="F72" s="71" t="s">
        <v>68</v>
      </c>
      <c r="G72" s="49" t="s">
        <v>64</v>
      </c>
      <c r="H72" s="49">
        <v>1</v>
      </c>
      <c r="I72" s="42">
        <v>362801871.33333331</v>
      </c>
      <c r="J72" s="87">
        <f t="shared" si="15"/>
        <v>111.97588621399176</v>
      </c>
      <c r="K72" s="73">
        <f t="shared" si="11"/>
        <v>4.2255051401506325</v>
      </c>
      <c r="L72" s="76">
        <f t="shared" si="12"/>
        <v>3.3804041121205061E-3</v>
      </c>
      <c r="M72" s="45" t="s">
        <v>69</v>
      </c>
      <c r="N72" s="73">
        <v>2.6427307250060519</v>
      </c>
      <c r="O72" s="70">
        <f t="shared" si="14"/>
        <v>1.5827744151445806</v>
      </c>
    </row>
    <row r="73" spans="1:15" ht="17" outlineLevel="1" x14ac:dyDescent="0.35">
      <c r="A73" s="2" t="s">
        <v>118</v>
      </c>
      <c r="B73" s="2" t="s">
        <v>202</v>
      </c>
      <c r="C73" s="49">
        <f t="shared" si="13"/>
        <v>10</v>
      </c>
      <c r="D73" s="49" t="s">
        <v>67</v>
      </c>
      <c r="E73" s="49">
        <v>6273</v>
      </c>
      <c r="F73" s="71" t="s">
        <v>70</v>
      </c>
      <c r="G73" s="49" t="s">
        <v>64</v>
      </c>
      <c r="H73" s="49">
        <v>1</v>
      </c>
      <c r="I73" s="42">
        <v>473941442</v>
      </c>
      <c r="J73" s="87">
        <f t="shared" si="15"/>
        <v>146.27822283950618</v>
      </c>
      <c r="K73" s="73">
        <f t="shared" si="11"/>
        <v>5.5199329373398562</v>
      </c>
      <c r="L73" s="76">
        <f t="shared" si="12"/>
        <v>4.4159463498718845E-3</v>
      </c>
      <c r="M73" s="45" t="s">
        <v>69</v>
      </c>
      <c r="N73" s="73">
        <v>6.0380665698378113</v>
      </c>
      <c r="O73" s="70">
        <f t="shared" si="14"/>
        <v>-0.51813363249795508</v>
      </c>
    </row>
    <row r="74" spans="1:15" ht="17" outlineLevel="1" x14ac:dyDescent="0.35">
      <c r="A74" s="2" t="s">
        <v>118</v>
      </c>
      <c r="B74" s="2" t="s">
        <v>204</v>
      </c>
      <c r="C74" s="49">
        <f t="shared" si="13"/>
        <v>11</v>
      </c>
      <c r="D74" s="86" t="s">
        <v>71</v>
      </c>
      <c r="E74" s="49" t="s">
        <v>72</v>
      </c>
      <c r="F74" s="51" t="s">
        <v>73</v>
      </c>
      <c r="G74" s="49" t="s">
        <v>64</v>
      </c>
      <c r="H74" s="49">
        <v>1</v>
      </c>
      <c r="I74" s="42">
        <v>2010376291.8731103</v>
      </c>
      <c r="J74" s="87">
        <f t="shared" si="15"/>
        <v>620.48650983737969</v>
      </c>
      <c r="K74" s="73">
        <f t="shared" si="11"/>
        <v>23.414585276882253</v>
      </c>
      <c r="L74" s="76">
        <f t="shared" si="12"/>
        <v>1.8731668221505803E-2</v>
      </c>
      <c r="M74" s="45" t="s">
        <v>74</v>
      </c>
      <c r="N74" s="73">
        <v>20.249816363874928</v>
      </c>
      <c r="O74" s="70">
        <f t="shared" si="14"/>
        <v>3.1647689130073253</v>
      </c>
    </row>
    <row r="75" spans="1:15" ht="17" outlineLevel="1" x14ac:dyDescent="0.35">
      <c r="A75" s="2" t="s">
        <v>118</v>
      </c>
      <c r="B75" s="2" t="s">
        <v>204</v>
      </c>
      <c r="C75" s="49">
        <f t="shared" si="13"/>
        <v>12</v>
      </c>
      <c r="D75" s="86" t="s">
        <v>71</v>
      </c>
      <c r="E75" s="49" t="s">
        <v>75</v>
      </c>
      <c r="F75" s="51" t="s">
        <v>76</v>
      </c>
      <c r="G75" s="49" t="s">
        <v>64</v>
      </c>
      <c r="H75" s="49">
        <v>1</v>
      </c>
      <c r="I75" s="42">
        <v>411759310.47222227</v>
      </c>
      <c r="J75" s="87">
        <f t="shared" si="15"/>
        <v>127.08620693587108</v>
      </c>
      <c r="K75" s="73">
        <f t="shared" si="11"/>
        <v>4.7957059221083425</v>
      </c>
      <c r="L75" s="76">
        <f t="shared" si="12"/>
        <v>3.8365647376866741E-3</v>
      </c>
      <c r="M75" s="45" t="s">
        <v>74</v>
      </c>
      <c r="N75" s="73">
        <v>1.8659215064283601</v>
      </c>
      <c r="O75" s="70">
        <f t="shared" si="14"/>
        <v>2.9297844156799826</v>
      </c>
    </row>
    <row r="76" spans="1:15" ht="17" outlineLevel="1" x14ac:dyDescent="0.35">
      <c r="A76" s="2" t="s">
        <v>118</v>
      </c>
      <c r="B76" s="2" t="s">
        <v>204</v>
      </c>
      <c r="C76" s="49">
        <f t="shared" si="13"/>
        <v>13</v>
      </c>
      <c r="D76" s="86" t="s">
        <v>71</v>
      </c>
      <c r="E76" s="49" t="s">
        <v>77</v>
      </c>
      <c r="F76" s="51" t="s">
        <v>78</v>
      </c>
      <c r="G76" s="49" t="s">
        <v>64</v>
      </c>
      <c r="H76" s="49">
        <v>1</v>
      </c>
      <c r="I76" s="42">
        <v>239588909.45663416</v>
      </c>
      <c r="J76" s="87">
        <f t="shared" si="15"/>
        <v>73.947194276738941</v>
      </c>
      <c r="K76" s="73">
        <f t="shared" si="11"/>
        <v>2.7904601613863749</v>
      </c>
      <c r="L76" s="76">
        <f t="shared" si="12"/>
        <v>2.2323681291090999E-3</v>
      </c>
      <c r="M76" s="45" t="s">
        <v>74</v>
      </c>
      <c r="N76" s="73">
        <v>2.1907837846673184</v>
      </c>
      <c r="O76" s="70">
        <f t="shared" si="14"/>
        <v>0.59967637671905649</v>
      </c>
    </row>
    <row r="77" spans="1:15" ht="17" outlineLevel="1" x14ac:dyDescent="0.35">
      <c r="A77" s="2" t="s">
        <v>118</v>
      </c>
      <c r="B77" s="2" t="s">
        <v>204</v>
      </c>
      <c r="C77" s="49">
        <f t="shared" si="13"/>
        <v>14</v>
      </c>
      <c r="D77" s="86" t="s">
        <v>71</v>
      </c>
      <c r="E77" s="49" t="s">
        <v>79</v>
      </c>
      <c r="F77" s="51" t="s">
        <v>80</v>
      </c>
      <c r="G77" s="49" t="s">
        <v>64</v>
      </c>
      <c r="H77" s="49">
        <v>1</v>
      </c>
      <c r="I77" s="42">
        <v>287539554.29957587</v>
      </c>
      <c r="J77" s="87">
        <f t="shared" si="15"/>
        <v>88.746776018387607</v>
      </c>
      <c r="K77" s="73">
        <f t="shared" si="11"/>
        <v>3.3489349440900984</v>
      </c>
      <c r="L77" s="76">
        <f t="shared" si="12"/>
        <v>2.6791479552720787E-3</v>
      </c>
      <c r="M77" s="45" t="s">
        <v>74</v>
      </c>
      <c r="N77" s="73">
        <v>2.839904606824136</v>
      </c>
      <c r="O77" s="70">
        <f t="shared" si="14"/>
        <v>0.50903033726596236</v>
      </c>
    </row>
    <row r="78" spans="1:15" ht="34" outlineLevel="1" x14ac:dyDescent="0.35">
      <c r="A78" s="2" t="s">
        <v>118</v>
      </c>
      <c r="B78" s="2" t="s">
        <v>203</v>
      </c>
      <c r="C78" s="49">
        <f>+C74+1</f>
        <v>12</v>
      </c>
      <c r="D78" s="49" t="s">
        <v>81</v>
      </c>
      <c r="E78" s="49">
        <v>6275</v>
      </c>
      <c r="F78" s="71" t="s">
        <v>130</v>
      </c>
      <c r="G78" s="49" t="s">
        <v>83</v>
      </c>
      <c r="H78" s="98">
        <v>1</v>
      </c>
      <c r="I78" s="42">
        <v>2190921365.333333</v>
      </c>
      <c r="J78" s="87">
        <f t="shared" si="15"/>
        <v>676.21029794238677</v>
      </c>
      <c r="K78" s="73">
        <f t="shared" si="11"/>
        <v>25.517369733674972</v>
      </c>
      <c r="L78" s="76">
        <f t="shared" si="12"/>
        <v>2.041389578693998E-2</v>
      </c>
      <c r="M78" s="45" t="s">
        <v>131</v>
      </c>
      <c r="N78" s="73">
        <v>15.547200907301672</v>
      </c>
      <c r="O78" s="70">
        <f t="shared" si="14"/>
        <v>9.9701688263732997</v>
      </c>
    </row>
    <row r="79" spans="1:15" ht="17" outlineLevel="1" x14ac:dyDescent="0.35">
      <c r="A79" s="2" t="s">
        <v>118</v>
      </c>
      <c r="B79" s="2" t="s">
        <v>205</v>
      </c>
      <c r="C79" s="49">
        <f t="shared" si="13"/>
        <v>13</v>
      </c>
      <c r="D79" s="49" t="s">
        <v>67</v>
      </c>
      <c r="E79" s="49">
        <v>6277.6278000000002</v>
      </c>
      <c r="F79" s="71" t="s">
        <v>85</v>
      </c>
      <c r="G79" s="49" t="s">
        <v>64</v>
      </c>
      <c r="H79" s="49">
        <v>1</v>
      </c>
      <c r="I79" s="42">
        <v>643789946.53584492</v>
      </c>
      <c r="J79" s="87">
        <f t="shared" si="15"/>
        <v>198.70060078266818</v>
      </c>
      <c r="K79" s="73">
        <f t="shared" si="11"/>
        <v>7.4981358785912526</v>
      </c>
      <c r="L79" s="76">
        <f t="shared" si="12"/>
        <v>5.9985087028730016E-3</v>
      </c>
      <c r="M79" s="45" t="s">
        <v>69</v>
      </c>
      <c r="N79" s="73">
        <v>5.1172084741318651</v>
      </c>
      <c r="O79" s="70">
        <f t="shared" si="14"/>
        <v>2.3809274044593876</v>
      </c>
    </row>
    <row r="80" spans="1:15" ht="23.15" customHeight="1" x14ac:dyDescent="0.35">
      <c r="C80" s="57"/>
      <c r="D80" s="179" t="s">
        <v>132</v>
      </c>
      <c r="E80" s="179"/>
      <c r="F80" s="179"/>
      <c r="G80" s="58"/>
      <c r="H80" s="58"/>
      <c r="I80" s="58"/>
      <c r="J80" s="59">
        <f>J60+J61</f>
        <v>24414.823037903698</v>
      </c>
      <c r="K80" s="60">
        <f>J80*1000/$K$5</f>
        <v>921.31407690202627</v>
      </c>
      <c r="L80" s="61">
        <f t="shared" si="12"/>
        <v>0.73705126152162104</v>
      </c>
      <c r="M80" s="62"/>
    </row>
    <row r="81" spans="1:14" ht="17" x14ac:dyDescent="0.35">
      <c r="C81" s="22" t="s">
        <v>191</v>
      </c>
      <c r="D81" s="23" t="s">
        <v>170</v>
      </c>
      <c r="E81" s="23"/>
      <c r="F81" s="63"/>
      <c r="G81" s="64"/>
      <c r="H81" s="64"/>
      <c r="I81" s="64"/>
      <c r="J81" s="65"/>
      <c r="K81" s="66"/>
      <c r="L81" s="67"/>
      <c r="M81" s="85"/>
    </row>
    <row r="82" spans="1:14" ht="20.399999999999999" customHeight="1" x14ac:dyDescent="0.35">
      <c r="C82" s="31" t="s">
        <v>53</v>
      </c>
      <c r="D82" s="47"/>
      <c r="E82" s="47"/>
      <c r="F82" s="32" t="s">
        <v>133</v>
      </c>
      <c r="G82" s="31"/>
      <c r="H82" s="31"/>
      <c r="I82" s="31"/>
      <c r="J82" s="33">
        <f>J80</f>
        <v>24414.823037903698</v>
      </c>
      <c r="K82" s="35">
        <f>J82*1000/$K$5</f>
        <v>921.31407690202627</v>
      </c>
      <c r="L82" s="99">
        <f>J82/$J$109</f>
        <v>0.73705126152162104</v>
      </c>
      <c r="M82" s="94"/>
    </row>
    <row r="83" spans="1:14" ht="20.399999999999999" customHeight="1" x14ac:dyDescent="0.35">
      <c r="C83" s="31" t="s">
        <v>89</v>
      </c>
      <c r="D83" s="47"/>
      <c r="E83" s="47"/>
      <c r="F83" s="32" t="s">
        <v>171</v>
      </c>
      <c r="G83" s="31"/>
      <c r="H83" s="31"/>
      <c r="I83" s="31"/>
      <c r="J83" s="33">
        <f>SUM(J84:J98)</f>
        <v>2331.8861025668875</v>
      </c>
      <c r="K83" s="35">
        <f>J83*1000/$K$5</f>
        <v>87.995701983656133</v>
      </c>
      <c r="L83" s="36">
        <f>J83/$J$109</f>
        <v>7.0396561586924908E-2</v>
      </c>
      <c r="M83" s="94"/>
    </row>
    <row r="84" spans="1:14" ht="17" outlineLevel="1" x14ac:dyDescent="0.35">
      <c r="A84" s="2" t="s">
        <v>172</v>
      </c>
      <c r="C84" s="49">
        <v>0</v>
      </c>
      <c r="D84" s="49" t="s">
        <v>56</v>
      </c>
      <c r="E84" s="49"/>
      <c r="F84" s="71" t="s">
        <v>57</v>
      </c>
      <c r="G84" s="49" t="s">
        <v>58</v>
      </c>
      <c r="H84" s="50">
        <v>3492</v>
      </c>
      <c r="I84" s="49"/>
      <c r="J84" s="72"/>
      <c r="K84" s="73"/>
      <c r="L84" s="72"/>
      <c r="M84" s="45" t="s">
        <v>173</v>
      </c>
    </row>
    <row r="85" spans="1:14" ht="17" outlineLevel="1" x14ac:dyDescent="0.35">
      <c r="A85" s="2" t="s">
        <v>172</v>
      </c>
      <c r="C85" s="49"/>
      <c r="D85" s="49"/>
      <c r="E85" s="49"/>
      <c r="F85" s="40" t="s">
        <v>60</v>
      </c>
      <c r="G85" s="39" t="s">
        <v>22</v>
      </c>
      <c r="H85" s="52">
        <v>0.81</v>
      </c>
      <c r="I85" s="49"/>
      <c r="J85" s="72"/>
      <c r="K85" s="73"/>
      <c r="L85" s="72"/>
      <c r="M85" s="45" t="s">
        <v>61</v>
      </c>
    </row>
    <row r="86" spans="1:14" ht="17" outlineLevel="1" x14ac:dyDescent="0.35">
      <c r="B86" s="2" t="s">
        <v>207</v>
      </c>
      <c r="C86" s="49">
        <f>+C85+1</f>
        <v>1</v>
      </c>
      <c r="D86" s="86" t="s">
        <v>134</v>
      </c>
      <c r="E86" s="86" t="s">
        <v>135</v>
      </c>
      <c r="F86" s="79" t="s">
        <v>136</v>
      </c>
      <c r="G86" s="86" t="s">
        <v>137</v>
      </c>
      <c r="H86" s="86">
        <v>1</v>
      </c>
      <c r="I86" s="100">
        <v>261000</v>
      </c>
      <c r="J86" s="87">
        <f>(I86*H86)/1100</f>
        <v>237.27272727272728</v>
      </c>
      <c r="K86" s="88">
        <f t="shared" ref="K86:K104" si="16">J86/$K$5*1000</f>
        <v>8.9536878216123501</v>
      </c>
      <c r="L86" s="76">
        <f t="shared" ref="L86:L108" si="17">J86/$J$109</f>
        <v>7.1629502572898799E-3</v>
      </c>
      <c r="M86" s="79" t="s">
        <v>138</v>
      </c>
      <c r="N86" s="117"/>
    </row>
    <row r="87" spans="1:14" ht="17" outlineLevel="1" x14ac:dyDescent="0.35">
      <c r="B87" s="2" t="s">
        <v>207</v>
      </c>
      <c r="C87" s="49">
        <f t="shared" ref="C87:C98" si="18">+C86+1</f>
        <v>2</v>
      </c>
      <c r="D87" s="49" t="s">
        <v>134</v>
      </c>
      <c r="E87" s="49" t="s">
        <v>139</v>
      </c>
      <c r="F87" s="71" t="s">
        <v>140</v>
      </c>
      <c r="G87" s="49" t="s">
        <v>137</v>
      </c>
      <c r="H87" s="49">
        <v>1</v>
      </c>
      <c r="I87" s="42">
        <v>165225</v>
      </c>
      <c r="J87" s="75">
        <f>(I87*H87)/1100</f>
        <v>150.20454545454547</v>
      </c>
      <c r="K87" s="73">
        <f t="shared" si="16"/>
        <v>5.6680960548885082</v>
      </c>
      <c r="L87" s="76">
        <f t="shared" si="17"/>
        <v>4.5344768439108066E-3</v>
      </c>
      <c r="M87" s="79" t="s">
        <v>141</v>
      </c>
      <c r="N87" s="117"/>
    </row>
    <row r="88" spans="1:14" ht="17" outlineLevel="1" x14ac:dyDescent="0.35">
      <c r="B88" s="2" t="s">
        <v>207</v>
      </c>
      <c r="C88" s="49">
        <f t="shared" si="18"/>
        <v>3</v>
      </c>
      <c r="D88" s="49" t="s">
        <v>134</v>
      </c>
      <c r="E88" s="49" t="s">
        <v>142</v>
      </c>
      <c r="F88" s="71" t="s">
        <v>143</v>
      </c>
      <c r="G88" s="49" t="s">
        <v>137</v>
      </c>
      <c r="H88" s="49">
        <v>1</v>
      </c>
      <c r="I88" s="42">
        <v>23502</v>
      </c>
      <c r="J88" s="75">
        <f>(I88*H88)/1100</f>
        <v>21.365454545454547</v>
      </c>
      <c r="K88" s="73">
        <f t="shared" si="16"/>
        <v>0.80624356775300177</v>
      </c>
      <c r="L88" s="101">
        <f t="shared" si="17"/>
        <v>6.4499485420240138E-4</v>
      </c>
      <c r="M88" s="79" t="s">
        <v>141</v>
      </c>
      <c r="N88" s="117"/>
    </row>
    <row r="89" spans="1:14" ht="17" outlineLevel="1" x14ac:dyDescent="0.35">
      <c r="A89" s="2" t="s">
        <v>144</v>
      </c>
      <c r="B89" s="2" t="s">
        <v>199</v>
      </c>
      <c r="C89" s="49">
        <f t="shared" si="18"/>
        <v>4</v>
      </c>
      <c r="D89" s="49" t="s">
        <v>62</v>
      </c>
      <c r="E89" s="49">
        <v>622</v>
      </c>
      <c r="F89" s="71" t="s">
        <v>63</v>
      </c>
      <c r="G89" s="49" t="s">
        <v>64</v>
      </c>
      <c r="H89" s="49">
        <v>1</v>
      </c>
      <c r="I89" s="42">
        <v>146393110.93333334</v>
      </c>
      <c r="J89" s="87">
        <f>H89*I89/($H$84*$H$85*24*30)</f>
        <v>71.883446178632354</v>
      </c>
      <c r="K89" s="73">
        <f t="shared" si="16"/>
        <v>2.7125828746653715</v>
      </c>
      <c r="L89" s="101">
        <f t="shared" si="17"/>
        <v>2.1700662997322976E-3</v>
      </c>
      <c r="M89" s="79" t="s">
        <v>145</v>
      </c>
      <c r="N89" s="117"/>
    </row>
    <row r="90" spans="1:14" ht="34" outlineLevel="1" x14ac:dyDescent="0.35">
      <c r="A90" s="2" t="s">
        <v>144</v>
      </c>
      <c r="B90" s="2" t="s">
        <v>200</v>
      </c>
      <c r="C90" s="49">
        <f t="shared" si="18"/>
        <v>5</v>
      </c>
      <c r="D90" s="49" t="s">
        <v>62</v>
      </c>
      <c r="E90" s="49">
        <v>6271</v>
      </c>
      <c r="F90" s="71" t="s">
        <v>65</v>
      </c>
      <c r="G90" s="49" t="s">
        <v>64</v>
      </c>
      <c r="H90" s="49">
        <v>1</v>
      </c>
      <c r="I90" s="42">
        <v>838952556.34666669</v>
      </c>
      <c r="J90" s="87">
        <f t="shared" ref="J90:J98" si="19">H90*I90/($H$84*$H$85*24*30)</f>
        <v>411.95108530779873</v>
      </c>
      <c r="K90" s="73">
        <f t="shared" si="16"/>
        <v>15.545323973879198</v>
      </c>
      <c r="L90" s="76">
        <f t="shared" si="17"/>
        <v>1.2436259179103359E-2</v>
      </c>
      <c r="M90" s="79" t="s">
        <v>66</v>
      </c>
      <c r="N90" s="117"/>
    </row>
    <row r="91" spans="1:14" ht="17" outlineLevel="1" x14ac:dyDescent="0.35">
      <c r="A91" s="2" t="s">
        <v>144</v>
      </c>
      <c r="B91" s="2" t="s">
        <v>201</v>
      </c>
      <c r="C91" s="49">
        <f t="shared" si="18"/>
        <v>6</v>
      </c>
      <c r="D91" s="49" t="s">
        <v>67</v>
      </c>
      <c r="E91" s="49">
        <v>6272</v>
      </c>
      <c r="F91" s="71" t="s">
        <v>68</v>
      </c>
      <c r="G91" s="49" t="s">
        <v>64</v>
      </c>
      <c r="H91" s="49">
        <v>1</v>
      </c>
      <c r="I91" s="42">
        <v>137175627.66666666</v>
      </c>
      <c r="J91" s="87">
        <f t="shared" si="19"/>
        <v>67.357383045759832</v>
      </c>
      <c r="K91" s="73">
        <f t="shared" si="16"/>
        <v>2.5417880394626353</v>
      </c>
      <c r="L91" s="76">
        <f t="shared" si="17"/>
        <v>2.0334304315701083E-3</v>
      </c>
      <c r="M91" s="45" t="s">
        <v>69</v>
      </c>
      <c r="N91" s="117"/>
    </row>
    <row r="92" spans="1:14" ht="17" outlineLevel="1" x14ac:dyDescent="0.35">
      <c r="A92" s="2" t="s">
        <v>144</v>
      </c>
      <c r="B92" s="2" t="s">
        <v>202</v>
      </c>
      <c r="C92" s="49">
        <f t="shared" si="18"/>
        <v>7</v>
      </c>
      <c r="D92" s="49" t="s">
        <v>67</v>
      </c>
      <c r="E92" s="49">
        <v>6273</v>
      </c>
      <c r="F92" s="71" t="s">
        <v>70</v>
      </c>
      <c r="G92" s="49" t="s">
        <v>64</v>
      </c>
      <c r="H92" s="49">
        <v>1</v>
      </c>
      <c r="I92" s="42">
        <v>136710716.66666666</v>
      </c>
      <c r="J92" s="87">
        <f t="shared" si="19"/>
        <v>67.129097680189773</v>
      </c>
      <c r="K92" s="73">
        <f t="shared" si="16"/>
        <v>2.5331734973656519</v>
      </c>
      <c r="L92" s="76">
        <f t="shared" si="17"/>
        <v>2.0265387978925216E-3</v>
      </c>
      <c r="M92" s="45" t="s">
        <v>69</v>
      </c>
      <c r="N92" s="117"/>
    </row>
    <row r="93" spans="1:14" ht="17" outlineLevel="1" x14ac:dyDescent="0.35">
      <c r="A93" s="2" t="s">
        <v>144</v>
      </c>
      <c r="B93" s="2" t="s">
        <v>204</v>
      </c>
      <c r="C93" s="49">
        <f t="shared" si="18"/>
        <v>8</v>
      </c>
      <c r="D93" s="86" t="s">
        <v>71</v>
      </c>
      <c r="E93" s="49" t="s">
        <v>72</v>
      </c>
      <c r="F93" s="51" t="s">
        <v>73</v>
      </c>
      <c r="G93" s="49" t="s">
        <v>64</v>
      </c>
      <c r="H93" s="49">
        <v>1</v>
      </c>
      <c r="I93" s="42">
        <v>364308197.6716066</v>
      </c>
      <c r="J93" s="87">
        <f t="shared" si="19"/>
        <v>178.88634617299203</v>
      </c>
      <c r="K93" s="73">
        <f t="shared" si="16"/>
        <v>6.7504281574713971</v>
      </c>
      <c r="L93" s="76">
        <f t="shared" si="17"/>
        <v>5.4003425259771184E-3</v>
      </c>
      <c r="M93" s="45" t="s">
        <v>74</v>
      </c>
      <c r="N93" s="117"/>
    </row>
    <row r="94" spans="1:14" ht="17" outlineLevel="1" x14ac:dyDescent="0.35">
      <c r="A94" s="2" t="s">
        <v>144</v>
      </c>
      <c r="B94" s="2" t="s">
        <v>204</v>
      </c>
      <c r="C94" s="49">
        <f t="shared" si="18"/>
        <v>9</v>
      </c>
      <c r="D94" s="86" t="s">
        <v>71</v>
      </c>
      <c r="E94" s="49" t="s">
        <v>75</v>
      </c>
      <c r="F94" s="51" t="s">
        <v>76</v>
      </c>
      <c r="G94" s="49" t="s">
        <v>64</v>
      </c>
      <c r="H94" s="49">
        <v>1</v>
      </c>
      <c r="I94" s="42">
        <v>0</v>
      </c>
      <c r="J94" s="87">
        <f t="shared" si="19"/>
        <v>0</v>
      </c>
      <c r="K94" s="73">
        <f t="shared" si="16"/>
        <v>0</v>
      </c>
      <c r="L94" s="76">
        <f t="shared" si="17"/>
        <v>0</v>
      </c>
      <c r="M94" s="45" t="s">
        <v>74</v>
      </c>
      <c r="N94" s="117"/>
    </row>
    <row r="95" spans="1:14" ht="17" outlineLevel="1" x14ac:dyDescent="0.35">
      <c r="A95" s="2" t="s">
        <v>144</v>
      </c>
      <c r="B95" s="2" t="s">
        <v>204</v>
      </c>
      <c r="C95" s="49">
        <f t="shared" si="18"/>
        <v>10</v>
      </c>
      <c r="D95" s="86" t="s">
        <v>71</v>
      </c>
      <c r="E95" s="49" t="s">
        <v>77</v>
      </c>
      <c r="F95" s="51" t="s">
        <v>78</v>
      </c>
      <c r="G95" s="49" t="s">
        <v>64</v>
      </c>
      <c r="H95" s="49">
        <v>1</v>
      </c>
      <c r="I95" s="42">
        <v>178285515.43447831</v>
      </c>
      <c r="J95" s="87">
        <f t="shared" si="19"/>
        <v>87.543581603374008</v>
      </c>
      <c r="K95" s="73">
        <f t="shared" si="16"/>
        <v>3.3035313812593965</v>
      </c>
      <c r="L95" s="76">
        <f t="shared" si="17"/>
        <v>2.6428251050075171E-3</v>
      </c>
      <c r="M95" s="45" t="s">
        <v>74</v>
      </c>
      <c r="N95" s="117"/>
    </row>
    <row r="96" spans="1:14" ht="17" outlineLevel="1" x14ac:dyDescent="0.35">
      <c r="A96" s="2" t="s">
        <v>144</v>
      </c>
      <c r="B96" s="2" t="s">
        <v>204</v>
      </c>
      <c r="C96" s="49">
        <f t="shared" si="18"/>
        <v>11</v>
      </c>
      <c r="D96" s="86" t="s">
        <v>71</v>
      </c>
      <c r="E96" s="49" t="s">
        <v>79</v>
      </c>
      <c r="F96" s="51" t="s">
        <v>80</v>
      </c>
      <c r="G96" s="49" t="s">
        <v>64</v>
      </c>
      <c r="H96" s="49">
        <v>1</v>
      </c>
      <c r="I96" s="42">
        <v>213967072.85976821</v>
      </c>
      <c r="J96" s="87">
        <f t="shared" si="19"/>
        <v>105.06430574399737</v>
      </c>
      <c r="K96" s="73">
        <f t="shared" si="16"/>
        <v>3.9646907827923532</v>
      </c>
      <c r="L96" s="76">
        <f t="shared" si="17"/>
        <v>3.1717526262338828E-3</v>
      </c>
      <c r="M96" s="45" t="s">
        <v>74</v>
      </c>
      <c r="N96" s="117"/>
    </row>
    <row r="97" spans="1:14" ht="34" outlineLevel="1" x14ac:dyDescent="0.35">
      <c r="A97" s="2" t="s">
        <v>144</v>
      </c>
      <c r="B97" s="2" t="s">
        <v>203</v>
      </c>
      <c r="C97" s="49">
        <f>+C93+1</f>
        <v>9</v>
      </c>
      <c r="D97" s="86" t="s">
        <v>81</v>
      </c>
      <c r="E97" s="86">
        <v>6275</v>
      </c>
      <c r="F97" s="79" t="s">
        <v>146</v>
      </c>
      <c r="G97" s="49" t="s">
        <v>64</v>
      </c>
      <c r="H97" s="49">
        <v>1</v>
      </c>
      <c r="I97" s="42">
        <v>1454427495.6666667</v>
      </c>
      <c r="J97" s="87">
        <f t="shared" si="19"/>
        <v>714.16789997098351</v>
      </c>
      <c r="K97" s="73">
        <f t="shared" si="16"/>
        <v>26.949732074376737</v>
      </c>
      <c r="L97" s="76">
        <f t="shared" si="17"/>
        <v>2.1559785659501389E-2</v>
      </c>
      <c r="M97" s="45" t="s">
        <v>147</v>
      </c>
      <c r="N97" s="117"/>
    </row>
    <row r="98" spans="1:14" ht="17" outlineLevel="1" x14ac:dyDescent="0.35">
      <c r="A98" s="2" t="s">
        <v>144</v>
      </c>
      <c r="B98" s="2" t="s">
        <v>205</v>
      </c>
      <c r="C98" s="49">
        <f t="shared" si="18"/>
        <v>10</v>
      </c>
      <c r="D98" s="86" t="s">
        <v>67</v>
      </c>
      <c r="E98" s="86">
        <v>6277.6278000000002</v>
      </c>
      <c r="F98" s="71" t="s">
        <v>85</v>
      </c>
      <c r="G98" s="49" t="s">
        <v>64</v>
      </c>
      <c r="H98" s="49">
        <v>1</v>
      </c>
      <c r="I98" s="42">
        <v>446123693.23281401</v>
      </c>
      <c r="J98" s="87">
        <f t="shared" si="19"/>
        <v>219.06022959043267</v>
      </c>
      <c r="K98" s="73">
        <f t="shared" si="16"/>
        <v>8.2664237581295357</v>
      </c>
      <c r="L98" s="76">
        <f t="shared" si="17"/>
        <v>6.613139006503628E-3</v>
      </c>
      <c r="M98" s="45" t="s">
        <v>69</v>
      </c>
      <c r="N98" s="117"/>
    </row>
    <row r="99" spans="1:14" ht="22.4" customHeight="1" x14ac:dyDescent="0.35">
      <c r="C99" s="31" t="s">
        <v>92</v>
      </c>
      <c r="D99" s="47"/>
      <c r="E99" s="47"/>
      <c r="F99" s="32" t="s">
        <v>148</v>
      </c>
      <c r="G99" s="31"/>
      <c r="H99" s="31"/>
      <c r="I99" s="31"/>
      <c r="J99" s="33">
        <f>SUM(J100:J104)</f>
        <v>5177.6125583177109</v>
      </c>
      <c r="K99" s="35">
        <f>J99*1000/$K$5</f>
        <v>195.38160597425323</v>
      </c>
      <c r="L99" s="36">
        <f t="shared" si="17"/>
        <v>0.15630528477940259</v>
      </c>
      <c r="M99" s="94"/>
    </row>
    <row r="100" spans="1:14" ht="17" outlineLevel="1" x14ac:dyDescent="0.35">
      <c r="A100" s="2" t="s">
        <v>149</v>
      </c>
      <c r="B100" s="2">
        <v>641</v>
      </c>
      <c r="C100" s="49">
        <v>1</v>
      </c>
      <c r="D100" s="49">
        <v>641</v>
      </c>
      <c r="E100" s="49"/>
      <c r="F100" s="102" t="s">
        <v>150</v>
      </c>
      <c r="G100" s="49" t="s">
        <v>64</v>
      </c>
      <c r="H100" s="49">
        <v>1</v>
      </c>
      <c r="I100" s="103">
        <v>473792809.84600055</v>
      </c>
      <c r="J100" s="103">
        <f>+I100/($H$84*$H$85*24*30)</f>
        <v>232.64660289853222</v>
      </c>
      <c r="K100" s="73">
        <f t="shared" si="16"/>
        <v>8.7791170905106508</v>
      </c>
      <c r="L100" s="76">
        <f t="shared" si="17"/>
        <v>7.0232936724085203E-3</v>
      </c>
      <c r="M100" s="104" t="s">
        <v>151</v>
      </c>
      <c r="N100" s="117"/>
    </row>
    <row r="101" spans="1:14" ht="17" outlineLevel="1" x14ac:dyDescent="0.35">
      <c r="A101" s="2" t="s">
        <v>152</v>
      </c>
      <c r="B101" s="2">
        <v>642</v>
      </c>
      <c r="C101" s="49">
        <f>+C100+1</f>
        <v>2</v>
      </c>
      <c r="D101" s="49">
        <v>642</v>
      </c>
      <c r="E101" s="49"/>
      <c r="F101" s="102" t="s">
        <v>153</v>
      </c>
      <c r="G101" s="49" t="s">
        <v>64</v>
      </c>
      <c r="H101" s="49">
        <v>1</v>
      </c>
      <c r="I101" s="103">
        <v>4719699591.8973331</v>
      </c>
      <c r="J101" s="103">
        <f>+I101/($H$84*$H$85*24*30)</f>
        <v>2317.5152808110352</v>
      </c>
      <c r="K101" s="73">
        <f t="shared" si="16"/>
        <v>87.453406823057918</v>
      </c>
      <c r="L101" s="76">
        <f t="shared" si="17"/>
        <v>6.996272545844634E-2</v>
      </c>
      <c r="M101" s="104" t="s">
        <v>151</v>
      </c>
      <c r="N101" s="117"/>
    </row>
    <row r="102" spans="1:14" ht="17" outlineLevel="1" x14ac:dyDescent="0.35">
      <c r="A102" s="2" t="s">
        <v>154</v>
      </c>
      <c r="B102" s="2">
        <v>641</v>
      </c>
      <c r="C102" s="49">
        <f>+C101+1</f>
        <v>3</v>
      </c>
      <c r="D102" s="49">
        <v>641</v>
      </c>
      <c r="E102" s="49"/>
      <c r="F102" s="102" t="s">
        <v>155</v>
      </c>
      <c r="G102" s="49" t="s">
        <v>64</v>
      </c>
      <c r="H102" s="49">
        <v>1</v>
      </c>
      <c r="I102" s="103">
        <v>2632586226.9708085</v>
      </c>
      <c r="J102" s="103">
        <f>+I102/($H$84*$H$85*24*30)</f>
        <v>1292.6794789082908</v>
      </c>
      <c r="K102" s="73">
        <f t="shared" si="16"/>
        <v>48.780357694652487</v>
      </c>
      <c r="L102" s="76">
        <f t="shared" si="17"/>
        <v>3.9024286155721982E-2</v>
      </c>
      <c r="M102" s="104" t="s">
        <v>151</v>
      </c>
      <c r="N102" s="117"/>
    </row>
    <row r="103" spans="1:14" ht="34" outlineLevel="1" x14ac:dyDescent="0.35">
      <c r="A103" s="2" t="s">
        <v>157</v>
      </c>
      <c r="B103" s="2">
        <v>642</v>
      </c>
      <c r="C103" s="49">
        <f>+C102+1</f>
        <v>4</v>
      </c>
      <c r="D103" s="49">
        <v>642</v>
      </c>
      <c r="E103" s="49"/>
      <c r="F103" s="102" t="s">
        <v>158</v>
      </c>
      <c r="G103" s="49" t="s">
        <v>64</v>
      </c>
      <c r="H103" s="49">
        <v>1</v>
      </c>
      <c r="I103" s="103">
        <v>1589881574.6973832</v>
      </c>
      <c r="J103" s="103">
        <f>+I103/($H$84*$H$85*24*30)</f>
        <v>780.67995055589699</v>
      </c>
      <c r="K103" s="73">
        <f t="shared" si="16"/>
        <v>29.459620775694226</v>
      </c>
      <c r="L103" s="76">
        <f t="shared" si="17"/>
        <v>2.356769662055538E-2</v>
      </c>
      <c r="M103" s="104" t="s">
        <v>156</v>
      </c>
      <c r="N103" s="117"/>
    </row>
    <row r="104" spans="1:14" ht="17" outlineLevel="1" x14ac:dyDescent="0.35">
      <c r="A104" s="2" t="s">
        <v>159</v>
      </c>
      <c r="B104" s="2">
        <v>635</v>
      </c>
      <c r="C104" s="49">
        <v>3</v>
      </c>
      <c r="D104" s="49">
        <v>635</v>
      </c>
      <c r="E104" s="49"/>
      <c r="F104" s="102" t="s">
        <v>160</v>
      </c>
      <c r="G104" s="49" t="s">
        <v>64</v>
      </c>
      <c r="H104" s="49">
        <v>1</v>
      </c>
      <c r="I104" s="103">
        <v>1128425881.4745004</v>
      </c>
      <c r="J104" s="103">
        <f>+I104/($H$84*$H$85*24*30)</f>
        <v>554.0912451439566</v>
      </c>
      <c r="K104" s="73">
        <f t="shared" si="16"/>
        <v>20.909103590337985</v>
      </c>
      <c r="L104" s="76">
        <f t="shared" si="17"/>
        <v>1.6727282872270387E-2</v>
      </c>
      <c r="M104" s="104" t="s">
        <v>161</v>
      </c>
      <c r="N104" s="117"/>
    </row>
    <row r="105" spans="1:14" ht="24.65" customHeight="1" x14ac:dyDescent="0.35">
      <c r="C105" s="105"/>
      <c r="D105" s="180" t="s">
        <v>162</v>
      </c>
      <c r="E105" s="180"/>
      <c r="F105" s="180"/>
      <c r="G105" s="105"/>
      <c r="H105" s="105"/>
      <c r="I105" s="105"/>
      <c r="J105" s="106">
        <f>+J82+J83+J99</f>
        <v>31924.321698788299</v>
      </c>
      <c r="K105" s="107">
        <f>J105*1000/$K$5</f>
        <v>1204.6913848599359</v>
      </c>
      <c r="L105" s="108"/>
      <c r="M105" s="109"/>
    </row>
    <row r="106" spans="1:14" ht="25.4" customHeight="1" x14ac:dyDescent="0.35">
      <c r="C106" s="31" t="s">
        <v>163</v>
      </c>
      <c r="D106" s="47"/>
      <c r="E106" s="47"/>
      <c r="F106" s="32" t="s">
        <v>174</v>
      </c>
      <c r="G106" s="31"/>
      <c r="H106" s="31"/>
      <c r="I106" s="31"/>
      <c r="J106" s="33">
        <f>J107+J108</f>
        <v>1200.6783012117012</v>
      </c>
      <c r="K106" s="35">
        <f>J106*1000/$K$5</f>
        <v>45.308615140064198</v>
      </c>
      <c r="L106" s="36">
        <f t="shared" si="17"/>
        <v>3.6246892112051357E-2</v>
      </c>
      <c r="M106" s="94"/>
    </row>
    <row r="107" spans="1:14" ht="17" outlineLevel="1" x14ac:dyDescent="0.35">
      <c r="C107" s="49">
        <v>1</v>
      </c>
      <c r="D107" s="49" t="s">
        <v>164</v>
      </c>
      <c r="E107" s="49"/>
      <c r="F107" s="102" t="s">
        <v>175</v>
      </c>
      <c r="G107" s="49"/>
      <c r="H107" s="49"/>
      <c r="I107" s="49"/>
      <c r="J107" s="110">
        <f>+(J109-J105)*100%/120%</f>
        <v>1000.565251009751</v>
      </c>
      <c r="K107" s="111"/>
      <c r="L107" s="101">
        <f t="shared" si="17"/>
        <v>3.0205743426709467E-2</v>
      </c>
      <c r="M107" s="112">
        <f>J107/$J$109</f>
        <v>3.0205743426709467E-2</v>
      </c>
    </row>
    <row r="108" spans="1:14" ht="17" outlineLevel="1" x14ac:dyDescent="0.35">
      <c r="C108" s="49">
        <v>2</v>
      </c>
      <c r="D108" s="49" t="s">
        <v>165</v>
      </c>
      <c r="E108" s="49"/>
      <c r="F108" s="102" t="s">
        <v>166</v>
      </c>
      <c r="G108" s="49"/>
      <c r="H108" s="49"/>
      <c r="I108" s="49"/>
      <c r="J108" s="110">
        <f>J107*20%</f>
        <v>200.11305020195022</v>
      </c>
      <c r="K108" s="111"/>
      <c r="L108" s="101">
        <f t="shared" si="17"/>
        <v>6.0411486853418931E-3</v>
      </c>
      <c r="M108" s="113"/>
    </row>
    <row r="109" spans="1:14" ht="24.65" customHeight="1" x14ac:dyDescent="0.35">
      <c r="A109" s="2" t="s">
        <v>176</v>
      </c>
      <c r="C109" s="105"/>
      <c r="D109" s="180" t="s">
        <v>167</v>
      </c>
      <c r="E109" s="180"/>
      <c r="F109" s="180"/>
      <c r="G109" s="105"/>
      <c r="H109" s="105"/>
      <c r="I109" s="105"/>
      <c r="J109" s="106">
        <f>+K109*K5/10^3</f>
        <v>33125</v>
      </c>
      <c r="K109" s="107">
        <f>+TH!F6</f>
        <v>1250</v>
      </c>
      <c r="L109" s="108">
        <f>+L82+L83+L99+L106</f>
        <v>0.99999999999999978</v>
      </c>
      <c r="M109" s="109"/>
    </row>
    <row r="111" spans="1:14" x14ac:dyDescent="0.35">
      <c r="K111" s="70"/>
      <c r="L111" s="70"/>
    </row>
    <row r="112" spans="1:14" x14ac:dyDescent="0.35">
      <c r="K112" s="95"/>
    </row>
  </sheetData>
  <autoFilter ref="C7:M109" xr:uid="{DCB3B5EE-6636-407D-B3F6-4E7544CA3796}"/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D08DD745-8CA2-4D14-9C9F-D71952C64F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2466-A1B5-4236-88BA-342630AE8A04}">
  <sheetPr>
    <tabColor rgb="FF00B0F0"/>
  </sheetPr>
  <dimension ref="A1:N112"/>
  <sheetViews>
    <sheetView zoomScale="70" zoomScaleNormal="70" workbookViewId="0">
      <pane ySplit="7" topLeftCell="A97" activePane="bottomLeft" state="frozen"/>
      <selection activeCell="K110" sqref="K110"/>
      <selection pane="bottomLeft" activeCell="K110" sqref="K110"/>
    </sheetView>
  </sheetViews>
  <sheetFormatPr defaultColWidth="8.90625" defaultRowHeight="14.5" outlineLevelRow="1" x14ac:dyDescent="0.35"/>
  <cols>
    <col min="1" max="2" width="8.90625" style="2"/>
    <col min="3" max="3" width="12.54296875" style="3" customWidth="1"/>
    <col min="4" max="5" width="13.453125" style="3" customWidth="1"/>
    <col min="6" max="6" width="45.90625" style="3" customWidth="1"/>
    <col min="7" max="7" width="11" style="3" customWidth="1"/>
    <col min="8" max="8" width="14.453125" style="3" customWidth="1"/>
    <col min="9" max="9" width="18.453125" style="3" customWidth="1"/>
    <col min="10" max="10" width="14.54296875" style="3" customWidth="1"/>
    <col min="11" max="11" width="12.54296875" style="3" customWidth="1"/>
    <col min="12" max="12" width="10.08984375" style="3" customWidth="1"/>
    <col min="13" max="13" width="69.54296875" style="3" customWidth="1"/>
    <col min="14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14"/>
      <c r="B2" s="114"/>
      <c r="C2" s="4" t="s">
        <v>195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197</v>
      </c>
      <c r="E4" s="6"/>
      <c r="G4" s="15"/>
      <c r="H4" s="6"/>
      <c r="I4" s="127"/>
      <c r="J4" s="6"/>
      <c r="K4" s="6"/>
      <c r="L4" s="6"/>
      <c r="M4" s="6"/>
    </row>
    <row r="5" spans="1:13" ht="17" x14ac:dyDescent="0.35">
      <c r="C5" s="14" t="s">
        <v>2</v>
      </c>
      <c r="D5" s="115" t="s">
        <v>177</v>
      </c>
      <c r="E5" s="6"/>
      <c r="F5" s="7"/>
      <c r="G5" s="8"/>
      <c r="H5" s="8"/>
      <c r="I5" s="9"/>
      <c r="J5" s="10" t="s">
        <v>3</v>
      </c>
      <c r="K5" s="12">
        <v>26500</v>
      </c>
      <c r="M5" s="13"/>
    </row>
    <row r="6" spans="1:13" ht="17" x14ac:dyDescent="0.35">
      <c r="C6" s="6"/>
      <c r="D6" s="6"/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4</v>
      </c>
      <c r="D7" s="18" t="s">
        <v>5</v>
      </c>
      <c r="E7" s="18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19" t="s">
        <v>11</v>
      </c>
      <c r="K7" s="19" t="s">
        <v>12</v>
      </c>
      <c r="L7" s="20" t="s">
        <v>13</v>
      </c>
      <c r="M7" s="19" t="s">
        <v>14</v>
      </c>
    </row>
    <row r="8" spans="1:13" ht="17" x14ac:dyDescent="0.35">
      <c r="C8" s="22" t="s">
        <v>15</v>
      </c>
      <c r="D8" s="23" t="s">
        <v>16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116</v>
      </c>
      <c r="C9" s="31" t="s">
        <v>17</v>
      </c>
      <c r="D9" s="31">
        <v>1521</v>
      </c>
      <c r="E9" s="31" t="s">
        <v>189</v>
      </c>
      <c r="F9" s="32" t="s">
        <v>190</v>
      </c>
      <c r="G9" s="31" t="s">
        <v>19</v>
      </c>
      <c r="H9" s="31">
        <v>1</v>
      </c>
      <c r="I9" s="33">
        <v>15000</v>
      </c>
      <c r="J9" s="34">
        <f>I9</f>
        <v>15000</v>
      </c>
      <c r="K9" s="35">
        <f>J9/$K$5*1000</f>
        <v>566.03773584905662</v>
      </c>
      <c r="L9" s="36">
        <f t="shared" ref="L9:L19" si="0">J9/$J$58</f>
        <v>0.71542388531735379</v>
      </c>
      <c r="M9" s="37"/>
    </row>
    <row r="10" spans="1:13" ht="47.4" customHeight="1" x14ac:dyDescent="0.35">
      <c r="B10" s="2" t="s">
        <v>198</v>
      </c>
      <c r="C10" s="31" t="s">
        <v>20</v>
      </c>
      <c r="D10" s="31">
        <v>1522</v>
      </c>
      <c r="E10" s="31"/>
      <c r="F10" s="32" t="s">
        <v>21</v>
      </c>
      <c r="G10" s="31" t="s">
        <v>22</v>
      </c>
      <c r="H10" s="38">
        <f>SUM(H11:H20)</f>
        <v>0.17890491047391213</v>
      </c>
      <c r="I10" s="33"/>
      <c r="J10" s="33">
        <f>SUM(J11:J20)</f>
        <v>1249.9477023961606</v>
      </c>
      <c r="K10" s="35">
        <f>J10/$K$5*1000</f>
        <v>47.167837826270208</v>
      </c>
      <c r="L10" s="36">
        <f t="shared" si="0"/>
        <v>5.9616162779450706E-2</v>
      </c>
      <c r="M10" s="37"/>
    </row>
    <row r="11" spans="1:13" ht="17" outlineLevel="1" x14ac:dyDescent="0.35">
      <c r="C11" s="39"/>
      <c r="D11" s="39"/>
      <c r="E11" s="39" t="s">
        <v>23</v>
      </c>
      <c r="F11" s="40" t="s">
        <v>24</v>
      </c>
      <c r="G11" s="39" t="s">
        <v>22</v>
      </c>
      <c r="H11" s="41">
        <v>0</v>
      </c>
      <c r="I11" s="42">
        <v>6000</v>
      </c>
      <c r="J11" s="42">
        <f>+($J$9-I11)*H11</f>
        <v>0</v>
      </c>
      <c r="K11" s="43">
        <f t="shared" ref="K11:K20" si="1">J11/$K$5*1000</f>
        <v>0</v>
      </c>
      <c r="L11" s="44">
        <f t="shared" si="0"/>
        <v>0</v>
      </c>
      <c r="M11" s="45" t="s">
        <v>25</v>
      </c>
    </row>
    <row r="12" spans="1:13" ht="17" outlineLevel="1" x14ac:dyDescent="0.35">
      <c r="A12" s="2" t="s">
        <v>26</v>
      </c>
      <c r="C12" s="39"/>
      <c r="D12" s="39"/>
      <c r="E12" s="39" t="s">
        <v>27</v>
      </c>
      <c r="F12" s="40" t="s">
        <v>28</v>
      </c>
      <c r="G12" s="39" t="s">
        <v>22</v>
      </c>
      <c r="H12" s="41">
        <v>0</v>
      </c>
      <c r="I12" s="42">
        <v>11000</v>
      </c>
      <c r="J12" s="42">
        <f t="shared" ref="J12:J20" si="2">+($J$9-I12)*H12</f>
        <v>0</v>
      </c>
      <c r="K12" s="43">
        <f t="shared" si="1"/>
        <v>0</v>
      </c>
      <c r="L12" s="44">
        <f t="shared" si="0"/>
        <v>0</v>
      </c>
      <c r="M12" s="45" t="s">
        <v>25</v>
      </c>
    </row>
    <row r="13" spans="1:13" ht="17" outlineLevel="1" x14ac:dyDescent="0.35">
      <c r="A13" s="2" t="s">
        <v>29</v>
      </c>
      <c r="C13" s="39"/>
      <c r="D13" s="39"/>
      <c r="E13" s="39" t="s">
        <v>30</v>
      </c>
      <c r="F13" s="40" t="s">
        <v>31</v>
      </c>
      <c r="G13" s="39" t="s">
        <v>22</v>
      </c>
      <c r="H13" s="41">
        <v>1.3146811248457861E-3</v>
      </c>
      <c r="I13" s="42">
        <v>12500</v>
      </c>
      <c r="J13" s="42">
        <f t="shared" si="2"/>
        <v>3.2867028121144655</v>
      </c>
      <c r="K13" s="43">
        <f t="shared" si="1"/>
        <v>0.12402652121186662</v>
      </c>
      <c r="L13" s="44">
        <f t="shared" si="0"/>
        <v>1.5675904638176022E-4</v>
      </c>
      <c r="M13" s="45" t="s">
        <v>25</v>
      </c>
    </row>
    <row r="14" spans="1:13" ht="17" outlineLevel="1" x14ac:dyDescent="0.35">
      <c r="A14" s="2" t="s">
        <v>32</v>
      </c>
      <c r="C14" s="39"/>
      <c r="D14" s="39"/>
      <c r="E14" s="39" t="s">
        <v>33</v>
      </c>
      <c r="F14" s="40" t="s">
        <v>34</v>
      </c>
      <c r="G14" s="39" t="s">
        <v>22</v>
      </c>
      <c r="H14" s="41">
        <v>2.0155036081746128E-3</v>
      </c>
      <c r="I14" s="42">
        <v>12500</v>
      </c>
      <c r="J14" s="42">
        <f t="shared" si="2"/>
        <v>5.0387590204365322</v>
      </c>
      <c r="K14" s="43">
        <f t="shared" si="1"/>
        <v>0.19014184982779367</v>
      </c>
      <c r="L14" s="44">
        <f t="shared" si="0"/>
        <v>2.4032323703857117E-4</v>
      </c>
      <c r="M14" s="45" t="s">
        <v>25</v>
      </c>
    </row>
    <row r="15" spans="1:13" ht="17" outlineLevel="1" x14ac:dyDescent="0.35">
      <c r="A15" s="2" t="s">
        <v>35</v>
      </c>
      <c r="C15" s="39"/>
      <c r="D15" s="39"/>
      <c r="E15" s="39" t="s">
        <v>36</v>
      </c>
      <c r="F15" s="40" t="s">
        <v>37</v>
      </c>
      <c r="G15" s="39" t="s">
        <v>22</v>
      </c>
      <c r="H15" s="41">
        <v>6.5144366055896942E-4</v>
      </c>
      <c r="I15" s="42">
        <v>12300</v>
      </c>
      <c r="J15" s="42">
        <f t="shared" si="2"/>
        <v>1.7588978835092175</v>
      </c>
      <c r="K15" s="43">
        <f t="shared" si="1"/>
        <v>6.6373505038083688E-2</v>
      </c>
      <c r="L15" s="44">
        <f t="shared" si="0"/>
        <v>8.3890503846442309E-5</v>
      </c>
      <c r="M15" s="45" t="s">
        <v>25</v>
      </c>
    </row>
    <row r="16" spans="1:13" ht="17" outlineLevel="1" x14ac:dyDescent="0.4">
      <c r="A16" s="46" t="s">
        <v>38</v>
      </c>
      <c r="B16" s="46"/>
      <c r="C16" s="39"/>
      <c r="D16" s="39"/>
      <c r="E16" s="39" t="s">
        <v>39</v>
      </c>
      <c r="F16" s="40" t="s">
        <v>40</v>
      </c>
      <c r="G16" s="39" t="s">
        <v>22</v>
      </c>
      <c r="H16" s="41">
        <v>9.4914290817541935E-2</v>
      </c>
      <c r="I16" s="42">
        <v>10500</v>
      </c>
      <c r="J16" s="42">
        <f t="shared" si="2"/>
        <v>427.1143086789387</v>
      </c>
      <c r="K16" s="43">
        <f t="shared" si="1"/>
        <v>16.117521082224101</v>
      </c>
      <c r="L16" s="44">
        <f t="shared" si="0"/>
        <v>2.0371185212648125E-2</v>
      </c>
      <c r="M16" s="45" t="s">
        <v>25</v>
      </c>
    </row>
    <row r="17" spans="1:14" ht="17" outlineLevel="1" x14ac:dyDescent="0.4">
      <c r="A17" s="46" t="s">
        <v>41</v>
      </c>
      <c r="B17" s="46"/>
      <c r="C17" s="39"/>
      <c r="D17" s="39"/>
      <c r="E17" s="39" t="s">
        <v>42</v>
      </c>
      <c r="F17" s="40" t="s">
        <v>43</v>
      </c>
      <c r="G17" s="39" t="s">
        <v>22</v>
      </c>
      <c r="H17" s="41">
        <v>3.2148664297843757E-2</v>
      </c>
      <c r="I17" s="42">
        <v>5000</v>
      </c>
      <c r="J17" s="42">
        <f t="shared" si="2"/>
        <v>321.48664297843754</v>
      </c>
      <c r="K17" s="43">
        <f t="shared" si="1"/>
        <v>12.131571433148586</v>
      </c>
      <c r="L17" s="44">
        <f t="shared" si="0"/>
        <v>1.533328154648445E-2</v>
      </c>
      <c r="M17" s="45" t="s">
        <v>25</v>
      </c>
    </row>
    <row r="18" spans="1:14" ht="17" outlineLevel="1" x14ac:dyDescent="0.4">
      <c r="A18" s="46" t="s">
        <v>44</v>
      </c>
      <c r="B18" s="46"/>
      <c r="C18" s="39"/>
      <c r="D18" s="39"/>
      <c r="E18" s="39" t="s">
        <v>45</v>
      </c>
      <c r="F18" s="40" t="s">
        <v>46</v>
      </c>
      <c r="G18" s="39" t="s">
        <v>22</v>
      </c>
      <c r="H18" s="41">
        <v>1.5908151571050005E-2</v>
      </c>
      <c r="I18" s="42">
        <v>10500</v>
      </c>
      <c r="J18" s="42">
        <f t="shared" si="2"/>
        <v>71.586682069725015</v>
      </c>
      <c r="K18" s="43">
        <f t="shared" si="1"/>
        <v>2.7013842290462273</v>
      </c>
      <c r="L18" s="44">
        <f t="shared" si="0"/>
        <v>3.4143214815533876E-3</v>
      </c>
      <c r="M18" s="45" t="s">
        <v>25</v>
      </c>
    </row>
    <row r="19" spans="1:14" ht="17" outlineLevel="1" x14ac:dyDescent="0.4">
      <c r="A19" s="46" t="s">
        <v>47</v>
      </c>
      <c r="B19" s="46"/>
      <c r="C19" s="39"/>
      <c r="D19" s="39"/>
      <c r="E19" s="39" t="s">
        <v>48</v>
      </c>
      <c r="F19" s="40" t="s">
        <v>49</v>
      </c>
      <c r="G19" s="39" t="s">
        <v>22</v>
      </c>
      <c r="H19" s="41">
        <v>5.4188110868597364E-3</v>
      </c>
      <c r="I19" s="42">
        <v>11000</v>
      </c>
      <c r="J19" s="42">
        <f t="shared" si="2"/>
        <v>21.675244347438944</v>
      </c>
      <c r="K19" s="43">
        <f t="shared" si="1"/>
        <v>0.81793374895996018</v>
      </c>
      <c r="L19" s="44">
        <f t="shared" si="0"/>
        <v>1.0337991684165188E-3</v>
      </c>
      <c r="M19" s="45" t="s">
        <v>25</v>
      </c>
    </row>
    <row r="20" spans="1:14" ht="17" outlineLevel="1" x14ac:dyDescent="0.4">
      <c r="A20" s="46" t="s">
        <v>50</v>
      </c>
      <c r="B20" s="46"/>
      <c r="C20" s="39"/>
      <c r="D20" s="39"/>
      <c r="E20" s="39"/>
      <c r="F20" s="40" t="s">
        <v>51</v>
      </c>
      <c r="G20" s="39" t="s">
        <v>22</v>
      </c>
      <c r="H20" s="41">
        <v>2.6533364307037351E-2</v>
      </c>
      <c r="I20" s="42">
        <v>0</v>
      </c>
      <c r="J20" s="42">
        <f t="shared" si="2"/>
        <v>398.00046460556024</v>
      </c>
      <c r="K20" s="43">
        <f t="shared" si="1"/>
        <v>15.018885456813592</v>
      </c>
      <c r="L20" s="44">
        <f>J20/$J$58</f>
        <v>1.8982602583081456E-2</v>
      </c>
      <c r="M20" s="45" t="s">
        <v>52</v>
      </c>
    </row>
    <row r="21" spans="1:14" ht="17" x14ac:dyDescent="0.35">
      <c r="C21" s="31" t="s">
        <v>53</v>
      </c>
      <c r="D21" s="47"/>
      <c r="E21" s="47"/>
      <c r="F21" s="32" t="s">
        <v>54</v>
      </c>
      <c r="G21" s="31"/>
      <c r="H21" s="31"/>
      <c r="I21" s="31"/>
      <c r="J21" s="33">
        <f>SUM(J22:J33)</f>
        <v>2321.0309940637335</v>
      </c>
      <c r="K21" s="35">
        <f>J21*1000/$K$5</f>
        <v>87.586075247688058</v>
      </c>
      <c r="L21" s="36">
        <f>J21/$J$58</f>
        <v>0.11070140078100507</v>
      </c>
      <c r="M21" s="48"/>
    </row>
    <row r="22" spans="1:14" ht="17" outlineLevel="1" x14ac:dyDescent="0.35">
      <c r="A22" s="2" t="s">
        <v>55</v>
      </c>
      <c r="C22" s="39">
        <v>0</v>
      </c>
      <c r="D22" s="49" t="s">
        <v>56</v>
      </c>
      <c r="E22" s="49"/>
      <c r="F22" s="40" t="s">
        <v>57</v>
      </c>
      <c r="G22" s="39" t="s">
        <v>58</v>
      </c>
      <c r="H22" s="50">
        <v>4800</v>
      </c>
      <c r="I22" s="39"/>
      <c r="J22" s="51"/>
      <c r="K22" s="43"/>
      <c r="L22" s="51"/>
      <c r="M22" s="45" t="s">
        <v>59</v>
      </c>
    </row>
    <row r="23" spans="1:14" ht="17" outlineLevel="1" x14ac:dyDescent="0.35">
      <c r="A23" s="2" t="s">
        <v>55</v>
      </c>
      <c r="C23" s="39"/>
      <c r="D23" s="49"/>
      <c r="E23" s="49"/>
      <c r="F23" s="40" t="s">
        <v>60</v>
      </c>
      <c r="G23" s="39" t="s">
        <v>22</v>
      </c>
      <c r="H23" s="52">
        <v>0.6</v>
      </c>
      <c r="I23" s="39"/>
      <c r="J23" s="51"/>
      <c r="K23" s="43"/>
      <c r="L23" s="51"/>
      <c r="M23" s="45" t="s">
        <v>61</v>
      </c>
    </row>
    <row r="24" spans="1:14" ht="34" outlineLevel="1" x14ac:dyDescent="0.35">
      <c r="A24" s="2" t="s">
        <v>55</v>
      </c>
      <c r="B24" s="2" t="s">
        <v>199</v>
      </c>
      <c r="C24" s="39">
        <f>+C22+1</f>
        <v>1</v>
      </c>
      <c r="D24" s="49" t="s">
        <v>62</v>
      </c>
      <c r="E24" s="49">
        <v>622</v>
      </c>
      <c r="F24" s="40" t="s">
        <v>63</v>
      </c>
      <c r="G24" s="39" t="s">
        <v>64</v>
      </c>
      <c r="H24" s="39">
        <v>1</v>
      </c>
      <c r="I24" s="42">
        <v>1811265742</v>
      </c>
      <c r="J24" s="53">
        <f>+I24/($H$22*$H$23*24*30)</f>
        <v>873.48849440586423</v>
      </c>
      <c r="K24" s="43">
        <f t="shared" ref="K24:K33" si="3">J24/$K$5*1000</f>
        <v>32.961829977579782</v>
      </c>
      <c r="L24" s="54">
        <f t="shared" ref="L24:L34" si="4">J24/$J$58</f>
        <v>4.16609688298566E-2</v>
      </c>
      <c r="M24" s="45" t="s">
        <v>169</v>
      </c>
      <c r="N24" s="116"/>
    </row>
    <row r="25" spans="1:14" ht="34" outlineLevel="1" x14ac:dyDescent="0.35">
      <c r="A25" s="2" t="s">
        <v>55</v>
      </c>
      <c r="B25" s="2" t="s">
        <v>200</v>
      </c>
      <c r="C25" s="39">
        <f t="shared" ref="C25:C31" si="5">+C23+1</f>
        <v>1</v>
      </c>
      <c r="D25" s="49" t="s">
        <v>62</v>
      </c>
      <c r="E25" s="49">
        <v>6271</v>
      </c>
      <c r="F25" s="51" t="s">
        <v>65</v>
      </c>
      <c r="G25" s="39" t="s">
        <v>64</v>
      </c>
      <c r="H25" s="39">
        <v>1</v>
      </c>
      <c r="I25" s="42">
        <v>751521405.09333348</v>
      </c>
      <c r="J25" s="53">
        <f t="shared" ref="J25:J33" si="6">+I25/($H$22*$H$23*24*30)</f>
        <v>362.42351711676963</v>
      </c>
      <c r="K25" s="43">
        <f t="shared" si="3"/>
        <v>13.676359136481873</v>
      </c>
      <c r="L25" s="54">
        <f t="shared" si="4"/>
        <v>1.7285762716403988E-2</v>
      </c>
      <c r="M25" s="45" t="s">
        <v>66</v>
      </c>
      <c r="N25" s="116"/>
    </row>
    <row r="26" spans="1:14" ht="17" outlineLevel="1" x14ac:dyDescent="0.35">
      <c r="A26" s="2" t="s">
        <v>55</v>
      </c>
      <c r="B26" s="2" t="s">
        <v>201</v>
      </c>
      <c r="C26" s="39">
        <f t="shared" si="5"/>
        <v>2</v>
      </c>
      <c r="D26" s="49" t="s">
        <v>67</v>
      </c>
      <c r="E26" s="49">
        <v>6272</v>
      </c>
      <c r="F26" s="51" t="s">
        <v>68</v>
      </c>
      <c r="G26" s="39" t="s">
        <v>64</v>
      </c>
      <c r="H26" s="39">
        <v>1</v>
      </c>
      <c r="I26" s="42">
        <v>330609579.66666669</v>
      </c>
      <c r="J26" s="53">
        <f t="shared" si="6"/>
        <v>159.43749019418726</v>
      </c>
      <c r="K26" s="43">
        <f t="shared" si="3"/>
        <v>6.0165090639315952</v>
      </c>
      <c r="L26" s="54">
        <f t="shared" si="4"/>
        <v>7.6043592466648628E-3</v>
      </c>
      <c r="M26" s="45" t="s">
        <v>69</v>
      </c>
      <c r="N26" s="116"/>
    </row>
    <row r="27" spans="1:14" ht="17" outlineLevel="1" x14ac:dyDescent="0.35">
      <c r="A27" s="2" t="s">
        <v>55</v>
      </c>
      <c r="B27" s="2" t="s">
        <v>202</v>
      </c>
      <c r="C27" s="39">
        <f t="shared" si="5"/>
        <v>2</v>
      </c>
      <c r="D27" s="49" t="s">
        <v>67</v>
      </c>
      <c r="E27" s="49">
        <v>6273</v>
      </c>
      <c r="F27" s="51" t="s">
        <v>70</v>
      </c>
      <c r="G27" s="39" t="s">
        <v>64</v>
      </c>
      <c r="H27" s="39">
        <v>1</v>
      </c>
      <c r="I27" s="42">
        <v>198559347.66666666</v>
      </c>
      <c r="J27" s="53">
        <f t="shared" si="6"/>
        <v>95.755858249742801</v>
      </c>
      <c r="K27" s="43">
        <f t="shared" si="3"/>
        <v>3.6134286131978417</v>
      </c>
      <c r="L27" s="54">
        <f t="shared" si="4"/>
        <v>4.5670685433952521E-3</v>
      </c>
      <c r="M27" s="45" t="s">
        <v>69</v>
      </c>
      <c r="N27" s="116"/>
    </row>
    <row r="28" spans="1:14" ht="17" outlineLevel="1" x14ac:dyDescent="0.35">
      <c r="A28" s="2" t="s">
        <v>55</v>
      </c>
      <c r="B28" s="2" t="s">
        <v>204</v>
      </c>
      <c r="C28" s="39">
        <f t="shared" si="5"/>
        <v>3</v>
      </c>
      <c r="D28" s="49" t="s">
        <v>71</v>
      </c>
      <c r="E28" s="49" t="s">
        <v>72</v>
      </c>
      <c r="F28" s="51" t="s">
        <v>73</v>
      </c>
      <c r="G28" s="49" t="s">
        <v>64</v>
      </c>
      <c r="H28" s="49">
        <v>1</v>
      </c>
      <c r="I28" s="42">
        <v>366989315.53237951</v>
      </c>
      <c r="J28" s="53">
        <f t="shared" si="6"/>
        <v>176.98173009856265</v>
      </c>
      <c r="K28" s="43">
        <f t="shared" si="3"/>
        <v>6.6785558527759488</v>
      </c>
      <c r="L28" s="54">
        <f t="shared" si="4"/>
        <v>8.4411304651533965E-3</v>
      </c>
      <c r="M28" s="45" t="s">
        <v>74</v>
      </c>
      <c r="N28" s="116"/>
    </row>
    <row r="29" spans="1:14" ht="17" outlineLevel="1" x14ac:dyDescent="0.35">
      <c r="A29" s="2" t="s">
        <v>55</v>
      </c>
      <c r="B29" s="2" t="s">
        <v>204</v>
      </c>
      <c r="C29" s="39">
        <f t="shared" si="5"/>
        <v>3</v>
      </c>
      <c r="D29" s="49" t="s">
        <v>71</v>
      </c>
      <c r="E29" s="49" t="s">
        <v>75</v>
      </c>
      <c r="F29" s="51" t="s">
        <v>76</v>
      </c>
      <c r="G29" s="49" t="s">
        <v>64</v>
      </c>
      <c r="H29" s="49">
        <v>1</v>
      </c>
      <c r="I29" s="42">
        <v>295259846.7833333</v>
      </c>
      <c r="J29" s="53">
        <f t="shared" si="6"/>
        <v>142.38997240708588</v>
      </c>
      <c r="K29" s="43">
        <f t="shared" si="3"/>
        <v>5.3732065059277687</v>
      </c>
      <c r="L29" s="54">
        <f t="shared" si="4"/>
        <v>6.7912791526472116E-3</v>
      </c>
      <c r="M29" s="45" t="s">
        <v>74</v>
      </c>
      <c r="N29" s="116"/>
    </row>
    <row r="30" spans="1:14" ht="17" outlineLevel="1" x14ac:dyDescent="0.35">
      <c r="A30" s="2" t="s">
        <v>55</v>
      </c>
      <c r="B30" s="2" t="s">
        <v>204</v>
      </c>
      <c r="C30" s="39">
        <f t="shared" si="5"/>
        <v>4</v>
      </c>
      <c r="D30" s="49" t="s">
        <v>71</v>
      </c>
      <c r="E30" s="49" t="s">
        <v>77</v>
      </c>
      <c r="F30" s="51" t="s">
        <v>78</v>
      </c>
      <c r="G30" s="49" t="s">
        <v>64</v>
      </c>
      <c r="H30" s="49">
        <v>1</v>
      </c>
      <c r="I30" s="42">
        <v>144639418.46608332</v>
      </c>
      <c r="J30" s="53">
        <f t="shared" si="6"/>
        <v>69.752805973226913</v>
      </c>
      <c r="K30" s="43">
        <f t="shared" si="3"/>
        <v>2.6321813574802611</v>
      </c>
      <c r="L30" s="54">
        <f t="shared" si="4"/>
        <v>3.3268548974102344E-3</v>
      </c>
      <c r="M30" s="45" t="s">
        <v>74</v>
      </c>
      <c r="N30" s="116"/>
    </row>
    <row r="31" spans="1:14" ht="17" outlineLevel="1" x14ac:dyDescent="0.35">
      <c r="A31" s="2" t="s">
        <v>55</v>
      </c>
      <c r="B31" s="2" t="s">
        <v>204</v>
      </c>
      <c r="C31" s="39">
        <f t="shared" si="5"/>
        <v>4</v>
      </c>
      <c r="D31" s="49" t="s">
        <v>71</v>
      </c>
      <c r="E31" s="49" t="s">
        <v>79</v>
      </c>
      <c r="F31" s="51" t="s">
        <v>80</v>
      </c>
      <c r="G31" s="49" t="s">
        <v>64</v>
      </c>
      <c r="H31" s="49">
        <v>1</v>
      </c>
      <c r="I31" s="42">
        <v>173587141.46747762</v>
      </c>
      <c r="J31" s="53">
        <f t="shared" si="6"/>
        <v>83.712934735473382</v>
      </c>
      <c r="K31" s="43">
        <f t="shared" si="3"/>
        <v>3.1589786692631465</v>
      </c>
      <c r="L31" s="54">
        <f t="shared" si="4"/>
        <v>3.9926822013180282E-3</v>
      </c>
      <c r="M31" s="45" t="s">
        <v>74</v>
      </c>
      <c r="N31" s="116"/>
    </row>
    <row r="32" spans="1:14" ht="34" outlineLevel="1" x14ac:dyDescent="0.35">
      <c r="A32" s="2" t="s">
        <v>55</v>
      </c>
      <c r="B32" s="2" t="s">
        <v>203</v>
      </c>
      <c r="C32" s="39">
        <f>+C27+1</f>
        <v>3</v>
      </c>
      <c r="D32" s="49" t="s">
        <v>81</v>
      </c>
      <c r="E32" s="49">
        <v>6275</v>
      </c>
      <c r="F32" s="40" t="s">
        <v>82</v>
      </c>
      <c r="G32" s="39" t="s">
        <v>83</v>
      </c>
      <c r="H32" s="56">
        <v>1</v>
      </c>
      <c r="I32" s="42">
        <v>337919308.66666669</v>
      </c>
      <c r="J32" s="53">
        <f t="shared" si="6"/>
        <v>162.96262956532922</v>
      </c>
      <c r="K32" s="43">
        <f t="shared" si="3"/>
        <v>6.1495331911444993</v>
      </c>
      <c r="L32" s="54">
        <f t="shared" si="4"/>
        <v>7.7724905070106999E-3</v>
      </c>
      <c r="M32" s="45" t="s">
        <v>84</v>
      </c>
      <c r="N32" s="116"/>
    </row>
    <row r="33" spans="1:14" ht="17" outlineLevel="1" x14ac:dyDescent="0.35">
      <c r="A33" s="2" t="s">
        <v>55</v>
      </c>
      <c r="B33" s="2" t="s">
        <v>205</v>
      </c>
      <c r="C33" s="39">
        <f>+C28+1</f>
        <v>4</v>
      </c>
      <c r="D33" s="49" t="s">
        <v>67</v>
      </c>
      <c r="E33" s="49">
        <v>6277.6278000000002</v>
      </c>
      <c r="F33" s="51" t="s">
        <v>85</v>
      </c>
      <c r="G33" s="39" t="s">
        <v>64</v>
      </c>
      <c r="H33" s="39">
        <v>1</v>
      </c>
      <c r="I33" s="42">
        <v>402538763.9479506</v>
      </c>
      <c r="J33" s="53">
        <f t="shared" si="6"/>
        <v>194.12556131749162</v>
      </c>
      <c r="K33" s="43">
        <f t="shared" si="3"/>
        <v>7.3254928799053438</v>
      </c>
      <c r="L33" s="54">
        <f t="shared" si="4"/>
        <v>9.2588042211448028E-3</v>
      </c>
      <c r="M33" s="45" t="s">
        <v>69</v>
      </c>
      <c r="N33" s="116"/>
    </row>
    <row r="34" spans="1:14" ht="23.15" customHeight="1" x14ac:dyDescent="0.35">
      <c r="C34" s="57"/>
      <c r="D34" s="179" t="s">
        <v>86</v>
      </c>
      <c r="E34" s="179"/>
      <c r="F34" s="179"/>
      <c r="G34" s="58"/>
      <c r="H34" s="58"/>
      <c r="I34" s="58"/>
      <c r="J34" s="59">
        <f>J9+J10+J21</f>
        <v>18570.978696459893</v>
      </c>
      <c r="K34" s="60">
        <f>J34*1000/$K$5</f>
        <v>700.7916489230148</v>
      </c>
      <c r="L34" s="61">
        <f t="shared" si="4"/>
        <v>0.88574144887780948</v>
      </c>
      <c r="M34" s="62"/>
    </row>
    <row r="35" spans="1:14" ht="17" x14ac:dyDescent="0.35">
      <c r="C35" s="22" t="s">
        <v>87</v>
      </c>
      <c r="D35" s="23" t="s">
        <v>88</v>
      </c>
      <c r="E35" s="23"/>
      <c r="F35" s="63"/>
      <c r="G35" s="64"/>
      <c r="H35" s="64"/>
      <c r="I35" s="64"/>
      <c r="J35" s="65"/>
      <c r="K35" s="66"/>
      <c r="L35" s="67"/>
      <c r="M35" s="68"/>
    </row>
    <row r="36" spans="1:14" ht="17" x14ac:dyDescent="0.35">
      <c r="C36" s="31" t="s">
        <v>89</v>
      </c>
      <c r="D36" s="47"/>
      <c r="E36" s="47"/>
      <c r="F36" s="32" t="s">
        <v>90</v>
      </c>
      <c r="G36" s="31" t="s">
        <v>91</v>
      </c>
      <c r="H36" s="31">
        <v>1</v>
      </c>
      <c r="I36" s="69">
        <f>+J34</f>
        <v>18570.978696459893</v>
      </c>
      <c r="J36" s="33">
        <f>+H36*I36</f>
        <v>18570.978696459893</v>
      </c>
      <c r="K36" s="35">
        <f>J36*1000/$K$5</f>
        <v>700.7916489230148</v>
      </c>
      <c r="L36" s="36">
        <f>J36/$J$58</f>
        <v>0.88574144887780948</v>
      </c>
      <c r="M36" s="48"/>
    </row>
    <row r="37" spans="1:14" ht="17" x14ac:dyDescent="0.35">
      <c r="C37" s="31" t="s">
        <v>92</v>
      </c>
      <c r="D37" s="47"/>
      <c r="E37" s="47"/>
      <c r="F37" s="32" t="s">
        <v>93</v>
      </c>
      <c r="G37" s="31"/>
      <c r="H37" s="31"/>
      <c r="I37" s="31"/>
      <c r="J37" s="33">
        <f>SUM(J40:J57)</f>
        <v>2395.6123104173425</v>
      </c>
      <c r="K37" s="35">
        <f>J37*1000/$K$5</f>
        <v>90.400464544050664</v>
      </c>
      <c r="L37" s="36">
        <f>J37/$J$58</f>
        <v>0.11425855112219052</v>
      </c>
      <c r="M37" s="48"/>
    </row>
    <row r="38" spans="1:14" ht="17" outlineLevel="1" x14ac:dyDescent="0.35">
      <c r="A38" s="2" t="s">
        <v>95</v>
      </c>
      <c r="C38" s="49">
        <v>0</v>
      </c>
      <c r="D38" s="49" t="s">
        <v>96</v>
      </c>
      <c r="E38" s="49"/>
      <c r="F38" s="71" t="s">
        <v>57</v>
      </c>
      <c r="G38" s="49" t="s">
        <v>58</v>
      </c>
      <c r="H38" s="50">
        <v>10760</v>
      </c>
      <c r="I38" s="49"/>
      <c r="J38" s="72"/>
      <c r="K38" s="73"/>
      <c r="L38" s="72"/>
      <c r="M38" s="45" t="s">
        <v>97</v>
      </c>
    </row>
    <row r="39" spans="1:14" ht="17" outlineLevel="1" x14ac:dyDescent="0.35">
      <c r="A39" s="2" t="s">
        <v>95</v>
      </c>
      <c r="C39" s="49"/>
      <c r="D39" s="49"/>
      <c r="E39" s="49"/>
      <c r="F39" s="40" t="s">
        <v>60</v>
      </c>
      <c r="G39" s="39" t="s">
        <v>22</v>
      </c>
      <c r="H39" s="52">
        <v>0.81</v>
      </c>
      <c r="I39" s="49"/>
      <c r="J39" s="72"/>
      <c r="K39" s="73"/>
      <c r="L39" s="72"/>
      <c r="M39" s="45" t="s">
        <v>61</v>
      </c>
    </row>
    <row r="40" spans="1:14" ht="17" outlineLevel="1" x14ac:dyDescent="0.35">
      <c r="A40" s="2" t="s">
        <v>47</v>
      </c>
      <c r="B40" s="2" t="s">
        <v>198</v>
      </c>
      <c r="C40" s="49">
        <f>+C38+1</f>
        <v>1</v>
      </c>
      <c r="D40" s="49">
        <v>1522</v>
      </c>
      <c r="E40" s="49" t="s">
        <v>48</v>
      </c>
      <c r="F40" s="71" t="s">
        <v>49</v>
      </c>
      <c r="G40" s="49" t="s">
        <v>22</v>
      </c>
      <c r="H40" s="74">
        <v>1.6854745509257271E-3</v>
      </c>
      <c r="I40" s="42">
        <v>11000</v>
      </c>
      <c r="J40" s="87">
        <f>+($J$34-I40)*H40</f>
        <v>12.760691918483985</v>
      </c>
      <c r="K40" s="73">
        <f t="shared" ref="K40:K57" si="7">J40/$K$5*1000</f>
        <v>0.48153554409373528</v>
      </c>
      <c r="L40" s="54">
        <f t="shared" ref="L40:L54" si="8">J40/$J$58</f>
        <v>6.0862025277730466E-4</v>
      </c>
      <c r="M40" s="77" t="s">
        <v>25</v>
      </c>
    </row>
    <row r="41" spans="1:14" ht="17" outlineLevel="1" x14ac:dyDescent="0.35">
      <c r="A41" s="2" t="s">
        <v>44</v>
      </c>
      <c r="B41" s="2" t="s">
        <v>198</v>
      </c>
      <c r="C41" s="49">
        <f>+C40+1</f>
        <v>2</v>
      </c>
      <c r="D41" s="49">
        <v>1522</v>
      </c>
      <c r="E41" s="49" t="s">
        <v>98</v>
      </c>
      <c r="F41" s="71" t="s">
        <v>99</v>
      </c>
      <c r="G41" s="49" t="s">
        <v>22</v>
      </c>
      <c r="H41" s="74">
        <v>3.3714200551051586E-2</v>
      </c>
      <c r="I41" s="42">
        <v>9500</v>
      </c>
      <c r="J41" s="87">
        <f>+($J$34-I41)*H41</f>
        <v>305.82079496676533</v>
      </c>
      <c r="K41" s="73">
        <f t="shared" si="7"/>
        <v>11.540407357236427</v>
      </c>
      <c r="L41" s="54">
        <f t="shared" si="8"/>
        <v>1.4586100089731005E-2</v>
      </c>
      <c r="M41" s="77" t="s">
        <v>25</v>
      </c>
    </row>
    <row r="42" spans="1:14" ht="17" outlineLevel="1" x14ac:dyDescent="0.35">
      <c r="A42" s="2" t="s">
        <v>41</v>
      </c>
      <c r="B42" s="2" t="s">
        <v>198</v>
      </c>
      <c r="C42" s="49">
        <f t="shared" ref="C42:C57" si="9">+C41+1</f>
        <v>3</v>
      </c>
      <c r="D42" s="49">
        <v>1522</v>
      </c>
      <c r="E42" s="49" t="s">
        <v>100</v>
      </c>
      <c r="F42" s="71" t="s">
        <v>101</v>
      </c>
      <c r="G42" s="49" t="s">
        <v>22</v>
      </c>
      <c r="H42" s="74">
        <v>2.1619267743347163E-2</v>
      </c>
      <c r="I42" s="42">
        <v>5000</v>
      </c>
      <c r="J42" s="87">
        <f>+($J$34-I42)*H42</f>
        <v>293.39462197802692</v>
      </c>
      <c r="K42" s="73">
        <f t="shared" si="7"/>
        <v>11.071495168982148</v>
      </c>
      <c r="L42" s="54">
        <f t="shared" si="8"/>
        <v>1.3993434692449087E-2</v>
      </c>
      <c r="M42" s="77" t="s">
        <v>25</v>
      </c>
    </row>
    <row r="43" spans="1:14" ht="17" outlineLevel="1" x14ac:dyDescent="0.35">
      <c r="A43" s="2" t="s">
        <v>50</v>
      </c>
      <c r="B43" s="2" t="s">
        <v>198</v>
      </c>
      <c r="C43" s="49"/>
      <c r="D43" s="49">
        <v>1522</v>
      </c>
      <c r="E43" s="49"/>
      <c r="F43" s="71" t="s">
        <v>52</v>
      </c>
      <c r="G43" s="49" t="s">
        <v>22</v>
      </c>
      <c r="H43" s="74">
        <v>1.8663662730002986E-2</v>
      </c>
      <c r="I43" s="42">
        <v>0</v>
      </c>
      <c r="J43" s="87">
        <f>+($J$34-I43)*H43</f>
        <v>346.60248295679793</v>
      </c>
      <c r="K43" s="73">
        <f t="shared" si="7"/>
        <v>13.079338979501809</v>
      </c>
      <c r="L43" s="54">
        <f t="shared" si="8"/>
        <v>1.6531179667839617E-2</v>
      </c>
      <c r="M43" s="77" t="s">
        <v>52</v>
      </c>
    </row>
    <row r="44" spans="1:14" ht="17" outlineLevel="1" x14ac:dyDescent="0.35">
      <c r="B44" s="2" t="s">
        <v>94</v>
      </c>
      <c r="C44" s="49">
        <f>+C42+1</f>
        <v>4</v>
      </c>
      <c r="D44" s="49" t="s">
        <v>102</v>
      </c>
      <c r="E44" s="49" t="s">
        <v>103</v>
      </c>
      <c r="F44" s="71" t="s">
        <v>104</v>
      </c>
      <c r="G44" s="49" t="s">
        <v>91</v>
      </c>
      <c r="H44" s="74">
        <v>3.4759999999999999E-2</v>
      </c>
      <c r="I44" s="42">
        <v>5082</v>
      </c>
      <c r="J44" s="87">
        <f>+H44*I44</f>
        <v>176.65031999999999</v>
      </c>
      <c r="K44" s="73">
        <f t="shared" si="7"/>
        <v>6.6660498113207547</v>
      </c>
      <c r="L44" s="54">
        <f t="shared" si="8"/>
        <v>8.4253238851302557E-3</v>
      </c>
      <c r="M44" s="77" t="s">
        <v>105</v>
      </c>
      <c r="N44" s="116"/>
    </row>
    <row r="45" spans="1:14" ht="17" outlineLevel="1" x14ac:dyDescent="0.35">
      <c r="B45" s="2" t="s">
        <v>94</v>
      </c>
      <c r="C45" s="49">
        <f t="shared" si="9"/>
        <v>5</v>
      </c>
      <c r="D45" s="49" t="s">
        <v>102</v>
      </c>
      <c r="E45" s="49" t="s">
        <v>106</v>
      </c>
      <c r="F45" s="71" t="s">
        <v>107</v>
      </c>
      <c r="G45" s="49" t="s">
        <v>91</v>
      </c>
      <c r="H45" s="74">
        <v>2.8399999999999996E-3</v>
      </c>
      <c r="I45" s="42">
        <v>11500</v>
      </c>
      <c r="J45" s="75">
        <f>+H45*I45</f>
        <v>32.659999999999997</v>
      </c>
      <c r="K45" s="73">
        <f t="shared" si="7"/>
        <v>1.232452830188679</v>
      </c>
      <c r="L45" s="54">
        <f t="shared" si="8"/>
        <v>1.557716272964318E-3</v>
      </c>
      <c r="M45" s="77" t="s">
        <v>105</v>
      </c>
      <c r="N45" s="116"/>
    </row>
    <row r="46" spans="1:14" ht="17" outlineLevel="1" x14ac:dyDescent="0.35">
      <c r="B46" s="2" t="s">
        <v>94</v>
      </c>
      <c r="C46" s="49">
        <f t="shared" si="9"/>
        <v>6</v>
      </c>
      <c r="D46" s="49" t="s">
        <v>102</v>
      </c>
      <c r="E46" s="49" t="s">
        <v>108</v>
      </c>
      <c r="F46" s="71" t="s">
        <v>109</v>
      </c>
      <c r="G46" s="49" t="s">
        <v>91</v>
      </c>
      <c r="H46" s="78">
        <v>5.2000000000000006E-4</v>
      </c>
      <c r="I46" s="42">
        <v>52000</v>
      </c>
      <c r="J46" s="75">
        <f>+H46*I46</f>
        <v>27.040000000000003</v>
      </c>
      <c r="K46" s="73">
        <f t="shared" si="7"/>
        <v>1.020377358490566</v>
      </c>
      <c r="L46" s="54">
        <f t="shared" si="8"/>
        <v>1.2896707905987498E-3</v>
      </c>
      <c r="M46" s="77" t="s">
        <v>105</v>
      </c>
      <c r="N46" s="116"/>
    </row>
    <row r="47" spans="1:14" ht="34" outlineLevel="1" x14ac:dyDescent="0.35">
      <c r="A47" s="2" t="s">
        <v>95</v>
      </c>
      <c r="B47" s="2" t="s">
        <v>199</v>
      </c>
      <c r="C47" s="49">
        <f t="shared" si="9"/>
        <v>7</v>
      </c>
      <c r="D47" s="49" t="s">
        <v>62</v>
      </c>
      <c r="E47" s="49">
        <v>622</v>
      </c>
      <c r="F47" s="71" t="s">
        <v>63</v>
      </c>
      <c r="G47" s="49" t="s">
        <v>64</v>
      </c>
      <c r="H47" s="49">
        <v>1</v>
      </c>
      <c r="I47" s="42">
        <v>861075209.62666678</v>
      </c>
      <c r="J47" s="75">
        <f>+I47/($H$38*$H$39*24*30)</f>
        <v>137.21806773465374</v>
      </c>
      <c r="K47" s="73">
        <f t="shared" si="7"/>
        <v>5.1780402918737254</v>
      </c>
      <c r="L47" s="54">
        <f t="shared" si="8"/>
        <v>6.5446055436310536E-3</v>
      </c>
      <c r="M47" s="79" t="s">
        <v>110</v>
      </c>
      <c r="N47" s="116"/>
    </row>
    <row r="48" spans="1:14" ht="34" outlineLevel="1" x14ac:dyDescent="0.35">
      <c r="A48" s="2" t="s">
        <v>95</v>
      </c>
      <c r="B48" s="2" t="s">
        <v>200</v>
      </c>
      <c r="C48" s="49">
        <f t="shared" si="9"/>
        <v>8</v>
      </c>
      <c r="D48" s="49" t="s">
        <v>62</v>
      </c>
      <c r="E48" s="49">
        <v>6271</v>
      </c>
      <c r="F48" s="71" t="s">
        <v>65</v>
      </c>
      <c r="G48" s="49" t="s">
        <v>64</v>
      </c>
      <c r="H48" s="49">
        <v>1</v>
      </c>
      <c r="I48" s="42">
        <v>1604547060.48</v>
      </c>
      <c r="J48" s="75">
        <f t="shared" ref="J48:J57" si="10">+I48/($H$38*$H$39*24*30)</f>
        <v>255.69525723989165</v>
      </c>
      <c r="K48" s="73">
        <f t="shared" si="7"/>
        <v>9.6488776316940239</v>
      </c>
      <c r="L48" s="54">
        <f t="shared" si="8"/>
        <v>1.2195366292785568E-2</v>
      </c>
      <c r="M48" s="79" t="s">
        <v>66</v>
      </c>
      <c r="N48" s="116"/>
    </row>
    <row r="49" spans="1:14" ht="17" outlineLevel="1" x14ac:dyDescent="0.35">
      <c r="A49" s="2" t="s">
        <v>95</v>
      </c>
      <c r="B49" s="2" t="s">
        <v>201</v>
      </c>
      <c r="C49" s="49">
        <f t="shared" si="9"/>
        <v>9</v>
      </c>
      <c r="D49" s="49" t="s">
        <v>67</v>
      </c>
      <c r="E49" s="49">
        <v>6272</v>
      </c>
      <c r="F49" s="71" t="s">
        <v>68</v>
      </c>
      <c r="G49" s="49" t="s">
        <v>64</v>
      </c>
      <c r="H49" s="49">
        <v>1</v>
      </c>
      <c r="I49" s="42">
        <v>329511625</v>
      </c>
      <c r="J49" s="75">
        <f t="shared" si="10"/>
        <v>52.50987134818282</v>
      </c>
      <c r="K49" s="73">
        <f t="shared" si="7"/>
        <v>1.9815045791767103</v>
      </c>
      <c r="L49" s="54">
        <f t="shared" si="8"/>
        <v>2.5044544118287566E-3</v>
      </c>
      <c r="M49" s="45" t="s">
        <v>69</v>
      </c>
      <c r="N49" s="116"/>
    </row>
    <row r="50" spans="1:14" ht="17" outlineLevel="1" x14ac:dyDescent="0.35">
      <c r="A50" s="2" t="s">
        <v>95</v>
      </c>
      <c r="B50" s="2" t="s">
        <v>202</v>
      </c>
      <c r="C50" s="49">
        <f t="shared" si="9"/>
        <v>10</v>
      </c>
      <c r="D50" s="49" t="s">
        <v>67</v>
      </c>
      <c r="E50" s="49">
        <v>6273</v>
      </c>
      <c r="F50" s="71" t="s">
        <v>70</v>
      </c>
      <c r="G50" s="49" t="s">
        <v>64</v>
      </c>
      <c r="H50" s="49">
        <v>1</v>
      </c>
      <c r="I50" s="42">
        <v>169519413.33333334</v>
      </c>
      <c r="J50" s="75">
        <f t="shared" si="10"/>
        <v>27.014047183169215</v>
      </c>
      <c r="K50" s="73">
        <f t="shared" si="7"/>
        <v>1.0193980069120459</v>
      </c>
      <c r="L50" s="54">
        <f t="shared" si="8"/>
        <v>1.2884329729286157E-3</v>
      </c>
      <c r="M50" s="45" t="s">
        <v>69</v>
      </c>
      <c r="N50" s="116"/>
    </row>
    <row r="51" spans="1:14" ht="17" outlineLevel="1" x14ac:dyDescent="0.35">
      <c r="A51" s="2" t="s">
        <v>95</v>
      </c>
      <c r="B51" s="2" t="s">
        <v>204</v>
      </c>
      <c r="C51" s="49">
        <f t="shared" si="9"/>
        <v>11</v>
      </c>
      <c r="D51" s="49" t="s">
        <v>71</v>
      </c>
      <c r="E51" s="49" t="s">
        <v>72</v>
      </c>
      <c r="F51" s="51" t="s">
        <v>73</v>
      </c>
      <c r="G51" s="49" t="s">
        <v>64</v>
      </c>
      <c r="H51" s="49">
        <v>1</v>
      </c>
      <c r="I51" s="42">
        <v>1033798316.1365891</v>
      </c>
      <c r="J51" s="75">
        <f t="shared" si="10"/>
        <v>164.74264475585747</v>
      </c>
      <c r="K51" s="73">
        <f t="shared" si="7"/>
        <v>6.2167035756927342</v>
      </c>
      <c r="L51" s="54">
        <f t="shared" si="8"/>
        <v>7.857388199246142E-3</v>
      </c>
      <c r="M51" s="45" t="s">
        <v>74</v>
      </c>
      <c r="N51" s="116"/>
    </row>
    <row r="52" spans="1:14" ht="17" outlineLevel="1" x14ac:dyDescent="0.35">
      <c r="A52" s="2" t="s">
        <v>95</v>
      </c>
      <c r="B52" s="2" t="s">
        <v>204</v>
      </c>
      <c r="C52" s="49">
        <f t="shared" si="9"/>
        <v>12</v>
      </c>
      <c r="D52" s="49" t="s">
        <v>71</v>
      </c>
      <c r="E52" s="49" t="s">
        <v>75</v>
      </c>
      <c r="F52" s="51" t="s">
        <v>76</v>
      </c>
      <c r="G52" s="49" t="s">
        <v>64</v>
      </c>
      <c r="H52" s="49">
        <v>1</v>
      </c>
      <c r="I52" s="42">
        <v>405801438.51666665</v>
      </c>
      <c r="J52" s="75">
        <f t="shared" si="10"/>
        <v>64.667161073354194</v>
      </c>
      <c r="K52" s="73">
        <f t="shared" si="7"/>
        <v>2.4402702291831773</v>
      </c>
      <c r="L52" s="54">
        <f t="shared" si="8"/>
        <v>3.0842954418361461E-3</v>
      </c>
      <c r="M52" s="45" t="s">
        <v>74</v>
      </c>
      <c r="N52" s="116"/>
    </row>
    <row r="53" spans="1:14" ht="17" outlineLevel="1" x14ac:dyDescent="0.35">
      <c r="A53" s="2" t="s">
        <v>95</v>
      </c>
      <c r="B53" s="2" t="s">
        <v>204</v>
      </c>
      <c r="C53" s="49">
        <f t="shared" si="9"/>
        <v>13</v>
      </c>
      <c r="D53" s="49" t="s">
        <v>71</v>
      </c>
      <c r="E53" s="49" t="s">
        <v>77</v>
      </c>
      <c r="F53" s="51" t="s">
        <v>78</v>
      </c>
      <c r="G53" s="49" t="s">
        <v>64</v>
      </c>
      <c r="H53" s="49">
        <v>1</v>
      </c>
      <c r="I53" s="42">
        <v>395747641.47301221</v>
      </c>
      <c r="J53" s="75">
        <f t="shared" si="10"/>
        <v>63.065021575777941</v>
      </c>
      <c r="K53" s="73">
        <f t="shared" si="7"/>
        <v>2.3798121349350163</v>
      </c>
      <c r="L53" s="54">
        <f t="shared" si="8"/>
        <v>3.0078815175577198E-3</v>
      </c>
      <c r="M53" s="45" t="s">
        <v>74</v>
      </c>
      <c r="N53" s="116"/>
    </row>
    <row r="54" spans="1:14" ht="17" outlineLevel="1" x14ac:dyDescent="0.35">
      <c r="A54" s="2" t="s">
        <v>95</v>
      </c>
      <c r="B54" s="2" t="s">
        <v>204</v>
      </c>
      <c r="C54" s="49">
        <f t="shared" si="9"/>
        <v>14</v>
      </c>
      <c r="D54" s="49" t="s">
        <v>71</v>
      </c>
      <c r="E54" s="49" t="s">
        <v>79</v>
      </c>
      <c r="F54" s="51" t="s">
        <v>80</v>
      </c>
      <c r="G54" s="49" t="s">
        <v>64</v>
      </c>
      <c r="H54" s="49">
        <v>1</v>
      </c>
      <c r="I54" s="42">
        <v>474951452.06149429</v>
      </c>
      <c r="J54" s="75">
        <f t="shared" si="10"/>
        <v>75.686676135877406</v>
      </c>
      <c r="K54" s="73">
        <f t="shared" si="7"/>
        <v>2.8561009862595248</v>
      </c>
      <c r="L54" s="54">
        <f t="shared" si="8"/>
        <v>3.6098703938590433E-3</v>
      </c>
      <c r="M54" s="45" t="s">
        <v>74</v>
      </c>
      <c r="N54" s="116"/>
    </row>
    <row r="55" spans="1:14" ht="34" outlineLevel="1" x14ac:dyDescent="0.35">
      <c r="A55" s="2" t="s">
        <v>95</v>
      </c>
      <c r="B55" s="2" t="s">
        <v>203</v>
      </c>
      <c r="C55" s="49">
        <f>+C51+1</f>
        <v>12</v>
      </c>
      <c r="D55" s="49" t="s">
        <v>81</v>
      </c>
      <c r="E55" s="49">
        <v>6275</v>
      </c>
      <c r="F55" s="71" t="s">
        <v>82</v>
      </c>
      <c r="G55" s="49" t="s">
        <v>64</v>
      </c>
      <c r="H55" s="49">
        <v>1</v>
      </c>
      <c r="I55" s="42">
        <v>1249738015.3333333</v>
      </c>
      <c r="J55" s="75">
        <f t="shared" si="10"/>
        <v>199.15407355988322</v>
      </c>
      <c r="K55" s="73">
        <f t="shared" si="7"/>
        <v>7.5152480588635182</v>
      </c>
      <c r="L55" s="54">
        <f>J55/$J$58</f>
        <v>9.4986387388659808E-3</v>
      </c>
      <c r="M55" s="45" t="s">
        <v>111</v>
      </c>
      <c r="N55" s="116"/>
    </row>
    <row r="56" spans="1:14" ht="17" outlineLevel="1" x14ac:dyDescent="0.35">
      <c r="A56" s="2" t="s">
        <v>95</v>
      </c>
      <c r="B56" s="2" t="s">
        <v>203</v>
      </c>
      <c r="C56" s="49">
        <f t="shared" si="9"/>
        <v>13</v>
      </c>
      <c r="D56" s="49" t="s">
        <v>112</v>
      </c>
      <c r="E56" s="49">
        <v>6275</v>
      </c>
      <c r="F56" s="71" t="s">
        <v>113</v>
      </c>
      <c r="G56" s="49" t="s">
        <v>64</v>
      </c>
      <c r="H56" s="49">
        <v>1</v>
      </c>
      <c r="I56" s="42">
        <v>138647320</v>
      </c>
      <c r="J56" s="75">
        <f t="shared" si="10"/>
        <v>22.094373562602939</v>
      </c>
      <c r="K56" s="73">
        <f t="shared" si="7"/>
        <v>0.83374994575860151</v>
      </c>
      <c r="L56" s="54">
        <f>J56/$J$58</f>
        <v>1.0537895051873612E-3</v>
      </c>
      <c r="M56" s="45" t="s">
        <v>69</v>
      </c>
      <c r="N56" s="116"/>
    </row>
    <row r="57" spans="1:14" ht="17" outlineLevel="1" x14ac:dyDescent="0.35">
      <c r="A57" s="2" t="s">
        <v>95</v>
      </c>
      <c r="B57" s="2" t="s">
        <v>205</v>
      </c>
      <c r="C57" s="49">
        <f t="shared" si="9"/>
        <v>14</v>
      </c>
      <c r="D57" s="49" t="s">
        <v>67</v>
      </c>
      <c r="E57" s="49">
        <v>6277.6278000000002</v>
      </c>
      <c r="F57" s="71" t="s">
        <v>85</v>
      </c>
      <c r="G57" s="49" t="s">
        <v>64</v>
      </c>
      <c r="H57" s="49">
        <v>1</v>
      </c>
      <c r="I57" s="42">
        <v>871229392.78523934</v>
      </c>
      <c r="J57" s="75">
        <f t="shared" si="10"/>
        <v>138.83620442801782</v>
      </c>
      <c r="K57" s="73">
        <f t="shared" si="7"/>
        <v>5.2391020538874642</v>
      </c>
      <c r="L57" s="54">
        <f>J57/$J$58</f>
        <v>6.6217824529737936E-3</v>
      </c>
      <c r="M57" s="45" t="s">
        <v>69</v>
      </c>
      <c r="N57" s="116"/>
    </row>
    <row r="58" spans="1:14" ht="21" customHeight="1" x14ac:dyDescent="0.35">
      <c r="C58" s="57"/>
      <c r="D58" s="179" t="s">
        <v>114</v>
      </c>
      <c r="E58" s="179"/>
      <c r="F58" s="179"/>
      <c r="G58" s="58"/>
      <c r="H58" s="58"/>
      <c r="I58" s="58"/>
      <c r="J58" s="59">
        <f>J36+J37</f>
        <v>20966.591006877235</v>
      </c>
      <c r="K58" s="60">
        <f>J58*1000/$K$5</f>
        <v>791.1921134670655</v>
      </c>
      <c r="L58" s="61">
        <f>J58/$J$58</f>
        <v>1</v>
      </c>
      <c r="M58" s="62"/>
    </row>
    <row r="59" spans="1:14" ht="17" x14ac:dyDescent="0.35">
      <c r="C59" s="22" t="s">
        <v>192</v>
      </c>
      <c r="D59" s="23" t="s">
        <v>194</v>
      </c>
      <c r="E59" s="23"/>
      <c r="F59" s="63"/>
      <c r="G59" s="64"/>
      <c r="H59" s="64"/>
      <c r="I59" s="64"/>
      <c r="J59" s="65"/>
      <c r="K59" s="66"/>
      <c r="L59" s="67"/>
      <c r="M59" s="85"/>
    </row>
    <row r="60" spans="1:14" ht="17" x14ac:dyDescent="0.35">
      <c r="C60" s="89" t="s">
        <v>17</v>
      </c>
      <c r="D60" s="89"/>
      <c r="E60" s="89"/>
      <c r="F60" s="90" t="s">
        <v>193</v>
      </c>
      <c r="G60" s="89"/>
      <c r="H60" s="89">
        <v>1</v>
      </c>
      <c r="I60" s="91"/>
      <c r="J60" s="91">
        <f>+J58</f>
        <v>20966.591006877235</v>
      </c>
      <c r="K60" s="92">
        <f>J60/$K$5*1000</f>
        <v>791.1921134670655</v>
      </c>
      <c r="L60" s="36">
        <f>J60/$J$109</f>
        <v>0.6432456207049313</v>
      </c>
      <c r="M60" s="48"/>
    </row>
    <row r="61" spans="1:14" ht="17" x14ac:dyDescent="0.35">
      <c r="C61" s="31" t="s">
        <v>20</v>
      </c>
      <c r="D61" s="47"/>
      <c r="E61" s="47"/>
      <c r="F61" s="32" t="s">
        <v>117</v>
      </c>
      <c r="G61" s="31"/>
      <c r="H61" s="93"/>
      <c r="I61" s="93"/>
      <c r="J61" s="33">
        <f>SUM(J62:J79)</f>
        <v>3440.1729430264604</v>
      </c>
      <c r="K61" s="35">
        <f>J61*1000/$K$5</f>
        <v>129.81784690665887</v>
      </c>
      <c r="L61" s="36">
        <f>J61/$J$109</f>
        <v>0.10554296496476331</v>
      </c>
      <c r="M61" s="94"/>
    </row>
    <row r="62" spans="1:14" ht="17" outlineLevel="1" x14ac:dyDescent="0.35">
      <c r="A62" s="2" t="s">
        <v>118</v>
      </c>
      <c r="C62" s="49">
        <v>0</v>
      </c>
      <c r="D62" s="49" t="s">
        <v>56</v>
      </c>
      <c r="E62" s="49"/>
      <c r="F62" s="71" t="s">
        <v>57</v>
      </c>
      <c r="G62" s="49" t="s">
        <v>58</v>
      </c>
      <c r="H62" s="50">
        <v>6000</v>
      </c>
      <c r="I62" s="49"/>
      <c r="J62" s="72"/>
      <c r="K62" s="73"/>
      <c r="L62" s="72"/>
      <c r="M62" s="45" t="s">
        <v>119</v>
      </c>
    </row>
    <row r="63" spans="1:14" ht="17" outlineLevel="1" x14ac:dyDescent="0.35">
      <c r="A63" s="2" t="s">
        <v>118</v>
      </c>
      <c r="C63" s="49"/>
      <c r="D63" s="49"/>
      <c r="E63" s="49"/>
      <c r="F63" s="40" t="s">
        <v>60</v>
      </c>
      <c r="G63" s="39" t="s">
        <v>22</v>
      </c>
      <c r="H63" s="52">
        <v>0.75</v>
      </c>
      <c r="I63" s="49"/>
      <c r="J63" s="72"/>
      <c r="K63" s="73"/>
      <c r="L63" s="72"/>
      <c r="M63" s="45" t="s">
        <v>61</v>
      </c>
    </row>
    <row r="64" spans="1:14" ht="17" outlineLevel="1" x14ac:dyDescent="0.35">
      <c r="A64" s="2" t="s">
        <v>120</v>
      </c>
      <c r="B64" s="2" t="s">
        <v>198</v>
      </c>
      <c r="C64" s="49">
        <f>+C63+1</f>
        <v>1</v>
      </c>
      <c r="D64" s="49">
        <v>1522</v>
      </c>
      <c r="E64" s="49" t="s">
        <v>121</v>
      </c>
      <c r="F64" s="71" t="s">
        <v>122</v>
      </c>
      <c r="G64" s="49" t="s">
        <v>22</v>
      </c>
      <c r="H64" s="74">
        <v>1.6131690255566215E-2</v>
      </c>
      <c r="I64" s="42">
        <v>8000</v>
      </c>
      <c r="J64" s="87">
        <f>+(J$60-I64)*H64</f>
        <v>209.17302979355401</v>
      </c>
      <c r="K64" s="73">
        <f t="shared" ref="K64:K79" si="11">J64/$K$5*1000</f>
        <v>7.8933218790020376</v>
      </c>
      <c r="L64" s="76">
        <f t="shared" ref="L64:L80" si="12">J64/$J$109</f>
        <v>6.4173348609772663E-3</v>
      </c>
      <c r="M64" s="77" t="s">
        <v>25</v>
      </c>
    </row>
    <row r="65" spans="1:13" ht="17" outlineLevel="1" x14ac:dyDescent="0.35">
      <c r="A65" s="2" t="s">
        <v>123</v>
      </c>
      <c r="B65" s="2" t="s">
        <v>198</v>
      </c>
      <c r="C65" s="49">
        <f t="shared" ref="C65:C79" si="13">+C64+1</f>
        <v>2</v>
      </c>
      <c r="D65" s="49">
        <v>1522</v>
      </c>
      <c r="E65" s="49" t="s">
        <v>124</v>
      </c>
      <c r="F65" s="71" t="s">
        <v>125</v>
      </c>
      <c r="G65" s="49" t="s">
        <v>22</v>
      </c>
      <c r="H65" s="74">
        <v>1.3616788855374437E-2</v>
      </c>
      <c r="I65" s="42">
        <v>9500</v>
      </c>
      <c r="J65" s="87">
        <f>+(J$60-I65)*H65</f>
        <v>156.13814863158268</v>
      </c>
      <c r="K65" s="73">
        <f t="shared" si="11"/>
        <v>5.8920056087389696</v>
      </c>
      <c r="L65" s="76">
        <f t="shared" si="12"/>
        <v>4.7902484623894058E-3</v>
      </c>
      <c r="M65" s="77" t="s">
        <v>25</v>
      </c>
    </row>
    <row r="66" spans="1:13" ht="17" outlineLevel="1" x14ac:dyDescent="0.35">
      <c r="A66" s="2" t="s">
        <v>41</v>
      </c>
      <c r="B66" s="2" t="s">
        <v>198</v>
      </c>
      <c r="C66" s="49">
        <f t="shared" si="13"/>
        <v>3</v>
      </c>
      <c r="D66" s="49">
        <v>1522</v>
      </c>
      <c r="E66" s="49" t="s">
        <v>100</v>
      </c>
      <c r="F66" s="71" t="s">
        <v>101</v>
      </c>
      <c r="G66" s="49" t="s">
        <v>22</v>
      </c>
      <c r="H66" s="78">
        <v>3.1953672104740742E-4</v>
      </c>
      <c r="I66" s="42">
        <v>5000</v>
      </c>
      <c r="J66" s="87">
        <f>+(J$60-I66)*H66</f>
        <v>5.101912136642575</v>
      </c>
      <c r="K66" s="73">
        <f t="shared" si="11"/>
        <v>0.19252498628839906</v>
      </c>
      <c r="L66" s="76">
        <f t="shared" si="12"/>
        <v>1.5652437909625938E-4</v>
      </c>
      <c r="M66" s="77" t="s">
        <v>25</v>
      </c>
    </row>
    <row r="67" spans="1:13" ht="17" outlineLevel="1" x14ac:dyDescent="0.35">
      <c r="A67" s="2" t="s">
        <v>126</v>
      </c>
      <c r="B67" s="2" t="s">
        <v>198</v>
      </c>
      <c r="C67" s="49"/>
      <c r="D67" s="49">
        <v>1522</v>
      </c>
      <c r="E67" s="49" t="s">
        <v>127</v>
      </c>
      <c r="F67" s="71" t="s">
        <v>128</v>
      </c>
      <c r="G67" s="49" t="s">
        <v>22</v>
      </c>
      <c r="H67" s="74">
        <v>8.5630942654436031E-3</v>
      </c>
      <c r="I67" s="42">
        <v>15000</v>
      </c>
      <c r="J67" s="87">
        <f>+(J$60-I67)*H67</f>
        <v>51.092481235237827</v>
      </c>
      <c r="K67" s="73">
        <f t="shared" si="11"/>
        <v>1.9280181598202952</v>
      </c>
      <c r="L67" s="76">
        <f t="shared" si="12"/>
        <v>1.567494438878289E-3</v>
      </c>
      <c r="M67" s="77" t="s">
        <v>25</v>
      </c>
    </row>
    <row r="68" spans="1:13" ht="17" outlineLevel="1" x14ac:dyDescent="0.35">
      <c r="A68" s="2" t="s">
        <v>50</v>
      </c>
      <c r="B68" s="2" t="s">
        <v>198</v>
      </c>
      <c r="C68" s="49">
        <f>+C66+1</f>
        <v>4</v>
      </c>
      <c r="D68" s="49">
        <v>1522</v>
      </c>
      <c r="E68" s="49"/>
      <c r="F68" s="71" t="s">
        <v>129</v>
      </c>
      <c r="G68" s="49" t="s">
        <v>22</v>
      </c>
      <c r="H68" s="74">
        <v>1.4301666886062395E-2</v>
      </c>
      <c r="I68" s="75">
        <v>0</v>
      </c>
      <c r="J68" s="87">
        <f>+(J$60-I68)*H68</f>
        <v>299.85720031666978</v>
      </c>
      <c r="K68" s="73">
        <f t="shared" si="11"/>
        <v>11.315366049685652</v>
      </c>
      <c r="L68" s="76">
        <f t="shared" si="12"/>
        <v>9.1994845932403674E-3</v>
      </c>
      <c r="M68" s="77" t="s">
        <v>52</v>
      </c>
    </row>
    <row r="69" spans="1:13" ht="17" outlineLevel="1" x14ac:dyDescent="0.35">
      <c r="B69" s="2" t="s">
        <v>206</v>
      </c>
      <c r="C69" s="49">
        <f t="shared" si="13"/>
        <v>5</v>
      </c>
      <c r="D69" s="49" t="s">
        <v>102</v>
      </c>
      <c r="E69" s="49">
        <v>120003033</v>
      </c>
      <c r="F69" s="96" t="s">
        <v>188</v>
      </c>
      <c r="G69" s="86" t="s">
        <v>22</v>
      </c>
      <c r="H69" s="97">
        <v>1.4799999999999999E-4</v>
      </c>
      <c r="I69" s="42">
        <v>1007386</v>
      </c>
      <c r="J69" s="87">
        <f>+H69*I69</f>
        <v>149.09312799999998</v>
      </c>
      <c r="K69" s="73">
        <f t="shared" si="11"/>
        <v>5.6261557735849053</v>
      </c>
      <c r="L69" s="76">
        <f t="shared" si="12"/>
        <v>4.5741103850283783E-3</v>
      </c>
      <c r="M69" s="77" t="s">
        <v>105</v>
      </c>
    </row>
    <row r="70" spans="1:13" ht="17" outlineLevel="1" x14ac:dyDescent="0.35">
      <c r="A70" s="2" t="s">
        <v>118</v>
      </c>
      <c r="B70" s="2" t="s">
        <v>199</v>
      </c>
      <c r="C70" s="49">
        <f t="shared" si="13"/>
        <v>6</v>
      </c>
      <c r="D70" s="49" t="s">
        <v>62</v>
      </c>
      <c r="E70" s="49">
        <v>622</v>
      </c>
      <c r="F70" s="71" t="s">
        <v>63</v>
      </c>
      <c r="G70" s="49" t="s">
        <v>64</v>
      </c>
      <c r="H70" s="49">
        <v>1</v>
      </c>
      <c r="I70" s="42">
        <v>484485710.45333332</v>
      </c>
      <c r="J70" s="87">
        <f>H70*I70/($H$62*$H$63*24*30)</f>
        <v>149.53262668312757</v>
      </c>
      <c r="K70" s="73">
        <f t="shared" si="11"/>
        <v>5.6427406295519837</v>
      </c>
      <c r="L70" s="76">
        <f t="shared" si="12"/>
        <v>4.5875940077658404E-3</v>
      </c>
      <c r="M70" s="79"/>
    </row>
    <row r="71" spans="1:13" ht="34" outlineLevel="1" x14ac:dyDescent="0.35">
      <c r="A71" s="2" t="s">
        <v>118</v>
      </c>
      <c r="B71" s="2" t="s">
        <v>200</v>
      </c>
      <c r="C71" s="49">
        <f t="shared" si="13"/>
        <v>7</v>
      </c>
      <c r="D71" s="49" t="s">
        <v>62</v>
      </c>
      <c r="E71" s="49">
        <v>6271</v>
      </c>
      <c r="F71" s="71" t="s">
        <v>65</v>
      </c>
      <c r="G71" s="49" t="s">
        <v>64</v>
      </c>
      <c r="H71" s="49">
        <v>1</v>
      </c>
      <c r="I71" s="42">
        <v>1220678817.28</v>
      </c>
      <c r="J71" s="87">
        <f t="shared" ref="J71:J79" si="14">H71*I71/($H$62*$H$63*24*30)</f>
        <v>376.75272138271606</v>
      </c>
      <c r="K71" s="73">
        <f t="shared" si="11"/>
        <v>14.21708382576287</v>
      </c>
      <c r="L71" s="76">
        <f t="shared" si="12"/>
        <v>1.1558604736392577E-2</v>
      </c>
      <c r="M71" s="79" t="s">
        <v>66</v>
      </c>
    </row>
    <row r="72" spans="1:13" ht="17" outlineLevel="1" x14ac:dyDescent="0.35">
      <c r="A72" s="2" t="s">
        <v>118</v>
      </c>
      <c r="B72" s="2" t="s">
        <v>201</v>
      </c>
      <c r="C72" s="49">
        <f t="shared" si="13"/>
        <v>8</v>
      </c>
      <c r="D72" s="49" t="s">
        <v>67</v>
      </c>
      <c r="E72" s="49">
        <v>6272</v>
      </c>
      <c r="F72" s="71" t="s">
        <v>68</v>
      </c>
      <c r="G72" s="49" t="s">
        <v>64</v>
      </c>
      <c r="H72" s="49">
        <v>1</v>
      </c>
      <c r="I72" s="42">
        <v>362801871.33333331</v>
      </c>
      <c r="J72" s="87">
        <f t="shared" si="14"/>
        <v>111.97588621399176</v>
      </c>
      <c r="K72" s="73">
        <f t="shared" si="11"/>
        <v>4.2255051401506325</v>
      </c>
      <c r="L72" s="76">
        <f t="shared" si="12"/>
        <v>3.4353700326427905E-3</v>
      </c>
      <c r="M72" s="45" t="s">
        <v>69</v>
      </c>
    </row>
    <row r="73" spans="1:13" ht="17" outlineLevel="1" x14ac:dyDescent="0.35">
      <c r="A73" s="2" t="s">
        <v>118</v>
      </c>
      <c r="B73" s="2" t="s">
        <v>202</v>
      </c>
      <c r="C73" s="49">
        <f t="shared" si="13"/>
        <v>9</v>
      </c>
      <c r="D73" s="49" t="s">
        <v>67</v>
      </c>
      <c r="E73" s="49">
        <v>6273</v>
      </c>
      <c r="F73" s="71" t="s">
        <v>70</v>
      </c>
      <c r="G73" s="49" t="s">
        <v>64</v>
      </c>
      <c r="H73" s="49">
        <v>1</v>
      </c>
      <c r="I73" s="42">
        <v>473941442</v>
      </c>
      <c r="J73" s="87">
        <f t="shared" si="14"/>
        <v>146.27822283950618</v>
      </c>
      <c r="K73" s="73">
        <f t="shared" si="11"/>
        <v>5.5199329373398562</v>
      </c>
      <c r="L73" s="76">
        <f t="shared" si="12"/>
        <v>4.487750355560859E-3</v>
      </c>
      <c r="M73" s="45" t="s">
        <v>69</v>
      </c>
    </row>
    <row r="74" spans="1:13" ht="17" outlineLevel="1" x14ac:dyDescent="0.35">
      <c r="A74" s="2" t="s">
        <v>118</v>
      </c>
      <c r="B74" s="2" t="s">
        <v>204</v>
      </c>
      <c r="C74" s="49">
        <f t="shared" si="13"/>
        <v>10</v>
      </c>
      <c r="D74" s="86" t="s">
        <v>71</v>
      </c>
      <c r="E74" s="49" t="s">
        <v>72</v>
      </c>
      <c r="F74" s="51" t="s">
        <v>73</v>
      </c>
      <c r="G74" s="49" t="s">
        <v>64</v>
      </c>
      <c r="H74" s="49">
        <v>1</v>
      </c>
      <c r="I74" s="42">
        <v>2010376291.8731103</v>
      </c>
      <c r="J74" s="87">
        <f t="shared" si="14"/>
        <v>620.48650983737969</v>
      </c>
      <c r="K74" s="73">
        <f t="shared" si="11"/>
        <v>23.414585276882253</v>
      </c>
      <c r="L74" s="76">
        <f t="shared" si="12"/>
        <v>1.9036248192587198E-2</v>
      </c>
      <c r="M74" s="45" t="s">
        <v>74</v>
      </c>
    </row>
    <row r="75" spans="1:13" ht="17" outlineLevel="1" x14ac:dyDescent="0.35">
      <c r="A75" s="2" t="s">
        <v>118</v>
      </c>
      <c r="B75" s="2" t="s">
        <v>204</v>
      </c>
      <c r="C75" s="49">
        <f t="shared" si="13"/>
        <v>11</v>
      </c>
      <c r="D75" s="86" t="s">
        <v>71</v>
      </c>
      <c r="E75" s="49" t="s">
        <v>75</v>
      </c>
      <c r="F75" s="51" t="s">
        <v>76</v>
      </c>
      <c r="G75" s="49" t="s">
        <v>64</v>
      </c>
      <c r="H75" s="49">
        <v>1</v>
      </c>
      <c r="I75" s="42">
        <v>411759310.47222227</v>
      </c>
      <c r="J75" s="87">
        <f t="shared" si="14"/>
        <v>127.08620693587108</v>
      </c>
      <c r="K75" s="73">
        <f t="shared" si="11"/>
        <v>4.7957059221083425</v>
      </c>
      <c r="L75" s="76">
        <f t="shared" si="12"/>
        <v>3.8989479041531242E-3</v>
      </c>
      <c r="M75" s="45" t="s">
        <v>74</v>
      </c>
    </row>
    <row r="76" spans="1:13" ht="17" outlineLevel="1" x14ac:dyDescent="0.35">
      <c r="A76" s="2" t="s">
        <v>118</v>
      </c>
      <c r="B76" s="2" t="s">
        <v>204</v>
      </c>
      <c r="C76" s="49">
        <f t="shared" si="13"/>
        <v>12</v>
      </c>
      <c r="D76" s="86" t="s">
        <v>71</v>
      </c>
      <c r="E76" s="49" t="s">
        <v>77</v>
      </c>
      <c r="F76" s="51" t="s">
        <v>78</v>
      </c>
      <c r="G76" s="49" t="s">
        <v>64</v>
      </c>
      <c r="H76" s="49">
        <v>1</v>
      </c>
      <c r="I76" s="42">
        <v>239588909.45663416</v>
      </c>
      <c r="J76" s="87">
        <f t="shared" si="14"/>
        <v>73.947194276738941</v>
      </c>
      <c r="K76" s="73">
        <f t="shared" si="11"/>
        <v>2.7904601613863749</v>
      </c>
      <c r="L76" s="76">
        <f t="shared" si="12"/>
        <v>2.2686667978751018E-3</v>
      </c>
      <c r="M76" s="45" t="s">
        <v>74</v>
      </c>
    </row>
    <row r="77" spans="1:13" ht="17" outlineLevel="1" x14ac:dyDescent="0.35">
      <c r="A77" s="2" t="s">
        <v>118</v>
      </c>
      <c r="B77" s="2" t="s">
        <v>204</v>
      </c>
      <c r="C77" s="49">
        <f t="shared" si="13"/>
        <v>13</v>
      </c>
      <c r="D77" s="86" t="s">
        <v>71</v>
      </c>
      <c r="E77" s="49" t="s">
        <v>79</v>
      </c>
      <c r="F77" s="51" t="s">
        <v>80</v>
      </c>
      <c r="G77" s="49" t="s">
        <v>64</v>
      </c>
      <c r="H77" s="49">
        <v>1</v>
      </c>
      <c r="I77" s="42">
        <v>287539554.29957587</v>
      </c>
      <c r="J77" s="87">
        <f t="shared" si="14"/>
        <v>88.746776018387607</v>
      </c>
      <c r="K77" s="73">
        <f t="shared" si="11"/>
        <v>3.3489349440900984</v>
      </c>
      <c r="L77" s="76">
        <f t="shared" si="12"/>
        <v>2.7227113366586164E-3</v>
      </c>
      <c r="M77" s="45" t="s">
        <v>74</v>
      </c>
    </row>
    <row r="78" spans="1:13" ht="34" outlineLevel="1" x14ac:dyDescent="0.35">
      <c r="A78" s="2" t="s">
        <v>118</v>
      </c>
      <c r="B78" s="2" t="s">
        <v>203</v>
      </c>
      <c r="C78" s="49">
        <f>+C74+1</f>
        <v>11</v>
      </c>
      <c r="D78" s="49" t="s">
        <v>81</v>
      </c>
      <c r="E78" s="49">
        <v>6275</v>
      </c>
      <c r="F78" s="71" t="s">
        <v>130</v>
      </c>
      <c r="G78" s="49" t="s">
        <v>83</v>
      </c>
      <c r="H78" s="98">
        <v>1</v>
      </c>
      <c r="I78" s="42">
        <v>2190921365.333333</v>
      </c>
      <c r="J78" s="87">
        <f t="shared" si="14"/>
        <v>676.21029794238677</v>
      </c>
      <c r="K78" s="73">
        <f t="shared" si="11"/>
        <v>25.517369733674972</v>
      </c>
      <c r="L78" s="76">
        <f t="shared" si="12"/>
        <v>2.0745829051768271E-2</v>
      </c>
      <c r="M78" s="45" t="s">
        <v>131</v>
      </c>
    </row>
    <row r="79" spans="1:13" ht="17" outlineLevel="1" x14ac:dyDescent="0.35">
      <c r="A79" s="2" t="s">
        <v>118</v>
      </c>
      <c r="B79" s="2" t="s">
        <v>205</v>
      </c>
      <c r="C79" s="49">
        <f t="shared" si="13"/>
        <v>12</v>
      </c>
      <c r="D79" s="49" t="s">
        <v>67</v>
      </c>
      <c r="E79" s="49">
        <v>6277.6278000000002</v>
      </c>
      <c r="F79" s="71" t="s">
        <v>85</v>
      </c>
      <c r="G79" s="49" t="s">
        <v>64</v>
      </c>
      <c r="H79" s="49">
        <v>1</v>
      </c>
      <c r="I79" s="42">
        <v>643789946.53584492</v>
      </c>
      <c r="J79" s="87">
        <f t="shared" si="14"/>
        <v>198.70060078266818</v>
      </c>
      <c r="K79" s="73">
        <f t="shared" si="11"/>
        <v>7.4981358785912526</v>
      </c>
      <c r="L79" s="76">
        <f t="shared" si="12"/>
        <v>6.0960454297489851E-3</v>
      </c>
      <c r="M79" s="45" t="s">
        <v>69</v>
      </c>
    </row>
    <row r="80" spans="1:13" ht="23.15" customHeight="1" x14ac:dyDescent="0.35">
      <c r="C80" s="57"/>
      <c r="D80" s="179" t="s">
        <v>132</v>
      </c>
      <c r="E80" s="179"/>
      <c r="F80" s="179"/>
      <c r="G80" s="58"/>
      <c r="H80" s="58"/>
      <c r="I80" s="58"/>
      <c r="J80" s="59">
        <f>J60+J61</f>
        <v>24406.763949903696</v>
      </c>
      <c r="K80" s="60">
        <f>J80*1000/$K$5</f>
        <v>921.00996037372443</v>
      </c>
      <c r="L80" s="61">
        <f t="shared" si="12"/>
        <v>0.74878858566969464</v>
      </c>
      <c r="M80" s="62"/>
    </row>
    <row r="81" spans="1:14" ht="17" x14ac:dyDescent="0.35">
      <c r="C81" s="22" t="s">
        <v>191</v>
      </c>
      <c r="D81" s="23" t="s">
        <v>170</v>
      </c>
      <c r="E81" s="23"/>
      <c r="F81" s="63"/>
      <c r="G81" s="64"/>
      <c r="H81" s="64"/>
      <c r="I81" s="64"/>
      <c r="J81" s="65"/>
      <c r="K81" s="66"/>
      <c r="L81" s="67"/>
      <c r="M81" s="85"/>
    </row>
    <row r="82" spans="1:14" ht="20.399999999999999" customHeight="1" x14ac:dyDescent="0.35">
      <c r="C82" s="31" t="s">
        <v>53</v>
      </c>
      <c r="D82" s="47"/>
      <c r="E82" s="47"/>
      <c r="F82" s="32" t="s">
        <v>133</v>
      </c>
      <c r="G82" s="31"/>
      <c r="H82" s="31"/>
      <c r="I82" s="31"/>
      <c r="J82" s="33">
        <f>J80</f>
        <v>24406.763949903696</v>
      </c>
      <c r="K82" s="35">
        <f>J82*1000/$K$5</f>
        <v>921.00996037372443</v>
      </c>
      <c r="L82" s="99">
        <f>J82/$J$109</f>
        <v>0.74878858566969464</v>
      </c>
      <c r="M82" s="94"/>
    </row>
    <row r="83" spans="1:14" ht="20.399999999999999" customHeight="1" x14ac:dyDescent="0.35">
      <c r="C83" s="31" t="s">
        <v>89</v>
      </c>
      <c r="D83" s="47"/>
      <c r="E83" s="47"/>
      <c r="F83" s="32" t="s">
        <v>171</v>
      </c>
      <c r="G83" s="31"/>
      <c r="H83" s="31"/>
      <c r="I83" s="31"/>
      <c r="J83" s="33">
        <f>SUM(J84:J98)</f>
        <v>2331.8861025668875</v>
      </c>
      <c r="K83" s="35">
        <f>J83*1000/$K$5</f>
        <v>87.995701983656133</v>
      </c>
      <c r="L83" s="36">
        <f>J83/$J$109</f>
        <v>7.1541221124923685E-2</v>
      </c>
      <c r="M83" s="94"/>
    </row>
    <row r="84" spans="1:14" ht="17" outlineLevel="1" x14ac:dyDescent="0.35">
      <c r="A84" s="2" t="s">
        <v>172</v>
      </c>
      <c r="C84" s="49">
        <v>0</v>
      </c>
      <c r="D84" s="49" t="s">
        <v>56</v>
      </c>
      <c r="E84" s="49"/>
      <c r="F84" s="71" t="s">
        <v>57</v>
      </c>
      <c r="G84" s="49" t="s">
        <v>58</v>
      </c>
      <c r="H84" s="50">
        <v>3492</v>
      </c>
      <c r="I84" s="49"/>
      <c r="J84" s="72"/>
      <c r="K84" s="73"/>
      <c r="L84" s="72"/>
      <c r="M84" s="45" t="s">
        <v>173</v>
      </c>
    </row>
    <row r="85" spans="1:14" ht="17" outlineLevel="1" x14ac:dyDescent="0.35">
      <c r="A85" s="2" t="s">
        <v>172</v>
      </c>
      <c r="C85" s="49"/>
      <c r="D85" s="49"/>
      <c r="E85" s="49"/>
      <c r="F85" s="40" t="s">
        <v>60</v>
      </c>
      <c r="G85" s="39" t="s">
        <v>22</v>
      </c>
      <c r="H85" s="52">
        <v>0.81</v>
      </c>
      <c r="I85" s="49"/>
      <c r="J85" s="72"/>
      <c r="K85" s="73"/>
      <c r="L85" s="72"/>
      <c r="M85" s="45" t="s">
        <v>61</v>
      </c>
    </row>
    <row r="86" spans="1:14" ht="17" outlineLevel="1" x14ac:dyDescent="0.35">
      <c r="B86" s="2" t="s">
        <v>207</v>
      </c>
      <c r="C86" s="49">
        <f>+C85+1</f>
        <v>1</v>
      </c>
      <c r="D86" s="86" t="s">
        <v>134</v>
      </c>
      <c r="E86" s="86" t="s">
        <v>135</v>
      </c>
      <c r="F86" s="79" t="s">
        <v>136</v>
      </c>
      <c r="G86" s="86" t="s">
        <v>137</v>
      </c>
      <c r="H86" s="86">
        <v>1</v>
      </c>
      <c r="I86" s="100">
        <v>261000</v>
      </c>
      <c r="J86" s="87">
        <f>(I86*H86)/1100</f>
        <v>237.27272727272728</v>
      </c>
      <c r="K86" s="88">
        <f t="shared" ref="K86:K104" si="15">J86/$K$5*1000</f>
        <v>8.9536878216123501</v>
      </c>
      <c r="L86" s="76">
        <f t="shared" ref="L86:L108" si="16">J86/$J$109</f>
        <v>7.2794209931807729E-3</v>
      </c>
      <c r="M86" s="79" t="s">
        <v>138</v>
      </c>
    </row>
    <row r="87" spans="1:14" ht="17" outlineLevel="1" x14ac:dyDescent="0.35">
      <c r="B87" s="2" t="s">
        <v>207</v>
      </c>
      <c r="C87" s="49">
        <f t="shared" ref="C87:C98" si="17">+C86+1</f>
        <v>2</v>
      </c>
      <c r="D87" s="49" t="s">
        <v>134</v>
      </c>
      <c r="E87" s="49" t="s">
        <v>139</v>
      </c>
      <c r="F87" s="71" t="s">
        <v>140</v>
      </c>
      <c r="G87" s="49" t="s">
        <v>137</v>
      </c>
      <c r="H87" s="49">
        <v>1</v>
      </c>
      <c r="I87" s="42">
        <v>165225</v>
      </c>
      <c r="J87" s="75">
        <f>(I87*H87)/1100</f>
        <v>150.20454545454547</v>
      </c>
      <c r="K87" s="73">
        <f t="shared" si="15"/>
        <v>5.6680960548885082</v>
      </c>
      <c r="L87" s="76">
        <f t="shared" si="16"/>
        <v>4.6082081747061045E-3</v>
      </c>
      <c r="M87" s="79" t="s">
        <v>141</v>
      </c>
    </row>
    <row r="88" spans="1:14" ht="17" outlineLevel="1" x14ac:dyDescent="0.35">
      <c r="B88" s="2" t="s">
        <v>207</v>
      </c>
      <c r="C88" s="49">
        <f t="shared" si="17"/>
        <v>3</v>
      </c>
      <c r="D88" s="49" t="s">
        <v>134</v>
      </c>
      <c r="E88" s="49" t="s">
        <v>142</v>
      </c>
      <c r="F88" s="71" t="s">
        <v>143</v>
      </c>
      <c r="G88" s="49" t="s">
        <v>137</v>
      </c>
      <c r="H88" s="49">
        <v>1</v>
      </c>
      <c r="I88" s="42">
        <v>23502</v>
      </c>
      <c r="J88" s="75">
        <f>(I88*H88)/1100</f>
        <v>21.365454545454547</v>
      </c>
      <c r="K88" s="73">
        <f t="shared" si="15"/>
        <v>0.80624356775300177</v>
      </c>
      <c r="L88" s="101">
        <f t="shared" si="16"/>
        <v>6.5548257540894454E-4</v>
      </c>
      <c r="M88" s="79" t="s">
        <v>141</v>
      </c>
      <c r="N88" s="117"/>
    </row>
    <row r="89" spans="1:14" ht="17" outlineLevel="1" x14ac:dyDescent="0.35">
      <c r="A89" s="2" t="s">
        <v>144</v>
      </c>
      <c r="B89" s="2" t="s">
        <v>199</v>
      </c>
      <c r="C89" s="49">
        <f t="shared" si="17"/>
        <v>4</v>
      </c>
      <c r="D89" s="49" t="s">
        <v>62</v>
      </c>
      <c r="E89" s="49">
        <v>622</v>
      </c>
      <c r="F89" s="71" t="s">
        <v>63</v>
      </c>
      <c r="G89" s="49" t="s">
        <v>64</v>
      </c>
      <c r="H89" s="49">
        <v>1</v>
      </c>
      <c r="I89" s="42">
        <v>146393110.93333334</v>
      </c>
      <c r="J89" s="87">
        <f>H89*I89/($H$84*$H$85*24*30)</f>
        <v>71.883446178632354</v>
      </c>
      <c r="K89" s="73">
        <f t="shared" si="15"/>
        <v>2.7125828746653715</v>
      </c>
      <c r="L89" s="101">
        <f t="shared" si="16"/>
        <v>2.2053519306222537E-3</v>
      </c>
      <c r="M89" s="79" t="s">
        <v>145</v>
      </c>
      <c r="N89" s="117"/>
    </row>
    <row r="90" spans="1:14" ht="34" outlineLevel="1" x14ac:dyDescent="0.35">
      <c r="A90" s="2" t="s">
        <v>144</v>
      </c>
      <c r="B90" s="2" t="s">
        <v>200</v>
      </c>
      <c r="C90" s="49">
        <f t="shared" si="17"/>
        <v>5</v>
      </c>
      <c r="D90" s="49" t="s">
        <v>62</v>
      </c>
      <c r="E90" s="49">
        <v>6271</v>
      </c>
      <c r="F90" s="71" t="s">
        <v>65</v>
      </c>
      <c r="G90" s="49" t="s">
        <v>64</v>
      </c>
      <c r="H90" s="49">
        <v>1</v>
      </c>
      <c r="I90" s="42">
        <v>838952556.34666669</v>
      </c>
      <c r="J90" s="87">
        <f t="shared" ref="J90:J98" si="18">H90*I90/($H$84*$H$85*24*30)</f>
        <v>411.95108530779873</v>
      </c>
      <c r="K90" s="73">
        <f t="shared" si="15"/>
        <v>15.545323973879198</v>
      </c>
      <c r="L90" s="76">
        <f t="shared" si="16"/>
        <v>1.2638474775511542E-2</v>
      </c>
      <c r="M90" s="79" t="s">
        <v>66</v>
      </c>
      <c r="N90" s="117"/>
    </row>
    <row r="91" spans="1:14" ht="17" outlineLevel="1" x14ac:dyDescent="0.35">
      <c r="A91" s="2" t="s">
        <v>144</v>
      </c>
      <c r="B91" s="2" t="s">
        <v>201</v>
      </c>
      <c r="C91" s="49">
        <f t="shared" si="17"/>
        <v>6</v>
      </c>
      <c r="D91" s="49" t="s">
        <v>67</v>
      </c>
      <c r="E91" s="49">
        <v>6272</v>
      </c>
      <c r="F91" s="71" t="s">
        <v>68</v>
      </c>
      <c r="G91" s="49" t="s">
        <v>64</v>
      </c>
      <c r="H91" s="49">
        <v>1</v>
      </c>
      <c r="I91" s="42">
        <v>137175627.66666666</v>
      </c>
      <c r="J91" s="87">
        <f t="shared" si="18"/>
        <v>67.357383045759832</v>
      </c>
      <c r="K91" s="73">
        <f t="shared" si="15"/>
        <v>2.5417880394626353</v>
      </c>
      <c r="L91" s="76">
        <f t="shared" si="16"/>
        <v>2.0664943410265329E-3</v>
      </c>
      <c r="M91" s="45" t="s">
        <v>69</v>
      </c>
      <c r="N91" s="117"/>
    </row>
    <row r="92" spans="1:14" ht="17" outlineLevel="1" x14ac:dyDescent="0.35">
      <c r="A92" s="2" t="s">
        <v>144</v>
      </c>
      <c r="B92" s="2" t="s">
        <v>202</v>
      </c>
      <c r="C92" s="49">
        <f t="shared" si="17"/>
        <v>7</v>
      </c>
      <c r="D92" s="49" t="s">
        <v>67</v>
      </c>
      <c r="E92" s="49">
        <v>6273</v>
      </c>
      <c r="F92" s="71" t="s">
        <v>70</v>
      </c>
      <c r="G92" s="49" t="s">
        <v>64</v>
      </c>
      <c r="H92" s="49">
        <v>1</v>
      </c>
      <c r="I92" s="42">
        <v>136710716.66666666</v>
      </c>
      <c r="J92" s="87">
        <f t="shared" si="18"/>
        <v>67.129097680189773</v>
      </c>
      <c r="K92" s="73">
        <f t="shared" si="15"/>
        <v>2.5331734973656519</v>
      </c>
      <c r="L92" s="76">
        <f t="shared" si="16"/>
        <v>2.0594906482647576E-3</v>
      </c>
      <c r="M92" s="45" t="s">
        <v>69</v>
      </c>
      <c r="N92" s="117"/>
    </row>
    <row r="93" spans="1:14" ht="17" outlineLevel="1" x14ac:dyDescent="0.35">
      <c r="A93" s="2" t="s">
        <v>144</v>
      </c>
      <c r="B93" s="2" t="s">
        <v>204</v>
      </c>
      <c r="C93" s="49">
        <f t="shared" si="17"/>
        <v>8</v>
      </c>
      <c r="D93" s="86" t="s">
        <v>71</v>
      </c>
      <c r="E93" s="49" t="s">
        <v>72</v>
      </c>
      <c r="F93" s="51" t="s">
        <v>73</v>
      </c>
      <c r="G93" s="49" t="s">
        <v>64</v>
      </c>
      <c r="H93" s="49">
        <v>1</v>
      </c>
      <c r="I93" s="42">
        <v>364308197.6716066</v>
      </c>
      <c r="J93" s="87">
        <f t="shared" si="18"/>
        <v>178.88634617299203</v>
      </c>
      <c r="K93" s="73">
        <f t="shared" si="15"/>
        <v>6.7504281574713971</v>
      </c>
      <c r="L93" s="76">
        <f t="shared" si="16"/>
        <v>5.4881529735539818E-3</v>
      </c>
      <c r="M93" s="45" t="s">
        <v>74</v>
      </c>
      <c r="N93" s="117"/>
    </row>
    <row r="94" spans="1:14" ht="17" outlineLevel="1" x14ac:dyDescent="0.35">
      <c r="A94" s="2" t="s">
        <v>144</v>
      </c>
      <c r="B94" s="2" t="s">
        <v>204</v>
      </c>
      <c r="C94" s="49">
        <f t="shared" si="17"/>
        <v>9</v>
      </c>
      <c r="D94" s="86" t="s">
        <v>71</v>
      </c>
      <c r="E94" s="49" t="s">
        <v>75</v>
      </c>
      <c r="F94" s="51" t="s">
        <v>76</v>
      </c>
      <c r="G94" s="49" t="s">
        <v>64</v>
      </c>
      <c r="H94" s="49">
        <v>1</v>
      </c>
      <c r="I94" s="42">
        <v>0</v>
      </c>
      <c r="J94" s="87">
        <f t="shared" si="18"/>
        <v>0</v>
      </c>
      <c r="K94" s="73">
        <f t="shared" si="15"/>
        <v>0</v>
      </c>
      <c r="L94" s="76">
        <f t="shared" si="16"/>
        <v>0</v>
      </c>
      <c r="M94" s="45" t="s">
        <v>74</v>
      </c>
      <c r="N94" s="117"/>
    </row>
    <row r="95" spans="1:14" ht="17" outlineLevel="1" x14ac:dyDescent="0.35">
      <c r="A95" s="2" t="s">
        <v>144</v>
      </c>
      <c r="B95" s="2" t="s">
        <v>204</v>
      </c>
      <c r="C95" s="49">
        <f t="shared" si="17"/>
        <v>10</v>
      </c>
      <c r="D95" s="86" t="s">
        <v>71</v>
      </c>
      <c r="E95" s="49" t="s">
        <v>77</v>
      </c>
      <c r="F95" s="51" t="s">
        <v>78</v>
      </c>
      <c r="G95" s="49" t="s">
        <v>64</v>
      </c>
      <c r="H95" s="49">
        <v>1</v>
      </c>
      <c r="I95" s="42">
        <v>178285515.43447831</v>
      </c>
      <c r="J95" s="87">
        <f t="shared" si="18"/>
        <v>87.543581603374008</v>
      </c>
      <c r="K95" s="73">
        <f t="shared" si="15"/>
        <v>3.3035313812593965</v>
      </c>
      <c r="L95" s="76">
        <f t="shared" si="16"/>
        <v>2.6857978709425986E-3</v>
      </c>
      <c r="M95" s="45" t="s">
        <v>74</v>
      </c>
      <c r="N95" s="117"/>
    </row>
    <row r="96" spans="1:14" ht="17" outlineLevel="1" x14ac:dyDescent="0.35">
      <c r="A96" s="2" t="s">
        <v>144</v>
      </c>
      <c r="B96" s="2" t="s">
        <v>204</v>
      </c>
      <c r="C96" s="49">
        <f t="shared" si="17"/>
        <v>11</v>
      </c>
      <c r="D96" s="86" t="s">
        <v>71</v>
      </c>
      <c r="E96" s="49" t="s">
        <v>79</v>
      </c>
      <c r="F96" s="51" t="s">
        <v>80</v>
      </c>
      <c r="G96" s="49" t="s">
        <v>64</v>
      </c>
      <c r="H96" s="49">
        <v>1</v>
      </c>
      <c r="I96" s="42">
        <v>213967072.85976821</v>
      </c>
      <c r="J96" s="87">
        <f t="shared" si="18"/>
        <v>105.06430574399737</v>
      </c>
      <c r="K96" s="73">
        <f t="shared" si="15"/>
        <v>3.9646907827923532</v>
      </c>
      <c r="L96" s="76">
        <f t="shared" si="16"/>
        <v>3.2233258396685799E-3</v>
      </c>
      <c r="M96" s="45" t="s">
        <v>74</v>
      </c>
      <c r="N96" s="117"/>
    </row>
    <row r="97" spans="1:14" ht="34" outlineLevel="1" x14ac:dyDescent="0.35">
      <c r="A97" s="2" t="s">
        <v>144</v>
      </c>
      <c r="B97" s="2" t="s">
        <v>203</v>
      </c>
      <c r="C97" s="49">
        <f>+C93+1</f>
        <v>9</v>
      </c>
      <c r="D97" s="86" t="s">
        <v>81</v>
      </c>
      <c r="E97" s="86">
        <v>6275</v>
      </c>
      <c r="F97" s="79" t="s">
        <v>146</v>
      </c>
      <c r="G97" s="49" t="s">
        <v>64</v>
      </c>
      <c r="H97" s="49">
        <v>1</v>
      </c>
      <c r="I97" s="42">
        <v>1454427495.6666667</v>
      </c>
      <c r="J97" s="87">
        <f t="shared" si="18"/>
        <v>714.16789997098351</v>
      </c>
      <c r="K97" s="73">
        <f t="shared" si="15"/>
        <v>26.949732074376737</v>
      </c>
      <c r="L97" s="76">
        <f t="shared" si="16"/>
        <v>2.1910351279981085E-2</v>
      </c>
      <c r="M97" s="45" t="s">
        <v>147</v>
      </c>
      <c r="N97" s="117"/>
    </row>
    <row r="98" spans="1:14" ht="17" outlineLevel="1" x14ac:dyDescent="0.35">
      <c r="A98" s="2" t="s">
        <v>144</v>
      </c>
      <c r="B98" s="2" t="s">
        <v>205</v>
      </c>
      <c r="C98" s="49">
        <f t="shared" si="17"/>
        <v>10</v>
      </c>
      <c r="D98" s="86" t="s">
        <v>67</v>
      </c>
      <c r="E98" s="86">
        <v>6277.6278000000002</v>
      </c>
      <c r="F98" s="71" t="s">
        <v>85</v>
      </c>
      <c r="G98" s="49" t="s">
        <v>64</v>
      </c>
      <c r="H98" s="49">
        <v>1</v>
      </c>
      <c r="I98" s="42">
        <v>446123693.23281401</v>
      </c>
      <c r="J98" s="87">
        <f t="shared" si="18"/>
        <v>219.06022959043267</v>
      </c>
      <c r="K98" s="73">
        <f t="shared" si="15"/>
        <v>8.2664237581295357</v>
      </c>
      <c r="L98" s="76">
        <f t="shared" si="16"/>
        <v>6.720669722056532E-3</v>
      </c>
      <c r="M98" s="45" t="s">
        <v>69</v>
      </c>
      <c r="N98" s="117"/>
    </row>
    <row r="99" spans="1:14" ht="22.4" customHeight="1" x14ac:dyDescent="0.35">
      <c r="C99" s="31" t="s">
        <v>92</v>
      </c>
      <c r="D99" s="47"/>
      <c r="E99" s="47"/>
      <c r="F99" s="32" t="s">
        <v>148</v>
      </c>
      <c r="G99" s="31"/>
      <c r="H99" s="31"/>
      <c r="I99" s="31"/>
      <c r="J99" s="33">
        <f>SUM(J100:J104)</f>
        <v>5177.6125583177109</v>
      </c>
      <c r="K99" s="35">
        <f>J99*1000/$K$5</f>
        <v>195.38160597425323</v>
      </c>
      <c r="L99" s="36">
        <f t="shared" si="16"/>
        <v>0.15884683412540915</v>
      </c>
      <c r="M99" s="94"/>
    </row>
    <row r="100" spans="1:14" ht="17" outlineLevel="1" x14ac:dyDescent="0.35">
      <c r="A100" s="2" t="s">
        <v>149</v>
      </c>
      <c r="B100" s="2">
        <v>641</v>
      </c>
      <c r="C100" s="49">
        <v>1</v>
      </c>
      <c r="D100" s="49">
        <v>641</v>
      </c>
      <c r="E100" s="49"/>
      <c r="F100" s="102" t="s">
        <v>150</v>
      </c>
      <c r="G100" s="49" t="s">
        <v>64</v>
      </c>
      <c r="H100" s="49">
        <v>1</v>
      </c>
      <c r="I100" s="103">
        <v>473792809.84600055</v>
      </c>
      <c r="J100" s="103">
        <f>+I100/($H$84*$H$85*24*30)</f>
        <v>232.64660289853222</v>
      </c>
      <c r="K100" s="73">
        <f t="shared" si="15"/>
        <v>8.7791170905106508</v>
      </c>
      <c r="L100" s="76">
        <f t="shared" si="16"/>
        <v>7.1374935695208532E-3</v>
      </c>
      <c r="M100" s="104" t="s">
        <v>151</v>
      </c>
      <c r="N100" s="117"/>
    </row>
    <row r="101" spans="1:14" ht="17" outlineLevel="1" x14ac:dyDescent="0.35">
      <c r="A101" s="2" t="s">
        <v>152</v>
      </c>
      <c r="B101" s="2">
        <v>642</v>
      </c>
      <c r="C101" s="49">
        <f>+C100+1</f>
        <v>2</v>
      </c>
      <c r="D101" s="49">
        <v>642</v>
      </c>
      <c r="E101" s="49"/>
      <c r="F101" s="102" t="s">
        <v>153</v>
      </c>
      <c r="G101" s="49" t="s">
        <v>64</v>
      </c>
      <c r="H101" s="49">
        <v>1</v>
      </c>
      <c r="I101" s="103">
        <v>4719699591.8973331</v>
      </c>
      <c r="J101" s="103">
        <f>+I101/($H$84*$H$85*24*30)</f>
        <v>2317.5152808110352</v>
      </c>
      <c r="K101" s="73">
        <f t="shared" si="15"/>
        <v>87.453406823057918</v>
      </c>
      <c r="L101" s="76">
        <f t="shared" si="16"/>
        <v>7.1100330750453605E-2</v>
      </c>
      <c r="M101" s="104" t="s">
        <v>151</v>
      </c>
      <c r="N101" s="117"/>
    </row>
    <row r="102" spans="1:14" ht="17" outlineLevel="1" x14ac:dyDescent="0.35">
      <c r="A102" s="2" t="s">
        <v>154</v>
      </c>
      <c r="B102" s="2">
        <v>641</v>
      </c>
      <c r="C102" s="49">
        <f>+C101+1</f>
        <v>3</v>
      </c>
      <c r="D102" s="49">
        <v>641</v>
      </c>
      <c r="E102" s="49"/>
      <c r="F102" s="102" t="s">
        <v>155</v>
      </c>
      <c r="G102" s="49" t="s">
        <v>64</v>
      </c>
      <c r="H102" s="49">
        <v>1</v>
      </c>
      <c r="I102" s="103">
        <v>2632586226.9708085</v>
      </c>
      <c r="J102" s="103">
        <f>+I102/($H$84*$H$85*24*30)</f>
        <v>1292.6794789082908</v>
      </c>
      <c r="K102" s="73">
        <f t="shared" si="15"/>
        <v>48.780357694652487</v>
      </c>
      <c r="L102" s="76">
        <f t="shared" si="16"/>
        <v>3.9658827394026409E-2</v>
      </c>
      <c r="M102" s="104" t="s">
        <v>151</v>
      </c>
      <c r="N102" s="117"/>
    </row>
    <row r="103" spans="1:14" ht="34" outlineLevel="1" x14ac:dyDescent="0.35">
      <c r="A103" s="2" t="s">
        <v>157</v>
      </c>
      <c r="B103" s="2">
        <v>642</v>
      </c>
      <c r="C103" s="49">
        <f>+C102+1</f>
        <v>4</v>
      </c>
      <c r="D103" s="49">
        <v>642</v>
      </c>
      <c r="E103" s="49"/>
      <c r="F103" s="102" t="s">
        <v>158</v>
      </c>
      <c r="G103" s="49" t="s">
        <v>64</v>
      </c>
      <c r="H103" s="49">
        <v>1</v>
      </c>
      <c r="I103" s="103">
        <v>1589881574.6973832</v>
      </c>
      <c r="J103" s="103">
        <f>+I103/($H$84*$H$85*24*30)</f>
        <v>780.67995055589699</v>
      </c>
      <c r="K103" s="73">
        <f t="shared" si="15"/>
        <v>29.459620775694226</v>
      </c>
      <c r="L103" s="76">
        <f t="shared" si="16"/>
        <v>2.3950911199751405E-2</v>
      </c>
      <c r="M103" s="104" t="s">
        <v>156</v>
      </c>
      <c r="N103" s="117"/>
    </row>
    <row r="104" spans="1:14" ht="17" outlineLevel="1" x14ac:dyDescent="0.35">
      <c r="A104" s="2" t="s">
        <v>159</v>
      </c>
      <c r="B104" s="2">
        <v>635</v>
      </c>
      <c r="C104" s="49">
        <v>3</v>
      </c>
      <c r="D104" s="49">
        <v>635</v>
      </c>
      <c r="E104" s="49"/>
      <c r="F104" s="102" t="s">
        <v>160</v>
      </c>
      <c r="G104" s="49" t="s">
        <v>64</v>
      </c>
      <c r="H104" s="49">
        <v>1</v>
      </c>
      <c r="I104" s="103">
        <v>1128425881.4745004</v>
      </c>
      <c r="J104" s="103">
        <f>+I104/($H$84*$H$85*24*30)</f>
        <v>554.0912451439566</v>
      </c>
      <c r="K104" s="73">
        <f t="shared" si="15"/>
        <v>20.909103590337985</v>
      </c>
      <c r="L104" s="76">
        <f t="shared" si="16"/>
        <v>1.6999271211656897E-2</v>
      </c>
      <c r="M104" s="104" t="s">
        <v>161</v>
      </c>
      <c r="N104" s="117"/>
    </row>
    <row r="105" spans="1:14" ht="24.65" customHeight="1" x14ac:dyDescent="0.35">
      <c r="C105" s="105"/>
      <c r="D105" s="180" t="s">
        <v>162</v>
      </c>
      <c r="E105" s="180"/>
      <c r="F105" s="180"/>
      <c r="G105" s="105"/>
      <c r="H105" s="105"/>
      <c r="I105" s="105"/>
      <c r="J105" s="106">
        <f>+J82+J83+J99</f>
        <v>31916.262610788297</v>
      </c>
      <c r="K105" s="107">
        <f>J105*1000/$K$5</f>
        <v>1204.3872683316338</v>
      </c>
      <c r="L105" s="108"/>
      <c r="M105" s="109"/>
    </row>
    <row r="106" spans="1:14" ht="25.4" customHeight="1" x14ac:dyDescent="0.35">
      <c r="C106" s="31" t="s">
        <v>163</v>
      </c>
      <c r="D106" s="47"/>
      <c r="E106" s="47"/>
      <c r="F106" s="32" t="s">
        <v>174</v>
      </c>
      <c r="G106" s="31"/>
      <c r="H106" s="31"/>
      <c r="I106" s="31"/>
      <c r="J106" s="33">
        <f>J107+J108</f>
        <v>678.73738921170309</v>
      </c>
      <c r="K106" s="35">
        <f>J106*1000/$K$5</f>
        <v>25.612731668366155</v>
      </c>
      <c r="L106" s="36">
        <f t="shared" si="16"/>
        <v>2.0823359079972483E-2</v>
      </c>
      <c r="M106" s="94"/>
    </row>
    <row r="107" spans="1:14" ht="17" outlineLevel="1" x14ac:dyDescent="0.35">
      <c r="C107" s="49">
        <v>1</v>
      </c>
      <c r="D107" s="49" t="s">
        <v>164</v>
      </c>
      <c r="E107" s="49"/>
      <c r="F107" s="102" t="s">
        <v>175</v>
      </c>
      <c r="G107" s="49"/>
      <c r="H107" s="49"/>
      <c r="I107" s="49"/>
      <c r="J107" s="110">
        <f>+(J109-J105)*100%/120%</f>
        <v>565.61449100975256</v>
      </c>
      <c r="K107" s="111"/>
      <c r="L107" s="101">
        <f t="shared" si="16"/>
        <v>1.7352799233310401E-2</v>
      </c>
      <c r="M107" s="112">
        <f>J107/$J$109</f>
        <v>1.7352799233310401E-2</v>
      </c>
    </row>
    <row r="108" spans="1:14" ht="17" outlineLevel="1" x14ac:dyDescent="0.35">
      <c r="C108" s="49">
        <v>2</v>
      </c>
      <c r="D108" s="49" t="s">
        <v>165</v>
      </c>
      <c r="E108" s="49"/>
      <c r="F108" s="102" t="s">
        <v>166</v>
      </c>
      <c r="G108" s="49"/>
      <c r="H108" s="49"/>
      <c r="I108" s="49"/>
      <c r="J108" s="110">
        <f>J107*20%</f>
        <v>113.12289820195052</v>
      </c>
      <c r="K108" s="111"/>
      <c r="L108" s="101">
        <f t="shared" si="16"/>
        <v>3.4705598466620805E-3</v>
      </c>
      <c r="M108" s="113"/>
    </row>
    <row r="109" spans="1:14" ht="24.65" customHeight="1" x14ac:dyDescent="0.35">
      <c r="A109" s="2" t="s">
        <v>176</v>
      </c>
      <c r="C109" s="105"/>
      <c r="D109" s="180" t="s">
        <v>167</v>
      </c>
      <c r="E109" s="180"/>
      <c r="F109" s="180"/>
      <c r="G109" s="105"/>
      <c r="H109" s="105"/>
      <c r="I109" s="105"/>
      <c r="J109" s="106">
        <f>+K109*K5/10^3</f>
        <v>32595</v>
      </c>
      <c r="K109" s="107">
        <f>+TH!F7</f>
        <v>1230</v>
      </c>
      <c r="L109" s="108">
        <f>+L82+L83+L99+L106</f>
        <v>0.99999999999999989</v>
      </c>
      <c r="M109" s="109"/>
    </row>
    <row r="111" spans="1:14" x14ac:dyDescent="0.35">
      <c r="K111" s="70"/>
      <c r="L111" s="70"/>
    </row>
    <row r="112" spans="1:14" x14ac:dyDescent="0.35">
      <c r="K112" s="95"/>
    </row>
  </sheetData>
  <autoFilter ref="C7:M109" xr:uid="{DCB3B5EE-6636-407D-B3F6-4E7544CA3796}"/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D2DDDFE2-65F0-46A1-A697-11D1F87CD30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F0B0-3AF9-48EE-847D-80AB34B73E92}">
  <sheetPr>
    <tabColor rgb="FFFF0000"/>
  </sheetPr>
  <dimension ref="A1:O112"/>
  <sheetViews>
    <sheetView zoomScale="70" zoomScaleNormal="70" workbookViewId="0">
      <pane ySplit="7" topLeftCell="A90" activePane="bottomLeft" state="frozen"/>
      <selection activeCell="K110" sqref="K110"/>
      <selection pane="bottomLeft" activeCell="I83" sqref="I83"/>
    </sheetView>
  </sheetViews>
  <sheetFormatPr defaultColWidth="8.90625" defaultRowHeight="14.5" outlineLevelRow="1" x14ac:dyDescent="0.35"/>
  <cols>
    <col min="1" max="2" width="8.90625" style="2"/>
    <col min="3" max="3" width="12.54296875" style="3" customWidth="1"/>
    <col min="4" max="5" width="13.453125" style="3" customWidth="1"/>
    <col min="6" max="6" width="45.90625" style="3" customWidth="1"/>
    <col min="7" max="7" width="11" style="3" customWidth="1"/>
    <col min="8" max="8" width="14.453125" style="3" customWidth="1"/>
    <col min="9" max="9" width="18.453125" style="3" customWidth="1"/>
    <col min="10" max="10" width="14.54296875" style="3" customWidth="1"/>
    <col min="11" max="11" width="12.54296875" style="3" customWidth="1"/>
    <col min="12" max="12" width="10.08984375" style="3" customWidth="1"/>
    <col min="13" max="13" width="69.54296875" style="3" customWidth="1"/>
    <col min="14" max="14" width="8.90625" style="3"/>
    <col min="15" max="15" width="11.08984375" style="3" bestFit="1" customWidth="1"/>
    <col min="16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14"/>
      <c r="B2" s="114"/>
      <c r="C2" s="4" t="s">
        <v>196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197</v>
      </c>
      <c r="E4" s="6"/>
      <c r="G4" s="15"/>
      <c r="H4" s="6"/>
      <c r="J4" s="6"/>
      <c r="K4" s="6"/>
      <c r="L4" s="6"/>
      <c r="M4" s="6"/>
    </row>
    <row r="5" spans="1:13" ht="17" x14ac:dyDescent="0.35">
      <c r="C5" s="14" t="s">
        <v>2</v>
      </c>
      <c r="D5" s="115" t="s">
        <v>168</v>
      </c>
      <c r="E5" s="6"/>
      <c r="F5" s="7"/>
      <c r="G5" s="8"/>
      <c r="H5" s="8"/>
      <c r="I5" s="9"/>
      <c r="J5" s="10" t="s">
        <v>3</v>
      </c>
      <c r="K5" s="12">
        <v>26500</v>
      </c>
      <c r="M5" s="13"/>
    </row>
    <row r="6" spans="1:13" ht="17" x14ac:dyDescent="0.35">
      <c r="C6" s="6"/>
      <c r="D6" s="6"/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4</v>
      </c>
      <c r="D7" s="18" t="s">
        <v>5</v>
      </c>
      <c r="E7" s="18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19" t="s">
        <v>11</v>
      </c>
      <c r="K7" s="19" t="s">
        <v>12</v>
      </c>
      <c r="L7" s="20" t="s">
        <v>13</v>
      </c>
      <c r="M7" s="19" t="s">
        <v>14</v>
      </c>
    </row>
    <row r="8" spans="1:13" ht="17" x14ac:dyDescent="0.35">
      <c r="C8" s="22" t="s">
        <v>15</v>
      </c>
      <c r="D8" s="23" t="s">
        <v>16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116</v>
      </c>
      <c r="C9" s="31" t="s">
        <v>17</v>
      </c>
      <c r="D9" s="31">
        <v>1521</v>
      </c>
      <c r="E9" s="31"/>
      <c r="F9" s="32" t="s">
        <v>18</v>
      </c>
      <c r="G9" s="31" t="s">
        <v>19</v>
      </c>
      <c r="H9" s="31">
        <v>1</v>
      </c>
      <c r="I9" s="33">
        <v>15000</v>
      </c>
      <c r="J9" s="34">
        <f>I9</f>
        <v>15000</v>
      </c>
      <c r="K9" s="35">
        <f>J9/$K$5*1000</f>
        <v>566.03773584905662</v>
      </c>
      <c r="L9" s="36">
        <f t="shared" ref="L9:L19" si="0">J9/$J$58</f>
        <v>0.72795007429328917</v>
      </c>
      <c r="M9" s="37"/>
    </row>
    <row r="10" spans="1:13" ht="47.4" customHeight="1" x14ac:dyDescent="0.35">
      <c r="B10" s="2" t="s">
        <v>198</v>
      </c>
      <c r="C10" s="31" t="s">
        <v>20</v>
      </c>
      <c r="D10" s="31">
        <v>1522</v>
      </c>
      <c r="E10" s="31"/>
      <c r="F10" s="32" t="s">
        <v>21</v>
      </c>
      <c r="G10" s="31" t="s">
        <v>22</v>
      </c>
      <c r="H10" s="38">
        <f>SUM(H11:H20)</f>
        <v>0.17890491047391213</v>
      </c>
      <c r="I10" s="33"/>
      <c r="J10" s="33">
        <f>SUM(J11:J20)</f>
        <v>1249.9477023961606</v>
      </c>
      <c r="K10" s="35">
        <f>J10/$K$5*1000</f>
        <v>47.167837826270208</v>
      </c>
      <c r="L10" s="36">
        <f t="shared" si="0"/>
        <v>6.0659968188134079E-2</v>
      </c>
      <c r="M10" s="37"/>
    </row>
    <row r="11" spans="1:13" ht="17" outlineLevel="1" x14ac:dyDescent="0.35">
      <c r="C11" s="39"/>
      <c r="D11" s="39"/>
      <c r="E11" s="39" t="s">
        <v>23</v>
      </c>
      <c r="F11" s="40" t="s">
        <v>24</v>
      </c>
      <c r="G11" s="39" t="s">
        <v>22</v>
      </c>
      <c r="H11" s="41">
        <v>0</v>
      </c>
      <c r="I11" s="42">
        <v>6000</v>
      </c>
      <c r="J11" s="42">
        <f>+($J$9-I11)*H11</f>
        <v>0</v>
      </c>
      <c r="K11" s="43">
        <f t="shared" ref="K11:K20" si="1">J11/$K$5*1000</f>
        <v>0</v>
      </c>
      <c r="L11" s="44">
        <f t="shared" si="0"/>
        <v>0</v>
      </c>
      <c r="M11" s="45" t="s">
        <v>25</v>
      </c>
    </row>
    <row r="12" spans="1:13" ht="17" outlineLevel="1" x14ac:dyDescent="0.35">
      <c r="A12" s="2" t="s">
        <v>26</v>
      </c>
      <c r="C12" s="39"/>
      <c r="D12" s="39"/>
      <c r="E12" s="39" t="s">
        <v>27</v>
      </c>
      <c r="F12" s="40" t="s">
        <v>28</v>
      </c>
      <c r="G12" s="39" t="s">
        <v>22</v>
      </c>
      <c r="H12" s="41">
        <v>0</v>
      </c>
      <c r="I12" s="42">
        <v>11000</v>
      </c>
      <c r="J12" s="42">
        <f t="shared" ref="J12:J20" si="2">+($J$9-I12)*H12</f>
        <v>0</v>
      </c>
      <c r="K12" s="43">
        <f t="shared" si="1"/>
        <v>0</v>
      </c>
      <c r="L12" s="44">
        <f t="shared" si="0"/>
        <v>0</v>
      </c>
      <c r="M12" s="45" t="s">
        <v>25</v>
      </c>
    </row>
    <row r="13" spans="1:13" ht="17" outlineLevel="1" x14ac:dyDescent="0.35">
      <c r="A13" s="2" t="s">
        <v>29</v>
      </c>
      <c r="C13" s="39"/>
      <c r="D13" s="39"/>
      <c r="E13" s="39" t="s">
        <v>30</v>
      </c>
      <c r="F13" s="40" t="s">
        <v>31</v>
      </c>
      <c r="G13" s="39" t="s">
        <v>22</v>
      </c>
      <c r="H13" s="41">
        <v>1.3146811248457861E-3</v>
      </c>
      <c r="I13" s="42">
        <v>12500</v>
      </c>
      <c r="J13" s="42">
        <f t="shared" si="2"/>
        <v>3.2867028121144655</v>
      </c>
      <c r="K13" s="43">
        <f t="shared" si="1"/>
        <v>0.12402652121186662</v>
      </c>
      <c r="L13" s="44">
        <f t="shared" si="0"/>
        <v>1.5950370375057918E-4</v>
      </c>
      <c r="M13" s="45" t="s">
        <v>25</v>
      </c>
    </row>
    <row r="14" spans="1:13" ht="17" outlineLevel="1" x14ac:dyDescent="0.35">
      <c r="A14" s="2" t="s">
        <v>32</v>
      </c>
      <c r="C14" s="39"/>
      <c r="D14" s="39"/>
      <c r="E14" s="39" t="s">
        <v>33</v>
      </c>
      <c r="F14" s="40" t="s">
        <v>34</v>
      </c>
      <c r="G14" s="39" t="s">
        <v>22</v>
      </c>
      <c r="H14" s="41">
        <v>2.0155036081746128E-3</v>
      </c>
      <c r="I14" s="42">
        <v>12500</v>
      </c>
      <c r="J14" s="42">
        <f t="shared" si="2"/>
        <v>5.0387590204365322</v>
      </c>
      <c r="K14" s="43">
        <f t="shared" si="1"/>
        <v>0.19014184982779367</v>
      </c>
      <c r="L14" s="44">
        <f t="shared" si="0"/>
        <v>2.4453100021818363E-4</v>
      </c>
      <c r="M14" s="45" t="s">
        <v>25</v>
      </c>
    </row>
    <row r="15" spans="1:13" ht="17" outlineLevel="1" x14ac:dyDescent="0.35">
      <c r="A15" s="2" t="s">
        <v>35</v>
      </c>
      <c r="C15" s="39"/>
      <c r="D15" s="39"/>
      <c r="E15" s="39" t="s">
        <v>36</v>
      </c>
      <c r="F15" s="40" t="s">
        <v>37</v>
      </c>
      <c r="G15" s="39" t="s">
        <v>22</v>
      </c>
      <c r="H15" s="41">
        <v>6.5144366055896942E-4</v>
      </c>
      <c r="I15" s="42">
        <v>12300</v>
      </c>
      <c r="J15" s="42">
        <f t="shared" si="2"/>
        <v>1.7588978835092175</v>
      </c>
      <c r="K15" s="43">
        <f t="shared" si="1"/>
        <v>6.6373505038083688E-2</v>
      </c>
      <c r="L15" s="44">
        <f t="shared" si="0"/>
        <v>8.5359322998322933E-5</v>
      </c>
      <c r="M15" s="45" t="s">
        <v>25</v>
      </c>
    </row>
    <row r="16" spans="1:13" ht="17" outlineLevel="1" x14ac:dyDescent="0.4">
      <c r="A16" s="46" t="s">
        <v>38</v>
      </c>
      <c r="B16" s="46"/>
      <c r="C16" s="39"/>
      <c r="D16" s="39"/>
      <c r="E16" s="39" t="s">
        <v>39</v>
      </c>
      <c r="F16" s="40" t="s">
        <v>40</v>
      </c>
      <c r="G16" s="39" t="s">
        <v>22</v>
      </c>
      <c r="H16" s="41">
        <v>9.4914290817541935E-2</v>
      </c>
      <c r="I16" s="42">
        <v>10500</v>
      </c>
      <c r="J16" s="42">
        <f t="shared" si="2"/>
        <v>427.1143086789387</v>
      </c>
      <c r="K16" s="43">
        <f t="shared" si="1"/>
        <v>16.117521082224101</v>
      </c>
      <c r="L16" s="44">
        <f t="shared" si="0"/>
        <v>2.072785951563735E-2</v>
      </c>
      <c r="M16" s="45" t="s">
        <v>25</v>
      </c>
    </row>
    <row r="17" spans="1:15" ht="17" outlineLevel="1" x14ac:dyDescent="0.4">
      <c r="A17" s="46" t="s">
        <v>41</v>
      </c>
      <c r="B17" s="46"/>
      <c r="C17" s="39"/>
      <c r="D17" s="39"/>
      <c r="E17" s="39" t="s">
        <v>42</v>
      </c>
      <c r="F17" s="40" t="s">
        <v>43</v>
      </c>
      <c r="G17" s="39" t="s">
        <v>22</v>
      </c>
      <c r="H17" s="41">
        <v>3.2148664297843757E-2</v>
      </c>
      <c r="I17" s="42">
        <v>5000</v>
      </c>
      <c r="J17" s="42">
        <f t="shared" si="2"/>
        <v>321.48664297843754</v>
      </c>
      <c r="K17" s="43">
        <f t="shared" si="1"/>
        <v>12.131571433148586</v>
      </c>
      <c r="L17" s="44">
        <f t="shared" si="0"/>
        <v>1.5601748376030249E-2</v>
      </c>
      <c r="M17" s="45" t="s">
        <v>25</v>
      </c>
    </row>
    <row r="18" spans="1:15" ht="17" outlineLevel="1" x14ac:dyDescent="0.4">
      <c r="A18" s="46" t="s">
        <v>44</v>
      </c>
      <c r="B18" s="46"/>
      <c r="C18" s="39"/>
      <c r="D18" s="39"/>
      <c r="E18" s="39" t="s">
        <v>45</v>
      </c>
      <c r="F18" s="40" t="s">
        <v>46</v>
      </c>
      <c r="G18" s="39" t="s">
        <v>22</v>
      </c>
      <c r="H18" s="41">
        <v>1.5908151571050005E-2</v>
      </c>
      <c r="I18" s="42">
        <v>10500</v>
      </c>
      <c r="J18" s="42">
        <f t="shared" si="2"/>
        <v>71.586682069725015</v>
      </c>
      <c r="K18" s="43">
        <f t="shared" si="1"/>
        <v>2.7013842290462273</v>
      </c>
      <c r="L18" s="44">
        <f t="shared" si="0"/>
        <v>3.4741020354044265E-3</v>
      </c>
      <c r="M18" s="45" t="s">
        <v>25</v>
      </c>
    </row>
    <row r="19" spans="1:15" ht="17" outlineLevel="1" x14ac:dyDescent="0.4">
      <c r="A19" s="46" t="s">
        <v>47</v>
      </c>
      <c r="B19" s="46"/>
      <c r="C19" s="39"/>
      <c r="D19" s="39"/>
      <c r="E19" s="39" t="s">
        <v>48</v>
      </c>
      <c r="F19" s="40" t="s">
        <v>49</v>
      </c>
      <c r="G19" s="39" t="s">
        <v>22</v>
      </c>
      <c r="H19" s="41">
        <v>5.4188110868597364E-3</v>
      </c>
      <c r="I19" s="42">
        <v>11000</v>
      </c>
      <c r="J19" s="42">
        <f t="shared" si="2"/>
        <v>21.675244347438944</v>
      </c>
      <c r="K19" s="43">
        <f t="shared" si="1"/>
        <v>0.81793374895996018</v>
      </c>
      <c r="L19" s="44">
        <f t="shared" si="0"/>
        <v>1.0518997155362251E-3</v>
      </c>
      <c r="M19" s="45" t="s">
        <v>25</v>
      </c>
    </row>
    <row r="20" spans="1:15" ht="17" outlineLevel="1" x14ac:dyDescent="0.4">
      <c r="A20" s="46" t="s">
        <v>50</v>
      </c>
      <c r="B20" s="46"/>
      <c r="C20" s="39"/>
      <c r="D20" s="39"/>
      <c r="E20" s="39"/>
      <c r="F20" s="40" t="s">
        <v>51</v>
      </c>
      <c r="G20" s="39" t="s">
        <v>22</v>
      </c>
      <c r="H20" s="41">
        <v>2.6533364307037351E-2</v>
      </c>
      <c r="I20" s="42">
        <v>0</v>
      </c>
      <c r="J20" s="42">
        <f t="shared" si="2"/>
        <v>398.00046460556024</v>
      </c>
      <c r="K20" s="43">
        <f t="shared" si="1"/>
        <v>15.018885456813592</v>
      </c>
      <c r="L20" s="44">
        <f>J20/$J$58</f>
        <v>1.9314964518558745E-2</v>
      </c>
      <c r="M20" s="45" t="s">
        <v>52</v>
      </c>
    </row>
    <row r="21" spans="1:15" ht="17" x14ac:dyDescent="0.35">
      <c r="C21" s="31" t="s">
        <v>53</v>
      </c>
      <c r="D21" s="47"/>
      <c r="E21" s="47"/>
      <c r="F21" s="32" t="s">
        <v>54</v>
      </c>
      <c r="G21" s="31"/>
      <c r="H21" s="31"/>
      <c r="I21" s="31"/>
      <c r="J21" s="33">
        <f>SUM(J22:J33)</f>
        <v>2321.0309940637335</v>
      </c>
      <c r="K21" s="35">
        <f>J21*1000/$K$5</f>
        <v>87.586075247688058</v>
      </c>
      <c r="L21" s="36">
        <f>J21/$J$58</f>
        <v>0.11263964563771478</v>
      </c>
      <c r="M21" s="48"/>
    </row>
    <row r="22" spans="1:15" ht="17" outlineLevel="1" x14ac:dyDescent="0.35">
      <c r="A22" s="2" t="s">
        <v>55</v>
      </c>
      <c r="C22" s="39">
        <v>0</v>
      </c>
      <c r="D22" s="49" t="s">
        <v>56</v>
      </c>
      <c r="E22" s="49"/>
      <c r="F22" s="40" t="s">
        <v>57</v>
      </c>
      <c r="G22" s="39" t="s">
        <v>58</v>
      </c>
      <c r="H22" s="50">
        <v>4800</v>
      </c>
      <c r="I22" s="39"/>
      <c r="J22" s="51"/>
      <c r="K22" s="43"/>
      <c r="L22" s="51"/>
      <c r="M22" s="45" t="s">
        <v>59</v>
      </c>
      <c r="O22" s="55"/>
    </row>
    <row r="23" spans="1:15" ht="17" outlineLevel="1" x14ac:dyDescent="0.35">
      <c r="A23" s="2" t="s">
        <v>55</v>
      </c>
      <c r="C23" s="39"/>
      <c r="D23" s="49"/>
      <c r="E23" s="49"/>
      <c r="F23" s="40" t="s">
        <v>60</v>
      </c>
      <c r="G23" s="39" t="s">
        <v>22</v>
      </c>
      <c r="H23" s="52">
        <v>0.6</v>
      </c>
      <c r="I23" s="39"/>
      <c r="J23" s="51"/>
      <c r="K23" s="43"/>
      <c r="L23" s="51"/>
      <c r="M23" s="45" t="s">
        <v>61</v>
      </c>
      <c r="O23" s="55"/>
    </row>
    <row r="24" spans="1:15" ht="34" outlineLevel="1" x14ac:dyDescent="0.35">
      <c r="A24" s="2" t="s">
        <v>55</v>
      </c>
      <c r="B24" s="2" t="s">
        <v>199</v>
      </c>
      <c r="C24" s="39">
        <f>+C22+1</f>
        <v>1</v>
      </c>
      <c r="D24" s="49" t="s">
        <v>62</v>
      </c>
      <c r="E24" s="49">
        <v>622</v>
      </c>
      <c r="F24" s="40" t="s">
        <v>63</v>
      </c>
      <c r="G24" s="39" t="s">
        <v>64</v>
      </c>
      <c r="H24" s="39">
        <v>1</v>
      </c>
      <c r="I24" s="42">
        <v>1811265742</v>
      </c>
      <c r="J24" s="53">
        <f>+I24/($H$22*$H$23*24*30)</f>
        <v>873.48849440586423</v>
      </c>
      <c r="K24" s="43">
        <f t="shared" ref="K24:K33" si="3">J24/$K$5*1000</f>
        <v>32.961829977579782</v>
      </c>
      <c r="L24" s="54">
        <f t="shared" ref="L24:L34" si="4">J24/$J$58</f>
        <v>4.239040095980548E-2</v>
      </c>
      <c r="M24" s="45" t="s">
        <v>169</v>
      </c>
      <c r="N24" s="116"/>
      <c r="O24" s="55"/>
    </row>
    <row r="25" spans="1:15" ht="34" outlineLevel="1" x14ac:dyDescent="0.35">
      <c r="A25" s="2" t="s">
        <v>55</v>
      </c>
      <c r="B25" s="2" t="s">
        <v>200</v>
      </c>
      <c r="C25" s="39">
        <f t="shared" ref="C25:C31" si="5">+C23+1</f>
        <v>1</v>
      </c>
      <c r="D25" s="49" t="s">
        <v>62</v>
      </c>
      <c r="E25" s="49">
        <v>6271</v>
      </c>
      <c r="F25" s="51" t="s">
        <v>65</v>
      </c>
      <c r="G25" s="39" t="s">
        <v>64</v>
      </c>
      <c r="H25" s="39">
        <v>1</v>
      </c>
      <c r="I25" s="42">
        <v>751521405.09333348</v>
      </c>
      <c r="J25" s="53">
        <f t="shared" ref="J25:J33" si="6">+I25/($H$22*$H$23*24*30)</f>
        <v>362.42351711676963</v>
      </c>
      <c r="K25" s="43">
        <f t="shared" si="3"/>
        <v>13.676359136481873</v>
      </c>
      <c r="L25" s="54">
        <f t="shared" si="4"/>
        <v>1.7588415080719174E-2</v>
      </c>
      <c r="M25" s="45" t="s">
        <v>66</v>
      </c>
      <c r="N25" s="116"/>
      <c r="O25" s="55"/>
    </row>
    <row r="26" spans="1:15" ht="17" outlineLevel="1" x14ac:dyDescent="0.35">
      <c r="A26" s="2" t="s">
        <v>55</v>
      </c>
      <c r="B26" s="2" t="s">
        <v>201</v>
      </c>
      <c r="C26" s="39">
        <f t="shared" si="5"/>
        <v>2</v>
      </c>
      <c r="D26" s="49" t="s">
        <v>67</v>
      </c>
      <c r="E26" s="49">
        <v>6272</v>
      </c>
      <c r="F26" s="51" t="s">
        <v>68</v>
      </c>
      <c r="G26" s="39" t="s">
        <v>64</v>
      </c>
      <c r="H26" s="39">
        <v>1</v>
      </c>
      <c r="I26" s="42">
        <v>330609579.66666669</v>
      </c>
      <c r="J26" s="53">
        <f t="shared" si="6"/>
        <v>159.43749019418726</v>
      </c>
      <c r="K26" s="43">
        <f t="shared" si="3"/>
        <v>6.0165090639315952</v>
      </c>
      <c r="L26" s="54">
        <f t="shared" si="4"/>
        <v>7.7375021887996125E-3</v>
      </c>
      <c r="M26" s="45" t="s">
        <v>69</v>
      </c>
      <c r="N26" s="116"/>
    </row>
    <row r="27" spans="1:15" ht="17" outlineLevel="1" x14ac:dyDescent="0.35">
      <c r="A27" s="2" t="s">
        <v>55</v>
      </c>
      <c r="B27" s="2" t="s">
        <v>202</v>
      </c>
      <c r="C27" s="39">
        <f t="shared" si="5"/>
        <v>2</v>
      </c>
      <c r="D27" s="49" t="s">
        <v>67</v>
      </c>
      <c r="E27" s="49">
        <v>6273</v>
      </c>
      <c r="F27" s="51" t="s">
        <v>70</v>
      </c>
      <c r="G27" s="39" t="s">
        <v>64</v>
      </c>
      <c r="H27" s="39">
        <v>1</v>
      </c>
      <c r="I27" s="42">
        <v>198559347.66666666</v>
      </c>
      <c r="J27" s="53">
        <f t="shared" si="6"/>
        <v>95.755858249742801</v>
      </c>
      <c r="K27" s="43">
        <f t="shared" si="3"/>
        <v>3.6134286131978417</v>
      </c>
      <c r="L27" s="54">
        <f t="shared" si="4"/>
        <v>4.6470322751278629E-3</v>
      </c>
      <c r="M27" s="45" t="s">
        <v>69</v>
      </c>
      <c r="N27" s="116"/>
    </row>
    <row r="28" spans="1:15" ht="17" outlineLevel="1" x14ac:dyDescent="0.35">
      <c r="A28" s="2" t="s">
        <v>55</v>
      </c>
      <c r="B28" s="2" t="s">
        <v>204</v>
      </c>
      <c r="C28" s="39">
        <f t="shared" si="5"/>
        <v>3</v>
      </c>
      <c r="D28" s="49" t="s">
        <v>71</v>
      </c>
      <c r="E28" s="49" t="s">
        <v>72</v>
      </c>
      <c r="F28" s="51" t="s">
        <v>73</v>
      </c>
      <c r="G28" s="49" t="s">
        <v>64</v>
      </c>
      <c r="H28" s="49">
        <v>1</v>
      </c>
      <c r="I28" s="42">
        <v>366989315.53237951</v>
      </c>
      <c r="J28" s="53">
        <f t="shared" si="6"/>
        <v>176.98173009856265</v>
      </c>
      <c r="K28" s="43">
        <f t="shared" si="3"/>
        <v>6.6785558527759488</v>
      </c>
      <c r="L28" s="54">
        <f t="shared" si="4"/>
        <v>8.5889242382535692E-3</v>
      </c>
      <c r="M28" s="45" t="s">
        <v>74</v>
      </c>
      <c r="N28" s="116"/>
    </row>
    <row r="29" spans="1:15" ht="17" outlineLevel="1" x14ac:dyDescent="0.35">
      <c r="A29" s="2" t="s">
        <v>55</v>
      </c>
      <c r="B29" s="2" t="s">
        <v>204</v>
      </c>
      <c r="C29" s="39">
        <f t="shared" si="5"/>
        <v>3</v>
      </c>
      <c r="D29" s="49" t="s">
        <v>71</v>
      </c>
      <c r="E29" s="49" t="s">
        <v>75</v>
      </c>
      <c r="F29" s="51" t="s">
        <v>76</v>
      </c>
      <c r="G29" s="49" t="s">
        <v>64</v>
      </c>
      <c r="H29" s="49">
        <v>1</v>
      </c>
      <c r="I29" s="42">
        <v>295259846.7833333</v>
      </c>
      <c r="J29" s="53">
        <f t="shared" si="6"/>
        <v>142.38997240708588</v>
      </c>
      <c r="K29" s="43">
        <f t="shared" si="3"/>
        <v>5.3732065059277687</v>
      </c>
      <c r="L29" s="54">
        <f t="shared" si="4"/>
        <v>6.9101860661571705E-3</v>
      </c>
      <c r="M29" s="45" t="s">
        <v>74</v>
      </c>
      <c r="N29" s="116"/>
    </row>
    <row r="30" spans="1:15" ht="17" outlineLevel="1" x14ac:dyDescent="0.35">
      <c r="A30" s="2" t="s">
        <v>55</v>
      </c>
      <c r="B30" s="2" t="s">
        <v>204</v>
      </c>
      <c r="C30" s="39">
        <f t="shared" si="5"/>
        <v>4</v>
      </c>
      <c r="D30" s="49" t="s">
        <v>71</v>
      </c>
      <c r="E30" s="49" t="s">
        <v>77</v>
      </c>
      <c r="F30" s="51" t="s">
        <v>78</v>
      </c>
      <c r="G30" s="49" t="s">
        <v>64</v>
      </c>
      <c r="H30" s="49">
        <v>1</v>
      </c>
      <c r="I30" s="42">
        <v>144639418.46608332</v>
      </c>
      <c r="J30" s="53">
        <f t="shared" si="6"/>
        <v>69.752805973226913</v>
      </c>
      <c r="K30" s="43">
        <f t="shared" si="3"/>
        <v>2.6321813574802611</v>
      </c>
      <c r="L30" s="54">
        <f t="shared" si="4"/>
        <v>3.3851040193583946E-3</v>
      </c>
      <c r="M30" s="45" t="s">
        <v>74</v>
      </c>
      <c r="N30" s="116"/>
    </row>
    <row r="31" spans="1:15" ht="17" outlineLevel="1" x14ac:dyDescent="0.35">
      <c r="A31" s="2" t="s">
        <v>55</v>
      </c>
      <c r="B31" s="2" t="s">
        <v>204</v>
      </c>
      <c r="C31" s="39">
        <f t="shared" si="5"/>
        <v>4</v>
      </c>
      <c r="D31" s="49" t="s">
        <v>71</v>
      </c>
      <c r="E31" s="49" t="s">
        <v>79</v>
      </c>
      <c r="F31" s="51" t="s">
        <v>80</v>
      </c>
      <c r="G31" s="49" t="s">
        <v>64</v>
      </c>
      <c r="H31" s="49">
        <v>1</v>
      </c>
      <c r="I31" s="42">
        <v>173587141.46747762</v>
      </c>
      <c r="J31" s="53">
        <f t="shared" si="6"/>
        <v>83.712934735473382</v>
      </c>
      <c r="K31" s="43">
        <f t="shared" si="3"/>
        <v>3.1589786692631465</v>
      </c>
      <c r="L31" s="54">
        <f t="shared" si="4"/>
        <v>4.0625891373331415E-3</v>
      </c>
      <c r="M31" s="45" t="s">
        <v>74</v>
      </c>
      <c r="N31" s="116"/>
    </row>
    <row r="32" spans="1:15" ht="34" outlineLevel="1" x14ac:dyDescent="0.35">
      <c r="A32" s="2" t="s">
        <v>55</v>
      </c>
      <c r="B32" s="2" t="s">
        <v>203</v>
      </c>
      <c r="C32" s="39">
        <f>+C27+1</f>
        <v>3</v>
      </c>
      <c r="D32" s="49" t="s">
        <v>81</v>
      </c>
      <c r="E32" s="49">
        <v>6275</v>
      </c>
      <c r="F32" s="40" t="s">
        <v>82</v>
      </c>
      <c r="G32" s="39" t="s">
        <v>83</v>
      </c>
      <c r="H32" s="56">
        <v>1</v>
      </c>
      <c r="I32" s="42">
        <v>337919308.66666669</v>
      </c>
      <c r="J32" s="53">
        <f t="shared" si="6"/>
        <v>162.96262956532922</v>
      </c>
      <c r="K32" s="43">
        <f t="shared" si="3"/>
        <v>6.1495331911444993</v>
      </c>
      <c r="L32" s="54">
        <f t="shared" si="4"/>
        <v>7.9085772199407444E-3</v>
      </c>
      <c r="M32" s="45" t="s">
        <v>84</v>
      </c>
      <c r="N32" s="116"/>
    </row>
    <row r="33" spans="1:14" ht="17" outlineLevel="1" x14ac:dyDescent="0.35">
      <c r="A33" s="2" t="s">
        <v>55</v>
      </c>
      <c r="B33" s="2" t="s">
        <v>205</v>
      </c>
      <c r="C33" s="39">
        <f>+C28+1</f>
        <v>4</v>
      </c>
      <c r="D33" s="49" t="s">
        <v>67</v>
      </c>
      <c r="E33" s="49">
        <v>6277.6278000000002</v>
      </c>
      <c r="F33" s="51" t="s">
        <v>85</v>
      </c>
      <c r="G33" s="39" t="s">
        <v>64</v>
      </c>
      <c r="H33" s="39">
        <v>1</v>
      </c>
      <c r="I33" s="42">
        <v>402538763.9479506</v>
      </c>
      <c r="J33" s="53">
        <f t="shared" si="6"/>
        <v>194.12556131749162</v>
      </c>
      <c r="K33" s="43">
        <f t="shared" si="3"/>
        <v>7.3254928799053438</v>
      </c>
      <c r="L33" s="54">
        <f t="shared" si="4"/>
        <v>9.4209144522196323E-3</v>
      </c>
      <c r="M33" s="45" t="s">
        <v>69</v>
      </c>
      <c r="N33" s="116"/>
    </row>
    <row r="34" spans="1:14" ht="23.15" customHeight="1" x14ac:dyDescent="0.35">
      <c r="C34" s="57"/>
      <c r="D34" s="179" t="s">
        <v>86</v>
      </c>
      <c r="E34" s="179"/>
      <c r="F34" s="179"/>
      <c r="G34" s="58"/>
      <c r="H34" s="58"/>
      <c r="I34" s="58"/>
      <c r="J34" s="59">
        <f>J9+J10+J21</f>
        <v>18570.978696459893</v>
      </c>
      <c r="K34" s="60">
        <f>J34*1000/$K$5</f>
        <v>700.7916489230148</v>
      </c>
      <c r="L34" s="61">
        <f t="shared" si="4"/>
        <v>0.90124968811913797</v>
      </c>
      <c r="M34" s="62"/>
    </row>
    <row r="35" spans="1:14" ht="17" x14ac:dyDescent="0.35">
      <c r="C35" s="22" t="s">
        <v>87</v>
      </c>
      <c r="D35" s="23" t="s">
        <v>88</v>
      </c>
      <c r="E35" s="23"/>
      <c r="F35" s="63"/>
      <c r="G35" s="64"/>
      <c r="H35" s="64"/>
      <c r="I35" s="64"/>
      <c r="J35" s="65"/>
      <c r="K35" s="66"/>
      <c r="L35" s="67"/>
      <c r="M35" s="68"/>
    </row>
    <row r="36" spans="1:14" ht="17" x14ac:dyDescent="0.35">
      <c r="C36" s="31" t="s">
        <v>89</v>
      </c>
      <c r="D36" s="47"/>
      <c r="E36" s="47"/>
      <c r="F36" s="32" t="s">
        <v>90</v>
      </c>
      <c r="G36" s="31" t="s">
        <v>91</v>
      </c>
      <c r="H36" s="31">
        <v>1</v>
      </c>
      <c r="I36" s="69">
        <f>+J34</f>
        <v>18570.978696459893</v>
      </c>
      <c r="J36" s="33">
        <f>+H36*I36</f>
        <v>18570.978696459893</v>
      </c>
      <c r="K36" s="35">
        <f>J36*1000/$K$5</f>
        <v>700.7916489230148</v>
      </c>
      <c r="L36" s="36">
        <f>J36/$J$58</f>
        <v>0.90124968811913797</v>
      </c>
      <c r="M36" s="48"/>
    </row>
    <row r="37" spans="1:14" ht="17" x14ac:dyDescent="0.35">
      <c r="C37" s="31" t="s">
        <v>92</v>
      </c>
      <c r="D37" s="47"/>
      <c r="E37" s="47"/>
      <c r="F37" s="32" t="s">
        <v>93</v>
      </c>
      <c r="G37" s="31"/>
      <c r="H37" s="31"/>
      <c r="I37" s="31"/>
      <c r="J37" s="33">
        <f>SUM(J40:J57)</f>
        <v>2034.8300392042213</v>
      </c>
      <c r="K37" s="35">
        <f>J37*1000/$K$5</f>
        <v>76.786039215253638</v>
      </c>
      <c r="L37" s="36">
        <f>J37/$J$58</f>
        <v>9.875031188086196E-2</v>
      </c>
      <c r="M37" s="48"/>
    </row>
    <row r="38" spans="1:14" ht="17" outlineLevel="1" x14ac:dyDescent="0.35">
      <c r="A38" s="2" t="s">
        <v>95</v>
      </c>
      <c r="C38" s="49">
        <v>0</v>
      </c>
      <c r="D38" s="49" t="s">
        <v>96</v>
      </c>
      <c r="E38" s="49"/>
      <c r="F38" s="71" t="s">
        <v>57</v>
      </c>
      <c r="G38" s="49" t="s">
        <v>58</v>
      </c>
      <c r="H38" s="185">
        <v>15381.993127147764</v>
      </c>
      <c r="I38" s="183">
        <v>1.7933333333333332</v>
      </c>
      <c r="J38" s="72"/>
      <c r="K38" s="73"/>
      <c r="L38" s="72"/>
      <c r="M38" s="45" t="s">
        <v>97</v>
      </c>
    </row>
    <row r="39" spans="1:14" ht="17" outlineLevel="1" x14ac:dyDescent="0.35">
      <c r="A39" s="2" t="s">
        <v>95</v>
      </c>
      <c r="C39" s="49"/>
      <c r="D39" s="49"/>
      <c r="E39" s="49"/>
      <c r="F39" s="40" t="s">
        <v>60</v>
      </c>
      <c r="G39" s="39" t="s">
        <v>22</v>
      </c>
      <c r="H39" s="52">
        <v>0.81</v>
      </c>
      <c r="I39" s="182">
        <v>15381.993127147764</v>
      </c>
      <c r="J39" s="72"/>
      <c r="K39" s="73"/>
      <c r="L39" s="72"/>
      <c r="M39" s="45" t="s">
        <v>61</v>
      </c>
    </row>
    <row r="40" spans="1:14" ht="17" outlineLevel="1" x14ac:dyDescent="0.35">
      <c r="A40" s="2" t="s">
        <v>47</v>
      </c>
      <c r="B40" s="2" t="s">
        <v>198</v>
      </c>
      <c r="C40" s="49">
        <f>+C38+1</f>
        <v>1</v>
      </c>
      <c r="D40" s="49">
        <v>1522</v>
      </c>
      <c r="E40" s="49" t="s">
        <v>48</v>
      </c>
      <c r="F40" s="71" t="s">
        <v>49</v>
      </c>
      <c r="G40" s="49" t="s">
        <v>22</v>
      </c>
      <c r="H40" s="74">
        <v>1.6854745509257271E-3</v>
      </c>
      <c r="I40" s="42">
        <v>11000</v>
      </c>
      <c r="J40" s="87">
        <f>+($J$34-I40)*H40</f>
        <v>12.760691918483985</v>
      </c>
      <c r="K40" s="73">
        <f t="shared" ref="K40:K57" si="7">J40/$K$5*1000</f>
        <v>0.48153554409373528</v>
      </c>
      <c r="L40" s="54">
        <f t="shared" ref="L40:L54" si="8">J40/$J$58</f>
        <v>6.1927644200627944E-4</v>
      </c>
      <c r="M40" s="77" t="s">
        <v>25</v>
      </c>
    </row>
    <row r="41" spans="1:14" ht="17" outlineLevel="1" x14ac:dyDescent="0.35">
      <c r="A41" s="2" t="s">
        <v>44</v>
      </c>
      <c r="B41" s="2" t="s">
        <v>198</v>
      </c>
      <c r="C41" s="49">
        <f>+C40+1</f>
        <v>2</v>
      </c>
      <c r="D41" s="49">
        <v>1522</v>
      </c>
      <c r="E41" s="49" t="s">
        <v>98</v>
      </c>
      <c r="F41" s="71" t="s">
        <v>99</v>
      </c>
      <c r="G41" s="49" t="s">
        <v>22</v>
      </c>
      <c r="H41" s="74">
        <v>3.3714200551051586E-2</v>
      </c>
      <c r="I41" s="42">
        <v>9500</v>
      </c>
      <c r="J41" s="87">
        <f>+($J$34-I41)*H41</f>
        <v>305.82079496676533</v>
      </c>
      <c r="K41" s="73">
        <f t="shared" si="7"/>
        <v>11.540407357236427</v>
      </c>
      <c r="L41" s="54">
        <f t="shared" si="8"/>
        <v>1.4841484694432638E-2</v>
      </c>
      <c r="M41" s="77" t="s">
        <v>25</v>
      </c>
    </row>
    <row r="42" spans="1:14" ht="17" outlineLevel="1" x14ac:dyDescent="0.35">
      <c r="A42" s="2" t="s">
        <v>41</v>
      </c>
      <c r="B42" s="2" t="s">
        <v>198</v>
      </c>
      <c r="C42" s="49">
        <f t="shared" ref="C42:C57" si="9">+C41+1</f>
        <v>3</v>
      </c>
      <c r="D42" s="49">
        <v>1522</v>
      </c>
      <c r="E42" s="49" t="s">
        <v>100</v>
      </c>
      <c r="F42" s="71" t="s">
        <v>101</v>
      </c>
      <c r="G42" s="49" t="s">
        <v>22</v>
      </c>
      <c r="H42" s="74">
        <v>2.1619267743347163E-2</v>
      </c>
      <c r="I42" s="42">
        <v>5000</v>
      </c>
      <c r="J42" s="87">
        <f>+($J$34-I42)*H42</f>
        <v>293.39462197802692</v>
      </c>
      <c r="K42" s="73">
        <f t="shared" si="7"/>
        <v>11.071495168982148</v>
      </c>
      <c r="L42" s="54">
        <f t="shared" si="8"/>
        <v>1.4238442457743746E-2</v>
      </c>
      <c r="M42" s="77" t="s">
        <v>25</v>
      </c>
    </row>
    <row r="43" spans="1:14" ht="17" outlineLevel="1" x14ac:dyDescent="0.35">
      <c r="A43" s="2" t="s">
        <v>50</v>
      </c>
      <c r="B43" s="2" t="s">
        <v>198</v>
      </c>
      <c r="C43" s="49"/>
      <c r="D43" s="49">
        <v>1522</v>
      </c>
      <c r="E43" s="49"/>
      <c r="F43" s="71" t="s">
        <v>52</v>
      </c>
      <c r="G43" s="49" t="s">
        <v>22</v>
      </c>
      <c r="H43" s="74">
        <v>1.8663662730002986E-2</v>
      </c>
      <c r="I43" s="42">
        <v>0</v>
      </c>
      <c r="J43" s="87">
        <f>+($J$34-I43)*H43</f>
        <v>346.60248295679793</v>
      </c>
      <c r="K43" s="73">
        <f t="shared" si="7"/>
        <v>13.079338979501809</v>
      </c>
      <c r="L43" s="54">
        <f t="shared" si="8"/>
        <v>1.682062021457597E-2</v>
      </c>
      <c r="M43" s="77" t="s">
        <v>52</v>
      </c>
    </row>
    <row r="44" spans="1:14" ht="17" outlineLevel="1" x14ac:dyDescent="0.35">
      <c r="B44" s="2" t="s">
        <v>94</v>
      </c>
      <c r="C44" s="49">
        <f>+C42+1</f>
        <v>4</v>
      </c>
      <c r="D44" s="49" t="s">
        <v>102</v>
      </c>
      <c r="E44" s="49" t="s">
        <v>103</v>
      </c>
      <c r="F44" s="71" t="s">
        <v>104</v>
      </c>
      <c r="G44" s="49" t="s">
        <v>91</v>
      </c>
      <c r="H44" s="74">
        <v>3.4759999999999999E-2</v>
      </c>
      <c r="I44" s="42">
        <v>5082</v>
      </c>
      <c r="J44" s="87">
        <f>+H44*I44</f>
        <v>176.65031999999999</v>
      </c>
      <c r="K44" s="73">
        <f t="shared" si="7"/>
        <v>6.6660498113207547</v>
      </c>
      <c r="L44" s="54">
        <f t="shared" si="8"/>
        <v>8.5728409045288875E-3</v>
      </c>
      <c r="M44" s="77" t="s">
        <v>105</v>
      </c>
      <c r="N44" s="116"/>
    </row>
    <row r="45" spans="1:14" ht="17" outlineLevel="1" x14ac:dyDescent="0.35">
      <c r="B45" s="2" t="s">
        <v>94</v>
      </c>
      <c r="C45" s="49">
        <f t="shared" si="9"/>
        <v>5</v>
      </c>
      <c r="D45" s="49" t="s">
        <v>102</v>
      </c>
      <c r="E45" s="49" t="s">
        <v>106</v>
      </c>
      <c r="F45" s="71" t="s">
        <v>107</v>
      </c>
      <c r="G45" s="49" t="s">
        <v>91</v>
      </c>
      <c r="H45" s="74">
        <v>2.8399999999999996E-3</v>
      </c>
      <c r="I45" s="42">
        <v>11500</v>
      </c>
      <c r="J45" s="75">
        <f>+H45*I45</f>
        <v>32.659999999999997</v>
      </c>
      <c r="K45" s="73">
        <f t="shared" si="7"/>
        <v>1.232452830188679</v>
      </c>
      <c r="L45" s="54">
        <f t="shared" si="8"/>
        <v>1.5849899617612548E-3</v>
      </c>
      <c r="M45" s="77" t="s">
        <v>105</v>
      </c>
      <c r="N45" s="116"/>
    </row>
    <row r="46" spans="1:14" ht="17" outlineLevel="1" x14ac:dyDescent="0.35">
      <c r="B46" s="2" t="s">
        <v>94</v>
      </c>
      <c r="C46" s="49">
        <f t="shared" si="9"/>
        <v>6</v>
      </c>
      <c r="D46" s="49" t="s">
        <v>102</v>
      </c>
      <c r="E46" s="49" t="s">
        <v>108</v>
      </c>
      <c r="F46" s="71" t="s">
        <v>109</v>
      </c>
      <c r="G46" s="49" t="s">
        <v>91</v>
      </c>
      <c r="H46" s="78">
        <v>5.2000000000000006E-4</v>
      </c>
      <c r="I46" s="42">
        <v>52000</v>
      </c>
      <c r="J46" s="75">
        <f>+H46*I46</f>
        <v>27.040000000000003</v>
      </c>
      <c r="K46" s="73">
        <f t="shared" si="7"/>
        <v>1.020377358490566</v>
      </c>
      <c r="L46" s="54">
        <f t="shared" si="8"/>
        <v>1.3122513339260361E-3</v>
      </c>
      <c r="M46" s="77" t="s">
        <v>105</v>
      </c>
      <c r="N46" s="116"/>
    </row>
    <row r="47" spans="1:14" ht="34" outlineLevel="1" x14ac:dyDescent="0.35">
      <c r="A47" s="2" t="s">
        <v>95</v>
      </c>
      <c r="B47" s="2" t="s">
        <v>199</v>
      </c>
      <c r="C47" s="49">
        <f t="shared" si="9"/>
        <v>7</v>
      </c>
      <c r="D47" s="49" t="s">
        <v>62</v>
      </c>
      <c r="E47" s="49">
        <v>622</v>
      </c>
      <c r="F47" s="71" t="s">
        <v>63</v>
      </c>
      <c r="G47" s="49" t="s">
        <v>64</v>
      </c>
      <c r="H47" s="49">
        <v>1</v>
      </c>
      <c r="I47" s="42">
        <v>861075209.62666678</v>
      </c>
      <c r="J47" s="75">
        <f>+I47/($H$38*$H$39*24*30)</f>
        <v>95.986677189385205</v>
      </c>
      <c r="K47" s="73">
        <f t="shared" si="7"/>
        <v>3.6221387618635927</v>
      </c>
      <c r="L47" s="54">
        <f t="shared" si="8"/>
        <v>4.658233919411928E-3</v>
      </c>
      <c r="M47" s="79" t="s">
        <v>110</v>
      </c>
      <c r="N47" s="116"/>
    </row>
    <row r="48" spans="1:14" ht="34" outlineLevel="1" x14ac:dyDescent="0.35">
      <c r="A48" s="2" t="s">
        <v>95</v>
      </c>
      <c r="B48" s="2" t="s">
        <v>200</v>
      </c>
      <c r="C48" s="49">
        <f t="shared" si="9"/>
        <v>8</v>
      </c>
      <c r="D48" s="49" t="s">
        <v>62</v>
      </c>
      <c r="E48" s="49">
        <v>6271</v>
      </c>
      <c r="F48" s="71" t="s">
        <v>65</v>
      </c>
      <c r="G48" s="49" t="s">
        <v>64</v>
      </c>
      <c r="H48" s="49">
        <v>1</v>
      </c>
      <c r="I48" s="42">
        <v>1604547060.48</v>
      </c>
      <c r="J48" s="75">
        <f t="shared" ref="J48:J57" si="10">+I48/($H$38*$H$39*24*30)</f>
        <v>178.86374965578963</v>
      </c>
      <c r="K48" s="73">
        <f t="shared" si="7"/>
        <v>6.7495754587090424</v>
      </c>
      <c r="L48" s="54">
        <f t="shared" si="8"/>
        <v>8.6802586566872234E-3</v>
      </c>
      <c r="M48" s="79" t="s">
        <v>66</v>
      </c>
      <c r="N48" s="116"/>
    </row>
    <row r="49" spans="1:15" ht="17" outlineLevel="1" x14ac:dyDescent="0.35">
      <c r="A49" s="2" t="s">
        <v>95</v>
      </c>
      <c r="B49" s="2" t="s">
        <v>201</v>
      </c>
      <c r="C49" s="49">
        <f t="shared" si="9"/>
        <v>9</v>
      </c>
      <c r="D49" s="49" t="s">
        <v>67</v>
      </c>
      <c r="E49" s="49">
        <v>6272</v>
      </c>
      <c r="F49" s="71" t="s">
        <v>68</v>
      </c>
      <c r="G49" s="49" t="s">
        <v>64</v>
      </c>
      <c r="H49" s="49">
        <v>1</v>
      </c>
      <c r="I49" s="42">
        <v>329511625</v>
      </c>
      <c r="J49" s="75">
        <f t="shared" si="10"/>
        <v>36.731664813272126</v>
      </c>
      <c r="K49" s="73">
        <f t="shared" si="7"/>
        <v>1.3861005589914011</v>
      </c>
      <c r="L49" s="54">
        <f t="shared" si="8"/>
        <v>1.7825878753158426E-3</v>
      </c>
      <c r="M49" s="45" t="s">
        <v>69</v>
      </c>
      <c r="N49" s="116"/>
    </row>
    <row r="50" spans="1:15" ht="17" outlineLevel="1" x14ac:dyDescent="0.35">
      <c r="A50" s="2" t="s">
        <v>95</v>
      </c>
      <c r="B50" s="2" t="s">
        <v>202</v>
      </c>
      <c r="C50" s="49">
        <f t="shared" si="9"/>
        <v>10</v>
      </c>
      <c r="D50" s="49" t="s">
        <v>67</v>
      </c>
      <c r="E50" s="49">
        <v>6273</v>
      </c>
      <c r="F50" s="71" t="s">
        <v>70</v>
      </c>
      <c r="G50" s="49" t="s">
        <v>64</v>
      </c>
      <c r="H50" s="49">
        <v>1</v>
      </c>
      <c r="I50" s="42">
        <v>169519413.33333334</v>
      </c>
      <c r="J50" s="75">
        <f t="shared" si="10"/>
        <v>18.896845505534237</v>
      </c>
      <c r="K50" s="73">
        <f t="shared" si="7"/>
        <v>0.71308850964280146</v>
      </c>
      <c r="L50" s="54">
        <f t="shared" si="8"/>
        <v>9.1706400597749702E-4</v>
      </c>
      <c r="M50" s="45" t="s">
        <v>69</v>
      </c>
      <c r="N50" s="116"/>
    </row>
    <row r="51" spans="1:15" ht="17" outlineLevel="1" x14ac:dyDescent="0.35">
      <c r="A51" s="2" t="s">
        <v>95</v>
      </c>
      <c r="B51" s="2" t="s">
        <v>204</v>
      </c>
      <c r="C51" s="49">
        <f t="shared" si="9"/>
        <v>11</v>
      </c>
      <c r="D51" s="49" t="s">
        <v>71</v>
      </c>
      <c r="E51" s="49" t="s">
        <v>72</v>
      </c>
      <c r="F51" s="51" t="s">
        <v>73</v>
      </c>
      <c r="G51" s="49" t="s">
        <v>64</v>
      </c>
      <c r="H51" s="49">
        <v>1</v>
      </c>
      <c r="I51" s="42">
        <v>1033798316.1365891</v>
      </c>
      <c r="J51" s="75">
        <f t="shared" si="10"/>
        <v>115.24064813450609</v>
      </c>
      <c r="K51" s="73">
        <f t="shared" si="7"/>
        <v>4.3487037031889084</v>
      </c>
      <c r="L51" s="54">
        <f t="shared" si="8"/>
        <v>5.592629224741367E-3</v>
      </c>
      <c r="M51" s="45" t="s">
        <v>74</v>
      </c>
      <c r="N51" s="116"/>
    </row>
    <row r="52" spans="1:15" ht="17" outlineLevel="1" x14ac:dyDescent="0.35">
      <c r="A52" s="2" t="s">
        <v>95</v>
      </c>
      <c r="B52" s="2" t="s">
        <v>204</v>
      </c>
      <c r="C52" s="49">
        <f t="shared" si="9"/>
        <v>12</v>
      </c>
      <c r="D52" s="49" t="s">
        <v>71</v>
      </c>
      <c r="E52" s="49" t="s">
        <v>75</v>
      </c>
      <c r="F52" s="51" t="s">
        <v>76</v>
      </c>
      <c r="G52" s="49" t="s">
        <v>64</v>
      </c>
      <c r="H52" s="49">
        <v>1</v>
      </c>
      <c r="I52" s="42">
        <v>405801438.51666665</v>
      </c>
      <c r="J52" s="75">
        <f t="shared" si="10"/>
        <v>45.235922770062679</v>
      </c>
      <c r="K52" s="73">
        <f t="shared" si="7"/>
        <v>1.7070159535872709</v>
      </c>
      <c r="L52" s="54">
        <f t="shared" si="8"/>
        <v>2.1952995560795079E-3</v>
      </c>
      <c r="M52" s="45" t="s">
        <v>74</v>
      </c>
      <c r="N52" s="116"/>
    </row>
    <row r="53" spans="1:15" ht="17" outlineLevel="1" x14ac:dyDescent="0.35">
      <c r="A53" s="2" t="s">
        <v>95</v>
      </c>
      <c r="B53" s="2" t="s">
        <v>204</v>
      </c>
      <c r="C53" s="49">
        <f t="shared" si="9"/>
        <v>13</v>
      </c>
      <c r="D53" s="49" t="s">
        <v>71</v>
      </c>
      <c r="E53" s="49" t="s">
        <v>77</v>
      </c>
      <c r="F53" s="51" t="s">
        <v>78</v>
      </c>
      <c r="G53" s="49" t="s">
        <v>64</v>
      </c>
      <c r="H53" s="49">
        <v>1</v>
      </c>
      <c r="I53" s="42">
        <v>395747641.47301221</v>
      </c>
      <c r="J53" s="75">
        <f t="shared" si="10"/>
        <v>44.115195381133134</v>
      </c>
      <c r="K53" s="73">
        <f t="shared" si="7"/>
        <v>1.6647243540050238</v>
      </c>
      <c r="L53" s="54">
        <f t="shared" si="8"/>
        <v>2.1409106503439222E-3</v>
      </c>
      <c r="M53" s="45" t="s">
        <v>74</v>
      </c>
      <c r="N53" s="116"/>
    </row>
    <row r="54" spans="1:15" ht="17" outlineLevel="1" x14ac:dyDescent="0.35">
      <c r="A54" s="2" t="s">
        <v>95</v>
      </c>
      <c r="B54" s="2" t="s">
        <v>204</v>
      </c>
      <c r="C54" s="49">
        <f t="shared" si="9"/>
        <v>14</v>
      </c>
      <c r="D54" s="49" t="s">
        <v>71</v>
      </c>
      <c r="E54" s="49" t="s">
        <v>79</v>
      </c>
      <c r="F54" s="51" t="s">
        <v>80</v>
      </c>
      <c r="G54" s="49" t="s">
        <v>64</v>
      </c>
      <c r="H54" s="49">
        <v>1</v>
      </c>
      <c r="I54" s="42">
        <v>474951452.06149429</v>
      </c>
      <c r="J54" s="75">
        <f t="shared" si="10"/>
        <v>52.944285470048868</v>
      </c>
      <c r="K54" s="73">
        <f t="shared" si="7"/>
        <v>1.9978975649075046</v>
      </c>
      <c r="L54" s="54">
        <f t="shared" si="8"/>
        <v>2.569386436088479E-3</v>
      </c>
      <c r="M54" s="45" t="s">
        <v>74</v>
      </c>
      <c r="N54" s="116"/>
    </row>
    <row r="55" spans="1:15" ht="34" outlineLevel="1" x14ac:dyDescent="0.35">
      <c r="A55" s="2" t="s">
        <v>95</v>
      </c>
      <c r="B55" s="2" t="s">
        <v>203</v>
      </c>
      <c r="C55" s="49">
        <f>+C51+1</f>
        <v>12</v>
      </c>
      <c r="D55" s="49" t="s">
        <v>81</v>
      </c>
      <c r="E55" s="49">
        <v>6275</v>
      </c>
      <c r="F55" s="71" t="s">
        <v>82</v>
      </c>
      <c r="G55" s="49" t="s">
        <v>64</v>
      </c>
      <c r="H55" s="49">
        <v>1</v>
      </c>
      <c r="I55" s="42">
        <v>1249738015.3333333</v>
      </c>
      <c r="J55" s="75">
        <f t="shared" si="10"/>
        <v>139.31210434116835</v>
      </c>
      <c r="K55" s="73">
        <f t="shared" si="7"/>
        <v>5.2570605411761635</v>
      </c>
      <c r="L55" s="54">
        <f>J55/$J$58</f>
        <v>6.7608171136738634E-3</v>
      </c>
      <c r="M55" s="45" t="s">
        <v>111</v>
      </c>
      <c r="N55" s="116"/>
    </row>
    <row r="56" spans="1:15" ht="17" outlineLevel="1" x14ac:dyDescent="0.35">
      <c r="A56" s="2" t="s">
        <v>95</v>
      </c>
      <c r="B56" s="2" t="s">
        <v>203</v>
      </c>
      <c r="C56" s="49">
        <f t="shared" si="9"/>
        <v>13</v>
      </c>
      <c r="D56" s="49" t="s">
        <v>112</v>
      </c>
      <c r="E56" s="49">
        <v>6275</v>
      </c>
      <c r="F56" s="71" t="s">
        <v>113</v>
      </c>
      <c r="G56" s="49" t="s">
        <v>64</v>
      </c>
      <c r="H56" s="49">
        <v>1</v>
      </c>
      <c r="I56" s="42">
        <v>138647320</v>
      </c>
      <c r="J56" s="75">
        <f t="shared" si="10"/>
        <v>15.455439198840041</v>
      </c>
      <c r="K56" s="73">
        <f t="shared" si="7"/>
        <v>0.58322412071094498</v>
      </c>
      <c r="L56" s="54">
        <f>J56/$J$58</f>
        <v>7.5005254086873475E-4</v>
      </c>
      <c r="M56" s="45" t="s">
        <v>69</v>
      </c>
      <c r="N56" s="116"/>
    </row>
    <row r="57" spans="1:15" ht="17" outlineLevel="1" x14ac:dyDescent="0.35">
      <c r="A57" s="2" t="s">
        <v>95</v>
      </c>
      <c r="B57" s="2" t="s">
        <v>205</v>
      </c>
      <c r="C57" s="49">
        <f t="shared" si="9"/>
        <v>14</v>
      </c>
      <c r="D57" s="49" t="s">
        <v>67</v>
      </c>
      <c r="E57" s="49">
        <v>6277.6278000000002</v>
      </c>
      <c r="F57" s="71" t="s">
        <v>85</v>
      </c>
      <c r="G57" s="49" t="s">
        <v>64</v>
      </c>
      <c r="H57" s="49">
        <v>1</v>
      </c>
      <c r="I57" s="42">
        <v>871229392.78523934</v>
      </c>
      <c r="J57" s="75">
        <f t="shared" si="10"/>
        <v>97.118594924406736</v>
      </c>
      <c r="K57" s="73">
        <f t="shared" si="7"/>
        <v>3.6648526386568578</v>
      </c>
      <c r="L57" s="54">
        <f>J57/$J$58</f>
        <v>4.713165892698783E-3</v>
      </c>
      <c r="M57" s="45" t="s">
        <v>69</v>
      </c>
      <c r="N57" s="116"/>
    </row>
    <row r="58" spans="1:15" ht="21" customHeight="1" x14ac:dyDescent="0.35">
      <c r="C58" s="57"/>
      <c r="D58" s="179" t="s">
        <v>114</v>
      </c>
      <c r="E58" s="179"/>
      <c r="F58" s="179"/>
      <c r="G58" s="58"/>
      <c r="H58" s="58"/>
      <c r="I58" s="58"/>
      <c r="J58" s="59">
        <f>J36+J37</f>
        <v>20605.808735664115</v>
      </c>
      <c r="K58" s="60">
        <f>J58*1000/$K$5</f>
        <v>777.57768813826851</v>
      </c>
      <c r="L58" s="61">
        <f>J58/$J$58</f>
        <v>1</v>
      </c>
      <c r="M58" s="62"/>
    </row>
    <row r="59" spans="1:15" ht="17" x14ac:dyDescent="0.35">
      <c r="C59" s="22" t="s">
        <v>192</v>
      </c>
      <c r="D59" s="23" t="s">
        <v>115</v>
      </c>
      <c r="E59" s="23"/>
      <c r="F59" s="80"/>
      <c r="G59" s="81"/>
      <c r="H59" s="81"/>
      <c r="I59" s="82"/>
      <c r="J59" s="82"/>
      <c r="K59" s="83"/>
      <c r="L59" s="84"/>
      <c r="M59" s="85"/>
    </row>
    <row r="60" spans="1:15" ht="17" x14ac:dyDescent="0.35">
      <c r="C60" s="89" t="s">
        <v>17</v>
      </c>
      <c r="D60" s="89"/>
      <c r="E60" s="89"/>
      <c r="F60" s="90" t="s">
        <v>193</v>
      </c>
      <c r="G60" s="89"/>
      <c r="H60" s="89">
        <v>1</v>
      </c>
      <c r="I60" s="91"/>
      <c r="J60" s="91">
        <f>+J58</f>
        <v>20605.808735664115</v>
      </c>
      <c r="K60" s="92">
        <f>J60/$K$5*1000</f>
        <v>777.57768813826851</v>
      </c>
      <c r="L60" s="36">
        <f>J60/$J$109</f>
        <v>0.62206215051061475</v>
      </c>
      <c r="M60" s="48"/>
    </row>
    <row r="61" spans="1:15" ht="17" x14ac:dyDescent="0.35">
      <c r="C61" s="31" t="s">
        <v>20</v>
      </c>
      <c r="D61" s="47"/>
      <c r="E61" s="47"/>
      <c r="F61" s="32" t="s">
        <v>117</v>
      </c>
      <c r="G61" s="31"/>
      <c r="H61" s="93"/>
      <c r="I61" s="93"/>
      <c r="J61" s="33">
        <f>SUM(J62:J79)</f>
        <v>2656.9842697648901</v>
      </c>
      <c r="K61" s="35">
        <f>J61*1000/$K$5</f>
        <v>100.26355734961849</v>
      </c>
      <c r="L61" s="36">
        <f>J61/$J$109</f>
        <v>8.0210845879694792E-2</v>
      </c>
      <c r="M61" s="94"/>
    </row>
    <row r="62" spans="1:15" ht="17" outlineLevel="1" x14ac:dyDescent="0.35">
      <c r="A62" s="2" t="s">
        <v>118</v>
      </c>
      <c r="C62" s="49">
        <v>0</v>
      </c>
      <c r="D62" s="49" t="s">
        <v>56</v>
      </c>
      <c r="E62" s="49"/>
      <c r="F62" s="71" t="s">
        <v>57</v>
      </c>
      <c r="G62" s="49" t="s">
        <v>58</v>
      </c>
      <c r="H62" s="185">
        <v>8577.3195876288646</v>
      </c>
      <c r="I62" s="184">
        <v>1.7182130584192439</v>
      </c>
      <c r="J62" s="72"/>
      <c r="K62" s="73"/>
      <c r="L62" s="72"/>
      <c r="M62" s="45" t="s">
        <v>119</v>
      </c>
    </row>
    <row r="63" spans="1:15" ht="17" outlineLevel="1" x14ac:dyDescent="0.35">
      <c r="A63" s="2" t="s">
        <v>118</v>
      </c>
      <c r="C63" s="49"/>
      <c r="D63" s="49"/>
      <c r="E63" s="49"/>
      <c r="F63" s="40" t="s">
        <v>60</v>
      </c>
      <c r="G63" s="39" t="s">
        <v>22</v>
      </c>
      <c r="H63" s="52">
        <v>0.75</v>
      </c>
      <c r="I63" s="181">
        <f>+I62*I85</f>
        <v>8577.3195876288646</v>
      </c>
      <c r="J63" s="72"/>
      <c r="K63" s="73"/>
      <c r="L63" s="72"/>
      <c r="M63" s="45" t="s">
        <v>61</v>
      </c>
    </row>
    <row r="64" spans="1:15" ht="17" outlineLevel="1" x14ac:dyDescent="0.35">
      <c r="A64" s="2" t="s">
        <v>120</v>
      </c>
      <c r="B64" s="2" t="s">
        <v>198</v>
      </c>
      <c r="C64" s="49">
        <f>+C63+1</f>
        <v>1</v>
      </c>
      <c r="D64" s="49">
        <v>1522</v>
      </c>
      <c r="E64" s="49" t="s">
        <v>121</v>
      </c>
      <c r="F64" s="71" t="s">
        <v>122</v>
      </c>
      <c r="G64" s="49" t="s">
        <v>22</v>
      </c>
      <c r="H64" s="74">
        <v>1.6131690255566215E-2</v>
      </c>
      <c r="I64" s="42">
        <v>8000</v>
      </c>
      <c r="J64" s="87">
        <f>+(J$60-I64)*H64</f>
        <v>203.35300194464426</v>
      </c>
      <c r="K64" s="73">
        <f t="shared" ref="K64:K79" si="11">J64/$K$5*1000</f>
        <v>7.6736981865903493</v>
      </c>
      <c r="L64" s="76">
        <f t="shared" ref="L64:L80" si="12">J64/$J$109</f>
        <v>6.1389585492722795E-3</v>
      </c>
      <c r="M64" s="77" t="s">
        <v>25</v>
      </c>
      <c r="N64" s="73">
        <v>4.0389910685896195</v>
      </c>
      <c r="O64" s="70">
        <f>+K64-N64</f>
        <v>3.6347071180007298</v>
      </c>
    </row>
    <row r="65" spans="1:15" ht="17" outlineLevel="1" x14ac:dyDescent="0.35">
      <c r="A65" s="2" t="s">
        <v>123</v>
      </c>
      <c r="B65" s="2" t="s">
        <v>198</v>
      </c>
      <c r="C65" s="49">
        <f t="shared" ref="C65:C79" si="13">+C64+1</f>
        <v>2</v>
      </c>
      <c r="D65" s="49">
        <v>1522</v>
      </c>
      <c r="E65" s="49" t="s">
        <v>124</v>
      </c>
      <c r="F65" s="71" t="s">
        <v>125</v>
      </c>
      <c r="G65" s="49" t="s">
        <v>22</v>
      </c>
      <c r="H65" s="74">
        <v>1.3616788855374437E-2</v>
      </c>
      <c r="I65" s="42">
        <v>9500</v>
      </c>
      <c r="J65" s="87">
        <f>+(J$60-I65)*H65</f>
        <v>151.22545262171118</v>
      </c>
      <c r="K65" s="73">
        <f t="shared" si="11"/>
        <v>5.7066208536494782</v>
      </c>
      <c r="L65" s="76">
        <f t="shared" si="12"/>
        <v>4.5652966829195828E-3</v>
      </c>
      <c r="M65" s="77" t="s">
        <v>25</v>
      </c>
      <c r="N65" s="73">
        <v>3.6668697587890882</v>
      </c>
      <c r="O65" s="70">
        <f t="shared" ref="O65:O79" si="14">+K65-N65</f>
        <v>2.0397510948603901</v>
      </c>
    </row>
    <row r="66" spans="1:15" ht="17" outlineLevel="1" x14ac:dyDescent="0.35">
      <c r="A66" s="2" t="s">
        <v>41</v>
      </c>
      <c r="B66" s="2" t="s">
        <v>198</v>
      </c>
      <c r="C66" s="49">
        <f t="shared" si="13"/>
        <v>3</v>
      </c>
      <c r="D66" s="49">
        <v>1522</v>
      </c>
      <c r="E66" s="49" t="s">
        <v>100</v>
      </c>
      <c r="F66" s="71" t="s">
        <v>101</v>
      </c>
      <c r="G66" s="49" t="s">
        <v>22</v>
      </c>
      <c r="H66" s="78">
        <v>3.1953672104740742E-4</v>
      </c>
      <c r="I66" s="42">
        <v>5000</v>
      </c>
      <c r="J66" s="87">
        <f>+(J$60-I66)*H66</f>
        <v>4.9866289526870986</v>
      </c>
      <c r="K66" s="73">
        <f t="shared" si="11"/>
        <v>0.1881746774598905</v>
      </c>
      <c r="L66" s="76">
        <f t="shared" si="12"/>
        <v>1.5053974196791242E-4</v>
      </c>
      <c r="M66" s="77" t="s">
        <v>25</v>
      </c>
      <c r="N66" s="73">
        <v>0</v>
      </c>
      <c r="O66" s="70">
        <f t="shared" si="14"/>
        <v>0.1881746774598905</v>
      </c>
    </row>
    <row r="67" spans="1:15" ht="17" outlineLevel="1" x14ac:dyDescent="0.35">
      <c r="A67" s="2" t="s">
        <v>126</v>
      </c>
      <c r="B67" s="2" t="s">
        <v>198</v>
      </c>
      <c r="C67" s="49">
        <f t="shared" si="13"/>
        <v>4</v>
      </c>
      <c r="D67" s="49">
        <v>1522</v>
      </c>
      <c r="E67" s="49" t="s">
        <v>127</v>
      </c>
      <c r="F67" s="71" t="s">
        <v>128</v>
      </c>
      <c r="G67" s="49" t="s">
        <v>22</v>
      </c>
      <c r="H67" s="74">
        <v>8.5630942654436031E-3</v>
      </c>
      <c r="I67" s="42">
        <v>15000</v>
      </c>
      <c r="J67" s="87">
        <f>+(J$60-I67)*H67</f>
        <v>48.003068637539045</v>
      </c>
      <c r="K67" s="73">
        <f t="shared" si="11"/>
        <v>1.811436552359964</v>
      </c>
      <c r="L67" s="76">
        <f t="shared" si="12"/>
        <v>1.4491492418879711E-3</v>
      </c>
      <c r="M67" s="77" t="s">
        <v>25</v>
      </c>
      <c r="N67" s="73">
        <v>2.597068528756231</v>
      </c>
      <c r="O67" s="70">
        <f t="shared" si="14"/>
        <v>-0.78563197639626692</v>
      </c>
    </row>
    <row r="68" spans="1:15" ht="17" outlineLevel="1" x14ac:dyDescent="0.35">
      <c r="A68" s="2" t="s">
        <v>50</v>
      </c>
      <c r="B68" s="2" t="s">
        <v>198</v>
      </c>
      <c r="C68" s="49">
        <f t="shared" si="13"/>
        <v>5</v>
      </c>
      <c r="D68" s="49">
        <v>1522</v>
      </c>
      <c r="E68" s="49"/>
      <c r="F68" s="71" t="s">
        <v>129</v>
      </c>
      <c r="G68" s="49" t="s">
        <v>22</v>
      </c>
      <c r="H68" s="74">
        <v>1.4301666886062395E-2</v>
      </c>
      <c r="I68" s="75">
        <v>0</v>
      </c>
      <c r="J68" s="87">
        <f>+(J$60-I68)*H68</f>
        <v>294.69741245538268</v>
      </c>
      <c r="K68" s="73">
        <f t="shared" si="11"/>
        <v>11.120657073788026</v>
      </c>
      <c r="L68" s="76">
        <f t="shared" si="12"/>
        <v>8.8965256590304211E-3</v>
      </c>
      <c r="M68" s="77" t="s">
        <v>52</v>
      </c>
      <c r="N68" s="73">
        <v>1.714515089006758</v>
      </c>
      <c r="O68" s="70">
        <f t="shared" si="14"/>
        <v>9.406141984781268</v>
      </c>
    </row>
    <row r="69" spans="1:15" ht="17" outlineLevel="1" x14ac:dyDescent="0.35">
      <c r="B69" s="2" t="s">
        <v>206</v>
      </c>
      <c r="C69" s="49">
        <f t="shared" si="13"/>
        <v>6</v>
      </c>
      <c r="D69" s="49" t="s">
        <v>102</v>
      </c>
      <c r="E69" s="49">
        <v>120003033</v>
      </c>
      <c r="F69" s="96" t="s">
        <v>188</v>
      </c>
      <c r="G69" s="86" t="s">
        <v>22</v>
      </c>
      <c r="H69" s="97">
        <f>0.39/2500</f>
        <v>1.56E-4</v>
      </c>
      <c r="I69" s="42">
        <v>1007386</v>
      </c>
      <c r="J69" s="87">
        <f>+H69*I69</f>
        <v>157.15221600000001</v>
      </c>
      <c r="K69" s="73">
        <f t="shared" si="11"/>
        <v>5.9302723018867924</v>
      </c>
      <c r="L69" s="76">
        <f t="shared" si="12"/>
        <v>4.7442178415094344E-3</v>
      </c>
      <c r="M69" s="77" t="s">
        <v>105</v>
      </c>
      <c r="N69" s="73">
        <v>3.7365764705882358</v>
      </c>
      <c r="O69" s="70">
        <f t="shared" si="14"/>
        <v>2.1936958312985566</v>
      </c>
    </row>
    <row r="70" spans="1:15" ht="17" outlineLevel="1" x14ac:dyDescent="0.35">
      <c r="A70" s="2" t="s">
        <v>118</v>
      </c>
      <c r="B70" s="2" t="s">
        <v>199</v>
      </c>
      <c r="C70" s="49">
        <f t="shared" si="13"/>
        <v>7</v>
      </c>
      <c r="D70" s="49" t="s">
        <v>62</v>
      </c>
      <c r="E70" s="49">
        <v>622</v>
      </c>
      <c r="F70" s="71" t="s">
        <v>63</v>
      </c>
      <c r="G70" s="49" t="s">
        <v>64</v>
      </c>
      <c r="H70" s="49">
        <v>1</v>
      </c>
      <c r="I70" s="42">
        <v>484485710.45333332</v>
      </c>
      <c r="J70" s="87">
        <f>H70*I70/($H$62*$H$63*24*30)</f>
        <v>104.60094799228396</v>
      </c>
      <c r="K70" s="73">
        <f t="shared" si="11"/>
        <v>3.9472055846144891</v>
      </c>
      <c r="L70" s="76">
        <f t="shared" si="12"/>
        <v>3.1577644676915912E-3</v>
      </c>
      <c r="M70" s="79"/>
      <c r="N70" s="73">
        <v>2.3146075304607443</v>
      </c>
      <c r="O70" s="70">
        <f t="shared" si="14"/>
        <v>1.6325980541537448</v>
      </c>
    </row>
    <row r="71" spans="1:15" ht="34" outlineLevel="1" x14ac:dyDescent="0.35">
      <c r="A71" s="2" t="s">
        <v>118</v>
      </c>
      <c r="B71" s="2" t="s">
        <v>200</v>
      </c>
      <c r="C71" s="49">
        <f t="shared" si="13"/>
        <v>8</v>
      </c>
      <c r="D71" s="49" t="s">
        <v>62</v>
      </c>
      <c r="E71" s="49">
        <v>6271</v>
      </c>
      <c r="F71" s="71" t="s">
        <v>65</v>
      </c>
      <c r="G71" s="49" t="s">
        <v>64</v>
      </c>
      <c r="H71" s="49">
        <v>1</v>
      </c>
      <c r="I71" s="42">
        <v>1220678817.28</v>
      </c>
      <c r="J71" s="87">
        <f t="shared" ref="J71:J79" si="15">H71*I71/($H$62*$H$63*24*30)</f>
        <v>263.54577385185189</v>
      </c>
      <c r="K71" s="73">
        <f t="shared" si="11"/>
        <v>9.9451235415793171</v>
      </c>
      <c r="L71" s="76">
        <f t="shared" si="12"/>
        <v>7.956098833263453E-3</v>
      </c>
      <c r="M71" s="79" t="s">
        <v>66</v>
      </c>
      <c r="N71" s="73">
        <v>10.418754770838376</v>
      </c>
      <c r="O71" s="70">
        <f t="shared" si="14"/>
        <v>-0.47363122925905898</v>
      </c>
    </row>
    <row r="72" spans="1:15" ht="17" outlineLevel="1" x14ac:dyDescent="0.35">
      <c r="A72" s="2" t="s">
        <v>118</v>
      </c>
      <c r="B72" s="2" t="s">
        <v>201</v>
      </c>
      <c r="C72" s="49">
        <f t="shared" si="13"/>
        <v>9</v>
      </c>
      <c r="D72" s="49" t="s">
        <v>67</v>
      </c>
      <c r="E72" s="49">
        <v>6272</v>
      </c>
      <c r="F72" s="71" t="s">
        <v>68</v>
      </c>
      <c r="G72" s="49" t="s">
        <v>64</v>
      </c>
      <c r="H72" s="49">
        <v>1</v>
      </c>
      <c r="I72" s="42">
        <v>362801871.33333331</v>
      </c>
      <c r="J72" s="87">
        <f t="shared" si="15"/>
        <v>78.329285789114451</v>
      </c>
      <c r="K72" s="73">
        <f t="shared" si="11"/>
        <v>2.9558221052496019</v>
      </c>
      <c r="L72" s="76">
        <f t="shared" si="12"/>
        <v>2.3646576841996813E-3</v>
      </c>
      <c r="M72" s="45" t="s">
        <v>69</v>
      </c>
      <c r="N72" s="73">
        <v>2.6427307250060519</v>
      </c>
      <c r="O72" s="70">
        <f t="shared" si="14"/>
        <v>0.31309138024354999</v>
      </c>
    </row>
    <row r="73" spans="1:15" ht="17" outlineLevel="1" x14ac:dyDescent="0.35">
      <c r="A73" s="2" t="s">
        <v>118</v>
      </c>
      <c r="B73" s="2" t="s">
        <v>202</v>
      </c>
      <c r="C73" s="49">
        <f t="shared" si="13"/>
        <v>10</v>
      </c>
      <c r="D73" s="49" t="s">
        <v>67</v>
      </c>
      <c r="E73" s="49">
        <v>6273</v>
      </c>
      <c r="F73" s="71" t="s">
        <v>70</v>
      </c>
      <c r="G73" s="49" t="s">
        <v>64</v>
      </c>
      <c r="H73" s="49">
        <v>1</v>
      </c>
      <c r="I73" s="42">
        <v>473941442</v>
      </c>
      <c r="J73" s="87">
        <f t="shared" si="15"/>
        <v>102.32442991898151</v>
      </c>
      <c r="K73" s="73">
        <f t="shared" si="11"/>
        <v>3.8612992422257171</v>
      </c>
      <c r="L73" s="76">
        <f t="shared" si="12"/>
        <v>3.0890393937805737E-3</v>
      </c>
      <c r="M73" s="45" t="s">
        <v>69</v>
      </c>
      <c r="N73" s="73">
        <v>6.0380665698378113</v>
      </c>
      <c r="O73" s="70">
        <f t="shared" si="14"/>
        <v>-2.1767673276120942</v>
      </c>
    </row>
    <row r="74" spans="1:15" ht="17" outlineLevel="1" x14ac:dyDescent="0.35">
      <c r="A74" s="2" t="s">
        <v>118</v>
      </c>
      <c r="B74" s="2" t="s">
        <v>204</v>
      </c>
      <c r="C74" s="49">
        <f t="shared" si="13"/>
        <v>11</v>
      </c>
      <c r="D74" s="86" t="s">
        <v>71</v>
      </c>
      <c r="E74" s="49" t="s">
        <v>72</v>
      </c>
      <c r="F74" s="51" t="s">
        <v>73</v>
      </c>
      <c r="G74" s="49" t="s">
        <v>64</v>
      </c>
      <c r="H74" s="49">
        <v>1</v>
      </c>
      <c r="I74" s="42">
        <v>2010376291.8731103</v>
      </c>
      <c r="J74" s="87">
        <f t="shared" si="15"/>
        <v>434.04224606412868</v>
      </c>
      <c r="K74" s="73">
        <f t="shared" si="11"/>
        <v>16.378952681665233</v>
      </c>
      <c r="L74" s="76">
        <f t="shared" si="12"/>
        <v>1.3103162145332187E-2</v>
      </c>
      <c r="M74" s="45" t="s">
        <v>74</v>
      </c>
      <c r="N74" s="73">
        <v>20.249816363874928</v>
      </c>
      <c r="O74" s="70">
        <f t="shared" si="14"/>
        <v>-3.8708636822096949</v>
      </c>
    </row>
    <row r="75" spans="1:15" ht="17" outlineLevel="1" x14ac:dyDescent="0.35">
      <c r="A75" s="2" t="s">
        <v>118</v>
      </c>
      <c r="B75" s="2" t="s">
        <v>204</v>
      </c>
      <c r="C75" s="49">
        <f t="shared" si="13"/>
        <v>12</v>
      </c>
      <c r="D75" s="86" t="s">
        <v>71</v>
      </c>
      <c r="E75" s="49" t="s">
        <v>75</v>
      </c>
      <c r="F75" s="51" t="s">
        <v>76</v>
      </c>
      <c r="G75" s="49" t="s">
        <v>64</v>
      </c>
      <c r="H75" s="49">
        <v>1</v>
      </c>
      <c r="I75" s="42">
        <v>411759310.47222227</v>
      </c>
      <c r="J75" s="87">
        <f t="shared" si="15"/>
        <v>88.899245717159829</v>
      </c>
      <c r="K75" s="73">
        <f t="shared" si="11"/>
        <v>3.3546885176286727</v>
      </c>
      <c r="L75" s="76">
        <f t="shared" si="12"/>
        <v>2.6837508141029382E-3</v>
      </c>
      <c r="M75" s="45" t="s">
        <v>74</v>
      </c>
      <c r="N75" s="73">
        <v>1.8659215064283601</v>
      </c>
      <c r="O75" s="70">
        <f t="shared" si="14"/>
        <v>1.4887670112003126</v>
      </c>
    </row>
    <row r="76" spans="1:15" ht="17" outlineLevel="1" x14ac:dyDescent="0.35">
      <c r="A76" s="2" t="s">
        <v>118</v>
      </c>
      <c r="B76" s="2" t="s">
        <v>204</v>
      </c>
      <c r="C76" s="49">
        <f t="shared" si="13"/>
        <v>13</v>
      </c>
      <c r="D76" s="86" t="s">
        <v>71</v>
      </c>
      <c r="E76" s="49" t="s">
        <v>77</v>
      </c>
      <c r="F76" s="51" t="s">
        <v>78</v>
      </c>
      <c r="G76" s="49" t="s">
        <v>64</v>
      </c>
      <c r="H76" s="49">
        <v>1</v>
      </c>
      <c r="I76" s="42">
        <v>239588909.45663416</v>
      </c>
      <c r="J76" s="87">
        <f t="shared" si="15"/>
        <v>51.727484458007297</v>
      </c>
      <c r="K76" s="73">
        <f t="shared" si="11"/>
        <v>1.9519805455851811</v>
      </c>
      <c r="L76" s="76">
        <f t="shared" si="12"/>
        <v>1.5615844364681448E-3</v>
      </c>
      <c r="M76" s="45" t="s">
        <v>74</v>
      </c>
      <c r="N76" s="73">
        <v>2.1907837846673184</v>
      </c>
      <c r="O76" s="70">
        <f t="shared" si="14"/>
        <v>-0.2388032390821373</v>
      </c>
    </row>
    <row r="77" spans="1:15" ht="17" outlineLevel="1" x14ac:dyDescent="0.35">
      <c r="A77" s="2" t="s">
        <v>118</v>
      </c>
      <c r="B77" s="2" t="s">
        <v>204</v>
      </c>
      <c r="C77" s="49">
        <f t="shared" si="13"/>
        <v>14</v>
      </c>
      <c r="D77" s="86" t="s">
        <v>71</v>
      </c>
      <c r="E77" s="49" t="s">
        <v>79</v>
      </c>
      <c r="F77" s="51" t="s">
        <v>80</v>
      </c>
      <c r="G77" s="49" t="s">
        <v>64</v>
      </c>
      <c r="H77" s="49">
        <v>1</v>
      </c>
      <c r="I77" s="42">
        <v>287539554.29957587</v>
      </c>
      <c r="J77" s="87">
        <f t="shared" si="15"/>
        <v>62.080076493631729</v>
      </c>
      <c r="K77" s="73">
        <f t="shared" si="11"/>
        <v>2.342644395986103</v>
      </c>
      <c r="L77" s="76">
        <f t="shared" si="12"/>
        <v>1.8741155167888823E-3</v>
      </c>
      <c r="M77" s="45" t="s">
        <v>74</v>
      </c>
      <c r="N77" s="73">
        <v>2.839904606824136</v>
      </c>
      <c r="O77" s="70">
        <f t="shared" si="14"/>
        <v>-0.49726021083803307</v>
      </c>
    </row>
    <row r="78" spans="1:15" ht="34" outlineLevel="1" x14ac:dyDescent="0.35">
      <c r="A78" s="2" t="s">
        <v>118</v>
      </c>
      <c r="B78" s="2" t="s">
        <v>203</v>
      </c>
      <c r="C78" s="49">
        <f>+C74+1</f>
        <v>12</v>
      </c>
      <c r="D78" s="49" t="s">
        <v>81</v>
      </c>
      <c r="E78" s="49">
        <v>6275</v>
      </c>
      <c r="F78" s="71" t="s">
        <v>130</v>
      </c>
      <c r="G78" s="49" t="s">
        <v>83</v>
      </c>
      <c r="H78" s="98">
        <v>1</v>
      </c>
      <c r="I78" s="42">
        <v>2190921365.333333</v>
      </c>
      <c r="J78" s="87">
        <f t="shared" si="15"/>
        <v>473.02210745489083</v>
      </c>
      <c r="K78" s="73">
        <f t="shared" si="11"/>
        <v>17.84989084735437</v>
      </c>
      <c r="L78" s="76">
        <f t="shared" si="12"/>
        <v>1.4279912677883496E-2</v>
      </c>
      <c r="M78" s="45" t="s">
        <v>131</v>
      </c>
      <c r="N78" s="73">
        <v>15.547200907301672</v>
      </c>
      <c r="O78" s="70">
        <f t="shared" si="14"/>
        <v>2.3026899400526979</v>
      </c>
    </row>
    <row r="79" spans="1:15" ht="17" outlineLevel="1" x14ac:dyDescent="0.35">
      <c r="A79" s="2" t="s">
        <v>118</v>
      </c>
      <c r="B79" s="2" t="s">
        <v>205</v>
      </c>
      <c r="C79" s="49">
        <f t="shared" si="13"/>
        <v>13</v>
      </c>
      <c r="D79" s="49" t="s">
        <v>67</v>
      </c>
      <c r="E79" s="49">
        <v>6277.6278000000002</v>
      </c>
      <c r="F79" s="71" t="s">
        <v>85</v>
      </c>
      <c r="G79" s="49" t="s">
        <v>64</v>
      </c>
      <c r="H79" s="49">
        <v>1</v>
      </c>
      <c r="I79" s="42">
        <v>643789946.53584492</v>
      </c>
      <c r="J79" s="87">
        <f t="shared" si="15"/>
        <v>138.99489141287609</v>
      </c>
      <c r="K79" s="73">
        <f t="shared" si="11"/>
        <v>5.2450902419953236</v>
      </c>
      <c r="L79" s="76">
        <f t="shared" si="12"/>
        <v>4.1960721935962592E-3</v>
      </c>
      <c r="M79" s="45" t="s">
        <v>69</v>
      </c>
      <c r="N79" s="73">
        <v>5.1172084741318651</v>
      </c>
      <c r="O79" s="70">
        <f t="shared" si="14"/>
        <v>0.12788176786345851</v>
      </c>
    </row>
    <row r="80" spans="1:15" ht="23.15" customHeight="1" x14ac:dyDescent="0.35">
      <c r="C80" s="57"/>
      <c r="D80" s="179" t="s">
        <v>132</v>
      </c>
      <c r="E80" s="179"/>
      <c r="F80" s="179"/>
      <c r="G80" s="58"/>
      <c r="H80" s="58"/>
      <c r="I80" s="58"/>
      <c r="J80" s="59">
        <f>J60+J61</f>
        <v>23262.793005429005</v>
      </c>
      <c r="K80" s="60">
        <f>J80*1000/$K$5</f>
        <v>877.84124548788691</v>
      </c>
      <c r="L80" s="61">
        <f t="shared" si="12"/>
        <v>0.7022729963903096</v>
      </c>
      <c r="M80" s="62"/>
    </row>
    <row r="81" spans="1:14" ht="17" x14ac:dyDescent="0.35">
      <c r="C81" s="22" t="s">
        <v>191</v>
      </c>
      <c r="D81" s="23" t="s">
        <v>170</v>
      </c>
      <c r="E81" s="23"/>
      <c r="F81" s="63"/>
      <c r="G81" s="64"/>
      <c r="H81" s="64"/>
      <c r="I81" s="64"/>
      <c r="J81" s="65"/>
      <c r="K81" s="66"/>
      <c r="L81" s="67"/>
      <c r="M81" s="85"/>
    </row>
    <row r="82" spans="1:14" ht="20.399999999999999" customHeight="1" x14ac:dyDescent="0.35">
      <c r="C82" s="31" t="s">
        <v>53</v>
      </c>
      <c r="D82" s="47"/>
      <c r="E82" s="47"/>
      <c r="F82" s="32" t="s">
        <v>133</v>
      </c>
      <c r="G82" s="31"/>
      <c r="H82" s="31"/>
      <c r="I82" s="31"/>
      <c r="J82" s="33">
        <f>J80</f>
        <v>23262.793005429005</v>
      </c>
      <c r="K82" s="35">
        <f>J82*1000/$K$5</f>
        <v>877.84124548788691</v>
      </c>
      <c r="L82" s="99">
        <f>J82/$J$109</f>
        <v>0.7022729963903096</v>
      </c>
      <c r="M82" s="94"/>
    </row>
    <row r="83" spans="1:14" ht="20.399999999999999" customHeight="1" x14ac:dyDescent="0.35">
      <c r="C83" s="31" t="s">
        <v>89</v>
      </c>
      <c r="D83" s="47"/>
      <c r="E83" s="47"/>
      <c r="F83" s="32" t="s">
        <v>171</v>
      </c>
      <c r="G83" s="31"/>
      <c r="H83" s="31"/>
      <c r="I83" s="31"/>
      <c r="J83" s="33">
        <f>SUM(J84:J98)</f>
        <v>1754.0485498943633</v>
      </c>
      <c r="K83" s="35">
        <f>J83*1000/$K$5</f>
        <v>66.190511316768436</v>
      </c>
      <c r="L83" s="36">
        <f>J83/$J$109</f>
        <v>5.2952409053414744E-2</v>
      </c>
      <c r="M83" s="94"/>
    </row>
    <row r="84" spans="1:14" ht="17" outlineLevel="1" x14ac:dyDescent="0.35">
      <c r="A84" s="2" t="s">
        <v>172</v>
      </c>
      <c r="C84" s="49">
        <v>0</v>
      </c>
      <c r="D84" s="49" t="s">
        <v>56</v>
      </c>
      <c r="E84" s="49"/>
      <c r="F84" s="71" t="s">
        <v>57</v>
      </c>
      <c r="G84" s="49" t="s">
        <v>58</v>
      </c>
      <c r="H84" s="50">
        <v>4992</v>
      </c>
      <c r="I84" s="49">
        <f>H84+1500</f>
        <v>6492</v>
      </c>
      <c r="J84" s="72"/>
      <c r="K84" s="73"/>
      <c r="L84" s="72"/>
      <c r="M84" s="45" t="s">
        <v>173</v>
      </c>
    </row>
    <row r="85" spans="1:14" ht="17" outlineLevel="1" x14ac:dyDescent="0.35">
      <c r="A85" s="2" t="s">
        <v>172</v>
      </c>
      <c r="C85" s="49"/>
      <c r="D85" s="49"/>
      <c r="E85" s="49"/>
      <c r="F85" s="40" t="s">
        <v>60</v>
      </c>
      <c r="G85" s="39" t="s">
        <v>22</v>
      </c>
      <c r="H85" s="52">
        <v>0.81</v>
      </c>
      <c r="I85" s="49">
        <f>3492+1500</f>
        <v>4992</v>
      </c>
      <c r="J85" s="72"/>
      <c r="K85" s="73"/>
      <c r="L85" s="72"/>
      <c r="M85" s="45" t="s">
        <v>61</v>
      </c>
    </row>
    <row r="86" spans="1:14" ht="17" outlineLevel="1" x14ac:dyDescent="0.35">
      <c r="B86" s="2" t="s">
        <v>207</v>
      </c>
      <c r="C86" s="49">
        <f>+C85+1</f>
        <v>1</v>
      </c>
      <c r="D86" s="86" t="s">
        <v>134</v>
      </c>
      <c r="E86" s="86" t="s">
        <v>135</v>
      </c>
      <c r="F86" s="79" t="s">
        <v>136</v>
      </c>
      <c r="G86" s="86" t="s">
        <v>137</v>
      </c>
      <c r="H86" s="86">
        <v>1</v>
      </c>
      <c r="I86" s="100">
        <v>261000</v>
      </c>
      <c r="J86" s="87">
        <f>(I86*H86)/1100</f>
        <v>237.27272727272728</v>
      </c>
      <c r="K86" s="88">
        <f t="shared" ref="K86:K104" si="16">J86/$K$5*1000</f>
        <v>8.9536878216123501</v>
      </c>
      <c r="L86" s="76">
        <f t="shared" ref="L86:L108" si="17">J86/$J$109</f>
        <v>7.1629502572898799E-3</v>
      </c>
      <c r="M86" s="79" t="s">
        <v>138</v>
      </c>
      <c r="N86" s="117"/>
    </row>
    <row r="87" spans="1:14" ht="17" outlineLevel="1" x14ac:dyDescent="0.35">
      <c r="B87" s="2" t="s">
        <v>207</v>
      </c>
      <c r="C87" s="49">
        <f t="shared" ref="C87:C98" si="18">+C86+1</f>
        <v>2</v>
      </c>
      <c r="D87" s="49" t="s">
        <v>134</v>
      </c>
      <c r="E87" s="49" t="s">
        <v>139</v>
      </c>
      <c r="F87" s="71" t="s">
        <v>140</v>
      </c>
      <c r="G87" s="49" t="s">
        <v>137</v>
      </c>
      <c r="H87" s="49">
        <v>1</v>
      </c>
      <c r="I87" s="42">
        <v>165225</v>
      </c>
      <c r="J87" s="75">
        <f>(I87*H87)/1100</f>
        <v>150.20454545454547</v>
      </c>
      <c r="K87" s="73">
        <f t="shared" si="16"/>
        <v>5.6680960548885082</v>
      </c>
      <c r="L87" s="76">
        <f t="shared" si="17"/>
        <v>4.5344768439108066E-3</v>
      </c>
      <c r="M87" s="79" t="s">
        <v>141</v>
      </c>
      <c r="N87" s="117"/>
    </row>
    <row r="88" spans="1:14" ht="17" outlineLevel="1" x14ac:dyDescent="0.35">
      <c r="B88" s="2" t="s">
        <v>207</v>
      </c>
      <c r="C88" s="49">
        <f t="shared" si="18"/>
        <v>3</v>
      </c>
      <c r="D88" s="49" t="s">
        <v>134</v>
      </c>
      <c r="E88" s="49" t="s">
        <v>142</v>
      </c>
      <c r="F88" s="71" t="s">
        <v>143</v>
      </c>
      <c r="G88" s="49" t="s">
        <v>137</v>
      </c>
      <c r="H88" s="49">
        <v>1</v>
      </c>
      <c r="I88" s="42">
        <v>23502</v>
      </c>
      <c r="J88" s="75">
        <f>(I88*H88)/1100</f>
        <v>21.365454545454547</v>
      </c>
      <c r="K88" s="73">
        <f t="shared" si="16"/>
        <v>0.80624356775300177</v>
      </c>
      <c r="L88" s="101">
        <f t="shared" si="17"/>
        <v>6.4499485420240138E-4</v>
      </c>
      <c r="M88" s="79" t="s">
        <v>141</v>
      </c>
      <c r="N88" s="117"/>
    </row>
    <row r="89" spans="1:14" ht="17" outlineLevel="1" x14ac:dyDescent="0.35">
      <c r="A89" s="2" t="s">
        <v>144</v>
      </c>
      <c r="B89" s="2" t="s">
        <v>199</v>
      </c>
      <c r="C89" s="49">
        <f t="shared" si="18"/>
        <v>4</v>
      </c>
      <c r="D89" s="49" t="s">
        <v>62</v>
      </c>
      <c r="E89" s="49">
        <v>622</v>
      </c>
      <c r="F89" s="71" t="s">
        <v>63</v>
      </c>
      <c r="G89" s="49" t="s">
        <v>64</v>
      </c>
      <c r="H89" s="49">
        <v>1</v>
      </c>
      <c r="I89" s="42">
        <v>146393110.93333334</v>
      </c>
      <c r="J89" s="87">
        <f>H89*I89/($H$84*$H$85*24*30)</f>
        <v>50.2838529759183</v>
      </c>
      <c r="K89" s="73">
        <f t="shared" si="16"/>
        <v>1.8975038858837094</v>
      </c>
      <c r="L89" s="101">
        <f t="shared" si="17"/>
        <v>1.5180031087069677E-3</v>
      </c>
      <c r="M89" s="79" t="s">
        <v>145</v>
      </c>
      <c r="N89" s="117"/>
    </row>
    <row r="90" spans="1:14" ht="34" outlineLevel="1" x14ac:dyDescent="0.35">
      <c r="A90" s="2" t="s">
        <v>144</v>
      </c>
      <c r="B90" s="2" t="s">
        <v>200</v>
      </c>
      <c r="C90" s="49">
        <f t="shared" si="18"/>
        <v>5</v>
      </c>
      <c r="D90" s="49" t="s">
        <v>62</v>
      </c>
      <c r="E90" s="49">
        <v>6271</v>
      </c>
      <c r="F90" s="71" t="s">
        <v>65</v>
      </c>
      <c r="G90" s="49" t="s">
        <v>64</v>
      </c>
      <c r="H90" s="49">
        <v>1</v>
      </c>
      <c r="I90" s="42">
        <v>838952556.34666669</v>
      </c>
      <c r="J90" s="87">
        <f t="shared" ref="J90:J98" si="19">H90*I90/($H$84*$H$85*24*30)</f>
        <v>288.16770630906109</v>
      </c>
      <c r="K90" s="73">
        <f t="shared" si="16"/>
        <v>10.874253068266455</v>
      </c>
      <c r="L90" s="76">
        <f t="shared" si="17"/>
        <v>8.699402454613165E-3</v>
      </c>
      <c r="M90" s="79" t="s">
        <v>66</v>
      </c>
      <c r="N90" s="117"/>
    </row>
    <row r="91" spans="1:14" ht="17" outlineLevel="1" x14ac:dyDescent="0.35">
      <c r="A91" s="2" t="s">
        <v>144</v>
      </c>
      <c r="B91" s="2" t="s">
        <v>201</v>
      </c>
      <c r="C91" s="49">
        <f t="shared" si="18"/>
        <v>6</v>
      </c>
      <c r="D91" s="49" t="s">
        <v>67</v>
      </c>
      <c r="E91" s="49">
        <v>6272</v>
      </c>
      <c r="F91" s="71" t="s">
        <v>68</v>
      </c>
      <c r="G91" s="49" t="s">
        <v>64</v>
      </c>
      <c r="H91" s="49">
        <v>1</v>
      </c>
      <c r="I91" s="42">
        <v>137175627.66666666</v>
      </c>
      <c r="J91" s="87">
        <f t="shared" si="19"/>
        <v>47.117784774798331</v>
      </c>
      <c r="K91" s="73">
        <f t="shared" si="16"/>
        <v>1.7780296141433332</v>
      </c>
      <c r="L91" s="76">
        <f t="shared" si="17"/>
        <v>1.4224236913146667E-3</v>
      </c>
      <c r="M91" s="45" t="s">
        <v>69</v>
      </c>
      <c r="N91" s="117"/>
    </row>
    <row r="92" spans="1:14" ht="17" outlineLevel="1" x14ac:dyDescent="0.35">
      <c r="A92" s="2" t="s">
        <v>144</v>
      </c>
      <c r="B92" s="2" t="s">
        <v>202</v>
      </c>
      <c r="C92" s="49">
        <f t="shared" si="18"/>
        <v>7</v>
      </c>
      <c r="D92" s="49" t="s">
        <v>67</v>
      </c>
      <c r="E92" s="49">
        <v>6273</v>
      </c>
      <c r="F92" s="71" t="s">
        <v>70</v>
      </c>
      <c r="G92" s="49" t="s">
        <v>64</v>
      </c>
      <c r="H92" s="49">
        <v>1</v>
      </c>
      <c r="I92" s="42">
        <v>136710716.66666666</v>
      </c>
      <c r="J92" s="87">
        <f t="shared" si="19"/>
        <v>46.958094771478891</v>
      </c>
      <c r="K92" s="73">
        <f t="shared" si="16"/>
        <v>1.7720035762822224</v>
      </c>
      <c r="L92" s="76">
        <f t="shared" si="17"/>
        <v>1.4176028610257778E-3</v>
      </c>
      <c r="M92" s="45" t="s">
        <v>69</v>
      </c>
      <c r="N92" s="117"/>
    </row>
    <row r="93" spans="1:14" ht="17" outlineLevel="1" x14ac:dyDescent="0.35">
      <c r="A93" s="2" t="s">
        <v>144</v>
      </c>
      <c r="B93" s="2" t="s">
        <v>204</v>
      </c>
      <c r="C93" s="49">
        <f t="shared" si="18"/>
        <v>8</v>
      </c>
      <c r="D93" s="86" t="s">
        <v>71</v>
      </c>
      <c r="E93" s="49" t="s">
        <v>72</v>
      </c>
      <c r="F93" s="51" t="s">
        <v>73</v>
      </c>
      <c r="G93" s="49" t="s">
        <v>64</v>
      </c>
      <c r="H93" s="49">
        <v>1</v>
      </c>
      <c r="I93" s="42">
        <v>364308197.6716066</v>
      </c>
      <c r="J93" s="87">
        <f t="shared" si="19"/>
        <v>125.1344392700497</v>
      </c>
      <c r="K93" s="73">
        <f t="shared" si="16"/>
        <v>4.722054312077347</v>
      </c>
      <c r="L93" s="76">
        <f t="shared" si="17"/>
        <v>3.7776434496618778E-3</v>
      </c>
      <c r="M93" s="45" t="s">
        <v>74</v>
      </c>
      <c r="N93" s="117"/>
    </row>
    <row r="94" spans="1:14" ht="17" outlineLevel="1" x14ac:dyDescent="0.35">
      <c r="A94" s="2" t="s">
        <v>144</v>
      </c>
      <c r="B94" s="2" t="s">
        <v>204</v>
      </c>
      <c r="C94" s="49">
        <f t="shared" si="18"/>
        <v>9</v>
      </c>
      <c r="D94" s="86" t="s">
        <v>71</v>
      </c>
      <c r="E94" s="49" t="s">
        <v>75</v>
      </c>
      <c r="F94" s="51" t="s">
        <v>76</v>
      </c>
      <c r="G94" s="49" t="s">
        <v>64</v>
      </c>
      <c r="H94" s="49">
        <v>1</v>
      </c>
      <c r="I94" s="42">
        <v>0</v>
      </c>
      <c r="J94" s="87">
        <f t="shared" si="19"/>
        <v>0</v>
      </c>
      <c r="K94" s="73">
        <f t="shared" si="16"/>
        <v>0</v>
      </c>
      <c r="L94" s="76">
        <f t="shared" si="17"/>
        <v>0</v>
      </c>
      <c r="M94" s="45" t="s">
        <v>74</v>
      </c>
      <c r="N94" s="117"/>
    </row>
    <row r="95" spans="1:14" ht="17" outlineLevel="1" x14ac:dyDescent="0.35">
      <c r="A95" s="2" t="s">
        <v>144</v>
      </c>
      <c r="B95" s="2" t="s">
        <v>204</v>
      </c>
      <c r="C95" s="49">
        <f t="shared" si="18"/>
        <v>10</v>
      </c>
      <c r="D95" s="86" t="s">
        <v>71</v>
      </c>
      <c r="E95" s="49" t="s">
        <v>77</v>
      </c>
      <c r="F95" s="51" t="s">
        <v>78</v>
      </c>
      <c r="G95" s="49" t="s">
        <v>64</v>
      </c>
      <c r="H95" s="49">
        <v>1</v>
      </c>
      <c r="I95" s="42">
        <v>178285515.43447831</v>
      </c>
      <c r="J95" s="87">
        <f t="shared" si="19"/>
        <v>61.238418861975553</v>
      </c>
      <c r="K95" s="73">
        <f t="shared" si="16"/>
        <v>2.3108837306405867</v>
      </c>
      <c r="L95" s="76">
        <f t="shared" si="17"/>
        <v>1.8487069845124695E-3</v>
      </c>
      <c r="M95" s="45" t="s">
        <v>74</v>
      </c>
      <c r="N95" s="117"/>
    </row>
    <row r="96" spans="1:14" ht="17" outlineLevel="1" x14ac:dyDescent="0.35">
      <c r="A96" s="2" t="s">
        <v>144</v>
      </c>
      <c r="B96" s="2" t="s">
        <v>204</v>
      </c>
      <c r="C96" s="49">
        <f t="shared" si="18"/>
        <v>11</v>
      </c>
      <c r="D96" s="86" t="s">
        <v>71</v>
      </c>
      <c r="E96" s="49" t="s">
        <v>79</v>
      </c>
      <c r="F96" s="51" t="s">
        <v>80</v>
      </c>
      <c r="G96" s="49" t="s">
        <v>64</v>
      </c>
      <c r="H96" s="49">
        <v>1</v>
      </c>
      <c r="I96" s="42">
        <v>213967072.85976821</v>
      </c>
      <c r="J96" s="87">
        <f t="shared" si="19"/>
        <v>73.494502335344293</v>
      </c>
      <c r="K96" s="73">
        <f t="shared" si="16"/>
        <v>2.7733774466167658</v>
      </c>
      <c r="L96" s="76">
        <f t="shared" si="17"/>
        <v>2.2187019572934125E-3</v>
      </c>
      <c r="M96" s="45" t="s">
        <v>74</v>
      </c>
      <c r="N96" s="117"/>
    </row>
    <row r="97" spans="1:14" ht="34" outlineLevel="1" x14ac:dyDescent="0.35">
      <c r="A97" s="2" t="s">
        <v>144</v>
      </c>
      <c r="B97" s="2" t="s">
        <v>203</v>
      </c>
      <c r="C97" s="49">
        <f>+C93+1</f>
        <v>9</v>
      </c>
      <c r="D97" s="86" t="s">
        <v>81</v>
      </c>
      <c r="E97" s="86">
        <v>6275</v>
      </c>
      <c r="F97" s="79" t="s">
        <v>146</v>
      </c>
      <c r="G97" s="49" t="s">
        <v>64</v>
      </c>
      <c r="H97" s="49">
        <v>1</v>
      </c>
      <c r="I97" s="42">
        <v>1454427495.6666667</v>
      </c>
      <c r="J97" s="87">
        <f t="shared" si="19"/>
        <v>499.57418002777922</v>
      </c>
      <c r="K97" s="73">
        <f t="shared" si="16"/>
        <v>18.851855850104876</v>
      </c>
      <c r="L97" s="76">
        <f t="shared" si="17"/>
        <v>1.5081484680083902E-2</v>
      </c>
      <c r="M97" s="45" t="s">
        <v>147</v>
      </c>
      <c r="N97" s="117"/>
    </row>
    <row r="98" spans="1:14" ht="17" outlineLevel="1" x14ac:dyDescent="0.35">
      <c r="A98" s="2" t="s">
        <v>144</v>
      </c>
      <c r="B98" s="2" t="s">
        <v>205</v>
      </c>
      <c r="C98" s="49">
        <f t="shared" si="18"/>
        <v>10</v>
      </c>
      <c r="D98" s="86" t="s">
        <v>67</v>
      </c>
      <c r="E98" s="86">
        <v>6277.6278000000002</v>
      </c>
      <c r="F98" s="71" t="s">
        <v>85</v>
      </c>
      <c r="G98" s="49" t="s">
        <v>64</v>
      </c>
      <c r="H98" s="49">
        <v>1</v>
      </c>
      <c r="I98" s="42">
        <v>446123693.23281401</v>
      </c>
      <c r="J98" s="87">
        <f t="shared" si="19"/>
        <v>153.23684329523053</v>
      </c>
      <c r="K98" s="73">
        <f t="shared" si="16"/>
        <v>5.7825223884992649</v>
      </c>
      <c r="L98" s="76">
        <f t="shared" si="17"/>
        <v>4.6260179107994121E-3</v>
      </c>
      <c r="M98" s="45" t="s">
        <v>69</v>
      </c>
      <c r="N98" s="117"/>
    </row>
    <row r="99" spans="1:14" ht="22.4" customHeight="1" x14ac:dyDescent="0.35">
      <c r="C99" s="31" t="s">
        <v>92</v>
      </c>
      <c r="D99" s="47"/>
      <c r="E99" s="47"/>
      <c r="F99" s="32" t="s">
        <v>148</v>
      </c>
      <c r="G99" s="31"/>
      <c r="H99" s="31"/>
      <c r="I99" s="31"/>
      <c r="J99" s="33">
        <f>SUM(J100:J104)</f>
        <v>3621.8395540155138</v>
      </c>
      <c r="K99" s="35">
        <f>J99*1000/$K$5</f>
        <v>136.67319071756657</v>
      </c>
      <c r="L99" s="36">
        <f t="shared" si="17"/>
        <v>0.10933855257405325</v>
      </c>
      <c r="M99" s="94"/>
    </row>
    <row r="100" spans="1:14" ht="17" outlineLevel="1" x14ac:dyDescent="0.35">
      <c r="A100" s="2" t="s">
        <v>149</v>
      </c>
      <c r="B100" s="2">
        <v>641</v>
      </c>
      <c r="C100" s="49">
        <v>1</v>
      </c>
      <c r="D100" s="49">
        <v>641</v>
      </c>
      <c r="E100" s="49"/>
      <c r="F100" s="102" t="s">
        <v>150</v>
      </c>
      <c r="G100" s="49" t="s">
        <v>64</v>
      </c>
      <c r="H100" s="49">
        <v>1</v>
      </c>
      <c r="I100" s="103">
        <v>473792809.84600055</v>
      </c>
      <c r="J100" s="103">
        <f>+I100/($H$84*$H$85*24*30)</f>
        <v>162.74077270065592</v>
      </c>
      <c r="K100" s="73">
        <f t="shared" si="16"/>
        <v>6.1411612339870167</v>
      </c>
      <c r="L100" s="76">
        <f t="shared" si="17"/>
        <v>4.9129289871896126E-3</v>
      </c>
      <c r="M100" s="104" t="s">
        <v>151</v>
      </c>
      <c r="N100" s="117"/>
    </row>
    <row r="101" spans="1:14" ht="17" outlineLevel="1" x14ac:dyDescent="0.35">
      <c r="A101" s="2" t="s">
        <v>152</v>
      </c>
      <c r="B101" s="2">
        <v>642</v>
      </c>
      <c r="C101" s="49">
        <f>+C100+1</f>
        <v>2</v>
      </c>
      <c r="D101" s="49">
        <v>642</v>
      </c>
      <c r="E101" s="49"/>
      <c r="F101" s="102" t="s">
        <v>153</v>
      </c>
      <c r="G101" s="49" t="s">
        <v>64</v>
      </c>
      <c r="H101" s="49">
        <v>1</v>
      </c>
      <c r="I101" s="103">
        <v>4719699591.8973331</v>
      </c>
      <c r="J101" s="103">
        <f>+I101/($H$84*$H$85*24*30)</f>
        <v>1621.146506528873</v>
      </c>
      <c r="K101" s="73">
        <f t="shared" si="16"/>
        <v>61.175339869014081</v>
      </c>
      <c r="L101" s="76">
        <f t="shared" si="17"/>
        <v>4.894027189521126E-2</v>
      </c>
      <c r="M101" s="104" t="s">
        <v>151</v>
      </c>
      <c r="N101" s="117"/>
    </row>
    <row r="102" spans="1:14" ht="17" outlineLevel="1" x14ac:dyDescent="0.35">
      <c r="A102" s="2" t="s">
        <v>154</v>
      </c>
      <c r="B102" s="2">
        <v>641</v>
      </c>
      <c r="C102" s="49">
        <f>+C101+1</f>
        <v>3</v>
      </c>
      <c r="D102" s="49">
        <v>641</v>
      </c>
      <c r="E102" s="49"/>
      <c r="F102" s="102" t="s">
        <v>155</v>
      </c>
      <c r="G102" s="49" t="s">
        <v>64</v>
      </c>
      <c r="H102" s="49">
        <v>1</v>
      </c>
      <c r="I102" s="103">
        <v>2632586226.9708085</v>
      </c>
      <c r="J102" s="103">
        <f>+I102/($H$84*$H$85*24*30)</f>
        <v>904.25415471709744</v>
      </c>
      <c r="K102" s="73">
        <f t="shared" si="16"/>
        <v>34.122798291211225</v>
      </c>
      <c r="L102" s="76">
        <f t="shared" si="17"/>
        <v>2.7298238632968978E-2</v>
      </c>
      <c r="M102" s="104" t="s">
        <v>151</v>
      </c>
      <c r="N102" s="117"/>
    </row>
    <row r="103" spans="1:14" ht="34" outlineLevel="1" x14ac:dyDescent="0.35">
      <c r="A103" s="2" t="s">
        <v>157</v>
      </c>
      <c r="B103" s="2">
        <v>642</v>
      </c>
      <c r="C103" s="49">
        <f>+C102+1</f>
        <v>4</v>
      </c>
      <c r="D103" s="49">
        <v>642</v>
      </c>
      <c r="E103" s="49"/>
      <c r="F103" s="102" t="s">
        <v>158</v>
      </c>
      <c r="G103" s="49" t="s">
        <v>64</v>
      </c>
      <c r="H103" s="49">
        <v>1</v>
      </c>
      <c r="I103" s="103">
        <v>1589881574.6973832</v>
      </c>
      <c r="J103" s="103">
        <f>+I103/($H$84*$H$85*24*30)</f>
        <v>546.10063848982202</v>
      </c>
      <c r="K103" s="73">
        <f t="shared" si="16"/>
        <v>20.607571263766868</v>
      </c>
      <c r="L103" s="76">
        <f t="shared" si="17"/>
        <v>1.6486057011013494E-2</v>
      </c>
      <c r="M103" s="104" t="s">
        <v>156</v>
      </c>
      <c r="N103" s="117"/>
    </row>
    <row r="104" spans="1:14" ht="17" outlineLevel="1" x14ac:dyDescent="0.35">
      <c r="A104" s="2" t="s">
        <v>159</v>
      </c>
      <c r="B104" s="2">
        <v>635</v>
      </c>
      <c r="C104" s="49">
        <v>3</v>
      </c>
      <c r="D104" s="49">
        <v>635</v>
      </c>
      <c r="E104" s="49"/>
      <c r="F104" s="102" t="s">
        <v>160</v>
      </c>
      <c r="G104" s="49" t="s">
        <v>64</v>
      </c>
      <c r="H104" s="49">
        <v>1</v>
      </c>
      <c r="I104" s="103">
        <v>1128425881.4745004</v>
      </c>
      <c r="J104" s="103">
        <f>+I104/($H$84*$H$85*24*30)</f>
        <v>387.59748157906569</v>
      </c>
      <c r="K104" s="73">
        <f t="shared" si="16"/>
        <v>14.626320059587384</v>
      </c>
      <c r="L104" s="76">
        <f t="shared" si="17"/>
        <v>1.1701056047669908E-2</v>
      </c>
      <c r="M104" s="104" t="s">
        <v>161</v>
      </c>
      <c r="N104" s="117"/>
    </row>
    <row r="105" spans="1:14" ht="24.65" customHeight="1" x14ac:dyDescent="0.35">
      <c r="C105" s="105"/>
      <c r="D105" s="180" t="s">
        <v>162</v>
      </c>
      <c r="E105" s="180"/>
      <c r="F105" s="180"/>
      <c r="G105" s="105"/>
      <c r="H105" s="105"/>
      <c r="I105" s="105"/>
      <c r="J105" s="106">
        <f>+J82+J83+J99</f>
        <v>28638.681109338882</v>
      </c>
      <c r="K105" s="107">
        <f>J105*1000/$K$5</f>
        <v>1080.704947522222</v>
      </c>
      <c r="L105" s="108"/>
      <c r="M105" s="109"/>
    </row>
    <row r="106" spans="1:14" ht="25.4" customHeight="1" x14ac:dyDescent="0.35">
      <c r="C106" s="31" t="s">
        <v>163</v>
      </c>
      <c r="D106" s="47"/>
      <c r="E106" s="47"/>
      <c r="F106" s="32" t="s">
        <v>174</v>
      </c>
      <c r="G106" s="31"/>
      <c r="H106" s="31"/>
      <c r="I106" s="31"/>
      <c r="J106" s="33">
        <f>J107+J108</f>
        <v>4486.3188906611176</v>
      </c>
      <c r="K106" s="35">
        <f>J106*1000/$K$5</f>
        <v>169.29505247777803</v>
      </c>
      <c r="L106" s="36">
        <f t="shared" si="17"/>
        <v>0.13543604198222242</v>
      </c>
      <c r="M106" s="94"/>
    </row>
    <row r="107" spans="1:14" ht="17" outlineLevel="1" x14ac:dyDescent="0.35">
      <c r="C107" s="49">
        <v>1</v>
      </c>
      <c r="D107" s="49" t="s">
        <v>164</v>
      </c>
      <c r="E107" s="49"/>
      <c r="F107" s="102" t="s">
        <v>175</v>
      </c>
      <c r="G107" s="49"/>
      <c r="H107" s="49"/>
      <c r="I107" s="49"/>
      <c r="J107" s="110">
        <f>+(J109-J105)*100%/120%</f>
        <v>3738.5990755509315</v>
      </c>
      <c r="K107" s="111"/>
      <c r="L107" s="101">
        <f t="shared" si="17"/>
        <v>0.11286336831851869</v>
      </c>
      <c r="M107" s="112">
        <f>J107/$J$109</f>
        <v>0.11286336831851869</v>
      </c>
    </row>
    <row r="108" spans="1:14" ht="17" outlineLevel="1" x14ac:dyDescent="0.35">
      <c r="C108" s="49">
        <v>2</v>
      </c>
      <c r="D108" s="49" t="s">
        <v>165</v>
      </c>
      <c r="E108" s="49"/>
      <c r="F108" s="102" t="s">
        <v>166</v>
      </c>
      <c r="G108" s="49"/>
      <c r="H108" s="49"/>
      <c r="I108" s="49"/>
      <c r="J108" s="110">
        <f>J107*20%</f>
        <v>747.71981511018635</v>
      </c>
      <c r="K108" s="111"/>
      <c r="L108" s="101">
        <f t="shared" si="17"/>
        <v>2.2572673663703739E-2</v>
      </c>
      <c r="M108" s="113"/>
    </row>
    <row r="109" spans="1:14" ht="24.65" customHeight="1" x14ac:dyDescent="0.35">
      <c r="A109" s="2" t="s">
        <v>176</v>
      </c>
      <c r="C109" s="105"/>
      <c r="D109" s="180" t="s">
        <v>167</v>
      </c>
      <c r="E109" s="180"/>
      <c r="F109" s="180"/>
      <c r="G109" s="105"/>
      <c r="H109" s="105"/>
      <c r="I109" s="105"/>
      <c r="J109" s="106">
        <f>+K109*K5/10^3</f>
        <v>33125</v>
      </c>
      <c r="K109" s="107">
        <f>+TH!F6</f>
        <v>1250</v>
      </c>
      <c r="L109" s="108">
        <f>+L82+L83+L99+L106</f>
        <v>1</v>
      </c>
      <c r="M109" s="109"/>
    </row>
    <row r="111" spans="1:14" x14ac:dyDescent="0.35">
      <c r="K111" s="70"/>
      <c r="L111" s="70"/>
    </row>
    <row r="112" spans="1:14" x14ac:dyDescent="0.35">
      <c r="K112" s="95"/>
    </row>
  </sheetData>
  <autoFilter ref="C7:M109" xr:uid="{DCB3B5EE-6636-407D-B3F6-4E7544CA3796}"/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B8BDC7BE-6BA4-43F2-B054-637F9BB7FB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49E4-E359-44EE-B9AA-41D4168093C4}">
  <sheetPr>
    <tabColor rgb="FFFF0000"/>
  </sheetPr>
  <dimension ref="A1:N112"/>
  <sheetViews>
    <sheetView zoomScale="70" zoomScaleNormal="70" workbookViewId="0">
      <pane ySplit="7" topLeftCell="A101" activePane="bottomLeft" state="frozen"/>
      <selection activeCell="H84" sqref="H84"/>
      <selection pane="bottomLeft" activeCell="H22" sqref="H22"/>
    </sheetView>
  </sheetViews>
  <sheetFormatPr defaultColWidth="8.90625" defaultRowHeight="14.5" outlineLevelRow="1" x14ac:dyDescent="0.35"/>
  <cols>
    <col min="1" max="2" width="8.90625" style="2"/>
    <col min="3" max="3" width="12.54296875" style="3" customWidth="1"/>
    <col min="4" max="5" width="13.453125" style="3" customWidth="1"/>
    <col min="6" max="6" width="45.90625" style="3" customWidth="1"/>
    <col min="7" max="7" width="11" style="3" customWidth="1"/>
    <col min="8" max="8" width="14.453125" style="3" customWidth="1"/>
    <col min="9" max="9" width="18.453125" style="3" customWidth="1"/>
    <col min="10" max="10" width="14.54296875" style="3" customWidth="1"/>
    <col min="11" max="11" width="12.54296875" style="3" customWidth="1"/>
    <col min="12" max="12" width="10.08984375" style="3" customWidth="1"/>
    <col min="13" max="13" width="69.54296875" style="3" customWidth="1"/>
    <col min="14" max="16384" width="8.90625" style="3"/>
  </cols>
  <sheetData>
    <row r="1" spans="1:13" x14ac:dyDescent="0.35">
      <c r="A1" s="1" t="s">
        <v>0</v>
      </c>
      <c r="B1" s="1"/>
      <c r="C1" s="2">
        <v>1</v>
      </c>
    </row>
    <row r="2" spans="1:13" s="5" customFormat="1" ht="29.15" customHeight="1" x14ac:dyDescent="0.35">
      <c r="A2" s="114"/>
      <c r="B2" s="114"/>
      <c r="C2" s="4" t="s">
        <v>195</v>
      </c>
    </row>
    <row r="3" spans="1:13" ht="17" x14ac:dyDescent="0.35">
      <c r="C3" s="6"/>
      <c r="D3" s="6"/>
      <c r="E3" s="6"/>
      <c r="F3" s="7"/>
      <c r="G3" s="8"/>
      <c r="H3" s="8"/>
      <c r="I3" s="9"/>
      <c r="J3" s="10"/>
      <c r="K3" s="11"/>
      <c r="L3" s="12"/>
      <c r="M3" s="13"/>
    </row>
    <row r="4" spans="1:13" ht="17" x14ac:dyDescent="0.35">
      <c r="C4" s="14" t="s">
        <v>1</v>
      </c>
      <c r="D4" s="15" t="s">
        <v>197</v>
      </c>
      <c r="E4" s="6"/>
      <c r="G4" s="15"/>
      <c r="H4" s="6"/>
      <c r="I4" s="127"/>
      <c r="J4" s="6"/>
      <c r="K4" s="6"/>
      <c r="L4" s="6"/>
      <c r="M4" s="6"/>
    </row>
    <row r="5" spans="1:13" ht="17" x14ac:dyDescent="0.35">
      <c r="C5" s="14" t="s">
        <v>2</v>
      </c>
      <c r="D5" s="115" t="s">
        <v>177</v>
      </c>
      <c r="E5" s="6"/>
      <c r="F5" s="7"/>
      <c r="G5" s="8"/>
      <c r="H5" s="8"/>
      <c r="I5" s="9"/>
      <c r="J5" s="10" t="s">
        <v>3</v>
      </c>
      <c r="K5" s="12">
        <v>26500</v>
      </c>
      <c r="M5" s="13"/>
    </row>
    <row r="6" spans="1:13" ht="17" x14ac:dyDescent="0.35">
      <c r="C6" s="6"/>
      <c r="D6" s="6"/>
      <c r="E6" s="6"/>
      <c r="F6" s="6"/>
      <c r="G6" s="6"/>
      <c r="H6" s="6"/>
      <c r="I6" s="6"/>
      <c r="J6" s="6"/>
      <c r="L6" s="16"/>
      <c r="M6" s="6"/>
    </row>
    <row r="7" spans="1:13" s="21" customFormat="1" ht="34" x14ac:dyDescent="0.35">
      <c r="A7" s="17"/>
      <c r="B7" s="17"/>
      <c r="C7" s="18" t="s">
        <v>4</v>
      </c>
      <c r="D7" s="18" t="s">
        <v>5</v>
      </c>
      <c r="E7" s="18" t="s">
        <v>6</v>
      </c>
      <c r="F7" s="19" t="s">
        <v>7</v>
      </c>
      <c r="G7" s="19" t="s">
        <v>8</v>
      </c>
      <c r="H7" s="19" t="s">
        <v>9</v>
      </c>
      <c r="I7" s="19" t="s">
        <v>10</v>
      </c>
      <c r="J7" s="19" t="s">
        <v>11</v>
      </c>
      <c r="K7" s="19" t="s">
        <v>12</v>
      </c>
      <c r="L7" s="20" t="s">
        <v>13</v>
      </c>
      <c r="M7" s="19" t="s">
        <v>14</v>
      </c>
    </row>
    <row r="8" spans="1:13" ht="17" x14ac:dyDescent="0.35">
      <c r="C8" s="22" t="s">
        <v>15</v>
      </c>
      <c r="D8" s="23" t="s">
        <v>16</v>
      </c>
      <c r="E8" s="23"/>
      <c r="F8" s="24"/>
      <c r="G8" s="25"/>
      <c r="H8" s="25"/>
      <c r="I8" s="26"/>
      <c r="J8" s="27"/>
      <c r="K8" s="28"/>
      <c r="L8" s="29"/>
      <c r="M8" s="30"/>
    </row>
    <row r="9" spans="1:13" ht="17" x14ac:dyDescent="0.35">
      <c r="B9" s="2" t="s">
        <v>116</v>
      </c>
      <c r="C9" s="31" t="s">
        <v>17</v>
      </c>
      <c r="D9" s="31">
        <v>1521</v>
      </c>
      <c r="E9" s="31" t="s">
        <v>189</v>
      </c>
      <c r="F9" s="32" t="s">
        <v>190</v>
      </c>
      <c r="G9" s="31" t="s">
        <v>19</v>
      </c>
      <c r="H9" s="31">
        <v>1</v>
      </c>
      <c r="I9" s="33">
        <v>15000</v>
      </c>
      <c r="J9" s="34">
        <f>I9</f>
        <v>15000</v>
      </c>
      <c r="K9" s="35">
        <f>J9/$K$5*1000</f>
        <v>566.03773584905662</v>
      </c>
      <c r="L9" s="36">
        <f t="shared" ref="L9:L19" si="0">J9/$J$58</f>
        <v>0.72795007429328917</v>
      </c>
      <c r="M9" s="37"/>
    </row>
    <row r="10" spans="1:13" ht="47.4" customHeight="1" x14ac:dyDescent="0.35">
      <c r="B10" s="2" t="s">
        <v>198</v>
      </c>
      <c r="C10" s="31" t="s">
        <v>20</v>
      </c>
      <c r="D10" s="31">
        <v>1522</v>
      </c>
      <c r="E10" s="31"/>
      <c r="F10" s="32" t="s">
        <v>21</v>
      </c>
      <c r="G10" s="31" t="s">
        <v>22</v>
      </c>
      <c r="H10" s="38">
        <f>SUM(H11:H20)</f>
        <v>0.17890491047391213</v>
      </c>
      <c r="I10" s="33"/>
      <c r="J10" s="33">
        <f>SUM(J11:J20)</f>
        <v>1249.9477023961606</v>
      </c>
      <c r="K10" s="35">
        <f>J10/$K$5*1000</f>
        <v>47.167837826270208</v>
      </c>
      <c r="L10" s="36">
        <f t="shared" si="0"/>
        <v>6.0659968188134079E-2</v>
      </c>
      <c r="M10" s="37"/>
    </row>
    <row r="11" spans="1:13" ht="17" outlineLevel="1" x14ac:dyDescent="0.35">
      <c r="C11" s="39"/>
      <c r="D11" s="39"/>
      <c r="E11" s="39" t="s">
        <v>23</v>
      </c>
      <c r="F11" s="40" t="s">
        <v>24</v>
      </c>
      <c r="G11" s="39" t="s">
        <v>22</v>
      </c>
      <c r="H11" s="41">
        <v>0</v>
      </c>
      <c r="I11" s="42">
        <v>6000</v>
      </c>
      <c r="J11" s="42">
        <f>+($J$9-I11)*H11</f>
        <v>0</v>
      </c>
      <c r="K11" s="43">
        <f t="shared" ref="K11:K20" si="1">J11/$K$5*1000</f>
        <v>0</v>
      </c>
      <c r="L11" s="44">
        <f t="shared" si="0"/>
        <v>0</v>
      </c>
      <c r="M11" s="45" t="s">
        <v>25</v>
      </c>
    </row>
    <row r="12" spans="1:13" ht="17" outlineLevel="1" x14ac:dyDescent="0.35">
      <c r="A12" s="2" t="s">
        <v>26</v>
      </c>
      <c r="C12" s="39"/>
      <c r="D12" s="39"/>
      <c r="E12" s="39" t="s">
        <v>27</v>
      </c>
      <c r="F12" s="40" t="s">
        <v>28</v>
      </c>
      <c r="G12" s="39" t="s">
        <v>22</v>
      </c>
      <c r="H12" s="41">
        <v>0</v>
      </c>
      <c r="I12" s="42">
        <v>11000</v>
      </c>
      <c r="J12" s="42">
        <f t="shared" ref="J12:J20" si="2">+($J$9-I12)*H12</f>
        <v>0</v>
      </c>
      <c r="K12" s="43">
        <f t="shared" si="1"/>
        <v>0</v>
      </c>
      <c r="L12" s="44">
        <f t="shared" si="0"/>
        <v>0</v>
      </c>
      <c r="M12" s="45" t="s">
        <v>25</v>
      </c>
    </row>
    <row r="13" spans="1:13" ht="17" outlineLevel="1" x14ac:dyDescent="0.35">
      <c r="A13" s="2" t="s">
        <v>29</v>
      </c>
      <c r="C13" s="39"/>
      <c r="D13" s="39"/>
      <c r="E13" s="39" t="s">
        <v>30</v>
      </c>
      <c r="F13" s="40" t="s">
        <v>31</v>
      </c>
      <c r="G13" s="39" t="s">
        <v>22</v>
      </c>
      <c r="H13" s="41">
        <v>1.3146811248457861E-3</v>
      </c>
      <c r="I13" s="42">
        <v>12500</v>
      </c>
      <c r="J13" s="42">
        <f t="shared" si="2"/>
        <v>3.2867028121144655</v>
      </c>
      <c r="K13" s="43">
        <f t="shared" si="1"/>
        <v>0.12402652121186662</v>
      </c>
      <c r="L13" s="44">
        <f t="shared" si="0"/>
        <v>1.5950370375057918E-4</v>
      </c>
      <c r="M13" s="45" t="s">
        <v>25</v>
      </c>
    </row>
    <row r="14" spans="1:13" ht="17" outlineLevel="1" x14ac:dyDescent="0.35">
      <c r="A14" s="2" t="s">
        <v>32</v>
      </c>
      <c r="C14" s="39"/>
      <c r="D14" s="39"/>
      <c r="E14" s="39" t="s">
        <v>33</v>
      </c>
      <c r="F14" s="40" t="s">
        <v>34</v>
      </c>
      <c r="G14" s="39" t="s">
        <v>22</v>
      </c>
      <c r="H14" s="41">
        <v>2.0155036081746128E-3</v>
      </c>
      <c r="I14" s="42">
        <v>12500</v>
      </c>
      <c r="J14" s="42">
        <f t="shared" si="2"/>
        <v>5.0387590204365322</v>
      </c>
      <c r="K14" s="43">
        <f t="shared" si="1"/>
        <v>0.19014184982779367</v>
      </c>
      <c r="L14" s="44">
        <f t="shared" si="0"/>
        <v>2.4453100021818363E-4</v>
      </c>
      <c r="M14" s="45" t="s">
        <v>25</v>
      </c>
    </row>
    <row r="15" spans="1:13" ht="17" outlineLevel="1" x14ac:dyDescent="0.35">
      <c r="A15" s="2" t="s">
        <v>35</v>
      </c>
      <c r="C15" s="39"/>
      <c r="D15" s="39"/>
      <c r="E15" s="39" t="s">
        <v>36</v>
      </c>
      <c r="F15" s="40" t="s">
        <v>37</v>
      </c>
      <c r="G15" s="39" t="s">
        <v>22</v>
      </c>
      <c r="H15" s="41">
        <v>6.5144366055896942E-4</v>
      </c>
      <c r="I15" s="42">
        <v>12300</v>
      </c>
      <c r="J15" s="42">
        <f t="shared" si="2"/>
        <v>1.7588978835092175</v>
      </c>
      <c r="K15" s="43">
        <f t="shared" si="1"/>
        <v>6.6373505038083688E-2</v>
      </c>
      <c r="L15" s="44">
        <f t="shared" si="0"/>
        <v>8.5359322998322933E-5</v>
      </c>
      <c r="M15" s="45" t="s">
        <v>25</v>
      </c>
    </row>
    <row r="16" spans="1:13" ht="17" outlineLevel="1" x14ac:dyDescent="0.4">
      <c r="A16" s="46" t="s">
        <v>38</v>
      </c>
      <c r="B16" s="46"/>
      <c r="C16" s="39"/>
      <c r="D16" s="39"/>
      <c r="E16" s="39" t="s">
        <v>39</v>
      </c>
      <c r="F16" s="40" t="s">
        <v>40</v>
      </c>
      <c r="G16" s="39" t="s">
        <v>22</v>
      </c>
      <c r="H16" s="41">
        <v>9.4914290817541935E-2</v>
      </c>
      <c r="I16" s="42">
        <v>10500</v>
      </c>
      <c r="J16" s="42">
        <f t="shared" si="2"/>
        <v>427.1143086789387</v>
      </c>
      <c r="K16" s="43">
        <f t="shared" si="1"/>
        <v>16.117521082224101</v>
      </c>
      <c r="L16" s="44">
        <f t="shared" si="0"/>
        <v>2.072785951563735E-2</v>
      </c>
      <c r="M16" s="45" t="s">
        <v>25</v>
      </c>
    </row>
    <row r="17" spans="1:14" ht="17" outlineLevel="1" x14ac:dyDescent="0.4">
      <c r="A17" s="46" t="s">
        <v>41</v>
      </c>
      <c r="B17" s="46"/>
      <c r="C17" s="39"/>
      <c r="D17" s="39"/>
      <c r="E17" s="39" t="s">
        <v>42</v>
      </c>
      <c r="F17" s="40" t="s">
        <v>43</v>
      </c>
      <c r="G17" s="39" t="s">
        <v>22</v>
      </c>
      <c r="H17" s="41">
        <v>3.2148664297843757E-2</v>
      </c>
      <c r="I17" s="42">
        <v>5000</v>
      </c>
      <c r="J17" s="42">
        <f t="shared" si="2"/>
        <v>321.48664297843754</v>
      </c>
      <c r="K17" s="43">
        <f t="shared" si="1"/>
        <v>12.131571433148586</v>
      </c>
      <c r="L17" s="44">
        <f t="shared" si="0"/>
        <v>1.5601748376030249E-2</v>
      </c>
      <c r="M17" s="45" t="s">
        <v>25</v>
      </c>
    </row>
    <row r="18" spans="1:14" ht="17" outlineLevel="1" x14ac:dyDescent="0.4">
      <c r="A18" s="46" t="s">
        <v>44</v>
      </c>
      <c r="B18" s="46"/>
      <c r="C18" s="39"/>
      <c r="D18" s="39"/>
      <c r="E18" s="39" t="s">
        <v>45</v>
      </c>
      <c r="F18" s="40" t="s">
        <v>46</v>
      </c>
      <c r="G18" s="39" t="s">
        <v>22</v>
      </c>
      <c r="H18" s="41">
        <v>1.5908151571050005E-2</v>
      </c>
      <c r="I18" s="42">
        <v>10500</v>
      </c>
      <c r="J18" s="42">
        <f t="shared" si="2"/>
        <v>71.586682069725015</v>
      </c>
      <c r="K18" s="43">
        <f t="shared" si="1"/>
        <v>2.7013842290462273</v>
      </c>
      <c r="L18" s="44">
        <f t="shared" si="0"/>
        <v>3.4741020354044265E-3</v>
      </c>
      <c r="M18" s="45" t="s">
        <v>25</v>
      </c>
    </row>
    <row r="19" spans="1:14" ht="17" outlineLevel="1" x14ac:dyDescent="0.4">
      <c r="A19" s="46" t="s">
        <v>47</v>
      </c>
      <c r="B19" s="46"/>
      <c r="C19" s="39"/>
      <c r="D19" s="39"/>
      <c r="E19" s="39" t="s">
        <v>48</v>
      </c>
      <c r="F19" s="40" t="s">
        <v>49</v>
      </c>
      <c r="G19" s="39" t="s">
        <v>22</v>
      </c>
      <c r="H19" s="41">
        <v>5.4188110868597364E-3</v>
      </c>
      <c r="I19" s="42">
        <v>11000</v>
      </c>
      <c r="J19" s="42">
        <f t="shared" si="2"/>
        <v>21.675244347438944</v>
      </c>
      <c r="K19" s="43">
        <f t="shared" si="1"/>
        <v>0.81793374895996018</v>
      </c>
      <c r="L19" s="44">
        <f t="shared" si="0"/>
        <v>1.0518997155362251E-3</v>
      </c>
      <c r="M19" s="45" t="s">
        <v>25</v>
      </c>
    </row>
    <row r="20" spans="1:14" ht="17" outlineLevel="1" x14ac:dyDescent="0.4">
      <c r="A20" s="46" t="s">
        <v>50</v>
      </c>
      <c r="B20" s="46"/>
      <c r="C20" s="39"/>
      <c r="D20" s="39"/>
      <c r="E20" s="39"/>
      <c r="F20" s="40" t="s">
        <v>51</v>
      </c>
      <c r="G20" s="39" t="s">
        <v>22</v>
      </c>
      <c r="H20" s="41">
        <v>2.6533364307037351E-2</v>
      </c>
      <c r="I20" s="42">
        <v>0</v>
      </c>
      <c r="J20" s="42">
        <f t="shared" si="2"/>
        <v>398.00046460556024</v>
      </c>
      <c r="K20" s="43">
        <f t="shared" si="1"/>
        <v>15.018885456813592</v>
      </c>
      <c r="L20" s="44">
        <f>J20/$J$58</f>
        <v>1.9314964518558745E-2</v>
      </c>
      <c r="M20" s="45" t="s">
        <v>52</v>
      </c>
    </row>
    <row r="21" spans="1:14" ht="17" x14ac:dyDescent="0.35">
      <c r="C21" s="31" t="s">
        <v>53</v>
      </c>
      <c r="D21" s="47"/>
      <c r="E21" s="47"/>
      <c r="F21" s="32" t="s">
        <v>54</v>
      </c>
      <c r="G21" s="31"/>
      <c r="H21" s="31"/>
      <c r="I21" s="31"/>
      <c r="J21" s="33">
        <f>SUM(J22:J33)</f>
        <v>2321.0309940637335</v>
      </c>
      <c r="K21" s="35">
        <f>J21*1000/$K$5</f>
        <v>87.586075247688058</v>
      </c>
      <c r="L21" s="36">
        <f>J21/$J$58</f>
        <v>0.11263964563771478</v>
      </c>
      <c r="M21" s="48"/>
    </row>
    <row r="22" spans="1:14" ht="17" outlineLevel="1" x14ac:dyDescent="0.35">
      <c r="A22" s="2" t="s">
        <v>55</v>
      </c>
      <c r="C22" s="39">
        <v>0</v>
      </c>
      <c r="D22" s="49" t="s">
        <v>56</v>
      </c>
      <c r="E22" s="49"/>
      <c r="F22" s="40" t="s">
        <v>57</v>
      </c>
      <c r="G22" s="39" t="s">
        <v>58</v>
      </c>
      <c r="H22" s="50">
        <v>4800</v>
      </c>
      <c r="I22" s="39"/>
      <c r="J22" s="51"/>
      <c r="K22" s="43"/>
      <c r="L22" s="51"/>
      <c r="M22" s="45" t="s">
        <v>59</v>
      </c>
    </row>
    <row r="23" spans="1:14" ht="17" outlineLevel="1" x14ac:dyDescent="0.35">
      <c r="A23" s="2" t="s">
        <v>55</v>
      </c>
      <c r="C23" s="39"/>
      <c r="D23" s="49"/>
      <c r="E23" s="49"/>
      <c r="F23" s="40" t="s">
        <v>60</v>
      </c>
      <c r="G23" s="39" t="s">
        <v>22</v>
      </c>
      <c r="H23" s="52">
        <v>0.6</v>
      </c>
      <c r="I23" s="39"/>
      <c r="J23" s="51"/>
      <c r="K23" s="43"/>
      <c r="L23" s="51"/>
      <c r="M23" s="45" t="s">
        <v>61</v>
      </c>
    </row>
    <row r="24" spans="1:14" ht="34" outlineLevel="1" x14ac:dyDescent="0.35">
      <c r="A24" s="2" t="s">
        <v>55</v>
      </c>
      <c r="B24" s="2" t="s">
        <v>199</v>
      </c>
      <c r="C24" s="39">
        <f>+C22+1</f>
        <v>1</v>
      </c>
      <c r="D24" s="49" t="s">
        <v>62</v>
      </c>
      <c r="E24" s="49">
        <v>622</v>
      </c>
      <c r="F24" s="40" t="s">
        <v>63</v>
      </c>
      <c r="G24" s="39" t="s">
        <v>64</v>
      </c>
      <c r="H24" s="39">
        <v>1</v>
      </c>
      <c r="I24" s="42">
        <v>1811265742</v>
      </c>
      <c r="J24" s="53">
        <f>+I24/($H$22*$H$23*24*30)</f>
        <v>873.48849440586423</v>
      </c>
      <c r="K24" s="43">
        <f t="shared" ref="K24:K33" si="3">J24/$K$5*1000</f>
        <v>32.961829977579782</v>
      </c>
      <c r="L24" s="54">
        <f t="shared" ref="L24:L34" si="4">J24/$J$58</f>
        <v>4.239040095980548E-2</v>
      </c>
      <c r="M24" s="45" t="s">
        <v>169</v>
      </c>
      <c r="N24" s="116"/>
    </row>
    <row r="25" spans="1:14" ht="34" outlineLevel="1" x14ac:dyDescent="0.35">
      <c r="A25" s="2" t="s">
        <v>55</v>
      </c>
      <c r="B25" s="2" t="s">
        <v>200</v>
      </c>
      <c r="C25" s="39">
        <f t="shared" ref="C25:C31" si="5">+C23+1</f>
        <v>1</v>
      </c>
      <c r="D25" s="49" t="s">
        <v>62</v>
      </c>
      <c r="E25" s="49">
        <v>6271</v>
      </c>
      <c r="F25" s="51" t="s">
        <v>65</v>
      </c>
      <c r="G25" s="39" t="s">
        <v>64</v>
      </c>
      <c r="H25" s="39">
        <v>1</v>
      </c>
      <c r="I25" s="42">
        <v>751521405.09333348</v>
      </c>
      <c r="J25" s="53">
        <f t="shared" ref="J25:J33" si="6">+I25/($H$22*$H$23*24*30)</f>
        <v>362.42351711676963</v>
      </c>
      <c r="K25" s="43">
        <f t="shared" si="3"/>
        <v>13.676359136481873</v>
      </c>
      <c r="L25" s="54">
        <f t="shared" si="4"/>
        <v>1.7588415080719174E-2</v>
      </c>
      <c r="M25" s="45" t="s">
        <v>66</v>
      </c>
      <c r="N25" s="116"/>
    </row>
    <row r="26" spans="1:14" ht="17" outlineLevel="1" x14ac:dyDescent="0.35">
      <c r="A26" s="2" t="s">
        <v>55</v>
      </c>
      <c r="B26" s="2" t="s">
        <v>201</v>
      </c>
      <c r="C26" s="39">
        <f t="shared" si="5"/>
        <v>2</v>
      </c>
      <c r="D26" s="49" t="s">
        <v>67</v>
      </c>
      <c r="E26" s="49">
        <v>6272</v>
      </c>
      <c r="F26" s="51" t="s">
        <v>68</v>
      </c>
      <c r="G26" s="39" t="s">
        <v>64</v>
      </c>
      <c r="H26" s="39">
        <v>1</v>
      </c>
      <c r="I26" s="42">
        <v>330609579.66666669</v>
      </c>
      <c r="J26" s="53">
        <f t="shared" si="6"/>
        <v>159.43749019418726</v>
      </c>
      <c r="K26" s="43">
        <f t="shared" si="3"/>
        <v>6.0165090639315952</v>
      </c>
      <c r="L26" s="54">
        <f t="shared" si="4"/>
        <v>7.7375021887996125E-3</v>
      </c>
      <c r="M26" s="45" t="s">
        <v>69</v>
      </c>
      <c r="N26" s="116"/>
    </row>
    <row r="27" spans="1:14" ht="17" outlineLevel="1" x14ac:dyDescent="0.35">
      <c r="A27" s="2" t="s">
        <v>55</v>
      </c>
      <c r="B27" s="2" t="s">
        <v>202</v>
      </c>
      <c r="C27" s="39">
        <f t="shared" si="5"/>
        <v>2</v>
      </c>
      <c r="D27" s="49" t="s">
        <v>67</v>
      </c>
      <c r="E27" s="49">
        <v>6273</v>
      </c>
      <c r="F27" s="51" t="s">
        <v>70</v>
      </c>
      <c r="G27" s="39" t="s">
        <v>64</v>
      </c>
      <c r="H27" s="39">
        <v>1</v>
      </c>
      <c r="I27" s="42">
        <v>198559347.66666666</v>
      </c>
      <c r="J27" s="53">
        <f t="shared" si="6"/>
        <v>95.755858249742801</v>
      </c>
      <c r="K27" s="43">
        <f t="shared" si="3"/>
        <v>3.6134286131978417</v>
      </c>
      <c r="L27" s="54">
        <f t="shared" si="4"/>
        <v>4.6470322751278629E-3</v>
      </c>
      <c r="M27" s="45" t="s">
        <v>69</v>
      </c>
      <c r="N27" s="116"/>
    </row>
    <row r="28" spans="1:14" ht="17" outlineLevel="1" x14ac:dyDescent="0.35">
      <c r="A28" s="2" t="s">
        <v>55</v>
      </c>
      <c r="B28" s="2" t="s">
        <v>204</v>
      </c>
      <c r="C28" s="39">
        <f t="shared" si="5"/>
        <v>3</v>
      </c>
      <c r="D28" s="49" t="s">
        <v>71</v>
      </c>
      <c r="E28" s="49" t="s">
        <v>72</v>
      </c>
      <c r="F28" s="51" t="s">
        <v>73</v>
      </c>
      <c r="G28" s="49" t="s">
        <v>64</v>
      </c>
      <c r="H28" s="49">
        <v>1</v>
      </c>
      <c r="I28" s="42">
        <v>366989315.53237951</v>
      </c>
      <c r="J28" s="53">
        <f t="shared" si="6"/>
        <v>176.98173009856265</v>
      </c>
      <c r="K28" s="43">
        <f t="shared" si="3"/>
        <v>6.6785558527759488</v>
      </c>
      <c r="L28" s="54">
        <f t="shared" si="4"/>
        <v>8.5889242382535692E-3</v>
      </c>
      <c r="M28" s="45" t="s">
        <v>74</v>
      </c>
      <c r="N28" s="116"/>
    </row>
    <row r="29" spans="1:14" ht="17" outlineLevel="1" x14ac:dyDescent="0.35">
      <c r="A29" s="2" t="s">
        <v>55</v>
      </c>
      <c r="B29" s="2" t="s">
        <v>204</v>
      </c>
      <c r="C29" s="39">
        <f t="shared" si="5"/>
        <v>3</v>
      </c>
      <c r="D29" s="49" t="s">
        <v>71</v>
      </c>
      <c r="E29" s="49" t="s">
        <v>75</v>
      </c>
      <c r="F29" s="51" t="s">
        <v>76</v>
      </c>
      <c r="G29" s="49" t="s">
        <v>64</v>
      </c>
      <c r="H29" s="49">
        <v>1</v>
      </c>
      <c r="I29" s="42">
        <v>295259846.7833333</v>
      </c>
      <c r="J29" s="53">
        <f t="shared" si="6"/>
        <v>142.38997240708588</v>
      </c>
      <c r="K29" s="43">
        <f t="shared" si="3"/>
        <v>5.3732065059277687</v>
      </c>
      <c r="L29" s="54">
        <f t="shared" si="4"/>
        <v>6.9101860661571705E-3</v>
      </c>
      <c r="M29" s="45" t="s">
        <v>74</v>
      </c>
      <c r="N29" s="116"/>
    </row>
    <row r="30" spans="1:14" ht="17" outlineLevel="1" x14ac:dyDescent="0.35">
      <c r="A30" s="2" t="s">
        <v>55</v>
      </c>
      <c r="B30" s="2" t="s">
        <v>204</v>
      </c>
      <c r="C30" s="39">
        <f t="shared" si="5"/>
        <v>4</v>
      </c>
      <c r="D30" s="49" t="s">
        <v>71</v>
      </c>
      <c r="E30" s="49" t="s">
        <v>77</v>
      </c>
      <c r="F30" s="51" t="s">
        <v>78</v>
      </c>
      <c r="G30" s="49" t="s">
        <v>64</v>
      </c>
      <c r="H30" s="49">
        <v>1</v>
      </c>
      <c r="I30" s="42">
        <v>144639418.46608332</v>
      </c>
      <c r="J30" s="53">
        <f t="shared" si="6"/>
        <v>69.752805973226913</v>
      </c>
      <c r="K30" s="43">
        <f t="shared" si="3"/>
        <v>2.6321813574802611</v>
      </c>
      <c r="L30" s="54">
        <f t="shared" si="4"/>
        <v>3.3851040193583946E-3</v>
      </c>
      <c r="M30" s="45" t="s">
        <v>74</v>
      </c>
      <c r="N30" s="116"/>
    </row>
    <row r="31" spans="1:14" ht="17" outlineLevel="1" x14ac:dyDescent="0.35">
      <c r="A31" s="2" t="s">
        <v>55</v>
      </c>
      <c r="B31" s="2" t="s">
        <v>204</v>
      </c>
      <c r="C31" s="39">
        <f t="shared" si="5"/>
        <v>4</v>
      </c>
      <c r="D31" s="49" t="s">
        <v>71</v>
      </c>
      <c r="E31" s="49" t="s">
        <v>79</v>
      </c>
      <c r="F31" s="51" t="s">
        <v>80</v>
      </c>
      <c r="G31" s="49" t="s">
        <v>64</v>
      </c>
      <c r="H31" s="49">
        <v>1</v>
      </c>
      <c r="I31" s="42">
        <v>173587141.46747762</v>
      </c>
      <c r="J31" s="53">
        <f t="shared" si="6"/>
        <v>83.712934735473382</v>
      </c>
      <c r="K31" s="43">
        <f t="shared" si="3"/>
        <v>3.1589786692631465</v>
      </c>
      <c r="L31" s="54">
        <f t="shared" si="4"/>
        <v>4.0625891373331415E-3</v>
      </c>
      <c r="M31" s="45" t="s">
        <v>74</v>
      </c>
      <c r="N31" s="116"/>
    </row>
    <row r="32" spans="1:14" ht="34" outlineLevel="1" x14ac:dyDescent="0.35">
      <c r="A32" s="2" t="s">
        <v>55</v>
      </c>
      <c r="B32" s="2" t="s">
        <v>203</v>
      </c>
      <c r="C32" s="39">
        <f>+C27+1</f>
        <v>3</v>
      </c>
      <c r="D32" s="49" t="s">
        <v>81</v>
      </c>
      <c r="E32" s="49">
        <v>6275</v>
      </c>
      <c r="F32" s="40" t="s">
        <v>82</v>
      </c>
      <c r="G32" s="39" t="s">
        <v>83</v>
      </c>
      <c r="H32" s="56">
        <v>1</v>
      </c>
      <c r="I32" s="42">
        <v>337919308.66666669</v>
      </c>
      <c r="J32" s="53">
        <f t="shared" si="6"/>
        <v>162.96262956532922</v>
      </c>
      <c r="K32" s="43">
        <f t="shared" si="3"/>
        <v>6.1495331911444993</v>
      </c>
      <c r="L32" s="54">
        <f t="shared" si="4"/>
        <v>7.9085772199407444E-3</v>
      </c>
      <c r="M32" s="45" t="s">
        <v>84</v>
      </c>
      <c r="N32" s="116"/>
    </row>
    <row r="33" spans="1:14" ht="17" outlineLevel="1" x14ac:dyDescent="0.35">
      <c r="A33" s="2" t="s">
        <v>55</v>
      </c>
      <c r="B33" s="2" t="s">
        <v>205</v>
      </c>
      <c r="C33" s="39">
        <f>+C28+1</f>
        <v>4</v>
      </c>
      <c r="D33" s="49" t="s">
        <v>67</v>
      </c>
      <c r="E33" s="49">
        <v>6277.6278000000002</v>
      </c>
      <c r="F33" s="51" t="s">
        <v>85</v>
      </c>
      <c r="G33" s="39" t="s">
        <v>64</v>
      </c>
      <c r="H33" s="39">
        <v>1</v>
      </c>
      <c r="I33" s="42">
        <v>402538763.9479506</v>
      </c>
      <c r="J33" s="53">
        <f t="shared" si="6"/>
        <v>194.12556131749162</v>
      </c>
      <c r="K33" s="43">
        <f t="shared" si="3"/>
        <v>7.3254928799053438</v>
      </c>
      <c r="L33" s="54">
        <f t="shared" si="4"/>
        <v>9.4209144522196323E-3</v>
      </c>
      <c r="M33" s="45" t="s">
        <v>69</v>
      </c>
      <c r="N33" s="116"/>
    </row>
    <row r="34" spans="1:14" ht="23.15" customHeight="1" x14ac:dyDescent="0.35">
      <c r="C34" s="57"/>
      <c r="D34" s="179" t="s">
        <v>86</v>
      </c>
      <c r="E34" s="179"/>
      <c r="F34" s="179"/>
      <c r="G34" s="58"/>
      <c r="H34" s="58"/>
      <c r="I34" s="58"/>
      <c r="J34" s="59">
        <f>J9+J10+J21</f>
        <v>18570.978696459893</v>
      </c>
      <c r="K34" s="60">
        <f>J34*1000/$K$5</f>
        <v>700.7916489230148</v>
      </c>
      <c r="L34" s="61">
        <f t="shared" si="4"/>
        <v>0.90124968811913797</v>
      </c>
      <c r="M34" s="62"/>
    </row>
    <row r="35" spans="1:14" ht="17" x14ac:dyDescent="0.35">
      <c r="C35" s="22" t="s">
        <v>87</v>
      </c>
      <c r="D35" s="23" t="s">
        <v>88</v>
      </c>
      <c r="E35" s="23"/>
      <c r="F35" s="63"/>
      <c r="G35" s="64"/>
      <c r="H35" s="64"/>
      <c r="I35" s="64"/>
      <c r="J35" s="65"/>
      <c r="K35" s="66"/>
      <c r="L35" s="67"/>
      <c r="M35" s="68"/>
    </row>
    <row r="36" spans="1:14" ht="17" x14ac:dyDescent="0.35">
      <c r="C36" s="31" t="s">
        <v>89</v>
      </c>
      <c r="D36" s="47"/>
      <c r="E36" s="47"/>
      <c r="F36" s="32" t="s">
        <v>90</v>
      </c>
      <c r="G36" s="31" t="s">
        <v>91</v>
      </c>
      <c r="H36" s="31">
        <v>1</v>
      </c>
      <c r="I36" s="69">
        <f>+J34</f>
        <v>18570.978696459893</v>
      </c>
      <c r="J36" s="33">
        <f>+H36*I36</f>
        <v>18570.978696459893</v>
      </c>
      <c r="K36" s="35">
        <f>J36*1000/$K$5</f>
        <v>700.7916489230148</v>
      </c>
      <c r="L36" s="36">
        <f>J36/$J$58</f>
        <v>0.90124968811913797</v>
      </c>
      <c r="M36" s="48"/>
    </row>
    <row r="37" spans="1:14" ht="17" x14ac:dyDescent="0.35">
      <c r="C37" s="31" t="s">
        <v>92</v>
      </c>
      <c r="D37" s="47"/>
      <c r="E37" s="47"/>
      <c r="F37" s="32" t="s">
        <v>93</v>
      </c>
      <c r="G37" s="31"/>
      <c r="H37" s="31"/>
      <c r="I37" s="31"/>
      <c r="J37" s="33">
        <f>SUM(J40:J57)</f>
        <v>2034.8300392042213</v>
      </c>
      <c r="K37" s="35">
        <f>J37*1000/$K$5</f>
        <v>76.786039215253638</v>
      </c>
      <c r="L37" s="36">
        <f>J37/$J$58</f>
        <v>9.875031188086196E-2</v>
      </c>
      <c r="M37" s="48"/>
    </row>
    <row r="38" spans="1:14" ht="17" outlineLevel="1" x14ac:dyDescent="0.35">
      <c r="A38" s="2" t="s">
        <v>95</v>
      </c>
      <c r="C38" s="49">
        <v>0</v>
      </c>
      <c r="D38" s="49" t="s">
        <v>96</v>
      </c>
      <c r="E38" s="49"/>
      <c r="F38" s="71" t="s">
        <v>57</v>
      </c>
      <c r="G38" s="49" t="s">
        <v>58</v>
      </c>
      <c r="H38" s="185">
        <v>15381.993127147764</v>
      </c>
      <c r="I38" s="49"/>
      <c r="J38" s="72"/>
      <c r="K38" s="73"/>
      <c r="L38" s="72"/>
      <c r="M38" s="45" t="s">
        <v>97</v>
      </c>
    </row>
    <row r="39" spans="1:14" ht="17" outlineLevel="1" x14ac:dyDescent="0.35">
      <c r="A39" s="2" t="s">
        <v>95</v>
      </c>
      <c r="C39" s="49"/>
      <c r="D39" s="49"/>
      <c r="E39" s="49"/>
      <c r="F39" s="40" t="s">
        <v>60</v>
      </c>
      <c r="G39" s="39" t="s">
        <v>22</v>
      </c>
      <c r="H39" s="52">
        <v>0.81</v>
      </c>
      <c r="I39" s="49"/>
      <c r="J39" s="72"/>
      <c r="K39" s="73"/>
      <c r="L39" s="72"/>
      <c r="M39" s="45" t="s">
        <v>61</v>
      </c>
    </row>
    <row r="40" spans="1:14" ht="17" outlineLevel="1" x14ac:dyDescent="0.35">
      <c r="A40" s="2" t="s">
        <v>47</v>
      </c>
      <c r="B40" s="2" t="s">
        <v>198</v>
      </c>
      <c r="C40" s="49">
        <f>+C38+1</f>
        <v>1</v>
      </c>
      <c r="D40" s="49">
        <v>1522</v>
      </c>
      <c r="E40" s="49" t="s">
        <v>48</v>
      </c>
      <c r="F40" s="71" t="s">
        <v>49</v>
      </c>
      <c r="G40" s="49" t="s">
        <v>22</v>
      </c>
      <c r="H40" s="74">
        <v>1.6854745509257271E-3</v>
      </c>
      <c r="I40" s="42">
        <v>11000</v>
      </c>
      <c r="J40" s="87">
        <f>+($J$34-I40)*H40</f>
        <v>12.760691918483985</v>
      </c>
      <c r="K40" s="73">
        <f t="shared" ref="K40:K57" si="7">J40/$K$5*1000</f>
        <v>0.48153554409373528</v>
      </c>
      <c r="L40" s="54">
        <f t="shared" ref="L40:L54" si="8">J40/$J$58</f>
        <v>6.1927644200627944E-4</v>
      </c>
      <c r="M40" s="77" t="s">
        <v>25</v>
      </c>
    </row>
    <row r="41" spans="1:14" ht="17" outlineLevel="1" x14ac:dyDescent="0.35">
      <c r="A41" s="2" t="s">
        <v>44</v>
      </c>
      <c r="B41" s="2" t="s">
        <v>198</v>
      </c>
      <c r="C41" s="49">
        <f>+C40+1</f>
        <v>2</v>
      </c>
      <c r="D41" s="49">
        <v>1522</v>
      </c>
      <c r="E41" s="49" t="s">
        <v>98</v>
      </c>
      <c r="F41" s="71" t="s">
        <v>99</v>
      </c>
      <c r="G41" s="49" t="s">
        <v>22</v>
      </c>
      <c r="H41" s="74">
        <v>3.3714200551051586E-2</v>
      </c>
      <c r="I41" s="42">
        <v>9500</v>
      </c>
      <c r="J41" s="87">
        <f>+($J$34-I41)*H41</f>
        <v>305.82079496676533</v>
      </c>
      <c r="K41" s="73">
        <f t="shared" si="7"/>
        <v>11.540407357236427</v>
      </c>
      <c r="L41" s="54">
        <f t="shared" si="8"/>
        <v>1.4841484694432638E-2</v>
      </c>
      <c r="M41" s="77" t="s">
        <v>25</v>
      </c>
    </row>
    <row r="42" spans="1:14" ht="17" outlineLevel="1" x14ac:dyDescent="0.35">
      <c r="A42" s="2" t="s">
        <v>41</v>
      </c>
      <c r="B42" s="2" t="s">
        <v>198</v>
      </c>
      <c r="C42" s="49">
        <f t="shared" ref="C42:C57" si="9">+C41+1</f>
        <v>3</v>
      </c>
      <c r="D42" s="49">
        <v>1522</v>
      </c>
      <c r="E42" s="49" t="s">
        <v>100</v>
      </c>
      <c r="F42" s="71" t="s">
        <v>101</v>
      </c>
      <c r="G42" s="49" t="s">
        <v>22</v>
      </c>
      <c r="H42" s="74">
        <v>2.1619267743347163E-2</v>
      </c>
      <c r="I42" s="42">
        <v>5000</v>
      </c>
      <c r="J42" s="87">
        <f>+($J$34-I42)*H42</f>
        <v>293.39462197802692</v>
      </c>
      <c r="K42" s="73">
        <f t="shared" si="7"/>
        <v>11.071495168982148</v>
      </c>
      <c r="L42" s="54">
        <f t="shared" si="8"/>
        <v>1.4238442457743746E-2</v>
      </c>
      <c r="M42" s="77" t="s">
        <v>25</v>
      </c>
    </row>
    <row r="43" spans="1:14" ht="17" outlineLevel="1" x14ac:dyDescent="0.35">
      <c r="A43" s="2" t="s">
        <v>50</v>
      </c>
      <c r="B43" s="2" t="s">
        <v>198</v>
      </c>
      <c r="C43" s="49"/>
      <c r="D43" s="49">
        <v>1522</v>
      </c>
      <c r="E43" s="49"/>
      <c r="F43" s="71" t="s">
        <v>52</v>
      </c>
      <c r="G43" s="49" t="s">
        <v>22</v>
      </c>
      <c r="H43" s="74">
        <v>1.8663662730002986E-2</v>
      </c>
      <c r="I43" s="42">
        <v>0</v>
      </c>
      <c r="J43" s="87">
        <f>+($J$34-I43)*H43</f>
        <v>346.60248295679793</v>
      </c>
      <c r="K43" s="73">
        <f t="shared" si="7"/>
        <v>13.079338979501809</v>
      </c>
      <c r="L43" s="54">
        <f t="shared" si="8"/>
        <v>1.682062021457597E-2</v>
      </c>
      <c r="M43" s="77" t="s">
        <v>52</v>
      </c>
    </row>
    <row r="44" spans="1:14" ht="17" outlineLevel="1" x14ac:dyDescent="0.35">
      <c r="B44" s="2" t="s">
        <v>94</v>
      </c>
      <c r="C44" s="49">
        <f>+C42+1</f>
        <v>4</v>
      </c>
      <c r="D44" s="49" t="s">
        <v>102</v>
      </c>
      <c r="E44" s="49" t="s">
        <v>103</v>
      </c>
      <c r="F44" s="71" t="s">
        <v>104</v>
      </c>
      <c r="G44" s="49" t="s">
        <v>91</v>
      </c>
      <c r="H44" s="74">
        <v>3.4759999999999999E-2</v>
      </c>
      <c r="I44" s="42">
        <v>5082</v>
      </c>
      <c r="J44" s="87">
        <f>+H44*I44</f>
        <v>176.65031999999999</v>
      </c>
      <c r="K44" s="73">
        <f t="shared" si="7"/>
        <v>6.6660498113207547</v>
      </c>
      <c r="L44" s="54">
        <f t="shared" si="8"/>
        <v>8.5728409045288875E-3</v>
      </c>
      <c r="M44" s="77" t="s">
        <v>105</v>
      </c>
      <c r="N44" s="116"/>
    </row>
    <row r="45" spans="1:14" ht="17" outlineLevel="1" x14ac:dyDescent="0.35">
      <c r="B45" s="2" t="s">
        <v>94</v>
      </c>
      <c r="C45" s="49">
        <f t="shared" si="9"/>
        <v>5</v>
      </c>
      <c r="D45" s="49" t="s">
        <v>102</v>
      </c>
      <c r="E45" s="49" t="s">
        <v>106</v>
      </c>
      <c r="F45" s="71" t="s">
        <v>107</v>
      </c>
      <c r="G45" s="49" t="s">
        <v>91</v>
      </c>
      <c r="H45" s="74">
        <v>2.8399999999999996E-3</v>
      </c>
      <c r="I45" s="42">
        <v>11500</v>
      </c>
      <c r="J45" s="75">
        <f>+H45*I45</f>
        <v>32.659999999999997</v>
      </c>
      <c r="K45" s="73">
        <f t="shared" si="7"/>
        <v>1.232452830188679</v>
      </c>
      <c r="L45" s="54">
        <f t="shared" si="8"/>
        <v>1.5849899617612548E-3</v>
      </c>
      <c r="M45" s="77" t="s">
        <v>105</v>
      </c>
      <c r="N45" s="116"/>
    </row>
    <row r="46" spans="1:14" ht="17" outlineLevel="1" x14ac:dyDescent="0.35">
      <c r="B46" s="2" t="s">
        <v>94</v>
      </c>
      <c r="C46" s="49">
        <f t="shared" si="9"/>
        <v>6</v>
      </c>
      <c r="D46" s="49" t="s">
        <v>102</v>
      </c>
      <c r="E46" s="49" t="s">
        <v>108</v>
      </c>
      <c r="F46" s="71" t="s">
        <v>109</v>
      </c>
      <c r="G46" s="49" t="s">
        <v>91</v>
      </c>
      <c r="H46" s="78">
        <v>5.2000000000000006E-4</v>
      </c>
      <c r="I46" s="42">
        <v>52000</v>
      </c>
      <c r="J46" s="75">
        <f>+H46*I46</f>
        <v>27.040000000000003</v>
      </c>
      <c r="K46" s="73">
        <f t="shared" si="7"/>
        <v>1.020377358490566</v>
      </c>
      <c r="L46" s="54">
        <f t="shared" si="8"/>
        <v>1.3122513339260361E-3</v>
      </c>
      <c r="M46" s="77" t="s">
        <v>105</v>
      </c>
      <c r="N46" s="116"/>
    </row>
    <row r="47" spans="1:14" ht="34" outlineLevel="1" x14ac:dyDescent="0.35">
      <c r="A47" s="2" t="s">
        <v>95</v>
      </c>
      <c r="B47" s="2" t="s">
        <v>199</v>
      </c>
      <c r="C47" s="49">
        <f t="shared" si="9"/>
        <v>7</v>
      </c>
      <c r="D47" s="49" t="s">
        <v>62</v>
      </c>
      <c r="E47" s="49">
        <v>622</v>
      </c>
      <c r="F47" s="71" t="s">
        <v>63</v>
      </c>
      <c r="G47" s="49" t="s">
        <v>64</v>
      </c>
      <c r="H47" s="49">
        <v>1</v>
      </c>
      <c r="I47" s="42">
        <v>861075209.62666678</v>
      </c>
      <c r="J47" s="75">
        <f>+I47/($H$38*$H$39*24*30)</f>
        <v>95.986677189385205</v>
      </c>
      <c r="K47" s="73">
        <f t="shared" si="7"/>
        <v>3.6221387618635927</v>
      </c>
      <c r="L47" s="54">
        <f t="shared" si="8"/>
        <v>4.658233919411928E-3</v>
      </c>
      <c r="M47" s="79" t="s">
        <v>110</v>
      </c>
      <c r="N47" s="116"/>
    </row>
    <row r="48" spans="1:14" ht="34" outlineLevel="1" x14ac:dyDescent="0.35">
      <c r="A48" s="2" t="s">
        <v>95</v>
      </c>
      <c r="B48" s="2" t="s">
        <v>200</v>
      </c>
      <c r="C48" s="49">
        <f t="shared" si="9"/>
        <v>8</v>
      </c>
      <c r="D48" s="49" t="s">
        <v>62</v>
      </c>
      <c r="E48" s="49">
        <v>6271</v>
      </c>
      <c r="F48" s="71" t="s">
        <v>65</v>
      </c>
      <c r="G48" s="49" t="s">
        <v>64</v>
      </c>
      <c r="H48" s="49">
        <v>1</v>
      </c>
      <c r="I48" s="42">
        <v>1604547060.48</v>
      </c>
      <c r="J48" s="75">
        <f t="shared" ref="J48:J57" si="10">+I48/($H$38*$H$39*24*30)</f>
        <v>178.86374965578963</v>
      </c>
      <c r="K48" s="73">
        <f t="shared" si="7"/>
        <v>6.7495754587090424</v>
      </c>
      <c r="L48" s="54">
        <f t="shared" si="8"/>
        <v>8.6802586566872234E-3</v>
      </c>
      <c r="M48" s="79" t="s">
        <v>66</v>
      </c>
      <c r="N48" s="116"/>
    </row>
    <row r="49" spans="1:14" ht="17" outlineLevel="1" x14ac:dyDescent="0.35">
      <c r="A49" s="2" t="s">
        <v>95</v>
      </c>
      <c r="B49" s="2" t="s">
        <v>201</v>
      </c>
      <c r="C49" s="49">
        <f t="shared" si="9"/>
        <v>9</v>
      </c>
      <c r="D49" s="49" t="s">
        <v>67</v>
      </c>
      <c r="E49" s="49">
        <v>6272</v>
      </c>
      <c r="F49" s="71" t="s">
        <v>68</v>
      </c>
      <c r="G49" s="49" t="s">
        <v>64</v>
      </c>
      <c r="H49" s="49">
        <v>1</v>
      </c>
      <c r="I49" s="42">
        <v>329511625</v>
      </c>
      <c r="J49" s="75">
        <f t="shared" si="10"/>
        <v>36.731664813272126</v>
      </c>
      <c r="K49" s="73">
        <f t="shared" si="7"/>
        <v>1.3861005589914011</v>
      </c>
      <c r="L49" s="54">
        <f t="shared" si="8"/>
        <v>1.7825878753158426E-3</v>
      </c>
      <c r="M49" s="45" t="s">
        <v>69</v>
      </c>
      <c r="N49" s="116"/>
    </row>
    <row r="50" spans="1:14" ht="17" outlineLevel="1" x14ac:dyDescent="0.35">
      <c r="A50" s="2" t="s">
        <v>95</v>
      </c>
      <c r="B50" s="2" t="s">
        <v>202</v>
      </c>
      <c r="C50" s="49">
        <f t="shared" si="9"/>
        <v>10</v>
      </c>
      <c r="D50" s="49" t="s">
        <v>67</v>
      </c>
      <c r="E50" s="49">
        <v>6273</v>
      </c>
      <c r="F50" s="71" t="s">
        <v>70</v>
      </c>
      <c r="G50" s="49" t="s">
        <v>64</v>
      </c>
      <c r="H50" s="49">
        <v>1</v>
      </c>
      <c r="I50" s="42">
        <v>169519413.33333334</v>
      </c>
      <c r="J50" s="75">
        <f t="shared" si="10"/>
        <v>18.896845505534237</v>
      </c>
      <c r="K50" s="73">
        <f t="shared" si="7"/>
        <v>0.71308850964280146</v>
      </c>
      <c r="L50" s="54">
        <f t="shared" si="8"/>
        <v>9.1706400597749702E-4</v>
      </c>
      <c r="M50" s="45" t="s">
        <v>69</v>
      </c>
      <c r="N50" s="116"/>
    </row>
    <row r="51" spans="1:14" ht="17" outlineLevel="1" x14ac:dyDescent="0.35">
      <c r="A51" s="2" t="s">
        <v>95</v>
      </c>
      <c r="B51" s="2" t="s">
        <v>204</v>
      </c>
      <c r="C51" s="49">
        <f t="shared" si="9"/>
        <v>11</v>
      </c>
      <c r="D51" s="49" t="s">
        <v>71</v>
      </c>
      <c r="E51" s="49" t="s">
        <v>72</v>
      </c>
      <c r="F51" s="51" t="s">
        <v>73</v>
      </c>
      <c r="G51" s="49" t="s">
        <v>64</v>
      </c>
      <c r="H51" s="49">
        <v>1</v>
      </c>
      <c r="I51" s="42">
        <v>1033798316.1365891</v>
      </c>
      <c r="J51" s="75">
        <f t="shared" si="10"/>
        <v>115.24064813450609</v>
      </c>
      <c r="K51" s="73">
        <f t="shared" si="7"/>
        <v>4.3487037031889084</v>
      </c>
      <c r="L51" s="54">
        <f t="shared" si="8"/>
        <v>5.592629224741367E-3</v>
      </c>
      <c r="M51" s="45" t="s">
        <v>74</v>
      </c>
      <c r="N51" s="116"/>
    </row>
    <row r="52" spans="1:14" ht="17" outlineLevel="1" x14ac:dyDescent="0.35">
      <c r="A52" s="2" t="s">
        <v>95</v>
      </c>
      <c r="B52" s="2" t="s">
        <v>204</v>
      </c>
      <c r="C52" s="49">
        <f t="shared" si="9"/>
        <v>12</v>
      </c>
      <c r="D52" s="49" t="s">
        <v>71</v>
      </c>
      <c r="E52" s="49" t="s">
        <v>75</v>
      </c>
      <c r="F52" s="51" t="s">
        <v>76</v>
      </c>
      <c r="G52" s="49" t="s">
        <v>64</v>
      </c>
      <c r="H52" s="49">
        <v>1</v>
      </c>
      <c r="I52" s="42">
        <v>405801438.51666665</v>
      </c>
      <c r="J52" s="75">
        <f t="shared" si="10"/>
        <v>45.235922770062679</v>
      </c>
      <c r="K52" s="73">
        <f t="shared" si="7"/>
        <v>1.7070159535872709</v>
      </c>
      <c r="L52" s="54">
        <f t="shared" si="8"/>
        <v>2.1952995560795079E-3</v>
      </c>
      <c r="M52" s="45" t="s">
        <v>74</v>
      </c>
      <c r="N52" s="116"/>
    </row>
    <row r="53" spans="1:14" ht="17" outlineLevel="1" x14ac:dyDescent="0.35">
      <c r="A53" s="2" t="s">
        <v>95</v>
      </c>
      <c r="B53" s="2" t="s">
        <v>204</v>
      </c>
      <c r="C53" s="49">
        <f t="shared" si="9"/>
        <v>13</v>
      </c>
      <c r="D53" s="49" t="s">
        <v>71</v>
      </c>
      <c r="E53" s="49" t="s">
        <v>77</v>
      </c>
      <c r="F53" s="51" t="s">
        <v>78</v>
      </c>
      <c r="G53" s="49" t="s">
        <v>64</v>
      </c>
      <c r="H53" s="49">
        <v>1</v>
      </c>
      <c r="I53" s="42">
        <v>395747641.47301221</v>
      </c>
      <c r="J53" s="75">
        <f t="shared" si="10"/>
        <v>44.115195381133134</v>
      </c>
      <c r="K53" s="73">
        <f t="shared" si="7"/>
        <v>1.6647243540050238</v>
      </c>
      <c r="L53" s="54">
        <f t="shared" si="8"/>
        <v>2.1409106503439222E-3</v>
      </c>
      <c r="M53" s="45" t="s">
        <v>74</v>
      </c>
      <c r="N53" s="116"/>
    </row>
    <row r="54" spans="1:14" ht="17" outlineLevel="1" x14ac:dyDescent="0.35">
      <c r="A54" s="2" t="s">
        <v>95</v>
      </c>
      <c r="B54" s="2" t="s">
        <v>204</v>
      </c>
      <c r="C54" s="49">
        <f t="shared" si="9"/>
        <v>14</v>
      </c>
      <c r="D54" s="49" t="s">
        <v>71</v>
      </c>
      <c r="E54" s="49" t="s">
        <v>79</v>
      </c>
      <c r="F54" s="51" t="s">
        <v>80</v>
      </c>
      <c r="G54" s="49" t="s">
        <v>64</v>
      </c>
      <c r="H54" s="49">
        <v>1</v>
      </c>
      <c r="I54" s="42">
        <v>474951452.06149429</v>
      </c>
      <c r="J54" s="75">
        <f t="shared" si="10"/>
        <v>52.944285470048868</v>
      </c>
      <c r="K54" s="73">
        <f t="shared" si="7"/>
        <v>1.9978975649075046</v>
      </c>
      <c r="L54" s="54">
        <f t="shared" si="8"/>
        <v>2.569386436088479E-3</v>
      </c>
      <c r="M54" s="45" t="s">
        <v>74</v>
      </c>
      <c r="N54" s="116"/>
    </row>
    <row r="55" spans="1:14" ht="34" outlineLevel="1" x14ac:dyDescent="0.35">
      <c r="A55" s="2" t="s">
        <v>95</v>
      </c>
      <c r="B55" s="2" t="s">
        <v>203</v>
      </c>
      <c r="C55" s="49">
        <f>+C51+1</f>
        <v>12</v>
      </c>
      <c r="D55" s="49" t="s">
        <v>81</v>
      </c>
      <c r="E55" s="49">
        <v>6275</v>
      </c>
      <c r="F55" s="71" t="s">
        <v>82</v>
      </c>
      <c r="G55" s="49" t="s">
        <v>64</v>
      </c>
      <c r="H55" s="49">
        <v>1</v>
      </c>
      <c r="I55" s="42">
        <v>1249738015.3333333</v>
      </c>
      <c r="J55" s="75">
        <f t="shared" si="10"/>
        <v>139.31210434116835</v>
      </c>
      <c r="K55" s="73">
        <f t="shared" si="7"/>
        <v>5.2570605411761635</v>
      </c>
      <c r="L55" s="54">
        <f>J55/$J$58</f>
        <v>6.7608171136738634E-3</v>
      </c>
      <c r="M55" s="45" t="s">
        <v>111</v>
      </c>
      <c r="N55" s="116"/>
    </row>
    <row r="56" spans="1:14" ht="17" outlineLevel="1" x14ac:dyDescent="0.35">
      <c r="A56" s="2" t="s">
        <v>95</v>
      </c>
      <c r="B56" s="2" t="s">
        <v>203</v>
      </c>
      <c r="C56" s="49">
        <f t="shared" si="9"/>
        <v>13</v>
      </c>
      <c r="D56" s="49" t="s">
        <v>112</v>
      </c>
      <c r="E56" s="49">
        <v>6275</v>
      </c>
      <c r="F56" s="71" t="s">
        <v>113</v>
      </c>
      <c r="G56" s="49" t="s">
        <v>64</v>
      </c>
      <c r="H56" s="49">
        <v>1</v>
      </c>
      <c r="I56" s="42">
        <v>138647320</v>
      </c>
      <c r="J56" s="75">
        <f t="shared" si="10"/>
        <v>15.455439198840041</v>
      </c>
      <c r="K56" s="73">
        <f t="shared" si="7"/>
        <v>0.58322412071094498</v>
      </c>
      <c r="L56" s="54">
        <f>J56/$J$58</f>
        <v>7.5005254086873475E-4</v>
      </c>
      <c r="M56" s="45" t="s">
        <v>69</v>
      </c>
      <c r="N56" s="116"/>
    </row>
    <row r="57" spans="1:14" ht="17" outlineLevel="1" x14ac:dyDescent="0.35">
      <c r="A57" s="2" t="s">
        <v>95</v>
      </c>
      <c r="B57" s="2" t="s">
        <v>205</v>
      </c>
      <c r="C57" s="49">
        <f t="shared" si="9"/>
        <v>14</v>
      </c>
      <c r="D57" s="49" t="s">
        <v>67</v>
      </c>
      <c r="E57" s="49">
        <v>6277.6278000000002</v>
      </c>
      <c r="F57" s="71" t="s">
        <v>85</v>
      </c>
      <c r="G57" s="49" t="s">
        <v>64</v>
      </c>
      <c r="H57" s="49">
        <v>1</v>
      </c>
      <c r="I57" s="42">
        <v>871229392.78523934</v>
      </c>
      <c r="J57" s="75">
        <f t="shared" si="10"/>
        <v>97.118594924406736</v>
      </c>
      <c r="K57" s="73">
        <f t="shared" si="7"/>
        <v>3.6648526386568578</v>
      </c>
      <c r="L57" s="54">
        <f>J57/$J$58</f>
        <v>4.713165892698783E-3</v>
      </c>
      <c r="M57" s="45" t="s">
        <v>69</v>
      </c>
      <c r="N57" s="116"/>
    </row>
    <row r="58" spans="1:14" ht="21" customHeight="1" x14ac:dyDescent="0.35">
      <c r="C58" s="57"/>
      <c r="D58" s="179" t="s">
        <v>114</v>
      </c>
      <c r="E58" s="179"/>
      <c r="F58" s="179"/>
      <c r="G58" s="58"/>
      <c r="H58" s="58"/>
      <c r="I58" s="58"/>
      <c r="J58" s="59">
        <f>J36+J37</f>
        <v>20605.808735664115</v>
      </c>
      <c r="K58" s="60">
        <f>J58*1000/$K$5</f>
        <v>777.57768813826851</v>
      </c>
      <c r="L58" s="61">
        <f>J58/$J$58</f>
        <v>1</v>
      </c>
      <c r="M58" s="62"/>
    </row>
    <row r="59" spans="1:14" ht="17" x14ac:dyDescent="0.35">
      <c r="C59" s="22" t="s">
        <v>192</v>
      </c>
      <c r="D59" s="23" t="s">
        <v>194</v>
      </c>
      <c r="E59" s="23"/>
      <c r="F59" s="63"/>
      <c r="G59" s="64"/>
      <c r="H59" s="64"/>
      <c r="I59" s="64"/>
      <c r="J59" s="65"/>
      <c r="K59" s="66"/>
      <c r="L59" s="67"/>
      <c r="M59" s="85"/>
    </row>
    <row r="60" spans="1:14" ht="17" x14ac:dyDescent="0.35">
      <c r="C60" s="89" t="s">
        <v>17</v>
      </c>
      <c r="D60" s="89"/>
      <c r="E60" s="89"/>
      <c r="F60" s="90" t="s">
        <v>193</v>
      </c>
      <c r="G60" s="89"/>
      <c r="H60" s="89">
        <v>1</v>
      </c>
      <c r="I60" s="91"/>
      <c r="J60" s="91">
        <f>+J58</f>
        <v>20605.808735664115</v>
      </c>
      <c r="K60" s="92">
        <f>J60/$K$5*1000</f>
        <v>777.57768813826851</v>
      </c>
      <c r="L60" s="36">
        <f>J60/$J$109</f>
        <v>0.63217698222623453</v>
      </c>
      <c r="M60" s="48"/>
    </row>
    <row r="61" spans="1:14" ht="17" x14ac:dyDescent="0.35">
      <c r="C61" s="31" t="s">
        <v>20</v>
      </c>
      <c r="D61" s="47"/>
      <c r="E61" s="47"/>
      <c r="F61" s="32" t="s">
        <v>117</v>
      </c>
      <c r="G61" s="31"/>
      <c r="H61" s="93"/>
      <c r="I61" s="93"/>
      <c r="J61" s="33">
        <f>SUM(J62:J79)</f>
        <v>2648.9251817648901</v>
      </c>
      <c r="K61" s="35">
        <f>J61*1000/$K$5</f>
        <v>99.959440821316605</v>
      </c>
      <c r="L61" s="36">
        <f>J61/$J$109</f>
        <v>8.126783806611107E-2</v>
      </c>
      <c r="M61" s="94"/>
    </row>
    <row r="62" spans="1:14" ht="17" outlineLevel="1" x14ac:dyDescent="0.35">
      <c r="A62" s="2" t="s">
        <v>118</v>
      </c>
      <c r="C62" s="49">
        <v>0</v>
      </c>
      <c r="D62" s="49" t="s">
        <v>56</v>
      </c>
      <c r="E62" s="49"/>
      <c r="F62" s="71" t="s">
        <v>57</v>
      </c>
      <c r="G62" s="49" t="s">
        <v>58</v>
      </c>
      <c r="H62" s="185">
        <v>8577.3195876288646</v>
      </c>
      <c r="I62" s="49"/>
      <c r="J62" s="72"/>
      <c r="K62" s="73"/>
      <c r="L62" s="72"/>
      <c r="M62" s="45" t="s">
        <v>119</v>
      </c>
    </row>
    <row r="63" spans="1:14" ht="17" outlineLevel="1" x14ac:dyDescent="0.35">
      <c r="A63" s="2" t="s">
        <v>118</v>
      </c>
      <c r="C63" s="49"/>
      <c r="D63" s="49"/>
      <c r="E63" s="49"/>
      <c r="F63" s="40" t="s">
        <v>60</v>
      </c>
      <c r="G63" s="39" t="s">
        <v>22</v>
      </c>
      <c r="H63" s="52">
        <v>0.75</v>
      </c>
      <c r="I63" s="49"/>
      <c r="J63" s="72"/>
      <c r="K63" s="73"/>
      <c r="L63" s="72"/>
      <c r="M63" s="45" t="s">
        <v>61</v>
      </c>
    </row>
    <row r="64" spans="1:14" ht="17" outlineLevel="1" x14ac:dyDescent="0.35">
      <c r="A64" s="2" t="s">
        <v>120</v>
      </c>
      <c r="B64" s="2" t="s">
        <v>198</v>
      </c>
      <c r="C64" s="49">
        <f>+C63+1</f>
        <v>1</v>
      </c>
      <c r="D64" s="49">
        <v>1522</v>
      </c>
      <c r="E64" s="49" t="s">
        <v>121</v>
      </c>
      <c r="F64" s="71" t="s">
        <v>122</v>
      </c>
      <c r="G64" s="49" t="s">
        <v>22</v>
      </c>
      <c r="H64" s="74">
        <v>1.6131690255566215E-2</v>
      </c>
      <c r="I64" s="42">
        <v>8000</v>
      </c>
      <c r="J64" s="87">
        <f>+(J$60-I64)*H64</f>
        <v>203.35300194464426</v>
      </c>
      <c r="K64" s="73">
        <f t="shared" ref="K64:K79" si="11">J64/$K$5*1000</f>
        <v>7.6736981865903493</v>
      </c>
      <c r="L64" s="76">
        <f t="shared" ref="L64:L80" si="12">J64/$J$109</f>
        <v>6.238779013488089E-3</v>
      </c>
      <c r="M64" s="77" t="s">
        <v>25</v>
      </c>
    </row>
    <row r="65" spans="1:13" ht="17" outlineLevel="1" x14ac:dyDescent="0.35">
      <c r="A65" s="2" t="s">
        <v>123</v>
      </c>
      <c r="B65" s="2" t="s">
        <v>198</v>
      </c>
      <c r="C65" s="49">
        <f t="shared" ref="C65:C79" si="13">+C64+1</f>
        <v>2</v>
      </c>
      <c r="D65" s="49">
        <v>1522</v>
      </c>
      <c r="E65" s="49" t="s">
        <v>124</v>
      </c>
      <c r="F65" s="71" t="s">
        <v>125</v>
      </c>
      <c r="G65" s="49" t="s">
        <v>22</v>
      </c>
      <c r="H65" s="74">
        <v>1.3616788855374437E-2</v>
      </c>
      <c r="I65" s="42">
        <v>9500</v>
      </c>
      <c r="J65" s="87">
        <f>+(J$60-I65)*H65</f>
        <v>151.22545262171118</v>
      </c>
      <c r="K65" s="73">
        <f t="shared" si="11"/>
        <v>5.7066208536494782</v>
      </c>
      <c r="L65" s="76">
        <f t="shared" si="12"/>
        <v>4.6395291493085194E-3</v>
      </c>
      <c r="M65" s="77" t="s">
        <v>25</v>
      </c>
    </row>
    <row r="66" spans="1:13" ht="17" outlineLevel="1" x14ac:dyDescent="0.35">
      <c r="A66" s="2" t="s">
        <v>41</v>
      </c>
      <c r="B66" s="2" t="s">
        <v>198</v>
      </c>
      <c r="C66" s="49">
        <f t="shared" si="13"/>
        <v>3</v>
      </c>
      <c r="D66" s="49">
        <v>1522</v>
      </c>
      <c r="E66" s="49" t="s">
        <v>100</v>
      </c>
      <c r="F66" s="71" t="s">
        <v>101</v>
      </c>
      <c r="G66" s="49" t="s">
        <v>22</v>
      </c>
      <c r="H66" s="78">
        <v>3.1953672104740742E-4</v>
      </c>
      <c r="I66" s="42">
        <v>5000</v>
      </c>
      <c r="J66" s="87">
        <f>+(J$60-I66)*H66</f>
        <v>4.9866289526870986</v>
      </c>
      <c r="K66" s="73">
        <f t="shared" si="11"/>
        <v>0.1881746774598905</v>
      </c>
      <c r="L66" s="76">
        <f t="shared" si="12"/>
        <v>1.5298754265031749E-4</v>
      </c>
      <c r="M66" s="77" t="s">
        <v>25</v>
      </c>
    </row>
    <row r="67" spans="1:13" ht="17" outlineLevel="1" x14ac:dyDescent="0.35">
      <c r="A67" s="2" t="s">
        <v>126</v>
      </c>
      <c r="B67" s="2" t="s">
        <v>198</v>
      </c>
      <c r="C67" s="49"/>
      <c r="D67" s="49">
        <v>1522</v>
      </c>
      <c r="E67" s="49" t="s">
        <v>127</v>
      </c>
      <c r="F67" s="71" t="s">
        <v>128</v>
      </c>
      <c r="G67" s="49" t="s">
        <v>22</v>
      </c>
      <c r="H67" s="74">
        <v>8.5630942654436031E-3</v>
      </c>
      <c r="I67" s="42">
        <v>15000</v>
      </c>
      <c r="J67" s="87">
        <f>+(J$60-I67)*H67</f>
        <v>48.003068637539045</v>
      </c>
      <c r="K67" s="73">
        <f t="shared" si="11"/>
        <v>1.811436552359964</v>
      </c>
      <c r="L67" s="76">
        <f t="shared" si="12"/>
        <v>1.4727126441950926E-3</v>
      </c>
      <c r="M67" s="77" t="s">
        <v>25</v>
      </c>
    </row>
    <row r="68" spans="1:13" ht="17" outlineLevel="1" x14ac:dyDescent="0.35">
      <c r="A68" s="2" t="s">
        <v>50</v>
      </c>
      <c r="B68" s="2" t="s">
        <v>198</v>
      </c>
      <c r="C68" s="49">
        <f>+C66+1</f>
        <v>4</v>
      </c>
      <c r="D68" s="49">
        <v>1522</v>
      </c>
      <c r="E68" s="49"/>
      <c r="F68" s="71" t="s">
        <v>129</v>
      </c>
      <c r="G68" s="49" t="s">
        <v>22</v>
      </c>
      <c r="H68" s="74">
        <v>1.4301666886062395E-2</v>
      </c>
      <c r="I68" s="75">
        <v>0</v>
      </c>
      <c r="J68" s="87">
        <f>+(J$60-I68)*H68</f>
        <v>294.69741245538268</v>
      </c>
      <c r="K68" s="73">
        <f t="shared" si="11"/>
        <v>11.120657073788026</v>
      </c>
      <c r="L68" s="76">
        <f t="shared" si="12"/>
        <v>9.0411846128357932E-3</v>
      </c>
      <c r="M68" s="77" t="s">
        <v>52</v>
      </c>
    </row>
    <row r="69" spans="1:13" ht="17" outlineLevel="1" x14ac:dyDescent="0.35">
      <c r="B69" s="2" t="s">
        <v>206</v>
      </c>
      <c r="C69" s="49">
        <f t="shared" si="13"/>
        <v>5</v>
      </c>
      <c r="D69" s="49" t="s">
        <v>102</v>
      </c>
      <c r="E69" s="49">
        <v>120003033</v>
      </c>
      <c r="F69" s="96" t="s">
        <v>188</v>
      </c>
      <c r="G69" s="86" t="s">
        <v>22</v>
      </c>
      <c r="H69" s="97">
        <v>1.4799999999999999E-4</v>
      </c>
      <c r="I69" s="42">
        <v>1007386</v>
      </c>
      <c r="J69" s="87">
        <f>+H69*I69</f>
        <v>149.09312799999998</v>
      </c>
      <c r="K69" s="73">
        <f t="shared" si="11"/>
        <v>5.6261557735849053</v>
      </c>
      <c r="L69" s="76">
        <f t="shared" si="12"/>
        <v>4.5741103850283783E-3</v>
      </c>
      <c r="M69" s="77" t="s">
        <v>105</v>
      </c>
    </row>
    <row r="70" spans="1:13" ht="17" outlineLevel="1" x14ac:dyDescent="0.35">
      <c r="A70" s="2" t="s">
        <v>118</v>
      </c>
      <c r="B70" s="2" t="s">
        <v>199</v>
      </c>
      <c r="C70" s="49">
        <f t="shared" si="13"/>
        <v>6</v>
      </c>
      <c r="D70" s="49" t="s">
        <v>62</v>
      </c>
      <c r="E70" s="49">
        <v>622</v>
      </c>
      <c r="F70" s="71" t="s">
        <v>63</v>
      </c>
      <c r="G70" s="49" t="s">
        <v>64</v>
      </c>
      <c r="H70" s="49">
        <v>1</v>
      </c>
      <c r="I70" s="42">
        <v>484485710.45333332</v>
      </c>
      <c r="J70" s="87">
        <f>H70*I70/($H$62*$H$63*24*30)</f>
        <v>104.60094799228396</v>
      </c>
      <c r="K70" s="73">
        <f t="shared" si="11"/>
        <v>3.9472055846144891</v>
      </c>
      <c r="L70" s="76">
        <f t="shared" si="12"/>
        <v>3.2091102313938935E-3</v>
      </c>
      <c r="M70" s="79"/>
    </row>
    <row r="71" spans="1:13" ht="34" outlineLevel="1" x14ac:dyDescent="0.35">
      <c r="A71" s="2" t="s">
        <v>118</v>
      </c>
      <c r="B71" s="2" t="s">
        <v>200</v>
      </c>
      <c r="C71" s="49">
        <f t="shared" si="13"/>
        <v>7</v>
      </c>
      <c r="D71" s="49" t="s">
        <v>62</v>
      </c>
      <c r="E71" s="49">
        <v>6271</v>
      </c>
      <c r="F71" s="71" t="s">
        <v>65</v>
      </c>
      <c r="G71" s="49" t="s">
        <v>64</v>
      </c>
      <c r="H71" s="49">
        <v>1</v>
      </c>
      <c r="I71" s="42">
        <v>1220678817.28</v>
      </c>
      <c r="J71" s="87">
        <f t="shared" ref="J71:J79" si="14">H71*I71/($H$62*$H$63*24*30)</f>
        <v>263.54577385185189</v>
      </c>
      <c r="K71" s="73">
        <f t="shared" si="11"/>
        <v>9.9451235415793171</v>
      </c>
      <c r="L71" s="76">
        <f t="shared" si="12"/>
        <v>8.0854662939669249E-3</v>
      </c>
      <c r="M71" s="79" t="s">
        <v>66</v>
      </c>
    </row>
    <row r="72" spans="1:13" ht="17" outlineLevel="1" x14ac:dyDescent="0.35">
      <c r="A72" s="2" t="s">
        <v>118</v>
      </c>
      <c r="B72" s="2" t="s">
        <v>201</v>
      </c>
      <c r="C72" s="49">
        <f t="shared" si="13"/>
        <v>8</v>
      </c>
      <c r="D72" s="49" t="s">
        <v>67</v>
      </c>
      <c r="E72" s="49">
        <v>6272</v>
      </c>
      <c r="F72" s="71" t="s">
        <v>68</v>
      </c>
      <c r="G72" s="49" t="s">
        <v>64</v>
      </c>
      <c r="H72" s="49">
        <v>1</v>
      </c>
      <c r="I72" s="42">
        <v>362801871.33333331</v>
      </c>
      <c r="J72" s="87">
        <f t="shared" si="14"/>
        <v>78.329285789114451</v>
      </c>
      <c r="K72" s="73">
        <f t="shared" si="11"/>
        <v>2.9558221052496019</v>
      </c>
      <c r="L72" s="76">
        <f t="shared" si="12"/>
        <v>2.4031074026419526E-3</v>
      </c>
      <c r="M72" s="45" t="s">
        <v>69</v>
      </c>
    </row>
    <row r="73" spans="1:13" ht="17" outlineLevel="1" x14ac:dyDescent="0.35">
      <c r="A73" s="2" t="s">
        <v>118</v>
      </c>
      <c r="B73" s="2" t="s">
        <v>202</v>
      </c>
      <c r="C73" s="49">
        <f t="shared" si="13"/>
        <v>9</v>
      </c>
      <c r="D73" s="49" t="s">
        <v>67</v>
      </c>
      <c r="E73" s="49">
        <v>6273</v>
      </c>
      <c r="F73" s="71" t="s">
        <v>70</v>
      </c>
      <c r="G73" s="49" t="s">
        <v>64</v>
      </c>
      <c r="H73" s="49">
        <v>1</v>
      </c>
      <c r="I73" s="42">
        <v>473941442</v>
      </c>
      <c r="J73" s="87">
        <f t="shared" si="14"/>
        <v>102.32442991898151</v>
      </c>
      <c r="K73" s="73">
        <f t="shared" si="11"/>
        <v>3.8612992422257171</v>
      </c>
      <c r="L73" s="76">
        <f t="shared" si="12"/>
        <v>3.1392676766062743E-3</v>
      </c>
      <c r="M73" s="45" t="s">
        <v>69</v>
      </c>
    </row>
    <row r="74" spans="1:13" ht="17" outlineLevel="1" x14ac:dyDescent="0.35">
      <c r="A74" s="2" t="s">
        <v>118</v>
      </c>
      <c r="B74" s="2" t="s">
        <v>204</v>
      </c>
      <c r="C74" s="49">
        <f t="shared" si="13"/>
        <v>10</v>
      </c>
      <c r="D74" s="86" t="s">
        <v>71</v>
      </c>
      <c r="E74" s="49" t="s">
        <v>72</v>
      </c>
      <c r="F74" s="51" t="s">
        <v>73</v>
      </c>
      <c r="G74" s="49" t="s">
        <v>64</v>
      </c>
      <c r="H74" s="49">
        <v>1</v>
      </c>
      <c r="I74" s="42">
        <v>2010376291.8731103</v>
      </c>
      <c r="J74" s="87">
        <f t="shared" si="14"/>
        <v>434.04224606412868</v>
      </c>
      <c r="K74" s="73">
        <f t="shared" si="11"/>
        <v>16.378952681665233</v>
      </c>
      <c r="L74" s="76">
        <f t="shared" si="12"/>
        <v>1.3316221692410759E-2</v>
      </c>
      <c r="M74" s="45" t="s">
        <v>74</v>
      </c>
    </row>
    <row r="75" spans="1:13" ht="17" outlineLevel="1" x14ac:dyDescent="0.35">
      <c r="A75" s="2" t="s">
        <v>118</v>
      </c>
      <c r="B75" s="2" t="s">
        <v>204</v>
      </c>
      <c r="C75" s="49">
        <f t="shared" si="13"/>
        <v>11</v>
      </c>
      <c r="D75" s="86" t="s">
        <v>71</v>
      </c>
      <c r="E75" s="49" t="s">
        <v>75</v>
      </c>
      <c r="F75" s="51" t="s">
        <v>76</v>
      </c>
      <c r="G75" s="49" t="s">
        <v>64</v>
      </c>
      <c r="H75" s="49">
        <v>1</v>
      </c>
      <c r="I75" s="42">
        <v>411759310.47222227</v>
      </c>
      <c r="J75" s="87">
        <f t="shared" si="14"/>
        <v>88.899245717159829</v>
      </c>
      <c r="K75" s="73">
        <f t="shared" si="11"/>
        <v>3.3546885176286727</v>
      </c>
      <c r="L75" s="76">
        <f t="shared" si="12"/>
        <v>2.7273890387224981E-3</v>
      </c>
      <c r="M75" s="45" t="s">
        <v>74</v>
      </c>
    </row>
    <row r="76" spans="1:13" ht="17" outlineLevel="1" x14ac:dyDescent="0.35">
      <c r="A76" s="2" t="s">
        <v>118</v>
      </c>
      <c r="B76" s="2" t="s">
        <v>204</v>
      </c>
      <c r="C76" s="49">
        <f t="shared" si="13"/>
        <v>12</v>
      </c>
      <c r="D76" s="86" t="s">
        <v>71</v>
      </c>
      <c r="E76" s="49" t="s">
        <v>77</v>
      </c>
      <c r="F76" s="51" t="s">
        <v>78</v>
      </c>
      <c r="G76" s="49" t="s">
        <v>64</v>
      </c>
      <c r="H76" s="49">
        <v>1</v>
      </c>
      <c r="I76" s="42">
        <v>239588909.45663416</v>
      </c>
      <c r="J76" s="87">
        <f t="shared" si="14"/>
        <v>51.727484458007297</v>
      </c>
      <c r="K76" s="73">
        <f t="shared" si="11"/>
        <v>1.9519805455851811</v>
      </c>
      <c r="L76" s="76">
        <f t="shared" si="12"/>
        <v>1.5869760533212855E-3</v>
      </c>
      <c r="M76" s="45" t="s">
        <v>74</v>
      </c>
    </row>
    <row r="77" spans="1:13" ht="17" outlineLevel="1" x14ac:dyDescent="0.35">
      <c r="A77" s="2" t="s">
        <v>118</v>
      </c>
      <c r="B77" s="2" t="s">
        <v>204</v>
      </c>
      <c r="C77" s="49">
        <f t="shared" si="13"/>
        <v>13</v>
      </c>
      <c r="D77" s="86" t="s">
        <v>71</v>
      </c>
      <c r="E77" s="49" t="s">
        <v>79</v>
      </c>
      <c r="F77" s="51" t="s">
        <v>80</v>
      </c>
      <c r="G77" s="49" t="s">
        <v>64</v>
      </c>
      <c r="H77" s="49">
        <v>1</v>
      </c>
      <c r="I77" s="42">
        <v>287539554.29957587</v>
      </c>
      <c r="J77" s="87">
        <f t="shared" si="14"/>
        <v>62.080076493631729</v>
      </c>
      <c r="K77" s="73">
        <f t="shared" si="11"/>
        <v>2.342644395986103</v>
      </c>
      <c r="L77" s="76">
        <f t="shared" si="12"/>
        <v>1.9045889398261E-3</v>
      </c>
      <c r="M77" s="45" t="s">
        <v>74</v>
      </c>
    </row>
    <row r="78" spans="1:13" ht="34" outlineLevel="1" x14ac:dyDescent="0.35">
      <c r="A78" s="2" t="s">
        <v>118</v>
      </c>
      <c r="B78" s="2" t="s">
        <v>203</v>
      </c>
      <c r="C78" s="49">
        <f>+C74+1</f>
        <v>11</v>
      </c>
      <c r="D78" s="49" t="s">
        <v>81</v>
      </c>
      <c r="E78" s="49">
        <v>6275</v>
      </c>
      <c r="F78" s="71" t="s">
        <v>130</v>
      </c>
      <c r="G78" s="49" t="s">
        <v>83</v>
      </c>
      <c r="H78" s="98">
        <v>1</v>
      </c>
      <c r="I78" s="42">
        <v>2190921365.333333</v>
      </c>
      <c r="J78" s="87">
        <f t="shared" si="14"/>
        <v>473.02210745489083</v>
      </c>
      <c r="K78" s="73">
        <f t="shared" si="11"/>
        <v>17.84989084735437</v>
      </c>
      <c r="L78" s="76">
        <f t="shared" si="12"/>
        <v>1.4512106379962903E-2</v>
      </c>
      <c r="M78" s="45" t="s">
        <v>131</v>
      </c>
    </row>
    <row r="79" spans="1:13" ht="17" outlineLevel="1" x14ac:dyDescent="0.35">
      <c r="A79" s="2" t="s">
        <v>118</v>
      </c>
      <c r="B79" s="2" t="s">
        <v>205</v>
      </c>
      <c r="C79" s="49">
        <f t="shared" si="13"/>
        <v>12</v>
      </c>
      <c r="D79" s="49" t="s">
        <v>67</v>
      </c>
      <c r="E79" s="49">
        <v>6277.6278000000002</v>
      </c>
      <c r="F79" s="71" t="s">
        <v>85</v>
      </c>
      <c r="G79" s="49" t="s">
        <v>64</v>
      </c>
      <c r="H79" s="49">
        <v>1</v>
      </c>
      <c r="I79" s="42">
        <v>643789946.53584492</v>
      </c>
      <c r="J79" s="87">
        <f t="shared" si="14"/>
        <v>138.99489141287609</v>
      </c>
      <c r="K79" s="73">
        <f t="shared" si="11"/>
        <v>5.2450902419953236</v>
      </c>
      <c r="L79" s="76">
        <f t="shared" si="12"/>
        <v>4.264301009752296E-3</v>
      </c>
      <c r="M79" s="45" t="s">
        <v>69</v>
      </c>
    </row>
    <row r="80" spans="1:13" ht="23.15" customHeight="1" x14ac:dyDescent="0.35">
      <c r="C80" s="57"/>
      <c r="D80" s="179" t="s">
        <v>132</v>
      </c>
      <c r="E80" s="179"/>
      <c r="F80" s="179"/>
      <c r="G80" s="58"/>
      <c r="H80" s="58"/>
      <c r="I80" s="58"/>
      <c r="J80" s="59">
        <f>J60+J61</f>
        <v>23254.733917429006</v>
      </c>
      <c r="K80" s="60">
        <f>J80*1000/$K$5</f>
        <v>877.53712895958517</v>
      </c>
      <c r="L80" s="61">
        <f t="shared" si="12"/>
        <v>0.71344482029234568</v>
      </c>
      <c r="M80" s="62"/>
    </row>
    <row r="81" spans="1:14" ht="17" x14ac:dyDescent="0.35">
      <c r="C81" s="22" t="s">
        <v>191</v>
      </c>
      <c r="D81" s="23" t="s">
        <v>170</v>
      </c>
      <c r="E81" s="23"/>
      <c r="F81" s="63"/>
      <c r="G81" s="64"/>
      <c r="H81" s="64"/>
      <c r="I81" s="64"/>
      <c r="J81" s="65"/>
      <c r="K81" s="66"/>
      <c r="L81" s="67"/>
      <c r="M81" s="85"/>
    </row>
    <row r="82" spans="1:14" ht="20.399999999999999" customHeight="1" x14ac:dyDescent="0.35">
      <c r="C82" s="31" t="s">
        <v>53</v>
      </c>
      <c r="D82" s="47"/>
      <c r="E82" s="47"/>
      <c r="F82" s="32" t="s">
        <v>133</v>
      </c>
      <c r="G82" s="31"/>
      <c r="H82" s="31"/>
      <c r="I82" s="31"/>
      <c r="J82" s="33">
        <f>J80</f>
        <v>23254.733917429006</v>
      </c>
      <c r="K82" s="35">
        <f>J82*1000/$K$5</f>
        <v>877.53712895958517</v>
      </c>
      <c r="L82" s="99">
        <f>J82/$J$109</f>
        <v>0.71344482029234568</v>
      </c>
      <c r="M82" s="94"/>
    </row>
    <row r="83" spans="1:14" ht="20.399999999999999" customHeight="1" x14ac:dyDescent="0.35">
      <c r="C83" s="31" t="s">
        <v>89</v>
      </c>
      <c r="D83" s="47"/>
      <c r="E83" s="47"/>
      <c r="F83" s="32" t="s">
        <v>171</v>
      </c>
      <c r="G83" s="31"/>
      <c r="H83" s="31"/>
      <c r="I83" s="31"/>
      <c r="J83" s="33">
        <f>SUM(J84:J98)</f>
        <v>1754.0485498943633</v>
      </c>
      <c r="K83" s="35">
        <f>J83*1000/$K$5</f>
        <v>66.190511316768436</v>
      </c>
      <c r="L83" s="36">
        <f>J83/$J$109</f>
        <v>5.3813423834771078E-2</v>
      </c>
      <c r="M83" s="94"/>
    </row>
    <row r="84" spans="1:14" ht="17" outlineLevel="1" x14ac:dyDescent="0.35">
      <c r="A84" s="2" t="s">
        <v>172</v>
      </c>
      <c r="C84" s="49">
        <v>0</v>
      </c>
      <c r="D84" s="49" t="s">
        <v>56</v>
      </c>
      <c r="E84" s="49"/>
      <c r="F84" s="71" t="s">
        <v>57</v>
      </c>
      <c r="G84" s="49" t="s">
        <v>58</v>
      </c>
      <c r="H84" s="50">
        <v>4992</v>
      </c>
      <c r="I84" s="49"/>
      <c r="J84" s="72"/>
      <c r="K84" s="73"/>
      <c r="L84" s="72"/>
      <c r="M84" s="45" t="s">
        <v>173</v>
      </c>
    </row>
    <row r="85" spans="1:14" ht="17" outlineLevel="1" x14ac:dyDescent="0.35">
      <c r="A85" s="2" t="s">
        <v>172</v>
      </c>
      <c r="C85" s="49"/>
      <c r="D85" s="49"/>
      <c r="E85" s="49"/>
      <c r="F85" s="40" t="s">
        <v>60</v>
      </c>
      <c r="G85" s="39" t="s">
        <v>22</v>
      </c>
      <c r="H85" s="52">
        <v>0.81</v>
      </c>
      <c r="I85" s="49"/>
      <c r="J85" s="72"/>
      <c r="K85" s="73"/>
      <c r="L85" s="72"/>
      <c r="M85" s="45" t="s">
        <v>61</v>
      </c>
    </row>
    <row r="86" spans="1:14" ht="17" outlineLevel="1" x14ac:dyDescent="0.35">
      <c r="B86" s="2" t="s">
        <v>207</v>
      </c>
      <c r="C86" s="49">
        <f>+C85+1</f>
        <v>1</v>
      </c>
      <c r="D86" s="86" t="s">
        <v>134</v>
      </c>
      <c r="E86" s="86" t="s">
        <v>135</v>
      </c>
      <c r="F86" s="79" t="s">
        <v>136</v>
      </c>
      <c r="G86" s="86" t="s">
        <v>137</v>
      </c>
      <c r="H86" s="86">
        <v>1</v>
      </c>
      <c r="I86" s="100">
        <v>261000</v>
      </c>
      <c r="J86" s="87">
        <f>(I86*H86)/1100</f>
        <v>237.27272727272728</v>
      </c>
      <c r="K86" s="88">
        <f t="shared" ref="K86:K104" si="15">J86/$K$5*1000</f>
        <v>8.9536878216123501</v>
      </c>
      <c r="L86" s="76">
        <f t="shared" ref="L86:L108" si="16">J86/$J$109</f>
        <v>7.2794209931807729E-3</v>
      </c>
      <c r="M86" s="79" t="s">
        <v>138</v>
      </c>
    </row>
    <row r="87" spans="1:14" ht="17" outlineLevel="1" x14ac:dyDescent="0.35">
      <c r="B87" s="2" t="s">
        <v>207</v>
      </c>
      <c r="C87" s="49">
        <f t="shared" ref="C87:C98" si="17">+C86+1</f>
        <v>2</v>
      </c>
      <c r="D87" s="49" t="s">
        <v>134</v>
      </c>
      <c r="E87" s="49" t="s">
        <v>139</v>
      </c>
      <c r="F87" s="71" t="s">
        <v>140</v>
      </c>
      <c r="G87" s="49" t="s">
        <v>137</v>
      </c>
      <c r="H87" s="49">
        <v>1</v>
      </c>
      <c r="I87" s="42">
        <v>165225</v>
      </c>
      <c r="J87" s="75">
        <f>(I87*H87)/1100</f>
        <v>150.20454545454547</v>
      </c>
      <c r="K87" s="73">
        <f t="shared" si="15"/>
        <v>5.6680960548885082</v>
      </c>
      <c r="L87" s="76">
        <f t="shared" si="16"/>
        <v>4.6082081747061045E-3</v>
      </c>
      <c r="M87" s="79" t="s">
        <v>141</v>
      </c>
    </row>
    <row r="88" spans="1:14" ht="17" outlineLevel="1" x14ac:dyDescent="0.35">
      <c r="B88" s="2" t="s">
        <v>207</v>
      </c>
      <c r="C88" s="49">
        <f t="shared" si="17"/>
        <v>3</v>
      </c>
      <c r="D88" s="49" t="s">
        <v>134</v>
      </c>
      <c r="E88" s="49" t="s">
        <v>142</v>
      </c>
      <c r="F88" s="71" t="s">
        <v>143</v>
      </c>
      <c r="G88" s="49" t="s">
        <v>137</v>
      </c>
      <c r="H88" s="49">
        <v>1</v>
      </c>
      <c r="I88" s="42">
        <v>23502</v>
      </c>
      <c r="J88" s="75">
        <f>(I88*H88)/1100</f>
        <v>21.365454545454547</v>
      </c>
      <c r="K88" s="73">
        <f t="shared" si="15"/>
        <v>0.80624356775300177</v>
      </c>
      <c r="L88" s="101">
        <f t="shared" si="16"/>
        <v>6.5548257540894454E-4</v>
      </c>
      <c r="M88" s="79" t="s">
        <v>141</v>
      </c>
      <c r="N88" s="117"/>
    </row>
    <row r="89" spans="1:14" ht="17" outlineLevel="1" x14ac:dyDescent="0.35">
      <c r="A89" s="2" t="s">
        <v>144</v>
      </c>
      <c r="B89" s="2" t="s">
        <v>199</v>
      </c>
      <c r="C89" s="49">
        <f t="shared" si="17"/>
        <v>4</v>
      </c>
      <c r="D89" s="49" t="s">
        <v>62</v>
      </c>
      <c r="E89" s="49">
        <v>622</v>
      </c>
      <c r="F89" s="71" t="s">
        <v>63</v>
      </c>
      <c r="G89" s="49" t="s">
        <v>64</v>
      </c>
      <c r="H89" s="49">
        <v>1</v>
      </c>
      <c r="I89" s="42">
        <v>146393110.93333334</v>
      </c>
      <c r="J89" s="87">
        <f>H89*I89/($H$84*$H$85*24*30)</f>
        <v>50.2838529759183</v>
      </c>
      <c r="K89" s="73">
        <f t="shared" si="15"/>
        <v>1.8975038858837094</v>
      </c>
      <c r="L89" s="101">
        <f t="shared" si="16"/>
        <v>1.5426860860843167E-3</v>
      </c>
      <c r="M89" s="79" t="s">
        <v>145</v>
      </c>
      <c r="N89" s="117"/>
    </row>
    <row r="90" spans="1:14" ht="34" outlineLevel="1" x14ac:dyDescent="0.35">
      <c r="A90" s="2" t="s">
        <v>144</v>
      </c>
      <c r="B90" s="2" t="s">
        <v>200</v>
      </c>
      <c r="C90" s="49">
        <f t="shared" si="17"/>
        <v>5</v>
      </c>
      <c r="D90" s="49" t="s">
        <v>62</v>
      </c>
      <c r="E90" s="49">
        <v>6271</v>
      </c>
      <c r="F90" s="71" t="s">
        <v>65</v>
      </c>
      <c r="G90" s="49" t="s">
        <v>64</v>
      </c>
      <c r="H90" s="49">
        <v>1</v>
      </c>
      <c r="I90" s="42">
        <v>838952556.34666669</v>
      </c>
      <c r="J90" s="87">
        <f t="shared" ref="J90:J98" si="18">H90*I90/($H$84*$H$85*24*30)</f>
        <v>288.16770630906109</v>
      </c>
      <c r="K90" s="73">
        <f t="shared" si="15"/>
        <v>10.874253068266455</v>
      </c>
      <c r="L90" s="76">
        <f t="shared" si="16"/>
        <v>8.8408561530621595E-3</v>
      </c>
      <c r="M90" s="79" t="s">
        <v>66</v>
      </c>
      <c r="N90" s="117"/>
    </row>
    <row r="91" spans="1:14" ht="17" outlineLevel="1" x14ac:dyDescent="0.35">
      <c r="A91" s="2" t="s">
        <v>144</v>
      </c>
      <c r="B91" s="2" t="s">
        <v>201</v>
      </c>
      <c r="C91" s="49">
        <f t="shared" si="17"/>
        <v>6</v>
      </c>
      <c r="D91" s="49" t="s">
        <v>67</v>
      </c>
      <c r="E91" s="49">
        <v>6272</v>
      </c>
      <c r="F91" s="71" t="s">
        <v>68</v>
      </c>
      <c r="G91" s="49" t="s">
        <v>64</v>
      </c>
      <c r="H91" s="49">
        <v>1</v>
      </c>
      <c r="I91" s="42">
        <v>137175627.66666666</v>
      </c>
      <c r="J91" s="87">
        <f t="shared" si="18"/>
        <v>47.117784774798331</v>
      </c>
      <c r="K91" s="73">
        <f t="shared" si="15"/>
        <v>1.7780296141433332</v>
      </c>
      <c r="L91" s="76">
        <f t="shared" si="16"/>
        <v>1.4455525318238481E-3</v>
      </c>
      <c r="M91" s="45" t="s">
        <v>69</v>
      </c>
      <c r="N91" s="117"/>
    </row>
    <row r="92" spans="1:14" ht="17" outlineLevel="1" x14ac:dyDescent="0.35">
      <c r="A92" s="2" t="s">
        <v>144</v>
      </c>
      <c r="B92" s="2" t="s">
        <v>202</v>
      </c>
      <c r="C92" s="49">
        <f t="shared" si="17"/>
        <v>7</v>
      </c>
      <c r="D92" s="49" t="s">
        <v>67</v>
      </c>
      <c r="E92" s="49">
        <v>6273</v>
      </c>
      <c r="F92" s="71" t="s">
        <v>70</v>
      </c>
      <c r="G92" s="49" t="s">
        <v>64</v>
      </c>
      <c r="H92" s="49">
        <v>1</v>
      </c>
      <c r="I92" s="42">
        <v>136710716.66666666</v>
      </c>
      <c r="J92" s="87">
        <f t="shared" si="18"/>
        <v>46.958094771478891</v>
      </c>
      <c r="K92" s="73">
        <f t="shared" si="15"/>
        <v>1.7720035762822224</v>
      </c>
      <c r="L92" s="76">
        <f t="shared" si="16"/>
        <v>1.4406533140505873E-3</v>
      </c>
      <c r="M92" s="45" t="s">
        <v>69</v>
      </c>
      <c r="N92" s="117"/>
    </row>
    <row r="93" spans="1:14" ht="17" outlineLevel="1" x14ac:dyDescent="0.35">
      <c r="A93" s="2" t="s">
        <v>144</v>
      </c>
      <c r="B93" s="2" t="s">
        <v>204</v>
      </c>
      <c r="C93" s="49">
        <f t="shared" si="17"/>
        <v>8</v>
      </c>
      <c r="D93" s="86" t="s">
        <v>71</v>
      </c>
      <c r="E93" s="49" t="s">
        <v>72</v>
      </c>
      <c r="F93" s="51" t="s">
        <v>73</v>
      </c>
      <c r="G93" s="49" t="s">
        <v>64</v>
      </c>
      <c r="H93" s="49">
        <v>1</v>
      </c>
      <c r="I93" s="42">
        <v>364308197.6716066</v>
      </c>
      <c r="J93" s="87">
        <f t="shared" si="18"/>
        <v>125.1344392700497</v>
      </c>
      <c r="K93" s="73">
        <f t="shared" si="15"/>
        <v>4.722054312077347</v>
      </c>
      <c r="L93" s="76">
        <f t="shared" si="16"/>
        <v>3.8390685464043473E-3</v>
      </c>
      <c r="M93" s="45" t="s">
        <v>74</v>
      </c>
      <c r="N93" s="117"/>
    </row>
    <row r="94" spans="1:14" ht="17" outlineLevel="1" x14ac:dyDescent="0.35">
      <c r="A94" s="2" t="s">
        <v>144</v>
      </c>
      <c r="B94" s="2" t="s">
        <v>204</v>
      </c>
      <c r="C94" s="49">
        <f t="shared" si="17"/>
        <v>9</v>
      </c>
      <c r="D94" s="86" t="s">
        <v>71</v>
      </c>
      <c r="E94" s="49" t="s">
        <v>75</v>
      </c>
      <c r="F94" s="51" t="s">
        <v>76</v>
      </c>
      <c r="G94" s="49" t="s">
        <v>64</v>
      </c>
      <c r="H94" s="49">
        <v>1</v>
      </c>
      <c r="I94" s="42">
        <v>0</v>
      </c>
      <c r="J94" s="87">
        <f t="shared" si="18"/>
        <v>0</v>
      </c>
      <c r="K94" s="73">
        <f t="shared" si="15"/>
        <v>0</v>
      </c>
      <c r="L94" s="76">
        <f t="shared" si="16"/>
        <v>0</v>
      </c>
      <c r="M94" s="45" t="s">
        <v>74</v>
      </c>
      <c r="N94" s="117"/>
    </row>
    <row r="95" spans="1:14" ht="17" outlineLevel="1" x14ac:dyDescent="0.35">
      <c r="A95" s="2" t="s">
        <v>144</v>
      </c>
      <c r="B95" s="2" t="s">
        <v>204</v>
      </c>
      <c r="C95" s="49">
        <f t="shared" si="17"/>
        <v>10</v>
      </c>
      <c r="D95" s="86" t="s">
        <v>71</v>
      </c>
      <c r="E95" s="49" t="s">
        <v>77</v>
      </c>
      <c r="F95" s="51" t="s">
        <v>78</v>
      </c>
      <c r="G95" s="49" t="s">
        <v>64</v>
      </c>
      <c r="H95" s="49">
        <v>1</v>
      </c>
      <c r="I95" s="42">
        <v>178285515.43447831</v>
      </c>
      <c r="J95" s="87">
        <f t="shared" si="18"/>
        <v>61.238418861975553</v>
      </c>
      <c r="K95" s="73">
        <f t="shared" si="15"/>
        <v>2.3108837306405867</v>
      </c>
      <c r="L95" s="76">
        <f t="shared" si="16"/>
        <v>1.8787672606834041E-3</v>
      </c>
      <c r="M95" s="45" t="s">
        <v>74</v>
      </c>
      <c r="N95" s="117"/>
    </row>
    <row r="96" spans="1:14" ht="17" outlineLevel="1" x14ac:dyDescent="0.35">
      <c r="A96" s="2" t="s">
        <v>144</v>
      </c>
      <c r="B96" s="2" t="s">
        <v>204</v>
      </c>
      <c r="C96" s="49">
        <f t="shared" si="17"/>
        <v>11</v>
      </c>
      <c r="D96" s="86" t="s">
        <v>71</v>
      </c>
      <c r="E96" s="49" t="s">
        <v>79</v>
      </c>
      <c r="F96" s="51" t="s">
        <v>80</v>
      </c>
      <c r="G96" s="49" t="s">
        <v>64</v>
      </c>
      <c r="H96" s="49">
        <v>1</v>
      </c>
      <c r="I96" s="42">
        <v>213967072.85976821</v>
      </c>
      <c r="J96" s="87">
        <f t="shared" si="18"/>
        <v>73.494502335344293</v>
      </c>
      <c r="K96" s="73">
        <f t="shared" si="15"/>
        <v>2.7733774466167658</v>
      </c>
      <c r="L96" s="76">
        <f t="shared" si="16"/>
        <v>2.2547784118835492E-3</v>
      </c>
      <c r="M96" s="45" t="s">
        <v>74</v>
      </c>
      <c r="N96" s="117"/>
    </row>
    <row r="97" spans="1:14" ht="34" outlineLevel="1" x14ac:dyDescent="0.35">
      <c r="A97" s="2" t="s">
        <v>144</v>
      </c>
      <c r="B97" s="2" t="s">
        <v>203</v>
      </c>
      <c r="C97" s="49">
        <f>+C93+1</f>
        <v>9</v>
      </c>
      <c r="D97" s="86" t="s">
        <v>81</v>
      </c>
      <c r="E97" s="86">
        <v>6275</v>
      </c>
      <c r="F97" s="79" t="s">
        <v>146</v>
      </c>
      <c r="G97" s="49" t="s">
        <v>64</v>
      </c>
      <c r="H97" s="49">
        <v>1</v>
      </c>
      <c r="I97" s="42">
        <v>1454427495.6666667</v>
      </c>
      <c r="J97" s="87">
        <f t="shared" si="18"/>
        <v>499.57418002777922</v>
      </c>
      <c r="K97" s="73">
        <f t="shared" si="15"/>
        <v>18.851855850104876</v>
      </c>
      <c r="L97" s="76">
        <f t="shared" si="16"/>
        <v>1.5326712073255998E-2</v>
      </c>
      <c r="M97" s="45" t="s">
        <v>147</v>
      </c>
      <c r="N97" s="117"/>
    </row>
    <row r="98" spans="1:14" ht="17" outlineLevel="1" x14ac:dyDescent="0.35">
      <c r="A98" s="2" t="s">
        <v>144</v>
      </c>
      <c r="B98" s="2" t="s">
        <v>205</v>
      </c>
      <c r="C98" s="49">
        <f t="shared" si="17"/>
        <v>10</v>
      </c>
      <c r="D98" s="86" t="s">
        <v>67</v>
      </c>
      <c r="E98" s="86">
        <v>6277.6278000000002</v>
      </c>
      <c r="F98" s="71" t="s">
        <v>85</v>
      </c>
      <c r="G98" s="49" t="s">
        <v>64</v>
      </c>
      <c r="H98" s="49">
        <v>1</v>
      </c>
      <c r="I98" s="42">
        <v>446123693.23281401</v>
      </c>
      <c r="J98" s="87">
        <f t="shared" si="18"/>
        <v>153.23684329523053</v>
      </c>
      <c r="K98" s="73">
        <f t="shared" si="15"/>
        <v>5.7825223884992649</v>
      </c>
      <c r="L98" s="76">
        <f t="shared" si="16"/>
        <v>4.7012377142270452E-3</v>
      </c>
      <c r="M98" s="45" t="s">
        <v>69</v>
      </c>
      <c r="N98" s="117"/>
    </row>
    <row r="99" spans="1:14" ht="22.4" customHeight="1" x14ac:dyDescent="0.35">
      <c r="C99" s="31" t="s">
        <v>92</v>
      </c>
      <c r="D99" s="47"/>
      <c r="E99" s="47"/>
      <c r="F99" s="32" t="s">
        <v>148</v>
      </c>
      <c r="G99" s="31"/>
      <c r="H99" s="31"/>
      <c r="I99" s="31"/>
      <c r="J99" s="33">
        <f>SUM(J100:J104)</f>
        <v>3621.8395540155138</v>
      </c>
      <c r="K99" s="35">
        <f>J99*1000/$K$5</f>
        <v>136.67319071756657</v>
      </c>
      <c r="L99" s="36">
        <f t="shared" si="16"/>
        <v>0.11111641521753379</v>
      </c>
      <c r="M99" s="94"/>
    </row>
    <row r="100" spans="1:14" ht="17" outlineLevel="1" x14ac:dyDescent="0.35">
      <c r="A100" s="2" t="s">
        <v>149</v>
      </c>
      <c r="B100" s="2">
        <v>641</v>
      </c>
      <c r="C100" s="49">
        <v>1</v>
      </c>
      <c r="D100" s="49">
        <v>641</v>
      </c>
      <c r="E100" s="49"/>
      <c r="F100" s="102" t="s">
        <v>150</v>
      </c>
      <c r="G100" s="49" t="s">
        <v>64</v>
      </c>
      <c r="H100" s="49">
        <v>1</v>
      </c>
      <c r="I100" s="103">
        <v>473792809.84600055</v>
      </c>
      <c r="J100" s="103">
        <f>+I100/($H$84*$H$85*24*30)</f>
        <v>162.74077270065592</v>
      </c>
      <c r="K100" s="73">
        <f t="shared" si="15"/>
        <v>6.1411612339870167</v>
      </c>
      <c r="L100" s="76">
        <f t="shared" si="16"/>
        <v>4.9928140113715581E-3</v>
      </c>
      <c r="M100" s="104" t="s">
        <v>151</v>
      </c>
      <c r="N100" s="117"/>
    </row>
    <row r="101" spans="1:14" ht="17" outlineLevel="1" x14ac:dyDescent="0.35">
      <c r="A101" s="2" t="s">
        <v>152</v>
      </c>
      <c r="B101" s="2">
        <v>642</v>
      </c>
      <c r="C101" s="49">
        <f>+C100+1</f>
        <v>2</v>
      </c>
      <c r="D101" s="49">
        <v>642</v>
      </c>
      <c r="E101" s="49"/>
      <c r="F101" s="102" t="s">
        <v>153</v>
      </c>
      <c r="G101" s="49" t="s">
        <v>64</v>
      </c>
      <c r="H101" s="49">
        <v>1</v>
      </c>
      <c r="I101" s="103">
        <v>4719699591.8973331</v>
      </c>
      <c r="J101" s="103">
        <f>+I101/($H$84*$H$85*24*30)</f>
        <v>1621.146506528873</v>
      </c>
      <c r="K101" s="73">
        <f t="shared" si="15"/>
        <v>61.175339869014081</v>
      </c>
      <c r="L101" s="76">
        <f t="shared" si="16"/>
        <v>4.9736048673995184E-2</v>
      </c>
      <c r="M101" s="104" t="s">
        <v>151</v>
      </c>
      <c r="N101" s="117"/>
    </row>
    <row r="102" spans="1:14" ht="17" outlineLevel="1" x14ac:dyDescent="0.35">
      <c r="A102" s="2" t="s">
        <v>154</v>
      </c>
      <c r="B102" s="2">
        <v>641</v>
      </c>
      <c r="C102" s="49">
        <f>+C101+1</f>
        <v>3</v>
      </c>
      <c r="D102" s="49">
        <v>641</v>
      </c>
      <c r="E102" s="49"/>
      <c r="F102" s="102" t="s">
        <v>155</v>
      </c>
      <c r="G102" s="49" t="s">
        <v>64</v>
      </c>
      <c r="H102" s="49">
        <v>1</v>
      </c>
      <c r="I102" s="103">
        <v>2632586226.9708085</v>
      </c>
      <c r="J102" s="103">
        <f>+I102/($H$84*$H$85*24*30)</f>
        <v>904.25415471709744</v>
      </c>
      <c r="K102" s="73">
        <f t="shared" si="15"/>
        <v>34.122798291211225</v>
      </c>
      <c r="L102" s="76">
        <f t="shared" si="16"/>
        <v>2.7742112431879042E-2</v>
      </c>
      <c r="M102" s="104" t="s">
        <v>151</v>
      </c>
      <c r="N102" s="117"/>
    </row>
    <row r="103" spans="1:14" ht="34" outlineLevel="1" x14ac:dyDescent="0.35">
      <c r="A103" s="2" t="s">
        <v>157</v>
      </c>
      <c r="B103" s="2">
        <v>642</v>
      </c>
      <c r="C103" s="49">
        <f>+C102+1</f>
        <v>4</v>
      </c>
      <c r="D103" s="49">
        <v>642</v>
      </c>
      <c r="E103" s="49"/>
      <c r="F103" s="102" t="s">
        <v>158</v>
      </c>
      <c r="G103" s="49" t="s">
        <v>64</v>
      </c>
      <c r="H103" s="49">
        <v>1</v>
      </c>
      <c r="I103" s="103">
        <v>1589881574.6973832</v>
      </c>
      <c r="J103" s="103">
        <f>+I103/($H$84*$H$85*24*30)</f>
        <v>546.10063848982202</v>
      </c>
      <c r="K103" s="73">
        <f t="shared" si="15"/>
        <v>20.607571263766868</v>
      </c>
      <c r="L103" s="76">
        <f t="shared" si="16"/>
        <v>1.6754122978672251E-2</v>
      </c>
      <c r="M103" s="104" t="s">
        <v>156</v>
      </c>
      <c r="N103" s="117"/>
    </row>
    <row r="104" spans="1:14" ht="17" outlineLevel="1" x14ac:dyDescent="0.35">
      <c r="A104" s="2" t="s">
        <v>159</v>
      </c>
      <c r="B104" s="2">
        <v>635</v>
      </c>
      <c r="C104" s="49">
        <v>3</v>
      </c>
      <c r="D104" s="49">
        <v>635</v>
      </c>
      <c r="E104" s="49"/>
      <c r="F104" s="102" t="s">
        <v>160</v>
      </c>
      <c r="G104" s="49" t="s">
        <v>64</v>
      </c>
      <c r="H104" s="49">
        <v>1</v>
      </c>
      <c r="I104" s="103">
        <v>1128425881.4745004</v>
      </c>
      <c r="J104" s="103">
        <f>+I104/($H$84*$H$85*24*30)</f>
        <v>387.59748157906569</v>
      </c>
      <c r="K104" s="73">
        <f t="shared" si="15"/>
        <v>14.626320059587384</v>
      </c>
      <c r="L104" s="76">
        <f t="shared" si="16"/>
        <v>1.1891317121615759E-2</v>
      </c>
      <c r="M104" s="104" t="s">
        <v>161</v>
      </c>
      <c r="N104" s="117"/>
    </row>
    <row r="105" spans="1:14" ht="24.65" customHeight="1" x14ac:dyDescent="0.35">
      <c r="C105" s="105"/>
      <c r="D105" s="180" t="s">
        <v>162</v>
      </c>
      <c r="E105" s="180"/>
      <c r="F105" s="180"/>
      <c r="G105" s="105"/>
      <c r="H105" s="105"/>
      <c r="I105" s="105"/>
      <c r="J105" s="106">
        <f>+J82+J83+J99</f>
        <v>28630.622021338884</v>
      </c>
      <c r="K105" s="107">
        <f>J105*1000/$K$5</f>
        <v>1080.4008309939202</v>
      </c>
      <c r="L105" s="108"/>
      <c r="M105" s="109"/>
    </row>
    <row r="106" spans="1:14" ht="25.4" customHeight="1" x14ac:dyDescent="0.35">
      <c r="C106" s="31" t="s">
        <v>163</v>
      </c>
      <c r="D106" s="47"/>
      <c r="E106" s="47"/>
      <c r="F106" s="32" t="s">
        <v>174</v>
      </c>
      <c r="G106" s="31"/>
      <c r="H106" s="31"/>
      <c r="I106" s="31"/>
      <c r="J106" s="33">
        <f>J107+J108</f>
        <v>3964.3779786611158</v>
      </c>
      <c r="K106" s="35">
        <f>J106*1000/$K$5</f>
        <v>149.59916900607985</v>
      </c>
      <c r="L106" s="36">
        <f t="shared" si="16"/>
        <v>0.12162534065534947</v>
      </c>
      <c r="M106" s="94"/>
    </row>
    <row r="107" spans="1:14" ht="17" outlineLevel="1" x14ac:dyDescent="0.35">
      <c r="C107" s="49">
        <v>1</v>
      </c>
      <c r="D107" s="49" t="s">
        <v>164</v>
      </c>
      <c r="E107" s="49"/>
      <c r="F107" s="102" t="s">
        <v>175</v>
      </c>
      <c r="G107" s="49"/>
      <c r="H107" s="49"/>
      <c r="I107" s="49"/>
      <c r="J107" s="110">
        <f>+(J109-J105)*100%/120%</f>
        <v>3303.64831555093</v>
      </c>
      <c r="K107" s="111"/>
      <c r="L107" s="101">
        <f t="shared" si="16"/>
        <v>0.10135445054612456</v>
      </c>
      <c r="M107" s="112">
        <f>J107/$J$109</f>
        <v>0.10135445054612456</v>
      </c>
    </row>
    <row r="108" spans="1:14" ht="17" outlineLevel="1" x14ac:dyDescent="0.35">
      <c r="C108" s="49">
        <v>2</v>
      </c>
      <c r="D108" s="49" t="s">
        <v>165</v>
      </c>
      <c r="E108" s="49"/>
      <c r="F108" s="102" t="s">
        <v>166</v>
      </c>
      <c r="G108" s="49"/>
      <c r="H108" s="49"/>
      <c r="I108" s="49"/>
      <c r="J108" s="110">
        <f>J107*20%</f>
        <v>660.72966311018604</v>
      </c>
      <c r="K108" s="111"/>
      <c r="L108" s="101">
        <f t="shared" si="16"/>
        <v>2.0270890109224914E-2</v>
      </c>
      <c r="M108" s="113"/>
    </row>
    <row r="109" spans="1:14" ht="24.65" customHeight="1" x14ac:dyDescent="0.35">
      <c r="A109" s="2" t="s">
        <v>176</v>
      </c>
      <c r="C109" s="105"/>
      <c r="D109" s="180" t="s">
        <v>167</v>
      </c>
      <c r="E109" s="180"/>
      <c r="F109" s="180"/>
      <c r="G109" s="105"/>
      <c r="H109" s="105"/>
      <c r="I109" s="105"/>
      <c r="J109" s="106">
        <f>+K109*K5/10^3</f>
        <v>32595</v>
      </c>
      <c r="K109" s="107">
        <f>+TH!F7</f>
        <v>1230</v>
      </c>
      <c r="L109" s="108">
        <f>+L82+L83+L99+L106</f>
        <v>1</v>
      </c>
      <c r="M109" s="109"/>
    </row>
    <row r="111" spans="1:14" x14ac:dyDescent="0.35">
      <c r="K111" s="70"/>
      <c r="L111" s="70"/>
    </row>
    <row r="112" spans="1:14" x14ac:dyDescent="0.35">
      <c r="K112" s="95"/>
    </row>
  </sheetData>
  <autoFilter ref="C7:M109" xr:uid="{DCB3B5EE-6636-407D-B3F6-4E7544CA3796}"/>
  <mergeCells count="5">
    <mergeCell ref="D34:F34"/>
    <mergeCell ref="D58:F58"/>
    <mergeCell ref="D80:F80"/>
    <mergeCell ref="D105:F105"/>
    <mergeCell ref="D109:F109"/>
  </mergeCells>
  <hyperlinks>
    <hyperlink ref="A1" location="'Danh mục'!A1" display="Danh mục" xr:uid="{CCF3AA53-66CE-4535-A43A-16B022ECB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TH</vt:lpstr>
      <vt:lpstr>Chart</vt:lpstr>
      <vt:lpstr>ISS01084G</vt:lpstr>
      <vt:lpstr>ISS01G-S</vt:lpstr>
      <vt:lpstr>ISS01084G (2)</vt:lpstr>
      <vt:lpstr>ISS01G-S (2)</vt:lpstr>
      <vt:lpstr>Chart!Print_Area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Cư, Lê Hoành</cp:lastModifiedBy>
  <dcterms:created xsi:type="dcterms:W3CDTF">2026-01-14T02:22:36Z</dcterms:created>
  <dcterms:modified xsi:type="dcterms:W3CDTF">2026-03-30T14:35:24Z</dcterms:modified>
</cp:coreProperties>
</file>