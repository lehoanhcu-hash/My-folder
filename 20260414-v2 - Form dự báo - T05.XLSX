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Dư báo 2026_FC Rolling/Tháng 04/"/>
    </mc:Choice>
  </mc:AlternateContent>
  <xr:revisionPtr revIDLastSave="0" documentId="8_{CDCFB3E4-27E6-41A1-B7C6-A6454973D3AE}" xr6:coauthVersionLast="47" xr6:coauthVersionMax="47" xr10:uidLastSave="{00000000-0000-0000-0000-000000000000}"/>
  <bookViews>
    <workbookView xWindow="-108" yWindow="-108" windowWidth="30936" windowHeight="18696" tabRatio="860" xr2:uid="{00000000-000D-0000-FFFF-FFFF00000000}"/>
  </bookViews>
  <sheets>
    <sheet name="Working-T05-B2" sheetId="21" r:id="rId1"/>
    <sheet name="GIÁ XUẤT KHO" sheetId="13" r:id="rId2"/>
    <sheet name="WSS03NC" sheetId="22" r:id="rId3"/>
    <sheet name="Sales" sheetId="15" r:id="rId4"/>
    <sheet name="Check-Hóa đơn" sheetId="18" state="hidden" r:id="rId5"/>
    <sheet name="Working-T05-B1" sheetId="12" r:id="rId6"/>
    <sheet name="Nam-Kế hoạch" sheetId="23" r:id="rId7"/>
    <sheet name="&gt;FAGLL03" sheetId="14" state="hidden" r:id="rId8"/>
    <sheet name="PV" sheetId="2" state="hidden" r:id="rId9"/>
    <sheet name="PV_SKU" sheetId="4" state="hidden" r:id="rId10"/>
    <sheet name="PV_Price" sheetId="11" state="hidden" r:id="rId11"/>
    <sheet name="EXR" sheetId="10" r:id="rId12"/>
    <sheet name="Data" sheetId="1" state="hidden" r:id="rId13"/>
    <sheet name="MD-Billing-SO" sheetId="16" r:id="rId14"/>
    <sheet name="MD_SKU" sheetId="3" r:id="rId15"/>
    <sheet name="Làm source" sheetId="19" r:id="rId16"/>
  </sheets>
  <externalReferences>
    <externalReference r:id="rId17"/>
  </externalReferences>
  <definedNames>
    <definedName name="_xlnm._FilterDatabase" localSheetId="1" hidden="1">'GIÁ XUẤT KHO'!$A$3:$BM$46</definedName>
    <definedName name="_xlnm._FilterDatabase" localSheetId="6" hidden="1">'Nam-Kế hoạch'!$A$1:$I$35</definedName>
    <definedName name="_xlnm._FilterDatabase" localSheetId="3" hidden="1">Sales!$A$2:$J$63</definedName>
    <definedName name="_xlnm._FilterDatabase" localSheetId="5" hidden="1">'Working-T05-B1'!$A$7:$BM$46</definedName>
    <definedName name="_xlnm._FilterDatabase" localSheetId="0" hidden="1">'Working-T05-B2'!$A$7:$BW$101</definedName>
    <definedName name="_xlnm._FilterDatabase" localSheetId="2" hidden="1">WSS03NC!$A$2:$AN$2</definedName>
    <definedName name="EXR">EXR!$D$3</definedName>
    <definedName name="EXR_FC01">EXR!$B$7</definedName>
    <definedName name="EXR_FC02">EXR!$C$7</definedName>
    <definedName name="EXR_FC03">EXR!$D$7</definedName>
    <definedName name="EXR_FC04">EXR!$E$7</definedName>
    <definedName name="EXR_FC05">EXR!$F$7</definedName>
    <definedName name="EXR_FC06">EXR!$G$7</definedName>
    <definedName name="EXR_FC07">EXR!$H$7</definedName>
    <definedName name="EXR_FC08">EXR!$I$8</definedName>
    <definedName name="EXR_FC09">EXR!$J$8</definedName>
    <definedName name="EXR_FC10">EXR!$K$8</definedName>
    <definedName name="EXR_FC11">EXR!$L$8</definedName>
    <definedName name="EXR_FC12">EXR!$M$8</definedName>
  </definedNames>
  <calcPr calcId="191029" calcMode="manual"/>
  <pivotCaches>
    <pivotCache cacheId="81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8" i="21" l="1"/>
  <c r="BJ98" i="21" l="1"/>
  <c r="BI98" i="21"/>
  <c r="BH98" i="21"/>
  <c r="BF99" i="21" l="1"/>
  <c r="BF98" i="21"/>
  <c r="BF97" i="21"/>
  <c r="BF96" i="21"/>
  <c r="BF95" i="21"/>
  <c r="BF94" i="21"/>
  <c r="BF93" i="21"/>
  <c r="BF92" i="21"/>
  <c r="BF91" i="21"/>
  <c r="BF90" i="21"/>
  <c r="BF89" i="21"/>
  <c r="BF88" i="21"/>
  <c r="BF87" i="21"/>
  <c r="BF86" i="21"/>
  <c r="BF85" i="21"/>
  <c r="BF84" i="21"/>
  <c r="BF83" i="21"/>
  <c r="BF82" i="21"/>
  <c r="BF81" i="21"/>
  <c r="BF80" i="21"/>
  <c r="BF79" i="21"/>
  <c r="BF78" i="21"/>
  <c r="BF77" i="21"/>
  <c r="BF76" i="21"/>
  <c r="BF75" i="21"/>
  <c r="BF74" i="21"/>
  <c r="BF73" i="21"/>
  <c r="BF72" i="21"/>
  <c r="BK98" i="21"/>
  <c r="BK97" i="21"/>
  <c r="BK96" i="21"/>
  <c r="BK95" i="21"/>
  <c r="BK94" i="21"/>
  <c r="BK93" i="21"/>
  <c r="BK92" i="21"/>
  <c r="BK91" i="21"/>
  <c r="BK90" i="21"/>
  <c r="BK89" i="21"/>
  <c r="BK88" i="21"/>
  <c r="BK87" i="21"/>
  <c r="BK86" i="21"/>
  <c r="BK85" i="21"/>
  <c r="BK84" i="21"/>
  <c r="BK83" i="21"/>
  <c r="BK82" i="21"/>
  <c r="BK81" i="21"/>
  <c r="BK80" i="21"/>
  <c r="BK79" i="21"/>
  <c r="BK78" i="21"/>
  <c r="BK77" i="21"/>
  <c r="BK76" i="21"/>
  <c r="BK75" i="21"/>
  <c r="BK74" i="21"/>
  <c r="BK73" i="21"/>
  <c r="BK72" i="21"/>
  <c r="BA150" i="21" l="1"/>
  <c r="BA149" i="21"/>
  <c r="BA148" i="21"/>
  <c r="BA147" i="21"/>
  <c r="BA146" i="21"/>
  <c r="BA145" i="21"/>
  <c r="BA144" i="21"/>
  <c r="BA143" i="21"/>
  <c r="BA142" i="21"/>
  <c r="BA141" i="21"/>
  <c r="BA140" i="21"/>
  <c r="BA139" i="21"/>
  <c r="BA138" i="21"/>
  <c r="BA137" i="21"/>
  <c r="BA136" i="21"/>
  <c r="BA135" i="21"/>
  <c r="BA134" i="21"/>
  <c r="BA133" i="21"/>
  <c r="BA132" i="21"/>
  <c r="BA131" i="21"/>
  <c r="BA130" i="21"/>
  <c r="BA129" i="21"/>
  <c r="BA128" i="21"/>
  <c r="BA127" i="21"/>
  <c r="BA126" i="21"/>
  <c r="BA125" i="21"/>
  <c r="BA124" i="21"/>
  <c r="BA123" i="21"/>
  <c r="BA122" i="21"/>
  <c r="BA121" i="21"/>
  <c r="BA120" i="21"/>
  <c r="BA119" i="21"/>
  <c r="BA118" i="21"/>
  <c r="BA117" i="21"/>
  <c r="BA116" i="21"/>
  <c r="BA115" i="21"/>
  <c r="BA114" i="21"/>
  <c r="BA113" i="21"/>
  <c r="BA112" i="21"/>
  <c r="BA111" i="21"/>
  <c r="BA110" i="21"/>
  <c r="BA109" i="21"/>
  <c r="BA108" i="21"/>
  <c r="BA107" i="21"/>
  <c r="BA106" i="21"/>
  <c r="BA105" i="21"/>
  <c r="BA104" i="21"/>
  <c r="BA103" i="21"/>
  <c r="BA102" i="21"/>
  <c r="BA101" i="21"/>
  <c r="BA100" i="21"/>
  <c r="BA99" i="21"/>
  <c r="BA98" i="21"/>
  <c r="BA97" i="21"/>
  <c r="BA96" i="21"/>
  <c r="BA95" i="21"/>
  <c r="BA94" i="21"/>
  <c r="BA93" i="21"/>
  <c r="BA92" i="21"/>
  <c r="BA91" i="21"/>
  <c r="BA90" i="21"/>
  <c r="BA89" i="21"/>
  <c r="BA88" i="21"/>
  <c r="BA87" i="21"/>
  <c r="BA86" i="21"/>
  <c r="BA85" i="21"/>
  <c r="BA84" i="21"/>
  <c r="BA83" i="21"/>
  <c r="BA82" i="21"/>
  <c r="BA81" i="21"/>
  <c r="BA80" i="21"/>
  <c r="BA79" i="21"/>
  <c r="BA78" i="21"/>
  <c r="BA77" i="21"/>
  <c r="BA76" i="21"/>
  <c r="BA75" i="21"/>
  <c r="BA74" i="21"/>
  <c r="BA73" i="21"/>
  <c r="BA72" i="21"/>
  <c r="BA71" i="21"/>
  <c r="BA69" i="21"/>
  <c r="BA68" i="21"/>
  <c r="BA67" i="21"/>
  <c r="BA66" i="21"/>
  <c r="BA64" i="21"/>
  <c r="BA63" i="21"/>
  <c r="BA62" i="21"/>
  <c r="BA61" i="21"/>
  <c r="BA60" i="21"/>
  <c r="BA58" i="21"/>
  <c r="BA57" i="21"/>
  <c r="BA56" i="21"/>
  <c r="BA55" i="21"/>
  <c r="BA54" i="21"/>
  <c r="BA53" i="21"/>
  <c r="BA52" i="21"/>
  <c r="BA51" i="21"/>
  <c r="BA50" i="21"/>
  <c r="BA49" i="21"/>
  <c r="BA48" i="21"/>
  <c r="BA45" i="21"/>
  <c r="BA44" i="21"/>
  <c r="BA43" i="21"/>
  <c r="BA42" i="21"/>
  <c r="BA41" i="21"/>
  <c r="BA40" i="21"/>
  <c r="BA39" i="21"/>
  <c r="W71" i="21"/>
  <c r="AZ98" i="21"/>
  <c r="AL98" i="21"/>
  <c r="BF47" i="13"/>
  <c r="BE47" i="13"/>
  <c r="BD47" i="13"/>
  <c r="BC47" i="13"/>
  <c r="BB47" i="13"/>
  <c r="BA47" i="13"/>
  <c r="AZ47" i="13"/>
  <c r="AY47" i="13"/>
  <c r="AX47" i="13"/>
  <c r="AH47" i="13"/>
  <c r="AG47" i="13"/>
  <c r="AF47" i="13"/>
  <c r="AE47" i="13"/>
  <c r="AD47" i="13"/>
  <c r="AC47" i="13"/>
  <c r="AB47" i="13"/>
  <c r="AA47" i="13"/>
  <c r="Z47" i="13"/>
  <c r="Y47" i="13" s="1"/>
  <c r="W63" i="21" l="1"/>
  <c r="W62" i="21"/>
  <c r="W60" i="21"/>
  <c r="W56" i="21"/>
  <c r="W59" i="21"/>
  <c r="W57" i="21"/>
  <c r="W54" i="21"/>
  <c r="W55" i="21"/>
  <c r="W53" i="21"/>
  <c r="W50" i="21"/>
  <c r="W49" i="21"/>
  <c r="W44" i="21"/>
  <c r="W43" i="21"/>
  <c r="W42" i="21"/>
  <c r="W41" i="21"/>
  <c r="W40" i="21"/>
  <c r="W39" i="21"/>
  <c r="AO70" i="21"/>
  <c r="AO69" i="21"/>
  <c r="AO68" i="21"/>
  <c r="AO67" i="21"/>
  <c r="AO65" i="21"/>
  <c r="AO64" i="21"/>
  <c r="AO58" i="21"/>
  <c r="AO48" i="21"/>
  <c r="AO47" i="21"/>
  <c r="AO46" i="21"/>
  <c r="W48" i="21"/>
  <c r="BI71" i="21"/>
  <c r="BI70" i="21"/>
  <c r="BI69" i="21"/>
  <c r="BI68" i="21"/>
  <c r="BI67" i="21"/>
  <c r="BI66" i="21"/>
  <c r="BI65" i="21"/>
  <c r="BI64" i="21"/>
  <c r="BI63" i="21"/>
  <c r="BI62" i="21"/>
  <c r="BI61" i="21"/>
  <c r="BI60" i="21"/>
  <c r="BI59" i="21"/>
  <c r="BI58" i="21"/>
  <c r="BI57" i="21"/>
  <c r="BI56" i="21"/>
  <c r="BI55" i="21"/>
  <c r="BI54" i="21"/>
  <c r="BI53" i="21"/>
  <c r="BI52" i="21"/>
  <c r="BI51" i="21"/>
  <c r="BI50" i="21"/>
  <c r="BI49" i="21"/>
  <c r="BI48" i="21"/>
  <c r="BI47" i="21"/>
  <c r="BI46" i="21"/>
  <c r="BI45" i="21"/>
  <c r="BI44" i="21"/>
  <c r="BI43" i="21"/>
  <c r="BI42" i="21"/>
  <c r="BI41" i="21"/>
  <c r="BI40" i="21"/>
  <c r="BI39" i="21"/>
  <c r="W68" i="21"/>
  <c r="AM125" i="21" l="1"/>
  <c r="AM124" i="21"/>
  <c r="AM123" i="21"/>
  <c r="AM122" i="21"/>
  <c r="AM121" i="21"/>
  <c r="AM98" i="21"/>
  <c r="AM97" i="21"/>
  <c r="AM96" i="21"/>
  <c r="AM95" i="21"/>
  <c r="AM94" i="21"/>
  <c r="AM93" i="21"/>
  <c r="AM92" i="21"/>
  <c r="AM91" i="21"/>
  <c r="AM90" i="21"/>
  <c r="AM89" i="21"/>
  <c r="AM88" i="21"/>
  <c r="AM87" i="21"/>
  <c r="AM86" i="21"/>
  <c r="AM85" i="21"/>
  <c r="AM84" i="21"/>
  <c r="AM83" i="21"/>
  <c r="AM82" i="21"/>
  <c r="AM81" i="21"/>
  <c r="AM80" i="21"/>
  <c r="AM79" i="21"/>
  <c r="AM78" i="21"/>
  <c r="AM77" i="21"/>
  <c r="AM76" i="21"/>
  <c r="AM75" i="21"/>
  <c r="AM74" i="21"/>
  <c r="AM73" i="21"/>
  <c r="AM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AB52" i="21" s="1"/>
  <c r="C51" i="21"/>
  <c r="AB51" i="21" s="1"/>
  <c r="C50" i="21"/>
  <c r="C49" i="21"/>
  <c r="C48" i="21"/>
  <c r="C47" i="21"/>
  <c r="C46" i="21"/>
  <c r="C45" i="21"/>
  <c r="AB45" i="21" s="1"/>
  <c r="C44" i="21"/>
  <c r="C43" i="21"/>
  <c r="C42" i="21"/>
  <c r="C41" i="21"/>
  <c r="C40" i="21"/>
  <c r="C39" i="21"/>
  <c r="I42" i="15"/>
  <c r="AN143" i="12"/>
  <c r="AN142" i="12"/>
  <c r="AN141" i="12"/>
  <c r="AN140" i="12"/>
  <c r="AN139" i="12"/>
  <c r="AN138" i="12"/>
  <c r="AN137" i="12"/>
  <c r="AN136" i="12"/>
  <c r="AN135" i="12"/>
  <c r="AN134" i="12"/>
  <c r="AN133" i="12"/>
  <c r="AN132" i="12"/>
  <c r="AN131" i="12"/>
  <c r="AN130" i="12"/>
  <c r="AN129" i="12"/>
  <c r="AN128" i="12"/>
  <c r="AN127" i="12"/>
  <c r="AN126" i="12"/>
  <c r="AN125" i="12"/>
  <c r="AN124" i="12"/>
  <c r="AN123" i="12"/>
  <c r="AN122" i="12"/>
  <c r="AN46" i="12"/>
  <c r="AN45" i="12"/>
  <c r="AN44" i="12"/>
  <c r="AN43" i="12"/>
  <c r="AN42" i="12"/>
  <c r="AN41" i="12"/>
  <c r="AN40" i="12"/>
  <c r="AN39" i="12"/>
  <c r="AN38" i="12"/>
  <c r="AN37" i="12"/>
  <c r="AN36" i="12"/>
  <c r="AN35" i="12"/>
  <c r="AN34" i="12"/>
  <c r="AN33" i="12"/>
  <c r="AN32" i="12"/>
  <c r="AN31" i="12"/>
  <c r="AN30" i="12"/>
  <c r="AN29" i="12"/>
  <c r="AN28" i="12"/>
  <c r="AN27" i="12"/>
  <c r="AN26" i="12"/>
  <c r="AN25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N9" i="12"/>
  <c r="AN8" i="12"/>
  <c r="AB150" i="21"/>
  <c r="AA150" i="21"/>
  <c r="AB149" i="21"/>
  <c r="AA149" i="21"/>
  <c r="AB148" i="21"/>
  <c r="AA148" i="21"/>
  <c r="AB147" i="21"/>
  <c r="AA147" i="21"/>
  <c r="AB146" i="21"/>
  <c r="AA146" i="21"/>
  <c r="AB145" i="21"/>
  <c r="AA145" i="21"/>
  <c r="AB144" i="21"/>
  <c r="AA144" i="21"/>
  <c r="AB143" i="21"/>
  <c r="AA143" i="21"/>
  <c r="AB142" i="21"/>
  <c r="AA142" i="21"/>
  <c r="AB141" i="21"/>
  <c r="AA141" i="21"/>
  <c r="AB140" i="21"/>
  <c r="AA140" i="21"/>
  <c r="AB139" i="21"/>
  <c r="AA139" i="21"/>
  <c r="AB138" i="21"/>
  <c r="AA138" i="21"/>
  <c r="AB137" i="21"/>
  <c r="AA137" i="21"/>
  <c r="AB136" i="21"/>
  <c r="AA136" i="21"/>
  <c r="AB135" i="21"/>
  <c r="AA135" i="21"/>
  <c r="AB134" i="21"/>
  <c r="AA134" i="21"/>
  <c r="AB133" i="21"/>
  <c r="AA133" i="21"/>
  <c r="AB132" i="21"/>
  <c r="AA132" i="21"/>
  <c r="AB131" i="21"/>
  <c r="AA131" i="21"/>
  <c r="AB130" i="21"/>
  <c r="AA130" i="21"/>
  <c r="AB129" i="21"/>
  <c r="AA129" i="21"/>
  <c r="AB128" i="21"/>
  <c r="AA128" i="21"/>
  <c r="AB127" i="21"/>
  <c r="AA127" i="21"/>
  <c r="AB126" i="21"/>
  <c r="AA126" i="21"/>
  <c r="AB125" i="21"/>
  <c r="AA125" i="21"/>
  <c r="AB124" i="21"/>
  <c r="AA124" i="21"/>
  <c r="AB123" i="21"/>
  <c r="AA123" i="21"/>
  <c r="AB122" i="21"/>
  <c r="AA122" i="21"/>
  <c r="AB121" i="21"/>
  <c r="AA121" i="21"/>
  <c r="AB120" i="21"/>
  <c r="AA120" i="21"/>
  <c r="AB119" i="21"/>
  <c r="AA119" i="21"/>
  <c r="AB118" i="21"/>
  <c r="AA118" i="21"/>
  <c r="AB117" i="21"/>
  <c r="AA117" i="21"/>
  <c r="AB116" i="21"/>
  <c r="AA116" i="21"/>
  <c r="AB115" i="21"/>
  <c r="AA115" i="21"/>
  <c r="AB114" i="21"/>
  <c r="AA114" i="21"/>
  <c r="AB113" i="21"/>
  <c r="AA113" i="21"/>
  <c r="AB112" i="21"/>
  <c r="AA112" i="21"/>
  <c r="AB111" i="21"/>
  <c r="AA111" i="21"/>
  <c r="AB110" i="21"/>
  <c r="AA110" i="21"/>
  <c r="AB109" i="21"/>
  <c r="AA109" i="21"/>
  <c r="AB108" i="21"/>
  <c r="AA108" i="21"/>
  <c r="AB107" i="21"/>
  <c r="AA107" i="21"/>
  <c r="AB106" i="21"/>
  <c r="AA106" i="21"/>
  <c r="AB105" i="21"/>
  <c r="AA105" i="21"/>
  <c r="AB104" i="21"/>
  <c r="AA104" i="21"/>
  <c r="AB103" i="21"/>
  <c r="AA103" i="21"/>
  <c r="AB102" i="21"/>
  <c r="AA102" i="21"/>
  <c r="AB101" i="21"/>
  <c r="AA101" i="21"/>
  <c r="AB100" i="21"/>
  <c r="AA100" i="21"/>
  <c r="AB99" i="21"/>
  <c r="AA99" i="21"/>
  <c r="AB38" i="21"/>
  <c r="AA38" i="21"/>
  <c r="AB37" i="21"/>
  <c r="AA37" i="21"/>
  <c r="AB36" i="21"/>
  <c r="AA36" i="21"/>
  <c r="AB35" i="21"/>
  <c r="AA35" i="21"/>
  <c r="AB34" i="21"/>
  <c r="AA34" i="21"/>
  <c r="AB33" i="21"/>
  <c r="AA33" i="21"/>
  <c r="AB32" i="21"/>
  <c r="AA32" i="21"/>
  <c r="AB31" i="21"/>
  <c r="AA31" i="21"/>
  <c r="AB30" i="21"/>
  <c r="AA30" i="21"/>
  <c r="AB29" i="21"/>
  <c r="AA29" i="21"/>
  <c r="AB28" i="21"/>
  <c r="AA28" i="21"/>
  <c r="AB27" i="21"/>
  <c r="AA27" i="21"/>
  <c r="AB26" i="21"/>
  <c r="AA26" i="21"/>
  <c r="AB25" i="21"/>
  <c r="AA25" i="21"/>
  <c r="AB24" i="21"/>
  <c r="AA24" i="21"/>
  <c r="AB23" i="21"/>
  <c r="AA23" i="21"/>
  <c r="AB22" i="21"/>
  <c r="AA22" i="21"/>
  <c r="AB21" i="21"/>
  <c r="AA21" i="21"/>
  <c r="AB20" i="21"/>
  <c r="AA20" i="21"/>
  <c r="AB19" i="21"/>
  <c r="AA19" i="21"/>
  <c r="AB18" i="21"/>
  <c r="AA18" i="21"/>
  <c r="AB17" i="21"/>
  <c r="AA17" i="21"/>
  <c r="AB16" i="21"/>
  <c r="AA16" i="21"/>
  <c r="AB15" i="21"/>
  <c r="AA15" i="21"/>
  <c r="AB14" i="21"/>
  <c r="AA14" i="21"/>
  <c r="AB13" i="21"/>
  <c r="AA13" i="21"/>
  <c r="AB12" i="21"/>
  <c r="AA12" i="21"/>
  <c r="AB11" i="21"/>
  <c r="AA11" i="21"/>
  <c r="AB10" i="21"/>
  <c r="AA10" i="21"/>
  <c r="AB9" i="21"/>
  <c r="AA9" i="21"/>
  <c r="AB8" i="21"/>
  <c r="AA8" i="21"/>
  <c r="F7" i="10"/>
  <c r="G7" i="10" s="1"/>
  <c r="H7" i="10" s="1"/>
  <c r="I7" i="10" s="1"/>
  <c r="J7" i="10" s="1"/>
  <c r="K7" i="10" s="1"/>
  <c r="L7" i="10" s="1"/>
  <c r="M7" i="10" s="1"/>
  <c r="AA44" i="21" l="1"/>
  <c r="AA60" i="21"/>
  <c r="AB56" i="21"/>
  <c r="AG56" i="21" s="1"/>
  <c r="AB47" i="21"/>
  <c r="AG47" i="21" s="1"/>
  <c r="AB63" i="21"/>
  <c r="AG63" i="21" s="1"/>
  <c r="AA48" i="21"/>
  <c r="AB64" i="21"/>
  <c r="AG64" i="21" s="1"/>
  <c r="AB43" i="21"/>
  <c r="AG43" i="21" s="1"/>
  <c r="AB49" i="21"/>
  <c r="AG49" i="21" s="1"/>
  <c r="AA65" i="21"/>
  <c r="AA40" i="21"/>
  <c r="AB50" i="21"/>
  <c r="AG50" i="21" s="1"/>
  <c r="AB67" i="21"/>
  <c r="AG67" i="21" s="1"/>
  <c r="AB58" i="21"/>
  <c r="AG58" i="21" s="1"/>
  <c r="AB59" i="21"/>
  <c r="AG59" i="21" s="1"/>
  <c r="AB46" i="21"/>
  <c r="AG46" i="21" s="1"/>
  <c r="AA68" i="21"/>
  <c r="AA53" i="21"/>
  <c r="AA69" i="21"/>
  <c r="AB41" i="21"/>
  <c r="AG41" i="21" s="1"/>
  <c r="AB61" i="21"/>
  <c r="AG61" i="21" s="1"/>
  <c r="AB66" i="21"/>
  <c r="AG66" i="21" s="1"/>
  <c r="AB54" i="21"/>
  <c r="AG54" i="21" s="1"/>
  <c r="AB70" i="21"/>
  <c r="AG70" i="21" s="1"/>
  <c r="AA57" i="21"/>
  <c r="AB42" i="21"/>
  <c r="AG42" i="21" s="1"/>
  <c r="AB62" i="21"/>
  <c r="AG62" i="21" s="1"/>
  <c r="AA39" i="21"/>
  <c r="AB55" i="21"/>
  <c r="AG55" i="21" s="1"/>
  <c r="AB71" i="21"/>
  <c r="AG71" i="21" s="1"/>
  <c r="AB48" i="21"/>
  <c r="AG48" i="21" s="1"/>
  <c r="AB44" i="21"/>
  <c r="AG44" i="21" s="1"/>
  <c r="AA54" i="21"/>
  <c r="AB53" i="21"/>
  <c r="AG53" i="21" s="1"/>
  <c r="AA56" i="21"/>
  <c r="AB60" i="21"/>
  <c r="AG60" i="21" s="1"/>
  <c r="AB69" i="21"/>
  <c r="AA70" i="21"/>
  <c r="AB68" i="21"/>
  <c r="AB40" i="21"/>
  <c r="AA71" i="21"/>
  <c r="AA49" i="21"/>
  <c r="AA52" i="21"/>
  <c r="AA55" i="21"/>
  <c r="AB39" i="21"/>
  <c r="AA63" i="21"/>
  <c r="AA46" i="21"/>
  <c r="AA47" i="21"/>
  <c r="AA64" i="21"/>
  <c r="AA61" i="21"/>
  <c r="AA45" i="21"/>
  <c r="AA62" i="21"/>
  <c r="AA41" i="21"/>
  <c r="AB57" i="21"/>
  <c r="AB65" i="21"/>
  <c r="AA42" i="21"/>
  <c r="AA50" i="21"/>
  <c r="AA58" i="21"/>
  <c r="AA66" i="21"/>
  <c r="AA43" i="21"/>
  <c r="AA51" i="21"/>
  <c r="AA59" i="21"/>
  <c r="AA67" i="21"/>
  <c r="AG68" i="21" l="1"/>
  <c r="AG69" i="21"/>
  <c r="AG39" i="21"/>
  <c r="AG65" i="21"/>
  <c r="AG57" i="21"/>
  <c r="AG40" i="21"/>
  <c r="J32" i="12"/>
  <c r="J31" i="12"/>
  <c r="J26" i="12"/>
  <c r="A71" i="21" l="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Q3" i="12" l="1"/>
  <c r="BI150" i="12"/>
  <c r="BJ150" i="12" s="1"/>
  <c r="BI149" i="12"/>
  <c r="BJ149" i="12" s="1"/>
  <c r="BI148" i="12"/>
  <c r="BJ148" i="12" s="1"/>
  <c r="BI147" i="12"/>
  <c r="BJ147" i="12" s="1"/>
  <c r="BI146" i="12"/>
  <c r="BJ146" i="12" s="1"/>
  <c r="BI145" i="12"/>
  <c r="BJ145" i="12" s="1"/>
  <c r="BI144" i="12"/>
  <c r="BJ144" i="12" s="1"/>
  <c r="BI143" i="12"/>
  <c r="BJ143" i="12" s="1"/>
  <c r="BI142" i="12"/>
  <c r="BJ142" i="12" s="1"/>
  <c r="BI141" i="12"/>
  <c r="BJ141" i="12" s="1"/>
  <c r="BI140" i="12"/>
  <c r="BJ140" i="12" s="1"/>
  <c r="BI139" i="12"/>
  <c r="BJ139" i="12" s="1"/>
  <c r="BI138" i="12"/>
  <c r="BJ138" i="12" s="1"/>
  <c r="BI137" i="12"/>
  <c r="BJ137" i="12" s="1"/>
  <c r="BI136" i="12"/>
  <c r="BJ136" i="12" s="1"/>
  <c r="BI135" i="12"/>
  <c r="BJ135" i="12" s="1"/>
  <c r="BI134" i="12"/>
  <c r="BJ134" i="12" s="1"/>
  <c r="BI133" i="12"/>
  <c r="BJ133" i="12" s="1"/>
  <c r="BI132" i="12"/>
  <c r="BJ132" i="12" s="1"/>
  <c r="BI131" i="12"/>
  <c r="BJ131" i="12" s="1"/>
  <c r="BI130" i="12"/>
  <c r="BJ130" i="12" s="1"/>
  <c r="BI129" i="12"/>
  <c r="BJ129" i="12" s="1"/>
  <c r="BI128" i="12"/>
  <c r="BJ128" i="12" s="1"/>
  <c r="BI127" i="12"/>
  <c r="BJ127" i="12" s="1"/>
  <c r="BI126" i="12"/>
  <c r="BJ126" i="12" s="1"/>
  <c r="BI125" i="12"/>
  <c r="BJ125" i="12" s="1"/>
  <c r="BI124" i="12"/>
  <c r="BJ124" i="12" s="1"/>
  <c r="BI123" i="12"/>
  <c r="BJ123" i="12" s="1"/>
  <c r="BI122" i="12"/>
  <c r="BJ122" i="12" s="1"/>
  <c r="I35" i="23" a="1"/>
  <c r="I35" i="23" s="1"/>
  <c r="I34" i="23" a="1"/>
  <c r="I34" i="23" s="1"/>
  <c r="I33" i="23" a="1"/>
  <c r="I33" i="23" s="1"/>
  <c r="I32" i="23" a="1"/>
  <c r="I32" i="23" s="1"/>
  <c r="I31" i="23" a="1"/>
  <c r="I31" i="23" s="1"/>
  <c r="I30" i="23" a="1"/>
  <c r="I30" i="23" s="1"/>
  <c r="I29" i="23" a="1"/>
  <c r="I29" i="23" s="1"/>
  <c r="I28" i="23" a="1"/>
  <c r="I28" i="23" s="1"/>
  <c r="I27" i="23" a="1"/>
  <c r="I27" i="23" s="1"/>
  <c r="I26" i="23" a="1"/>
  <c r="I26" i="23" s="1"/>
  <c r="I25" i="23" a="1"/>
  <c r="I25" i="23" s="1"/>
  <c r="I24" i="23" a="1"/>
  <c r="I24" i="23" s="1"/>
  <c r="I23" i="23" a="1"/>
  <c r="I23" i="23" s="1"/>
  <c r="I22" i="23" a="1"/>
  <c r="I22" i="23" s="1"/>
  <c r="I21" i="23" a="1"/>
  <c r="I21" i="23" s="1"/>
  <c r="I20" i="23" a="1"/>
  <c r="I20" i="23" s="1"/>
  <c r="I19" i="23" a="1"/>
  <c r="I19" i="23" s="1"/>
  <c r="I18" i="23" a="1"/>
  <c r="I18" i="23" s="1"/>
  <c r="I17" i="23" a="1"/>
  <c r="I17" i="23" s="1"/>
  <c r="I16" i="23" a="1"/>
  <c r="I16" i="23" s="1"/>
  <c r="I15" i="23" a="1"/>
  <c r="I15" i="23" s="1"/>
  <c r="I14" i="23" a="1"/>
  <c r="I14" i="23" s="1"/>
  <c r="I13" i="23" a="1"/>
  <c r="I13" i="23" s="1"/>
  <c r="I12" i="23" a="1"/>
  <c r="I12" i="23" s="1"/>
  <c r="I11" i="23" a="1"/>
  <c r="I11" i="23" s="1"/>
  <c r="I10" i="23" a="1"/>
  <c r="I10" i="23" s="1"/>
  <c r="I9" i="23" a="1"/>
  <c r="I9" i="23" s="1"/>
  <c r="I8" i="23" a="1"/>
  <c r="I8" i="23" s="1"/>
  <c r="I7" i="23" a="1"/>
  <c r="I7" i="23" s="1"/>
  <c r="I6" i="23" a="1"/>
  <c r="I6" i="23" s="1"/>
  <c r="I5" i="23" a="1"/>
  <c r="I5" i="23" s="1"/>
  <c r="I4" i="23" a="1"/>
  <c r="I4" i="23" s="1"/>
  <c r="I3" i="23" a="1"/>
  <c r="I3" i="23" s="1"/>
  <c r="I2" i="23" a="1"/>
  <c r="I2" i="23" s="1"/>
  <c r="A38" i="21" l="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BI146" i="21"/>
  <c r="BI143" i="21"/>
  <c r="BI142" i="21"/>
  <c r="BI141" i="21"/>
  <c r="BI137" i="21"/>
  <c r="BI135" i="21"/>
  <c r="BI132" i="21"/>
  <c r="BI127" i="21"/>
  <c r="BI126" i="21"/>
  <c r="BI125" i="21"/>
  <c r="BI120" i="21"/>
  <c r="BI119" i="21"/>
  <c r="BI109" i="21"/>
  <c r="BI108" i="21"/>
  <c r="BI103" i="21"/>
  <c r="BI150" i="21"/>
  <c r="BI149" i="21"/>
  <c r="BI148" i="21"/>
  <c r="BI147" i="21"/>
  <c r="BI145" i="21"/>
  <c r="BI144" i="21"/>
  <c r="BI140" i="21"/>
  <c r="BI139" i="21"/>
  <c r="BI138" i="21"/>
  <c r="BI136" i="21"/>
  <c r="BI134" i="21"/>
  <c r="BI133" i="21"/>
  <c r="BI131" i="21"/>
  <c r="BI130" i="21"/>
  <c r="BI129" i="21"/>
  <c r="BI128" i="21"/>
  <c r="BI124" i="21"/>
  <c r="BI123" i="21"/>
  <c r="BI122" i="21"/>
  <c r="BI121" i="21"/>
  <c r="BI118" i="21"/>
  <c r="BI117" i="21"/>
  <c r="BI116" i="21"/>
  <c r="BI115" i="21"/>
  <c r="BI114" i="21"/>
  <c r="BI113" i="21"/>
  <c r="BI112" i="21"/>
  <c r="BI111" i="21"/>
  <c r="BI110" i="21"/>
  <c r="BI107" i="21"/>
  <c r="BI106" i="21"/>
  <c r="BI105" i="21"/>
  <c r="BI104" i="21"/>
  <c r="BI102" i="21"/>
  <c r="BI101" i="21"/>
  <c r="BI100" i="21"/>
  <c r="BI99" i="21"/>
  <c r="BF37" i="13"/>
  <c r="BE37" i="13"/>
  <c r="BD37" i="13"/>
  <c r="BC37" i="13"/>
  <c r="BB37" i="13"/>
  <c r="BA37" i="13"/>
  <c r="AZ37" i="13"/>
  <c r="AY37" i="13"/>
  <c r="AX37" i="13"/>
  <c r="BA10" i="22"/>
  <c r="BA9" i="22"/>
  <c r="BA8" i="22"/>
  <c r="BA7" i="22"/>
  <c r="BA6" i="22"/>
  <c r="BA5" i="22"/>
  <c r="BA4" i="22"/>
  <c r="BA3" i="22"/>
  <c r="BU10" i="22"/>
  <c r="BT10" i="22"/>
  <c r="BS10" i="22"/>
  <c r="BR10" i="22"/>
  <c r="BQ10" i="22"/>
  <c r="BP10" i="22"/>
  <c r="BO10" i="22"/>
  <c r="BN10" i="22"/>
  <c r="BM10" i="22"/>
  <c r="BU9" i="22"/>
  <c r="BT9" i="22"/>
  <c r="BS9" i="22"/>
  <c r="BR9" i="22"/>
  <c r="BQ9" i="22"/>
  <c r="BP9" i="22"/>
  <c r="BO9" i="22"/>
  <c r="BN9" i="22"/>
  <c r="BM9" i="22"/>
  <c r="BU8" i="22"/>
  <c r="BT8" i="22"/>
  <c r="BS8" i="22"/>
  <c r="BR8" i="22"/>
  <c r="BQ8" i="22"/>
  <c r="BP8" i="22"/>
  <c r="BO8" i="22"/>
  <c r="BN8" i="22"/>
  <c r="BM8" i="22"/>
  <c r="BU7" i="22"/>
  <c r="BT7" i="22"/>
  <c r="BS7" i="22"/>
  <c r="BR7" i="22"/>
  <c r="BQ7" i="22"/>
  <c r="BP7" i="22"/>
  <c r="BO7" i="22"/>
  <c r="BN7" i="22"/>
  <c r="BM7" i="22"/>
  <c r="BU6" i="22"/>
  <c r="BT6" i="22"/>
  <c r="BS6" i="22"/>
  <c r="BR6" i="22"/>
  <c r="BQ6" i="22"/>
  <c r="BP6" i="22"/>
  <c r="BO6" i="22"/>
  <c r="BN6" i="22"/>
  <c r="BM6" i="22"/>
  <c r="BU4" i="22"/>
  <c r="BT4" i="22"/>
  <c r="BS4" i="22"/>
  <c r="BR4" i="22"/>
  <c r="BQ4" i="22"/>
  <c r="BP4" i="22"/>
  <c r="BO4" i="22"/>
  <c r="BN4" i="22"/>
  <c r="BM4" i="22"/>
  <c r="BU3" i="22"/>
  <c r="BT3" i="22"/>
  <c r="BS3" i="22"/>
  <c r="BR3" i="22"/>
  <c r="BQ3" i="22"/>
  <c r="BP3" i="22"/>
  <c r="BO3" i="22"/>
  <c r="BN3" i="22"/>
  <c r="BM3" i="22"/>
  <c r="BL11" i="22" l="1"/>
  <c r="BL5" i="22" l="1"/>
  <c r="AU5" i="22" l="1"/>
  <c r="AQ5" i="22" l="1"/>
  <c r="AR5" i="22"/>
  <c r="AT5" i="22"/>
  <c r="AV3" i="22"/>
  <c r="AS4" i="22"/>
  <c r="AX4" i="22"/>
  <c r="AU6" i="22"/>
  <c r="AV5" i="22"/>
  <c r="AW5" i="22"/>
  <c r="AX8" i="22"/>
  <c r="AX5" i="22"/>
  <c r="AU4" i="22"/>
  <c r="AT4" i="22"/>
  <c r="AY5" i="22"/>
  <c r="AY8" i="22"/>
  <c r="AV6" i="22"/>
  <c r="AR8" i="22"/>
  <c r="AQ9" i="22"/>
  <c r="AY9" i="22"/>
  <c r="AX9" i="22"/>
  <c r="AD9" i="22"/>
  <c r="AS9" i="22" s="1"/>
  <c r="AW9" i="22"/>
  <c r="AV9" i="22"/>
  <c r="AU9" i="22"/>
  <c r="AT9" i="22"/>
  <c r="AR9" i="22"/>
  <c r="AT10" i="22"/>
  <c r="AX10" i="22"/>
  <c r="AS10" i="22"/>
  <c r="AQ10" i="22"/>
  <c r="AW10" i="22"/>
  <c r="AA10" i="22"/>
  <c r="AR10" i="22" s="1"/>
  <c r="AY10" i="22"/>
  <c r="AV10" i="22"/>
  <c r="AU10" i="22"/>
  <c r="AQ6" i="22"/>
  <c r="AW6" i="22"/>
  <c r="AQ3" i="22"/>
  <c r="AW3" i="22"/>
  <c r="AX6" i="22"/>
  <c r="AU8" i="22"/>
  <c r="AX3" i="22"/>
  <c r="AT8" i="22"/>
  <c r="AY6" i="22"/>
  <c r="AS8" i="22"/>
  <c r="AY3" i="22"/>
  <c r="AV4" i="22"/>
  <c r="AS5" i="22"/>
  <c r="AR6" i="22"/>
  <c r="AR3" i="22"/>
  <c r="AQ4" i="22"/>
  <c r="AW4" i="22"/>
  <c r="AT6" i="22"/>
  <c r="AV8" i="22"/>
  <c r="AT3" i="22"/>
  <c r="AS6" i="22"/>
  <c r="AU3" i="22"/>
  <c r="AY4" i="22"/>
  <c r="AS3" i="22"/>
  <c r="AR4" i="22"/>
  <c r="AQ8" i="22"/>
  <c r="AW8" i="22"/>
  <c r="BK10" i="13"/>
  <c r="AP5" i="22" l="1"/>
  <c r="AP3" i="22"/>
  <c r="BL7" i="22"/>
  <c r="AP7" i="22"/>
  <c r="AP8" i="22"/>
  <c r="BL8" i="22"/>
  <c r="AP9" i="22"/>
  <c r="BL9" i="22"/>
  <c r="AP6" i="22"/>
  <c r="BL6" i="22"/>
  <c r="BL4" i="22"/>
  <c r="AP4" i="22"/>
  <c r="BL10" i="22"/>
  <c r="AP10" i="22"/>
  <c r="BM4" i="13"/>
  <c r="BL4" i="13"/>
  <c r="BK4" i="13"/>
  <c r="AW97" i="13"/>
  <c r="AW96" i="13"/>
  <c r="AW95" i="13"/>
  <c r="AW94" i="13"/>
  <c r="AW93" i="13"/>
  <c r="AW92" i="13"/>
  <c r="AW91" i="13"/>
  <c r="AW90" i="13"/>
  <c r="AW89" i="13"/>
  <c r="AW88" i="13"/>
  <c r="AW87" i="13"/>
  <c r="AW86" i="13"/>
  <c r="AW85" i="13"/>
  <c r="AW84" i="13"/>
  <c r="AW83" i="13"/>
  <c r="AW82" i="13"/>
  <c r="AW81" i="13"/>
  <c r="AW80" i="13"/>
  <c r="AW79" i="13"/>
  <c r="AW78" i="13"/>
  <c r="AW77" i="13"/>
  <c r="AW76" i="13"/>
  <c r="AW75" i="13"/>
  <c r="AW74" i="13"/>
  <c r="AW73" i="13"/>
  <c r="AW72" i="13"/>
  <c r="AW71" i="13"/>
  <c r="AW70" i="13"/>
  <c r="AW69" i="13"/>
  <c r="AW68" i="13"/>
  <c r="AW67" i="13"/>
  <c r="AW66" i="13"/>
  <c r="AW65" i="13"/>
  <c r="AW64" i="13"/>
  <c r="AW63" i="13"/>
  <c r="AW62" i="13"/>
  <c r="AW61" i="13"/>
  <c r="AW60" i="13"/>
  <c r="AW59" i="13"/>
  <c r="AW58" i="13"/>
  <c r="AW57" i="13"/>
  <c r="AW56" i="13"/>
  <c r="AW55" i="13"/>
  <c r="AW54" i="13"/>
  <c r="AW53" i="13"/>
  <c r="AW52" i="13"/>
  <c r="AW51" i="13"/>
  <c r="AW50" i="13"/>
  <c r="AW49" i="13"/>
  <c r="AW48" i="13"/>
  <c r="AW47" i="13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BL3" i="22" l="1"/>
  <c r="BL1" i="22" s="1"/>
  <c r="BL10" i="13"/>
  <c r="BL11" i="13" s="1"/>
  <c r="BM10" i="13"/>
  <c r="BM11" i="13" s="1"/>
  <c r="BK11" i="13"/>
  <c r="AH103" i="13" l="1"/>
  <c r="AG103" i="13"/>
  <c r="AF103" i="13"/>
  <c r="AE103" i="13"/>
  <c r="AD103" i="13"/>
  <c r="AC103" i="13"/>
  <c r="AB103" i="13"/>
  <c r="AA103" i="13"/>
  <c r="Z103" i="13"/>
  <c r="Y103" i="13" s="1"/>
  <c r="AJ97" i="13"/>
  <c r="AK97" i="13" s="1"/>
  <c r="AJ96" i="13"/>
  <c r="AK96" i="13" s="1"/>
  <c r="AJ95" i="13"/>
  <c r="AK95" i="13" s="1"/>
  <c r="AJ94" i="13"/>
  <c r="AK94" i="13" s="1"/>
  <c r="AJ93" i="13"/>
  <c r="AK93" i="13" s="1"/>
  <c r="AJ92" i="13"/>
  <c r="AK92" i="13" s="1"/>
  <c r="AJ91" i="13"/>
  <c r="AK91" i="13" s="1"/>
  <c r="AJ90" i="13"/>
  <c r="AK90" i="13" s="1"/>
  <c r="AJ89" i="13"/>
  <c r="AK89" i="13" s="1"/>
  <c r="AJ88" i="13"/>
  <c r="AK88" i="13" s="1"/>
  <c r="AJ87" i="13"/>
  <c r="AK87" i="13" s="1"/>
  <c r="AJ86" i="13"/>
  <c r="AK86" i="13" s="1"/>
  <c r="AJ85" i="13"/>
  <c r="AK85" i="13" s="1"/>
  <c r="AJ84" i="13"/>
  <c r="AK84" i="13" s="1"/>
  <c r="AJ83" i="13"/>
  <c r="AK83" i="13" s="1"/>
  <c r="AJ82" i="13"/>
  <c r="AK82" i="13" s="1"/>
  <c r="AJ81" i="13"/>
  <c r="AK81" i="13" s="1"/>
  <c r="AJ80" i="13"/>
  <c r="AK80" i="13" s="1"/>
  <c r="AJ79" i="13"/>
  <c r="AK79" i="13" s="1"/>
  <c r="AJ78" i="13"/>
  <c r="AK78" i="13" s="1"/>
  <c r="AJ77" i="13"/>
  <c r="AK77" i="13" s="1"/>
  <c r="AJ76" i="13"/>
  <c r="AK76" i="13" s="1"/>
  <c r="AJ75" i="13"/>
  <c r="AK75" i="13" s="1"/>
  <c r="AJ74" i="13"/>
  <c r="AK74" i="13" s="1"/>
  <c r="AJ73" i="13"/>
  <c r="AK73" i="13" s="1"/>
  <c r="AJ72" i="13"/>
  <c r="AK72" i="13" s="1"/>
  <c r="AJ71" i="13"/>
  <c r="AK71" i="13" s="1"/>
  <c r="AJ70" i="13"/>
  <c r="AK70" i="13" s="1"/>
  <c r="AJ69" i="13"/>
  <c r="AK69" i="13" s="1"/>
  <c r="AJ68" i="13"/>
  <c r="AK68" i="13" s="1"/>
  <c r="AJ67" i="13"/>
  <c r="AK67" i="13" s="1"/>
  <c r="AJ66" i="13"/>
  <c r="AK66" i="13" s="1"/>
  <c r="AJ65" i="13"/>
  <c r="AK65" i="13" s="1"/>
  <c r="AJ64" i="13"/>
  <c r="AK64" i="13" s="1"/>
  <c r="AJ63" i="13"/>
  <c r="AK63" i="13" s="1"/>
  <c r="AJ62" i="13"/>
  <c r="AK62" i="13" s="1"/>
  <c r="AJ61" i="13"/>
  <c r="AK61" i="13" s="1"/>
  <c r="AJ60" i="13"/>
  <c r="AK60" i="13" s="1"/>
  <c r="AJ59" i="13"/>
  <c r="AK59" i="13" s="1"/>
  <c r="AJ58" i="13"/>
  <c r="AK58" i="13" s="1"/>
  <c r="AJ57" i="13"/>
  <c r="AK57" i="13" s="1"/>
  <c r="AJ56" i="13"/>
  <c r="AK56" i="13" s="1"/>
  <c r="AJ55" i="13"/>
  <c r="AK55" i="13" s="1"/>
  <c r="AJ54" i="13"/>
  <c r="AK54" i="13" s="1"/>
  <c r="AJ53" i="13"/>
  <c r="AK53" i="13" s="1"/>
  <c r="AJ52" i="13"/>
  <c r="AK52" i="13" s="1"/>
  <c r="AJ51" i="13"/>
  <c r="AK51" i="13" s="1"/>
  <c r="AJ50" i="13"/>
  <c r="AK50" i="13" s="1"/>
  <c r="AJ49" i="13"/>
  <c r="AK49" i="13" s="1"/>
  <c r="AJ48" i="13"/>
  <c r="AK48" i="13" s="1"/>
  <c r="AH46" i="13"/>
  <c r="BF46" i="13" s="1"/>
  <c r="AG46" i="13"/>
  <c r="BE46" i="13" s="1"/>
  <c r="AF46" i="13"/>
  <c r="BD46" i="13" s="1"/>
  <c r="AE46" i="13"/>
  <c r="BC46" i="13" s="1"/>
  <c r="AD46" i="13"/>
  <c r="BB46" i="13" s="1"/>
  <c r="AC46" i="13"/>
  <c r="BA46" i="13" s="1"/>
  <c r="AB46" i="13"/>
  <c r="AZ46" i="13" s="1"/>
  <c r="AA46" i="13"/>
  <c r="AY46" i="13" s="1"/>
  <c r="Z46" i="13"/>
  <c r="AX46" i="13" s="1"/>
  <c r="AH45" i="13"/>
  <c r="BF45" i="13" s="1"/>
  <c r="AG45" i="13"/>
  <c r="BE45" i="13" s="1"/>
  <c r="AF45" i="13"/>
  <c r="BD45" i="13" s="1"/>
  <c r="AE45" i="13"/>
  <c r="BC45" i="13" s="1"/>
  <c r="AD45" i="13"/>
  <c r="BB45" i="13" s="1"/>
  <c r="AC45" i="13"/>
  <c r="BA45" i="13" s="1"/>
  <c r="AB45" i="13"/>
  <c r="AZ45" i="13" s="1"/>
  <c r="AA45" i="13"/>
  <c r="AY45" i="13" s="1"/>
  <c r="Z45" i="13"/>
  <c r="AX45" i="13" s="1"/>
  <c r="AH44" i="13"/>
  <c r="BF44" i="13" s="1"/>
  <c r="AG44" i="13"/>
  <c r="BE44" i="13" s="1"/>
  <c r="AF44" i="13"/>
  <c r="BD44" i="13" s="1"/>
  <c r="AE44" i="13"/>
  <c r="BC44" i="13" s="1"/>
  <c r="AD44" i="13"/>
  <c r="BB44" i="13" s="1"/>
  <c r="AC44" i="13"/>
  <c r="BA44" i="13" s="1"/>
  <c r="AB44" i="13"/>
  <c r="AZ44" i="13" s="1"/>
  <c r="AA44" i="13"/>
  <c r="AY44" i="13" s="1"/>
  <c r="Z44" i="13"/>
  <c r="AX44" i="13" s="1"/>
  <c r="AH43" i="13"/>
  <c r="BF43" i="13" s="1"/>
  <c r="AG43" i="13"/>
  <c r="BE43" i="13" s="1"/>
  <c r="AF43" i="13"/>
  <c r="BD43" i="13" s="1"/>
  <c r="AE43" i="13"/>
  <c r="BC43" i="13" s="1"/>
  <c r="AD43" i="13"/>
  <c r="BB43" i="13" s="1"/>
  <c r="AC43" i="13"/>
  <c r="BA43" i="13" s="1"/>
  <c r="AB43" i="13"/>
  <c r="AZ43" i="13" s="1"/>
  <c r="AA43" i="13"/>
  <c r="AY43" i="13" s="1"/>
  <c r="Z43" i="13"/>
  <c r="AX43" i="13" s="1"/>
  <c r="AH42" i="13"/>
  <c r="BF42" i="13" s="1"/>
  <c r="AG42" i="13"/>
  <c r="BE42" i="13" s="1"/>
  <c r="AF42" i="13"/>
  <c r="BD42" i="13" s="1"/>
  <c r="AE42" i="13"/>
  <c r="BC42" i="13" s="1"/>
  <c r="AD42" i="13"/>
  <c r="BB42" i="13" s="1"/>
  <c r="AC42" i="13"/>
  <c r="BA42" i="13" s="1"/>
  <c r="AB42" i="13"/>
  <c r="AZ42" i="13" s="1"/>
  <c r="AA42" i="13"/>
  <c r="AY42" i="13" s="1"/>
  <c r="Z42" i="13"/>
  <c r="AX42" i="13" s="1"/>
  <c r="AH41" i="13"/>
  <c r="BF41" i="13" s="1"/>
  <c r="AG41" i="13"/>
  <c r="BE41" i="13" s="1"/>
  <c r="AF41" i="13"/>
  <c r="BD41" i="13" s="1"/>
  <c r="AE41" i="13"/>
  <c r="BC41" i="13" s="1"/>
  <c r="AD41" i="13"/>
  <c r="BB41" i="13" s="1"/>
  <c r="AC41" i="13"/>
  <c r="BA41" i="13" s="1"/>
  <c r="AB41" i="13"/>
  <c r="AZ41" i="13" s="1"/>
  <c r="AA41" i="13"/>
  <c r="AY41" i="13" s="1"/>
  <c r="Z41" i="13"/>
  <c r="AX41" i="13" s="1"/>
  <c r="AH40" i="13"/>
  <c r="BF40" i="13" s="1"/>
  <c r="AG40" i="13"/>
  <c r="BE40" i="13" s="1"/>
  <c r="AF40" i="13"/>
  <c r="BD40" i="13" s="1"/>
  <c r="AE40" i="13"/>
  <c r="BC40" i="13" s="1"/>
  <c r="AD40" i="13"/>
  <c r="BB40" i="13" s="1"/>
  <c r="AC40" i="13"/>
  <c r="BA40" i="13" s="1"/>
  <c r="AB40" i="13"/>
  <c r="AZ40" i="13" s="1"/>
  <c r="AA40" i="13"/>
  <c r="AY40" i="13" s="1"/>
  <c r="Z40" i="13"/>
  <c r="AH39" i="13"/>
  <c r="BF39" i="13" s="1"/>
  <c r="AG39" i="13"/>
  <c r="BE39" i="13" s="1"/>
  <c r="AF39" i="13"/>
  <c r="BD39" i="13" s="1"/>
  <c r="AE39" i="13"/>
  <c r="BC39" i="13" s="1"/>
  <c r="AD39" i="13"/>
  <c r="BB39" i="13" s="1"/>
  <c r="AC39" i="13"/>
  <c r="BA39" i="13" s="1"/>
  <c r="AB39" i="13"/>
  <c r="AZ39" i="13" s="1"/>
  <c r="AA39" i="13"/>
  <c r="AY39" i="13" s="1"/>
  <c r="Z39" i="13"/>
  <c r="AX39" i="13" s="1"/>
  <c r="AH38" i="13"/>
  <c r="BF38" i="13" s="1"/>
  <c r="AG38" i="13"/>
  <c r="BE38" i="13" s="1"/>
  <c r="AF38" i="13"/>
  <c r="BD38" i="13" s="1"/>
  <c r="AE38" i="13"/>
  <c r="BC38" i="13" s="1"/>
  <c r="AD38" i="13"/>
  <c r="BB38" i="13" s="1"/>
  <c r="AC38" i="13"/>
  <c r="BA38" i="13" s="1"/>
  <c r="AB38" i="13"/>
  <c r="AZ38" i="13" s="1"/>
  <c r="AA38" i="13"/>
  <c r="AY38" i="13" s="1"/>
  <c r="Z38" i="13"/>
  <c r="AX38" i="13" s="1"/>
  <c r="AH37" i="13"/>
  <c r="AG37" i="13"/>
  <c r="AF37" i="13"/>
  <c r="AE37" i="13"/>
  <c r="AD37" i="13"/>
  <c r="AC37" i="13"/>
  <c r="AB37" i="13"/>
  <c r="AA37" i="13"/>
  <c r="Z37" i="13"/>
  <c r="AH36" i="13"/>
  <c r="BF36" i="13" s="1"/>
  <c r="AG36" i="13"/>
  <c r="BE36" i="13" s="1"/>
  <c r="AF36" i="13"/>
  <c r="BD36" i="13" s="1"/>
  <c r="AE36" i="13"/>
  <c r="BC36" i="13" s="1"/>
  <c r="AD36" i="13"/>
  <c r="BB36" i="13" s="1"/>
  <c r="AC36" i="13"/>
  <c r="BA36" i="13" s="1"/>
  <c r="AB36" i="13"/>
  <c r="AZ36" i="13" s="1"/>
  <c r="AA36" i="13"/>
  <c r="AY36" i="13" s="1"/>
  <c r="Z36" i="13"/>
  <c r="AX36" i="13" s="1"/>
  <c r="AH35" i="13"/>
  <c r="BF35" i="13" s="1"/>
  <c r="AG35" i="13"/>
  <c r="BE35" i="13" s="1"/>
  <c r="AF35" i="13"/>
  <c r="BD35" i="13" s="1"/>
  <c r="AE35" i="13"/>
  <c r="BC35" i="13" s="1"/>
  <c r="AD35" i="13"/>
  <c r="BB35" i="13" s="1"/>
  <c r="AC35" i="13"/>
  <c r="BA35" i="13" s="1"/>
  <c r="AB35" i="13"/>
  <c r="AZ35" i="13" s="1"/>
  <c r="AA35" i="13"/>
  <c r="AY35" i="13" s="1"/>
  <c r="Z35" i="13"/>
  <c r="AX35" i="13" s="1"/>
  <c r="AH34" i="13"/>
  <c r="BF34" i="13" s="1"/>
  <c r="AG34" i="13"/>
  <c r="BE34" i="13" s="1"/>
  <c r="AF34" i="13"/>
  <c r="BD34" i="13" s="1"/>
  <c r="AE34" i="13"/>
  <c r="BC34" i="13" s="1"/>
  <c r="AD34" i="13"/>
  <c r="BB34" i="13" s="1"/>
  <c r="AC34" i="13"/>
  <c r="BA34" i="13" s="1"/>
  <c r="AB34" i="13"/>
  <c r="AZ34" i="13" s="1"/>
  <c r="AA34" i="13"/>
  <c r="AY34" i="13" s="1"/>
  <c r="Z34" i="13"/>
  <c r="AX34" i="13" s="1"/>
  <c r="AH33" i="13"/>
  <c r="BF33" i="13" s="1"/>
  <c r="AG33" i="13"/>
  <c r="BE33" i="13" s="1"/>
  <c r="AF33" i="13"/>
  <c r="BD33" i="13" s="1"/>
  <c r="AE33" i="13"/>
  <c r="BC33" i="13" s="1"/>
  <c r="AD33" i="13"/>
  <c r="BB33" i="13" s="1"/>
  <c r="AC33" i="13"/>
  <c r="BA33" i="13" s="1"/>
  <c r="AB33" i="13"/>
  <c r="AZ33" i="13" s="1"/>
  <c r="AA33" i="13"/>
  <c r="AY33" i="13" s="1"/>
  <c r="Z33" i="13"/>
  <c r="AH32" i="13"/>
  <c r="BF32" i="13" s="1"/>
  <c r="AG32" i="13"/>
  <c r="BE32" i="13" s="1"/>
  <c r="AF32" i="13"/>
  <c r="BD32" i="13" s="1"/>
  <c r="AE32" i="13"/>
  <c r="BC32" i="13" s="1"/>
  <c r="AD32" i="13"/>
  <c r="BB32" i="13" s="1"/>
  <c r="AC32" i="13"/>
  <c r="BA32" i="13" s="1"/>
  <c r="AB32" i="13"/>
  <c r="AZ32" i="13" s="1"/>
  <c r="AA32" i="13"/>
  <c r="AY32" i="13" s="1"/>
  <c r="Z32" i="13"/>
  <c r="AX32" i="13" s="1"/>
  <c r="AH31" i="13"/>
  <c r="BF31" i="13" s="1"/>
  <c r="AG31" i="13"/>
  <c r="BE31" i="13" s="1"/>
  <c r="AF31" i="13"/>
  <c r="BD31" i="13" s="1"/>
  <c r="AE31" i="13"/>
  <c r="BC31" i="13" s="1"/>
  <c r="AD31" i="13"/>
  <c r="BB31" i="13" s="1"/>
  <c r="AC31" i="13"/>
  <c r="BA31" i="13" s="1"/>
  <c r="AB31" i="13"/>
  <c r="AZ31" i="13" s="1"/>
  <c r="AA31" i="13"/>
  <c r="AY31" i="13" s="1"/>
  <c r="Z31" i="13"/>
  <c r="AX31" i="13" s="1"/>
  <c r="AH30" i="13"/>
  <c r="BF30" i="13" s="1"/>
  <c r="AG30" i="13"/>
  <c r="BE30" i="13" s="1"/>
  <c r="AF30" i="13"/>
  <c r="BD30" i="13" s="1"/>
  <c r="AE30" i="13"/>
  <c r="BC30" i="13" s="1"/>
  <c r="AD30" i="13"/>
  <c r="BB30" i="13" s="1"/>
  <c r="AC30" i="13"/>
  <c r="BA30" i="13" s="1"/>
  <c r="AB30" i="13"/>
  <c r="AZ30" i="13" s="1"/>
  <c r="AA30" i="13"/>
  <c r="AY30" i="13" s="1"/>
  <c r="Z30" i="13"/>
  <c r="AX30" i="13" s="1"/>
  <c r="AH29" i="13"/>
  <c r="BF29" i="13" s="1"/>
  <c r="AG29" i="13"/>
  <c r="BE29" i="13" s="1"/>
  <c r="AF29" i="13"/>
  <c r="BD29" i="13" s="1"/>
  <c r="AE29" i="13"/>
  <c r="BC29" i="13" s="1"/>
  <c r="AD29" i="13"/>
  <c r="BB29" i="13" s="1"/>
  <c r="AC29" i="13"/>
  <c r="BA29" i="13" s="1"/>
  <c r="AB29" i="13"/>
  <c r="AZ29" i="13" s="1"/>
  <c r="AA29" i="13"/>
  <c r="AY29" i="13" s="1"/>
  <c r="Z29" i="13"/>
  <c r="AX29" i="13" s="1"/>
  <c r="AH28" i="13"/>
  <c r="AG28" i="13"/>
  <c r="AF28" i="13"/>
  <c r="AE28" i="13"/>
  <c r="AD28" i="13"/>
  <c r="AC28" i="13"/>
  <c r="AB28" i="13"/>
  <c r="AA28" i="13"/>
  <c r="Z28" i="13"/>
  <c r="AH27" i="13"/>
  <c r="BF27" i="13" s="1"/>
  <c r="AG27" i="13"/>
  <c r="BE27" i="13" s="1"/>
  <c r="AF27" i="13"/>
  <c r="BD27" i="13" s="1"/>
  <c r="AE27" i="13"/>
  <c r="BC27" i="13" s="1"/>
  <c r="AD27" i="13"/>
  <c r="BB27" i="13" s="1"/>
  <c r="AC27" i="13"/>
  <c r="BA27" i="13" s="1"/>
  <c r="AB27" i="13"/>
  <c r="AZ27" i="13" s="1"/>
  <c r="AA27" i="13"/>
  <c r="AY27" i="13" s="1"/>
  <c r="Z27" i="13"/>
  <c r="AX27" i="13" s="1"/>
  <c r="AH26" i="13"/>
  <c r="BF26" i="13" s="1"/>
  <c r="AG26" i="13"/>
  <c r="BE26" i="13" s="1"/>
  <c r="AF26" i="13"/>
  <c r="BD26" i="13" s="1"/>
  <c r="AE26" i="13"/>
  <c r="BC26" i="13" s="1"/>
  <c r="AD26" i="13"/>
  <c r="BB26" i="13" s="1"/>
  <c r="AC26" i="13"/>
  <c r="BA26" i="13" s="1"/>
  <c r="AB26" i="13"/>
  <c r="AZ26" i="13" s="1"/>
  <c r="AA26" i="13"/>
  <c r="AY26" i="13" s="1"/>
  <c r="Z26" i="13"/>
  <c r="AX26" i="13" s="1"/>
  <c r="AH25" i="13"/>
  <c r="BF25" i="13" s="1"/>
  <c r="AG25" i="13"/>
  <c r="BE25" i="13" s="1"/>
  <c r="AF25" i="13"/>
  <c r="BD25" i="13" s="1"/>
  <c r="AE25" i="13"/>
  <c r="BC25" i="13" s="1"/>
  <c r="AD25" i="13"/>
  <c r="BB25" i="13" s="1"/>
  <c r="AC25" i="13"/>
  <c r="BA25" i="13" s="1"/>
  <c r="AB25" i="13"/>
  <c r="AZ25" i="13" s="1"/>
  <c r="AA25" i="13"/>
  <c r="AY25" i="13" s="1"/>
  <c r="Z25" i="13"/>
  <c r="AX25" i="13" s="1"/>
  <c r="AH24" i="13"/>
  <c r="BF24" i="13" s="1"/>
  <c r="AG24" i="13"/>
  <c r="BE24" i="13" s="1"/>
  <c r="AF24" i="13"/>
  <c r="BD24" i="13" s="1"/>
  <c r="AE24" i="13"/>
  <c r="BC24" i="13" s="1"/>
  <c r="AD24" i="13"/>
  <c r="BB24" i="13" s="1"/>
  <c r="AC24" i="13"/>
  <c r="BA24" i="13" s="1"/>
  <c r="AB24" i="13"/>
  <c r="AZ24" i="13" s="1"/>
  <c r="AA24" i="13"/>
  <c r="AY24" i="13" s="1"/>
  <c r="Z24" i="13"/>
  <c r="AX24" i="13" s="1"/>
  <c r="AH23" i="13"/>
  <c r="BF23" i="13" s="1"/>
  <c r="AG23" i="13"/>
  <c r="BE23" i="13" s="1"/>
  <c r="AF23" i="13"/>
  <c r="BD23" i="13" s="1"/>
  <c r="AE23" i="13"/>
  <c r="BC23" i="13" s="1"/>
  <c r="AD23" i="13"/>
  <c r="BB23" i="13" s="1"/>
  <c r="AC23" i="13"/>
  <c r="BA23" i="13" s="1"/>
  <c r="AB23" i="13"/>
  <c r="AZ23" i="13" s="1"/>
  <c r="AA23" i="13"/>
  <c r="AY23" i="13" s="1"/>
  <c r="Z23" i="13"/>
  <c r="AX23" i="13" s="1"/>
  <c r="AH22" i="13"/>
  <c r="BF22" i="13" s="1"/>
  <c r="AG22" i="13"/>
  <c r="BE22" i="13" s="1"/>
  <c r="AF22" i="13"/>
  <c r="BD22" i="13" s="1"/>
  <c r="AE22" i="13"/>
  <c r="BC22" i="13" s="1"/>
  <c r="AD22" i="13"/>
  <c r="BB22" i="13" s="1"/>
  <c r="AC22" i="13"/>
  <c r="BA22" i="13" s="1"/>
  <c r="AB22" i="13"/>
  <c r="AZ22" i="13" s="1"/>
  <c r="AA22" i="13"/>
  <c r="AY22" i="13" s="1"/>
  <c r="Z22" i="13"/>
  <c r="AX22" i="13" s="1"/>
  <c r="AH21" i="13"/>
  <c r="BF21" i="13" s="1"/>
  <c r="AG21" i="13"/>
  <c r="BE21" i="13" s="1"/>
  <c r="AF21" i="13"/>
  <c r="BD21" i="13" s="1"/>
  <c r="AE21" i="13"/>
  <c r="BC21" i="13" s="1"/>
  <c r="AD21" i="13"/>
  <c r="BB21" i="13" s="1"/>
  <c r="AC21" i="13"/>
  <c r="BA21" i="13" s="1"/>
  <c r="AB21" i="13"/>
  <c r="AZ21" i="13" s="1"/>
  <c r="AA21" i="13"/>
  <c r="AY21" i="13" s="1"/>
  <c r="Z21" i="13"/>
  <c r="AX21" i="13" s="1"/>
  <c r="AH20" i="13"/>
  <c r="BF20" i="13" s="1"/>
  <c r="AG20" i="13"/>
  <c r="BE20" i="13" s="1"/>
  <c r="AF20" i="13"/>
  <c r="BD20" i="13" s="1"/>
  <c r="AE20" i="13"/>
  <c r="BC20" i="13" s="1"/>
  <c r="AD20" i="13"/>
  <c r="BB20" i="13" s="1"/>
  <c r="AC20" i="13"/>
  <c r="BA20" i="13" s="1"/>
  <c r="AB20" i="13"/>
  <c r="AZ20" i="13" s="1"/>
  <c r="AA20" i="13"/>
  <c r="AY20" i="13" s="1"/>
  <c r="Z20" i="13"/>
  <c r="AX20" i="13" s="1"/>
  <c r="AH19" i="13"/>
  <c r="BF19" i="13" s="1"/>
  <c r="AG19" i="13"/>
  <c r="BE19" i="13" s="1"/>
  <c r="AF19" i="13"/>
  <c r="BD19" i="13" s="1"/>
  <c r="AE19" i="13"/>
  <c r="BC19" i="13" s="1"/>
  <c r="AD19" i="13"/>
  <c r="BB19" i="13" s="1"/>
  <c r="AC19" i="13"/>
  <c r="BA19" i="13" s="1"/>
  <c r="AB19" i="13"/>
  <c r="AZ19" i="13" s="1"/>
  <c r="AA19" i="13"/>
  <c r="AY19" i="13" s="1"/>
  <c r="Z19" i="13"/>
  <c r="AX19" i="13" s="1"/>
  <c r="AH18" i="13"/>
  <c r="BF18" i="13" s="1"/>
  <c r="AG18" i="13"/>
  <c r="BE18" i="13" s="1"/>
  <c r="AF18" i="13"/>
  <c r="BD18" i="13" s="1"/>
  <c r="AE18" i="13"/>
  <c r="BC18" i="13" s="1"/>
  <c r="AD18" i="13"/>
  <c r="BB18" i="13" s="1"/>
  <c r="AC18" i="13"/>
  <c r="BA18" i="13" s="1"/>
  <c r="AB18" i="13"/>
  <c r="AZ18" i="13" s="1"/>
  <c r="AA18" i="13"/>
  <c r="AY18" i="13" s="1"/>
  <c r="Z18" i="13"/>
  <c r="AX18" i="13" s="1"/>
  <c r="AH17" i="13"/>
  <c r="BF17" i="13" s="1"/>
  <c r="AG17" i="13"/>
  <c r="BE17" i="13" s="1"/>
  <c r="AF17" i="13"/>
  <c r="BD17" i="13" s="1"/>
  <c r="AE17" i="13"/>
  <c r="BC17" i="13" s="1"/>
  <c r="AD17" i="13"/>
  <c r="BB17" i="13" s="1"/>
  <c r="AC17" i="13"/>
  <c r="BA17" i="13" s="1"/>
  <c r="AB17" i="13"/>
  <c r="AZ17" i="13" s="1"/>
  <c r="AA17" i="13"/>
  <c r="AY17" i="13" s="1"/>
  <c r="Z17" i="13"/>
  <c r="AX17" i="13" s="1"/>
  <c r="AH16" i="13"/>
  <c r="BF16" i="13" s="1"/>
  <c r="AG16" i="13"/>
  <c r="BE16" i="13" s="1"/>
  <c r="AF16" i="13"/>
  <c r="BD16" i="13" s="1"/>
  <c r="AE16" i="13"/>
  <c r="BC16" i="13" s="1"/>
  <c r="AD16" i="13"/>
  <c r="BB16" i="13" s="1"/>
  <c r="AC16" i="13"/>
  <c r="BA16" i="13" s="1"/>
  <c r="AB16" i="13"/>
  <c r="AZ16" i="13" s="1"/>
  <c r="AA16" i="13"/>
  <c r="AY16" i="13" s="1"/>
  <c r="Z16" i="13"/>
  <c r="AX16" i="13" s="1"/>
  <c r="AH15" i="13"/>
  <c r="BF15" i="13" s="1"/>
  <c r="AG15" i="13"/>
  <c r="BE15" i="13" s="1"/>
  <c r="AF15" i="13"/>
  <c r="BD15" i="13" s="1"/>
  <c r="AE15" i="13"/>
  <c r="BC15" i="13" s="1"/>
  <c r="AD15" i="13"/>
  <c r="BB15" i="13" s="1"/>
  <c r="AC15" i="13"/>
  <c r="BA15" i="13" s="1"/>
  <c r="AB15" i="13"/>
  <c r="AZ15" i="13" s="1"/>
  <c r="AA15" i="13"/>
  <c r="AY15" i="13" s="1"/>
  <c r="Z15" i="13"/>
  <c r="AX15" i="13" s="1"/>
  <c r="AH14" i="13"/>
  <c r="BF14" i="13" s="1"/>
  <c r="AG14" i="13"/>
  <c r="BE14" i="13" s="1"/>
  <c r="AF14" i="13"/>
  <c r="BD14" i="13" s="1"/>
  <c r="AE14" i="13"/>
  <c r="BC14" i="13" s="1"/>
  <c r="AD14" i="13"/>
  <c r="BB14" i="13" s="1"/>
  <c r="AC14" i="13"/>
  <c r="BA14" i="13" s="1"/>
  <c r="AB14" i="13"/>
  <c r="AZ14" i="13" s="1"/>
  <c r="AA14" i="13"/>
  <c r="AY14" i="13" s="1"/>
  <c r="Z14" i="13"/>
  <c r="AX14" i="13" s="1"/>
  <c r="AH13" i="13"/>
  <c r="BF13" i="13" s="1"/>
  <c r="AG13" i="13"/>
  <c r="BE13" i="13" s="1"/>
  <c r="AF13" i="13"/>
  <c r="BD13" i="13" s="1"/>
  <c r="AE13" i="13"/>
  <c r="BC13" i="13" s="1"/>
  <c r="AD13" i="13"/>
  <c r="BB13" i="13" s="1"/>
  <c r="AC13" i="13"/>
  <c r="BA13" i="13" s="1"/>
  <c r="AB13" i="13"/>
  <c r="AZ13" i="13" s="1"/>
  <c r="AA13" i="13"/>
  <c r="AY13" i="13" s="1"/>
  <c r="Z13" i="13"/>
  <c r="AX13" i="13" s="1"/>
  <c r="AH12" i="13"/>
  <c r="BF12" i="13" s="1"/>
  <c r="AG12" i="13"/>
  <c r="BE12" i="13" s="1"/>
  <c r="AF12" i="13"/>
  <c r="BD12" i="13" s="1"/>
  <c r="AE12" i="13"/>
  <c r="BC12" i="13" s="1"/>
  <c r="AD12" i="13"/>
  <c r="BB12" i="13" s="1"/>
  <c r="AC12" i="13"/>
  <c r="BA12" i="13" s="1"/>
  <c r="AB12" i="13"/>
  <c r="AZ12" i="13" s="1"/>
  <c r="AA12" i="13"/>
  <c r="AY12" i="13" s="1"/>
  <c r="Z12" i="13"/>
  <c r="AX12" i="13" s="1"/>
  <c r="AH11" i="13"/>
  <c r="BF11" i="13" s="1"/>
  <c r="AG11" i="13"/>
  <c r="BE11" i="13" s="1"/>
  <c r="AF11" i="13"/>
  <c r="BD11" i="13" s="1"/>
  <c r="AE11" i="13"/>
  <c r="BC11" i="13" s="1"/>
  <c r="AD11" i="13"/>
  <c r="BB11" i="13" s="1"/>
  <c r="AC11" i="13"/>
  <c r="BA11" i="13" s="1"/>
  <c r="AB11" i="13"/>
  <c r="AZ11" i="13" s="1"/>
  <c r="AA11" i="13"/>
  <c r="AY11" i="13" s="1"/>
  <c r="Z11" i="13"/>
  <c r="AX11" i="13" s="1"/>
  <c r="AH10" i="13"/>
  <c r="BF10" i="13" s="1"/>
  <c r="AG10" i="13"/>
  <c r="BE10" i="13" s="1"/>
  <c r="AF10" i="13"/>
  <c r="BD10" i="13" s="1"/>
  <c r="AE10" i="13"/>
  <c r="BC10" i="13" s="1"/>
  <c r="AD10" i="13"/>
  <c r="BB10" i="13" s="1"/>
  <c r="AC10" i="13"/>
  <c r="BA10" i="13" s="1"/>
  <c r="AB10" i="13"/>
  <c r="AZ10" i="13" s="1"/>
  <c r="AA10" i="13"/>
  <c r="AY10" i="13" s="1"/>
  <c r="Z10" i="13"/>
  <c r="AX10" i="13" s="1"/>
  <c r="AH9" i="13"/>
  <c r="BF9" i="13" s="1"/>
  <c r="AG9" i="13"/>
  <c r="BE9" i="13" s="1"/>
  <c r="AF9" i="13"/>
  <c r="BD9" i="13" s="1"/>
  <c r="AE9" i="13"/>
  <c r="BC9" i="13" s="1"/>
  <c r="AD9" i="13"/>
  <c r="BB9" i="13" s="1"/>
  <c r="AC9" i="13"/>
  <c r="BA9" i="13" s="1"/>
  <c r="AB9" i="13"/>
  <c r="AZ9" i="13" s="1"/>
  <c r="AA9" i="13"/>
  <c r="AY9" i="13" s="1"/>
  <c r="Z9" i="13"/>
  <c r="AX9" i="13" s="1"/>
  <c r="AH8" i="13"/>
  <c r="BF8" i="13" s="1"/>
  <c r="AG8" i="13"/>
  <c r="BE8" i="13" s="1"/>
  <c r="AF8" i="13"/>
  <c r="BD8" i="13" s="1"/>
  <c r="AE8" i="13"/>
  <c r="BC8" i="13" s="1"/>
  <c r="AD8" i="13"/>
  <c r="BB8" i="13" s="1"/>
  <c r="AC8" i="13"/>
  <c r="BA8" i="13" s="1"/>
  <c r="AB8" i="13"/>
  <c r="AZ8" i="13" s="1"/>
  <c r="AA8" i="13"/>
  <c r="AY8" i="13" s="1"/>
  <c r="Z8" i="13"/>
  <c r="AX8" i="13" s="1"/>
  <c r="AH7" i="13"/>
  <c r="BF7" i="13" s="1"/>
  <c r="AG7" i="13"/>
  <c r="BE7" i="13" s="1"/>
  <c r="AF7" i="13"/>
  <c r="BD7" i="13" s="1"/>
  <c r="AE7" i="13"/>
  <c r="BC7" i="13" s="1"/>
  <c r="AD7" i="13"/>
  <c r="BB7" i="13" s="1"/>
  <c r="AC7" i="13"/>
  <c r="BA7" i="13" s="1"/>
  <c r="AB7" i="13"/>
  <c r="AZ7" i="13" s="1"/>
  <c r="AA7" i="13"/>
  <c r="AY7" i="13" s="1"/>
  <c r="Z7" i="13"/>
  <c r="AX7" i="13" s="1"/>
  <c r="AH6" i="13"/>
  <c r="BF6" i="13" s="1"/>
  <c r="BF28" i="13" s="1"/>
  <c r="AG6" i="13"/>
  <c r="BE6" i="13" s="1"/>
  <c r="BE28" i="13" s="1"/>
  <c r="AF6" i="13"/>
  <c r="BD6" i="13" s="1"/>
  <c r="BD28" i="13" s="1"/>
  <c r="AE6" i="13"/>
  <c r="BC6" i="13" s="1"/>
  <c r="BC28" i="13" s="1"/>
  <c r="AD6" i="13"/>
  <c r="BB6" i="13" s="1"/>
  <c r="BB28" i="13" s="1"/>
  <c r="AC6" i="13"/>
  <c r="BA6" i="13" s="1"/>
  <c r="BA28" i="13" s="1"/>
  <c r="AB6" i="13"/>
  <c r="AZ6" i="13" s="1"/>
  <c r="AZ28" i="13" s="1"/>
  <c r="AA6" i="13"/>
  <c r="AY6" i="13" s="1"/>
  <c r="AY28" i="13" s="1"/>
  <c r="Z6" i="13"/>
  <c r="AX6" i="13" s="1"/>
  <c r="AX28" i="13" s="1"/>
  <c r="AH5" i="13"/>
  <c r="BF5" i="13" s="1"/>
  <c r="AG5" i="13"/>
  <c r="BE5" i="13" s="1"/>
  <c r="AF5" i="13"/>
  <c r="BD5" i="13" s="1"/>
  <c r="AE5" i="13"/>
  <c r="BC5" i="13" s="1"/>
  <c r="AD5" i="13"/>
  <c r="BB5" i="13" s="1"/>
  <c r="AC5" i="13"/>
  <c r="BA5" i="13" s="1"/>
  <c r="AB5" i="13"/>
  <c r="AZ5" i="13" s="1"/>
  <c r="AA5" i="13"/>
  <c r="AY5" i="13" s="1"/>
  <c r="Z5" i="13"/>
  <c r="AX5" i="13" s="1"/>
  <c r="AH4" i="13"/>
  <c r="BF4" i="13" s="1"/>
  <c r="AG4" i="13"/>
  <c r="BE4" i="13" s="1"/>
  <c r="AF4" i="13"/>
  <c r="BD4" i="13" s="1"/>
  <c r="AE4" i="13"/>
  <c r="BC4" i="13" s="1"/>
  <c r="AD4" i="13"/>
  <c r="BB4" i="13" s="1"/>
  <c r="AC4" i="13"/>
  <c r="BA4" i="13" s="1"/>
  <c r="AB4" i="13"/>
  <c r="AZ4" i="13" s="1"/>
  <c r="AA4" i="13"/>
  <c r="AY4" i="13" s="1"/>
  <c r="Z4" i="13"/>
  <c r="AX4" i="13" s="1"/>
  <c r="AW4" i="13" l="1"/>
  <c r="AW31" i="13"/>
  <c r="AW38" i="13"/>
  <c r="AW9" i="13"/>
  <c r="AW15" i="13"/>
  <c r="AW23" i="13"/>
  <c r="AW29" i="13"/>
  <c r="AW39" i="13"/>
  <c r="AW41" i="13"/>
  <c r="AW43" i="13"/>
  <c r="AW45" i="13"/>
  <c r="AW6" i="13"/>
  <c r="AW7" i="13"/>
  <c r="AW11" i="13"/>
  <c r="AW13" i="13"/>
  <c r="AW20" i="13"/>
  <c r="AW22" i="13"/>
  <c r="AW25" i="13"/>
  <c r="AW27" i="13"/>
  <c r="AW36" i="13"/>
  <c r="AW8" i="13"/>
  <c r="AW24" i="13"/>
  <c r="Y40" i="13"/>
  <c r="AX40" i="13"/>
  <c r="AW40" i="13" s="1"/>
  <c r="AW17" i="13"/>
  <c r="Y33" i="13"/>
  <c r="AX33" i="13"/>
  <c r="AW33" i="13" s="1"/>
  <c r="AW10" i="13"/>
  <c r="AW26" i="13"/>
  <c r="AW42" i="13"/>
  <c r="AW19" i="13"/>
  <c r="AW35" i="13"/>
  <c r="AW12" i="13"/>
  <c r="AW28" i="13"/>
  <c r="AW44" i="13"/>
  <c r="AW5" i="13"/>
  <c r="AW21" i="13"/>
  <c r="AW37" i="13"/>
  <c r="AW14" i="13"/>
  <c r="AW30" i="13"/>
  <c r="AW46" i="13"/>
  <c r="AW16" i="13"/>
  <c r="AW32" i="13"/>
  <c r="AW18" i="13"/>
  <c r="AW34" i="13"/>
  <c r="Y29" i="13"/>
  <c r="Y31" i="13"/>
  <c r="Y38" i="13"/>
  <c r="Y45" i="13"/>
  <c r="Y18" i="13"/>
  <c r="Y22" i="13"/>
  <c r="Y5" i="13"/>
  <c r="Y8" i="13"/>
  <c r="Y14" i="13"/>
  <c r="Y16" i="13"/>
  <c r="Y23" i="13"/>
  <c r="Y25" i="13"/>
  <c r="Y43" i="13"/>
  <c r="Y11" i="13"/>
  <c r="Y13" i="13"/>
  <c r="Y21" i="13"/>
  <c r="Y7" i="13"/>
  <c r="Y44" i="13"/>
  <c r="Y37" i="13"/>
  <c r="Y10" i="13"/>
  <c r="Y27" i="13"/>
  <c r="Y36" i="13"/>
  <c r="Y39" i="13"/>
  <c r="Y41" i="13"/>
  <c r="Y42" i="13"/>
  <c r="Y35" i="13"/>
  <c r="Y28" i="13"/>
  <c r="Y15" i="13"/>
  <c r="Y9" i="13"/>
  <c r="Y12" i="13"/>
  <c r="Y24" i="13"/>
  <c r="Y20" i="13"/>
  <c r="Y30" i="13"/>
  <c r="Y26" i="13"/>
  <c r="Y46" i="13"/>
  <c r="Y6" i="13"/>
  <c r="Y19" i="13"/>
  <c r="Y34" i="13"/>
  <c r="Y4" i="13"/>
  <c r="Y32" i="13"/>
  <c r="Y17" i="13"/>
  <c r="AX144" i="12" l="1"/>
  <c r="AW144" i="12"/>
  <c r="AW143" i="12"/>
  <c r="AU150" i="12"/>
  <c r="AU149" i="12"/>
  <c r="AU148" i="12"/>
  <c r="AU147" i="12"/>
  <c r="AU146" i="12"/>
  <c r="AU145" i="12"/>
  <c r="AU144" i="12"/>
  <c r="AU143" i="12"/>
  <c r="AU142" i="12"/>
  <c r="AU141" i="12"/>
  <c r="AU140" i="12"/>
  <c r="AU139" i="12"/>
  <c r="AU138" i="12"/>
  <c r="AU137" i="12"/>
  <c r="AU136" i="12"/>
  <c r="AU135" i="12"/>
  <c r="AU134" i="12"/>
  <c r="AU133" i="12"/>
  <c r="AU132" i="12"/>
  <c r="AU131" i="12"/>
  <c r="AU130" i="12"/>
  <c r="AU129" i="12"/>
  <c r="AU128" i="12"/>
  <c r="AU127" i="12"/>
  <c r="AU126" i="12"/>
  <c r="AU125" i="12"/>
  <c r="AU124" i="12"/>
  <c r="AU123" i="12"/>
  <c r="AU122" i="12"/>
  <c r="AU46" i="12"/>
  <c r="AU45" i="12"/>
  <c r="AU44" i="12"/>
  <c r="AU43" i="12"/>
  <c r="AU42" i="12"/>
  <c r="AU41" i="12"/>
  <c r="AU40" i="12"/>
  <c r="AU39" i="12"/>
  <c r="AU38" i="12"/>
  <c r="AU37" i="12"/>
  <c r="AU36" i="12"/>
  <c r="AU35" i="12"/>
  <c r="AU34" i="12"/>
  <c r="AU33" i="12"/>
  <c r="AU32" i="12"/>
  <c r="AU31" i="12"/>
  <c r="AU30" i="12"/>
  <c r="AU29" i="12"/>
  <c r="AU28" i="12"/>
  <c r="AU27" i="12"/>
  <c r="AU26" i="12"/>
  <c r="AU25" i="12"/>
  <c r="AU24" i="12"/>
  <c r="AU23" i="12"/>
  <c r="AU22" i="12"/>
  <c r="AU21" i="12"/>
  <c r="AU20" i="12"/>
  <c r="AU19" i="12"/>
  <c r="AU18" i="12"/>
  <c r="AU17" i="12"/>
  <c r="AU16" i="12"/>
  <c r="AU15" i="12"/>
  <c r="AU14" i="12"/>
  <c r="AU13" i="12"/>
  <c r="AU12" i="12"/>
  <c r="AU11" i="12"/>
  <c r="AU10" i="12"/>
  <c r="AU9" i="12"/>
  <c r="AU8" i="12"/>
  <c r="BD46" i="12"/>
  <c r="BD44" i="12"/>
  <c r="BD43" i="12"/>
  <c r="BD42" i="12"/>
  <c r="BD41" i="12"/>
  <c r="BD40" i="12"/>
  <c r="BD39" i="12"/>
  <c r="BD38" i="12"/>
  <c r="BD37" i="12"/>
  <c r="BD36" i="12"/>
  <c r="BD35" i="12"/>
  <c r="BD34" i="12"/>
  <c r="BD33" i="12"/>
  <c r="BD32" i="12"/>
  <c r="BD31" i="12"/>
  <c r="BD30" i="12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14" i="12"/>
  <c r="BD13" i="12"/>
  <c r="BD12" i="12"/>
  <c r="BD11" i="12"/>
  <c r="BD10" i="12"/>
  <c r="BD9" i="12"/>
  <c r="BD8" i="12"/>
  <c r="AP141" i="12"/>
  <c r="AI150" i="12"/>
  <c r="AI149" i="12"/>
  <c r="AI148" i="12"/>
  <c r="AW148" i="12" s="1"/>
  <c r="AI147" i="12"/>
  <c r="AW147" i="12" s="1"/>
  <c r="AI146" i="12"/>
  <c r="AW146" i="12" s="1"/>
  <c r="AI145" i="12"/>
  <c r="AW145" i="12" s="1"/>
  <c r="AK144" i="12"/>
  <c r="AJ144" i="12"/>
  <c r="AI144" i="12"/>
  <c r="AL144" i="12" s="1"/>
  <c r="AI143" i="12"/>
  <c r="AQ143" i="12"/>
  <c r="AQ142" i="12"/>
  <c r="AQ141" i="12"/>
  <c r="AQ140" i="12"/>
  <c r="AQ139" i="12"/>
  <c r="AQ138" i="12"/>
  <c r="AQ136" i="12"/>
  <c r="AP134" i="12"/>
  <c r="AP133" i="12"/>
  <c r="AQ130" i="12"/>
  <c r="AQ129" i="12"/>
  <c r="AP128" i="12"/>
  <c r="AQ127" i="12"/>
  <c r="AP126" i="12"/>
  <c r="AQ125" i="12"/>
  <c r="AQ124" i="12"/>
  <c r="AQ123" i="12"/>
  <c r="AQ122" i="12"/>
  <c r="AP123" i="12" l="1"/>
  <c r="AP125" i="12"/>
  <c r="AQ134" i="12"/>
  <c r="AP139" i="12"/>
  <c r="AP142" i="12"/>
  <c r="AW149" i="12"/>
  <c r="AP143" i="12"/>
  <c r="AW150" i="12"/>
  <c r="AQ128" i="12"/>
  <c r="AP129" i="12"/>
  <c r="AP130" i="12"/>
  <c r="AQ126" i="12"/>
  <c r="AP127" i="12"/>
  <c r="AQ133" i="12"/>
  <c r="AQ135" i="12"/>
  <c r="AP135" i="12"/>
  <c r="AP122" i="12"/>
  <c r="AP138" i="12"/>
  <c r="AQ137" i="12"/>
  <c r="AP137" i="12"/>
  <c r="AP136" i="12"/>
  <c r="AQ131" i="12"/>
  <c r="AP131" i="12"/>
  <c r="AQ132" i="12"/>
  <c r="AP132" i="12"/>
  <c r="AP124" i="12"/>
  <c r="AP140" i="12"/>
  <c r="BD45" i="12"/>
  <c r="AZ144" i="12" l="1"/>
  <c r="AS150" i="12"/>
  <c r="AS149" i="12"/>
  <c r="AS148" i="12"/>
  <c r="AS147" i="12"/>
  <c r="AS146" i="12"/>
  <c r="AS145" i="12"/>
  <c r="AS144" i="12"/>
  <c r="AS143" i="12"/>
  <c r="AS142" i="12"/>
  <c r="AS141" i="12"/>
  <c r="AS140" i="12"/>
  <c r="AS139" i="12"/>
  <c r="AS138" i="12"/>
  <c r="AS137" i="12"/>
  <c r="AS136" i="12"/>
  <c r="AS135" i="12"/>
  <c r="AS134" i="12"/>
  <c r="AS133" i="12"/>
  <c r="AS132" i="12"/>
  <c r="AS131" i="12"/>
  <c r="AS130" i="12"/>
  <c r="AS129" i="12"/>
  <c r="AS128" i="12"/>
  <c r="AS127" i="12"/>
  <c r="AS126" i="12"/>
  <c r="AS125" i="12"/>
  <c r="AS124" i="12"/>
  <c r="AS123" i="12"/>
  <c r="AS122" i="12"/>
  <c r="AL128" i="21" l="1"/>
  <c r="AM128" i="21" l="1"/>
  <c r="BJ128" i="21"/>
  <c r="Z150" i="21" l="1"/>
  <c r="Z149" i="21"/>
  <c r="Z148" i="21"/>
  <c r="Z147" i="21"/>
  <c r="Z146" i="21"/>
  <c r="Z145" i="21"/>
  <c r="Z144" i="21"/>
  <c r="Z143" i="21"/>
  <c r="Z142" i="21"/>
  <c r="Z141" i="21"/>
  <c r="Z140" i="21"/>
  <c r="Z139" i="21"/>
  <c r="Z138" i="21"/>
  <c r="Z137" i="21"/>
  <c r="Z136" i="21"/>
  <c r="Z135" i="21"/>
  <c r="Z134" i="21"/>
  <c r="Z133" i="21"/>
  <c r="Z132" i="21"/>
  <c r="Z131" i="21"/>
  <c r="Z130" i="21"/>
  <c r="Z129" i="21"/>
  <c r="Z128" i="21"/>
  <c r="Z127" i="21"/>
  <c r="Z126" i="21"/>
  <c r="Z125" i="21"/>
  <c r="Z124" i="21"/>
  <c r="Z123" i="21"/>
  <c r="Z122" i="21"/>
  <c r="Z121" i="21"/>
  <c r="Z120" i="21"/>
  <c r="Z119" i="21"/>
  <c r="Z118" i="21"/>
  <c r="Z117" i="21"/>
  <c r="Z116" i="21"/>
  <c r="Z115" i="21"/>
  <c r="Z114" i="21"/>
  <c r="Z113" i="21"/>
  <c r="Z112" i="21"/>
  <c r="Z111" i="21"/>
  <c r="Z110" i="21"/>
  <c r="Z109" i="21"/>
  <c r="Z108" i="21"/>
  <c r="Z107" i="21"/>
  <c r="Z106" i="21"/>
  <c r="Z105" i="21"/>
  <c r="Z104" i="21"/>
  <c r="Z103" i="21"/>
  <c r="Z102" i="21"/>
  <c r="Z101" i="21"/>
  <c r="Z100" i="21"/>
  <c r="Z99" i="21"/>
  <c r="AD150" i="12"/>
  <c r="AF150" i="12"/>
  <c r="AK150" i="12" s="1"/>
  <c r="AE150" i="12"/>
  <c r="AJ150" i="12" s="1"/>
  <c r="AX150" i="12" s="1"/>
  <c r="AZ150" i="12" s="1"/>
  <c r="AF149" i="12"/>
  <c r="AK149" i="12" s="1"/>
  <c r="AE149" i="12"/>
  <c r="AJ149" i="12" s="1"/>
  <c r="AD149" i="12"/>
  <c r="AD148" i="12"/>
  <c r="AF148" i="12"/>
  <c r="AK148" i="12" s="1"/>
  <c r="AE148" i="12"/>
  <c r="AJ148" i="12" s="1"/>
  <c r="AX148" i="12" s="1"/>
  <c r="AZ148" i="12" s="1"/>
  <c r="AD147" i="12"/>
  <c r="AF147" i="12"/>
  <c r="AK147" i="12" s="1"/>
  <c r="AE147" i="12"/>
  <c r="AJ147" i="12" s="1"/>
  <c r="AD146" i="12"/>
  <c r="AF146" i="12"/>
  <c r="AK146" i="12" s="1"/>
  <c r="AE146" i="12"/>
  <c r="AJ146" i="12" s="1"/>
  <c r="AF145" i="12"/>
  <c r="AK145" i="12" s="1"/>
  <c r="AE145" i="12"/>
  <c r="AJ145" i="12" s="1"/>
  <c r="AD145" i="12"/>
  <c r="AD143" i="12"/>
  <c r="AF143" i="12"/>
  <c r="AK143" i="12" s="1"/>
  <c r="AE143" i="12"/>
  <c r="AJ143" i="12" s="1"/>
  <c r="AI142" i="12"/>
  <c r="AF142" i="12"/>
  <c r="AK142" i="12" s="1"/>
  <c r="AE142" i="12"/>
  <c r="AJ142" i="12" s="1"/>
  <c r="AX142" i="12" s="1"/>
  <c r="AI141" i="12"/>
  <c r="AF141" i="12"/>
  <c r="AK141" i="12" s="1"/>
  <c r="AE141" i="12"/>
  <c r="AJ141" i="12" s="1"/>
  <c r="AX141" i="12" s="1"/>
  <c r="AI140" i="12"/>
  <c r="AF140" i="12"/>
  <c r="AK140" i="12" s="1"/>
  <c r="AE140" i="12"/>
  <c r="AJ140" i="12" s="1"/>
  <c r="AX140" i="12" s="1"/>
  <c r="AI139" i="12"/>
  <c r="AF139" i="12"/>
  <c r="AK139" i="12" s="1"/>
  <c r="AE139" i="12"/>
  <c r="AJ139" i="12" s="1"/>
  <c r="AX139" i="12" s="1"/>
  <c r="AI138" i="12"/>
  <c r="AF138" i="12"/>
  <c r="AK138" i="12" s="1"/>
  <c r="AE138" i="12"/>
  <c r="AJ138" i="12" s="1"/>
  <c r="AX138" i="12" s="1"/>
  <c r="AI137" i="12"/>
  <c r="AF137" i="12"/>
  <c r="AK137" i="12" s="1"/>
  <c r="AE137" i="12"/>
  <c r="AJ137" i="12" s="1"/>
  <c r="AX137" i="12" s="1"/>
  <c r="AI136" i="12"/>
  <c r="AF136" i="12"/>
  <c r="AK136" i="12" s="1"/>
  <c r="AE136" i="12"/>
  <c r="AJ136" i="12" s="1"/>
  <c r="AX136" i="12" s="1"/>
  <c r="AI135" i="12"/>
  <c r="AF135" i="12"/>
  <c r="AK135" i="12" s="1"/>
  <c r="AE135" i="12"/>
  <c r="AJ135" i="12" s="1"/>
  <c r="AX135" i="12" s="1"/>
  <c r="AI134" i="12"/>
  <c r="AF134" i="12"/>
  <c r="AK134" i="12" s="1"/>
  <c r="AE134" i="12"/>
  <c r="AJ134" i="12" s="1"/>
  <c r="AX134" i="12" s="1"/>
  <c r="AI133" i="12"/>
  <c r="AF133" i="12"/>
  <c r="AK133" i="12" s="1"/>
  <c r="AE133" i="12"/>
  <c r="AJ133" i="12" s="1"/>
  <c r="AX133" i="12" s="1"/>
  <c r="AI132" i="12"/>
  <c r="AF132" i="12"/>
  <c r="AK132" i="12" s="1"/>
  <c r="AE132" i="12"/>
  <c r="AJ132" i="12" s="1"/>
  <c r="AX132" i="12" s="1"/>
  <c r="AI131" i="12"/>
  <c r="AF131" i="12"/>
  <c r="AK131" i="12" s="1"/>
  <c r="AE131" i="12"/>
  <c r="AJ131" i="12" s="1"/>
  <c r="AX131" i="12" s="1"/>
  <c r="AI130" i="12"/>
  <c r="AF130" i="12"/>
  <c r="AK130" i="12" s="1"/>
  <c r="AE130" i="12"/>
  <c r="AJ130" i="12" s="1"/>
  <c r="AX130" i="12" s="1"/>
  <c r="AI129" i="12"/>
  <c r="AF129" i="12"/>
  <c r="AK129" i="12" s="1"/>
  <c r="AE129" i="12"/>
  <c r="AJ129" i="12" s="1"/>
  <c r="AX129" i="12" s="1"/>
  <c r="AI128" i="12"/>
  <c r="AF128" i="12"/>
  <c r="AK128" i="12" s="1"/>
  <c r="AE128" i="12"/>
  <c r="AJ128" i="12" s="1"/>
  <c r="AX128" i="12" s="1"/>
  <c r="AI127" i="12"/>
  <c r="AF127" i="12"/>
  <c r="AK127" i="12" s="1"/>
  <c r="AE127" i="12"/>
  <c r="AJ127" i="12" s="1"/>
  <c r="AX127" i="12" s="1"/>
  <c r="AI126" i="12"/>
  <c r="AF126" i="12"/>
  <c r="AK126" i="12" s="1"/>
  <c r="AE126" i="12"/>
  <c r="AJ126" i="12" s="1"/>
  <c r="AX126" i="12" s="1"/>
  <c r="AI125" i="12"/>
  <c r="AF125" i="12"/>
  <c r="AK125" i="12" s="1"/>
  <c r="AE125" i="12"/>
  <c r="AJ125" i="12" s="1"/>
  <c r="AX125" i="12" s="1"/>
  <c r="AI124" i="12"/>
  <c r="AF124" i="12"/>
  <c r="AK124" i="12" s="1"/>
  <c r="AE124" i="12"/>
  <c r="AJ124" i="12" s="1"/>
  <c r="AX124" i="12" s="1"/>
  <c r="AI123" i="12"/>
  <c r="AF123" i="12"/>
  <c r="AK123" i="12" s="1"/>
  <c r="AE123" i="12"/>
  <c r="AJ123" i="12" s="1"/>
  <c r="AX123" i="12" s="1"/>
  <c r="AI122" i="12"/>
  <c r="AF122" i="12"/>
  <c r="AK122" i="12" s="1"/>
  <c r="AE122" i="12"/>
  <c r="AJ122" i="12" s="1"/>
  <c r="AX122" i="12" s="1"/>
  <c r="R150" i="12"/>
  <c r="R149" i="12"/>
  <c r="R148" i="12"/>
  <c r="R147" i="12"/>
  <c r="R146" i="12"/>
  <c r="R145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7" i="12"/>
  <c r="R126" i="12"/>
  <c r="R125" i="12"/>
  <c r="R124" i="12"/>
  <c r="R123" i="12"/>
  <c r="R122" i="12"/>
  <c r="AF150" i="21"/>
  <c r="AG150" i="21"/>
  <c r="AL150" i="21" s="1"/>
  <c r="AE150" i="21"/>
  <c r="AC128" i="21" l="1"/>
  <c r="AD122" i="12"/>
  <c r="AW122" i="12"/>
  <c r="AZ122" i="12" s="1"/>
  <c r="AD133" i="12"/>
  <c r="AW133" i="12"/>
  <c r="AZ133" i="12" s="1"/>
  <c r="AL145" i="12"/>
  <c r="AX145" i="12"/>
  <c r="AZ145" i="12" s="1"/>
  <c r="AD140" i="12"/>
  <c r="AW140" i="12"/>
  <c r="AZ140" i="12" s="1"/>
  <c r="AD138" i="12"/>
  <c r="AW138" i="12"/>
  <c r="AZ138" i="12" s="1"/>
  <c r="AD128" i="12"/>
  <c r="AW128" i="12"/>
  <c r="AZ128" i="12" s="1"/>
  <c r="AD139" i="12"/>
  <c r="AW139" i="12"/>
  <c r="AZ139" i="12" s="1"/>
  <c r="AL146" i="12"/>
  <c r="W146" i="12" s="1"/>
  <c r="AX146" i="12"/>
  <c r="AZ146" i="12" s="1"/>
  <c r="AL147" i="12"/>
  <c r="AX147" i="12"/>
  <c r="AZ147" i="12" s="1"/>
  <c r="AD123" i="12"/>
  <c r="AW123" i="12"/>
  <c r="AZ123" i="12" s="1"/>
  <c r="AD134" i="12"/>
  <c r="AW134" i="12"/>
  <c r="AZ134" i="12" s="1"/>
  <c r="AD141" i="12"/>
  <c r="AW141" i="12"/>
  <c r="AZ141" i="12" s="1"/>
  <c r="AD129" i="12"/>
  <c r="AW129" i="12"/>
  <c r="AZ129" i="12" s="1"/>
  <c r="AD130" i="12"/>
  <c r="AW130" i="12"/>
  <c r="AZ130" i="12" s="1"/>
  <c r="AD136" i="12"/>
  <c r="AW136" i="12"/>
  <c r="AZ136" i="12" s="1"/>
  <c r="AD124" i="12"/>
  <c r="AW124" i="12"/>
  <c r="AZ124" i="12" s="1"/>
  <c r="AD131" i="12"/>
  <c r="AW131" i="12"/>
  <c r="AZ131" i="12" s="1"/>
  <c r="AD135" i="12"/>
  <c r="AW135" i="12"/>
  <c r="AZ135" i="12" s="1"/>
  <c r="AD126" i="12"/>
  <c r="AW126" i="12"/>
  <c r="AZ126" i="12" s="1"/>
  <c r="AD142" i="12"/>
  <c r="AW142" i="12"/>
  <c r="AZ142" i="12" s="1"/>
  <c r="AD137" i="12"/>
  <c r="AW137" i="12"/>
  <c r="AZ137" i="12" s="1"/>
  <c r="AL143" i="12"/>
  <c r="W143" i="12" s="1"/>
  <c r="AX143" i="12"/>
  <c r="AZ143" i="12" s="1"/>
  <c r="AL149" i="12"/>
  <c r="W149" i="12" s="1"/>
  <c r="AX149" i="12"/>
  <c r="AZ149" i="12" s="1"/>
  <c r="AD125" i="12"/>
  <c r="AW125" i="12"/>
  <c r="AZ125" i="12" s="1"/>
  <c r="AD132" i="12"/>
  <c r="AW132" i="12"/>
  <c r="AZ132" i="12" s="1"/>
  <c r="AD127" i="12"/>
  <c r="AW127" i="12"/>
  <c r="AZ127" i="12" s="1"/>
  <c r="AM150" i="21"/>
  <c r="AC150" i="21" s="1"/>
  <c r="BJ150" i="21"/>
  <c r="AL148" i="12"/>
  <c r="W148" i="12" s="1"/>
  <c r="AL150" i="12"/>
  <c r="W150" i="12" s="1"/>
  <c r="AL138" i="12"/>
  <c r="W138" i="12" s="1"/>
  <c r="AL124" i="12"/>
  <c r="AL140" i="12"/>
  <c r="W140" i="12" s="1"/>
  <c r="AL131" i="12"/>
  <c r="W131" i="12" s="1"/>
  <c r="AL134" i="12"/>
  <c r="W124" i="12"/>
  <c r="AL122" i="12"/>
  <c r="W122" i="12" s="1"/>
  <c r="W134" i="12"/>
  <c r="AL142" i="12"/>
  <c r="W142" i="12" s="1"/>
  <c r="AL139" i="12"/>
  <c r="W139" i="12" s="1"/>
  <c r="AL132" i="12"/>
  <c r="W132" i="12" s="1"/>
  <c r="W145" i="12"/>
  <c r="W147" i="12"/>
  <c r="AL123" i="12"/>
  <c r="W123" i="12" s="1"/>
  <c r="AL135" i="12"/>
  <c r="W135" i="12" s="1"/>
  <c r="AL128" i="12"/>
  <c r="W128" i="12" s="1"/>
  <c r="AL125" i="12"/>
  <c r="W125" i="12" s="1"/>
  <c r="AL133" i="12"/>
  <c r="W133" i="12" s="1"/>
  <c r="AL137" i="12"/>
  <c r="W137" i="12" s="1"/>
  <c r="AL141" i="12"/>
  <c r="W141" i="12" s="1"/>
  <c r="AL126" i="12"/>
  <c r="W126" i="12" s="1"/>
  <c r="AL130" i="12"/>
  <c r="W130" i="12" s="1"/>
  <c r="AL129" i="12"/>
  <c r="W129" i="12" s="1"/>
  <c r="AL127" i="12"/>
  <c r="W127" i="12" s="1"/>
  <c r="AL136" i="12"/>
  <c r="W136" i="12" s="1"/>
  <c r="B46" i="12" l="1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Z15" i="12" l="1"/>
  <c r="AA15" i="12"/>
  <c r="Z38" i="12"/>
  <c r="AA38" i="12"/>
  <c r="AA16" i="12"/>
  <c r="Z16" i="12"/>
  <c r="AA18" i="12"/>
  <c r="Z18" i="12"/>
  <c r="AA21" i="12"/>
  <c r="Z21" i="12"/>
  <c r="AA39" i="12"/>
  <c r="Z39" i="12"/>
  <c r="AA32" i="12"/>
  <c r="Z32" i="12"/>
  <c r="Z33" i="12"/>
  <c r="AA33" i="12"/>
  <c r="Z34" i="12"/>
  <c r="AA34" i="12"/>
  <c r="AA20" i="12"/>
  <c r="Z20" i="12"/>
  <c r="AA36" i="12"/>
  <c r="Z36" i="12"/>
  <c r="Z22" i="12"/>
  <c r="AA22" i="12"/>
  <c r="AA23" i="12"/>
  <c r="Z23" i="12"/>
  <c r="AA8" i="12"/>
  <c r="Z8" i="12"/>
  <c r="AE8" i="12" s="1"/>
  <c r="AA40" i="12"/>
  <c r="Z40" i="12"/>
  <c r="AA25" i="12"/>
  <c r="Z25" i="12"/>
  <c r="Z10" i="12"/>
  <c r="AA10" i="12"/>
  <c r="AA26" i="12"/>
  <c r="Z26" i="12"/>
  <c r="AA42" i="12"/>
  <c r="Z42" i="12"/>
  <c r="AA11" i="12"/>
  <c r="Z11" i="12"/>
  <c r="AA27" i="12"/>
  <c r="Z27" i="12"/>
  <c r="AA43" i="12"/>
  <c r="Z43" i="12"/>
  <c r="AA35" i="12"/>
  <c r="Z35" i="12"/>
  <c r="Z24" i="12"/>
  <c r="AA24" i="12"/>
  <c r="AA9" i="12"/>
  <c r="Z9" i="12"/>
  <c r="AA41" i="12"/>
  <c r="Z41" i="12"/>
  <c r="Z12" i="12"/>
  <c r="AA12" i="12"/>
  <c r="AA28" i="12"/>
  <c r="Z28" i="12"/>
  <c r="AA44" i="12"/>
  <c r="Z44" i="12"/>
  <c r="AA31" i="12"/>
  <c r="Z31" i="12"/>
  <c r="AA17" i="12"/>
  <c r="Z17" i="12"/>
  <c r="AA19" i="12"/>
  <c r="Z19" i="12"/>
  <c r="AA37" i="12"/>
  <c r="Z37" i="12"/>
  <c r="Z13" i="12"/>
  <c r="AA13" i="12"/>
  <c r="AA29" i="12"/>
  <c r="Z29" i="12"/>
  <c r="AA45" i="12"/>
  <c r="Z45" i="12"/>
  <c r="AA14" i="12"/>
  <c r="Z14" i="12"/>
  <c r="AA30" i="12"/>
  <c r="Z30" i="12"/>
  <c r="AA46" i="12"/>
  <c r="Z46" i="12"/>
  <c r="AE11" i="12"/>
  <c r="AE18" i="12"/>
  <c r="J1" i="15" l="1"/>
  <c r="I1" i="15"/>
  <c r="H1" i="15"/>
  <c r="G1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AG149" i="21"/>
  <c r="AL149" i="21" s="1"/>
  <c r="AF149" i="21"/>
  <c r="AE149" i="21"/>
  <c r="AG148" i="21"/>
  <c r="AL148" i="21" s="1"/>
  <c r="AF148" i="21"/>
  <c r="AE148" i="21"/>
  <c r="AG147" i="21"/>
  <c r="AL147" i="21" s="1"/>
  <c r="AF147" i="21"/>
  <c r="AE147" i="21"/>
  <c r="AG146" i="21"/>
  <c r="AL146" i="21" s="1"/>
  <c r="AF146" i="21"/>
  <c r="AE146" i="21"/>
  <c r="AG145" i="21"/>
  <c r="AL145" i="21" s="1"/>
  <c r="AF145" i="21"/>
  <c r="AE145" i="21"/>
  <c r="AG144" i="21"/>
  <c r="AL144" i="21" s="1"/>
  <c r="AF144" i="21"/>
  <c r="AE144" i="21"/>
  <c r="AG143" i="21"/>
  <c r="AL143" i="21" s="1"/>
  <c r="AF143" i="21"/>
  <c r="AE143" i="21"/>
  <c r="AG142" i="21"/>
  <c r="AL142" i="21" s="1"/>
  <c r="AF142" i="21"/>
  <c r="AE142" i="21"/>
  <c r="AG141" i="21"/>
  <c r="AL141" i="21" s="1"/>
  <c r="AF141" i="21"/>
  <c r="AE141" i="21"/>
  <c r="AG140" i="21"/>
  <c r="AL140" i="21" s="1"/>
  <c r="AF140" i="21"/>
  <c r="AE140" i="21"/>
  <c r="AG139" i="21"/>
  <c r="AL139" i="21" s="1"/>
  <c r="AF139" i="21"/>
  <c r="AE139" i="21"/>
  <c r="AG138" i="21"/>
  <c r="AL138" i="21" s="1"/>
  <c r="AF138" i="21"/>
  <c r="AE138" i="21"/>
  <c r="AG137" i="21"/>
  <c r="AL137" i="21" s="1"/>
  <c r="AF137" i="21"/>
  <c r="AE137" i="21"/>
  <c r="AG136" i="21"/>
  <c r="AL136" i="21" s="1"/>
  <c r="AF136" i="21"/>
  <c r="AE136" i="21"/>
  <c r="AG135" i="21"/>
  <c r="AL135" i="21" s="1"/>
  <c r="AF135" i="21"/>
  <c r="AE135" i="21"/>
  <c r="AG134" i="21"/>
  <c r="AL134" i="21" s="1"/>
  <c r="AF134" i="21"/>
  <c r="AE134" i="21"/>
  <c r="AG133" i="21"/>
  <c r="AL133" i="21" s="1"/>
  <c r="AF133" i="21"/>
  <c r="AE133" i="21"/>
  <c r="AG132" i="21"/>
  <c r="AL132" i="21" s="1"/>
  <c r="AF132" i="21"/>
  <c r="AE132" i="21"/>
  <c r="AG131" i="21"/>
  <c r="AL131" i="21" s="1"/>
  <c r="AF131" i="21"/>
  <c r="AE131" i="21"/>
  <c r="AG130" i="21"/>
  <c r="AL130" i="21" s="1"/>
  <c r="AF130" i="21"/>
  <c r="AE130" i="21"/>
  <c r="AG129" i="21"/>
  <c r="AL129" i="21" s="1"/>
  <c r="AF129" i="21"/>
  <c r="AE129" i="21"/>
  <c r="AG127" i="21"/>
  <c r="AL127" i="21" s="1"/>
  <c r="AG126" i="21"/>
  <c r="AL126" i="21" s="1"/>
  <c r="AG125" i="21"/>
  <c r="AL125" i="21" s="1"/>
  <c r="AG124" i="21"/>
  <c r="AL124" i="21" s="1"/>
  <c r="AG123" i="21"/>
  <c r="AL123" i="21" s="1"/>
  <c r="AG122" i="21"/>
  <c r="AL122" i="21" s="1"/>
  <c r="AG121" i="21"/>
  <c r="AL121" i="21" s="1"/>
  <c r="AG120" i="21"/>
  <c r="AL120" i="21" s="1"/>
  <c r="AM120" i="21" s="1"/>
  <c r="AG119" i="21"/>
  <c r="AL119" i="21" s="1"/>
  <c r="AM119" i="21" s="1"/>
  <c r="AG118" i="21"/>
  <c r="AL118" i="21" s="1"/>
  <c r="AM118" i="21" s="1"/>
  <c r="AG117" i="21"/>
  <c r="AL117" i="21" s="1"/>
  <c r="AM117" i="21" s="1"/>
  <c r="AG116" i="21"/>
  <c r="AL116" i="21" s="1"/>
  <c r="AM116" i="21" s="1"/>
  <c r="AG115" i="21"/>
  <c r="AL115" i="21" s="1"/>
  <c r="AM115" i="21" s="1"/>
  <c r="AG114" i="21"/>
  <c r="AL114" i="21" s="1"/>
  <c r="AM114" i="21" s="1"/>
  <c r="AG113" i="21"/>
  <c r="AL113" i="21" s="1"/>
  <c r="AM113" i="21" s="1"/>
  <c r="AG112" i="21"/>
  <c r="AL112" i="21" s="1"/>
  <c r="AM112" i="21" s="1"/>
  <c r="AG111" i="21"/>
  <c r="AL111" i="21" s="1"/>
  <c r="AM111" i="21" s="1"/>
  <c r="AG110" i="21"/>
  <c r="AL110" i="21" s="1"/>
  <c r="AM110" i="21" s="1"/>
  <c r="AG109" i="21"/>
  <c r="AL109" i="21" s="1"/>
  <c r="AM109" i="21" s="1"/>
  <c r="AG108" i="21"/>
  <c r="AL108" i="21" s="1"/>
  <c r="AM108" i="21" s="1"/>
  <c r="AG107" i="21"/>
  <c r="AL107" i="21" s="1"/>
  <c r="AM107" i="21" s="1"/>
  <c r="AG106" i="21"/>
  <c r="AL106" i="21" s="1"/>
  <c r="AM106" i="21" s="1"/>
  <c r="AG105" i="21"/>
  <c r="AL105" i="21" s="1"/>
  <c r="AM105" i="21" s="1"/>
  <c r="AG104" i="21"/>
  <c r="AL104" i="21" s="1"/>
  <c r="AM104" i="21" s="1"/>
  <c r="AG103" i="21"/>
  <c r="AL103" i="21" s="1"/>
  <c r="AM103" i="21" s="1"/>
  <c r="AG102" i="21"/>
  <c r="AL102" i="21" s="1"/>
  <c r="AM102" i="21" s="1"/>
  <c r="AG101" i="21"/>
  <c r="AL101" i="21" s="1"/>
  <c r="AM101" i="21" s="1"/>
  <c r="AG100" i="21"/>
  <c r="AL100" i="21" s="1"/>
  <c r="AM100" i="21" s="1"/>
  <c r="AG99" i="21"/>
  <c r="AL99" i="21" s="1"/>
  <c r="AM99" i="21" s="1"/>
  <c r="N56" i="21" l="1"/>
  <c r="R56" i="21" s="1"/>
  <c r="N40" i="21"/>
  <c r="R40" i="21" s="1"/>
  <c r="N60" i="21"/>
  <c r="R60" i="21" s="1"/>
  <c r="N71" i="21"/>
  <c r="R71" i="21" s="1"/>
  <c r="N55" i="21"/>
  <c r="R55" i="21" s="1"/>
  <c r="N39" i="21"/>
  <c r="R39" i="21" s="1"/>
  <c r="N58" i="21"/>
  <c r="R58" i="21" s="1"/>
  <c r="N70" i="21"/>
  <c r="R70" i="21" s="1"/>
  <c r="N54" i="21"/>
  <c r="R54" i="21" s="1"/>
  <c r="N38" i="21"/>
  <c r="N45" i="21"/>
  <c r="R45" i="21" s="1"/>
  <c r="BE45" i="21" s="1"/>
  <c r="BF45" i="21" s="1"/>
  <c r="N69" i="21"/>
  <c r="R69" i="21" s="1"/>
  <c r="N53" i="21"/>
  <c r="R53" i="21" s="1"/>
  <c r="N61" i="21"/>
  <c r="R61" i="21" s="1"/>
  <c r="N41" i="21"/>
  <c r="R41" i="21" s="1"/>
  <c r="N68" i="21"/>
  <c r="R68" i="21" s="1"/>
  <c r="N52" i="21"/>
  <c r="R52" i="21" s="1"/>
  <c r="BE52" i="21" s="1"/>
  <c r="BF52" i="21" s="1"/>
  <c r="N62" i="21"/>
  <c r="R62" i="21" s="1"/>
  <c r="N42" i="21"/>
  <c r="R42" i="21" s="1"/>
  <c r="N67" i="21"/>
  <c r="R67" i="21" s="1"/>
  <c r="N51" i="21"/>
  <c r="R51" i="21" s="1"/>
  <c r="BE51" i="21" s="1"/>
  <c r="BF51" i="21" s="1"/>
  <c r="N47" i="21"/>
  <c r="R47" i="21" s="1"/>
  <c r="N59" i="21"/>
  <c r="R59" i="21" s="1"/>
  <c r="AZ59" i="21" s="1"/>
  <c r="BA59" i="21" s="1"/>
  <c r="N66" i="21"/>
  <c r="R66" i="21" s="1"/>
  <c r="N50" i="21"/>
  <c r="R50" i="21" s="1"/>
  <c r="N46" i="21"/>
  <c r="R46" i="21" s="1"/>
  <c r="N57" i="21"/>
  <c r="R57" i="21" s="1"/>
  <c r="N65" i="21"/>
  <c r="R65" i="21" s="1"/>
  <c r="N49" i="21"/>
  <c r="R49" i="21" s="1"/>
  <c r="N48" i="21"/>
  <c r="R48" i="21" s="1"/>
  <c r="N43" i="21"/>
  <c r="R43" i="21" s="1"/>
  <c r="N64" i="21"/>
  <c r="R64" i="21" s="1"/>
  <c r="N63" i="21"/>
  <c r="R63" i="21" s="1"/>
  <c r="N44" i="21"/>
  <c r="R44" i="21" s="1"/>
  <c r="N24" i="21"/>
  <c r="N8" i="21"/>
  <c r="N21" i="21"/>
  <c r="N28" i="21"/>
  <c r="N27" i="21"/>
  <c r="N17" i="21"/>
  <c r="N32" i="21"/>
  <c r="N16" i="21"/>
  <c r="L150" i="21" a="1"/>
  <c r="L150" i="21" s="1"/>
  <c r="N23" i="21"/>
  <c r="N12" i="21"/>
  <c r="N26" i="21"/>
  <c r="N31" i="21"/>
  <c r="N15" i="21"/>
  <c r="N13" i="21"/>
  <c r="N33" i="21"/>
  <c r="N30" i="21"/>
  <c r="N25" i="21"/>
  <c r="N22" i="21"/>
  <c r="N14" i="21"/>
  <c r="N20" i="21"/>
  <c r="N10" i="21"/>
  <c r="N37" i="21"/>
  <c r="N18" i="21"/>
  <c r="N29" i="21"/>
  <c r="N11" i="21"/>
  <c r="N36" i="21"/>
  <c r="N19" i="21"/>
  <c r="N35" i="21"/>
  <c r="N9" i="21"/>
  <c r="N34" i="21"/>
  <c r="A19" i="12"/>
  <c r="AC137" i="21"/>
  <c r="AC136" i="21"/>
  <c r="AC138" i="21"/>
  <c r="AC147" i="21"/>
  <c r="AM142" i="21"/>
  <c r="AC142" i="21" s="1"/>
  <c r="BJ142" i="21"/>
  <c r="BJ124" i="21"/>
  <c r="AM143" i="21"/>
  <c r="AC143" i="21" s="1"/>
  <c r="BJ143" i="21"/>
  <c r="BJ106" i="21"/>
  <c r="AM148" i="21"/>
  <c r="AC148" i="21" s="1"/>
  <c r="BJ148" i="21"/>
  <c r="AC107" i="21"/>
  <c r="BJ107" i="21"/>
  <c r="AC110" i="21"/>
  <c r="BJ110" i="21"/>
  <c r="AM126" i="21"/>
  <c r="BJ126" i="21"/>
  <c r="AM133" i="21"/>
  <c r="AC133" i="21" s="1"/>
  <c r="BJ133" i="21"/>
  <c r="AM149" i="21"/>
  <c r="AC149" i="21" s="1"/>
  <c r="BJ149" i="21"/>
  <c r="AC105" i="21"/>
  <c r="BJ105" i="21"/>
  <c r="AM137" i="21"/>
  <c r="BJ137" i="21"/>
  <c r="AM132" i="21"/>
  <c r="AC132" i="21" s="1"/>
  <c r="BJ132" i="21"/>
  <c r="AM138" i="21"/>
  <c r="BJ138" i="21"/>
  <c r="AC111" i="21"/>
  <c r="BJ111" i="21"/>
  <c r="AM127" i="21"/>
  <c r="AC127" i="21" s="1"/>
  <c r="BJ127" i="21"/>
  <c r="AM144" i="21"/>
  <c r="AC144" i="21" s="1"/>
  <c r="BJ144" i="21"/>
  <c r="AC122" i="21"/>
  <c r="BJ122" i="21"/>
  <c r="BJ123" i="21"/>
  <c r="AC108" i="21"/>
  <c r="BJ108" i="21"/>
  <c r="BJ125" i="21"/>
  <c r="AC112" i="21"/>
  <c r="BJ112" i="21"/>
  <c r="AM139" i="21"/>
  <c r="AC139" i="21" s="1"/>
  <c r="BJ139" i="21"/>
  <c r="BJ121" i="21"/>
  <c r="BJ109" i="21"/>
  <c r="BJ113" i="21"/>
  <c r="AM134" i="21"/>
  <c r="AC134" i="21" s="1"/>
  <c r="BJ134" i="21"/>
  <c r="AC114" i="21"/>
  <c r="BJ114" i="21"/>
  <c r="AM129" i="21"/>
  <c r="AC129" i="21" s="1"/>
  <c r="BJ129" i="21"/>
  <c r="AM145" i="21"/>
  <c r="AC145" i="21" s="1"/>
  <c r="BJ145" i="21"/>
  <c r="BJ99" i="21"/>
  <c r="BJ115" i="21"/>
  <c r="AM140" i="21"/>
  <c r="AC140" i="21" s="1"/>
  <c r="BJ140" i="21"/>
  <c r="BJ100" i="21"/>
  <c r="BJ116" i="21"/>
  <c r="AM135" i="21"/>
  <c r="AC135" i="21" s="1"/>
  <c r="BJ135" i="21"/>
  <c r="AC101" i="21"/>
  <c r="BJ101" i="21"/>
  <c r="AC102" i="21"/>
  <c r="BJ102" i="21"/>
  <c r="AC117" i="21"/>
  <c r="BJ117" i="21"/>
  <c r="AM130" i="21"/>
  <c r="AC130" i="21" s="1"/>
  <c r="BJ130" i="21"/>
  <c r="AM146" i="21"/>
  <c r="AC146" i="21" s="1"/>
  <c r="BJ146" i="21"/>
  <c r="AC118" i="21"/>
  <c r="BJ118" i="21"/>
  <c r="AM141" i="21"/>
  <c r="AC141" i="21" s="1"/>
  <c r="BJ141" i="21"/>
  <c r="BJ103" i="21"/>
  <c r="AC119" i="21"/>
  <c r="BJ119" i="21"/>
  <c r="AM136" i="21"/>
  <c r="BJ136" i="21"/>
  <c r="AC104" i="21"/>
  <c r="BJ104" i="21"/>
  <c r="AC120" i="21"/>
  <c r="BJ120" i="21"/>
  <c r="AM131" i="21"/>
  <c r="AC131" i="21" s="1"/>
  <c r="BJ131" i="21"/>
  <c r="AM147" i="21"/>
  <c r="BJ147" i="21"/>
  <c r="A8" i="12"/>
  <c r="A34" i="12"/>
  <c r="A10" i="12"/>
  <c r="A26" i="12"/>
  <c r="A41" i="12"/>
  <c r="A27" i="12"/>
  <c r="A12" i="12"/>
  <c r="A28" i="12"/>
  <c r="A43" i="12"/>
  <c r="A38" i="12"/>
  <c r="A22" i="12"/>
  <c r="A23" i="12"/>
  <c r="A39" i="12"/>
  <c r="A40" i="12"/>
  <c r="A13" i="12"/>
  <c r="A14" i="12"/>
  <c r="A30" i="12"/>
  <c r="A45" i="12"/>
  <c r="A20" i="12"/>
  <c r="A37" i="12"/>
  <c r="A24" i="12"/>
  <c r="A44" i="12"/>
  <c r="A15" i="12"/>
  <c r="A46" i="12"/>
  <c r="A36" i="12"/>
  <c r="A42" i="12"/>
  <c r="A16" i="12"/>
  <c r="A31" i="12"/>
  <c r="A21" i="12"/>
  <c r="A9" i="12"/>
  <c r="A29" i="12"/>
  <c r="A17" i="12"/>
  <c r="A32" i="12"/>
  <c r="A35" i="12"/>
  <c r="A25" i="12"/>
  <c r="A11" i="12"/>
  <c r="A18" i="12"/>
  <c r="A33" i="12"/>
  <c r="K150" i="21"/>
  <c r="P150" i="21"/>
  <c r="P121" i="21"/>
  <c r="A8" i="15" a="1"/>
  <c r="A8" i="15" s="1"/>
  <c r="A24" i="15" a="1"/>
  <c r="A24" i="15" s="1"/>
  <c r="A40" i="15" a="1"/>
  <c r="A40" i="15" s="1"/>
  <c r="P136" i="21"/>
  <c r="K135" i="21"/>
  <c r="K119" i="21"/>
  <c r="K103" i="21"/>
  <c r="K108" i="21"/>
  <c r="K106" i="21"/>
  <c r="K105" i="21"/>
  <c r="K134" i="21"/>
  <c r="K118" i="21"/>
  <c r="K102" i="21"/>
  <c r="K137" i="21"/>
  <c r="K149" i="21"/>
  <c r="K133" i="21"/>
  <c r="K117" i="21"/>
  <c r="K101" i="21"/>
  <c r="K107" i="21"/>
  <c r="K138" i="21"/>
  <c r="K121" i="21"/>
  <c r="K148" i="21"/>
  <c r="K132" i="21"/>
  <c r="K116" i="21"/>
  <c r="K100" i="21"/>
  <c r="K120" i="21"/>
  <c r="K147" i="21"/>
  <c r="K131" i="21"/>
  <c r="K115" i="21"/>
  <c r="K99" i="21"/>
  <c r="K136" i="21"/>
  <c r="K146" i="21"/>
  <c r="K130" i="21"/>
  <c r="K114" i="21"/>
  <c r="K140" i="21"/>
  <c r="K145" i="21"/>
  <c r="K129" i="21"/>
  <c r="K113" i="21"/>
  <c r="K139" i="21"/>
  <c r="K144" i="21"/>
  <c r="K128" i="21"/>
  <c r="K112" i="21"/>
  <c r="K123" i="21"/>
  <c r="K104" i="21"/>
  <c r="K143" i="21"/>
  <c r="K127" i="21"/>
  <c r="K111" i="21"/>
  <c r="K142" i="21"/>
  <c r="K126" i="21"/>
  <c r="K110" i="21"/>
  <c r="K141" i="21"/>
  <c r="K125" i="21"/>
  <c r="K109" i="21"/>
  <c r="K124" i="21"/>
  <c r="K122" i="21"/>
  <c r="A11" i="15" a="1"/>
  <c r="A11" i="15" s="1"/>
  <c r="A9" i="15" a="1"/>
  <c r="A9" i="15" s="1"/>
  <c r="A25" i="15" a="1"/>
  <c r="A25" i="15" s="1"/>
  <c r="A7" i="15" a="1"/>
  <c r="A7" i="15" s="1"/>
  <c r="A23" i="15" a="1"/>
  <c r="A23" i="15" s="1"/>
  <c r="A39" i="15" a="1"/>
  <c r="A39" i="15" s="1"/>
  <c r="A42" i="15" a="1"/>
  <c r="A42" i="15" s="1"/>
  <c r="A10" i="15" a="1"/>
  <c r="A10" i="15" s="1"/>
  <c r="A44" i="15" a="1"/>
  <c r="A44" i="15" s="1"/>
  <c r="A37" i="15" a="1"/>
  <c r="A37" i="15" s="1"/>
  <c r="A14" i="15" a="1"/>
  <c r="A14" i="15" s="1"/>
  <c r="A30" i="15" a="1"/>
  <c r="A30" i="15" s="1"/>
  <c r="A46" i="15" a="1"/>
  <c r="A46" i="15" s="1"/>
  <c r="A12" i="15" a="1"/>
  <c r="A12" i="15" s="1"/>
  <c r="A16" i="15" a="1"/>
  <c r="A16" i="15" s="1"/>
  <c r="A32" i="15" a="1"/>
  <c r="A32" i="15" s="1"/>
  <c r="A26" i="15" a="1"/>
  <c r="A26" i="15" s="1"/>
  <c r="A28" i="15" a="1"/>
  <c r="A28" i="15" s="1"/>
  <c r="A33" i="15" a="1"/>
  <c r="A33" i="15" s="1"/>
  <c r="A19" i="15" a="1"/>
  <c r="A19" i="15" s="1"/>
  <c r="A35" i="15" a="1"/>
  <c r="A35" i="15" s="1"/>
  <c r="A17" i="15" a="1"/>
  <c r="A17" i="15" s="1"/>
  <c r="A22" i="15" a="1"/>
  <c r="A22" i="15" s="1"/>
  <c r="A4" i="15" a="1"/>
  <c r="A4" i="15" s="1"/>
  <c r="A36" i="15" a="1"/>
  <c r="A36" i="15" s="1"/>
  <c r="A5" i="15" a="1"/>
  <c r="A5" i="15" s="1"/>
  <c r="A27" i="15" a="1"/>
  <c r="A27" i="15" s="1"/>
  <c r="A13" i="15" a="1"/>
  <c r="A13" i="15" s="1"/>
  <c r="A29" i="15" a="1"/>
  <c r="A29" i="15" s="1"/>
  <c r="A38" i="15" a="1"/>
  <c r="A38" i="15" s="1"/>
  <c r="A21" i="15" a="1"/>
  <c r="A21" i="15" s="1"/>
  <c r="A43" i="15" a="1"/>
  <c r="A43" i="15" s="1"/>
  <c r="A6" i="15" a="1"/>
  <c r="A6" i="15" s="1"/>
  <c r="A41" i="15" a="1"/>
  <c r="A41" i="15" s="1"/>
  <c r="A45" i="15" a="1"/>
  <c r="A45" i="15" s="1"/>
  <c r="A20" i="15" a="1"/>
  <c r="A20" i="15" s="1"/>
  <c r="P137" i="21"/>
  <c r="P103" i="21"/>
  <c r="P104" i="21"/>
  <c r="P105" i="21"/>
  <c r="P119" i="21"/>
  <c r="P120" i="21"/>
  <c r="P145" i="21"/>
  <c r="P125" i="21"/>
  <c r="P140" i="21"/>
  <c r="P124" i="21"/>
  <c r="P108" i="21"/>
  <c r="P129" i="21"/>
  <c r="P127" i="21"/>
  <c r="P142" i="21"/>
  <c r="P126" i="21"/>
  <c r="P110" i="21"/>
  <c r="P141" i="21"/>
  <c r="P109" i="21"/>
  <c r="P113" i="21"/>
  <c r="P143" i="21"/>
  <c r="P111" i="21"/>
  <c r="P138" i="21"/>
  <c r="P122" i="21"/>
  <c r="P106" i="21"/>
  <c r="P135" i="21"/>
  <c r="P107" i="21"/>
  <c r="P123" i="21"/>
  <c r="P139" i="21"/>
  <c r="P112" i="21"/>
  <c r="P128" i="21"/>
  <c r="P144" i="21"/>
  <c r="P114" i="21"/>
  <c r="P130" i="21"/>
  <c r="P146" i="21"/>
  <c r="P99" i="21"/>
  <c r="P115" i="21"/>
  <c r="P131" i="21"/>
  <c r="P147" i="21"/>
  <c r="A15" i="15" a="1"/>
  <c r="A15" i="15" s="1"/>
  <c r="A31" i="15" a="1"/>
  <c r="A31" i="15" s="1"/>
  <c r="A47" i="15" a="1"/>
  <c r="A47" i="15" s="1"/>
  <c r="P100" i="21"/>
  <c r="P116" i="21"/>
  <c r="P132" i="21"/>
  <c r="P148" i="21"/>
  <c r="P101" i="21"/>
  <c r="P117" i="21"/>
  <c r="P133" i="21"/>
  <c r="P149" i="21"/>
  <c r="P102" i="21"/>
  <c r="P118" i="21"/>
  <c r="P134" i="21"/>
  <c r="A18" i="15" a="1"/>
  <c r="A18" i="15" s="1"/>
  <c r="A34" i="15" a="1"/>
  <c r="A34" i="15" s="1"/>
  <c r="L140" i="21" a="1"/>
  <c r="L140" i="21" s="1"/>
  <c r="A3" i="15" a="1"/>
  <c r="A3" i="15" s="1"/>
  <c r="L117" i="21" a="1"/>
  <c r="L117" i="21" s="1"/>
  <c r="L13" i="21" a="1"/>
  <c r="L13" i="21" s="1"/>
  <c r="L105" i="21" a="1"/>
  <c r="L105" i="21" s="1"/>
  <c r="L130" i="21" a="1"/>
  <c r="L130" i="21" s="1"/>
  <c r="L143" i="21" a="1"/>
  <c r="L143" i="21" s="1"/>
  <c r="L116" i="21" a="1"/>
  <c r="L116" i="21" s="1"/>
  <c r="L104" i="21" a="1"/>
  <c r="L104" i="21" s="1"/>
  <c r="L142" i="21" a="1"/>
  <c r="L142" i="21" s="1"/>
  <c r="L29" i="21" a="1"/>
  <c r="L29" i="21" s="1"/>
  <c r="L14" i="21" a="1"/>
  <c r="L14" i="21" s="1"/>
  <c r="L30" i="21" a="1"/>
  <c r="L30" i="21" s="1"/>
  <c r="L118" i="21" a="1"/>
  <c r="L118" i="21" s="1"/>
  <c r="L131" i="21" a="1"/>
  <c r="L131" i="21" s="1"/>
  <c r="L144" i="21" a="1"/>
  <c r="L144" i="21" s="1"/>
  <c r="L115" i="21" a="1"/>
  <c r="L115" i="21" s="1"/>
  <c r="L129" i="21" a="1"/>
  <c r="L129" i="21" s="1"/>
  <c r="L106" i="21" a="1"/>
  <c r="L106" i="21" s="1"/>
  <c r="L34" i="21" a="1"/>
  <c r="L34" i="21" s="1"/>
  <c r="L109" i="21" a="1"/>
  <c r="L109" i="21" s="1"/>
  <c r="L134" i="21" a="1"/>
  <c r="L134" i="21" s="1"/>
  <c r="L147" i="21" a="1"/>
  <c r="L147" i="21" s="1"/>
  <c r="L19" i="21" a="1"/>
  <c r="L19" i="21" s="1"/>
  <c r="L35" i="21" a="1"/>
  <c r="L35" i="21" s="1"/>
  <c r="L122" i="21" a="1"/>
  <c r="L122" i="21" s="1"/>
  <c r="L135" i="21" a="1"/>
  <c r="L135" i="21" s="1"/>
  <c r="L148" i="21" a="1"/>
  <c r="L148" i="21" s="1"/>
  <c r="L26" i="21" a="1"/>
  <c r="L26" i="21" s="1"/>
  <c r="L102" i="21" a="1"/>
  <c r="L102" i="21" s="1"/>
  <c r="L27" i="21" a="1"/>
  <c r="L27" i="21" s="1"/>
  <c r="L145" i="21" a="1"/>
  <c r="L145" i="21" s="1"/>
  <c r="L133" i="21" a="1"/>
  <c r="L133" i="21" s="1"/>
  <c r="L33" i="21" a="1"/>
  <c r="L33" i="21" s="1"/>
  <c r="L146" i="21" a="1"/>
  <c r="L146" i="21" s="1"/>
  <c r="L36" i="21" a="1"/>
  <c r="L36" i="21" s="1"/>
  <c r="L110" i="21" a="1"/>
  <c r="L110" i="21" s="1"/>
  <c r="L149" i="21" a="1"/>
  <c r="L149" i="21" s="1"/>
  <c r="L21" i="21" a="1"/>
  <c r="L21" i="21" s="1"/>
  <c r="L37" i="21" a="1"/>
  <c r="L37" i="21" s="1"/>
  <c r="L111" i="21" a="1"/>
  <c r="L111" i="21" s="1"/>
  <c r="L124" i="21" a="1"/>
  <c r="L124" i="21" s="1"/>
  <c r="L137" i="21" a="1"/>
  <c r="L137" i="21" s="1"/>
  <c r="L128" i="21" a="1"/>
  <c r="L128" i="21" s="1"/>
  <c r="L11" i="21" a="1"/>
  <c r="L11" i="21" s="1"/>
  <c r="L103" i="21" a="1"/>
  <c r="L103" i="21" s="1"/>
  <c r="L28" i="21" a="1"/>
  <c r="L28" i="21" s="1"/>
  <c r="L119" i="21" a="1"/>
  <c r="L119" i="21" s="1"/>
  <c r="L16" i="21" a="1"/>
  <c r="L16" i="21" s="1"/>
  <c r="L107" i="21" a="1"/>
  <c r="L107" i="21" s="1"/>
  <c r="L108" i="21" a="1"/>
  <c r="L108" i="21" s="1"/>
  <c r="L123" i="21" a="1"/>
  <c r="L123" i="21" s="1"/>
  <c r="L38" i="21" a="1"/>
  <c r="L38" i="21" s="1"/>
  <c r="L99" i="21" a="1"/>
  <c r="L99" i="21" s="1"/>
  <c r="L125" i="21" a="1"/>
  <c r="L125" i="21" s="1"/>
  <c r="L10" i="21" a="1"/>
  <c r="L10" i="21" s="1"/>
  <c r="L141" i="21" a="1"/>
  <c r="L141" i="21" s="1"/>
  <c r="L12" i="21" a="1"/>
  <c r="L12" i="21" s="1"/>
  <c r="L15" i="21" a="1"/>
  <c r="L15" i="21" s="1"/>
  <c r="L132" i="21" a="1"/>
  <c r="L132" i="21" s="1"/>
  <c r="L120" i="21" a="1"/>
  <c r="L120" i="21" s="1"/>
  <c r="L121" i="21" a="1"/>
  <c r="L121" i="21" s="1"/>
  <c r="L18" i="21" a="1"/>
  <c r="L18" i="21" s="1"/>
  <c r="L20" i="21" a="1"/>
  <c r="L20" i="21" s="1"/>
  <c r="L136" i="21" a="1"/>
  <c r="L136" i="21" s="1"/>
  <c r="L22" i="21" a="1"/>
  <c r="L22" i="21" s="1"/>
  <c r="L112" i="21" a="1"/>
  <c r="L112" i="21" s="1"/>
  <c r="L8" i="21" a="1"/>
  <c r="L8" i="21" s="1"/>
  <c r="L23" i="21" a="1"/>
  <c r="L23" i="21" s="1"/>
  <c r="L100" i="21" a="1"/>
  <c r="L100" i="21" s="1"/>
  <c r="L113" i="21" a="1"/>
  <c r="L113" i="21" s="1"/>
  <c r="L138" i="21" a="1"/>
  <c r="L138" i="21" s="1"/>
  <c r="L24" i="21" a="1"/>
  <c r="L24" i="21" s="1"/>
  <c r="L101" i="21" a="1"/>
  <c r="L101" i="21" s="1"/>
  <c r="L126" i="21" a="1"/>
  <c r="L126" i="21" s="1"/>
  <c r="L139" i="21" a="1"/>
  <c r="L139" i="21" s="1"/>
  <c r="L31" i="21" a="1"/>
  <c r="L31" i="21" s="1"/>
  <c r="L32" i="21" a="1"/>
  <c r="L32" i="21" s="1"/>
  <c r="L17" i="21" a="1"/>
  <c r="L17" i="21" s="1"/>
  <c r="L9" i="21" a="1"/>
  <c r="L9" i="21" s="1"/>
  <c r="L25" i="21" a="1"/>
  <c r="L25" i="21" s="1"/>
  <c r="L114" i="21" a="1"/>
  <c r="L114" i="21" s="1"/>
  <c r="L127" i="21" a="1"/>
  <c r="L127" i="21" s="1"/>
  <c r="AL65" i="21" l="1"/>
  <c r="BE65" i="21"/>
  <c r="BF65" i="21" s="1"/>
  <c r="AL69" i="21"/>
  <c r="BE69" i="21"/>
  <c r="BF69" i="21" s="1"/>
  <c r="AL41" i="21"/>
  <c r="AM41" i="21" s="1"/>
  <c r="BE41" i="21"/>
  <c r="BF41" i="21" s="1"/>
  <c r="AL57" i="21"/>
  <c r="AM57" i="21" s="1"/>
  <c r="X57" i="21" s="1"/>
  <c r="BE57" i="21"/>
  <c r="BF57" i="21" s="1"/>
  <c r="AL50" i="21"/>
  <c r="BE50" i="21"/>
  <c r="BF50" i="21" s="1"/>
  <c r="AL54" i="21"/>
  <c r="AM54" i="21" s="1"/>
  <c r="BE54" i="21"/>
  <c r="BF54" i="21" s="1"/>
  <c r="AL66" i="21"/>
  <c r="AM66" i="21" s="1"/>
  <c r="BE66" i="21"/>
  <c r="BF66" i="21" s="1"/>
  <c r="AL70" i="21"/>
  <c r="BE70" i="21"/>
  <c r="BF70" i="21" s="1"/>
  <c r="AL61" i="21"/>
  <c r="BE61" i="21"/>
  <c r="BF61" i="21" s="1"/>
  <c r="AL59" i="21"/>
  <c r="AM59" i="21" s="1"/>
  <c r="BE59" i="21"/>
  <c r="BF59" i="21" s="1"/>
  <c r="AL58" i="21"/>
  <c r="AM58" i="21" s="1"/>
  <c r="X58" i="21" s="1"/>
  <c r="BE58" i="21"/>
  <c r="BF58" i="21" s="1"/>
  <c r="AL43" i="21"/>
  <c r="BE43" i="21"/>
  <c r="BF43" i="21" s="1"/>
  <c r="AL47" i="21"/>
  <c r="AZ47" i="21" s="1"/>
  <c r="BA47" i="21" s="1"/>
  <c r="BE47" i="21"/>
  <c r="BF47" i="21" s="1"/>
  <c r="AL39" i="21"/>
  <c r="BE39" i="21"/>
  <c r="BF39" i="21" s="1"/>
  <c r="AL46" i="21"/>
  <c r="AZ46" i="21" s="1"/>
  <c r="BA46" i="21" s="1"/>
  <c r="BE46" i="21"/>
  <c r="BF46" i="21" s="1"/>
  <c r="AL55" i="21"/>
  <c r="BE55" i="21"/>
  <c r="BF55" i="21" s="1"/>
  <c r="AL48" i="21"/>
  <c r="BE48" i="21"/>
  <c r="BF48" i="21" s="1"/>
  <c r="AL67" i="21"/>
  <c r="BE67" i="21"/>
  <c r="BF67" i="21" s="1"/>
  <c r="AL71" i="21"/>
  <c r="BE71" i="21"/>
  <c r="BF71" i="21" s="1"/>
  <c r="AL42" i="21"/>
  <c r="BE42" i="21"/>
  <c r="BF42" i="21" s="1"/>
  <c r="AL60" i="21"/>
  <c r="AM60" i="21" s="1"/>
  <c r="BE60" i="21"/>
  <c r="BF60" i="21" s="1"/>
  <c r="AL64" i="21"/>
  <c r="BE64" i="21"/>
  <c r="BF64" i="21" s="1"/>
  <c r="AL49" i="21"/>
  <c r="AM49" i="21" s="1"/>
  <c r="X49" i="21" s="1"/>
  <c r="BE49" i="21"/>
  <c r="BF49" i="21" s="1"/>
  <c r="AL44" i="21"/>
  <c r="AM44" i="21" s="1"/>
  <c r="BE44" i="21"/>
  <c r="BF44" i="21" s="1"/>
  <c r="AL62" i="21"/>
  <c r="BE62" i="21"/>
  <c r="BF62" i="21" s="1"/>
  <c r="AL40" i="21"/>
  <c r="BE40" i="21"/>
  <c r="BF40" i="21" s="1"/>
  <c r="AL68" i="21"/>
  <c r="BE68" i="21"/>
  <c r="BF68" i="21" s="1"/>
  <c r="AL53" i="21"/>
  <c r="AM53" i="21" s="1"/>
  <c r="BE53" i="21"/>
  <c r="BF53" i="21" s="1"/>
  <c r="AL63" i="21"/>
  <c r="BE63" i="21"/>
  <c r="BF63" i="21" s="1"/>
  <c r="AL56" i="21"/>
  <c r="BE56" i="21"/>
  <c r="BF56" i="21" s="1"/>
  <c r="AM64" i="21"/>
  <c r="AC64" i="21"/>
  <c r="AM68" i="21"/>
  <c r="AM43" i="21"/>
  <c r="X43" i="21" s="1"/>
  <c r="AM48" i="21"/>
  <c r="AM61" i="21"/>
  <c r="AZ65" i="21"/>
  <c r="BA65" i="21" s="1"/>
  <c r="AM65" i="21"/>
  <c r="AM69" i="21"/>
  <c r="AM67" i="21"/>
  <c r="AM42" i="21"/>
  <c r="AM71" i="21"/>
  <c r="AM62" i="21"/>
  <c r="AM40" i="21"/>
  <c r="S69" i="21"/>
  <c r="AS69" i="21"/>
  <c r="AT69" i="21" s="1"/>
  <c r="S65" i="21"/>
  <c r="AS65" i="21"/>
  <c r="AT65" i="21" s="1"/>
  <c r="S57" i="21"/>
  <c r="AS57" i="21"/>
  <c r="AT57" i="21" s="1"/>
  <c r="S45" i="21"/>
  <c r="S41" i="21"/>
  <c r="AS41" i="21"/>
  <c r="AT41" i="21" s="1"/>
  <c r="S49" i="21"/>
  <c r="AS49" i="21"/>
  <c r="AT49" i="21" s="1"/>
  <c r="S46" i="21"/>
  <c r="AS46" i="21"/>
  <c r="AT46" i="21" s="1"/>
  <c r="S50" i="21"/>
  <c r="AJ47" i="13" s="1"/>
  <c r="AK47" i="13" s="1"/>
  <c r="AS50" i="21"/>
  <c r="AT50" i="21" s="1"/>
  <c r="S54" i="21"/>
  <c r="AS54" i="21"/>
  <c r="AT54" i="21" s="1"/>
  <c r="S68" i="21"/>
  <c r="AS68" i="21"/>
  <c r="AT68" i="21" s="1"/>
  <c r="S53" i="21"/>
  <c r="AS53" i="21"/>
  <c r="AT53" i="21" s="1"/>
  <c r="S66" i="21"/>
  <c r="AS66" i="21"/>
  <c r="AT66" i="21" s="1"/>
  <c r="S70" i="21"/>
  <c r="AS70" i="21"/>
  <c r="AT70" i="21" s="1"/>
  <c r="S58" i="21"/>
  <c r="AS58" i="21"/>
  <c r="AT58" i="21" s="1"/>
  <c r="S39" i="21"/>
  <c r="AS39" i="21"/>
  <c r="AT39" i="21" s="1"/>
  <c r="S47" i="21"/>
  <c r="AS47" i="21"/>
  <c r="AT47" i="21" s="1"/>
  <c r="S51" i="21"/>
  <c r="AS51" i="21"/>
  <c r="AT51" i="21" s="1"/>
  <c r="S55" i="21"/>
  <c r="AS55" i="21"/>
  <c r="AT55" i="21" s="1"/>
  <c r="S71" i="21"/>
  <c r="AS71" i="21"/>
  <c r="AT71" i="21" s="1"/>
  <c r="S64" i="21"/>
  <c r="AS64" i="21"/>
  <c r="AT64" i="21" s="1"/>
  <c r="S42" i="21"/>
  <c r="AS42" i="21"/>
  <c r="AT42" i="21" s="1"/>
  <c r="S60" i="21"/>
  <c r="AS60" i="21"/>
  <c r="AT60" i="21" s="1"/>
  <c r="S43" i="21"/>
  <c r="AS43" i="21"/>
  <c r="AT43" i="21" s="1"/>
  <c r="S48" i="21"/>
  <c r="AS48" i="21"/>
  <c r="AT48" i="21" s="1"/>
  <c r="S67" i="21"/>
  <c r="AS67" i="21"/>
  <c r="AT67" i="21" s="1"/>
  <c r="S44" i="21"/>
  <c r="AS44" i="21"/>
  <c r="AT44" i="21" s="1"/>
  <c r="S62" i="21"/>
  <c r="AS62" i="21"/>
  <c r="AT62" i="21" s="1"/>
  <c r="S40" i="21"/>
  <c r="AS40" i="21"/>
  <c r="AT40" i="21" s="1"/>
  <c r="S61" i="21"/>
  <c r="AS61" i="21"/>
  <c r="AT61" i="21" s="1"/>
  <c r="S59" i="21"/>
  <c r="AS59" i="21"/>
  <c r="AT59" i="21" s="1"/>
  <c r="S63" i="21"/>
  <c r="AS63" i="21"/>
  <c r="AT63" i="21" s="1"/>
  <c r="S52" i="21"/>
  <c r="AS52" i="21"/>
  <c r="AT52" i="21" s="1"/>
  <c r="S56" i="21"/>
  <c r="AS56" i="21"/>
  <c r="AT56" i="21" s="1"/>
  <c r="AC113" i="21"/>
  <c r="AC103" i="21"/>
  <c r="AC126" i="21"/>
  <c r="AC123" i="21"/>
  <c r="AC116" i="21"/>
  <c r="AC106" i="21"/>
  <c r="AC100" i="21"/>
  <c r="AC109" i="21"/>
  <c r="AC115" i="21"/>
  <c r="AC121" i="21"/>
  <c r="AC125" i="21"/>
  <c r="AC99" i="21"/>
  <c r="AC124" i="21"/>
  <c r="S113" i="21"/>
  <c r="AV113" i="21" s="1"/>
  <c r="S128" i="21"/>
  <c r="S112" i="21"/>
  <c r="AV112" i="21" s="1"/>
  <c r="S118" i="21"/>
  <c r="AV118" i="21" s="1"/>
  <c r="S109" i="21"/>
  <c r="AV109" i="21" s="1"/>
  <c r="S145" i="21"/>
  <c r="AV145" i="21" s="1"/>
  <c r="S120" i="21"/>
  <c r="AV120" i="21" s="1"/>
  <c r="BF134" i="21"/>
  <c r="BH134" i="21"/>
  <c r="BK134" i="21" s="1"/>
  <c r="S141" i="21"/>
  <c r="AV141" i="21" s="1"/>
  <c r="S147" i="21"/>
  <c r="AV147" i="21" s="1"/>
  <c r="S123" i="21"/>
  <c r="AV123" i="21" s="1"/>
  <c r="S110" i="21"/>
  <c r="AV110" i="21" s="1"/>
  <c r="S119" i="21"/>
  <c r="AV119" i="21" s="1"/>
  <c r="BF136" i="21"/>
  <c r="BH136" i="21"/>
  <c r="BK136" i="21" s="1"/>
  <c r="S131" i="21"/>
  <c r="AV131" i="21" s="1"/>
  <c r="S107" i="21"/>
  <c r="AV107" i="21" s="1"/>
  <c r="S126" i="21"/>
  <c r="AV126" i="21" s="1"/>
  <c r="S105" i="21"/>
  <c r="AV105" i="21" s="1"/>
  <c r="S149" i="21"/>
  <c r="AV149" i="21" s="1"/>
  <c r="S115" i="21"/>
  <c r="AV115" i="21" s="1"/>
  <c r="S142" i="21"/>
  <c r="AV142" i="21" s="1"/>
  <c r="S104" i="21"/>
  <c r="AV104" i="21" s="1"/>
  <c r="S133" i="21"/>
  <c r="AV133" i="21" s="1"/>
  <c r="S99" i="21"/>
  <c r="AV99" i="21" s="1"/>
  <c r="BF135" i="21"/>
  <c r="BH135" i="21"/>
  <c r="BK135" i="21" s="1"/>
  <c r="S127" i="21"/>
  <c r="AV127" i="21" s="1"/>
  <c r="S139" i="21"/>
  <c r="AV139" i="21" s="1"/>
  <c r="S102" i="21"/>
  <c r="AV102" i="21" s="1"/>
  <c r="S117" i="21"/>
  <c r="AV117" i="21" s="1"/>
  <c r="S129" i="21"/>
  <c r="AV129" i="21" s="1"/>
  <c r="S103" i="21"/>
  <c r="AV103" i="21" s="1"/>
  <c r="S121" i="21"/>
  <c r="AV121" i="21" s="1"/>
  <c r="S101" i="21"/>
  <c r="AV101" i="21" s="1"/>
  <c r="S146" i="21"/>
  <c r="AV146" i="21" s="1"/>
  <c r="S106" i="21"/>
  <c r="AV106" i="21" s="1"/>
  <c r="S150" i="21"/>
  <c r="AV150" i="21" s="1"/>
  <c r="S130" i="21"/>
  <c r="AV130" i="21" s="1"/>
  <c r="S122" i="21"/>
  <c r="AV122" i="21" s="1"/>
  <c r="S108" i="21"/>
  <c r="AV108" i="21" s="1"/>
  <c r="S137" i="21"/>
  <c r="AV137" i="21" s="1"/>
  <c r="S148" i="21"/>
  <c r="AV148" i="21" s="1"/>
  <c r="S114" i="21"/>
  <c r="AV114" i="21" s="1"/>
  <c r="S138" i="21"/>
  <c r="AV138" i="21" s="1"/>
  <c r="S124" i="21"/>
  <c r="AV124" i="21" s="1"/>
  <c r="S132" i="21"/>
  <c r="AV132" i="21" s="1"/>
  <c r="S111" i="21"/>
  <c r="AV111" i="21" s="1"/>
  <c r="S140" i="21"/>
  <c r="AV140" i="21" s="1"/>
  <c r="S116" i="21"/>
  <c r="AV116" i="21" s="1"/>
  <c r="S143" i="21"/>
  <c r="AV143" i="21" s="1"/>
  <c r="S100" i="21"/>
  <c r="AV100" i="21" s="1"/>
  <c r="S144" i="21"/>
  <c r="AV144" i="21" s="1"/>
  <c r="S125" i="21"/>
  <c r="AV125" i="21" s="1"/>
  <c r="S134" i="21"/>
  <c r="S136" i="21"/>
  <c r="S135" i="21"/>
  <c r="AE105" i="21"/>
  <c r="AE107" i="21"/>
  <c r="AE101" i="21"/>
  <c r="AE110" i="21"/>
  <c r="AE106" i="21"/>
  <c r="AE100" i="21"/>
  <c r="AE125" i="21"/>
  <c r="AE113" i="21"/>
  <c r="AE117" i="21"/>
  <c r="AE115" i="21"/>
  <c r="AE109" i="21"/>
  <c r="AE121" i="21"/>
  <c r="AE123" i="21"/>
  <c r="AE99" i="21"/>
  <c r="AE120" i="21"/>
  <c r="AE126" i="21"/>
  <c r="AE119" i="21"/>
  <c r="AE114" i="21"/>
  <c r="AE116" i="21"/>
  <c r="AE127" i="21"/>
  <c r="AE104" i="21"/>
  <c r="AE103" i="21"/>
  <c r="AE118" i="21"/>
  <c r="AE122" i="21"/>
  <c r="AE108" i="21"/>
  <c r="AE111" i="21"/>
  <c r="AE102" i="21"/>
  <c r="AE112" i="21"/>
  <c r="AE124" i="21"/>
  <c r="N3" i="21"/>
  <c r="N2" i="21" s="1"/>
  <c r="L3" i="21"/>
  <c r="L2" i="21" s="1"/>
  <c r="C2" i="19"/>
  <c r="BJ39" i="21" l="1"/>
  <c r="AC44" i="21"/>
  <c r="X44" i="21"/>
  <c r="AC66" i="21"/>
  <c r="X66" i="21" s="1"/>
  <c r="X64" i="21"/>
  <c r="AC71" i="21"/>
  <c r="X71" i="21"/>
  <c r="AC69" i="21"/>
  <c r="X69" i="21" s="1"/>
  <c r="AC41" i="21"/>
  <c r="X41" i="21"/>
  <c r="AC68" i="21"/>
  <c r="X68" i="21" s="1"/>
  <c r="AC40" i="21"/>
  <c r="X40" i="21"/>
  <c r="AC62" i="21"/>
  <c r="X62" i="21"/>
  <c r="AC54" i="21"/>
  <c r="X54" i="21"/>
  <c r="AC53" i="21"/>
  <c r="X53" i="21"/>
  <c r="AC42" i="21"/>
  <c r="X42" i="21"/>
  <c r="AC60" i="21"/>
  <c r="X60" i="21"/>
  <c r="AC67" i="21"/>
  <c r="X67" i="21" s="1"/>
  <c r="AC59" i="21"/>
  <c r="X59" i="21"/>
  <c r="AC65" i="21"/>
  <c r="X65" i="21" s="1"/>
  <c r="AC61" i="21"/>
  <c r="X61" i="21"/>
  <c r="AC48" i="21"/>
  <c r="X48" i="21"/>
  <c r="X112" i="21"/>
  <c r="AC57" i="21"/>
  <c r="BJ47" i="21"/>
  <c r="BK47" i="21" s="1"/>
  <c r="BJ50" i="21"/>
  <c r="BK50" i="21" s="1"/>
  <c r="BJ55" i="21"/>
  <c r="BK55" i="21" s="1"/>
  <c r="BJ46" i="21"/>
  <c r="BK46" i="21" s="1"/>
  <c r="BJ70" i="21"/>
  <c r="BK70" i="21" s="1"/>
  <c r="BK39" i="21"/>
  <c r="BJ53" i="21"/>
  <c r="BK53" i="21" s="1"/>
  <c r="BJ42" i="21"/>
  <c r="BK42" i="21" s="1"/>
  <c r="BJ43" i="21"/>
  <c r="BK43" i="21" s="1"/>
  <c r="BJ57" i="21"/>
  <c r="BK57" i="21" s="1"/>
  <c r="BJ44" i="21"/>
  <c r="BK44" i="21" s="1"/>
  <c r="BJ66" i="21"/>
  <c r="BK66" i="21" s="1"/>
  <c r="AM55" i="21"/>
  <c r="BJ56" i="21"/>
  <c r="BK56" i="21" s="1"/>
  <c r="AM46" i="21"/>
  <c r="AM39" i="21"/>
  <c r="BJ68" i="21"/>
  <c r="BK68" i="21" s="1"/>
  <c r="BJ71" i="21"/>
  <c r="BK71" i="21" s="1"/>
  <c r="BJ58" i="21"/>
  <c r="BK58" i="21" s="1"/>
  <c r="BJ41" i="21"/>
  <c r="BK41" i="21" s="1"/>
  <c r="BJ49" i="21"/>
  <c r="BK49" i="21" s="1"/>
  <c r="BJ64" i="21"/>
  <c r="BK64" i="21" s="1"/>
  <c r="BJ60" i="21"/>
  <c r="BK60" i="21" s="1"/>
  <c r="AM47" i="21"/>
  <c r="AM56" i="21"/>
  <c r="AZ70" i="21"/>
  <c r="BA70" i="21" s="1"/>
  <c r="BJ40" i="21"/>
  <c r="BK40" i="21" s="1"/>
  <c r="BJ67" i="21"/>
  <c r="BK67" i="21" s="1"/>
  <c r="BJ59" i="21"/>
  <c r="BK59" i="21" s="1"/>
  <c r="BJ69" i="21"/>
  <c r="BK69" i="21" s="1"/>
  <c r="BJ54" i="21"/>
  <c r="BK54" i="21" s="1"/>
  <c r="BJ63" i="21"/>
  <c r="BK63" i="21" s="1"/>
  <c r="AC49" i="21"/>
  <c r="AM70" i="21"/>
  <c r="AM63" i="21"/>
  <c r="AM50" i="21"/>
  <c r="AC58" i="21"/>
  <c r="AC43" i="21"/>
  <c r="BJ62" i="21"/>
  <c r="BK62" i="21" s="1"/>
  <c r="BJ48" i="21"/>
  <c r="BK48" i="21" s="1"/>
  <c r="BJ61" i="21"/>
  <c r="BK61" i="21" s="1"/>
  <c r="BJ65" i="21"/>
  <c r="BK65" i="21" s="1"/>
  <c r="BU60" i="21"/>
  <c r="BT60" i="21"/>
  <c r="BV60" i="21"/>
  <c r="BS60" i="21"/>
  <c r="BR60" i="21"/>
  <c r="BP60" i="21"/>
  <c r="BQ60" i="21"/>
  <c r="BO60" i="21"/>
  <c r="BN60" i="21"/>
  <c r="BP52" i="21"/>
  <c r="BO52" i="21"/>
  <c r="BT52" i="21"/>
  <c r="BS52" i="21"/>
  <c r="BN52" i="21"/>
  <c r="BV52" i="21"/>
  <c r="BR52" i="21"/>
  <c r="BU52" i="21"/>
  <c r="BQ52" i="21"/>
  <c r="BQ43" i="21"/>
  <c r="BP43" i="21"/>
  <c r="BO43" i="21"/>
  <c r="BN43" i="21"/>
  <c r="BU43" i="21"/>
  <c r="BT43" i="21"/>
  <c r="BS43" i="21"/>
  <c r="BR43" i="21"/>
  <c r="BV43" i="21"/>
  <c r="BT49" i="21"/>
  <c r="BO49" i="21"/>
  <c r="BV49" i="21"/>
  <c r="BU49" i="21"/>
  <c r="BS49" i="21"/>
  <c r="BR49" i="21"/>
  <c r="BQ49" i="21"/>
  <c r="BP49" i="21"/>
  <c r="BN49" i="21"/>
  <c r="BR50" i="21"/>
  <c r="BQ50" i="21"/>
  <c r="BP50" i="21"/>
  <c r="BU50" i="21"/>
  <c r="BO50" i="21"/>
  <c r="BV50" i="21"/>
  <c r="BN50" i="21"/>
  <c r="BT50" i="21"/>
  <c r="BS50" i="21"/>
  <c r="BQ39" i="21"/>
  <c r="BP39" i="21"/>
  <c r="BV39" i="21"/>
  <c r="BN39" i="21"/>
  <c r="BU39" i="21"/>
  <c r="BO39" i="21"/>
  <c r="BT39" i="21"/>
  <c r="BR39" i="21"/>
  <c r="BS39" i="21"/>
  <c r="BN59" i="21"/>
  <c r="BQ59" i="21"/>
  <c r="BP59" i="21"/>
  <c r="BO59" i="21"/>
  <c r="BR59" i="21"/>
  <c r="BV59" i="21"/>
  <c r="BU59" i="21"/>
  <c r="BT59" i="21"/>
  <c r="BS59" i="21"/>
  <c r="BV70" i="21"/>
  <c r="BN70" i="21"/>
  <c r="BT70" i="21"/>
  <c r="BS70" i="21"/>
  <c r="BU70" i="21"/>
  <c r="BR70" i="21"/>
  <c r="BQ70" i="21"/>
  <c r="BP70" i="21"/>
  <c r="BO70" i="21"/>
  <c r="BT48" i="21"/>
  <c r="BR48" i="21"/>
  <c r="BN48" i="21"/>
  <c r="BU48" i="21"/>
  <c r="BS48" i="21"/>
  <c r="BQ48" i="21"/>
  <c r="BV48" i="21"/>
  <c r="BP48" i="21"/>
  <c r="BO48" i="21"/>
  <c r="BQ58" i="21"/>
  <c r="BV58" i="21"/>
  <c r="BU58" i="21"/>
  <c r="BP58" i="21"/>
  <c r="BO58" i="21"/>
  <c r="BN58" i="21"/>
  <c r="BT58" i="21"/>
  <c r="BS58" i="21"/>
  <c r="BR58" i="21"/>
  <c r="BU42" i="21"/>
  <c r="BT42" i="21"/>
  <c r="BS42" i="21"/>
  <c r="BR42" i="21"/>
  <c r="BQ42" i="21"/>
  <c r="BO42" i="21"/>
  <c r="BV42" i="21"/>
  <c r="BN42" i="21"/>
  <c r="BP42" i="21"/>
  <c r="BQ63" i="21"/>
  <c r="BS63" i="21"/>
  <c r="BP63" i="21"/>
  <c r="BU63" i="21"/>
  <c r="BV63" i="21"/>
  <c r="BN63" i="21"/>
  <c r="BT63" i="21"/>
  <c r="BR63" i="21"/>
  <c r="BO63" i="21"/>
  <c r="BQ64" i="21"/>
  <c r="BP64" i="21"/>
  <c r="BO64" i="21"/>
  <c r="BU64" i="21"/>
  <c r="BT64" i="21"/>
  <c r="BN64" i="21"/>
  <c r="BR64" i="21"/>
  <c r="BS64" i="21"/>
  <c r="BV64" i="21"/>
  <c r="BS62" i="21"/>
  <c r="BR62" i="21"/>
  <c r="BQ62" i="21"/>
  <c r="BP62" i="21"/>
  <c r="BU62" i="21"/>
  <c r="BO62" i="21"/>
  <c r="BN62" i="21"/>
  <c r="BT62" i="21"/>
  <c r="BV62" i="21"/>
  <c r="BU53" i="21"/>
  <c r="BV53" i="21"/>
  <c r="BP53" i="21"/>
  <c r="BT53" i="21"/>
  <c r="BR53" i="21"/>
  <c r="BS53" i="21"/>
  <c r="BQ53" i="21"/>
  <c r="BO53" i="21"/>
  <c r="BN53" i="21"/>
  <c r="BT55" i="21"/>
  <c r="BS55" i="21"/>
  <c r="BR55" i="21"/>
  <c r="BQ55" i="21"/>
  <c r="BU55" i="21"/>
  <c r="BP55" i="21"/>
  <c r="BO55" i="21"/>
  <c r="BN55" i="21"/>
  <c r="BV55" i="21"/>
  <c r="BP68" i="21"/>
  <c r="BV68" i="21"/>
  <c r="BU68" i="21"/>
  <c r="BT68" i="21"/>
  <c r="BO68" i="21"/>
  <c r="BS68" i="21"/>
  <c r="BR68" i="21"/>
  <c r="BQ68" i="21"/>
  <c r="BN68" i="21"/>
  <c r="BV46" i="21"/>
  <c r="BU46" i="21"/>
  <c r="BT46" i="21"/>
  <c r="BN46" i="21"/>
  <c r="BS46" i="21"/>
  <c r="BR46" i="21"/>
  <c r="BQ46" i="21"/>
  <c r="BP46" i="21"/>
  <c r="BO46" i="21"/>
  <c r="BT61" i="21"/>
  <c r="BR61" i="21"/>
  <c r="BS61" i="21"/>
  <c r="BP61" i="21"/>
  <c r="BO61" i="21"/>
  <c r="BU61" i="21"/>
  <c r="BN61" i="21"/>
  <c r="BV61" i="21"/>
  <c r="BQ61" i="21"/>
  <c r="BT69" i="21"/>
  <c r="BV69" i="21"/>
  <c r="BU69" i="21"/>
  <c r="BS69" i="21"/>
  <c r="BR69" i="21"/>
  <c r="BQ69" i="21"/>
  <c r="BP69" i="21"/>
  <c r="BO69" i="21"/>
  <c r="BN69" i="21"/>
  <c r="BU41" i="21"/>
  <c r="BT41" i="21"/>
  <c r="BS41" i="21"/>
  <c r="BP41" i="21"/>
  <c r="BN41" i="21"/>
  <c r="BR41" i="21"/>
  <c r="BQ41" i="21"/>
  <c r="BV41" i="21"/>
  <c r="BO41" i="21"/>
  <c r="BN40" i="21"/>
  <c r="BV40" i="21"/>
  <c r="BU40" i="21"/>
  <c r="BR40" i="21"/>
  <c r="BO40" i="21"/>
  <c r="BQ40" i="21"/>
  <c r="BP40" i="21"/>
  <c r="BT40" i="21"/>
  <c r="BS40" i="21"/>
  <c r="BO66" i="21"/>
  <c r="BN66" i="21"/>
  <c r="BV66" i="21"/>
  <c r="BR66" i="21"/>
  <c r="BQ66" i="21"/>
  <c r="BP66" i="21"/>
  <c r="BU66" i="21"/>
  <c r="BT66" i="21"/>
  <c r="BS66" i="21"/>
  <c r="BQ71" i="21"/>
  <c r="BP71" i="21"/>
  <c r="BO71" i="21"/>
  <c r="BN71" i="21"/>
  <c r="BR71" i="21"/>
  <c r="BT71" i="21"/>
  <c r="BV71" i="21"/>
  <c r="BU71" i="21"/>
  <c r="BS71" i="21"/>
  <c r="BS56" i="21"/>
  <c r="BR56" i="21"/>
  <c r="BQ56" i="21"/>
  <c r="BV56" i="21"/>
  <c r="BT56" i="21"/>
  <c r="BN56" i="21"/>
  <c r="BU56" i="21"/>
  <c r="BO56" i="21"/>
  <c r="BP56" i="21"/>
  <c r="BV67" i="21"/>
  <c r="BO67" i="21"/>
  <c r="BU67" i="21"/>
  <c r="BT67" i="21"/>
  <c r="BN67" i="21"/>
  <c r="BS67" i="21"/>
  <c r="BQ67" i="21"/>
  <c r="BR67" i="21"/>
  <c r="BP67" i="21"/>
  <c r="BS51" i="21"/>
  <c r="BV51" i="21"/>
  <c r="BU51" i="21"/>
  <c r="BT51" i="21"/>
  <c r="BR51" i="21"/>
  <c r="BQ51" i="21"/>
  <c r="BP51" i="21"/>
  <c r="BO51" i="21"/>
  <c r="BN51" i="21"/>
  <c r="BN54" i="21"/>
  <c r="BU54" i="21"/>
  <c r="BV54" i="21"/>
  <c r="BO54" i="21"/>
  <c r="BQ54" i="21"/>
  <c r="BR54" i="21"/>
  <c r="BT54" i="21"/>
  <c r="BS54" i="21"/>
  <c r="BP54" i="21"/>
  <c r="BU47" i="21"/>
  <c r="BT47" i="21"/>
  <c r="BS47" i="21"/>
  <c r="BO47" i="21"/>
  <c r="BQ47" i="21"/>
  <c r="BV47" i="21"/>
  <c r="BP47" i="21"/>
  <c r="BN47" i="21"/>
  <c r="BR47" i="21"/>
  <c r="BO45" i="21"/>
  <c r="BR45" i="21"/>
  <c r="BN45" i="21"/>
  <c r="BU45" i="21"/>
  <c r="BQ45" i="21"/>
  <c r="BP45" i="21"/>
  <c r="BV45" i="21"/>
  <c r="BT45" i="21"/>
  <c r="BS45" i="21"/>
  <c r="BR57" i="21"/>
  <c r="BQ57" i="21"/>
  <c r="BU57" i="21"/>
  <c r="BT57" i="21"/>
  <c r="BP57" i="21"/>
  <c r="BO57" i="21"/>
  <c r="BN57" i="21"/>
  <c r="BS57" i="21"/>
  <c r="BV57" i="21"/>
  <c r="BP65" i="21"/>
  <c r="BN65" i="21"/>
  <c r="BV65" i="21"/>
  <c r="BU65" i="21"/>
  <c r="BQ65" i="21"/>
  <c r="BT65" i="21"/>
  <c r="BS65" i="21"/>
  <c r="BO65" i="21"/>
  <c r="BR65" i="21"/>
  <c r="BV44" i="21"/>
  <c r="BR44" i="21"/>
  <c r="BU44" i="21"/>
  <c r="BS44" i="21"/>
  <c r="BT44" i="21"/>
  <c r="BQ44" i="21"/>
  <c r="BP44" i="21"/>
  <c r="BO44" i="21"/>
  <c r="BN44" i="21"/>
  <c r="X140" i="21"/>
  <c r="X99" i="21"/>
  <c r="X122" i="21"/>
  <c r="X102" i="21"/>
  <c r="X121" i="21"/>
  <c r="X115" i="21"/>
  <c r="X109" i="21"/>
  <c r="X113" i="21"/>
  <c r="X123" i="21"/>
  <c r="X117" i="21"/>
  <c r="X110" i="21"/>
  <c r="X116" i="21"/>
  <c r="X111" i="21"/>
  <c r="X106" i="21"/>
  <c r="X120" i="21"/>
  <c r="X118" i="21"/>
  <c r="X125" i="21"/>
  <c r="X107" i="21"/>
  <c r="X101" i="21"/>
  <c r="X124" i="21"/>
  <c r="AV128" i="21"/>
  <c r="X128" i="21"/>
  <c r="X119" i="21"/>
  <c r="X108" i="21"/>
  <c r="X104" i="21"/>
  <c r="X126" i="21"/>
  <c r="X114" i="21"/>
  <c r="X105" i="21"/>
  <c r="X100" i="21"/>
  <c r="X127" i="21"/>
  <c r="X103" i="21"/>
  <c r="X146" i="21"/>
  <c r="X143" i="21"/>
  <c r="X130" i="21"/>
  <c r="X145" i="21"/>
  <c r="X139" i="21"/>
  <c r="X142" i="21"/>
  <c r="X149" i="21"/>
  <c r="X141" i="21"/>
  <c r="X131" i="21"/>
  <c r="X129" i="21"/>
  <c r="BF107" i="21"/>
  <c r="BH107" i="21"/>
  <c r="BK107" i="21" s="1"/>
  <c r="BF118" i="21"/>
  <c r="BH118" i="21"/>
  <c r="BK118" i="21" s="1"/>
  <c r="BF133" i="21"/>
  <c r="BH133" i="21"/>
  <c r="BK133" i="21" s="1"/>
  <c r="BF104" i="21"/>
  <c r="BH104" i="21"/>
  <c r="BK104" i="21" s="1"/>
  <c r="BF131" i="21"/>
  <c r="BH131" i="21"/>
  <c r="BK131" i="21" s="1"/>
  <c r="BF141" i="21"/>
  <c r="BH141" i="21"/>
  <c r="BK141" i="21" s="1"/>
  <c r="BF148" i="21"/>
  <c r="BH148" i="21"/>
  <c r="BK148" i="21" s="1"/>
  <c r="BF108" i="21"/>
  <c r="BH108" i="21"/>
  <c r="BK108" i="21" s="1"/>
  <c r="BF102" i="21"/>
  <c r="BH102" i="21"/>
  <c r="BK102" i="21" s="1"/>
  <c r="BF142" i="21"/>
  <c r="BH142" i="21"/>
  <c r="BK142" i="21" s="1"/>
  <c r="BF144" i="21"/>
  <c r="BH144" i="21"/>
  <c r="BK144" i="21" s="1"/>
  <c r="BF111" i="21"/>
  <c r="BH111" i="21"/>
  <c r="BK111" i="21" s="1"/>
  <c r="BF146" i="21"/>
  <c r="BH146" i="21"/>
  <c r="BK146" i="21" s="1"/>
  <c r="BF122" i="21"/>
  <c r="BH122" i="21"/>
  <c r="BK122" i="21" s="1"/>
  <c r="BF139" i="21"/>
  <c r="BH139" i="21"/>
  <c r="BK139" i="21" s="1"/>
  <c r="BF112" i="21"/>
  <c r="BH112" i="21"/>
  <c r="BK112" i="21" s="1"/>
  <c r="BF117" i="21"/>
  <c r="BH117" i="21"/>
  <c r="BK117" i="21" s="1"/>
  <c r="BF101" i="21"/>
  <c r="BH101" i="21"/>
  <c r="BK101" i="21" s="1"/>
  <c r="X137" i="21"/>
  <c r="AJ26" i="13"/>
  <c r="AK26" i="13" s="1"/>
  <c r="BF125" i="21"/>
  <c r="BH125" i="21"/>
  <c r="BK125" i="21" s="1"/>
  <c r="BF100" i="21"/>
  <c r="BH100" i="21"/>
  <c r="BK100" i="21" s="1"/>
  <c r="BF115" i="21"/>
  <c r="BH115" i="21"/>
  <c r="BK115" i="21" s="1"/>
  <c r="BF119" i="21"/>
  <c r="BH119" i="21"/>
  <c r="BK119" i="21" s="1"/>
  <c r="BF120" i="21"/>
  <c r="BH120" i="21"/>
  <c r="BK120" i="21" s="1"/>
  <c r="BF128" i="21"/>
  <c r="BH128" i="21"/>
  <c r="BK128" i="21" s="1"/>
  <c r="BF140" i="21"/>
  <c r="BH140" i="21"/>
  <c r="BK140" i="21" s="1"/>
  <c r="BF132" i="21"/>
  <c r="BH132" i="21"/>
  <c r="BK132" i="21" s="1"/>
  <c r="BF143" i="21"/>
  <c r="BH143" i="21"/>
  <c r="BK143" i="21" s="1"/>
  <c r="BF124" i="21"/>
  <c r="BH124" i="21"/>
  <c r="BK124" i="21" s="1"/>
  <c r="BF103" i="21"/>
  <c r="BH103" i="21"/>
  <c r="BK103" i="21" s="1"/>
  <c r="BF127" i="21"/>
  <c r="BH127" i="21"/>
  <c r="BK127" i="21" s="1"/>
  <c r="BF149" i="21"/>
  <c r="BH149" i="21"/>
  <c r="BK149" i="21" s="1"/>
  <c r="BF110" i="21"/>
  <c r="BH110" i="21"/>
  <c r="BK110" i="21" s="1"/>
  <c r="BF145" i="21"/>
  <c r="BH145" i="21"/>
  <c r="BK145" i="21" s="1"/>
  <c r="BF106" i="21"/>
  <c r="BH106" i="21"/>
  <c r="BK106" i="21" s="1"/>
  <c r="BF121" i="21"/>
  <c r="BH121" i="21"/>
  <c r="BK121" i="21" s="1"/>
  <c r="X133" i="21"/>
  <c r="BF130" i="21"/>
  <c r="BH130" i="21"/>
  <c r="BK130" i="21" s="1"/>
  <c r="X148" i="21"/>
  <c r="BF138" i="21"/>
  <c r="BH138" i="21"/>
  <c r="BK138" i="21" s="1"/>
  <c r="BF150" i="21"/>
  <c r="BH150" i="21"/>
  <c r="BK150" i="21" s="1"/>
  <c r="BF129" i="21"/>
  <c r="BH129" i="21"/>
  <c r="BK129" i="21" s="1"/>
  <c r="BF105" i="21"/>
  <c r="BH105" i="21"/>
  <c r="BK105" i="21" s="1"/>
  <c r="BF123" i="21"/>
  <c r="BH123" i="21"/>
  <c r="BK123" i="21" s="1"/>
  <c r="BF109" i="21"/>
  <c r="BH109" i="21"/>
  <c r="BK109" i="21" s="1"/>
  <c r="BF113" i="21"/>
  <c r="BH113" i="21"/>
  <c r="BK113" i="21" s="1"/>
  <c r="X135" i="21"/>
  <c r="AV135" i="21"/>
  <c r="X136" i="21"/>
  <c r="AV136" i="21"/>
  <c r="BF114" i="21"/>
  <c r="BH114" i="21"/>
  <c r="BK114" i="21" s="1"/>
  <c r="BH99" i="21"/>
  <c r="BK99" i="21" s="1"/>
  <c r="BF126" i="21"/>
  <c r="BH126" i="21"/>
  <c r="BK126" i="21" s="1"/>
  <c r="BF147" i="21"/>
  <c r="BH147" i="21"/>
  <c r="BK147" i="21" s="1"/>
  <c r="BF137" i="21"/>
  <c r="BH137" i="21"/>
  <c r="BK137" i="21" s="1"/>
  <c r="BF116" i="21"/>
  <c r="BH116" i="21"/>
  <c r="BK116" i="21" s="1"/>
  <c r="X134" i="21"/>
  <c r="AV134" i="21"/>
  <c r="X150" i="21"/>
  <c r="X138" i="21"/>
  <c r="X144" i="21"/>
  <c r="X147" i="21"/>
  <c r="X132" i="21"/>
  <c r="AC56" i="21" l="1"/>
  <c r="X56" i="21"/>
  <c r="AC47" i="21"/>
  <c r="X47" i="21"/>
  <c r="AC63" i="21"/>
  <c r="X63" i="21"/>
  <c r="AC70" i="21"/>
  <c r="X70" i="21" s="1"/>
  <c r="AC39" i="21"/>
  <c r="X39" i="21"/>
  <c r="AC46" i="21"/>
  <c r="X46" i="21"/>
  <c r="AC55" i="21"/>
  <c r="X55" i="21"/>
  <c r="AC50" i="21"/>
  <c r="X50" i="21"/>
  <c r="BM51" i="21"/>
  <c r="BW51" i="21" s="1"/>
  <c r="BM64" i="21"/>
  <c r="BW64" i="21" s="1"/>
  <c r="BM44" i="21"/>
  <c r="BW44" i="21" s="1"/>
  <c r="BM54" i="21"/>
  <c r="BW54" i="21" s="1"/>
  <c r="BM52" i="21"/>
  <c r="BW52" i="21" s="1"/>
  <c r="BM46" i="21"/>
  <c r="BW46" i="21" s="1"/>
  <c r="BM49" i="21"/>
  <c r="BW49" i="21" s="1"/>
  <c r="BM45" i="21"/>
  <c r="BW45" i="21" s="1"/>
  <c r="BM62" i="21"/>
  <c r="BW62" i="21" s="1"/>
  <c r="BM48" i="21"/>
  <c r="BW48" i="21" s="1"/>
  <c r="BM56" i="21"/>
  <c r="BW56" i="21" s="1"/>
  <c r="BM61" i="21"/>
  <c r="BW61" i="21" s="1"/>
  <c r="BM55" i="21"/>
  <c r="BW55" i="21" s="1"/>
  <c r="BM41" i="21"/>
  <c r="BW41" i="21" s="1"/>
  <c r="BM68" i="21"/>
  <c r="BW68" i="21" s="1"/>
  <c r="BM63" i="21"/>
  <c r="BW63" i="21" s="1"/>
  <c r="BM50" i="21"/>
  <c r="BW50" i="21" s="1"/>
  <c r="BM60" i="21"/>
  <c r="BW60" i="21" s="1"/>
  <c r="BM70" i="21"/>
  <c r="BW70" i="21" s="1"/>
  <c r="BM65" i="21"/>
  <c r="BW65" i="21" s="1"/>
  <c r="BM66" i="21"/>
  <c r="BW66" i="21" s="1"/>
  <c r="BM53" i="21"/>
  <c r="BW53" i="21" s="1"/>
  <c r="BM58" i="21"/>
  <c r="BW58" i="21" s="1"/>
  <c r="BM59" i="21"/>
  <c r="BW59" i="21" s="1"/>
  <c r="BM43" i="21"/>
  <c r="BW43" i="21" s="1"/>
  <c r="BM67" i="21"/>
  <c r="BW67" i="21" s="1"/>
  <c r="BM69" i="21"/>
  <c r="BW69" i="21" s="1"/>
  <c r="BM47" i="21"/>
  <c r="BW47" i="21" s="1"/>
  <c r="BM71" i="21"/>
  <c r="BW71" i="21" s="1"/>
  <c r="BM57" i="21"/>
  <c r="BW57" i="21" s="1"/>
  <c r="BM42" i="21"/>
  <c r="BW42" i="21" s="1"/>
  <c r="BM40" i="21"/>
  <c r="BW40" i="21" s="1"/>
  <c r="BM39" i="21"/>
  <c r="BW39" i="21" s="1"/>
  <c r="AJ20" i="13"/>
  <c r="AK20" i="13" s="1"/>
  <c r="AJ36" i="21"/>
  <c r="AJ34" i="21"/>
  <c r="AJ33" i="21"/>
  <c r="AJ29" i="21"/>
  <c r="AJ27" i="21"/>
  <c r="AJ24" i="21"/>
  <c r="AJ38" i="21"/>
  <c r="AJ15" i="21"/>
  <c r="AJ14" i="21"/>
  <c r="AJ12" i="21"/>
  <c r="AJ8" i="21"/>
  <c r="AW42" i="12"/>
  <c r="AW39" i="12"/>
  <c r="AW36" i="12"/>
  <c r="AW35" i="12"/>
  <c r="AW34" i="12"/>
  <c r="AW32" i="12"/>
  <c r="AW26" i="12"/>
  <c r="AW23" i="12"/>
  <c r="AW20" i="12"/>
  <c r="AW19" i="12"/>
  <c r="AW18" i="12"/>
  <c r="AW16" i="12"/>
  <c r="AW10" i="12"/>
  <c r="AW31" i="12" l="1"/>
  <c r="AJ18" i="21"/>
  <c r="AJ19" i="21"/>
  <c r="AW15" i="12"/>
  <c r="AJ28" i="13"/>
  <c r="AK28" i="13" s="1"/>
  <c r="AW14" i="12"/>
  <c r="AW30" i="12"/>
  <c r="AW46" i="12"/>
  <c r="AW8" i="12"/>
  <c r="AX8" i="21" s="1"/>
  <c r="AW24" i="12"/>
  <c r="AW9" i="12"/>
  <c r="AW25" i="12"/>
  <c r="AW41" i="12"/>
  <c r="AW40" i="12"/>
  <c r="AW17" i="12"/>
  <c r="AW33" i="12"/>
  <c r="AZ3" i="21"/>
  <c r="AJ34" i="13"/>
  <c r="AK34" i="13" s="1"/>
  <c r="AJ13" i="13"/>
  <c r="AK13" i="13" s="1"/>
  <c r="AJ16" i="13"/>
  <c r="AK16" i="13" s="1"/>
  <c r="AW11" i="12"/>
  <c r="AW27" i="12"/>
  <c r="AW43" i="12"/>
  <c r="AW38" i="12"/>
  <c r="AW28" i="12"/>
  <c r="AW44" i="12"/>
  <c r="AW12" i="12"/>
  <c r="AW13" i="12"/>
  <c r="AW29" i="12"/>
  <c r="AW45" i="12"/>
  <c r="AW21" i="12"/>
  <c r="AW37" i="12"/>
  <c r="AW22" i="12"/>
  <c r="AP25" i="12"/>
  <c r="AP41" i="12"/>
  <c r="AP9" i="12"/>
  <c r="AP42" i="12"/>
  <c r="AP27" i="12"/>
  <c r="AP43" i="12"/>
  <c r="AP23" i="12"/>
  <c r="AP10" i="12"/>
  <c r="AP12" i="12"/>
  <c r="AP46" i="12"/>
  <c r="AP30" i="12"/>
  <c r="AP39" i="12"/>
  <c r="AP45" i="12"/>
  <c r="AP40" i="12"/>
  <c r="AP44" i="12"/>
  <c r="AP32" i="12"/>
  <c r="AP28" i="12"/>
  <c r="AP18" i="12"/>
  <c r="AP29" i="12"/>
  <c r="AP16" i="12"/>
  <c r="AP34" i="12"/>
  <c r="AP11" i="12"/>
  <c r="AP31" i="12"/>
  <c r="AP19" i="12"/>
  <c r="AP20" i="12"/>
  <c r="AP26" i="12"/>
  <c r="AP14" i="12"/>
  <c r="AP33" i="12"/>
  <c r="AQ36" i="21"/>
  <c r="AP35" i="12"/>
  <c r="AQ23" i="21"/>
  <c r="AP21" i="12"/>
  <c r="AP37" i="12"/>
  <c r="AP24" i="12"/>
  <c r="AP13" i="12"/>
  <c r="AP15" i="12"/>
  <c r="AP17" i="12"/>
  <c r="AP36" i="12"/>
  <c r="AP22" i="12"/>
  <c r="AP38" i="12"/>
  <c r="P8" i="21"/>
  <c r="AP8" i="12"/>
  <c r="AJ28" i="21"/>
  <c r="AJ17" i="21"/>
  <c r="AJ21" i="21"/>
  <c r="AJ25" i="21"/>
  <c r="AJ22" i="21"/>
  <c r="AJ23" i="21"/>
  <c r="AJ26" i="21"/>
  <c r="AJ10" i="21"/>
  <c r="AJ20" i="21"/>
  <c r="AJ31" i="21"/>
  <c r="AJ11" i="21"/>
  <c r="AJ32" i="21"/>
  <c r="AJ13" i="21"/>
  <c r="AJ30" i="21"/>
  <c r="AJ35" i="21"/>
  <c r="AJ16" i="21"/>
  <c r="AJ37" i="21"/>
  <c r="AJ9" i="21"/>
  <c r="P17" i="21"/>
  <c r="P37" i="21"/>
  <c r="AD11" i="12"/>
  <c r="AD27" i="12"/>
  <c r="AD42" i="12"/>
  <c r="AD12" i="12"/>
  <c r="AD28" i="12"/>
  <c r="AD43" i="12"/>
  <c r="AD13" i="12"/>
  <c r="AD29" i="12"/>
  <c r="AD44" i="12"/>
  <c r="AD14" i="12"/>
  <c r="AD30" i="12"/>
  <c r="AD45" i="12"/>
  <c r="AD15" i="12"/>
  <c r="AD46" i="12"/>
  <c r="AD16" i="12"/>
  <c r="AD31" i="12"/>
  <c r="AD17" i="12"/>
  <c r="AD32" i="12"/>
  <c r="AD18" i="12"/>
  <c r="AD33" i="12"/>
  <c r="AD19" i="12"/>
  <c r="AD34" i="12"/>
  <c r="AD20" i="12"/>
  <c r="AD35" i="12"/>
  <c r="AD21" i="12"/>
  <c r="AD36" i="12"/>
  <c r="AD22" i="12"/>
  <c r="AD37" i="12"/>
  <c r="AD23" i="12"/>
  <c r="AD38" i="12"/>
  <c r="AD8" i="12"/>
  <c r="AD24" i="12"/>
  <c r="AD39" i="12"/>
  <c r="AD9" i="12"/>
  <c r="AD25" i="12"/>
  <c r="AD40" i="12"/>
  <c r="AD10" i="12"/>
  <c r="AD26" i="12"/>
  <c r="AD41" i="12"/>
  <c r="P22" i="21"/>
  <c r="P25" i="21"/>
  <c r="P11" i="21"/>
  <c r="P15" i="21"/>
  <c r="P38" i="21"/>
  <c r="P28" i="21"/>
  <c r="P20" i="21"/>
  <c r="P19" i="21"/>
  <c r="P33" i="21"/>
  <c r="P31" i="21"/>
  <c r="P14" i="21"/>
  <c r="P23" i="21"/>
  <c r="P16" i="21"/>
  <c r="P34" i="21"/>
  <c r="P21" i="21"/>
  <c r="P13" i="21"/>
  <c r="P30" i="21"/>
  <c r="P10" i="21"/>
  <c r="P24" i="21"/>
  <c r="P32" i="21"/>
  <c r="P12" i="21"/>
  <c r="P35" i="21"/>
  <c r="P36" i="21"/>
  <c r="P26" i="21"/>
  <c r="P18" i="21"/>
  <c r="P27" i="21"/>
  <c r="P29" i="21"/>
  <c r="P9" i="21"/>
  <c r="H2" i="18"/>
  <c r="AQ33" i="21" l="1"/>
  <c r="AQ12" i="21"/>
  <c r="AQ18" i="21"/>
  <c r="AQ34" i="21"/>
  <c r="AQ15" i="21"/>
  <c r="AQ8" i="21"/>
  <c r="AQ27" i="21"/>
  <c r="AQ24" i="21"/>
  <c r="AQ29" i="21"/>
  <c r="AQ14" i="21"/>
  <c r="AQ19" i="21"/>
  <c r="AQ38" i="21"/>
  <c r="BC31" i="21"/>
  <c r="BH31" i="21" s="1"/>
  <c r="BC35" i="21"/>
  <c r="BC32" i="21"/>
  <c r="BH32" i="21" s="1"/>
  <c r="BC25" i="21"/>
  <c r="BH25" i="21" s="1"/>
  <c r="BC10" i="21"/>
  <c r="BH10" i="21" s="1"/>
  <c r="BC30" i="21"/>
  <c r="BH30" i="21" s="1"/>
  <c r="BC13" i="21"/>
  <c r="BH13" i="21" s="1"/>
  <c r="BC28" i="21"/>
  <c r="BH28" i="21" s="1"/>
  <c r="BC37" i="21"/>
  <c r="BC22" i="21"/>
  <c r="BH22" i="21" s="1"/>
  <c r="BC17" i="21"/>
  <c r="BH17" i="21" s="1"/>
  <c r="BC21" i="21"/>
  <c r="BH21" i="21" s="1"/>
  <c r="BC16" i="21"/>
  <c r="BH16" i="21" s="1"/>
  <c r="BC23" i="21"/>
  <c r="BH23" i="21" s="1"/>
  <c r="BC9" i="21"/>
  <c r="BH9" i="21" s="1"/>
  <c r="BC26" i="21"/>
  <c r="BH26" i="21" s="1"/>
  <c r="BC20" i="21"/>
  <c r="BH20" i="21" s="1"/>
  <c r="BC11" i="21"/>
  <c r="BH11" i="21" s="1"/>
  <c r="AE33" i="21"/>
  <c r="U33" i="21" s="1"/>
  <c r="BC33" i="21"/>
  <c r="AE34" i="21"/>
  <c r="U34" i="21" s="1"/>
  <c r="BC34" i="21"/>
  <c r="AE19" i="21"/>
  <c r="U19" i="21" s="1"/>
  <c r="BC19" i="21"/>
  <c r="AE38" i="21"/>
  <c r="U38" i="21" s="1"/>
  <c r="BC38" i="21"/>
  <c r="AE8" i="21"/>
  <c r="U8" i="21" s="1"/>
  <c r="BC8" i="21"/>
  <c r="AE29" i="21"/>
  <c r="U29" i="21" s="1"/>
  <c r="BC29" i="21"/>
  <c r="AE27" i="21"/>
  <c r="U27" i="21" s="1"/>
  <c r="BC27" i="21"/>
  <c r="AE15" i="21"/>
  <c r="U15" i="21" s="1"/>
  <c r="BC15" i="21"/>
  <c r="AE18" i="21"/>
  <c r="U18" i="21" s="1"/>
  <c r="BC18" i="21"/>
  <c r="AE14" i="21"/>
  <c r="U14" i="21" s="1"/>
  <c r="BC14" i="21"/>
  <c r="AE36" i="21"/>
  <c r="U36" i="21" s="1"/>
  <c r="BC36" i="21"/>
  <c r="AE12" i="21"/>
  <c r="U12" i="21" s="1"/>
  <c r="BC12" i="21"/>
  <c r="AE24" i="21"/>
  <c r="U24" i="21" s="1"/>
  <c r="BC24" i="21"/>
  <c r="AQ37" i="21"/>
  <c r="AE23" i="21"/>
  <c r="U23" i="21" s="1"/>
  <c r="AQ13" i="21"/>
  <c r="AQ11" i="21"/>
  <c r="AQ17" i="21"/>
  <c r="AQ25" i="21"/>
  <c r="AQ16" i="21"/>
  <c r="AX18" i="21"/>
  <c r="AQ20" i="21"/>
  <c r="AX23" i="21"/>
  <c r="AX29" i="21"/>
  <c r="AX14" i="21"/>
  <c r="AX25" i="21"/>
  <c r="AX34" i="21"/>
  <c r="AX20" i="21"/>
  <c r="AQ28" i="21"/>
  <c r="AX16" i="21"/>
  <c r="AX33" i="21"/>
  <c r="AX30" i="21"/>
  <c r="AX36" i="21"/>
  <c r="AQ30" i="21"/>
  <c r="AX28" i="21"/>
  <c r="AX15" i="21"/>
  <c r="AX21" i="21"/>
  <c r="AX35" i="21"/>
  <c r="AX10" i="21"/>
  <c r="AX37" i="21"/>
  <c r="AX26" i="21"/>
  <c r="AX27" i="21"/>
  <c r="AQ21" i="21"/>
  <c r="AQ35" i="21"/>
  <c r="AQ10" i="21"/>
  <c r="AX31" i="21"/>
  <c r="AX38" i="21"/>
  <c r="AQ26" i="21"/>
  <c r="AX32" i="21"/>
  <c r="AQ31" i="21"/>
  <c r="AQ32" i="21"/>
  <c r="AX19" i="21"/>
  <c r="AX13" i="21"/>
  <c r="AX24" i="21"/>
  <c r="AX9" i="21"/>
  <c r="AQ9" i="21"/>
  <c r="AX22" i="21"/>
  <c r="AX17" i="21"/>
  <c r="AX12" i="21"/>
  <c r="AX11" i="21"/>
  <c r="AQ22" i="21"/>
  <c r="AE21" i="21"/>
  <c r="U21" i="21" s="1"/>
  <c r="AE17" i="21"/>
  <c r="U17" i="21" s="1"/>
  <c r="AE22" i="21"/>
  <c r="U22" i="21" s="1"/>
  <c r="AE28" i="21"/>
  <c r="U28" i="21" s="1"/>
  <c r="AE25" i="21"/>
  <c r="U25" i="21" s="1"/>
  <c r="AE26" i="21"/>
  <c r="U26" i="21" s="1"/>
  <c r="AE20" i="21"/>
  <c r="U20" i="21" s="1"/>
  <c r="AE10" i="21"/>
  <c r="U10" i="21" s="1"/>
  <c r="AE30" i="21"/>
  <c r="U30" i="21" s="1"/>
  <c r="AE31" i="21"/>
  <c r="U31" i="21" s="1"/>
  <c r="AE11" i="21"/>
  <c r="U11" i="21" s="1"/>
  <c r="AE13" i="21"/>
  <c r="U13" i="21" s="1"/>
  <c r="AE35" i="21"/>
  <c r="U35" i="21" s="1"/>
  <c r="AE32" i="21"/>
  <c r="U32" i="21" s="1"/>
  <c r="AE16" i="21"/>
  <c r="U16" i="21" s="1"/>
  <c r="AE37" i="21"/>
  <c r="U37" i="21" s="1"/>
  <c r="AJ3" i="21"/>
  <c r="AE9" i="21"/>
  <c r="U9" i="21" s="1"/>
  <c r="P3" i="21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M44" i="12" l="1"/>
  <c r="M17" i="12"/>
  <c r="M18" i="12"/>
  <c r="M43" i="12"/>
  <c r="M14" i="12"/>
  <c r="M27" i="12"/>
  <c r="M16" i="12"/>
  <c r="M20" i="12"/>
  <c r="M36" i="12"/>
  <c r="M46" i="12"/>
  <c r="M34" i="12"/>
  <c r="M37" i="12"/>
  <c r="M33" i="12"/>
  <c r="M11" i="12"/>
  <c r="M12" i="12"/>
  <c r="M28" i="12"/>
  <c r="M13" i="12"/>
  <c r="M29" i="12"/>
  <c r="M15" i="12"/>
  <c r="M31" i="12"/>
  <c r="M32" i="12"/>
  <c r="M19" i="12"/>
  <c r="M35" i="12"/>
  <c r="M21" i="12"/>
  <c r="M22" i="12"/>
  <c r="M39" i="12"/>
  <c r="M24" i="12"/>
  <c r="M40" i="12"/>
  <c r="M9" i="12"/>
  <c r="M41" i="12"/>
  <c r="M45" i="12"/>
  <c r="M30" i="12"/>
  <c r="M38" i="12"/>
  <c r="M23" i="12"/>
  <c r="M10" i="12"/>
  <c r="M26" i="12"/>
  <c r="M42" i="12"/>
  <c r="BH37" i="21"/>
  <c r="BH35" i="21"/>
  <c r="K8" i="21"/>
  <c r="Q8" i="21" s="1"/>
  <c r="BD8" i="21" s="1"/>
  <c r="M8" i="12"/>
  <c r="K19" i="21"/>
  <c r="Q19" i="21" s="1"/>
  <c r="M25" i="12"/>
  <c r="BH36" i="21"/>
  <c r="BH19" i="21"/>
  <c r="BH18" i="21"/>
  <c r="BH29" i="21"/>
  <c r="BH15" i="21"/>
  <c r="BH34" i="21"/>
  <c r="BH24" i="21"/>
  <c r="BC3" i="21"/>
  <c r="BH8" i="21"/>
  <c r="BH14" i="21"/>
  <c r="BH33" i="21"/>
  <c r="BH27" i="21"/>
  <c r="BH12" i="21"/>
  <c r="BH38" i="21"/>
  <c r="AQ3" i="21"/>
  <c r="AX3" i="21"/>
  <c r="K36" i="21"/>
  <c r="Q36" i="21" s="1"/>
  <c r="K21" i="21"/>
  <c r="Q21" i="21" s="1"/>
  <c r="K37" i="21"/>
  <c r="Q37" i="21" s="1"/>
  <c r="K35" i="21"/>
  <c r="Q35" i="21" s="1"/>
  <c r="K10" i="21"/>
  <c r="Q10" i="21" s="1"/>
  <c r="K20" i="21"/>
  <c r="Q20" i="21" s="1"/>
  <c r="K31" i="21"/>
  <c r="Q31" i="21" s="1"/>
  <c r="K11" i="21"/>
  <c r="Q11" i="21" s="1"/>
  <c r="K28" i="21"/>
  <c r="Q28" i="21" s="1"/>
  <c r="K32" i="21"/>
  <c r="Q32" i="21" s="1"/>
  <c r="K33" i="21"/>
  <c r="Q33" i="21" s="1"/>
  <c r="K22" i="21"/>
  <c r="Q22" i="21" s="1"/>
  <c r="K23" i="21"/>
  <c r="Q23" i="21" s="1"/>
  <c r="K25" i="21"/>
  <c r="Q25" i="21" s="1"/>
  <c r="K38" i="21"/>
  <c r="Q38" i="21" s="1"/>
  <c r="K15" i="21"/>
  <c r="Q15" i="21" s="1"/>
  <c r="K17" i="21"/>
  <c r="Q17" i="21" s="1"/>
  <c r="K18" i="21"/>
  <c r="Q18" i="21" s="1"/>
  <c r="K27" i="21"/>
  <c r="Q27" i="21" s="1"/>
  <c r="K34" i="21"/>
  <c r="Q34" i="21" s="1"/>
  <c r="K13" i="21"/>
  <c r="Q13" i="21" s="1"/>
  <c r="K24" i="21"/>
  <c r="Q24" i="21" s="1"/>
  <c r="K29" i="21"/>
  <c r="Q29" i="21" s="1"/>
  <c r="K9" i="21"/>
  <c r="Q9" i="21" s="1"/>
  <c r="K30" i="21"/>
  <c r="Q30" i="21" s="1"/>
  <c r="K16" i="21"/>
  <c r="Q16" i="21" s="1"/>
  <c r="K12" i="21"/>
  <c r="Q12" i="21" s="1"/>
  <c r="K14" i="21"/>
  <c r="Q14" i="21" s="1"/>
  <c r="K26" i="21"/>
  <c r="Q26" i="21" s="1"/>
  <c r="GC141" i="1"/>
  <c r="GD141" i="1" s="1"/>
  <c r="GC140" i="1"/>
  <c r="GD140" i="1" s="1"/>
  <c r="GC139" i="1"/>
  <c r="GD139" i="1" s="1"/>
  <c r="GC138" i="1"/>
  <c r="GD138" i="1" s="1"/>
  <c r="GC137" i="1"/>
  <c r="GD137" i="1" s="1"/>
  <c r="GC136" i="1"/>
  <c r="GD136" i="1" s="1"/>
  <c r="GC135" i="1"/>
  <c r="GD135" i="1" s="1"/>
  <c r="GC134" i="1"/>
  <c r="GD134" i="1" s="1"/>
  <c r="GC133" i="1"/>
  <c r="GD133" i="1" s="1"/>
  <c r="GC132" i="1"/>
  <c r="GD132" i="1" s="1"/>
  <c r="GC131" i="1"/>
  <c r="GD131" i="1" s="1"/>
  <c r="GC130" i="1"/>
  <c r="GD130" i="1" s="1"/>
  <c r="GC129" i="1"/>
  <c r="GD129" i="1" s="1"/>
  <c r="GC128" i="1"/>
  <c r="GD128" i="1" s="1"/>
  <c r="GC127" i="1"/>
  <c r="GD127" i="1" s="1"/>
  <c r="GC126" i="1"/>
  <c r="GD126" i="1" s="1"/>
  <c r="GC125" i="1"/>
  <c r="GD125" i="1" s="1"/>
  <c r="GC124" i="1"/>
  <c r="GD124" i="1" s="1"/>
  <c r="GC123" i="1"/>
  <c r="GD123" i="1" s="1"/>
  <c r="GC122" i="1"/>
  <c r="GD122" i="1" s="1"/>
  <c r="GC121" i="1"/>
  <c r="GD121" i="1" s="1"/>
  <c r="GC120" i="1"/>
  <c r="GD120" i="1" s="1"/>
  <c r="GC119" i="1"/>
  <c r="GD119" i="1" s="1"/>
  <c r="GC118" i="1"/>
  <c r="GD118" i="1" s="1"/>
  <c r="GC117" i="1"/>
  <c r="GD117" i="1" s="1"/>
  <c r="GC116" i="1"/>
  <c r="GD116" i="1" s="1"/>
  <c r="GC115" i="1"/>
  <c r="GD115" i="1" s="1"/>
  <c r="GC114" i="1"/>
  <c r="GD114" i="1" s="1"/>
  <c r="GC113" i="1"/>
  <c r="GD113" i="1" s="1"/>
  <c r="GC112" i="1"/>
  <c r="GD112" i="1" s="1"/>
  <c r="GC111" i="1"/>
  <c r="GD111" i="1" s="1"/>
  <c r="GC110" i="1"/>
  <c r="GD110" i="1" s="1"/>
  <c r="GC109" i="1"/>
  <c r="GD109" i="1" s="1"/>
  <c r="GC108" i="1"/>
  <c r="GD108" i="1" s="1"/>
  <c r="GC107" i="1"/>
  <c r="GD107" i="1" s="1"/>
  <c r="GC106" i="1"/>
  <c r="GD106" i="1" s="1"/>
  <c r="GC105" i="1"/>
  <c r="GD105" i="1" s="1"/>
  <c r="GC104" i="1"/>
  <c r="GD104" i="1" s="1"/>
  <c r="GC103" i="1"/>
  <c r="GD103" i="1" s="1"/>
  <c r="GC102" i="1"/>
  <c r="GD102" i="1" s="1"/>
  <c r="GC101" i="1"/>
  <c r="GD101" i="1" s="1"/>
  <c r="GC100" i="1"/>
  <c r="GD100" i="1" s="1"/>
  <c r="GC99" i="1"/>
  <c r="GD99" i="1" s="1"/>
  <c r="GC98" i="1"/>
  <c r="GD98" i="1" s="1"/>
  <c r="GC97" i="1"/>
  <c r="GD97" i="1" s="1"/>
  <c r="GC96" i="1"/>
  <c r="GD96" i="1" s="1"/>
  <c r="GC95" i="1"/>
  <c r="GD95" i="1" s="1"/>
  <c r="GC94" i="1"/>
  <c r="GD94" i="1" s="1"/>
  <c r="GC93" i="1"/>
  <c r="GD93" i="1" s="1"/>
  <c r="GC92" i="1"/>
  <c r="GD92" i="1" s="1"/>
  <c r="GC91" i="1"/>
  <c r="GD91" i="1" s="1"/>
  <c r="GC90" i="1"/>
  <c r="GD90" i="1" s="1"/>
  <c r="GC89" i="1"/>
  <c r="GD89" i="1" s="1"/>
  <c r="GC88" i="1"/>
  <c r="GD88" i="1" s="1"/>
  <c r="GC87" i="1"/>
  <c r="GD87" i="1" s="1"/>
  <c r="GC86" i="1"/>
  <c r="GD86" i="1" s="1"/>
  <c r="GC85" i="1"/>
  <c r="GD85" i="1" s="1"/>
  <c r="GC84" i="1"/>
  <c r="GD84" i="1" s="1"/>
  <c r="GC83" i="1"/>
  <c r="GD83" i="1" s="1"/>
  <c r="GC82" i="1"/>
  <c r="GD82" i="1" s="1"/>
  <c r="GC81" i="1"/>
  <c r="GD81" i="1" s="1"/>
  <c r="GC80" i="1"/>
  <c r="GD80" i="1" s="1"/>
  <c r="GC79" i="1"/>
  <c r="GD79" i="1" s="1"/>
  <c r="GC78" i="1"/>
  <c r="GD78" i="1" s="1"/>
  <c r="GC77" i="1"/>
  <c r="GD77" i="1" s="1"/>
  <c r="GC76" i="1"/>
  <c r="GD76" i="1" s="1"/>
  <c r="GC75" i="1"/>
  <c r="GD75" i="1" s="1"/>
  <c r="GC74" i="1"/>
  <c r="GD74" i="1" s="1"/>
  <c r="GC73" i="1"/>
  <c r="GD73" i="1" s="1"/>
  <c r="GC72" i="1"/>
  <c r="GD72" i="1" s="1"/>
  <c r="GC71" i="1"/>
  <c r="GD71" i="1" s="1"/>
  <c r="GC70" i="1"/>
  <c r="GD70" i="1" s="1"/>
  <c r="GC69" i="1"/>
  <c r="GD69" i="1" s="1"/>
  <c r="GC68" i="1"/>
  <c r="GD68" i="1" s="1"/>
  <c r="GC67" i="1"/>
  <c r="GD67" i="1" s="1"/>
  <c r="GC66" i="1"/>
  <c r="GD66" i="1" s="1"/>
  <c r="GC65" i="1"/>
  <c r="GD65" i="1" s="1"/>
  <c r="GC64" i="1"/>
  <c r="GD64" i="1" s="1"/>
  <c r="GC63" i="1"/>
  <c r="GD63" i="1" s="1"/>
  <c r="GC62" i="1"/>
  <c r="GD62" i="1" s="1"/>
  <c r="GC61" i="1"/>
  <c r="GD61" i="1" s="1"/>
  <c r="GC60" i="1"/>
  <c r="GD60" i="1" s="1"/>
  <c r="GC59" i="1"/>
  <c r="GD59" i="1" s="1"/>
  <c r="GC58" i="1"/>
  <c r="GD58" i="1" s="1"/>
  <c r="GC57" i="1"/>
  <c r="GD57" i="1" s="1"/>
  <c r="GC56" i="1"/>
  <c r="GD56" i="1" s="1"/>
  <c r="GC55" i="1"/>
  <c r="GD55" i="1" s="1"/>
  <c r="GC54" i="1"/>
  <c r="GD54" i="1" s="1"/>
  <c r="GC53" i="1"/>
  <c r="GD53" i="1" s="1"/>
  <c r="GC52" i="1"/>
  <c r="GD52" i="1" s="1"/>
  <c r="GC51" i="1"/>
  <c r="GD51" i="1" s="1"/>
  <c r="GC50" i="1"/>
  <c r="GD50" i="1" s="1"/>
  <c r="GC49" i="1"/>
  <c r="GD49" i="1" s="1"/>
  <c r="GC48" i="1"/>
  <c r="GD48" i="1" s="1"/>
  <c r="GC47" i="1"/>
  <c r="GD47" i="1" s="1"/>
  <c r="GC46" i="1"/>
  <c r="GD46" i="1" s="1"/>
  <c r="GC45" i="1"/>
  <c r="GD45" i="1" s="1"/>
  <c r="GC44" i="1"/>
  <c r="GD44" i="1" s="1"/>
  <c r="GC43" i="1"/>
  <c r="GD43" i="1" s="1"/>
  <c r="GC42" i="1"/>
  <c r="GD42" i="1" s="1"/>
  <c r="GC41" i="1"/>
  <c r="GD41" i="1" s="1"/>
  <c r="GC40" i="1"/>
  <c r="GD40" i="1" s="1"/>
  <c r="GC39" i="1"/>
  <c r="GD39" i="1" s="1"/>
  <c r="GC38" i="1"/>
  <c r="GD38" i="1" s="1"/>
  <c r="GC37" i="1"/>
  <c r="GD37" i="1" s="1"/>
  <c r="GC36" i="1"/>
  <c r="GD36" i="1" s="1"/>
  <c r="GC35" i="1"/>
  <c r="GD35" i="1" s="1"/>
  <c r="GC34" i="1"/>
  <c r="GD34" i="1" s="1"/>
  <c r="GC33" i="1"/>
  <c r="GD33" i="1" s="1"/>
  <c r="GC32" i="1"/>
  <c r="GD32" i="1" s="1"/>
  <c r="GC31" i="1"/>
  <c r="GD31" i="1" s="1"/>
  <c r="GC30" i="1"/>
  <c r="GD30" i="1" s="1"/>
  <c r="GC29" i="1"/>
  <c r="GD29" i="1" s="1"/>
  <c r="GC28" i="1"/>
  <c r="GD28" i="1" s="1"/>
  <c r="GC27" i="1"/>
  <c r="GD27" i="1" s="1"/>
  <c r="GC26" i="1"/>
  <c r="GD26" i="1" s="1"/>
  <c r="GC25" i="1"/>
  <c r="GD25" i="1" s="1"/>
  <c r="GC24" i="1"/>
  <c r="GD24" i="1" s="1"/>
  <c r="GC23" i="1"/>
  <c r="GD23" i="1" s="1"/>
  <c r="GC22" i="1"/>
  <c r="GD22" i="1" s="1"/>
  <c r="GC21" i="1"/>
  <c r="GD21" i="1" s="1"/>
  <c r="GC20" i="1"/>
  <c r="GD20" i="1" s="1"/>
  <c r="GC19" i="1"/>
  <c r="GD19" i="1" s="1"/>
  <c r="GC18" i="1"/>
  <c r="GD18" i="1" s="1"/>
  <c r="GC17" i="1"/>
  <c r="GD17" i="1" s="1"/>
  <c r="GC16" i="1"/>
  <c r="GD16" i="1" s="1"/>
  <c r="GC15" i="1"/>
  <c r="GD15" i="1" s="1"/>
  <c r="GC14" i="1"/>
  <c r="GD14" i="1" s="1"/>
  <c r="GC13" i="1"/>
  <c r="GD13" i="1" s="1"/>
  <c r="GC12" i="1"/>
  <c r="GD12" i="1" s="1"/>
  <c r="GC11" i="1"/>
  <c r="GD11" i="1" s="1"/>
  <c r="GC10" i="1"/>
  <c r="GD10" i="1" s="1"/>
  <c r="GC9" i="1"/>
  <c r="GD9" i="1" s="1"/>
  <c r="GC8" i="1"/>
  <c r="GD8" i="1" s="1"/>
  <c r="GC7" i="1"/>
  <c r="GD7" i="1" s="1"/>
  <c r="GC6" i="1"/>
  <c r="GD6" i="1" s="1"/>
  <c r="GC5" i="1"/>
  <c r="GD5" i="1" s="1"/>
  <c r="GC4" i="1"/>
  <c r="GD4" i="1" s="1"/>
  <c r="M8" i="21" l="1"/>
  <c r="M19" i="21"/>
  <c r="R25" i="21"/>
  <c r="R26" i="21"/>
  <c r="P33" i="12"/>
  <c r="R14" i="21"/>
  <c r="R23" i="21"/>
  <c r="R35" i="21"/>
  <c r="P46" i="12"/>
  <c r="R8" i="21"/>
  <c r="P8" i="12"/>
  <c r="P18" i="12" s="1"/>
  <c r="R37" i="21"/>
  <c r="R21" i="21"/>
  <c r="P28" i="12"/>
  <c r="R30" i="21"/>
  <c r="R36" i="21"/>
  <c r="R16" i="21"/>
  <c r="P20" i="12"/>
  <c r="P21" i="12" s="1"/>
  <c r="R33" i="21"/>
  <c r="P44" i="12"/>
  <c r="P45" i="12" s="1"/>
  <c r="R9" i="21"/>
  <c r="P9" i="12"/>
  <c r="P27" i="12" s="1"/>
  <c r="R22" i="21"/>
  <c r="P29" i="12"/>
  <c r="P30" i="12" s="1"/>
  <c r="R27" i="21"/>
  <c r="P34" i="12"/>
  <c r="R28" i="21"/>
  <c r="P35" i="12"/>
  <c r="R12" i="21"/>
  <c r="R32" i="21"/>
  <c r="P42" i="12"/>
  <c r="P43" i="12" s="1"/>
  <c r="R13" i="21"/>
  <c r="P15" i="12"/>
  <c r="P16" i="12" s="1"/>
  <c r="R18" i="21"/>
  <c r="P24" i="12"/>
  <c r="R34" i="21"/>
  <c r="R17" i="21"/>
  <c r="P22" i="12"/>
  <c r="P37" i="12" s="1"/>
  <c r="R11" i="21"/>
  <c r="P11" i="12"/>
  <c r="P12" i="12" s="1"/>
  <c r="P17" i="12" s="1"/>
  <c r="P19" i="12" s="1"/>
  <c r="R15" i="21"/>
  <c r="R31" i="21"/>
  <c r="P41" i="12"/>
  <c r="R19" i="21"/>
  <c r="P25" i="12"/>
  <c r="R29" i="21"/>
  <c r="P36" i="12"/>
  <c r="R20" i="21"/>
  <c r="P26" i="12"/>
  <c r="P38" i="12" s="1"/>
  <c r="R24" i="21"/>
  <c r="P31" i="12"/>
  <c r="P32" i="12" s="1"/>
  <c r="R38" i="21"/>
  <c r="R10" i="21"/>
  <c r="P10" i="12"/>
  <c r="M21" i="21"/>
  <c r="M9" i="21"/>
  <c r="M28" i="21"/>
  <c r="M29" i="21"/>
  <c r="M16" i="21"/>
  <c r="M36" i="21"/>
  <c r="M24" i="21"/>
  <c r="M11" i="21"/>
  <c r="M18" i="21"/>
  <c r="M31" i="21"/>
  <c r="M34" i="21"/>
  <c r="M33" i="21"/>
  <c r="M13" i="21"/>
  <c r="M25" i="21"/>
  <c r="M15" i="21"/>
  <c r="M10" i="21"/>
  <c r="M22" i="21"/>
  <c r="M20" i="21"/>
  <c r="M26" i="21"/>
  <c r="M30" i="21"/>
  <c r="M27" i="21"/>
  <c r="M17" i="21"/>
  <c r="M14" i="21"/>
  <c r="M37" i="21"/>
  <c r="M32" i="21"/>
  <c r="M38" i="21"/>
  <c r="M12" i="21"/>
  <c r="M23" i="21"/>
  <c r="M35" i="21"/>
  <c r="BD19" i="21"/>
  <c r="BH3" i="21"/>
  <c r="BD16" i="21"/>
  <c r="BD9" i="21"/>
  <c r="BD11" i="21"/>
  <c r="BD10" i="21"/>
  <c r="K3" i="21"/>
  <c r="H29" i="18"/>
  <c r="I29" i="18" s="1"/>
  <c r="H23" i="18"/>
  <c r="I23" i="18" s="1"/>
  <c r="H28" i="18"/>
  <c r="I28" i="18" s="1"/>
  <c r="H34" i="18"/>
  <c r="I34" i="18" s="1"/>
  <c r="H32" i="18"/>
  <c r="I32" i="18" s="1"/>
  <c r="H31" i="18"/>
  <c r="I31" i="18" s="1"/>
  <c r="H30" i="18"/>
  <c r="I30" i="18" s="1"/>
  <c r="H27" i="18"/>
  <c r="I27" i="18" s="1"/>
  <c r="H24" i="18"/>
  <c r="I24" i="18" s="1"/>
  <c r="H26" i="18"/>
  <c r="I26" i="18" s="1"/>
  <c r="H25" i="18"/>
  <c r="I25" i="18" s="1"/>
  <c r="H41" i="18"/>
  <c r="I41" i="18" s="1"/>
  <c r="H20" i="18"/>
  <c r="I20" i="18" s="1"/>
  <c r="H15" i="18"/>
  <c r="I15" i="18" s="1"/>
  <c r="H17" i="18"/>
  <c r="I17" i="18" s="1"/>
  <c r="H39" i="18"/>
  <c r="I39" i="18" s="1"/>
  <c r="H42" i="18"/>
  <c r="I42" i="18" s="1"/>
  <c r="H18" i="18"/>
  <c r="I18" i="18" s="1"/>
  <c r="H45" i="18"/>
  <c r="I45" i="18" s="1"/>
  <c r="H16" i="18"/>
  <c r="I16" i="18" s="1"/>
  <c r="H54" i="18"/>
  <c r="I54" i="18" s="1"/>
  <c r="H10" i="18"/>
  <c r="I10" i="18" s="1"/>
  <c r="H9" i="18"/>
  <c r="I9" i="18" s="1"/>
  <c r="H4" i="18"/>
  <c r="I4" i="18" s="1"/>
  <c r="H53" i="18"/>
  <c r="I53" i="18" s="1"/>
  <c r="H44" i="18"/>
  <c r="I44" i="18" s="1"/>
  <c r="H59" i="18"/>
  <c r="I59" i="18" s="1"/>
  <c r="H38" i="18"/>
  <c r="I38" i="18" s="1"/>
  <c r="H5" i="18"/>
  <c r="I5" i="18" s="1"/>
  <c r="H8" i="18"/>
  <c r="I8" i="18" s="1"/>
  <c r="H48" i="18"/>
  <c r="I48" i="18" s="1"/>
  <c r="AF46" i="12"/>
  <c r="AK46" i="12" s="1"/>
  <c r="AE46" i="12"/>
  <c r="AF45" i="12"/>
  <c r="AK45" i="12" s="1"/>
  <c r="AE45" i="12"/>
  <c r="AF44" i="12"/>
  <c r="AK44" i="12" s="1"/>
  <c r="AE44" i="12"/>
  <c r="AF43" i="12"/>
  <c r="AK43" i="12" s="1"/>
  <c r="AE43" i="12"/>
  <c r="AF42" i="12"/>
  <c r="AK42" i="12" s="1"/>
  <c r="AE42" i="12"/>
  <c r="AF41" i="12"/>
  <c r="AK41" i="12" s="1"/>
  <c r="AE41" i="12"/>
  <c r="AF40" i="12"/>
  <c r="AK40" i="12" s="1"/>
  <c r="AE40" i="12"/>
  <c r="AF39" i="12"/>
  <c r="AK39" i="12" s="1"/>
  <c r="AE39" i="12"/>
  <c r="AF38" i="12"/>
  <c r="AK38" i="12" s="1"/>
  <c r="AE38" i="12"/>
  <c r="AF37" i="12"/>
  <c r="AK37" i="12" s="1"/>
  <c r="AE37" i="12"/>
  <c r="AF36" i="12"/>
  <c r="AK36" i="12" s="1"/>
  <c r="AE36" i="12"/>
  <c r="AF35" i="12"/>
  <c r="AK35" i="12" s="1"/>
  <c r="AE35" i="12"/>
  <c r="AF34" i="12"/>
  <c r="AK34" i="12" s="1"/>
  <c r="AE34" i="12"/>
  <c r="AF33" i="12"/>
  <c r="AK33" i="12" s="1"/>
  <c r="AE33" i="12"/>
  <c r="AF32" i="12"/>
  <c r="AK32" i="12" s="1"/>
  <c r="AE32" i="12"/>
  <c r="AF31" i="12"/>
  <c r="AK31" i="12" s="1"/>
  <c r="AE31" i="12"/>
  <c r="AF30" i="12"/>
  <c r="AK30" i="12" s="1"/>
  <c r="AE30" i="12"/>
  <c r="AF29" i="12"/>
  <c r="AK29" i="12" s="1"/>
  <c r="AE29" i="12"/>
  <c r="AF28" i="12"/>
  <c r="AK28" i="12" s="1"/>
  <c r="AE28" i="12"/>
  <c r="AF27" i="12"/>
  <c r="AK27" i="12" s="1"/>
  <c r="AE27" i="12"/>
  <c r="AF26" i="12"/>
  <c r="AK26" i="12" s="1"/>
  <c r="AE26" i="12"/>
  <c r="AF25" i="12"/>
  <c r="AK25" i="12" s="1"/>
  <c r="AE25" i="12"/>
  <c r="AF24" i="12"/>
  <c r="AK24" i="12" s="1"/>
  <c r="AE24" i="12"/>
  <c r="AF23" i="12"/>
  <c r="AK23" i="12" s="1"/>
  <c r="AE23" i="12"/>
  <c r="AF22" i="12"/>
  <c r="AK22" i="12" s="1"/>
  <c r="AE22" i="12"/>
  <c r="AF21" i="12"/>
  <c r="AK21" i="12" s="1"/>
  <c r="AE21" i="12"/>
  <c r="AF20" i="12"/>
  <c r="AK20" i="12" s="1"/>
  <c r="AE20" i="12"/>
  <c r="AF19" i="12"/>
  <c r="AK19" i="12" s="1"/>
  <c r="AE19" i="12"/>
  <c r="AF18" i="12"/>
  <c r="AK18" i="12" s="1"/>
  <c r="AF17" i="12"/>
  <c r="AK17" i="12" s="1"/>
  <c r="AE17" i="12"/>
  <c r="AF16" i="12"/>
  <c r="AK16" i="12" s="1"/>
  <c r="AE16" i="12"/>
  <c r="AF15" i="12"/>
  <c r="AK15" i="12" s="1"/>
  <c r="AE15" i="12"/>
  <c r="AF14" i="12"/>
  <c r="AK14" i="12" s="1"/>
  <c r="AE14" i="12"/>
  <c r="AF13" i="12"/>
  <c r="AK13" i="12" s="1"/>
  <c r="AE13" i="12"/>
  <c r="AF12" i="12"/>
  <c r="AK12" i="12" s="1"/>
  <c r="AE12" i="12"/>
  <c r="AF11" i="12"/>
  <c r="AK11" i="12" s="1"/>
  <c r="AF10" i="12"/>
  <c r="AK10" i="12" s="1"/>
  <c r="AE10" i="12"/>
  <c r="AF9" i="12"/>
  <c r="AK9" i="12" s="1"/>
  <c r="AE9" i="12"/>
  <c r="AF8" i="12"/>
  <c r="AK8" i="12" s="1"/>
  <c r="GE108" i="1"/>
  <c r="GE109" i="1"/>
  <c r="GE110" i="1"/>
  <c r="GE111" i="1"/>
  <c r="GE112" i="1"/>
  <c r="GE113" i="1"/>
  <c r="GE114" i="1"/>
  <c r="GE115" i="1"/>
  <c r="GE116" i="1"/>
  <c r="GE117" i="1"/>
  <c r="GE118" i="1"/>
  <c r="GE119" i="1"/>
  <c r="GE120" i="1"/>
  <c r="GE121" i="1"/>
  <c r="GE122" i="1"/>
  <c r="GE123" i="1"/>
  <c r="GE124" i="1"/>
  <c r="GE125" i="1"/>
  <c r="GE126" i="1"/>
  <c r="GE127" i="1"/>
  <c r="GE128" i="1"/>
  <c r="GE129" i="1"/>
  <c r="GE130" i="1"/>
  <c r="GE131" i="1"/>
  <c r="GE132" i="1"/>
  <c r="GE133" i="1"/>
  <c r="GE134" i="1"/>
  <c r="GE135" i="1"/>
  <c r="GE136" i="1"/>
  <c r="GE137" i="1"/>
  <c r="GE138" i="1"/>
  <c r="GE139" i="1"/>
  <c r="GE140" i="1"/>
  <c r="GE141" i="1"/>
  <c r="GF108" i="1"/>
  <c r="GF109" i="1"/>
  <c r="GF110" i="1"/>
  <c r="GF111" i="1"/>
  <c r="GF112" i="1"/>
  <c r="GF113" i="1"/>
  <c r="GF114" i="1"/>
  <c r="GF115" i="1"/>
  <c r="GF116" i="1"/>
  <c r="GF117" i="1"/>
  <c r="GF118" i="1"/>
  <c r="GF119" i="1"/>
  <c r="GF120" i="1"/>
  <c r="GF121" i="1"/>
  <c r="GF122" i="1"/>
  <c r="GF123" i="1"/>
  <c r="GF124" i="1"/>
  <c r="GF125" i="1"/>
  <c r="GF126" i="1"/>
  <c r="GF127" i="1"/>
  <c r="GF128" i="1"/>
  <c r="GF129" i="1"/>
  <c r="GF130" i="1"/>
  <c r="GF131" i="1"/>
  <c r="GF132" i="1"/>
  <c r="GF133" i="1"/>
  <c r="GF134" i="1"/>
  <c r="GF135" i="1"/>
  <c r="GF136" i="1"/>
  <c r="GF137" i="1"/>
  <c r="GF138" i="1"/>
  <c r="GF139" i="1"/>
  <c r="GF140" i="1"/>
  <c r="GF141" i="1"/>
  <c r="GH108" i="1" a="1"/>
  <c r="GH108" i="1" s="1"/>
  <c r="GH109" i="1" a="1"/>
  <c r="GH109" i="1" s="1"/>
  <c r="GH110" i="1" a="1"/>
  <c r="GH110" i="1" s="1"/>
  <c r="GH111" i="1" a="1"/>
  <c r="GH111" i="1" s="1"/>
  <c r="GH112" i="1" a="1"/>
  <c r="GH112" i="1" s="1"/>
  <c r="GH127" i="1" a="1"/>
  <c r="GH127" i="1" s="1"/>
  <c r="GH128" i="1" a="1"/>
  <c r="GH128" i="1" s="1"/>
  <c r="GH129" i="1" a="1"/>
  <c r="GH129" i="1" s="1"/>
  <c r="GH130" i="1" a="1"/>
  <c r="GH130" i="1" s="1"/>
  <c r="GH131" i="1" a="1"/>
  <c r="GH131" i="1" s="1"/>
  <c r="GI108" i="1"/>
  <c r="GK108" i="1" s="1"/>
  <c r="GI109" i="1"/>
  <c r="GJ109" i="1" s="1"/>
  <c r="GI110" i="1"/>
  <c r="GK110" i="1" s="1"/>
  <c r="GI111" i="1"/>
  <c r="GK111" i="1" s="1"/>
  <c r="GI112" i="1"/>
  <c r="GJ112" i="1" s="1"/>
  <c r="GI113" i="1"/>
  <c r="GJ113" i="1" s="1"/>
  <c r="GI114" i="1"/>
  <c r="GK114" i="1" s="1"/>
  <c r="GI115" i="1"/>
  <c r="GJ115" i="1" s="1"/>
  <c r="GI116" i="1"/>
  <c r="GJ116" i="1" s="1"/>
  <c r="GI117" i="1"/>
  <c r="GJ117" i="1" s="1"/>
  <c r="GI118" i="1"/>
  <c r="GK118" i="1" s="1"/>
  <c r="GI119" i="1"/>
  <c r="GK119" i="1" s="1"/>
  <c r="GI120" i="1"/>
  <c r="GK120" i="1" s="1"/>
  <c r="GI121" i="1"/>
  <c r="GK121" i="1" s="1"/>
  <c r="GI122" i="1"/>
  <c r="GJ122" i="1" s="1"/>
  <c r="GI123" i="1"/>
  <c r="GK123" i="1" s="1"/>
  <c r="GI124" i="1"/>
  <c r="GJ124" i="1" s="1"/>
  <c r="GI125" i="1"/>
  <c r="GJ125" i="1" s="1"/>
  <c r="GI126" i="1"/>
  <c r="GK126" i="1" s="1"/>
  <c r="GI127" i="1"/>
  <c r="GK127" i="1" s="1"/>
  <c r="GI128" i="1"/>
  <c r="GJ128" i="1" s="1"/>
  <c r="GI129" i="1"/>
  <c r="GJ129" i="1" s="1"/>
  <c r="GI130" i="1"/>
  <c r="GJ130" i="1" s="1"/>
  <c r="GI131" i="1"/>
  <c r="GJ131" i="1" s="1"/>
  <c r="GI132" i="1"/>
  <c r="GJ132" i="1" s="1"/>
  <c r="GI133" i="1"/>
  <c r="GJ133" i="1" s="1"/>
  <c r="GI134" i="1"/>
  <c r="GJ134" i="1" s="1"/>
  <c r="GI135" i="1"/>
  <c r="GJ135" i="1" s="1"/>
  <c r="GI136" i="1"/>
  <c r="GK136" i="1" s="1"/>
  <c r="GI137" i="1"/>
  <c r="GJ137" i="1" s="1"/>
  <c r="GI138" i="1"/>
  <c r="GJ138" i="1" s="1"/>
  <c r="GI139" i="1"/>
  <c r="GJ139" i="1" s="1"/>
  <c r="GI140" i="1"/>
  <c r="GJ140" i="1" s="1"/>
  <c r="GI141" i="1"/>
  <c r="GJ141" i="1" s="1"/>
  <c r="GM108" i="1"/>
  <c r="GN108" i="1" s="1"/>
  <c r="GM109" i="1"/>
  <c r="GN109" i="1" s="1"/>
  <c r="GM110" i="1"/>
  <c r="GN110" i="1" s="1"/>
  <c r="GM111" i="1"/>
  <c r="GN111" i="1" s="1"/>
  <c r="GM112" i="1"/>
  <c r="GN112" i="1" s="1"/>
  <c r="GM113" i="1"/>
  <c r="GN113" i="1" s="1"/>
  <c r="GM114" i="1"/>
  <c r="GN114" i="1" s="1"/>
  <c r="GM115" i="1"/>
  <c r="GN115" i="1" s="1"/>
  <c r="GM116" i="1"/>
  <c r="GN116" i="1" s="1"/>
  <c r="GM117" i="1"/>
  <c r="GN117" i="1" s="1"/>
  <c r="GM118" i="1"/>
  <c r="GN118" i="1" s="1"/>
  <c r="GM119" i="1"/>
  <c r="GN119" i="1" s="1"/>
  <c r="GM120" i="1"/>
  <c r="GN120" i="1" s="1"/>
  <c r="GM121" i="1"/>
  <c r="GN121" i="1" s="1"/>
  <c r="GM122" i="1"/>
  <c r="GN122" i="1" s="1"/>
  <c r="GM123" i="1"/>
  <c r="GN123" i="1" s="1"/>
  <c r="GM124" i="1"/>
  <c r="GN124" i="1" s="1"/>
  <c r="GM125" i="1"/>
  <c r="GN125" i="1" s="1"/>
  <c r="GM126" i="1"/>
  <c r="GN126" i="1" s="1"/>
  <c r="GM127" i="1"/>
  <c r="GN127" i="1" s="1"/>
  <c r="GM128" i="1"/>
  <c r="GN128" i="1" s="1"/>
  <c r="GM129" i="1"/>
  <c r="GN129" i="1" s="1"/>
  <c r="GM130" i="1"/>
  <c r="GN130" i="1" s="1"/>
  <c r="GM131" i="1"/>
  <c r="GN131" i="1" s="1"/>
  <c r="GM132" i="1"/>
  <c r="GN132" i="1" s="1"/>
  <c r="GM133" i="1"/>
  <c r="GN133" i="1" s="1"/>
  <c r="GM134" i="1"/>
  <c r="GN134" i="1" s="1"/>
  <c r="GM135" i="1"/>
  <c r="GN135" i="1" s="1"/>
  <c r="GM136" i="1"/>
  <c r="GN136" i="1" s="1"/>
  <c r="GM137" i="1"/>
  <c r="GN137" i="1" s="1"/>
  <c r="GM138" i="1"/>
  <c r="GN138" i="1" s="1"/>
  <c r="GM139" i="1"/>
  <c r="GN139" i="1" s="1"/>
  <c r="GM140" i="1"/>
  <c r="GN140" i="1" s="1"/>
  <c r="GM141" i="1"/>
  <c r="GN141" i="1" s="1"/>
  <c r="GO108" i="1"/>
  <c r="GO109" i="1"/>
  <c r="GO110" i="1"/>
  <c r="GO111" i="1"/>
  <c r="GO112" i="1"/>
  <c r="GO113" i="1"/>
  <c r="GG113" i="1" s="1"/>
  <c r="GO114" i="1"/>
  <c r="GG114" i="1" s="1"/>
  <c r="GO115" i="1"/>
  <c r="GG115" i="1" s="1"/>
  <c r="GO116" i="1"/>
  <c r="GG116" i="1" s="1"/>
  <c r="GO117" i="1"/>
  <c r="GG117" i="1" s="1"/>
  <c r="GO118" i="1"/>
  <c r="GG118" i="1" s="1"/>
  <c r="GO119" i="1"/>
  <c r="GG119" i="1" s="1"/>
  <c r="GO120" i="1"/>
  <c r="GG120" i="1" s="1"/>
  <c r="GO121" i="1"/>
  <c r="GG121" i="1" s="1"/>
  <c r="GO122" i="1"/>
  <c r="GG122" i="1" s="1"/>
  <c r="GO123" i="1"/>
  <c r="GG123" i="1" s="1"/>
  <c r="GO124" i="1"/>
  <c r="GG124" i="1" s="1"/>
  <c r="GO125" i="1"/>
  <c r="GG125" i="1" s="1"/>
  <c r="GO126" i="1"/>
  <c r="GG126" i="1" s="1"/>
  <c r="GO127" i="1"/>
  <c r="GO128" i="1"/>
  <c r="GO129" i="1"/>
  <c r="GO130" i="1"/>
  <c r="GO131" i="1"/>
  <c r="GO132" i="1"/>
  <c r="GG132" i="1" s="1"/>
  <c r="GO133" i="1"/>
  <c r="GG133" i="1" s="1"/>
  <c r="GO134" i="1"/>
  <c r="GG134" i="1" s="1"/>
  <c r="GO135" i="1"/>
  <c r="GG135" i="1" s="1"/>
  <c r="GO136" i="1"/>
  <c r="GG136" i="1" s="1"/>
  <c r="GO137" i="1"/>
  <c r="GG137" i="1" s="1"/>
  <c r="GO138" i="1"/>
  <c r="GG138" i="1" s="1"/>
  <c r="GO139" i="1"/>
  <c r="GG139" i="1" s="1"/>
  <c r="GO140" i="1"/>
  <c r="GG140" i="1" s="1"/>
  <c r="GO141" i="1"/>
  <c r="GG141" i="1" s="1"/>
  <c r="GP108" i="1"/>
  <c r="GP109" i="1"/>
  <c r="GP110" i="1"/>
  <c r="GP111" i="1"/>
  <c r="GP112" i="1"/>
  <c r="GP113" i="1"/>
  <c r="GP114" i="1"/>
  <c r="GP115" i="1"/>
  <c r="GP116" i="1"/>
  <c r="GP117" i="1"/>
  <c r="GP118" i="1"/>
  <c r="GP119" i="1"/>
  <c r="GP120" i="1"/>
  <c r="GP121" i="1"/>
  <c r="GP122" i="1"/>
  <c r="GP123" i="1"/>
  <c r="GP124" i="1"/>
  <c r="GP125" i="1"/>
  <c r="GP126" i="1"/>
  <c r="GP127" i="1"/>
  <c r="GP128" i="1"/>
  <c r="GP129" i="1"/>
  <c r="GP130" i="1"/>
  <c r="GP131" i="1"/>
  <c r="GP132" i="1"/>
  <c r="GP133" i="1"/>
  <c r="GP134" i="1"/>
  <c r="GP135" i="1"/>
  <c r="GP136" i="1"/>
  <c r="GP137" i="1"/>
  <c r="GP138" i="1"/>
  <c r="GP139" i="1"/>
  <c r="GP140" i="1"/>
  <c r="GP141" i="1"/>
  <c r="GQ108" i="1"/>
  <c r="GQ109" i="1"/>
  <c r="GQ110" i="1"/>
  <c r="GQ111" i="1"/>
  <c r="GQ112" i="1"/>
  <c r="GQ113" i="1"/>
  <c r="GQ114" i="1"/>
  <c r="GQ115" i="1"/>
  <c r="GQ116" i="1"/>
  <c r="GQ117" i="1"/>
  <c r="GQ118" i="1"/>
  <c r="GQ119" i="1"/>
  <c r="GQ120" i="1"/>
  <c r="GQ121" i="1"/>
  <c r="GQ122" i="1"/>
  <c r="GQ123" i="1"/>
  <c r="GQ124" i="1"/>
  <c r="GQ125" i="1"/>
  <c r="GQ126" i="1"/>
  <c r="GQ127" i="1"/>
  <c r="GQ128" i="1"/>
  <c r="GQ129" i="1"/>
  <c r="GQ130" i="1"/>
  <c r="GQ131" i="1"/>
  <c r="GQ132" i="1"/>
  <c r="GQ133" i="1"/>
  <c r="GQ134" i="1"/>
  <c r="GQ135" i="1"/>
  <c r="GQ136" i="1"/>
  <c r="GQ137" i="1"/>
  <c r="GQ138" i="1"/>
  <c r="GQ139" i="1"/>
  <c r="GQ140" i="1"/>
  <c r="GQ141" i="1"/>
  <c r="GR108" i="1"/>
  <c r="GR109" i="1"/>
  <c r="GR110" i="1"/>
  <c r="GR111" i="1"/>
  <c r="GR112" i="1"/>
  <c r="GR113" i="1"/>
  <c r="GR114" i="1"/>
  <c r="GR115" i="1"/>
  <c r="GR116" i="1"/>
  <c r="GR117" i="1"/>
  <c r="GR118" i="1"/>
  <c r="GR119" i="1"/>
  <c r="GR120" i="1"/>
  <c r="GR121" i="1"/>
  <c r="GR122" i="1"/>
  <c r="GR123" i="1"/>
  <c r="GR124" i="1"/>
  <c r="GR125" i="1"/>
  <c r="GR126" i="1"/>
  <c r="GR127" i="1"/>
  <c r="GR128" i="1"/>
  <c r="GR129" i="1"/>
  <c r="GR130" i="1"/>
  <c r="GR131" i="1"/>
  <c r="GR132" i="1"/>
  <c r="GR133" i="1"/>
  <c r="GR134" i="1"/>
  <c r="GR135" i="1"/>
  <c r="GR136" i="1"/>
  <c r="GR137" i="1"/>
  <c r="GR138" i="1"/>
  <c r="GR139" i="1"/>
  <c r="GR140" i="1"/>
  <c r="GR141" i="1"/>
  <c r="GS108" i="1"/>
  <c r="GS109" i="1"/>
  <c r="GS110" i="1"/>
  <c r="GS111" i="1"/>
  <c r="GS112" i="1"/>
  <c r="GS113" i="1"/>
  <c r="GS114" i="1"/>
  <c r="GS115" i="1"/>
  <c r="GS116" i="1"/>
  <c r="GS117" i="1"/>
  <c r="GS118" i="1"/>
  <c r="GS119" i="1"/>
  <c r="GS120" i="1"/>
  <c r="GS121" i="1"/>
  <c r="GS122" i="1"/>
  <c r="GS123" i="1"/>
  <c r="GS124" i="1"/>
  <c r="GS125" i="1"/>
  <c r="GS126" i="1"/>
  <c r="GS127" i="1"/>
  <c r="GS128" i="1"/>
  <c r="GS129" i="1"/>
  <c r="GS130" i="1"/>
  <c r="GS131" i="1"/>
  <c r="GS132" i="1"/>
  <c r="GS133" i="1"/>
  <c r="GS134" i="1"/>
  <c r="GS135" i="1"/>
  <c r="GS136" i="1"/>
  <c r="GS137" i="1"/>
  <c r="GS138" i="1"/>
  <c r="GS139" i="1"/>
  <c r="GS140" i="1"/>
  <c r="GS141" i="1"/>
  <c r="GT108" i="1"/>
  <c r="GT109" i="1"/>
  <c r="GT110" i="1"/>
  <c r="GT111" i="1"/>
  <c r="GT112" i="1"/>
  <c r="GT113" i="1"/>
  <c r="GT114" i="1"/>
  <c r="GT115" i="1"/>
  <c r="GT116" i="1"/>
  <c r="GT117" i="1"/>
  <c r="GT118" i="1"/>
  <c r="GT119" i="1"/>
  <c r="GT120" i="1"/>
  <c r="GT121" i="1"/>
  <c r="GT122" i="1"/>
  <c r="GT123" i="1"/>
  <c r="GT124" i="1"/>
  <c r="GT125" i="1"/>
  <c r="GT126" i="1"/>
  <c r="GT127" i="1"/>
  <c r="GT128" i="1"/>
  <c r="GT129" i="1"/>
  <c r="GT130" i="1"/>
  <c r="GT131" i="1"/>
  <c r="GT132" i="1"/>
  <c r="GT133" i="1"/>
  <c r="GT134" i="1"/>
  <c r="GT135" i="1"/>
  <c r="GT136" i="1"/>
  <c r="GT137" i="1"/>
  <c r="GT138" i="1"/>
  <c r="GT139" i="1"/>
  <c r="GT140" i="1"/>
  <c r="GT141" i="1"/>
  <c r="GM107" i="1"/>
  <c r="GN107" i="1" s="1"/>
  <c r="GM106" i="1"/>
  <c r="GN106" i="1" s="1"/>
  <c r="GM105" i="1"/>
  <c r="GN105" i="1" s="1"/>
  <c r="GM104" i="1"/>
  <c r="GN104" i="1" s="1"/>
  <c r="GM103" i="1"/>
  <c r="GN103" i="1" s="1"/>
  <c r="GM102" i="1"/>
  <c r="GN102" i="1" s="1"/>
  <c r="GM101" i="1"/>
  <c r="GN101" i="1" s="1"/>
  <c r="GM100" i="1"/>
  <c r="GN100" i="1" s="1"/>
  <c r="GM99" i="1"/>
  <c r="GN99" i="1" s="1"/>
  <c r="GM98" i="1"/>
  <c r="GN98" i="1" s="1"/>
  <c r="GM97" i="1"/>
  <c r="GN97" i="1" s="1"/>
  <c r="GM96" i="1"/>
  <c r="GN96" i="1" s="1"/>
  <c r="GM95" i="1"/>
  <c r="GN95" i="1" s="1"/>
  <c r="GM94" i="1"/>
  <c r="GN94" i="1" s="1"/>
  <c r="GM93" i="1"/>
  <c r="GN93" i="1" s="1"/>
  <c r="GM92" i="1"/>
  <c r="GN92" i="1" s="1"/>
  <c r="GM91" i="1"/>
  <c r="GN91" i="1" s="1"/>
  <c r="GM90" i="1"/>
  <c r="GN90" i="1" s="1"/>
  <c r="GM89" i="1"/>
  <c r="GN89" i="1" s="1"/>
  <c r="GM88" i="1"/>
  <c r="GN88" i="1" s="1"/>
  <c r="GM87" i="1"/>
  <c r="GN87" i="1" s="1"/>
  <c r="GM86" i="1"/>
  <c r="GN86" i="1" s="1"/>
  <c r="GM85" i="1"/>
  <c r="GN85" i="1" s="1"/>
  <c r="GM84" i="1"/>
  <c r="GN84" i="1" s="1"/>
  <c r="GM83" i="1"/>
  <c r="GN83" i="1" s="1"/>
  <c r="GM82" i="1"/>
  <c r="GN82" i="1" s="1"/>
  <c r="GM81" i="1"/>
  <c r="GN81" i="1" s="1"/>
  <c r="GM80" i="1"/>
  <c r="GN80" i="1" s="1"/>
  <c r="GM79" i="1"/>
  <c r="GN79" i="1" s="1"/>
  <c r="GM78" i="1"/>
  <c r="GN78" i="1" s="1"/>
  <c r="GM77" i="1"/>
  <c r="GN77" i="1" s="1"/>
  <c r="GM76" i="1"/>
  <c r="GN76" i="1" s="1"/>
  <c r="GM75" i="1"/>
  <c r="GN75" i="1" s="1"/>
  <c r="GM74" i="1"/>
  <c r="GN74" i="1" s="1"/>
  <c r="GM73" i="1"/>
  <c r="GN73" i="1" s="1"/>
  <c r="GM72" i="1"/>
  <c r="GN72" i="1" s="1"/>
  <c r="GM71" i="1"/>
  <c r="GN71" i="1" s="1"/>
  <c r="GM70" i="1"/>
  <c r="GN70" i="1" s="1"/>
  <c r="GM69" i="1"/>
  <c r="GN69" i="1" s="1"/>
  <c r="GM68" i="1"/>
  <c r="GN68" i="1" s="1"/>
  <c r="GM67" i="1"/>
  <c r="GN67" i="1" s="1"/>
  <c r="GM66" i="1"/>
  <c r="GN66" i="1" s="1"/>
  <c r="GM65" i="1"/>
  <c r="GN65" i="1" s="1"/>
  <c r="GM64" i="1"/>
  <c r="GN64" i="1" s="1"/>
  <c r="GM63" i="1"/>
  <c r="GN63" i="1" s="1"/>
  <c r="GM62" i="1"/>
  <c r="GN62" i="1" s="1"/>
  <c r="GM61" i="1"/>
  <c r="GN61" i="1" s="1"/>
  <c r="GM60" i="1"/>
  <c r="GN60" i="1" s="1"/>
  <c r="GM59" i="1"/>
  <c r="GN59" i="1" s="1"/>
  <c r="GM58" i="1"/>
  <c r="GN58" i="1" s="1"/>
  <c r="GM57" i="1"/>
  <c r="GN57" i="1" s="1"/>
  <c r="GM56" i="1"/>
  <c r="GN56" i="1" s="1"/>
  <c r="GM55" i="1"/>
  <c r="GN55" i="1" s="1"/>
  <c r="GM54" i="1"/>
  <c r="GN54" i="1" s="1"/>
  <c r="GM53" i="1"/>
  <c r="GN53" i="1" s="1"/>
  <c r="GM52" i="1"/>
  <c r="GN52" i="1" s="1"/>
  <c r="GM51" i="1"/>
  <c r="GN51" i="1" s="1"/>
  <c r="GM50" i="1"/>
  <c r="GN50" i="1" s="1"/>
  <c r="GM49" i="1"/>
  <c r="GN49" i="1" s="1"/>
  <c r="GM48" i="1"/>
  <c r="GN48" i="1" s="1"/>
  <c r="GM47" i="1"/>
  <c r="GN47" i="1" s="1"/>
  <c r="GM46" i="1"/>
  <c r="GN46" i="1" s="1"/>
  <c r="GM45" i="1"/>
  <c r="GN45" i="1" s="1"/>
  <c r="GM44" i="1"/>
  <c r="GN44" i="1" s="1"/>
  <c r="GM43" i="1"/>
  <c r="GN43" i="1" s="1"/>
  <c r="GM42" i="1"/>
  <c r="GN42" i="1" s="1"/>
  <c r="GM41" i="1"/>
  <c r="GN41" i="1" s="1"/>
  <c r="GM40" i="1"/>
  <c r="GN40" i="1" s="1"/>
  <c r="GM39" i="1"/>
  <c r="GN39" i="1" s="1"/>
  <c r="GM38" i="1"/>
  <c r="GN38" i="1" s="1"/>
  <c r="GM37" i="1"/>
  <c r="GN37" i="1" s="1"/>
  <c r="GM36" i="1"/>
  <c r="GN36" i="1" s="1"/>
  <c r="GM35" i="1"/>
  <c r="GN35" i="1" s="1"/>
  <c r="GM34" i="1"/>
  <c r="GN34" i="1" s="1"/>
  <c r="GM33" i="1"/>
  <c r="GN33" i="1" s="1"/>
  <c r="GM32" i="1"/>
  <c r="GN32" i="1" s="1"/>
  <c r="GM31" i="1"/>
  <c r="GN31" i="1" s="1"/>
  <c r="GM30" i="1"/>
  <c r="GN30" i="1" s="1"/>
  <c r="GM29" i="1"/>
  <c r="GN29" i="1" s="1"/>
  <c r="GM28" i="1"/>
  <c r="GN28" i="1" s="1"/>
  <c r="GM27" i="1"/>
  <c r="GN27" i="1" s="1"/>
  <c r="GM26" i="1"/>
  <c r="GN26" i="1" s="1"/>
  <c r="GM25" i="1"/>
  <c r="GN25" i="1" s="1"/>
  <c r="GM24" i="1"/>
  <c r="GN24" i="1" s="1"/>
  <c r="GM23" i="1"/>
  <c r="GN23" i="1" s="1"/>
  <c r="GM22" i="1"/>
  <c r="GN22" i="1" s="1"/>
  <c r="GM21" i="1"/>
  <c r="GN21" i="1" s="1"/>
  <c r="GM20" i="1"/>
  <c r="GN20" i="1" s="1"/>
  <c r="GM19" i="1"/>
  <c r="GN19" i="1" s="1"/>
  <c r="GM18" i="1"/>
  <c r="GN18" i="1" s="1"/>
  <c r="GM17" i="1"/>
  <c r="GN17" i="1" s="1"/>
  <c r="GM16" i="1"/>
  <c r="GN16" i="1" s="1"/>
  <c r="GM15" i="1"/>
  <c r="GN15" i="1" s="1"/>
  <c r="GM14" i="1"/>
  <c r="GN14" i="1" s="1"/>
  <c r="GM13" i="1"/>
  <c r="GN13" i="1" s="1"/>
  <c r="GM12" i="1"/>
  <c r="GN12" i="1" s="1"/>
  <c r="GM11" i="1"/>
  <c r="GN11" i="1" s="1"/>
  <c r="GM10" i="1"/>
  <c r="GN10" i="1" s="1"/>
  <c r="GM9" i="1"/>
  <c r="GN9" i="1" s="1"/>
  <c r="GM8" i="1"/>
  <c r="GN8" i="1" s="1"/>
  <c r="GM7" i="1"/>
  <c r="GN7" i="1" s="1"/>
  <c r="GM6" i="1"/>
  <c r="GN6" i="1" s="1"/>
  <c r="GM5" i="1"/>
  <c r="GN5" i="1" s="1"/>
  <c r="GM4" i="1"/>
  <c r="GN4" i="1" s="1"/>
  <c r="GE67" i="1"/>
  <c r="GE68" i="1"/>
  <c r="GE69" i="1"/>
  <c r="GE70" i="1"/>
  <c r="GE71" i="1"/>
  <c r="GE72" i="1"/>
  <c r="GE73" i="1"/>
  <c r="GE74" i="1"/>
  <c r="GE75" i="1"/>
  <c r="GE76" i="1"/>
  <c r="GE77" i="1"/>
  <c r="GE78" i="1"/>
  <c r="GE79" i="1"/>
  <c r="GE80" i="1"/>
  <c r="GE81" i="1"/>
  <c r="GE82" i="1"/>
  <c r="GE83" i="1"/>
  <c r="GE84" i="1"/>
  <c r="GE85" i="1"/>
  <c r="GE86" i="1"/>
  <c r="GE87" i="1"/>
  <c r="GE88" i="1"/>
  <c r="GE89" i="1"/>
  <c r="GE90" i="1"/>
  <c r="GE91" i="1"/>
  <c r="GE92" i="1"/>
  <c r="GE93" i="1"/>
  <c r="GE94" i="1"/>
  <c r="GE95" i="1"/>
  <c r="GE96" i="1"/>
  <c r="GE97" i="1"/>
  <c r="GE98" i="1"/>
  <c r="GE99" i="1"/>
  <c r="GE100" i="1"/>
  <c r="GE101" i="1"/>
  <c r="GE102" i="1"/>
  <c r="GE103" i="1"/>
  <c r="GE104" i="1"/>
  <c r="GE105" i="1"/>
  <c r="GE106" i="1"/>
  <c r="GE107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84" i="1"/>
  <c r="GF85" i="1"/>
  <c r="GF86" i="1"/>
  <c r="GF87" i="1"/>
  <c r="GF88" i="1"/>
  <c r="GF89" i="1"/>
  <c r="GF90" i="1"/>
  <c r="GF91" i="1"/>
  <c r="GF92" i="1"/>
  <c r="GF93" i="1"/>
  <c r="GF94" i="1"/>
  <c r="GF95" i="1"/>
  <c r="GF96" i="1"/>
  <c r="GF97" i="1"/>
  <c r="GF98" i="1"/>
  <c r="GF99" i="1"/>
  <c r="GF100" i="1"/>
  <c r="GF101" i="1"/>
  <c r="GF102" i="1"/>
  <c r="GF103" i="1"/>
  <c r="GF104" i="1"/>
  <c r="GF105" i="1"/>
  <c r="GF106" i="1"/>
  <c r="GF107" i="1"/>
  <c r="GI67" i="1"/>
  <c r="GK67" i="1" s="1"/>
  <c r="GI68" i="1"/>
  <c r="GK68" i="1" s="1"/>
  <c r="GI69" i="1"/>
  <c r="GJ69" i="1" s="1"/>
  <c r="GI70" i="1"/>
  <c r="GI71" i="1"/>
  <c r="GK71" i="1" s="1"/>
  <c r="GI72" i="1"/>
  <c r="GJ72" i="1" s="1"/>
  <c r="GI73" i="1"/>
  <c r="GJ73" i="1" s="1"/>
  <c r="GI74" i="1"/>
  <c r="GJ74" i="1" s="1"/>
  <c r="GI75" i="1"/>
  <c r="GJ75" i="1" s="1"/>
  <c r="GI76" i="1"/>
  <c r="GK76" i="1" s="1"/>
  <c r="GI77" i="1"/>
  <c r="GK77" i="1" s="1"/>
  <c r="GI78" i="1"/>
  <c r="GJ78" i="1" s="1"/>
  <c r="GI79" i="1"/>
  <c r="GJ79" i="1" s="1"/>
  <c r="GI80" i="1"/>
  <c r="GJ80" i="1" s="1"/>
  <c r="GI81" i="1"/>
  <c r="GK81" i="1" s="1"/>
  <c r="GI82" i="1"/>
  <c r="GJ82" i="1" s="1"/>
  <c r="GI83" i="1"/>
  <c r="GK83" i="1" s="1"/>
  <c r="GI84" i="1"/>
  <c r="GK84" i="1" s="1"/>
  <c r="GI85" i="1"/>
  <c r="GK85" i="1" s="1"/>
  <c r="GI86" i="1"/>
  <c r="GI87" i="1"/>
  <c r="GJ87" i="1" s="1"/>
  <c r="GI88" i="1"/>
  <c r="GJ88" i="1" s="1"/>
  <c r="GI89" i="1"/>
  <c r="GK89" i="1" s="1"/>
  <c r="GI90" i="1"/>
  <c r="GJ90" i="1" s="1"/>
  <c r="GI91" i="1"/>
  <c r="GJ91" i="1" s="1"/>
  <c r="GI92" i="1"/>
  <c r="GJ92" i="1" s="1"/>
  <c r="GI93" i="1"/>
  <c r="GK93" i="1" s="1"/>
  <c r="GI94" i="1"/>
  <c r="GK94" i="1" s="1"/>
  <c r="GI95" i="1"/>
  <c r="GJ95" i="1" s="1"/>
  <c r="GI96" i="1"/>
  <c r="GJ96" i="1" s="1"/>
  <c r="GI97" i="1"/>
  <c r="GJ97" i="1" s="1"/>
  <c r="GI98" i="1"/>
  <c r="GJ98" i="1" s="1"/>
  <c r="GI99" i="1"/>
  <c r="GJ99" i="1" s="1"/>
  <c r="GI100" i="1"/>
  <c r="GK100" i="1" s="1"/>
  <c r="GI101" i="1"/>
  <c r="GK101" i="1" s="1"/>
  <c r="GI102" i="1"/>
  <c r="GK102" i="1" s="1"/>
  <c r="GI103" i="1"/>
  <c r="GK103" i="1" s="1"/>
  <c r="GI104" i="1"/>
  <c r="GJ104" i="1" s="1"/>
  <c r="GI105" i="1"/>
  <c r="GJ105" i="1" s="1"/>
  <c r="GI106" i="1"/>
  <c r="GK106" i="1" s="1"/>
  <c r="GI107" i="1"/>
  <c r="GJ107" i="1" s="1"/>
  <c r="GO67" i="1"/>
  <c r="GG67" i="1" s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O98" i="1"/>
  <c r="GO99" i="1"/>
  <c r="GO100" i="1"/>
  <c r="GO101" i="1"/>
  <c r="GO102" i="1"/>
  <c r="GO103" i="1"/>
  <c r="GO104" i="1"/>
  <c r="GO105" i="1"/>
  <c r="GG105" i="1" s="1"/>
  <c r="GO106" i="1"/>
  <c r="GO107" i="1"/>
  <c r="GP67" i="1"/>
  <c r="GP68" i="1"/>
  <c r="GP69" i="1"/>
  <c r="GP70" i="1"/>
  <c r="GP71" i="1"/>
  <c r="GP72" i="1"/>
  <c r="GP73" i="1"/>
  <c r="GP74" i="1"/>
  <c r="GP75" i="1"/>
  <c r="GP76" i="1"/>
  <c r="GP77" i="1"/>
  <c r="GP78" i="1"/>
  <c r="GP79" i="1"/>
  <c r="GP80" i="1"/>
  <c r="GP81" i="1"/>
  <c r="GP82" i="1"/>
  <c r="GP83" i="1"/>
  <c r="GP84" i="1"/>
  <c r="GP85" i="1"/>
  <c r="GP86" i="1"/>
  <c r="GP87" i="1"/>
  <c r="GP88" i="1"/>
  <c r="GP89" i="1"/>
  <c r="GP90" i="1"/>
  <c r="GP91" i="1"/>
  <c r="GP92" i="1"/>
  <c r="GP93" i="1"/>
  <c r="GP94" i="1"/>
  <c r="GP95" i="1"/>
  <c r="GP96" i="1"/>
  <c r="GP97" i="1"/>
  <c r="GP98" i="1"/>
  <c r="GP99" i="1"/>
  <c r="GP100" i="1"/>
  <c r="GP101" i="1"/>
  <c r="GP102" i="1"/>
  <c r="GP103" i="1"/>
  <c r="GP104" i="1"/>
  <c r="GP105" i="1"/>
  <c r="GP106" i="1"/>
  <c r="GP107" i="1"/>
  <c r="GQ67" i="1"/>
  <c r="GQ68" i="1"/>
  <c r="GQ69" i="1"/>
  <c r="GQ70" i="1"/>
  <c r="GQ71" i="1"/>
  <c r="GQ72" i="1"/>
  <c r="GQ73" i="1"/>
  <c r="GQ74" i="1"/>
  <c r="GQ75" i="1"/>
  <c r="GQ76" i="1"/>
  <c r="GQ77" i="1"/>
  <c r="GQ78" i="1"/>
  <c r="GQ79" i="1"/>
  <c r="GQ80" i="1"/>
  <c r="GQ81" i="1"/>
  <c r="GQ82" i="1"/>
  <c r="GQ83" i="1"/>
  <c r="GQ84" i="1"/>
  <c r="GQ85" i="1"/>
  <c r="GQ86" i="1"/>
  <c r="GQ87" i="1"/>
  <c r="GQ88" i="1"/>
  <c r="GQ89" i="1"/>
  <c r="GQ90" i="1"/>
  <c r="GQ91" i="1"/>
  <c r="GQ92" i="1"/>
  <c r="GQ93" i="1"/>
  <c r="GQ94" i="1"/>
  <c r="GQ95" i="1"/>
  <c r="GQ96" i="1"/>
  <c r="GQ97" i="1"/>
  <c r="GQ98" i="1"/>
  <c r="GQ99" i="1"/>
  <c r="GQ100" i="1"/>
  <c r="GQ101" i="1"/>
  <c r="GQ102" i="1"/>
  <c r="GQ103" i="1"/>
  <c r="GQ104" i="1"/>
  <c r="GQ105" i="1"/>
  <c r="GQ106" i="1"/>
  <c r="GQ107" i="1"/>
  <c r="GR67" i="1"/>
  <c r="GR68" i="1"/>
  <c r="GR69" i="1"/>
  <c r="GR70" i="1"/>
  <c r="GR71" i="1"/>
  <c r="GR72" i="1"/>
  <c r="GR73" i="1"/>
  <c r="GR74" i="1"/>
  <c r="GR75" i="1"/>
  <c r="GR76" i="1"/>
  <c r="GR77" i="1"/>
  <c r="GR78" i="1"/>
  <c r="GR79" i="1"/>
  <c r="GR80" i="1"/>
  <c r="GR81" i="1"/>
  <c r="GR82" i="1"/>
  <c r="GR83" i="1"/>
  <c r="GR84" i="1"/>
  <c r="GR85" i="1"/>
  <c r="GR86" i="1"/>
  <c r="GR87" i="1"/>
  <c r="GR88" i="1"/>
  <c r="GR89" i="1"/>
  <c r="GR90" i="1"/>
  <c r="GR91" i="1"/>
  <c r="GR92" i="1"/>
  <c r="GR93" i="1"/>
  <c r="GR94" i="1"/>
  <c r="GR95" i="1"/>
  <c r="GR96" i="1"/>
  <c r="GR97" i="1"/>
  <c r="GR98" i="1"/>
  <c r="GR99" i="1"/>
  <c r="GR100" i="1"/>
  <c r="GR101" i="1"/>
  <c r="GR102" i="1"/>
  <c r="GR103" i="1"/>
  <c r="GR104" i="1"/>
  <c r="GR105" i="1"/>
  <c r="GR106" i="1"/>
  <c r="GR107" i="1"/>
  <c r="GS67" i="1"/>
  <c r="GS68" i="1"/>
  <c r="GS69" i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84" i="1"/>
  <c r="GS85" i="1"/>
  <c r="GS86" i="1"/>
  <c r="GS87" i="1"/>
  <c r="GS88" i="1"/>
  <c r="GS89" i="1"/>
  <c r="GS90" i="1"/>
  <c r="GS91" i="1"/>
  <c r="GS92" i="1"/>
  <c r="GS93" i="1"/>
  <c r="GS94" i="1"/>
  <c r="GS95" i="1"/>
  <c r="GS96" i="1"/>
  <c r="GS97" i="1"/>
  <c r="GS98" i="1"/>
  <c r="GS99" i="1"/>
  <c r="GS100" i="1"/>
  <c r="GS101" i="1"/>
  <c r="GS102" i="1"/>
  <c r="GS103" i="1"/>
  <c r="GS104" i="1"/>
  <c r="GS105" i="1"/>
  <c r="GS106" i="1"/>
  <c r="GS107" i="1"/>
  <c r="GT67" i="1"/>
  <c r="GT68" i="1"/>
  <c r="GT69" i="1"/>
  <c r="GT70" i="1"/>
  <c r="GT71" i="1"/>
  <c r="GT72" i="1"/>
  <c r="GT73" i="1"/>
  <c r="GT74" i="1"/>
  <c r="GT75" i="1"/>
  <c r="GT76" i="1"/>
  <c r="GT77" i="1"/>
  <c r="GT78" i="1"/>
  <c r="GT79" i="1"/>
  <c r="GT80" i="1"/>
  <c r="GT81" i="1"/>
  <c r="GT82" i="1"/>
  <c r="GT83" i="1"/>
  <c r="GT84" i="1"/>
  <c r="GT85" i="1"/>
  <c r="GT86" i="1"/>
  <c r="GT87" i="1"/>
  <c r="GT88" i="1"/>
  <c r="GT89" i="1"/>
  <c r="GT90" i="1"/>
  <c r="GT91" i="1"/>
  <c r="GT92" i="1"/>
  <c r="GT93" i="1"/>
  <c r="GT94" i="1"/>
  <c r="GT95" i="1"/>
  <c r="GT96" i="1"/>
  <c r="GT97" i="1"/>
  <c r="GT98" i="1"/>
  <c r="GT99" i="1"/>
  <c r="GT100" i="1"/>
  <c r="GT101" i="1"/>
  <c r="GT102" i="1"/>
  <c r="GT103" i="1"/>
  <c r="GT104" i="1"/>
  <c r="GT105" i="1"/>
  <c r="GT106" i="1"/>
  <c r="GT107" i="1"/>
  <c r="C3" i="10"/>
  <c r="B3" i="10"/>
  <c r="GE66" i="1"/>
  <c r="GE65" i="1"/>
  <c r="GE64" i="1"/>
  <c r="GE63" i="1"/>
  <c r="GE62" i="1"/>
  <c r="GE61" i="1"/>
  <c r="GE60" i="1"/>
  <c r="GE59" i="1"/>
  <c r="GE58" i="1"/>
  <c r="GE57" i="1"/>
  <c r="GE56" i="1"/>
  <c r="GE55" i="1"/>
  <c r="GE54" i="1"/>
  <c r="GE53" i="1"/>
  <c r="GE52" i="1"/>
  <c r="GE51" i="1"/>
  <c r="GE50" i="1"/>
  <c r="GE49" i="1"/>
  <c r="GE48" i="1"/>
  <c r="GE47" i="1"/>
  <c r="GE46" i="1"/>
  <c r="GE45" i="1"/>
  <c r="GE44" i="1"/>
  <c r="GE43" i="1"/>
  <c r="GE42" i="1"/>
  <c r="GE41" i="1"/>
  <c r="GE40" i="1"/>
  <c r="GE39" i="1"/>
  <c r="GE38" i="1"/>
  <c r="GE37" i="1"/>
  <c r="GE36" i="1"/>
  <c r="GE35" i="1"/>
  <c r="GE34" i="1"/>
  <c r="GE33" i="1"/>
  <c r="GE32" i="1"/>
  <c r="GE31" i="1"/>
  <c r="GE30" i="1"/>
  <c r="GE29" i="1"/>
  <c r="GE28" i="1"/>
  <c r="GE27" i="1"/>
  <c r="GE26" i="1"/>
  <c r="GE25" i="1"/>
  <c r="GE24" i="1"/>
  <c r="GE23" i="1"/>
  <c r="GE22" i="1"/>
  <c r="GE21" i="1"/>
  <c r="GE20" i="1"/>
  <c r="GE19" i="1"/>
  <c r="GE18" i="1"/>
  <c r="GE17" i="1"/>
  <c r="GE16" i="1"/>
  <c r="GE15" i="1"/>
  <c r="GE14" i="1"/>
  <c r="GE13" i="1"/>
  <c r="GE12" i="1"/>
  <c r="GE11" i="1"/>
  <c r="GE10" i="1"/>
  <c r="GE9" i="1"/>
  <c r="GE8" i="1"/>
  <c r="GE7" i="1"/>
  <c r="GE6" i="1"/>
  <c r="GE5" i="1"/>
  <c r="GE4" i="1"/>
  <c r="P39" i="12" l="1"/>
  <c r="P40" i="12" s="1"/>
  <c r="P13" i="12"/>
  <c r="P14" i="12" s="1"/>
  <c r="P23" i="12"/>
  <c r="BD32" i="21"/>
  <c r="BD28" i="21"/>
  <c r="BD20" i="21"/>
  <c r="BD26" i="21"/>
  <c r="BD25" i="21"/>
  <c r="BD30" i="21"/>
  <c r="AQ25" i="12"/>
  <c r="AS25" i="12" s="1"/>
  <c r="R24" i="12"/>
  <c r="BD18" i="21"/>
  <c r="BD29" i="21"/>
  <c r="BD38" i="21"/>
  <c r="BD17" i="21"/>
  <c r="AQ45" i="12"/>
  <c r="BD34" i="21"/>
  <c r="BD13" i="21"/>
  <c r="S8" i="21"/>
  <c r="T8" i="21" s="1"/>
  <c r="BE8" i="21"/>
  <c r="BF8" i="21" s="1"/>
  <c r="BD23" i="21"/>
  <c r="BD22" i="21"/>
  <c r="BD33" i="21"/>
  <c r="BE35" i="21"/>
  <c r="BD35" i="21"/>
  <c r="BE37" i="21"/>
  <c r="AJ18" i="12"/>
  <c r="BD14" i="21"/>
  <c r="BD12" i="21"/>
  <c r="R28" i="12"/>
  <c r="BD21" i="21"/>
  <c r="BD15" i="21"/>
  <c r="BD37" i="21"/>
  <c r="BD31" i="21"/>
  <c r="BE19" i="21"/>
  <c r="BF19" i="21" s="1"/>
  <c r="BD36" i="21"/>
  <c r="BD24" i="21"/>
  <c r="BD27" i="21"/>
  <c r="S36" i="21"/>
  <c r="AJ41" i="13"/>
  <c r="AK41" i="13" s="1"/>
  <c r="AQ8" i="12"/>
  <c r="AJ8" i="12"/>
  <c r="BE24" i="21"/>
  <c r="BE9" i="21"/>
  <c r="BF9" i="21" s="1"/>
  <c r="Q3" i="21"/>
  <c r="BE16" i="21"/>
  <c r="BF16" i="21" s="1"/>
  <c r="BE23" i="21"/>
  <c r="BE12" i="21"/>
  <c r="BE32" i="21"/>
  <c r="S37" i="21"/>
  <c r="S19" i="21"/>
  <c r="BE17" i="21"/>
  <c r="AI3" i="12"/>
  <c r="AK3" i="12"/>
  <c r="H61" i="18"/>
  <c r="I61" i="18" s="1"/>
  <c r="H58" i="18"/>
  <c r="I58" i="18" s="1"/>
  <c r="H49" i="18"/>
  <c r="I49" i="18" s="1"/>
  <c r="H33" i="18"/>
  <c r="I33" i="18" s="1"/>
  <c r="H46" i="18"/>
  <c r="I46" i="18" s="1"/>
  <c r="H35" i="18"/>
  <c r="I35" i="18" s="1"/>
  <c r="H36" i="18"/>
  <c r="I36" i="18" s="1"/>
  <c r="H52" i="18"/>
  <c r="I52" i="18" s="1"/>
  <c r="GJ108" i="1"/>
  <c r="H22" i="18"/>
  <c r="I22" i="18" s="1"/>
  <c r="H37" i="18"/>
  <c r="I37" i="18" s="1"/>
  <c r="H7" i="18"/>
  <c r="I7" i="18" s="1"/>
  <c r="H60" i="18"/>
  <c r="I60" i="18" s="1"/>
  <c r="H6" i="18"/>
  <c r="I6" i="18" s="1"/>
  <c r="H12" i="18"/>
  <c r="I12" i="18" s="1"/>
  <c r="H11" i="18"/>
  <c r="I11" i="18" s="1"/>
  <c r="H40" i="18"/>
  <c r="I40" i="18" s="1"/>
  <c r="H55" i="18"/>
  <c r="I55" i="18" s="1"/>
  <c r="H14" i="18"/>
  <c r="I14" i="18" s="1"/>
  <c r="H51" i="18"/>
  <c r="I51" i="18" s="1"/>
  <c r="H13" i="18"/>
  <c r="I13" i="18" s="1"/>
  <c r="H57" i="18"/>
  <c r="I57" i="18" s="1"/>
  <c r="H21" i="18"/>
  <c r="I21" i="18" s="1"/>
  <c r="H47" i="18"/>
  <c r="I47" i="18" s="1"/>
  <c r="H56" i="18"/>
  <c r="I56" i="18" s="1"/>
  <c r="H43" i="18"/>
  <c r="I43" i="18" s="1"/>
  <c r="H50" i="18"/>
  <c r="I50" i="18" s="1"/>
  <c r="H19" i="18"/>
  <c r="I19" i="18" s="1"/>
  <c r="GK135" i="1"/>
  <c r="GL135" i="1" s="1"/>
  <c r="GK124" i="1"/>
  <c r="GL124" i="1" s="1"/>
  <c r="GJ123" i="1"/>
  <c r="GL123" i="1" s="1"/>
  <c r="GM2" i="1"/>
  <c r="R25" i="12"/>
  <c r="GK141" i="1"/>
  <c r="GL141" i="1" s="1"/>
  <c r="AJ25" i="12"/>
  <c r="GK125" i="1"/>
  <c r="GL125" i="1" s="1"/>
  <c r="GK109" i="1"/>
  <c r="GL109" i="1" s="1"/>
  <c r="O3" i="12"/>
  <c r="R8" i="12"/>
  <c r="GJ119" i="1"/>
  <c r="GL119" i="1" s="1"/>
  <c r="GJ118" i="1"/>
  <c r="GL118" i="1" s="1"/>
  <c r="GK139" i="1"/>
  <c r="GL139" i="1" s="1"/>
  <c r="GK134" i="1"/>
  <c r="GL134" i="1" s="1"/>
  <c r="GK140" i="1"/>
  <c r="GL140" i="1" s="1"/>
  <c r="GJ121" i="1"/>
  <c r="GL121" i="1" s="1"/>
  <c r="GK137" i="1"/>
  <c r="GL137" i="1" s="1"/>
  <c r="GJ110" i="1"/>
  <c r="GL110" i="1" s="1"/>
  <c r="GG109" i="1"/>
  <c r="GG112" i="1"/>
  <c r="GJ114" i="1"/>
  <c r="GL114" i="1" s="1"/>
  <c r="GG110" i="1"/>
  <c r="GG108" i="1"/>
  <c r="GJ126" i="1"/>
  <c r="GL126" i="1" s="1"/>
  <c r="GG128" i="1"/>
  <c r="GJ120" i="1"/>
  <c r="GL120" i="1" s="1"/>
  <c r="GK117" i="1"/>
  <c r="GL117" i="1" s="1"/>
  <c r="GG127" i="1"/>
  <c r="GG111" i="1"/>
  <c r="GK116" i="1"/>
  <c r="GL116" i="1" s="1"/>
  <c r="GK133" i="1"/>
  <c r="GL133" i="1" s="1"/>
  <c r="GK132" i="1"/>
  <c r="GL132" i="1" s="1"/>
  <c r="GK130" i="1"/>
  <c r="GL130" i="1" s="1"/>
  <c r="GJ136" i="1"/>
  <c r="GL136" i="1" s="1"/>
  <c r="GJ111" i="1"/>
  <c r="GL111" i="1" s="1"/>
  <c r="GL108" i="1"/>
  <c r="GG131" i="1"/>
  <c r="GG130" i="1"/>
  <c r="GJ127" i="1"/>
  <c r="GL127" i="1" s="1"/>
  <c r="GG129" i="1"/>
  <c r="GK138" i="1"/>
  <c r="GL138" i="1" s="1"/>
  <c r="GK122" i="1"/>
  <c r="GL122" i="1" s="1"/>
  <c r="GK131" i="1"/>
  <c r="GL131" i="1" s="1"/>
  <c r="GK115" i="1"/>
  <c r="GL115" i="1" s="1"/>
  <c r="GK129" i="1"/>
  <c r="GL129" i="1" s="1"/>
  <c r="GK113" i="1"/>
  <c r="GL113" i="1" s="1"/>
  <c r="GK128" i="1"/>
  <c r="GL128" i="1" s="1"/>
  <c r="GK112" i="1"/>
  <c r="GL112" i="1" s="1"/>
  <c r="GG104" i="1"/>
  <c r="GG69" i="1"/>
  <c r="GG95" i="1"/>
  <c r="GG96" i="1"/>
  <c r="GG100" i="1"/>
  <c r="GG84" i="1"/>
  <c r="GK74" i="1"/>
  <c r="GL74" i="1" s="1"/>
  <c r="GK72" i="1"/>
  <c r="GL72" i="1" s="1"/>
  <c r="GG106" i="1"/>
  <c r="GG92" i="1"/>
  <c r="GK86" i="1"/>
  <c r="GJ86" i="1"/>
  <c r="GJ70" i="1"/>
  <c r="GK70" i="1"/>
  <c r="GG107" i="1"/>
  <c r="GG91" i="1"/>
  <c r="GG94" i="1"/>
  <c r="GG93" i="1"/>
  <c r="GG68" i="1"/>
  <c r="GG78" i="1"/>
  <c r="GK69" i="1"/>
  <c r="GL69" i="1" s="1"/>
  <c r="GJ85" i="1"/>
  <c r="GL85" i="1" s="1"/>
  <c r="GK73" i="1"/>
  <c r="GL73" i="1" s="1"/>
  <c r="GG99" i="1"/>
  <c r="GG83" i="1"/>
  <c r="GK104" i="1"/>
  <c r="GL104" i="1" s="1"/>
  <c r="GG90" i="1"/>
  <c r="GG89" i="1"/>
  <c r="GG73" i="1"/>
  <c r="GJ101" i="1"/>
  <c r="GL101" i="1" s="1"/>
  <c r="GG103" i="1"/>
  <c r="GG102" i="1"/>
  <c r="GG86" i="1"/>
  <c r="GG70" i="1"/>
  <c r="GG101" i="1"/>
  <c r="GG85" i="1"/>
  <c r="GJ71" i="1"/>
  <c r="GL71" i="1" s="1"/>
  <c r="GJ68" i="1"/>
  <c r="GL68" i="1" s="1"/>
  <c r="GJ94" i="1"/>
  <c r="GL94" i="1" s="1"/>
  <c r="GJ93" i="1"/>
  <c r="GL93" i="1" s="1"/>
  <c r="GK92" i="1"/>
  <c r="GL92" i="1" s="1"/>
  <c r="GJ81" i="1"/>
  <c r="GL81" i="1" s="1"/>
  <c r="GJ77" i="1"/>
  <c r="GL77" i="1" s="1"/>
  <c r="GK97" i="1"/>
  <c r="GL97" i="1" s="1"/>
  <c r="GJ76" i="1"/>
  <c r="GL76" i="1" s="1"/>
  <c r="GK107" i="1"/>
  <c r="GL107" i="1" s="1"/>
  <c r="GK105" i="1"/>
  <c r="GL105" i="1" s="1"/>
  <c r="GK88" i="1"/>
  <c r="GL88" i="1" s="1"/>
  <c r="GK90" i="1"/>
  <c r="GL90" i="1" s="1"/>
  <c r="GG98" i="1"/>
  <c r="GG82" i="1"/>
  <c r="GK87" i="1"/>
  <c r="GL87" i="1" s="1"/>
  <c r="GJ103" i="1"/>
  <c r="GL103" i="1" s="1"/>
  <c r="GG80" i="1"/>
  <c r="GK79" i="1"/>
  <c r="GL79" i="1" s="1"/>
  <c r="GJ102" i="1"/>
  <c r="GL102" i="1" s="1"/>
  <c r="GG79" i="1"/>
  <c r="GK78" i="1"/>
  <c r="GL78" i="1" s="1"/>
  <c r="GG74" i="1"/>
  <c r="GK99" i="1"/>
  <c r="GL99" i="1" s="1"/>
  <c r="GK98" i="1"/>
  <c r="GL98" i="1" s="1"/>
  <c r="GG72" i="1"/>
  <c r="GG87" i="1"/>
  <c r="GG71" i="1"/>
  <c r="GK96" i="1"/>
  <c r="GL96" i="1" s="1"/>
  <c r="GJ89" i="1"/>
  <c r="GL89" i="1" s="1"/>
  <c r="GK80" i="1"/>
  <c r="GL80" i="1" s="1"/>
  <c r="GG88" i="1"/>
  <c r="GK95" i="1"/>
  <c r="GL95" i="1" s="1"/>
  <c r="GJ106" i="1"/>
  <c r="GL106" i="1" s="1"/>
  <c r="GJ100" i="1"/>
  <c r="GL100" i="1" s="1"/>
  <c r="GG97" i="1"/>
  <c r="GG81" i="1"/>
  <c r="GJ83" i="1"/>
  <c r="GL83" i="1" s="1"/>
  <c r="GJ67" i="1"/>
  <c r="GL67" i="1" s="1"/>
  <c r="GJ84" i="1"/>
  <c r="GL84" i="1" s="1"/>
  <c r="GG77" i="1"/>
  <c r="GG76" i="1"/>
  <c r="GG75" i="1"/>
  <c r="GK75" i="1"/>
  <c r="GL75" i="1" s="1"/>
  <c r="GK91" i="1"/>
  <c r="GL91" i="1" s="1"/>
  <c r="GK82" i="1"/>
  <c r="GL82" i="1" s="1"/>
  <c r="D3" i="10"/>
  <c r="F3" i="10" s="1"/>
  <c r="S28" i="12" l="1"/>
  <c r="BL28" i="12"/>
  <c r="S8" i="12"/>
  <c r="BL8" i="12"/>
  <c r="S24" i="12"/>
  <c r="BL24" i="12"/>
  <c r="S25" i="12"/>
  <c r="BL25" i="12"/>
  <c r="BF35" i="21"/>
  <c r="BF37" i="21"/>
  <c r="AQ13" i="12"/>
  <c r="AS13" i="12" s="1"/>
  <c r="BF32" i="21"/>
  <c r="AJ31" i="12"/>
  <c r="AJ44" i="12"/>
  <c r="AJ24" i="12"/>
  <c r="AQ22" i="12"/>
  <c r="AS22" i="12" s="1"/>
  <c r="AJ19" i="12"/>
  <c r="AX19" i="12" s="1"/>
  <c r="AQ36" i="12"/>
  <c r="AS36" i="12" s="1"/>
  <c r="AQ28" i="12"/>
  <c r="AS28" i="12" s="1"/>
  <c r="R13" i="12"/>
  <c r="AJ45" i="12"/>
  <c r="R18" i="12"/>
  <c r="R41" i="12"/>
  <c r="AQ34" i="12"/>
  <c r="AS34" i="12" s="1"/>
  <c r="R36" i="12"/>
  <c r="AQ16" i="12"/>
  <c r="AS16" i="12" s="1"/>
  <c r="S35" i="21"/>
  <c r="BV35" i="21" s="1"/>
  <c r="R45" i="12"/>
  <c r="R31" i="12"/>
  <c r="AQ24" i="12"/>
  <c r="AQ31" i="12"/>
  <c r="AS31" i="12" s="1"/>
  <c r="R44" i="12"/>
  <c r="AQ44" i="12"/>
  <c r="AQ41" i="12"/>
  <c r="AS41" i="12" s="1"/>
  <c r="R15" i="12"/>
  <c r="AJ15" i="12"/>
  <c r="AX15" i="12" s="1"/>
  <c r="AZ15" i="12" s="1"/>
  <c r="AQ18" i="12"/>
  <c r="AS18" i="12" s="1"/>
  <c r="AQ15" i="12"/>
  <c r="AS15" i="12" s="1"/>
  <c r="BV36" i="21"/>
  <c r="BU36" i="21"/>
  <c r="BR36" i="21"/>
  <c r="BT36" i="21"/>
  <c r="BS36" i="21"/>
  <c r="BQ36" i="21"/>
  <c r="BO36" i="21"/>
  <c r="BN36" i="21"/>
  <c r="BP36" i="21"/>
  <c r="AJ42" i="13"/>
  <c r="AK42" i="13" s="1"/>
  <c r="AJ41" i="12"/>
  <c r="AX41" i="12" s="1"/>
  <c r="AZ41" i="12" s="1"/>
  <c r="BN37" i="21"/>
  <c r="BS37" i="21"/>
  <c r="BR37" i="21"/>
  <c r="BV37" i="21"/>
  <c r="BU37" i="21"/>
  <c r="BT37" i="21"/>
  <c r="BQ37" i="21"/>
  <c r="BP37" i="21"/>
  <c r="BO37" i="21"/>
  <c r="BR8" i="21"/>
  <c r="BQ8" i="21"/>
  <c r="BP8" i="21"/>
  <c r="BN8" i="21"/>
  <c r="BO8" i="21"/>
  <c r="BS8" i="21"/>
  <c r="BV8" i="21"/>
  <c r="BU8" i="21"/>
  <c r="BT8" i="21"/>
  <c r="BP19" i="21"/>
  <c r="BO19" i="21"/>
  <c r="BN19" i="21"/>
  <c r="BU19" i="21"/>
  <c r="BT19" i="21"/>
  <c r="BV19" i="21"/>
  <c r="BS19" i="21"/>
  <c r="BR19" i="21"/>
  <c r="BQ19" i="21"/>
  <c r="AJ34" i="12"/>
  <c r="AJ22" i="12"/>
  <c r="AX22" i="12" s="1"/>
  <c r="AZ22" i="12" s="1"/>
  <c r="AQ19" i="12"/>
  <c r="AS19" i="12" s="1"/>
  <c r="R19" i="12"/>
  <c r="AJ29" i="12"/>
  <c r="AX29" i="12" s="1"/>
  <c r="AZ29" i="12" s="1"/>
  <c r="BE20" i="21"/>
  <c r="BF20" i="21" s="1"/>
  <c r="BE36" i="21"/>
  <c r="BF36" i="21" s="1"/>
  <c r="AQ29" i="12"/>
  <c r="AS29" i="12" s="1"/>
  <c r="BE21" i="21"/>
  <c r="BF21" i="21" s="1"/>
  <c r="BF17" i="21"/>
  <c r="BE30" i="21"/>
  <c r="BF30" i="21" s="1"/>
  <c r="BE13" i="21"/>
  <c r="BF13" i="21" s="1"/>
  <c r="BD3" i="21"/>
  <c r="BF12" i="21"/>
  <c r="BE11" i="21"/>
  <c r="BF11" i="21" s="1"/>
  <c r="BF23" i="21"/>
  <c r="BE26" i="21"/>
  <c r="BF26" i="21" s="1"/>
  <c r="BE31" i="21"/>
  <c r="BF31" i="21" s="1"/>
  <c r="BE15" i="21"/>
  <c r="BF15" i="21" s="1"/>
  <c r="BE18" i="21"/>
  <c r="BF18" i="21" s="1"/>
  <c r="BE28" i="21"/>
  <c r="BF28" i="21" s="1"/>
  <c r="BF24" i="21"/>
  <c r="BE25" i="21"/>
  <c r="BF25" i="21" s="1"/>
  <c r="BE10" i="21"/>
  <c r="BF10" i="21" s="1"/>
  <c r="BE22" i="21"/>
  <c r="BF22" i="21" s="1"/>
  <c r="BE38" i="21"/>
  <c r="BF38" i="21" s="1"/>
  <c r="BE27" i="21"/>
  <c r="BF27" i="21" s="1"/>
  <c r="BE33" i="21"/>
  <c r="BF33" i="21" s="1"/>
  <c r="BE34" i="21"/>
  <c r="BF34" i="21" s="1"/>
  <c r="BE29" i="21"/>
  <c r="BF29" i="21" s="1"/>
  <c r="BE14" i="21"/>
  <c r="BF14" i="21" s="1"/>
  <c r="T19" i="21"/>
  <c r="T37" i="21"/>
  <c r="T36" i="21"/>
  <c r="S21" i="21"/>
  <c r="AX25" i="12"/>
  <c r="AX18" i="12"/>
  <c r="AX8" i="12"/>
  <c r="AJ37" i="12"/>
  <c r="AS45" i="12"/>
  <c r="AS8" i="12"/>
  <c r="AQ32" i="12"/>
  <c r="AQ9" i="12"/>
  <c r="AJ26" i="12"/>
  <c r="AL26" i="12" s="1"/>
  <c r="AQ26" i="12"/>
  <c r="R37" i="12"/>
  <c r="AQ37" i="12"/>
  <c r="AS37" i="12" s="1"/>
  <c r="AJ39" i="12"/>
  <c r="AL39" i="12" s="1"/>
  <c r="AQ39" i="12"/>
  <c r="AQ11" i="12"/>
  <c r="AQ33" i="12"/>
  <c r="AJ42" i="12"/>
  <c r="AL42" i="12" s="1"/>
  <c r="AQ42" i="12"/>
  <c r="AJ20" i="12"/>
  <c r="AL20" i="12" s="1"/>
  <c r="AQ20" i="12"/>
  <c r="AQ35" i="12"/>
  <c r="R46" i="12"/>
  <c r="AQ46" i="12"/>
  <c r="AJ10" i="12"/>
  <c r="AL10" i="12" s="1"/>
  <c r="AQ10" i="12"/>
  <c r="R11" i="12"/>
  <c r="AJ11" i="12"/>
  <c r="AL11" i="12" s="1"/>
  <c r="R35" i="12"/>
  <c r="R10" i="12"/>
  <c r="AJ46" i="12"/>
  <c r="AX46" i="12" s="1"/>
  <c r="AZ46" i="12" s="1"/>
  <c r="R20" i="12"/>
  <c r="AJ9" i="12"/>
  <c r="AX9" i="12" s="1"/>
  <c r="AZ9" i="12" s="1"/>
  <c r="AJ33" i="12"/>
  <c r="AX33" i="12" s="1"/>
  <c r="AZ33" i="12" s="1"/>
  <c r="R42" i="12"/>
  <c r="R33" i="12"/>
  <c r="R9" i="12"/>
  <c r="R32" i="12"/>
  <c r="R26" i="12"/>
  <c r="AJ32" i="12"/>
  <c r="AX32" i="12" s="1"/>
  <c r="AZ32" i="12" s="1"/>
  <c r="S27" i="21"/>
  <c r="S32" i="21"/>
  <c r="S24" i="21"/>
  <c r="S13" i="21"/>
  <c r="AJ24" i="13" s="1"/>
  <c r="AK24" i="13" s="1"/>
  <c r="S29" i="21"/>
  <c r="S25" i="21"/>
  <c r="S15" i="21"/>
  <c r="S34" i="21"/>
  <c r="S20" i="21"/>
  <c r="S38" i="21"/>
  <c r="S14" i="21"/>
  <c r="S10" i="21"/>
  <c r="S31" i="21"/>
  <c r="S23" i="21"/>
  <c r="R3" i="21"/>
  <c r="S9" i="21"/>
  <c r="S33" i="21"/>
  <c r="S12" i="21"/>
  <c r="S16" i="21"/>
  <c r="S26" i="21"/>
  <c r="S18" i="21"/>
  <c r="S28" i="21"/>
  <c r="S17" i="21"/>
  <c r="S11" i="21"/>
  <c r="S22" i="21"/>
  <c r="S30" i="21"/>
  <c r="R29" i="12"/>
  <c r="AJ36" i="12"/>
  <c r="AX36" i="12" s="1"/>
  <c r="AJ28" i="12"/>
  <c r="R22" i="12"/>
  <c r="R39" i="12"/>
  <c r="R34" i="12"/>
  <c r="AL18" i="12"/>
  <c r="AJ35" i="12"/>
  <c r="AX35" i="12" s="1"/>
  <c r="AZ35" i="12" s="1"/>
  <c r="AJ13" i="12"/>
  <c r="AX13" i="12" s="1"/>
  <c r="AZ13" i="12" s="1"/>
  <c r="AL25" i="12"/>
  <c r="W25" i="12" s="1"/>
  <c r="GH113" i="1" a="1"/>
  <c r="GH113" i="1" s="1"/>
  <c r="GH121" i="1" a="1"/>
  <c r="GH121" i="1" s="1"/>
  <c r="GH137" i="1" a="1"/>
  <c r="GH137" i="1" s="1"/>
  <c r="GH114" i="1" a="1"/>
  <c r="GH114" i="1" s="1"/>
  <c r="GH122" i="1" a="1"/>
  <c r="GH122" i="1" s="1"/>
  <c r="GH138" i="1" a="1"/>
  <c r="GH138" i="1" s="1"/>
  <c r="GH115" i="1" a="1"/>
  <c r="GH115" i="1" s="1"/>
  <c r="GH123" i="1" a="1"/>
  <c r="GH123" i="1" s="1"/>
  <c r="GH139" i="1" a="1"/>
  <c r="GH139" i="1" s="1"/>
  <c r="GH116" i="1" a="1"/>
  <c r="GH116" i="1" s="1"/>
  <c r="GH124" i="1" a="1"/>
  <c r="GH124" i="1" s="1"/>
  <c r="GH132" i="1" a="1"/>
  <c r="GH132" i="1" s="1"/>
  <c r="GH140" i="1" a="1"/>
  <c r="GH140" i="1" s="1"/>
  <c r="GH117" i="1" a="1"/>
  <c r="GH117" i="1" s="1"/>
  <c r="GH125" i="1" a="1"/>
  <c r="GH125" i="1" s="1"/>
  <c r="GH133" i="1" a="1"/>
  <c r="GH133" i="1" s="1"/>
  <c r="GH141" i="1" a="1"/>
  <c r="GH141" i="1" s="1"/>
  <c r="GH118" i="1" a="1"/>
  <c r="GH118" i="1" s="1"/>
  <c r="GH126" i="1" a="1"/>
  <c r="GH126" i="1" s="1"/>
  <c r="GH134" i="1" a="1"/>
  <c r="GH134" i="1" s="1"/>
  <c r="GH119" i="1" a="1"/>
  <c r="GH119" i="1" s="1"/>
  <c r="GH135" i="1" a="1"/>
  <c r="GH135" i="1" s="1"/>
  <c r="GH120" i="1" a="1"/>
  <c r="GH120" i="1" s="1"/>
  <c r="GH136" i="1" a="1"/>
  <c r="GH136" i="1" s="1"/>
  <c r="GH85" i="1" a="1"/>
  <c r="GH85" i="1" s="1"/>
  <c r="GH86" i="1" a="1"/>
  <c r="GH86" i="1" s="1"/>
  <c r="GH88" i="1" a="1"/>
  <c r="GH88" i="1" s="1"/>
  <c r="GH82" i="1" a="1"/>
  <c r="GH82" i="1" s="1"/>
  <c r="GH83" i="1" a="1"/>
  <c r="GH83" i="1" s="1"/>
  <c r="GH81" i="1" a="1"/>
  <c r="GH81" i="1" s="1"/>
  <c r="GH77" i="1" a="1"/>
  <c r="GH77" i="1" s="1"/>
  <c r="GH79" i="1" a="1"/>
  <c r="GH79" i="1" s="1"/>
  <c r="GH87" i="1" a="1"/>
  <c r="GH87" i="1" s="1"/>
  <c r="GH74" i="1" a="1"/>
  <c r="GH74" i="1" s="1"/>
  <c r="GH75" i="1" a="1"/>
  <c r="GH75" i="1" s="1"/>
  <c r="GH76" i="1" a="1"/>
  <c r="GH76" i="1" s="1"/>
  <c r="GL70" i="1"/>
  <c r="GL86" i="1"/>
  <c r="GH72" i="1" a="1"/>
  <c r="GH72" i="1" s="1"/>
  <c r="GH100" i="1" a="1"/>
  <c r="GH100" i="1" s="1"/>
  <c r="GH73" i="1" a="1"/>
  <c r="GH73" i="1" s="1"/>
  <c r="GH101" i="1" a="1"/>
  <c r="GH101" i="1" s="1"/>
  <c r="GH84" i="1" a="1"/>
  <c r="GH84" i="1" s="1"/>
  <c r="GH99" i="1" a="1"/>
  <c r="GH99" i="1" s="1"/>
  <c r="GH70" i="1" a="1"/>
  <c r="GH70" i="1" s="1"/>
  <c r="GH71" i="1" a="1"/>
  <c r="GH71" i="1" s="1"/>
  <c r="GH97" i="1" a="1"/>
  <c r="GH97" i="1" s="1"/>
  <c r="GH80" i="1" a="1"/>
  <c r="GH80" i="1" s="1"/>
  <c r="GH68" i="1" a="1"/>
  <c r="GH68" i="1" s="1"/>
  <c r="GH69" i="1" a="1"/>
  <c r="GH69" i="1" s="1"/>
  <c r="GH98" i="1" a="1"/>
  <c r="GH98" i="1" s="1"/>
  <c r="GH67" i="1" a="1"/>
  <c r="GH67" i="1" s="1"/>
  <c r="GH91" i="1" a="1"/>
  <c r="GH91" i="1" s="1"/>
  <c r="GH107" i="1" a="1"/>
  <c r="GH107" i="1" s="1"/>
  <c r="GH92" i="1" a="1"/>
  <c r="GH92" i="1" s="1"/>
  <c r="GH103" i="1" a="1"/>
  <c r="GH103" i="1" s="1"/>
  <c r="GH93" i="1" a="1"/>
  <c r="GH93" i="1" s="1"/>
  <c r="GH104" i="1" a="1"/>
  <c r="GH104" i="1" s="1"/>
  <c r="GH78" i="1" a="1"/>
  <c r="GH78" i="1" s="1"/>
  <c r="GH94" i="1" a="1"/>
  <c r="GH94" i="1" s="1"/>
  <c r="GH102" i="1" a="1"/>
  <c r="GH102" i="1" s="1"/>
  <c r="GH95" i="1" a="1"/>
  <c r="GH95" i="1" s="1"/>
  <c r="GH96" i="1" a="1"/>
  <c r="GH96" i="1" s="1"/>
  <c r="GH89" i="1" a="1"/>
  <c r="GH89" i="1" s="1"/>
  <c r="GH105" i="1" a="1"/>
  <c r="GH105" i="1" s="1"/>
  <c r="GH90" i="1" a="1"/>
  <c r="GH90" i="1" s="1"/>
  <c r="GH106" i="1" a="1"/>
  <c r="GH106" i="1" s="1"/>
  <c r="GH50" i="1" a="1"/>
  <c r="GH50" i="1" s="1"/>
  <c r="GH48" i="1" a="1"/>
  <c r="GH48" i="1" s="1"/>
  <c r="GH51" i="1" a="1"/>
  <c r="GH51" i="1" s="1"/>
  <c r="GH49" i="1" a="1"/>
  <c r="GH49" i="1" s="1"/>
  <c r="GH61" i="1" a="1"/>
  <c r="GH61" i="1" s="1"/>
  <c r="GH62" i="1" a="1"/>
  <c r="GH62" i="1" s="1"/>
  <c r="GH60" i="1" a="1"/>
  <c r="GH60" i="1" s="1"/>
  <c r="GH59" i="1" a="1"/>
  <c r="GH59" i="1" s="1"/>
  <c r="GH58" i="1" a="1"/>
  <c r="GH58" i="1" s="1"/>
  <c r="GH57" i="1" a="1"/>
  <c r="GH57" i="1" s="1"/>
  <c r="GH56" i="1" a="1"/>
  <c r="GH56" i="1" s="1"/>
  <c r="GH55" i="1" a="1"/>
  <c r="GH55" i="1" s="1"/>
  <c r="GH54" i="1" a="1"/>
  <c r="GH54" i="1" s="1"/>
  <c r="GH53" i="1" a="1"/>
  <c r="GH53" i="1" s="1"/>
  <c r="GH52" i="1" a="1"/>
  <c r="GH52" i="1" s="1"/>
  <c r="GH4" i="1" a="1"/>
  <c r="GH4" i="1" s="1"/>
  <c r="GH36" i="1" a="1"/>
  <c r="GH36" i="1" s="1"/>
  <c r="GH20" i="1" a="1"/>
  <c r="GH20" i="1" s="1"/>
  <c r="GH35" i="1" a="1"/>
  <c r="GH35" i="1" s="1"/>
  <c r="GH19" i="1" a="1"/>
  <c r="GH19" i="1" s="1"/>
  <c r="GH66" i="1" a="1"/>
  <c r="GH66" i="1" s="1"/>
  <c r="GH34" i="1" a="1"/>
  <c r="GH34" i="1" s="1"/>
  <c r="GH18" i="1" a="1"/>
  <c r="GH18" i="1" s="1"/>
  <c r="GH65" i="1" a="1"/>
  <c r="GH65" i="1" s="1"/>
  <c r="GH33" i="1" a="1"/>
  <c r="GH33" i="1" s="1"/>
  <c r="GH17" i="1" a="1"/>
  <c r="GH17" i="1" s="1"/>
  <c r="GH64" i="1" a="1"/>
  <c r="GH64" i="1" s="1"/>
  <c r="GH32" i="1" a="1"/>
  <c r="GH32" i="1" s="1"/>
  <c r="GH16" i="1" a="1"/>
  <c r="GH16" i="1" s="1"/>
  <c r="GH11" i="1" a="1"/>
  <c r="GH11" i="1" s="1"/>
  <c r="GH63" i="1" a="1"/>
  <c r="GH63" i="1" s="1"/>
  <c r="GH47" i="1" a="1"/>
  <c r="GH47" i="1" s="1"/>
  <c r="GH31" i="1" a="1"/>
  <c r="GH31" i="1" s="1"/>
  <c r="GH15" i="1" a="1"/>
  <c r="GH15" i="1" s="1"/>
  <c r="GH27" i="1" a="1"/>
  <c r="GH27" i="1" s="1"/>
  <c r="GH46" i="1" a="1"/>
  <c r="GH46" i="1" s="1"/>
  <c r="GH30" i="1" a="1"/>
  <c r="GH30" i="1" s="1"/>
  <c r="GH14" i="1" a="1"/>
  <c r="GH14" i="1" s="1"/>
  <c r="GH10" i="1" a="1"/>
  <c r="GH10" i="1" s="1"/>
  <c r="GH45" i="1" a="1"/>
  <c r="GH45" i="1" s="1"/>
  <c r="GH29" i="1" a="1"/>
  <c r="GH29" i="1" s="1"/>
  <c r="GH13" i="1" a="1"/>
  <c r="GH13" i="1" s="1"/>
  <c r="GH26" i="1" a="1"/>
  <c r="GH26" i="1" s="1"/>
  <c r="GH44" i="1" a="1"/>
  <c r="GH44" i="1" s="1"/>
  <c r="GH28" i="1" a="1"/>
  <c r="GH28" i="1" s="1"/>
  <c r="GH12" i="1" a="1"/>
  <c r="GH12" i="1" s="1"/>
  <c r="GH43" i="1" a="1"/>
  <c r="GH43" i="1" s="1"/>
  <c r="GH42" i="1" a="1"/>
  <c r="GH42" i="1" s="1"/>
  <c r="GH41" i="1" a="1"/>
  <c r="GH41" i="1" s="1"/>
  <c r="GH25" i="1" a="1"/>
  <c r="GH25" i="1" s="1"/>
  <c r="GH9" i="1" a="1"/>
  <c r="GH9" i="1" s="1"/>
  <c r="GH40" i="1" a="1"/>
  <c r="GH40" i="1" s="1"/>
  <c r="GH24" i="1" a="1"/>
  <c r="GH24" i="1" s="1"/>
  <c r="GH8" i="1" a="1"/>
  <c r="GH8" i="1" s="1"/>
  <c r="GH39" i="1" a="1"/>
  <c r="GH39" i="1" s="1"/>
  <c r="GH23" i="1" a="1"/>
  <c r="GH23" i="1" s="1"/>
  <c r="GH7" i="1" a="1"/>
  <c r="GH7" i="1" s="1"/>
  <c r="GH38" i="1" a="1"/>
  <c r="GH38" i="1" s="1"/>
  <c r="GH22" i="1" a="1"/>
  <c r="GH22" i="1" s="1"/>
  <c r="GH6" i="1" a="1"/>
  <c r="GH6" i="1" s="1"/>
  <c r="GH37" i="1" a="1"/>
  <c r="GH37" i="1" s="1"/>
  <c r="GH21" i="1" a="1"/>
  <c r="GH21" i="1" s="1"/>
  <c r="GH5" i="1" a="1"/>
  <c r="GH5" i="1" s="1"/>
  <c r="GF66" i="1"/>
  <c r="GF65" i="1"/>
  <c r="GF64" i="1"/>
  <c r="GF63" i="1"/>
  <c r="GF62" i="1"/>
  <c r="GF61" i="1"/>
  <c r="GF60" i="1"/>
  <c r="GF59" i="1"/>
  <c r="GF58" i="1"/>
  <c r="GF57" i="1"/>
  <c r="GF56" i="1"/>
  <c r="GF55" i="1"/>
  <c r="GF54" i="1"/>
  <c r="GF53" i="1"/>
  <c r="GF52" i="1"/>
  <c r="GF51" i="1"/>
  <c r="GF50" i="1"/>
  <c r="GF49" i="1"/>
  <c r="GF48" i="1"/>
  <c r="GF47" i="1"/>
  <c r="GF46" i="1"/>
  <c r="GF45" i="1"/>
  <c r="GF44" i="1"/>
  <c r="GF43" i="1"/>
  <c r="GF42" i="1"/>
  <c r="GF41" i="1"/>
  <c r="GF40" i="1"/>
  <c r="GF39" i="1"/>
  <c r="GF38" i="1"/>
  <c r="GF37" i="1"/>
  <c r="GF36" i="1"/>
  <c r="GF35" i="1"/>
  <c r="GF34" i="1"/>
  <c r="GF33" i="1"/>
  <c r="GF32" i="1"/>
  <c r="GF31" i="1"/>
  <c r="GF30" i="1"/>
  <c r="GF29" i="1"/>
  <c r="GF28" i="1"/>
  <c r="GF27" i="1"/>
  <c r="GF26" i="1"/>
  <c r="GF25" i="1"/>
  <c r="GF24" i="1"/>
  <c r="GF23" i="1"/>
  <c r="GF22" i="1"/>
  <c r="GF21" i="1"/>
  <c r="GF20" i="1"/>
  <c r="GF19" i="1"/>
  <c r="GF18" i="1"/>
  <c r="GF17" i="1"/>
  <c r="GF16" i="1"/>
  <c r="GF15" i="1"/>
  <c r="GF14" i="1"/>
  <c r="GF13" i="1"/>
  <c r="GF12" i="1"/>
  <c r="GF11" i="1"/>
  <c r="GF10" i="1"/>
  <c r="GF9" i="1"/>
  <c r="GF8" i="1"/>
  <c r="GF7" i="1"/>
  <c r="GF6" i="1"/>
  <c r="GF5" i="1"/>
  <c r="GF4" i="1"/>
  <c r="GP66" i="1"/>
  <c r="GP65" i="1"/>
  <c r="GP64" i="1"/>
  <c r="GP63" i="1"/>
  <c r="GP62" i="1"/>
  <c r="GP61" i="1"/>
  <c r="GP60" i="1"/>
  <c r="GP59" i="1"/>
  <c r="GP58" i="1"/>
  <c r="GP57" i="1"/>
  <c r="GP56" i="1"/>
  <c r="GP55" i="1"/>
  <c r="GP54" i="1"/>
  <c r="GP53" i="1"/>
  <c r="GP52" i="1"/>
  <c r="GP51" i="1"/>
  <c r="GP50" i="1"/>
  <c r="GP49" i="1"/>
  <c r="GP48" i="1"/>
  <c r="GP47" i="1"/>
  <c r="GP46" i="1"/>
  <c r="GP45" i="1"/>
  <c r="GP44" i="1"/>
  <c r="GP43" i="1"/>
  <c r="GP42" i="1"/>
  <c r="GP41" i="1"/>
  <c r="GP40" i="1"/>
  <c r="GP39" i="1"/>
  <c r="GP38" i="1"/>
  <c r="GP37" i="1"/>
  <c r="GP36" i="1"/>
  <c r="GP35" i="1"/>
  <c r="GP34" i="1"/>
  <c r="GP33" i="1"/>
  <c r="GP32" i="1"/>
  <c r="GP31" i="1"/>
  <c r="GP30" i="1"/>
  <c r="GP29" i="1"/>
  <c r="GP28" i="1"/>
  <c r="GP27" i="1"/>
  <c r="GP26" i="1"/>
  <c r="GP25" i="1"/>
  <c r="GP24" i="1"/>
  <c r="GP23" i="1"/>
  <c r="GP22" i="1"/>
  <c r="GP21" i="1"/>
  <c r="GP20" i="1"/>
  <c r="GP19" i="1"/>
  <c r="GP18" i="1"/>
  <c r="GP17" i="1"/>
  <c r="GP16" i="1"/>
  <c r="GP15" i="1"/>
  <c r="GP14" i="1"/>
  <c r="GP13" i="1"/>
  <c r="GP12" i="1"/>
  <c r="GP11" i="1"/>
  <c r="GP10" i="1"/>
  <c r="GP9" i="1"/>
  <c r="GP8" i="1"/>
  <c r="GP7" i="1"/>
  <c r="GP6" i="1"/>
  <c r="GP5" i="1"/>
  <c r="GP4" i="1"/>
  <c r="GT66" i="1"/>
  <c r="GS66" i="1"/>
  <c r="GR66" i="1"/>
  <c r="GT65" i="1"/>
  <c r="GS65" i="1"/>
  <c r="GR65" i="1"/>
  <c r="GT64" i="1"/>
  <c r="GS64" i="1"/>
  <c r="GR64" i="1"/>
  <c r="GT63" i="1"/>
  <c r="GS63" i="1"/>
  <c r="GR63" i="1"/>
  <c r="GT62" i="1"/>
  <c r="GS62" i="1"/>
  <c r="GR62" i="1"/>
  <c r="GT61" i="1"/>
  <c r="GS61" i="1"/>
  <c r="GR61" i="1"/>
  <c r="GT60" i="1"/>
  <c r="GS60" i="1"/>
  <c r="GR60" i="1"/>
  <c r="GT59" i="1"/>
  <c r="GS59" i="1"/>
  <c r="GR59" i="1"/>
  <c r="GT58" i="1"/>
  <c r="GS58" i="1"/>
  <c r="GR58" i="1"/>
  <c r="GT57" i="1"/>
  <c r="GS57" i="1"/>
  <c r="GR57" i="1"/>
  <c r="GT56" i="1"/>
  <c r="GS56" i="1"/>
  <c r="GR56" i="1"/>
  <c r="GT55" i="1"/>
  <c r="GS55" i="1"/>
  <c r="GR55" i="1"/>
  <c r="GT54" i="1"/>
  <c r="GS54" i="1"/>
  <c r="GR54" i="1"/>
  <c r="GT53" i="1"/>
  <c r="GS53" i="1"/>
  <c r="GR53" i="1"/>
  <c r="GT52" i="1"/>
  <c r="GS52" i="1"/>
  <c r="GR52" i="1"/>
  <c r="GT51" i="1"/>
  <c r="GS51" i="1"/>
  <c r="GR51" i="1"/>
  <c r="GT50" i="1"/>
  <c r="GS50" i="1"/>
  <c r="GR50" i="1"/>
  <c r="GT49" i="1"/>
  <c r="GS49" i="1"/>
  <c r="GR49" i="1"/>
  <c r="GT48" i="1"/>
  <c r="GS48" i="1"/>
  <c r="GR48" i="1"/>
  <c r="GT47" i="1"/>
  <c r="GS47" i="1"/>
  <c r="GR47" i="1"/>
  <c r="GT46" i="1"/>
  <c r="GS46" i="1"/>
  <c r="GR46" i="1"/>
  <c r="GT45" i="1"/>
  <c r="GS45" i="1"/>
  <c r="GR45" i="1"/>
  <c r="GT44" i="1"/>
  <c r="GS44" i="1"/>
  <c r="GR44" i="1"/>
  <c r="GT43" i="1"/>
  <c r="GS43" i="1"/>
  <c r="GR43" i="1"/>
  <c r="GT42" i="1"/>
  <c r="GS42" i="1"/>
  <c r="GR42" i="1"/>
  <c r="GT41" i="1"/>
  <c r="GS41" i="1"/>
  <c r="GR41" i="1"/>
  <c r="GT40" i="1"/>
  <c r="GS40" i="1"/>
  <c r="GR40" i="1"/>
  <c r="GT39" i="1"/>
  <c r="GS39" i="1"/>
  <c r="GR39" i="1"/>
  <c r="GT38" i="1"/>
  <c r="GS38" i="1"/>
  <c r="GR38" i="1"/>
  <c r="GT37" i="1"/>
  <c r="GS37" i="1"/>
  <c r="GR37" i="1"/>
  <c r="GT36" i="1"/>
  <c r="GS36" i="1"/>
  <c r="GR36" i="1"/>
  <c r="GT35" i="1"/>
  <c r="GS35" i="1"/>
  <c r="GR35" i="1"/>
  <c r="GT34" i="1"/>
  <c r="GS34" i="1"/>
  <c r="GR34" i="1"/>
  <c r="GT33" i="1"/>
  <c r="GS33" i="1"/>
  <c r="GR33" i="1"/>
  <c r="GT32" i="1"/>
  <c r="GS32" i="1"/>
  <c r="GR32" i="1"/>
  <c r="GT31" i="1"/>
  <c r="GS31" i="1"/>
  <c r="GR31" i="1"/>
  <c r="GT30" i="1"/>
  <c r="GS30" i="1"/>
  <c r="GR30" i="1"/>
  <c r="GT29" i="1"/>
  <c r="GS29" i="1"/>
  <c r="GR29" i="1"/>
  <c r="GT28" i="1"/>
  <c r="GS28" i="1"/>
  <c r="GR28" i="1"/>
  <c r="GT27" i="1"/>
  <c r="GS27" i="1"/>
  <c r="GR27" i="1"/>
  <c r="GT26" i="1"/>
  <c r="GS26" i="1"/>
  <c r="GR26" i="1"/>
  <c r="GT25" i="1"/>
  <c r="GS25" i="1"/>
  <c r="GR25" i="1"/>
  <c r="GT24" i="1"/>
  <c r="GS24" i="1"/>
  <c r="GR24" i="1"/>
  <c r="GT23" i="1"/>
  <c r="GS23" i="1"/>
  <c r="GR23" i="1"/>
  <c r="GT22" i="1"/>
  <c r="GS22" i="1"/>
  <c r="GR22" i="1"/>
  <c r="GT21" i="1"/>
  <c r="GS21" i="1"/>
  <c r="GR21" i="1"/>
  <c r="GT20" i="1"/>
  <c r="GS20" i="1"/>
  <c r="GR20" i="1"/>
  <c r="GT19" i="1"/>
  <c r="GS19" i="1"/>
  <c r="GR19" i="1"/>
  <c r="GT18" i="1"/>
  <c r="GS18" i="1"/>
  <c r="GR18" i="1"/>
  <c r="GT17" i="1"/>
  <c r="GS17" i="1"/>
  <c r="GR17" i="1"/>
  <c r="GT16" i="1"/>
  <c r="GS16" i="1"/>
  <c r="GR16" i="1"/>
  <c r="GT15" i="1"/>
  <c r="GS15" i="1"/>
  <c r="GR15" i="1"/>
  <c r="GT14" i="1"/>
  <c r="GS14" i="1"/>
  <c r="GR14" i="1"/>
  <c r="GT13" i="1"/>
  <c r="GS13" i="1"/>
  <c r="GR13" i="1"/>
  <c r="GT12" i="1"/>
  <c r="GS12" i="1"/>
  <c r="GR12" i="1"/>
  <c r="GT11" i="1"/>
  <c r="GS11" i="1"/>
  <c r="GR11" i="1"/>
  <c r="GT10" i="1"/>
  <c r="GS10" i="1"/>
  <c r="GR10" i="1"/>
  <c r="GT9" i="1"/>
  <c r="GS9" i="1"/>
  <c r="GR9" i="1"/>
  <c r="GT8" i="1"/>
  <c r="GS8" i="1"/>
  <c r="GR8" i="1"/>
  <c r="GT7" i="1"/>
  <c r="GS7" i="1"/>
  <c r="GR7" i="1"/>
  <c r="GT6" i="1"/>
  <c r="GS6" i="1"/>
  <c r="GR6" i="1"/>
  <c r="GT5" i="1"/>
  <c r="GS5" i="1"/>
  <c r="GR5" i="1"/>
  <c r="GT4" i="1"/>
  <c r="GS4" i="1"/>
  <c r="GR4" i="1"/>
  <c r="GQ66" i="1"/>
  <c r="GQ65" i="1"/>
  <c r="GQ64" i="1"/>
  <c r="GQ63" i="1"/>
  <c r="GQ62" i="1"/>
  <c r="GQ61" i="1"/>
  <c r="GQ60" i="1"/>
  <c r="GQ59" i="1"/>
  <c r="GQ58" i="1"/>
  <c r="GQ57" i="1"/>
  <c r="GQ56" i="1"/>
  <c r="GQ55" i="1"/>
  <c r="GQ54" i="1"/>
  <c r="GQ53" i="1"/>
  <c r="GQ52" i="1"/>
  <c r="GQ51" i="1"/>
  <c r="GQ50" i="1"/>
  <c r="GQ49" i="1"/>
  <c r="GQ48" i="1"/>
  <c r="GQ47" i="1"/>
  <c r="GQ46" i="1"/>
  <c r="GQ45" i="1"/>
  <c r="GQ44" i="1"/>
  <c r="GQ43" i="1"/>
  <c r="GQ42" i="1"/>
  <c r="GQ41" i="1"/>
  <c r="GQ40" i="1"/>
  <c r="GQ39" i="1"/>
  <c r="GQ38" i="1"/>
  <c r="GQ37" i="1"/>
  <c r="GQ36" i="1"/>
  <c r="GQ35" i="1"/>
  <c r="GQ34" i="1"/>
  <c r="GQ33" i="1"/>
  <c r="GQ32" i="1"/>
  <c r="GQ31" i="1"/>
  <c r="GQ30" i="1"/>
  <c r="GQ29" i="1"/>
  <c r="GQ28" i="1"/>
  <c r="GQ27" i="1"/>
  <c r="GQ26" i="1"/>
  <c r="GQ25" i="1"/>
  <c r="GQ24" i="1"/>
  <c r="GQ23" i="1"/>
  <c r="GQ22" i="1"/>
  <c r="GQ21" i="1"/>
  <c r="GQ20" i="1"/>
  <c r="GQ19" i="1"/>
  <c r="GQ18" i="1"/>
  <c r="GQ17" i="1"/>
  <c r="GQ16" i="1"/>
  <c r="GQ15" i="1"/>
  <c r="GQ14" i="1"/>
  <c r="GQ13" i="1"/>
  <c r="GQ12" i="1"/>
  <c r="GQ11" i="1"/>
  <c r="GQ10" i="1"/>
  <c r="GQ9" i="1"/>
  <c r="GQ8" i="1"/>
  <c r="GQ7" i="1"/>
  <c r="GQ6" i="1"/>
  <c r="GQ5" i="1"/>
  <c r="GQ4" i="1"/>
  <c r="GO66" i="1"/>
  <c r="GO65" i="1"/>
  <c r="GG65" i="1" s="1"/>
  <c r="GO64" i="1"/>
  <c r="GO63" i="1"/>
  <c r="GG63" i="1" s="1"/>
  <c r="GO62" i="1"/>
  <c r="GO61" i="1"/>
  <c r="GG61" i="1" s="1"/>
  <c r="GO60" i="1"/>
  <c r="GO59" i="1"/>
  <c r="GO58" i="1"/>
  <c r="GG58" i="1" s="1"/>
  <c r="GO57" i="1"/>
  <c r="GG57" i="1" s="1"/>
  <c r="GO56" i="1"/>
  <c r="GG56" i="1" s="1"/>
  <c r="GO55" i="1"/>
  <c r="GG55" i="1" s="1"/>
  <c r="GO54" i="1"/>
  <c r="GO53" i="1"/>
  <c r="GO52" i="1"/>
  <c r="GO51" i="1"/>
  <c r="GG51" i="1" s="1"/>
  <c r="GO50" i="1"/>
  <c r="GG50" i="1" s="1"/>
  <c r="GO49" i="1"/>
  <c r="GG49" i="1" s="1"/>
  <c r="GO48" i="1"/>
  <c r="GG48" i="1" s="1"/>
  <c r="GO47" i="1"/>
  <c r="GG47" i="1" s="1"/>
  <c r="GO46" i="1"/>
  <c r="GG46" i="1" s="1"/>
  <c r="GO45" i="1"/>
  <c r="GG45" i="1" s="1"/>
  <c r="GO44" i="1"/>
  <c r="GG44" i="1" s="1"/>
  <c r="GO43" i="1"/>
  <c r="GG43" i="1" s="1"/>
  <c r="GO42" i="1"/>
  <c r="GG42" i="1" s="1"/>
  <c r="GO41" i="1"/>
  <c r="GG41" i="1" s="1"/>
  <c r="GO40" i="1"/>
  <c r="GO39" i="1"/>
  <c r="GG39" i="1" s="1"/>
  <c r="GO38" i="1"/>
  <c r="GG38" i="1" s="1"/>
  <c r="GO37" i="1"/>
  <c r="GG37" i="1" s="1"/>
  <c r="GO36" i="1"/>
  <c r="GG36" i="1" s="1"/>
  <c r="GO35" i="1"/>
  <c r="GG35" i="1" s="1"/>
  <c r="GO34" i="1"/>
  <c r="GG34" i="1" s="1"/>
  <c r="GO33" i="1"/>
  <c r="GO32" i="1"/>
  <c r="GO31" i="1"/>
  <c r="GO30" i="1"/>
  <c r="GO29" i="1"/>
  <c r="GO28" i="1"/>
  <c r="GG28" i="1" s="1"/>
  <c r="GO27" i="1"/>
  <c r="GG27" i="1" s="1"/>
  <c r="GO26" i="1"/>
  <c r="GG26" i="1" s="1"/>
  <c r="GO25" i="1"/>
  <c r="GG25" i="1" s="1"/>
  <c r="GO24" i="1"/>
  <c r="GG24" i="1" s="1"/>
  <c r="GO23" i="1"/>
  <c r="GO22" i="1"/>
  <c r="GO21" i="1"/>
  <c r="GO20" i="1"/>
  <c r="GO19" i="1"/>
  <c r="GG19" i="1" s="1"/>
  <c r="GO18" i="1"/>
  <c r="GG18" i="1" s="1"/>
  <c r="GO17" i="1"/>
  <c r="GO16" i="1"/>
  <c r="GO15" i="1"/>
  <c r="GO14" i="1"/>
  <c r="GG14" i="1" s="1"/>
  <c r="GO13" i="1"/>
  <c r="GG13" i="1" s="1"/>
  <c r="GO12" i="1"/>
  <c r="GG12" i="1" s="1"/>
  <c r="GO11" i="1"/>
  <c r="GG11" i="1" s="1"/>
  <c r="GO10" i="1"/>
  <c r="GG10" i="1" s="1"/>
  <c r="GO9" i="1"/>
  <c r="GG9" i="1" s="1"/>
  <c r="GO8" i="1"/>
  <c r="GG8" i="1" s="1"/>
  <c r="GO7" i="1"/>
  <c r="GG7" i="1" s="1"/>
  <c r="GO6" i="1"/>
  <c r="GG6" i="1" s="1"/>
  <c r="GO5" i="1"/>
  <c r="GG5" i="1" s="1"/>
  <c r="GO4" i="1"/>
  <c r="GG4" i="1" s="1"/>
  <c r="GI66" i="1"/>
  <c r="GI65" i="1"/>
  <c r="GI64" i="1"/>
  <c r="GI63" i="1"/>
  <c r="GI62" i="1"/>
  <c r="GI61" i="1"/>
  <c r="GI60" i="1"/>
  <c r="GI59" i="1"/>
  <c r="GI58" i="1"/>
  <c r="GI57" i="1"/>
  <c r="GI56" i="1"/>
  <c r="GI55" i="1"/>
  <c r="GI54" i="1"/>
  <c r="GI53" i="1"/>
  <c r="GI52" i="1"/>
  <c r="GI51" i="1"/>
  <c r="GI50" i="1"/>
  <c r="GI49" i="1"/>
  <c r="GI48" i="1"/>
  <c r="GI47" i="1"/>
  <c r="GI46" i="1"/>
  <c r="GI45" i="1"/>
  <c r="GI44" i="1"/>
  <c r="GI43" i="1"/>
  <c r="GI42" i="1"/>
  <c r="GI41" i="1"/>
  <c r="GI40" i="1"/>
  <c r="GI39" i="1"/>
  <c r="GI38" i="1"/>
  <c r="GI37" i="1"/>
  <c r="GI36" i="1"/>
  <c r="GI35" i="1"/>
  <c r="GI34" i="1"/>
  <c r="GI33" i="1"/>
  <c r="GI32" i="1"/>
  <c r="GI31" i="1"/>
  <c r="GI30" i="1"/>
  <c r="GI29" i="1"/>
  <c r="GI28" i="1"/>
  <c r="GI27" i="1"/>
  <c r="GI26" i="1"/>
  <c r="GI25" i="1"/>
  <c r="GI24" i="1"/>
  <c r="GI23" i="1"/>
  <c r="GI22" i="1"/>
  <c r="GI21" i="1"/>
  <c r="GI20" i="1"/>
  <c r="GI19" i="1"/>
  <c r="GI18" i="1"/>
  <c r="GI17" i="1"/>
  <c r="GI16" i="1"/>
  <c r="GI15" i="1"/>
  <c r="GI14" i="1"/>
  <c r="GI13" i="1"/>
  <c r="GI12" i="1"/>
  <c r="GI11" i="1"/>
  <c r="GI10" i="1"/>
  <c r="GI9" i="1"/>
  <c r="GI8" i="1"/>
  <c r="GI7" i="1"/>
  <c r="GI6" i="1"/>
  <c r="GI5" i="1"/>
  <c r="GI4" i="1"/>
  <c r="BF3" i="21" l="1"/>
  <c r="S10" i="12"/>
  <c r="BL10" i="12"/>
  <c r="S45" i="12"/>
  <c r="BL45" i="12"/>
  <c r="S37" i="12"/>
  <c r="BL37" i="12"/>
  <c r="S11" i="12"/>
  <c r="BL11" i="12"/>
  <c r="S39" i="12"/>
  <c r="BL39" i="12"/>
  <c r="S26" i="12"/>
  <c r="BL26" i="12"/>
  <c r="S46" i="12"/>
  <c r="BL46" i="12"/>
  <c r="S18" i="12"/>
  <c r="BL18" i="12"/>
  <c r="S34" i="12"/>
  <c r="BL34" i="12"/>
  <c r="S41" i="12"/>
  <c r="BL41" i="12"/>
  <c r="S22" i="12"/>
  <c r="BL22" i="12"/>
  <c r="S32" i="12"/>
  <c r="BL32" i="12"/>
  <c r="S9" i="12"/>
  <c r="BL9" i="12"/>
  <c r="S33" i="12"/>
  <c r="BL33" i="12"/>
  <c r="S15" i="12"/>
  <c r="BL15" i="12"/>
  <c r="S20" i="12"/>
  <c r="BL20" i="12"/>
  <c r="S29" i="12"/>
  <c r="BL29" i="12"/>
  <c r="S13" i="12"/>
  <c r="BL13" i="12"/>
  <c r="S31" i="12"/>
  <c r="BL31" i="12"/>
  <c r="S35" i="12"/>
  <c r="BL35" i="12"/>
  <c r="S36" i="12"/>
  <c r="BL36" i="12"/>
  <c r="S42" i="12"/>
  <c r="BL42" i="12"/>
  <c r="S19" i="12"/>
  <c r="BL19" i="12"/>
  <c r="S44" i="12"/>
  <c r="BL44" i="12"/>
  <c r="AK34" i="21"/>
  <c r="AR8" i="21"/>
  <c r="AR34" i="21"/>
  <c r="AO34" i="21" s="1"/>
  <c r="AS34" i="21" s="1"/>
  <c r="AT34" i="21" s="1"/>
  <c r="AR12" i="21"/>
  <c r="AK27" i="21"/>
  <c r="AF27" i="21" s="1"/>
  <c r="AK24" i="21"/>
  <c r="BI24" i="21" s="1"/>
  <c r="AX28" i="12"/>
  <c r="AK23" i="21"/>
  <c r="AY29" i="21"/>
  <c r="AK8" i="21"/>
  <c r="AR19" i="21"/>
  <c r="AO19" i="21" s="1"/>
  <c r="AS19" i="21" s="1"/>
  <c r="AT19" i="21" s="1"/>
  <c r="AR24" i="21"/>
  <c r="AO24" i="21" s="1"/>
  <c r="AS24" i="21" s="1"/>
  <c r="AT24" i="21" s="1"/>
  <c r="AL29" i="12"/>
  <c r="W29" i="12" s="1"/>
  <c r="W18" i="12"/>
  <c r="AR29" i="21"/>
  <c r="AO29" i="21" s="1"/>
  <c r="AS29" i="21" s="1"/>
  <c r="AT29" i="21" s="1"/>
  <c r="AL15" i="12"/>
  <c r="W15" i="12" s="1"/>
  <c r="AL31" i="12"/>
  <c r="W31" i="12" s="1"/>
  <c r="BU35" i="21"/>
  <c r="AR15" i="21"/>
  <c r="AO15" i="21" s="1"/>
  <c r="AS15" i="21" s="1"/>
  <c r="AT15" i="21" s="1"/>
  <c r="AL44" i="12"/>
  <c r="W44" i="12" s="1"/>
  <c r="AJ16" i="12"/>
  <c r="AK15" i="21"/>
  <c r="AL19" i="12"/>
  <c r="W19" i="12" s="1"/>
  <c r="AX44" i="12"/>
  <c r="AZ19" i="12"/>
  <c r="AS24" i="12"/>
  <c r="BN35" i="21"/>
  <c r="AS44" i="12"/>
  <c r="AX31" i="12"/>
  <c r="AY24" i="21" s="1"/>
  <c r="AX24" i="12"/>
  <c r="AX45" i="12"/>
  <c r="AY34" i="21" s="1"/>
  <c r="BA34" i="21" s="1"/>
  <c r="AL45" i="12"/>
  <c r="W45" i="12" s="1"/>
  <c r="BI34" i="21"/>
  <c r="AL41" i="12"/>
  <c r="W41" i="12" s="1"/>
  <c r="AL24" i="12"/>
  <c r="W24" i="12" s="1"/>
  <c r="AJ30" i="12"/>
  <c r="AX30" i="12" s="1"/>
  <c r="AZ30" i="12" s="1"/>
  <c r="R30" i="12"/>
  <c r="AQ30" i="12"/>
  <c r="AS30" i="12" s="1"/>
  <c r="T35" i="21"/>
  <c r="BP35" i="21"/>
  <c r="AR27" i="21"/>
  <c r="AO27" i="21" s="1"/>
  <c r="AS27" i="21" s="1"/>
  <c r="AT27" i="21" s="1"/>
  <c r="AJ32" i="13"/>
  <c r="AK32" i="13" s="1"/>
  <c r="AR23" i="21"/>
  <c r="AO23" i="21" s="1"/>
  <c r="AS23" i="21" s="1"/>
  <c r="AT23" i="21" s="1"/>
  <c r="BQ35" i="21"/>
  <c r="BS35" i="21"/>
  <c r="BO35" i="21"/>
  <c r="BT35" i="21"/>
  <c r="R16" i="12"/>
  <c r="BR35" i="21"/>
  <c r="AK17" i="21"/>
  <c r="AL22" i="12"/>
  <c r="W22" i="12" s="1"/>
  <c r="BV13" i="21"/>
  <c r="BU13" i="21"/>
  <c r="BT13" i="21"/>
  <c r="BS13" i="21"/>
  <c r="BQ13" i="21"/>
  <c r="BR13" i="21"/>
  <c r="BP13" i="21"/>
  <c r="BO13" i="21"/>
  <c r="BN13" i="21"/>
  <c r="AL34" i="12"/>
  <c r="W34" i="12" s="1"/>
  <c r="T24" i="21"/>
  <c r="BS24" i="21"/>
  <c r="BR24" i="21"/>
  <c r="BQ24" i="21"/>
  <c r="BP24" i="21"/>
  <c r="BO24" i="21"/>
  <c r="BN24" i="21"/>
  <c r="BT24" i="21"/>
  <c r="BV24" i="21"/>
  <c r="BU24" i="21"/>
  <c r="T32" i="21"/>
  <c r="BV32" i="21"/>
  <c r="BU32" i="21"/>
  <c r="BP32" i="21"/>
  <c r="BO32" i="21"/>
  <c r="BQ32" i="21"/>
  <c r="BN32" i="21"/>
  <c r="BR32" i="21"/>
  <c r="BT32" i="21"/>
  <c r="BS32" i="21"/>
  <c r="BV27" i="21"/>
  <c r="BU27" i="21"/>
  <c r="BS27" i="21"/>
  <c r="BT27" i="21"/>
  <c r="BR27" i="21"/>
  <c r="BQ27" i="21"/>
  <c r="BP27" i="21"/>
  <c r="BO27" i="21"/>
  <c r="BN27" i="21"/>
  <c r="T21" i="21"/>
  <c r="BN21" i="21"/>
  <c r="BS21" i="21"/>
  <c r="BR21" i="21"/>
  <c r="BV21" i="21"/>
  <c r="BT21" i="21"/>
  <c r="BU21" i="21"/>
  <c r="BQ21" i="21"/>
  <c r="BP21" i="21"/>
  <c r="BO21" i="21"/>
  <c r="AJ46" i="13"/>
  <c r="AK46" i="13" s="1"/>
  <c r="T23" i="21"/>
  <c r="BV23" i="21"/>
  <c r="BQ23" i="21"/>
  <c r="BP23" i="21"/>
  <c r="BU23" i="21"/>
  <c r="BT23" i="21"/>
  <c r="BS23" i="21"/>
  <c r="BR23" i="21"/>
  <c r="BO23" i="21"/>
  <c r="BN23" i="21"/>
  <c r="AJ36" i="13"/>
  <c r="AK36" i="13" s="1"/>
  <c r="BM8" i="21"/>
  <c r="T22" i="21"/>
  <c r="BU22" i="21"/>
  <c r="BT22" i="21"/>
  <c r="BS22" i="21"/>
  <c r="BR22" i="21"/>
  <c r="BP22" i="21"/>
  <c r="BQ22" i="21"/>
  <c r="BO22" i="21"/>
  <c r="BV22" i="21"/>
  <c r="BN22" i="21"/>
  <c r="T31" i="21"/>
  <c r="BT31" i="21"/>
  <c r="BS31" i="21"/>
  <c r="BR31" i="21"/>
  <c r="BO31" i="21"/>
  <c r="BQ31" i="21"/>
  <c r="BP31" i="21"/>
  <c r="BN31" i="21"/>
  <c r="BV31" i="21"/>
  <c r="BU31" i="21"/>
  <c r="BV29" i="21"/>
  <c r="BU29" i="21"/>
  <c r="BT29" i="21"/>
  <c r="BS29" i="21"/>
  <c r="BR29" i="21"/>
  <c r="BQ29" i="21"/>
  <c r="BP29" i="21"/>
  <c r="BO29" i="21"/>
  <c r="BN29" i="21"/>
  <c r="T30" i="21"/>
  <c r="BR30" i="21"/>
  <c r="BQ30" i="21"/>
  <c r="BV30" i="21"/>
  <c r="BU30" i="21"/>
  <c r="BT30" i="21"/>
  <c r="BS30" i="21"/>
  <c r="BP30" i="21"/>
  <c r="BO30" i="21"/>
  <c r="BN30" i="21"/>
  <c r="BV11" i="21"/>
  <c r="BU11" i="21"/>
  <c r="BT11" i="21"/>
  <c r="BS11" i="21"/>
  <c r="BR11" i="21"/>
  <c r="BQ11" i="21"/>
  <c r="BP11" i="21"/>
  <c r="BO11" i="21"/>
  <c r="BN11" i="21"/>
  <c r="T26" i="21"/>
  <c r="BQ26" i="21"/>
  <c r="BP26" i="21"/>
  <c r="BO26" i="21"/>
  <c r="BN26" i="21"/>
  <c r="BV26" i="21"/>
  <c r="BU26" i="21"/>
  <c r="BT26" i="21"/>
  <c r="BS26" i="21"/>
  <c r="BR26" i="21"/>
  <c r="BQ10" i="21"/>
  <c r="BP10" i="21"/>
  <c r="BO10" i="21"/>
  <c r="BN10" i="21"/>
  <c r="BV10" i="21"/>
  <c r="BU10" i="21"/>
  <c r="BT10" i="21"/>
  <c r="BS10" i="21"/>
  <c r="BR10" i="21"/>
  <c r="BR17" i="21"/>
  <c r="BQ17" i="21"/>
  <c r="BP17" i="21"/>
  <c r="BO17" i="21"/>
  <c r="BN17" i="21"/>
  <c r="BV17" i="21"/>
  <c r="BT17" i="21"/>
  <c r="BU17" i="21"/>
  <c r="BS17" i="21"/>
  <c r="BV16" i="21"/>
  <c r="BU16" i="21"/>
  <c r="BP16" i="21"/>
  <c r="BO16" i="21"/>
  <c r="BN16" i="21"/>
  <c r="BQ16" i="21"/>
  <c r="BT16" i="21"/>
  <c r="BS16" i="21"/>
  <c r="BR16" i="21"/>
  <c r="BO12" i="21"/>
  <c r="BN12" i="21"/>
  <c r="BT12" i="21"/>
  <c r="BS12" i="21"/>
  <c r="BP12" i="21"/>
  <c r="BQ12" i="21"/>
  <c r="BV12" i="21"/>
  <c r="BU12" i="21"/>
  <c r="BR12" i="21"/>
  <c r="BR14" i="21"/>
  <c r="BQ14" i="21"/>
  <c r="BV14" i="21"/>
  <c r="BU14" i="21"/>
  <c r="BT14" i="21"/>
  <c r="BS14" i="21"/>
  <c r="BP14" i="21"/>
  <c r="BO14" i="21"/>
  <c r="BN14" i="21"/>
  <c r="AJ19" i="13"/>
  <c r="AK19" i="13" s="1"/>
  <c r="BM19" i="21"/>
  <c r="BW19" i="21" s="1"/>
  <c r="BV18" i="21"/>
  <c r="BT18" i="21"/>
  <c r="BU18" i="21"/>
  <c r="BS18" i="21"/>
  <c r="BN18" i="21"/>
  <c r="BR18" i="21"/>
  <c r="BQ18" i="21"/>
  <c r="BP18" i="21"/>
  <c r="BO18" i="21"/>
  <c r="T38" i="21"/>
  <c r="BU38" i="21"/>
  <c r="BT38" i="21"/>
  <c r="BS38" i="21"/>
  <c r="BR38" i="21"/>
  <c r="BP38" i="21"/>
  <c r="BQ38" i="21"/>
  <c r="BO38" i="21"/>
  <c r="BV38" i="21"/>
  <c r="BN38" i="21"/>
  <c r="BM36" i="21"/>
  <c r="BW36" i="21" s="1"/>
  <c r="BR33" i="21"/>
  <c r="BQ33" i="21"/>
  <c r="BP33" i="21"/>
  <c r="BO33" i="21"/>
  <c r="BN33" i="21"/>
  <c r="BV33" i="21"/>
  <c r="BU33" i="21"/>
  <c r="BT33" i="21"/>
  <c r="BS33" i="21"/>
  <c r="AJ39" i="13"/>
  <c r="AK39" i="13" s="1"/>
  <c r="BU9" i="21"/>
  <c r="BV9" i="21"/>
  <c r="BT9" i="21"/>
  <c r="BO9" i="21"/>
  <c r="BN9" i="21"/>
  <c r="BS9" i="21"/>
  <c r="BR9" i="21"/>
  <c r="BQ9" i="21"/>
  <c r="BP9" i="21"/>
  <c r="BV20" i="21"/>
  <c r="BU20" i="21"/>
  <c r="BR20" i="21"/>
  <c r="BT20" i="21"/>
  <c r="BS20" i="21"/>
  <c r="BQ20" i="21"/>
  <c r="BN20" i="21"/>
  <c r="BP20" i="21"/>
  <c r="BO20" i="21"/>
  <c r="BM37" i="21"/>
  <c r="BW37" i="21" s="1"/>
  <c r="T34" i="21"/>
  <c r="BV34" i="21"/>
  <c r="BU34" i="21"/>
  <c r="BT34" i="21"/>
  <c r="BS34" i="21"/>
  <c r="BN34" i="21"/>
  <c r="BR34" i="21"/>
  <c r="BQ34" i="21"/>
  <c r="BP34" i="21"/>
  <c r="BO34" i="21"/>
  <c r="AJ33" i="13"/>
  <c r="AK33" i="13" s="1"/>
  <c r="BT15" i="21"/>
  <c r="BS15" i="21"/>
  <c r="BR15" i="21"/>
  <c r="BO15" i="21"/>
  <c r="BQ15" i="21"/>
  <c r="BP15" i="21"/>
  <c r="BN15" i="21"/>
  <c r="BV15" i="21"/>
  <c r="BU15" i="21"/>
  <c r="AJ40" i="13"/>
  <c r="AK40" i="13" s="1"/>
  <c r="T28" i="21"/>
  <c r="BO28" i="21"/>
  <c r="BN28" i="21"/>
  <c r="BT28" i="21"/>
  <c r="BS28" i="21"/>
  <c r="BQ28" i="21"/>
  <c r="BP28" i="21"/>
  <c r="BR28" i="21"/>
  <c r="BV28" i="21"/>
  <c r="BU28" i="21"/>
  <c r="T25" i="21"/>
  <c r="BU25" i="21"/>
  <c r="BV25" i="21"/>
  <c r="BT25" i="21"/>
  <c r="BO25" i="21"/>
  <c r="BN25" i="21"/>
  <c r="BS25" i="21"/>
  <c r="BR25" i="21"/>
  <c r="BQ25" i="21"/>
  <c r="BP25" i="21"/>
  <c r="AX34" i="12"/>
  <c r="AZ34" i="12" s="1"/>
  <c r="AJ25" i="13"/>
  <c r="AK25" i="13" s="1"/>
  <c r="AJ12" i="13"/>
  <c r="AK12" i="13" s="1"/>
  <c r="S3" i="21"/>
  <c r="BE3" i="21"/>
  <c r="AL37" i="12"/>
  <c r="W37" i="12" s="1"/>
  <c r="AJ44" i="13"/>
  <c r="AK44" i="13" s="1"/>
  <c r="AJ5" i="13"/>
  <c r="AK5" i="13" s="1"/>
  <c r="AX37" i="12"/>
  <c r="AZ37" i="12" s="1"/>
  <c r="AJ7" i="13"/>
  <c r="AK7" i="13" s="1"/>
  <c r="AJ10" i="13"/>
  <c r="AK10" i="13" s="1"/>
  <c r="AJ11" i="13"/>
  <c r="AK11" i="13" s="1"/>
  <c r="T17" i="21"/>
  <c r="AJ8" i="13"/>
  <c r="AK8" i="13" s="1"/>
  <c r="T33" i="21"/>
  <c r="AJ29" i="13"/>
  <c r="AK29" i="13" s="1"/>
  <c r="AJ37" i="13"/>
  <c r="AK37" i="13" s="1"/>
  <c r="AJ38" i="13"/>
  <c r="AK38" i="13" s="1"/>
  <c r="T18" i="21"/>
  <c r="AJ23" i="13"/>
  <c r="AK23" i="13" s="1"/>
  <c r="T12" i="21"/>
  <c r="AJ45" i="13"/>
  <c r="AK45" i="13" s="1"/>
  <c r="T14" i="21"/>
  <c r="AJ31" i="13"/>
  <c r="AK31" i="13" s="1"/>
  <c r="T15" i="21"/>
  <c r="AJ30" i="13"/>
  <c r="AK30" i="13" s="1"/>
  <c r="AJ18" i="13"/>
  <c r="AK18" i="13" s="1"/>
  <c r="AJ27" i="13"/>
  <c r="AK27" i="13" s="1"/>
  <c r="T16" i="21"/>
  <c r="AJ6" i="13"/>
  <c r="AK6" i="13" s="1"/>
  <c r="T13" i="21"/>
  <c r="AJ4" i="13"/>
  <c r="T11" i="21"/>
  <c r="AJ22" i="13"/>
  <c r="AK22" i="13" s="1"/>
  <c r="AJ14" i="13"/>
  <c r="AK14" i="13" s="1"/>
  <c r="T20" i="21"/>
  <c r="AJ21" i="13"/>
  <c r="AK21" i="13" s="1"/>
  <c r="T27" i="21"/>
  <c r="AJ35" i="13"/>
  <c r="AK35" i="13" s="1"/>
  <c r="AJ15" i="13"/>
  <c r="AK15" i="13" s="1"/>
  <c r="T10" i="21"/>
  <c r="AJ43" i="13"/>
  <c r="AK43" i="13" s="1"/>
  <c r="T29" i="21"/>
  <c r="AJ9" i="13"/>
  <c r="AK9" i="13" s="1"/>
  <c r="AJ17" i="13"/>
  <c r="AK17" i="13" s="1"/>
  <c r="AY12" i="21"/>
  <c r="AZ8" i="12"/>
  <c r="AX20" i="12"/>
  <c r="AZ20" i="12" s="1"/>
  <c r="AZ25" i="12"/>
  <c r="AZ36" i="12"/>
  <c r="AZ18" i="12"/>
  <c r="AX39" i="12"/>
  <c r="AZ39" i="12" s="1"/>
  <c r="AX42" i="12"/>
  <c r="AZ42" i="12" s="1"/>
  <c r="AX11" i="12"/>
  <c r="AZ11" i="12" s="1"/>
  <c r="AX26" i="12"/>
  <c r="AX10" i="12"/>
  <c r="AZ10" i="12" s="1"/>
  <c r="AS26" i="12"/>
  <c r="R27" i="12"/>
  <c r="AQ14" i="12"/>
  <c r="AS14" i="12" s="1"/>
  <c r="AS46" i="12"/>
  <c r="AS32" i="12"/>
  <c r="AR17" i="21"/>
  <c r="AO17" i="21" s="1"/>
  <c r="AS17" i="21" s="1"/>
  <c r="AT17" i="21" s="1"/>
  <c r="AS35" i="12"/>
  <c r="AS11" i="12"/>
  <c r="AS10" i="12"/>
  <c r="AS20" i="12"/>
  <c r="AS39" i="12"/>
  <c r="AR21" i="21"/>
  <c r="AO8" i="21"/>
  <c r="AS8" i="21" s="1"/>
  <c r="AT8" i="21" s="1"/>
  <c r="AO12" i="21"/>
  <c r="AS12" i="21" s="1"/>
  <c r="AT12" i="21" s="1"/>
  <c r="AS42" i="12"/>
  <c r="AQ38" i="12"/>
  <c r="AS33" i="12"/>
  <c r="AS9" i="12"/>
  <c r="R43" i="12"/>
  <c r="AQ43" i="12"/>
  <c r="AS43" i="12" s="1"/>
  <c r="AQ40" i="12"/>
  <c r="AR33" i="21" s="1"/>
  <c r="AO33" i="21" s="1"/>
  <c r="AS33" i="21" s="1"/>
  <c r="AT33" i="21" s="1"/>
  <c r="R21" i="12"/>
  <c r="AQ21" i="12"/>
  <c r="AS21" i="12" s="1"/>
  <c r="R12" i="12"/>
  <c r="AQ12" i="12"/>
  <c r="AS12" i="12" s="1"/>
  <c r="AJ12" i="12"/>
  <c r="AL12" i="12" s="1"/>
  <c r="AJ27" i="12"/>
  <c r="AL27" i="12" s="1"/>
  <c r="AQ27" i="12"/>
  <c r="AS27" i="12" s="1"/>
  <c r="AJ43" i="12"/>
  <c r="AL43" i="12" s="1"/>
  <c r="R40" i="12"/>
  <c r="AJ40" i="12"/>
  <c r="AK33" i="21" s="1"/>
  <c r="W11" i="12"/>
  <c r="AL36" i="12"/>
  <c r="W36" i="12" s="1"/>
  <c r="AK29" i="21"/>
  <c r="AL46" i="12"/>
  <c r="W46" i="12" s="1"/>
  <c r="AL32" i="12"/>
  <c r="W32" i="12" s="1"/>
  <c r="AL28" i="12"/>
  <c r="W28" i="12" s="1"/>
  <c r="AK21" i="21"/>
  <c r="AL13" i="12"/>
  <c r="W13" i="12" s="1"/>
  <c r="AK12" i="21"/>
  <c r="AL9" i="12"/>
  <c r="W9" i="12" s="1"/>
  <c r="AL35" i="12"/>
  <c r="W35" i="12" s="1"/>
  <c r="AL33" i="12"/>
  <c r="W33" i="12" s="1"/>
  <c r="W10" i="12"/>
  <c r="W20" i="12"/>
  <c r="AJ21" i="12"/>
  <c r="R14" i="12"/>
  <c r="AJ14" i="12"/>
  <c r="AX14" i="12" s="1"/>
  <c r="W42" i="12"/>
  <c r="AJ38" i="12"/>
  <c r="R38" i="12"/>
  <c r="W26" i="12"/>
  <c r="T9" i="21"/>
  <c r="AL8" i="12"/>
  <c r="W39" i="12"/>
  <c r="GG32" i="1"/>
  <c r="GG33" i="1"/>
  <c r="GG30" i="1"/>
  <c r="GG31" i="1"/>
  <c r="GG29" i="1"/>
  <c r="GG66" i="1"/>
  <c r="GG23" i="1"/>
  <c r="GG60" i="1"/>
  <c r="GG21" i="1"/>
  <c r="GG22" i="1"/>
  <c r="GG64" i="1"/>
  <c r="GG16" i="1"/>
  <c r="GG17" i="1"/>
  <c r="GG54" i="1"/>
  <c r="GG62" i="1"/>
  <c r="GG15" i="1"/>
  <c r="GG53" i="1"/>
  <c r="GG20" i="1"/>
  <c r="GG52" i="1"/>
  <c r="GG40" i="1"/>
  <c r="GK38" i="1"/>
  <c r="GJ38" i="1"/>
  <c r="GK66" i="1"/>
  <c r="GJ66" i="1"/>
  <c r="GK52" i="1"/>
  <c r="GJ52" i="1"/>
  <c r="GK35" i="1"/>
  <c r="GJ35" i="1"/>
  <c r="GK4" i="1"/>
  <c r="GJ4" i="1"/>
  <c r="GK53" i="1"/>
  <c r="GJ53" i="1"/>
  <c r="GK6" i="1"/>
  <c r="GJ6" i="1"/>
  <c r="GK39" i="1"/>
  <c r="GJ39" i="1"/>
  <c r="GK50" i="1"/>
  <c r="GJ50" i="1"/>
  <c r="GK19" i="1"/>
  <c r="GJ19" i="1"/>
  <c r="GK20" i="1"/>
  <c r="GJ20" i="1"/>
  <c r="GK8" i="1"/>
  <c r="GJ8" i="1"/>
  <c r="GK42" i="1"/>
  <c r="GJ42" i="1"/>
  <c r="GK27" i="1"/>
  <c r="GJ27" i="1"/>
  <c r="GK12" i="1"/>
  <c r="GJ12" i="1"/>
  <c r="GK60" i="1"/>
  <c r="GJ60" i="1"/>
  <c r="GK36" i="1"/>
  <c r="GJ36" i="1"/>
  <c r="GK40" i="1"/>
  <c r="GJ40" i="1"/>
  <c r="GK41" i="1"/>
  <c r="GJ41" i="1"/>
  <c r="GK10" i="1"/>
  <c r="GJ10" i="1"/>
  <c r="GK37" i="1"/>
  <c r="GJ37" i="1"/>
  <c r="GK23" i="1"/>
  <c r="GJ23" i="1"/>
  <c r="GK56" i="1"/>
  <c r="GJ56" i="1"/>
  <c r="GK9" i="1"/>
  <c r="GJ9" i="1"/>
  <c r="GK26" i="1"/>
  <c r="GJ26" i="1"/>
  <c r="GK59" i="1"/>
  <c r="GJ59" i="1"/>
  <c r="GK29" i="1"/>
  <c r="GJ29" i="1"/>
  <c r="GK14" i="1"/>
  <c r="GJ14" i="1"/>
  <c r="GK30" i="1"/>
  <c r="GJ30" i="1"/>
  <c r="GK46" i="1"/>
  <c r="GJ46" i="1"/>
  <c r="GK62" i="1"/>
  <c r="GJ62" i="1"/>
  <c r="GK22" i="1"/>
  <c r="GJ22" i="1"/>
  <c r="GK24" i="1"/>
  <c r="GJ24" i="1"/>
  <c r="GK25" i="1"/>
  <c r="GJ25" i="1"/>
  <c r="GK18" i="1"/>
  <c r="GJ18" i="1"/>
  <c r="GK51" i="1"/>
  <c r="GJ51" i="1"/>
  <c r="GK21" i="1"/>
  <c r="GJ21" i="1"/>
  <c r="GK54" i="1"/>
  <c r="GJ54" i="1"/>
  <c r="GK11" i="1"/>
  <c r="GJ11" i="1"/>
  <c r="GK28" i="1"/>
  <c r="GJ28" i="1"/>
  <c r="GK13" i="1"/>
  <c r="GJ13" i="1"/>
  <c r="GK61" i="1"/>
  <c r="GJ61" i="1"/>
  <c r="GK31" i="1"/>
  <c r="GJ31" i="1"/>
  <c r="GK63" i="1"/>
  <c r="GJ63" i="1"/>
  <c r="GK16" i="1"/>
  <c r="GJ16" i="1"/>
  <c r="GK32" i="1"/>
  <c r="GJ32" i="1"/>
  <c r="GK48" i="1"/>
  <c r="GJ48" i="1"/>
  <c r="GK64" i="1"/>
  <c r="GJ64" i="1"/>
  <c r="GK34" i="1"/>
  <c r="GJ34" i="1"/>
  <c r="GK5" i="1"/>
  <c r="GJ5" i="1"/>
  <c r="GK7" i="1"/>
  <c r="GJ7" i="1"/>
  <c r="GK55" i="1"/>
  <c r="GJ55" i="1"/>
  <c r="GK57" i="1"/>
  <c r="GJ57" i="1"/>
  <c r="GK58" i="1"/>
  <c r="GJ58" i="1"/>
  <c r="GK43" i="1"/>
  <c r="GJ43" i="1"/>
  <c r="GK44" i="1"/>
  <c r="GJ44" i="1"/>
  <c r="GK45" i="1"/>
  <c r="GJ45" i="1"/>
  <c r="GK15" i="1"/>
  <c r="GJ15" i="1"/>
  <c r="GK47" i="1"/>
  <c r="GJ47" i="1"/>
  <c r="GK17" i="1"/>
  <c r="GJ17" i="1"/>
  <c r="GK33" i="1"/>
  <c r="GJ33" i="1"/>
  <c r="GK49" i="1"/>
  <c r="GJ49" i="1"/>
  <c r="GK65" i="1"/>
  <c r="GJ65" i="1"/>
  <c r="GG59" i="1"/>
  <c r="BA24" i="21" l="1"/>
  <c r="AV24" i="21" s="1"/>
  <c r="S27" i="12"/>
  <c r="BL27" i="12"/>
  <c r="S40" i="12"/>
  <c r="BL40" i="12"/>
  <c r="S16" i="12"/>
  <c r="BL16" i="12"/>
  <c r="S43" i="12"/>
  <c r="BL43" i="12"/>
  <c r="S30" i="12"/>
  <c r="BL30" i="12"/>
  <c r="S14" i="12"/>
  <c r="BL14" i="12"/>
  <c r="BA29" i="21"/>
  <c r="AV29" i="21" s="1"/>
  <c r="S12" i="12"/>
  <c r="BL12" i="12"/>
  <c r="S38" i="12"/>
  <c r="BL38" i="12"/>
  <c r="S21" i="12"/>
  <c r="BL21" i="12"/>
  <c r="BA12" i="21"/>
  <c r="AV12" i="21" s="1"/>
  <c r="AF34" i="21"/>
  <c r="AV34" i="21"/>
  <c r="BI27" i="21"/>
  <c r="BL1" i="13"/>
  <c r="AF24" i="21"/>
  <c r="AK36" i="21"/>
  <c r="AF33" i="21"/>
  <c r="BI33" i="21"/>
  <c r="BI8" i="21"/>
  <c r="AF8" i="21"/>
  <c r="V8" i="21" s="1"/>
  <c r="W8" i="21" s="1"/>
  <c r="AG8" i="21" s="1"/>
  <c r="AL8" i="21" s="1"/>
  <c r="BJ8" i="21" s="1"/>
  <c r="BI23" i="21"/>
  <c r="AF23" i="21"/>
  <c r="V23" i="21" s="1"/>
  <c r="AZ28" i="12"/>
  <c r="AY23" i="21"/>
  <c r="AR36" i="21"/>
  <c r="AO36" i="21" s="1"/>
  <c r="AS36" i="21" s="1"/>
  <c r="AT36" i="21" s="1"/>
  <c r="AY15" i="21"/>
  <c r="AY8" i="21"/>
  <c r="AR13" i="21"/>
  <c r="AO13" i="21" s="1"/>
  <c r="AS13" i="21" s="1"/>
  <c r="AT13" i="21" s="1"/>
  <c r="AZ26" i="12"/>
  <c r="AL40" i="12"/>
  <c r="W40" i="12" s="1"/>
  <c r="AS38" i="12"/>
  <c r="AX16" i="12"/>
  <c r="AY13" i="21" s="1"/>
  <c r="AK19" i="21"/>
  <c r="AX38" i="12"/>
  <c r="AZ38" i="12" s="1"/>
  <c r="AX21" i="12"/>
  <c r="AK38" i="21"/>
  <c r="AS40" i="12"/>
  <c r="AR38" i="21"/>
  <c r="AO38" i="21" s="1"/>
  <c r="AS38" i="21" s="1"/>
  <c r="AT38" i="21" s="1"/>
  <c r="AK31" i="21"/>
  <c r="AF31" i="21" s="1"/>
  <c r="BI29" i="21"/>
  <c r="AF15" i="21"/>
  <c r="AF17" i="21"/>
  <c r="BI21" i="21"/>
  <c r="BI12" i="21"/>
  <c r="BT3" i="21"/>
  <c r="BU3" i="21"/>
  <c r="BP3" i="21"/>
  <c r="BQ3" i="21"/>
  <c r="BR3" i="21"/>
  <c r="BV3" i="21"/>
  <c r="BS3" i="21"/>
  <c r="BN3" i="21"/>
  <c r="BO3" i="21"/>
  <c r="BW8" i="21"/>
  <c r="AZ44" i="12"/>
  <c r="AY21" i="21"/>
  <c r="AK13" i="21"/>
  <c r="AY37" i="21"/>
  <c r="BA37" i="21" s="1"/>
  <c r="AZ45" i="12"/>
  <c r="BI15" i="21"/>
  <c r="AK37" i="21"/>
  <c r="AR31" i="21"/>
  <c r="AO31" i="21" s="1"/>
  <c r="AL16" i="12"/>
  <c r="W16" i="12" s="1"/>
  <c r="AZ31" i="12"/>
  <c r="AR37" i="21"/>
  <c r="AO37" i="21" s="1"/>
  <c r="AS37" i="21" s="1"/>
  <c r="AT37" i="21" s="1"/>
  <c r="AZ24" i="12"/>
  <c r="AL30" i="12"/>
  <c r="W30" i="12" s="1"/>
  <c r="BM35" i="21"/>
  <c r="BW35" i="21" s="1"/>
  <c r="BI17" i="21"/>
  <c r="BM13" i="21"/>
  <c r="BW13" i="21" s="1"/>
  <c r="BM12" i="21"/>
  <c r="BW12" i="21" s="1"/>
  <c r="BM25" i="21"/>
  <c r="BW25" i="21" s="1"/>
  <c r="BM15" i="21"/>
  <c r="BW15" i="21" s="1"/>
  <c r="BM18" i="21"/>
  <c r="BW18" i="21" s="1"/>
  <c r="BM17" i="21"/>
  <c r="BW17" i="21" s="1"/>
  <c r="BM30" i="21"/>
  <c r="BW30" i="21" s="1"/>
  <c r="BM38" i="21"/>
  <c r="BW38" i="21" s="1"/>
  <c r="BM9" i="21"/>
  <c r="BW9" i="21" s="1"/>
  <c r="BM26" i="21"/>
  <c r="BW26" i="21" s="1"/>
  <c r="BM21" i="21"/>
  <c r="BW21" i="21" s="1"/>
  <c r="BM31" i="21"/>
  <c r="BW31" i="21" s="1"/>
  <c r="AY27" i="21"/>
  <c r="BM34" i="21"/>
  <c r="BW34" i="21" s="1"/>
  <c r="BM29" i="21"/>
  <c r="BW29" i="21" s="1"/>
  <c r="BM33" i="21"/>
  <c r="BW33" i="21" s="1"/>
  <c r="BM23" i="21"/>
  <c r="BW23" i="21" s="1"/>
  <c r="BM20" i="21"/>
  <c r="BW20" i="21" s="1"/>
  <c r="BM14" i="21"/>
  <c r="BW14" i="21" s="1"/>
  <c r="BM11" i="21"/>
  <c r="BW11" i="21" s="1"/>
  <c r="BM27" i="21"/>
  <c r="BW27" i="21" s="1"/>
  <c r="BM16" i="21"/>
  <c r="BW16" i="21" s="1"/>
  <c r="BM10" i="21"/>
  <c r="BW10" i="21" s="1"/>
  <c r="BM32" i="21"/>
  <c r="BW32" i="21" s="1"/>
  <c r="BM28" i="21"/>
  <c r="BW28" i="21" s="1"/>
  <c r="BM22" i="21"/>
  <c r="BW22" i="21" s="1"/>
  <c r="BM24" i="21"/>
  <c r="BW24" i="21" s="1"/>
  <c r="AY17" i="21"/>
  <c r="AK25" i="21"/>
  <c r="AK4" i="13"/>
  <c r="AJ2" i="13"/>
  <c r="AJ1" i="13" s="1"/>
  <c r="AX43" i="12"/>
  <c r="AZ43" i="12" s="1"/>
  <c r="AX12" i="12"/>
  <c r="AZ12" i="12" s="1"/>
  <c r="AR35" i="21"/>
  <c r="AO35" i="21" s="1"/>
  <c r="AS35" i="21" s="1"/>
  <c r="AT35" i="21" s="1"/>
  <c r="AX40" i="12"/>
  <c r="AY33" i="21" s="1"/>
  <c r="BA33" i="21" s="1"/>
  <c r="AX27" i="12"/>
  <c r="AZ27" i="12" s="1"/>
  <c r="W27" i="12"/>
  <c r="AR25" i="21"/>
  <c r="AO25" i="21" s="1"/>
  <c r="AS25" i="21" s="1"/>
  <c r="AT25" i="21" s="1"/>
  <c r="AR28" i="21"/>
  <c r="AO28" i="21" s="1"/>
  <c r="AS28" i="21" s="1"/>
  <c r="AT28" i="21" s="1"/>
  <c r="AR10" i="21"/>
  <c r="AO10" i="21" s="1"/>
  <c r="AS10" i="21" s="1"/>
  <c r="AT10" i="21" s="1"/>
  <c r="AR26" i="21"/>
  <c r="AO26" i="21" s="1"/>
  <c r="AS26" i="21" s="1"/>
  <c r="AT26" i="21" s="1"/>
  <c r="AZ14" i="12"/>
  <c r="AY10" i="21"/>
  <c r="AK26" i="21"/>
  <c r="AK28" i="21"/>
  <c r="AO21" i="21"/>
  <c r="AS21" i="21" s="1"/>
  <c r="AT21" i="21" s="1"/>
  <c r="W43" i="12"/>
  <c r="W12" i="12"/>
  <c r="AJ17" i="12"/>
  <c r="AQ17" i="12"/>
  <c r="R17" i="12"/>
  <c r="AK35" i="21"/>
  <c r="AL21" i="12"/>
  <c r="W21" i="12" s="1"/>
  <c r="AL38" i="12"/>
  <c r="W38" i="12" s="1"/>
  <c r="AK20" i="21"/>
  <c r="AF29" i="21"/>
  <c r="AL14" i="12"/>
  <c r="W14" i="12" s="1"/>
  <c r="AK10" i="21"/>
  <c r="AF12" i="21"/>
  <c r="AF21" i="21"/>
  <c r="W8" i="12"/>
  <c r="GL46" i="1"/>
  <c r="GL60" i="1"/>
  <c r="GL65" i="1"/>
  <c r="GL13" i="1"/>
  <c r="GL25" i="1"/>
  <c r="GL51" i="1"/>
  <c r="GL35" i="1"/>
  <c r="GL17" i="1"/>
  <c r="GL37" i="1"/>
  <c r="GL48" i="1"/>
  <c r="GL11" i="1"/>
  <c r="GL4" i="1"/>
  <c r="GL5" i="1"/>
  <c r="GL21" i="1"/>
  <c r="GL30" i="1"/>
  <c r="GL23" i="1"/>
  <c r="GL22" i="1"/>
  <c r="GL20" i="1"/>
  <c r="GL49" i="1"/>
  <c r="GL32" i="1"/>
  <c r="GL24" i="1"/>
  <c r="GL56" i="1"/>
  <c r="GL12" i="1"/>
  <c r="GL53" i="1"/>
  <c r="GL33" i="1"/>
  <c r="GL16" i="1"/>
  <c r="GL7" i="1"/>
  <c r="GL31" i="1"/>
  <c r="GL18" i="1"/>
  <c r="GL42" i="1"/>
  <c r="GL66" i="1"/>
  <c r="GL43" i="1"/>
  <c r="GL57" i="1"/>
  <c r="GL39" i="1"/>
  <c r="GL38" i="1"/>
  <c r="GL62" i="1"/>
  <c r="GL52" i="1"/>
  <c r="GL47" i="1"/>
  <c r="GL58" i="1"/>
  <c r="GL34" i="1"/>
  <c r="GL28" i="1"/>
  <c r="GL29" i="1"/>
  <c r="GL36" i="1"/>
  <c r="GL15" i="1"/>
  <c r="GL44" i="1"/>
  <c r="GL54" i="1"/>
  <c r="GL26" i="1"/>
  <c r="GL41" i="1"/>
  <c r="GL14" i="1"/>
  <c r="GL27" i="1"/>
  <c r="GL6" i="1"/>
  <c r="GL61" i="1"/>
  <c r="GL8" i="1"/>
  <c r="GL64" i="1"/>
  <c r="GL9" i="1"/>
  <c r="GL19" i="1"/>
  <c r="GL40" i="1"/>
  <c r="GL45" i="1"/>
  <c r="GL55" i="1"/>
  <c r="GL63" i="1"/>
  <c r="GL59" i="1"/>
  <c r="GL10" i="1"/>
  <c r="GL50" i="1"/>
  <c r="BA8" i="21" l="1"/>
  <c r="AV8" i="21" s="1"/>
  <c r="BA13" i="21"/>
  <c r="AV13" i="21" s="1"/>
  <c r="BA23" i="21"/>
  <c r="AV23" i="21" s="1"/>
  <c r="BA27" i="21"/>
  <c r="AV27" i="21" s="1"/>
  <c r="BA10" i="21"/>
  <c r="AV10" i="21" s="1"/>
  <c r="BA15" i="21"/>
  <c r="AV15" i="21" s="1"/>
  <c r="S17" i="12"/>
  <c r="BL17" i="12"/>
  <c r="BA21" i="21"/>
  <c r="AV21" i="21" s="1"/>
  <c r="BA17" i="21"/>
  <c r="AV17" i="21" s="1"/>
  <c r="AF36" i="21"/>
  <c r="AS31" i="21"/>
  <c r="AT31" i="21" s="1"/>
  <c r="AO45" i="21"/>
  <c r="AS45" i="21" s="1"/>
  <c r="AT45" i="21" s="1"/>
  <c r="AV33" i="21"/>
  <c r="AM8" i="21"/>
  <c r="X8" i="21" s="1"/>
  <c r="AV37" i="21"/>
  <c r="BK8" i="21"/>
  <c r="W23" i="21"/>
  <c r="AG23" i="21" s="1"/>
  <c r="AL23" i="21" s="1"/>
  <c r="BI36" i="21"/>
  <c r="AY22" i="21"/>
  <c r="BI31" i="21"/>
  <c r="AY36" i="21"/>
  <c r="BA36" i="21" s="1"/>
  <c r="AS17" i="12"/>
  <c r="AR14" i="21"/>
  <c r="AO14" i="21" s="1"/>
  <c r="AS14" i="21" s="1"/>
  <c r="AT14" i="21" s="1"/>
  <c r="AL17" i="12"/>
  <c r="W17" i="12" s="1"/>
  <c r="AK14" i="21"/>
  <c r="AF19" i="21"/>
  <c r="BI19" i="21"/>
  <c r="AZ16" i="12"/>
  <c r="AY19" i="21"/>
  <c r="AZ21" i="12"/>
  <c r="AY38" i="21"/>
  <c r="BA38" i="21" s="1"/>
  <c r="AF38" i="21"/>
  <c r="BI38" i="21"/>
  <c r="AR20" i="21"/>
  <c r="AO20" i="21" s="1"/>
  <c r="AS20" i="21" s="1"/>
  <c r="AT20" i="21" s="1"/>
  <c r="AZ40" i="12"/>
  <c r="BI20" i="21"/>
  <c r="BI35" i="21"/>
  <c r="BI37" i="21"/>
  <c r="BI25" i="21"/>
  <c r="BI10" i="21"/>
  <c r="BM3" i="21"/>
  <c r="AF13" i="21"/>
  <c r="AF37" i="21"/>
  <c r="BI13" i="21"/>
  <c r="AK22" i="21"/>
  <c r="AF22" i="21" s="1"/>
  <c r="AR22" i="21"/>
  <c r="AO22" i="21" s="1"/>
  <c r="AS22" i="21" s="1"/>
  <c r="AT22" i="21" s="1"/>
  <c r="AY31" i="21"/>
  <c r="BA31" i="21" s="1"/>
  <c r="AF25" i="21"/>
  <c r="AF28" i="21"/>
  <c r="BI28" i="21"/>
  <c r="AY28" i="21"/>
  <c r="AF26" i="21"/>
  <c r="BI26" i="21"/>
  <c r="AY35" i="21"/>
  <c r="BA35" i="21" s="1"/>
  <c r="AR9" i="21"/>
  <c r="AO9" i="21" s="1"/>
  <c r="AS9" i="21" s="1"/>
  <c r="AT9" i="21" s="1"/>
  <c r="AY26" i="21"/>
  <c r="AK9" i="21"/>
  <c r="AX17" i="12"/>
  <c r="AY14" i="21" s="1"/>
  <c r="AY25" i="21"/>
  <c r="AQ23" i="12"/>
  <c r="AR18" i="21" s="1"/>
  <c r="AO18" i="21" s="1"/>
  <c r="AS18" i="21" s="1"/>
  <c r="AT18" i="21" s="1"/>
  <c r="AK32" i="21"/>
  <c r="AR32" i="21"/>
  <c r="AO32" i="21" s="1"/>
  <c r="AS32" i="21" s="1"/>
  <c r="AT32" i="21" s="1"/>
  <c r="R23" i="12"/>
  <c r="AJ23" i="12"/>
  <c r="AK18" i="21" s="1"/>
  <c r="AF20" i="21"/>
  <c r="AF35" i="21"/>
  <c r="AF10" i="21"/>
  <c r="AC8" i="21" l="1"/>
  <c r="BA22" i="21"/>
  <c r="AV22" i="21" s="1"/>
  <c r="BA28" i="21"/>
  <c r="AV28" i="21" s="1"/>
  <c r="BA19" i="21"/>
  <c r="AV19" i="21" s="1"/>
  <c r="BA14" i="21"/>
  <c r="AV14" i="21" s="1"/>
  <c r="S23" i="12"/>
  <c r="BL23" i="12"/>
  <c r="BA25" i="21"/>
  <c r="AV25" i="21" s="1"/>
  <c r="BA26" i="21"/>
  <c r="AV26" i="21" s="1"/>
  <c r="AV35" i="21"/>
  <c r="AV38" i="21"/>
  <c r="AV36" i="21"/>
  <c r="AV31" i="21"/>
  <c r="AM23" i="21"/>
  <c r="AC23" i="21" s="1"/>
  <c r="X23" i="21" s="1"/>
  <c r="BJ23" i="21"/>
  <c r="BK23" i="21" s="1"/>
  <c r="BI14" i="21"/>
  <c r="AF14" i="21"/>
  <c r="BI18" i="21"/>
  <c r="AF18" i="21"/>
  <c r="AZ17" i="12"/>
  <c r="AY20" i="21"/>
  <c r="AK11" i="21"/>
  <c r="AF11" i="21" s="1"/>
  <c r="V11" i="21" s="1"/>
  <c r="W11" i="21" s="1"/>
  <c r="AG11" i="21" s="1"/>
  <c r="AL11" i="21" s="1"/>
  <c r="BJ11" i="21" s="1"/>
  <c r="BI22" i="21"/>
  <c r="P2" i="12"/>
  <c r="AF32" i="21"/>
  <c r="BI32" i="21"/>
  <c r="BI9" i="21"/>
  <c r="AF9" i="21"/>
  <c r="AR30" i="21"/>
  <c r="AO30" i="21" s="1"/>
  <c r="AS30" i="21" s="1"/>
  <c r="AT30" i="21" s="1"/>
  <c r="AX23" i="12"/>
  <c r="AY30" i="21"/>
  <c r="BA30" i="21" s="1"/>
  <c r="AY9" i="21"/>
  <c r="AY32" i="21"/>
  <c r="BA32" i="21" s="1"/>
  <c r="AS23" i="12"/>
  <c r="AR11" i="21"/>
  <c r="P3" i="12"/>
  <c r="R3" i="12"/>
  <c r="AK30" i="21"/>
  <c r="AL23" i="12"/>
  <c r="W23" i="12" s="1"/>
  <c r="BA20" i="21" l="1"/>
  <c r="AV20" i="21" s="1"/>
  <c r="BA9" i="21"/>
  <c r="AV9" i="21" s="1"/>
  <c r="AY18" i="21"/>
  <c r="AV32" i="21"/>
  <c r="AV30" i="21"/>
  <c r="AM11" i="21"/>
  <c r="X11" i="21" s="1"/>
  <c r="BI11" i="21"/>
  <c r="BK11" i="21" s="1"/>
  <c r="AY11" i="21"/>
  <c r="AC11" i="21"/>
  <c r="BI30" i="21"/>
  <c r="AZ23" i="12"/>
  <c r="AY16" i="21"/>
  <c r="AR16" i="21"/>
  <c r="AO16" i="21" s="1"/>
  <c r="AS16" i="21" s="1"/>
  <c r="AT16" i="21" s="1"/>
  <c r="AO11" i="21"/>
  <c r="AS11" i="21" s="1"/>
  <c r="AS3" i="12"/>
  <c r="AF30" i="21"/>
  <c r="AK16" i="21"/>
  <c r="AJ3" i="12"/>
  <c r="BA11" i="21" l="1"/>
  <c r="AV11" i="21" s="1"/>
  <c r="BA16" i="21"/>
  <c r="AV16" i="21" s="1"/>
  <c r="BA18" i="21"/>
  <c r="AV18" i="21" s="1"/>
  <c r="BI16" i="21"/>
  <c r="BI3" i="21" s="1"/>
  <c r="AR3" i="21"/>
  <c r="AZ3" i="12"/>
  <c r="AT11" i="21"/>
  <c r="AF16" i="21"/>
  <c r="AL3" i="12"/>
  <c r="AT3" i="21" l="1"/>
  <c r="AS3" i="21"/>
  <c r="AY3" i="21"/>
  <c r="V21" i="21"/>
  <c r="V30" i="21"/>
  <c r="W30" i="21" s="1"/>
  <c r="AG30" i="21" s="1"/>
  <c r="AL30" i="21" s="1"/>
  <c r="V36" i="21"/>
  <c r="V29" i="21"/>
  <c r="W29" i="21" s="1"/>
  <c r="AG29" i="21" s="1"/>
  <c r="AL29" i="21" s="1"/>
  <c r="V31" i="21"/>
  <c r="W31" i="21" s="1"/>
  <c r="V20" i="21"/>
  <c r="W20" i="21" s="1"/>
  <c r="AG20" i="21" s="1"/>
  <c r="AL20" i="21" s="1"/>
  <c r="V14" i="21"/>
  <c r="W14" i="21" s="1"/>
  <c r="AG14" i="21" s="1"/>
  <c r="AL14" i="21" s="1"/>
  <c r="V16" i="21"/>
  <c r="V33" i="21"/>
  <c r="W33" i="21" s="1"/>
  <c r="AG33" i="21" s="1"/>
  <c r="AL33" i="21" s="1"/>
  <c r="AM33" i="21" s="1"/>
  <c r="V38" i="21"/>
  <c r="W38" i="21" s="1"/>
  <c r="V9" i="21"/>
  <c r="W9" i="21" s="1"/>
  <c r="AG9" i="21" s="1"/>
  <c r="AL9" i="21" s="1"/>
  <c r="V18" i="21"/>
  <c r="W18" i="21" s="1"/>
  <c r="AG18" i="21" s="1"/>
  <c r="AL18" i="21" s="1"/>
  <c r="V26" i="21"/>
  <c r="W26" i="21" s="1"/>
  <c r="AG26" i="21" s="1"/>
  <c r="AL26" i="21" s="1"/>
  <c r="V12" i="21"/>
  <c r="V13" i="21"/>
  <c r="W13" i="21" s="1"/>
  <c r="AG13" i="21" s="1"/>
  <c r="AL13" i="21" s="1"/>
  <c r="V22" i="21"/>
  <c r="V15" i="21"/>
  <c r="W15" i="21" s="1"/>
  <c r="AG15" i="21" s="1"/>
  <c r="AL15" i="21" s="1"/>
  <c r="V24" i="21"/>
  <c r="W24" i="21" s="1"/>
  <c r="V17" i="21"/>
  <c r="V34" i="21"/>
  <c r="W34" i="21" s="1"/>
  <c r="AG34" i="21" s="1"/>
  <c r="AL34" i="21" s="1"/>
  <c r="AM34" i="21" s="1"/>
  <c r="V37" i="21"/>
  <c r="W37" i="21" s="1"/>
  <c r="V32" i="21"/>
  <c r="V25" i="21"/>
  <c r="V10" i="21"/>
  <c r="V19" i="21"/>
  <c r="W19" i="21" s="1"/>
  <c r="AG19" i="21" s="1"/>
  <c r="AL19" i="21" s="1"/>
  <c r="V27" i="21"/>
  <c r="W27" i="21" s="1"/>
  <c r="AG27" i="21" s="1"/>
  <c r="AL27" i="21" s="1"/>
  <c r="V28" i="21"/>
  <c r="W28" i="21" s="1"/>
  <c r="AG28" i="21" s="1"/>
  <c r="AL28" i="21" s="1"/>
  <c r="V35" i="21"/>
  <c r="AG37" i="21" l="1"/>
  <c r="AL37" i="21" s="1"/>
  <c r="AG38" i="21"/>
  <c r="AL38" i="21" s="1"/>
  <c r="W36" i="21"/>
  <c r="W51" i="21"/>
  <c r="AG31" i="21"/>
  <c r="AL31" i="21" s="1"/>
  <c r="W45" i="21"/>
  <c r="AG45" i="21" s="1"/>
  <c r="AL45" i="21" s="1"/>
  <c r="BJ45" i="21" s="1"/>
  <c r="BK45" i="21" s="1"/>
  <c r="W16" i="21"/>
  <c r="AG16" i="21" s="1"/>
  <c r="AL16" i="21" s="1"/>
  <c r="W17" i="21"/>
  <c r="AG17" i="21" s="1"/>
  <c r="AL17" i="21" s="1"/>
  <c r="AM17" i="21" s="1"/>
  <c r="X17" i="21" s="1"/>
  <c r="BJ30" i="21"/>
  <c r="BK30" i="21" s="1"/>
  <c r="AM30" i="21"/>
  <c r="X30" i="21" s="1"/>
  <c r="AC30" i="21"/>
  <c r="W35" i="21"/>
  <c r="BJ34" i="21"/>
  <c r="BK34" i="21" s="1"/>
  <c r="W21" i="21"/>
  <c r="AG21" i="21" s="1"/>
  <c r="AL21" i="21" s="1"/>
  <c r="BJ18" i="21"/>
  <c r="BK18" i="21" s="1"/>
  <c r="AM18" i="21"/>
  <c r="X18" i="21" s="1"/>
  <c r="BJ9" i="21"/>
  <c r="BK9" i="21" s="1"/>
  <c r="AM9" i="21"/>
  <c r="X9" i="21" s="1"/>
  <c r="BJ19" i="21"/>
  <c r="BK19" i="21" s="1"/>
  <c r="AM19" i="21"/>
  <c r="X19" i="21" s="1"/>
  <c r="W10" i="21"/>
  <c r="AG10" i="21" s="1"/>
  <c r="AL10" i="21" s="1"/>
  <c r="W25" i="21"/>
  <c r="AG25" i="21" s="1"/>
  <c r="AL25" i="21" s="1"/>
  <c r="W32" i="21"/>
  <c r="AG32" i="21" s="1"/>
  <c r="AL32" i="21" s="1"/>
  <c r="AM32" i="21" s="1"/>
  <c r="BJ15" i="21"/>
  <c r="BK15" i="21" s="1"/>
  <c r="AM15" i="21"/>
  <c r="AC15" i="21" s="1"/>
  <c r="X15" i="21" s="1"/>
  <c r="W22" i="21"/>
  <c r="AG22" i="21" s="1"/>
  <c r="AL22" i="21" s="1"/>
  <c r="BJ28" i="21"/>
  <c r="BK28" i="21" s="1"/>
  <c r="AM28" i="21"/>
  <c r="X28" i="21" s="1"/>
  <c r="BJ31" i="21"/>
  <c r="BK31" i="21" s="1"/>
  <c r="AM31" i="21"/>
  <c r="X31" i="21" s="1"/>
  <c r="BJ26" i="21"/>
  <c r="BK26" i="21" s="1"/>
  <c r="AM26" i="21"/>
  <c r="AC26" i="21" s="1"/>
  <c r="X26" i="21" s="1"/>
  <c r="BJ27" i="21"/>
  <c r="BK27" i="21" s="1"/>
  <c r="AM27" i="21"/>
  <c r="X27" i="21" s="1"/>
  <c r="BJ33" i="21"/>
  <c r="BK33" i="21" s="1"/>
  <c r="X33" i="21"/>
  <c r="AC33" i="21"/>
  <c r="BJ14" i="21"/>
  <c r="BK14" i="21" s="1"/>
  <c r="AM14" i="21"/>
  <c r="AC14" i="21" s="1"/>
  <c r="X14" i="21" s="1"/>
  <c r="BJ20" i="21"/>
  <c r="BK20" i="21" s="1"/>
  <c r="AM20" i="21"/>
  <c r="X20" i="21" s="1"/>
  <c r="AC20" i="21"/>
  <c r="BJ29" i="21"/>
  <c r="BK29" i="21" s="1"/>
  <c r="AM29" i="21"/>
  <c r="X29" i="21" s="1"/>
  <c r="AC29" i="21"/>
  <c r="BJ13" i="21"/>
  <c r="BK13" i="21" s="1"/>
  <c r="AM13" i="21"/>
  <c r="X13" i="21" s="1"/>
  <c r="W12" i="21"/>
  <c r="AG12" i="21" s="1"/>
  <c r="AL12" i="21" s="1"/>
  <c r="BJ12" i="21" s="1"/>
  <c r="BK12" i="21" s="1"/>
  <c r="AG24" i="21"/>
  <c r="AL24" i="21" s="1"/>
  <c r="BA3" i="21"/>
  <c r="AC27" i="21" l="1"/>
  <c r="AC13" i="21"/>
  <c r="AC19" i="21"/>
  <c r="AM38" i="21"/>
  <c r="X38" i="21" s="1"/>
  <c r="BJ38" i="21"/>
  <c r="BK38" i="21" s="1"/>
  <c r="AC38" i="21"/>
  <c r="AM37" i="21"/>
  <c r="X37" i="21" s="1"/>
  <c r="BJ37" i="21"/>
  <c r="BK37" i="21" s="1"/>
  <c r="AM45" i="21"/>
  <c r="X45" i="21" s="1"/>
  <c r="AC45" i="21"/>
  <c r="AG36" i="21"/>
  <c r="AL36" i="21" s="1"/>
  <c r="W52" i="21"/>
  <c r="AG52" i="21" s="1"/>
  <c r="AL52" i="21" s="1"/>
  <c r="BJ52" i="21" s="1"/>
  <c r="BK52" i="21" s="1"/>
  <c r="AG51" i="21"/>
  <c r="AL51" i="21" s="1"/>
  <c r="BJ51" i="21" s="1"/>
  <c r="BK51" i="21" s="1"/>
  <c r="AG35" i="21"/>
  <c r="AL35" i="21" s="1"/>
  <c r="AC31" i="21"/>
  <c r="AC28" i="21"/>
  <c r="AC9" i="21"/>
  <c r="BJ16" i="21"/>
  <c r="BK16" i="21" s="1"/>
  <c r="AM16" i="21"/>
  <c r="X16" i="21" s="1"/>
  <c r="AM12" i="21"/>
  <c r="X12" i="21" s="1"/>
  <c r="AC18" i="21"/>
  <c r="BJ32" i="21"/>
  <c r="BK32" i="21" s="1"/>
  <c r="X32" i="21"/>
  <c r="BJ10" i="21"/>
  <c r="BK10" i="21" s="1"/>
  <c r="AM10" i="21"/>
  <c r="X10" i="21" s="1"/>
  <c r="AC10" i="21"/>
  <c r="BJ21" i="21"/>
  <c r="BK21" i="21" s="1"/>
  <c r="AM21" i="21"/>
  <c r="X21" i="21" s="1"/>
  <c r="AM25" i="21"/>
  <c r="AC25" i="21" s="1"/>
  <c r="X25" i="21" s="1"/>
  <c r="BJ25" i="21"/>
  <c r="BK25" i="21" s="1"/>
  <c r="BJ22" i="21"/>
  <c r="BK22" i="21" s="1"/>
  <c r="AM22" i="21"/>
  <c r="X22" i="21" s="1"/>
  <c r="BJ17" i="21"/>
  <c r="BK17" i="21" s="1"/>
  <c r="AC34" i="21"/>
  <c r="X34" i="21"/>
  <c r="AM24" i="21"/>
  <c r="AC24" i="21" s="1"/>
  <c r="X24" i="21" s="1"/>
  <c r="BJ24" i="21"/>
  <c r="BK24" i="21" s="1"/>
  <c r="AC32" i="21"/>
  <c r="AC17" i="21"/>
  <c r="AF120" i="21"/>
  <c r="AF100" i="21"/>
  <c r="AF123" i="21"/>
  <c r="AF116" i="21"/>
  <c r="AF121" i="21"/>
  <c r="AF117" i="21"/>
  <c r="AF124" i="21"/>
  <c r="AF99" i="21"/>
  <c r="AF113" i="21"/>
  <c r="AF115" i="21"/>
  <c r="AF110" i="21"/>
  <c r="AF118" i="21"/>
  <c r="AF126" i="21"/>
  <c r="AF114" i="21"/>
  <c r="AF112" i="21"/>
  <c r="AF101" i="21"/>
  <c r="AF107" i="21"/>
  <c r="AF106" i="21"/>
  <c r="AF111" i="21"/>
  <c r="AF125" i="21"/>
  <c r="AK3" i="21"/>
  <c r="AF103" i="21"/>
  <c r="AF102" i="21"/>
  <c r="AF108" i="21"/>
  <c r="AF105" i="21"/>
  <c r="AF109" i="21"/>
  <c r="AF127" i="21"/>
  <c r="AF119" i="21"/>
  <c r="AF122" i="21"/>
  <c r="AF104" i="21"/>
  <c r="AC12" i="21" l="1"/>
  <c r="AC16" i="21"/>
  <c r="AM35" i="21"/>
  <c r="X35" i="21" s="1"/>
  <c r="AL3" i="21"/>
  <c r="BJ35" i="21"/>
  <c r="BK35" i="21" s="1"/>
  <c r="AM36" i="21"/>
  <c r="X36" i="21" s="1"/>
  <c r="BJ36" i="21"/>
  <c r="BK36" i="21" s="1"/>
  <c r="AM51" i="21"/>
  <c r="X51" i="21" s="1"/>
  <c r="AC51" i="21"/>
  <c r="AM52" i="21"/>
  <c r="AC37" i="21"/>
  <c r="BK3" i="21"/>
  <c r="BJ3" i="21"/>
  <c r="AC22" i="21"/>
  <c r="AC21" i="21"/>
  <c r="AC35" i="21" l="1"/>
  <c r="AC52" i="21"/>
  <c r="X52" i="21"/>
  <c r="AM3" i="21"/>
  <c r="AM2" i="21" s="1"/>
  <c r="AM1" i="21" s="1"/>
  <c r="AC36" i="21"/>
  <c r="BK2" i="21" l="1"/>
  <c r="BK1" i="13"/>
  <c r="BK12" i="13" s="1"/>
  <c r="BK14" i="13" l="1"/>
  <c r="BL12" i="13"/>
  <c r="BL1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J4" authorId="0" shapeId="0" xr:uid="{AFBB5182-BCC3-44CE-8F80-2950521901E0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số lượng còn lại ở dự báo T04</t>
        </r>
      </text>
    </comment>
    <comment ref="J26" authorId="0" shapeId="0" xr:uid="{FDD65102-661A-4380-8089-65D7741C4364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do lúc đầu làm không biết Kido mua thông qua Việt Thành Plast (T04 đang để là "dự báo")</t>
        </r>
      </text>
    </comment>
    <comment ref="J31" authorId="0" shapeId="0" xr:uid="{34F7FE07-368A-482F-99E7-32A05D4DAC7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IBS/ Fega</t>
        </r>
      </text>
    </comment>
    <comment ref="J32" authorId="0" shapeId="0" xr:uid="{B8BEAEBA-44CF-49AE-AFBB-E346AA31FA5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Fialoplastiki / Fega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<sst xmlns="http://schemas.openxmlformats.org/spreadsheetml/2006/main" count="27125" uniqueCount="3079">
  <si>
    <t>1001</t>
  </si>
  <si>
    <t/>
  </si>
  <si>
    <t>5118000100</t>
  </si>
  <si>
    <t>MY.DTT</t>
  </si>
  <si>
    <t>0000000000000000</t>
  </si>
  <si>
    <t>S</t>
  </si>
  <si>
    <t>RFBU</t>
  </si>
  <si>
    <t>0</t>
  </si>
  <si>
    <t>1000</t>
  </si>
  <si>
    <t>VND</t>
  </si>
  <si>
    <t>1,00000</t>
  </si>
  <si>
    <t>000002</t>
  </si>
  <si>
    <t>0L</t>
  </si>
  <si>
    <t>2</t>
  </si>
  <si>
    <t>D</t>
  </si>
  <si>
    <t>1001110000</t>
  </si>
  <si>
    <t>BKPF</t>
  </si>
  <si>
    <t>O4</t>
  </si>
  <si>
    <t>105214</t>
  </si>
  <si>
    <t>Người mua hàng không lấy hóa đ</t>
  </si>
  <si>
    <t>H</t>
  </si>
  <si>
    <t>DR</t>
  </si>
  <si>
    <t>50</t>
  </si>
  <si>
    <t>5115100100</t>
  </si>
  <si>
    <t>KG</t>
  </si>
  <si>
    <t>SD00</t>
  </si>
  <si>
    <t>USD</t>
  </si>
  <si>
    <t>RV</t>
  </si>
  <si>
    <t>1101</t>
  </si>
  <si>
    <t>VBRK</t>
  </si>
  <si>
    <t>O1</t>
  </si>
  <si>
    <t>5112100100</t>
  </si>
  <si>
    <t>110000332</t>
  </si>
  <si>
    <t>110000354</t>
  </si>
  <si>
    <t>105263</t>
  </si>
  <si>
    <t>Unilever Duy Tân</t>
  </si>
  <si>
    <t>110000425</t>
  </si>
  <si>
    <t>110000355</t>
  </si>
  <si>
    <t>110000339</t>
  </si>
  <si>
    <t>THU.LNA</t>
  </si>
  <si>
    <t>000004</t>
  </si>
  <si>
    <t>4</t>
  </si>
  <si>
    <t>104894</t>
  </si>
  <si>
    <t>UNILEVER-NGỌC NGHĨA</t>
  </si>
  <si>
    <t>110000360</t>
  </si>
  <si>
    <t>105281</t>
  </si>
  <si>
    <t>Plascene- DTP</t>
  </si>
  <si>
    <t>110000366</t>
  </si>
  <si>
    <t>105314</t>
  </si>
  <si>
    <t>Vilube - DTP</t>
  </si>
  <si>
    <t>110000374</t>
  </si>
  <si>
    <t>105349</t>
  </si>
  <si>
    <t>MTVN Plastic</t>
  </si>
  <si>
    <t>110000341</t>
  </si>
  <si>
    <t>110000408</t>
  </si>
  <si>
    <t>105324</t>
  </si>
  <si>
    <t>NHỰA TRƯỜNG AN</t>
  </si>
  <si>
    <t>105339</t>
  </si>
  <si>
    <t>HUY THÀNH</t>
  </si>
  <si>
    <t>110000483</t>
  </si>
  <si>
    <t>160012974</t>
  </si>
  <si>
    <t>160012726</t>
  </si>
  <si>
    <t>160012727</t>
  </si>
  <si>
    <t>160012729</t>
  </si>
  <si>
    <t>Company Code</t>
  </si>
  <si>
    <t>Posting Date</t>
  </si>
  <si>
    <t>Document Number</t>
  </si>
  <si>
    <t>Reversed with</t>
  </si>
  <si>
    <t>Cost Center</t>
  </si>
  <si>
    <t>G/L Account</t>
  </si>
  <si>
    <t>Cost Element</t>
  </si>
  <si>
    <t>Offsetting acct no.</t>
  </si>
  <si>
    <t>Amount in local currency</t>
  </si>
  <si>
    <t>Name of offsetting account</t>
  </si>
  <si>
    <t>Text</t>
  </si>
  <si>
    <t>User name</t>
  </si>
  <si>
    <t>Posting period</t>
  </si>
  <si>
    <t>Fiscal Year</t>
  </si>
  <si>
    <t>Assignment</t>
  </si>
  <si>
    <t>Reference</t>
  </si>
  <si>
    <t>Account</t>
  </si>
  <si>
    <t>Account Type</t>
  </si>
  <si>
    <t>Accts rble pled.ind.</t>
  </si>
  <si>
    <t>Amount</t>
  </si>
  <si>
    <t>Amount in doc. curr.</t>
  </si>
  <si>
    <t>Amount in LC</t>
  </si>
  <si>
    <t>Amount in loc.curr.2</t>
  </si>
  <si>
    <t>Amt in loc.curr. 3</t>
  </si>
  <si>
    <t>Amt in payment currency</t>
  </si>
  <si>
    <t>Arrears after net due date</t>
  </si>
  <si>
    <t>Arrears for discount 1</t>
  </si>
  <si>
    <t>Asset</t>
  </si>
  <si>
    <t>Base Unit of Measure</t>
  </si>
  <si>
    <t>Baseline Payment Dte</t>
  </si>
  <si>
    <t>Bill/Exchange Usage</t>
  </si>
  <si>
    <t>Billing Document</t>
  </si>
  <si>
    <t>Branch account</t>
  </si>
  <si>
    <t>Business Area</t>
  </si>
  <si>
    <t>Business Place</t>
  </si>
  <si>
    <t>Business Transaction</t>
  </si>
  <si>
    <t>Cash disc. amt LC</t>
  </si>
  <si>
    <t>Cash disc.1 due</t>
  </si>
  <si>
    <t>Cleared/open items symbol</t>
  </si>
  <si>
    <t>Clearing date</t>
  </si>
  <si>
    <t>Clearing Document</t>
  </si>
  <si>
    <t>Clearing Fiscal Year</t>
  </si>
  <si>
    <t>Clearing item</t>
  </si>
  <si>
    <t>Clearing Specific to Ledger Groups</t>
  </si>
  <si>
    <t>Collective invoice</t>
  </si>
  <si>
    <t>Contract Number</t>
  </si>
  <si>
    <t>Contract Type</t>
  </si>
  <si>
    <t>Controlling Area</t>
  </si>
  <si>
    <t>Credit Control Area</t>
  </si>
  <si>
    <t>Credit control area currency</t>
  </si>
  <si>
    <t>Current cash disc. amount</t>
  </si>
  <si>
    <t>Customer</t>
  </si>
  <si>
    <t>Days 1</t>
  </si>
  <si>
    <t>Days 2</t>
  </si>
  <si>
    <t>Days net</t>
  </si>
  <si>
    <t>Debit/Credit Ind.</t>
  </si>
  <si>
    <t>Discount 1 due date symbol</t>
  </si>
  <si>
    <t>Discount amount</t>
  </si>
  <si>
    <t>Discount base amount</t>
  </si>
  <si>
    <t>Discount Percent 1</t>
  </si>
  <si>
    <t>Discount Percent 2</t>
  </si>
  <si>
    <t>Disputed item</t>
  </si>
  <si>
    <t>Doc.status</t>
  </si>
  <si>
    <t>Document archived</t>
  </si>
  <si>
    <t>Document currency</t>
  </si>
  <si>
    <t>Document Date</t>
  </si>
  <si>
    <t>Document Header Text</t>
  </si>
  <si>
    <t>Document Number G/L</t>
  </si>
  <si>
    <t>Document Type</t>
  </si>
  <si>
    <t>Due net</t>
  </si>
  <si>
    <t>Dunning Area</t>
  </si>
  <si>
    <t>Dunning Block</t>
  </si>
  <si>
    <t>Dunning Key</t>
  </si>
  <si>
    <t>Dunning Level</t>
  </si>
  <si>
    <t>Eff.exchange rate</t>
  </si>
  <si>
    <t>Entry Date</t>
  </si>
  <si>
    <t>Equity Group</t>
  </si>
  <si>
    <t>Fixed</t>
  </si>
  <si>
    <t>Flow Type</t>
  </si>
  <si>
    <t>FM Area</t>
  </si>
  <si>
    <t>Follow-on doc.type</t>
  </si>
  <si>
    <t>Functional Area</t>
  </si>
  <si>
    <t>Fund</t>
  </si>
  <si>
    <t>G/L Fiscal Year</t>
  </si>
  <si>
    <t>General ledger amount</t>
  </si>
  <si>
    <t>General ledger currency</t>
  </si>
  <si>
    <t>General Ledger Item</t>
  </si>
  <si>
    <t>Grant</t>
  </si>
  <si>
    <t>Hedged amount</t>
  </si>
  <si>
    <t>Instruction Key 1</t>
  </si>
  <si>
    <t>Instruction Key 2</t>
  </si>
  <si>
    <t>Instruction Key 3</t>
  </si>
  <si>
    <t>Instruction Key 4</t>
  </si>
  <si>
    <t>Int.calc.numerator</t>
  </si>
  <si>
    <t>Invoice reference</t>
  </si>
  <si>
    <t>Item</t>
  </si>
  <si>
    <t>Joint Venture</t>
  </si>
  <si>
    <t>Last Dunned</t>
  </si>
  <si>
    <t>Ledger</t>
  </si>
  <si>
    <t>Ledger Group</t>
  </si>
  <si>
    <t>Line item</t>
  </si>
  <si>
    <t>Line item ID</t>
  </si>
  <si>
    <t>Local Currency</t>
  </si>
  <si>
    <t>Local currency 2</t>
  </si>
  <si>
    <t>Local currency 3</t>
  </si>
  <si>
    <t>Logical System</t>
  </si>
  <si>
    <t>Long text</t>
  </si>
  <si>
    <t>Material</t>
  </si>
  <si>
    <t>Negative posting</t>
  </si>
  <si>
    <t>Net due date</t>
  </si>
  <si>
    <t>Net due date symbol</t>
  </si>
  <si>
    <t>Offsett.account type</t>
  </si>
  <si>
    <t>Open Item Management</t>
  </si>
  <si>
    <t>Open Itm Reorganized</t>
  </si>
  <si>
    <t>Order</t>
  </si>
  <si>
    <t>Partner cost center</t>
  </si>
  <si>
    <t>Partner Func. Area</t>
  </si>
  <si>
    <t>Partner Fund</t>
  </si>
  <si>
    <t>Partner Grant</t>
  </si>
  <si>
    <t>Partner Profit Ctr</t>
  </si>
  <si>
    <t>Partner Segment</t>
  </si>
  <si>
    <t>Payment Block</t>
  </si>
  <si>
    <t>Payment date</t>
  </si>
  <si>
    <t>Payment Method</t>
  </si>
  <si>
    <t>Payment order</t>
  </si>
  <si>
    <t>Payment reference</t>
  </si>
  <si>
    <t>Payment sent</t>
  </si>
  <si>
    <t>Period/year</t>
  </si>
  <si>
    <t>Plant</t>
  </si>
  <si>
    <t>Pmnt card line item</t>
  </si>
  <si>
    <t>Pmnt currency</t>
  </si>
  <si>
    <t>Pmt meth. supplement</t>
  </si>
  <si>
    <t>Posting Key</t>
  </si>
  <si>
    <t>Profit Center</t>
  </si>
  <si>
    <t>Purchasing Document</t>
  </si>
  <si>
    <t>Real Estate Key</t>
  </si>
  <si>
    <t>Reason code</t>
  </si>
  <si>
    <t>Recovery Indicator</t>
  </si>
  <si>
    <t>Ref.key (header) 1</t>
  </si>
  <si>
    <t>Reference Date</t>
  </si>
  <si>
    <t>Reference Key</t>
  </si>
  <si>
    <t>Reference Key 1</t>
  </si>
  <si>
    <t>Reference Key 2</t>
  </si>
  <si>
    <t>Reference Key 3</t>
  </si>
  <si>
    <t>Reference Transact.</t>
  </si>
  <si>
    <t>Reverse clearing</t>
  </si>
  <si>
    <t>Sales Document</t>
  </si>
  <si>
    <t>Sales Document Item</t>
  </si>
  <si>
    <t>Schedule Line Number</t>
  </si>
  <si>
    <t>Section Code</t>
  </si>
  <si>
    <t>Segment</t>
  </si>
  <si>
    <t>Settlement run</t>
  </si>
  <si>
    <t>Sort key</t>
  </si>
  <si>
    <t>Sp.G/L trans.type</t>
  </si>
  <si>
    <t>Special G/L ind.</t>
  </si>
  <si>
    <t>Subnumber</t>
  </si>
  <si>
    <t>Tax code</t>
  </si>
  <si>
    <t>Tax type</t>
  </si>
  <si>
    <t>Terms of Payment</t>
  </si>
  <si>
    <t>Text ID</t>
  </si>
  <si>
    <t>Texts exist</t>
  </si>
  <si>
    <t>Time Stamp</t>
  </si>
  <si>
    <t>Trading Part.BA</t>
  </si>
  <si>
    <t>Trading Partner</t>
  </si>
  <si>
    <t>Transaction Type</t>
  </si>
  <si>
    <t>Valuated amount</t>
  </si>
  <si>
    <t>Valuated amt loc. curr. 3</t>
  </si>
  <si>
    <t>Valuated amt loc.curr.2</t>
  </si>
  <si>
    <t>Valuation difference</t>
  </si>
  <si>
    <t>Valuation difference 2</t>
  </si>
  <si>
    <t>Valuation difference 3</t>
  </si>
  <si>
    <t>Value Date</t>
  </si>
  <si>
    <t>Vendor</t>
  </si>
  <si>
    <t>W/tax exempt amount</t>
  </si>
  <si>
    <t>WBS element</t>
  </si>
  <si>
    <t>Withhldg tax base amount</t>
  </si>
  <si>
    <t>Withholding tax amnt</t>
  </si>
  <si>
    <t>Year/month</t>
  </si>
  <si>
    <t>Time Stamp_VN</t>
  </si>
  <si>
    <t>Ngày</t>
  </si>
  <si>
    <t>Cleared/open items symbol2</t>
  </si>
  <si>
    <t>Functional Area3</t>
  </si>
  <si>
    <t>G/L Account4</t>
  </si>
  <si>
    <t>Posting Period5</t>
  </si>
  <si>
    <t>WBS Element6</t>
  </si>
  <si>
    <t>Grand Total</t>
  </si>
  <si>
    <t>Sum of Amount in local currency</t>
  </si>
  <si>
    <t>XK/NĐ</t>
  </si>
  <si>
    <t>NĐ</t>
  </si>
  <si>
    <t>XK</t>
  </si>
  <si>
    <t>2026</t>
  </si>
  <si>
    <t>110000421</t>
  </si>
  <si>
    <t>3</t>
  </si>
  <si>
    <t>160012611</t>
  </si>
  <si>
    <t>105194</t>
  </si>
  <si>
    <t>Suntory Việt Nam</t>
  </si>
  <si>
    <t>110000407</t>
  </si>
  <si>
    <t>110000481</t>
  </si>
  <si>
    <t>160012951</t>
  </si>
  <si>
    <t>110000364</t>
  </si>
  <si>
    <t>110000431</t>
  </si>
  <si>
    <t>Mã SKU</t>
  </si>
  <si>
    <t>Tên SKU</t>
  </si>
  <si>
    <t>Mã SKU | Tên SKU</t>
  </si>
  <si>
    <t>Nhóm SP 1</t>
  </si>
  <si>
    <t>Nhóm SP 2</t>
  </si>
  <si>
    <t>Nhóm SP 3</t>
  </si>
  <si>
    <t>Nhóm SP 4</t>
  </si>
  <si>
    <t>IV</t>
  </si>
  <si>
    <t>110000329</t>
  </si>
  <si>
    <t>Hạt nhựa rPET WSS01</t>
  </si>
  <si>
    <t>110000329 | WSS01</t>
  </si>
  <si>
    <t>rPET</t>
  </si>
  <si>
    <t>Hạt rPET</t>
  </si>
  <si>
    <t>0.78 ± 0.02</t>
  </si>
  <si>
    <t>Hạt nhựa rPET iSS01084G</t>
  </si>
  <si>
    <t>110000332 | iSS01084G</t>
  </si>
  <si>
    <t>0.84 ± 0.03</t>
  </si>
  <si>
    <t>110000337</t>
  </si>
  <si>
    <t>Hạt Nhựa rHDB03W01</t>
  </si>
  <si>
    <t>110000337 | rHDB03W01</t>
  </si>
  <si>
    <t>rHDPE</t>
  </si>
  <si>
    <t>rHDPE thổi</t>
  </si>
  <si>
    <t>Hạt rHDPE thổi</t>
  </si>
  <si>
    <t>Hạt Nhựa rHDPE MBF01</t>
  </si>
  <si>
    <t>110000339 | rHDPE MBF01</t>
  </si>
  <si>
    <t>110000343</t>
  </si>
  <si>
    <t>Hạt Nhựa rHDB03G01</t>
  </si>
  <si>
    <t>110000343 | rHDB03G01</t>
  </si>
  <si>
    <t>110000345</t>
  </si>
  <si>
    <t>Hạt Nhựa rHDB03Y01</t>
  </si>
  <si>
    <t>110000345 | rHDB03Y01</t>
  </si>
  <si>
    <t>Hạt nhựa rPET WSS01G 1</t>
  </si>
  <si>
    <t>110000354 | WSS01G 1</t>
  </si>
  <si>
    <t>Hạt nhựa rPET iSS01G 1</t>
  </si>
  <si>
    <t>110000355 | iSS01G 1</t>
  </si>
  <si>
    <t>0.80 ± 0.02</t>
  </si>
  <si>
    <t>110000359</t>
  </si>
  <si>
    <t>Hạt nhựa rPET WSS03G</t>
  </si>
  <si>
    <t>110000359 | WSS03G</t>
  </si>
  <si>
    <t>0.70 ± 0.02</t>
  </si>
  <si>
    <t>Hạt nhựa rHDI4L01</t>
  </si>
  <si>
    <t>110000360 | rHDI4L01</t>
  </si>
  <si>
    <t>rHDPE ép</t>
  </si>
  <si>
    <t>Hạt rHDPE ép</t>
  </si>
  <si>
    <t>110000361</t>
  </si>
  <si>
    <t>Hạt nhựa rHDI3R01</t>
  </si>
  <si>
    <t>110000361 | rHDI3R01</t>
  </si>
  <si>
    <t>110000363</t>
  </si>
  <si>
    <t>Hạt nhựa rHDI3Gy01</t>
  </si>
  <si>
    <t>110000363 | rHDI3Gy01</t>
  </si>
  <si>
    <t>Hạt nhựa rHDI3Y01</t>
  </si>
  <si>
    <t>110000364 | rHDI3Y01</t>
  </si>
  <si>
    <t>110000365</t>
  </si>
  <si>
    <t>Hạt nhựa rHDI3W01</t>
  </si>
  <si>
    <t>110000365 | rHDI3W01</t>
  </si>
  <si>
    <t>Hạt nhựa rHDI3G01</t>
  </si>
  <si>
    <t>110000366 | rHDI3G01</t>
  </si>
  <si>
    <t>110000367</t>
  </si>
  <si>
    <t>Hạt nhựa rPP15R01</t>
  </si>
  <si>
    <t>110000367 | rPP15R01</t>
  </si>
  <si>
    <t>rPP</t>
  </si>
  <si>
    <t>Hạt rPP</t>
  </si>
  <si>
    <t>110000369</t>
  </si>
  <si>
    <t>Hạt nhựa rPP25W01</t>
  </si>
  <si>
    <t>110000369 | rPP25W01</t>
  </si>
  <si>
    <t>110000371</t>
  </si>
  <si>
    <t>Hạt nhựa rPP15B01</t>
  </si>
  <si>
    <t>110000371 | rPP15B01</t>
  </si>
  <si>
    <t>110000373</t>
  </si>
  <si>
    <t>Hạt nhựa rHDI4DL01</t>
  </si>
  <si>
    <t>110000373 | rHDI4DL01</t>
  </si>
  <si>
    <t>110000376</t>
  </si>
  <si>
    <t>Hạt nhựa rPET iSS01L</t>
  </si>
  <si>
    <t>110000376 | iSS01L</t>
  </si>
  <si>
    <t>110000377</t>
  </si>
  <si>
    <t>Hạt nhựa rPET WSS01G 2</t>
  </si>
  <si>
    <t>110000377 | WSS01G 2</t>
  </si>
  <si>
    <t>110000378</t>
  </si>
  <si>
    <t>Hạt nhựa rPET iSS01G 2</t>
  </si>
  <si>
    <t>110000378 | iSS01G 2</t>
  </si>
  <si>
    <t>110000381</t>
  </si>
  <si>
    <t>Hạt nhựa rPET WSS04SD</t>
  </si>
  <si>
    <t>110000381 | WSS04SD</t>
  </si>
  <si>
    <t>Xơ sợi</t>
  </si>
  <si>
    <t>Hạt Xơ sợi</t>
  </si>
  <si>
    <t>0.65 ± 0.02</t>
  </si>
  <si>
    <t>110000382</t>
  </si>
  <si>
    <t>Hạt nhựa rPET WSS04SB</t>
  </si>
  <si>
    <t>110000382 | WSS04SB</t>
  </si>
  <si>
    <t>110000383</t>
  </si>
  <si>
    <t>Hạt Nhựa rPET iSS84G-P</t>
  </si>
  <si>
    <t>110000383 | iSS84G-P</t>
  </si>
  <si>
    <t>0.84 ± 0.02</t>
  </si>
  <si>
    <t>110000384</t>
  </si>
  <si>
    <t>Hạt Nhựa Xơ Sợi Thử Nghiệm</t>
  </si>
  <si>
    <t>110000384 | Xơ Sợi Thử Nghiệm</t>
  </si>
  <si>
    <t>110000387</t>
  </si>
  <si>
    <t>Hạt nhựa rPET WSS03SD</t>
  </si>
  <si>
    <t>110000387 | WSS03SD</t>
  </si>
  <si>
    <t>110000388</t>
  </si>
  <si>
    <t>Hạt nhựa rPP20R01</t>
  </si>
  <si>
    <t>110000388 | rPP20R01</t>
  </si>
  <si>
    <t>110000390</t>
  </si>
  <si>
    <t>Hạt nhựa rPP20L01</t>
  </si>
  <si>
    <t>110000390 | rPP20L01</t>
  </si>
  <si>
    <t>110000400</t>
  </si>
  <si>
    <t>GC Hạt Nhựa rHDI4L01</t>
  </si>
  <si>
    <t>110000400 | GC rHDI4L01</t>
  </si>
  <si>
    <t>Khác</t>
  </si>
  <si>
    <t>DVGC</t>
  </si>
  <si>
    <t>Hạt DVGC</t>
  </si>
  <si>
    <t>Vảy HD Ép Đỏ</t>
  </si>
  <si>
    <t>110000407 | Vảy HD Ép Đỏ</t>
  </si>
  <si>
    <t>Vảy rHDPE ép</t>
  </si>
  <si>
    <t>Vảy HD Ép Trắng</t>
  </si>
  <si>
    <t>110000408 | Vảy HD Ép Trắng</t>
  </si>
  <si>
    <t>110000409</t>
  </si>
  <si>
    <t>Vảy HD Ép Vàng</t>
  </si>
  <si>
    <t>110000409 | Vảy HD Ép Vàng</t>
  </si>
  <si>
    <t>110000410</t>
  </si>
  <si>
    <t>Vảy HD Ép Lá</t>
  </si>
  <si>
    <t>110000410 | Vảy HD Ép Lá</t>
  </si>
  <si>
    <t>110000411</t>
  </si>
  <si>
    <t>Vảy HD Ép Dương</t>
  </si>
  <si>
    <t>110000411 | Vảy HD Ép Dương</t>
  </si>
  <si>
    <t>110000413</t>
  </si>
  <si>
    <t>Vảy HD Ép Đồng</t>
  </si>
  <si>
    <t>110000413 | Vảy HD Ép Đồng</t>
  </si>
  <si>
    <t>110000414</t>
  </si>
  <si>
    <t>GC Vảy HD Ép Đỏ</t>
  </si>
  <si>
    <t>110000414 | GC Vảy HD Ép Đỏ</t>
  </si>
  <si>
    <t>Vảy DVGC</t>
  </si>
  <si>
    <t>110000415</t>
  </si>
  <si>
    <t>GC Vảy HD Ép Trắng</t>
  </si>
  <si>
    <t>110000415 | GC Vảy HD Ép Trắng</t>
  </si>
  <si>
    <t>110000416</t>
  </si>
  <si>
    <t>GC Vảy HD Ép Vàng</t>
  </si>
  <si>
    <t>110000416 | GC Vảy HD Ép Vàng</t>
  </si>
  <si>
    <t>110000417</t>
  </si>
  <si>
    <t>GC Vảy HD Ép Lá</t>
  </si>
  <si>
    <t>110000417 | GC Vảy HD Ép Lá</t>
  </si>
  <si>
    <t>110000418</t>
  </si>
  <si>
    <t>GC Vảy HD Ép Dương</t>
  </si>
  <si>
    <t>110000418 | GC Vảy HD Ép Dương</t>
  </si>
  <si>
    <t>Vảy PP Đỏ Nhạt</t>
  </si>
  <si>
    <t>110000421 | Vảy PP Đỏ Nhạt</t>
  </si>
  <si>
    <t>Vảy rPP</t>
  </si>
  <si>
    <t>Hạt Nhựa HCBF-Whi-U</t>
  </si>
  <si>
    <t>110000425 | HCBF-Whi-U</t>
  </si>
  <si>
    <t>110000426</t>
  </si>
  <si>
    <t>Hạt Nhựa HCBF-Yel-U</t>
  </si>
  <si>
    <t>110000426 | HCBF-Yel-U</t>
  </si>
  <si>
    <t>110000428</t>
  </si>
  <si>
    <t>Dây đai PET</t>
  </si>
  <si>
    <t>110000428 | Dây đai PET</t>
  </si>
  <si>
    <t>GC</t>
  </si>
  <si>
    <t>110000429</t>
  </si>
  <si>
    <t>Hạt Nhựa rHDPE MAF01</t>
  </si>
  <si>
    <t>110000429 | rHDPE MAF01</t>
  </si>
  <si>
    <t>110000432</t>
  </si>
  <si>
    <t>Hạt Nhựa rHDB03N01</t>
  </si>
  <si>
    <t>110000432 | rHDB03N01</t>
  </si>
  <si>
    <t>110000435</t>
  </si>
  <si>
    <t>Hạt Nhựa rPP20L03</t>
  </si>
  <si>
    <t>110000435 | rPP20L03</t>
  </si>
  <si>
    <t>130000134</t>
  </si>
  <si>
    <t>Sắt vuông 50cm dày 1,8mm</t>
  </si>
  <si>
    <t>130000134 | Sắt vuông 50cm dày 1,8mm</t>
  </si>
  <si>
    <t>130000149</t>
  </si>
  <si>
    <t>Lưới thép 40x40mm, khổ 1,2m, dày 2mm</t>
  </si>
  <si>
    <t>130000149 | Lưới thép 40x40mm, khổ 1,2m, dày 2mm</t>
  </si>
  <si>
    <t>150000005</t>
  </si>
  <si>
    <t>Chai PET B3</t>
  </si>
  <si>
    <t>150000005 | Chai PET B3</t>
  </si>
  <si>
    <t>Chai PET</t>
  </si>
  <si>
    <t>150000051</t>
  </si>
  <si>
    <t>Vảy PET B1_A5.1</t>
  </si>
  <si>
    <t>150000051 | Vảy PET B1_A5.1</t>
  </si>
  <si>
    <t>Vảy rPET</t>
  </si>
  <si>
    <t>150000104</t>
  </si>
  <si>
    <t>Vảy HD thổi trong L1 HV01.1_KR</t>
  </si>
  <si>
    <t>150000104 | Vảy HD thổi trong L1 HV01.1_KR</t>
  </si>
  <si>
    <t>Phó sản</t>
  </si>
  <si>
    <t>160009898</t>
  </si>
  <si>
    <t>Vảy PET B5_A1</t>
  </si>
  <si>
    <t>160009898 | Vảy PET B5_A1</t>
  </si>
  <si>
    <t>160011761</t>
  </si>
  <si>
    <t>Vảy PET B1_A1 MN</t>
  </si>
  <si>
    <t>160011761 | Vảy PET B1_A1 MN</t>
  </si>
  <si>
    <t>160011808</t>
  </si>
  <si>
    <t>Vảy PET B7_A1</t>
  </si>
  <si>
    <t>160011808 | Vảy PET B7_A1</t>
  </si>
  <si>
    <t>160011809</t>
  </si>
  <si>
    <t>Vảy HD Thổi Trong HV-01.1</t>
  </si>
  <si>
    <t>160011809 | Vảy HD Thổi Trong HV-01.1</t>
  </si>
  <si>
    <t>Vảy rHDPE thổi</t>
  </si>
  <si>
    <t>160012236</t>
  </si>
  <si>
    <t>Vảy HD Thổi Lá Nhạt HV-05.2</t>
  </si>
  <si>
    <t>160012236 | Vảy HD Thổi Lá Nhạt HV-05.2</t>
  </si>
  <si>
    <t>160012239</t>
  </si>
  <si>
    <t>Vảy PET B1 chưa rửa 1</t>
  </si>
  <si>
    <t>160012239 | Vảy PET B1 chưa rửa 1</t>
  </si>
  <si>
    <t>160012244</t>
  </si>
  <si>
    <t>Vảy PET B6 chưa rửa 1</t>
  </si>
  <si>
    <t>160012244 | Vảy PET B6 chưa rửa 1</t>
  </si>
  <si>
    <t>160012248</t>
  </si>
  <si>
    <t>Vảy PET Mixed</t>
  </si>
  <si>
    <t>160012248 | Vảy PET Mixed</t>
  </si>
  <si>
    <t>160012281</t>
  </si>
  <si>
    <t>Vảy HDPE HV-03.1_GCDL</t>
  </si>
  <si>
    <t>160012281 | Vảy HDPE HV-03.1_GCDL</t>
  </si>
  <si>
    <t>160012282</t>
  </si>
  <si>
    <t>Vảy PET Mix  B2-B3-B7</t>
  </si>
  <si>
    <t>160012282 | Vảy PET Mix  B2-B3-B7</t>
  </si>
  <si>
    <t>160012287</t>
  </si>
  <si>
    <t>Vảy PET sau tách olefin</t>
  </si>
  <si>
    <t>160012287 | Vảy PET sau tách olefin</t>
  </si>
  <si>
    <t>160012289</t>
  </si>
  <si>
    <t>Vảy HD ép dương</t>
  </si>
  <si>
    <t>160012289 | Vảy HD ép dương</t>
  </si>
  <si>
    <t>160012298</t>
  </si>
  <si>
    <t>Vảy PET A3.RN</t>
  </si>
  <si>
    <t>160012298 | Vảy PET A3.RN</t>
  </si>
  <si>
    <t>160012302</t>
  </si>
  <si>
    <t>Vảy PET B3_A2.2 DT</t>
  </si>
  <si>
    <t>160012302 | Vảy PET B3_A2.2 DT</t>
  </si>
  <si>
    <t>160012309</t>
  </si>
  <si>
    <t>Pallet rHD D4-0986 DTR</t>
  </si>
  <si>
    <t>160012309 | Pallet rHD D4-0986 DTR</t>
  </si>
  <si>
    <t>160012358</t>
  </si>
  <si>
    <t>Vảy PET B1 Mix Zigzag</t>
  </si>
  <si>
    <t>160012358 | Vảy PET B1 Mix Zigzag</t>
  </si>
  <si>
    <t>160012364</t>
  </si>
  <si>
    <t>Hạt nhựa rHDPE MBF01-B2</t>
  </si>
  <si>
    <t>160012364 | rHDPE MBF01-B2</t>
  </si>
  <si>
    <t>160012374</t>
  </si>
  <si>
    <t>PS trả NCC HD thổi trong L1 HV01.1_TM</t>
  </si>
  <si>
    <t>160012374 | PS trả NCC HD thổi trong L1 HV01.1_TM</t>
  </si>
  <si>
    <t>160012386</t>
  </si>
  <si>
    <t>Vảy PET B8_A1</t>
  </si>
  <si>
    <t>160012386 | Vảy PET B8_A1</t>
  </si>
  <si>
    <t>160012394</t>
  </si>
  <si>
    <t>Vảy PET B4_A1</t>
  </si>
  <si>
    <t>160012394 | Vảy PET B4_A1</t>
  </si>
  <si>
    <t>160012424</t>
  </si>
  <si>
    <t>Vảy HD Thổi Vàng Nhạt HV-03.1</t>
  </si>
  <si>
    <t>160012424 | Vảy HD Thổi Vàng Nhạt HV-03.1</t>
  </si>
  <si>
    <t>160012426</t>
  </si>
  <si>
    <t>Vảy HD Thổi Lá Đậm HV-06.1</t>
  </si>
  <si>
    <t>160012426 | Vảy HD Thổi Lá Đậm HV-06.1</t>
  </si>
  <si>
    <t>160012439</t>
  </si>
  <si>
    <t>Vảy PET Tomra_A3</t>
  </si>
  <si>
    <t>160012439 | Vảy PET Tomra_A3</t>
  </si>
  <si>
    <t>160012450</t>
  </si>
  <si>
    <t>Vảy HD Thổi Trong HV-01.3</t>
  </si>
  <si>
    <t>160012450 | Vảy HD Thổi Trong HV-01.3</t>
  </si>
  <si>
    <t>160012456</t>
  </si>
  <si>
    <t>Vảy Xơ Sợi Mixed Thử Nghiệm</t>
  </si>
  <si>
    <t>160012456 | Vảy Xơ Sợi Mixed Thử Nghiệm</t>
  </si>
  <si>
    <t>Vảy Xơ sợi</t>
  </si>
  <si>
    <t>160012537</t>
  </si>
  <si>
    <t>Vảy PP Dương Nhạt L3 PP-05.3</t>
  </si>
  <si>
    <t>160012537 | Vảy PP Dương Nhạt L3 PP-05.3</t>
  </si>
  <si>
    <t>160012538</t>
  </si>
  <si>
    <t>Vảy PP Dương Đậm L3 PV-08.3</t>
  </si>
  <si>
    <t>160012538 | Vảy PP Dương Đậm L3 PV-08.3</t>
  </si>
  <si>
    <t>160012597</t>
  </si>
  <si>
    <t>GC Phó Sản PET B1/B8 Vảy-Nắp ST</t>
  </si>
  <si>
    <t>160012597 | GC Phó Sản PET B1/B8 Vảy-Nắp ST</t>
  </si>
  <si>
    <t>160012600</t>
  </si>
  <si>
    <t>160012600 | GC Vảy HD Ép Vàng</t>
  </si>
  <si>
    <t>160012602</t>
  </si>
  <si>
    <t>160012602 | GC Vảy HD Ép Dương</t>
  </si>
  <si>
    <t>160012614</t>
  </si>
  <si>
    <t>GC Phó Sản HD Ép Hỗn Hợp Nắp 1</t>
  </si>
  <si>
    <t>160012614 | GC Phó Sản HD Ép Hỗn Hợp Nắp 1</t>
  </si>
  <si>
    <t>Phó sản DVGC</t>
  </si>
  <si>
    <t>160012615</t>
  </si>
  <si>
    <t>GC Phó Sản HD Ép Hỗn Hợp Nắp 2</t>
  </si>
  <si>
    <t>160012615 | GC Phó Sản HD Ép Hỗn Hợp Nắp 2</t>
  </si>
  <si>
    <t>160012616</t>
  </si>
  <si>
    <t>GC Phó Sản HD Ép Olefin PET 1 ST</t>
  </si>
  <si>
    <t>160012616 | GC Phó Sản HD Ép Olefin PET 1 ST</t>
  </si>
  <si>
    <t>160012617</t>
  </si>
  <si>
    <t>GC Phó Sản HD Ép Olefin PET 2 ST</t>
  </si>
  <si>
    <t>160012617 | GC Phó Sản HD Ép Olefin PET 2 ST</t>
  </si>
  <si>
    <t>160012623</t>
  </si>
  <si>
    <t>Vảy HD Thổi Lá Nhạt HD-05 CR</t>
  </si>
  <si>
    <t>160012623 | Vảy HD Thổi Lá Nhạt HD-05 CR</t>
  </si>
  <si>
    <t>160012628</t>
  </si>
  <si>
    <t>Vảy HD Thổi Dương Đậm HD-10 CR</t>
  </si>
  <si>
    <t>160012628 | Vảy HD Thổi Dương Đậm HD-10 CR</t>
  </si>
  <si>
    <t>160012630</t>
  </si>
  <si>
    <t>Vảy HD Thổi Xanh Ngọc HD-12 CR</t>
  </si>
  <si>
    <t>160012630 | Vảy HD Thổi Xanh Ngọc HD-12 CR</t>
  </si>
  <si>
    <t>160012633</t>
  </si>
  <si>
    <t>Vảy HD Thổi Hồng HD-15 CR</t>
  </si>
  <si>
    <t>160012633 | Vảy HD Thổi Hồng HD-15 CR</t>
  </si>
  <si>
    <t>160012654</t>
  </si>
  <si>
    <t>Vảy PET B1-Hạt PL ADD</t>
  </si>
  <si>
    <t>160012654 | Vảy PET B1-Hạt PL ADD</t>
  </si>
  <si>
    <t>160012688</t>
  </si>
  <si>
    <t>Vảy PET B6.2_A2</t>
  </si>
  <si>
    <t>160012688 | Vảy PET B6.2_A2</t>
  </si>
  <si>
    <t>160012689</t>
  </si>
  <si>
    <t>Vảy PET B6.2_A3</t>
  </si>
  <si>
    <t>160012689 | Vảy PET B6.2_A3</t>
  </si>
  <si>
    <t>160012691</t>
  </si>
  <si>
    <t>Vảy PET B1_A3-B8_A3</t>
  </si>
  <si>
    <t>160012691 | Vảy PET B1_A3-B8_A3</t>
  </si>
  <si>
    <t>160012692</t>
  </si>
  <si>
    <t>Vảy PET B8_A3-B7.1_A1</t>
  </si>
  <si>
    <t>160012692 | Vảy PET B8_A3-B7.1_A1</t>
  </si>
  <si>
    <t>160012695</t>
  </si>
  <si>
    <t>Vảy PET B1_A3-B7.1_A1</t>
  </si>
  <si>
    <t>160012695 | Vảy PET B1_A3-B7.1_A1</t>
  </si>
  <si>
    <t>700000169</t>
  </si>
  <si>
    <t>Màu nước Anti Yellow 0090</t>
  </si>
  <si>
    <t>700000169 | Màu nước Anti Yellow 0090</t>
  </si>
  <si>
    <t>710022800</t>
  </si>
  <si>
    <t>Bộ kit máy Kaeser AT-01749</t>
  </si>
  <si>
    <t>710022800 | Bộ kit máy Kaeser AT-01749</t>
  </si>
  <si>
    <t>710023458</t>
  </si>
  <si>
    <t>Lưới Inox 201-60Mesh 145x720mm</t>
  </si>
  <si>
    <t>710023458 | Lưới Inox 201-60Mesh 145x720mm</t>
  </si>
  <si>
    <t>710024910</t>
  </si>
  <si>
    <t>Filter screen,120µm(D250)</t>
  </si>
  <si>
    <t>710024910 | Filter screen,120µm(D250)</t>
  </si>
  <si>
    <t>710024912</t>
  </si>
  <si>
    <t>Dao cạo phế Ettlinger 15041</t>
  </si>
  <si>
    <t>710024912 | Dao cạo phế Ettlinger 15041</t>
  </si>
  <si>
    <t>710025329</t>
  </si>
  <si>
    <t>Cùm dao SPH100.1 MAG-10621522</t>
  </si>
  <si>
    <t>710025329 | Cùm dao SPH100.1 MAG-10621522</t>
  </si>
  <si>
    <t>710025452</t>
  </si>
  <si>
    <t>Filter carrier,120µm(D250)</t>
  </si>
  <si>
    <t>710025452 | Filter carrier,120µm(D250)</t>
  </si>
  <si>
    <t>710025456</t>
  </si>
  <si>
    <t>SEAL STARLINGER MAG 175X159X3,2;SP 140</t>
  </si>
  <si>
    <t>710025456 | SEAL STARLINGER MAG 175X159X3,2;SP 140</t>
  </si>
  <si>
    <t>710025460</t>
  </si>
  <si>
    <t>B.tần NGR,Vacon 1.5kW, M-02100-00000-196</t>
  </si>
  <si>
    <t>710025460 | B.tần NGR,Vacon 1.5kW, M-02100-00000-196</t>
  </si>
  <si>
    <t>710025461</t>
  </si>
  <si>
    <t>Modem NGR, SX-OPT-E9 NXP/NXS/100/20</t>
  </si>
  <si>
    <t>710025461 | Modem NGR, SX-OPT-E9 NXP/NXS/100/20</t>
  </si>
  <si>
    <t>720000067</t>
  </si>
  <si>
    <t>Giấy xúc Anan</t>
  </si>
  <si>
    <t>720000067 | Giấy xúc Anan</t>
  </si>
  <si>
    <t>720000183</t>
  </si>
  <si>
    <t>Xà bông cục lifeboy</t>
  </si>
  <si>
    <t>720000183 | Xà bông cục lifeboy</t>
  </si>
  <si>
    <t>800006265</t>
  </si>
  <si>
    <t>GC Vảy PET Sau Tách Olefin</t>
  </si>
  <si>
    <t>800006265 | GC Vảy PET Sau Tách Olefin</t>
  </si>
  <si>
    <t>800006273</t>
  </si>
  <si>
    <t>GC Phó Sản HD Ép Hỗn Hợp Cuối ST</t>
  </si>
  <si>
    <t>800006273 | GC Phó Sản HD Ép Hỗn Hợp Cuối ST</t>
  </si>
  <si>
    <t>DIEUCHINH</t>
  </si>
  <si>
    <t>Điều chỉnh</t>
  </si>
  <si>
    <t>DIEUCHINH | Điều chỉnh</t>
  </si>
  <si>
    <t>DIEUCHINH-rPET</t>
  </si>
  <si>
    <t>Điều chỉnh nhóm rPET</t>
  </si>
  <si>
    <t>DIEUCHINH-| Điều chỉnh nhóm rPET</t>
  </si>
  <si>
    <t>Khác-rPET</t>
  </si>
  <si>
    <t>DIEUCHINH-rHDPE thổi</t>
  </si>
  <si>
    <t>Điều chỉnh nhóm rHDPE thổi</t>
  </si>
  <si>
    <t>DIEUCHINH-rHDPE thổi | Điều chỉnh nhóm rHDPE thổi</t>
  </si>
  <si>
    <t>Khác-rHDPE thổi</t>
  </si>
  <si>
    <t>DIEUCHINH-rHDPE ép</t>
  </si>
  <si>
    <t>Điều chỉnh nhóm rHDPE ép</t>
  </si>
  <si>
    <t>DIEUCHINH-rHDPE ép | Điều chỉnh nhóm rHDPE ép</t>
  </si>
  <si>
    <t>Khác-rHDPE ép</t>
  </si>
  <si>
    <t>DIEUCHINH-rPP</t>
  </si>
  <si>
    <t>Điều chỉnh nhóm rPP</t>
  </si>
  <si>
    <t>DIEUCHINH-rPP | Điều chỉnh nhóm rPP</t>
  </si>
  <si>
    <t>Khác-rPP</t>
  </si>
  <si>
    <t>DIEUCHINH-Xơ sợi</t>
  </si>
  <si>
    <t>Điều chỉnh nhóm Xơ sợi</t>
  </si>
  <si>
    <t>DIEUCHINH-Xơ sợi | Điều chỉnh nhóm Xơ sợi</t>
  </si>
  <si>
    <t>Khác-Xơ sợi</t>
  </si>
  <si>
    <t>DIEUCHINH-rLDPE</t>
  </si>
  <si>
    <t>Điều chỉnh nhóm rLDPE</t>
  </si>
  <si>
    <t>DIEUCHINH-rLDPE | Điều chỉnh nhóm rLDPE</t>
  </si>
  <si>
    <t>Khác-rLDPE</t>
  </si>
  <si>
    <t>DIEUCHINH-GC</t>
  </si>
  <si>
    <t>Điều chỉnh nhóm gia công</t>
  </si>
  <si>
    <t>DIEUCHINH-GC | Điều chỉnh nhóm gia công</t>
  </si>
  <si>
    <t>Khác-GC</t>
  </si>
  <si>
    <t>DIEUCHINH-PS</t>
  </si>
  <si>
    <t>Điều chỉnh nhóm phó sản</t>
  </si>
  <si>
    <t>DIEUCHINH-PS | Điều chỉnh nhóm phó sản</t>
  </si>
  <si>
    <t>Khác-PS</t>
  </si>
  <si>
    <t>DIEUCHINH-DVGC</t>
  </si>
  <si>
    <t>Điều chỉnh nhóm Dịch vụ gia công</t>
  </si>
  <si>
    <t>DIEUCHINH-DVGC | Điều chỉnh nhóm Dịch vụ gia công</t>
  </si>
  <si>
    <t>Khác-DVGC</t>
  </si>
  <si>
    <t>KCKHONGPB</t>
  </si>
  <si>
    <t>Chi phí giá thành không phân bổ được</t>
  </si>
  <si>
    <t>KCKHONGPB | Chi phí giá thành không phân bổ được</t>
  </si>
  <si>
    <t>OTHERS</t>
  </si>
  <si>
    <t>OTHERS | Khác</t>
  </si>
  <si>
    <t>TAITRO</t>
  </si>
  <si>
    <t>Tài trợ</t>
  </si>
  <si>
    <t>TAITRO | Tài trợ</t>
  </si>
  <si>
    <t>THUEMAY</t>
  </si>
  <si>
    <t>Thuê máy</t>
  </si>
  <si>
    <t>THUEMAY | Thuê máy</t>
  </si>
  <si>
    <t>THUEXUONG</t>
  </si>
  <si>
    <t>Thuê xưởng, kho</t>
  </si>
  <si>
    <t>THUEXUONG | Thuê xưởng, kho</t>
  </si>
  <si>
    <t>VANCHUYEN</t>
  </si>
  <si>
    <t>Vận chuyển</t>
  </si>
  <si>
    <t>VANCHUYEN | Vận chuyển</t>
  </si>
  <si>
    <t>KKHTK</t>
  </si>
  <si>
    <t>Kiểm kê HTK</t>
  </si>
  <si>
    <t>KKHTK | Kiểm kê HTK</t>
  </si>
  <si>
    <t>110000340</t>
  </si>
  <si>
    <t>Hạt nhựa rHDPE MBF02</t>
  </si>
  <si>
    <t>110000340 | rHDPE MBF02</t>
  </si>
  <si>
    <t>XUATSUDUNG</t>
  </si>
  <si>
    <t>Chênh lệch MM60 và giá trị tồn khi xuất HTK đi sử dụng</t>
  </si>
  <si>
    <t>XUATSUDUNG | Chênh lệch MM60 và giá trị tồn khi xuất HTK đi sử dụng</t>
  </si>
  <si>
    <t>NS24-rHDPEI</t>
  </si>
  <si>
    <t>Vảy rHDPE injection (chung)</t>
  </si>
  <si>
    <t>NS24-rHDPEI | Vảy rHDPE injection (chung)</t>
  </si>
  <si>
    <t>NS24-VAYrPPCHUNG</t>
  </si>
  <si>
    <t>Vảy PP (chung)</t>
  </si>
  <si>
    <t>NS24-VAYrPPCHUNG | Vảy PP (chung)</t>
  </si>
  <si>
    <t>NS24-VAYrPPB</t>
  </si>
  <si>
    <t>Vảy rPP Đen</t>
  </si>
  <si>
    <t>NS24-VAYrPPB | Vảy rPP Đen</t>
  </si>
  <si>
    <t>NS24-VAYrPPG</t>
  </si>
  <si>
    <t>Vảy rPP Xám</t>
  </si>
  <si>
    <t>NS24-VAYrPPG | Vảy rPP Xám</t>
  </si>
  <si>
    <t>110000436</t>
  </si>
  <si>
    <t>Hạt nhựa rPET WSS05SB</t>
  </si>
  <si>
    <t>110000436 | WSS05SB</t>
  </si>
  <si>
    <t>0.55 ± 0.05</t>
  </si>
  <si>
    <t>Hạt Nhựa rHDB03N02</t>
  </si>
  <si>
    <t>110000374 | rHDB03N02</t>
  </si>
  <si>
    <t>110000392</t>
  </si>
  <si>
    <t>Hạt nhựa rPP20B01</t>
  </si>
  <si>
    <t>110000392 | rPP20B01</t>
  </si>
  <si>
    <t>150000113</t>
  </si>
  <si>
    <t>Chai PET B1 Không Phân Loại</t>
  </si>
  <si>
    <t>150000113 | Chai PET B1 Không Phân Loại</t>
  </si>
  <si>
    <t>710022799</t>
  </si>
  <si>
    <t>Lọc khí máy KAESER AT - 0017</t>
  </si>
  <si>
    <t>710022799 | Lọc khí máy KAESER AT - 0017</t>
  </si>
  <si>
    <t>710025603</t>
  </si>
  <si>
    <t>Lưới tròn inox201 25 mesh DK170  0.4mm</t>
  </si>
  <si>
    <t>710025603 | Lưới tròn inox201 25 mesh DK170  0.4mm</t>
  </si>
  <si>
    <t>720000090</t>
  </si>
  <si>
    <t>Kẹp bướm 4P</t>
  </si>
  <si>
    <t>720000090 | Kẹp bướm 4P</t>
  </si>
  <si>
    <t>110000333</t>
  </si>
  <si>
    <t>Hạt nhựa rPET WSS03</t>
  </si>
  <si>
    <t>110000333 | WSS03</t>
  </si>
  <si>
    <t>110000358</t>
  </si>
  <si>
    <t>Hạt nhựa rPET WSS02G</t>
  </si>
  <si>
    <t>110000358 | WSS02G</t>
  </si>
  <si>
    <t>0.74 ± 0.02</t>
  </si>
  <si>
    <t>110000423</t>
  </si>
  <si>
    <t>Vảy PP Dương Nhạt</t>
  </si>
  <si>
    <t>110000423 | Vảy PP Dương Nhạt</t>
  </si>
  <si>
    <t>110000440</t>
  </si>
  <si>
    <t>Hạt Nhựa LDPE Thử Nghiệm</t>
  </si>
  <si>
    <t>110000440 | LDPE Thử Nghiệm</t>
  </si>
  <si>
    <t>rLDPE</t>
  </si>
  <si>
    <t>Hạt rLDPE</t>
  </si>
  <si>
    <t>120002994</t>
  </si>
  <si>
    <t>Anti-Yellowing 00185</t>
  </si>
  <si>
    <t>120002994 | Anti-Yellowing 00185</t>
  </si>
  <si>
    <t>160012330</t>
  </si>
  <si>
    <t>Vảy PP vàng_ Loại 3</t>
  </si>
  <si>
    <t>160012330 | Vảy PP vàng_ Loại 3</t>
  </si>
  <si>
    <t>160012345</t>
  </si>
  <si>
    <t>Phó sản máy Meyer</t>
  </si>
  <si>
    <t>160012345 | Phó sản máy Meyer</t>
  </si>
  <si>
    <t>160012451</t>
  </si>
  <si>
    <t>Phó Sản HD Thổi Vàng Vảy L1</t>
  </si>
  <si>
    <t>160012451 | Phó Sản HD Thổi Vàng Vảy L1</t>
  </si>
  <si>
    <t>160012452</t>
  </si>
  <si>
    <t>Phó Sản HD Thổi Vàng Vảy L2</t>
  </si>
  <si>
    <t>160012452 | Phó Sản HD Thổi Vàng Vảy L2</t>
  </si>
  <si>
    <t>160012454</t>
  </si>
  <si>
    <t>Phó Sản HD Thổi Vàng Vảy Tuyển Nổi</t>
  </si>
  <si>
    <t>160012454 | Phó Sản HD Thổi Vàng Vảy Tuyển Nổi</t>
  </si>
  <si>
    <t>160012557</t>
  </si>
  <si>
    <t>Vảy PP Lá Nhạt L3 PP-04.3</t>
  </si>
  <si>
    <t>160012557 | Vảy PP Lá Nhạt L3 PP-04.3</t>
  </si>
  <si>
    <t>700000196</t>
  </si>
  <si>
    <t>Phụ gia tăng IV 409, Repi</t>
  </si>
  <si>
    <t>700000196 | Phụ gia tăng IV 409, Repi</t>
  </si>
  <si>
    <t>110000430</t>
  </si>
  <si>
    <t>Hạt Nhựa rPET Bán Thành Phẩm</t>
  </si>
  <si>
    <t>110000430 | rPET Bán Thành Phẩm</t>
  </si>
  <si>
    <t>110000441</t>
  </si>
  <si>
    <t>Hạt Nhựa PP Thử Nghiệm</t>
  </si>
  <si>
    <t>110000441 | PP Thử Nghiệm</t>
  </si>
  <si>
    <t>110000461</t>
  </si>
  <si>
    <t>GC Hạt Nhựa rHDB01N01</t>
  </si>
  <si>
    <t>110000461 | GC rHDB01N01</t>
  </si>
  <si>
    <t>110000462</t>
  </si>
  <si>
    <t>GC Hạt Nhựa rHDB01N02</t>
  </si>
  <si>
    <t>110000462 | GC rHDB01N02</t>
  </si>
  <si>
    <t>110000463</t>
  </si>
  <si>
    <t>GC Hạt Nhựa rLDB1N03</t>
  </si>
  <si>
    <t>110000463 | GC rLDB1N03</t>
  </si>
  <si>
    <t>140006135</t>
  </si>
  <si>
    <t>Bao PE 2000x2700x5z</t>
  </si>
  <si>
    <t>140006135 | Bao PE 2000x2700x5z</t>
  </si>
  <si>
    <t>160012550</t>
  </si>
  <si>
    <t>Vảy PP Trắng Sữa L1 PP-02.1</t>
  </si>
  <si>
    <t>160012550 | Vảy PP Trắng Sữa L1 PP-02.1</t>
  </si>
  <si>
    <t>CHUYENMA</t>
  </si>
  <si>
    <t>Chuyển mã</t>
  </si>
  <si>
    <t>CHUYENMA | Chuyển mã</t>
  </si>
  <si>
    <t>Phó Sản PET Bụi Tank A</t>
  </si>
  <si>
    <t>160012726 | Phó Sản PET Bụi Tank A</t>
  </si>
  <si>
    <t>Phó Sản PET Bụi Tank B</t>
  </si>
  <si>
    <t>160012727 | Phó Sản PET Bụi Tank B</t>
  </si>
  <si>
    <t>160012728</t>
  </si>
  <si>
    <t>Phó Sản PET Bụi Tank C</t>
  </si>
  <si>
    <t>160012728 | Phó Sản PET Bụi Tank C</t>
  </si>
  <si>
    <t>Phó Sản PET Bụi Tank D</t>
  </si>
  <si>
    <t>160012729 | Phó Sản PET Bụi Tank D</t>
  </si>
  <si>
    <t>160012743</t>
  </si>
  <si>
    <t>Phó Sản Trả NCC HD Thổi Vàng HV-03.1_TM</t>
  </si>
  <si>
    <t>160012743 | Phó Sản Trả NCC HD Thổi Vàng HV-03.1_TM</t>
  </si>
  <si>
    <t>110000471</t>
  </si>
  <si>
    <t>Hạt Nhựa rPP20L05</t>
  </si>
  <si>
    <t>110000471 | rPP20L05</t>
  </si>
  <si>
    <t>110000472</t>
  </si>
  <si>
    <t>Hạt Nhựa rPP20Gy01</t>
  </si>
  <si>
    <t>110000472 | rPP20Gy01</t>
  </si>
  <si>
    <t>110000476</t>
  </si>
  <si>
    <t>FOC-Hạt nhựa PET Repi</t>
  </si>
  <si>
    <t>110000476 | FOC-Hạt nhựa PET Repi</t>
  </si>
  <si>
    <t>Hạt Nhựa rHDPE PCF01</t>
  </si>
  <si>
    <t>110000481 | rHDPE PCF01</t>
  </si>
  <si>
    <t>160012336</t>
  </si>
  <si>
    <t>Phó Sản PET Bụi Cám</t>
  </si>
  <si>
    <t>160012336 | Phó Sản PET Bụi Cám</t>
  </si>
  <si>
    <t>710023659</t>
  </si>
  <si>
    <t>SSP- AD- 00159 cuff seal DN150, blue</t>
  </si>
  <si>
    <t>710023659 | SSP- AD- 00159 cuff seal DN150, blue</t>
  </si>
  <si>
    <t>710023660</t>
  </si>
  <si>
    <t>SSP- AD- 00037 seal kit DN100</t>
  </si>
  <si>
    <t>710023660 | SSP- AD- 00037 seal kit DN100</t>
  </si>
  <si>
    <t>710027024</t>
  </si>
  <si>
    <t>Ổ bi SKF NJ 2208ECP</t>
  </si>
  <si>
    <t>710027024 | Ổ bi SKF NJ 2208ECP</t>
  </si>
  <si>
    <t>710027025</t>
  </si>
  <si>
    <t>Ổ bi SKF NUP 208ECM</t>
  </si>
  <si>
    <t>710027025 | Ổ bi SKF NUP 208ECM</t>
  </si>
  <si>
    <t>710027530</t>
  </si>
  <si>
    <t>FOC-Bơm định lượng Repi 0.2cc SN 2401001</t>
  </si>
  <si>
    <t>710027530 | FOC-Bơm định lượng Repi 0.2cc SN 2401001</t>
  </si>
  <si>
    <t>720001168</t>
  </si>
  <si>
    <t>Chân sắt treo bảng A3 - cao 1.2m</t>
  </si>
  <si>
    <t>720001168 | Chân sắt treo bảng A3 - cao 1.2m</t>
  </si>
  <si>
    <t>DOIBATCH</t>
  </si>
  <si>
    <t>Xuất HTK đổi batch</t>
  </si>
  <si>
    <t>DOIBATCH | Xuất HTK đổi batch</t>
  </si>
  <si>
    <t>Hạt nhựa rHDB04B01</t>
  </si>
  <si>
    <t>110000341 | rHDB04B01</t>
  </si>
  <si>
    <t>110000385</t>
  </si>
  <si>
    <t>Hạt Nhựa rHDB05N01</t>
  </si>
  <si>
    <t>110000385 | rHDB05N01</t>
  </si>
  <si>
    <t>110000389</t>
  </si>
  <si>
    <t>Hạt nhựa rPP20R02</t>
  </si>
  <si>
    <t>110000389 | rPP20R02</t>
  </si>
  <si>
    <t>110000391</t>
  </si>
  <si>
    <t>Hạt nhựa rPP20L02</t>
  </si>
  <si>
    <t>110000391 | rPP20L02</t>
  </si>
  <si>
    <t>110000412</t>
  </si>
  <si>
    <t>Vảy HD Ép Đen</t>
  </si>
  <si>
    <t>110000412 | Vảy HD Ép Đen</t>
  </si>
  <si>
    <t>110000420</t>
  </si>
  <si>
    <t>GC Vảy HD Ép Đồng</t>
  </si>
  <si>
    <t>110000420 | GC Vảy HD Ép Đồng</t>
  </si>
  <si>
    <t>110000422</t>
  </si>
  <si>
    <t>Vảy PP Đỏ Đậm</t>
  </si>
  <si>
    <t>110000422 | Vảy PP Đỏ Đậm</t>
  </si>
  <si>
    <t>110000424</t>
  </si>
  <si>
    <t>Vảy PP Dương Đậm</t>
  </si>
  <si>
    <t>110000424 | Vảy PP Dương Đậm</t>
  </si>
  <si>
    <t>Hạt Nhựa rHDI3Gy02</t>
  </si>
  <si>
    <t>110000431 | rHDI3Gy02</t>
  </si>
  <si>
    <t>110000439</t>
  </si>
  <si>
    <t>Vảy PP Trắng Sữa</t>
  </si>
  <si>
    <t>110000439 | Vảy PP Trắng Sữa</t>
  </si>
  <si>
    <t>110000469</t>
  </si>
  <si>
    <t>Vảy HD Ép Dương Bình Thuận</t>
  </si>
  <si>
    <t>110000469 | Vảy HD Ép Dương Bình Thuận</t>
  </si>
  <si>
    <t>110000470</t>
  </si>
  <si>
    <t>Hạt Nhựa rPP20L04</t>
  </si>
  <si>
    <t>110000470 | rPP20L04</t>
  </si>
  <si>
    <t>160009895</t>
  </si>
  <si>
    <t>Vảy PET B1_A1 DT</t>
  </si>
  <si>
    <t>160009895 | Vảy PET B1_A1 DT</t>
  </si>
  <si>
    <t>160012293</t>
  </si>
  <si>
    <t>Vảy PET B1_A2.2 DT</t>
  </si>
  <si>
    <t>160012293 | Vảy PET B1_A2.2 DT</t>
  </si>
  <si>
    <t>160012659</t>
  </si>
  <si>
    <t>Vảy PET B1_A2.1 DT</t>
  </si>
  <si>
    <t>160012659 | Vảy PET B1_A2.1 DT</t>
  </si>
  <si>
    <t>160012862</t>
  </si>
  <si>
    <t>Ghế Baby Đỏ</t>
  </si>
  <si>
    <t>160012862 | Ghế Baby Đỏ</t>
  </si>
  <si>
    <t>160012863</t>
  </si>
  <si>
    <t>Ghế Baby Dương</t>
  </si>
  <si>
    <t>160012863 | Ghế Baby Dương</t>
  </si>
  <si>
    <t>710024196</t>
  </si>
  <si>
    <t>Đầu die máy Dynisco AT-01006, 8mm</t>
  </si>
  <si>
    <t>710024196 | Đầu die máy Dynisco AT-01006, 8mm</t>
  </si>
  <si>
    <t>710027174</t>
  </si>
  <si>
    <t>Trục inox tròn đặc Ø8mm, dài 1.5m</t>
  </si>
  <si>
    <t>710027174 | Trục inox tròn đặc Ø8mm, dài 1.5m</t>
  </si>
  <si>
    <t>710027177</t>
  </si>
  <si>
    <t>Tấm nhôm gân 1800x900x6mm</t>
  </si>
  <si>
    <t>710027177 | Tấm nhôm gân 1800x900x6mm</t>
  </si>
  <si>
    <t>710027329</t>
  </si>
  <si>
    <t>Bạc đạn Koyo 32210</t>
  </si>
  <si>
    <t>710027329 | Bạc đạn Koyo 32210</t>
  </si>
  <si>
    <t>710027676</t>
  </si>
  <si>
    <t>Module giám sát Hochiki DCP-R2ML</t>
  </si>
  <si>
    <t>710027676 | Module giám sát Hochiki DCP-R2ML</t>
  </si>
  <si>
    <t>710027722</t>
  </si>
  <si>
    <t>FOC-Co sắt L D12 ren ngoài, M18x1.5</t>
  </si>
  <si>
    <t>710027722 | FOC-Co sắt L D12 ren ngoài, M18x1.5</t>
  </si>
  <si>
    <t>710027723</t>
  </si>
  <si>
    <t>FOC-Giảm thanh bằng sắt D18-D8</t>
  </si>
  <si>
    <t>710027723 | FOC-Giảm thanh bằng sắt D18-D8</t>
  </si>
  <si>
    <t>710027724</t>
  </si>
  <si>
    <t>FOC-Ống nước nhựa D6x1100mm</t>
  </si>
  <si>
    <t>710027724 | FOC-Ống nước nhựa D6x1100mm</t>
  </si>
  <si>
    <t>710027789</t>
  </si>
  <si>
    <t>FOC-Lưỡi dao cắt 38x25x4mm Maxwell 4305</t>
  </si>
  <si>
    <t>710027789 | FOC-Lưỡi dao cắt 38x25x4mm Maxwell 4305</t>
  </si>
  <si>
    <t>720000758</t>
  </si>
  <si>
    <t>Chất tẩy rửa PET Washing</t>
  </si>
  <si>
    <t>720000758 | Chất tẩy rửa PET Washing</t>
  </si>
  <si>
    <t>ACTIVEBATCH</t>
  </si>
  <si>
    <t>Xuất HTK active batch</t>
  </si>
  <si>
    <t>ACTIVEBATCH | Xuất HTK active batch</t>
  </si>
  <si>
    <t>110000419</t>
  </si>
  <si>
    <t>GC Vảy HD Ép Đen</t>
  </si>
  <si>
    <t>110000419 | GC Vảy HD Ép Đen</t>
  </si>
  <si>
    <t>110000482</t>
  </si>
  <si>
    <t>Hạt Nhựa rPP20W01</t>
  </si>
  <si>
    <t>110000482 | rPP20W01</t>
  </si>
  <si>
    <t>160011727</t>
  </si>
  <si>
    <t>Vảy PET B7.1 chưa rửa 1</t>
  </si>
  <si>
    <t>160011727 | Vảy PET B7.1 chưa rửa 1</t>
  </si>
  <si>
    <t>160012265</t>
  </si>
  <si>
    <t>Vảy PET B8 chưa rửa 1</t>
  </si>
  <si>
    <t>160012265 | Vảy PET B8 chưa rửa 1</t>
  </si>
  <si>
    <t>Vảy rPET chưa rửa</t>
  </si>
  <si>
    <t>160012270</t>
  </si>
  <si>
    <t>Phó Sản HD Thổi Trong Vảy L1</t>
  </si>
  <si>
    <t>160012270 | Phó Sản HD Thổi Trong Vảy L1</t>
  </si>
  <si>
    <t>160012271</t>
  </si>
  <si>
    <t>Phó Sản HD Thổi Trong Vảy L2</t>
  </si>
  <si>
    <t>160012271 | Phó Sản HD Thổi Trong Vảy L2</t>
  </si>
  <si>
    <t>160012283</t>
  </si>
  <si>
    <t>Olefin (Nắp, HDPE…) B1/B8 ST</t>
  </si>
  <si>
    <t>160012283 | Olefin (Nắp, HDPE…) B1/B8 ST</t>
  </si>
  <si>
    <t>160012339</t>
  </si>
  <si>
    <t>Phó Sản PET B3 Vảy-Nắp</t>
  </si>
  <si>
    <t>160012339 | Phó Sản PET B3 Vảy-Nắp</t>
  </si>
  <si>
    <t>160012340</t>
  </si>
  <si>
    <t>Phó Sản PET B5 Vảy-Nắp</t>
  </si>
  <si>
    <t>160012340 | Phó Sản PET B5 Vảy-Nắp</t>
  </si>
  <si>
    <t>160012346</t>
  </si>
  <si>
    <t>Phó sản bụi HD ép chìm</t>
  </si>
  <si>
    <t>160012346 | Phó sản bụi HD ép chìm</t>
  </si>
  <si>
    <t>160012348</t>
  </si>
  <si>
    <t>Phó sản hạt HD thổi màu</t>
  </si>
  <si>
    <t>160012348 | Phó sản hạt HD thổi màu</t>
  </si>
  <si>
    <t>160012352</t>
  </si>
  <si>
    <t>Phó Sản HD Ép Đen Đầu Keo</t>
  </si>
  <si>
    <t>160012352 | Phó Sản HD Ép Đen Đầu Keo</t>
  </si>
  <si>
    <t>160012361</t>
  </si>
  <si>
    <t>Phó Sản HD Thổi Trong Bụi</t>
  </si>
  <si>
    <t>160012361 | Phó Sản HD Thổi Trong Bụi</t>
  </si>
  <si>
    <t>160012399</t>
  </si>
  <si>
    <t>Phó Sản PET B4 Vảy-Nắp</t>
  </si>
  <si>
    <t>160012399 | Phó Sản PET B4 Vảy-Nắp</t>
  </si>
  <si>
    <t>160012417</t>
  </si>
  <si>
    <t>Phó Sản PET HAD</t>
  </si>
  <si>
    <t>160012417 | Phó Sản PET HAD</t>
  </si>
  <si>
    <t>160012420</t>
  </si>
  <si>
    <t>Phó Sản PET Quét Nền</t>
  </si>
  <si>
    <t>160012420 | Phó Sản PET Quét Nền</t>
  </si>
  <si>
    <t>160012435</t>
  </si>
  <si>
    <t>Phó Sản HD Thổi Trắng Sữa Zigzag</t>
  </si>
  <si>
    <t>160012435 | Phó Sản HD Thổi Trắng Sữa Zigzag</t>
  </si>
  <si>
    <t>160012607</t>
  </si>
  <si>
    <t>Phó Sản PET Zigzag Sau Lựa</t>
  </si>
  <si>
    <t>160012607 | Phó Sản PET Zigzag Sau Lựa</t>
  </si>
  <si>
    <t>160012608</t>
  </si>
  <si>
    <t>Phó Sản PET Tomra Cổng 3 Sau Lựa</t>
  </si>
  <si>
    <t>160012608 | Phó Sản PET Tomra Cổng 3 Sau Lựa</t>
  </si>
  <si>
    <t>710023295</t>
  </si>
  <si>
    <t>Lưới Inox 304-25Mesh 176.3 x 0.4</t>
  </si>
  <si>
    <t>710023295 | Lưới Inox 304-25Mesh 176.3 x 0.4</t>
  </si>
  <si>
    <t>710026521</t>
  </si>
  <si>
    <t>Tủ điện điều khiển nhiệt Boretech BKE-30</t>
  </si>
  <si>
    <t>710026521 | Tủ điện điều khiển nhiệt Boretech BKE-30</t>
  </si>
  <si>
    <t>710026848</t>
  </si>
  <si>
    <t>Lõi lọc glycol AT-01847 (STG)</t>
  </si>
  <si>
    <t>710026848 | Lõi lọc glycol AT-01847 (STG)</t>
  </si>
  <si>
    <t>710027173</t>
  </si>
  <si>
    <t>Xe đẩy inox 3 tầng L750xW400xH835mm</t>
  </si>
  <si>
    <t>710027173 | Xe đẩy inox 3 tầng L750xW400xH835mm</t>
  </si>
  <si>
    <t>710027573</t>
  </si>
  <si>
    <t>Ống thép DN900 Cao 118 x 6.35mm</t>
  </si>
  <si>
    <t>710027573 | Ống thép DN900 Cao 118 x 6.35mm</t>
  </si>
  <si>
    <t>TRUYENTHONG</t>
  </si>
  <si>
    <t>Tài trợ truyền thông</t>
  </si>
  <si>
    <t>TRUYENTHONG | Tài trợ truyền thông</t>
  </si>
  <si>
    <t>160012625</t>
  </si>
  <si>
    <t>Vảy HD Thổi Đỏ Nhạt HD-07 CR</t>
  </si>
  <si>
    <t>160012625 | Vảy HD Thổi Đỏ Nhạt HD-07 CR</t>
  </si>
  <si>
    <t>160012896</t>
  </si>
  <si>
    <t>Phó Sản PET Bụi LB</t>
  </si>
  <si>
    <t>160012896 | Phó Sản PET Bụi LB</t>
  </si>
  <si>
    <t>710024428</t>
  </si>
  <si>
    <t>BÓNG ĐÈN HALOGEN MÁY MEYER</t>
  </si>
  <si>
    <t>710024428 | BÓNG ĐÈN HALOGEN MÁY MEYER</t>
  </si>
  <si>
    <t>110000336</t>
  </si>
  <si>
    <t>Hạt nhựa rHDPE thử nghiệm</t>
  </si>
  <si>
    <t>110000336 | Hạt nhựa rHDPE thử nghiệm</t>
  </si>
  <si>
    <t>110000393</t>
  </si>
  <si>
    <t>Hạt nhựa rPP20Be01</t>
  </si>
  <si>
    <t>110000393 | Hạt nhựa rPP20Be01</t>
  </si>
  <si>
    <t>110000443</t>
  </si>
  <si>
    <t>Hạt Nhựa rHDA03N01</t>
  </si>
  <si>
    <t>110000443 | rHDA03N01</t>
  </si>
  <si>
    <t>150000114</t>
  </si>
  <si>
    <t>Chai PET B6.2</t>
  </si>
  <si>
    <t>150000114 | Chai PET B6.2</t>
  </si>
  <si>
    <t>150000116</t>
  </si>
  <si>
    <t>Bình HD Thổi Trong HD-01.2</t>
  </si>
  <si>
    <t>150000116 | Bình HD Thổi Trong HD-01.2</t>
  </si>
  <si>
    <t>Bình rHDPE thổi</t>
  </si>
  <si>
    <t>160012428</t>
  </si>
  <si>
    <t>Vảy PET B1-B7.1</t>
  </si>
  <si>
    <t>160012428 | Vảy PET B1-B7.1</t>
  </si>
  <si>
    <t>700000273</t>
  </si>
  <si>
    <t>Phenol-teCA Labort 500ml</t>
  </si>
  <si>
    <t>700000273 | Phenol-teCA Labort 500ml</t>
  </si>
  <si>
    <t>710028058</t>
  </si>
  <si>
    <t>Inox tấm mờ 304 KT 1200x1000x2mm</t>
  </si>
  <si>
    <t>710028058 | Inox tấm mờ 304 KT 1200x1000x2mm</t>
  </si>
  <si>
    <t>710028279</t>
  </si>
  <si>
    <t>FOC-Vỏ bơm cao su STG AT-02360</t>
  </si>
  <si>
    <t>710028279 | FOC-Vỏ bơm cao su STG AT-02360</t>
  </si>
  <si>
    <t>710028280</t>
  </si>
  <si>
    <t>FOC-Đồng hồ áp suất D63 STG APXZ-01002</t>
  </si>
  <si>
    <t>710028280 | FOC-Đồng hồ áp suất D63 STG APXZ-01002</t>
  </si>
  <si>
    <t>710028308</t>
  </si>
  <si>
    <t>FOC-Bi thép Ø10x4mm Sesotec Minidisk 0.5</t>
  </si>
  <si>
    <t>710028308 | FOC-Bi thép Ø10x4mm Sesotec Minidisk 0.5</t>
  </si>
  <si>
    <t>710028309</t>
  </si>
  <si>
    <t>FOC-Bi thép Ø25 Sesotec Test ball</t>
  </si>
  <si>
    <t>710028309 | FOC-Bi thép Ø25 Sesotec Test ball</t>
  </si>
  <si>
    <t>710028310</t>
  </si>
  <si>
    <t>FOC-Bi thép Ø10x4mm Sesotec Minidisk 1.0</t>
  </si>
  <si>
    <t>710028310 | FOC-Bi thép Ø10x4mm Sesotec Minidisk 1.0</t>
  </si>
  <si>
    <t>710028311</t>
  </si>
  <si>
    <t>FOC-Bi thép Ø10x4mm Sesotec Minidisk 0.7</t>
  </si>
  <si>
    <t>710028311 | FOC-Bi thép Ø10x4mm Sesotec Minidisk 0.7</t>
  </si>
  <si>
    <t>710028312</t>
  </si>
  <si>
    <t>FOC-Bi thép Ø10x4 Sesotec Minidisk 0.5</t>
  </si>
  <si>
    <t>710028312 | FOC-Bi thép Ø10x4 Sesotec Minidisk 0.5</t>
  </si>
  <si>
    <t>110000394</t>
  </si>
  <si>
    <t>Hạt nhựa rPP15Gy02</t>
  </si>
  <si>
    <t>110000394 | rPP15Gy02</t>
  </si>
  <si>
    <t>NS25-HDFLAKE</t>
  </si>
  <si>
    <t>NS25-PPFLAKE</t>
  </si>
  <si>
    <t>NS25-PETFLAKE</t>
  </si>
  <si>
    <t>NS25-rHDI03B01</t>
  </si>
  <si>
    <t>110000497</t>
  </si>
  <si>
    <t>Hạt Nhựa rPET WSS01G-L</t>
  </si>
  <si>
    <t>110000497 | WSS01G-L</t>
  </si>
  <si>
    <t>0.78 ± 0.03</t>
  </si>
  <si>
    <t>160012335</t>
  </si>
  <si>
    <t>Phó Sản PET B1/B8 Vảy-Nắp</t>
  </si>
  <si>
    <t>160012335 | Phó Sản PET B1/B8 Vảy-Nắp</t>
  </si>
  <si>
    <t>GIAMGIA-rPET</t>
  </si>
  <si>
    <t>Giảm giá hàng bán rPET</t>
  </si>
  <si>
    <t>GIAMGIA-rPET | Giảm giá hàng bán rPET</t>
  </si>
  <si>
    <t>Giảm giá</t>
  </si>
  <si>
    <t>GIAMGIA-rHDPE thổi</t>
  </si>
  <si>
    <t>Giảm giá hàng bán rHDPE thổi</t>
  </si>
  <si>
    <t>GIAMGIA-rHDPE thổi | Giảm giá hàng bán rHDPE thổi</t>
  </si>
  <si>
    <t>GIAMGIA-rHDPE ép</t>
  </si>
  <si>
    <t>Giảm giá hàng bán rHDPE ép</t>
  </si>
  <si>
    <t>GIAMGIA-rHDPE ép | Giảm giá hàng bán rHDPE ép</t>
  </si>
  <si>
    <t>GIAMGIA-rPP</t>
  </si>
  <si>
    <t>Giảm giá hàng bán rPP</t>
  </si>
  <si>
    <t>GIAMGIA-rPP | Giảm giá hàng bán rPP</t>
  </si>
  <si>
    <t>GIAMGIA-TAITRO</t>
  </si>
  <si>
    <t>Giảm giá hàng bán tài trợ</t>
  </si>
  <si>
    <t>GIAMGIA-TAITRO | Giảm giá hàng bán tài trợ</t>
  </si>
  <si>
    <t>DANHGIAHTK</t>
  </si>
  <si>
    <t>Đánh giá lại giá trị hàng tồn kho</t>
  </si>
  <si>
    <t>DANHGIAHTK | Đánh giá lại giá trị hàng tồn kho</t>
  </si>
  <si>
    <t>140006092</t>
  </si>
  <si>
    <t>Bao jumbo đựng phế 300 CÁI</t>
  </si>
  <si>
    <t>140006092 | Bao jumbo đựng phế 300 CÁI</t>
  </si>
  <si>
    <t>110000330</t>
  </si>
  <si>
    <t>Hạt nhựa rPET iSS01</t>
  </si>
  <si>
    <t>110000330 | iSS01</t>
  </si>
  <si>
    <t>110000331</t>
  </si>
  <si>
    <t>Hạt nhựa rPET WSS02</t>
  </si>
  <si>
    <t>110000331 | WSS02</t>
  </si>
  <si>
    <t>110000335</t>
  </si>
  <si>
    <t>Hạt nhựa rPET WSS04</t>
  </si>
  <si>
    <t>110000335 | WSS04</t>
  </si>
  <si>
    <t>110000353</t>
  </si>
  <si>
    <t>Hạt nhựa rPET WSS01-Mixed</t>
  </si>
  <si>
    <t>110000353 | WSS01-Mixed</t>
  </si>
  <si>
    <t>110000368</t>
  </si>
  <si>
    <t>Hạt nhựa  rPP15L01</t>
  </si>
  <si>
    <t>110000368 | rPP15L01</t>
  </si>
  <si>
    <t>110000370</t>
  </si>
  <si>
    <t>Hạt nhựa rPP15Gy01</t>
  </si>
  <si>
    <t>110000370 | rPP15Gy01</t>
  </si>
  <si>
    <t>110000372</t>
  </si>
  <si>
    <t>Hạt nhựa rPP15Br01</t>
  </si>
  <si>
    <t>110000372 | rPP15Br01</t>
  </si>
  <si>
    <t>120003027</t>
  </si>
  <si>
    <t>Phụ gia lỏng TiO2 Gumi White 2</t>
  </si>
  <si>
    <t>120003027 | Phụ gia lỏng TiO2 Gumi White 2</t>
  </si>
  <si>
    <t>130000147</t>
  </si>
  <si>
    <t>Sắt tròn phi 21, dày 1,4 ly, 6m</t>
  </si>
  <si>
    <t>130000147 | Sắt tròn phi 21, dày 1,4 ly, 6m</t>
  </si>
  <si>
    <t>140006121</t>
  </si>
  <si>
    <t>Bạt cam xanh 8x30m</t>
  </si>
  <si>
    <t>140006121 | Bạt cam xanh 8x30m</t>
  </si>
  <si>
    <t>150000003</t>
  </si>
  <si>
    <t>Chai PET B1</t>
  </si>
  <si>
    <t>150000003 | Chai PET B1</t>
  </si>
  <si>
    <t>150000004</t>
  </si>
  <si>
    <t>Chai PET B2.1</t>
  </si>
  <si>
    <t>150000004 | Chai PET B2.1</t>
  </si>
  <si>
    <t>150000006</t>
  </si>
  <si>
    <t>Chai PET B0</t>
  </si>
  <si>
    <t>150000006 | Chai PET B0</t>
  </si>
  <si>
    <t>150000014</t>
  </si>
  <si>
    <t>Chai PET B4</t>
  </si>
  <si>
    <t>150000014 | Chai PET B4</t>
  </si>
  <si>
    <t>150000015</t>
  </si>
  <si>
    <t>Chai PET B5</t>
  </si>
  <si>
    <t>150000015 | Chai PET B5</t>
  </si>
  <si>
    <t>150000036</t>
  </si>
  <si>
    <t>Vảy HD Thổi Trong HV-01.2</t>
  </si>
  <si>
    <t>150000036 | Vảy HD Thổi Trong HV-01.2</t>
  </si>
  <si>
    <t>150000052</t>
  </si>
  <si>
    <t>Vảy PET B1_A5.2_R2</t>
  </si>
  <si>
    <t>150000052 | Vảy PET B1_A5.2_R2</t>
  </si>
  <si>
    <t>160006971</t>
  </si>
  <si>
    <t>Khay chữ nhật lớn xám(X143)</t>
  </si>
  <si>
    <t>160006971 | Khay chữ nhật lớn xám(X143)</t>
  </si>
  <si>
    <t>160009894</t>
  </si>
  <si>
    <t>Vảy PET B3_A1 DT</t>
  </si>
  <si>
    <t>160009894 | Vảy PET B3_A1 DT</t>
  </si>
  <si>
    <t>160009896</t>
  </si>
  <si>
    <t>Vảy PET B2.1_A1</t>
  </si>
  <si>
    <t>160009896 | Vảy PET B2.1_A1</t>
  </si>
  <si>
    <t>160009899</t>
  </si>
  <si>
    <t>Vảy HD Thổi Trắng Sữa HV-02.1</t>
  </si>
  <si>
    <t>160009899 | Vảy HD Thổi Trắng Sữa HV-02.1</t>
  </si>
  <si>
    <t>160009900</t>
  </si>
  <si>
    <t>Vảy HD Thổi Trắng Sữa HV-02.2</t>
  </si>
  <si>
    <t>160009900 | Vảy HD Thổi Trắng Sữa HV-02.2</t>
  </si>
  <si>
    <t>160012240</t>
  </si>
  <si>
    <t>Vảy PET B2 chưa rửa 1</t>
  </si>
  <si>
    <t>160012240 | Vảy PET B2 chưa rửa 1</t>
  </si>
  <si>
    <t>160012246</t>
  </si>
  <si>
    <t>Chai PET B3 Sau Phân Loại</t>
  </si>
  <si>
    <t>160012246 | Chai PET B3 Sau Phân Loại</t>
  </si>
  <si>
    <t>160012247</t>
  </si>
  <si>
    <t>Chai PET B6 Sau Phân Loại</t>
  </si>
  <si>
    <t>160012247 | Chai PET B6 Sau Phân Loại</t>
  </si>
  <si>
    <t>160012250</t>
  </si>
  <si>
    <t>Chai PET B8 Sau Phân Loại</t>
  </si>
  <si>
    <t>160012250 | Chai PET B8 Sau Phân Loại</t>
  </si>
  <si>
    <t>160012251</t>
  </si>
  <si>
    <t>Chai B4-SPL</t>
  </si>
  <si>
    <t>160012251 | Chai B4-SPL</t>
  </si>
  <si>
    <t>160012252</t>
  </si>
  <si>
    <t>Chai PET B5 Sau Phân Loại</t>
  </si>
  <si>
    <t>160012252 | Chai PET B5 Sau Phân Loại</t>
  </si>
  <si>
    <t>160012268</t>
  </si>
  <si>
    <t>Phó Sản PET Tomra Cổng 2</t>
  </si>
  <si>
    <t>160012268 | Phó Sản PET Tomra Cổng 2</t>
  </si>
  <si>
    <t>160012269</t>
  </si>
  <si>
    <t>Phó Sản PET Zigzag Quay đầu</t>
  </si>
  <si>
    <t>160012269 | Phó Sản PET Zigzag Quay đầu</t>
  </si>
  <si>
    <t>160012273</t>
  </si>
  <si>
    <t>Vảy PET B1 Mix B2</t>
  </si>
  <si>
    <t>160012273 | Vảy PET B1 Mix B2</t>
  </si>
  <si>
    <t>160012295</t>
  </si>
  <si>
    <t>Vảy PET B1_A3.RN</t>
  </si>
  <si>
    <t>160012295 | Vảy PET B1_A3.RN</t>
  </si>
  <si>
    <t>160012357</t>
  </si>
  <si>
    <t>Phó Sản PET Đầu Keo</t>
  </si>
  <si>
    <t>160012357 | Phó Sản PET Đầu Keo</t>
  </si>
  <si>
    <t>160012365</t>
  </si>
  <si>
    <t>Hạt nhựa rHDPE MBF01-B3</t>
  </si>
  <si>
    <t>160012365 | rHDPE MBF01-B3</t>
  </si>
  <si>
    <t>160012396</t>
  </si>
  <si>
    <t>Vảy PET B4_A3</t>
  </si>
  <si>
    <t>160012396 | Vảy PET B4_A3</t>
  </si>
  <si>
    <t>160012397</t>
  </si>
  <si>
    <t>Vảy PET B4_A3.RN</t>
  </si>
  <si>
    <t>160012397 | Vảy PET B4_A3.RN</t>
  </si>
  <si>
    <t>160012429</t>
  </si>
  <si>
    <t>Đầu Keo PET Sau Băm</t>
  </si>
  <si>
    <t>160012429 | Đầu Keo PET Sau Băm</t>
  </si>
  <si>
    <t>160012431</t>
  </si>
  <si>
    <t>Phó Sản PET Tuyển nổi 2</t>
  </si>
  <si>
    <t>160012431 | Phó Sản PET Tuyển nổi 2</t>
  </si>
  <si>
    <t>160012432</t>
  </si>
  <si>
    <t>Phó Sản HD Thổi Trắng Sữa Vảy L1</t>
  </si>
  <si>
    <t>160012432 | Phó Sản HD Thổi Trắng Sữa Vảy L1</t>
  </si>
  <si>
    <t>160012532</t>
  </si>
  <si>
    <t>Vảy PP Đỏ Nhạt PV-10.3</t>
  </si>
  <si>
    <t>160012532 | Vảy PP Đỏ Nhạt PV-10.3</t>
  </si>
  <si>
    <t>700000180</t>
  </si>
  <si>
    <t>Sodium Hydroxide (32%) NaOH</t>
  </si>
  <si>
    <t>700000180 | Sodium Hydroxide (32%) NaOH</t>
  </si>
  <si>
    <t>710002449</t>
  </si>
  <si>
    <t>MCB SCHNEIDER A9K24425, 4P 25A</t>
  </si>
  <si>
    <t>710002449 | MCB SCHNEIDER A9K24425, 4P 25A</t>
  </si>
  <si>
    <t>710013072</t>
  </si>
  <si>
    <t>MCCB SCHNEIDER LV432893,3P-630A 50KA</t>
  </si>
  <si>
    <t>710013072 | MCCB SCHNEIDER LV432893,3P-630A 50KA</t>
  </si>
  <si>
    <t>710021941</t>
  </si>
  <si>
    <t>Lưới Starliger 12 mesh, dk:176.3 mm</t>
  </si>
  <si>
    <t>710021941 | Lưới Starliger 12 mesh, dk:176.3 mm</t>
  </si>
  <si>
    <t>710021942</t>
  </si>
  <si>
    <t>Lưới Starliger 25 mesh, dk:176.3 mm</t>
  </si>
  <si>
    <t>710021942 | Lưới Starliger 25 mesh, dk:176.3 mm</t>
  </si>
  <si>
    <t>710022519</t>
  </si>
  <si>
    <t>Lưới tròn Inox 201-120Mesh 176.3 x 0.08</t>
  </si>
  <si>
    <t>710022519 | Lưới tròn Inox 201-120Mesh 176.3 x 0.08</t>
  </si>
  <si>
    <t>710022566</t>
  </si>
  <si>
    <t>Bóng đèn Halogen 1206-004323 - Tomra</t>
  </si>
  <si>
    <t>710022566 | Bóng đèn Halogen 1206-004323 - Tomra</t>
  </si>
  <si>
    <t>710022699</t>
  </si>
  <si>
    <t>Seal Starlinger 135x119x3.2 - SP100</t>
  </si>
  <si>
    <t>710022699 | Seal Starlinger 135x119x3.2 - SP100</t>
  </si>
  <si>
    <t>710022838</t>
  </si>
  <si>
    <t>Dây curo Mitsusumi B-149</t>
  </si>
  <si>
    <t>710022838 | Dây curo Mitsusumi B-149</t>
  </si>
  <si>
    <t>710023841</t>
  </si>
  <si>
    <t>Bộ taro tay SKC M22 x 2.5mm</t>
  </si>
  <si>
    <t>710023841 | Bộ taro tay SKC M22 x 2.5mm</t>
  </si>
  <si>
    <t>710023939</t>
  </si>
  <si>
    <t>Máy siết bulong GDS 18V-400 (BOSCH)</t>
  </si>
  <si>
    <t>710023939 | Máy siết bulong GDS 18V-400 (BOSCH)</t>
  </si>
  <si>
    <t>710024001</t>
  </si>
  <si>
    <t>SEALING RING 40x46,20x4,30</t>
  </si>
  <si>
    <t>710024001 | SEALING RING 40x46,20x4,30</t>
  </si>
  <si>
    <t>710024134</t>
  </si>
  <si>
    <t>Lọc bụi ERK  FILTER CARTIDGE</t>
  </si>
  <si>
    <t>710024134 | Lọc bụi ERK  FILTER CARTIDGE</t>
  </si>
  <si>
    <t>710024365</t>
  </si>
  <si>
    <t>ỐC GẦU BĂNG TẢI 8LY-4P</t>
  </si>
  <si>
    <t>710024365 | ỐC GẦU BĂNG TẢI 8LY-4P</t>
  </si>
  <si>
    <t>710024430</t>
  </si>
  <si>
    <t>Bánh xe Maxxis 1000R20 - UR279</t>
  </si>
  <si>
    <t>710024430 | Bánh xe Maxxis 1000R20 - UR279</t>
  </si>
  <si>
    <t>710024738</t>
  </si>
  <si>
    <t>ARDS-02518 MOTOR HỘP SỐ PDU</t>
  </si>
  <si>
    <t>710024738 | ARDS-02518 MOTOR HỘP SỐ PDU</t>
  </si>
  <si>
    <t>710024739</t>
  </si>
  <si>
    <t>Z3R-10666F BÁNH RĂNG PHỤ PDU</t>
  </si>
  <si>
    <t>710024739 | Z3R-10666F BÁNH RĂNG PHỤ PDU</t>
  </si>
  <si>
    <t>710024740</t>
  </si>
  <si>
    <t>ALRK-01436 VÒNG BI, BÁNH RĂNG CHÍNH PDU</t>
  </si>
  <si>
    <t>710024740 | ALRK-01436 VÒNG BI, BÁNH RĂNG CHÍNH PDU</t>
  </si>
  <si>
    <t>710024792</t>
  </si>
  <si>
    <t>Pin Milwaukee 18V/5.0Ah</t>
  </si>
  <si>
    <t>710024792 | Pin Milwaukee 18V/5.0Ah</t>
  </si>
  <si>
    <t>710025330</t>
  </si>
  <si>
    <t>Bơm chân không AA-00016 RA 0305D</t>
  </si>
  <si>
    <t>710025330 | Bơm chân không AA-00016 RA 0305D</t>
  </si>
  <si>
    <t>710025331</t>
  </si>
  <si>
    <t>Block thổi khí KAESER AA-00036</t>
  </si>
  <si>
    <t>710025331 | Block thổi khí KAESER AA-00036</t>
  </si>
  <si>
    <t>710025462</t>
  </si>
  <si>
    <t>Modem NGR, Vacon 20, ENC-SLOT-MC03-13</t>
  </si>
  <si>
    <t>710025462 | Modem NGR, Vacon 20, ENC-SLOT-MC03-13</t>
  </si>
  <si>
    <t>710026381</t>
  </si>
  <si>
    <t>Sơn Phủ KCC UT6581-7016 Ral (16L)</t>
  </si>
  <si>
    <t>710026381 | Sơn Phủ KCC UT6581-7016 Ral (16L)</t>
  </si>
  <si>
    <t>710027058</t>
  </si>
  <si>
    <t>Sơn KCC UT6581-RAL7035 (16L)</t>
  </si>
  <si>
    <t>710027058 | Sơn KCC UT6581-RAL7035 (16L)</t>
  </si>
  <si>
    <t>710027191</t>
  </si>
  <si>
    <t>Inox tấm gân 304 KT 1000x2000x3mm</t>
  </si>
  <si>
    <t>710027191 | Inox tấm gân 304 KT 1000x2000x3mm</t>
  </si>
  <si>
    <t>710027420</t>
  </si>
  <si>
    <t>FOC-Bộ trao đổi nhiệt Piovan AZRE-03594</t>
  </si>
  <si>
    <t>710027420 | FOC-Bộ trao đổi nhiệt Piovan AZRE-03594</t>
  </si>
  <si>
    <t>720000088</t>
  </si>
  <si>
    <t>Kẹp bướm 2P</t>
  </si>
  <si>
    <t>720000088 | Kẹp bướm 2P</t>
  </si>
  <si>
    <t>720000694</t>
  </si>
  <si>
    <t>Giày da bảo vệ</t>
  </si>
  <si>
    <t>720000694 | Giày da bảo vệ</t>
  </si>
  <si>
    <t>720000841</t>
  </si>
  <si>
    <t>Bạt cam xanh 8x15m</t>
  </si>
  <si>
    <t>720000841 | Bạt cam xanh 8x15m</t>
  </si>
  <si>
    <t>720000843</t>
  </si>
  <si>
    <t>Can chữ nhật 30lít-Nắp đỏ</t>
  </si>
  <si>
    <t>720000843 | Can chữ nhật 30lít-Nắp đỏ</t>
  </si>
  <si>
    <t>720000869</t>
  </si>
  <si>
    <t>Kéo trợ lực licota</t>
  </si>
  <si>
    <t>720000869 | Kéo trợ lực licota</t>
  </si>
  <si>
    <t>720000879</t>
  </si>
  <si>
    <t>No.214 - Thùng Vuông 140</t>
  </si>
  <si>
    <t>720000879 | No.214 - Thùng Vuông 140</t>
  </si>
  <si>
    <t>VATKKT</t>
  </si>
  <si>
    <t>VAT không khấu trừ</t>
  </si>
  <si>
    <t>VATKKT | VAT không khấu trừ</t>
  </si>
  <si>
    <t>BUICAM-BUISANRUNG</t>
  </si>
  <si>
    <t>Bụi cám, bụi sàn rung</t>
  </si>
  <si>
    <t>DAUKEO</t>
  </si>
  <si>
    <t>Đầu Keo</t>
  </si>
  <si>
    <t>OLEFIN</t>
  </si>
  <si>
    <t>Olefin (Nắp, HDPE…)</t>
  </si>
  <si>
    <t>PHANTICHMAU</t>
  </si>
  <si>
    <t>Dịch vụ phân tích mẫu</t>
  </si>
  <si>
    <t>TRICHTHUONG</t>
  </si>
  <si>
    <t>Trích thưởng</t>
  </si>
  <si>
    <t>CHIPHIIO</t>
  </si>
  <si>
    <t>Điều chỉnh chi phí vào dự án IO</t>
  </si>
  <si>
    <t>110000348</t>
  </si>
  <si>
    <t>110000348 | Hạt nhựa rHDPE thử nghiệm</t>
  </si>
  <si>
    <t>110000466</t>
  </si>
  <si>
    <t>Hạt Nhựa rPET WSS05SB-2</t>
  </si>
  <si>
    <t>110000466 | WSS05SB-2</t>
  </si>
  <si>
    <t>110000495</t>
  </si>
  <si>
    <t>Hạt Nhựa rHDA03W01</t>
  </si>
  <si>
    <t>110000495 | rHDA03W01</t>
  </si>
  <si>
    <t>140005073</t>
  </si>
  <si>
    <t>Bao HD Thổi</t>
  </si>
  <si>
    <t>140005073 | Bao HD Thổi</t>
  </si>
  <si>
    <t>140006086</t>
  </si>
  <si>
    <t>Pallet gỗ 1100x1016x130 ±2 mm</t>
  </si>
  <si>
    <t>140006086 | Pallet gỗ 1100x1016x130 ±2 mm</t>
  </si>
  <si>
    <t>140006095</t>
  </si>
  <si>
    <t>Vải cotton trắng</t>
  </si>
  <si>
    <t>140006095 | Vải cotton trắng</t>
  </si>
  <si>
    <t>140006097</t>
  </si>
  <si>
    <t>Thùng carton cũ</t>
  </si>
  <si>
    <t>140006097 | Thùng carton cũ</t>
  </si>
  <si>
    <t>140006098</t>
  </si>
  <si>
    <t>Pallet cũ 2 mặt 1100 x 1300 mm</t>
  </si>
  <si>
    <t>140006098 | Pallet cũ 2 mặt 1100 x 1300 mm</t>
  </si>
  <si>
    <t>150000072</t>
  </si>
  <si>
    <t>Nắp HD Ép Các Màu HDE-06</t>
  </si>
  <si>
    <t>150000072 | Nắp HD Ép Các Màu HDE-06</t>
  </si>
  <si>
    <t>Nắp HD ép</t>
  </si>
  <si>
    <t>150000186</t>
  </si>
  <si>
    <t>Vảy PP Trắng Sữa PV-02_TM</t>
  </si>
  <si>
    <t>150000186 | Vảy PP Trắng Sữa PV-02_TM</t>
  </si>
  <si>
    <t>160012776</t>
  </si>
  <si>
    <t>Phó Sản HD Ép Olefin Meyer</t>
  </si>
  <si>
    <t>160012776 | Phó Sản HD Ép Olefin Meyer</t>
  </si>
  <si>
    <t>160012902</t>
  </si>
  <si>
    <t>Vảy PP Trắng Sữa PV-02_TM Trả NCC</t>
  </si>
  <si>
    <t>160012902 | Vảy PP Trắng Sữa PV-02_TM Trả NCC</t>
  </si>
  <si>
    <t>700000276</t>
  </si>
  <si>
    <t>Màu nước StabiPlus 00485, Repi</t>
  </si>
  <si>
    <t>700000276 | Màu nước StabiPlus 00485, Repi</t>
  </si>
  <si>
    <t>710022115</t>
  </si>
  <si>
    <t>Dao cắt Starliger AZZK-00476</t>
  </si>
  <si>
    <t>710022115 | Dao cắt Starliger AZZK-00476</t>
  </si>
  <si>
    <t>710023092</t>
  </si>
  <si>
    <t>Ống điện PVC Ø25</t>
  </si>
  <si>
    <t>710023092 | Ống điện PVC Ø25</t>
  </si>
  <si>
    <t>710023249</t>
  </si>
  <si>
    <t>Dao cắt hạt, 16.25x0.8mm, PolyStar</t>
  </si>
  <si>
    <t>710023249 | Dao cắt hạt, 16.25x0.8mm, PolyStar</t>
  </si>
  <si>
    <t>710024129</t>
  </si>
  <si>
    <t>LỌC AZRE- 01840 PAPER FITER D40X80</t>
  </si>
  <si>
    <t>710024129 | LỌC AZRE- 01840 PAPER FITER D40X80</t>
  </si>
  <si>
    <t>710024130</t>
  </si>
  <si>
    <t>LỌC AZRE-03661 PAPER FILTER D234 X 410</t>
  </si>
  <si>
    <t>710024130 | LỌC AZRE-03661 PAPER FILTER D234 X 410</t>
  </si>
  <si>
    <t>710024132</t>
  </si>
  <si>
    <t>LỌC AZRE-02905 FITER VANCUUM PUMP 30my</t>
  </si>
  <si>
    <t>710024132 | LỌC AZRE-02905 FITER VANCUUM PUMP 30my</t>
  </si>
  <si>
    <t>710024133</t>
  </si>
  <si>
    <t>LỌC AZRE-01382 FITERELEMENT 30my</t>
  </si>
  <si>
    <t>710024133 | LỌC AZRE-01382 FITERELEMENT 30my</t>
  </si>
  <si>
    <t>710027621</t>
  </si>
  <si>
    <t>Khuôn Starliger AZZK-00216 (Đại Tu)</t>
  </si>
  <si>
    <t>710027621 | Khuôn Starliger AZZK-00216 (Đại Tu)</t>
  </si>
  <si>
    <t>710028265</t>
  </si>
  <si>
    <t>Gối đỡ Koyo UKFC218</t>
  </si>
  <si>
    <t>710028265 | Gối đỡ Koyo UKFC218</t>
  </si>
  <si>
    <t>710028343</t>
  </si>
  <si>
    <t>FOC-Lưới inox STG D250, 50x250 mesh, 50m</t>
  </si>
  <si>
    <t>710028343 | FOC-Lưới inox STG D250, 50x250 mesh, 50m</t>
  </si>
  <si>
    <t>710028344</t>
  </si>
  <si>
    <t>FOC-Lưới inox STG D250, 25 mesh</t>
  </si>
  <si>
    <t>710028344 | FOC-Lưới inox STG D250, 25 mesh</t>
  </si>
  <si>
    <t>710028345</t>
  </si>
  <si>
    <t>FOC-Lưới inox STG D250, 12 mesh</t>
  </si>
  <si>
    <t>710028345 | FOC-Lưới inox STG D250, 12 mesh</t>
  </si>
  <si>
    <t>720000775</t>
  </si>
  <si>
    <t>Thân bình nước 5 gallons (494,486)</t>
  </si>
  <si>
    <t>720000775 | Thân bình nước 5 gallons (494,486)</t>
  </si>
  <si>
    <t>Dịch vụ gia công</t>
  </si>
  <si>
    <t>DIEUCHINH-GVHB</t>
  </si>
  <si>
    <t>Điều chỉnh GVHB</t>
  </si>
  <si>
    <t>110000356</t>
  </si>
  <si>
    <t>Hạt nhựa rPET WSS01G-hủy</t>
  </si>
  <si>
    <t>110000356 | WSS01G</t>
  </si>
  <si>
    <t>110000357</t>
  </si>
  <si>
    <t>Hạt nhựa rPET iSS01G</t>
  </si>
  <si>
    <t>110000357 | iSS01G</t>
  </si>
  <si>
    <t>700000171</t>
  </si>
  <si>
    <t>Nước cất 2 lần</t>
  </si>
  <si>
    <t>700000171 | Nước cất 2 lần</t>
  </si>
  <si>
    <t>710009120</t>
  </si>
  <si>
    <t>Bu lông 16x70 + tán + lông đền</t>
  </si>
  <si>
    <t>710009120 | Bu lông 16x70 + tán + lông đền</t>
  </si>
  <si>
    <t>710021940</t>
  </si>
  <si>
    <t>Lưới Starliger 50x250 mesh, dk:176.3 m</t>
  </si>
  <si>
    <t>710021940 | Lưới Starliger 50x250 mesh, dk:176.3 m</t>
  </si>
  <si>
    <t>710023400</t>
  </si>
  <si>
    <t>Nệp tủ điện 65x65</t>
  </si>
  <si>
    <t>710023400 | Nệp tủ điện 65x65</t>
  </si>
  <si>
    <t>710023412</t>
  </si>
  <si>
    <t>Dây điện mềm 50 mm2 lion</t>
  </si>
  <si>
    <t>710023412 | Dây điện mềm 50 mm2 lion</t>
  </si>
  <si>
    <t>CUTOFF-rPET</t>
  </si>
  <si>
    <t>Cut-off ngành rPET</t>
  </si>
  <si>
    <t>CUTOFF-rHDPE thổi</t>
  </si>
  <si>
    <t>Cut-off ngành rHDPE thổi</t>
  </si>
  <si>
    <t>CUTOFF-rHDPE ép</t>
  </si>
  <si>
    <t>Cut-off ngành rHDPE ép</t>
  </si>
  <si>
    <t>CUTOFF-rPP</t>
  </si>
  <si>
    <t>Cut-off ngành rPP</t>
  </si>
  <si>
    <t>110000442</t>
  </si>
  <si>
    <t>Hạt Nhựa HD Ép Thử Nghiệm</t>
  </si>
  <si>
    <t>110000442 | Hạt Nhựa HD Ép Thử Nghiệm</t>
  </si>
  <si>
    <t>110000496</t>
  </si>
  <si>
    <t>Hạt Nhựa rHDI7DL02</t>
  </si>
  <si>
    <t>110000496 | rHDI7DL02</t>
  </si>
  <si>
    <t>710024131</t>
  </si>
  <si>
    <t>LỌC AZRE- 01786 METAL FILTER 308 X 530</t>
  </si>
  <si>
    <t>710024131 | LỌC AZRE- 01786 METAL FILTER 308 X 530</t>
  </si>
  <si>
    <t>710028065</t>
  </si>
  <si>
    <t>Nam châm điện máy mài BRT 169x185x2000</t>
  </si>
  <si>
    <t>710028065 | Nam châm điện máy mài BRT 169x185x2000</t>
  </si>
  <si>
    <t>800006226</t>
  </si>
  <si>
    <t>Nhãn, PVC, OPP…</t>
  </si>
  <si>
    <t>800006226 | Nhãn, PVC, OPP…</t>
  </si>
  <si>
    <t>110000499</t>
  </si>
  <si>
    <t>Hạt Nhựa rPET WSS01L</t>
  </si>
  <si>
    <t>110000499 | WSS01L</t>
  </si>
  <si>
    <t>150000189</t>
  </si>
  <si>
    <t>Vảy PET B1_A5.2_R1</t>
  </si>
  <si>
    <t>150000189 | Vảy PET B1_A5.2_R1</t>
  </si>
  <si>
    <t>160012276</t>
  </si>
  <si>
    <t>Vảy HD ép Dương Nhạt </t>
  </si>
  <si>
    <t>160012276 | Vảy HD ép Dương Nhạt</t>
  </si>
  <si>
    <t>160012552</t>
  </si>
  <si>
    <t>Vảy PP Trắng Sữa PV-02.3</t>
  </si>
  <si>
    <t>160012552 | Vảy PP Trắng Sữa PV-02.3</t>
  </si>
  <si>
    <t>160012666</t>
  </si>
  <si>
    <t>Phó Sản HD Thổi Trong Đầu Keo SB</t>
  </si>
  <si>
    <t>160012666 | Phó Sản HD Thổi Trong Đầu Keo SB</t>
  </si>
  <si>
    <t>160012683</t>
  </si>
  <si>
    <t>Vảy PET B2.2_A1</t>
  </si>
  <si>
    <t>160012683 | Vảy PET B2.2_A1</t>
  </si>
  <si>
    <t>160012684</t>
  </si>
  <si>
    <t>Vảy PET B2.2_A2</t>
  </si>
  <si>
    <t>160012684 | Vảy PET B2.2_A2</t>
  </si>
  <si>
    <t>710028797</t>
  </si>
  <si>
    <t>FOC-Bi thép Boretech Ø10mm kiểm tra KL</t>
  </si>
  <si>
    <t>710028797 | FOC-Bi thép Boretech Ø10mm kiểm tra KL</t>
  </si>
  <si>
    <t>710028845</t>
  </si>
  <si>
    <t>FOC-Bộ điều khiển máy nạp màu Repi SN841</t>
  </si>
  <si>
    <t>710028845 | FOC-Bộ điều khiển máy nạp màu Repi SN841</t>
  </si>
  <si>
    <t>710028846</t>
  </si>
  <si>
    <t>FOC-Bơm định lượng Repi 0.06cc RT95</t>
  </si>
  <si>
    <t>710028846 | FOC-Bơm định lượng Repi 0.06cc RT95</t>
  </si>
  <si>
    <t>710028847</t>
  </si>
  <si>
    <t>FOC-Khung đỡ sắt cho máy nạp màu Repo</t>
  </si>
  <si>
    <t>710028847 | FOC-Khung đỡ sắt cho máy nạp màu Repo</t>
  </si>
  <si>
    <t>REBATE</t>
  </si>
  <si>
    <t>710028889</t>
  </si>
  <si>
    <t>Lưới Inox304 ô vuông 30mm, 1000x2000x3mm</t>
  </si>
  <si>
    <t>710028889 | Lưới Inox304 ô vuông 30mm, 1000x2000x3mm</t>
  </si>
  <si>
    <t>110000502</t>
  </si>
  <si>
    <t>Hạt Nhựa rLDB2N01</t>
  </si>
  <si>
    <t>110000502 | rLDB2N01</t>
  </si>
  <si>
    <t>160012744</t>
  </si>
  <si>
    <t>Vảy HD Ép Dương Đậm Tiger</t>
  </si>
  <si>
    <t>160012744 | Vảy HD Ép Dương Đậm Tiger</t>
  </si>
  <si>
    <t>Vảy PP</t>
  </si>
  <si>
    <t>160012745</t>
  </si>
  <si>
    <t>Vảy HD Ép Dương Nhạt Pallet</t>
  </si>
  <si>
    <t>160012745 | Vảy HD Ép Dương Nhạt Pallet</t>
  </si>
  <si>
    <t>160012746</t>
  </si>
  <si>
    <t>Vảy HD Ép Dương Nhạt Két Pepsi</t>
  </si>
  <si>
    <t>160012746 | Vảy HD Ép Dương Nhạt Két Pepsi</t>
  </si>
  <si>
    <t>710024889</t>
  </si>
  <si>
    <t>Bạc đạn Koyo 32007</t>
  </si>
  <si>
    <t>710024889 | Bạc đạn Koyo 32007</t>
  </si>
  <si>
    <t>710028503</t>
  </si>
  <si>
    <t>Tấm inox 304 dày 1040x1040x1.5mm</t>
  </si>
  <si>
    <t>710028503 | Tấm inox 304 dày 1040x1040x1.5mm</t>
  </si>
  <si>
    <t>110000352</t>
  </si>
  <si>
    <t>110000352 | iSS01G</t>
  </si>
  <si>
    <t>110000468</t>
  </si>
  <si>
    <t>Hạt Nhựa rPET iSS80G-P</t>
  </si>
  <si>
    <t>110000352 | iSS80G-P</t>
  </si>
  <si>
    <t>DIEUCHINH-CPHT</t>
  </si>
  <si>
    <t>Điều chỉnh chi phí hỗ trợ khách hàng</t>
  </si>
  <si>
    <t>Hạt Nhựa rPET iSS01G-S</t>
  </si>
  <si>
    <t>110000483 | iSS01G-S</t>
  </si>
  <si>
    <t>110000505</t>
  </si>
  <si>
    <t>Vảy PET</t>
  </si>
  <si>
    <t>110000505 | Vảy PET</t>
  </si>
  <si>
    <t>130000152</t>
  </si>
  <si>
    <t>Sắt vuông 30mm, dày 1,4mm</t>
  </si>
  <si>
    <t>130000152 | Sắt vuông 30mm, dày 1,4mm</t>
  </si>
  <si>
    <t>160012237</t>
  </si>
  <si>
    <t>Vảy HD Thổi Vàng Đậm HV-04.1</t>
  </si>
  <si>
    <t>160012237 | Vảy HD Thổi Vàng Đậm HV-04.1</t>
  </si>
  <si>
    <t>160012272</t>
  </si>
  <si>
    <t>Phó sản vảy HDPE trong to</t>
  </si>
  <si>
    <t>160012272 | Phó sản vảy HDPE trong to</t>
  </si>
  <si>
    <t>160012279</t>
  </si>
  <si>
    <t>Vảy hỗn hợp Vàng-Lá-Đồng</t>
  </si>
  <si>
    <t>160012279 | Vảy hỗn hợp Vàng-Lá-Đồng</t>
  </si>
  <si>
    <t>160012315</t>
  </si>
  <si>
    <t>Vảy PP Dương_ Loại 1</t>
  </si>
  <si>
    <t>160012315 | Vảy PP Dương_ Loại 1</t>
  </si>
  <si>
    <t>160012328</t>
  </si>
  <si>
    <t>Vảy PP Cam _ Loại 3</t>
  </si>
  <si>
    <t>160012328 | Vảy PP Cam _ Loại 3</t>
  </si>
  <si>
    <t>160012331</t>
  </si>
  <si>
    <t>Vảy PP Lá_ Loại 3</t>
  </si>
  <si>
    <t>160012331 | Vảy PP Lá_ Loại 3</t>
  </si>
  <si>
    <t>160012530</t>
  </si>
  <si>
    <t>Vảy PP Đỏ Nhạt L1 PP-06.1</t>
  </si>
  <si>
    <t>160012530 | Vảy PP Đỏ Nhạt L1 PP-06.1</t>
  </si>
  <si>
    <t>160012531</t>
  </si>
  <si>
    <t>Vảy PP Đỏ Đậm L1 PP-06.2</t>
  </si>
  <si>
    <t>160012531 | Vảy PP Đỏ Đậm L1 PP-06.2</t>
  </si>
  <si>
    <t>160012535</t>
  </si>
  <si>
    <t>Vảy PP Dương Nhạt L1 PP-05.1</t>
  </si>
  <si>
    <t>160012535 | Vảy PP Dương Nhạt L1 PP-05.1</t>
  </si>
  <si>
    <t>160012564</t>
  </si>
  <si>
    <t>Vảy PP Trong Hỗn Hợp PV-01.4</t>
  </si>
  <si>
    <t>160012564 | Vảy PP Trong Hỗn Hợp PV-01.4</t>
  </si>
  <si>
    <t>160012565</t>
  </si>
  <si>
    <t>Phó Sản PP Đỏ Vảy Chìm</t>
  </si>
  <si>
    <t>160012565 | Phó Sản PP Đỏ Vảy Chìm</t>
  </si>
  <si>
    <t>160012579</t>
  </si>
  <si>
    <t>Vảy rPP20B01 Mix</t>
  </si>
  <si>
    <t>160012579 | Vảy rPP20B01 Mix</t>
  </si>
  <si>
    <t>160012619</t>
  </si>
  <si>
    <t>Vảy HD Thổi Trong HD-01 CR</t>
  </si>
  <si>
    <t>160012619 | Vảy HD Thổi Trong HD-01 CR</t>
  </si>
  <si>
    <t>160012622</t>
  </si>
  <si>
    <t>Vảy HD Thổi Vàng Đậm HD-04 CR</t>
  </si>
  <si>
    <t>160012622 | Vảy HD Thổi Vàng Đậm HD-04 CR</t>
  </si>
  <si>
    <t>160012664</t>
  </si>
  <si>
    <t>Phó Sản HD Thổi Lá Zigzag</t>
  </si>
  <si>
    <t>160012664 | Phó Sản HD Thổi Lá Zigzag</t>
  </si>
  <si>
    <t>160012665</t>
  </si>
  <si>
    <t>Phó Sản HD Thổi Lá Chìm</t>
  </si>
  <si>
    <t>160012665 | Phó Sản HD Thổi Lá Chìm</t>
  </si>
  <si>
    <t>160012670</t>
  </si>
  <si>
    <t>Nắp HD Ép Các Màu HDE-06 Sau Lựa</t>
  </si>
  <si>
    <t>160012670 | Nắp HD Ép Các Màu HDE-06 Sau Lựa</t>
  </si>
  <si>
    <t>710023296</t>
  </si>
  <si>
    <t>Lưới inox 304- 12 mesh, dk:176.3 x 0.8</t>
  </si>
  <si>
    <t>710023296 | Lưới inox 304- 12 mesh, dk:176.3 x 0.8</t>
  </si>
  <si>
    <t>710024265</t>
  </si>
  <si>
    <t>200mm Thước cặp cơ Sata 91-502 (91502)</t>
  </si>
  <si>
    <t>710024265 | 200mm Thước cặp cơ Sata 91-502 (91502)</t>
  </si>
  <si>
    <t>710028578</t>
  </si>
  <si>
    <t>Khuôn Star330 Mag10601012 SP140 (Đại tu)</t>
  </si>
  <si>
    <t>710028578 | Khuôn Star330 Mag10601012 SP140 (Đại tu)</t>
  </si>
  <si>
    <t>710029392</t>
  </si>
  <si>
    <t>Thanh la sắt 40x3mm (3m/cây)</t>
  </si>
  <si>
    <t>710029392 | Thanh la sắt 40x3mm (3m/cây)</t>
  </si>
  <si>
    <t>710029509</t>
  </si>
  <si>
    <t>FOC-Trục vít nạp liệu Star AZRE-04395</t>
  </si>
  <si>
    <t>710029509 | FOC-Trục vít nạp liệu Star AZRE-04395</t>
  </si>
  <si>
    <t>110000427</t>
  </si>
  <si>
    <t>Hạt Nhựa HCBF-Gre-U</t>
  </si>
  <si>
    <t>110000427 | HCBF-Gre-U</t>
  </si>
  <si>
    <t>110000503</t>
  </si>
  <si>
    <t>Hạt Nhựa rPET WSS01S</t>
  </si>
  <si>
    <t>110000503 | WSS01S</t>
  </si>
  <si>
    <t>120003033</t>
  </si>
  <si>
    <t>Phụ gia Anti Yellow CC10379752ZF, Avient</t>
  </si>
  <si>
    <t>120003033 | Phụ gia Anti Yellow CC10379752ZF, Avient</t>
  </si>
  <si>
    <t>160012264</t>
  </si>
  <si>
    <t>Vảy HDPE HV-01_GCDL</t>
  </si>
  <si>
    <t>160012264 | Vảy HDPE HV-01_GCDL</t>
  </si>
  <si>
    <t>160012409</t>
  </si>
  <si>
    <t>Vảy PET B3_A5.2_A1</t>
  </si>
  <si>
    <t>160012409 | Vảy PET B3_A5.2_A1</t>
  </si>
  <si>
    <t>160012533</t>
  </si>
  <si>
    <t>Vảy PP Đỏ Đậm PV-11.3</t>
  </si>
  <si>
    <t>160012533 | Vảy PP Đỏ Đậm PV-11.3</t>
  </si>
  <si>
    <t>160012558</t>
  </si>
  <si>
    <t>Vảy PP Lá Đậm PV-06.3</t>
  </si>
  <si>
    <t>160012558 | Vảy PP Lá Đậm PV-06.3</t>
  </si>
  <si>
    <t>160012562</t>
  </si>
  <si>
    <t>Vảy PP Trong PV-01.3</t>
  </si>
  <si>
    <t>160012562 | Vảy PP Trong PV-01.3</t>
  </si>
  <si>
    <t>Phó Sản HD Ép Hỗn Hợp Cuối ST</t>
  </si>
  <si>
    <t>160012611 | Phó Sản HD Ép Hỗn Hợp Cuối ST</t>
  </si>
  <si>
    <t>160012706</t>
  </si>
  <si>
    <t>Vảy HD Thổi Trong HV-01.1-TM</t>
  </si>
  <si>
    <t>160012706 | Vảy HD Thổi Trong HV-01.1-TM</t>
  </si>
  <si>
    <t>160012707</t>
  </si>
  <si>
    <t>160012707 | Vảy HD Thổi Trong HV-01.2</t>
  </si>
  <si>
    <t>160012828</t>
  </si>
  <si>
    <t>Phó Sản PP Trắng Đầu Keo SB</t>
  </si>
  <si>
    <t>160012828 | Phó Sản PP Trắng Đầu Keo SB</t>
  </si>
  <si>
    <t>160012912</t>
  </si>
  <si>
    <t>Vảy HD Ép Dương Tách Màu Trả NCC</t>
  </si>
  <si>
    <t>160012912 | Vảy HD Ép Dương Tách Màu Trả NCC</t>
  </si>
  <si>
    <t>710028100</t>
  </si>
  <si>
    <t>Dao cắt Star AZZK-00476, MAAG 10609111</t>
  </si>
  <si>
    <t>710028100 | Dao cắt Star AZZK-00476, MAAG 10609111</t>
  </si>
  <si>
    <t>710029118</t>
  </si>
  <si>
    <t>Phốt U Cup NBR bơm Chourong 1.5 vị trí 3</t>
  </si>
  <si>
    <t>710029118 | Phốt U Cup NBR bơm Chourong 1.5 vị trí 3</t>
  </si>
  <si>
    <t>710029119</t>
  </si>
  <si>
    <t>Phốt U Cup NBR bơm Chourong 2.0 vị trí 3</t>
  </si>
  <si>
    <t>710029119 | Phốt U Cup NBR bơm Chourong 2.0 vị trí 3</t>
  </si>
  <si>
    <t>710029120</t>
  </si>
  <si>
    <t>Giảm chấn NBR bơm Chourong 1.5 vị trí 36</t>
  </si>
  <si>
    <t>710029120 | Giảm chấn NBR bơm Chourong 1.5 vị trí 36</t>
  </si>
  <si>
    <t>710029121</t>
  </si>
  <si>
    <t>Giảm chấn NBR bơm Chourong 2.0 vị trí 36</t>
  </si>
  <si>
    <t>710029121 | Giảm chấn NBR bơm Chourong 2.0 vị trí 36</t>
  </si>
  <si>
    <t>710029122</t>
  </si>
  <si>
    <t>Buồng khí ALU bơm Chourong 1.5 vị trí 37</t>
  </si>
  <si>
    <t>710029122 | Buồng khí ALU bơm Chourong 1.5 vị trí 37</t>
  </si>
  <si>
    <t>710029123</t>
  </si>
  <si>
    <t>Mặt bích bơm Chourong 1.5 vị trí 41</t>
  </si>
  <si>
    <t>710029123 | Mặt bích bơm Chourong 1.5 vị trí 41</t>
  </si>
  <si>
    <t>710029124</t>
  </si>
  <si>
    <t>Giảm thanh bơm Chourong 1.5 vị trí 52</t>
  </si>
  <si>
    <t>710029124 | Giảm thanh bơm Chourong 1.5 vị trí 52</t>
  </si>
  <si>
    <t>710029125</t>
  </si>
  <si>
    <t>Giảm thanh bơm Chourong 2.0 vị trí 52</t>
  </si>
  <si>
    <t>710029125 | Giảm thanh bơm Chourong 2.0 vị trí 52</t>
  </si>
  <si>
    <t>7200014960</t>
  </si>
  <si>
    <t>Chân sắt vuông 30x1.4mm cao 1800mm</t>
  </si>
  <si>
    <t>7200014960 | Chân sắt vuông 30x1.4mm cao 1800mm</t>
  </si>
  <si>
    <t>110000506</t>
  </si>
  <si>
    <t>Hạt Nhựa rPET WSS01 &amp; WSS01G-L</t>
  </si>
  <si>
    <t>110000506 | WSS01 &amp; WSS01G-L</t>
  </si>
  <si>
    <t>Phó Sản HD Ép Hỗn Hợp Cuối SSR</t>
  </si>
  <si>
    <t>160012951 | Phó Sản HD Ép Hỗn Hợp Cuối SSR</t>
  </si>
  <si>
    <t>160012311</t>
  </si>
  <si>
    <t>Phó Sản PET Zigzag</t>
  </si>
  <si>
    <t>160012311 | Phó Sản PET Zigzag</t>
  </si>
  <si>
    <t>160012720</t>
  </si>
  <si>
    <t>Vảy LDPE Ép Dương Đậm</t>
  </si>
  <si>
    <t>160012720 | Vảy LDPE Ép Dương Đậm</t>
  </si>
  <si>
    <t>Vảy rLDPE</t>
  </si>
  <si>
    <t>160012917</t>
  </si>
  <si>
    <t>Vảy PET B6.2 Nạp Star</t>
  </si>
  <si>
    <t>160012917 | Vảy PET B6.2 Nạp Star</t>
  </si>
  <si>
    <t>710022522</t>
  </si>
  <si>
    <t>Lưới Inox 201-120Mesh 140x400mm-sợi 0.08</t>
  </si>
  <si>
    <t>710022522 | Lưới Inox 201-120Mesh 140x400mm-sợi 0.08</t>
  </si>
  <si>
    <t>710022973</t>
  </si>
  <si>
    <t>Dao HDPE, NGR, 0,9mm/17°</t>
  </si>
  <si>
    <t>710022973 | Dao HDPE, NGR, 0,9mm/17°</t>
  </si>
  <si>
    <t>710024968</t>
  </si>
  <si>
    <t>Lưới inox tròn Dk:170mm, 80 mesh,0.12</t>
  </si>
  <si>
    <t>710024968 | Lưới inox tròn Dk:170mm, 80 mesh,0.12</t>
  </si>
  <si>
    <t>710028019</t>
  </si>
  <si>
    <t>Bo đ.khiển tủ Boretech 044KWP2W0722A0</t>
  </si>
  <si>
    <t>710028019 | Bo đ.khiển tủ Boretech 044KWP2W0722A0</t>
  </si>
  <si>
    <t>710029690</t>
  </si>
  <si>
    <t>Khuôn Maxwell SP100 36x3.4 (Star01, 02)</t>
  </si>
  <si>
    <t>710029690 | Khuôn Maxwell SP100 36x3.4 (Star01, 02)</t>
  </si>
  <si>
    <t>160012837</t>
  </si>
  <si>
    <t>Vảy HD Thổi Trong HV-01.1-TM GC</t>
  </si>
  <si>
    <t>160012837 | Vảy HD Thổi Trong HV-01.1-TM GC</t>
  </si>
  <si>
    <t>110000508</t>
  </si>
  <si>
    <t>Hạt Nhựa rPP20W02</t>
  </si>
  <si>
    <t>110000508 | rPP20W02</t>
  </si>
  <si>
    <t>140006096</t>
  </si>
  <si>
    <t>Tấm lót carton 3L 1105x1050</t>
  </si>
  <si>
    <t>140006096 | Tấm lót carton 3L 1105x1050</t>
  </si>
  <si>
    <t>150000008</t>
  </si>
  <si>
    <t>150000008 | Vảy HD Thổi Trong HV-01.1</t>
  </si>
  <si>
    <t>150000050</t>
  </si>
  <si>
    <t>Chai PET B2.2</t>
  </si>
  <si>
    <t>150000050 | Chai PET B2.2</t>
  </si>
  <si>
    <t>150000059</t>
  </si>
  <si>
    <t>Thô PP Dương PP-05</t>
  </si>
  <si>
    <t>150000059 | Thô PP Dương PP-05</t>
  </si>
  <si>
    <t>PP thô</t>
  </si>
  <si>
    <t>150000066</t>
  </si>
  <si>
    <t>HD ép thô thử nghiệm dương</t>
  </si>
  <si>
    <t>150000066 | HD ép thô thử nghiệm dương</t>
  </si>
  <si>
    <t>HD ép thô</t>
  </si>
  <si>
    <t>150000106</t>
  </si>
  <si>
    <t>Vảy HD thổi trong L1 HV01.1_TM</t>
  </si>
  <si>
    <t>150000106 | Vảy HD thổi trong L1 HV01.1_TM</t>
  </si>
  <si>
    <t>160012696</t>
  </si>
  <si>
    <t>Vảy HD Thổi Trong HV-01.4</t>
  </si>
  <si>
    <t>160012696 | Vảy HD Thổi Trong HV-01.4</t>
  </si>
  <si>
    <t>710000273</t>
  </si>
  <si>
    <t>Khớp nối cao su NM 82</t>
  </si>
  <si>
    <t>710000273 | Khớp nối cao su NM 82</t>
  </si>
  <si>
    <t>710004193</t>
  </si>
  <si>
    <t>Lưỡi khoét hợp kim, khoét Inox phi 22</t>
  </si>
  <si>
    <t>710004193 | Lưỡi khoét hợp kim, khoét Inox phi 22</t>
  </si>
  <si>
    <t>710006244</t>
  </si>
  <si>
    <t>Nước cất châm bình ắc quy</t>
  </si>
  <si>
    <t>710006244 | Nước cất châm bình ắc quy</t>
  </si>
  <si>
    <t>710019660</t>
  </si>
  <si>
    <t>Cầu chì sứ MIRO RT18-10A</t>
  </si>
  <si>
    <t>710019660 | Cầu chì sứ MIRO RT18-10A</t>
  </si>
  <si>
    <t>710022881</t>
  </si>
  <si>
    <t>Relay 8 chân lớn Omron LY2N AC220/240</t>
  </si>
  <si>
    <t>710022881 | Relay 8 chân lớn Omron LY2N AC220/240</t>
  </si>
  <si>
    <t>710022988</t>
  </si>
  <si>
    <t>Phốt 42x65x9 TC Viton</t>
  </si>
  <si>
    <t>710022988 | Phốt 42x65x9 TC Viton</t>
  </si>
  <si>
    <t>710023130</t>
  </si>
  <si>
    <t>Vòi tưới nguội dài 140mm, ren 1/8</t>
  </si>
  <si>
    <t>710023130 | Vòi tưới nguội dài 140mm, ren 1/8</t>
  </si>
  <si>
    <t>710023794</t>
  </si>
  <si>
    <t>Sơn xịt màu đen</t>
  </si>
  <si>
    <t>710023794 | Sơn xịt màu đen</t>
  </si>
  <si>
    <t>710023839</t>
  </si>
  <si>
    <t>Khóa gài nhanh SU304- KGA90</t>
  </si>
  <si>
    <t>710023839 | Khóa gài nhanh SU304- KGA90</t>
  </si>
  <si>
    <t>710024363</t>
  </si>
  <si>
    <t>CÒI HÚ MOTOR 220VAC MINI  (ĐỎ)</t>
  </si>
  <si>
    <t>710024363 | CÒI HÚ MOTOR 220VAC MINI  (ĐỎ)</t>
  </si>
  <si>
    <t>710024383</t>
  </si>
  <si>
    <t>SIN SILICON RED supper 60X4 mm</t>
  </si>
  <si>
    <t>710024383 | SIN SILICON RED supper 60X4 mm</t>
  </si>
  <si>
    <t>710024436</t>
  </si>
  <si>
    <t>Ống dầu thủy lực 3/8 bóng phủ bì 3,9 m</t>
  </si>
  <si>
    <t>710024436 | Ống dầu thủy lực 3/8 bóng phủ bì 3,9 m</t>
  </si>
  <si>
    <t>710024437</t>
  </si>
  <si>
    <t>Ống dầu thủy lực 3/8 bóng phủ bì 3,5 m</t>
  </si>
  <si>
    <t>710024437 | Ống dầu thủy lực 3/8 bóng phủ bì 3,5 m</t>
  </si>
  <si>
    <t>710024438</t>
  </si>
  <si>
    <t>Ống dầu thủy lực 3/8 bóng phủ bì 2,7 m</t>
  </si>
  <si>
    <t>710024438 | Ống dầu thủy lực 3/8 bóng phủ bì 2,7 m</t>
  </si>
  <si>
    <t>710024796</t>
  </si>
  <si>
    <t>Kính hàn điện tử 95x31mm</t>
  </si>
  <si>
    <t>710024796 | Kính hàn điện tử 95x31mm</t>
  </si>
  <si>
    <t>710024825</t>
  </si>
  <si>
    <t>Sắt 20x40 1,4 ly dầy 1,4 ly</t>
  </si>
  <si>
    <t>710024825 | Sắt 20x40 1,4 ly dầy 1,4 ly</t>
  </si>
  <si>
    <t>710024904</t>
  </si>
  <si>
    <t>CoT máng cáp cónắp 500-500-500/100-1.2mm</t>
  </si>
  <si>
    <t>710024904 | CoT máng cáp cónắp 500-500-500/100-1.2mm</t>
  </si>
  <si>
    <t>710025099</t>
  </si>
  <si>
    <t>Decal trắng khổ 1mx3m</t>
  </si>
  <si>
    <t>710025099 | Decal trắng khổ 1mx3m</t>
  </si>
  <si>
    <t>710025120</t>
  </si>
  <si>
    <t>Phốt chắn nhớt 42-42-8mm</t>
  </si>
  <si>
    <t>710025120 | Phốt chắn nhớt 42-42-8mm</t>
  </si>
  <si>
    <t>710025130</t>
  </si>
  <si>
    <t>Ống thủy lực 0,8m đầu 19, đầu 17, phi 17</t>
  </si>
  <si>
    <t>710025130 | Ống thủy lực 0,8m đầu 19, đầu 17, phi 17</t>
  </si>
  <si>
    <t>710025415</t>
  </si>
  <si>
    <t>Mũi taro thẳng Nachi M6x1 P3 List 6868</t>
  </si>
  <si>
    <t>710025415 | Mũi taro thẳng Nachi M6x1 P3 List 6868</t>
  </si>
  <si>
    <t>710025416</t>
  </si>
  <si>
    <t>Mũi Taro Thẳng Nachi STPO5M0.8R L6868</t>
  </si>
  <si>
    <t>710025416 | Mũi Taro Thẳng Nachi STPO5M0.8R L6868</t>
  </si>
  <si>
    <t>710025422</t>
  </si>
  <si>
    <t>Phốt NOK 100X125X12 viton</t>
  </si>
  <si>
    <t>710025422 | Phốt NOK 100X125X12 viton</t>
  </si>
  <si>
    <t>710025580</t>
  </si>
  <si>
    <t>Bánh xe dày 38mm đường kính 100mm</t>
  </si>
  <si>
    <t>710025580 | Bánh xe dày 38mm đường kính 100mm</t>
  </si>
  <si>
    <t>710025879</t>
  </si>
  <si>
    <t>Dây tết chèn Amiang tẩm chì ướt 16x16mm</t>
  </si>
  <si>
    <t>710025879 | Dây tết chèn Amiang tẩm chì ướt 16x16mm</t>
  </si>
  <si>
    <t>710027885</t>
  </si>
  <si>
    <t>Nước tẩy rửa Phú Mỹ (20 lít/ can)</t>
  </si>
  <si>
    <t>710027885 | Nước tẩy rửa Phú Mỹ (20 lít/ can)</t>
  </si>
  <si>
    <t>710028179</t>
  </si>
  <si>
    <t>Lưới thép 40x40mm, khổ 1.2m, dày 3mm</t>
  </si>
  <si>
    <t>710028179 | Lưới thép 40x40mm, khổ 1.2m, dày 3mm</t>
  </si>
  <si>
    <t>710029487</t>
  </si>
  <si>
    <t>Đĩa lưới lọc 80mesh (KLF500LaserFilter)</t>
  </si>
  <si>
    <t>710029487 | Đĩa lưới lọc 80mesh (KLF500LaserFilter)</t>
  </si>
  <si>
    <t>710029869</t>
  </si>
  <si>
    <t>Tấm Inox 304 1200x2400x2mm</t>
  </si>
  <si>
    <t>710029869 | Tấm Inox 304 1200x2400x2mm</t>
  </si>
  <si>
    <t>720000176</t>
  </si>
  <si>
    <t>Vải lau (Vải vụn)</t>
  </si>
  <si>
    <t>720000176 | Vải lau (Vải vụn)</t>
  </si>
  <si>
    <t>720000232</t>
  </si>
  <si>
    <t>ổ khóa Việt Tiệp</t>
  </si>
  <si>
    <t>720000232 | ổ khóa Việt Tiệp</t>
  </si>
  <si>
    <t>720000691</t>
  </si>
  <si>
    <t>Áo bảo vệ</t>
  </si>
  <si>
    <t>720000691 | Áo bảo vệ</t>
  </si>
  <si>
    <t>720000692</t>
  </si>
  <si>
    <t>Quần bảo vệ</t>
  </si>
  <si>
    <t>720000692 | Quần bảo vệ</t>
  </si>
  <si>
    <t>720000701</t>
  </si>
  <si>
    <t>Hộp mica đựng giấy A4 treo tường</t>
  </si>
  <si>
    <t>720000701 | Hộp mica đựng giấy A4 treo tường</t>
  </si>
  <si>
    <t>720000771</t>
  </si>
  <si>
    <t>BỒN NHỰA ĐỨNG 10,000L ĐẠI THÀNH</t>
  </si>
  <si>
    <t>720000771 | BỒN NHỰA ĐỨNG 10,000L ĐẠI THÀNH</t>
  </si>
  <si>
    <t>720000804</t>
  </si>
  <si>
    <t>Bìa đựng thẻ card A4, 8 ngăn</t>
  </si>
  <si>
    <t>720000804 | Bìa đựng thẻ card A4, 8 ngăn</t>
  </si>
  <si>
    <t>720000829</t>
  </si>
  <si>
    <t>Chuông thông báo trạm cân</t>
  </si>
  <si>
    <t>720000829 | Chuông thông báo trạm cân</t>
  </si>
  <si>
    <t>720000844</t>
  </si>
  <si>
    <t>Kệ inox rửa dụng cụ thí nghiệm</t>
  </si>
  <si>
    <t>720000844 | Kệ inox rửa dụng cụ thí nghiệm</t>
  </si>
  <si>
    <t>720000876</t>
  </si>
  <si>
    <t>Kim may bao hạt HD</t>
  </si>
  <si>
    <t>720000876 | Kim may bao hạt HD</t>
  </si>
  <si>
    <t>720000912</t>
  </si>
  <si>
    <t>Chổi nhựa dài 1.5m lưỡi chổi 70cm</t>
  </si>
  <si>
    <t>720000912 | Chổi nhựa dài 1.5m lưỡi chổi 70cm</t>
  </si>
  <si>
    <t>720000928</t>
  </si>
  <si>
    <t>Xà phòng cây 1000g</t>
  </si>
  <si>
    <t>720000928 | Xà phòng cây 1000g</t>
  </si>
  <si>
    <t>720000938</t>
  </si>
  <si>
    <t>Cán chổi F25 chiều dài 1,15m</t>
  </si>
  <si>
    <t>720000938 | Cán chổi F25 chiều dài 1,15m</t>
  </si>
  <si>
    <t>720000957</t>
  </si>
  <si>
    <t>Túi A4 9 ngăn thẻ card</t>
  </si>
  <si>
    <t>720000957 | Túi A4 9 ngăn thẻ card</t>
  </si>
  <si>
    <t>720000968</t>
  </si>
  <si>
    <t>Bảng hướng dẫn 1 số sơ cấp cứu ban đầu</t>
  </si>
  <si>
    <t>720000968 | Bảng hướng dẫn 1 số sơ cấp cứu ban đầu</t>
  </si>
  <si>
    <t>720001090</t>
  </si>
  <si>
    <t>Đĩa petri nhựa 60x15mm Mida (20cái/lố)</t>
  </si>
  <si>
    <t>720001090 | Đĩa petri nhựa 60x15mm Mida (20cái/lố)</t>
  </si>
  <si>
    <t>110000509</t>
  </si>
  <si>
    <t>Hạt Nhựa rHDB01B01</t>
  </si>
  <si>
    <t>110000509 | rHDB01B01</t>
  </si>
  <si>
    <t>160012956</t>
  </si>
  <si>
    <t>Vảy PET Tomra SLR</t>
  </si>
  <si>
    <t>160012956 | Vảy PET Tomra SLR</t>
  </si>
  <si>
    <t>110000484</t>
  </si>
  <si>
    <t>Hạt Nhựa rPET WSS01G 1 PL</t>
  </si>
  <si>
    <t>110000484 | WSS01G 1 PL</t>
  </si>
  <si>
    <t>110000507</t>
  </si>
  <si>
    <t>Vảy FPET201</t>
  </si>
  <si>
    <t>110000507 | Vảy FPET201</t>
  </si>
  <si>
    <t>120003044</t>
  </si>
  <si>
    <t>Hạt MB Ép Đen 614A</t>
  </si>
  <si>
    <t>120003044 | Hạt MB Ép Đen 614A</t>
  </si>
  <si>
    <t>120003056</t>
  </si>
  <si>
    <t>Hạt Màu Lá LS304620</t>
  </si>
  <si>
    <t>120003056 | Hạt Màu Lá LS304620</t>
  </si>
  <si>
    <t>160012830</t>
  </si>
  <si>
    <t>Vảy PET B1_A1 DT-L</t>
  </si>
  <si>
    <t>160012830 | Vảy PET B1_A1 DT-L</t>
  </si>
  <si>
    <t>700000159</t>
  </si>
  <si>
    <t>H2SO4 50%</t>
  </si>
  <si>
    <t>700000159 | H2SO4 50%</t>
  </si>
  <si>
    <t>710022801</t>
  </si>
  <si>
    <t>Lọc khí máy tạo Nito IFE70SMA</t>
  </si>
  <si>
    <t>710022801 | Lọc khí máy tạo Nito IFE70SMA</t>
  </si>
  <si>
    <t>710022802</t>
  </si>
  <si>
    <t>Lọc khí máy tạo Nito  IFE70CA</t>
  </si>
  <si>
    <t>710022802 | Lọc khí máy tạo Nito  IFE70CA</t>
  </si>
  <si>
    <t>710023026</t>
  </si>
  <si>
    <t>Máy khoan Hồng Ký CK14</t>
  </si>
  <si>
    <t>710023026 | Máy khoan Hồng Ký CK14</t>
  </si>
  <si>
    <t>710023570</t>
  </si>
  <si>
    <t>Lõi lọc bông nén (PP) 40 inch</t>
  </si>
  <si>
    <t>710023570 | Lõi lọc bông nén (PP) 40 inch</t>
  </si>
  <si>
    <t>710028840</t>
  </si>
  <si>
    <t>Mâm sau Komatsu 650-10 6 lỗ, 3 tấn</t>
  </si>
  <si>
    <t>710028840 | Mâm sau Komatsu 650-10 6 lỗ, 3 tấn</t>
  </si>
  <si>
    <t>KNKH-CPVC</t>
  </si>
  <si>
    <t>Vận chuyển đền bù hàng cho khách hàng</t>
  </si>
  <si>
    <t>KNKH-CPVC | Đền bù khách</t>
  </si>
  <si>
    <t>110000335 </t>
  </si>
  <si>
    <t>Hạt Nhựa rPET WSS04 </t>
  </si>
  <si>
    <t>110000335 | WSS04</t>
  </si>
  <si>
    <t>CPKN</t>
  </si>
  <si>
    <t>Chi phí khiếu nại</t>
  </si>
  <si>
    <t>110000464</t>
  </si>
  <si>
    <t>Hạt Nhựa rPET WSS06SP-1</t>
  </si>
  <si>
    <t>110000464 | WSS06SP-1</t>
  </si>
  <si>
    <t>110000488</t>
  </si>
  <si>
    <t>Hạt Nhựa rPET iSS01084G PL</t>
  </si>
  <si>
    <t>110000488 | iSS01084G PL</t>
  </si>
  <si>
    <t>110000510</t>
  </si>
  <si>
    <t>Hạt Nhựa rPET WSS05SB PL</t>
  </si>
  <si>
    <t>110000510 | WSS05SB PL</t>
  </si>
  <si>
    <t>120003057</t>
  </si>
  <si>
    <t>Hạt Suncal 812PE</t>
  </si>
  <si>
    <t>120003057 | Hạt Suncal 812PE</t>
  </si>
  <si>
    <t>130000136</t>
  </si>
  <si>
    <t>Tôn 1,2m x2,4m</t>
  </si>
  <si>
    <t>130000136 | Tôn 1,2m x2,4m</t>
  </si>
  <si>
    <t>150000187</t>
  </si>
  <si>
    <t>Chai PET B1.3</t>
  </si>
  <si>
    <t>150000187 | Chai PET B1.3</t>
  </si>
  <si>
    <t>160012801</t>
  </si>
  <si>
    <t>Vảy PET GC Dây Đai</t>
  </si>
  <si>
    <t>160012801 | Vảy PET GC Dây Đai</t>
  </si>
  <si>
    <t>710005439</t>
  </si>
  <si>
    <t>Sắt V50x50 dày 5mm, loại đỏ(6m/cây)</t>
  </si>
  <si>
    <t>710005439 | Sắt V50x50 dày 5mm, loại đỏ(6m/cây)</t>
  </si>
  <si>
    <t>710028839</t>
  </si>
  <si>
    <t>Mâm sau Komatsu 600-9 6 lỗ, 2.5 tấn</t>
  </si>
  <si>
    <t>710028839 | Mâm sau Komatsu 600-9 6 lỗ, 2.5 tấn</t>
  </si>
  <si>
    <t>710030197</t>
  </si>
  <si>
    <t>Tôn Inox 304 khổ 1.2x1.5m dày 1mm</t>
  </si>
  <si>
    <t>710030197 | Tôn Inox 304 khổ 1.2x1.5m dày 1mm</t>
  </si>
  <si>
    <t>710030205</t>
  </si>
  <si>
    <t>Sắt U 50x100x50 dày 5mm (6m/cây)</t>
  </si>
  <si>
    <t>710030205 | Sắt U 50x100x50 dày 5mm (6m/cây)</t>
  </si>
  <si>
    <t>710030206</t>
  </si>
  <si>
    <t>Tôn gân 1.2x2.4m dày 3mm</t>
  </si>
  <si>
    <t>710030206 | Tôn gân 1.2x2.4m dày 3mm</t>
  </si>
  <si>
    <t>710030575</t>
  </si>
  <si>
    <t>Lọc bụi bơm hút FLS-G40</t>
  </si>
  <si>
    <t>710030575 | Lọc bụi bơm hút FLS-G40</t>
  </si>
  <si>
    <t>720000747</t>
  </si>
  <si>
    <t>Giấy Quỳ Tím Đo Độ PH</t>
  </si>
  <si>
    <t>720000747 | Giấy Quỳ Tím Đo Độ PH</t>
  </si>
  <si>
    <t>720001237</t>
  </si>
  <si>
    <t>Ống mao quản Capillary Lovis 1.8mm 93096</t>
  </si>
  <si>
    <t>720001237 | Ống mao quản Capillary Lovis 1.8mm 93096</t>
  </si>
  <si>
    <t>Vảy HD Ép Hỗn Hợp Cuối Sau Sấy</t>
  </si>
  <si>
    <t>160012974 | Vảy HD Ép Hỗn Hợp Cuối Sau Sấy</t>
  </si>
  <si>
    <t>110000451</t>
  </si>
  <si>
    <t>Hạt Châm</t>
  </si>
  <si>
    <t>110000451 | Hạt Châm</t>
  </si>
  <si>
    <t>110000477</t>
  </si>
  <si>
    <t>Phôi WSS01G Xám</t>
  </si>
  <si>
    <t>110000477 | Phôi WSS01G Xám</t>
  </si>
  <si>
    <t>110000492</t>
  </si>
  <si>
    <t>Hạt Nhựa rPET WSS03G PL</t>
  </si>
  <si>
    <t>110000492 | Hạt Nhựa rPET WSS03G PL</t>
  </si>
  <si>
    <t>150000021</t>
  </si>
  <si>
    <t>Bình HD-01 Trong</t>
  </si>
  <si>
    <t>150000021 | Bình HD-01 Trong</t>
  </si>
  <si>
    <t>150000022</t>
  </si>
  <si>
    <t>Bình HD-02 Trắng</t>
  </si>
  <si>
    <t>150000022 | Bình HD-02 Trắng</t>
  </si>
  <si>
    <t>150000023</t>
  </si>
  <si>
    <t>Bình HD-03.1 Vàng chanh</t>
  </si>
  <si>
    <t>150000023 | Bình HD-03.1 Vàng chanh</t>
  </si>
  <si>
    <t>150000025</t>
  </si>
  <si>
    <t>Bình HD-04.1 Lá sáng</t>
  </si>
  <si>
    <t>150000025 | Bình HD-04.1 Lá sáng</t>
  </si>
  <si>
    <t>150000027</t>
  </si>
  <si>
    <t>Bình HD-05 Đỏ</t>
  </si>
  <si>
    <t>150000027 | Bình HD-05 Đỏ</t>
  </si>
  <si>
    <t>150000029</t>
  </si>
  <si>
    <t>Bình HD-07.1 Dương đậm</t>
  </si>
  <si>
    <t>150000029 | Bình HD-07.1 Dương đậm</t>
  </si>
  <si>
    <t>150000030</t>
  </si>
  <si>
    <t>Bình HD Thổi Dương Nhạt HD-11.1</t>
  </si>
  <si>
    <t>150000030 | Bình HD Thổi Dương Nhạt HD-11.1</t>
  </si>
  <si>
    <t>150000031</t>
  </si>
  <si>
    <t>Bình HD-07.3 Xanh ngọc</t>
  </si>
  <si>
    <t>150000031 | Bình HD-07.3 Xanh ngọc</t>
  </si>
  <si>
    <t>150000032</t>
  </si>
  <si>
    <t>Bình HD-08 Cam</t>
  </si>
  <si>
    <t>150000032 | Bình HD-08 Cam</t>
  </si>
  <si>
    <t>150000034</t>
  </si>
  <si>
    <t>Bình HD-10 Hồng</t>
  </si>
  <si>
    <t>150000034 | Bình HD-10 Hồng</t>
  </si>
  <si>
    <t>150000037</t>
  </si>
  <si>
    <t>Vảy HD Thổi Trắng Sữa  HV-02.1</t>
  </si>
  <si>
    <t>150000037 | Vảy HD Thổi Trắng Sữa  HV-02.1</t>
  </si>
  <si>
    <t>150000057</t>
  </si>
  <si>
    <t>Thô PP Đỏ PP-06</t>
  </si>
  <si>
    <t>150000057 | Thô PP Đỏ PP-06</t>
  </si>
  <si>
    <t>150000060</t>
  </si>
  <si>
    <t>Thô PP Vàng PP-03</t>
  </si>
  <si>
    <t>150000060 | Thô PP Vàng PP-03</t>
  </si>
  <si>
    <t>150000062</t>
  </si>
  <si>
    <t>Thô PP Lá PP-04</t>
  </si>
  <si>
    <t>150000062 | Thô PP Lá PP-04</t>
  </si>
  <si>
    <t>150000064</t>
  </si>
  <si>
    <t>Thô PP Trắng Sữa PP-02</t>
  </si>
  <si>
    <t>150000064 | Thô PP Trắng Sữa PP-02</t>
  </si>
  <si>
    <t>150000065</t>
  </si>
  <si>
    <t>Thô PP Trong PP-01</t>
  </si>
  <si>
    <t>150000065 | Thô PP Trong PP-01</t>
  </si>
  <si>
    <t>150000073</t>
  </si>
  <si>
    <t>Thô PP Hồng PP-09</t>
  </si>
  <si>
    <t>150000073 | Thô PP Hồng PP-09</t>
  </si>
  <si>
    <t>150000112</t>
  </si>
  <si>
    <t>Thô PP Xám PP-07</t>
  </si>
  <si>
    <t>150000112 | Thô PP Xám PP-07</t>
  </si>
  <si>
    <t>150000184</t>
  </si>
  <si>
    <t>Bình HD Thổi Trong HD-PS L2 E</t>
  </si>
  <si>
    <t>150000184 | Bình HD Thổi Trong HD-PS L2 E</t>
  </si>
  <si>
    <t>160012895</t>
  </si>
  <si>
    <t>Hạt Nhựa rPET Lẫn Kim Loại ST</t>
  </si>
  <si>
    <t>160012895 | Hạt Nhựa rPET Lẫn Kim Loại ST</t>
  </si>
  <si>
    <t>710030202</t>
  </si>
  <si>
    <t>Inox đặc tròn 304 Ø8mm (6m/cây)</t>
  </si>
  <si>
    <t>710030202 | Inox đặc tròn 304 Ø8mm (6m/cây)</t>
  </si>
  <si>
    <t>710030441</t>
  </si>
  <si>
    <t>Lưới inox 304, 40mesh, khổ 1.3m*30m</t>
  </si>
  <si>
    <t>710030441 | Lưới inox 304, 40mesh, khổ 1.3m*30m</t>
  </si>
  <si>
    <t>710030472</t>
  </si>
  <si>
    <t>Tủ sắt 800x1000 x1100mm</t>
  </si>
  <si>
    <t>710030472 | Tủ sắt 800x1000 x1100mm</t>
  </si>
  <si>
    <t>DC-PS23</t>
  </si>
  <si>
    <t>Điều chỉnh phó sản 2023</t>
  </si>
  <si>
    <t>DC-PS23 | Điều chỉnh phó sản 2023</t>
  </si>
  <si>
    <t>105354</t>
  </si>
  <si>
    <t>UNILEVER - NNG-TN</t>
  </si>
  <si>
    <t>105405</t>
  </si>
  <si>
    <t>CƯỜNG GIA PHÁT</t>
  </si>
  <si>
    <t>GB trung bình</t>
  </si>
  <si>
    <t>105371</t>
  </si>
  <si>
    <t>VINAFIBER</t>
  </si>
  <si>
    <t>GB trung bình-XK</t>
  </si>
  <si>
    <t>EXR</t>
  </si>
  <si>
    <t>Tháng</t>
  </si>
  <si>
    <t>Tháng | Ngày</t>
  </si>
  <si>
    <t>Dthu (USD)</t>
  </si>
  <si>
    <t>Sum of GBTB (USD/ton)</t>
  </si>
  <si>
    <t>Sum of Dthu (USD)</t>
  </si>
  <si>
    <t>105271</t>
  </si>
  <si>
    <t>Suntory- Ngọc Nghĩa Tây Ninh</t>
  </si>
  <si>
    <t>105266</t>
  </si>
  <si>
    <t>MIDA</t>
  </si>
  <si>
    <t>105223</t>
  </si>
  <si>
    <t>Dynaplast Bắc Ninh</t>
  </si>
  <si>
    <t>105362</t>
  </si>
  <si>
    <t>Hiệp Thành - IKEA</t>
  </si>
  <si>
    <t>105397</t>
  </si>
  <si>
    <t>Olam Duy Tân</t>
  </si>
  <si>
    <t>105323</t>
  </si>
  <si>
    <t>ĐẠI LỤC</t>
  </si>
  <si>
    <t>105286</t>
  </si>
  <si>
    <t>Mondelez-Việt Thành</t>
  </si>
  <si>
    <t>105290</t>
  </si>
  <si>
    <t>HOÀNG TẤN</t>
  </si>
  <si>
    <t>000005</t>
  </si>
  <si>
    <t>5</t>
  </si>
  <si>
    <t>6428007201</t>
  </si>
  <si>
    <t>Chi phí bằng tiền khác</t>
  </si>
  <si>
    <t>XUẤT MẪU</t>
  </si>
  <si>
    <t>SA</t>
  </si>
  <si>
    <t>000001</t>
  </si>
  <si>
    <t>1</t>
  </si>
  <si>
    <t>40</t>
  </si>
  <si>
    <t>104877</t>
  </si>
  <si>
    <t>Cty TNHH Uy Kiệt</t>
  </si>
  <si>
    <t>Quantity_Edited</t>
  </si>
  <si>
    <t>Quantity_Original</t>
  </si>
  <si>
    <t>Sum of Average EXR</t>
  </si>
  <si>
    <t>000003</t>
  </si>
  <si>
    <t>200409</t>
  </si>
  <si>
    <t>NEO Polymers International</t>
  </si>
  <si>
    <t>DY</t>
  </si>
  <si>
    <t>Sum of Quantity_Edited</t>
  </si>
  <si>
    <t>160012334</t>
  </si>
  <si>
    <t>105186</t>
  </si>
  <si>
    <t>CÔNG TY TNHH HON CHUAN VIETNAM</t>
  </si>
  <si>
    <t>105413</t>
  </si>
  <si>
    <t>Đan Thư</t>
  </si>
  <si>
    <t>Phó Sản PET Bụi Cám Sau Sàn Rung</t>
  </si>
  <si>
    <t>160012334 | Bụi cám PET sau sàn sung</t>
  </si>
  <si>
    <t>1300000087</t>
  </si>
  <si>
    <t>Xuất 4400kg rPET cho Unilever Ngọc Nghĩa TN k TT</t>
  </si>
  <si>
    <t>C26TTC;1025</t>
  </si>
  <si>
    <t>1C26TTC;1025</t>
  </si>
  <si>
    <t>Xuất 4400kg rPET cho Unil</t>
  </si>
  <si>
    <t>130000008710012026</t>
  </si>
  <si>
    <t>2026/04</t>
  </si>
  <si>
    <t>1300000088</t>
  </si>
  <si>
    <t>Xuất 50kg rPET cho Việt Thành Plast k thu tiền</t>
  </si>
  <si>
    <t>C26TTC;1040</t>
  </si>
  <si>
    <t>1C26TTC;1040</t>
  </si>
  <si>
    <t>Xuất 50kg rPET cho Việt T</t>
  </si>
  <si>
    <t>130000008810012026</t>
  </si>
  <si>
    <t>1300000089</t>
  </si>
  <si>
    <t>Xuất 100kg rPET cho Cẩm thành k thu tiền</t>
  </si>
  <si>
    <t>C26TTC;1041</t>
  </si>
  <si>
    <t>1C26TTC;1041</t>
  </si>
  <si>
    <t>Xuất 100kg rPET cho Cẩm t</t>
  </si>
  <si>
    <t>130000008910012026</t>
  </si>
  <si>
    <t>1300000090</t>
  </si>
  <si>
    <t>Xuất 300kg rPET cho DTP - Olam k thu tiền</t>
  </si>
  <si>
    <t>C26TTC;1056</t>
  </si>
  <si>
    <t>1C26TTC;1056</t>
  </si>
  <si>
    <t>Xuất 300kg rPET cho DTP -</t>
  </si>
  <si>
    <t>130000009010012026</t>
  </si>
  <si>
    <t>1300000091</t>
  </si>
  <si>
    <t>Xuất 2kg mẫu HDPEcho QLCL k thu tiền</t>
  </si>
  <si>
    <t>C26TTC;1069</t>
  </si>
  <si>
    <t>1C26TTC;1069</t>
  </si>
  <si>
    <t>Xuất 2kg mẫu HDPE,4kg PET</t>
  </si>
  <si>
    <t>130000009110012026</t>
  </si>
  <si>
    <t>Xuất 4kg PET cho QLCL k thu tiền</t>
  </si>
  <si>
    <t>1300000092</t>
  </si>
  <si>
    <t>Xuất 5,2kg mẫu PET cho QLCL-R&amp;D k thu tiền</t>
  </si>
  <si>
    <t>C26TTC;1093</t>
  </si>
  <si>
    <t>1C26TTC;1093</t>
  </si>
  <si>
    <t>Xuất 5,2kg mẫu PET cho QL</t>
  </si>
  <si>
    <t>130000009210012026</t>
  </si>
  <si>
    <t>1400000931</t>
  </si>
  <si>
    <t>1C26TTC;1004</t>
  </si>
  <si>
    <t>0091172511</t>
  </si>
  <si>
    <t>1400000932</t>
  </si>
  <si>
    <t>1C26TTC;1005</t>
  </si>
  <si>
    <t>0091172512</t>
  </si>
  <si>
    <t>1400000933</t>
  </si>
  <si>
    <t>1C26TTC;1006</t>
  </si>
  <si>
    <t>0091172513</t>
  </si>
  <si>
    <t>1400000934</t>
  </si>
  <si>
    <t>1C26TTC;1007</t>
  </si>
  <si>
    <t>0091172514</t>
  </si>
  <si>
    <t>1400000935</t>
  </si>
  <si>
    <t>1C26TTC;1008</t>
  </si>
  <si>
    <t>0091172515</t>
  </si>
  <si>
    <t>1400000936</t>
  </si>
  <si>
    <t>1C26TTC;1009</t>
  </si>
  <si>
    <t>0091172516</t>
  </si>
  <si>
    <t>1400000937</t>
  </si>
  <si>
    <t>1C26TTC;1010</t>
  </si>
  <si>
    <t>0091172517</t>
  </si>
  <si>
    <t>1400000938</t>
  </si>
  <si>
    <t>1C26TTC;1011</t>
  </si>
  <si>
    <t>0091172518</t>
  </si>
  <si>
    <t>1400000939</t>
  </si>
  <si>
    <t>1C26TTC;1012</t>
  </si>
  <si>
    <t>0091172519</t>
  </si>
  <si>
    <t>1400000940</t>
  </si>
  <si>
    <t>1C26TTC;1013</t>
  </si>
  <si>
    <t>0091172520</t>
  </si>
  <si>
    <t>1400000941</t>
  </si>
  <si>
    <t>1C26TTC;1014</t>
  </si>
  <si>
    <t>0091172521</t>
  </si>
  <si>
    <t>1400000943</t>
  </si>
  <si>
    <t>0091172523</t>
  </si>
  <si>
    <t>1400000944</t>
  </si>
  <si>
    <t>1C26TTC;1019</t>
  </si>
  <si>
    <t>0091172524</t>
  </si>
  <si>
    <t>1400000945</t>
  </si>
  <si>
    <t>1C26TTC;1020</t>
  </si>
  <si>
    <t>0091172525</t>
  </si>
  <si>
    <t>1400000946</t>
  </si>
  <si>
    <t>1C26TTC;1016</t>
  </si>
  <si>
    <t>0091172526</t>
  </si>
  <si>
    <t>1400000947</t>
  </si>
  <si>
    <t>1C26TTC;1017</t>
  </si>
  <si>
    <t>0091172527</t>
  </si>
  <si>
    <t>1400000948</t>
  </si>
  <si>
    <t>1C26TTC;1018</t>
  </si>
  <si>
    <t>0091172528</t>
  </si>
  <si>
    <t>1400000949</t>
  </si>
  <si>
    <t>1C26TTC;1021</t>
  </si>
  <si>
    <t>0091172529</t>
  </si>
  <si>
    <t>1400000950</t>
  </si>
  <si>
    <t>1C26TTC;1022</t>
  </si>
  <si>
    <t>0091172530</t>
  </si>
  <si>
    <t>1400000951</t>
  </si>
  <si>
    <t>1C26TTC;1023</t>
  </si>
  <si>
    <t>0091172531</t>
  </si>
  <si>
    <t>1400000952</t>
  </si>
  <si>
    <t>1C26TTC;1024</t>
  </si>
  <si>
    <t>0091172532</t>
  </si>
  <si>
    <t>1400000953</t>
  </si>
  <si>
    <t>1C26TTC;1038</t>
  </si>
  <si>
    <t>0091172539</t>
  </si>
  <si>
    <t>1400000954</t>
  </si>
  <si>
    <t>1C26TTC;1026</t>
  </si>
  <si>
    <t>0091172544</t>
  </si>
  <si>
    <t>1400000955</t>
  </si>
  <si>
    <t>1C26TTC;1027</t>
  </si>
  <si>
    <t>0091172545</t>
  </si>
  <si>
    <t>1400000956</t>
  </si>
  <si>
    <t>1C26TTC;1028</t>
  </si>
  <si>
    <t>0091172546</t>
  </si>
  <si>
    <t>1400000957</t>
  </si>
  <si>
    <t>1C26TTC;1029</t>
  </si>
  <si>
    <t>0091172547</t>
  </si>
  <si>
    <t>1400000958</t>
  </si>
  <si>
    <t>1C26TTC;1030</t>
  </si>
  <si>
    <t>0091172548</t>
  </si>
  <si>
    <t>1400000959</t>
  </si>
  <si>
    <t>1C26TTC;1031</t>
  </si>
  <si>
    <t>0091172549</t>
  </si>
  <si>
    <t>1400000960</t>
  </si>
  <si>
    <t>1C26TTC;1032</t>
  </si>
  <si>
    <t>0091172550</t>
  </si>
  <si>
    <t>1400000961</t>
  </si>
  <si>
    <t>1C26TTC;1033</t>
  </si>
  <si>
    <t>0091172551</t>
  </si>
  <si>
    <t>1400000962</t>
  </si>
  <si>
    <t>1C26TTC;1034</t>
  </si>
  <si>
    <t>0091172552</t>
  </si>
  <si>
    <t>1400000963</t>
  </si>
  <si>
    <t>1C26TTC;1035</t>
  </si>
  <si>
    <t>0091172553</t>
  </si>
  <si>
    <t>1400000964</t>
  </si>
  <si>
    <t>1C26TTC;1036</t>
  </si>
  <si>
    <t>0091172554</t>
  </si>
  <si>
    <t>1400000965</t>
  </si>
  <si>
    <t>105420</t>
  </si>
  <si>
    <t>EVOLIGHT VIET NAM</t>
  </si>
  <si>
    <t>1C26TTC;1037</t>
  </si>
  <si>
    <t>0091172555</t>
  </si>
  <si>
    <t>1400000966</t>
  </si>
  <si>
    <t>1C26TTC;1039</t>
  </si>
  <si>
    <t>0091172556</t>
  </si>
  <si>
    <t>1400000967</t>
  </si>
  <si>
    <t>1C26TTC;1042</t>
  </si>
  <si>
    <t>0091172568</t>
  </si>
  <si>
    <t>1400000968</t>
  </si>
  <si>
    <t>1C26TTC;1043</t>
  </si>
  <si>
    <t>0091172570</t>
  </si>
  <si>
    <t>1400000969</t>
  </si>
  <si>
    <t>1C26TTC;1044</t>
  </si>
  <si>
    <t>0091172571</t>
  </si>
  <si>
    <t>1400000970</t>
  </si>
  <si>
    <t>1C26TTC;1045</t>
  </si>
  <si>
    <t>0091172572</t>
  </si>
  <si>
    <t>1400000971</t>
  </si>
  <si>
    <t>1C26TTC;1046</t>
  </si>
  <si>
    <t>0091172573</t>
  </si>
  <si>
    <t>1400000972</t>
  </si>
  <si>
    <t>1C26TTC;1048</t>
  </si>
  <si>
    <t>0091172574</t>
  </si>
  <si>
    <t>1400000973</t>
  </si>
  <si>
    <t>1C26TTC;1047</t>
  </si>
  <si>
    <t>0091172575</t>
  </si>
  <si>
    <t>1400000974</t>
  </si>
  <si>
    <t>1C26TTC;1049</t>
  </si>
  <si>
    <t>0091172576</t>
  </si>
  <si>
    <t>1400000975</t>
  </si>
  <si>
    <t>1C26TTC;1050</t>
  </si>
  <si>
    <t>0091172577</t>
  </si>
  <si>
    <t>1400000976</t>
  </si>
  <si>
    <t>1C26TTC;1051</t>
  </si>
  <si>
    <t>0091172578</t>
  </si>
  <si>
    <t>1400000977</t>
  </si>
  <si>
    <t>1C26TTC;1052</t>
  </si>
  <si>
    <t>0091172579</t>
  </si>
  <si>
    <t>1400000978</t>
  </si>
  <si>
    <t>1C26TTC;1053</t>
  </si>
  <si>
    <t>0091172580</t>
  </si>
  <si>
    <t>1400000979</t>
  </si>
  <si>
    <t>1C26TTC;1054</t>
  </si>
  <si>
    <t>0091172581</t>
  </si>
  <si>
    <t>1400000980</t>
  </si>
  <si>
    <t>1C26TTC;1055</t>
  </si>
  <si>
    <t>0091172582</t>
  </si>
  <si>
    <t>1400000981</t>
  </si>
  <si>
    <t>1C26TTC;1057</t>
  </si>
  <si>
    <t>0091172594</t>
  </si>
  <si>
    <t>1400000982</t>
  </si>
  <si>
    <t>1C26TTC;1058</t>
  </si>
  <si>
    <t>0091172596</t>
  </si>
  <si>
    <t>1400000983</t>
  </si>
  <si>
    <t>1C26TTC;1059</t>
  </si>
  <si>
    <t>0091172597</t>
  </si>
  <si>
    <t>1400000984</t>
  </si>
  <si>
    <t>1C26TTC;1060</t>
  </si>
  <si>
    <t>0091172598</t>
  </si>
  <si>
    <t>1400000985</t>
  </si>
  <si>
    <t>1C26TTC;1061</t>
  </si>
  <si>
    <t>0091172599</t>
  </si>
  <si>
    <t>1400000986</t>
  </si>
  <si>
    <t>1C26TTC;1062</t>
  </si>
  <si>
    <t>0091172600</t>
  </si>
  <si>
    <t>1400000987</t>
  </si>
  <si>
    <t>1C26TTC;1063</t>
  </si>
  <si>
    <t>0091172601</t>
  </si>
  <si>
    <t>1400000988</t>
  </si>
  <si>
    <t>1C26TTC;1064</t>
  </si>
  <si>
    <t>26,25600</t>
  </si>
  <si>
    <t>0091172602</t>
  </si>
  <si>
    <t>1400000989</t>
  </si>
  <si>
    <t>1C26TTC;1065</t>
  </si>
  <si>
    <t>0091172603</t>
  </si>
  <si>
    <t>1400000990</t>
  </si>
  <si>
    <t>1C26TTC;1066</t>
  </si>
  <si>
    <t>0091172604</t>
  </si>
  <si>
    <t>1400000991</t>
  </si>
  <si>
    <t>1C26TTC;1067</t>
  </si>
  <si>
    <t>0091172605</t>
  </si>
  <si>
    <t>1400000992</t>
  </si>
  <si>
    <t>1C26TTC;1068</t>
  </si>
  <si>
    <t>0091172606</t>
  </si>
  <si>
    <t>1400000993</t>
  </si>
  <si>
    <t>1C26TTC;1070</t>
  </si>
  <si>
    <t>0091172608</t>
  </si>
  <si>
    <t>1400000994</t>
  </si>
  <si>
    <t>1C26TTC;1071</t>
  </si>
  <si>
    <t>0091172609</t>
  </si>
  <si>
    <t>1400000995</t>
  </si>
  <si>
    <t>1C26TTC;1072</t>
  </si>
  <si>
    <t>0091172610</t>
  </si>
  <si>
    <t>1400000996</t>
  </si>
  <si>
    <t>1C26TTC;1073</t>
  </si>
  <si>
    <t>0091172611</t>
  </si>
  <si>
    <t>1400000997</t>
  </si>
  <si>
    <t>1C26TTC;1074</t>
  </si>
  <si>
    <t>0091172612</t>
  </si>
  <si>
    <t>1400000998</t>
  </si>
  <si>
    <t>1C26TTC;1075</t>
  </si>
  <si>
    <t>0091172613</t>
  </si>
  <si>
    <t>1400000999</t>
  </si>
  <si>
    <t>1C26TTC;1076</t>
  </si>
  <si>
    <t>0091172614</t>
  </si>
  <si>
    <t>1400001000</t>
  </si>
  <si>
    <t>105421</t>
  </si>
  <si>
    <t>ZDK</t>
  </si>
  <si>
    <t>1C26TTC;1077</t>
  </si>
  <si>
    <t>0091172615</t>
  </si>
  <si>
    <t>1400001001</t>
  </si>
  <si>
    <t>1C26TTC;1078</t>
  </si>
  <si>
    <t>0091172616</t>
  </si>
  <si>
    <t>1400001002</t>
  </si>
  <si>
    <t>1C26TTC;1079</t>
  </si>
  <si>
    <t>0091172622</t>
  </si>
  <si>
    <t>1400001003</t>
  </si>
  <si>
    <t>1C26TTC;1080</t>
  </si>
  <si>
    <t>0091172626</t>
  </si>
  <si>
    <t>1400001004</t>
  </si>
  <si>
    <t>1C26TTC;1081</t>
  </si>
  <si>
    <t>0091172627</t>
  </si>
  <si>
    <t>1400001005</t>
  </si>
  <si>
    <t>8100000025</t>
  </si>
  <si>
    <t>0091172630</t>
  </si>
  <si>
    <t>1400001006</t>
  </si>
  <si>
    <t>Dynaplast Bắc Ninh-Điều chỉnh tăng giá</t>
  </si>
  <si>
    <t>C26TTC;1082</t>
  </si>
  <si>
    <t>0091172632</t>
  </si>
  <si>
    <t>1400001007</t>
  </si>
  <si>
    <t>1C26TTC;1083</t>
  </si>
  <si>
    <t>0091172634</t>
  </si>
  <si>
    <t>1400001008</t>
  </si>
  <si>
    <t>1C26TTC;1084</t>
  </si>
  <si>
    <t>0091172638</t>
  </si>
  <si>
    <t>1400001009</t>
  </si>
  <si>
    <t>1C26TTC;1085</t>
  </si>
  <si>
    <t>0091172639</t>
  </si>
  <si>
    <t>1400001010</t>
  </si>
  <si>
    <t>1C26TTC;1086</t>
  </si>
  <si>
    <t>0091172640</t>
  </si>
  <si>
    <t>1400001011</t>
  </si>
  <si>
    <t>1C26TTC;1087</t>
  </si>
  <si>
    <t>0091172641</t>
  </si>
  <si>
    <t>1400001012</t>
  </si>
  <si>
    <t>1C26TTC;1088</t>
  </si>
  <si>
    <t>0091172642</t>
  </si>
  <si>
    <t>1400001013</t>
  </si>
  <si>
    <t>1C26TTC;1089</t>
  </si>
  <si>
    <t>0091172643</t>
  </si>
  <si>
    <t>1400001014</t>
  </si>
  <si>
    <t>1005</t>
  </si>
  <si>
    <t>Duy Tân Long An</t>
  </si>
  <si>
    <t>1C26TTC;1090</t>
  </si>
  <si>
    <t>0091172644</t>
  </si>
  <si>
    <t>1400001015</t>
  </si>
  <si>
    <t>1C26TTC;1091</t>
  </si>
  <si>
    <t>0091172645</t>
  </si>
  <si>
    <t>1400001016</t>
  </si>
  <si>
    <t>1C26TTC;1092</t>
  </si>
  <si>
    <t>0091172646</t>
  </si>
  <si>
    <t>5100002521</t>
  </si>
  <si>
    <t>Cutoff Xuất 4400kg rPET cho Unilever Ngọc Nghĩa</t>
  </si>
  <si>
    <t>510000252110012026</t>
  </si>
  <si>
    <t>0091172631</t>
  </si>
  <si>
    <t>Tháng 3</t>
  </si>
  <si>
    <t>04 | 01</t>
  </si>
  <si>
    <t>04 | 02</t>
  </si>
  <si>
    <t>04 | 03</t>
  </si>
  <si>
    <t>04 | 04</t>
  </si>
  <si>
    <t>04 | 06</t>
  </si>
  <si>
    <t>04 | 07</t>
  </si>
  <si>
    <t>04 | 08</t>
  </si>
  <si>
    <t>Sum of GBTB (VND/kg)</t>
  </si>
  <si>
    <t>1300000093</t>
  </si>
  <si>
    <t>105205</t>
  </si>
  <si>
    <t>CÔNG TY  ĐẠI LỘC</t>
  </si>
  <si>
    <t>Cước phí thuê xe đi công tác -Đại Lộc</t>
  </si>
  <si>
    <t>C26TTC;1127</t>
  </si>
  <si>
    <t>1C26TTC;1127</t>
  </si>
  <si>
    <t>Cước phí thuê xe đi công</t>
  </si>
  <si>
    <t>130000009310012026</t>
  </si>
  <si>
    <t>1300000094</t>
  </si>
  <si>
    <t>Xuất 1,5kg Phó sản HD cho R&amp;D k thu tiền</t>
  </si>
  <si>
    <t>C26TTC;1128</t>
  </si>
  <si>
    <t>1C26TTC;1128</t>
  </si>
  <si>
    <t>Xuất 1,5kg Phó sản HD cho</t>
  </si>
  <si>
    <t>130000009410012026</t>
  </si>
  <si>
    <t>1400001017</t>
  </si>
  <si>
    <t>200384</t>
  </si>
  <si>
    <t>TRICON</t>
  </si>
  <si>
    <t>HAO.CA</t>
  </si>
  <si>
    <t>1C26TTC;1096</t>
  </si>
  <si>
    <t>26,25400</t>
  </si>
  <si>
    <t>0091172660</t>
  </si>
  <si>
    <t>1400001018</t>
  </si>
  <si>
    <t>1C26TTC;1097</t>
  </si>
  <si>
    <t>0091172661</t>
  </si>
  <si>
    <t>1400001019</t>
  </si>
  <si>
    <t>1C26TTC;1098</t>
  </si>
  <si>
    <t>0091172662</t>
  </si>
  <si>
    <t>1400001020</t>
  </si>
  <si>
    <t>1C26TTC;1100</t>
  </si>
  <si>
    <t>0091172663</t>
  </si>
  <si>
    <t>1400001021</t>
  </si>
  <si>
    <t>1C26TTC;1101</t>
  </si>
  <si>
    <t>0091172664</t>
  </si>
  <si>
    <t>1400001022</t>
  </si>
  <si>
    <t>1C26TTC;1099</t>
  </si>
  <si>
    <t>0091172665</t>
  </si>
  <si>
    <t>1400001023</t>
  </si>
  <si>
    <t>1C26TTC;1102</t>
  </si>
  <si>
    <t>0091172666</t>
  </si>
  <si>
    <t>1400001024</t>
  </si>
  <si>
    <t>1C26TTC;1103</t>
  </si>
  <si>
    <t>0091172667</t>
  </si>
  <si>
    <t>1400001025</t>
  </si>
  <si>
    <t>1C26TTC;1104</t>
  </si>
  <si>
    <t>0091172668</t>
  </si>
  <si>
    <t>1400001026</t>
  </si>
  <si>
    <t>1C26TTC;1105</t>
  </si>
  <si>
    <t>0091172669</t>
  </si>
  <si>
    <t>1400001027</t>
  </si>
  <si>
    <t>1C26TTC;1106</t>
  </si>
  <si>
    <t>0091172670</t>
  </si>
  <si>
    <t>1400001028</t>
  </si>
  <si>
    <t>CPSX Nhựa Duy Tân</t>
  </si>
  <si>
    <t>1C26TTC;1107</t>
  </si>
  <si>
    <t>0091172671</t>
  </si>
  <si>
    <t>1400001029</t>
  </si>
  <si>
    <t>105303</t>
  </si>
  <si>
    <t>TÂN LẬP THÀNH</t>
  </si>
  <si>
    <t>1C26TTC;1108</t>
  </si>
  <si>
    <t>0091172672</t>
  </si>
  <si>
    <t>1400001030</t>
  </si>
  <si>
    <t>105189</t>
  </si>
  <si>
    <t>CHẤN THUẬN THÀNH</t>
  </si>
  <si>
    <t>1C26TTC;1109</t>
  </si>
  <si>
    <t>0091172674</t>
  </si>
  <si>
    <t>1400001031</t>
  </si>
  <si>
    <t>1C26TTC;1110</t>
  </si>
  <si>
    <t>0091172682</t>
  </si>
  <si>
    <t>1400001032</t>
  </si>
  <si>
    <t>1C26TTC;1111</t>
  </si>
  <si>
    <t>0091172683</t>
  </si>
  <si>
    <t>1400001033</t>
  </si>
  <si>
    <t>1C26TTC;1112</t>
  </si>
  <si>
    <t>0091172684</t>
  </si>
  <si>
    <t>1400001034</t>
  </si>
  <si>
    <t>1C26TTC;1116</t>
  </si>
  <si>
    <t>0091172685</t>
  </si>
  <si>
    <t>1400001035</t>
  </si>
  <si>
    <t>1C26TTC;1113</t>
  </si>
  <si>
    <t>0091172686</t>
  </si>
  <si>
    <t>1400001036</t>
  </si>
  <si>
    <t>200400</t>
  </si>
  <si>
    <t>Shepley Spring</t>
  </si>
  <si>
    <t>1C26TTC;1117</t>
  </si>
  <si>
    <t>26,25000</t>
  </si>
  <si>
    <t>0091172687</t>
  </si>
  <si>
    <t>1400001037</t>
  </si>
  <si>
    <t>1C26TTC;1118</t>
  </si>
  <si>
    <t>0091172688</t>
  </si>
  <si>
    <t>1400001038</t>
  </si>
  <si>
    <t>1C26TTC;1119</t>
  </si>
  <si>
    <t>0091172689</t>
  </si>
  <si>
    <t>1400001039</t>
  </si>
  <si>
    <t>1C26TTC;1120</t>
  </si>
  <si>
    <t>0091172690</t>
  </si>
  <si>
    <t>1400001040</t>
  </si>
  <si>
    <t>1C26TTC;1121</t>
  </si>
  <si>
    <t>0091172691</t>
  </si>
  <si>
    <t>1400001041</t>
  </si>
  <si>
    <t>1C26TTC;1114</t>
  </si>
  <si>
    <t>0091172692</t>
  </si>
  <si>
    <t>1400001042</t>
  </si>
  <si>
    <t>104909</t>
  </si>
  <si>
    <t>Công ty TNHH La Vie</t>
  </si>
  <si>
    <t>1C26TTC;1115</t>
  </si>
  <si>
    <t>0091172693</t>
  </si>
  <si>
    <t>1400001043</t>
  </si>
  <si>
    <t>1C26TTC;1122</t>
  </si>
  <si>
    <t>0091172694</t>
  </si>
  <si>
    <t>1400001044</t>
  </si>
  <si>
    <t>1C26TTC;1123</t>
  </si>
  <si>
    <t>0091172695</t>
  </si>
  <si>
    <t>1400001045</t>
  </si>
  <si>
    <t>105423</t>
  </si>
  <si>
    <t>DƯƠNG THUẬN PHÁT</t>
  </si>
  <si>
    <t>1C26TTC;1124</t>
  </si>
  <si>
    <t>110000522</t>
  </si>
  <si>
    <t>0091172696</t>
  </si>
  <si>
    <t>1400001046</t>
  </si>
  <si>
    <t>105382</t>
  </si>
  <si>
    <t>VĂN MINH</t>
  </si>
  <si>
    <t>1C26TTC;1125</t>
  </si>
  <si>
    <t>0091172697</t>
  </si>
  <si>
    <t>1400001047</t>
  </si>
  <si>
    <t>1C26TTC;1126</t>
  </si>
  <si>
    <t>0091172698</t>
  </si>
  <si>
    <t>04 | 09</t>
  </si>
  <si>
    <t>04 | 10</t>
  </si>
  <si>
    <t>Hạt Nhựa rPET WSS03NC</t>
  </si>
  <si>
    <t>110000522 | Hạt Nhựa rPET WSS03NC</t>
  </si>
  <si>
    <t>Mã khách</t>
  </si>
  <si>
    <t>Tên khách</t>
  </si>
  <si>
    <t>Kênh</t>
  </si>
  <si>
    <t>Incoterm</t>
  </si>
  <si>
    <t>SẢN LƯỢNG</t>
  </si>
  <si>
    <t>GIÁ BÁN THEO HĐ</t>
  </si>
  <si>
    <t>TỶ GIÁ</t>
  </si>
  <si>
    <t>GIÁ BÁN (VND/kg)</t>
  </si>
  <si>
    <t>DOANH THU (VND)</t>
  </si>
  <si>
    <t>SO+Hóa đơn</t>
  </si>
  <si>
    <t>SO+Chưa hóa đơn</t>
  </si>
  <si>
    <t>Dự báo</t>
  </si>
  <si>
    <t>Tổng</t>
  </si>
  <si>
    <t>TB</t>
  </si>
  <si>
    <t>TỔNG</t>
  </si>
  <si>
    <t>SO</t>
  </si>
  <si>
    <t>CP VC (VND)</t>
  </si>
  <si>
    <t>ĐG</t>
  </si>
  <si>
    <t>30030715 Hủy
30030729</t>
  </si>
  <si>
    <t>30030465</t>
  </si>
  <si>
    <t>30030517</t>
  </si>
  <si>
    <t>30030527</t>
  </si>
  <si>
    <t>30030542</t>
  </si>
  <si>
    <t>30030554</t>
  </si>
  <si>
    <t>30030555</t>
  </si>
  <si>
    <t>30030562</t>
  </si>
  <si>
    <t>30030572</t>
  </si>
  <si>
    <t>30030577</t>
  </si>
  <si>
    <t>30030578</t>
  </si>
  <si>
    <t>30030608</t>
  </si>
  <si>
    <t>30030607</t>
  </si>
  <si>
    <t>30030609</t>
  </si>
  <si>
    <t>30030593</t>
  </si>
  <si>
    <t>30030548</t>
  </si>
  <si>
    <t>30030615</t>
  </si>
  <si>
    <t>30030619</t>
  </si>
  <si>
    <t>30030591</t>
  </si>
  <si>
    <t>30030627</t>
  </si>
  <si>
    <t>30030634</t>
  </si>
  <si>
    <t>30030625</t>
  </si>
  <si>
    <t>30030643</t>
  </si>
  <si>
    <t>30030640</t>
  </si>
  <si>
    <t>30030649</t>
  </si>
  <si>
    <t>30030650</t>
  </si>
  <si>
    <t>30030651</t>
  </si>
  <si>
    <t>30030646</t>
  </si>
  <si>
    <t>30030657</t>
  </si>
  <si>
    <t>30030655</t>
  </si>
  <si>
    <t>30030658</t>
  </si>
  <si>
    <t>30030659</t>
  </si>
  <si>
    <t>30030660</t>
  </si>
  <si>
    <t>30030667</t>
  </si>
  <si>
    <t>30030668</t>
  </si>
  <si>
    <t>30030681</t>
  </si>
  <si>
    <t>30030676</t>
  </si>
  <si>
    <t>30030675</t>
  </si>
  <si>
    <t>30030683</t>
  </si>
  <si>
    <t>30030638</t>
  </si>
  <si>
    <t>30030690</t>
  </si>
  <si>
    <t>30030695</t>
  </si>
  <si>
    <t>30030685</t>
  </si>
  <si>
    <t>30030673</t>
  </si>
  <si>
    <t>30030652</t>
  </si>
  <si>
    <t>30030666</t>
  </si>
  <si>
    <t>30030701</t>
  </si>
  <si>
    <t>30030687</t>
  </si>
  <si>
    <t>30030709</t>
  </si>
  <si>
    <t>30030712</t>
  </si>
  <si>
    <t>30030711</t>
  </si>
  <si>
    <t>30030713</t>
  </si>
  <si>
    <t>30030714</t>
  </si>
  <si>
    <t>30030677</t>
  </si>
  <si>
    <t>30030702</t>
  </si>
  <si>
    <t>30030718</t>
  </si>
  <si>
    <t>30030721</t>
  </si>
  <si>
    <t>30030723</t>
  </si>
  <si>
    <t>30030706</t>
  </si>
  <si>
    <t>30030679</t>
  </si>
  <si>
    <t>30030705</t>
  </si>
  <si>
    <t>30030731</t>
  </si>
  <si>
    <t>30030722</t>
  </si>
  <si>
    <t>30030734</t>
  </si>
  <si>
    <t>30030736</t>
  </si>
  <si>
    <t>30030733</t>
  </si>
  <si>
    <t>30030738</t>
  </si>
  <si>
    <t>30030739</t>
  </si>
  <si>
    <t>30030743</t>
  </si>
  <si>
    <t>30030707</t>
  </si>
  <si>
    <t>30030740</t>
  </si>
  <si>
    <t>30030708</t>
  </si>
  <si>
    <t>30030704</t>
  </si>
  <si>
    <t>30030741</t>
  </si>
  <si>
    <t>30030732</t>
  </si>
  <si>
    <t>30030744</t>
  </si>
  <si>
    <t>30030746</t>
  </si>
  <si>
    <t>Billing</t>
  </si>
  <si>
    <t>ĐÃ GIAO</t>
  </si>
  <si>
    <t>Vảy HD Ép Hỗn Hợp ST</t>
  </si>
  <si>
    <t>Phó Sản PET Tomra Cổng 3 Sau Lựa, Rửa</t>
  </si>
  <si>
    <t>Vảy HD Ép Hỗn Hợp SSR</t>
  </si>
  <si>
    <t>Sri Thái Bình Dương</t>
  </si>
  <si>
    <t>Văn Minh</t>
  </si>
  <si>
    <t>Cường Gia Phát</t>
  </si>
  <si>
    <t>REYNERA</t>
  </si>
  <si>
    <t>Plascene, Inc.</t>
  </si>
  <si>
    <t>Việt Thành Plast</t>
  </si>
  <si>
    <t>Mondelez - Việt Thành</t>
  </si>
  <si>
    <t>Uy Kiệt</t>
  </si>
  <si>
    <t>Đại Lục</t>
  </si>
  <si>
    <t>Duy Tân</t>
  </si>
  <si>
    <t>GIA TƯỜNG</t>
  </si>
  <si>
    <t xml:space="preserve">Orient Plastic </t>
  </si>
  <si>
    <t>OUTEIRINHO</t>
  </si>
  <si>
    <t>Fega Polymers Member</t>
  </si>
  <si>
    <t>Niagara US</t>
  </si>
  <si>
    <t>HIỆP PHƯỚC THÀNH</t>
  </si>
  <si>
    <t>Aeonmall - DTP</t>
  </si>
  <si>
    <t>Coca Tây Ninh</t>
  </si>
  <si>
    <t>105207</t>
  </si>
  <si>
    <t>200358</t>
  </si>
  <si>
    <t>200311</t>
  </si>
  <si>
    <t>105330</t>
  </si>
  <si>
    <t>105229</t>
  </si>
  <si>
    <t>200393</t>
  </si>
  <si>
    <t>200332</t>
  </si>
  <si>
    <t>200330</t>
  </si>
  <si>
    <t>200319</t>
  </si>
  <si>
    <t>105424</t>
  </si>
  <si>
    <t>105383</t>
  </si>
  <si>
    <t>105328</t>
  </si>
  <si>
    <t>SỐ LƯỢNG</t>
  </si>
  <si>
    <t>CÒN LẠI</t>
  </si>
  <si>
    <t>DDP</t>
  </si>
  <si>
    <t>EXW</t>
  </si>
  <si>
    <t>CIF</t>
  </si>
  <si>
    <t>FOB</t>
  </si>
  <si>
    <t>30030710</t>
  </si>
  <si>
    <t>30030717</t>
  </si>
  <si>
    <t>30030716</t>
  </si>
  <si>
    <t>30030720</t>
  </si>
  <si>
    <t>30030724</t>
  </si>
  <si>
    <t>30030727</t>
  </si>
  <si>
    <t>30030737</t>
  </si>
  <si>
    <t>30030715</t>
  </si>
  <si>
    <t>91172511</t>
  </si>
  <si>
    <t>91172512</t>
  </si>
  <si>
    <t>91172513</t>
  </si>
  <si>
    <t>91172514</t>
  </si>
  <si>
    <t>91172515</t>
  </si>
  <si>
    <t>91172517</t>
  </si>
  <si>
    <t>91172516</t>
  </si>
  <si>
    <t>91172519</t>
  </si>
  <si>
    <t>91172518</t>
  </si>
  <si>
    <t>91172520</t>
  </si>
  <si>
    <t>91172524</t>
  </si>
  <si>
    <t>91172525</t>
  </si>
  <si>
    <t>91172526</t>
  </si>
  <si>
    <t>91172531</t>
  </si>
  <si>
    <t>91172527</t>
  </si>
  <si>
    <t>91172528</t>
  </si>
  <si>
    <t>91172529</t>
  </si>
  <si>
    <t>91172530</t>
  </si>
  <si>
    <t>91172521</t>
  </si>
  <si>
    <t>91172523</t>
  </si>
  <si>
    <t>91172532</t>
  </si>
  <si>
    <t>91172544</t>
  </si>
  <si>
    <t>91172545</t>
  </si>
  <si>
    <t>91172546</t>
  </si>
  <si>
    <t>91172547</t>
  </si>
  <si>
    <t>91172548</t>
  </si>
  <si>
    <t>91172549</t>
  </si>
  <si>
    <t>91172550</t>
  </si>
  <si>
    <t>91172551</t>
  </si>
  <si>
    <t>91172552</t>
  </si>
  <si>
    <t>91172553</t>
  </si>
  <si>
    <t>91172554</t>
  </si>
  <si>
    <t>91172555</t>
  </si>
  <si>
    <t>91172539</t>
  </si>
  <si>
    <t>91172556</t>
  </si>
  <si>
    <t>91172570</t>
  </si>
  <si>
    <t>91172571</t>
  </si>
  <si>
    <t>91172572</t>
  </si>
  <si>
    <t>91172573</t>
  </si>
  <si>
    <t>91172575</t>
  </si>
  <si>
    <t>91172574</t>
  </si>
  <si>
    <t>91172576</t>
  </si>
  <si>
    <t>91172577</t>
  </si>
  <si>
    <t>91172578</t>
  </si>
  <si>
    <t>91172579</t>
  </si>
  <si>
    <t>91172580</t>
  </si>
  <si>
    <t>91172581</t>
  </si>
  <si>
    <t>91172582</t>
  </si>
  <si>
    <t>91172568</t>
  </si>
  <si>
    <t>91172597</t>
  </si>
  <si>
    <t>91172598</t>
  </si>
  <si>
    <t>91172599</t>
  </si>
  <si>
    <t>91172600</t>
  </si>
  <si>
    <t>91172601</t>
  </si>
  <si>
    <t>91172602</t>
  </si>
  <si>
    <t>91172603</t>
  </si>
  <si>
    <t>91172604</t>
  </si>
  <si>
    <t>91172605</t>
  </si>
  <si>
    <t>91172606</t>
  </si>
  <si>
    <t>91172596</t>
  </si>
  <si>
    <t>91172594</t>
  </si>
  <si>
    <t>91172609</t>
  </si>
  <si>
    <t>91172610</t>
  </si>
  <si>
    <t>91172611</t>
  </si>
  <si>
    <t>91172612</t>
  </si>
  <si>
    <t>91172613</t>
  </si>
  <si>
    <t>91172614</t>
  </si>
  <si>
    <t>91172615</t>
  </si>
  <si>
    <t>91172616</t>
  </si>
  <si>
    <t>91172638</t>
  </si>
  <si>
    <t>91172639</t>
  </si>
  <si>
    <t>91172640</t>
  </si>
  <si>
    <t>91172641</t>
  </si>
  <si>
    <t>91172642</t>
  </si>
  <si>
    <t>91172643</t>
  </si>
  <si>
    <t>91172644</t>
  </si>
  <si>
    <t>91172645</t>
  </si>
  <si>
    <t>91172646</t>
  </si>
  <si>
    <t>91172634</t>
  </si>
  <si>
    <t>91172627</t>
  </si>
  <si>
    <t>91172682</t>
  </si>
  <si>
    <t>91172683</t>
  </si>
  <si>
    <t>91172684</t>
  </si>
  <si>
    <t>91172685</t>
  </si>
  <si>
    <t>91172686</t>
  </si>
  <si>
    <t>91172687</t>
  </si>
  <si>
    <t>91172688</t>
  </si>
  <si>
    <t>91172689</t>
  </si>
  <si>
    <t>91172690</t>
  </si>
  <si>
    <t>91172691</t>
  </si>
  <si>
    <t>91172692</t>
  </si>
  <si>
    <t>91172693</t>
  </si>
  <si>
    <t>91172694</t>
  </si>
  <si>
    <t>91172695</t>
  </si>
  <si>
    <t>91172696</t>
  </si>
  <si>
    <t>91172697</t>
  </si>
  <si>
    <t>91172698</t>
  </si>
  <si>
    <t>91172707</t>
  </si>
  <si>
    <t>91172708</t>
  </si>
  <si>
    <t>91172709</t>
  </si>
  <si>
    <t>91172710</t>
  </si>
  <si>
    <t>91172711</t>
  </si>
  <si>
    <t>91172712</t>
  </si>
  <si>
    <t>91172713</t>
  </si>
  <si>
    <t>91172714</t>
  </si>
  <si>
    <t>91172715</t>
  </si>
  <si>
    <t>91172716</t>
  </si>
  <si>
    <t>91172717</t>
  </si>
  <si>
    <t>91172718</t>
  </si>
  <si>
    <t>91172719</t>
  </si>
  <si>
    <t>91172720</t>
  </si>
  <si>
    <t>91172700</t>
  </si>
  <si>
    <t>91172705</t>
  </si>
  <si>
    <t>91172721</t>
  </si>
  <si>
    <t>cthuc</t>
  </si>
  <si>
    <t>Link vào file BCQT</t>
  </si>
  <si>
    <t>BILIING</t>
  </si>
  <si>
    <t>91172660</t>
  </si>
  <si>
    <t>91172661</t>
  </si>
  <si>
    <t>91172662</t>
  </si>
  <si>
    <t>91172663</t>
  </si>
  <si>
    <t>91172664</t>
  </si>
  <si>
    <t>91172665</t>
  </si>
  <si>
    <t>91172666</t>
  </si>
  <si>
    <t>91172667</t>
  </si>
  <si>
    <t>91172668</t>
  </si>
  <si>
    <t>91172669</t>
  </si>
  <si>
    <t>91172670</t>
  </si>
  <si>
    <t>91172671</t>
  </si>
  <si>
    <t>91172672</t>
  </si>
  <si>
    <t>91172608</t>
  </si>
  <si>
    <t>91172622</t>
  </si>
  <si>
    <t>91172626</t>
  </si>
  <si>
    <t>91172674</t>
  </si>
  <si>
    <t>105339 | 110000361</t>
  </si>
  <si>
    <t>105207 | 110000332</t>
  </si>
  <si>
    <t>105263 | 110000339</t>
  </si>
  <si>
    <t>105271 | 110000332</t>
  </si>
  <si>
    <t>105382 | 160012611</t>
  </si>
  <si>
    <t>105405 | 160012801</t>
  </si>
  <si>
    <t>105382 | 110000408</t>
  </si>
  <si>
    <t>105371 | 160012956</t>
  </si>
  <si>
    <t>104909 | 110000329</t>
  </si>
  <si>
    <t>105266 | 110000354</t>
  </si>
  <si>
    <t>105324 | 110000409</t>
  </si>
  <si>
    <t>105324 | 110000410</t>
  </si>
  <si>
    <t>105324 | 110000407</t>
  </si>
  <si>
    <t>104894 | 110000354</t>
  </si>
  <si>
    <t>105314 | 110000374</t>
  </si>
  <si>
    <t>105223 | 110000339</t>
  </si>
  <si>
    <t>200311 | 110000354</t>
  </si>
  <si>
    <t>200400 | 110000354</t>
  </si>
  <si>
    <t>105354 | 110000354</t>
  </si>
  <si>
    <t>105263 | 110000354</t>
  </si>
  <si>
    <t>105286 | 110000355</t>
  </si>
  <si>
    <t>105281 | 110000354</t>
  </si>
  <si>
    <t>104877 | 110000359</t>
  </si>
  <si>
    <t>105397 | 110000354</t>
  </si>
  <si>
    <t>105323 | 110000436</t>
  </si>
  <si>
    <t>200409 | 110000354</t>
  </si>
  <si>
    <t>105263 | 110000481</t>
  </si>
  <si>
    <t>105349 | 110000341</t>
  </si>
  <si>
    <t>1000 | 110000360</t>
  </si>
  <si>
    <t>1000 | 110000364</t>
  </si>
  <si>
    <t>105229 | 160012801</t>
  </si>
  <si>
    <t>105339 | 110000366</t>
  </si>
  <si>
    <t>105339 | 110000364</t>
  </si>
  <si>
    <t>105371 | 160012334</t>
  </si>
  <si>
    <t>105413 | 160012956</t>
  </si>
  <si>
    <t>105330 | 110000355</t>
  </si>
  <si>
    <t>105194 | 110000332</t>
  </si>
  <si>
    <t>200393 | 110000341</t>
  </si>
  <si>
    <t>200384 | 110000507</t>
  </si>
  <si>
    <t>105324 | 160012951</t>
  </si>
  <si>
    <t>105362 | 110000393</t>
  </si>
  <si>
    <t>105303 | 110000359</t>
  </si>
  <si>
    <t>105421 | 110000392</t>
  </si>
  <si>
    <t>200332 | 110000507</t>
  </si>
  <si>
    <t>1000 | 110000361</t>
  </si>
  <si>
    <t>105420 | 110000482</t>
  </si>
  <si>
    <t>105420 | 110000392</t>
  </si>
  <si>
    <t>200330 | 110000355</t>
  </si>
  <si>
    <t>105186 | 110000332</t>
  </si>
  <si>
    <t>200319 | 110000354</t>
  </si>
  <si>
    <t>105324 | 160012611</t>
  </si>
  <si>
    <t>1005 | 110000425</t>
  </si>
  <si>
    <t>105263 | 110000361</t>
  </si>
  <si>
    <t>105382 | 160012974</t>
  </si>
  <si>
    <t>105382 | 160012951</t>
  </si>
  <si>
    <t>105423 | 110000522</t>
  </si>
  <si>
    <t>105189 | 110000374</t>
  </si>
  <si>
    <t>105424 | 110000374</t>
  </si>
  <si>
    <t>1005 | 110000339</t>
  </si>
  <si>
    <t>105383 | 110000472</t>
  </si>
  <si>
    <t>105328 | 110000332</t>
  </si>
  <si>
    <t>Mã khách | Mã SKU</t>
  </si>
  <si>
    <t>105290 | 160012726</t>
  </si>
  <si>
    <t>105290 | 160012727</t>
  </si>
  <si>
    <t>105290 | 160012729</t>
  </si>
  <si>
    <t>105413 | 160012334</t>
  </si>
  <si>
    <t>x</t>
  </si>
  <si>
    <t>Ghi chú</t>
  </si>
  <si>
    <t>SO-EDITED</t>
  </si>
  <si>
    <t>Sai giá do kế hoạch đưa sai SO xuất hàng 30030455 , SO đúng 30030667</t>
  </si>
  <si>
    <t>CHECK LỖI</t>
  </si>
  <si>
    <t>Trích thêm Suntory</t>
  </si>
  <si>
    <t>Tên Customer</t>
  </si>
  <si>
    <t>Code SAP</t>
  </si>
  <si>
    <t>Product name</t>
  </si>
  <si>
    <t>Đã có PO / Booking</t>
  </si>
  <si>
    <t>Đã có PO / Chưa có booking</t>
  </si>
  <si>
    <t>Chưa có PO / Booking</t>
  </si>
  <si>
    <t>Hạt nhựa rPET WSS01G</t>
  </si>
  <si>
    <t>Hạt nhựa rHDPE rHDI3Gy01</t>
  </si>
  <si>
    <t>Hạt nhựa rHDPE rHDI3Y01</t>
  </si>
  <si>
    <t>Hạt nhựa rHDPE rHDI4DL01</t>
  </si>
  <si>
    <t>Hạt nhựa rPET WSS03NC</t>
  </si>
  <si>
    <t>Công ty trách nhiệm hữu hạn Uy Kiệt</t>
  </si>
  <si>
    <t>Suntory Sri Thái Bình Dương</t>
  </si>
  <si>
    <t>Hạt nhựa rHDPE MBF01</t>
  </si>
  <si>
    <t>Hạt nhựa rHDPE PCF01</t>
  </si>
  <si>
    <t>VILUBE - DTP</t>
  </si>
  <si>
    <t>Hạt nhựa rHDPE rHDB03N02</t>
  </si>
  <si>
    <t>CN COCA-COLA VN - LONG AN</t>
  </si>
  <si>
    <t>Hạt nhựa rHDPE rHDB04B01</t>
  </si>
  <si>
    <t>105372</t>
  </si>
  <si>
    <t>SANOFI - DTP</t>
  </si>
  <si>
    <t>Vảy PET GC dây đai</t>
  </si>
  <si>
    <t>Niagara Bottling, LLC</t>
  </si>
  <si>
    <t>200359</t>
  </si>
  <si>
    <t>PREMIUM WATER</t>
  </si>
  <si>
    <t>200383</t>
  </si>
  <si>
    <t>Natures Organics - PIA</t>
  </si>
  <si>
    <t>SHEPLEY SPRING</t>
  </si>
  <si>
    <t>Aeonmall/ (Home Coordy)</t>
  </si>
  <si>
    <t>Hạt nhựa rHDB03N01</t>
  </si>
  <si>
    <t>SALES</t>
  </si>
  <si>
    <t>Mã Khách | Mã SKU</t>
  </si>
  <si>
    <t>SOURCE</t>
  </si>
  <si>
    <t>TC-026</t>
  </si>
  <si>
    <t>Đã có PO</t>
  </si>
  <si>
    <t>Chưa có PO</t>
  </si>
  <si>
    <t>EXR-Dự báo</t>
  </si>
  <si>
    <t>X</t>
  </si>
  <si>
    <t>Sales</t>
  </si>
  <si>
    <t>Check</t>
  </si>
  <si>
    <t>Đếm</t>
  </si>
  <si>
    <t>CP Hoa hồng (VND)</t>
  </si>
  <si>
    <t>My</t>
  </si>
  <si>
    <t>ĐG-VC</t>
  </si>
  <si>
    <t>ĐG-HH</t>
  </si>
  <si>
    <t>Hoa Hồng 700đ/kg</t>
  </si>
  <si>
    <t>Nhu cầu 100 tấn/ tháng</t>
  </si>
  <si>
    <t>Hiệu lực 1/26-&gt; 2/26</t>
  </si>
  <si>
    <t>Giảm 68 tấn chuyển sang SO 30030695</t>
  </si>
  <si>
    <t>Mida chạy dự án Plascene nên giá bán bằng giá đã báo Plascene ạ</t>
  </si>
  <si>
    <t>Hạn từ T1/26 đến T2/26</t>
  </si>
  <si>
    <t>Hoa hồng 1000đ/kg</t>
  </si>
  <si>
    <t>Hoa Hồng 1000đ/kg, Phí TC 650.000đ/lô 4,4 tấn</t>
  </si>
  <si>
    <t>Hạn từ T1/26 đến T2/26
Chuyển 30 tấn So30030607 qua</t>
  </si>
  <si>
    <t>TC 200Đ/KG</t>
  </si>
  <si>
    <t>Giá bán đã chốt trước ngày 16/03/2026</t>
  </si>
  <si>
    <t>ĐG-HH-Nguyên tắc</t>
  </si>
  <si>
    <t>Qty</t>
  </si>
  <si>
    <t>Value_Hạt nhựa</t>
  </si>
  <si>
    <t>Value_Nhựa phế</t>
  </si>
  <si>
    <t>Value_Vảy mua ngoài</t>
  </si>
  <si>
    <t>Value_Bán TP</t>
  </si>
  <si>
    <t>Value_Màu</t>
  </si>
  <si>
    <t>Value_Keo xay</t>
  </si>
  <si>
    <t>Value_NVL phụ</t>
  </si>
  <si>
    <t>Value_Gia công</t>
  </si>
  <si>
    <t>Value_Cp điện sx</t>
  </si>
  <si>
    <t>Value_Bao bì đóng gói</t>
  </si>
  <si>
    <t>Value_Nylon màng co</t>
  </si>
  <si>
    <t>Value_Thùng giấy</t>
  </si>
  <si>
    <t>Value_Tem mã vạch</t>
  </si>
  <si>
    <t>Value_Nhãn</t>
  </si>
  <si>
    <t>Value_Nhân công đứng máy</t>
  </si>
  <si>
    <t>Value_Nhân công đóng gói</t>
  </si>
  <si>
    <t>Value_Nhân công gián tiếp</t>
  </si>
  <si>
    <t>Value_Khấu hao máy</t>
  </si>
  <si>
    <t>Value_Khấu hao khuôn</t>
  </si>
  <si>
    <t>Value_Cp sx chung</t>
  </si>
  <si>
    <t>Nhựa</t>
  </si>
  <si>
    <t>Màu/hóa chất/phụ gia</t>
  </si>
  <si>
    <t>Gia công</t>
  </si>
  <si>
    <t>Điện</t>
  </si>
  <si>
    <t>Bao bì</t>
  </si>
  <si>
    <t>NCTT</t>
  </si>
  <si>
    <t>NCGT</t>
  </si>
  <si>
    <t>Khấu hao máy</t>
  </si>
  <si>
    <t>CP sx chung</t>
  </si>
  <si>
    <t>SL-03</t>
  </si>
  <si>
    <t>Vảy PET B6.2_A3.1</t>
  </si>
  <si>
    <t>160012305</t>
  </si>
  <si>
    <t>Vảy PET B5_A2</t>
  </si>
  <si>
    <t>Tổng_ĐG_BC</t>
  </si>
  <si>
    <t>Hạt PET</t>
  </si>
  <si>
    <t>Hạt HD thổi/PP</t>
  </si>
  <si>
    <t>2T GẦN NHẤT</t>
  </si>
  <si>
    <t>Tỷ lệ giảm</t>
  </si>
  <si>
    <t>TP đầu 11* đầu kỳ</t>
  </si>
  <si>
    <t>CPSX tăng/giảm</t>
  </si>
  <si>
    <t>BOM Usage</t>
  </si>
  <si>
    <t>BOM category</t>
  </si>
  <si>
    <t>Bill of material</t>
  </si>
  <si>
    <t>Material Description</t>
  </si>
  <si>
    <t>Alternative BOM</t>
  </si>
  <si>
    <t>Base quantity</t>
  </si>
  <si>
    <t>Base unit of measure</t>
  </si>
  <si>
    <t>Component</t>
  </si>
  <si>
    <t>Component description</t>
  </si>
  <si>
    <t>Component quantity</t>
  </si>
  <si>
    <t>Component unit</t>
  </si>
  <si>
    <t>Component scrap (%)</t>
  </si>
  <si>
    <t>Created on</t>
  </si>
  <si>
    <t>Created by</t>
  </si>
  <si>
    <t>Changed on</t>
  </si>
  <si>
    <t>Changed by</t>
  </si>
  <si>
    <t>M</t>
  </si>
  <si>
    <t>00062098</t>
  </si>
  <si>
    <t>DIEM.NTT</t>
  </si>
  <si>
    <t>160012306</t>
  </si>
  <si>
    <t>Vảy PET B5_A3</t>
  </si>
  <si>
    <t>160012783</t>
  </si>
  <si>
    <t>160012423</t>
  </si>
  <si>
    <t>Phó Sản PET Bụi Vảy</t>
  </si>
  <si>
    <t>140006125</t>
  </si>
  <si>
    <t>Bao Jumbo 950x950x1300mm Đai Xanh Xơ Sợi</t>
  </si>
  <si>
    <t>EA</t>
  </si>
  <si>
    <t>Routine-định mức</t>
  </si>
  <si>
    <t>chọn này</t>
  </si>
  <si>
    <t>bỏ này</t>
  </si>
  <si>
    <t>GIÁ VỐN (VND)</t>
  </si>
  <si>
    <t>ĐIỀU CHỈNH</t>
  </si>
  <si>
    <t>Cost Component</t>
  </si>
  <si>
    <t>Name of Cost Component</t>
  </si>
  <si>
    <t>Total</t>
  </si>
  <si>
    <t>10</t>
  </si>
  <si>
    <t>Hạt nhựa</t>
  </si>
  <si>
    <t>11</t>
  </si>
  <si>
    <t>Nhựa phế</t>
  </si>
  <si>
    <t>12</t>
  </si>
  <si>
    <t>Vảy mua ngoài</t>
  </si>
  <si>
    <t>20</t>
  </si>
  <si>
    <t>Màu</t>
  </si>
  <si>
    <t>25</t>
  </si>
  <si>
    <t>Keo xay</t>
  </si>
  <si>
    <t>30</t>
  </si>
  <si>
    <t>NVL phụ</t>
  </si>
  <si>
    <t>Bán TP</t>
  </si>
  <si>
    <t>60</t>
  </si>
  <si>
    <t>Nhân công đứng máy</t>
  </si>
  <si>
    <t>70</t>
  </si>
  <si>
    <t>Nhân công đóng gói</t>
  </si>
  <si>
    <t>80</t>
  </si>
  <si>
    <t>Nhân công gián tiếp</t>
  </si>
  <si>
    <t>90</t>
  </si>
  <si>
    <t>100</t>
  </si>
  <si>
    <t>Khấu hao khuôn</t>
  </si>
  <si>
    <t>110</t>
  </si>
  <si>
    <t>CP Điện sx</t>
  </si>
  <si>
    <t>120</t>
  </si>
  <si>
    <t>121</t>
  </si>
  <si>
    <t>Bao bì đóng gói</t>
  </si>
  <si>
    <t>122</t>
  </si>
  <si>
    <t>Nylon màng co</t>
  </si>
  <si>
    <t>123</t>
  </si>
  <si>
    <t>Thùng giấy</t>
  </si>
  <si>
    <t>124</t>
  </si>
  <si>
    <t>Tem mã vạch</t>
  </si>
  <si>
    <t>125</t>
  </si>
  <si>
    <t>Nhãn</t>
  </si>
  <si>
    <t>LINK</t>
  </si>
  <si>
    <t>Điều chỉnh thuê xưởng thuê máy 2025</t>
  </si>
  <si>
    <t>Pallet xuất hàng</t>
  </si>
  <si>
    <t>VAT không được khấu trừ</t>
  </si>
  <si>
    <t>GIÁ VỐN-BREAKDOWN</t>
  </si>
  <si>
    <t>Vảy HD Ép Hỗn Hợp Cuối ST</t>
  </si>
  <si>
    <t>30030745</t>
  </si>
  <si>
    <t>Hạt Nhựa rPET WSS01</t>
  </si>
  <si>
    <t xml:space="preserve">Đại Lục </t>
  </si>
  <si>
    <t>Cẩm Thành (Vy Kỳ)</t>
  </si>
  <si>
    <t>105422</t>
  </si>
  <si>
    <t>VY KỲ PLASTIC</t>
  </si>
  <si>
    <t>COCA-COLA VIỆT NAM TẠI TỈNH TÂY NIN</t>
  </si>
  <si>
    <t>30030747</t>
  </si>
  <si>
    <t>Giao ngày 13-&gt;30/04</t>
  </si>
  <si>
    <t>Nam KH</t>
  </si>
  <si>
    <t>+/- Nam</t>
  </si>
  <si>
    <t>CÒN LẠI-HÓA ĐƠN T05</t>
  </si>
  <si>
    <t>105248</t>
  </si>
  <si>
    <t>ĐẠI NHẤT LONG</t>
  </si>
  <si>
    <t>105291</t>
  </si>
  <si>
    <t>AN NHẬT</t>
  </si>
  <si>
    <t>105315</t>
  </si>
  <si>
    <t>Kao Viet Nam</t>
  </si>
  <si>
    <t>200361</t>
  </si>
  <si>
    <t>MCP-Resinex</t>
  </si>
  <si>
    <t>200365</t>
  </si>
  <si>
    <t>Vinmar International</t>
  </si>
  <si>
    <t>Bán</t>
  </si>
  <si>
    <t>SỐ LƯỢNG SO CÒN GIAO ĐẦU T05</t>
  </si>
  <si>
    <t>1000 | 110000354</t>
  </si>
  <si>
    <t>1000 | 110000363</t>
  </si>
  <si>
    <t>1000 | 110000366</t>
  </si>
  <si>
    <t>1000 | 110000373</t>
  </si>
  <si>
    <t>105248 | 110000407</t>
  </si>
  <si>
    <t>105248 | 110000421</t>
  </si>
  <si>
    <t>105291 | 110000354</t>
  </si>
  <si>
    <t>105315 | 110000355</t>
  </si>
  <si>
    <t>105339 | 110000409</t>
  </si>
  <si>
    <t>105372 | 110000495</t>
  </si>
  <si>
    <t>200359 | 110000359</t>
  </si>
  <si>
    <t>200361 | 110000332</t>
  </si>
  <si>
    <t>200365 | 110000355</t>
  </si>
  <si>
    <t>200383 | 110000354</t>
  </si>
  <si>
    <t>Aeonmall/ (Home Coordy) | 110000394</t>
  </si>
  <si>
    <t>Điều chỉnh doanh thu Niagara-Q1</t>
  </si>
  <si>
    <t>SUNTORY/NIAGARA</t>
  </si>
  <si>
    <t>Doanh thu khác</t>
  </si>
  <si>
    <t>Thuê xưởng, thuê máy</t>
  </si>
  <si>
    <t>Pallet/Bao bì xuất hàng</t>
  </si>
  <si>
    <t>GVHB khác</t>
  </si>
  <si>
    <t>SO còn lại sau T05</t>
  </si>
  <si>
    <t>THÁNG 05</t>
  </si>
  <si>
    <t>LÃI GỘP KẾ TOÁN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</si>
</sst>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0.0%"/>
    <numFmt numFmtId="169" formatCode="_-* #,##0_-;\-* #,##0_-;_-* &quot;-&quot;??_-;_-@_-"/>
    <numFmt numFmtId="170" formatCode="_-* #,##0.0000000_-;\-* #,##0.0000000_-;_-* &quot;-&quot;??_-;_-@_-"/>
    <numFmt numFmtId="171" formatCode="_-* #,##0.0000_-;\-* #,##0.0000_-;_-* &quot;-&quot;??_-;_-@_-"/>
  </numFmts>
  <fonts count="30" x14ac:knownFonts="1">
    <font>
      <sz val="10"/>
      <name val="Arial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theme="7" tint="-0.49998474074526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i/>
      <sz val="10"/>
      <color rgb="FF00B0F0"/>
      <name val="Arial"/>
      <family val="2"/>
    </font>
    <font>
      <b/>
      <i/>
      <sz val="11"/>
      <color rgb="FF00B0F0"/>
      <name val="Arial"/>
      <family val="2"/>
    </font>
    <font>
      <b/>
      <i/>
      <sz val="13"/>
      <color rgb="FF00B0F0"/>
      <name val="Aptos Display"/>
      <family val="2"/>
      <scheme val="major"/>
    </font>
    <font>
      <b/>
      <i/>
      <sz val="11"/>
      <color rgb="FF00B0F0"/>
      <name val="Aptos Display"/>
      <family val="2"/>
      <scheme val="major"/>
    </font>
    <font>
      <sz val="10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b/>
      <sz val="11"/>
      <color theme="0" tint="-0.499984740745262"/>
      <name val="Aptos Display"/>
      <family val="2"/>
      <scheme val="major"/>
    </font>
    <font>
      <sz val="10"/>
      <color rgb="FF00B0F0"/>
      <name val="Arial"/>
      <family val="2"/>
    </font>
    <font>
      <b/>
      <sz val="10"/>
      <color theme="0"/>
      <name val="Arial"/>
      <family val="2"/>
    </font>
    <font>
      <sz val="10"/>
      <color theme="5" tint="-0.249977111117893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Display"/>
      <family val="2"/>
      <scheme val="major"/>
    </font>
    <font>
      <sz val="10"/>
      <color theme="8" tint="0.3999755851924192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8198"/>
        <bgColor indexed="64"/>
      </patternFill>
    </fill>
    <fill>
      <patternFill patternType="solid">
        <fgColor rgb="FF601A2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 style="thick">
        <color theme="3" tint="9.9948118533890809E-2"/>
      </left>
      <right/>
      <top style="thick">
        <color theme="3" tint="9.9948118533890809E-2"/>
      </top>
      <bottom style="thin">
        <color theme="0"/>
      </bottom>
      <diagonal/>
    </border>
    <border>
      <left/>
      <right/>
      <top style="thick">
        <color theme="3" tint="9.9948118533890809E-2"/>
      </top>
      <bottom style="thin">
        <color theme="0"/>
      </bottom>
      <diagonal/>
    </border>
    <border>
      <left/>
      <right style="thick">
        <color theme="3" tint="9.9948118533890809E-2"/>
      </right>
      <top style="thick">
        <color theme="3" tint="9.9948118533890809E-2"/>
      </top>
      <bottom style="thin">
        <color theme="0"/>
      </bottom>
      <diagonal/>
    </border>
    <border>
      <left style="thick">
        <color theme="3" tint="9.9948118533890809E-2"/>
      </left>
      <right/>
      <top/>
      <bottom/>
      <diagonal/>
    </border>
    <border>
      <left/>
      <right style="thick">
        <color theme="3" tint="9.9948118533890809E-2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165" fontId="0" fillId="0" borderId="0" xfId="0" applyNumberFormat="1" applyAlignment="1">
      <alignment vertical="top"/>
    </xf>
    <xf numFmtId="0" fontId="1" fillId="4" borderId="0" xfId="0" applyFont="1" applyFill="1"/>
    <xf numFmtId="0" fontId="0" fillId="0" borderId="0" xfId="0"/>
    <xf numFmtId="49" fontId="0" fillId="0" borderId="0" xfId="0" applyNumberFormat="1"/>
    <xf numFmtId="0" fontId="3" fillId="5" borderId="1" xfId="0" applyFont="1" applyFill="1" applyBorder="1" applyAlignment="1">
      <alignment vertical="top"/>
    </xf>
    <xf numFmtId="43" fontId="0" fillId="0" borderId="0" xfId="1" applyFont="1" applyAlignment="1">
      <alignment vertical="top"/>
    </xf>
    <xf numFmtId="165" fontId="0" fillId="0" borderId="0" xfId="1" applyNumberFormat="1" applyFont="1" applyAlignment="1">
      <alignment vertical="top"/>
    </xf>
    <xf numFmtId="165" fontId="0" fillId="0" borderId="0" xfId="1" applyNumberFormat="1" applyFont="1" applyAlignment="1">
      <alignment horizontal="right" vertical="top"/>
    </xf>
    <xf numFmtId="0" fontId="0" fillId="3" borderId="0" xfId="0" applyFill="1" applyAlignment="1">
      <alignment vertical="top"/>
    </xf>
    <xf numFmtId="165" fontId="0" fillId="3" borderId="0" xfId="1" applyNumberFormat="1" applyFont="1" applyFill="1" applyAlignment="1">
      <alignment vertical="top"/>
    </xf>
    <xf numFmtId="0" fontId="0" fillId="0" borderId="0" xfId="0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Continuous"/>
    </xf>
    <xf numFmtId="0" fontId="7" fillId="7" borderId="0" xfId="0" applyFont="1" applyFill="1" applyAlignment="1">
      <alignment horizontal="centerContinuous"/>
    </xf>
    <xf numFmtId="0" fontId="5" fillId="7" borderId="3" xfId="0" applyFont="1" applyFill="1" applyBorder="1" applyAlignment="1">
      <alignment horizontal="centerContinuous" vertical="center"/>
    </xf>
    <xf numFmtId="0" fontId="5" fillId="8" borderId="3" xfId="0" applyFont="1" applyFill="1" applyBorder="1" applyAlignment="1">
      <alignment horizontal="centerContinuous" vertical="center"/>
    </xf>
    <xf numFmtId="0" fontId="5" fillId="7" borderId="4" xfId="0" applyFont="1" applyFill="1" applyBorder="1" applyAlignment="1">
      <alignment horizontal="centerContinuous" vertical="center"/>
    </xf>
    <xf numFmtId="0" fontId="5" fillId="7" borderId="5" xfId="0" applyFont="1" applyFill="1" applyBorder="1" applyAlignment="1">
      <alignment horizontal="centerContinuous" vertical="center"/>
    </xf>
    <xf numFmtId="0" fontId="5" fillId="7" borderId="6" xfId="0" applyFont="1" applyFill="1" applyBorder="1" applyAlignment="1">
      <alignment horizontal="centerContinuous" vertical="center"/>
    </xf>
    <xf numFmtId="0" fontId="5" fillId="7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7" borderId="7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9" xfId="1" applyNumberFormat="1" applyFont="1" applyBorder="1"/>
    <xf numFmtId="165" fontId="0" fillId="0" borderId="0" xfId="1" applyNumberFormat="1" applyFont="1"/>
    <xf numFmtId="166" fontId="0" fillId="0" borderId="9" xfId="1" applyNumberFormat="1" applyFont="1" applyBorder="1"/>
    <xf numFmtId="165" fontId="0" fillId="0" borderId="10" xfId="1" applyNumberFormat="1" applyFont="1" applyBorder="1"/>
    <xf numFmtId="165" fontId="0" fillId="0" borderId="11" xfId="1" applyNumberFormat="1" applyFont="1" applyBorder="1"/>
    <xf numFmtId="0" fontId="0" fillId="0" borderId="12" xfId="0" applyBorder="1"/>
    <xf numFmtId="0" fontId="0" fillId="0" borderId="13" xfId="0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6" fontId="0" fillId="0" borderId="12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0" fontId="4" fillId="9" borderId="0" xfId="0" applyFont="1" applyFill="1" applyAlignment="1">
      <alignment vertical="center"/>
    </xf>
    <xf numFmtId="49" fontId="0" fillId="0" borderId="9" xfId="0" applyNumberFormat="1" applyBorder="1"/>
    <xf numFmtId="165" fontId="0" fillId="0" borderId="9" xfId="0" applyNumberFormat="1" applyBorder="1"/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 wrapText="1"/>
    </xf>
    <xf numFmtId="0" fontId="9" fillId="0" borderId="0" xfId="0" applyFont="1"/>
    <xf numFmtId="11" fontId="9" fillId="0" borderId="0" xfId="0" applyNumberFormat="1" applyFont="1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11" fillId="0" borderId="0" xfId="0" applyFont="1"/>
    <xf numFmtId="11" fontId="11" fillId="0" borderId="0" xfId="0" applyNumberFormat="1" applyFont="1"/>
    <xf numFmtId="165" fontId="11" fillId="0" borderId="0" xfId="1" applyNumberFormat="1" applyFont="1"/>
    <xf numFmtId="165" fontId="12" fillId="0" borderId="0" xfId="1" applyNumberFormat="1" applyFont="1" applyAlignment="1">
      <alignment vertical="top"/>
    </xf>
    <xf numFmtId="0" fontId="0" fillId="11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3" fillId="12" borderId="0" xfId="0" applyFont="1" applyFill="1" applyAlignment="1">
      <alignment vertical="top"/>
    </xf>
    <xf numFmtId="165" fontId="0" fillId="13" borderId="0" xfId="1" applyNumberFormat="1" applyFont="1" applyFill="1" applyAlignment="1">
      <alignment vertical="top"/>
    </xf>
    <xf numFmtId="0" fontId="8" fillId="0" borderId="0" xfId="0" applyFont="1"/>
    <xf numFmtId="11" fontId="8" fillId="0" borderId="0" xfId="0" applyNumberFormat="1" applyFont="1"/>
    <xf numFmtId="49" fontId="0" fillId="3" borderId="0" xfId="0" applyNumberFormat="1" applyFill="1" applyAlignment="1">
      <alignment vertical="top"/>
    </xf>
    <xf numFmtId="49" fontId="9" fillId="3" borderId="0" xfId="0" applyNumberFormat="1" applyFont="1" applyFill="1" applyAlignment="1">
      <alignment vertical="top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top"/>
    </xf>
    <xf numFmtId="165" fontId="12" fillId="0" borderId="0" xfId="0" applyNumberFormat="1" applyFont="1" applyAlignment="1">
      <alignment vertical="top"/>
    </xf>
    <xf numFmtId="0" fontId="13" fillId="14" borderId="17" xfId="0" applyFont="1" applyFill="1" applyBorder="1"/>
    <xf numFmtId="165" fontId="2" fillId="0" borderId="0" xfId="0" applyNumberFormat="1" applyFont="1"/>
    <xf numFmtId="0" fontId="2" fillId="0" borderId="18" xfId="0" applyFont="1" applyBorder="1" applyAlignment="1">
      <alignment vertical="top"/>
    </xf>
    <xf numFmtId="165" fontId="8" fillId="0" borderId="0" xfId="0" applyNumberFormat="1" applyFont="1"/>
    <xf numFmtId="0" fontId="0" fillId="16" borderId="9" xfId="0" applyFill="1" applyBorder="1"/>
    <xf numFmtId="49" fontId="0" fillId="16" borderId="9" xfId="0" applyNumberFormat="1" applyFill="1" applyBorder="1"/>
    <xf numFmtId="165" fontId="0" fillId="16" borderId="9" xfId="1" applyNumberFormat="1" applyFont="1" applyFill="1" applyBorder="1"/>
    <xf numFmtId="165" fontId="0" fillId="16" borderId="9" xfId="0" applyNumberFormat="1" applyFill="1" applyBorder="1"/>
    <xf numFmtId="0" fontId="0" fillId="16" borderId="0" xfId="0" applyFill="1"/>
    <xf numFmtId="165" fontId="0" fillId="16" borderId="0" xfId="1" applyNumberFormat="1" applyFont="1" applyFill="1"/>
    <xf numFmtId="166" fontId="0" fillId="16" borderId="9" xfId="1" applyNumberFormat="1" applyFont="1" applyFill="1" applyBorder="1"/>
    <xf numFmtId="165" fontId="0" fillId="16" borderId="10" xfId="1" applyNumberFormat="1" applyFont="1" applyFill="1" applyBorder="1"/>
    <xf numFmtId="165" fontId="0" fillId="16" borderId="11" xfId="1" applyNumberFormat="1" applyFont="1" applyFill="1" applyBorder="1"/>
    <xf numFmtId="0" fontId="2" fillId="16" borderId="0" xfId="0" applyFont="1" applyFill="1"/>
    <xf numFmtId="0" fontId="12" fillId="0" borderId="0" xfId="0" applyFont="1"/>
    <xf numFmtId="165" fontId="12" fillId="0" borderId="9" xfId="0" applyNumberFormat="1" applyFont="1" applyBorder="1"/>
    <xf numFmtId="0" fontId="12" fillId="0" borderId="9" xfId="0" applyFont="1" applyBorder="1"/>
    <xf numFmtId="0" fontId="12" fillId="0" borderId="12" xfId="0" applyFont="1" applyBorder="1"/>
    <xf numFmtId="0" fontId="6" fillId="15" borderId="0" xfId="0" applyFont="1" applyFill="1" applyAlignment="1">
      <alignment horizontal="center" vertical="center" wrapText="1"/>
    </xf>
    <xf numFmtId="0" fontId="8" fillId="16" borderId="0" xfId="0" applyFont="1" applyFill="1"/>
    <xf numFmtId="0" fontId="8" fillId="16" borderId="9" xfId="0" applyFont="1" applyFill="1" applyBorder="1"/>
    <xf numFmtId="49" fontId="8" fillId="16" borderId="9" xfId="0" applyNumberFormat="1" applyFont="1" applyFill="1" applyBorder="1"/>
    <xf numFmtId="165" fontId="8" fillId="16" borderId="9" xfId="1" applyNumberFormat="1" applyFont="1" applyFill="1" applyBorder="1"/>
    <xf numFmtId="165" fontId="8" fillId="16" borderId="9" xfId="0" applyNumberFormat="1" applyFont="1" applyFill="1" applyBorder="1"/>
    <xf numFmtId="165" fontId="8" fillId="16" borderId="0" xfId="1" applyNumberFormat="1" applyFont="1" applyFill="1"/>
    <xf numFmtId="166" fontId="8" fillId="16" borderId="9" xfId="1" applyNumberFormat="1" applyFont="1" applyFill="1" applyBorder="1"/>
    <xf numFmtId="165" fontId="8" fillId="16" borderId="10" xfId="1" applyNumberFormat="1" applyFont="1" applyFill="1" applyBorder="1"/>
    <xf numFmtId="165" fontId="8" fillId="16" borderId="11" xfId="1" applyNumberFormat="1" applyFont="1" applyFill="1" applyBorder="1"/>
    <xf numFmtId="0" fontId="0" fillId="17" borderId="0" xfId="0" applyFill="1" applyAlignment="1">
      <alignment vertical="top"/>
    </xf>
    <xf numFmtId="0" fontId="2" fillId="17" borderId="0" xfId="0" applyFont="1" applyFill="1" applyAlignment="1">
      <alignment vertical="top"/>
    </xf>
    <xf numFmtId="0" fontId="0" fillId="8" borderId="0" xfId="0" applyFill="1"/>
    <xf numFmtId="0" fontId="0" fillId="8" borderId="9" xfId="0" applyFill="1" applyBorder="1"/>
    <xf numFmtId="49" fontId="0" fillId="8" borderId="9" xfId="0" applyNumberFormat="1" applyFill="1" applyBorder="1"/>
    <xf numFmtId="165" fontId="0" fillId="8" borderId="9" xfId="1" applyNumberFormat="1" applyFont="1" applyFill="1" applyBorder="1"/>
    <xf numFmtId="165" fontId="0" fillId="8" borderId="9" xfId="0" applyNumberFormat="1" applyFill="1" applyBorder="1"/>
    <xf numFmtId="165" fontId="0" fillId="8" borderId="0" xfId="1" applyNumberFormat="1" applyFont="1" applyFill="1"/>
    <xf numFmtId="166" fontId="0" fillId="8" borderId="9" xfId="1" applyNumberFormat="1" applyFont="1" applyFill="1" applyBorder="1"/>
    <xf numFmtId="165" fontId="0" fillId="8" borderId="10" xfId="1" applyNumberFormat="1" applyFont="1" applyFill="1" applyBorder="1"/>
    <xf numFmtId="165" fontId="0" fillId="8" borderId="11" xfId="1" applyNumberFormat="1" applyFont="1" applyFill="1" applyBorder="1"/>
    <xf numFmtId="0" fontId="2" fillId="8" borderId="0" xfId="0" applyFont="1" applyFill="1"/>
    <xf numFmtId="43" fontId="0" fillId="16" borderId="9" xfId="1" applyFont="1" applyFill="1" applyBorder="1"/>
    <xf numFmtId="43" fontId="8" fillId="16" borderId="9" xfId="1" applyFont="1" applyFill="1" applyBorder="1"/>
    <xf numFmtId="43" fontId="0" fillId="8" borderId="9" xfId="1" applyFont="1" applyFill="1" applyBorder="1"/>
    <xf numFmtId="43" fontId="0" fillId="0" borderId="9" xfId="1" applyFont="1" applyBorder="1"/>
    <xf numFmtId="165" fontId="0" fillId="17" borderId="0" xfId="1" applyNumberFormat="1" applyFont="1" applyFill="1" applyAlignment="1">
      <alignment vertical="top"/>
    </xf>
    <xf numFmtId="0" fontId="14" fillId="0" borderId="0" xfId="0" applyFont="1"/>
    <xf numFmtId="0" fontId="15" fillId="0" borderId="0" xfId="0" applyFont="1"/>
    <xf numFmtId="0" fontId="16" fillId="7" borderId="2" xfId="0" applyFont="1" applyFill="1" applyBorder="1" applyAlignment="1">
      <alignment horizontal="centerContinuous"/>
    </xf>
    <xf numFmtId="0" fontId="17" fillId="0" borderId="0" xfId="0" applyFont="1" applyAlignment="1">
      <alignment vertical="center"/>
    </xf>
    <xf numFmtId="165" fontId="14" fillId="16" borderId="0" xfId="1" applyNumberFormat="1" applyFont="1" applyFill="1"/>
    <xf numFmtId="165" fontId="14" fillId="8" borderId="0" xfId="1" applyNumberFormat="1" applyFont="1" applyFill="1"/>
    <xf numFmtId="165" fontId="14" fillId="0" borderId="0" xfId="1" applyNumberFormat="1" applyFont="1"/>
    <xf numFmtId="165" fontId="14" fillId="0" borderId="13" xfId="1" applyNumberFormat="1" applyFont="1" applyBorder="1"/>
    <xf numFmtId="165" fontId="0" fillId="13" borderId="9" xfId="1" applyNumberFormat="1" applyFont="1" applyFill="1" applyBorder="1"/>
    <xf numFmtId="165" fontId="0" fillId="13" borderId="12" xfId="1" applyNumberFormat="1" applyFont="1" applyFill="1" applyBorder="1"/>
    <xf numFmtId="49" fontId="0" fillId="3" borderId="9" xfId="0" applyNumberFormat="1" applyFill="1" applyBorder="1"/>
    <xf numFmtId="0" fontId="0" fillId="3" borderId="9" xfId="0" applyFill="1" applyBorder="1"/>
    <xf numFmtId="167" fontId="0" fillId="0" borderId="9" xfId="1" applyNumberFormat="1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/>
    </xf>
    <xf numFmtId="165" fontId="21" fillId="0" borderId="0" xfId="0" applyNumberFormat="1" applyFont="1"/>
    <xf numFmtId="165" fontId="8" fillId="13" borderId="9" xfId="1" applyNumberFormat="1" applyFont="1" applyFill="1" applyBorder="1"/>
    <xf numFmtId="0" fontId="4" fillId="0" borderId="0" xfId="0" applyFont="1" applyAlignment="1">
      <alignment vertical="center"/>
    </xf>
    <xf numFmtId="166" fontId="0" fillId="13" borderId="9" xfId="1" applyNumberFormat="1" applyFont="1" applyFill="1" applyBorder="1"/>
    <xf numFmtId="43" fontId="0" fillId="13" borderId="9" xfId="1" applyFont="1" applyFill="1" applyBorder="1"/>
    <xf numFmtId="0" fontId="4" fillId="18" borderId="0" xfId="0" applyFont="1" applyFill="1" applyAlignment="1">
      <alignment vertical="center"/>
    </xf>
    <xf numFmtId="43" fontId="0" fillId="0" borderId="12" xfId="1" applyFont="1" applyBorder="1"/>
    <xf numFmtId="0" fontId="4" fillId="9" borderId="3" xfId="0" applyFont="1" applyFill="1" applyBorder="1" applyAlignment="1">
      <alignment vertical="center"/>
    </xf>
    <xf numFmtId="49" fontId="2" fillId="0" borderId="9" xfId="0" applyNumberFormat="1" applyFont="1" applyBorder="1"/>
    <xf numFmtId="166" fontId="0" fillId="16" borderId="0" xfId="1" applyNumberFormat="1" applyFont="1" applyFill="1"/>
    <xf numFmtId="0" fontId="0" fillId="16" borderId="13" xfId="0" applyFill="1" applyBorder="1"/>
    <xf numFmtId="0" fontId="4" fillId="9" borderId="0" xfId="0" applyFont="1" applyFill="1" applyAlignment="1">
      <alignment horizontal="right" vertical="center"/>
    </xf>
    <xf numFmtId="43" fontId="0" fillId="16" borderId="0" xfId="1" applyFont="1" applyFill="1"/>
    <xf numFmtId="166" fontId="0" fillId="0" borderId="0" xfId="0" applyNumberFormat="1"/>
    <xf numFmtId="43" fontId="0" fillId="3" borderId="0" xfId="1" applyFont="1" applyFill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0" fontId="0" fillId="16" borderId="0" xfId="0" applyNumberFormat="1" applyFill="1"/>
    <xf numFmtId="168" fontId="0" fillId="16" borderId="0" xfId="0" applyNumberFormat="1" applyFill="1"/>
    <xf numFmtId="165" fontId="8" fillId="0" borderId="0" xfId="1" applyNumberFormat="1" applyFont="1"/>
    <xf numFmtId="0" fontId="0" fillId="0" borderId="18" xfId="0" applyBorder="1" applyAlignment="1">
      <alignment vertical="top"/>
    </xf>
    <xf numFmtId="0" fontId="22" fillId="4" borderId="0" xfId="0" applyFont="1" applyFill="1" applyAlignment="1">
      <alignment vertical="top"/>
    </xf>
    <xf numFmtId="0" fontId="22" fillId="0" borderId="0" xfId="0" applyFont="1" applyAlignment="1">
      <alignment vertical="top"/>
    </xf>
    <xf numFmtId="0" fontId="0" fillId="0" borderId="20" xfId="0" applyBorder="1" applyAlignment="1">
      <alignment vertical="top"/>
    </xf>
    <xf numFmtId="165" fontId="0" fillId="0" borderId="20" xfId="1" applyNumberFormat="1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22" fillId="20" borderId="0" xfId="0" applyFont="1" applyFill="1" applyAlignment="1">
      <alignment vertical="top"/>
    </xf>
    <xf numFmtId="165" fontId="0" fillId="0" borderId="9" xfId="1" applyNumberFormat="1" applyFont="1" applyBorder="1" applyAlignment="1">
      <alignment vertical="top"/>
    </xf>
    <xf numFmtId="0" fontId="22" fillId="19" borderId="0" xfId="0" applyFont="1" applyFill="1" applyAlignment="1">
      <alignment horizontal="right" vertical="top"/>
    </xf>
    <xf numFmtId="166" fontId="12" fillId="0" borderId="9" xfId="1" applyNumberFormat="1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0" fontId="22" fillId="21" borderId="0" xfId="0" applyFont="1" applyFill="1" applyAlignment="1">
      <alignment vertical="top"/>
    </xf>
    <xf numFmtId="0" fontId="2" fillId="0" borderId="18" xfId="0" applyFont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165" fontId="21" fillId="0" borderId="0" xfId="1" applyNumberFormat="1" applyFont="1" applyAlignment="1">
      <alignment vertical="top"/>
    </xf>
    <xf numFmtId="0" fontId="22" fillId="22" borderId="0" xfId="0" applyFont="1" applyFill="1" applyAlignment="1">
      <alignment horizontal="right" vertical="top"/>
    </xf>
    <xf numFmtId="0" fontId="5" fillId="23" borderId="0" xfId="0" applyFont="1" applyFill="1" applyAlignment="1">
      <alignment vertical="center" wrapText="1"/>
    </xf>
    <xf numFmtId="0" fontId="4" fillId="24" borderId="0" xfId="0" applyFont="1" applyFill="1" applyAlignment="1">
      <alignment vertical="center" wrapText="1"/>
    </xf>
    <xf numFmtId="165" fontId="2" fillId="3" borderId="0" xfId="0" applyNumberFormat="1" applyFont="1" applyFill="1"/>
    <xf numFmtId="165" fontId="23" fillId="0" borderId="9" xfId="1" applyNumberFormat="1" applyFont="1" applyBorder="1" applyAlignment="1">
      <alignment vertical="top"/>
    </xf>
    <xf numFmtId="165" fontId="23" fillId="0" borderId="12" xfId="1" applyNumberFormat="1" applyFont="1" applyBorder="1" applyAlignment="1">
      <alignment vertical="top"/>
    </xf>
    <xf numFmtId="0" fontId="24" fillId="0" borderId="0" xfId="0" applyFont="1"/>
    <xf numFmtId="0" fontId="0" fillId="0" borderId="0" xfId="0" applyAlignment="1">
      <alignment vertical="center"/>
    </xf>
    <xf numFmtId="169" fontId="24" fillId="0" borderId="0" xfId="1" applyNumberFormat="1" applyFont="1"/>
    <xf numFmtId="169" fontId="0" fillId="0" borderId="0" xfId="1" applyNumberFormat="1" applyFont="1"/>
    <xf numFmtId="0" fontId="9" fillId="0" borderId="9" xfId="0" applyFont="1" applyBorder="1" applyAlignment="1">
      <alignment vertical="top"/>
    </xf>
    <xf numFmtId="165" fontId="9" fillId="0" borderId="20" xfId="1" applyNumberFormat="1" applyFont="1" applyBorder="1" applyAlignment="1">
      <alignment vertical="top"/>
    </xf>
    <xf numFmtId="0" fontId="9" fillId="0" borderId="0" xfId="0" applyFont="1" applyAlignment="1">
      <alignment vertical="top"/>
    </xf>
    <xf numFmtId="166" fontId="10" fillId="0" borderId="9" xfId="1" applyNumberFormat="1" applyFont="1" applyBorder="1" applyAlignment="1">
      <alignment vertical="top"/>
    </xf>
    <xf numFmtId="165" fontId="9" fillId="0" borderId="9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165" fontId="0" fillId="3" borderId="9" xfId="1" applyNumberFormat="1" applyFont="1" applyFill="1" applyBorder="1" applyAlignment="1">
      <alignment vertical="top"/>
    </xf>
    <xf numFmtId="165" fontId="24" fillId="0" borderId="0" xfId="1" applyNumberFormat="1" applyFont="1"/>
    <xf numFmtId="170" fontId="0" fillId="0" borderId="0" xfId="1" applyNumberFormat="1" applyFont="1"/>
    <xf numFmtId="171" fontId="0" fillId="8" borderId="0" xfId="0" applyNumberFormat="1" applyFill="1"/>
    <xf numFmtId="166" fontId="0" fillId="0" borderId="0" xfId="1" applyNumberFormat="1" applyFont="1" applyAlignment="1">
      <alignment horizontal="right" vertical="top"/>
    </xf>
    <xf numFmtId="0" fontId="25" fillId="0" borderId="0" xfId="0" applyFont="1"/>
    <xf numFmtId="0" fontId="26" fillId="0" borderId="0" xfId="0" applyFont="1" applyAlignment="1">
      <alignment vertical="top"/>
    </xf>
    <xf numFmtId="2" fontId="26" fillId="0" borderId="0" xfId="0" applyNumberFormat="1" applyFont="1" applyAlignment="1">
      <alignment horizontal="right" vertical="top"/>
    </xf>
    <xf numFmtId="166" fontId="26" fillId="0" borderId="0" xfId="1" applyNumberFormat="1" applyFont="1" applyAlignment="1">
      <alignment horizontal="right" vertical="top"/>
    </xf>
    <xf numFmtId="14" fontId="26" fillId="0" borderId="0" xfId="0" applyNumberFormat="1" applyFont="1" applyAlignment="1">
      <alignment horizontal="right" vertical="top"/>
    </xf>
    <xf numFmtId="165" fontId="26" fillId="0" borderId="0" xfId="1" applyNumberFormat="1" applyFont="1" applyAlignment="1">
      <alignment vertical="top"/>
    </xf>
    <xf numFmtId="165" fontId="26" fillId="0" borderId="0" xfId="0" applyNumberFormat="1" applyFont="1" applyAlignment="1">
      <alignment vertical="top"/>
    </xf>
    <xf numFmtId="165" fontId="26" fillId="3" borderId="0" xfId="1" applyNumberFormat="1" applyFont="1" applyFill="1" applyAlignment="1">
      <alignment vertical="top"/>
    </xf>
    <xf numFmtId="168" fontId="0" fillId="0" borderId="0" xfId="0" applyNumberFormat="1" applyAlignment="1">
      <alignment vertical="top"/>
    </xf>
    <xf numFmtId="165" fontId="9" fillId="0" borderId="0" xfId="0" applyNumberFormat="1" applyFont="1" applyAlignment="1">
      <alignment vertical="top"/>
    </xf>
    <xf numFmtId="43" fontId="9" fillId="0" borderId="0" xfId="1" applyFont="1" applyAlignment="1">
      <alignment vertical="top"/>
    </xf>
    <xf numFmtId="166" fontId="9" fillId="0" borderId="0" xfId="1" applyNumberFormat="1" applyFont="1" applyAlignment="1">
      <alignment vertical="top"/>
    </xf>
    <xf numFmtId="0" fontId="4" fillId="15" borderId="3" xfId="0" applyFont="1" applyFill="1" applyBorder="1" applyAlignment="1">
      <alignment vertical="center"/>
    </xf>
    <xf numFmtId="0" fontId="4" fillId="15" borderId="19" xfId="0" applyFont="1" applyFill="1" applyBorder="1" applyAlignment="1">
      <alignment horizontal="right" vertical="center"/>
    </xf>
    <xf numFmtId="0" fontId="4" fillId="15" borderId="19" xfId="0" applyFont="1" applyFill="1" applyBorder="1" applyAlignment="1">
      <alignment vertical="center"/>
    </xf>
    <xf numFmtId="0" fontId="10" fillId="0" borderId="0" xfId="0" applyFont="1"/>
    <xf numFmtId="0" fontId="27" fillId="0" borderId="0" xfId="0" applyFont="1"/>
    <xf numFmtId="165" fontId="12" fillId="16" borderId="9" xfId="1" applyNumberFormat="1" applyFont="1" applyFill="1" applyBorder="1"/>
    <xf numFmtId="165" fontId="27" fillId="16" borderId="9" xfId="1" applyNumberFormat="1" applyFont="1" applyFill="1" applyBorder="1"/>
    <xf numFmtId="43" fontId="12" fillId="0" borderId="9" xfId="1" applyFont="1" applyBorder="1"/>
    <xf numFmtId="43" fontId="12" fillId="0" borderId="12" xfId="1" applyFont="1" applyBorder="1"/>
    <xf numFmtId="165" fontId="12" fillId="16" borderId="0" xfId="1" applyNumberFormat="1" applyFont="1" applyFill="1"/>
    <xf numFmtId="165" fontId="27" fillId="16" borderId="0" xfId="1" applyNumberFormat="1" applyFont="1" applyFill="1"/>
    <xf numFmtId="165" fontId="12" fillId="8" borderId="0" xfId="1" applyNumberFormat="1" applyFont="1" applyFill="1"/>
    <xf numFmtId="0" fontId="4" fillId="5" borderId="3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right" vertical="center"/>
    </xf>
    <xf numFmtId="0" fontId="4" fillId="5" borderId="19" xfId="0" applyFont="1" applyFill="1" applyBorder="1" applyAlignment="1">
      <alignment vertical="center"/>
    </xf>
    <xf numFmtId="0" fontId="2" fillId="0" borderId="9" xfId="0" applyFont="1" applyBorder="1"/>
    <xf numFmtId="165" fontId="12" fillId="0" borderId="9" xfId="1" applyNumberFormat="1" applyFont="1" applyBorder="1"/>
    <xf numFmtId="165" fontId="12" fillId="0" borderId="12" xfId="1" applyNumberFormat="1" applyFont="1" applyBorder="1"/>
    <xf numFmtId="0" fontId="4" fillId="25" borderId="0" xfId="0" applyFont="1" applyFill="1" applyAlignment="1">
      <alignment vertical="center"/>
    </xf>
    <xf numFmtId="0" fontId="4" fillId="25" borderId="3" xfId="0" applyFont="1" applyFill="1" applyBorder="1" applyAlignment="1">
      <alignment vertical="center"/>
    </xf>
    <xf numFmtId="0" fontId="0" fillId="3" borderId="0" xfId="0" applyFill="1"/>
    <xf numFmtId="0" fontId="2" fillId="3" borderId="9" xfId="0" applyFont="1" applyFill="1" applyBorder="1"/>
    <xf numFmtId="165" fontId="0" fillId="3" borderId="9" xfId="1" applyNumberFormat="1" applyFont="1" applyFill="1" applyBorder="1"/>
    <xf numFmtId="165" fontId="0" fillId="3" borderId="9" xfId="0" applyNumberFormat="1" applyFill="1" applyBorder="1"/>
    <xf numFmtId="165" fontId="14" fillId="3" borderId="0" xfId="1" applyNumberFormat="1" applyFont="1" applyFill="1"/>
    <xf numFmtId="166" fontId="0" fillId="3" borderId="9" xfId="1" applyNumberFormat="1" applyFont="1" applyFill="1" applyBorder="1"/>
    <xf numFmtId="165" fontId="0" fillId="3" borderId="0" xfId="1" applyNumberFormat="1" applyFont="1" applyFill="1"/>
    <xf numFmtId="43" fontId="0" fillId="3" borderId="9" xfId="1" applyFont="1" applyFill="1" applyBorder="1"/>
    <xf numFmtId="165" fontId="0" fillId="3" borderId="10" xfId="1" applyNumberFormat="1" applyFont="1" applyFill="1" applyBorder="1"/>
    <xf numFmtId="165" fontId="0" fillId="3" borderId="11" xfId="1" applyNumberFormat="1" applyFont="1" applyFill="1" applyBorder="1"/>
    <xf numFmtId="0" fontId="12" fillId="3" borderId="9" xfId="0" applyFont="1" applyFill="1" applyBorder="1"/>
    <xf numFmtId="43" fontId="12" fillId="3" borderId="9" xfId="1" applyFont="1" applyFill="1" applyBorder="1"/>
    <xf numFmtId="165" fontId="12" fillId="3" borderId="9" xfId="1" applyNumberFormat="1" applyFont="1" applyFill="1" applyBorder="1"/>
    <xf numFmtId="166" fontId="14" fillId="16" borderId="9" xfId="1" applyNumberFormat="1" applyFont="1" applyFill="1" applyBorder="1"/>
    <xf numFmtId="165" fontId="12" fillId="8" borderId="9" xfId="1" applyNumberFormat="1" applyFont="1" applyFill="1" applyBorder="1"/>
    <xf numFmtId="166" fontId="14" fillId="8" borderId="9" xfId="1" applyNumberFormat="1" applyFont="1" applyFill="1" applyBorder="1"/>
    <xf numFmtId="0" fontId="14" fillId="0" borderId="9" xfId="0" applyFont="1" applyBorder="1"/>
    <xf numFmtId="0" fontId="14" fillId="3" borderId="9" xfId="0" applyFont="1" applyFill="1" applyBorder="1"/>
    <xf numFmtId="0" fontId="14" fillId="0" borderId="12" xfId="0" applyFont="1" applyBorder="1"/>
    <xf numFmtId="0" fontId="0" fillId="0" borderId="21" xfId="0" applyBorder="1" applyAlignment="1">
      <alignment vertical="top"/>
    </xf>
    <xf numFmtId="0" fontId="5" fillId="0" borderId="0" xfId="0" quotePrefix="1" applyFont="1" applyAlignment="1">
      <alignment vertical="center"/>
    </xf>
    <xf numFmtId="165" fontId="9" fillId="0" borderId="0" xfId="1" applyNumberFormat="1" applyFont="1"/>
    <xf numFmtId="165" fontId="0" fillId="0" borderId="0" xfId="0" applyNumberFormat="1"/>
    <xf numFmtId="43" fontId="9" fillId="0" borderId="0" xfId="0" applyNumberFormat="1" applyFont="1"/>
    <xf numFmtId="165" fontId="0" fillId="0" borderId="9" xfId="1" applyNumberFormat="1" applyFont="1" applyFill="1" applyBorder="1"/>
    <xf numFmtId="165" fontId="14" fillId="0" borderId="0" xfId="1" applyNumberFormat="1" applyFont="1" applyFill="1"/>
    <xf numFmtId="166" fontId="0" fillId="0" borderId="9" xfId="1" applyNumberFormat="1" applyFont="1" applyFill="1" applyBorder="1"/>
    <xf numFmtId="165" fontId="0" fillId="0" borderId="0" xfId="1" applyNumberFormat="1" applyFont="1" applyFill="1"/>
    <xf numFmtId="43" fontId="0" fillId="0" borderId="9" xfId="1" applyFont="1" applyFill="1" applyBorder="1"/>
    <xf numFmtId="165" fontId="0" fillId="0" borderId="10" xfId="1" applyNumberFormat="1" applyFont="1" applyFill="1" applyBorder="1"/>
    <xf numFmtId="165" fontId="0" fillId="0" borderId="11" xfId="1" applyNumberFormat="1" applyFont="1" applyFill="1" applyBorder="1"/>
    <xf numFmtId="165" fontId="12" fillId="0" borderId="9" xfId="1" applyNumberFormat="1" applyFont="1" applyFill="1" applyBorder="1"/>
    <xf numFmtId="165" fontId="12" fillId="0" borderId="0" xfId="1" applyNumberFormat="1" applyFont="1" applyFill="1"/>
    <xf numFmtId="166" fontId="14" fillId="0" borderId="9" xfId="1" applyNumberFormat="1" applyFont="1" applyFill="1" applyBorder="1"/>
    <xf numFmtId="43" fontId="12" fillId="0" borderId="9" xfId="1" applyFont="1" applyFill="1" applyBorder="1"/>
    <xf numFmtId="0" fontId="13" fillId="0" borderId="0" xfId="0" applyFont="1"/>
    <xf numFmtId="0" fontId="13" fillId="0" borderId="17" xfId="0" applyFont="1" applyBorder="1"/>
    <xf numFmtId="165" fontId="2" fillId="0" borderId="0" xfId="1" applyNumberFormat="1" applyFont="1" applyFill="1" applyAlignment="1">
      <alignment vertical="top"/>
    </xf>
    <xf numFmtId="165" fontId="2" fillId="17" borderId="0" xfId="1" applyNumberFormat="1" applyFont="1" applyFill="1" applyAlignment="1">
      <alignment vertical="top"/>
    </xf>
    <xf numFmtId="168" fontId="9" fillId="0" borderId="9" xfId="0" applyNumberFormat="1" applyFont="1" applyBorder="1" applyAlignment="1">
      <alignment vertical="top"/>
    </xf>
    <xf numFmtId="168" fontId="0" fillId="0" borderId="9" xfId="0" applyNumberFormat="1" applyBorder="1" applyAlignment="1">
      <alignment vertical="top"/>
    </xf>
    <xf numFmtId="168" fontId="0" fillId="0" borderId="12" xfId="0" applyNumberFormat="1" applyBorder="1" applyAlignment="1">
      <alignment vertical="top"/>
    </xf>
    <xf numFmtId="9" fontId="0" fillId="16" borderId="0" xfId="0" applyNumberFormat="1" applyFill="1"/>
    <xf numFmtId="49" fontId="2" fillId="8" borderId="9" xfId="0" applyNumberFormat="1" applyFont="1" applyFill="1" applyBorder="1"/>
    <xf numFmtId="165" fontId="14" fillId="3" borderId="9" xfId="1" applyNumberFormat="1" applyFont="1" applyFill="1" applyBorder="1"/>
    <xf numFmtId="166" fontId="2" fillId="13" borderId="9" xfId="1" applyNumberFormat="1" applyFont="1" applyFill="1" applyBorder="1"/>
    <xf numFmtId="168" fontId="27" fillId="0" borderId="0" xfId="0" applyNumberFormat="1" applyFont="1"/>
    <xf numFmtId="165" fontId="11" fillId="0" borderId="0" xfId="1" applyNumberFormat="1" applyFont="1" applyFill="1"/>
    <xf numFmtId="166" fontId="12" fillId="0" borderId="12" xfId="1" applyNumberFormat="1" applyFont="1" applyBorder="1" applyAlignment="1">
      <alignment vertical="top"/>
    </xf>
    <xf numFmtId="0" fontId="6" fillId="6" borderId="0" xfId="0" applyFont="1" applyFill="1" applyAlignment="1">
      <alignment vertical="center" wrapText="1"/>
    </xf>
    <xf numFmtId="0" fontId="6" fillId="15" borderId="19" xfId="0" applyFont="1" applyFill="1" applyBorder="1" applyAlignment="1">
      <alignment horizontal="right" vertical="center" wrapText="1"/>
    </xf>
    <xf numFmtId="0" fontId="6" fillId="15" borderId="0" xfId="0" applyFont="1" applyFill="1" applyAlignment="1">
      <alignment horizontal="right" vertical="center" wrapText="1"/>
    </xf>
    <xf numFmtId="0" fontId="6" fillId="10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vertical="center" wrapText="1"/>
    </xf>
    <xf numFmtId="0" fontId="6" fillId="26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7" formatCode="dd/mm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7" formatCode="dd/mm/yyyy\ h:mm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2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right"/>
    </dxf>
    <dxf>
      <alignment horizontal="right"/>
    </dxf>
    <dxf>
      <numFmt numFmtId="165" formatCode="_(* #,##0_);_(* \(#,##0\);_(* &quot;-&quot;??_);_(@_)"/>
    </dxf>
  </dxfs>
  <tableStyles count="0" defaultTableStyle="TableStyleMedium9" defaultPivotStyle="PivotStyleLight16"/>
  <colors>
    <mruColors>
      <color rgb="FFFFFF99"/>
      <color rgb="FF601A2C"/>
      <color rgb="FFDC81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441512</xdr:colOff>
      <xdr:row>2</xdr:row>
      <xdr:rowOff>56030</xdr:rowOff>
    </xdr:from>
    <xdr:to>
      <xdr:col>7</xdr:col>
      <xdr:colOff>2046194</xdr:colOff>
      <xdr:row>3</xdr:row>
      <xdr:rowOff>136712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2F044B-7FBB-EF37-9AED-77EAE61BF773}"/>
            </a:ext>
          </a:extLst>
        </xdr:cNvPr>
        <xdr:cNvSpPr/>
      </xdr:nvSpPr>
      <xdr:spPr>
        <a:xfrm>
          <a:off x="2001371" y="396689"/>
          <a:ext cx="7234517" cy="25997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00"/>
              </a:solidFill>
            </a:rPr>
            <a:t>COPY LẠI</a:t>
          </a:r>
          <a:r>
            <a:rPr lang="en-US" sz="1100" baseline="0">
              <a:solidFill>
                <a:srgbClr val="FFFF00"/>
              </a:solidFill>
            </a:rPr>
            <a:t> CỤM NÀY NẾU CÓ UPDATE Ở BƯỚC 1 =&gt; </a:t>
          </a:r>
          <a:r>
            <a:rPr lang="en-US" sz="1100" b="1" u="sng" baseline="0">
              <a:solidFill>
                <a:srgbClr val="FFFF00"/>
              </a:solidFill>
            </a:rPr>
            <a:t>NÊN CANH LẠI NẾU CÓ THÊM DÒNG cho cum TC-026</a:t>
          </a:r>
          <a:endParaRPr lang="en-US" sz="1100" b="1" u="sng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3</xdr:row>
      <xdr:rowOff>0</xdr:rowOff>
    </xdr:from>
    <xdr:to>
      <xdr:col>38</xdr:col>
      <xdr:colOff>152400</xdr:colOff>
      <xdr:row>3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</xdr:row>
      <xdr:rowOff>0</xdr:rowOff>
    </xdr:from>
    <xdr:to>
      <xdr:col>38</xdr:col>
      <xdr:colOff>152400</xdr:colOff>
      <xdr:row>4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</xdr:row>
      <xdr:rowOff>0</xdr:rowOff>
    </xdr:from>
    <xdr:to>
      <xdr:col>38</xdr:col>
      <xdr:colOff>152400</xdr:colOff>
      <xdr:row>5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</xdr:row>
      <xdr:rowOff>0</xdr:rowOff>
    </xdr:from>
    <xdr:to>
      <xdr:col>38</xdr:col>
      <xdr:colOff>152400</xdr:colOff>
      <xdr:row>6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7</xdr:row>
      <xdr:rowOff>0</xdr:rowOff>
    </xdr:from>
    <xdr:to>
      <xdr:col>38</xdr:col>
      <xdr:colOff>152400</xdr:colOff>
      <xdr:row>7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8</xdr:row>
      <xdr:rowOff>0</xdr:rowOff>
    </xdr:from>
    <xdr:to>
      <xdr:col>38</xdr:col>
      <xdr:colOff>152400</xdr:colOff>
      <xdr:row>8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9</xdr:row>
      <xdr:rowOff>0</xdr:rowOff>
    </xdr:from>
    <xdr:to>
      <xdr:col>38</xdr:col>
      <xdr:colOff>152400</xdr:colOff>
      <xdr:row>9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10</xdr:row>
      <xdr:rowOff>0</xdr:rowOff>
    </xdr:from>
    <xdr:to>
      <xdr:col>38</xdr:col>
      <xdr:colOff>152400</xdr:colOff>
      <xdr:row>10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11</xdr:row>
      <xdr:rowOff>0</xdr:rowOff>
    </xdr:from>
    <xdr:to>
      <xdr:col>38</xdr:col>
      <xdr:colOff>152400</xdr:colOff>
      <xdr:row>11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12</xdr:row>
      <xdr:rowOff>0</xdr:rowOff>
    </xdr:from>
    <xdr:to>
      <xdr:col>38</xdr:col>
      <xdr:colOff>152400</xdr:colOff>
      <xdr:row>12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13</xdr:row>
      <xdr:rowOff>0</xdr:rowOff>
    </xdr:from>
    <xdr:to>
      <xdr:col>38</xdr:col>
      <xdr:colOff>152400</xdr:colOff>
      <xdr:row>13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14</xdr:row>
      <xdr:rowOff>0</xdr:rowOff>
    </xdr:from>
    <xdr:to>
      <xdr:col>38</xdr:col>
      <xdr:colOff>152400</xdr:colOff>
      <xdr:row>14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15</xdr:row>
      <xdr:rowOff>0</xdr:rowOff>
    </xdr:from>
    <xdr:to>
      <xdr:col>38</xdr:col>
      <xdr:colOff>152400</xdr:colOff>
      <xdr:row>15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16</xdr:row>
      <xdr:rowOff>0</xdr:rowOff>
    </xdr:from>
    <xdr:to>
      <xdr:col>38</xdr:col>
      <xdr:colOff>152400</xdr:colOff>
      <xdr:row>16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17</xdr:row>
      <xdr:rowOff>0</xdr:rowOff>
    </xdr:from>
    <xdr:to>
      <xdr:col>38</xdr:col>
      <xdr:colOff>152400</xdr:colOff>
      <xdr:row>17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18</xdr:row>
      <xdr:rowOff>0</xdr:rowOff>
    </xdr:from>
    <xdr:to>
      <xdr:col>38</xdr:col>
      <xdr:colOff>152400</xdr:colOff>
      <xdr:row>18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19</xdr:row>
      <xdr:rowOff>0</xdr:rowOff>
    </xdr:from>
    <xdr:to>
      <xdr:col>38</xdr:col>
      <xdr:colOff>152400</xdr:colOff>
      <xdr:row>19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20</xdr:row>
      <xdr:rowOff>0</xdr:rowOff>
    </xdr:from>
    <xdr:to>
      <xdr:col>38</xdr:col>
      <xdr:colOff>152400</xdr:colOff>
      <xdr:row>20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21</xdr:row>
      <xdr:rowOff>0</xdr:rowOff>
    </xdr:from>
    <xdr:to>
      <xdr:col>38</xdr:col>
      <xdr:colOff>152400</xdr:colOff>
      <xdr:row>21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22</xdr:row>
      <xdr:rowOff>0</xdr:rowOff>
    </xdr:from>
    <xdr:to>
      <xdr:col>38</xdr:col>
      <xdr:colOff>152400</xdr:colOff>
      <xdr:row>22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23</xdr:row>
      <xdr:rowOff>0</xdr:rowOff>
    </xdr:from>
    <xdr:to>
      <xdr:col>38</xdr:col>
      <xdr:colOff>152400</xdr:colOff>
      <xdr:row>23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24</xdr:row>
      <xdr:rowOff>0</xdr:rowOff>
    </xdr:from>
    <xdr:to>
      <xdr:col>38</xdr:col>
      <xdr:colOff>152400</xdr:colOff>
      <xdr:row>24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25</xdr:row>
      <xdr:rowOff>0</xdr:rowOff>
    </xdr:from>
    <xdr:to>
      <xdr:col>38</xdr:col>
      <xdr:colOff>152400</xdr:colOff>
      <xdr:row>25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26</xdr:row>
      <xdr:rowOff>0</xdr:rowOff>
    </xdr:from>
    <xdr:to>
      <xdr:col>38</xdr:col>
      <xdr:colOff>152400</xdr:colOff>
      <xdr:row>26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27</xdr:row>
      <xdr:rowOff>0</xdr:rowOff>
    </xdr:from>
    <xdr:to>
      <xdr:col>38</xdr:col>
      <xdr:colOff>152400</xdr:colOff>
      <xdr:row>27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28</xdr:row>
      <xdr:rowOff>0</xdr:rowOff>
    </xdr:from>
    <xdr:to>
      <xdr:col>38</xdr:col>
      <xdr:colOff>152400</xdr:colOff>
      <xdr:row>28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29</xdr:row>
      <xdr:rowOff>0</xdr:rowOff>
    </xdr:from>
    <xdr:to>
      <xdr:col>38</xdr:col>
      <xdr:colOff>152400</xdr:colOff>
      <xdr:row>29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30</xdr:row>
      <xdr:rowOff>0</xdr:rowOff>
    </xdr:from>
    <xdr:to>
      <xdr:col>38</xdr:col>
      <xdr:colOff>152400</xdr:colOff>
      <xdr:row>30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31</xdr:row>
      <xdr:rowOff>0</xdr:rowOff>
    </xdr:from>
    <xdr:to>
      <xdr:col>38</xdr:col>
      <xdr:colOff>152400</xdr:colOff>
      <xdr:row>31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32</xdr:row>
      <xdr:rowOff>0</xdr:rowOff>
    </xdr:from>
    <xdr:to>
      <xdr:col>38</xdr:col>
      <xdr:colOff>152400</xdr:colOff>
      <xdr:row>32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33</xdr:row>
      <xdr:rowOff>0</xdr:rowOff>
    </xdr:from>
    <xdr:to>
      <xdr:col>38</xdr:col>
      <xdr:colOff>152400</xdr:colOff>
      <xdr:row>33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34</xdr:row>
      <xdr:rowOff>0</xdr:rowOff>
    </xdr:from>
    <xdr:to>
      <xdr:col>38</xdr:col>
      <xdr:colOff>152400</xdr:colOff>
      <xdr:row>34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35</xdr:row>
      <xdr:rowOff>0</xdr:rowOff>
    </xdr:from>
    <xdr:to>
      <xdr:col>38</xdr:col>
      <xdr:colOff>152400</xdr:colOff>
      <xdr:row>35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36</xdr:row>
      <xdr:rowOff>0</xdr:rowOff>
    </xdr:from>
    <xdr:to>
      <xdr:col>38</xdr:col>
      <xdr:colOff>152400</xdr:colOff>
      <xdr:row>36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37</xdr:row>
      <xdr:rowOff>0</xdr:rowOff>
    </xdr:from>
    <xdr:to>
      <xdr:col>38</xdr:col>
      <xdr:colOff>152400</xdr:colOff>
      <xdr:row>37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38</xdr:row>
      <xdr:rowOff>0</xdr:rowOff>
    </xdr:from>
    <xdr:to>
      <xdr:col>38</xdr:col>
      <xdr:colOff>152400</xdr:colOff>
      <xdr:row>38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39</xdr:row>
      <xdr:rowOff>0</xdr:rowOff>
    </xdr:from>
    <xdr:to>
      <xdr:col>38</xdr:col>
      <xdr:colOff>152400</xdr:colOff>
      <xdr:row>39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40</xdr:row>
      <xdr:rowOff>0</xdr:rowOff>
    </xdr:from>
    <xdr:to>
      <xdr:col>38</xdr:col>
      <xdr:colOff>152400</xdr:colOff>
      <xdr:row>40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41</xdr:row>
      <xdr:rowOff>0</xdr:rowOff>
    </xdr:from>
    <xdr:to>
      <xdr:col>38</xdr:col>
      <xdr:colOff>152400</xdr:colOff>
      <xdr:row>41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42</xdr:row>
      <xdr:rowOff>0</xdr:rowOff>
    </xdr:from>
    <xdr:to>
      <xdr:col>38</xdr:col>
      <xdr:colOff>152400</xdr:colOff>
      <xdr:row>42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43</xdr:row>
      <xdr:rowOff>0</xdr:rowOff>
    </xdr:from>
    <xdr:to>
      <xdr:col>38</xdr:col>
      <xdr:colOff>152400</xdr:colOff>
      <xdr:row>43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44</xdr:row>
      <xdr:rowOff>0</xdr:rowOff>
    </xdr:from>
    <xdr:to>
      <xdr:col>38</xdr:col>
      <xdr:colOff>152400</xdr:colOff>
      <xdr:row>44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45</xdr:row>
      <xdr:rowOff>0</xdr:rowOff>
    </xdr:from>
    <xdr:to>
      <xdr:col>38</xdr:col>
      <xdr:colOff>152400</xdr:colOff>
      <xdr:row>45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46</xdr:row>
      <xdr:rowOff>0</xdr:rowOff>
    </xdr:from>
    <xdr:to>
      <xdr:col>38</xdr:col>
      <xdr:colOff>152400</xdr:colOff>
      <xdr:row>46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47</xdr:row>
      <xdr:rowOff>0</xdr:rowOff>
    </xdr:from>
    <xdr:to>
      <xdr:col>38</xdr:col>
      <xdr:colOff>152400</xdr:colOff>
      <xdr:row>47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48</xdr:row>
      <xdr:rowOff>0</xdr:rowOff>
    </xdr:from>
    <xdr:to>
      <xdr:col>38</xdr:col>
      <xdr:colOff>152400</xdr:colOff>
      <xdr:row>48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49</xdr:row>
      <xdr:rowOff>0</xdr:rowOff>
    </xdr:from>
    <xdr:to>
      <xdr:col>38</xdr:col>
      <xdr:colOff>152400</xdr:colOff>
      <xdr:row>49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50</xdr:row>
      <xdr:rowOff>0</xdr:rowOff>
    </xdr:from>
    <xdr:to>
      <xdr:col>38</xdr:col>
      <xdr:colOff>152400</xdr:colOff>
      <xdr:row>50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51</xdr:row>
      <xdr:rowOff>0</xdr:rowOff>
    </xdr:from>
    <xdr:to>
      <xdr:col>38</xdr:col>
      <xdr:colOff>152400</xdr:colOff>
      <xdr:row>51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52</xdr:row>
      <xdr:rowOff>0</xdr:rowOff>
    </xdr:from>
    <xdr:to>
      <xdr:col>38</xdr:col>
      <xdr:colOff>152400</xdr:colOff>
      <xdr:row>52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53</xdr:row>
      <xdr:rowOff>0</xdr:rowOff>
    </xdr:from>
    <xdr:to>
      <xdr:col>38</xdr:col>
      <xdr:colOff>152400</xdr:colOff>
      <xdr:row>53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54</xdr:row>
      <xdr:rowOff>0</xdr:rowOff>
    </xdr:from>
    <xdr:to>
      <xdr:col>38</xdr:col>
      <xdr:colOff>152400</xdr:colOff>
      <xdr:row>54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55</xdr:row>
      <xdr:rowOff>0</xdr:rowOff>
    </xdr:from>
    <xdr:to>
      <xdr:col>38</xdr:col>
      <xdr:colOff>152400</xdr:colOff>
      <xdr:row>55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56</xdr:row>
      <xdr:rowOff>0</xdr:rowOff>
    </xdr:from>
    <xdr:to>
      <xdr:col>38</xdr:col>
      <xdr:colOff>152400</xdr:colOff>
      <xdr:row>56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57</xdr:row>
      <xdr:rowOff>0</xdr:rowOff>
    </xdr:from>
    <xdr:to>
      <xdr:col>38</xdr:col>
      <xdr:colOff>152400</xdr:colOff>
      <xdr:row>57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58</xdr:row>
      <xdr:rowOff>0</xdr:rowOff>
    </xdr:from>
    <xdr:to>
      <xdr:col>38</xdr:col>
      <xdr:colOff>152400</xdr:colOff>
      <xdr:row>58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59</xdr:row>
      <xdr:rowOff>0</xdr:rowOff>
    </xdr:from>
    <xdr:to>
      <xdr:col>38</xdr:col>
      <xdr:colOff>152400</xdr:colOff>
      <xdr:row>59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60</xdr:row>
      <xdr:rowOff>0</xdr:rowOff>
    </xdr:from>
    <xdr:to>
      <xdr:col>38</xdr:col>
      <xdr:colOff>152400</xdr:colOff>
      <xdr:row>60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61</xdr:row>
      <xdr:rowOff>0</xdr:rowOff>
    </xdr:from>
    <xdr:to>
      <xdr:col>38</xdr:col>
      <xdr:colOff>152400</xdr:colOff>
      <xdr:row>61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62</xdr:row>
      <xdr:rowOff>0</xdr:rowOff>
    </xdr:from>
    <xdr:to>
      <xdr:col>38</xdr:col>
      <xdr:colOff>152400</xdr:colOff>
      <xdr:row>62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63</xdr:row>
      <xdr:rowOff>0</xdr:rowOff>
    </xdr:from>
    <xdr:to>
      <xdr:col>38</xdr:col>
      <xdr:colOff>152400</xdr:colOff>
      <xdr:row>63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64</xdr:row>
      <xdr:rowOff>0</xdr:rowOff>
    </xdr:from>
    <xdr:to>
      <xdr:col>38</xdr:col>
      <xdr:colOff>152400</xdr:colOff>
      <xdr:row>64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65</xdr:row>
      <xdr:rowOff>0</xdr:rowOff>
    </xdr:from>
    <xdr:to>
      <xdr:col>38</xdr:col>
      <xdr:colOff>152400</xdr:colOff>
      <xdr:row>65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hhd_duytanrecycling_com/Documents/Work/Accounting/2026/Th&#225;ng%2003/Form%20d&#7921;%20b&#225;o%20-%20T04.XLSX" TargetMode="External"/><Relationship Id="rId2" Type="http://schemas.openxmlformats.org/officeDocument/2006/relationships/externalLinkPath" Target="https://dtg-my.sharepoint.com/personal/danhhd_duytanrecycling_com/Documents/Work/Accounting/2026/Th&#225;ng%2003/Form%20d&#7921;%20b&#225;o%20-%20T04.XLSX" TargetMode="External"/><Relationship Id="rId1" Type="http://schemas.openxmlformats.org/officeDocument/2006/relationships/externalLinkPath" Target="/personal/danhhd_duytanrecycling_com/Documents/Work/Accounting/2026/Th&#225;ng%2003/Form%20d&#7921;%20b&#225;o%20-%20T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ing-T04-B2"/>
      <sheetName val="GIÁ XUẤT KHO"/>
      <sheetName val="WSS03NC"/>
      <sheetName val="Sales"/>
      <sheetName val="Check-Hóa đơn"/>
      <sheetName val="Working-T04-B1"/>
      <sheetName val="Nam-Kế hoạch"/>
      <sheetName val="&gt;FAGLL03"/>
      <sheetName val="PV"/>
      <sheetName val="PV_SKU"/>
      <sheetName val="PV_Price"/>
      <sheetName val="EXR"/>
      <sheetName val="Data"/>
      <sheetName val="MD-Billing-SO"/>
      <sheetName val="MD_SKU"/>
      <sheetName val="Làm source"/>
    </sheetNames>
    <sheetDataSet>
      <sheetData sheetId="0"/>
      <sheetData sheetId="1">
        <row r="1">
          <cell r="BK1">
            <v>5783401.7675908133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125.459223611113" createdVersion="8" refreshedVersion="8" minRefreshableVersion="3" recordCount="138" xr:uid="{9F829E70-9EC0-45DB-ADAF-4F5659F2EA22}">
  <cacheSource type="worksheet">
    <worksheetSource name="Data_FAGLL03"/>
  </cacheSource>
  <cacheFields count="205">
    <cacheField name="Company Code" numFmtId="0">
      <sharedItems/>
    </cacheField>
    <cacheField name="Posting Date" numFmtId="14">
      <sharedItems containsSemiMixedTypes="0" containsNonDate="0" containsDate="1" containsString="0" minDate="2026-04-01T00:00:00" maxDate="2026-04-11T00:00:00"/>
    </cacheField>
    <cacheField name="Document Number" numFmtId="0">
      <sharedItems/>
    </cacheField>
    <cacheField name="Reversed with" numFmtId="0">
      <sharedItems/>
    </cacheField>
    <cacheField name="Cost Center" numFmtId="0">
      <sharedItems/>
    </cacheField>
    <cacheField name="G/L Account" numFmtId="0">
      <sharedItems/>
    </cacheField>
    <cacheField name="Cost Element" numFmtId="0">
      <sharedItems/>
    </cacheField>
    <cacheField name="Offsetting acct no." numFmtId="0">
      <sharedItems count="37">
        <s v="105354"/>
        <s v="105214"/>
        <s v="105205"/>
        <s v="105271"/>
        <s v="104894"/>
        <s v="105323"/>
        <s v="105314"/>
        <s v="105339"/>
        <s v="105263"/>
        <s v="105349"/>
        <s v="105290"/>
        <s v="105371"/>
        <s v="105194"/>
        <s v="105281"/>
        <s v="105324"/>
        <s v="104877"/>
        <s v="105286"/>
        <s v="105420"/>
        <s v="105186"/>
        <s v="105397"/>
        <s v="105266"/>
        <s v="105362"/>
        <s v="105405"/>
        <s v="105413"/>
        <s v="200409"/>
        <s v="105421"/>
        <s v="105223"/>
        <s v="1005"/>
        <s v="200384"/>
        <s v="1000"/>
        <s v="105303"/>
        <s v="105189"/>
        <s v="200400"/>
        <s v="104909"/>
        <s v="105423"/>
        <s v="105382"/>
        <s v="6428007201"/>
      </sharedItems>
    </cacheField>
    <cacheField name="Amount in local currency" numFmtId="165">
      <sharedItems containsSemiMixedTypes="0" containsString="0" containsNumber="1" containsInteger="1" minValue="-964049900" maxValue="110704000"/>
    </cacheField>
    <cacheField name="Name of offsetting account" numFmtId="0">
      <sharedItems count="91">
        <s v="UNILEVER - NNG-TN"/>
        <s v="Người mua hàng không lấy hóa đ"/>
        <s v="CÔNG TY  ĐẠI LỘC"/>
        <s v="Suntory- Ngọc Nghĩa Tây Ninh"/>
        <s v="UNILEVER-NGỌC NGHĨA"/>
        <s v="ĐẠI LỤC"/>
        <s v="Vilube - DTP"/>
        <s v="HUY THÀNH"/>
        <s v="Unilever Duy Tân"/>
        <s v="MTVN Plastic"/>
        <s v="HOÀNG TẤN"/>
        <s v="VINAFIBER"/>
        <s v="Suntory Việt Nam"/>
        <s v="Plascene- DTP"/>
        <s v="NHỰA TRƯỜNG AN"/>
        <s v="Cty TNHH Uy Kiệt"/>
        <s v="Mondelez-Việt Thành"/>
        <s v="EVOLIGHT VIET NAM"/>
        <s v="CÔNG TY TNHH HON CHUAN VIETNAM"/>
        <s v="Olam Duy Tân"/>
        <s v="MIDA"/>
        <s v="Hiệp Thành - IKEA"/>
        <s v="CƯỜNG GIA PHÁT"/>
        <s v="Đan Thư"/>
        <s v="NEO Polymers International"/>
        <s v="ZDK"/>
        <s v="Dynaplast Bắc Ninh"/>
        <s v="Duy Tân Long An"/>
        <s v="TRICON"/>
        <s v="CPSX Nhựa Duy Tân"/>
        <s v="TÂN LẬP THÀNH"/>
        <s v="CHẤN THUẬN THÀNH"/>
        <s v="Shepley Spring"/>
        <s v="Công ty TNHH La Vie"/>
        <s v="DƯƠNG THUẬN PHÁT"/>
        <s v="VĂN MINH"/>
        <s v="Chi phí bằng tiền khác"/>
        <s v="Plenma" u="1"/>
        <s v="Suntory Sri Thái Bình Dương" u="1"/>
        <s v="MGREEN-EPR" u="1"/>
        <s v="VĨNH MINH PHƯỚC PET" u="1"/>
        <s v="COCA-COLA VIỆT NAM" u="1"/>
        <s v="Dynaplast Bình Dương" u="1"/>
        <s v="PHƯƠNG VI" u="1"/>
        <s v="KORYFES SA" u="1"/>
        <s v="CN Cty Coca - Hà Nội" u="1"/>
        <s v="ANTEX" u="1"/>
        <s v="LƯỚI BẢO NÔNG" u="1"/>
        <s v="OUTEIRINHO TURISMO E INDUSTRIA" u="1"/>
        <s v="COCA-COLA VIỆT NAM TẠI TỈNH TÂ" u="1"/>
        <s v="QUANG CHÍ BẢO" u="1"/>
        <s v="POLYMERS INTERNATIONAL" u="1"/>
        <s v="Plascene, Inc." u="1"/>
        <s v="ĐẠI NHẤT LONG" u="1"/>
        <s v="Niagara US" u="1"/>
        <s v="DACHEN (PREMIUM WATER)" u="1"/>
        <s v="NGỌC NGHĨA" u="1"/>
        <s v="MHE ENTERPRISE" u="1"/>
        <s v="HANDMADE NGUYEN" u="1"/>
        <s v="GIA TƯỜNG" u="1"/>
        <s v="Việt Thành Plast" u="1"/>
        <s v="HONDAPLUS" u="1"/>
        <s v="Chi phí tiếp khách" u="1"/>
        <s v="Coca-Cola Thủ Đức" u="1"/>
        <s v="THỰC PHẨM CHÂU Á-EPR" u="1"/>
        <s v="CTY NGỌC NGHĨA-TÂY NINH" u="1"/>
        <s v="Itochu" u="1"/>
        <s v="CÔNG TY TNHH HƯNG DỤ" u="1"/>
        <s v="NHỰA SÀI GÒN" u="1"/>
        <s v="Miss Plastics Inc." u="1"/>
        <s v="HYOSUNG VIỆT NAM" u="1"/>
        <s v="Natures Organics - PIA" u="1"/>
        <s v="Niagara Mexico" u="1"/>
        <s v="MINH THÔNG" u="1"/>
        <s v="IWATANI" u="1"/>
        <s v="Genesis Polymers International" u="1"/>
        <s v="Nestle Việt Nam" u="1"/>
        <s v="Wiese" u="1"/>
        <s v="UNILEVER" u="1"/>
        <s v="Muji- DTP" u="1"/>
        <s v="Plantech - An Thái" u="1"/>
        <s v="CHẤN HÙNG" u="1"/>
        <s v="VINMAR POLYMERS AMERICA LLC" u="1"/>
        <s v="Á CHÂU PLASTIC" u="1"/>
        <s v="THÀNH NGHĨA P.E.T" u="1"/>
        <s v="Niagara UK" u="1"/>
        <s v="Việt Hàn" u="1"/>
        <s v="Industrias Salcom" u="1"/>
        <s v="ĐÔ THÀNH" u="1"/>
        <s v="Aeonmall - DTP" u="1"/>
        <s v="COSCO - HỒNG KIM LA" u="1"/>
      </sharedItems>
    </cacheField>
    <cacheField name="Text" numFmtId="0">
      <sharedItems/>
    </cacheField>
    <cacheField name="User name" numFmtId="0">
      <sharedItems/>
    </cacheField>
    <cacheField name="Posting period" numFmtId="0">
      <sharedItems/>
    </cacheField>
    <cacheField name="Fiscal Year" numFmtId="0">
      <sharedItems/>
    </cacheField>
    <cacheField name="Assignment" numFmtId="0">
      <sharedItems/>
    </cacheField>
    <cacheField name="Reference" numFmtId="0">
      <sharedItems/>
    </cacheField>
    <cacheField name="Account" numFmtId="0">
      <sharedItems/>
    </cacheField>
    <cacheField name="Account Type" numFmtId="0">
      <sharedItems/>
    </cacheField>
    <cacheField name="Accts rble pled.ind." numFmtId="0">
      <sharedItems/>
    </cacheField>
    <cacheField name="Amount" numFmtId="0">
      <sharedItems containsSemiMixedTypes="0" containsString="0" containsNumber="1" minValue="-964049900" maxValue="110704000"/>
    </cacheField>
    <cacheField name="Amount in doc. curr." numFmtId="165">
      <sharedItems containsSemiMixedTypes="0" containsString="0" containsNumber="1" minValue="-964049900" maxValue="110704000"/>
    </cacheField>
    <cacheField name="Amount in LC" numFmtId="1">
      <sharedItems containsSemiMixedTypes="0" containsString="0" containsNumber="1" containsInteger="1" minValue="-964049900" maxValue="110704000"/>
    </cacheField>
    <cacheField name="Amount in loc.curr.2" numFmtId="1">
      <sharedItems containsSemiMixedTypes="0" containsString="0" containsNumber="1" containsInteger="1" minValue="-964049900" maxValue="110704000"/>
    </cacheField>
    <cacheField name="Amt in loc.curr. 3" numFmtId="2">
      <sharedItems containsSemiMixedTypes="0" containsString="0" containsNumber="1" containsInteger="1" minValue="0" maxValue="0"/>
    </cacheField>
    <cacheField name="Amt in payment currency" numFmtId="2">
      <sharedItems containsSemiMixedTypes="0" containsString="0" containsNumber="1" containsInteger="1" minValue="0" maxValue="0"/>
    </cacheField>
    <cacheField name="Arrears after net due date" numFmtId="1">
      <sharedItems containsSemiMixedTypes="0" containsString="0" containsNumber="1" containsInteger="1" minValue="0" maxValue="0"/>
    </cacheField>
    <cacheField name="Arrears for discount 1" numFmtId="1">
      <sharedItems containsSemiMixedTypes="0" containsString="0" containsNumber="1" containsInteger="1" minValue="0" maxValue="0"/>
    </cacheField>
    <cacheField name="Asset" numFmtId="0">
      <sharedItems/>
    </cacheField>
    <cacheField name="Base Unit of Measure" numFmtId="0">
      <sharedItems/>
    </cacheField>
    <cacheField name="Baseline Payment Dte" numFmtId="14">
      <sharedItems containsNonDate="0" containsString="0" containsBlank="1"/>
    </cacheField>
    <cacheField name="Bill/Exchange Usage" numFmtId="0">
      <sharedItems/>
    </cacheField>
    <cacheField name="Billing Document" numFmtId="0">
      <sharedItems/>
    </cacheField>
    <cacheField name="Branch account" numFmtId="0">
      <sharedItems/>
    </cacheField>
    <cacheField name="Business Area" numFmtId="0">
      <sharedItems/>
    </cacheField>
    <cacheField name="Business Place" numFmtId="0">
      <sharedItems/>
    </cacheField>
    <cacheField name="Business Transaction" numFmtId="0">
      <sharedItems/>
    </cacheField>
    <cacheField name="Cash disc. amt LC" numFmtId="2">
      <sharedItems containsSemiMixedTypes="0" containsString="0" containsNumber="1" containsInteger="1" minValue="0" maxValue="0"/>
    </cacheField>
    <cacheField name="Cash disc.1 due" numFmtId="0">
      <sharedItems/>
    </cacheField>
    <cacheField name="Cleared/open items symbol" numFmtId="0">
      <sharedItems/>
    </cacheField>
    <cacheField name="Cleared/open items symbol2" numFmtId="0">
      <sharedItems/>
    </cacheField>
    <cacheField name="Clearing date" numFmtId="14">
      <sharedItems containsNonDate="0" containsString="0" containsBlank="1"/>
    </cacheField>
    <cacheField name="Clearing Document" numFmtId="0">
      <sharedItems/>
    </cacheField>
    <cacheField name="Clearing Fiscal Year" numFmtId="0">
      <sharedItems/>
    </cacheField>
    <cacheField name="Clearing item" numFmtId="1">
      <sharedItems containsSemiMixedTypes="0" containsString="0" containsNumber="1" containsInteger="1" minValue="0" maxValue="0"/>
    </cacheField>
    <cacheField name="Clearing Specific to Ledger Groups" numFmtId="0">
      <sharedItems/>
    </cacheField>
    <cacheField name="Collective invoice" numFmtId="0">
      <sharedItems/>
    </cacheField>
    <cacheField name="Contract Number" numFmtId="0">
      <sharedItems/>
    </cacheField>
    <cacheField name="Contract Type" numFmtId="0">
      <sharedItems/>
    </cacheField>
    <cacheField name="Controlling Area" numFmtId="0">
      <sharedItems/>
    </cacheField>
    <cacheField name="Credit Control Area" numFmtId="0">
      <sharedItems/>
    </cacheField>
    <cacheField name="Credit control area currency" numFmtId="0">
      <sharedItems/>
    </cacheField>
    <cacheField name="Current cash disc. amount" numFmtId="2">
      <sharedItems containsSemiMixedTypes="0" containsString="0" containsNumber="1" containsInteger="1" minValue="0" maxValue="0"/>
    </cacheField>
    <cacheField name="Customer" numFmtId="0">
      <sharedItems/>
    </cacheField>
    <cacheField name="Days 1" numFmtId="1">
      <sharedItems containsSemiMixedTypes="0" containsString="0" containsNumber="1" containsInteger="1" minValue="0" maxValue="0"/>
    </cacheField>
    <cacheField name="Days 2" numFmtId="1">
      <sharedItems containsSemiMixedTypes="0" containsString="0" containsNumber="1" containsInteger="1" minValue="0" maxValue="0"/>
    </cacheField>
    <cacheField name="Days net" numFmtId="1">
      <sharedItems containsSemiMixedTypes="0" containsString="0" containsNumber="1" containsInteger="1" minValue="0" maxValue="0"/>
    </cacheField>
    <cacheField name="Debit/Credit Ind." numFmtId="0">
      <sharedItems/>
    </cacheField>
    <cacheField name="Discount 1 due date symbol" numFmtId="0">
      <sharedItems/>
    </cacheField>
    <cacheField name="Discount amount" numFmtId="2">
      <sharedItems containsSemiMixedTypes="0" containsString="0" containsNumber="1" containsInteger="1" minValue="0" maxValue="0"/>
    </cacheField>
    <cacheField name="Discount base amount" numFmtId="2">
      <sharedItems containsSemiMixedTypes="0" containsString="0" containsNumber="1" containsInteger="1" minValue="0" maxValue="0"/>
    </cacheField>
    <cacheField name="Discount Percent 1" numFmtId="164">
      <sharedItems containsSemiMixedTypes="0" containsString="0" containsNumber="1" containsInteger="1" minValue="0" maxValue="0"/>
    </cacheField>
    <cacheField name="Discount Percent 2" numFmtId="164">
      <sharedItems containsSemiMixedTypes="0" containsString="0" containsNumber="1" containsInteger="1" minValue="0" maxValue="0"/>
    </cacheField>
    <cacheField name="Disputed item" numFmtId="0">
      <sharedItems/>
    </cacheField>
    <cacheField name="Doc.status" numFmtId="0">
      <sharedItems/>
    </cacheField>
    <cacheField name="Document archived" numFmtId="0">
      <sharedItems/>
    </cacheField>
    <cacheField name="Document currency" numFmtId="0">
      <sharedItems/>
    </cacheField>
    <cacheField name="Document Date" numFmtId="14">
      <sharedItems containsSemiMixedTypes="0" containsNonDate="0" containsDate="1" containsString="0" minDate="2026-04-01T00:00:00" maxDate="2026-04-11T00:00:00"/>
    </cacheField>
    <cacheField name="Document Header Text" numFmtId="0">
      <sharedItems/>
    </cacheField>
    <cacheField name="Document Number G/L" numFmtId="0">
      <sharedItems/>
    </cacheField>
    <cacheField name="Document Type" numFmtId="0">
      <sharedItems/>
    </cacheField>
    <cacheField name="Due net" numFmtId="0">
      <sharedItems/>
    </cacheField>
    <cacheField name="Dunning Area" numFmtId="0">
      <sharedItems/>
    </cacheField>
    <cacheField name="Dunning Block" numFmtId="0">
      <sharedItems/>
    </cacheField>
    <cacheField name="Dunning Key" numFmtId="0">
      <sharedItems/>
    </cacheField>
    <cacheField name="Dunning Level" numFmtId="0">
      <sharedItems/>
    </cacheField>
    <cacheField name="Eff.exchange rate" numFmtId="0">
      <sharedItems/>
    </cacheField>
    <cacheField name="Entry Date" numFmtId="14">
      <sharedItems containsNonDate="0" containsString="0" containsBlank="1"/>
    </cacheField>
    <cacheField name="Equity Group" numFmtId="0">
      <sharedItems/>
    </cacheField>
    <cacheField name="Fixed" numFmtId="0">
      <sharedItems/>
    </cacheField>
    <cacheField name="Flow Type" numFmtId="0">
      <sharedItems/>
    </cacheField>
    <cacheField name="FM Area" numFmtId="0">
      <sharedItems/>
    </cacheField>
    <cacheField name="Follow-on doc.type" numFmtId="0">
      <sharedItems/>
    </cacheField>
    <cacheField name="Functional Area" numFmtId="0">
      <sharedItems/>
    </cacheField>
    <cacheField name="Functional Area3" numFmtId="0">
      <sharedItems/>
    </cacheField>
    <cacheField name="Fund" numFmtId="0">
      <sharedItems/>
    </cacheField>
    <cacheField name="G/L Account4" numFmtId="0">
      <sharedItems/>
    </cacheField>
    <cacheField name="G/L Fiscal Year" numFmtId="0">
      <sharedItems/>
    </cacheField>
    <cacheField name="General ledger amount" numFmtId="1">
      <sharedItems containsSemiMixedTypes="0" containsString="0" containsNumber="1" containsInteger="1" minValue="-964049900" maxValue="110704000"/>
    </cacheField>
    <cacheField name="General ledger currency" numFmtId="0">
      <sharedItems/>
    </cacheField>
    <cacheField name="General Ledger Item" numFmtId="0">
      <sharedItems/>
    </cacheField>
    <cacheField name="Grant" numFmtId="0">
      <sharedItems/>
    </cacheField>
    <cacheField name="Hedged amount" numFmtId="2">
      <sharedItems containsSemiMixedTypes="0" containsString="0" containsNumber="1" containsInteger="1" minValue="0" maxValue="0"/>
    </cacheField>
    <cacheField name="Instruction Key 1" numFmtId="0">
      <sharedItems/>
    </cacheField>
    <cacheField name="Instruction Key 2" numFmtId="0">
      <sharedItems/>
    </cacheField>
    <cacheField name="Instruction Key 3" numFmtId="0">
      <sharedItems/>
    </cacheField>
    <cacheField name="Instruction Key 4" numFmtId="0">
      <sharedItems/>
    </cacheField>
    <cacheField name="Int.calc.numerator" numFmtId="2">
      <sharedItems containsSemiMixedTypes="0" containsString="0" containsNumber="1" containsInteger="1" minValue="0" maxValue="0"/>
    </cacheField>
    <cacheField name="Invoice reference" numFmtId="0">
      <sharedItems/>
    </cacheField>
    <cacheField name="Item" numFmtId="0">
      <sharedItems/>
    </cacheField>
    <cacheField name="Joint Venture" numFmtId="0">
      <sharedItems/>
    </cacheField>
    <cacheField name="Last Dunned" numFmtId="14">
      <sharedItems containsNonDate="0" containsString="0" containsBlank="1"/>
    </cacheField>
    <cacheField name="Ledger" numFmtId="0">
      <sharedItems/>
    </cacheField>
    <cacheField name="Ledger Group" numFmtId="0">
      <sharedItems/>
    </cacheField>
    <cacheField name="Line item" numFmtId="0">
      <sharedItems/>
    </cacheField>
    <cacheField name="Line item ID" numFmtId="0">
      <sharedItems/>
    </cacheField>
    <cacheField name="Local Currency" numFmtId="0">
      <sharedItems/>
    </cacheField>
    <cacheField name="Local currency 2" numFmtId="0">
      <sharedItems/>
    </cacheField>
    <cacheField name="Local currency 3" numFmtId="0">
      <sharedItems/>
    </cacheField>
    <cacheField name="Logical System" numFmtId="0">
      <sharedItems/>
    </cacheField>
    <cacheField name="Long text" numFmtId="0">
      <sharedItems/>
    </cacheField>
    <cacheField name="Material" numFmtId="0">
      <sharedItems count="27">
        <s v=""/>
        <s v="110000332"/>
        <s v="110000354"/>
        <s v="110000436"/>
        <s v="110000374"/>
        <s v="110000361"/>
        <s v="110000481"/>
        <s v="110000341"/>
        <s v="110000366"/>
        <s v="160012726"/>
        <s v="160012727"/>
        <s v="160012729"/>
        <s v="160012334"/>
        <s v="110000339"/>
        <s v="160012951"/>
        <s v="110000359"/>
        <s v="110000355"/>
        <s v="110000482"/>
        <s v="110000392"/>
        <s v="110000393"/>
        <s v="160012801"/>
        <s v="160012956"/>
        <s v="110000425"/>
        <s v="110000507"/>
        <s v="110000329"/>
        <s v="110000522"/>
        <s v="160012974"/>
      </sharedItems>
    </cacheField>
    <cacheField name="Negative posting" numFmtId="0">
      <sharedItems/>
    </cacheField>
    <cacheField name="Net due date" numFmtId="14">
      <sharedItems containsNonDate="0" containsString="0" containsBlank="1"/>
    </cacheField>
    <cacheField name="Net due date symbol" numFmtId="0">
      <sharedItems/>
    </cacheField>
    <cacheField name="Offsett.account type" numFmtId="0">
      <sharedItems/>
    </cacheField>
    <cacheField name="Open Item Management" numFmtId="0">
      <sharedItems/>
    </cacheField>
    <cacheField name="Open Itm Reorganized" numFmtId="0">
      <sharedItems/>
    </cacheField>
    <cacheField name="Order" numFmtId="0">
      <sharedItems/>
    </cacheField>
    <cacheField name="Partner cost center" numFmtId="0">
      <sharedItems/>
    </cacheField>
    <cacheField name="Partner Func. Area" numFmtId="0">
      <sharedItems/>
    </cacheField>
    <cacheField name="Partner Fund" numFmtId="0">
      <sharedItems/>
    </cacheField>
    <cacheField name="Partner Grant" numFmtId="0">
      <sharedItems/>
    </cacheField>
    <cacheField name="Partner Profit Ctr" numFmtId="0">
      <sharedItems/>
    </cacheField>
    <cacheField name="Partner Segment" numFmtId="0">
      <sharedItems/>
    </cacheField>
    <cacheField name="Payment Block" numFmtId="0">
      <sharedItems/>
    </cacheField>
    <cacheField name="Payment date" numFmtId="14">
      <sharedItems containsNonDate="0" containsString="0" containsBlank="1"/>
    </cacheField>
    <cacheField name="Payment Method" numFmtId="0">
      <sharedItems/>
    </cacheField>
    <cacheField name="Payment order" numFmtId="0">
      <sharedItems/>
    </cacheField>
    <cacheField name="Payment reference" numFmtId="0">
      <sharedItems/>
    </cacheField>
    <cacheField name="Payment sent" numFmtId="0">
      <sharedItems/>
    </cacheField>
    <cacheField name="Period/year" numFmtId="0">
      <sharedItems/>
    </cacheField>
    <cacheField name="Plant" numFmtId="0">
      <sharedItems/>
    </cacheField>
    <cacheField name="Pmnt card line item" numFmtId="0">
      <sharedItems/>
    </cacheField>
    <cacheField name="Pmnt currency" numFmtId="0">
      <sharedItems/>
    </cacheField>
    <cacheField name="Pmt meth. supplement" numFmtId="0">
      <sharedItems/>
    </cacheField>
    <cacheField name="Posting Key" numFmtId="0">
      <sharedItems/>
    </cacheField>
    <cacheField name="Posting Period5" numFmtId="0">
      <sharedItems/>
    </cacheField>
    <cacheField name="Profit Center" numFmtId="0">
      <sharedItems/>
    </cacheField>
    <cacheField name="Purchasing Document" numFmtId="0">
      <sharedItems/>
    </cacheField>
    <cacheField name="Quantity_Original" numFmtId="0">
      <sharedItems containsSemiMixedTypes="0" containsString="0" containsNumber="1" containsInteger="1" minValue="-31900" maxValue="24750"/>
    </cacheField>
    <cacheField name="Real Estate Key" numFmtId="0">
      <sharedItems/>
    </cacheField>
    <cacheField name="Reason code" numFmtId="0">
      <sharedItems/>
    </cacheField>
    <cacheField name="Recovery Indicator" numFmtId="0">
      <sharedItems/>
    </cacheField>
    <cacheField name="Ref.key (header) 1" numFmtId="0">
      <sharedItems/>
    </cacheField>
    <cacheField name="Reference Date" numFmtId="14">
      <sharedItems containsNonDate="0" containsString="0" containsBlank="1"/>
    </cacheField>
    <cacheField name="Reference Key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Reference Transact." numFmtId="0">
      <sharedItems/>
    </cacheField>
    <cacheField name="Reverse clearing" numFmtId="0">
      <sharedItems/>
    </cacheField>
    <cacheField name="Sales Document" numFmtId="0">
      <sharedItems/>
    </cacheField>
    <cacheField name="Sales Document Item" numFmtId="0">
      <sharedItems/>
    </cacheField>
    <cacheField name="Schedule Line Number" numFmtId="0">
      <sharedItems/>
    </cacheField>
    <cacheField name="Section Code" numFmtId="0">
      <sharedItems/>
    </cacheField>
    <cacheField name="Segment" numFmtId="0">
      <sharedItems/>
    </cacheField>
    <cacheField name="Settlement run" numFmtId="0">
      <sharedItems/>
    </cacheField>
    <cacheField name="Sort key" numFmtId="1">
      <sharedItems containsSemiMixedTypes="0" containsString="0" containsNumber="1" containsInteger="1" minValue="50" maxValue="50"/>
    </cacheField>
    <cacheField name="Sp.G/L trans.type" numFmtId="0">
      <sharedItems/>
    </cacheField>
    <cacheField name="Special G/L ind." numFmtId="0">
      <sharedItems/>
    </cacheField>
    <cacheField name="Subnumber" numFmtId="0">
      <sharedItems/>
    </cacheField>
    <cacheField name="Tax code" numFmtId="0">
      <sharedItems/>
    </cacheField>
    <cacheField name="Tax type" numFmtId="0">
      <sharedItems/>
    </cacheField>
    <cacheField name="Terms of Payment" numFmtId="0">
      <sharedItems/>
    </cacheField>
    <cacheField name="Text ID" numFmtId="0">
      <sharedItems/>
    </cacheField>
    <cacheField name="Texts exist" numFmtId="0">
      <sharedItems/>
    </cacheField>
    <cacheField name="Time Stamp" numFmtId="22">
      <sharedItems containsSemiMixedTypes="0" containsNonDate="0" containsDate="1" containsString="0" minDate="2026-04-01T03:43:27" maxDate="2026-04-10T12:29:34"/>
    </cacheField>
    <cacheField name="Trading Part.BA" numFmtId="0">
      <sharedItems/>
    </cacheField>
    <cacheField name="Trading Partner" numFmtId="0">
      <sharedItems/>
    </cacheField>
    <cacheField name="Transaction Type" numFmtId="0">
      <sharedItems/>
    </cacheField>
    <cacheField name="Valuated amount" numFmtId="165">
      <sharedItems containsSemiMixedTypes="0" containsString="0" containsNumber="1" containsInteger="1" minValue="-964049900" maxValue="110704000"/>
    </cacheField>
    <cacheField name="Valuated amt loc. curr. 3" numFmtId="2">
      <sharedItems containsSemiMixedTypes="0" containsString="0" containsNumber="1" containsInteger="1" minValue="0" maxValue="0"/>
    </cacheField>
    <cacheField name="Valuated amt loc.curr.2" numFmtId="165">
      <sharedItems containsSemiMixedTypes="0" containsString="0" containsNumber="1" containsInteger="1" minValue="-964049900" maxValue="110704000"/>
    </cacheField>
    <cacheField name="Valuation difference" numFmtId="2">
      <sharedItems containsSemiMixedTypes="0" containsString="0" containsNumber="1" containsInteger="1" minValue="0" maxValue="0"/>
    </cacheField>
    <cacheField name="Valuation difference 2" numFmtId="2">
      <sharedItems containsSemiMixedTypes="0" containsString="0" containsNumber="1" containsInteger="1" minValue="0" maxValue="0"/>
    </cacheField>
    <cacheField name="Valuation difference 3" numFmtId="2">
      <sharedItems containsSemiMixedTypes="0" containsString="0" containsNumber="1" containsInteger="1" minValue="0" maxValue="0"/>
    </cacheField>
    <cacheField name="Value Date" numFmtId="14">
      <sharedItems containsSemiMixedTypes="0" containsNonDate="0" containsDate="1" containsString="0" minDate="2026-04-01T00:00:00" maxDate="2026-04-11T00:00:00"/>
    </cacheField>
    <cacheField name="Vendor" numFmtId="0">
      <sharedItems/>
    </cacheField>
    <cacheField name="W/tax exempt amount" numFmtId="2">
      <sharedItems containsSemiMixedTypes="0" containsString="0" containsNumber="1" containsInteger="1" minValue="0" maxValue="0"/>
    </cacheField>
    <cacheField name="WBS element" numFmtId="0">
      <sharedItems/>
    </cacheField>
    <cacheField name="WBS Element6" numFmtId="0">
      <sharedItems/>
    </cacheField>
    <cacheField name="Withhldg tax base amount" numFmtId="2">
      <sharedItems containsSemiMixedTypes="0" containsString="0" containsNumber="1" containsInteger="1" minValue="0" maxValue="0"/>
    </cacheField>
    <cacheField name="Withholding tax amnt" numFmtId="2">
      <sharedItems containsSemiMixedTypes="0" containsString="0" containsNumber="1" containsInteger="1" minValue="0" maxValue="0"/>
    </cacheField>
    <cacheField name="Year/month" numFmtId="0">
      <sharedItems/>
    </cacheField>
    <cacheField name="Billing" numFmtId="0">
      <sharedItems/>
    </cacheField>
    <cacheField name="SO" numFmtId="0">
      <sharedItems count="49">
        <s v=""/>
        <s v="30030681"/>
        <s v="30030593"/>
        <s v="30030646"/>
        <s v="30030548"/>
        <s v="30030465"/>
        <s v="30030655"/>
        <s v="30030667"/>
        <s v="30030638"/>
        <s v="30030710"/>
        <s v="30030690"/>
        <s v="30030652"/>
        <s v="30030627"/>
        <s v="30030649"/>
        <s v="30030658"/>
        <s v="30030709"/>
        <s v="30030716"/>
        <s v="30030720"/>
        <s v="30030651"/>
        <s v="30030677"/>
        <s v="30030625"/>
        <s v="30030718"/>
        <s v="30030724"/>
        <s v="30030727"/>
        <s v="30030706"/>
        <s v="30030668"/>
        <s v="30030643"/>
        <s v="30030712"/>
        <s v="30030542"/>
        <s v="30030695"/>
        <s v="30030657"/>
        <s v="30030731"/>
        <s v="30030578"/>
        <s v="30030659"/>
        <s v="30030715 Hủy_x000a_30030729"/>
        <e v="#N/A"/>
        <s v="30030615"/>
        <s v="30030722"/>
        <s v="30030687"/>
        <s v="30030650"/>
        <s v="30030702"/>
        <s v="30030711"/>
        <s v="30030739"/>
        <s v="30030673"/>
        <s v="30030591"/>
        <s v="30030555"/>
        <s v="30030738"/>
        <s v="30030733"/>
        <s v="30030717" u="1"/>
      </sharedItems>
    </cacheField>
    <cacheField name="EXR" numFmtId="165">
      <sharedItems containsSemiMixedTypes="0" containsString="0" containsNumber="1" containsInteger="1" minValue="1" maxValue="26256"/>
    </cacheField>
    <cacheField name="GB trung bình" numFmtId="43">
      <sharedItems containsSemiMixedTypes="0" containsString="0" containsNumber="1" minValue="0" maxValue="38217.650181818179"/>
    </cacheField>
    <cacheField name="GB trung bình-XK" numFmtId="165">
      <sharedItems containsSemiMixedTypes="0" containsString="0" containsNumber="1" minValue="0" maxValue="1230"/>
    </cacheField>
    <cacheField name="Dthu (USD)" numFmtId="165">
      <sharedItems containsSemiMixedTypes="0" containsString="0" containsNumber="1" minValue="-36722.712395520168" maxValue="4216.9509618056745"/>
    </cacheField>
    <cacheField name="Time Stamp_VN" numFmtId="22">
      <sharedItems containsSemiMixedTypes="0" containsNonDate="0" containsDate="1" containsString="0" minDate="2026-04-01T10:43:27" maxDate="2026-04-10T19:29:34"/>
    </cacheField>
    <cacheField name="Tháng" numFmtId="165">
      <sharedItems containsSemiMixedTypes="0" containsString="0" containsNumber="1" containsInteger="1" minValue="4" maxValue="4"/>
    </cacheField>
    <cacheField name="Ngày" numFmtId="0">
      <sharedItems containsSemiMixedTypes="0" containsString="0" containsNumber="1" containsInteger="1" minValue="1" maxValue="31" count="31">
        <n v="3"/>
        <n v="4"/>
        <n v="6"/>
        <n v="8"/>
        <n v="10"/>
        <n v="1"/>
        <n v="2"/>
        <n v="7"/>
        <n v="9"/>
        <n v="25" u="1"/>
        <n v="5" u="1"/>
        <n v="11" u="1"/>
        <n v="14" u="1"/>
        <n v="17" u="1"/>
        <n v="18" u="1"/>
        <n v="19" u="1"/>
        <n v="20" u="1"/>
        <n v="24" u="1"/>
        <n v="26" u="1"/>
        <n v="28" u="1"/>
        <n v="29" u="1"/>
        <n v="12" u="1"/>
        <n v="13" u="1"/>
        <n v="15" u="1"/>
        <n v="16" u="1"/>
        <n v="21" u="1"/>
        <n v="23" u="1"/>
        <n v="27" u="1"/>
        <n v="22" u="1"/>
        <n v="31" u="1"/>
        <n v="30" u="1"/>
      </sharedItems>
    </cacheField>
    <cacheField name="Tháng | Ngày" numFmtId="0">
      <sharedItems count="73">
        <s v="04 | 03"/>
        <s v="04 | 04"/>
        <s v="04 | 06"/>
        <s v="04 | 08"/>
        <s v="04 | 10"/>
        <s v="04 | 01"/>
        <s v="04 | 02"/>
        <s v="04 | 07"/>
        <s v="04 | 09"/>
        <s v="03 | 25" u="1"/>
        <s v="03 | 03" u="1"/>
        <s v="03 | 04" u="1"/>
        <s v="03 | 05" u="1"/>
        <s v="03 | 06" u="1"/>
        <s v="03 | 09" u="1"/>
        <s v="03 | 10" u="1"/>
        <s v="03 | 11" u="1"/>
        <s v="03 | 14" u="1"/>
        <s v="03 | 17" u="1"/>
        <s v="03 | 18" u="1"/>
        <s v="03 | 19" u="1"/>
        <s v="03 | 20" u="1"/>
        <s v="03 | 24" u="1"/>
        <s v="03 | 26" u="1"/>
        <s v="03 | 28" u="1"/>
        <s v="03 | 29" u="1"/>
        <s v="03 | 02" u="1"/>
        <s v="03 | 07" u="1"/>
        <s v="03 | 08" u="1"/>
        <s v="03 | 12" u="1"/>
        <s v="03 | 13" u="1"/>
        <s v="03 | 15" u="1"/>
        <s v="03 | 16" u="1"/>
        <s v="03 | 21" u="1"/>
        <s v="03 | 23" u="1"/>
        <s v="03 | 27" u="1"/>
        <s v="02 | 02" u="1"/>
        <s v="02 | 03" u="1"/>
        <s v="02 | 04" u="1"/>
        <s v="02 | 05" u="1"/>
        <s v="02 | 06" u="1"/>
        <s v="02 | 07" u="1"/>
        <s v="02 | 09" u="1"/>
        <s v="02 | 10" u="1"/>
        <s v="02 | 11" u="1"/>
        <s v="02 | 12" u="1"/>
        <s v="02 | 13" u="1"/>
        <s v="02 | 26" u="1"/>
        <s v="02 | 08" u="1"/>
        <s v="02 | 25" u="1"/>
        <s v="01 | 23" u="1"/>
        <s v="01 | 05" u="1"/>
        <s v="01 | 08" u="1"/>
        <s v="01 | 09" u="1"/>
        <s v="01 | 16" u="1"/>
        <s v="01 | 19" u="1"/>
        <s v="01 | 20" u="1"/>
        <s v="01 | 21" u="1"/>
        <s v="01 | 24" u="1"/>
        <s v="01 | 25" u="1"/>
        <s v="01 | 27" u="1"/>
        <s v="01 | 29" u="1"/>
        <s v="01 | 06" u="1"/>
        <s v="01 | 07" u="1"/>
        <s v="01 | 10" u="1"/>
        <s v="01 | 12" u="1"/>
        <s v="01 | 13" u="1"/>
        <s v="01 | 14" u="1"/>
        <s v="01 | 15" u="1"/>
        <s v="01 | 17" u="1"/>
        <s v="01 | 22" u="1"/>
        <s v="01 | 26" u="1"/>
        <s v="01 | 28" u="1"/>
      </sharedItems>
    </cacheField>
    <cacheField name="Quantity_Edited" numFmtId="165">
      <sharedItems containsSemiMixedTypes="0" containsString="0" containsNumber="1" containsInteger="1" minValue="-31900" maxValue="24750"/>
    </cacheField>
    <cacheField name="Mã khách | Mã SKU" numFmtId="165">
      <sharedItems count="42">
        <s v=""/>
        <s v="105271 | 110000332"/>
        <s v="104894 | 110000354"/>
        <s v="105323 | 110000436"/>
        <s v="105314 | 110000374"/>
        <s v="105339 | 110000361"/>
        <s v="105263 | 110000481"/>
        <s v="105349 | 110000341"/>
        <s v="105339 | 110000366"/>
        <s v="105290 | 160012726"/>
        <s v="105290 | 160012727"/>
        <s v="105290 | 160012729"/>
        <s v="105371 | 160012334"/>
        <s v="105194 | 110000332"/>
        <s v="105354 | 110000354"/>
        <s v="105281 | 110000354"/>
        <s v="105263 | 110000339"/>
        <s v="105324 | 160012951"/>
        <s v="104877 | 110000359"/>
        <s v="105286 | 110000355"/>
        <s v="105420 | 110000482"/>
        <s v="105420 | 110000392"/>
        <s v="105186 | 110000332"/>
        <s v="105397 | 110000354"/>
        <s v="105266 | 110000354"/>
        <s v="105362 | 110000393"/>
        <s v="105405 | 160012801"/>
        <s v="105413 | 160012956"/>
        <s v="200409 | 110000354"/>
        <s v="105421 | 110000392"/>
        <s v="105223 | 110000339"/>
        <s v="1005 | 110000425"/>
        <s v="200384 | 110000507"/>
        <s v="1000 | 110000361"/>
        <s v="105303 | 110000359"/>
        <s v="105189 | 110000374"/>
        <s v="200400 | 110000354"/>
        <s v="104909 | 110000329"/>
        <s v="105423 | 110000522"/>
        <s v="105382 | 160012974"/>
        <s v="105382 | 160012951"/>
        <s v="105413 | 160012334"/>
      </sharedItems>
    </cacheField>
    <cacheField name="XK/NĐ" numFmtId="0">
      <sharedItems count="3">
        <s v="NĐ"/>
        <s v="XK"/>
        <s v="Khác"/>
      </sharedItems>
    </cacheField>
    <cacheField name="Tên SKU" numFmtId="0">
      <sharedItems count="51">
        <s v=""/>
        <s v="Hạt nhựa rPET iSS01084G"/>
        <s v="Hạt nhựa rPET WSS01G 1"/>
        <s v="Hạt nhựa rPET WSS05SB"/>
        <s v="Hạt Nhựa rHDB03N02"/>
        <s v="Hạt nhựa rHDI3R01"/>
        <s v="Hạt Nhựa rHDPE PCF01"/>
        <s v="Hạt nhựa rHDB04B01"/>
        <s v="Hạt nhựa rHDI3G01"/>
        <s v="Phó Sản PET Bụi Tank A"/>
        <s v="Phó Sản PET Bụi Tank B"/>
        <s v="Phó Sản PET Bụi Tank D"/>
        <s v="Phó Sản PET Bụi Cám Sau Sàn Rung"/>
        <s v="Hạt Nhựa rHDPE MBF01"/>
        <s v="Phó Sản HD Ép Hỗn Hợp Cuối SSR"/>
        <s v="Hạt nhựa rPET WSS03G"/>
        <s v="Hạt nhựa rPET iSS01G 1"/>
        <s v="Hạt Nhựa rPP20W01"/>
        <s v="Hạt nhựa rPP20B01"/>
        <s v="Hạt nhựa rPP20Be01"/>
        <s v="Vảy PET GC Dây Đai"/>
        <s v="Vảy PET Tomra SLR"/>
        <s v="Hạt Nhựa HCBF-Whi-U"/>
        <s v="Vảy FPET201"/>
        <s v="Hạt nhựa rPET WSS01"/>
        <s v="Hạt Nhựa rPET WSS03NC"/>
        <s v="Vảy HD Ép Hỗn Hợp Cuối Sau Sấy"/>
        <e v="#N/A" u="1"/>
        <s v="Vảy HD Ép Trắng" u="1"/>
        <s v="Chai PET B1 Không Phân Loại" u="1"/>
        <s v="Hạt nhựa rHDI3Y01" u="1"/>
        <s v="Hạt nhựa rHDI3Gy01" u="1"/>
        <s v="Vảy HD Ép Vàng" u="1"/>
        <s v="Vảy HD Ép Đỏ" u="1"/>
        <s v="Hạt nhựa rHDI3W01" u="1"/>
        <s v="Hạt nhựa rHDI4L01" u="1"/>
        <s v="Hạt nhựa rPET WSS04SD" u="1"/>
        <s v="Vảy HD Ép Lá" u="1"/>
        <s v="Phó Sản HD Ép Hỗn Hợp Cuối ST" u="1"/>
        <s v="Hạt nhựa rPET iSS01G 2" u="1"/>
        <s v="Vảy PP Đỏ Nhạt" u="1"/>
        <s v="Hạt nhựa rPP20R02" u="1"/>
        <s v="Dây đai PET" u="1"/>
        <s v="Hạt Nhựa rPET WSS01L" u="1"/>
        <s v="Hạt Nhựa rHDA03N01" u="1"/>
        <s v="Hạt Nhựa rPP20L03" u="1"/>
        <s v="Hạt nhựa rPET WSS04SB" u="1"/>
        <s v="Hạt Nhựa rPET iSS01G-S" u="1"/>
        <s v="Hạt Nhựa rHDI3Gy02" u="1"/>
        <s v="Vảy HD Ép Đen" u="1"/>
        <s v="Hạt nhựa rPET WSS01G 2" u="1"/>
      </sharedItems>
    </cacheField>
    <cacheField name="Nhóm SP 1" numFmtId="0">
      <sharedItems/>
    </cacheField>
    <cacheField name="Nhóm SP 2" numFmtId="0">
      <sharedItems/>
    </cacheField>
    <cacheField name="Nhóm SP 3" numFmtId="0">
      <sharedItems count="10">
        <s v=""/>
        <s v="rPET"/>
        <s v="Xơ sợi"/>
        <s v="rHDPE thổi"/>
        <s v="rHDPE ép"/>
        <s v="Phó sản"/>
        <s v="rPP"/>
        <e v="#N/A" u="1"/>
        <s v="Khác" u="1"/>
        <s v="GC" u="1"/>
      </sharedItems>
    </cacheField>
    <cacheField name="Nhóm SP 4" numFmtId="0">
      <sharedItems count="13">
        <s v=""/>
        <s v="Hạt rPET"/>
        <s v="Hạt Xơ sợi"/>
        <s v="Hạt rHDPE thổi"/>
        <s v="Hạt rHDPE ép"/>
        <s v="Phó sản"/>
        <s v="Hạt rPP"/>
        <s v="Vảy rPET"/>
        <e v="#N/A" u="1"/>
        <s v="Vảy rHDPE ép" u="1"/>
        <s v="Chai PET" u="1"/>
        <s v="Vảy rPP" u="1"/>
        <s v="Dây đai PET" u="1"/>
      </sharedItems>
    </cacheField>
    <cacheField name="GBTB (USD/ton)" numFmtId="0" formula=" IFERROR('Dthu (USD)'/Quantity_Edited,0)*1000" databaseField="0"/>
    <cacheField name="Average EXR" numFmtId="0" formula=" IFERROR('Amount in local currency'/'Dthu (USD)',0)" databaseField="0"/>
    <cacheField name="GBTB (VND/kg)" numFmtId="0" formula=" IFERROR('Amount in local currency'/Quantity_Edited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1001"/>
    <d v="2026-04-02T00:00:00"/>
    <s v="1300000087"/>
    <s v=""/>
    <s v=""/>
    <s v="5118000100"/>
    <s v="5118000100"/>
    <x v="0"/>
    <n v="-110704000"/>
    <x v="0"/>
    <s v="Xuất 4400kg rPET cho Unilever Ngọc Nghĩa TN k TT"/>
    <s v="MY.DTT"/>
    <s v="4"/>
    <s v="2026"/>
    <s v="C26TTC;1025"/>
    <s v="1C26TTC;1025"/>
    <s v="5118000100"/>
    <s v="S"/>
    <s v=""/>
    <n v="-110704000"/>
    <n v="-110704000"/>
    <n v="-110704000"/>
    <n v="-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Xuất 4400kg rPET cho Unil"/>
    <s v="1300000087"/>
    <s v="DR"/>
    <s v=""/>
    <s v=""/>
    <s v=""/>
    <s v=""/>
    <s v="0"/>
    <s v="1,00000"/>
    <m/>
    <s v=""/>
    <s v=""/>
    <s v=""/>
    <s v=""/>
    <s v=""/>
    <s v=""/>
    <s v=""/>
    <s v=""/>
    <s v=""/>
    <s v="2026"/>
    <n v="-110704000"/>
    <s v="VND"/>
    <s v="000002"/>
    <s v=""/>
    <n v="0"/>
    <s v="0"/>
    <s v="0"/>
    <s v="0"/>
    <s v="0"/>
    <n v="0"/>
    <s v="1300000087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7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3T02:14:53"/>
    <s v=""/>
    <s v=""/>
    <s v=""/>
    <n v="-110704000"/>
    <n v="0"/>
    <n v="-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-4216.9509618056745"/>
    <d v="2026-04-03T09:14:53"/>
    <n v="4"/>
    <x v="0"/>
    <x v="0"/>
    <n v="0"/>
    <x v="0"/>
    <x v="0"/>
    <x v="0"/>
    <s v=""/>
    <s v=""/>
    <x v="0"/>
    <x v="0"/>
  </r>
  <r>
    <s v="1001"/>
    <d v="2026-04-03T00:00:00"/>
    <s v="1300000088"/>
    <s v=""/>
    <s v=""/>
    <s v="5118000100"/>
    <s v="5118000100"/>
    <x v="1"/>
    <n v="-1124550"/>
    <x v="1"/>
    <s v="Xuất 50kg rPET cho Việt Thành Plast k thu tiền"/>
    <s v="MY.DTT"/>
    <s v="4"/>
    <s v="2026"/>
    <s v="C26TTC;1040"/>
    <s v="1C26TTC;1040"/>
    <s v="5118000100"/>
    <s v="S"/>
    <s v=""/>
    <n v="-1124550"/>
    <n v="-1124550"/>
    <n v="-1124550"/>
    <n v="-112455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50kg rPET cho Việt T"/>
    <s v="1300000088"/>
    <s v="DR"/>
    <s v=""/>
    <s v=""/>
    <s v=""/>
    <s v=""/>
    <s v="0"/>
    <s v="1,00000"/>
    <m/>
    <s v=""/>
    <s v=""/>
    <s v=""/>
    <s v=""/>
    <s v=""/>
    <s v=""/>
    <s v=""/>
    <s v=""/>
    <s v=""/>
    <s v="2026"/>
    <n v="-1124550"/>
    <s v="VND"/>
    <s v="000002"/>
    <s v=""/>
    <n v="0"/>
    <s v="0"/>
    <s v="0"/>
    <s v="0"/>
    <s v="0"/>
    <n v="0"/>
    <s v="1300000088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8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3:03:22"/>
    <s v=""/>
    <s v=""/>
    <s v=""/>
    <n v="-1124550"/>
    <n v="0"/>
    <n v="-1124550"/>
    <n v="0"/>
    <n v="0"/>
    <n v="0"/>
    <d v="2026-04-04T00:00:00"/>
    <s v=""/>
    <n v="0"/>
    <s v=""/>
    <s v=""/>
    <n v="0"/>
    <n v="0"/>
    <s v="2026/04"/>
    <s v=""/>
    <x v="0"/>
    <n v="1"/>
    <n v="0"/>
    <n v="0"/>
    <n v="-42.836502783084363"/>
    <d v="2026-04-04T10:03:22"/>
    <n v="4"/>
    <x v="1"/>
    <x v="1"/>
    <n v="0"/>
    <x v="0"/>
    <x v="0"/>
    <x v="0"/>
    <s v=""/>
    <s v=""/>
    <x v="0"/>
    <x v="0"/>
  </r>
  <r>
    <s v="1001"/>
    <d v="2026-04-03T00:00:00"/>
    <s v="1300000089"/>
    <s v=""/>
    <s v=""/>
    <s v="5118000100"/>
    <s v="5118000100"/>
    <x v="1"/>
    <n v="-2249100"/>
    <x v="1"/>
    <s v="Xuất 100kg rPET cho Cẩm thành k thu tiền"/>
    <s v="MY.DTT"/>
    <s v="4"/>
    <s v="2026"/>
    <s v="C26TTC;1041"/>
    <s v="1C26TTC;1041"/>
    <s v="5118000100"/>
    <s v="S"/>
    <s v=""/>
    <n v="-2249100"/>
    <n v="-2249100"/>
    <n v="-2249100"/>
    <n v="-22491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100kg rPET cho Cẩm t"/>
    <s v="1300000089"/>
    <s v="DR"/>
    <s v=""/>
    <s v=""/>
    <s v=""/>
    <s v=""/>
    <s v="0"/>
    <s v="1,00000"/>
    <m/>
    <s v=""/>
    <s v=""/>
    <s v=""/>
    <s v=""/>
    <s v=""/>
    <s v=""/>
    <s v=""/>
    <s v=""/>
    <s v=""/>
    <s v="2026"/>
    <n v="-2249100"/>
    <s v="VND"/>
    <s v="000002"/>
    <s v=""/>
    <n v="0"/>
    <s v="0"/>
    <s v="0"/>
    <s v="0"/>
    <s v="0"/>
    <n v="0"/>
    <s v="1300000089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9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4:36:24"/>
    <s v=""/>
    <s v=""/>
    <s v=""/>
    <n v="-2249100"/>
    <n v="0"/>
    <n v="-2249100"/>
    <n v="0"/>
    <n v="0"/>
    <n v="0"/>
    <d v="2026-04-04T00:00:00"/>
    <s v=""/>
    <n v="0"/>
    <s v=""/>
    <s v=""/>
    <n v="0"/>
    <n v="0"/>
    <s v="2026/04"/>
    <s v=""/>
    <x v="0"/>
    <n v="1"/>
    <n v="0"/>
    <n v="0"/>
    <n v="-85.673005566168726"/>
    <d v="2026-04-04T11:36:24"/>
    <n v="4"/>
    <x v="1"/>
    <x v="1"/>
    <n v="0"/>
    <x v="0"/>
    <x v="0"/>
    <x v="0"/>
    <s v=""/>
    <s v=""/>
    <x v="0"/>
    <x v="0"/>
  </r>
  <r>
    <s v="1001"/>
    <d v="2026-04-04T00:00:00"/>
    <s v="1300000090"/>
    <s v=""/>
    <s v=""/>
    <s v="5118000100"/>
    <s v="5118000100"/>
    <x v="1"/>
    <n v="-7548000"/>
    <x v="1"/>
    <s v="Xuất 300kg rPET cho DTP - Olam k thu tiền"/>
    <s v="MY.DTT"/>
    <s v="4"/>
    <s v="2026"/>
    <s v="C26TTC;1056"/>
    <s v="1C26TTC;1056"/>
    <s v="5118000100"/>
    <s v="S"/>
    <s v=""/>
    <n v="-7548000"/>
    <n v="-7548000"/>
    <n v="-7548000"/>
    <n v="-7548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Xuất 300kg rPET cho DTP -"/>
    <s v="1300000090"/>
    <s v="DR"/>
    <s v=""/>
    <s v=""/>
    <s v=""/>
    <s v=""/>
    <s v="0"/>
    <s v="1,00000"/>
    <m/>
    <s v=""/>
    <s v=""/>
    <s v=""/>
    <s v=""/>
    <s v=""/>
    <s v=""/>
    <s v=""/>
    <s v=""/>
    <s v=""/>
    <s v="2026"/>
    <n v="-7548000"/>
    <s v="VND"/>
    <s v="000002"/>
    <s v=""/>
    <n v="0"/>
    <s v="0"/>
    <s v="0"/>
    <s v="0"/>
    <s v="0"/>
    <n v="0"/>
    <s v="1300000090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0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9:19:06"/>
    <s v=""/>
    <s v=""/>
    <s v=""/>
    <n v="-7548000"/>
    <n v="0"/>
    <n v="-7548000"/>
    <n v="0"/>
    <n v="0"/>
    <n v="0"/>
    <d v="2026-04-04T00:00:00"/>
    <s v=""/>
    <n v="0"/>
    <s v=""/>
    <s v=""/>
    <n v="0"/>
    <n v="0"/>
    <s v="2026/04"/>
    <s v=""/>
    <x v="0"/>
    <n v="1"/>
    <n v="0"/>
    <n v="0"/>
    <n v="-287.51938375947782"/>
    <d v="2026-04-04T16:19:06"/>
    <n v="4"/>
    <x v="1"/>
    <x v="1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54686"/>
    <x v="1"/>
    <s v="Xuất 2kg mẫu HDPEcho QLCL k thu tiền"/>
    <s v="MY.DTT"/>
    <s v="4"/>
    <s v="2026"/>
    <s v="C26TTC;1069"/>
    <s v="1C26TTC;1069"/>
    <s v="5118000100"/>
    <s v="S"/>
    <s v=""/>
    <n v="-54686"/>
    <n v="-54686"/>
    <n v="-54686"/>
    <n v="-54686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54686"/>
    <s v="VND"/>
    <s v="000002"/>
    <s v=""/>
    <n v="0"/>
    <s v="0"/>
    <s v="0"/>
    <s v="0"/>
    <s v="0"/>
    <n v="0"/>
    <s v="1300000091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54686"/>
    <n v="0"/>
    <n v="-54686"/>
    <n v="0"/>
    <n v="0"/>
    <n v="0"/>
    <d v="2026-04-06T00:00:00"/>
    <s v=""/>
    <n v="0"/>
    <s v=""/>
    <s v=""/>
    <n v="0"/>
    <n v="0"/>
    <s v="2026/04"/>
    <s v=""/>
    <x v="0"/>
    <n v="1"/>
    <n v="0"/>
    <n v="0"/>
    <n v="-2.0831061235122954"/>
    <d v="2026-04-06T19:20:39"/>
    <n v="4"/>
    <x v="2"/>
    <x v="2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95324"/>
    <x v="1"/>
    <s v="Xuất 4kg PET cho QLCL k thu tiền"/>
    <s v="MY.DTT"/>
    <s v="4"/>
    <s v="2026"/>
    <s v="C26TTC;1069"/>
    <s v="1C26TTC;1069"/>
    <s v="5118000100"/>
    <s v="S"/>
    <s v=""/>
    <n v="-95324"/>
    <n v="-95324"/>
    <n v="-95324"/>
    <n v="-95324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95324"/>
    <s v="VND"/>
    <s v="000003"/>
    <s v=""/>
    <n v="0"/>
    <s v="0"/>
    <s v="0"/>
    <s v="0"/>
    <s v="0"/>
    <n v="0"/>
    <s v="1300000091"/>
    <s v="0"/>
    <s v=""/>
    <m/>
    <s v="0L"/>
    <s v=""/>
    <s v="3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95324"/>
    <n v="0"/>
    <n v="-95324"/>
    <n v="0"/>
    <n v="0"/>
    <n v="0"/>
    <d v="2026-04-06T00:00:00"/>
    <s v=""/>
    <n v="0"/>
    <s v=""/>
    <s v=""/>
    <n v="0"/>
    <n v="0"/>
    <s v="2026/04"/>
    <s v=""/>
    <x v="0"/>
    <n v="1"/>
    <n v="0"/>
    <n v="0"/>
    <n v="-3.6310940298739354"/>
    <d v="2026-04-06T19:20:39"/>
    <n v="4"/>
    <x v="2"/>
    <x v="2"/>
    <n v="0"/>
    <x v="0"/>
    <x v="0"/>
    <x v="0"/>
    <s v=""/>
    <s v=""/>
    <x v="0"/>
    <x v="0"/>
  </r>
  <r>
    <s v="1001"/>
    <d v="2026-04-08T00:00:00"/>
    <s v="1300000092"/>
    <s v=""/>
    <s v=""/>
    <s v="5118000100"/>
    <s v="5118000100"/>
    <x v="1"/>
    <n v="-102872"/>
    <x v="1"/>
    <s v="Xuất 5,2kg mẫu PET cho QLCL-R&amp;D k thu tiền"/>
    <s v="MY.DTT"/>
    <s v="4"/>
    <s v="2026"/>
    <s v="C26TTC;1093"/>
    <s v="1C26TTC;1093"/>
    <s v="5118000100"/>
    <s v="S"/>
    <s v=""/>
    <n v="-102872"/>
    <n v="-102872"/>
    <n v="-102872"/>
    <n v="-102872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Xuất 5,2kg mẫu PET cho QL"/>
    <s v="1300000092"/>
    <s v="DR"/>
    <s v=""/>
    <s v=""/>
    <s v=""/>
    <s v=""/>
    <s v="0"/>
    <s v="1,00000"/>
    <m/>
    <s v=""/>
    <s v=""/>
    <s v=""/>
    <s v=""/>
    <s v=""/>
    <s v=""/>
    <s v=""/>
    <s v=""/>
    <s v=""/>
    <s v="2026"/>
    <n v="-102872"/>
    <s v="VND"/>
    <s v="000002"/>
    <s v=""/>
    <n v="0"/>
    <s v="0"/>
    <s v="0"/>
    <s v="0"/>
    <s v="0"/>
    <n v="0"/>
    <s v="1300000092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2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8T13:00:08"/>
    <s v=""/>
    <s v=""/>
    <s v=""/>
    <n v="-102872"/>
    <n v="0"/>
    <n v="-102872"/>
    <n v="0"/>
    <n v="0"/>
    <n v="0"/>
    <d v="2026-04-08T00:00:00"/>
    <s v=""/>
    <n v="0"/>
    <s v=""/>
    <s v=""/>
    <n v="0"/>
    <n v="0"/>
    <s v="2026/04"/>
    <s v=""/>
    <x v="0"/>
    <n v="1"/>
    <n v="0"/>
    <n v="0"/>
    <n v="-3.9186134136334134"/>
    <d v="2026-04-08T20:00:08"/>
    <n v="4"/>
    <x v="3"/>
    <x v="3"/>
    <n v="0"/>
    <x v="0"/>
    <x v="0"/>
    <x v="0"/>
    <s v=""/>
    <s v=""/>
    <x v="0"/>
    <x v="0"/>
  </r>
  <r>
    <s v="1001"/>
    <d v="2026-04-10T00:00:00"/>
    <s v="1300000093"/>
    <s v=""/>
    <s v=""/>
    <s v="5118000100"/>
    <s v="5118000100"/>
    <x v="2"/>
    <n v="-3800000"/>
    <x v="2"/>
    <s v="Cước phí thuê xe đi công tác -Đại Lộc"/>
    <s v="MY.DTT"/>
    <s v="4"/>
    <s v="2026"/>
    <s v="C26TTC;1127"/>
    <s v="1C26TTC;1127"/>
    <s v="5118000100"/>
    <s v="S"/>
    <s v=""/>
    <n v="-3800000"/>
    <n v="-3800000"/>
    <n v="-3800000"/>
    <n v="-3800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Cước phí thuê xe đi công"/>
    <s v="1300000093"/>
    <s v="DR"/>
    <s v=""/>
    <s v=""/>
    <s v=""/>
    <s v=""/>
    <s v="0"/>
    <s v="1,00000"/>
    <m/>
    <s v=""/>
    <s v=""/>
    <s v=""/>
    <s v=""/>
    <s v=""/>
    <s v=""/>
    <s v=""/>
    <s v=""/>
    <s v=""/>
    <s v="2026"/>
    <n v="-3800000"/>
    <s v="VND"/>
    <s v="000002"/>
    <s v=""/>
    <n v="0"/>
    <s v="0"/>
    <s v="0"/>
    <s v="0"/>
    <s v="0"/>
    <n v="0"/>
    <s v="1300000093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3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5:15"/>
    <s v=""/>
    <s v=""/>
    <s v=""/>
    <n v="-3800000"/>
    <n v="0"/>
    <n v="-3800000"/>
    <n v="0"/>
    <n v="0"/>
    <n v="0"/>
    <d v="2026-04-10T00:00:00"/>
    <s v=""/>
    <n v="0"/>
    <s v=""/>
    <s v=""/>
    <n v="0"/>
    <n v="0"/>
    <s v="2026/04"/>
    <s v=""/>
    <x v="0"/>
    <n v="1"/>
    <n v="0"/>
    <n v="0"/>
    <n v="-144.75008721330363"/>
    <d v="2026-04-10T19:25:15"/>
    <n v="4"/>
    <x v="4"/>
    <x v="4"/>
    <n v="0"/>
    <x v="0"/>
    <x v="0"/>
    <x v="0"/>
    <s v=""/>
    <s v=""/>
    <x v="0"/>
    <x v="0"/>
  </r>
  <r>
    <s v="1001"/>
    <d v="2026-04-10T00:00:00"/>
    <s v="1300000094"/>
    <s v=""/>
    <s v=""/>
    <s v="5118000100"/>
    <s v="5118000100"/>
    <x v="1"/>
    <n v="-8700"/>
    <x v="1"/>
    <s v="Xuất 1,5kg Phó sản HD cho R&amp;D k thu tiền"/>
    <s v="MY.DTT"/>
    <s v="4"/>
    <s v="2026"/>
    <s v="C26TTC;1128"/>
    <s v="1C26TTC;1128"/>
    <s v="5118000100"/>
    <s v="S"/>
    <s v=""/>
    <n v="-8700"/>
    <n v="-8700"/>
    <n v="-8700"/>
    <n v="-87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Xuất 1,5kg Phó sản HD cho"/>
    <s v="1300000094"/>
    <s v="DR"/>
    <s v=""/>
    <s v=""/>
    <s v=""/>
    <s v=""/>
    <s v="0"/>
    <s v="1,00000"/>
    <m/>
    <s v=""/>
    <s v=""/>
    <s v=""/>
    <s v=""/>
    <s v=""/>
    <s v=""/>
    <s v=""/>
    <s v=""/>
    <s v=""/>
    <s v="2026"/>
    <n v="-8700"/>
    <s v="VND"/>
    <s v="000002"/>
    <s v=""/>
    <n v="0"/>
    <s v="0"/>
    <s v="0"/>
    <s v="0"/>
    <s v="0"/>
    <n v="0"/>
    <s v="1300000094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4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9:34"/>
    <s v=""/>
    <s v=""/>
    <s v=""/>
    <n v="-8700"/>
    <n v="0"/>
    <n v="-8700"/>
    <n v="0"/>
    <n v="0"/>
    <n v="0"/>
    <d v="2026-04-10T00:00:00"/>
    <s v=""/>
    <n v="0"/>
    <s v=""/>
    <s v=""/>
    <n v="0"/>
    <n v="0"/>
    <s v="2026/04"/>
    <s v=""/>
    <x v="0"/>
    <n v="1"/>
    <n v="0"/>
    <n v="0"/>
    <n v="-0.33140151546203722"/>
    <d v="2026-04-10T19:29:34"/>
    <n v="4"/>
    <x v="4"/>
    <x v="4"/>
    <n v="0"/>
    <x v="0"/>
    <x v="0"/>
    <x v="0"/>
    <s v=""/>
    <s v=""/>
    <x v="0"/>
    <x v="0"/>
  </r>
  <r>
    <s v="1001"/>
    <d v="2026-04-01T00:00:00"/>
    <s v="1400000931"/>
    <s v=""/>
    <s v=""/>
    <s v="5112100100"/>
    <s v="5112100100"/>
    <x v="3"/>
    <n v="-696300000"/>
    <x v="3"/>
    <s v=""/>
    <s v="THU.LNA"/>
    <s v="4"/>
    <s v="2026"/>
    <s v="0000000000000000"/>
    <s v="1C26TTC;1004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1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1"/>
    <s v=""/>
    <s v=""/>
    <s v="1101"/>
    <s v="0"/>
    <s v=""/>
    <s v=""/>
    <s v="50"/>
    <s v="4"/>
    <s v="1001110000"/>
    <s v=""/>
    <n v="-22000"/>
    <s v=""/>
    <s v=""/>
    <s v=""/>
    <s v=""/>
    <m/>
    <s v="00911725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3:43:2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1"/>
    <x v="1"/>
    <n v="1"/>
    <n v="31650"/>
    <n v="0"/>
    <n v="-26523.548875427186"/>
    <d v="2026-04-01T10:43:27"/>
    <n v="4"/>
    <x v="5"/>
    <x v="5"/>
    <n v="-22000"/>
    <x v="1"/>
    <x v="0"/>
    <x v="1"/>
    <s v="rPET"/>
    <s v="rPET"/>
    <x v="1"/>
    <x v="1"/>
  </r>
  <r>
    <s v="1001"/>
    <d v="2026-04-01T00:00:00"/>
    <s v="1400000932"/>
    <s v=""/>
    <s v=""/>
    <s v="5112100100"/>
    <s v="5112100100"/>
    <x v="4"/>
    <n v="-731302000"/>
    <x v="4"/>
    <s v=""/>
    <s v="THU.LNA"/>
    <s v="4"/>
    <s v="2026"/>
    <s v="0000000000000000"/>
    <s v="1C26TTC;1005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2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32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12"/>
    <s v=""/>
    <s v=""/>
    <s v="1101"/>
    <s v="0"/>
    <s v=""/>
    <s v=""/>
    <s v="50"/>
    <s v="4"/>
    <s v="1001110000"/>
    <s v=""/>
    <n v="-22000"/>
    <s v=""/>
    <s v=""/>
    <s v=""/>
    <s v=""/>
    <m/>
    <s v="00911725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09:57"/>
    <s v=""/>
    <s v=""/>
    <s v=""/>
    <n v="-731302000"/>
    <n v="0"/>
    <n v="-731302000"/>
    <n v="0"/>
    <n v="0"/>
    <n v="0"/>
    <d v="2026-04-01T00:00:00"/>
    <s v=""/>
    <n v="0"/>
    <s v=""/>
    <s v=""/>
    <n v="0"/>
    <n v="0"/>
    <s v="2026/04"/>
    <s v="91172512"/>
    <x v="2"/>
    <n v="1"/>
    <n v="33241"/>
    <n v="0"/>
    <n v="-27856.84954717457"/>
    <d v="2026-04-01T16:09:57"/>
    <n v="4"/>
    <x v="5"/>
    <x v="5"/>
    <n v="-22000"/>
    <x v="2"/>
    <x v="0"/>
    <x v="2"/>
    <s v="rPET"/>
    <s v="rPET"/>
    <x v="1"/>
    <x v="1"/>
  </r>
  <r>
    <s v="1001"/>
    <d v="2026-04-01T00:00:00"/>
    <s v="1400000933"/>
    <s v=""/>
    <s v=""/>
    <s v="5112100100"/>
    <s v="5112100100"/>
    <x v="3"/>
    <n v="-696300000"/>
    <x v="3"/>
    <s v=""/>
    <s v="THU.LNA"/>
    <s v="4"/>
    <s v="2026"/>
    <s v="0000000000000000"/>
    <s v="1C26TTC;100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3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3"/>
    <s v=""/>
    <s v=""/>
    <s v="1101"/>
    <s v="0"/>
    <s v=""/>
    <s v=""/>
    <s v="50"/>
    <s v="4"/>
    <s v="1001110000"/>
    <s v=""/>
    <n v="-22000"/>
    <s v=""/>
    <s v=""/>
    <s v=""/>
    <s v=""/>
    <m/>
    <s v="00911725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1:0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3"/>
    <x v="1"/>
    <n v="1"/>
    <n v="31650"/>
    <n v="0"/>
    <n v="-26523.548875427186"/>
    <d v="2026-04-01T16:11:07"/>
    <n v="4"/>
    <x v="5"/>
    <x v="5"/>
    <n v="-22000"/>
    <x v="1"/>
    <x v="0"/>
    <x v="1"/>
    <s v="rPET"/>
    <s v="rPET"/>
    <x v="1"/>
    <x v="1"/>
  </r>
  <r>
    <s v="1001"/>
    <d v="2026-04-01T00:00:00"/>
    <s v="1400000934"/>
    <s v=""/>
    <s v=""/>
    <s v="5112100100"/>
    <s v="5112100100"/>
    <x v="5"/>
    <n v="-263150000"/>
    <x v="5"/>
    <s v=""/>
    <s v="THU.LNA"/>
    <s v="4"/>
    <s v="2026"/>
    <s v="0000000000000000"/>
    <s v="1C26TTC;1007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4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34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14"/>
    <s v=""/>
    <s v=""/>
    <s v="1101"/>
    <s v="0"/>
    <s v=""/>
    <s v=""/>
    <s v="50"/>
    <s v="4"/>
    <s v="1001110000"/>
    <s v=""/>
    <n v="-13850"/>
    <s v=""/>
    <s v=""/>
    <s v=""/>
    <s v=""/>
    <m/>
    <s v="00911725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2:39"/>
    <s v=""/>
    <s v=""/>
    <s v=""/>
    <n v="-263150000"/>
    <n v="0"/>
    <n v="-263150000"/>
    <n v="0"/>
    <n v="0"/>
    <n v="0"/>
    <d v="2026-04-01T00:00:00"/>
    <s v=""/>
    <n v="0"/>
    <s v=""/>
    <s v=""/>
    <n v="0"/>
    <n v="0"/>
    <s v="2026/04"/>
    <s v="91172514"/>
    <x v="3"/>
    <n v="1"/>
    <n v="19000"/>
    <n v="0"/>
    <n v="-10023.943539521277"/>
    <d v="2026-04-01T16:12:39"/>
    <n v="4"/>
    <x v="5"/>
    <x v="5"/>
    <n v="-13850"/>
    <x v="3"/>
    <x v="0"/>
    <x v="3"/>
    <s v="Xơ sợi"/>
    <s v="Xơ sợi"/>
    <x v="2"/>
    <x v="2"/>
  </r>
  <r>
    <s v="1001"/>
    <d v="2026-04-01T00:00:00"/>
    <s v="1400000935"/>
    <s v=""/>
    <s v=""/>
    <s v="5112100100"/>
    <s v="5112100100"/>
    <x v="6"/>
    <n v="-346632000"/>
    <x v="6"/>
    <s v=""/>
    <s v="THU.LNA"/>
    <s v="4"/>
    <s v="2026"/>
    <s v="0000000000000000"/>
    <s v="1C26TTC;1008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5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0935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515"/>
    <s v=""/>
    <s v=""/>
    <s v="1101"/>
    <s v="0"/>
    <s v=""/>
    <s v=""/>
    <s v="50"/>
    <s v="4"/>
    <s v="1001110000"/>
    <s v=""/>
    <n v="-11000"/>
    <s v=""/>
    <s v=""/>
    <s v=""/>
    <s v=""/>
    <m/>
    <s v="00911725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6:45"/>
    <s v=""/>
    <s v=""/>
    <s v=""/>
    <n v="-346632000"/>
    <n v="0"/>
    <n v="-346632000"/>
    <n v="0"/>
    <n v="0"/>
    <n v="0"/>
    <d v="2026-04-01T00:00:00"/>
    <s v=""/>
    <n v="0"/>
    <s v=""/>
    <s v=""/>
    <n v="0"/>
    <n v="0"/>
    <s v="2026/04"/>
    <s v="91172515"/>
    <x v="4"/>
    <n v="1"/>
    <n v="31512"/>
    <n v="0"/>
    <n v="-13203.950587084701"/>
    <d v="2026-04-01T16:16:45"/>
    <n v="4"/>
    <x v="5"/>
    <x v="5"/>
    <n v="-11000"/>
    <x v="4"/>
    <x v="0"/>
    <x v="4"/>
    <s v="rHDPE"/>
    <s v="rHDPE thổi"/>
    <x v="3"/>
    <x v="3"/>
  </r>
  <r>
    <s v="1001"/>
    <d v="2026-04-01T00:00:00"/>
    <s v="1400000936"/>
    <s v=""/>
    <s v=""/>
    <s v="5112100100"/>
    <s v="5112100100"/>
    <x v="7"/>
    <n v="-105600000"/>
    <x v="7"/>
    <s v=""/>
    <s v="THU.LNA"/>
    <s v="4"/>
    <s v="2026"/>
    <s v="0000000000000000"/>
    <s v="1C26TTC;1009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6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36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16"/>
    <s v=""/>
    <s v=""/>
    <s v="1101"/>
    <s v="0"/>
    <s v=""/>
    <s v=""/>
    <s v="50"/>
    <s v="4"/>
    <s v="1001110000"/>
    <s v=""/>
    <n v="-5500"/>
    <s v=""/>
    <s v=""/>
    <s v=""/>
    <s v=""/>
    <m/>
    <s v="00911725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34:39"/>
    <s v=""/>
    <s v=""/>
    <s v=""/>
    <n v="-105600000"/>
    <n v="0"/>
    <n v="-105600000"/>
    <n v="0"/>
    <n v="0"/>
    <n v="0"/>
    <d v="2026-04-01T00:00:00"/>
    <s v=""/>
    <n v="0"/>
    <s v=""/>
    <s v=""/>
    <n v="0"/>
    <n v="0"/>
    <s v="2026/04"/>
    <s v="91172516"/>
    <x v="5"/>
    <n v="1"/>
    <n v="19200"/>
    <n v="0"/>
    <n v="-4022.5287394012798"/>
    <d v="2026-04-01T16:34:39"/>
    <n v="4"/>
    <x v="5"/>
    <x v="5"/>
    <n v="-5500"/>
    <x v="5"/>
    <x v="0"/>
    <x v="5"/>
    <s v="rHDPE"/>
    <s v="rHDPE ép"/>
    <x v="4"/>
    <x v="4"/>
  </r>
  <r>
    <s v="1001"/>
    <d v="2026-04-01T00:00:00"/>
    <s v="1400000937"/>
    <s v=""/>
    <s v=""/>
    <s v="5112100100"/>
    <s v="5112100100"/>
    <x v="8"/>
    <n v="-389059000"/>
    <x v="8"/>
    <s v=""/>
    <s v="THU.LNA"/>
    <s v="4"/>
    <s v="2026"/>
    <s v="0000000000000000"/>
    <s v="1C26TTC;1010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7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37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517"/>
    <s v=""/>
    <s v=""/>
    <s v="1101"/>
    <s v="0"/>
    <s v=""/>
    <s v=""/>
    <s v="50"/>
    <s v="4"/>
    <s v="1001110000"/>
    <s v=""/>
    <n v="-11000"/>
    <s v=""/>
    <s v=""/>
    <s v=""/>
    <s v=""/>
    <m/>
    <s v="009117251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43:53"/>
    <s v=""/>
    <s v=""/>
    <s v=""/>
    <n v="-389059000"/>
    <n v="0"/>
    <n v="-389059000"/>
    <n v="0"/>
    <n v="0"/>
    <n v="0"/>
    <d v="2026-04-01T00:00:00"/>
    <s v=""/>
    <n v="0"/>
    <s v=""/>
    <s v=""/>
    <n v="0"/>
    <n v="0"/>
    <s v="2026/04"/>
    <s v="91172517"/>
    <x v="6"/>
    <n v="1"/>
    <n v="35369"/>
    <n v="0"/>
    <n v="-14820.085310821236"/>
    <d v="2026-04-01T17:43:53"/>
    <n v="4"/>
    <x v="5"/>
    <x v="5"/>
    <n v="-11000"/>
    <x v="6"/>
    <x v="0"/>
    <x v="6"/>
    <s v="rHDPE"/>
    <s v="rHDPE thổi"/>
    <x v="3"/>
    <x v="3"/>
  </r>
  <r>
    <s v="1001"/>
    <d v="2026-04-01T00:00:00"/>
    <s v="1400000938"/>
    <s v=""/>
    <s v=""/>
    <s v="5112100100"/>
    <s v="5112100100"/>
    <x v="9"/>
    <n v="-89120370"/>
    <x v="9"/>
    <s v=""/>
    <s v="THU.LNA"/>
    <s v="4"/>
    <s v="2026"/>
    <s v="0000000000000000"/>
    <s v="1C26TTC;1011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8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38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18"/>
    <s v=""/>
    <s v=""/>
    <s v="1101"/>
    <s v="0"/>
    <s v=""/>
    <s v=""/>
    <s v="50"/>
    <s v="4"/>
    <s v="1001110000"/>
    <s v=""/>
    <n v="-5500"/>
    <s v=""/>
    <s v=""/>
    <s v=""/>
    <s v=""/>
    <m/>
    <s v="009117251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6:48"/>
    <s v=""/>
    <s v=""/>
    <s v=""/>
    <n v="-89120370"/>
    <n v="0"/>
    <n v="-89120370"/>
    <n v="0"/>
    <n v="0"/>
    <n v="0"/>
    <d v="2026-04-01T00:00:00"/>
    <s v=""/>
    <n v="0"/>
    <s v=""/>
    <s v=""/>
    <n v="0"/>
    <n v="0"/>
    <s v="2026/04"/>
    <s v="91172518"/>
    <x v="7"/>
    <n v="1"/>
    <n v="16203.703636363636"/>
    <n v="0"/>
    <n v="-3394.7845605215493"/>
    <d v="2026-04-01T17:56:48"/>
    <n v="4"/>
    <x v="5"/>
    <x v="5"/>
    <n v="-5500"/>
    <x v="7"/>
    <x v="0"/>
    <x v="7"/>
    <s v="rHDPE"/>
    <s v="rHDPE thổi"/>
    <x v="3"/>
    <x v="3"/>
  </r>
  <r>
    <s v="1001"/>
    <d v="2026-04-01T00:00:00"/>
    <s v="1400000939"/>
    <s v=""/>
    <s v=""/>
    <s v="5112100100"/>
    <s v="5112100100"/>
    <x v="7"/>
    <n v="-113850000"/>
    <x v="7"/>
    <s v=""/>
    <s v="THU.LNA"/>
    <s v="4"/>
    <s v="2026"/>
    <s v="0000000000000000"/>
    <s v="1C26TTC;1012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3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19"/>
    <s v=""/>
    <s v=""/>
    <s v="1101"/>
    <s v="0"/>
    <s v=""/>
    <s v=""/>
    <s v="50"/>
    <s v="4"/>
    <s v="1001110000"/>
    <s v=""/>
    <n v="-5500"/>
    <s v=""/>
    <s v=""/>
    <s v=""/>
    <s v=""/>
    <m/>
    <s v="009117251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7:07"/>
    <s v=""/>
    <s v=""/>
    <s v=""/>
    <n v="-113850000"/>
    <n v="0"/>
    <n v="-113850000"/>
    <n v="0"/>
    <n v="0"/>
    <n v="0"/>
    <d v="2026-04-01T00:00:00"/>
    <s v=""/>
    <n v="0"/>
    <s v=""/>
    <s v=""/>
    <n v="0"/>
    <n v="0"/>
    <s v="2026/04"/>
    <s v="91172519"/>
    <x v="8"/>
    <n v="1"/>
    <n v="20700"/>
    <n v="0"/>
    <n v="-4336.7887971670043"/>
    <d v="2026-04-01T17:57:07"/>
    <n v="4"/>
    <x v="5"/>
    <x v="5"/>
    <n v="-5500"/>
    <x v="8"/>
    <x v="0"/>
    <x v="8"/>
    <s v="rHDPE"/>
    <s v="rHDPE ép"/>
    <x v="4"/>
    <x v="4"/>
  </r>
  <r>
    <s v="1001"/>
    <d v="2026-04-01T00:00:00"/>
    <s v="1400000940"/>
    <s v=""/>
    <s v=""/>
    <s v="5112100100"/>
    <s v="5112100100"/>
    <x v="10"/>
    <n v="-9708333"/>
    <x v="10"/>
    <s v=""/>
    <s v="MY.DTT"/>
    <s v="4"/>
    <s v="2026"/>
    <s v="0000000000000000"/>
    <s v="1C26TTC;1013"/>
    <s v="5112100100"/>
    <s v="S"/>
    <s v=""/>
    <n v="-9708333"/>
    <n v="-9708333"/>
    <n v="-9708333"/>
    <n v="-9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9708333"/>
    <s v="VND"/>
    <s v="000002"/>
    <s v=""/>
    <n v="0"/>
    <s v="0"/>
    <s v="0"/>
    <s v="0"/>
    <s v="0"/>
    <n v="0"/>
    <s v="1400000940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3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9708333"/>
    <n v="0"/>
    <n v="-9708333"/>
    <n v="0"/>
    <n v="0"/>
    <n v="0"/>
    <d v="2026-04-01T00:00:00"/>
    <s v=""/>
    <n v="0"/>
    <s v=""/>
    <s v=""/>
    <n v="0"/>
    <n v="0"/>
    <s v="2026/04"/>
    <s v="91172520"/>
    <x v="9"/>
    <n v="1"/>
    <n v="4166.6665236051504"/>
    <n v="0"/>
    <n v="-369.81106538047203"/>
    <d v="2026-04-01T20:42:11"/>
    <n v="4"/>
    <x v="5"/>
    <x v="5"/>
    <n v="-2330"/>
    <x v="9"/>
    <x v="0"/>
    <x v="9"/>
    <s v="Khác"/>
    <s v="Phó sản"/>
    <x v="5"/>
    <x v="5"/>
  </r>
  <r>
    <s v="1001"/>
    <d v="2026-04-01T00:00:00"/>
    <s v="1400000940"/>
    <s v=""/>
    <s v=""/>
    <s v="5112100100"/>
    <s v="5112100100"/>
    <x v="10"/>
    <n v="-10625000"/>
    <x v="10"/>
    <s v=""/>
    <s v="MY.DTT"/>
    <s v="4"/>
    <s v="2026"/>
    <s v="0000000000000000"/>
    <s v="1C26TTC;1013"/>
    <s v="5112100100"/>
    <s v="S"/>
    <s v=""/>
    <n v="-10625000"/>
    <n v="-10625000"/>
    <n v="-10625000"/>
    <n v="-106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0625000"/>
    <s v="VND"/>
    <s v="000004"/>
    <s v=""/>
    <n v="0"/>
    <s v="0"/>
    <s v="0"/>
    <s v="0"/>
    <s v="0"/>
    <n v="0"/>
    <s v="1400000940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55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0625000"/>
    <n v="0"/>
    <n v="-10625000"/>
    <n v="0"/>
    <n v="0"/>
    <n v="0"/>
    <d v="2026-04-01T00:00:00"/>
    <s v=""/>
    <n v="0"/>
    <s v=""/>
    <s v=""/>
    <n v="0"/>
    <n v="0"/>
    <s v="2026/04"/>
    <s v="91172520"/>
    <x v="9"/>
    <n v="1"/>
    <n v="4166.666666666667"/>
    <n v="0"/>
    <n v="-404.72886227403973"/>
    <d v="2026-04-01T20:42:11"/>
    <n v="4"/>
    <x v="5"/>
    <x v="5"/>
    <n v="-2550"/>
    <x v="10"/>
    <x v="0"/>
    <x v="10"/>
    <s v="Khác"/>
    <s v="Phó sản"/>
    <x v="5"/>
    <x v="5"/>
  </r>
  <r>
    <s v="1001"/>
    <d v="2026-04-01T00:00:00"/>
    <s v="1400000940"/>
    <s v=""/>
    <s v=""/>
    <s v="5112100100"/>
    <s v="5112100100"/>
    <x v="10"/>
    <n v="-12208333"/>
    <x v="10"/>
    <s v=""/>
    <s v="MY.DTT"/>
    <s v="4"/>
    <s v="2026"/>
    <s v="0000000000000000"/>
    <s v="1C26TTC;1013"/>
    <s v="5112100100"/>
    <s v="S"/>
    <s v=""/>
    <n v="-12208333"/>
    <n v="-12208333"/>
    <n v="-12208333"/>
    <n v="-122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2208333"/>
    <s v="VND"/>
    <s v="000005"/>
    <s v=""/>
    <n v="0"/>
    <s v="0"/>
    <s v="0"/>
    <s v="0"/>
    <s v="0"/>
    <n v="0"/>
    <s v="1400000940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9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2208333"/>
    <n v="0"/>
    <n v="-12208333"/>
    <n v="0"/>
    <n v="0"/>
    <n v="0"/>
    <d v="2026-04-01T00:00:00"/>
    <s v=""/>
    <n v="0"/>
    <s v=""/>
    <s v=""/>
    <n v="0"/>
    <n v="0"/>
    <s v="2026/04"/>
    <s v="91172520"/>
    <x v="9"/>
    <n v="1"/>
    <n v="4166.6665529010243"/>
    <n v="0"/>
    <n v="-465.04138591554016"/>
    <d v="2026-04-01T20:42:11"/>
    <n v="4"/>
    <x v="5"/>
    <x v="5"/>
    <n v="-2930"/>
    <x v="11"/>
    <x v="0"/>
    <x v="11"/>
    <s v="Khác"/>
    <s v="Phó sản"/>
    <x v="5"/>
    <x v="5"/>
  </r>
  <r>
    <s v="1001"/>
    <d v="2026-04-02T00:00:00"/>
    <s v="1400000941"/>
    <s v=""/>
    <s v=""/>
    <s v="5112100100"/>
    <s v="5112100100"/>
    <x v="11"/>
    <n v="-249555500"/>
    <x v="11"/>
    <s v=""/>
    <s v="THU.LNA"/>
    <s v="4"/>
    <s v="2026"/>
    <s v="0000000000000000"/>
    <s v="1C26TTC;1014"/>
    <s v="5112100100"/>
    <s v="S"/>
    <s v=""/>
    <n v="-249555500"/>
    <n v="-249555500"/>
    <n v="-249555500"/>
    <n v="-24955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1"/>
    <s v="RV"/>
    <s v=""/>
    <s v=""/>
    <s v=""/>
    <s v=""/>
    <s v="0"/>
    <s v="1,00000"/>
    <m/>
    <s v=""/>
    <s v=""/>
    <s v=""/>
    <s v=""/>
    <s v=""/>
    <s v=""/>
    <s v=""/>
    <s v=""/>
    <s v=""/>
    <s v="2026"/>
    <n v="-249555500"/>
    <s v="VND"/>
    <s v="000002"/>
    <s v=""/>
    <n v="0"/>
    <s v="0"/>
    <s v="0"/>
    <s v="0"/>
    <s v="0"/>
    <n v="0"/>
    <s v="1400000941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521"/>
    <s v=""/>
    <s v=""/>
    <s v="1101"/>
    <s v="0"/>
    <s v=""/>
    <s v=""/>
    <s v="50"/>
    <s v="4"/>
    <s v="1001110000"/>
    <s v=""/>
    <n v="-26269"/>
    <s v=""/>
    <s v=""/>
    <s v=""/>
    <s v=""/>
    <m/>
    <s v="009117252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6:36:47"/>
    <s v=""/>
    <s v=""/>
    <s v=""/>
    <n v="-249555500"/>
    <n v="0"/>
    <n v="-249555500"/>
    <n v="0"/>
    <n v="0"/>
    <n v="0"/>
    <d v="2026-04-02T00:00:00"/>
    <s v=""/>
    <n v="0"/>
    <s v=""/>
    <s v=""/>
    <n v="0"/>
    <n v="0"/>
    <s v="2026/04"/>
    <s v="91172521"/>
    <x v="10"/>
    <n v="1"/>
    <n v="9500"/>
    <n v="0"/>
    <n v="-9506.100102515682"/>
    <d v="2026-04-02T13:36:47"/>
    <n v="4"/>
    <x v="6"/>
    <x v="6"/>
    <n v="-26269"/>
    <x v="12"/>
    <x v="0"/>
    <x v="12"/>
    <s v="Khác"/>
    <s v="Phó sản"/>
    <x v="5"/>
    <x v="5"/>
  </r>
  <r>
    <s v="1001"/>
    <d v="2026-04-02T00:00:00"/>
    <s v="1400000943"/>
    <s v=""/>
    <s v=""/>
    <s v="5112100100"/>
    <s v="5112100100"/>
    <x v="9"/>
    <n v="-89120370"/>
    <x v="9"/>
    <s v=""/>
    <s v="THU.LNA"/>
    <s v="4"/>
    <s v="2026"/>
    <s v="0000000000000000"/>
    <s v="0000000000000000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3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43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23"/>
    <s v=""/>
    <s v=""/>
    <s v="1101"/>
    <s v="0"/>
    <s v=""/>
    <s v=""/>
    <s v="50"/>
    <s v="4"/>
    <s v="1001110000"/>
    <s v=""/>
    <n v="-5500"/>
    <s v=""/>
    <s v=""/>
    <s v=""/>
    <s v=""/>
    <m/>
    <s v="009117252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8:46:00"/>
    <s v=""/>
    <s v=""/>
    <s v=""/>
    <n v="-89120370"/>
    <n v="0"/>
    <n v="-89120370"/>
    <n v="0"/>
    <n v="0"/>
    <n v="0"/>
    <d v="2026-04-02T00:00:00"/>
    <s v=""/>
    <n v="0"/>
    <s v=""/>
    <s v=""/>
    <n v="0"/>
    <n v="0"/>
    <s v="2026/04"/>
    <s v="91172523"/>
    <x v="7"/>
    <n v="1"/>
    <n v="16203.703636363636"/>
    <n v="0"/>
    <n v="-3394.7845605215493"/>
    <d v="2026-04-02T15:46:00"/>
    <n v="4"/>
    <x v="6"/>
    <x v="6"/>
    <n v="-5500"/>
    <x v="7"/>
    <x v="0"/>
    <x v="7"/>
    <s v="rHDPE"/>
    <s v="rHDPE thổi"/>
    <x v="3"/>
    <x v="3"/>
  </r>
  <r>
    <s v="1001"/>
    <d v="2026-04-02T00:00:00"/>
    <s v="1400000944"/>
    <s v=""/>
    <s v=""/>
    <s v="5112100100"/>
    <s v="5112100100"/>
    <x v="12"/>
    <n v="-709280000"/>
    <x v="12"/>
    <s v=""/>
    <s v="THU.LNA"/>
    <s v="4"/>
    <s v="2026"/>
    <s v="0000000000000000"/>
    <s v="1C26TTC;101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4"/>
    <s v=""/>
    <s v=""/>
    <s v="1101"/>
    <s v="0"/>
    <s v=""/>
    <s v=""/>
    <s v="50"/>
    <s v="4"/>
    <s v="1001110000"/>
    <s v=""/>
    <n v="-22000"/>
    <s v=""/>
    <s v=""/>
    <s v=""/>
    <s v=""/>
    <m/>
    <s v="009117252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08:16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4"/>
    <x v="11"/>
    <n v="1"/>
    <n v="32240"/>
    <n v="0"/>
    <n v="-27017.984699645262"/>
    <d v="2026-04-02T16:08:16"/>
    <n v="4"/>
    <x v="6"/>
    <x v="6"/>
    <n v="-22000"/>
    <x v="13"/>
    <x v="0"/>
    <x v="1"/>
    <s v="rPET"/>
    <s v="rPET"/>
    <x v="1"/>
    <x v="1"/>
  </r>
  <r>
    <s v="1001"/>
    <d v="2026-04-02T00:00:00"/>
    <s v="1400000945"/>
    <s v=""/>
    <s v=""/>
    <s v="5112100100"/>
    <s v="5112100100"/>
    <x v="12"/>
    <n v="-709280000"/>
    <x v="12"/>
    <s v=""/>
    <s v="THU.LNA"/>
    <s v="4"/>
    <s v="2026"/>
    <s v="0000000000000000"/>
    <s v="1C26TTC;1020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5"/>
    <s v=""/>
    <s v=""/>
    <s v="1101"/>
    <s v="0"/>
    <s v=""/>
    <s v=""/>
    <s v="50"/>
    <s v="4"/>
    <s v="1001110000"/>
    <s v=""/>
    <n v="-22000"/>
    <s v=""/>
    <s v=""/>
    <s v=""/>
    <s v=""/>
    <m/>
    <s v="009117252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6:54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5"/>
    <x v="11"/>
    <n v="1"/>
    <n v="32240"/>
    <n v="0"/>
    <n v="-27017.984699645262"/>
    <d v="2026-04-02T16:56:54"/>
    <n v="4"/>
    <x v="6"/>
    <x v="6"/>
    <n v="-22000"/>
    <x v="13"/>
    <x v="0"/>
    <x v="1"/>
    <s v="rPET"/>
    <s v="rPET"/>
    <x v="1"/>
    <x v="1"/>
  </r>
  <r>
    <s v="1001"/>
    <d v="2026-04-02T00:00:00"/>
    <s v="1400000946"/>
    <s v=""/>
    <s v=""/>
    <s v="5112100100"/>
    <s v="5112100100"/>
    <x v="0"/>
    <n v="-731302000"/>
    <x v="0"/>
    <s v=""/>
    <s v="THU.LNA"/>
    <s v="4"/>
    <s v="2026"/>
    <s v="0000000000000000"/>
    <s v="1C26TTC;1016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6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4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6"/>
    <s v=""/>
    <s v=""/>
    <s v="1101"/>
    <s v="0"/>
    <s v=""/>
    <s v=""/>
    <s v="50"/>
    <s v="4"/>
    <s v="1001110000"/>
    <s v=""/>
    <n v="-22000"/>
    <s v=""/>
    <s v=""/>
    <s v=""/>
    <s v=""/>
    <m/>
    <s v="00911725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7:31"/>
    <s v=""/>
    <s v=""/>
    <s v=""/>
    <n v="-731302000"/>
    <n v="0"/>
    <n v="-731302000"/>
    <n v="0"/>
    <n v="0"/>
    <n v="0"/>
    <d v="2026-04-02T00:00:00"/>
    <s v=""/>
    <n v="0"/>
    <s v=""/>
    <s v=""/>
    <n v="0"/>
    <n v="0"/>
    <s v="2026/04"/>
    <s v="91172526"/>
    <x v="12"/>
    <n v="1"/>
    <n v="33241"/>
    <n v="0"/>
    <n v="-27856.84954717457"/>
    <d v="2026-04-02T16:57:31"/>
    <n v="4"/>
    <x v="6"/>
    <x v="6"/>
    <n v="-22000"/>
    <x v="14"/>
    <x v="0"/>
    <x v="2"/>
    <s v="rPET"/>
    <s v="rPET"/>
    <x v="1"/>
    <x v="1"/>
  </r>
  <r>
    <s v="1001"/>
    <d v="2026-04-02T00:00:00"/>
    <s v="1400000947"/>
    <s v=""/>
    <s v=""/>
    <s v="5112100100"/>
    <s v="5112100100"/>
    <x v="13"/>
    <n v="-317383000"/>
    <x v="13"/>
    <s v=""/>
    <s v="THU.LNA"/>
    <s v="4"/>
    <s v="2026"/>
    <s v="0000000000000000"/>
    <s v="1C26TTC;1017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7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4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7"/>
    <s v=""/>
    <s v=""/>
    <s v="1101"/>
    <s v="0"/>
    <s v=""/>
    <s v=""/>
    <s v="50"/>
    <s v="4"/>
    <s v="1001110000"/>
    <s v=""/>
    <n v="-11000"/>
    <s v=""/>
    <s v=""/>
    <s v=""/>
    <s v=""/>
    <m/>
    <s v="00911725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21"/>
    <s v=""/>
    <s v=""/>
    <s v=""/>
    <n v="-317383000"/>
    <n v="0"/>
    <n v="-317383000"/>
    <n v="0"/>
    <n v="0"/>
    <n v="0"/>
    <d v="2026-04-02T00:00:00"/>
    <s v=""/>
    <n v="0"/>
    <s v=""/>
    <s v=""/>
    <n v="0"/>
    <n v="0"/>
    <s v="2026/04"/>
    <s v="91172527"/>
    <x v="13"/>
    <n v="1"/>
    <n v="28853"/>
    <n v="0"/>
    <n v="-12089.793928952617"/>
    <d v="2026-04-02T17:36:21"/>
    <n v="4"/>
    <x v="6"/>
    <x v="6"/>
    <n v="-11000"/>
    <x v="15"/>
    <x v="0"/>
    <x v="2"/>
    <s v="rPET"/>
    <s v="rPET"/>
    <x v="1"/>
    <x v="1"/>
  </r>
  <r>
    <s v="1001"/>
    <d v="2026-04-02T00:00:00"/>
    <s v="1400000948"/>
    <s v=""/>
    <s v=""/>
    <s v="5112100100"/>
    <s v="5112100100"/>
    <x v="8"/>
    <n v="-389059000"/>
    <x v="8"/>
    <s v=""/>
    <s v="THU.LNA"/>
    <s v="4"/>
    <s v="2026"/>
    <s v="0000000000000000"/>
    <s v="1C26TTC;1018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8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4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28"/>
    <s v=""/>
    <s v=""/>
    <s v="1101"/>
    <s v="0"/>
    <s v=""/>
    <s v=""/>
    <s v="50"/>
    <s v="4"/>
    <s v="1001110000"/>
    <s v=""/>
    <n v="-11000"/>
    <s v=""/>
    <s v=""/>
    <s v=""/>
    <s v=""/>
    <m/>
    <s v="009117252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41"/>
    <s v=""/>
    <s v=""/>
    <s v=""/>
    <n v="-389059000"/>
    <n v="0"/>
    <n v="-389059000"/>
    <n v="0"/>
    <n v="0"/>
    <n v="0"/>
    <d v="2026-04-02T00:00:00"/>
    <s v=""/>
    <n v="0"/>
    <s v=""/>
    <s v=""/>
    <n v="0"/>
    <n v="0"/>
    <s v="2026/04"/>
    <s v="91172528"/>
    <x v="14"/>
    <n v="1"/>
    <n v="35369"/>
    <n v="0"/>
    <n v="-14820.085310821236"/>
    <d v="2026-04-02T17:36:41"/>
    <n v="4"/>
    <x v="6"/>
    <x v="6"/>
    <n v="-11000"/>
    <x v="16"/>
    <x v="0"/>
    <x v="13"/>
    <s v="rHDPE"/>
    <s v="rHDPE thổi"/>
    <x v="3"/>
    <x v="3"/>
  </r>
  <r>
    <s v="1001"/>
    <d v="2026-04-02T00:00:00"/>
    <s v="1400000949"/>
    <s v=""/>
    <s v=""/>
    <s v="5112100100"/>
    <s v="5112100100"/>
    <x v="7"/>
    <n v="-113850000"/>
    <x v="7"/>
    <s v=""/>
    <s v="THU.LNA"/>
    <s v="4"/>
    <s v="2026"/>
    <s v="0000000000000000"/>
    <s v="1C26TTC;1021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4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29"/>
    <s v=""/>
    <s v=""/>
    <s v="1101"/>
    <s v="0"/>
    <s v=""/>
    <s v=""/>
    <s v="50"/>
    <s v="4"/>
    <s v="1001110000"/>
    <s v=""/>
    <n v="-5500"/>
    <s v=""/>
    <s v=""/>
    <s v=""/>
    <s v=""/>
    <m/>
    <s v="009117252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9:52"/>
    <s v=""/>
    <s v=""/>
    <s v=""/>
    <n v="-113850000"/>
    <n v="0"/>
    <n v="-113850000"/>
    <n v="0"/>
    <n v="0"/>
    <n v="0"/>
    <d v="2026-04-02T00:00:00"/>
    <s v=""/>
    <n v="0"/>
    <s v=""/>
    <s v=""/>
    <n v="0"/>
    <n v="0"/>
    <s v="2026/04"/>
    <s v="91172529"/>
    <x v="8"/>
    <n v="1"/>
    <n v="20700"/>
    <n v="0"/>
    <n v="-4336.7887971670043"/>
    <d v="2026-04-02T17:39:52"/>
    <n v="4"/>
    <x v="6"/>
    <x v="6"/>
    <n v="-5500"/>
    <x v="8"/>
    <x v="0"/>
    <x v="8"/>
    <s v="rHDPE"/>
    <s v="rHDPE ép"/>
    <x v="4"/>
    <x v="4"/>
  </r>
  <r>
    <s v="1001"/>
    <d v="2026-04-02T00:00:00"/>
    <s v="1400000950"/>
    <s v=""/>
    <s v=""/>
    <s v="5112100100"/>
    <s v="5112100100"/>
    <x v="14"/>
    <n v="-7175926"/>
    <x v="14"/>
    <s v=""/>
    <s v="THU.LNA"/>
    <s v="4"/>
    <s v="2026"/>
    <s v="0000000000000000"/>
    <s v="1C26TTC;1022"/>
    <s v="5112100100"/>
    <s v="S"/>
    <s v=""/>
    <n v="-7175926"/>
    <n v="-7175926"/>
    <n v="-7175926"/>
    <n v="-7175926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0"/>
    <s v="RV"/>
    <s v=""/>
    <s v=""/>
    <s v=""/>
    <s v=""/>
    <s v="0"/>
    <s v="1,00000"/>
    <m/>
    <s v=""/>
    <s v=""/>
    <s v=""/>
    <s v=""/>
    <s v=""/>
    <s v=""/>
    <s v=""/>
    <s v=""/>
    <s v=""/>
    <s v="2026"/>
    <n v="-7175926"/>
    <s v="VND"/>
    <s v="000002"/>
    <s v=""/>
    <n v="0"/>
    <s v="0"/>
    <s v="0"/>
    <s v="0"/>
    <s v="0"/>
    <n v="0"/>
    <s v="1400000950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530"/>
    <s v=""/>
    <s v=""/>
    <s v="1101"/>
    <s v="0"/>
    <s v=""/>
    <s v=""/>
    <s v="50"/>
    <s v="4"/>
    <s v="1001110000"/>
    <s v=""/>
    <n v="-500"/>
    <s v=""/>
    <s v=""/>
    <s v=""/>
    <s v=""/>
    <m/>
    <s v="00911725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0:31"/>
    <s v=""/>
    <s v=""/>
    <s v=""/>
    <n v="-7175926"/>
    <n v="0"/>
    <n v="-7175926"/>
    <n v="0"/>
    <n v="0"/>
    <n v="0"/>
    <d v="2026-04-02T00:00:00"/>
    <s v=""/>
    <n v="0"/>
    <s v=""/>
    <s v=""/>
    <n v="0"/>
    <n v="0"/>
    <s v="2026/04"/>
    <s v="91172530"/>
    <x v="15"/>
    <n v="1"/>
    <n v="14351.852000000001"/>
    <n v="0"/>
    <n v="-273.34629324637183"/>
    <d v="2026-04-02T17:40:31"/>
    <n v="4"/>
    <x v="6"/>
    <x v="6"/>
    <n v="-500"/>
    <x v="17"/>
    <x v="0"/>
    <x v="14"/>
    <s v="Khác"/>
    <s v="Phó sản"/>
    <x v="5"/>
    <x v="5"/>
  </r>
  <r>
    <s v="1001"/>
    <d v="2026-04-02T00:00:00"/>
    <s v="1400000951"/>
    <s v=""/>
    <s v=""/>
    <s v="5112100100"/>
    <s v="5112100100"/>
    <x v="5"/>
    <n v="-263150000"/>
    <x v="5"/>
    <s v=""/>
    <s v="THU.LNA"/>
    <s v="4"/>
    <s v="2026"/>
    <s v="0000000000000000"/>
    <s v="1C26TTC;1023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5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31"/>
    <s v=""/>
    <s v=""/>
    <s v="1101"/>
    <s v="0"/>
    <s v=""/>
    <s v=""/>
    <s v="50"/>
    <s v="4"/>
    <s v="1001110000"/>
    <s v=""/>
    <n v="-13850"/>
    <s v=""/>
    <s v=""/>
    <s v=""/>
    <s v=""/>
    <m/>
    <s v="00911725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2:44"/>
    <s v=""/>
    <s v=""/>
    <s v=""/>
    <n v="-263150000"/>
    <n v="0"/>
    <n v="-263150000"/>
    <n v="0"/>
    <n v="0"/>
    <n v="0"/>
    <d v="2026-04-02T00:00:00"/>
    <s v=""/>
    <n v="0"/>
    <s v=""/>
    <s v=""/>
    <n v="0"/>
    <n v="0"/>
    <s v="2026/04"/>
    <s v="91172531"/>
    <x v="3"/>
    <n v="1"/>
    <n v="19000"/>
    <n v="0"/>
    <n v="-10023.943539521277"/>
    <d v="2026-04-02T17:42:44"/>
    <n v="4"/>
    <x v="6"/>
    <x v="6"/>
    <n v="-13850"/>
    <x v="3"/>
    <x v="0"/>
    <x v="3"/>
    <s v="Xơ sợi"/>
    <s v="Xơ sợi"/>
    <x v="2"/>
    <x v="2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2"/>
    <s v=""/>
    <n v="0"/>
    <s v="0"/>
    <s v="0"/>
    <s v="0"/>
    <s v="0"/>
    <n v="0"/>
    <s v="1400000952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9"/>
    <x v="0"/>
    <x v="9"/>
    <s v="Khác"/>
    <s v="Phó sản"/>
    <x v="5"/>
    <x v="5"/>
  </r>
  <r>
    <s v="1001"/>
    <d v="2026-04-02T00:00:00"/>
    <s v="1400000952"/>
    <s v=""/>
    <s v=""/>
    <s v="5112100100"/>
    <s v="5112100100"/>
    <x v="10"/>
    <n v="-11083333"/>
    <x v="10"/>
    <s v=""/>
    <s v="MY.DTT"/>
    <s v="4"/>
    <s v="2026"/>
    <s v="0000000000000000"/>
    <s v="1C26TTC;1024"/>
    <s v="5112100100"/>
    <s v="S"/>
    <s v=""/>
    <n v="-11083333"/>
    <n v="-11083333"/>
    <n v="-11083333"/>
    <n v="-11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11083333"/>
    <s v="VND"/>
    <s v="000004"/>
    <s v=""/>
    <n v="0"/>
    <s v="0"/>
    <s v="0"/>
    <s v="0"/>
    <s v="0"/>
    <n v="0"/>
    <s v="1400000952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6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11083333"/>
    <n v="0"/>
    <n v="-11083333"/>
    <n v="0"/>
    <n v="0"/>
    <n v="0"/>
    <d v="2026-04-02T00:00:00"/>
    <s v=""/>
    <n v="0"/>
    <s v=""/>
    <s v=""/>
    <n v="0"/>
    <n v="0"/>
    <s v="2026/04"/>
    <s v="91172532"/>
    <x v="16"/>
    <n v="1"/>
    <n v="4166.6665413533838"/>
    <n v="0"/>
    <n v="-422.18774167475948"/>
    <d v="2026-04-02T20:36:01"/>
    <n v="4"/>
    <x v="6"/>
    <x v="6"/>
    <n v="-2660"/>
    <x v="10"/>
    <x v="0"/>
    <x v="10"/>
    <s v="Khác"/>
    <s v="Phó sản"/>
    <x v="5"/>
    <x v="5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52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11"/>
    <x v="0"/>
    <x v="11"/>
    <s v="Khác"/>
    <s v="Phó sản"/>
    <x v="5"/>
    <x v="5"/>
  </r>
  <r>
    <s v="1001"/>
    <d v="2026-04-03T00:00:00"/>
    <s v="1400000953"/>
    <s v=""/>
    <s v=""/>
    <s v="5112100100"/>
    <s v="5112100100"/>
    <x v="10"/>
    <n v="-9166667"/>
    <x v="10"/>
    <s v=""/>
    <s v="MY.DTT"/>
    <s v="4"/>
    <s v="2026"/>
    <s v="0000000000000000"/>
    <s v="1C26TTC;1038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2"/>
    <s v=""/>
    <n v="0"/>
    <s v="0"/>
    <s v="0"/>
    <s v="0"/>
    <s v="0"/>
    <n v="0"/>
    <s v="1400000953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20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39"/>
    <x v="17"/>
    <n v="1"/>
    <n v="4166.6668181818186"/>
    <n v="0"/>
    <n v="-349.17785465929273"/>
    <d v="2026-04-03T16:35:47"/>
    <n v="4"/>
    <x v="0"/>
    <x v="0"/>
    <n v="-2200"/>
    <x v="9"/>
    <x v="0"/>
    <x v="9"/>
    <s v="Khác"/>
    <s v="Phó sản"/>
    <x v="5"/>
    <x v="5"/>
  </r>
  <r>
    <s v="1001"/>
    <d v="2026-04-03T00:00:00"/>
    <s v="1400000953"/>
    <s v=""/>
    <s v=""/>
    <s v="5112100100"/>
    <s v="5112100100"/>
    <x v="10"/>
    <n v="-9125000"/>
    <x v="10"/>
    <s v=""/>
    <s v="MY.DTT"/>
    <s v="4"/>
    <s v="2026"/>
    <s v="0000000000000000"/>
    <s v="1C26TTC;1038"/>
    <s v="5112100100"/>
    <s v="S"/>
    <s v=""/>
    <n v="-9125000"/>
    <n v="-9125000"/>
    <n v="-9125000"/>
    <n v="-91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25000"/>
    <s v="VND"/>
    <s v="000004"/>
    <s v=""/>
    <n v="0"/>
    <s v="0"/>
    <s v="0"/>
    <s v="0"/>
    <s v="0"/>
    <n v="0"/>
    <s v="1400000953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19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25000"/>
    <n v="0"/>
    <n v="-9125000"/>
    <n v="0"/>
    <n v="0"/>
    <n v="0"/>
    <d v="2026-04-03T00:00:00"/>
    <s v=""/>
    <n v="0"/>
    <s v=""/>
    <s v=""/>
    <n v="0"/>
    <n v="0"/>
    <s v="2026/04"/>
    <s v="91172539"/>
    <x v="17"/>
    <n v="1"/>
    <n v="4166.666666666667"/>
    <n v="0"/>
    <n v="-347.59066995299884"/>
    <d v="2026-04-03T16:35:47"/>
    <n v="4"/>
    <x v="0"/>
    <x v="0"/>
    <n v="-2190"/>
    <x v="10"/>
    <x v="0"/>
    <x v="10"/>
    <s v="Khác"/>
    <s v="Phó sản"/>
    <x v="5"/>
    <x v="5"/>
  </r>
  <r>
    <s v="1001"/>
    <d v="2026-04-03T00:00:00"/>
    <s v="1400000953"/>
    <s v=""/>
    <s v=""/>
    <s v="5112100100"/>
    <s v="5112100100"/>
    <x v="10"/>
    <n v="-11041667"/>
    <x v="10"/>
    <s v=""/>
    <s v="MY.DTT"/>
    <s v="4"/>
    <s v="2026"/>
    <s v="0000000000000000"/>
    <s v="1C26TTC;1038"/>
    <s v="5112100100"/>
    <s v="S"/>
    <s v=""/>
    <n v="-11041667"/>
    <n v="-11041667"/>
    <n v="-11041667"/>
    <n v="-110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11041667"/>
    <s v="VND"/>
    <s v="000005"/>
    <s v=""/>
    <n v="0"/>
    <s v="0"/>
    <s v="0"/>
    <s v="0"/>
    <s v="0"/>
    <n v="0"/>
    <s v="1400000953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65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11041667"/>
    <n v="0"/>
    <n v="-11041667"/>
    <n v="0"/>
    <n v="0"/>
    <n v="0"/>
    <d v="2026-04-03T00:00:00"/>
    <s v=""/>
    <n v="0"/>
    <s v=""/>
    <s v=""/>
    <n v="0"/>
    <n v="0"/>
    <s v="2026/04"/>
    <s v="91172539"/>
    <x v="17"/>
    <n v="1"/>
    <n v="4166.6667924528301"/>
    <n v="0"/>
    <n v="-420.60059506059383"/>
    <d v="2026-04-03T16:35:47"/>
    <n v="4"/>
    <x v="0"/>
    <x v="0"/>
    <n v="-2650"/>
    <x v="11"/>
    <x v="0"/>
    <x v="11"/>
    <s v="Khác"/>
    <s v="Phó sản"/>
    <x v="5"/>
    <x v="5"/>
  </r>
  <r>
    <s v="1001"/>
    <d v="2026-04-03T00:00:00"/>
    <s v="1400000954"/>
    <s v=""/>
    <s v=""/>
    <s v="5112100100"/>
    <s v="5112100100"/>
    <x v="3"/>
    <n v="-696300000"/>
    <x v="3"/>
    <s v=""/>
    <s v="THU.LNA"/>
    <s v="4"/>
    <s v="2026"/>
    <s v="0000000000000000"/>
    <s v="1C26TTC;102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4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5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44"/>
    <s v=""/>
    <s v=""/>
    <s v="1101"/>
    <s v="0"/>
    <s v=""/>
    <s v=""/>
    <s v="50"/>
    <s v="4"/>
    <s v="1001110000"/>
    <s v=""/>
    <n v="-22000"/>
    <s v=""/>
    <s v=""/>
    <s v=""/>
    <s v=""/>
    <m/>
    <s v="00911725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27"/>
    <s v=""/>
    <s v=""/>
    <s v=""/>
    <n v="-696300000"/>
    <n v="0"/>
    <n v="-696300000"/>
    <n v="0"/>
    <n v="0"/>
    <n v="0"/>
    <d v="2026-04-03T00:00:00"/>
    <s v=""/>
    <n v="0"/>
    <s v=""/>
    <s v=""/>
    <n v="0"/>
    <n v="0"/>
    <s v="2026/04"/>
    <s v="91172544"/>
    <x v="1"/>
    <n v="1"/>
    <n v="31650"/>
    <n v="0"/>
    <n v="-26523.548875427186"/>
    <d v="2026-04-03T18:35:27"/>
    <n v="4"/>
    <x v="0"/>
    <x v="0"/>
    <n v="-22000"/>
    <x v="1"/>
    <x v="0"/>
    <x v="1"/>
    <s v="rPET"/>
    <s v="rPET"/>
    <x v="1"/>
    <x v="1"/>
  </r>
  <r>
    <s v="1001"/>
    <d v="2026-04-03T00:00:00"/>
    <s v="1400000955"/>
    <s v=""/>
    <s v=""/>
    <s v="5112100100"/>
    <s v="5112100100"/>
    <x v="15"/>
    <n v="-921686700"/>
    <x v="15"/>
    <s v=""/>
    <s v="THU.LNA"/>
    <s v="4"/>
    <s v="2026"/>
    <s v="0000000000000000"/>
    <s v="1C26TTC;1027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5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5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5"/>
    <s v=""/>
    <s v=""/>
    <s v="1101"/>
    <s v="0"/>
    <s v=""/>
    <s v=""/>
    <s v="50"/>
    <s v="4"/>
    <s v="1001110000"/>
    <s v=""/>
    <n v="-31900"/>
    <s v=""/>
    <s v=""/>
    <s v=""/>
    <s v=""/>
    <m/>
    <s v="00911725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5"/>
    <x v="18"/>
    <n v="1"/>
    <n v="28893"/>
    <n v="0"/>
    <n v="-35109.007949563689"/>
    <d v="2026-04-03T18:35:44"/>
    <n v="4"/>
    <x v="0"/>
    <x v="0"/>
    <n v="-31900"/>
    <x v="18"/>
    <x v="0"/>
    <x v="15"/>
    <s v="rPET"/>
    <s v="rPET"/>
    <x v="1"/>
    <x v="1"/>
  </r>
  <r>
    <s v="1001"/>
    <d v="2026-04-03T00:00:00"/>
    <s v="1400000956"/>
    <s v=""/>
    <s v=""/>
    <s v="5112100100"/>
    <s v="5112100100"/>
    <x v="15"/>
    <n v="-921686700"/>
    <x v="15"/>
    <s v=""/>
    <s v="THU.LNA"/>
    <s v="4"/>
    <s v="2026"/>
    <s v="0000000000000000"/>
    <s v="1C26TTC;102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6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6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6"/>
    <s v=""/>
    <s v=""/>
    <s v="1101"/>
    <s v="0"/>
    <s v=""/>
    <s v=""/>
    <s v="50"/>
    <s v="4"/>
    <s v="1001110000"/>
    <s v=""/>
    <n v="-31900"/>
    <s v=""/>
    <s v=""/>
    <s v=""/>
    <s v=""/>
    <m/>
    <s v="00911725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9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6"/>
    <x v="18"/>
    <n v="1"/>
    <n v="28893"/>
    <n v="0"/>
    <n v="-35109.007949563689"/>
    <d v="2026-04-03T18:35:49"/>
    <n v="4"/>
    <x v="0"/>
    <x v="0"/>
    <n v="-31900"/>
    <x v="18"/>
    <x v="0"/>
    <x v="15"/>
    <s v="rPET"/>
    <s v="rPET"/>
    <x v="1"/>
    <x v="1"/>
  </r>
  <r>
    <s v="1001"/>
    <d v="2026-04-03T00:00:00"/>
    <s v="1400000957"/>
    <s v=""/>
    <s v=""/>
    <s v="5112100100"/>
    <s v="5112100100"/>
    <x v="15"/>
    <n v="-921686700"/>
    <x v="15"/>
    <s v=""/>
    <s v="THU.LNA"/>
    <s v="4"/>
    <s v="2026"/>
    <s v="0000000000000000"/>
    <s v="1C26TTC;102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7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7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7"/>
    <s v=""/>
    <s v=""/>
    <s v="1101"/>
    <s v="0"/>
    <s v=""/>
    <s v=""/>
    <s v="50"/>
    <s v="4"/>
    <s v="1001110000"/>
    <s v=""/>
    <n v="-31900"/>
    <s v=""/>
    <s v=""/>
    <s v=""/>
    <s v=""/>
    <m/>
    <s v="009117254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53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7"/>
    <x v="18"/>
    <n v="1"/>
    <n v="28893"/>
    <n v="0"/>
    <n v="-35109.007949563689"/>
    <d v="2026-04-03T18:35:53"/>
    <n v="4"/>
    <x v="0"/>
    <x v="0"/>
    <n v="-31900"/>
    <x v="18"/>
    <x v="0"/>
    <x v="15"/>
    <s v="rPET"/>
    <s v="rPET"/>
    <x v="1"/>
    <x v="1"/>
  </r>
  <r>
    <s v="1001"/>
    <d v="2026-04-03T00:00:00"/>
    <s v="1400000958"/>
    <s v=""/>
    <s v=""/>
    <s v="5112100100"/>
    <s v="5112100100"/>
    <x v="15"/>
    <n v="-921686700"/>
    <x v="15"/>
    <s v=""/>
    <s v="THU.LNA"/>
    <s v="4"/>
    <s v="2026"/>
    <s v="0000000000000000"/>
    <s v="1C26TTC;103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8"/>
    <s v=""/>
    <s v=""/>
    <s v="1101"/>
    <s v="0"/>
    <s v=""/>
    <s v=""/>
    <s v="50"/>
    <s v="4"/>
    <s v="1001110000"/>
    <s v=""/>
    <n v="-31900"/>
    <s v=""/>
    <s v=""/>
    <s v=""/>
    <s v=""/>
    <m/>
    <s v="009117254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02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8"/>
    <x v="18"/>
    <n v="1"/>
    <n v="28893"/>
    <n v="0"/>
    <n v="-35109.007949563689"/>
    <d v="2026-04-03T18:36:02"/>
    <n v="4"/>
    <x v="0"/>
    <x v="0"/>
    <n v="-31900"/>
    <x v="18"/>
    <x v="0"/>
    <x v="15"/>
    <s v="rPET"/>
    <s v="rPET"/>
    <x v="1"/>
    <x v="1"/>
  </r>
  <r>
    <s v="1001"/>
    <d v="2026-04-03T00:00:00"/>
    <s v="1400000959"/>
    <s v=""/>
    <s v=""/>
    <s v="5112100100"/>
    <s v="5112100100"/>
    <x v="15"/>
    <n v="-921686700"/>
    <x v="15"/>
    <s v=""/>
    <s v="THU.LNA"/>
    <s v="4"/>
    <s v="2026"/>
    <s v="0000000000000000"/>
    <s v="1C26TTC;1031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9"/>
    <s v=""/>
    <s v=""/>
    <s v="1101"/>
    <s v="0"/>
    <s v=""/>
    <s v=""/>
    <s v="50"/>
    <s v="4"/>
    <s v="1001110000"/>
    <s v=""/>
    <n v="-31900"/>
    <s v=""/>
    <s v=""/>
    <s v=""/>
    <s v=""/>
    <m/>
    <s v="009117254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1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9"/>
    <x v="18"/>
    <n v="1"/>
    <n v="28893"/>
    <n v="0"/>
    <n v="-35109.007949563689"/>
    <d v="2026-04-03T18:36:14"/>
    <n v="4"/>
    <x v="0"/>
    <x v="0"/>
    <n v="-31900"/>
    <x v="18"/>
    <x v="0"/>
    <x v="15"/>
    <s v="rPET"/>
    <s v="rPET"/>
    <x v="1"/>
    <x v="1"/>
  </r>
  <r>
    <s v="1001"/>
    <d v="2026-04-03T00:00:00"/>
    <s v="1400000960"/>
    <s v=""/>
    <s v=""/>
    <s v="5112100100"/>
    <s v="5112100100"/>
    <x v="12"/>
    <n v="-709280000"/>
    <x v="12"/>
    <s v=""/>
    <s v="THU.LNA"/>
    <s v="4"/>
    <s v="2026"/>
    <s v="0000000000000000"/>
    <s v="1C26TTC;1032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6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50"/>
    <s v=""/>
    <s v=""/>
    <s v="1101"/>
    <s v="0"/>
    <s v=""/>
    <s v=""/>
    <s v="50"/>
    <s v="4"/>
    <s v="1001110000"/>
    <s v=""/>
    <n v="-22000"/>
    <s v=""/>
    <s v=""/>
    <s v=""/>
    <s v=""/>
    <m/>
    <s v="009117255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17"/>
    <s v=""/>
    <s v=""/>
    <s v=""/>
    <n v="-709280000"/>
    <n v="0"/>
    <n v="-709280000"/>
    <n v="0"/>
    <n v="0"/>
    <n v="0"/>
    <d v="2026-04-03T00:00:00"/>
    <s v=""/>
    <n v="0"/>
    <s v=""/>
    <s v=""/>
    <n v="0"/>
    <n v="0"/>
    <s v="2026/04"/>
    <s v="91172550"/>
    <x v="11"/>
    <n v="1"/>
    <n v="32240"/>
    <n v="0"/>
    <n v="-27017.984699645262"/>
    <d v="2026-04-03T18:37:17"/>
    <n v="4"/>
    <x v="0"/>
    <x v="0"/>
    <n v="-22000"/>
    <x v="13"/>
    <x v="0"/>
    <x v="1"/>
    <s v="rPET"/>
    <s v="rPET"/>
    <x v="1"/>
    <x v="1"/>
  </r>
  <r>
    <s v="1001"/>
    <d v="2026-04-03T00:00:00"/>
    <s v="1400000961"/>
    <s v=""/>
    <s v=""/>
    <s v="5112100100"/>
    <s v="5112100100"/>
    <x v="4"/>
    <n v="-696938000"/>
    <x v="4"/>
    <s v=""/>
    <s v="THU.LNA"/>
    <s v="4"/>
    <s v="2026"/>
    <s v="0000000000000000"/>
    <s v="1C26TTC;103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6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51"/>
    <s v=""/>
    <s v=""/>
    <s v="1101"/>
    <s v="0"/>
    <s v=""/>
    <s v=""/>
    <s v="50"/>
    <s v="4"/>
    <s v="1001110000"/>
    <s v=""/>
    <n v="-22000"/>
    <s v=""/>
    <s v=""/>
    <s v=""/>
    <s v=""/>
    <m/>
    <s v="009117255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27"/>
    <s v=""/>
    <s v=""/>
    <s v=""/>
    <n v="-696938000"/>
    <n v="0"/>
    <n v="-696938000"/>
    <n v="0"/>
    <n v="0"/>
    <n v="0"/>
    <d v="2026-04-03T00:00:00"/>
    <s v=""/>
    <n v="0"/>
    <s v=""/>
    <s v=""/>
    <n v="0"/>
    <n v="0"/>
    <s v="2026/04"/>
    <s v="91172551"/>
    <x v="19"/>
    <n v="1"/>
    <n v="31679"/>
    <n v="0"/>
    <n v="-26547.851653227739"/>
    <d v="2026-04-03T18:37:27"/>
    <n v="4"/>
    <x v="0"/>
    <x v="0"/>
    <n v="-22000"/>
    <x v="2"/>
    <x v="0"/>
    <x v="2"/>
    <s v="rPET"/>
    <s v="rPET"/>
    <x v="1"/>
    <x v="1"/>
  </r>
  <r>
    <s v="1001"/>
    <d v="2026-04-03T00:00:00"/>
    <s v="1400000962"/>
    <s v=""/>
    <s v=""/>
    <s v="5112100100"/>
    <s v="5112100100"/>
    <x v="5"/>
    <n v="-263150000"/>
    <x v="5"/>
    <s v=""/>
    <s v="THU.LNA"/>
    <s v="4"/>
    <s v="2026"/>
    <s v="0000000000000000"/>
    <s v="1C26TTC;103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6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52"/>
    <s v=""/>
    <s v=""/>
    <s v="1101"/>
    <s v="0"/>
    <s v=""/>
    <s v=""/>
    <s v="50"/>
    <s v="4"/>
    <s v="1001110000"/>
    <s v=""/>
    <n v="-13850"/>
    <s v=""/>
    <s v=""/>
    <s v=""/>
    <s v=""/>
    <m/>
    <s v="009117255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02"/>
    <s v=""/>
    <s v=""/>
    <s v=""/>
    <n v="-263150000"/>
    <n v="0"/>
    <n v="-263150000"/>
    <n v="0"/>
    <n v="0"/>
    <n v="0"/>
    <d v="2026-04-03T00:00:00"/>
    <s v=""/>
    <n v="0"/>
    <s v=""/>
    <s v=""/>
    <n v="0"/>
    <n v="0"/>
    <s v="2026/04"/>
    <s v="91172552"/>
    <x v="3"/>
    <n v="1"/>
    <n v="19000"/>
    <n v="0"/>
    <n v="-10023.943539521277"/>
    <d v="2026-04-03T18:38:02"/>
    <n v="4"/>
    <x v="0"/>
    <x v="0"/>
    <n v="-13850"/>
    <x v="3"/>
    <x v="0"/>
    <x v="3"/>
    <s v="Xơ sợi"/>
    <s v="Xơ sợi"/>
    <x v="2"/>
    <x v="2"/>
  </r>
  <r>
    <s v="1001"/>
    <d v="2026-04-03T00:00:00"/>
    <s v="1400000963"/>
    <s v=""/>
    <s v=""/>
    <s v="5112100100"/>
    <s v="5112100100"/>
    <x v="7"/>
    <n v="-105600000"/>
    <x v="7"/>
    <s v=""/>
    <s v="THU.LNA"/>
    <s v="4"/>
    <s v="2026"/>
    <s v="0000000000000000"/>
    <s v="1C26TTC;1035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3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63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53"/>
    <s v=""/>
    <s v=""/>
    <s v="1101"/>
    <s v="0"/>
    <s v=""/>
    <s v=""/>
    <s v="50"/>
    <s v="4"/>
    <s v="1001110000"/>
    <s v=""/>
    <n v="-5500"/>
    <s v=""/>
    <s v=""/>
    <s v=""/>
    <s v=""/>
    <m/>
    <s v="009117255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37"/>
    <s v=""/>
    <s v=""/>
    <s v=""/>
    <n v="-105600000"/>
    <n v="0"/>
    <n v="-105600000"/>
    <n v="0"/>
    <n v="0"/>
    <n v="0"/>
    <d v="2026-04-03T00:00:00"/>
    <s v=""/>
    <n v="0"/>
    <s v=""/>
    <s v=""/>
    <n v="0"/>
    <n v="0"/>
    <s v="2026/04"/>
    <s v="91172553"/>
    <x v="5"/>
    <n v="1"/>
    <n v="19200"/>
    <n v="0"/>
    <n v="-4022.5287394012798"/>
    <d v="2026-04-03T18:38:37"/>
    <n v="4"/>
    <x v="0"/>
    <x v="0"/>
    <n v="-5500"/>
    <x v="5"/>
    <x v="0"/>
    <x v="5"/>
    <s v="rHDPE"/>
    <s v="rHDPE ép"/>
    <x v="4"/>
    <x v="4"/>
  </r>
  <r>
    <s v="1001"/>
    <d v="2026-04-03T00:00:00"/>
    <s v="1400000964"/>
    <s v=""/>
    <s v=""/>
    <s v="5112100100"/>
    <s v="5112100100"/>
    <x v="16"/>
    <n v="-151472464"/>
    <x v="16"/>
    <s v=""/>
    <s v="THU.LNA"/>
    <s v="4"/>
    <s v="2026"/>
    <s v="0000000000000000"/>
    <s v="1C26TTC;1036"/>
    <s v="5112100100"/>
    <s v="S"/>
    <s v=""/>
    <n v="-151472464"/>
    <n v="-151472464"/>
    <n v="-151472464"/>
    <n v="-15147246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4"/>
    <s v="RV"/>
    <s v=""/>
    <s v=""/>
    <s v=""/>
    <s v=""/>
    <s v="0"/>
    <s v="1,00000"/>
    <m/>
    <s v=""/>
    <s v=""/>
    <s v=""/>
    <s v=""/>
    <s v=""/>
    <s v=""/>
    <s v=""/>
    <s v=""/>
    <s v=""/>
    <s v="2026"/>
    <n v="-151472464"/>
    <s v="VND"/>
    <s v="000002"/>
    <s v=""/>
    <n v="0"/>
    <s v="0"/>
    <s v="0"/>
    <s v="0"/>
    <s v="0"/>
    <n v="0"/>
    <s v="1400000964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554"/>
    <s v=""/>
    <s v=""/>
    <s v="1101"/>
    <s v="0"/>
    <s v=""/>
    <s v=""/>
    <s v="50"/>
    <s v="4"/>
    <s v="1001110000"/>
    <s v=""/>
    <n v="-4400"/>
    <s v=""/>
    <s v=""/>
    <s v=""/>
    <s v=""/>
    <m/>
    <s v="009117255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58"/>
    <s v=""/>
    <s v=""/>
    <s v=""/>
    <n v="-151472464"/>
    <n v="0"/>
    <n v="-151472464"/>
    <n v="0"/>
    <n v="0"/>
    <n v="0"/>
    <d v="2026-04-03T00:00:00"/>
    <s v=""/>
    <n v="0"/>
    <s v=""/>
    <s v=""/>
    <n v="0"/>
    <n v="0"/>
    <s v="2026/04"/>
    <s v="91172554"/>
    <x v="20"/>
    <n v="1"/>
    <n v="34425.56"/>
    <n v="0"/>
    <n v="-5769.9085195826301"/>
    <d v="2026-04-03T18:38:58"/>
    <n v="4"/>
    <x v="0"/>
    <x v="0"/>
    <n v="-4400"/>
    <x v="19"/>
    <x v="0"/>
    <x v="16"/>
    <s v="rPET"/>
    <s v="rPET"/>
    <x v="1"/>
    <x v="1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2"/>
    <s v=""/>
    <n v="0"/>
    <s v="0"/>
    <s v="0"/>
    <s v="0"/>
    <s v="0"/>
    <n v="0"/>
    <s v="1400000965"/>
    <s v="0"/>
    <s v=""/>
    <m/>
    <s v="0L"/>
    <s v=""/>
    <s v="2"/>
    <s v=""/>
    <s v="VND"/>
    <s v="VND"/>
    <s v=""/>
    <s v=""/>
    <s v=""/>
    <x v="17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0"/>
    <x v="0"/>
    <x v="17"/>
    <s v="rPP"/>
    <s v="rPP"/>
    <x v="6"/>
    <x v="6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4"/>
    <s v=""/>
    <n v="0"/>
    <s v="0"/>
    <s v="0"/>
    <s v="0"/>
    <s v="0"/>
    <n v="0"/>
    <s v="1400000965"/>
    <s v="0"/>
    <s v=""/>
    <m/>
    <s v="0L"/>
    <s v=""/>
    <s v="4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1"/>
    <x v="0"/>
    <x v="18"/>
    <s v="rPP"/>
    <s v="rPP"/>
    <x v="6"/>
    <x v="6"/>
  </r>
  <r>
    <s v="1001"/>
    <d v="2026-04-03T00:00:00"/>
    <s v="1400000966"/>
    <s v=""/>
    <s v=""/>
    <s v="5112100100"/>
    <s v="5112100100"/>
    <x v="10"/>
    <n v="-9541667"/>
    <x v="10"/>
    <s v=""/>
    <s v="MY.DTT"/>
    <s v="4"/>
    <s v="2026"/>
    <s v="0000000000000000"/>
    <s v="1C26TTC;1039"/>
    <s v="5112100100"/>
    <s v="S"/>
    <s v=""/>
    <n v="-9541667"/>
    <n v="-9541667"/>
    <n v="-9541667"/>
    <n v="-95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541667"/>
    <s v="VND"/>
    <s v="000002"/>
    <s v=""/>
    <n v="0"/>
    <s v="0"/>
    <s v="0"/>
    <s v="0"/>
    <s v="0"/>
    <n v="0"/>
    <s v="1400000966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9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541667"/>
    <n v="0"/>
    <n v="-9541667"/>
    <n v="0"/>
    <n v="0"/>
    <n v="0"/>
    <d v="2026-04-03T00:00:00"/>
    <s v=""/>
    <n v="0"/>
    <s v=""/>
    <s v=""/>
    <n v="0"/>
    <n v="0"/>
    <s v="2026/04"/>
    <s v="91172556"/>
    <x v="22"/>
    <n v="1"/>
    <n v="4166.6668122270739"/>
    <n v="0"/>
    <n v="-363.46240273955294"/>
    <d v="2026-04-03T19:38:32"/>
    <n v="4"/>
    <x v="0"/>
    <x v="0"/>
    <n v="-2290"/>
    <x v="9"/>
    <x v="0"/>
    <x v="9"/>
    <s v="Khác"/>
    <s v="Phó sản"/>
    <x v="5"/>
    <x v="5"/>
  </r>
  <r>
    <s v="1001"/>
    <d v="2026-04-03T00:00:00"/>
    <s v="1400000966"/>
    <s v=""/>
    <s v=""/>
    <s v="5112100100"/>
    <s v="5112100100"/>
    <x v="10"/>
    <n v="-9166667"/>
    <x v="10"/>
    <s v=""/>
    <s v="MY.DTT"/>
    <s v="4"/>
    <s v="2026"/>
    <s v="0000000000000000"/>
    <s v="1C26TTC;1039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4"/>
    <s v=""/>
    <n v="0"/>
    <s v="0"/>
    <s v="0"/>
    <s v="0"/>
    <s v="0"/>
    <n v="0"/>
    <s v="1400000966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0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56"/>
    <x v="22"/>
    <n v="1"/>
    <n v="4166.6668181818186"/>
    <n v="0"/>
    <n v="-349.17785465929273"/>
    <d v="2026-04-03T19:38:32"/>
    <n v="4"/>
    <x v="0"/>
    <x v="0"/>
    <n v="-2200"/>
    <x v="10"/>
    <x v="0"/>
    <x v="10"/>
    <s v="Khác"/>
    <s v="Phó sản"/>
    <x v="5"/>
    <x v="5"/>
  </r>
  <r>
    <s v="1001"/>
    <d v="2026-04-03T00:00:00"/>
    <s v="1400000966"/>
    <s v=""/>
    <s v=""/>
    <s v="5112100100"/>
    <s v="5112100100"/>
    <x v="10"/>
    <n v="-9833333"/>
    <x v="10"/>
    <s v=""/>
    <s v="MY.DTT"/>
    <s v="4"/>
    <s v="2026"/>
    <s v="0000000000000000"/>
    <s v="1C26TTC;1039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66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36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833333"/>
    <n v="0"/>
    <n v="-9833333"/>
    <n v="0"/>
    <n v="0"/>
    <n v="0"/>
    <d v="2026-04-03T00:00:00"/>
    <s v=""/>
    <n v="0"/>
    <s v=""/>
    <s v=""/>
    <n v="0"/>
    <n v="0"/>
    <s v="2026/04"/>
    <s v="91172556"/>
    <x v="22"/>
    <n v="1"/>
    <n v="4166.6665254237287"/>
    <n v="0"/>
    <n v="-374.57258140722541"/>
    <d v="2026-04-03T19:38:32"/>
    <n v="4"/>
    <x v="0"/>
    <x v="0"/>
    <n v="-2360"/>
    <x v="11"/>
    <x v="0"/>
    <x v="11"/>
    <s v="Khác"/>
    <s v="Phó sản"/>
    <x v="5"/>
    <x v="5"/>
  </r>
  <r>
    <s v="1001"/>
    <d v="2026-04-04T00:00:00"/>
    <s v="1400000967"/>
    <s v=""/>
    <s v=""/>
    <s v="5112100100"/>
    <s v="5112100100"/>
    <x v="10"/>
    <n v="-15083333"/>
    <x v="10"/>
    <s v=""/>
    <s v="MY.DTT"/>
    <s v="4"/>
    <s v="2026"/>
    <s v="0000000000000000"/>
    <s v="1C26TTC;1042"/>
    <s v="5112100100"/>
    <s v="S"/>
    <s v=""/>
    <n v="-15083333"/>
    <n v="-15083333"/>
    <n v="-15083333"/>
    <n v="-15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5083333"/>
    <s v="VND"/>
    <s v="000002"/>
    <s v=""/>
    <n v="0"/>
    <s v="0"/>
    <s v="0"/>
    <s v="0"/>
    <s v="0"/>
    <n v="0"/>
    <s v="1400000967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62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5083333"/>
    <n v="0"/>
    <n v="-15083333"/>
    <n v="0"/>
    <n v="0"/>
    <n v="0"/>
    <d v="2026-04-04T00:00:00"/>
    <s v=""/>
    <n v="0"/>
    <s v=""/>
    <s v=""/>
    <n v="0"/>
    <n v="0"/>
    <s v="2026/04"/>
    <s v="91172568"/>
    <x v="23"/>
    <n v="1"/>
    <n v="4166.6665745856353"/>
    <n v="0"/>
    <n v="-574.55625453086861"/>
    <d v="2026-04-04T15:55:31"/>
    <n v="4"/>
    <x v="1"/>
    <x v="1"/>
    <n v="-3620"/>
    <x v="9"/>
    <x v="0"/>
    <x v="9"/>
    <s v="Khác"/>
    <s v="Phó sản"/>
    <x v="5"/>
    <x v="5"/>
  </r>
  <r>
    <s v="1001"/>
    <d v="2026-04-04T00:00:00"/>
    <s v="1400000967"/>
    <s v=""/>
    <s v=""/>
    <s v="5112100100"/>
    <s v="5112100100"/>
    <x v="10"/>
    <n v="-16083333"/>
    <x v="10"/>
    <s v=""/>
    <s v="MY.DTT"/>
    <s v="4"/>
    <s v="2026"/>
    <s v="0000000000000000"/>
    <s v="1C26TTC;1042"/>
    <s v="5112100100"/>
    <s v="S"/>
    <s v=""/>
    <n v="-16083333"/>
    <n v="-16083333"/>
    <n v="-16083333"/>
    <n v="-16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6083333"/>
    <s v="VND"/>
    <s v="000004"/>
    <s v=""/>
    <n v="0"/>
    <s v="0"/>
    <s v="0"/>
    <s v="0"/>
    <s v="0"/>
    <n v="0"/>
    <s v="1400000967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86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6083333"/>
    <n v="0"/>
    <n v="-16083333"/>
    <n v="0"/>
    <n v="0"/>
    <n v="0"/>
    <d v="2026-04-04T00:00:00"/>
    <s v=""/>
    <n v="0"/>
    <s v=""/>
    <s v=""/>
    <n v="0"/>
    <n v="0"/>
    <s v="2026/04"/>
    <s v="91172568"/>
    <x v="23"/>
    <n v="1"/>
    <n v="4166.6665803108808"/>
    <n v="0"/>
    <n v="-612.64838274489591"/>
    <d v="2026-04-04T15:55:31"/>
    <n v="4"/>
    <x v="1"/>
    <x v="1"/>
    <n v="-3860"/>
    <x v="10"/>
    <x v="0"/>
    <x v="10"/>
    <s v="Khác"/>
    <s v="Phó sản"/>
    <x v="5"/>
    <x v="5"/>
  </r>
  <r>
    <s v="1001"/>
    <d v="2026-04-04T00:00:00"/>
    <s v="1400000968"/>
    <s v=""/>
    <s v=""/>
    <s v="5112100100"/>
    <s v="5112100100"/>
    <x v="15"/>
    <n v="-921686700"/>
    <x v="15"/>
    <s v=""/>
    <s v="THU.LNA"/>
    <s v="4"/>
    <s v="2026"/>
    <s v="0000000000000000"/>
    <s v="1C26TTC;1043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0"/>
    <s v=""/>
    <s v=""/>
    <s v="1101"/>
    <s v="0"/>
    <s v=""/>
    <s v=""/>
    <s v="50"/>
    <s v="4"/>
    <s v="1001110000"/>
    <s v=""/>
    <n v="-31900"/>
    <s v=""/>
    <s v=""/>
    <s v=""/>
    <s v=""/>
    <m/>
    <s v="00911725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0:44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0"/>
    <x v="18"/>
    <n v="1"/>
    <n v="28893"/>
    <n v="0"/>
    <n v="-35109.007949563689"/>
    <d v="2026-04-04T16:10:44"/>
    <n v="4"/>
    <x v="1"/>
    <x v="1"/>
    <n v="-31900"/>
    <x v="18"/>
    <x v="0"/>
    <x v="15"/>
    <s v="rPET"/>
    <s v="rPET"/>
    <x v="1"/>
    <x v="1"/>
  </r>
  <r>
    <s v="1001"/>
    <d v="2026-04-04T00:00:00"/>
    <s v="1400000969"/>
    <s v=""/>
    <s v=""/>
    <s v="5112100100"/>
    <s v="5112100100"/>
    <x v="15"/>
    <n v="-921686700"/>
    <x v="15"/>
    <s v=""/>
    <s v="THU.LNA"/>
    <s v="4"/>
    <s v="2026"/>
    <s v="0000000000000000"/>
    <s v="1C26TTC;1044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1"/>
    <s v=""/>
    <s v=""/>
    <s v="1101"/>
    <s v="0"/>
    <s v=""/>
    <s v=""/>
    <s v="50"/>
    <s v="4"/>
    <s v="1001110000"/>
    <s v=""/>
    <n v="-31900"/>
    <s v=""/>
    <s v=""/>
    <s v=""/>
    <s v=""/>
    <m/>
    <s v="00911725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1"/>
    <x v="18"/>
    <n v="1"/>
    <n v="28893"/>
    <n v="0"/>
    <n v="-35109.007949563689"/>
    <d v="2026-04-04T16:11:06"/>
    <n v="4"/>
    <x v="1"/>
    <x v="1"/>
    <n v="-31900"/>
    <x v="18"/>
    <x v="0"/>
    <x v="15"/>
    <s v="rPET"/>
    <s v="rPET"/>
    <x v="1"/>
    <x v="1"/>
  </r>
  <r>
    <s v="1001"/>
    <d v="2026-04-04T00:00:00"/>
    <s v="1400000970"/>
    <s v=""/>
    <s v=""/>
    <s v="5112100100"/>
    <s v="5112100100"/>
    <x v="15"/>
    <n v="-921686700"/>
    <x v="15"/>
    <s v=""/>
    <s v="THU.LNA"/>
    <s v="4"/>
    <s v="2026"/>
    <s v="0000000000000000"/>
    <s v="1C26TTC;1045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0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0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2"/>
    <s v=""/>
    <s v=""/>
    <s v="1101"/>
    <s v="0"/>
    <s v=""/>
    <s v=""/>
    <s v="50"/>
    <s v="4"/>
    <s v="1001110000"/>
    <s v=""/>
    <n v="-31900"/>
    <s v=""/>
    <s v=""/>
    <s v=""/>
    <s v=""/>
    <m/>
    <s v="00911725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9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2"/>
    <x v="18"/>
    <n v="1"/>
    <n v="28893"/>
    <n v="0"/>
    <n v="-35109.007949563689"/>
    <d v="2026-04-04T16:11:09"/>
    <n v="4"/>
    <x v="1"/>
    <x v="1"/>
    <n v="-31900"/>
    <x v="18"/>
    <x v="0"/>
    <x v="15"/>
    <s v="rPET"/>
    <s v="rPET"/>
    <x v="1"/>
    <x v="1"/>
  </r>
  <r>
    <s v="1001"/>
    <d v="2026-04-04T00:00:00"/>
    <s v="1400000971"/>
    <s v=""/>
    <s v=""/>
    <s v="5112100100"/>
    <s v="5112100100"/>
    <x v="15"/>
    <n v="-921686700"/>
    <x v="15"/>
    <s v=""/>
    <s v="THU.LNA"/>
    <s v="4"/>
    <s v="2026"/>
    <s v="0000000000000000"/>
    <s v="1C26TTC;1046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1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3"/>
    <s v=""/>
    <s v=""/>
    <s v="1101"/>
    <s v="0"/>
    <s v=""/>
    <s v=""/>
    <s v="50"/>
    <s v="4"/>
    <s v="1001110000"/>
    <s v=""/>
    <n v="-31900"/>
    <s v=""/>
    <s v=""/>
    <s v=""/>
    <s v=""/>
    <m/>
    <s v="009117257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3"/>
    <x v="18"/>
    <n v="1"/>
    <n v="28893"/>
    <n v="0"/>
    <n v="-35109.007949563689"/>
    <d v="2026-04-04T16:11:16"/>
    <n v="4"/>
    <x v="1"/>
    <x v="1"/>
    <n v="-31900"/>
    <x v="18"/>
    <x v="0"/>
    <x v="15"/>
    <s v="rPET"/>
    <s v="rPET"/>
    <x v="1"/>
    <x v="1"/>
  </r>
  <r>
    <s v="1001"/>
    <d v="2026-04-04T00:00:00"/>
    <s v="1400000972"/>
    <s v=""/>
    <s v=""/>
    <s v="5112100100"/>
    <s v="5112100100"/>
    <x v="15"/>
    <n v="-921686700"/>
    <x v="15"/>
    <s v=""/>
    <s v="THU.LNA"/>
    <s v="4"/>
    <s v="2026"/>
    <s v="0000000000000000"/>
    <s v="1C26TTC;104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2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4"/>
    <s v=""/>
    <s v=""/>
    <s v="1101"/>
    <s v="0"/>
    <s v=""/>
    <s v=""/>
    <s v="50"/>
    <s v="4"/>
    <s v="1001110000"/>
    <s v=""/>
    <n v="-31900"/>
    <s v=""/>
    <s v=""/>
    <s v=""/>
    <s v=""/>
    <m/>
    <s v="00911725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8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4"/>
    <x v="18"/>
    <n v="1"/>
    <n v="28893"/>
    <n v="0"/>
    <n v="-35109.007949563689"/>
    <d v="2026-04-04T16:11:18"/>
    <n v="4"/>
    <x v="1"/>
    <x v="1"/>
    <n v="-31900"/>
    <x v="18"/>
    <x v="0"/>
    <x v="15"/>
    <s v="rPET"/>
    <s v="rPET"/>
    <x v="1"/>
    <x v="1"/>
  </r>
  <r>
    <s v="1001"/>
    <d v="2026-04-04T00:00:00"/>
    <s v="1400000973"/>
    <s v=""/>
    <s v=""/>
    <s v="5112100100"/>
    <s v="5112100100"/>
    <x v="12"/>
    <n v="-709280000"/>
    <x v="12"/>
    <s v=""/>
    <s v="THU.LNA"/>
    <s v="4"/>
    <s v="2026"/>
    <s v="0000000000000000"/>
    <s v="1C26TTC;1047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3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7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5"/>
    <s v=""/>
    <s v=""/>
    <s v="1101"/>
    <s v="0"/>
    <s v=""/>
    <s v=""/>
    <s v="50"/>
    <s v="4"/>
    <s v="1001110000"/>
    <s v=""/>
    <n v="-22000"/>
    <s v=""/>
    <s v=""/>
    <s v=""/>
    <s v=""/>
    <m/>
    <s v="009117257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9:10"/>
    <s v=""/>
    <s v=""/>
    <s v=""/>
    <n v="-709280000"/>
    <n v="0"/>
    <n v="-709280000"/>
    <n v="0"/>
    <n v="0"/>
    <n v="0"/>
    <d v="2026-04-04T00:00:00"/>
    <s v=""/>
    <n v="0"/>
    <s v=""/>
    <s v=""/>
    <n v="0"/>
    <n v="0"/>
    <s v="2026/04"/>
    <s v="91172575"/>
    <x v="11"/>
    <n v="1"/>
    <n v="32240"/>
    <n v="0"/>
    <n v="-27017.984699645262"/>
    <d v="2026-04-04T16:19:10"/>
    <n v="4"/>
    <x v="1"/>
    <x v="1"/>
    <n v="-22000"/>
    <x v="13"/>
    <x v="0"/>
    <x v="1"/>
    <s v="rPET"/>
    <s v="rPET"/>
    <x v="1"/>
    <x v="1"/>
  </r>
  <r>
    <s v="1001"/>
    <d v="2026-04-04T00:00:00"/>
    <s v="1400000974"/>
    <s v=""/>
    <s v=""/>
    <s v="5112100100"/>
    <s v="5112100100"/>
    <x v="0"/>
    <n v="-731302000"/>
    <x v="0"/>
    <s v=""/>
    <s v="THU.LNA"/>
    <s v="4"/>
    <s v="2026"/>
    <s v="0000000000000000"/>
    <s v="1C26TTC;1049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4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7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6"/>
    <s v=""/>
    <s v=""/>
    <s v="1101"/>
    <s v="0"/>
    <s v=""/>
    <s v=""/>
    <s v="50"/>
    <s v="4"/>
    <s v="1001110000"/>
    <s v=""/>
    <n v="-22000"/>
    <s v=""/>
    <s v=""/>
    <s v=""/>
    <s v=""/>
    <m/>
    <s v="009117257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42"/>
    <s v=""/>
    <s v=""/>
    <s v=""/>
    <n v="-731302000"/>
    <n v="0"/>
    <n v="-731302000"/>
    <n v="0"/>
    <n v="0"/>
    <n v="0"/>
    <d v="2026-04-04T00:00:00"/>
    <s v=""/>
    <n v="0"/>
    <s v=""/>
    <s v=""/>
    <n v="0"/>
    <n v="0"/>
    <s v="2026/04"/>
    <s v="91172576"/>
    <x v="12"/>
    <n v="1"/>
    <n v="33241"/>
    <n v="0"/>
    <n v="-27856.84954717457"/>
    <d v="2026-04-04T17:06:42"/>
    <n v="4"/>
    <x v="1"/>
    <x v="1"/>
    <n v="-22000"/>
    <x v="14"/>
    <x v="0"/>
    <x v="2"/>
    <s v="rPET"/>
    <s v="rPET"/>
    <x v="1"/>
    <x v="1"/>
  </r>
  <r>
    <s v="1001"/>
    <d v="2026-04-04T00:00:00"/>
    <s v="1400000975"/>
    <s v=""/>
    <s v=""/>
    <s v="5112100100"/>
    <s v="5112100100"/>
    <x v="18"/>
    <n v="-700590000"/>
    <x v="18"/>
    <s v=""/>
    <s v="THU.LNA"/>
    <s v="4"/>
    <s v="2026"/>
    <s v="0000000000000000"/>
    <s v="1C26TTC;1050"/>
    <s v="5112100100"/>
    <s v="S"/>
    <s v=""/>
    <n v="-700590000"/>
    <n v="-700590000"/>
    <n v="-700590000"/>
    <n v="-70059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5"/>
    <s v="RV"/>
    <s v=""/>
    <s v=""/>
    <s v=""/>
    <s v=""/>
    <s v="0"/>
    <s v="1,00000"/>
    <m/>
    <s v=""/>
    <s v=""/>
    <s v=""/>
    <s v=""/>
    <s v=""/>
    <s v=""/>
    <s v=""/>
    <s v=""/>
    <s v=""/>
    <s v="2026"/>
    <n v="-700590000"/>
    <s v="VND"/>
    <s v="000002"/>
    <s v=""/>
    <n v="0"/>
    <s v="0"/>
    <s v="0"/>
    <s v="0"/>
    <s v="0"/>
    <n v="0"/>
    <s v="140000097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7"/>
    <s v=""/>
    <s v=""/>
    <s v="1101"/>
    <s v="0"/>
    <s v=""/>
    <s v=""/>
    <s v="50"/>
    <s v="4"/>
    <s v="1001110000"/>
    <s v=""/>
    <n v="-22000"/>
    <s v=""/>
    <s v=""/>
    <s v=""/>
    <s v=""/>
    <m/>
    <s v="009117257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56"/>
    <s v=""/>
    <s v=""/>
    <s v=""/>
    <n v="-700590000"/>
    <n v="0"/>
    <n v="-700590000"/>
    <n v="0"/>
    <n v="0"/>
    <n v="0"/>
    <d v="2026-04-04T00:00:00"/>
    <s v=""/>
    <n v="0"/>
    <s v=""/>
    <s v=""/>
    <n v="0"/>
    <n v="0"/>
    <s v="2026/04"/>
    <s v="91172577"/>
    <x v="24"/>
    <n v="1"/>
    <n v="31845"/>
    <n v="0"/>
    <n v="-26686.964105465366"/>
    <d v="2026-04-04T17:06:56"/>
    <n v="4"/>
    <x v="1"/>
    <x v="1"/>
    <n v="-22000"/>
    <x v="22"/>
    <x v="0"/>
    <x v="1"/>
    <s v="rPET"/>
    <s v="rPET"/>
    <x v="1"/>
    <x v="1"/>
  </r>
  <r>
    <s v="1001"/>
    <d v="2026-04-04T00:00:00"/>
    <s v="1400000976"/>
    <s v=""/>
    <s v=""/>
    <s v="5112100100"/>
    <s v="5112100100"/>
    <x v="19"/>
    <n v="-6347600"/>
    <x v="19"/>
    <s v=""/>
    <s v="THU.LNA"/>
    <s v="4"/>
    <s v="2026"/>
    <s v="0000000000000000"/>
    <s v="1C26TTC;1051"/>
    <s v="5112100100"/>
    <s v="S"/>
    <s v=""/>
    <n v="-6347600"/>
    <n v="-6347600"/>
    <n v="-6347600"/>
    <n v="-6347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6"/>
    <s v="RV"/>
    <s v=""/>
    <s v=""/>
    <s v=""/>
    <s v=""/>
    <s v="0"/>
    <s v="1,00000"/>
    <m/>
    <s v=""/>
    <s v=""/>
    <s v=""/>
    <s v=""/>
    <s v=""/>
    <s v=""/>
    <s v=""/>
    <s v=""/>
    <s v=""/>
    <s v="2026"/>
    <n v="-6347600"/>
    <s v="VND"/>
    <s v="000002"/>
    <s v=""/>
    <n v="0"/>
    <s v="0"/>
    <s v="0"/>
    <s v="0"/>
    <s v="0"/>
    <n v="0"/>
    <s v="140000097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8"/>
    <s v=""/>
    <s v=""/>
    <s v="1101"/>
    <s v="0"/>
    <s v=""/>
    <s v=""/>
    <s v="50"/>
    <s v="4"/>
    <s v="1001110000"/>
    <s v=""/>
    <n v="-200"/>
    <s v=""/>
    <s v=""/>
    <s v=""/>
    <s v=""/>
    <m/>
    <s v="009117257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0"/>
    <s v=""/>
    <s v=""/>
    <s v=""/>
    <n v="-6347600"/>
    <n v="0"/>
    <n v="-6347600"/>
    <n v="0"/>
    <n v="0"/>
    <n v="0"/>
    <d v="2026-04-04T00:00:00"/>
    <s v=""/>
    <n v="0"/>
    <s v=""/>
    <s v=""/>
    <n v="0"/>
    <n v="0"/>
    <s v="2026/04"/>
    <s v="91172578"/>
    <x v="25"/>
    <n v="1"/>
    <n v="31738"/>
    <n v="0"/>
    <n v="-241.79359305135949"/>
    <d v="2026-04-04T17:07:10"/>
    <n v="4"/>
    <x v="1"/>
    <x v="1"/>
    <n v="-200"/>
    <x v="23"/>
    <x v="0"/>
    <x v="2"/>
    <s v="rPET"/>
    <s v="rPET"/>
    <x v="1"/>
    <x v="1"/>
  </r>
  <r>
    <s v="1001"/>
    <d v="2026-04-04T00:00:00"/>
    <s v="1400000977"/>
    <s v=""/>
    <s v=""/>
    <s v="5112100100"/>
    <s v="5112100100"/>
    <x v="20"/>
    <n v="-159170000"/>
    <x v="20"/>
    <s v=""/>
    <s v="THU.LNA"/>
    <s v="4"/>
    <s v="2026"/>
    <s v="0000000000000000"/>
    <s v="1C26TTC;1052"/>
    <s v="5112100100"/>
    <s v="S"/>
    <s v=""/>
    <n v="-159170000"/>
    <n v="-159170000"/>
    <n v="-159170000"/>
    <n v="-15917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7"/>
    <s v="RV"/>
    <s v=""/>
    <s v=""/>
    <s v=""/>
    <s v=""/>
    <s v="0"/>
    <s v="1,00000"/>
    <m/>
    <s v=""/>
    <s v=""/>
    <s v=""/>
    <s v=""/>
    <s v=""/>
    <s v=""/>
    <s v=""/>
    <s v=""/>
    <s v=""/>
    <s v="2026"/>
    <n v="-159170000"/>
    <s v="VND"/>
    <s v="000002"/>
    <s v=""/>
    <n v="0"/>
    <s v="0"/>
    <s v="0"/>
    <s v="0"/>
    <s v="0"/>
    <n v="0"/>
    <s v="140000097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9"/>
    <s v=""/>
    <s v=""/>
    <s v="1101"/>
    <s v="0"/>
    <s v=""/>
    <s v=""/>
    <s v="50"/>
    <s v="4"/>
    <s v="1001110000"/>
    <s v=""/>
    <n v="-5500"/>
    <s v=""/>
    <s v=""/>
    <s v=""/>
    <s v=""/>
    <m/>
    <s v="009117257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9"/>
    <s v=""/>
    <s v=""/>
    <s v=""/>
    <n v="-159170000"/>
    <n v="0"/>
    <n v="-159170000"/>
    <n v="0"/>
    <n v="0"/>
    <n v="0"/>
    <d v="2026-04-04T00:00:00"/>
    <s v=""/>
    <n v="0"/>
    <s v=""/>
    <s v=""/>
    <n v="0"/>
    <n v="0"/>
    <s v="2026/04"/>
    <s v="91172579"/>
    <x v="26"/>
    <n v="1"/>
    <n v="28940"/>
    <n v="0"/>
    <n v="-6063.1240478267209"/>
    <d v="2026-04-04T17:07:19"/>
    <n v="4"/>
    <x v="1"/>
    <x v="1"/>
    <n v="-5500"/>
    <x v="24"/>
    <x v="0"/>
    <x v="2"/>
    <s v="rPET"/>
    <s v="rPET"/>
    <x v="1"/>
    <x v="1"/>
  </r>
  <r>
    <s v="1001"/>
    <d v="2026-04-04T00:00:00"/>
    <s v="1400000978"/>
    <s v=""/>
    <s v=""/>
    <s v="5112100100"/>
    <s v="5112100100"/>
    <x v="21"/>
    <n v="-178325400"/>
    <x v="21"/>
    <s v=""/>
    <s v="THU.LNA"/>
    <s v="4"/>
    <s v="2026"/>
    <s v="0000000000000000"/>
    <s v="1C26TTC;1053"/>
    <s v="5112100100"/>
    <s v="S"/>
    <s v=""/>
    <n v="-178325400"/>
    <n v="-178325400"/>
    <n v="-178325400"/>
    <n v="-1783254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8"/>
    <s v="RV"/>
    <s v=""/>
    <s v=""/>
    <s v=""/>
    <s v=""/>
    <s v="0"/>
    <s v="1,00000"/>
    <m/>
    <s v=""/>
    <s v=""/>
    <s v=""/>
    <s v=""/>
    <s v=""/>
    <s v=""/>
    <s v=""/>
    <s v=""/>
    <s v=""/>
    <s v="2026"/>
    <n v="-178325400"/>
    <s v="VND"/>
    <s v="000002"/>
    <s v=""/>
    <n v="0"/>
    <s v="0"/>
    <s v="0"/>
    <s v="0"/>
    <s v="0"/>
    <n v="0"/>
    <s v="1400000978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0"/>
    <s v=""/>
    <s v=""/>
    <s v="1101"/>
    <s v="0"/>
    <s v=""/>
    <s v=""/>
    <s v="50"/>
    <s v="4"/>
    <s v="1001110000"/>
    <s v=""/>
    <n v="-8250"/>
    <s v=""/>
    <s v=""/>
    <s v=""/>
    <s v=""/>
    <m/>
    <s v="009117258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30"/>
    <s v=""/>
    <s v=""/>
    <s v=""/>
    <n v="-178325400"/>
    <n v="0"/>
    <n v="-178325400"/>
    <n v="0"/>
    <n v="0"/>
    <n v="0"/>
    <d v="2026-04-04T00:00:00"/>
    <s v=""/>
    <n v="0"/>
    <s v=""/>
    <s v=""/>
    <n v="0"/>
    <n v="0"/>
    <s v="2026/04"/>
    <s v="91172580"/>
    <x v="27"/>
    <n v="1"/>
    <n v="21615.200000000001"/>
    <n v="0"/>
    <n v="-6792.7940006176987"/>
    <d v="2026-04-04T17:07:30"/>
    <n v="4"/>
    <x v="1"/>
    <x v="1"/>
    <n v="-8250"/>
    <x v="25"/>
    <x v="0"/>
    <x v="19"/>
    <s v="rPP"/>
    <s v="rPP"/>
    <x v="6"/>
    <x v="6"/>
  </r>
  <r>
    <s v="1001"/>
    <d v="2026-04-04T00:00:00"/>
    <s v="1400000979"/>
    <s v=""/>
    <s v=""/>
    <s v="5112100100"/>
    <s v="5112100100"/>
    <x v="21"/>
    <n v="-145902600"/>
    <x v="21"/>
    <s v=""/>
    <s v="THU.LNA"/>
    <s v="4"/>
    <s v="2026"/>
    <s v="0000000000000000"/>
    <s v="1C26TTC;1054"/>
    <s v="5112100100"/>
    <s v="S"/>
    <s v=""/>
    <n v="-145902600"/>
    <n v="-145902600"/>
    <n v="-145902600"/>
    <n v="-145902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9"/>
    <s v="RV"/>
    <s v=""/>
    <s v=""/>
    <s v=""/>
    <s v=""/>
    <s v="0"/>
    <s v="1,00000"/>
    <m/>
    <s v=""/>
    <s v=""/>
    <s v=""/>
    <s v=""/>
    <s v=""/>
    <s v=""/>
    <s v=""/>
    <s v=""/>
    <s v=""/>
    <s v="2026"/>
    <n v="-145902600"/>
    <s v="VND"/>
    <s v="000002"/>
    <s v=""/>
    <n v="0"/>
    <s v="0"/>
    <s v="0"/>
    <s v="0"/>
    <s v="0"/>
    <n v="0"/>
    <s v="1400000979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1"/>
    <s v=""/>
    <s v=""/>
    <s v="1101"/>
    <s v="0"/>
    <s v=""/>
    <s v=""/>
    <s v="50"/>
    <s v="4"/>
    <s v="1001110000"/>
    <s v=""/>
    <n v="-6750"/>
    <s v=""/>
    <s v=""/>
    <s v=""/>
    <s v=""/>
    <m/>
    <s v="009117258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2"/>
    <s v=""/>
    <s v=""/>
    <s v=""/>
    <n v="-145902600"/>
    <n v="0"/>
    <n v="-145902600"/>
    <n v="0"/>
    <n v="0"/>
    <n v="0"/>
    <d v="2026-04-04T00:00:00"/>
    <s v=""/>
    <n v="0"/>
    <s v=""/>
    <s v=""/>
    <n v="0"/>
    <n v="0"/>
    <s v="2026/04"/>
    <s v="91172581"/>
    <x v="27"/>
    <n v="1"/>
    <n v="21615.200000000001"/>
    <n v="0"/>
    <n v="-5557.7405459599349"/>
    <d v="2026-04-04T17:07:42"/>
    <n v="4"/>
    <x v="1"/>
    <x v="1"/>
    <n v="-6750"/>
    <x v="25"/>
    <x v="0"/>
    <x v="19"/>
    <s v="rPP"/>
    <s v="rPP"/>
    <x v="6"/>
    <x v="6"/>
  </r>
  <r>
    <s v="1001"/>
    <d v="2026-04-04T00:00:00"/>
    <s v="1400000980"/>
    <s v=""/>
    <s v=""/>
    <s v="5112100100"/>
    <s v="5112100100"/>
    <x v="8"/>
    <n v="-389059000"/>
    <x v="8"/>
    <s v=""/>
    <s v="THU.LNA"/>
    <s v="4"/>
    <s v="2026"/>
    <s v="0000000000000000"/>
    <s v="1C26TTC;1055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80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80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82"/>
    <s v=""/>
    <s v=""/>
    <s v="1101"/>
    <s v="0"/>
    <s v=""/>
    <s v=""/>
    <s v="50"/>
    <s v="4"/>
    <s v="1001110000"/>
    <s v=""/>
    <n v="-11000"/>
    <s v=""/>
    <s v=""/>
    <s v=""/>
    <s v=""/>
    <m/>
    <s v="00911725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8"/>
    <s v=""/>
    <s v=""/>
    <s v=""/>
    <n v="-389059000"/>
    <n v="0"/>
    <n v="-389059000"/>
    <n v="0"/>
    <n v="0"/>
    <n v="0"/>
    <d v="2026-04-04T00:00:00"/>
    <s v=""/>
    <n v="0"/>
    <s v=""/>
    <s v=""/>
    <n v="0"/>
    <n v="0"/>
    <s v="2026/04"/>
    <s v="91172582"/>
    <x v="14"/>
    <n v="1"/>
    <n v="35369"/>
    <n v="0"/>
    <n v="-14820.085310821236"/>
    <d v="2026-04-04T17:07:48"/>
    <n v="4"/>
    <x v="1"/>
    <x v="1"/>
    <n v="-11000"/>
    <x v="16"/>
    <x v="0"/>
    <x v="13"/>
    <s v="rHDPE"/>
    <s v="rHDPE thổi"/>
    <x v="3"/>
    <x v="3"/>
  </r>
  <r>
    <s v="1001"/>
    <d v="2026-04-06T00:00:00"/>
    <s v="1400000981"/>
    <s v=""/>
    <s v=""/>
    <s v="5112100100"/>
    <s v="5112100100"/>
    <x v="22"/>
    <n v="-84324000"/>
    <x v="22"/>
    <s v=""/>
    <s v="THU.LNA"/>
    <s v="4"/>
    <s v="2026"/>
    <s v="0000000000000000"/>
    <s v="1C26TTC;1057"/>
    <s v="5112100100"/>
    <s v="S"/>
    <s v=""/>
    <n v="-84324000"/>
    <n v="-84324000"/>
    <n v="-84324000"/>
    <n v="-84324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1"/>
    <s v="RV"/>
    <s v=""/>
    <s v=""/>
    <s v=""/>
    <s v=""/>
    <s v="0"/>
    <s v="1,00000"/>
    <m/>
    <s v=""/>
    <s v=""/>
    <s v=""/>
    <s v=""/>
    <s v=""/>
    <s v=""/>
    <s v=""/>
    <s v=""/>
    <s v=""/>
    <s v="2026"/>
    <n v="-84324000"/>
    <s v="VND"/>
    <s v="000002"/>
    <s v=""/>
    <n v="0"/>
    <s v="0"/>
    <s v="0"/>
    <s v="0"/>
    <s v="0"/>
    <n v="0"/>
    <s v="1400000981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594"/>
    <s v=""/>
    <s v=""/>
    <s v="1101"/>
    <s v="0"/>
    <s v=""/>
    <s v=""/>
    <s v="50"/>
    <s v="4"/>
    <s v="1001110000"/>
    <s v=""/>
    <n v="-7027"/>
    <s v=""/>
    <s v=""/>
    <s v=""/>
    <s v=""/>
    <m/>
    <s v="00911725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8:11:41"/>
    <s v=""/>
    <s v=""/>
    <s v=""/>
    <n v="-84324000"/>
    <n v="0"/>
    <n v="-84324000"/>
    <n v="0"/>
    <n v="0"/>
    <n v="0"/>
    <d v="2026-04-06T00:00:00"/>
    <s v=""/>
    <n v="0"/>
    <s v=""/>
    <s v=""/>
    <n v="0"/>
    <n v="0"/>
    <s v="2026/04"/>
    <s v="91172594"/>
    <x v="28"/>
    <n v="1"/>
    <n v="12000"/>
    <n v="0"/>
    <n v="-3212.0806195196355"/>
    <d v="2026-04-06T15:11:41"/>
    <n v="4"/>
    <x v="2"/>
    <x v="2"/>
    <n v="-7027"/>
    <x v="26"/>
    <x v="0"/>
    <x v="20"/>
    <s v="rPET"/>
    <s v="rPET"/>
    <x v="1"/>
    <x v="7"/>
  </r>
  <r>
    <s v="1001"/>
    <d v="2026-04-06T00:00:00"/>
    <s v="1400000982"/>
    <s v=""/>
    <s v=""/>
    <s v="5112100100"/>
    <s v="5112100100"/>
    <x v="23"/>
    <n v="-184622222"/>
    <x v="23"/>
    <s v=""/>
    <s v="THU.LNA"/>
    <s v="4"/>
    <s v="2026"/>
    <s v="0000000000000000"/>
    <s v="1C26TTC;1058"/>
    <s v="5112100100"/>
    <s v="S"/>
    <s v=""/>
    <n v="-184622222"/>
    <n v="-184622222"/>
    <n v="-184622222"/>
    <n v="-1846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2"/>
    <s v="RV"/>
    <s v=""/>
    <s v=""/>
    <s v=""/>
    <s v=""/>
    <s v="0"/>
    <s v="1,00000"/>
    <m/>
    <s v=""/>
    <s v=""/>
    <s v=""/>
    <s v=""/>
    <s v=""/>
    <s v=""/>
    <s v=""/>
    <s v=""/>
    <s v=""/>
    <s v="2026"/>
    <n v="-184622222"/>
    <s v="VND"/>
    <s v="000002"/>
    <s v=""/>
    <n v="0"/>
    <s v="0"/>
    <s v="0"/>
    <s v="0"/>
    <s v="0"/>
    <n v="0"/>
    <s v="1400000982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596"/>
    <s v=""/>
    <s v=""/>
    <s v="1101"/>
    <s v="0"/>
    <s v=""/>
    <s v=""/>
    <s v="50"/>
    <s v="4"/>
    <s v="1001110000"/>
    <s v=""/>
    <n v="-16616"/>
    <s v=""/>
    <s v=""/>
    <s v=""/>
    <s v=""/>
    <m/>
    <s v="00911725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9:05:27"/>
    <s v=""/>
    <s v=""/>
    <s v=""/>
    <n v="-184622222"/>
    <n v="0"/>
    <n v="-184622222"/>
    <n v="0"/>
    <n v="0"/>
    <n v="0"/>
    <d v="2026-04-06T00:00:00"/>
    <s v=""/>
    <n v="0"/>
    <s v=""/>
    <s v=""/>
    <n v="0"/>
    <n v="0"/>
    <s v="2026/04"/>
    <s v="91172596"/>
    <x v="29"/>
    <n v="1"/>
    <n v="11111.111097737121"/>
    <n v="0"/>
    <n v="-7032.6533515826059"/>
    <d v="2026-04-06T16:05:27"/>
    <n v="4"/>
    <x v="2"/>
    <x v="2"/>
    <n v="-16616"/>
    <x v="27"/>
    <x v="0"/>
    <x v="21"/>
    <s v="Khác"/>
    <s v="Phó sản"/>
    <x v="5"/>
    <x v="5"/>
  </r>
  <r>
    <s v="1001"/>
    <d v="2026-04-06T00:00:00"/>
    <s v="1400000983"/>
    <s v=""/>
    <s v=""/>
    <s v="5112100100"/>
    <s v="5112100100"/>
    <x v="15"/>
    <n v="-921686700"/>
    <x v="15"/>
    <s v=""/>
    <s v="THU.LNA"/>
    <s v="4"/>
    <s v="2026"/>
    <s v="0000000000000000"/>
    <s v="1C26TTC;105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3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7"/>
    <s v=""/>
    <s v=""/>
    <s v="1101"/>
    <s v="0"/>
    <s v=""/>
    <s v=""/>
    <s v="50"/>
    <s v="4"/>
    <s v="1001110000"/>
    <s v=""/>
    <n v="-31900"/>
    <s v=""/>
    <s v=""/>
    <s v=""/>
    <s v=""/>
    <m/>
    <s v="00911725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33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7"/>
    <x v="18"/>
    <n v="1"/>
    <n v="28893"/>
    <n v="0"/>
    <n v="-35109.007949563689"/>
    <d v="2026-04-06T17:21:33"/>
    <n v="4"/>
    <x v="2"/>
    <x v="2"/>
    <n v="-31900"/>
    <x v="18"/>
    <x v="0"/>
    <x v="15"/>
    <s v="rPET"/>
    <s v="rPET"/>
    <x v="1"/>
    <x v="1"/>
  </r>
  <r>
    <s v="1001"/>
    <d v="2026-04-06T00:00:00"/>
    <s v="1400000984"/>
    <s v=""/>
    <s v=""/>
    <s v="5112100100"/>
    <s v="5112100100"/>
    <x v="15"/>
    <n v="-921686700"/>
    <x v="15"/>
    <s v=""/>
    <s v="THU.LNA"/>
    <s v="4"/>
    <s v="2026"/>
    <s v="0000000000000000"/>
    <s v="1C26TTC;106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4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4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8"/>
    <s v=""/>
    <s v=""/>
    <s v="1101"/>
    <s v="0"/>
    <s v=""/>
    <s v=""/>
    <s v="50"/>
    <s v="4"/>
    <s v="1001110000"/>
    <s v=""/>
    <n v="-31900"/>
    <s v=""/>
    <s v=""/>
    <s v=""/>
    <s v=""/>
    <m/>
    <s v="00911725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2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8"/>
    <x v="18"/>
    <n v="1"/>
    <n v="28893"/>
    <n v="0"/>
    <n v="-35109.007949563689"/>
    <d v="2026-04-06T17:21:52"/>
    <n v="4"/>
    <x v="2"/>
    <x v="2"/>
    <n v="-31900"/>
    <x v="18"/>
    <x v="0"/>
    <x v="15"/>
    <s v="rPET"/>
    <s v="rPET"/>
    <x v="1"/>
    <x v="1"/>
  </r>
  <r>
    <s v="1001"/>
    <d v="2026-04-06T00:00:00"/>
    <s v="1400000985"/>
    <s v=""/>
    <s v=""/>
    <s v="5112100100"/>
    <s v="5112100100"/>
    <x v="12"/>
    <n v="-709280000"/>
    <x v="12"/>
    <s v=""/>
    <s v="THU.LNA"/>
    <s v="4"/>
    <s v="2026"/>
    <s v="0000000000000000"/>
    <s v="1C26TTC;1061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8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99"/>
    <s v=""/>
    <s v=""/>
    <s v="1101"/>
    <s v="0"/>
    <s v=""/>
    <s v=""/>
    <s v="50"/>
    <s v="4"/>
    <s v="1001110000"/>
    <s v=""/>
    <n v="-22000"/>
    <s v=""/>
    <s v=""/>
    <s v=""/>
    <s v=""/>
    <m/>
    <s v="009117259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7"/>
    <s v=""/>
    <s v=""/>
    <s v=""/>
    <n v="-709280000"/>
    <n v="0"/>
    <n v="-709280000"/>
    <n v="0"/>
    <n v="0"/>
    <n v="0"/>
    <d v="2026-04-06T00:00:00"/>
    <s v=""/>
    <n v="0"/>
    <s v=""/>
    <s v=""/>
    <n v="0"/>
    <n v="0"/>
    <s v="2026/04"/>
    <s v="91172599"/>
    <x v="11"/>
    <n v="1"/>
    <n v="32240"/>
    <n v="0"/>
    <n v="-27017.984699645262"/>
    <d v="2026-04-06T17:21:57"/>
    <n v="4"/>
    <x v="2"/>
    <x v="2"/>
    <n v="-22000"/>
    <x v="13"/>
    <x v="0"/>
    <x v="1"/>
    <s v="rPET"/>
    <s v="rPET"/>
    <x v="1"/>
    <x v="1"/>
  </r>
  <r>
    <s v="1001"/>
    <d v="2026-04-06T00:00:00"/>
    <s v="1400000986"/>
    <s v=""/>
    <s v=""/>
    <s v="5112100100"/>
    <s v="5112100100"/>
    <x v="4"/>
    <n v="-696938000"/>
    <x v="4"/>
    <s v=""/>
    <s v="THU.LNA"/>
    <s v="4"/>
    <s v="2026"/>
    <s v="0000000000000000"/>
    <s v="1C26TTC;1062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6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8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0"/>
    <s v=""/>
    <s v=""/>
    <s v="1101"/>
    <s v="0"/>
    <s v=""/>
    <s v=""/>
    <s v="50"/>
    <s v="4"/>
    <s v="1001110000"/>
    <s v=""/>
    <n v="-22000"/>
    <s v=""/>
    <s v=""/>
    <s v=""/>
    <s v=""/>
    <m/>
    <s v="009117260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2"/>
    <s v=""/>
    <s v=""/>
    <s v=""/>
    <n v="-696938000"/>
    <n v="0"/>
    <n v="-696938000"/>
    <n v="0"/>
    <n v="0"/>
    <n v="0"/>
    <d v="2026-04-06T00:00:00"/>
    <s v=""/>
    <n v="0"/>
    <s v=""/>
    <s v=""/>
    <n v="0"/>
    <n v="0"/>
    <s v="2026/04"/>
    <s v="91172600"/>
    <x v="19"/>
    <n v="1"/>
    <n v="31679"/>
    <n v="0"/>
    <n v="-26547.851653227739"/>
    <d v="2026-04-06T17:22:02"/>
    <n v="4"/>
    <x v="2"/>
    <x v="2"/>
    <n v="-22000"/>
    <x v="2"/>
    <x v="0"/>
    <x v="2"/>
    <s v="rPET"/>
    <s v="rPET"/>
    <x v="1"/>
    <x v="1"/>
  </r>
  <r>
    <s v="1001"/>
    <d v="2026-04-06T00:00:00"/>
    <s v="1400000987"/>
    <s v=""/>
    <s v=""/>
    <s v="5112100100"/>
    <s v="5112100100"/>
    <x v="3"/>
    <n v="-696300000"/>
    <x v="3"/>
    <s v=""/>
    <s v="THU.LNA"/>
    <s v="4"/>
    <s v="2026"/>
    <s v="0000000000000000"/>
    <s v="1C26TTC;1063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7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87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01"/>
    <s v=""/>
    <s v=""/>
    <s v="1101"/>
    <s v="0"/>
    <s v=""/>
    <s v=""/>
    <s v="50"/>
    <s v="4"/>
    <s v="1001110000"/>
    <s v=""/>
    <n v="-22000"/>
    <s v=""/>
    <s v=""/>
    <s v=""/>
    <s v=""/>
    <m/>
    <s v="009117260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7"/>
    <s v=""/>
    <s v=""/>
    <s v=""/>
    <n v="-696300000"/>
    <n v="0"/>
    <n v="-696300000"/>
    <n v="0"/>
    <n v="0"/>
    <n v="0"/>
    <d v="2026-04-06T00:00:00"/>
    <s v=""/>
    <n v="0"/>
    <s v=""/>
    <s v=""/>
    <n v="0"/>
    <n v="0"/>
    <s v="2026/04"/>
    <s v="91172601"/>
    <x v="1"/>
    <n v="1"/>
    <n v="31650"/>
    <n v="0"/>
    <n v="-26523.548875427186"/>
    <d v="2026-04-06T17:22:07"/>
    <n v="4"/>
    <x v="2"/>
    <x v="2"/>
    <n v="-22000"/>
    <x v="1"/>
    <x v="0"/>
    <x v="1"/>
    <s v="rPET"/>
    <s v="rPET"/>
    <x v="1"/>
    <x v="1"/>
  </r>
  <r>
    <s v="1001"/>
    <d v="2026-04-06T00:00:00"/>
    <s v="1400000988"/>
    <s v=""/>
    <s v=""/>
    <s v="5115100100"/>
    <s v="5115100100"/>
    <x v="24"/>
    <n v="-710487360"/>
    <x v="24"/>
    <s v=""/>
    <s v="THU.LNA"/>
    <s v="4"/>
    <s v="2026"/>
    <s v="0000000000000000"/>
    <s v="1C26TTC;1064"/>
    <s v="5115100100"/>
    <s v="S"/>
    <s v=""/>
    <n v="-27060"/>
    <n v="-27060"/>
    <n v="-710487360"/>
    <n v="-71048736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6T00:00:00"/>
    <s v=""/>
    <s v="1400000988"/>
    <s v="RV"/>
    <s v=""/>
    <s v=""/>
    <s v=""/>
    <s v=""/>
    <s v="0"/>
    <s v="26,25600"/>
    <m/>
    <s v=""/>
    <s v=""/>
    <s v=""/>
    <s v=""/>
    <s v=""/>
    <s v=""/>
    <s v=""/>
    <s v=""/>
    <s v=""/>
    <s v="2026"/>
    <n v="-710487360"/>
    <s v="VND"/>
    <s v="000002"/>
    <s v=""/>
    <n v="0"/>
    <s v="0"/>
    <s v="0"/>
    <s v="0"/>
    <s v="0"/>
    <n v="0"/>
    <s v="140000098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2"/>
    <s v=""/>
    <s v=""/>
    <s v="1101"/>
    <s v="0"/>
    <s v=""/>
    <s v=""/>
    <s v="50"/>
    <s v="4"/>
    <s v="1001110000"/>
    <s v=""/>
    <n v="-22000"/>
    <s v=""/>
    <s v=""/>
    <s v=""/>
    <s v=""/>
    <m/>
    <s v="009117260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6T10:22:11"/>
    <s v=""/>
    <s v=""/>
    <s v=""/>
    <n v="-710487360"/>
    <n v="0"/>
    <n v="-710487360"/>
    <n v="0"/>
    <n v="0"/>
    <n v="0"/>
    <d v="2026-04-06T00:00:00"/>
    <s v=""/>
    <n v="0"/>
    <s v=""/>
    <s v=""/>
    <n v="0"/>
    <n v="0"/>
    <s v="2026/04"/>
    <s v="91172602"/>
    <x v="30"/>
    <n v="26256"/>
    <n v="32294.880000000001"/>
    <n v="1230"/>
    <n v="-27060"/>
    <d v="2026-04-06T17:22:11"/>
    <n v="4"/>
    <x v="2"/>
    <x v="2"/>
    <n v="-22000"/>
    <x v="28"/>
    <x v="1"/>
    <x v="2"/>
    <s v="rPET"/>
    <s v="rPET"/>
    <x v="1"/>
    <x v="1"/>
  </r>
  <r>
    <s v="1001"/>
    <d v="2026-04-06T00:00:00"/>
    <s v="1400000989"/>
    <s v=""/>
    <s v=""/>
    <s v="5112100100"/>
    <s v="5112100100"/>
    <x v="5"/>
    <n v="-263150000"/>
    <x v="5"/>
    <s v=""/>
    <s v="THU.LNA"/>
    <s v="4"/>
    <s v="2026"/>
    <s v="0000000000000000"/>
    <s v="1C26TTC;1065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9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89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03"/>
    <s v=""/>
    <s v=""/>
    <s v="1101"/>
    <s v="0"/>
    <s v=""/>
    <s v=""/>
    <s v="50"/>
    <s v="4"/>
    <s v="1001110000"/>
    <s v=""/>
    <n v="-13850"/>
    <s v=""/>
    <s v=""/>
    <s v=""/>
    <s v=""/>
    <m/>
    <s v="009117260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4"/>
    <s v=""/>
    <s v=""/>
    <s v=""/>
    <n v="-263150000"/>
    <n v="0"/>
    <n v="-263150000"/>
    <n v="0"/>
    <n v="0"/>
    <n v="0"/>
    <d v="2026-04-06T00:00:00"/>
    <s v=""/>
    <n v="0"/>
    <s v=""/>
    <s v=""/>
    <n v="0"/>
    <n v="0"/>
    <s v="2026/04"/>
    <s v="91172603"/>
    <x v="3"/>
    <n v="1"/>
    <n v="19000"/>
    <n v="0"/>
    <n v="-10023.943539521277"/>
    <d v="2026-04-06T17:22:14"/>
    <n v="4"/>
    <x v="2"/>
    <x v="2"/>
    <n v="-13850"/>
    <x v="3"/>
    <x v="0"/>
    <x v="3"/>
    <s v="Xơ sợi"/>
    <s v="Xơ sợi"/>
    <x v="2"/>
    <x v="2"/>
  </r>
  <r>
    <s v="1001"/>
    <d v="2026-04-06T00:00:00"/>
    <s v="1400000990"/>
    <s v=""/>
    <s v=""/>
    <s v="5112100100"/>
    <s v="5112100100"/>
    <x v="8"/>
    <n v="-194529500"/>
    <x v="8"/>
    <s v=""/>
    <s v="THU.LNA"/>
    <s v="4"/>
    <s v="2026"/>
    <s v="0000000000000000"/>
    <s v="1C26TTC;106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0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0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4"/>
    <s v=""/>
    <s v=""/>
    <s v="1101"/>
    <s v="0"/>
    <s v=""/>
    <s v=""/>
    <s v="50"/>
    <s v="4"/>
    <s v="1001110000"/>
    <s v=""/>
    <n v="-5500"/>
    <s v=""/>
    <s v=""/>
    <s v=""/>
    <s v=""/>
    <m/>
    <s v="009117260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7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4"/>
    <x v="6"/>
    <n v="1"/>
    <n v="35369"/>
    <n v="0"/>
    <n v="-7410.042655410618"/>
    <d v="2026-04-06T17:22:17"/>
    <n v="4"/>
    <x v="2"/>
    <x v="2"/>
    <n v="-5500"/>
    <x v="6"/>
    <x v="0"/>
    <x v="6"/>
    <s v="rHDPE"/>
    <s v="rHDPE thổi"/>
    <x v="3"/>
    <x v="3"/>
  </r>
  <r>
    <s v="1001"/>
    <d v="2026-04-06T00:00:00"/>
    <s v="1400000991"/>
    <s v=""/>
    <s v=""/>
    <s v="5112100100"/>
    <s v="5112100100"/>
    <x v="8"/>
    <n v="-194529500"/>
    <x v="8"/>
    <s v=""/>
    <s v="THU.LNA"/>
    <s v="4"/>
    <s v="2026"/>
    <s v="0000000000000000"/>
    <s v="1C26TTC;1067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1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1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5"/>
    <s v=""/>
    <s v=""/>
    <s v="1101"/>
    <s v="0"/>
    <s v=""/>
    <s v=""/>
    <s v="50"/>
    <s v="4"/>
    <s v="1001110000"/>
    <s v=""/>
    <n v="-5500"/>
    <s v=""/>
    <s v=""/>
    <s v=""/>
    <s v=""/>
    <m/>
    <s v="009117260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0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5"/>
    <x v="6"/>
    <n v="1"/>
    <n v="35369"/>
    <n v="0"/>
    <n v="-7410.042655410618"/>
    <d v="2026-04-06T17:22:20"/>
    <n v="4"/>
    <x v="2"/>
    <x v="2"/>
    <n v="-5500"/>
    <x v="6"/>
    <x v="0"/>
    <x v="6"/>
    <s v="rHDPE"/>
    <s v="rHDPE thổi"/>
    <x v="3"/>
    <x v="3"/>
  </r>
  <r>
    <s v="1001"/>
    <d v="2026-04-06T00:00:00"/>
    <s v="1400000992"/>
    <s v=""/>
    <s v=""/>
    <s v="5112100100"/>
    <s v="5112100100"/>
    <x v="14"/>
    <n v="-21527778"/>
    <x v="14"/>
    <s v=""/>
    <s v="THU.LNA"/>
    <s v="4"/>
    <s v="2026"/>
    <s v="0000000000000000"/>
    <s v="1C26TTC;1068"/>
    <s v="5112100100"/>
    <s v="S"/>
    <s v=""/>
    <n v="-21527778"/>
    <n v="-21527778"/>
    <n v="-21527778"/>
    <n v="-21527778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2"/>
    <s v="RV"/>
    <s v=""/>
    <s v=""/>
    <s v=""/>
    <s v=""/>
    <s v="0"/>
    <s v="1,00000"/>
    <m/>
    <s v=""/>
    <s v=""/>
    <s v=""/>
    <s v=""/>
    <s v=""/>
    <s v=""/>
    <s v=""/>
    <s v=""/>
    <s v=""/>
    <s v="2026"/>
    <n v="-21527778"/>
    <s v="VND"/>
    <s v="000002"/>
    <s v=""/>
    <n v="0"/>
    <s v="0"/>
    <s v="0"/>
    <s v="0"/>
    <s v="0"/>
    <n v="0"/>
    <s v="1400000992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06"/>
    <s v=""/>
    <s v=""/>
    <s v="1101"/>
    <s v="0"/>
    <s v=""/>
    <s v=""/>
    <s v="50"/>
    <s v="4"/>
    <s v="1001110000"/>
    <s v=""/>
    <n v="-1500"/>
    <s v=""/>
    <s v=""/>
    <s v=""/>
    <s v=""/>
    <m/>
    <s v="009117260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3"/>
    <s v=""/>
    <s v=""/>
    <s v=""/>
    <n v="-21527778"/>
    <n v="0"/>
    <n v="-21527778"/>
    <n v="0"/>
    <n v="0"/>
    <n v="0"/>
    <d v="2026-04-06T00:00:00"/>
    <s v=""/>
    <n v="0"/>
    <s v=""/>
    <s v=""/>
    <n v="0"/>
    <n v="0"/>
    <s v="2026/04"/>
    <s v="91172606"/>
    <x v="31"/>
    <n v="1"/>
    <n v="14351.852000000001"/>
    <n v="0"/>
    <n v="-820.0388797391156"/>
    <d v="2026-04-06T17:22:23"/>
    <n v="4"/>
    <x v="2"/>
    <x v="2"/>
    <n v="-1500"/>
    <x v="17"/>
    <x v="0"/>
    <x v="14"/>
    <s v="Khác"/>
    <s v="Phó sản"/>
    <x v="5"/>
    <x v="5"/>
  </r>
  <r>
    <s v="1001"/>
    <d v="2026-04-07T00:00:00"/>
    <s v="1400000993"/>
    <s v=""/>
    <s v=""/>
    <s v="5112100100"/>
    <s v="5112100100"/>
    <x v="22"/>
    <n v="-101040000"/>
    <x v="22"/>
    <s v=""/>
    <s v="THU.LNA"/>
    <s v="4"/>
    <s v="2026"/>
    <s v="0000000000000000"/>
    <s v="1C26TTC;1070"/>
    <s v="5112100100"/>
    <s v="S"/>
    <s v=""/>
    <n v="-101040000"/>
    <n v="-101040000"/>
    <n v="-101040000"/>
    <n v="-10104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3"/>
    <s v="RV"/>
    <s v=""/>
    <s v=""/>
    <s v=""/>
    <s v=""/>
    <s v="0"/>
    <s v="1,00000"/>
    <m/>
    <s v=""/>
    <s v=""/>
    <s v=""/>
    <s v=""/>
    <s v=""/>
    <s v=""/>
    <s v=""/>
    <s v=""/>
    <s v=""/>
    <s v="2026"/>
    <n v="-101040000"/>
    <s v="VND"/>
    <s v="000002"/>
    <s v=""/>
    <n v="0"/>
    <s v="0"/>
    <s v="0"/>
    <s v="0"/>
    <s v="0"/>
    <n v="0"/>
    <s v="1400000993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608"/>
    <s v=""/>
    <s v=""/>
    <s v="1101"/>
    <s v="0"/>
    <s v=""/>
    <s v=""/>
    <s v="50"/>
    <s v="4"/>
    <s v="1001110000"/>
    <s v=""/>
    <n v="-8420"/>
    <s v=""/>
    <s v=""/>
    <s v=""/>
    <s v=""/>
    <m/>
    <s v="009117260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8:12:23"/>
    <s v=""/>
    <s v=""/>
    <s v=""/>
    <n v="-101040000"/>
    <n v="0"/>
    <n v="-101040000"/>
    <n v="0"/>
    <n v="0"/>
    <n v="0"/>
    <d v="2026-04-07T00:00:00"/>
    <s v=""/>
    <n v="0"/>
    <s v=""/>
    <s v=""/>
    <n v="0"/>
    <n v="0"/>
    <s v="2026/04"/>
    <s v="91172608"/>
    <x v="28"/>
    <n v="1"/>
    <n v="12000"/>
    <n v="0"/>
    <n v="-3848.8286347453154"/>
    <d v="2026-04-07T15:12:23"/>
    <n v="4"/>
    <x v="7"/>
    <x v="7"/>
    <n v="-8420"/>
    <x v="26"/>
    <x v="0"/>
    <x v="20"/>
    <s v="rPET"/>
    <s v="rPET"/>
    <x v="1"/>
    <x v="7"/>
  </r>
  <r>
    <s v="1001"/>
    <d v="2026-04-07T00:00:00"/>
    <s v="1400000994"/>
    <s v=""/>
    <s v=""/>
    <s v="5112100100"/>
    <s v="5112100100"/>
    <x v="13"/>
    <n v="-317383000"/>
    <x v="13"/>
    <s v=""/>
    <s v="THU.LNA"/>
    <s v="4"/>
    <s v="2026"/>
    <s v="0000000000000000"/>
    <s v="1C26TTC;1071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9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9"/>
    <s v=""/>
    <s v=""/>
    <s v="1101"/>
    <s v="0"/>
    <s v=""/>
    <s v=""/>
    <s v="50"/>
    <s v="4"/>
    <s v="1001110000"/>
    <s v=""/>
    <n v="-11000"/>
    <s v=""/>
    <s v=""/>
    <s v=""/>
    <s v=""/>
    <m/>
    <s v="009117260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06"/>
    <s v=""/>
    <s v=""/>
    <s v=""/>
    <n v="-317383000"/>
    <n v="0"/>
    <n v="-317383000"/>
    <n v="0"/>
    <n v="0"/>
    <n v="0"/>
    <d v="2026-04-07T00:00:00"/>
    <s v=""/>
    <n v="0"/>
    <s v=""/>
    <s v=""/>
    <n v="0"/>
    <n v="0"/>
    <s v="2026/04"/>
    <s v="91172609"/>
    <x v="13"/>
    <n v="1"/>
    <n v="28853"/>
    <n v="0"/>
    <n v="-12089.793928952617"/>
    <d v="2026-04-07T16:06:06"/>
    <n v="4"/>
    <x v="7"/>
    <x v="7"/>
    <n v="-11000"/>
    <x v="15"/>
    <x v="0"/>
    <x v="2"/>
    <s v="rPET"/>
    <s v="rPET"/>
    <x v="1"/>
    <x v="1"/>
  </r>
  <r>
    <s v="1001"/>
    <d v="2026-04-07T00:00:00"/>
    <s v="1400000995"/>
    <s v=""/>
    <s v=""/>
    <s v="5112100100"/>
    <s v="5112100100"/>
    <x v="5"/>
    <n v="-263150000"/>
    <x v="5"/>
    <s v=""/>
    <s v="THU.LNA"/>
    <s v="4"/>
    <s v="2026"/>
    <s v="0000000000000000"/>
    <s v="1C26TTC;107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5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95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10"/>
    <s v=""/>
    <s v=""/>
    <s v="1101"/>
    <s v="0"/>
    <s v=""/>
    <s v=""/>
    <s v="50"/>
    <s v="4"/>
    <s v="1001110000"/>
    <s v=""/>
    <n v="-13850"/>
    <s v=""/>
    <s v=""/>
    <s v=""/>
    <s v=""/>
    <m/>
    <s v="009117261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25"/>
    <s v=""/>
    <s v=""/>
    <s v=""/>
    <n v="-263150000"/>
    <n v="0"/>
    <n v="-263150000"/>
    <n v="0"/>
    <n v="0"/>
    <n v="0"/>
    <d v="2026-04-07T00:00:00"/>
    <s v=""/>
    <n v="0"/>
    <s v=""/>
    <s v=""/>
    <n v="0"/>
    <n v="0"/>
    <s v="2026/04"/>
    <s v="91172610"/>
    <x v="3"/>
    <n v="1"/>
    <n v="19000"/>
    <n v="0"/>
    <n v="-10023.943539521277"/>
    <d v="2026-04-07T16:06:25"/>
    <n v="4"/>
    <x v="7"/>
    <x v="7"/>
    <n v="-13850"/>
    <x v="3"/>
    <x v="0"/>
    <x v="3"/>
    <s v="Xơ sợi"/>
    <s v="Xơ sợi"/>
    <x v="2"/>
    <x v="2"/>
  </r>
  <r>
    <s v="1001"/>
    <d v="2026-04-07T00:00:00"/>
    <s v="1400000996"/>
    <s v=""/>
    <s v=""/>
    <s v="5112100100"/>
    <s v="5112100100"/>
    <x v="8"/>
    <n v="-389059000"/>
    <x v="8"/>
    <s v=""/>
    <s v="THU.LNA"/>
    <s v="4"/>
    <s v="2026"/>
    <s v="0000000000000000"/>
    <s v="1C26TTC;1073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6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9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1"/>
    <s v=""/>
    <s v=""/>
    <s v="1101"/>
    <s v="0"/>
    <s v=""/>
    <s v=""/>
    <s v="50"/>
    <s v="4"/>
    <s v="1001110000"/>
    <s v=""/>
    <n v="-11000"/>
    <s v=""/>
    <s v=""/>
    <s v=""/>
    <s v=""/>
    <m/>
    <s v="00911726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0"/>
    <s v=""/>
    <s v=""/>
    <s v=""/>
    <n v="-389059000"/>
    <n v="0"/>
    <n v="-389059000"/>
    <n v="0"/>
    <n v="0"/>
    <n v="0"/>
    <d v="2026-04-07T00:00:00"/>
    <s v=""/>
    <n v="0"/>
    <s v=""/>
    <s v=""/>
    <n v="0"/>
    <n v="0"/>
    <s v="2026/04"/>
    <s v="91172611"/>
    <x v="32"/>
    <n v="1"/>
    <n v="35369"/>
    <n v="0"/>
    <n v="-14820.085310821236"/>
    <d v="2026-04-07T16:06:30"/>
    <n v="4"/>
    <x v="7"/>
    <x v="7"/>
    <n v="-11000"/>
    <x v="16"/>
    <x v="0"/>
    <x v="13"/>
    <s v="rHDPE"/>
    <s v="rHDPE thổi"/>
    <x v="3"/>
    <x v="3"/>
  </r>
  <r>
    <s v="1001"/>
    <d v="2026-04-07T00:00:00"/>
    <s v="1400000997"/>
    <s v=""/>
    <s v=""/>
    <s v="5112100100"/>
    <s v="5112100100"/>
    <x v="8"/>
    <n v="-194529500"/>
    <x v="8"/>
    <s v=""/>
    <s v="THU.LNA"/>
    <s v="4"/>
    <s v="2026"/>
    <s v="0000000000000000"/>
    <s v="1C26TTC;1074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2"/>
    <s v=""/>
    <s v=""/>
    <s v="1101"/>
    <s v="0"/>
    <s v=""/>
    <s v=""/>
    <s v="50"/>
    <s v="4"/>
    <s v="1001110000"/>
    <s v=""/>
    <n v="-5500"/>
    <s v=""/>
    <s v=""/>
    <s v=""/>
    <s v=""/>
    <m/>
    <s v="00911726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5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2"/>
    <x v="33"/>
    <n v="1"/>
    <n v="35369"/>
    <n v="0"/>
    <n v="-7410.042655410618"/>
    <d v="2026-04-07T16:06:35"/>
    <n v="4"/>
    <x v="7"/>
    <x v="7"/>
    <n v="-5500"/>
    <x v="16"/>
    <x v="0"/>
    <x v="13"/>
    <s v="rHDPE"/>
    <s v="rHDPE thổi"/>
    <x v="3"/>
    <x v="3"/>
  </r>
  <r>
    <s v="1001"/>
    <d v="2026-04-07T00:00:00"/>
    <s v="1400000998"/>
    <s v=""/>
    <s v=""/>
    <s v="5112100100"/>
    <s v="5112100100"/>
    <x v="8"/>
    <n v="-194529500"/>
    <x v="8"/>
    <s v=""/>
    <s v="THU.LNA"/>
    <s v="4"/>
    <s v="2026"/>
    <s v="0000000000000000"/>
    <s v="1C26TTC;107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8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3"/>
    <s v=""/>
    <s v=""/>
    <s v="1101"/>
    <s v="0"/>
    <s v=""/>
    <s v=""/>
    <s v="50"/>
    <s v="4"/>
    <s v="1001110000"/>
    <s v=""/>
    <n v="-5500"/>
    <s v=""/>
    <s v=""/>
    <s v=""/>
    <s v=""/>
    <m/>
    <s v="00911726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9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3"/>
    <x v="33"/>
    <n v="1"/>
    <n v="35369"/>
    <n v="0"/>
    <n v="-7410.042655410618"/>
    <d v="2026-04-07T16:06:39"/>
    <n v="4"/>
    <x v="7"/>
    <x v="7"/>
    <n v="-5500"/>
    <x v="16"/>
    <x v="0"/>
    <x v="13"/>
    <s v="rHDPE"/>
    <s v="rHDPE thổi"/>
    <x v="3"/>
    <x v="3"/>
  </r>
  <r>
    <s v="1001"/>
    <d v="2026-04-07T00:00:00"/>
    <s v="1400000999"/>
    <s v=""/>
    <s v=""/>
    <s v="5112100100"/>
    <s v="5112100100"/>
    <x v="16"/>
    <n v="-189340580"/>
    <x v="16"/>
    <s v=""/>
    <s v="THU.LNA"/>
    <s v="4"/>
    <s v="2026"/>
    <s v="0000000000000000"/>
    <s v="1C26TTC;1076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9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0999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14"/>
    <s v=""/>
    <s v=""/>
    <s v="1101"/>
    <s v="0"/>
    <s v=""/>
    <s v=""/>
    <s v="50"/>
    <s v="4"/>
    <s v="1001110000"/>
    <s v=""/>
    <n v="-5500"/>
    <s v=""/>
    <s v=""/>
    <s v=""/>
    <s v=""/>
    <m/>
    <s v="00911726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2"/>
    <s v=""/>
    <s v=""/>
    <s v=""/>
    <n v="-189340580"/>
    <n v="0"/>
    <n v="-189340580"/>
    <n v="0"/>
    <n v="0"/>
    <n v="0"/>
    <d v="2026-04-07T00:00:00"/>
    <s v=""/>
    <n v="0"/>
    <s v=""/>
    <s v=""/>
    <n v="0"/>
    <n v="0"/>
    <s v="2026/04"/>
    <s v="91172614"/>
    <x v="20"/>
    <n v="1"/>
    <n v="34425.56"/>
    <n v="0"/>
    <n v="-7212.3856494782876"/>
    <d v="2026-04-07T16:06:42"/>
    <n v="4"/>
    <x v="7"/>
    <x v="7"/>
    <n v="-5500"/>
    <x v="19"/>
    <x v="0"/>
    <x v="16"/>
    <s v="rPET"/>
    <s v="rPET"/>
    <x v="1"/>
    <x v="1"/>
  </r>
  <r>
    <s v="1001"/>
    <d v="2026-04-07T00:00:00"/>
    <s v="1400001000"/>
    <s v=""/>
    <s v=""/>
    <s v="5112100100"/>
    <s v="5112100100"/>
    <x v="25"/>
    <n v="-2000000"/>
    <x v="25"/>
    <s v=""/>
    <s v="THU.LNA"/>
    <s v="4"/>
    <s v="2026"/>
    <s v="0000000000000000"/>
    <s v="1C26TTC;1077"/>
    <s v="5112100100"/>
    <s v="S"/>
    <s v=""/>
    <n v="-2000000"/>
    <n v="-2000000"/>
    <n v="-2000000"/>
    <n v="-20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0"/>
    <s v="RV"/>
    <s v=""/>
    <s v=""/>
    <s v=""/>
    <s v=""/>
    <s v="0"/>
    <s v="1,00000"/>
    <m/>
    <s v=""/>
    <s v=""/>
    <s v=""/>
    <s v=""/>
    <s v=""/>
    <s v=""/>
    <s v=""/>
    <s v=""/>
    <s v=""/>
    <s v="2026"/>
    <n v="-2000000"/>
    <s v="VND"/>
    <s v="000002"/>
    <s v=""/>
    <n v="0"/>
    <s v="0"/>
    <s v="0"/>
    <s v="0"/>
    <s v="0"/>
    <n v="0"/>
    <s v="1400001000"/>
    <s v="0"/>
    <s v=""/>
    <m/>
    <s v="0L"/>
    <s v=""/>
    <s v="2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615"/>
    <s v=""/>
    <s v=""/>
    <s v="1101"/>
    <s v="0"/>
    <s v=""/>
    <s v=""/>
    <s v="50"/>
    <s v="4"/>
    <s v="1001110000"/>
    <s v=""/>
    <n v="-100"/>
    <s v=""/>
    <s v=""/>
    <s v=""/>
    <s v=""/>
    <m/>
    <s v="00911726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6"/>
    <s v=""/>
    <s v=""/>
    <s v=""/>
    <n v="-2000000"/>
    <n v="0"/>
    <n v="-2000000"/>
    <n v="0"/>
    <n v="0"/>
    <n v="0"/>
    <d v="2026-04-07T00:00:00"/>
    <s v=""/>
    <n v="0"/>
    <s v=""/>
    <s v=""/>
    <n v="0"/>
    <n v="0"/>
    <s v="2026/04"/>
    <s v="91172615"/>
    <x v="34"/>
    <n v="1"/>
    <n v="20000"/>
    <n v="0"/>
    <n v="-76.184256428054539"/>
    <d v="2026-04-07T16:06:46"/>
    <n v="4"/>
    <x v="7"/>
    <x v="7"/>
    <n v="-100"/>
    <x v="29"/>
    <x v="0"/>
    <x v="18"/>
    <s v="rPP"/>
    <s v="rPP"/>
    <x v="6"/>
    <x v="6"/>
  </r>
  <r>
    <s v="1001"/>
    <d v="2026-04-07T00:00:00"/>
    <s v="1400001001"/>
    <s v=""/>
    <s v=""/>
    <s v="5112100100"/>
    <s v="5112100100"/>
    <x v="14"/>
    <n v="-89469444"/>
    <x v="14"/>
    <s v=""/>
    <s v="THU.LNA"/>
    <s v="4"/>
    <s v="2026"/>
    <s v="0000000000000000"/>
    <s v="1C26TTC;1078"/>
    <s v="5112100100"/>
    <s v="S"/>
    <s v=""/>
    <n v="-89469444"/>
    <n v="-89469444"/>
    <n v="-89469444"/>
    <n v="-8946944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1"/>
    <s v="RV"/>
    <s v=""/>
    <s v=""/>
    <s v=""/>
    <s v=""/>
    <s v="0"/>
    <s v="1,00000"/>
    <m/>
    <s v=""/>
    <s v=""/>
    <s v=""/>
    <s v=""/>
    <s v=""/>
    <s v=""/>
    <s v=""/>
    <s v=""/>
    <s v=""/>
    <s v="2026"/>
    <n v="-89469444"/>
    <s v="VND"/>
    <s v="000002"/>
    <s v=""/>
    <n v="0"/>
    <s v="0"/>
    <s v="0"/>
    <s v="0"/>
    <s v="0"/>
    <n v="0"/>
    <s v="1400001001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16"/>
    <s v=""/>
    <s v=""/>
    <s v="1101"/>
    <s v="0"/>
    <s v=""/>
    <s v=""/>
    <s v="50"/>
    <s v="4"/>
    <s v="1001110000"/>
    <s v=""/>
    <n v="-6234"/>
    <s v=""/>
    <s v=""/>
    <s v=""/>
    <s v=""/>
    <m/>
    <s v="00911726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9"/>
    <s v=""/>
    <s v=""/>
    <s v=""/>
    <n v="-89469444"/>
    <n v="0"/>
    <n v="-89469444"/>
    <n v="0"/>
    <n v="0"/>
    <n v="0"/>
    <d v="2026-04-07T00:00:00"/>
    <s v=""/>
    <n v="0"/>
    <s v=""/>
    <s v=""/>
    <n v="0"/>
    <n v="0"/>
    <s v="2026/04"/>
    <s v="91172616"/>
    <x v="31"/>
    <n v="1"/>
    <n v="14351.851780558229"/>
    <n v="0"/>
    <n v="-3408.0815320857328"/>
    <d v="2026-04-07T16:06:49"/>
    <n v="4"/>
    <x v="7"/>
    <x v="7"/>
    <n v="-6234"/>
    <x v="17"/>
    <x v="0"/>
    <x v="14"/>
    <s v="Khác"/>
    <s v="Phó sản"/>
    <x v="5"/>
    <x v="5"/>
  </r>
  <r>
    <s v="1001"/>
    <d v="2026-04-07T00:00:00"/>
    <s v="1400001002"/>
    <s v=""/>
    <s v=""/>
    <s v="5112100100"/>
    <s v="5112100100"/>
    <x v="12"/>
    <n v="-709280000"/>
    <x v="12"/>
    <s v=""/>
    <s v="THU.LNA"/>
    <s v="4"/>
    <s v="2026"/>
    <s v="0000000000000000"/>
    <s v="1C26TTC;107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0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22"/>
    <s v=""/>
    <s v=""/>
    <s v="1101"/>
    <s v="0"/>
    <s v=""/>
    <s v=""/>
    <s v="50"/>
    <s v="4"/>
    <s v="1001110000"/>
    <s v=""/>
    <n v="-22000"/>
    <s v=""/>
    <s v=""/>
    <s v=""/>
    <s v=""/>
    <m/>
    <s v="009117262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10:27:54"/>
    <s v=""/>
    <s v=""/>
    <s v=""/>
    <n v="-709280000"/>
    <n v="0"/>
    <n v="-709280000"/>
    <n v="0"/>
    <n v="0"/>
    <n v="0"/>
    <d v="2026-04-07T00:00:00"/>
    <s v=""/>
    <n v="0"/>
    <s v=""/>
    <s v=""/>
    <n v="0"/>
    <n v="0"/>
    <s v="2026/04"/>
    <s v="91172622"/>
    <x v="11"/>
    <n v="1"/>
    <n v="32240"/>
    <n v="0"/>
    <n v="-27017.984699645262"/>
    <d v="2026-04-07T17:27:54"/>
    <n v="4"/>
    <x v="7"/>
    <x v="7"/>
    <n v="-22000"/>
    <x v="13"/>
    <x v="0"/>
    <x v="1"/>
    <s v="rPET"/>
    <s v="rPET"/>
    <x v="1"/>
    <x v="1"/>
  </r>
  <r>
    <s v="1001"/>
    <d v="2026-04-08T00:00:00"/>
    <s v="1400001003"/>
    <s v=""/>
    <s v=""/>
    <s v="5112100100"/>
    <s v="5112100100"/>
    <x v="11"/>
    <n v="-251930500"/>
    <x v="11"/>
    <s v=""/>
    <s v="THU.LNA"/>
    <s v="4"/>
    <s v="2026"/>
    <s v="0000000000000000"/>
    <s v="1C26TTC;1080"/>
    <s v="5112100100"/>
    <s v="S"/>
    <s v=""/>
    <n v="-251930500"/>
    <n v="-251930500"/>
    <n v="-251930500"/>
    <n v="-251930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3"/>
    <s v="RV"/>
    <s v=""/>
    <s v=""/>
    <s v=""/>
    <s v=""/>
    <s v="0"/>
    <s v="1,00000"/>
    <m/>
    <s v=""/>
    <s v=""/>
    <s v=""/>
    <s v=""/>
    <s v=""/>
    <s v=""/>
    <s v=""/>
    <s v=""/>
    <s v=""/>
    <s v="2026"/>
    <n v="-251930500"/>
    <s v="VND"/>
    <s v="000002"/>
    <s v=""/>
    <n v="0"/>
    <s v="0"/>
    <s v="0"/>
    <s v="0"/>
    <s v="0"/>
    <n v="0"/>
    <s v="1400001003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26"/>
    <s v=""/>
    <s v=""/>
    <s v="1101"/>
    <s v="0"/>
    <s v=""/>
    <s v=""/>
    <s v="50"/>
    <s v="4"/>
    <s v="1001110000"/>
    <s v=""/>
    <n v="-26519"/>
    <s v=""/>
    <s v=""/>
    <s v=""/>
    <s v=""/>
    <m/>
    <s v="00911726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4:29:16"/>
    <s v=""/>
    <s v=""/>
    <s v=""/>
    <n v="-251930500"/>
    <n v="0"/>
    <n v="-251930500"/>
    <n v="0"/>
    <n v="0"/>
    <n v="0"/>
    <d v="2026-04-08T00:00:00"/>
    <s v=""/>
    <n v="0"/>
    <s v=""/>
    <s v=""/>
    <n v="0"/>
    <n v="0"/>
    <s v="2026/04"/>
    <s v="91172626"/>
    <x v="10"/>
    <n v="1"/>
    <n v="9500"/>
    <n v="0"/>
    <n v="-9596.5689070239969"/>
    <d v="2026-04-08T11:29:16"/>
    <n v="4"/>
    <x v="3"/>
    <x v="3"/>
    <n v="-26519"/>
    <x v="12"/>
    <x v="0"/>
    <x v="12"/>
    <s v="Khác"/>
    <s v="Phó sản"/>
    <x v="5"/>
    <x v="5"/>
  </r>
  <r>
    <s v="1001"/>
    <d v="2026-04-08T00:00:00"/>
    <s v="1400001004"/>
    <s v=""/>
    <s v=""/>
    <s v="5112100100"/>
    <s v="5112100100"/>
    <x v="23"/>
    <n v="-201022222"/>
    <x v="23"/>
    <s v=""/>
    <s v="THU.LNA"/>
    <s v="4"/>
    <s v="2026"/>
    <s v="0000000000000000"/>
    <s v="1C26TTC;1081"/>
    <s v="5112100100"/>
    <s v="S"/>
    <s v=""/>
    <n v="-201022222"/>
    <n v="-201022222"/>
    <n v="-201022222"/>
    <n v="-2010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4"/>
    <s v="RV"/>
    <s v=""/>
    <s v=""/>
    <s v=""/>
    <s v=""/>
    <s v="0"/>
    <s v="1,00000"/>
    <m/>
    <s v=""/>
    <s v=""/>
    <s v=""/>
    <s v=""/>
    <s v=""/>
    <s v=""/>
    <s v=""/>
    <s v=""/>
    <s v=""/>
    <s v="2026"/>
    <n v="-201022222"/>
    <s v="VND"/>
    <s v="000002"/>
    <s v=""/>
    <n v="0"/>
    <s v="0"/>
    <s v="0"/>
    <s v="0"/>
    <s v="0"/>
    <n v="0"/>
    <s v="1400001004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627"/>
    <s v=""/>
    <s v=""/>
    <s v="1101"/>
    <s v="0"/>
    <s v=""/>
    <s v=""/>
    <s v="50"/>
    <s v="4"/>
    <s v="1001110000"/>
    <s v=""/>
    <n v="-18092"/>
    <s v=""/>
    <s v=""/>
    <s v=""/>
    <s v=""/>
    <m/>
    <s v="00911726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7:21:25"/>
    <s v=""/>
    <s v=""/>
    <s v=""/>
    <n v="-201022222"/>
    <n v="0"/>
    <n v="-201022222"/>
    <n v="0"/>
    <n v="0"/>
    <n v="0"/>
    <d v="2026-04-08T00:00:00"/>
    <s v=""/>
    <n v="0"/>
    <s v=""/>
    <s v=""/>
    <n v="0"/>
    <n v="0"/>
    <s v="2026/04"/>
    <s v="91172627"/>
    <x v="29"/>
    <n v="1"/>
    <n v="11111.111098828211"/>
    <n v="0"/>
    <n v="-7657.3642542926536"/>
    <d v="2026-04-08T14:21:25"/>
    <n v="4"/>
    <x v="3"/>
    <x v="3"/>
    <n v="-18092"/>
    <x v="27"/>
    <x v="0"/>
    <x v="21"/>
    <s v="Khác"/>
    <s v="Phó sản"/>
    <x v="5"/>
    <x v="5"/>
  </r>
  <r>
    <s v="1001"/>
    <d v="2026-04-09T00:00:00"/>
    <s v="1400001005"/>
    <s v="8100000025"/>
    <s v=""/>
    <s v="5112100100"/>
    <s v="5112100100"/>
    <x v="26"/>
    <n v="-2004750"/>
    <x v="26"/>
    <s v=""/>
    <s v="MY.DTT"/>
    <s v="4"/>
    <s v="2026"/>
    <s v="0000000000000000"/>
    <s v="0000000000000000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05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50"/>
    <s v="4"/>
    <s v="1001110000"/>
    <s v=""/>
    <n v="-24750"/>
    <s v=""/>
    <s v=""/>
    <s v=""/>
    <s v=""/>
    <m/>
    <s v="00911726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2:05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-76.365194037071163"/>
    <d v="2026-04-08T15:22:05"/>
    <n v="4"/>
    <x v="3"/>
    <x v="3"/>
    <n v="-24750"/>
    <x v="30"/>
    <x v="0"/>
    <x v="13"/>
    <s v="rHDPE"/>
    <s v="rHDPE thổi"/>
    <x v="3"/>
    <x v="3"/>
  </r>
  <r>
    <s v="1001"/>
    <d v="2026-04-08T00:00:00"/>
    <s v="1400001006"/>
    <s v=""/>
    <s v=""/>
    <s v="5112100100"/>
    <s v="5112100100"/>
    <x v="26"/>
    <n v="-2004750"/>
    <x v="26"/>
    <s v="Dynaplast Bắc Ninh-Điều chỉnh tăng giá"/>
    <s v="MY.DTT"/>
    <s v="4"/>
    <s v="2026"/>
    <s v="C26TTC;1082"/>
    <s v="C26TTC;1082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6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2"/>
    <s v=""/>
    <s v=""/>
    <s v="1101"/>
    <s v="0"/>
    <s v=""/>
    <s v=""/>
    <s v="50"/>
    <s v="4"/>
    <s v="1001110000"/>
    <s v=""/>
    <n v="-24750"/>
    <s v=""/>
    <s v=""/>
    <s v=""/>
    <s v=""/>
    <m/>
    <s v="00911726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5:20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2"/>
    <x v="35"/>
    <n v="1"/>
    <n v="81"/>
    <n v="0"/>
    <n v="-76.365194037071163"/>
    <d v="2026-04-08T15:25:20"/>
    <n v="4"/>
    <x v="3"/>
    <x v="3"/>
    <n v="0"/>
    <x v="0"/>
    <x v="0"/>
    <x v="13"/>
    <s v="rHDPE"/>
    <s v="rHDPE thổi"/>
    <x v="3"/>
    <x v="3"/>
  </r>
  <r>
    <s v="1001"/>
    <d v="2026-04-08T00:00:00"/>
    <s v="1400001007"/>
    <s v=""/>
    <s v=""/>
    <s v="5112100100"/>
    <s v="5112100100"/>
    <x v="11"/>
    <n v="-252595500"/>
    <x v="11"/>
    <s v=""/>
    <s v="THU.LNA"/>
    <s v="4"/>
    <s v="2026"/>
    <s v="0000000000000000"/>
    <s v="1C26TTC;1083"/>
    <s v="5112100100"/>
    <s v="S"/>
    <s v=""/>
    <n v="-252595500"/>
    <n v="-252595500"/>
    <n v="-252595500"/>
    <n v="-25259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7"/>
    <s v="RV"/>
    <s v=""/>
    <s v=""/>
    <s v=""/>
    <s v=""/>
    <s v="0"/>
    <s v="1,00000"/>
    <m/>
    <s v=""/>
    <s v=""/>
    <s v=""/>
    <s v=""/>
    <s v=""/>
    <s v=""/>
    <s v=""/>
    <s v=""/>
    <s v=""/>
    <s v="2026"/>
    <n v="-252595500"/>
    <s v="VND"/>
    <s v="000002"/>
    <s v=""/>
    <n v="0"/>
    <s v="0"/>
    <s v="0"/>
    <s v="0"/>
    <s v="0"/>
    <n v="0"/>
    <s v="140000100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34"/>
    <s v=""/>
    <s v=""/>
    <s v="1101"/>
    <s v="0"/>
    <s v=""/>
    <s v=""/>
    <s v="50"/>
    <s v="4"/>
    <s v="1001110000"/>
    <s v=""/>
    <n v="-26589"/>
    <s v=""/>
    <s v=""/>
    <s v=""/>
    <s v=""/>
    <m/>
    <s v="009117263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31:49"/>
    <s v=""/>
    <s v=""/>
    <s v=""/>
    <n v="-252595500"/>
    <n v="0"/>
    <n v="-252595500"/>
    <n v="0"/>
    <n v="0"/>
    <n v="0"/>
    <d v="2026-04-08T00:00:00"/>
    <s v=""/>
    <n v="0"/>
    <s v=""/>
    <s v=""/>
    <n v="0"/>
    <n v="0"/>
    <s v="2026/04"/>
    <s v="91172634"/>
    <x v="10"/>
    <n v="1"/>
    <n v="9500"/>
    <n v="0"/>
    <n v="-9621.900172286325"/>
    <d v="2026-04-08T15:31:49"/>
    <n v="4"/>
    <x v="3"/>
    <x v="3"/>
    <n v="-26589"/>
    <x v="12"/>
    <x v="0"/>
    <x v="12"/>
    <s v="Khác"/>
    <s v="Phó sản"/>
    <x v="5"/>
    <x v="5"/>
  </r>
  <r>
    <s v="1001"/>
    <d v="2026-04-08T00:00:00"/>
    <s v="1400001008"/>
    <s v=""/>
    <s v=""/>
    <s v="5112100100"/>
    <s v="5112100100"/>
    <x v="15"/>
    <n v="-826339800"/>
    <x v="15"/>
    <s v=""/>
    <s v="THU.LNA"/>
    <s v="4"/>
    <s v="2026"/>
    <s v="0000000000000000"/>
    <s v="1C26TTC;1084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8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8"/>
    <s v=""/>
    <s v=""/>
    <s v="1101"/>
    <s v="0"/>
    <s v=""/>
    <s v=""/>
    <s v="50"/>
    <s v="4"/>
    <s v="1001110000"/>
    <s v=""/>
    <n v="-28600"/>
    <s v=""/>
    <s v=""/>
    <s v=""/>
    <s v=""/>
    <m/>
    <s v="009117263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4:59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8"/>
    <x v="18"/>
    <n v="1"/>
    <n v="28893"/>
    <n v="0"/>
    <n v="-31477.041609953652"/>
    <d v="2026-04-08T15:44:59"/>
    <n v="4"/>
    <x v="3"/>
    <x v="3"/>
    <n v="-28600"/>
    <x v="18"/>
    <x v="0"/>
    <x v="15"/>
    <s v="rPET"/>
    <s v="rPET"/>
    <x v="1"/>
    <x v="1"/>
  </r>
  <r>
    <s v="1001"/>
    <d v="2026-04-08T00:00:00"/>
    <s v="1400001009"/>
    <s v=""/>
    <s v=""/>
    <s v="5112100100"/>
    <s v="5112100100"/>
    <x v="15"/>
    <n v="-826339800"/>
    <x v="15"/>
    <s v=""/>
    <s v="THU.LNA"/>
    <s v="4"/>
    <s v="2026"/>
    <s v="0000000000000000"/>
    <s v="1C26TTC;1085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9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9"/>
    <s v=""/>
    <s v=""/>
    <s v="1101"/>
    <s v="0"/>
    <s v=""/>
    <s v=""/>
    <s v="50"/>
    <s v="4"/>
    <s v="1001110000"/>
    <s v=""/>
    <n v="-28600"/>
    <s v=""/>
    <s v=""/>
    <s v=""/>
    <s v=""/>
    <m/>
    <s v="00911726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15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9"/>
    <x v="18"/>
    <n v="1"/>
    <n v="28893"/>
    <n v="0"/>
    <n v="-31477.041609953652"/>
    <d v="2026-04-08T15:45:15"/>
    <n v="4"/>
    <x v="3"/>
    <x v="3"/>
    <n v="-28600"/>
    <x v="18"/>
    <x v="0"/>
    <x v="15"/>
    <s v="rPET"/>
    <s v="rPET"/>
    <x v="1"/>
    <x v="1"/>
  </r>
  <r>
    <s v="1001"/>
    <d v="2026-04-08T00:00:00"/>
    <s v="1400001010"/>
    <s v=""/>
    <s v=""/>
    <s v="5112100100"/>
    <s v="5112100100"/>
    <x v="12"/>
    <n v="-709280000"/>
    <x v="12"/>
    <s v=""/>
    <s v="THU.LNA"/>
    <s v="4"/>
    <s v="2026"/>
    <s v="0000000000000000"/>
    <s v="1C26TTC;108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1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40"/>
    <s v=""/>
    <s v=""/>
    <s v="1101"/>
    <s v="0"/>
    <s v=""/>
    <s v=""/>
    <s v="50"/>
    <s v="4"/>
    <s v="1001110000"/>
    <s v=""/>
    <n v="-22000"/>
    <s v=""/>
    <s v=""/>
    <s v=""/>
    <s v=""/>
    <m/>
    <s v="009117264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0"/>
    <s v=""/>
    <s v=""/>
    <s v=""/>
    <n v="-709280000"/>
    <n v="0"/>
    <n v="-709280000"/>
    <n v="0"/>
    <n v="0"/>
    <n v="0"/>
    <d v="2026-04-08T00:00:00"/>
    <s v=""/>
    <n v="0"/>
    <s v=""/>
    <s v=""/>
    <n v="0"/>
    <n v="0"/>
    <s v="2026/04"/>
    <s v="91172640"/>
    <x v="11"/>
    <n v="1"/>
    <n v="32240"/>
    <n v="0"/>
    <n v="-27017.984699645262"/>
    <d v="2026-04-08T15:45:20"/>
    <n v="4"/>
    <x v="3"/>
    <x v="3"/>
    <n v="-22000"/>
    <x v="13"/>
    <x v="0"/>
    <x v="1"/>
    <s v="rPET"/>
    <s v="rPET"/>
    <x v="1"/>
    <x v="1"/>
  </r>
  <r>
    <s v="1001"/>
    <d v="2026-04-08T00:00:00"/>
    <s v="1400001011"/>
    <s v=""/>
    <s v=""/>
    <s v="5112100100"/>
    <s v="5112100100"/>
    <x v="4"/>
    <n v="-696938000"/>
    <x v="4"/>
    <s v=""/>
    <s v="THU.LNA"/>
    <s v="4"/>
    <s v="2026"/>
    <s v="0000000000000000"/>
    <s v="1C26TTC;1087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1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41"/>
    <s v=""/>
    <s v=""/>
    <s v="1101"/>
    <s v="0"/>
    <s v=""/>
    <s v=""/>
    <s v="50"/>
    <s v="4"/>
    <s v="1001110000"/>
    <s v=""/>
    <n v="-22000"/>
    <s v=""/>
    <s v=""/>
    <s v=""/>
    <s v=""/>
    <m/>
    <s v="009117264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5"/>
    <s v=""/>
    <s v=""/>
    <s v=""/>
    <n v="-696938000"/>
    <n v="0"/>
    <n v="-696938000"/>
    <n v="0"/>
    <n v="0"/>
    <n v="0"/>
    <d v="2026-04-08T00:00:00"/>
    <s v=""/>
    <n v="0"/>
    <s v=""/>
    <s v=""/>
    <n v="0"/>
    <n v="0"/>
    <s v="2026/04"/>
    <s v="91172641"/>
    <x v="19"/>
    <n v="1"/>
    <n v="31679"/>
    <n v="0"/>
    <n v="-26547.851653227739"/>
    <d v="2026-04-08T15:45:25"/>
    <n v="4"/>
    <x v="3"/>
    <x v="3"/>
    <n v="-22000"/>
    <x v="2"/>
    <x v="0"/>
    <x v="2"/>
    <s v="rPET"/>
    <s v="rPET"/>
    <x v="1"/>
    <x v="1"/>
  </r>
  <r>
    <s v="1001"/>
    <d v="2026-04-08T00:00:00"/>
    <s v="1400001012"/>
    <s v=""/>
    <s v=""/>
    <s v="5112100100"/>
    <s v="5112100100"/>
    <x v="5"/>
    <n v="-263150000"/>
    <x v="5"/>
    <s v=""/>
    <s v="THU.LNA"/>
    <s v="4"/>
    <s v="2026"/>
    <s v="0000000000000000"/>
    <s v="1C26TTC;1088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1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42"/>
    <s v=""/>
    <s v=""/>
    <s v="1101"/>
    <s v="0"/>
    <s v=""/>
    <s v=""/>
    <s v="50"/>
    <s v="4"/>
    <s v="1001110000"/>
    <s v=""/>
    <n v="-13850"/>
    <s v=""/>
    <s v=""/>
    <s v=""/>
    <s v=""/>
    <m/>
    <s v="009117264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9"/>
    <s v=""/>
    <s v=""/>
    <s v=""/>
    <n v="-263150000"/>
    <n v="0"/>
    <n v="-263150000"/>
    <n v="0"/>
    <n v="0"/>
    <n v="0"/>
    <d v="2026-04-08T00:00:00"/>
    <s v=""/>
    <n v="0"/>
    <s v=""/>
    <s v=""/>
    <n v="0"/>
    <n v="0"/>
    <s v="2026/04"/>
    <s v="91172642"/>
    <x v="3"/>
    <n v="1"/>
    <n v="19000"/>
    <n v="0"/>
    <n v="-10023.943539521277"/>
    <d v="2026-04-08T15:45:29"/>
    <n v="4"/>
    <x v="3"/>
    <x v="3"/>
    <n v="-13850"/>
    <x v="3"/>
    <x v="0"/>
    <x v="3"/>
    <s v="Xơ sợi"/>
    <s v="Xơ sợi"/>
    <x v="2"/>
    <x v="2"/>
  </r>
  <r>
    <s v="1001"/>
    <d v="2026-04-08T00:00:00"/>
    <s v="1400001013"/>
    <s v=""/>
    <s v=""/>
    <s v="5112100100"/>
    <s v="5112100100"/>
    <x v="6"/>
    <n v="-346632000"/>
    <x v="6"/>
    <s v=""/>
    <s v="THU.LNA"/>
    <s v="4"/>
    <s v="2026"/>
    <s v="0000000000000000"/>
    <s v="1C26TTC;1089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3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1013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43"/>
    <s v=""/>
    <s v=""/>
    <s v="1101"/>
    <s v="0"/>
    <s v=""/>
    <s v=""/>
    <s v="50"/>
    <s v="4"/>
    <s v="1001110000"/>
    <s v=""/>
    <n v="-11000"/>
    <s v=""/>
    <s v=""/>
    <s v=""/>
    <s v=""/>
    <m/>
    <s v="009117264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4"/>
    <s v=""/>
    <s v=""/>
    <s v=""/>
    <n v="-346632000"/>
    <n v="0"/>
    <n v="-346632000"/>
    <n v="0"/>
    <n v="0"/>
    <n v="0"/>
    <d v="2026-04-08T00:00:00"/>
    <s v=""/>
    <n v="0"/>
    <s v=""/>
    <s v=""/>
    <n v="0"/>
    <n v="0"/>
    <s v="2026/04"/>
    <s v="91172643"/>
    <x v="36"/>
    <n v="1"/>
    <n v="31512"/>
    <n v="0"/>
    <n v="-13203.950587084701"/>
    <d v="2026-04-08T15:45:34"/>
    <n v="4"/>
    <x v="3"/>
    <x v="3"/>
    <n v="-11000"/>
    <x v="4"/>
    <x v="0"/>
    <x v="4"/>
    <s v="rHDPE"/>
    <s v="rHDPE thổi"/>
    <x v="3"/>
    <x v="3"/>
  </r>
  <r>
    <s v="1001"/>
    <d v="2026-04-08T00:00:00"/>
    <s v="1400001014"/>
    <s v=""/>
    <s v=""/>
    <s v="5112100100"/>
    <s v="5112100100"/>
    <x v="27"/>
    <n v="-185168500"/>
    <x v="27"/>
    <s v=""/>
    <s v="THU.LNA"/>
    <s v="4"/>
    <s v="2026"/>
    <s v="0000000000000000"/>
    <s v="1C26TTC;1090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4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4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4"/>
    <s v=""/>
    <s v=""/>
    <s v="1101"/>
    <s v="0"/>
    <s v=""/>
    <s v=""/>
    <s v="50"/>
    <s v="4"/>
    <s v="1001110000"/>
    <s v=""/>
    <n v="-5500"/>
    <s v=""/>
    <s v=""/>
    <s v=""/>
    <s v=""/>
    <m/>
    <s v="00911726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8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4"/>
    <x v="37"/>
    <n v="1"/>
    <n v="33667"/>
    <n v="0"/>
    <n v="-7053.4622431991083"/>
    <d v="2026-04-08T15:45:38"/>
    <n v="4"/>
    <x v="3"/>
    <x v="3"/>
    <n v="-5500"/>
    <x v="31"/>
    <x v="0"/>
    <x v="22"/>
    <s v="rHDPE"/>
    <s v="rHDPE thổi"/>
    <x v="3"/>
    <x v="3"/>
  </r>
  <r>
    <s v="1001"/>
    <d v="2026-04-08T00:00:00"/>
    <s v="1400001015"/>
    <s v=""/>
    <s v=""/>
    <s v="5112100100"/>
    <s v="5112100100"/>
    <x v="27"/>
    <n v="-185168500"/>
    <x v="27"/>
    <s v=""/>
    <s v="THU.LNA"/>
    <s v="4"/>
    <s v="2026"/>
    <s v="0000000000000000"/>
    <s v="1C26TTC;1091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5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5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5"/>
    <s v=""/>
    <s v=""/>
    <s v="1101"/>
    <s v="0"/>
    <s v=""/>
    <s v=""/>
    <s v="50"/>
    <s v="4"/>
    <s v="1001110000"/>
    <s v=""/>
    <n v="-5500"/>
    <s v=""/>
    <s v=""/>
    <s v=""/>
    <s v=""/>
    <m/>
    <s v="00911726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49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5"/>
    <x v="37"/>
    <n v="1"/>
    <n v="33667"/>
    <n v="0"/>
    <n v="-7053.4622431991083"/>
    <d v="2026-04-08T15:45:49"/>
    <n v="4"/>
    <x v="3"/>
    <x v="3"/>
    <n v="-5500"/>
    <x v="31"/>
    <x v="0"/>
    <x v="22"/>
    <s v="rHDPE"/>
    <s v="rHDPE thổi"/>
    <x v="3"/>
    <x v="3"/>
  </r>
  <r>
    <s v="1001"/>
    <d v="2026-04-08T00:00:00"/>
    <s v="1400001016"/>
    <s v=""/>
    <s v=""/>
    <s v="5112100100"/>
    <s v="5112100100"/>
    <x v="14"/>
    <n v="-86111111"/>
    <x v="14"/>
    <s v=""/>
    <s v="THU.LNA"/>
    <s v="4"/>
    <s v="2026"/>
    <s v="0000000000000000"/>
    <s v="1C26TTC;1092"/>
    <s v="5112100100"/>
    <s v="S"/>
    <s v=""/>
    <n v="-86111111"/>
    <n v="-86111111"/>
    <n v="-86111111"/>
    <n v="-86111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6"/>
    <s v="RV"/>
    <s v=""/>
    <s v=""/>
    <s v=""/>
    <s v=""/>
    <s v="0"/>
    <s v="1,00000"/>
    <m/>
    <s v=""/>
    <s v=""/>
    <s v=""/>
    <s v=""/>
    <s v=""/>
    <s v=""/>
    <s v=""/>
    <s v=""/>
    <s v=""/>
    <s v="2026"/>
    <n v="-86111111"/>
    <s v="VND"/>
    <s v="000002"/>
    <s v=""/>
    <n v="0"/>
    <s v="0"/>
    <s v="0"/>
    <s v="0"/>
    <s v="0"/>
    <n v="0"/>
    <s v="1400001016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46"/>
    <s v=""/>
    <s v=""/>
    <s v="1101"/>
    <s v="0"/>
    <s v=""/>
    <s v=""/>
    <s v="50"/>
    <s v="4"/>
    <s v="1001110000"/>
    <s v=""/>
    <n v="-6000"/>
    <s v=""/>
    <s v=""/>
    <s v=""/>
    <s v=""/>
    <m/>
    <s v="00911726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54"/>
    <s v=""/>
    <s v=""/>
    <s v=""/>
    <n v="-86111111"/>
    <n v="0"/>
    <n v="-86111111"/>
    <n v="0"/>
    <n v="0"/>
    <n v="0"/>
    <d v="2026-04-08T00:00:00"/>
    <s v=""/>
    <n v="0"/>
    <s v=""/>
    <s v=""/>
    <n v="0"/>
    <n v="0"/>
    <s v="2026/04"/>
    <s v="91172646"/>
    <x v="31"/>
    <n v="1"/>
    <n v="14351.851833333334"/>
    <n v="0"/>
    <n v="-3280.1554808643341"/>
    <d v="2026-04-08T15:45:54"/>
    <n v="4"/>
    <x v="3"/>
    <x v="3"/>
    <n v="-6000"/>
    <x v="17"/>
    <x v="0"/>
    <x v="14"/>
    <s v="Khác"/>
    <s v="Phó sản"/>
    <x v="5"/>
    <x v="5"/>
  </r>
  <r>
    <s v="1001"/>
    <d v="2026-04-09T00:00:00"/>
    <s v="1400001017"/>
    <s v=""/>
    <s v=""/>
    <s v="5115100100"/>
    <s v="5115100100"/>
    <x v="28"/>
    <n v="-438966880"/>
    <x v="28"/>
    <s v=""/>
    <s v="HAO.CA"/>
    <s v="4"/>
    <s v="2026"/>
    <s v="0000000000000000"/>
    <s v="1C26TTC;1096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7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7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0"/>
    <s v=""/>
    <s v=""/>
    <s v="1101"/>
    <s v="0"/>
    <s v=""/>
    <s v=""/>
    <s v="50"/>
    <s v="4"/>
    <s v="1001110000"/>
    <s v=""/>
    <n v="-22000"/>
    <s v=""/>
    <s v=""/>
    <s v=""/>
    <s v=""/>
    <m/>
    <s v="009117266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0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0"/>
    <x v="38"/>
    <n v="26254"/>
    <n v="19953.04"/>
    <n v="760"/>
    <n v="-16720"/>
    <d v="2026-04-09T17:37:08"/>
    <n v="4"/>
    <x v="8"/>
    <x v="8"/>
    <n v="-22000"/>
    <x v="32"/>
    <x v="1"/>
    <x v="23"/>
    <s v="rPET"/>
    <s v="rPET"/>
    <x v="1"/>
    <x v="7"/>
  </r>
  <r>
    <s v="1001"/>
    <d v="2026-04-09T00:00:00"/>
    <s v="1400001018"/>
    <s v=""/>
    <s v=""/>
    <s v="5115100100"/>
    <s v="5115100100"/>
    <x v="28"/>
    <n v="-438966880"/>
    <x v="28"/>
    <s v=""/>
    <s v="HAO.CA"/>
    <s v="4"/>
    <s v="2026"/>
    <s v="0000000000000000"/>
    <s v="1C26TTC;1097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8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8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1"/>
    <s v=""/>
    <s v=""/>
    <s v="1101"/>
    <s v="0"/>
    <s v=""/>
    <s v=""/>
    <s v="50"/>
    <s v="4"/>
    <s v="1001110000"/>
    <s v=""/>
    <n v="-22000"/>
    <s v=""/>
    <s v=""/>
    <s v=""/>
    <s v=""/>
    <m/>
    <s v="009117266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30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1"/>
    <x v="38"/>
    <n v="26254"/>
    <n v="19953.04"/>
    <n v="760"/>
    <n v="-16720"/>
    <d v="2026-04-09T17:37:30"/>
    <n v="4"/>
    <x v="8"/>
    <x v="8"/>
    <n v="-22000"/>
    <x v="32"/>
    <x v="1"/>
    <x v="23"/>
    <s v="rPET"/>
    <s v="rPET"/>
    <x v="1"/>
    <x v="7"/>
  </r>
  <r>
    <s v="1001"/>
    <d v="2026-04-09T00:00:00"/>
    <s v="1400001019"/>
    <s v=""/>
    <s v=""/>
    <s v="5115100100"/>
    <s v="5115100100"/>
    <x v="28"/>
    <n v="-438966880"/>
    <x v="28"/>
    <s v=""/>
    <s v="HAO.CA"/>
    <s v="4"/>
    <s v="2026"/>
    <s v="0000000000000000"/>
    <s v="1C26TTC;1098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9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9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2"/>
    <s v=""/>
    <s v=""/>
    <s v="1101"/>
    <s v="0"/>
    <s v=""/>
    <s v=""/>
    <s v="50"/>
    <s v="4"/>
    <s v="1001110000"/>
    <s v=""/>
    <n v="-22000"/>
    <s v=""/>
    <s v=""/>
    <s v=""/>
    <s v=""/>
    <m/>
    <s v="009117266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01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2"/>
    <x v="38"/>
    <n v="26254"/>
    <n v="19953.04"/>
    <n v="760"/>
    <n v="-16720"/>
    <d v="2026-04-09T17:38:01"/>
    <n v="4"/>
    <x v="8"/>
    <x v="8"/>
    <n v="-22000"/>
    <x v="32"/>
    <x v="1"/>
    <x v="23"/>
    <s v="rPET"/>
    <s v="rPET"/>
    <x v="1"/>
    <x v="7"/>
  </r>
  <r>
    <s v="1001"/>
    <d v="2026-04-09T00:00:00"/>
    <s v="1400001020"/>
    <s v=""/>
    <s v=""/>
    <s v="5115100100"/>
    <s v="5115100100"/>
    <x v="28"/>
    <n v="-438966880"/>
    <x v="28"/>
    <s v=""/>
    <s v="HAO.CA"/>
    <s v="4"/>
    <s v="2026"/>
    <s v="0000000000000000"/>
    <s v="1C26TTC;1100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0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0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3"/>
    <s v=""/>
    <s v=""/>
    <s v="1101"/>
    <s v="0"/>
    <s v=""/>
    <s v=""/>
    <s v="50"/>
    <s v="4"/>
    <s v="1001110000"/>
    <s v=""/>
    <n v="-22000"/>
    <s v=""/>
    <s v=""/>
    <s v=""/>
    <s v=""/>
    <m/>
    <s v="0091172663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1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3"/>
    <x v="38"/>
    <n v="26254"/>
    <n v="19953.04"/>
    <n v="760"/>
    <n v="-16720"/>
    <d v="2026-04-09T17:38:18"/>
    <n v="4"/>
    <x v="8"/>
    <x v="8"/>
    <n v="-22000"/>
    <x v="32"/>
    <x v="1"/>
    <x v="23"/>
    <s v="rPET"/>
    <s v="rPET"/>
    <x v="1"/>
    <x v="7"/>
  </r>
  <r>
    <s v="1001"/>
    <d v="2026-04-09T00:00:00"/>
    <s v="1400001021"/>
    <s v=""/>
    <s v=""/>
    <s v="5115100100"/>
    <s v="5115100100"/>
    <x v="28"/>
    <n v="-438966880"/>
    <x v="28"/>
    <s v=""/>
    <s v="HAO.CA"/>
    <s v="4"/>
    <s v="2026"/>
    <s v="0000000000000000"/>
    <s v="1C26TTC;1101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1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1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4"/>
    <s v=""/>
    <s v=""/>
    <s v="1101"/>
    <s v="0"/>
    <s v=""/>
    <s v=""/>
    <s v="50"/>
    <s v="4"/>
    <s v="1001110000"/>
    <s v=""/>
    <n v="-22000"/>
    <s v=""/>
    <s v=""/>
    <s v=""/>
    <s v=""/>
    <m/>
    <s v="0091172664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37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4"/>
    <x v="38"/>
    <n v="26254"/>
    <n v="19953.04"/>
    <n v="760"/>
    <n v="-16720"/>
    <d v="2026-04-09T17:38:37"/>
    <n v="4"/>
    <x v="8"/>
    <x v="8"/>
    <n v="-22000"/>
    <x v="32"/>
    <x v="1"/>
    <x v="23"/>
    <s v="rPET"/>
    <s v="rPET"/>
    <x v="1"/>
    <x v="7"/>
  </r>
  <r>
    <s v="1001"/>
    <d v="2026-04-09T00:00:00"/>
    <s v="1400001022"/>
    <s v=""/>
    <s v=""/>
    <s v="5112100100"/>
    <s v="5112100100"/>
    <x v="12"/>
    <n v="-709280000"/>
    <x v="12"/>
    <s v=""/>
    <s v="HAO.CA"/>
    <s v="4"/>
    <s v="2026"/>
    <s v="0000000000000000"/>
    <s v="1C26TTC;109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2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65"/>
    <s v=""/>
    <s v=""/>
    <s v="1101"/>
    <s v="0"/>
    <s v=""/>
    <s v=""/>
    <s v="50"/>
    <s v="4"/>
    <s v="1001110000"/>
    <s v=""/>
    <n v="-22000"/>
    <s v=""/>
    <s v=""/>
    <s v=""/>
    <s v=""/>
    <m/>
    <s v="009117266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8:59"/>
    <s v=""/>
    <s v=""/>
    <s v=""/>
    <n v="-709280000"/>
    <n v="0"/>
    <n v="-709280000"/>
    <n v="0"/>
    <n v="0"/>
    <n v="0"/>
    <d v="2026-04-09T00:00:00"/>
    <s v=""/>
    <n v="0"/>
    <s v=""/>
    <s v=""/>
    <n v="0"/>
    <n v="0"/>
    <s v="2026/04"/>
    <s v="91172665"/>
    <x v="11"/>
    <n v="1"/>
    <n v="32240"/>
    <n v="0"/>
    <n v="-27017.984699645262"/>
    <d v="2026-04-09T17:38:59"/>
    <n v="4"/>
    <x v="8"/>
    <x v="8"/>
    <n v="-22000"/>
    <x v="13"/>
    <x v="0"/>
    <x v="1"/>
    <s v="rPET"/>
    <s v="rPET"/>
    <x v="1"/>
    <x v="1"/>
  </r>
  <r>
    <s v="1001"/>
    <d v="2026-04-09T00:00:00"/>
    <s v="1400001023"/>
    <s v=""/>
    <s v=""/>
    <s v="5112100100"/>
    <s v="5112100100"/>
    <x v="5"/>
    <n v="-263150000"/>
    <x v="5"/>
    <s v=""/>
    <s v="HAO.CA"/>
    <s v="4"/>
    <s v="2026"/>
    <s v="0000000000000000"/>
    <s v="1C26TTC;110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3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23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66"/>
    <s v=""/>
    <s v=""/>
    <s v="1101"/>
    <s v="0"/>
    <s v=""/>
    <s v=""/>
    <s v="50"/>
    <s v="4"/>
    <s v="1001110000"/>
    <s v=""/>
    <n v="-13850"/>
    <s v=""/>
    <s v=""/>
    <s v=""/>
    <s v=""/>
    <m/>
    <s v="009117266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18"/>
    <s v=""/>
    <s v=""/>
    <s v=""/>
    <n v="-263150000"/>
    <n v="0"/>
    <n v="-263150000"/>
    <n v="0"/>
    <n v="0"/>
    <n v="0"/>
    <d v="2026-04-09T00:00:00"/>
    <s v=""/>
    <n v="0"/>
    <s v=""/>
    <s v=""/>
    <n v="0"/>
    <n v="0"/>
    <s v="2026/04"/>
    <s v="91172666"/>
    <x v="3"/>
    <n v="1"/>
    <n v="19000"/>
    <n v="0"/>
    <n v="-10023.943539521277"/>
    <d v="2026-04-09T17:39:18"/>
    <n v="4"/>
    <x v="8"/>
    <x v="8"/>
    <n v="-13850"/>
    <x v="3"/>
    <x v="0"/>
    <x v="3"/>
    <s v="Xơ sợi"/>
    <s v="Xơ sợi"/>
    <x v="2"/>
    <x v="2"/>
  </r>
  <r>
    <s v="1001"/>
    <d v="2026-04-09T00:00:00"/>
    <s v="1400001024"/>
    <s v=""/>
    <s v=""/>
    <s v="5112100100"/>
    <s v="5112100100"/>
    <x v="13"/>
    <n v="-317383000"/>
    <x v="13"/>
    <s v=""/>
    <s v="HAO.CA"/>
    <s v="4"/>
    <s v="2026"/>
    <s v="0000000000000000"/>
    <s v="1C26TTC;1103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102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67"/>
    <s v=""/>
    <s v=""/>
    <s v="1101"/>
    <s v="0"/>
    <s v=""/>
    <s v=""/>
    <s v="50"/>
    <s v="4"/>
    <s v="1001110000"/>
    <s v=""/>
    <n v="-11000"/>
    <s v=""/>
    <s v=""/>
    <s v=""/>
    <s v=""/>
    <m/>
    <s v="009117266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38"/>
    <s v=""/>
    <s v=""/>
    <s v=""/>
    <n v="-317383000"/>
    <n v="0"/>
    <n v="-317383000"/>
    <n v="0"/>
    <n v="0"/>
    <n v="0"/>
    <d v="2026-04-09T00:00:00"/>
    <s v=""/>
    <n v="0"/>
    <s v=""/>
    <s v=""/>
    <n v="0"/>
    <n v="0"/>
    <s v="2026/04"/>
    <s v="91172667"/>
    <x v="39"/>
    <n v="1"/>
    <n v="28853"/>
    <n v="0"/>
    <n v="-12089.793928952617"/>
    <d v="2026-04-09T17:39:38"/>
    <n v="4"/>
    <x v="8"/>
    <x v="8"/>
    <n v="-11000"/>
    <x v="15"/>
    <x v="0"/>
    <x v="2"/>
    <s v="rPET"/>
    <s v="rPET"/>
    <x v="1"/>
    <x v="1"/>
  </r>
  <r>
    <s v="1001"/>
    <d v="2026-04-09T00:00:00"/>
    <s v="1400001025"/>
    <s v=""/>
    <s v=""/>
    <s v="5112100100"/>
    <s v="5112100100"/>
    <x v="16"/>
    <n v="-189340580"/>
    <x v="16"/>
    <s v=""/>
    <s v="HAO.CA"/>
    <s v="4"/>
    <s v="2026"/>
    <s v="0000000000000000"/>
    <s v="1C26TTC;1104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5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1025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68"/>
    <s v=""/>
    <s v=""/>
    <s v="1101"/>
    <s v="0"/>
    <s v=""/>
    <s v=""/>
    <s v="50"/>
    <s v="4"/>
    <s v="1001110000"/>
    <s v=""/>
    <n v="-5500"/>
    <s v=""/>
    <s v=""/>
    <s v=""/>
    <s v=""/>
    <m/>
    <s v="00911726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59"/>
    <s v=""/>
    <s v=""/>
    <s v=""/>
    <n v="-189340580"/>
    <n v="0"/>
    <n v="-189340580"/>
    <n v="0"/>
    <n v="0"/>
    <n v="0"/>
    <d v="2026-04-09T00:00:00"/>
    <s v=""/>
    <n v="0"/>
    <s v=""/>
    <s v=""/>
    <n v="0"/>
    <n v="0"/>
    <s v="2026/04"/>
    <s v="91172668"/>
    <x v="20"/>
    <n v="1"/>
    <n v="34425.56"/>
    <n v="0"/>
    <n v="-7212.3856494782876"/>
    <d v="2026-04-09T17:39:59"/>
    <n v="4"/>
    <x v="8"/>
    <x v="8"/>
    <n v="-5500"/>
    <x v="19"/>
    <x v="0"/>
    <x v="16"/>
    <s v="rPET"/>
    <s v="rPET"/>
    <x v="1"/>
    <x v="1"/>
  </r>
  <r>
    <s v="1001"/>
    <d v="2026-04-09T00:00:00"/>
    <s v="1400001026"/>
    <s v=""/>
    <s v=""/>
    <s v="5112100100"/>
    <s v="5112100100"/>
    <x v="8"/>
    <n v="-194529500"/>
    <x v="8"/>
    <s v=""/>
    <s v="HAO.CA"/>
    <s v="4"/>
    <s v="2026"/>
    <s v="0000000000000000"/>
    <s v="1C26TTC;110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6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69"/>
    <s v=""/>
    <s v=""/>
    <s v="1101"/>
    <s v="0"/>
    <s v=""/>
    <s v=""/>
    <s v="50"/>
    <s v="4"/>
    <s v="1001110000"/>
    <s v=""/>
    <n v="-5500"/>
    <s v=""/>
    <s v=""/>
    <s v=""/>
    <s v=""/>
    <m/>
    <s v="009117266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20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69"/>
    <x v="33"/>
    <n v="1"/>
    <n v="35369"/>
    <n v="0"/>
    <n v="-7410.042655410618"/>
    <d v="2026-04-09T17:40:20"/>
    <n v="4"/>
    <x v="8"/>
    <x v="8"/>
    <n v="-5500"/>
    <x v="16"/>
    <x v="0"/>
    <x v="13"/>
    <s v="rHDPE"/>
    <s v="rHDPE thổi"/>
    <x v="3"/>
    <x v="3"/>
  </r>
  <r>
    <s v="1001"/>
    <d v="2026-04-09T00:00:00"/>
    <s v="1400001027"/>
    <s v=""/>
    <s v=""/>
    <s v="5112100100"/>
    <s v="5112100100"/>
    <x v="8"/>
    <n v="-194529500"/>
    <x v="8"/>
    <s v=""/>
    <s v="HAO.CA"/>
    <s v="4"/>
    <s v="2026"/>
    <s v="0000000000000000"/>
    <s v="1C26TTC;110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70"/>
    <s v=""/>
    <s v=""/>
    <s v="1101"/>
    <s v="0"/>
    <s v=""/>
    <s v=""/>
    <s v="50"/>
    <s v="4"/>
    <s v="1001110000"/>
    <s v=""/>
    <n v="-5500"/>
    <s v=""/>
    <s v=""/>
    <s v=""/>
    <s v=""/>
    <m/>
    <s v="00911726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38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70"/>
    <x v="33"/>
    <n v="1"/>
    <n v="35369"/>
    <n v="0"/>
    <n v="-7410.042655410618"/>
    <d v="2026-04-09T17:40:38"/>
    <n v="4"/>
    <x v="8"/>
    <x v="8"/>
    <n v="-5500"/>
    <x v="16"/>
    <x v="0"/>
    <x v="13"/>
    <s v="rHDPE"/>
    <s v="rHDPE thổi"/>
    <x v="3"/>
    <x v="3"/>
  </r>
  <r>
    <s v="1001"/>
    <d v="2026-04-09T00:00:00"/>
    <s v="1400001028"/>
    <s v=""/>
    <s v=""/>
    <s v="5112100100"/>
    <s v="5112100100"/>
    <x v="29"/>
    <n v="-172491000"/>
    <x v="29"/>
    <s v=""/>
    <s v="HAO.CA"/>
    <s v="4"/>
    <s v="2026"/>
    <s v="0000000000000000"/>
    <s v="1C26TTC;1107"/>
    <s v="5112100100"/>
    <s v="S"/>
    <s v=""/>
    <n v="-172491000"/>
    <n v="-172491000"/>
    <n v="-172491000"/>
    <n v="-172491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8"/>
    <s v="RV"/>
    <s v=""/>
    <s v=""/>
    <s v=""/>
    <s v=""/>
    <s v="0"/>
    <s v="1,00000"/>
    <m/>
    <s v=""/>
    <s v=""/>
    <s v=""/>
    <s v=""/>
    <s v=""/>
    <s v=""/>
    <s v=""/>
    <s v=""/>
    <s v=""/>
    <s v="2026"/>
    <n v="-172491000"/>
    <s v="VND"/>
    <s v="000002"/>
    <s v=""/>
    <n v="0"/>
    <s v="0"/>
    <s v="0"/>
    <s v="0"/>
    <s v="0"/>
    <n v="0"/>
    <s v="1400001028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671"/>
    <s v=""/>
    <s v=""/>
    <s v="1101"/>
    <s v="0"/>
    <s v=""/>
    <s v=""/>
    <s v="50"/>
    <s v="4"/>
    <s v="1001110000"/>
    <s v=""/>
    <n v="-5500"/>
    <s v=""/>
    <s v=""/>
    <s v=""/>
    <s v=""/>
    <m/>
    <s v="00911726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1:02"/>
    <s v=""/>
    <s v=""/>
    <s v=""/>
    <n v="-172491000"/>
    <n v="0"/>
    <n v="-172491000"/>
    <n v="0"/>
    <n v="0"/>
    <n v="0"/>
    <d v="2026-04-09T00:00:00"/>
    <s v=""/>
    <n v="0"/>
    <s v=""/>
    <s v=""/>
    <n v="0"/>
    <n v="0"/>
    <s v="2026/04"/>
    <s v="91172671"/>
    <x v="40"/>
    <n v="1"/>
    <n v="31362"/>
    <n v="0"/>
    <n v="-6570.549287765778"/>
    <d v="2026-04-09T17:41:02"/>
    <n v="4"/>
    <x v="8"/>
    <x v="8"/>
    <n v="-5500"/>
    <x v="33"/>
    <x v="0"/>
    <x v="5"/>
    <s v="rHDPE"/>
    <s v="rHDPE ép"/>
    <x v="4"/>
    <x v="4"/>
  </r>
  <r>
    <s v="1001"/>
    <d v="2026-04-09T00:00:00"/>
    <s v="1400001029"/>
    <s v=""/>
    <s v=""/>
    <s v="5112100100"/>
    <s v="5112100100"/>
    <x v="30"/>
    <n v="-106316100"/>
    <x v="30"/>
    <s v=""/>
    <s v="HAO.CA"/>
    <s v="4"/>
    <s v="2026"/>
    <s v="0000000000000000"/>
    <s v="1C26TTC;1108"/>
    <s v="5112100100"/>
    <s v="S"/>
    <s v=""/>
    <n v="-106316100"/>
    <n v="-106316100"/>
    <n v="-106316100"/>
    <n v="-1063161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9"/>
    <s v="RV"/>
    <s v=""/>
    <s v=""/>
    <s v=""/>
    <s v=""/>
    <s v="0"/>
    <s v="1,00000"/>
    <m/>
    <s v=""/>
    <s v=""/>
    <s v=""/>
    <s v=""/>
    <s v=""/>
    <s v=""/>
    <s v=""/>
    <s v=""/>
    <s v=""/>
    <s v="2026"/>
    <n v="-106316100"/>
    <s v="VND"/>
    <s v="000002"/>
    <s v=""/>
    <n v="0"/>
    <s v="0"/>
    <s v="0"/>
    <s v="0"/>
    <s v="0"/>
    <n v="0"/>
    <s v="140000102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72"/>
    <s v=""/>
    <s v=""/>
    <s v="1101"/>
    <s v="0"/>
    <s v=""/>
    <s v=""/>
    <s v="50"/>
    <s v="4"/>
    <s v="1001110000"/>
    <s v=""/>
    <n v="-3300"/>
    <s v=""/>
    <s v=""/>
    <s v=""/>
    <s v=""/>
    <m/>
    <s v="00911726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2:04"/>
    <s v=""/>
    <s v=""/>
    <s v=""/>
    <n v="-106316100"/>
    <n v="0"/>
    <n v="-106316100"/>
    <n v="0"/>
    <n v="0"/>
    <n v="0"/>
    <d v="2026-04-09T00:00:00"/>
    <s v=""/>
    <n v="0"/>
    <s v=""/>
    <s v=""/>
    <n v="0"/>
    <n v="0"/>
    <s v="2026/04"/>
    <s v="91172672"/>
    <x v="41"/>
    <n v="1"/>
    <n v="32217"/>
    <n v="0"/>
    <n v="-4049.8065124153445"/>
    <d v="2026-04-09T17:42:04"/>
    <n v="4"/>
    <x v="8"/>
    <x v="8"/>
    <n v="-3300"/>
    <x v="34"/>
    <x v="0"/>
    <x v="15"/>
    <s v="rPET"/>
    <s v="rPET"/>
    <x v="1"/>
    <x v="1"/>
  </r>
  <r>
    <s v="1001"/>
    <d v="2026-04-10T00:00:00"/>
    <s v="1400001030"/>
    <s v=""/>
    <s v=""/>
    <s v="5112100100"/>
    <s v="5112100100"/>
    <x v="31"/>
    <n v="-52549269"/>
    <x v="31"/>
    <s v=""/>
    <s v="THU.LNA"/>
    <s v="4"/>
    <s v="2026"/>
    <s v="0000000000000000"/>
    <s v="1C26TTC;1109"/>
    <s v="5112100100"/>
    <s v="S"/>
    <s v=""/>
    <n v="-52549269"/>
    <n v="-52549269"/>
    <n v="-52549269"/>
    <n v="-52549269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0"/>
    <s v="RV"/>
    <s v=""/>
    <s v=""/>
    <s v=""/>
    <s v=""/>
    <s v="0"/>
    <s v="1,00000"/>
    <m/>
    <s v=""/>
    <s v=""/>
    <s v=""/>
    <s v=""/>
    <s v=""/>
    <s v=""/>
    <s v=""/>
    <s v=""/>
    <s v=""/>
    <s v="2026"/>
    <n v="-52549269"/>
    <s v="VND"/>
    <s v="000002"/>
    <s v=""/>
    <n v="0"/>
    <s v="0"/>
    <s v="0"/>
    <s v="0"/>
    <s v="0"/>
    <n v="0"/>
    <s v="1400001030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74"/>
    <s v=""/>
    <s v=""/>
    <s v="1101"/>
    <s v="0"/>
    <s v=""/>
    <s v=""/>
    <s v="50"/>
    <s v="4"/>
    <s v="1001110000"/>
    <s v=""/>
    <n v="-1375"/>
    <s v=""/>
    <s v=""/>
    <s v=""/>
    <s v=""/>
    <m/>
    <s v="00911726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1:54:47"/>
    <s v=""/>
    <s v=""/>
    <s v=""/>
    <n v="-52549269"/>
    <n v="0"/>
    <n v="-52549269"/>
    <n v="0"/>
    <n v="0"/>
    <n v="0"/>
    <d v="2026-04-10T00:00:00"/>
    <s v=""/>
    <n v="0"/>
    <s v=""/>
    <s v=""/>
    <n v="0"/>
    <n v="0"/>
    <s v="2026/04"/>
    <s v="91172674"/>
    <x v="42"/>
    <n v="1"/>
    <n v="38217.650181818179"/>
    <n v="0"/>
    <n v="-2001.7134923014087"/>
    <d v="2026-04-10T08:54:47"/>
    <n v="4"/>
    <x v="4"/>
    <x v="4"/>
    <n v="-1375"/>
    <x v="35"/>
    <x v="0"/>
    <x v="4"/>
    <s v="rHDPE"/>
    <s v="rHDPE thổi"/>
    <x v="3"/>
    <x v="3"/>
  </r>
  <r>
    <s v="1001"/>
    <d v="2026-04-10T00:00:00"/>
    <s v="1400001031"/>
    <s v=""/>
    <s v=""/>
    <s v="5112100100"/>
    <s v="5112100100"/>
    <x v="15"/>
    <n v="-964049900"/>
    <x v="15"/>
    <s v=""/>
    <s v="THU.LNA"/>
    <s v="4"/>
    <s v="2026"/>
    <s v="0000000000000000"/>
    <s v="1C26TTC;1110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1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2"/>
    <s v=""/>
    <s v=""/>
    <s v="1101"/>
    <s v="0"/>
    <s v=""/>
    <s v=""/>
    <s v="50"/>
    <s v="4"/>
    <s v="1001110000"/>
    <s v=""/>
    <n v="-31900"/>
    <s v=""/>
    <s v=""/>
    <s v=""/>
    <s v=""/>
    <m/>
    <s v="00911726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0:49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2"/>
    <x v="43"/>
    <n v="1"/>
    <n v="30221"/>
    <n v="0"/>
    <n v="-36722.712395520168"/>
    <d v="2026-04-10T15:50:49"/>
    <n v="4"/>
    <x v="4"/>
    <x v="4"/>
    <n v="-31900"/>
    <x v="18"/>
    <x v="0"/>
    <x v="15"/>
    <s v="rPET"/>
    <s v="rPET"/>
    <x v="1"/>
    <x v="1"/>
  </r>
  <r>
    <s v="1001"/>
    <d v="2026-04-10T00:00:00"/>
    <s v="1400001032"/>
    <s v=""/>
    <s v=""/>
    <s v="5112100100"/>
    <s v="5112100100"/>
    <x v="15"/>
    <n v="-964049900"/>
    <x v="15"/>
    <s v=""/>
    <s v="THU.LNA"/>
    <s v="4"/>
    <s v="2026"/>
    <s v="0000000000000000"/>
    <s v="1C26TTC;1111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2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3"/>
    <s v=""/>
    <s v=""/>
    <s v="1101"/>
    <s v="0"/>
    <s v=""/>
    <s v=""/>
    <s v="50"/>
    <s v="4"/>
    <s v="1001110000"/>
    <s v=""/>
    <n v="-31900"/>
    <s v=""/>
    <s v=""/>
    <s v=""/>
    <s v=""/>
    <m/>
    <s v="009117268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3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3"/>
    <x v="43"/>
    <n v="1"/>
    <n v="30221"/>
    <n v="0"/>
    <n v="-36722.712395520168"/>
    <d v="2026-04-10T15:51:03"/>
    <n v="4"/>
    <x v="4"/>
    <x v="4"/>
    <n v="-31900"/>
    <x v="18"/>
    <x v="0"/>
    <x v="15"/>
    <s v="rPET"/>
    <s v="rPET"/>
    <x v="1"/>
    <x v="1"/>
  </r>
  <r>
    <s v="1001"/>
    <d v="2026-04-10T00:00:00"/>
    <s v="1400001033"/>
    <s v=""/>
    <s v=""/>
    <s v="5112100100"/>
    <s v="5112100100"/>
    <x v="15"/>
    <n v="-964049900"/>
    <x v="15"/>
    <s v=""/>
    <s v="THU.LNA"/>
    <s v="4"/>
    <s v="2026"/>
    <s v="0000000000000000"/>
    <s v="1C26TTC;1112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3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4"/>
    <s v=""/>
    <s v=""/>
    <s v="1101"/>
    <s v="0"/>
    <s v=""/>
    <s v=""/>
    <s v="50"/>
    <s v="4"/>
    <s v="1001110000"/>
    <s v=""/>
    <n v="-31900"/>
    <s v=""/>
    <s v=""/>
    <s v=""/>
    <s v=""/>
    <m/>
    <s v="009117268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8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4"/>
    <x v="43"/>
    <n v="1"/>
    <n v="30221"/>
    <n v="0"/>
    <n v="-36722.712395520168"/>
    <d v="2026-04-10T15:51:08"/>
    <n v="4"/>
    <x v="4"/>
    <x v="4"/>
    <n v="-31900"/>
    <x v="18"/>
    <x v="0"/>
    <x v="15"/>
    <s v="rPET"/>
    <s v="rPET"/>
    <x v="1"/>
    <x v="1"/>
  </r>
  <r>
    <s v="1001"/>
    <d v="2026-04-10T00:00:00"/>
    <s v="1400001034"/>
    <s v=""/>
    <s v=""/>
    <s v="5112100100"/>
    <s v="5112100100"/>
    <x v="12"/>
    <n v="-709280000"/>
    <x v="12"/>
    <s v=""/>
    <s v="THU.LNA"/>
    <s v="4"/>
    <s v="2026"/>
    <s v="0000000000000000"/>
    <s v="1C26TTC;111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3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85"/>
    <s v=""/>
    <s v=""/>
    <s v="1101"/>
    <s v="0"/>
    <s v=""/>
    <s v=""/>
    <s v="50"/>
    <s v="4"/>
    <s v="1001110000"/>
    <s v=""/>
    <n v="-22000"/>
    <s v=""/>
    <s v=""/>
    <s v=""/>
    <s v=""/>
    <m/>
    <s v="009117268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15"/>
    <s v=""/>
    <s v=""/>
    <s v=""/>
    <n v="-709280000"/>
    <n v="0"/>
    <n v="-709280000"/>
    <n v="0"/>
    <n v="0"/>
    <n v="0"/>
    <d v="2026-04-10T00:00:00"/>
    <s v=""/>
    <n v="0"/>
    <s v=""/>
    <s v=""/>
    <n v="0"/>
    <n v="0"/>
    <s v="2026/04"/>
    <s v="91172685"/>
    <x v="11"/>
    <n v="1"/>
    <n v="32240"/>
    <n v="0"/>
    <n v="-27017.984699645262"/>
    <d v="2026-04-10T15:51:15"/>
    <n v="4"/>
    <x v="4"/>
    <x v="4"/>
    <n v="-22000"/>
    <x v="13"/>
    <x v="0"/>
    <x v="1"/>
    <s v="rPET"/>
    <s v="rPET"/>
    <x v="1"/>
    <x v="1"/>
  </r>
  <r>
    <s v="1001"/>
    <d v="2026-04-10T00:00:00"/>
    <s v="1400001035"/>
    <s v=""/>
    <s v=""/>
    <s v="5112100100"/>
    <s v="5112100100"/>
    <x v="4"/>
    <n v="-696938000"/>
    <x v="4"/>
    <s v=""/>
    <s v="THU.LNA"/>
    <s v="4"/>
    <s v="2026"/>
    <s v="0000000000000000"/>
    <s v="1C26TTC;111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5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35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6"/>
    <s v=""/>
    <s v=""/>
    <s v="1101"/>
    <s v="0"/>
    <s v=""/>
    <s v=""/>
    <s v="50"/>
    <s v="4"/>
    <s v="1001110000"/>
    <s v=""/>
    <n v="-22000"/>
    <s v=""/>
    <s v=""/>
    <s v=""/>
    <s v=""/>
    <m/>
    <s v="009117268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20"/>
    <s v=""/>
    <s v=""/>
    <s v=""/>
    <n v="-696938000"/>
    <n v="0"/>
    <n v="-696938000"/>
    <n v="0"/>
    <n v="0"/>
    <n v="0"/>
    <d v="2026-04-10T00:00:00"/>
    <s v=""/>
    <n v="0"/>
    <s v=""/>
    <s v=""/>
    <n v="0"/>
    <n v="0"/>
    <s v="2026/04"/>
    <s v="91172686"/>
    <x v="19"/>
    <n v="1"/>
    <n v="31679"/>
    <n v="0"/>
    <n v="-26547.851653227739"/>
    <d v="2026-04-10T15:51:20"/>
    <n v="4"/>
    <x v="4"/>
    <x v="4"/>
    <n v="-22000"/>
    <x v="2"/>
    <x v="0"/>
    <x v="2"/>
    <s v="rPET"/>
    <s v="rPET"/>
    <x v="1"/>
    <x v="1"/>
  </r>
  <r>
    <s v="1001"/>
    <d v="2026-04-10T00:00:00"/>
    <s v="1400001036"/>
    <s v=""/>
    <s v=""/>
    <s v="5115100100"/>
    <s v="5115100100"/>
    <x v="32"/>
    <n v="-635971875"/>
    <x v="32"/>
    <s v=""/>
    <s v="THU.LNA"/>
    <s v="4"/>
    <s v="2026"/>
    <s v="0000000000000000"/>
    <s v="1C26TTC;1117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6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7"/>
    <s v=""/>
    <s v=""/>
    <s v="1101"/>
    <s v="0"/>
    <s v=""/>
    <s v=""/>
    <s v="50"/>
    <s v="4"/>
    <s v="1001110000"/>
    <s v=""/>
    <n v="-22000"/>
    <s v=""/>
    <s v=""/>
    <s v=""/>
    <s v=""/>
    <m/>
    <s v="0091172687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03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7"/>
    <x v="44"/>
    <n v="26250"/>
    <n v="28907.8125"/>
    <n v="1101.25"/>
    <n v="-24227.5"/>
    <d v="2026-04-10T18:14:03"/>
    <n v="4"/>
    <x v="4"/>
    <x v="4"/>
    <n v="-22000"/>
    <x v="36"/>
    <x v="1"/>
    <x v="2"/>
    <s v="rPET"/>
    <s v="rPET"/>
    <x v="1"/>
    <x v="1"/>
  </r>
  <r>
    <s v="1001"/>
    <d v="2026-04-10T00:00:00"/>
    <s v="1400001037"/>
    <s v=""/>
    <s v=""/>
    <s v="5115100100"/>
    <s v="5115100100"/>
    <x v="32"/>
    <n v="-635971875"/>
    <x v="32"/>
    <s v=""/>
    <s v="THU.LNA"/>
    <s v="4"/>
    <s v="2026"/>
    <s v="0000000000000000"/>
    <s v="1C26TTC;1118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7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8"/>
    <s v=""/>
    <s v=""/>
    <s v="1101"/>
    <s v="0"/>
    <s v=""/>
    <s v=""/>
    <s v="50"/>
    <s v="4"/>
    <s v="1001110000"/>
    <s v=""/>
    <n v="-22000"/>
    <s v=""/>
    <s v=""/>
    <s v=""/>
    <s v=""/>
    <m/>
    <s v="0091172688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8"/>
    <x v="44"/>
    <n v="26250"/>
    <n v="28907.8125"/>
    <n v="1101.25"/>
    <n v="-24227.5"/>
    <d v="2026-04-10T18:14:12"/>
    <n v="4"/>
    <x v="4"/>
    <x v="4"/>
    <n v="-22000"/>
    <x v="36"/>
    <x v="1"/>
    <x v="2"/>
    <s v="rPET"/>
    <s v="rPET"/>
    <x v="1"/>
    <x v="1"/>
  </r>
  <r>
    <s v="1001"/>
    <d v="2026-04-10T00:00:00"/>
    <s v="1400001038"/>
    <s v=""/>
    <s v=""/>
    <s v="5115100100"/>
    <s v="5115100100"/>
    <x v="32"/>
    <n v="-635971875"/>
    <x v="32"/>
    <s v=""/>
    <s v="THU.LNA"/>
    <s v="4"/>
    <s v="2026"/>
    <s v="0000000000000000"/>
    <s v="1C26TTC;1119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8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9"/>
    <s v=""/>
    <s v=""/>
    <s v="1101"/>
    <s v="0"/>
    <s v=""/>
    <s v=""/>
    <s v="50"/>
    <s v="4"/>
    <s v="1001110000"/>
    <s v=""/>
    <n v="-22000"/>
    <s v=""/>
    <s v=""/>
    <s v=""/>
    <s v=""/>
    <m/>
    <s v="0091172689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9"/>
    <x v="44"/>
    <n v="26250"/>
    <n v="28907.8125"/>
    <n v="1101.25"/>
    <n v="-24227.5"/>
    <d v="2026-04-10T18:14:17"/>
    <n v="4"/>
    <x v="4"/>
    <x v="4"/>
    <n v="-22000"/>
    <x v="36"/>
    <x v="1"/>
    <x v="2"/>
    <s v="rPET"/>
    <s v="rPET"/>
    <x v="1"/>
    <x v="1"/>
  </r>
  <r>
    <s v="1001"/>
    <d v="2026-04-10T00:00:00"/>
    <s v="1400001039"/>
    <s v=""/>
    <s v=""/>
    <s v="5115100100"/>
    <s v="5115100100"/>
    <x v="32"/>
    <n v="-635971875"/>
    <x v="32"/>
    <s v=""/>
    <s v="THU.LNA"/>
    <s v="4"/>
    <s v="2026"/>
    <s v="0000000000000000"/>
    <s v="1C26TTC;1120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9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9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0"/>
    <s v=""/>
    <s v=""/>
    <s v="1101"/>
    <s v="0"/>
    <s v=""/>
    <s v=""/>
    <s v="50"/>
    <s v="4"/>
    <s v="1001110000"/>
    <s v=""/>
    <n v="-22000"/>
    <s v=""/>
    <s v=""/>
    <s v=""/>
    <s v=""/>
    <m/>
    <s v="009117269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0"/>
    <x v="44"/>
    <n v="26250"/>
    <n v="28907.8125"/>
    <n v="1101.25"/>
    <n v="-24227.5"/>
    <d v="2026-04-10T18:14:22"/>
    <n v="4"/>
    <x v="4"/>
    <x v="4"/>
    <n v="-22000"/>
    <x v="36"/>
    <x v="1"/>
    <x v="2"/>
    <s v="rPET"/>
    <s v="rPET"/>
    <x v="1"/>
    <x v="1"/>
  </r>
  <r>
    <s v="1001"/>
    <d v="2026-04-10T00:00:00"/>
    <s v="1400001040"/>
    <s v=""/>
    <s v=""/>
    <s v="5115100100"/>
    <s v="5115100100"/>
    <x v="32"/>
    <n v="-635971875"/>
    <x v="32"/>
    <s v=""/>
    <s v="THU.LNA"/>
    <s v="4"/>
    <s v="2026"/>
    <s v="0000000000000000"/>
    <s v="1C26TTC;1121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40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40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1"/>
    <s v=""/>
    <s v=""/>
    <s v="1101"/>
    <s v="0"/>
    <s v=""/>
    <s v=""/>
    <s v="50"/>
    <s v="4"/>
    <s v="1001110000"/>
    <s v=""/>
    <n v="-22000"/>
    <s v=""/>
    <s v=""/>
    <s v=""/>
    <s v=""/>
    <m/>
    <s v="009117269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1"/>
    <x v="44"/>
    <n v="26250"/>
    <n v="28907.8125"/>
    <n v="1101.25"/>
    <n v="-24227.5"/>
    <d v="2026-04-10T18:14:27"/>
    <n v="4"/>
    <x v="4"/>
    <x v="4"/>
    <n v="-22000"/>
    <x v="36"/>
    <x v="1"/>
    <x v="2"/>
    <s v="rPET"/>
    <s v="rPET"/>
    <x v="1"/>
    <x v="1"/>
  </r>
  <r>
    <s v="1001"/>
    <d v="2026-04-10T00:00:00"/>
    <s v="1400001041"/>
    <s v=""/>
    <s v=""/>
    <s v="5112100100"/>
    <s v="5112100100"/>
    <x v="5"/>
    <n v="-263150000"/>
    <x v="5"/>
    <s v=""/>
    <s v="THU.LNA"/>
    <s v="4"/>
    <s v="2026"/>
    <s v="0000000000000000"/>
    <s v="1C26TTC;111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4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92"/>
    <s v=""/>
    <s v=""/>
    <s v="1101"/>
    <s v="0"/>
    <s v=""/>
    <s v=""/>
    <s v="50"/>
    <s v="4"/>
    <s v="1001110000"/>
    <s v=""/>
    <n v="-13850"/>
    <s v=""/>
    <s v=""/>
    <s v=""/>
    <s v=""/>
    <m/>
    <s v="009117269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1"/>
    <s v=""/>
    <s v=""/>
    <s v=""/>
    <n v="-263150000"/>
    <n v="0"/>
    <n v="-263150000"/>
    <n v="0"/>
    <n v="0"/>
    <n v="0"/>
    <d v="2026-04-10T00:00:00"/>
    <s v=""/>
    <n v="0"/>
    <s v=""/>
    <s v=""/>
    <n v="0"/>
    <n v="0"/>
    <s v="2026/04"/>
    <s v="91172692"/>
    <x v="3"/>
    <n v="1"/>
    <n v="19000"/>
    <n v="0"/>
    <n v="-10023.943539521277"/>
    <d v="2026-04-10T18:14:31"/>
    <n v="4"/>
    <x v="4"/>
    <x v="4"/>
    <n v="-13850"/>
    <x v="3"/>
    <x v="0"/>
    <x v="3"/>
    <s v="Xơ sợi"/>
    <s v="Xơ sợi"/>
    <x v="2"/>
    <x v="2"/>
  </r>
  <r>
    <s v="1001"/>
    <d v="2026-04-10T00:00:00"/>
    <s v="1400001042"/>
    <s v=""/>
    <s v=""/>
    <s v="5112100100"/>
    <s v="5112100100"/>
    <x v="33"/>
    <n v="-372161130"/>
    <x v="33"/>
    <s v=""/>
    <s v="THU.LNA"/>
    <s v="4"/>
    <s v="2026"/>
    <s v="0000000000000000"/>
    <s v="1C26TTC;1115"/>
    <s v="5112100100"/>
    <s v="S"/>
    <s v=""/>
    <n v="-372161130"/>
    <n v="-372161130"/>
    <n v="-372161130"/>
    <n v="-37216113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2"/>
    <s v="RV"/>
    <s v=""/>
    <s v=""/>
    <s v=""/>
    <s v=""/>
    <s v="0"/>
    <s v="1,00000"/>
    <m/>
    <s v=""/>
    <s v=""/>
    <s v=""/>
    <s v=""/>
    <s v=""/>
    <s v=""/>
    <s v=""/>
    <s v=""/>
    <s v=""/>
    <s v="2026"/>
    <n v="-372161130"/>
    <s v="VND"/>
    <s v="000002"/>
    <s v=""/>
    <n v="0"/>
    <s v="0"/>
    <s v="0"/>
    <s v="0"/>
    <s v="0"/>
    <n v="0"/>
    <s v="1400001042"/>
    <s v="0"/>
    <s v=""/>
    <m/>
    <s v="0L"/>
    <s v=""/>
    <s v="2"/>
    <s v=""/>
    <s v="VND"/>
    <s v="VND"/>
    <s v=""/>
    <s v=""/>
    <s v=""/>
    <x v="24"/>
    <s v=""/>
    <m/>
    <s v=""/>
    <s v="D"/>
    <s v=""/>
    <s v=""/>
    <s v=""/>
    <s v=""/>
    <s v=""/>
    <s v=""/>
    <s v=""/>
    <s v=""/>
    <s v=""/>
    <s v=""/>
    <m/>
    <s v=""/>
    <s v=""/>
    <s v="0091172693"/>
    <s v=""/>
    <s v=""/>
    <s v="1101"/>
    <s v="0"/>
    <s v=""/>
    <s v=""/>
    <s v="50"/>
    <s v="4"/>
    <s v="1001110000"/>
    <s v=""/>
    <n v="-11000"/>
    <s v=""/>
    <s v=""/>
    <s v=""/>
    <s v=""/>
    <m/>
    <s v="009117269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6"/>
    <s v=""/>
    <s v=""/>
    <s v=""/>
    <n v="-372161130"/>
    <n v="0"/>
    <n v="-372161130"/>
    <n v="0"/>
    <n v="0"/>
    <n v="0"/>
    <d v="2026-04-10T00:00:00"/>
    <s v=""/>
    <n v="0"/>
    <s v=""/>
    <s v=""/>
    <n v="0"/>
    <n v="0"/>
    <s v="2026/04"/>
    <s v="91172693"/>
    <x v="45"/>
    <n v="1"/>
    <n v="33832.83"/>
    <n v="0"/>
    <n v="-14176.409480237271"/>
    <d v="2026-04-10T18:14:36"/>
    <n v="4"/>
    <x v="4"/>
    <x v="4"/>
    <n v="-11000"/>
    <x v="37"/>
    <x v="0"/>
    <x v="24"/>
    <s v="rPET"/>
    <s v="rPET"/>
    <x v="1"/>
    <x v="1"/>
  </r>
  <r>
    <s v="1001"/>
    <d v="2026-04-10T00:00:00"/>
    <s v="1400001043"/>
    <s v=""/>
    <s v=""/>
    <s v="5112100100"/>
    <s v="5112100100"/>
    <x v="8"/>
    <n v="-194529500"/>
    <x v="8"/>
    <s v=""/>
    <s v="THU.LNA"/>
    <s v="4"/>
    <s v="2026"/>
    <s v="0000000000000000"/>
    <s v="1C26TTC;1122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3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3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4"/>
    <s v=""/>
    <s v=""/>
    <s v="1101"/>
    <s v="0"/>
    <s v=""/>
    <s v=""/>
    <s v="50"/>
    <s v="4"/>
    <s v="1001110000"/>
    <s v=""/>
    <n v="-5500"/>
    <s v=""/>
    <s v=""/>
    <s v=""/>
    <s v=""/>
    <m/>
    <s v="00911726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1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4"/>
    <x v="6"/>
    <n v="1"/>
    <n v="35369"/>
    <n v="0"/>
    <n v="-7410.042655410618"/>
    <d v="2026-04-10T18:14:41"/>
    <n v="4"/>
    <x v="4"/>
    <x v="4"/>
    <n v="-5500"/>
    <x v="6"/>
    <x v="0"/>
    <x v="6"/>
    <s v="rHDPE"/>
    <s v="rHDPE thổi"/>
    <x v="3"/>
    <x v="3"/>
  </r>
  <r>
    <s v="1001"/>
    <d v="2026-04-10T00:00:00"/>
    <s v="1400001044"/>
    <s v=""/>
    <s v=""/>
    <s v="5112100100"/>
    <s v="5112100100"/>
    <x v="8"/>
    <n v="-194529500"/>
    <x v="8"/>
    <s v=""/>
    <s v="THU.LNA"/>
    <s v="4"/>
    <s v="2026"/>
    <s v="0000000000000000"/>
    <s v="1C26TTC;1123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4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4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5"/>
    <s v=""/>
    <s v=""/>
    <s v="1101"/>
    <s v="0"/>
    <s v=""/>
    <s v=""/>
    <s v="50"/>
    <s v="4"/>
    <s v="1001110000"/>
    <s v=""/>
    <n v="-5500"/>
    <s v=""/>
    <s v=""/>
    <s v=""/>
    <s v=""/>
    <m/>
    <s v="009117269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9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5"/>
    <x v="6"/>
    <n v="1"/>
    <n v="35369"/>
    <n v="0"/>
    <n v="-7410.042655410618"/>
    <d v="2026-04-10T18:14:49"/>
    <n v="4"/>
    <x v="4"/>
    <x v="4"/>
    <n v="-5500"/>
    <x v="6"/>
    <x v="0"/>
    <x v="6"/>
    <s v="rHDPE"/>
    <s v="rHDPE thổi"/>
    <x v="3"/>
    <x v="3"/>
  </r>
  <r>
    <s v="1001"/>
    <d v="2026-04-10T00:00:00"/>
    <s v="1400001045"/>
    <s v=""/>
    <s v=""/>
    <s v="5112100100"/>
    <s v="5112100100"/>
    <x v="34"/>
    <n v="-1318050"/>
    <x v="34"/>
    <s v=""/>
    <s v="THU.LNA"/>
    <s v="4"/>
    <s v="2026"/>
    <s v="0000000000000000"/>
    <s v="1C26TTC;1124"/>
    <s v="5112100100"/>
    <s v="S"/>
    <s v=""/>
    <n v="-1318050"/>
    <n v="-1318050"/>
    <n v="-1318050"/>
    <n v="-13180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5"/>
    <s v="RV"/>
    <s v=""/>
    <s v=""/>
    <s v=""/>
    <s v=""/>
    <s v="0"/>
    <s v="1,00000"/>
    <m/>
    <s v=""/>
    <s v=""/>
    <s v=""/>
    <s v=""/>
    <s v=""/>
    <s v=""/>
    <s v=""/>
    <s v=""/>
    <s v=""/>
    <s v="2026"/>
    <n v="-1318050"/>
    <s v="VND"/>
    <s v="000002"/>
    <s v=""/>
    <n v="0"/>
    <s v="0"/>
    <s v="0"/>
    <s v="0"/>
    <s v="0"/>
    <n v="0"/>
    <s v="1400001045"/>
    <s v="0"/>
    <s v=""/>
    <m/>
    <s v="0L"/>
    <s v=""/>
    <s v="2"/>
    <s v=""/>
    <s v="VND"/>
    <s v="VND"/>
    <s v=""/>
    <s v=""/>
    <s v=""/>
    <x v="25"/>
    <s v=""/>
    <m/>
    <s v=""/>
    <s v="D"/>
    <s v=""/>
    <s v=""/>
    <s v=""/>
    <s v=""/>
    <s v=""/>
    <s v=""/>
    <s v=""/>
    <s v=""/>
    <s v=""/>
    <s v=""/>
    <m/>
    <s v=""/>
    <s v=""/>
    <s v="0091172696"/>
    <s v=""/>
    <s v=""/>
    <s v="1101"/>
    <s v="0"/>
    <s v=""/>
    <s v=""/>
    <s v="50"/>
    <s v="4"/>
    <s v="1001110000"/>
    <s v=""/>
    <n v="-50"/>
    <s v=""/>
    <s v=""/>
    <s v=""/>
    <s v=""/>
    <m/>
    <s v="00911726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54"/>
    <s v=""/>
    <s v=""/>
    <s v=""/>
    <n v="-1318050"/>
    <n v="0"/>
    <n v="-1318050"/>
    <n v="0"/>
    <n v="0"/>
    <n v="0"/>
    <d v="2026-04-10T00:00:00"/>
    <s v=""/>
    <n v="0"/>
    <s v=""/>
    <s v=""/>
    <n v="0"/>
    <n v="0"/>
    <s v="2026/04"/>
    <s v="91172696"/>
    <x v="46"/>
    <n v="1"/>
    <n v="26361"/>
    <n v="0"/>
    <n v="-50.207329592498645"/>
    <d v="2026-04-10T18:14:54"/>
    <n v="4"/>
    <x v="4"/>
    <x v="4"/>
    <n v="-50"/>
    <x v="38"/>
    <x v="0"/>
    <x v="25"/>
    <s v="rPET"/>
    <s v="rPET"/>
    <x v="1"/>
    <x v="1"/>
  </r>
  <r>
    <s v="1001"/>
    <d v="2026-04-10T00:00:00"/>
    <s v="1400001046"/>
    <s v=""/>
    <s v=""/>
    <s v="5112100100"/>
    <s v="5112100100"/>
    <x v="35"/>
    <n v="-41708333"/>
    <x v="35"/>
    <s v=""/>
    <s v="THU.LNA"/>
    <s v="4"/>
    <s v="2026"/>
    <s v="0000000000000000"/>
    <s v="1C26TTC;1125"/>
    <s v="5112100100"/>
    <s v="S"/>
    <s v=""/>
    <n v="-41708333"/>
    <n v="-41708333"/>
    <n v="-41708333"/>
    <n v="-41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08333"/>
    <s v="VND"/>
    <s v="000002"/>
    <s v=""/>
    <n v="0"/>
    <s v="0"/>
    <s v="0"/>
    <s v="0"/>
    <s v="0"/>
    <n v="0"/>
    <s v="1400001046"/>
    <s v="0"/>
    <s v=""/>
    <m/>
    <s v="0L"/>
    <s v=""/>
    <s v="2"/>
    <s v=""/>
    <s v="VND"/>
    <s v="VND"/>
    <s v=""/>
    <s v=""/>
    <s v=""/>
    <x v="26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3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08333"/>
    <n v="0"/>
    <n v="-41708333"/>
    <n v="0"/>
    <n v="0"/>
    <n v="0"/>
    <d v="2026-04-10T00:00:00"/>
    <s v=""/>
    <n v="0"/>
    <s v=""/>
    <s v=""/>
    <n v="0"/>
    <n v="0"/>
    <s v="2026/04"/>
    <s v="91172697"/>
    <x v="47"/>
    <n v="1"/>
    <n v="13888.888777888778"/>
    <n v="0"/>
    <n v="-1588.7591682293446"/>
    <d v="2026-04-10T18:15:05"/>
    <n v="4"/>
    <x v="4"/>
    <x v="4"/>
    <n v="-3003"/>
    <x v="39"/>
    <x v="0"/>
    <x v="26"/>
    <s v="Khác"/>
    <s v="Phó sản"/>
    <x v="5"/>
    <x v="5"/>
  </r>
  <r>
    <s v="1001"/>
    <d v="2026-04-10T00:00:00"/>
    <s v="1400001046"/>
    <s v=""/>
    <s v=""/>
    <s v="5112100100"/>
    <s v="5112100100"/>
    <x v="35"/>
    <n v="-41736111"/>
    <x v="35"/>
    <s v=""/>
    <s v="THU.LNA"/>
    <s v="4"/>
    <s v="2026"/>
    <s v="0000000000000000"/>
    <s v="1C26TTC;1125"/>
    <s v="5112100100"/>
    <s v="S"/>
    <s v=""/>
    <n v="-41736111"/>
    <n v="-41736111"/>
    <n v="-41736111"/>
    <n v="-41736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36111"/>
    <s v="VND"/>
    <s v="000004"/>
    <s v=""/>
    <n v="0"/>
    <s v="0"/>
    <s v="0"/>
    <s v="0"/>
    <s v="0"/>
    <n v="0"/>
    <s v="1400001046"/>
    <s v="0"/>
    <s v=""/>
    <m/>
    <s v="0L"/>
    <s v=""/>
    <s v="4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5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36111"/>
    <n v="0"/>
    <n v="-41736111"/>
    <n v="0"/>
    <n v="0"/>
    <n v="0"/>
    <d v="2026-04-10T00:00:00"/>
    <s v=""/>
    <n v="0"/>
    <s v=""/>
    <s v=""/>
    <n v="0"/>
    <n v="0"/>
    <s v="2026/04"/>
    <s v="91172697"/>
    <x v="47"/>
    <n v="1"/>
    <n v="13888.888851913478"/>
    <n v="0"/>
    <n v="-1589.8172913668739"/>
    <d v="2026-04-10T18:15:05"/>
    <n v="4"/>
    <x v="4"/>
    <x v="4"/>
    <n v="-3005"/>
    <x v="40"/>
    <x v="0"/>
    <x v="14"/>
    <s v="Khác"/>
    <s v="Phó sản"/>
    <x v="5"/>
    <x v="5"/>
  </r>
  <r>
    <s v="1001"/>
    <d v="2026-04-10T00:00:00"/>
    <s v="1400001047"/>
    <s v=""/>
    <s v=""/>
    <s v="5112100100"/>
    <s v="5112100100"/>
    <x v="23"/>
    <n v="-169774500"/>
    <x v="23"/>
    <s v=""/>
    <s v="THU.LNA"/>
    <s v="4"/>
    <s v="2026"/>
    <s v="0000000000000000"/>
    <s v="1C26TTC;1126"/>
    <s v="5112100100"/>
    <s v="S"/>
    <s v=""/>
    <n v="-169774500"/>
    <n v="-169774500"/>
    <n v="-169774500"/>
    <n v="-169774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7"/>
    <s v="RV"/>
    <s v=""/>
    <s v=""/>
    <s v=""/>
    <s v=""/>
    <s v="0"/>
    <s v="1,00000"/>
    <m/>
    <s v=""/>
    <s v=""/>
    <s v=""/>
    <s v=""/>
    <s v=""/>
    <s v=""/>
    <s v=""/>
    <s v=""/>
    <s v=""/>
    <s v="2026"/>
    <n v="-169774500"/>
    <s v="VND"/>
    <s v="000002"/>
    <s v=""/>
    <n v="0"/>
    <s v="0"/>
    <s v="0"/>
    <s v="0"/>
    <s v="0"/>
    <n v="0"/>
    <s v="140000104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98"/>
    <s v=""/>
    <s v=""/>
    <s v="1101"/>
    <s v="0"/>
    <s v=""/>
    <s v=""/>
    <s v="50"/>
    <s v="4"/>
    <s v="1001110000"/>
    <s v=""/>
    <n v="-17871"/>
    <s v=""/>
    <s v=""/>
    <s v=""/>
    <s v=""/>
    <m/>
    <s v="00911726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17"/>
    <s v=""/>
    <s v=""/>
    <s v=""/>
    <n v="-169774500"/>
    <n v="0"/>
    <n v="-169774500"/>
    <n v="0"/>
    <n v="0"/>
    <n v="0"/>
    <d v="2026-04-10T00:00:00"/>
    <s v=""/>
    <n v="0"/>
    <s v=""/>
    <s v=""/>
    <n v="0"/>
    <n v="0"/>
    <s v="2026/04"/>
    <s v="91172698"/>
    <x v="29"/>
    <n v="1"/>
    <n v="9500"/>
    <n v="0"/>
    <n v="-6467.0720214723724"/>
    <d v="2026-04-10T18:15:17"/>
    <n v="4"/>
    <x v="4"/>
    <x v="4"/>
    <n v="-17871"/>
    <x v="41"/>
    <x v="0"/>
    <x v="12"/>
    <s v="Khác"/>
    <s v="Phó sản"/>
    <x v="5"/>
    <x v="5"/>
  </r>
  <r>
    <s v="1001"/>
    <d v="2026-04-02T00:00:00"/>
    <s v="5100002521"/>
    <s v=""/>
    <s v=""/>
    <s v="5118000100"/>
    <s v="5118000100"/>
    <x v="36"/>
    <n v="110704000"/>
    <x v="36"/>
    <s v="Cutoff Xuất 4400kg rPET cho Unilever Ngọc Nghĩa"/>
    <s v="MY.DTT"/>
    <s v="4"/>
    <s v="2026"/>
    <s v="C26TTC;1025"/>
    <s v="XUẤT MẪU"/>
    <s v="5118000100"/>
    <s v="S"/>
    <s v=""/>
    <n v="110704000"/>
    <n v="110704000"/>
    <n v="110704000"/>
    <n v="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2T00:00:00"/>
    <s v="Xuất 4400kg rPET cho Unil"/>
    <s v="5100002521"/>
    <s v="SA"/>
    <s v=""/>
    <s v=""/>
    <s v=""/>
    <s v=""/>
    <s v="0"/>
    <s v="1,00000"/>
    <m/>
    <s v=""/>
    <s v=""/>
    <s v=""/>
    <s v=""/>
    <s v=""/>
    <s v=""/>
    <s v=""/>
    <s v=""/>
    <s v=""/>
    <s v="2026"/>
    <n v="110704000"/>
    <s v="VND"/>
    <s v="000001"/>
    <s v=""/>
    <n v="0"/>
    <s v="0"/>
    <s v="0"/>
    <s v="0"/>
    <s v="0"/>
    <n v="0"/>
    <s v="5100002521"/>
    <s v="0"/>
    <s v=""/>
    <m/>
    <s v="0L"/>
    <s v=""/>
    <s v="1"/>
    <s v=""/>
    <s v="VND"/>
    <s v="VND"/>
    <s v=""/>
    <s v=""/>
    <s v=""/>
    <x v="0"/>
    <s v=""/>
    <m/>
    <s v=""/>
    <s v="S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40"/>
    <s v="4"/>
    <s v="1001110000"/>
    <s v=""/>
    <n v="0"/>
    <s v=""/>
    <s v=""/>
    <s v=""/>
    <s v=""/>
    <m/>
    <s v="510000252110012026"/>
    <s v=""/>
    <s v=""/>
    <s v=""/>
    <s v="BKPF"/>
    <s v=""/>
    <s v=""/>
    <s v="0"/>
    <s v="0"/>
    <s v=""/>
    <s v=""/>
    <s v=""/>
    <n v="50"/>
    <s v=""/>
    <s v=""/>
    <s v=""/>
    <s v=""/>
    <s v=""/>
    <s v=""/>
    <s v=""/>
    <s v=""/>
    <d v="2026-04-03T02:30:48"/>
    <s v=""/>
    <s v=""/>
    <s v=""/>
    <n v="110704000"/>
    <n v="0"/>
    <n v="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4216.9509618056745"/>
    <d v="2026-04-03T09:30:48"/>
    <n v="4"/>
    <x v="0"/>
    <x v="0"/>
    <n v="0"/>
    <x v="0"/>
    <x v="2"/>
    <x v="0"/>
    <s v=""/>
    <s v=""/>
    <x v="0"/>
    <x v="0"/>
  </r>
  <r>
    <s v="1001"/>
    <d v="2026-04-09T00:00:00"/>
    <s v="8100000025"/>
    <s v="1400001005"/>
    <s v=""/>
    <s v="5112100100"/>
    <s v="5112100100"/>
    <x v="26"/>
    <n v="2004750"/>
    <x v="26"/>
    <s v=""/>
    <s v="MY.DTT"/>
    <s v="4"/>
    <s v="2026"/>
    <s v="0000000000000000"/>
    <s v="0000000000000000"/>
    <s v="5112100100"/>
    <s v="S"/>
    <s v=""/>
    <n v="2004750"/>
    <n v="2004750"/>
    <n v="2004750"/>
    <n v="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9T00:00:00"/>
    <s v=""/>
    <s v="8100000025"/>
    <s v="DY"/>
    <s v=""/>
    <s v=""/>
    <s v=""/>
    <s v=""/>
    <s v="0"/>
    <s v="1,00000"/>
    <m/>
    <s v=""/>
    <s v=""/>
    <s v=""/>
    <s v=""/>
    <s v=""/>
    <s v=""/>
    <s v=""/>
    <s v=""/>
    <s v=""/>
    <s v="2026"/>
    <n v="2004750"/>
    <s v="VND"/>
    <s v="000002"/>
    <s v=""/>
    <n v="0"/>
    <s v="0"/>
    <s v="0"/>
    <s v="0"/>
    <s v="0"/>
    <n v="0"/>
    <s v="810000002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40"/>
    <s v="4"/>
    <s v="1001110000"/>
    <s v=""/>
    <n v="24750"/>
    <s v=""/>
    <s v=""/>
    <s v=""/>
    <s v=""/>
    <m/>
    <s v="00911726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4:51"/>
    <s v=""/>
    <s v=""/>
    <s v=""/>
    <n v="2004750"/>
    <n v="0"/>
    <n v="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76.365194037071163"/>
    <d v="2026-04-08T15:24:51"/>
    <n v="4"/>
    <x v="3"/>
    <x v="3"/>
    <n v="24750"/>
    <x v="30"/>
    <x v="0"/>
    <x v="13"/>
    <s v="rHDPE"/>
    <s v="rHDPE thổi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93459-B384-4A7A-8F25-66741A3476FE}" name="PivotTable1" cacheId="8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62" firstHeaderRow="1" firstDataRow="1" firstDataCol="6"/>
  <pivotFields count="20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29"/>
        <item x="27"/>
        <item x="15"/>
        <item x="4"/>
        <item x="33"/>
        <item x="18"/>
        <item x="31"/>
        <item x="12"/>
        <item x="2"/>
        <item x="1"/>
        <item x="26"/>
        <item x="8"/>
        <item x="20"/>
        <item x="3"/>
        <item x="13"/>
        <item x="16"/>
        <item x="10"/>
        <item x="30"/>
        <item x="6"/>
        <item x="5"/>
        <item x="14"/>
        <item x="7"/>
        <item x="9"/>
        <item x="0"/>
        <item x="21"/>
        <item x="11"/>
        <item x="35"/>
        <item x="19"/>
        <item x="22"/>
        <item x="23"/>
        <item x="17"/>
        <item x="25"/>
        <item x="34"/>
        <item x="28"/>
        <item x="32"/>
        <item x="24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1">
        <item m="1" x="83"/>
        <item m="1" x="89"/>
        <item m="1" x="46"/>
        <item m="1" x="81"/>
        <item x="31"/>
        <item x="36"/>
        <item m="1" x="62"/>
        <item m="1" x="45"/>
        <item m="1" x="63"/>
        <item m="1" x="41"/>
        <item m="1" x="49"/>
        <item x="2"/>
        <item x="18"/>
        <item m="1" x="67"/>
        <item x="33"/>
        <item m="1" x="90"/>
        <item x="29"/>
        <item m="1" x="65"/>
        <item x="15"/>
        <item x="22"/>
        <item m="1" x="55"/>
        <item x="5"/>
        <item m="1" x="53"/>
        <item x="23"/>
        <item m="1" x="88"/>
        <item x="34"/>
        <item x="27"/>
        <item x="26"/>
        <item m="1" x="42"/>
        <item x="17"/>
        <item m="1" x="75"/>
        <item m="1" x="59"/>
        <item m="1" x="58"/>
        <item x="21"/>
        <item x="10"/>
        <item m="1" x="61"/>
        <item x="7"/>
        <item m="1" x="70"/>
        <item m="1" x="87"/>
        <item m="1" x="66"/>
        <item m="1" x="74"/>
        <item m="1" x="44"/>
        <item m="1" x="47"/>
        <item m="1" x="39"/>
        <item m="1" x="57"/>
        <item x="20"/>
        <item m="1" x="73"/>
        <item m="1" x="69"/>
        <item x="16"/>
        <item x="9"/>
        <item m="1" x="79"/>
        <item m="1" x="71"/>
        <item x="24"/>
        <item m="1" x="76"/>
        <item m="1" x="56"/>
        <item x="1"/>
        <item m="1" x="68"/>
        <item x="14"/>
        <item m="1" x="72"/>
        <item m="1" x="85"/>
        <item m="1" x="54"/>
        <item x="19"/>
        <item m="1" x="48"/>
        <item m="1" x="43"/>
        <item m="1" x="80"/>
        <item x="13"/>
        <item m="1" x="52"/>
        <item m="1" x="37"/>
        <item m="1" x="51"/>
        <item m="1" x="50"/>
        <item x="32"/>
        <item x="3"/>
        <item m="1" x="38"/>
        <item x="12"/>
        <item x="30"/>
        <item m="1" x="84"/>
        <item m="1" x="64"/>
        <item x="28"/>
        <item m="1" x="78"/>
        <item x="0"/>
        <item x="8"/>
        <item x="4"/>
        <item x="35"/>
        <item m="1" x="86"/>
        <item m="1" x="60"/>
        <item x="6"/>
        <item x="11"/>
        <item m="1" x="40"/>
        <item m="1" x="82"/>
        <item m="1" x="77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0"/>
        <item x="24"/>
        <item x="1"/>
        <item x="13"/>
        <item x="7"/>
        <item x="2"/>
        <item x="16"/>
        <item x="15"/>
        <item x="5"/>
        <item x="8"/>
        <item x="4"/>
        <item x="18"/>
        <item x="19"/>
        <item x="22"/>
        <item x="3"/>
        <item x="6"/>
        <item x="17"/>
        <item x="23"/>
        <item x="25"/>
        <item x="12"/>
        <item x="9"/>
        <item x="10"/>
        <item x="11"/>
        <item x="20"/>
        <item x="14"/>
        <item x="21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defaultSubtotal="0">
      <items count="49">
        <item x="0"/>
        <item x="5"/>
        <item x="28"/>
        <item x="4"/>
        <item x="45"/>
        <item x="32"/>
        <item x="44"/>
        <item x="2"/>
        <item x="36"/>
        <item x="20"/>
        <item x="12"/>
        <item x="8"/>
        <item x="26"/>
        <item x="3"/>
        <item x="13"/>
        <item x="39"/>
        <item x="18"/>
        <item x="11"/>
        <item x="6"/>
        <item x="30"/>
        <item x="14"/>
        <item x="33"/>
        <item x="7"/>
        <item x="25"/>
        <item x="43"/>
        <item x="19"/>
        <item x="1"/>
        <item x="38"/>
        <item x="10"/>
        <item x="29"/>
        <item x="40"/>
        <item x="24"/>
        <item x="15"/>
        <item x="9"/>
        <item x="41"/>
        <item x="27"/>
        <item x="34"/>
        <item x="16"/>
        <item m="1" x="48"/>
        <item x="21"/>
        <item x="17"/>
        <item x="37"/>
        <item x="22"/>
        <item x="23"/>
        <item x="31"/>
        <item x="47"/>
        <item x="46"/>
        <item x="42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h="1" x="0"/>
        <item x="33"/>
        <item x="31"/>
        <item x="18"/>
        <item x="2"/>
        <item x="37"/>
        <item x="22"/>
        <item x="35"/>
        <item x="13"/>
        <item x="30"/>
        <item x="16"/>
        <item x="6"/>
        <item x="24"/>
        <item x="1"/>
        <item x="15"/>
        <item x="19"/>
        <item x="9"/>
        <item x="10"/>
        <item x="11"/>
        <item x="34"/>
        <item x="4"/>
        <item x="3"/>
        <item x="17"/>
        <item x="5"/>
        <item x="8"/>
        <item x="7"/>
        <item x="14"/>
        <item x="25"/>
        <item x="12"/>
        <item x="40"/>
        <item x="39"/>
        <item x="23"/>
        <item x="26"/>
        <item x="41"/>
        <item x="27"/>
        <item x="21"/>
        <item x="20"/>
        <item x="29"/>
        <item x="38"/>
        <item x="32"/>
        <item x="36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x="0"/>
        <item m="1" x="29"/>
        <item m="1" x="42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m="1" x="43"/>
        <item x="15"/>
        <item x="25"/>
        <item m="1" x="46"/>
        <item m="1" x="36"/>
        <item x="3"/>
        <item x="18"/>
        <item x="19"/>
        <item m="1" x="45"/>
        <item m="1" x="41"/>
        <item x="17"/>
        <item x="14"/>
        <item m="1" x="38"/>
        <item x="12"/>
        <item x="9"/>
        <item x="10"/>
        <item x="11"/>
        <item x="23"/>
        <item m="1" x="49"/>
        <item m="1" x="33"/>
        <item x="26"/>
        <item m="1" x="37"/>
        <item m="1" x="28"/>
        <item m="1" x="32"/>
        <item x="20"/>
        <item x="21"/>
        <item m="1" x="40"/>
        <item m="1"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95"/>
    <field x="7"/>
    <field x="9"/>
    <field x="110"/>
    <field x="197"/>
    <field x="185"/>
  </rowFields>
  <rowItems count="59">
    <i>
      <x v="1"/>
      <x/>
      <x v="16"/>
      <x v="8"/>
      <x v="10"/>
      <x v="30"/>
    </i>
    <i>
      <x v="2"/>
      <x v="1"/>
      <x v="26"/>
      <x v="13"/>
      <x v="3"/>
      <x v="41"/>
    </i>
    <i>
      <x v="3"/>
      <x v="2"/>
      <x v="18"/>
      <x v="7"/>
      <x v="24"/>
      <x v="16"/>
    </i>
    <i r="5">
      <x v="24"/>
    </i>
    <i>
      <x v="4"/>
      <x v="3"/>
      <x v="81"/>
      <x v="5"/>
      <x v="21"/>
      <x v="7"/>
    </i>
    <i r="5">
      <x v="25"/>
    </i>
    <i>
      <x v="5"/>
      <x v="4"/>
      <x v="14"/>
      <x v="1"/>
      <x v="20"/>
      <x v="4"/>
    </i>
    <i>
      <x v="6"/>
      <x v="5"/>
      <x v="12"/>
      <x v="2"/>
      <x v="16"/>
      <x v="31"/>
    </i>
    <i>
      <x v="7"/>
      <x v="6"/>
      <x v="4"/>
      <x v="10"/>
      <x v="5"/>
      <x v="47"/>
    </i>
    <i>
      <x v="8"/>
      <x v="7"/>
      <x v="73"/>
      <x v="2"/>
      <x v="16"/>
      <x v="17"/>
    </i>
    <i>
      <x v="10"/>
      <x v="11"/>
      <x v="80"/>
      <x v="3"/>
      <x v="14"/>
      <x v="5"/>
    </i>
    <i r="5">
      <x v="20"/>
    </i>
    <i r="5">
      <x v="21"/>
    </i>
    <i>
      <x v="11"/>
      <x v="11"/>
      <x v="80"/>
      <x v="15"/>
      <x v="15"/>
      <x v="18"/>
    </i>
    <i>
      <x v="12"/>
      <x v="12"/>
      <x v="45"/>
      <x v="5"/>
      <x v="21"/>
      <x v="12"/>
    </i>
    <i>
      <x v="13"/>
      <x v="13"/>
      <x v="71"/>
      <x v="2"/>
      <x v="16"/>
      <x v="26"/>
    </i>
    <i>
      <x v="14"/>
      <x v="14"/>
      <x v="65"/>
      <x v="5"/>
      <x v="21"/>
      <x v="14"/>
    </i>
    <i r="5">
      <x v="15"/>
    </i>
    <i>
      <x v="15"/>
      <x v="15"/>
      <x v="48"/>
      <x v="6"/>
      <x v="17"/>
      <x v="9"/>
    </i>
    <i>
      <x v="16"/>
      <x v="16"/>
      <x v="34"/>
      <x v="20"/>
      <x v="37"/>
      <x v="33"/>
    </i>
    <i r="5">
      <x v="37"/>
    </i>
    <i r="5">
      <x v="40"/>
    </i>
    <i r="5">
      <x v="42"/>
    </i>
    <i r="5">
      <x v="43"/>
    </i>
    <i>
      <x v="17"/>
      <x v="16"/>
      <x v="34"/>
      <x v="21"/>
      <x v="38"/>
      <x v="33"/>
    </i>
    <i r="5">
      <x v="37"/>
    </i>
    <i r="5">
      <x v="40"/>
    </i>
    <i r="5">
      <x v="42"/>
    </i>
    <i r="5">
      <x v="43"/>
    </i>
    <i>
      <x v="18"/>
      <x v="16"/>
      <x v="34"/>
      <x v="22"/>
      <x v="39"/>
      <x v="33"/>
    </i>
    <i r="5">
      <x v="37"/>
    </i>
    <i r="5">
      <x v="40"/>
    </i>
    <i r="5">
      <x v="42"/>
    </i>
    <i>
      <x v="19"/>
      <x v="17"/>
      <x v="74"/>
      <x v="7"/>
      <x v="24"/>
      <x v="34"/>
    </i>
    <i>
      <x v="20"/>
      <x v="18"/>
      <x v="85"/>
      <x v="10"/>
      <x v="5"/>
      <x v="3"/>
    </i>
    <i r="5">
      <x v="8"/>
    </i>
    <i>
      <x v="21"/>
      <x v="19"/>
      <x v="21"/>
      <x v="14"/>
      <x v="28"/>
      <x v="13"/>
    </i>
    <i>
      <x v="22"/>
      <x v="20"/>
      <x v="57"/>
      <x v="24"/>
      <x v="34"/>
      <x v="32"/>
    </i>
    <i r="5">
      <x v="44"/>
    </i>
    <i>
      <x v="23"/>
      <x v="21"/>
      <x v="36"/>
      <x v="8"/>
      <x v="10"/>
      <x v="1"/>
    </i>
    <i>
      <x v="24"/>
      <x v="21"/>
      <x v="36"/>
      <x v="9"/>
      <x v="7"/>
      <x v="11"/>
    </i>
    <i>
      <x v="25"/>
      <x v="22"/>
      <x v="49"/>
      <x v="4"/>
      <x v="6"/>
      <x v="22"/>
    </i>
    <i>
      <x v="26"/>
      <x v="23"/>
      <x v="79"/>
      <x v="5"/>
      <x v="21"/>
      <x v="10"/>
    </i>
    <i>
      <x v="27"/>
      <x v="24"/>
      <x v="33"/>
      <x v="12"/>
      <x v="30"/>
      <x v="35"/>
    </i>
    <i>
      <x v="28"/>
      <x v="25"/>
      <x v="86"/>
      <x v="19"/>
      <x v="36"/>
      <x v="28"/>
    </i>
    <i>
      <x v="29"/>
      <x v="26"/>
      <x v="82"/>
      <x v="24"/>
      <x v="34"/>
      <x v="45"/>
    </i>
    <i>
      <x v="30"/>
      <x v="26"/>
      <x v="82"/>
      <x v="26"/>
      <x v="43"/>
      <x v="45"/>
    </i>
    <i>
      <x v="31"/>
      <x v="27"/>
      <x v="61"/>
      <x v="5"/>
      <x v="21"/>
      <x v="23"/>
    </i>
    <i>
      <x v="32"/>
      <x v="28"/>
      <x v="19"/>
      <x v="23"/>
      <x v="47"/>
      <x v="2"/>
    </i>
    <i>
      <x v="33"/>
      <x v="29"/>
      <x v="23"/>
      <x v="19"/>
      <x v="36"/>
      <x v="29"/>
    </i>
    <i>
      <x v="34"/>
      <x v="29"/>
      <x v="23"/>
      <x v="25"/>
      <x v="48"/>
      <x v="29"/>
    </i>
    <i>
      <x v="35"/>
      <x v="30"/>
      <x v="29"/>
      <x v="11"/>
      <x v="29"/>
      <x v="39"/>
    </i>
    <i>
      <x v="36"/>
      <x v="30"/>
      <x v="29"/>
      <x v="16"/>
      <x v="33"/>
      <x v="39"/>
    </i>
    <i>
      <x v="37"/>
      <x v="31"/>
      <x v="90"/>
      <x v="11"/>
      <x v="29"/>
      <x v="36"/>
    </i>
    <i>
      <x v="38"/>
      <x v="32"/>
      <x v="25"/>
      <x v="18"/>
      <x v="25"/>
      <x v="46"/>
    </i>
    <i>
      <x v="39"/>
      <x v="33"/>
      <x v="77"/>
      <x v="17"/>
      <x v="40"/>
      <x v="27"/>
    </i>
    <i>
      <x v="40"/>
      <x v="34"/>
      <x v="70"/>
      <x v="5"/>
      <x v="21"/>
      <x v="6"/>
    </i>
    <i>
      <x v="41"/>
      <x v="35"/>
      <x v="52"/>
      <x v="5"/>
      <x v="21"/>
      <x v="19"/>
    </i>
    <i t="grand">
      <x/>
    </i>
  </rowItems>
  <colItems count="1">
    <i/>
  </colItems>
  <dataFields count="1">
    <dataField name="Sum of Quantity_Edited" fld="194" baseField="0" baseItem="0" numFmtId="165"/>
  </dataFields>
  <pivotTableStyleInfo name="PivotStyleLight16" showRowHeaders="1" showColHeaders="1" showRowStripes="0" showColStripes="0" showLastColumn="1"/>
  <filters count="1">
    <filter fld="18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37C97-DAA2-4413-8E49-C1D9371D3888}" name="PivotTable3" cacheId="8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O111" firstHeaderRow="1" firstDataRow="2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axis="axisRow" compact="0" showAll="0" sortType="ascending">
      <items count="92">
        <item m="1" x="83"/>
        <item m="1" x="89"/>
        <item m="1" x="81"/>
        <item x="36"/>
        <item x="33"/>
        <item x="29"/>
        <item m="1" x="53"/>
        <item m="1" x="88"/>
        <item x="26"/>
        <item x="10"/>
        <item x="7"/>
        <item m="1" x="87"/>
        <item m="1" x="44"/>
        <item m="1" x="47"/>
        <item x="20"/>
        <item x="16"/>
        <item x="9"/>
        <item m="1" x="79"/>
        <item m="1" x="76"/>
        <item m="1" x="56"/>
        <item x="1"/>
        <item x="14"/>
        <item m="1" x="85"/>
        <item m="1" x="54"/>
        <item m="1" x="48"/>
        <item m="1" x="43"/>
        <item m="1" x="80"/>
        <item x="13"/>
        <item m="1" x="50"/>
        <item m="1" x="38"/>
        <item x="12"/>
        <item m="1" x="84"/>
        <item m="1" x="78"/>
        <item x="8"/>
        <item x="4"/>
        <item x="35"/>
        <item m="1" x="86"/>
        <item x="6"/>
        <item x="11"/>
        <item m="1" x="82"/>
        <item m="1" x="77"/>
        <item m="1" x="90"/>
        <item x="2"/>
        <item m="1" x="39"/>
        <item m="1" x="59"/>
        <item x="32"/>
        <item m="1" x="73"/>
        <item m="1" x="74"/>
        <item m="1" x="65"/>
        <item x="19"/>
        <item x="0"/>
        <item x="3"/>
        <item x="22"/>
        <item m="1" x="55"/>
        <item m="1" x="46"/>
        <item m="1" x="75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compact="0" showAll="0" sortType="ascending"/>
    <pivotField axis="axisCol" compact="0" showAll="0" sortType="ascending">
      <items count="74">
        <item m="1" x="51"/>
        <item m="1" x="62"/>
        <item m="1" x="63"/>
        <item m="1" x="52"/>
        <item m="1" x="53"/>
        <item m="1" x="64"/>
        <item m="1" x="65"/>
        <item m="1" x="66"/>
        <item m="1" x="67"/>
        <item m="1" x="68"/>
        <item m="1" x="54"/>
        <item m="1" x="69"/>
        <item m="1" x="55"/>
        <item m="1" x="56"/>
        <item m="1" x="57"/>
        <item m="1" x="70"/>
        <item m="1" x="50"/>
        <item m="1" x="58"/>
        <item m="1" x="59"/>
        <item m="1" x="71"/>
        <item m="1" x="60"/>
        <item m="1" x="72"/>
        <item m="1" x="61"/>
        <item m="1" x="36"/>
        <item m="1" x="37"/>
        <item m="1" x="38"/>
        <item m="1" x="39"/>
        <item m="1" x="40"/>
        <item m="1" x="41"/>
        <item m="1" x="48"/>
        <item m="1" x="42"/>
        <item m="1" x="43"/>
        <item m="1" x="44"/>
        <item m="1" x="45"/>
        <item m="1" x="46"/>
        <item m="1" x="49"/>
        <item m="1" x="47"/>
        <item m="1" x="26"/>
        <item m="1" x="10"/>
        <item m="1" x="11"/>
        <item m="1" x="12"/>
        <item m="1" x="13"/>
        <item m="1" x="27"/>
        <item m="1" x="28"/>
        <item m="1" x="14"/>
        <item m="1" x="15"/>
        <item m="1" x="16"/>
        <item m="1" x="29"/>
        <item m="1" x="30"/>
        <item m="1" x="17"/>
        <item m="1" x="31"/>
        <item m="1" x="32"/>
        <item m="1" x="18"/>
        <item m="1" x="19"/>
        <item m="1" x="20"/>
        <item m="1" x="21"/>
        <item m="1" x="33"/>
        <item m="1" x="34"/>
        <item m="1" x="22"/>
        <item m="1" x="9"/>
        <item m="1" x="23"/>
        <item m="1" x="35"/>
        <item m="1" x="24"/>
        <item m="1" x="25"/>
        <item x="5"/>
        <item x="6"/>
        <item x="0"/>
        <item x="1"/>
        <item x="2"/>
        <item x="7"/>
        <item x="3"/>
        <item x="8"/>
        <item x="4"/>
        <item t="default"/>
      </items>
    </pivotField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m="1" x="29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x="15"/>
        <item m="1" x="46"/>
        <item m="1" x="36"/>
        <item x="3"/>
        <item x="19"/>
        <item m="1" x="45"/>
        <item m="1" x="41"/>
        <item x="17"/>
        <item x="14"/>
        <item m="1" x="38"/>
        <item x="9"/>
        <item x="10"/>
        <item x="11"/>
        <item m="1" x="49"/>
        <item m="1" x="33"/>
        <item x="26"/>
        <item m="1" x="37"/>
        <item m="1" x="28"/>
        <item m="1" x="32"/>
        <item x="20"/>
        <item x="21"/>
        <item m="1" x="40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5">
    <field x="196"/>
    <field x="200"/>
    <field x="201"/>
    <field x="9"/>
    <field x="197"/>
  </rowFields>
  <rowItems count="107">
    <i>
      <x/>
    </i>
    <i r="1">
      <x v="4"/>
    </i>
    <i r="2">
      <x v="3"/>
    </i>
    <i r="3">
      <x v="45"/>
    </i>
    <i r="4">
      <x v="20"/>
    </i>
    <i r="3">
      <x v="77"/>
    </i>
    <i r="4">
      <x v="20"/>
    </i>
    <i r="2">
      <x v="7"/>
    </i>
    <i r="3">
      <x v="66"/>
    </i>
    <i r="4">
      <x v="48"/>
    </i>
    <i>
      <x v="1"/>
    </i>
    <i r="1">
      <x v="4"/>
    </i>
    <i r="2">
      <x v="3"/>
    </i>
    <i r="3">
      <x v="75"/>
    </i>
    <i r="4">
      <x v="22"/>
    </i>
    <i r="3">
      <x v="30"/>
    </i>
    <i r="4">
      <x v="15"/>
    </i>
    <i r="3">
      <x v="34"/>
    </i>
    <i r="4">
      <x v="20"/>
    </i>
    <i r="3">
      <x v="51"/>
    </i>
    <i r="4">
      <x v="15"/>
    </i>
    <i r="3">
      <x v="50"/>
    </i>
    <i r="4">
      <x v="20"/>
    </i>
    <i r="3">
      <x v="27"/>
    </i>
    <i r="4">
      <x v="20"/>
    </i>
    <i r="3">
      <x v="81"/>
    </i>
    <i r="4">
      <x v="15"/>
    </i>
    <i r="3">
      <x v="15"/>
    </i>
    <i r="4">
      <x v="16"/>
    </i>
    <i r="3">
      <x v="4"/>
    </i>
    <i r="4">
      <x v="19"/>
    </i>
    <i r="3">
      <x v="14"/>
    </i>
    <i r="4">
      <x v="20"/>
    </i>
    <i r="3">
      <x v="88"/>
    </i>
    <i r="4">
      <x v="22"/>
    </i>
    <i r="3">
      <x v="49"/>
    </i>
    <i r="4">
      <x v="20"/>
    </i>
    <i r="3">
      <x v="90"/>
    </i>
    <i r="4">
      <x v="50"/>
    </i>
    <i r="2">
      <x v="7"/>
    </i>
    <i r="3">
      <x v="52"/>
    </i>
    <i r="4">
      <x v="41"/>
    </i>
    <i r="1">
      <x v="3"/>
    </i>
    <i r="2">
      <x v="2"/>
    </i>
    <i r="3">
      <x v="33"/>
    </i>
    <i r="4">
      <x v="13"/>
    </i>
    <i r="4">
      <x v="14"/>
    </i>
    <i r="3">
      <x v="37"/>
    </i>
    <i r="4">
      <x v="4"/>
    </i>
    <i r="3">
      <x v="87"/>
    </i>
    <i r="4">
      <x v="2"/>
    </i>
    <i r="3">
      <x v="16"/>
    </i>
    <i r="4">
      <x v="5"/>
    </i>
    <i r="3">
      <x v="89"/>
    </i>
    <i r="4">
      <x v="4"/>
    </i>
    <i r="3">
      <x v="8"/>
    </i>
    <i r="4">
      <x v="13"/>
    </i>
    <i r="1">
      <x v="6"/>
    </i>
    <i r="2">
      <x v="9"/>
    </i>
    <i r="3">
      <x v="65"/>
    </i>
    <i r="4">
      <x v="25"/>
    </i>
    <i r="1">
      <x v="1"/>
    </i>
    <i r="2">
      <x v="4"/>
    </i>
    <i r="3">
      <x v="38"/>
    </i>
    <i r="4">
      <x v="45"/>
    </i>
    <i r="3">
      <x v="82"/>
    </i>
    <i r="4">
      <x v="42"/>
    </i>
    <i r="4">
      <x v="45"/>
    </i>
    <i r="3">
      <x v="21"/>
    </i>
    <i r="4">
      <x v="30"/>
    </i>
    <i r="3">
      <x v="9"/>
    </i>
    <i r="4">
      <x v="32"/>
    </i>
    <i r="4">
      <x v="33"/>
    </i>
    <i r="4">
      <x v="34"/>
    </i>
    <i r="3">
      <x v="35"/>
    </i>
    <i r="4">
      <x v="30"/>
    </i>
    <i r="4">
      <x v="37"/>
    </i>
    <i r="1">
      <x v="2"/>
    </i>
    <i r="2">
      <x v="1"/>
    </i>
    <i r="3">
      <x v="10"/>
    </i>
    <i r="4">
      <x v="6"/>
    </i>
    <i r="4">
      <x v="9"/>
    </i>
    <i r="3">
      <x v="5"/>
    </i>
    <i r="4">
      <x v="9"/>
    </i>
    <i r="1">
      <x v="5"/>
    </i>
    <i r="2">
      <x v="8"/>
    </i>
    <i r="3">
      <x v="70"/>
    </i>
    <i r="4">
      <x v="26"/>
    </i>
    <i r="3">
      <x v="86"/>
    </i>
    <i r="4">
      <x v="47"/>
    </i>
    <i r="3">
      <x v="85"/>
    </i>
    <i r="4">
      <x v="29"/>
    </i>
    <i r="4">
      <x v="47"/>
    </i>
    <i r="1">
      <x/>
    </i>
    <i r="2">
      <x/>
    </i>
    <i r="3">
      <x v="50"/>
    </i>
    <i r="4">
      <x/>
    </i>
    <i r="3">
      <x v="20"/>
    </i>
    <i r="4">
      <x/>
    </i>
    <i r="3">
      <x v="42"/>
    </i>
    <i r="4">
      <x/>
    </i>
    <i>
      <x v="2"/>
    </i>
    <i r="1">
      <x/>
    </i>
    <i r="2">
      <x/>
    </i>
    <i r="3">
      <x v="3"/>
    </i>
    <i r="4">
      <x/>
    </i>
    <i t="grand">
      <x/>
    </i>
  </rowItems>
  <colFields count="1">
    <field x="193"/>
  </colFields>
  <colItems count="10"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colItems>
  <dataFields count="1">
    <dataField name="Sum of Amount in local currency" fld="8" baseField="0" baseItem="0" numFmtId="165"/>
  </dataFields>
  <formats count="3">
    <format dxfId="62">
      <pivotArea outline="0" collapsedLevelsAreSubtotals="1" fieldPosition="0"/>
    </format>
    <format dxfId="61">
      <pivotArea dataOnly="0" labelOnly="1" outline="0" fieldPosition="0">
        <references count="1">
          <reference field="193" count="0"/>
        </references>
      </pivotArea>
    </format>
    <format dxfId="60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D88DE-F091-4BF9-99B4-D26016DB15D3}" name="PivotTable3" cacheId="8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N57" firstHeaderRow="1" firstDataRow="2" firstDataCol="4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compact="0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axis="axisCol" compact="0" showAll="0" sortType="ascending">
      <items count="32">
        <item x="5"/>
        <item x="6"/>
        <item x="0"/>
        <item x="1"/>
        <item m="1" x="10"/>
        <item x="2"/>
        <item x="7"/>
        <item x="3"/>
        <item x="8"/>
        <item x="4"/>
        <item m="1" x="11"/>
        <item m="1" x="21"/>
        <item m="1" x="22"/>
        <item m="1" x="12"/>
        <item m="1" x="23"/>
        <item m="1" x="24"/>
        <item m="1" x="13"/>
        <item m="1" x="14"/>
        <item m="1" x="15"/>
        <item m="1" x="16"/>
        <item m="1" x="25"/>
        <item m="1" x="28"/>
        <item m="1" x="26"/>
        <item m="1" x="17"/>
        <item m="1" x="9"/>
        <item m="1" x="18"/>
        <item m="1" x="27"/>
        <item m="1" x="19"/>
        <item m="1" x="20"/>
        <item m="1" x="30"/>
        <item m="1" x="29"/>
        <item t="default"/>
      </items>
    </pivotField>
    <pivotField compact="0" showAll="0"/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4">
    <field x="196"/>
    <field x="200"/>
    <field x="201"/>
    <field x="197"/>
  </rowFields>
  <rowItems count="53">
    <i>
      <x/>
    </i>
    <i r="1">
      <x v="4"/>
    </i>
    <i r="2">
      <x v="3"/>
    </i>
    <i r="3">
      <x v="13"/>
    </i>
    <i r="2">
      <x v="7"/>
    </i>
    <i r="3">
      <x v="48"/>
    </i>
    <i>
      <x v="1"/>
    </i>
    <i r="1">
      <x v="4"/>
    </i>
    <i r="2">
      <x v="3"/>
    </i>
    <i r="3">
      <x v="10"/>
    </i>
    <i r="3">
      <x v="11"/>
    </i>
    <i r="3">
      <x v="13"/>
    </i>
    <i r="3">
      <x v="15"/>
    </i>
    <i r="3">
      <x v="37"/>
    </i>
    <i r="3">
      <x v="50"/>
    </i>
    <i r="2">
      <x v="7"/>
    </i>
    <i r="3">
      <x v="27"/>
    </i>
    <i r="1">
      <x v="3"/>
    </i>
    <i r="2">
      <x v="2"/>
    </i>
    <i r="3">
      <x v="1"/>
    </i>
    <i r="3">
      <x v="2"/>
    </i>
    <i r="3">
      <x v="3"/>
    </i>
    <i r="3">
      <x v="8"/>
    </i>
    <i r="3">
      <x v="9"/>
    </i>
    <i r="1">
      <x v="6"/>
    </i>
    <i r="2">
      <x v="9"/>
    </i>
    <i r="3">
      <x v="16"/>
    </i>
    <i r="1">
      <x v="1"/>
    </i>
    <i r="2">
      <x v="4"/>
    </i>
    <i r="3">
      <x v="18"/>
    </i>
    <i r="3">
      <x v="20"/>
    </i>
    <i r="3">
      <x v="21"/>
    </i>
    <i r="3">
      <x v="22"/>
    </i>
    <i r="3">
      <x v="25"/>
    </i>
    <i r="3">
      <x v="28"/>
    </i>
    <i r="3">
      <x v="45"/>
    </i>
    <i r="1">
      <x v="2"/>
    </i>
    <i r="2">
      <x v="1"/>
    </i>
    <i r="3">
      <x v="4"/>
    </i>
    <i r="3">
      <x v="39"/>
    </i>
    <i r="1">
      <x v="5"/>
    </i>
    <i r="2">
      <x v="8"/>
    </i>
    <i r="3">
      <x v="17"/>
    </i>
    <i r="3">
      <x v="41"/>
    </i>
    <i r="3">
      <x v="47"/>
    </i>
    <i r="1">
      <x/>
    </i>
    <i r="2">
      <x/>
    </i>
    <i r="3">
      <x/>
    </i>
    <i>
      <x v="2"/>
    </i>
    <i r="1">
      <x/>
    </i>
    <i r="2">
      <x/>
    </i>
    <i r="3">
      <x/>
    </i>
    <i t="grand">
      <x/>
    </i>
  </rowItems>
  <colFields count="1">
    <field x="192"/>
  </colFields>
  <col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mount in local currency" fld="8" baseField="0" baseItem="0" numFmtId="165"/>
  </dataFields>
  <formats count="1">
    <format dxfId="59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93989-E4DF-42EB-91DC-282BC71B46E2}" name="PivotTable3" cacheId="8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J101" firstHeaderRow="0" firstDataRow="1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axis="axisRow" compact="0" showAll="0" sortType="ascending">
      <items count="92">
        <item m="1" x="83"/>
        <item m="1" x="89"/>
        <item m="1" x="46"/>
        <item m="1" x="81"/>
        <item x="36"/>
        <item x="2"/>
        <item x="33"/>
        <item m="1" x="90"/>
        <item x="29"/>
        <item m="1" x="65"/>
        <item x="22"/>
        <item m="1" x="55"/>
        <item m="1" x="53"/>
        <item m="1" x="88"/>
        <item x="26"/>
        <item m="1" x="75"/>
        <item m="1" x="59"/>
        <item x="10"/>
        <item x="7"/>
        <item m="1" x="87"/>
        <item m="1" x="74"/>
        <item m="1" x="44"/>
        <item m="1" x="47"/>
        <item m="1" x="39"/>
        <item x="20"/>
        <item m="1" x="73"/>
        <item x="16"/>
        <item x="9"/>
        <item m="1" x="79"/>
        <item m="1" x="76"/>
        <item m="1" x="56"/>
        <item x="1"/>
        <item x="14"/>
        <item m="1" x="85"/>
        <item m="1" x="54"/>
        <item x="19"/>
        <item m="1" x="48"/>
        <item m="1" x="43"/>
        <item m="1" x="80"/>
        <item x="13"/>
        <item m="1" x="50"/>
        <item x="32"/>
        <item x="3"/>
        <item m="1" x="38"/>
        <item x="12"/>
        <item m="1" x="84"/>
        <item m="1" x="78"/>
        <item x="0"/>
        <item x="8"/>
        <item x="4"/>
        <item x="35"/>
        <item m="1" x="86"/>
        <item x="6"/>
        <item x="11"/>
        <item m="1" x="82"/>
        <item m="1" x="77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dataField="1" compact="0" numFmtId="165" showAll="0"/>
    <pivotField compact="0" numFmtId="22" showAll="0"/>
    <pivotField compact="0" numFmtId="165" showAll="0"/>
    <pivotField compact="0" showAll="0" sortType="ascending"/>
    <pivotField compact="0" showAll="0"/>
    <pivotField dataField="1"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showAll="0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5">
    <field x="196"/>
    <field x="200"/>
    <field x="201"/>
    <field x="197"/>
    <field x="9"/>
  </rowFields>
  <rowItems count="98">
    <i>
      <x/>
    </i>
    <i r="1">
      <x v="4"/>
    </i>
    <i r="2">
      <x v="3"/>
    </i>
    <i r="3">
      <x v="13"/>
    </i>
    <i r="4">
      <x v="41"/>
    </i>
    <i r="4">
      <x v="77"/>
    </i>
    <i r="2">
      <x v="7"/>
    </i>
    <i r="3">
      <x v="48"/>
    </i>
    <i r="4">
      <x v="66"/>
    </i>
    <i>
      <x v="1"/>
    </i>
    <i r="1">
      <x v="4"/>
    </i>
    <i r="2">
      <x v="3"/>
    </i>
    <i r="3">
      <x v="10"/>
    </i>
    <i r="4">
      <x v="44"/>
    </i>
    <i r="4">
      <x v="42"/>
    </i>
    <i r="4">
      <x v="81"/>
    </i>
    <i r="3">
      <x v="11"/>
    </i>
    <i r="4">
      <x v="26"/>
    </i>
    <i r="3">
      <x v="13"/>
    </i>
    <i r="4">
      <x v="49"/>
    </i>
    <i r="4">
      <x v="47"/>
    </i>
    <i r="4">
      <x v="39"/>
    </i>
    <i r="4">
      <x v="24"/>
    </i>
    <i r="4">
      <x v="35"/>
    </i>
    <i r="3">
      <x v="15"/>
    </i>
    <i r="4">
      <x v="75"/>
    </i>
    <i r="4">
      <x v="88"/>
    </i>
    <i r="3">
      <x v="37"/>
    </i>
    <i r="4">
      <x v="6"/>
    </i>
    <i r="3">
      <x v="50"/>
    </i>
    <i r="4">
      <x v="90"/>
    </i>
    <i r="2">
      <x v="7"/>
    </i>
    <i r="3">
      <x v="27"/>
    </i>
    <i r="4">
      <x v="10"/>
    </i>
    <i r="1">
      <x v="3"/>
    </i>
    <i r="2">
      <x v="2"/>
    </i>
    <i r="3">
      <x v="1"/>
    </i>
    <i r="4">
      <x v="87"/>
    </i>
    <i r="3">
      <x v="2"/>
    </i>
    <i r="4">
      <x v="52"/>
    </i>
    <i r="4">
      <x v="89"/>
    </i>
    <i r="3">
      <x v="3"/>
    </i>
    <i r="4">
      <x v="27"/>
    </i>
    <i r="3">
      <x v="8"/>
    </i>
    <i r="4">
      <x v="48"/>
    </i>
    <i r="4">
      <x v="14"/>
    </i>
    <i r="3">
      <x v="9"/>
    </i>
    <i r="4">
      <x v="48"/>
    </i>
    <i r="1">
      <x v="6"/>
    </i>
    <i r="2">
      <x v="9"/>
    </i>
    <i r="3">
      <x v="16"/>
    </i>
    <i r="4">
      <x v="65"/>
    </i>
    <i r="1">
      <x v="1"/>
    </i>
    <i r="2">
      <x v="4"/>
    </i>
    <i r="3">
      <x v="18"/>
    </i>
    <i r="4">
      <x v="32"/>
    </i>
    <i r="4">
      <x v="50"/>
    </i>
    <i r="3">
      <x v="20"/>
    </i>
    <i r="4">
      <x v="17"/>
    </i>
    <i r="3">
      <x v="21"/>
    </i>
    <i r="4">
      <x v="17"/>
    </i>
    <i r="3">
      <x v="22"/>
    </i>
    <i r="4">
      <x v="17"/>
    </i>
    <i r="3">
      <x v="25"/>
    </i>
    <i r="4">
      <x v="50"/>
    </i>
    <i r="3">
      <x v="28"/>
    </i>
    <i r="4">
      <x v="82"/>
    </i>
    <i r="3">
      <x v="45"/>
    </i>
    <i r="4">
      <x v="53"/>
    </i>
    <i r="4">
      <x v="82"/>
    </i>
    <i r="1">
      <x v="2"/>
    </i>
    <i r="2">
      <x v="1"/>
    </i>
    <i r="3">
      <x v="4"/>
    </i>
    <i r="4">
      <x v="18"/>
    </i>
    <i r="3">
      <x v="39"/>
    </i>
    <i r="4">
      <x v="18"/>
    </i>
    <i r="4">
      <x v="8"/>
    </i>
    <i r="1">
      <x v="5"/>
    </i>
    <i r="2">
      <x v="8"/>
    </i>
    <i r="3">
      <x v="17"/>
    </i>
    <i r="4">
      <x v="85"/>
    </i>
    <i r="3">
      <x v="41"/>
    </i>
    <i r="4">
      <x v="70"/>
    </i>
    <i r="3">
      <x v="47"/>
    </i>
    <i r="4">
      <x v="86"/>
    </i>
    <i r="4">
      <x v="85"/>
    </i>
    <i r="1">
      <x/>
    </i>
    <i r="2">
      <x/>
    </i>
    <i r="3">
      <x/>
    </i>
    <i r="4">
      <x v="47"/>
    </i>
    <i r="4">
      <x v="31"/>
    </i>
    <i r="4">
      <x v="5"/>
    </i>
    <i>
      <x v="2"/>
    </i>
    <i r="1">
      <x/>
    </i>
    <i r="2">
      <x/>
    </i>
    <i r="3">
      <x/>
    </i>
    <i r="4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uantity_Edited" fld="194" baseField="0" baseItem="0" numFmtId="165"/>
    <dataField name="Sum of Dthu (USD)" fld="189" baseField="0" baseItem="0" numFmtId="165"/>
    <dataField name="Sum of GBTB (USD/ton)" fld="202" baseField="0" baseItem="0" numFmtId="165"/>
    <dataField name="Sum of Average EXR" fld="203" baseField="0" baseItem="0"/>
    <dataField name="Sum of GBTB (VND/kg)" fld="204" baseField="0" baseItem="0"/>
  </dataFields>
  <formats count="1">
    <format dxfId="58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9B8EB-37BD-451B-9032-964AB907DE17}" name="Data_FAGLL03" displayName="Data_FAGLL03" ref="A3:GT141" totalsRowShown="0">
  <autoFilter ref="A3:GT141" xr:uid="{D089B8EB-37BD-451B-9032-964AB907DE17}"/>
  <tableColumns count="202">
    <tableColumn id="1" xr3:uid="{0636B661-482B-473C-8FA4-BE6A6725D791}" name="Company Code"/>
    <tableColumn id="2" xr3:uid="{E04C2F9B-3390-4F5A-AA32-3441CF0A124A}" name="Posting Date" dataDxfId="57"/>
    <tableColumn id="3" xr3:uid="{C019F427-A442-462A-9AFE-9A764344B627}" name="Document Number"/>
    <tableColumn id="4" xr3:uid="{8037BBAF-EA75-48E0-8D80-6A4DD5B5219E}" name="Reversed with"/>
    <tableColumn id="5" xr3:uid="{C7D27196-D982-4BE3-9581-E1AFB39F9FC6}" name="Cost Center"/>
    <tableColumn id="6" xr3:uid="{06E1661A-BFC4-48A7-AD83-62F731AD4032}" name="G/L Account"/>
    <tableColumn id="7" xr3:uid="{44661582-0A6D-4353-B7F4-E946199E2305}" name="Cost Element"/>
    <tableColumn id="8" xr3:uid="{D43D0006-89E4-4F9A-A104-171E86A109CB}" name="Offsetting acct no."/>
    <tableColumn id="9" xr3:uid="{839962D9-8264-4397-AF62-21C8CE002BAE}" name="Amount in local currency" dataDxfId="56" dataCellStyle="Comma"/>
    <tableColumn id="10" xr3:uid="{D5B2D7F8-5793-48E2-8534-459947B43D26}" name="Name of offsetting account"/>
    <tableColumn id="11" xr3:uid="{E5E983B4-8B9A-4BC6-A4D1-B3C7771796F7}" name="Text"/>
    <tableColumn id="12" xr3:uid="{8069CE8A-FE07-4B0F-8E67-1778735A56F0}" name="User name"/>
    <tableColumn id="13" xr3:uid="{1333972F-DF10-4E27-9E59-8A6A5B9AE123}" name="Posting period"/>
    <tableColumn id="14" xr3:uid="{F845B063-1C4F-4737-AE60-BBF4C5EA4EB9}" name="Fiscal Year"/>
    <tableColumn id="15" xr3:uid="{D3532D7F-C98C-4B5E-AF48-A623D96AD579}" name="Assignment"/>
    <tableColumn id="16" xr3:uid="{285C8B45-F84E-48ED-886E-ED6ABEAEBA16}" name="Reference"/>
    <tableColumn id="17" xr3:uid="{563D475B-31D4-4D51-8EA9-95704E7529C0}" name="Account"/>
    <tableColumn id="18" xr3:uid="{5B4951C1-A771-429E-9D57-75830B1E49D3}" name="Account Type"/>
    <tableColumn id="19" xr3:uid="{9AFD8AD8-0385-47E8-9E11-1D2903C2A5E7}" name="Accts rble pled.ind."/>
    <tableColumn id="20" xr3:uid="{C4DD7D89-B5D4-456D-9E15-BBEDC1DA042A}" name="Amount" dataDxfId="55"/>
    <tableColumn id="21" xr3:uid="{8AB57F04-CDB9-40B2-9AE1-2EAECE33D9BB}" name="Amount in doc. curr." dataDxfId="54" dataCellStyle="Comma"/>
    <tableColumn id="22" xr3:uid="{1770703D-EE1B-4403-A991-CB088EE583AF}" name="Amount in LC" dataDxfId="53"/>
    <tableColumn id="23" xr3:uid="{AC1293FB-9E86-439D-A885-D6A966DF2CA5}" name="Amount in loc.curr.2" dataDxfId="52"/>
    <tableColumn id="24" xr3:uid="{AF04DED1-4141-4738-B2DF-DCACC8A6C380}" name="Amt in loc.curr. 3" dataDxfId="51"/>
    <tableColumn id="25" xr3:uid="{467E0817-65D1-461E-8128-972DF8345338}" name="Amt in payment currency" dataDxfId="50"/>
    <tableColumn id="26" xr3:uid="{D7F957FE-9A60-4D54-B5F6-268E31F3C72A}" name="Arrears after net due date" dataDxfId="49"/>
    <tableColumn id="27" xr3:uid="{B18C8980-5A9A-49E0-A20B-268E7D0A7978}" name="Arrears for discount 1" dataDxfId="48"/>
    <tableColumn id="28" xr3:uid="{ECB22C3C-0DFA-4FC6-B710-724B9F3A3106}" name="Asset"/>
    <tableColumn id="29" xr3:uid="{1AD15480-5612-4329-944B-F482596C34F0}" name="Base Unit of Measure"/>
    <tableColumn id="30" xr3:uid="{951A0D33-D2B8-4AAB-B3C1-2869C12852AC}" name="Baseline Payment Dte" dataDxfId="47"/>
    <tableColumn id="31" xr3:uid="{F2ADE1E3-2B4E-47F8-8968-0761E7F99275}" name="Bill/Exchange Usage"/>
    <tableColumn id="32" xr3:uid="{B6E1DD9C-F7D7-4AD8-8D98-BC64B70E1F4F}" name="Billing Document"/>
    <tableColumn id="33" xr3:uid="{BD1494F0-9BA5-4456-A173-07BD7743262F}" name="Branch account"/>
    <tableColumn id="34" xr3:uid="{E1FAF35C-9630-48E7-95A5-49E88108349E}" name="Business Area"/>
    <tableColumn id="35" xr3:uid="{1908A124-6659-4972-A0E9-95CCF5A8842A}" name="Business Place"/>
    <tableColumn id="36" xr3:uid="{BF6D38E8-3BFA-477A-B22E-1E5B924EA826}" name="Business Transaction"/>
    <tableColumn id="37" xr3:uid="{47EC4321-D188-4AF9-8C7B-63282CD3C918}" name="Cash disc. amt LC" dataDxfId="46"/>
    <tableColumn id="38" xr3:uid="{BC5F21A0-13CD-469E-90C5-46478C7E5BC1}" name="Cash disc.1 due"/>
    <tableColumn id="39" xr3:uid="{92E8F0BA-2CDF-4051-BD7F-9AAEF3AD4312}" name="Cleared/open items symbol" dataDxfId="45"/>
    <tableColumn id="40" xr3:uid="{BBC7772A-9C72-468B-8FDA-D28141831814}" name="Cleared/open items symbol2"/>
    <tableColumn id="41" xr3:uid="{9722C541-10B9-4F3E-B8E7-E9F3209600A0}" name="Clearing date" dataDxfId="44"/>
    <tableColumn id="42" xr3:uid="{98F7786C-03F3-4DF6-9285-6BA4E0DB5236}" name="Clearing Document"/>
    <tableColumn id="43" xr3:uid="{C0FFCC8D-909E-4CB3-90E4-06F294B40DDE}" name="Clearing Fiscal Year"/>
    <tableColumn id="44" xr3:uid="{4EE433EF-585C-4433-8C67-17471B7EDB7E}" name="Clearing item" dataDxfId="43"/>
    <tableColumn id="45" xr3:uid="{E2218264-FB42-4F6C-ADB1-E6552DEA04B9}" name="Clearing Specific to Ledger Groups"/>
    <tableColumn id="46" xr3:uid="{1B4C9A9E-A017-4001-BB41-0BBCEAE8F656}" name="Collective invoice"/>
    <tableColumn id="47" xr3:uid="{0546A73C-59ED-4353-8034-B43E263027CD}" name="Contract Number"/>
    <tableColumn id="48" xr3:uid="{7255F129-41EC-46B3-9A33-4F2DFD170745}" name="Contract Type"/>
    <tableColumn id="49" xr3:uid="{6600ACC9-F8C0-4CD1-B6FF-9C12D4919EA4}" name="Controlling Area"/>
    <tableColumn id="50" xr3:uid="{2ABE4B30-2326-4E1C-9D09-5A94430B5632}" name="Credit Control Area"/>
    <tableColumn id="51" xr3:uid="{67773ED1-E1B3-4F8B-B8CF-756C3BD4DC3F}" name="Credit control area currency"/>
    <tableColumn id="52" xr3:uid="{E058167A-A288-449D-95D9-0A9F044D5906}" name="Current cash disc. amount" dataDxfId="42"/>
    <tableColumn id="53" xr3:uid="{36160065-48A4-4557-B26E-2D0787D5E70B}" name="Customer"/>
    <tableColumn id="54" xr3:uid="{7DFD0CFE-D0C2-48D2-BE3A-EC7F3383E3CA}" name="Days 1" dataDxfId="41"/>
    <tableColumn id="55" xr3:uid="{6B7555D8-0910-4620-9198-C14F86FC0DBA}" name="Days 2" dataDxfId="40"/>
    <tableColumn id="56" xr3:uid="{5A776526-3CC9-4012-9319-4FEFB465BBDA}" name="Days net" dataDxfId="39"/>
    <tableColumn id="57" xr3:uid="{172C4C33-B16D-46B4-B5E6-DFCB446BB492}" name="Debit/Credit Ind."/>
    <tableColumn id="58" xr3:uid="{A6D12E88-75F8-4E63-A36E-CB41457BAE2B}" name="Discount 1 due date symbol"/>
    <tableColumn id="59" xr3:uid="{AE914BB9-DDC9-4821-91D9-6D27BD4C1AAB}" name="Discount amount" dataDxfId="38"/>
    <tableColumn id="60" xr3:uid="{97ED2CC0-915F-4B09-8D31-104BBB93E71F}" name="Discount base amount" dataDxfId="37"/>
    <tableColumn id="61" xr3:uid="{ECB5742D-2B7F-49E9-BE36-1975BF2556AB}" name="Discount Percent 1" dataDxfId="36"/>
    <tableColumn id="62" xr3:uid="{AC407D5E-74E1-4680-B9E6-D1154C3DCD93}" name="Discount Percent 2" dataDxfId="35"/>
    <tableColumn id="63" xr3:uid="{0412B66A-FDC6-41DD-8408-A9EC2338E243}" name="Disputed item"/>
    <tableColumn id="64" xr3:uid="{AA780058-01FC-41BE-B816-A3A38648600C}" name="Doc.status"/>
    <tableColumn id="65" xr3:uid="{6AD8F8EC-C157-4A82-A513-0ECE4EDAA930}" name="Document archived"/>
    <tableColumn id="66" xr3:uid="{89AB976F-DB06-4E7C-BD90-8A3167281C72}" name="Document currency"/>
    <tableColumn id="67" xr3:uid="{C226C809-9FFA-414A-B52B-27BFBA0FFE41}" name="Document Date" dataDxfId="34"/>
    <tableColumn id="68" xr3:uid="{40668DD7-EC86-47EC-BBD7-E9073F120C19}" name="Document Header Text"/>
    <tableColumn id="69" xr3:uid="{2768963B-1FE2-4C4A-B54F-066A43849C2C}" name="Document Number G/L"/>
    <tableColumn id="70" xr3:uid="{54A9E072-C4E8-46D1-8ABA-FBACA83FBBCE}" name="Document Type"/>
    <tableColumn id="71" xr3:uid="{A44204E0-9594-4003-9F1D-550A5C7F1168}" name="Due net"/>
    <tableColumn id="72" xr3:uid="{842DE581-0774-4D7B-8116-DB6388F5C913}" name="Dunning Area"/>
    <tableColumn id="73" xr3:uid="{9E32AC36-81C5-4E39-B012-AEC249FF478B}" name="Dunning Block"/>
    <tableColumn id="74" xr3:uid="{CBC91A5A-AA5A-4C5E-A3A8-C3AF78E408E8}" name="Dunning Key"/>
    <tableColumn id="75" xr3:uid="{CEE75911-783F-4504-A04D-FF03BF3E8495}" name="Dunning Level"/>
    <tableColumn id="76" xr3:uid="{5232D02C-E212-4EEC-8803-5993100692C0}" name="Eff.exchange rate"/>
    <tableColumn id="77" xr3:uid="{8B9973E0-D110-4AD8-B3D5-F7FFE0B57B88}" name="Entry Date" dataDxfId="33"/>
    <tableColumn id="78" xr3:uid="{2B2A7524-36E1-462A-A396-983342AE66C2}" name="Equity Group"/>
    <tableColumn id="79" xr3:uid="{29E8323F-FEBF-4B86-BACB-F833F161DB2D}" name="Fixed"/>
    <tableColumn id="80" xr3:uid="{B5DEC083-EF5F-4720-966B-BD76C38B09D5}" name="Flow Type"/>
    <tableColumn id="81" xr3:uid="{372CEBA9-E2E6-4D8F-A766-268029FA34CC}" name="FM Area"/>
    <tableColumn id="82" xr3:uid="{07711841-CAE3-4CA7-B498-8AB4A947DB84}" name="Follow-on doc.type"/>
    <tableColumn id="83" xr3:uid="{C68716A9-64CD-4726-B454-D1E61BD9B262}" name="Functional Area"/>
    <tableColumn id="84" xr3:uid="{9DC03401-1C62-4D07-AB8D-CEE625B7AC9A}" name="Functional Area3"/>
    <tableColumn id="85" xr3:uid="{9BC4A47F-2460-4A51-AD3F-9E0F9B47E46E}" name="Fund"/>
    <tableColumn id="86" xr3:uid="{09BA7B93-BBCA-432D-82A1-1E47026D784A}" name="G/L Account4"/>
    <tableColumn id="87" xr3:uid="{B5768188-40C3-4478-8EE3-9A2B632AD44A}" name="G/L Fiscal Year"/>
    <tableColumn id="88" xr3:uid="{12170C68-DF56-4CBF-989C-AB28B1701A52}" name="General ledger amount" dataDxfId="32"/>
    <tableColumn id="89" xr3:uid="{DB938B66-F365-4C3D-AC58-39D3B6CEF225}" name="General ledger currency"/>
    <tableColumn id="90" xr3:uid="{077EEA6E-9AF3-4F46-A08F-44745FF9F661}" name="General Ledger Item"/>
    <tableColumn id="91" xr3:uid="{DFDCDADA-A7F3-4C98-8C97-86D1A4DB7CC2}" name="Grant"/>
    <tableColumn id="92" xr3:uid="{0394A276-248B-44A9-BAF3-4684436CADF6}" name="Hedged amount" dataDxfId="31"/>
    <tableColumn id="93" xr3:uid="{6E170C13-42D6-4217-9FA1-C059EB405BC1}" name="Instruction Key 1"/>
    <tableColumn id="94" xr3:uid="{D734AFA9-2CC3-4AE5-A313-978BDDAB509B}" name="Instruction Key 2"/>
    <tableColumn id="95" xr3:uid="{736575FD-BDA8-4661-A476-E7D38023589B}" name="Instruction Key 3"/>
    <tableColumn id="96" xr3:uid="{2A13C9BD-F8A6-4A6D-9703-078E28D57D01}" name="Instruction Key 4"/>
    <tableColumn id="97" xr3:uid="{E8AFF6CA-9505-4F66-AC29-82F4CE7C807B}" name="Int.calc.numerator" dataDxfId="30"/>
    <tableColumn id="98" xr3:uid="{4DF012CB-078D-4195-83BE-480C2ACF506E}" name="Invoice reference"/>
    <tableColumn id="99" xr3:uid="{6B96255F-202A-4ED3-9713-19C9B17C4106}" name="Item"/>
    <tableColumn id="100" xr3:uid="{9B943DDD-BA8E-4017-B453-65214D2BEE67}" name="Joint Venture"/>
    <tableColumn id="101" xr3:uid="{14256E68-A073-404F-A346-A1DC87AEB646}" name="Last Dunned" dataDxfId="29"/>
    <tableColumn id="102" xr3:uid="{DD0D9253-09CD-4617-A0AA-DC150D286CD3}" name="Ledger"/>
    <tableColumn id="103" xr3:uid="{1683250E-6A8E-49E7-87C5-3C6263492E6E}" name="Ledger Group"/>
    <tableColumn id="104" xr3:uid="{AEDB37B2-E736-433E-8C02-138BFFECF5E6}" name="Line item"/>
    <tableColumn id="105" xr3:uid="{79126DC9-493F-4A4A-B391-E25E2CC015FC}" name="Line item ID"/>
    <tableColumn id="106" xr3:uid="{BD8A2008-31F5-4620-95AF-7D862F92EE9E}" name="Local Currency"/>
    <tableColumn id="107" xr3:uid="{F6FFE581-2293-4B3C-AF33-455D65A515D7}" name="Local currency 2"/>
    <tableColumn id="108" xr3:uid="{E408ABC0-C637-4D43-B125-D7DF311AC30E}" name="Local currency 3"/>
    <tableColumn id="109" xr3:uid="{F2DABCED-AC0D-4E71-A945-9B2228567A05}" name="Logical System"/>
    <tableColumn id="110" xr3:uid="{1C3B1EE9-DD12-4BA5-A2EF-A19F51463FF9}" name="Long text"/>
    <tableColumn id="111" xr3:uid="{27D0C075-E05B-443D-88C6-D1C8C58A4995}" name="Material"/>
    <tableColumn id="112" xr3:uid="{58B07A32-52D6-4B72-AD5B-40F04C4F0630}" name="Negative posting"/>
    <tableColumn id="113" xr3:uid="{4BA744AA-E574-445F-81A4-60E50834443F}" name="Net due date" dataDxfId="28"/>
    <tableColumn id="114" xr3:uid="{B1CFA7C7-5711-47C1-813D-3BBD13500C0A}" name="Net due date symbol"/>
    <tableColumn id="115" xr3:uid="{C8E77964-2459-4F86-8EF1-380C02870EBD}" name="Offsett.account type"/>
    <tableColumn id="116" xr3:uid="{90091C1F-AFDC-4A24-B1E2-2654B1F772F0}" name="Open Item Management"/>
    <tableColumn id="117" xr3:uid="{60CE335B-85E8-4272-907E-C0F3EA4D93B0}" name="Open Itm Reorganized"/>
    <tableColumn id="118" xr3:uid="{A256CF32-7F98-46A2-BDC8-BF0D73FA3275}" name="Order"/>
    <tableColumn id="119" xr3:uid="{A76E2DBA-1A10-4D43-88E3-FD1CB4BC07CB}" name="Partner cost center"/>
    <tableColumn id="120" xr3:uid="{CE964396-C146-4A53-AC45-0673626DFE99}" name="Partner Func. Area"/>
    <tableColumn id="121" xr3:uid="{67EBDEF8-086E-4DE6-A0DD-D62508A46938}" name="Partner Fund"/>
    <tableColumn id="122" xr3:uid="{B277795E-2C1A-436B-9F73-ACE6F237469D}" name="Partner Grant"/>
    <tableColumn id="123" xr3:uid="{0B71A454-86E6-496F-A8A1-34D06A81CF7B}" name="Partner Profit Ctr"/>
    <tableColumn id="124" xr3:uid="{76A5FFDC-2B64-43C4-B9E7-02C846FA4D6D}" name="Partner Segment"/>
    <tableColumn id="125" xr3:uid="{535E8BE9-ED75-4552-95C1-0FE7F3F8F726}" name="Payment Block"/>
    <tableColumn id="126" xr3:uid="{170790F3-4E07-4AF8-B2B0-28135FE3A5BB}" name="Payment date" dataDxfId="27"/>
    <tableColumn id="127" xr3:uid="{AD3DDAE8-6EC8-41EF-87D6-BC3A628373CE}" name="Payment Method"/>
    <tableColumn id="128" xr3:uid="{B5EBADE5-C384-4344-B097-33CC71562817}" name="Payment order"/>
    <tableColumn id="129" xr3:uid="{FC76C473-287C-41BF-A55C-304624BB6325}" name="Payment reference"/>
    <tableColumn id="130" xr3:uid="{0A4F6247-86EC-4258-9449-C74E922D41F0}" name="Payment sent"/>
    <tableColumn id="131" xr3:uid="{C683DE92-ABDA-4261-87F9-A1B15918B9A0}" name="Period/year"/>
    <tableColumn id="132" xr3:uid="{921ED06A-A767-447B-947D-CAFDA5F2DEBF}" name="Plant"/>
    <tableColumn id="133" xr3:uid="{F6786F54-EE37-4FDB-9C6F-78E3F9132FD7}" name="Pmnt card line item"/>
    <tableColumn id="134" xr3:uid="{BAB94EC9-A899-4857-A326-D3E8B8D20096}" name="Pmnt currency"/>
    <tableColumn id="135" xr3:uid="{2A818735-7C04-4026-91AD-05373EF9475B}" name="Pmt meth. supplement"/>
    <tableColumn id="136" xr3:uid="{B4CC3011-0AA9-4EDD-95E7-CEE9A11C8DF8}" name="Posting Key"/>
    <tableColumn id="137" xr3:uid="{F2D996EC-F306-46BE-8CB6-9B5D40EEF991}" name="Posting Period5"/>
    <tableColumn id="138" xr3:uid="{97226196-724B-43CA-9650-8383FBCA9170}" name="Profit Center"/>
    <tableColumn id="139" xr3:uid="{B7BE3E50-7EDC-4442-877F-B34EED9103DD}" name="Purchasing Document"/>
    <tableColumn id="140" xr3:uid="{C1AE4E1E-DD6D-46E7-BADC-DBA159379417}" name="Quantity_Original" dataDxfId="26"/>
    <tableColumn id="141" xr3:uid="{E1E75E6E-FBEB-4582-ADD1-ACDEE34A76B1}" name="Real Estate Key"/>
    <tableColumn id="142" xr3:uid="{7E956ED7-82EC-4AC8-A576-A60482E7FE6D}" name="Reason code"/>
    <tableColumn id="143" xr3:uid="{376E133E-68DB-4D05-A510-C6D492508DA5}" name="Recovery Indicator"/>
    <tableColumn id="144" xr3:uid="{9BC9DBA2-B1BB-42D3-84A5-1B0DB984F8B2}" name="Ref.key (header) 1"/>
    <tableColumn id="145" xr3:uid="{D1DDD7BC-DDFA-432C-847E-75170D7BF38E}" name="Reference Date" dataDxfId="25"/>
    <tableColumn id="146" xr3:uid="{E022B25C-3D1B-4273-B377-C23EA40817E7}" name="Reference Key"/>
    <tableColumn id="147" xr3:uid="{AC2D7C7D-459F-4281-B3F0-DC459FFB0E03}" name="Reference Key 1"/>
    <tableColumn id="148" xr3:uid="{0701BAB9-20E5-42EF-9D9F-B870445747C6}" name="Reference Key 2"/>
    <tableColumn id="149" xr3:uid="{74AB99E6-96AC-4F33-8D0D-9D1A5106960D}" name="Reference Key 3"/>
    <tableColumn id="150" xr3:uid="{58F4A316-C4B3-4DDC-B799-59BD3B1D0131}" name="Reference Transact."/>
    <tableColumn id="151" xr3:uid="{5165519D-4755-4599-9576-56FB2C70BF8C}" name="Reverse clearing"/>
    <tableColumn id="152" xr3:uid="{5C6B2828-B707-4C76-9FAE-B5EB5EE0B083}" name="Sales Document"/>
    <tableColumn id="153" xr3:uid="{1145C61F-377A-409B-94D8-EE5F14CBE6E0}" name="Sales Document Item"/>
    <tableColumn id="154" xr3:uid="{CFF65688-6780-4744-B067-4937D0552CCD}" name="Schedule Line Number"/>
    <tableColumn id="155" xr3:uid="{BF897FAB-D7C0-4193-A868-4FEFE6A99159}" name="Section Code"/>
    <tableColumn id="156" xr3:uid="{8E389224-BD3C-4381-884D-88FC40E32F29}" name="Segment"/>
    <tableColumn id="157" xr3:uid="{911E1EBC-F821-41E0-A9A6-74C40411F5C0}" name="Settlement run"/>
    <tableColumn id="158" xr3:uid="{262C6D9E-F33E-478F-9E27-7BF93105EBBA}" name="Sort key" dataDxfId="24"/>
    <tableColumn id="159" xr3:uid="{0FEF5075-5376-472B-B36B-2A4442679937}" name="Sp.G/L trans.type"/>
    <tableColumn id="160" xr3:uid="{C6240473-17AC-4E23-BF32-DB5B81F4B28C}" name="Special G/L ind."/>
    <tableColumn id="161" xr3:uid="{01D3D955-A997-4305-AD91-5282E0D83EB8}" name="Subnumber"/>
    <tableColumn id="162" xr3:uid="{4F1CCA60-0518-4A0F-8997-C7A56D4F3807}" name="Tax code"/>
    <tableColumn id="163" xr3:uid="{8B10B38C-697F-4BBF-A5EB-C099A474BC93}" name="Tax type"/>
    <tableColumn id="164" xr3:uid="{F3B66026-D07A-44A0-9045-93AEAE2AB1D4}" name="Terms of Payment"/>
    <tableColumn id="165" xr3:uid="{74FE00AF-AB74-49C1-8AC2-A6C65DD63917}" name="Text ID"/>
    <tableColumn id="166" xr3:uid="{5E8F52D4-BC41-486D-81AF-B89E93435C80}" name="Texts exist"/>
    <tableColumn id="167" xr3:uid="{9C1939F3-8A6E-46EF-95FC-ED435D9F5380}" name="Time Stamp" dataDxfId="23"/>
    <tableColumn id="168" xr3:uid="{3134915B-AEC9-4DEF-874F-BF989AA63A18}" name="Trading Part.BA"/>
    <tableColumn id="169" xr3:uid="{60FE880A-8A3A-453C-BC06-8A2A8D44BE6B}" name="Trading Partner"/>
    <tableColumn id="170" xr3:uid="{36F57E9C-7AE7-49EB-9776-B1E4F9D7B30B}" name="Transaction Type"/>
    <tableColumn id="171" xr3:uid="{F8CB931F-A902-4F92-8EEB-A1BD851D86A0}" name="Valuated amount" dataDxfId="22" dataCellStyle="Comma"/>
    <tableColumn id="172" xr3:uid="{CDCF4789-0715-47B7-9CF4-E2BA56D91247}" name="Valuated amt loc. curr. 3" dataDxfId="21"/>
    <tableColumn id="173" xr3:uid="{41AB21A3-363D-4643-8F14-643709302731}" name="Valuated amt loc.curr.2" dataDxfId="20" dataCellStyle="Comma"/>
    <tableColumn id="174" xr3:uid="{D58AB91F-1008-4737-A8BE-50E6FE0ABB1E}" name="Valuation difference" dataDxfId="19"/>
    <tableColumn id="175" xr3:uid="{C51B8AE1-8CF2-4F30-8C3F-DF6BFB810DBF}" name="Valuation difference 2" dataDxfId="18"/>
    <tableColumn id="176" xr3:uid="{84ADAAE9-4F60-49C4-8E7B-5E4DCCE5026F}" name="Valuation difference 3" dataDxfId="17"/>
    <tableColumn id="177" xr3:uid="{936DB96E-F47C-470D-9242-2E107AF19FCD}" name="Value Date" dataDxfId="16"/>
    <tableColumn id="178" xr3:uid="{6A41C8EE-8456-4A44-94A1-4461B384296C}" name="Vendor"/>
    <tableColumn id="179" xr3:uid="{E022F4BF-543D-4804-B4BE-333FCF808FD4}" name="W/tax exempt amount" dataDxfId="15"/>
    <tableColumn id="180" xr3:uid="{A673847D-E3FA-4B34-B2C0-CA6CD62F069F}" name="WBS element"/>
    <tableColumn id="181" xr3:uid="{7ED59A79-9EAE-4763-B5EA-6B771816B09D}" name="WBS Element6"/>
    <tableColumn id="182" xr3:uid="{A9020193-D8DC-4E04-85EF-CFC8222105AE}" name="Withhldg tax base amount" dataDxfId="14"/>
    <tableColumn id="183" xr3:uid="{781DBB53-40D4-4D8E-8A54-DEA2724BE3BF}" name="Withholding tax amnt" dataDxfId="13"/>
    <tableColumn id="184" xr3:uid="{C0B82959-1C5B-4197-B3C0-988C74E50760}" name="Year/month"/>
    <tableColumn id="200" xr3:uid="{92A261A3-D440-4AC1-9014-A1FD50410091}" name="Billing">
      <calculatedColumnFormula>RIGHT(Data_FAGLL03[[#This Row],[Payment reference]],8)</calculatedColumnFormula>
    </tableColumn>
    <tableColumn id="201" xr3:uid="{C846FBD1-6922-4BDA-9EF1-300CB41D9BB4}" name="SO">
      <calculatedColumnFormula>IF(Data_FAGLL03[[#This Row],[Billing]]&lt;&gt;"",_xlfn.XLOOKUP(Data_FAGLL03[[#This Row],[Billing]],MD_BILLING_SO[BILIING],MD_BILLING_SO[SO-EDITED]),"")</calculatedColumnFormula>
    </tableColumn>
    <tableColumn id="195" xr3:uid="{8395A525-802F-4356-9BD0-1D844098DC86}" name="EXR" dataDxfId="12" dataCellStyle="Comma">
      <calculatedColumnFormula>IF(SUBSTITUTE(Data_FAGLL03[[#This Row],[Eff.exchange rate]],",","")/100000=1,1,SUBSTITUTE(Data_FAGLL03[[#This Row],[Eff.exchange rate]],",","")/100)</calculatedColumnFormula>
    </tableColumn>
    <tableColumn id="193" xr3:uid="{EBB6BE5A-812F-493A-B71C-48F88D3843B0}" name="GB trung bình" dataDxfId="11" dataCellStyle="Comma">
      <calculatedColumnFormula>IF(Data_FAGLL03[[#This Row],[Material]]&lt;&gt;"",IFERROR(Data_FAGLL03[[#This Row],[Amount in local currency]]/Data_FAGLL03[[#This Row],[Quantity_Original]],0),0)</calculatedColumnFormula>
    </tableColumn>
    <tableColumn id="194" xr3:uid="{30ECA99D-1ED1-4DD5-9F52-A5215051CCA3}" name="GB trung bình-XK" dataDxfId="10" dataCellStyle="Comma">
      <calculatedColumnFormula>IF(Data_FAGLL03[[#This Row],[XK/NĐ]]="XK",Data_FAGLL03[[#This Row],[GB trung bình]]/Data_FAGLL03[[#This Row],[EXR]],0)*1000</calculatedColumnFormula>
    </tableColumn>
    <tableColumn id="198" xr3:uid="{5C691456-C2E2-48E6-B647-8059C5A78A00}" name="Dthu (USD)" dataDxfId="9" dataCellStyle="Comma">
      <calculatedColumnFormula array="1">IF(Data_FAGLL03[[#This Row],[Document currency]]&lt;&gt;"VND",Data_FAGLL03[[#This Row],[Amount in doc. curr.]],Data_FAGLL03[[#This Row],[Amount in local currency]]/EXR)</calculatedColumnFormula>
    </tableColumn>
    <tableColumn id="185" xr3:uid="{FC362163-86D3-42A1-A5CA-18C0CF179A56}" name="Time Stamp_VN" dataDxfId="8">
      <calculatedColumnFormula>Data_FAGLL03[[#This Row],[Time Stamp]]+TIME(7,0,0)</calculatedColumnFormula>
    </tableColumn>
    <tableColumn id="196" xr3:uid="{E3CF59FE-BD19-4DD8-B242-8746C7F0C8D5}" name="Tháng" dataDxfId="7" dataCellStyle="Comma">
      <calculatedColumnFormula>MONTH(Data_FAGLL03[[#This Row],[Time Stamp_VN]])</calculatedColumnFormula>
    </tableColumn>
    <tableColumn id="186" xr3:uid="{99A66681-F2E4-4C3B-84C7-A204AE793CAC}" name="Ngày">
      <calculatedColumnFormula>DAY(Data_FAGLL03[[#This Row],[Time Stamp_VN]])</calculatedColumnFormula>
    </tableColumn>
    <tableColumn id="197" xr3:uid="{68DA7F2D-A959-4EBA-AA35-81CF1A47E83A}" name="Tháng | Ngày">
      <calculatedColumnFormula>TEXT(Data_FAGLL03[[#This Row],[Tháng]],"00")&amp;" | "&amp;TEXT(Data_FAGLL03[[#This Row],[Ngày]],"00")</calculatedColumnFormula>
    </tableColumn>
    <tableColumn id="199" xr3:uid="{88E34790-83E7-4D93-AB31-7466E4BB00EF}" name="Quantity_Edited" dataDxfId="6" dataCellStyle="Comma">
      <calculatedColumnFormula>IF(Data_FAGLL03[[#This Row],[Text]]="",Data_FAGLL03[[#This Row],[Quantity_Original]],0)</calculatedColumnFormula>
    </tableColumn>
    <tableColumn id="202" xr3:uid="{0C9B4E7D-C4F8-402B-A744-73ECAD3F9EAE}" name="Mã khách | Mã SKU" dataDxfId="5" dataCellStyle="Comma">
      <calculatedColumnFormula>IF(Data_FAGLL03[[#This Row],[Quantity_Edited]]&lt;&gt;0,Data_FAGLL03[[#This Row],[Offsetting acct no.]]&amp;" | "&amp;Data_FAGLL03[[#This Row],[Material]],"")</calculatedColumnFormula>
    </tableColumn>
    <tableColumn id="187" xr3:uid="{81D0CA1B-FA0B-455F-A2E1-A9239826DC81}" name="XK/NĐ">
      <calculatedColumnFormula>IF(LEFT(Data_FAGLL03[[#This Row],[Offsetting acct no.]],1)="1","NĐ",IF(LEFT(Data_FAGLL03[[#This Row],[Offsetting acct no.]],1)="2","XK","Khác"))</calculatedColumnFormula>
    </tableColumn>
    <tableColumn id="192" xr3:uid="{39E7B62A-A604-4B79-8555-20628FDF91C5}" name="Tên SKU">
      <calculatedColumnFormula>IF(Data_FAGLL03[[#This Row],[Material]]&lt;&gt;"",_xlfn.XLOOKUP(Data_FAGLL03[[#This Row],[Material]],MD_SKU[Mã SKU],MD_SKU[Tên SKU]),"")</calculatedColumnFormula>
    </tableColumn>
    <tableColumn id="188" xr3:uid="{566AD8CD-9AC1-40E6-A807-D935EF893494}" name="Nhóm SP 1">
      <calculatedColumnFormula>IF(Data_FAGLL03[[#This Row],[Material]]&lt;&gt;"",_xlfn.XLOOKUP(Data_FAGLL03[[#This Row],[Material]],MD_SKU[Mã SKU],MD_SKU[Nhóm SP 1]),"")</calculatedColumnFormula>
    </tableColumn>
    <tableColumn id="189" xr3:uid="{738EE65D-E19D-4FFA-813E-9B8B1873F8DD}" name="Nhóm SP 2">
      <calculatedColumnFormula>IF(Data_FAGLL03[[#This Row],[Material]]&lt;&gt;"",_xlfn.XLOOKUP(Data_FAGLL03[[#This Row],[Material]],MD_SKU[Mã SKU],MD_SKU[Nhóm SP 2]),"")</calculatedColumnFormula>
    </tableColumn>
    <tableColumn id="190" xr3:uid="{10E7FA8D-DD21-4FF5-BEF8-A1422C39B99A}" name="Nhóm SP 3">
      <calculatedColumnFormula>IF(Data_FAGLL03[[#This Row],[Material]]&lt;&gt;"",_xlfn.XLOOKUP(Data_FAGLL03[[#This Row],[Material]],MD_SKU[Mã SKU],MD_SKU[Nhóm SP 3]),"")</calculatedColumnFormula>
    </tableColumn>
    <tableColumn id="191" xr3:uid="{A333ED1B-214A-4C1A-AEBE-1C80E1C1C1B8}" name="Nhóm SP 4">
      <calculatedColumnFormula>IF(Data_FAGLL03[[#This Row],[Material]]&lt;&gt;"",_xlfn.XLOOKUP(Data_FAGLL03[[#This Row],[Material]],MD_SKU[Mã SKU],MD_SKU[Nhóm SP 4]),"")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948C4A-7D66-4F36-89D7-7211D44F1AC3}" name="MD_BILLING_SO" displayName="MD_BILLING_SO" ref="A1:D187" totalsRowShown="0" headerRowDxfId="4">
  <autoFilter ref="A1:D187" xr:uid="{80948C4A-7D66-4F36-89D7-7211D44F1AC3}"/>
  <tableColumns count="4">
    <tableColumn id="1" xr3:uid="{7AEDD2E0-9B6C-4BD5-8C98-AF7A26994C7C}" name="SO" dataDxfId="3"/>
    <tableColumn id="6" xr3:uid="{070571C0-E84E-404A-8DB0-7C2B0A2BF9FF}" name="SO-EDITED" dataDxfId="2"/>
    <tableColumn id="2" xr3:uid="{BC38D114-63D1-4616-8975-78879A13474C}" name="BILIING"/>
    <tableColumn id="5" xr3:uid="{01D4FEAB-D868-49AE-893D-E269BF78DD46}" name="Ghi chú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12C37-5290-4A72-970F-70CC8A3ACE6A}" name="MD_SKU" displayName="MD_SKU" ref="A1:I582" totalsRowShown="0" headerRowDxfId="1">
  <autoFilter ref="A1:I582" xr:uid="{43212C37-5290-4A72-970F-70CC8A3ACE6A}"/>
  <tableColumns count="9">
    <tableColumn id="1" xr3:uid="{C880323F-35BF-445F-B734-6279B6A478EE}" name="Mã SKU"/>
    <tableColumn id="2" xr3:uid="{403DDDF6-94FE-46AB-801D-8A599FDB0BC4}" name="Tên SKU"/>
    <tableColumn id="3" xr3:uid="{7CDBD712-08EC-47EB-97D7-FB8FB17E17BA}" name="Mã SKU | Tên SKU"/>
    <tableColumn id="4" xr3:uid="{5F81BAD8-3B00-42A3-8FB1-90FFDC607267}" name="Nhóm SP 1"/>
    <tableColumn id="5" xr3:uid="{04CB11EB-EAB5-464C-BF1A-8F6A4345A841}" name="Nhóm SP 2"/>
    <tableColumn id="6" xr3:uid="{1E9563BD-502A-49ED-9F8A-ADD81E1D4C27}" name="Nhóm SP 3"/>
    <tableColumn id="7" xr3:uid="{E953BCC7-9253-4695-9938-C6659499E7C5}" name="Nhóm SP 4"/>
    <tableColumn id="8" xr3:uid="{0C58BE62-69B3-499A-B245-2A7C74BADEE0}" name="IV"/>
    <tableColumn id="9" xr3:uid="{6FCDF1AA-CE57-4335-9720-66D9901139DA}" name="Link vào file BCQ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486-9C2F-427A-ACBA-A60B93480C6F}">
  <sheetPr>
    <tabColor rgb="FFC00000"/>
  </sheetPr>
  <dimension ref="A1:BW150"/>
  <sheetViews>
    <sheetView showGridLines="0" tabSelected="1" zoomScale="85" zoomScaleNormal="85" workbookViewId="0">
      <pane xSplit="15" ySplit="7" topLeftCell="BF8" activePane="bottomRight" state="frozen"/>
      <selection pane="topRight" activeCell="P1" sqref="P1"/>
      <selection pane="bottomLeft" activeCell="A8" sqref="A8"/>
      <selection pane="bottomRight" activeCell="BI57" sqref="BI57"/>
    </sheetView>
  </sheetViews>
  <sheetFormatPr defaultColWidth="8.88671875" defaultRowHeight="13.2" zeroHeight="1" outlineLevelCol="1" x14ac:dyDescent="0.25"/>
  <cols>
    <col min="1" max="1" width="13.88671875" style="14" bestFit="1" customWidth="1"/>
    <col min="2" max="2" width="8.88671875" style="14"/>
    <col min="3" max="3" width="8" style="14" customWidth="1"/>
    <col min="4" max="4" width="22" style="14" bestFit="1" customWidth="1"/>
    <col min="5" max="5" width="7.33203125" style="14" bestFit="1" customWidth="1"/>
    <col min="6" max="6" width="34.44140625" style="14" bestFit="1" customWidth="1"/>
    <col min="7" max="7" width="10.33203125" style="14" bestFit="1" customWidth="1"/>
    <col min="8" max="8" width="37.33203125" style="14" bestFit="1" customWidth="1"/>
    <col min="9" max="9" width="3" style="14" customWidth="1"/>
    <col min="10" max="10" width="11.33203125" style="14" customWidth="1"/>
    <col min="11" max="11" width="17" style="14" hidden="1" customWidth="1" outlineLevel="1"/>
    <col min="12" max="12" width="16" style="14" hidden="1" customWidth="1" outlineLevel="1"/>
    <col min="13" max="13" width="15" style="14" hidden="1" customWidth="1" outlineLevel="1"/>
    <col min="14" max="14" width="16" style="14" hidden="1" customWidth="1" outlineLevel="1"/>
    <col min="15" max="15" width="1.33203125" style="14" customWidth="1" collapsed="1"/>
    <col min="16" max="16" width="14.6640625" style="14" customWidth="1"/>
    <col min="17" max="17" width="18.109375" style="14" customWidth="1"/>
    <col min="18" max="18" width="11.6640625" style="14" bestFit="1" customWidth="1"/>
    <col min="19" max="19" width="14.44140625" style="14" customWidth="1"/>
    <col min="20" max="20" width="10.88671875" style="123" customWidth="1"/>
    <col min="21" max="21" width="14.88671875" style="14" customWidth="1"/>
    <col min="22" max="22" width="17.109375" style="14" customWidth="1"/>
    <col min="23" max="23" width="10.33203125" style="14" customWidth="1"/>
    <col min="24" max="24" width="9.5546875" style="14" bestFit="1" customWidth="1"/>
    <col min="25" max="25" width="3.109375" style="14" customWidth="1"/>
    <col min="26" max="26" width="18.6640625" style="14" customWidth="1"/>
    <col min="27" max="27" width="22.33203125" style="14" customWidth="1"/>
    <col min="28" max="29" width="12.88671875" style="14" customWidth="1"/>
    <col min="30" max="30" width="1.33203125" style="14" customWidth="1"/>
    <col min="31" max="34" width="12.6640625" style="14" customWidth="1"/>
    <col min="35" max="35" width="1.33203125" style="14" customWidth="1"/>
    <col min="36" max="36" width="17.109375" style="14" bestFit="1" customWidth="1"/>
    <col min="37" max="37" width="18.44140625" style="14" bestFit="1" customWidth="1"/>
    <col min="38" max="38" width="22.6640625" style="14" bestFit="1" customWidth="1"/>
    <col min="39" max="39" width="18.44140625" style="14" bestFit="1" customWidth="1"/>
    <col min="40" max="40" width="2" style="14" customWidth="1"/>
    <col min="41" max="41" width="8.88671875" style="14"/>
    <col min="42" max="42" width="1.33203125" style="14" customWidth="1"/>
    <col min="43" max="43" width="14.33203125" style="14" bestFit="1" customWidth="1"/>
    <col min="44" max="44" width="18.109375" style="14" bestFit="1" customWidth="1"/>
    <col min="45" max="45" width="16" style="14" bestFit="1" customWidth="1"/>
    <col min="46" max="46" width="16" style="92" bestFit="1" customWidth="1"/>
    <col min="47" max="47" width="2.5546875" style="14" customWidth="1"/>
    <col min="48" max="48" width="9.5546875" style="14" bestFit="1" customWidth="1"/>
    <col min="49" max="49" width="1.5546875" style="14" customWidth="1"/>
    <col min="50" max="50" width="15.44140625" style="14" customWidth="1"/>
    <col min="51" max="51" width="18.88671875" style="14" customWidth="1"/>
    <col min="52" max="52" width="15.44140625" style="14" customWidth="1"/>
    <col min="53" max="53" width="16" style="92" bestFit="1" customWidth="1"/>
    <col min="54" max="54" width="2.5546875" style="14" customWidth="1"/>
    <col min="55" max="56" width="17.109375" style="14" customWidth="1"/>
    <col min="57" max="57" width="18.109375" style="14" customWidth="1"/>
    <col min="58" max="58" width="18.44140625" style="92" bestFit="1" customWidth="1"/>
    <col min="59" max="59" width="2.5546875" style="14" customWidth="1"/>
    <col min="60" max="62" width="17.109375" style="14" customWidth="1"/>
    <col min="63" max="63" width="18.44140625" style="92" bestFit="1" customWidth="1"/>
    <col min="64" max="64" width="8.88671875" style="14"/>
    <col min="65" max="65" width="22.88671875" style="92" bestFit="1" customWidth="1"/>
    <col min="66" max="66" width="18.44140625" style="14" bestFit="1" customWidth="1" outlineLevel="1"/>
    <col min="67" max="67" width="21" style="14" bestFit="1" customWidth="1" outlineLevel="1"/>
    <col min="68" max="73" width="15.88671875" style="14" bestFit="1" customWidth="1" outlineLevel="1"/>
    <col min="74" max="74" width="17.109375" style="14" bestFit="1" customWidth="1" outlineLevel="1"/>
    <col min="75" max="75" width="13.44140625" style="123" customWidth="1"/>
    <col min="76" max="16384" width="8.88671875" style="14"/>
  </cols>
  <sheetData>
    <row r="1" spans="1:75" s="59" customFormat="1" x14ac:dyDescent="0.25">
      <c r="K1" s="60"/>
      <c r="P1" s="59" t="s">
        <v>2765</v>
      </c>
      <c r="Q1" s="59" t="s">
        <v>2765</v>
      </c>
      <c r="S1" s="251"/>
      <c r="T1" s="123"/>
      <c r="V1" s="253"/>
      <c r="AJ1" s="59" t="s">
        <v>2765</v>
      </c>
      <c r="AM1" s="253">
        <f>AM2/26.2</f>
        <v>1165.5195191012958</v>
      </c>
      <c r="AT1" s="213"/>
      <c r="AZ1" s="59" t="s">
        <v>3071</v>
      </c>
      <c r="BA1" s="213"/>
      <c r="BF1" s="213"/>
      <c r="BK1" s="213"/>
      <c r="BM1" s="213"/>
      <c r="BW1" s="123"/>
    </row>
    <row r="2" spans="1:75" s="71" customFormat="1" x14ac:dyDescent="0.25">
      <c r="K2" s="72"/>
      <c r="L2" s="81">
        <f>L3-SUM(Sales!G3:H100)</f>
        <v>0</v>
      </c>
      <c r="N2" s="81">
        <f>N3-SUM(Sales!$I$3:$I$100)</f>
        <v>0</v>
      </c>
      <c r="T2" s="123"/>
      <c r="AM2" s="159">
        <f>AM3/S3</f>
        <v>30536.611400453949</v>
      </c>
      <c r="AT2" s="214"/>
      <c r="BA2" s="214"/>
      <c r="BF2" s="214"/>
      <c r="BK2" s="276">
        <f>BK3/AM3</f>
        <v>0.14811753076528691</v>
      </c>
      <c r="BM2" s="214"/>
      <c r="BW2" s="123"/>
    </row>
    <row r="3" spans="1:75" s="63" customFormat="1" ht="13.8" x14ac:dyDescent="0.25">
      <c r="K3" s="65">
        <f>SUBTOTAL(9,K8:K150)</f>
        <v>2477774</v>
      </c>
      <c r="L3" s="65">
        <f>SUBTOTAL(9,L8:L150)</f>
        <v>30800</v>
      </c>
      <c r="N3" s="65">
        <f>SUBTOTAL(9,N8:N150)</f>
        <v>5449793.7461936995</v>
      </c>
      <c r="P3" s="65">
        <f>SUBTOTAL(9,P8:P150)</f>
        <v>0</v>
      </c>
      <c r="Q3" s="65">
        <f>SUBTOTAL(9,Q8:Q150)</f>
        <v>1461441.7965429125</v>
      </c>
      <c r="R3" s="65">
        <f>SUBTOTAL(9,R8:R150)</f>
        <v>4019151.9496507873</v>
      </c>
      <c r="S3" s="65">
        <f>SUBTOTAL(9,S8:S150)</f>
        <v>5480593.7461936995</v>
      </c>
      <c r="T3" s="124"/>
      <c r="U3" s="63">
        <v>1.1012500000000001</v>
      </c>
      <c r="AJ3" s="65">
        <f>SUBTOTAL(9,AJ8:AJ150)</f>
        <v>0</v>
      </c>
      <c r="AK3" s="65">
        <f>SUBTOTAL(9,AK8:AK150)</f>
        <v>36353097030.679024</v>
      </c>
      <c r="AL3" s="65">
        <f>SUBTOTAL(9,AL8:AL150)</f>
        <v>131005664440.59615</v>
      </c>
      <c r="AM3" s="65">
        <f>SUBTOTAL(9,AM8:AM150)</f>
        <v>167358761471.27515</v>
      </c>
      <c r="AQ3" s="65">
        <f t="shared" ref="AQ3:AT3" si="0">SUBTOTAL(9,AQ8:AQ150)</f>
        <v>0</v>
      </c>
      <c r="AR3" s="65">
        <f t="shared" si="0"/>
        <v>508984707.1393888</v>
      </c>
      <c r="AS3" s="65">
        <f t="shared" si="0"/>
        <v>1655266241.1912909</v>
      </c>
      <c r="AT3" s="65">
        <f t="shared" si="0"/>
        <v>2164250948.3306799</v>
      </c>
      <c r="AX3" s="65">
        <f>SUBTOTAL(9,AX8:AX150)</f>
        <v>0</v>
      </c>
      <c r="AY3" s="65">
        <f t="shared" ref="AY3:BE3" si="1">SUBTOTAL(9,AY8:AY150)</f>
        <v>212136320</v>
      </c>
      <c r="AZ3" s="65">
        <f t="shared" si="1"/>
        <v>2246928488.75</v>
      </c>
      <c r="BA3" s="65">
        <f t="shared" si="1"/>
        <v>2459064808.75</v>
      </c>
      <c r="BC3" s="65">
        <f t="shared" si="1"/>
        <v>0</v>
      </c>
      <c r="BD3" s="65">
        <f t="shared" si="1"/>
        <v>37989843787.033073</v>
      </c>
      <c r="BE3" s="65">
        <f t="shared" si="1"/>
        <v>104580151183.18018</v>
      </c>
      <c r="BF3" s="65">
        <f>SUBTOTAL(9,BF8:BF150)</f>
        <v>142569994970.21323</v>
      </c>
      <c r="BH3" s="65">
        <f t="shared" ref="BH3:BK3" si="2">SUBTOTAL(9,BH8:BH150)</f>
        <v>0</v>
      </c>
      <c r="BI3" s="65">
        <f t="shared" si="2"/>
        <v>-1636746756.3540533</v>
      </c>
      <c r="BJ3" s="65">
        <f t="shared" si="2"/>
        <v>26425513257.41597</v>
      </c>
      <c r="BK3" s="65">
        <f t="shared" si="2"/>
        <v>24788766501.061913</v>
      </c>
      <c r="BM3" s="65">
        <f t="shared" ref="BM3:BV3" si="3">SUBTOTAL(9,BM8:BM150)</f>
        <v>140919847006.21323</v>
      </c>
      <c r="BN3" s="277">
        <f>SUBTOTAL(9,BN8:BN150)</f>
        <v>100850957066.47748</v>
      </c>
      <c r="BO3" s="277">
        <f t="shared" si="3"/>
        <v>1355052697.9488857</v>
      </c>
      <c r="BP3" s="277">
        <f t="shared" si="3"/>
        <v>311877991.28548962</v>
      </c>
      <c r="BQ3" s="65">
        <f t="shared" si="3"/>
        <v>6242728107.3787298</v>
      </c>
      <c r="BR3" s="65">
        <f t="shared" si="3"/>
        <v>899416073.74671936</v>
      </c>
      <c r="BS3" s="65">
        <f t="shared" si="3"/>
        <v>4910064151.4219732</v>
      </c>
      <c r="BT3" s="65">
        <f t="shared" si="3"/>
        <v>7358719562.2032127</v>
      </c>
      <c r="BU3" s="65">
        <f t="shared" si="3"/>
        <v>1797717403.7990983</v>
      </c>
      <c r="BV3" s="65">
        <f t="shared" si="3"/>
        <v>17193313951.951675</v>
      </c>
      <c r="BW3" s="124"/>
    </row>
    <row r="4" spans="1:75" s="25" customFormat="1" ht="18" customHeight="1" thickBot="1" x14ac:dyDescent="0.4">
      <c r="A4" s="25" t="s">
        <v>3025</v>
      </c>
      <c r="B4" s="279" t="s">
        <v>2889</v>
      </c>
      <c r="C4" s="279" t="s">
        <v>2509</v>
      </c>
      <c r="D4" s="279" t="s">
        <v>2846</v>
      </c>
      <c r="E4" s="279" t="s">
        <v>2507</v>
      </c>
      <c r="F4" s="279" t="s">
        <v>2508</v>
      </c>
      <c r="G4" s="279" t="s">
        <v>265</v>
      </c>
      <c r="H4" s="279" t="s">
        <v>266</v>
      </c>
      <c r="I4" s="279"/>
      <c r="J4" s="279"/>
      <c r="K4" s="282" t="s">
        <v>3054</v>
      </c>
      <c r="L4" s="96" t="s">
        <v>2887</v>
      </c>
      <c r="M4" s="282" t="s">
        <v>2638</v>
      </c>
      <c r="N4" s="96" t="s">
        <v>2887</v>
      </c>
      <c r="P4" s="26" t="s">
        <v>3077</v>
      </c>
      <c r="Q4" s="26"/>
      <c r="R4" s="26"/>
      <c r="S4" s="26"/>
      <c r="T4" s="125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7"/>
      <c r="AK4" s="27"/>
      <c r="AL4" s="27"/>
      <c r="AM4" s="27"/>
      <c r="BW4" s="126"/>
    </row>
    <row r="5" spans="1:75" s="25" customFormat="1" ht="15" customHeight="1" thickTop="1" x14ac:dyDescent="0.25">
      <c r="B5" s="279"/>
      <c r="C5" s="279"/>
      <c r="D5" s="279"/>
      <c r="E5" s="279"/>
      <c r="F5" s="279"/>
      <c r="G5" s="279"/>
      <c r="H5" s="279"/>
      <c r="I5" s="279"/>
      <c r="J5" s="279"/>
      <c r="K5" s="282"/>
      <c r="L5" s="280" t="s">
        <v>2891</v>
      </c>
      <c r="M5" s="282"/>
      <c r="N5" s="280" t="s">
        <v>2892</v>
      </c>
      <c r="P5" s="28" t="s">
        <v>2511</v>
      </c>
      <c r="Q5" s="28"/>
      <c r="R5" s="28"/>
      <c r="S5" s="28"/>
      <c r="T5" s="126"/>
      <c r="U5" s="29" t="s">
        <v>2512</v>
      </c>
      <c r="V5" s="29"/>
      <c r="W5" s="29"/>
      <c r="X5" s="29"/>
      <c r="Z5" s="29" t="s">
        <v>2513</v>
      </c>
      <c r="AA5" s="29"/>
      <c r="AB5" s="29"/>
      <c r="AC5" s="29"/>
      <c r="AE5" s="28" t="s">
        <v>2514</v>
      </c>
      <c r="AF5" s="28"/>
      <c r="AG5" s="28"/>
      <c r="AH5" s="28"/>
      <c r="AJ5" s="30" t="s">
        <v>2515</v>
      </c>
      <c r="AK5" s="31"/>
      <c r="AL5" s="31"/>
      <c r="AM5" s="32"/>
      <c r="AO5" s="53" t="s">
        <v>2523</v>
      </c>
      <c r="AP5" s="53"/>
      <c r="AQ5" s="53"/>
      <c r="AR5" s="53"/>
      <c r="AS5" s="53"/>
      <c r="AT5" s="53"/>
      <c r="AV5" s="53" t="s">
        <v>2898</v>
      </c>
      <c r="AW5" s="53"/>
      <c r="AX5" s="53"/>
      <c r="AY5" s="53"/>
      <c r="AZ5" s="53"/>
      <c r="BA5" s="53"/>
      <c r="BC5" s="210" t="s">
        <v>2985</v>
      </c>
      <c r="BD5" s="210"/>
      <c r="BE5" s="210"/>
      <c r="BF5" s="210"/>
      <c r="BH5" s="222" t="s">
        <v>3078</v>
      </c>
      <c r="BI5" s="222"/>
      <c r="BJ5" s="222"/>
      <c r="BK5" s="222"/>
      <c r="BM5" s="229" t="s">
        <v>3029</v>
      </c>
      <c r="BN5" s="229"/>
      <c r="BO5" s="229"/>
      <c r="BP5" s="229"/>
      <c r="BQ5" s="229"/>
      <c r="BR5" s="229"/>
      <c r="BS5" s="229"/>
      <c r="BT5" s="229"/>
      <c r="BU5" s="229"/>
      <c r="BV5" s="229"/>
      <c r="BW5" s="126" t="s">
        <v>2896</v>
      </c>
    </row>
    <row r="6" spans="1:75" s="25" customFormat="1" ht="14.4" customHeight="1" x14ac:dyDescent="0.25">
      <c r="B6" s="279"/>
      <c r="C6" s="279"/>
      <c r="D6" s="279"/>
      <c r="E6" s="279"/>
      <c r="F6" s="279"/>
      <c r="G6" s="279"/>
      <c r="H6" s="279"/>
      <c r="I6" s="279"/>
      <c r="J6" s="279"/>
      <c r="K6" s="282"/>
      <c r="L6" s="281"/>
      <c r="M6" s="282"/>
      <c r="N6" s="281"/>
      <c r="P6" s="33" t="s">
        <v>2516</v>
      </c>
      <c r="Q6" s="33" t="s">
        <v>2517</v>
      </c>
      <c r="R6" s="33" t="s">
        <v>2518</v>
      </c>
      <c r="S6" s="33" t="s">
        <v>2519</v>
      </c>
      <c r="T6" s="126" t="s">
        <v>2896</v>
      </c>
      <c r="U6" s="34" t="s">
        <v>2516</v>
      </c>
      <c r="V6" s="34" t="s">
        <v>2517</v>
      </c>
      <c r="W6" s="34" t="s">
        <v>2518</v>
      </c>
      <c r="X6" s="34" t="s">
        <v>2520</v>
      </c>
      <c r="Z6" s="34" t="s">
        <v>2516</v>
      </c>
      <c r="AA6" s="34" t="s">
        <v>2517</v>
      </c>
      <c r="AB6" s="34" t="s">
        <v>2518</v>
      </c>
      <c r="AC6" s="34" t="s">
        <v>2520</v>
      </c>
      <c r="AE6" s="33" t="s">
        <v>2516</v>
      </c>
      <c r="AF6" s="33" t="s">
        <v>2517</v>
      </c>
      <c r="AG6" s="33" t="s">
        <v>2518</v>
      </c>
      <c r="AH6" s="33" t="s">
        <v>2520</v>
      </c>
      <c r="AJ6" s="35" t="s">
        <v>2516</v>
      </c>
      <c r="AK6" s="33" t="s">
        <v>2517</v>
      </c>
      <c r="AL6" s="33" t="s">
        <v>2518</v>
      </c>
      <c r="AM6" s="36" t="s">
        <v>2521</v>
      </c>
      <c r="AO6" s="53" t="s">
        <v>2524</v>
      </c>
      <c r="AP6" s="142"/>
      <c r="AQ6" s="151" t="s">
        <v>2516</v>
      </c>
      <c r="AR6" s="151" t="s">
        <v>2517</v>
      </c>
      <c r="AS6" s="151" t="s">
        <v>2518</v>
      </c>
      <c r="AT6" s="151" t="s">
        <v>2519</v>
      </c>
      <c r="AU6" s="155"/>
      <c r="AV6" s="151" t="s">
        <v>2524</v>
      </c>
      <c r="AW6" s="156"/>
      <c r="AX6" s="151" t="s">
        <v>2516</v>
      </c>
      <c r="AY6" s="151" t="s">
        <v>2517</v>
      </c>
      <c r="AZ6" s="151" t="s">
        <v>2518</v>
      </c>
      <c r="BA6" s="151" t="s">
        <v>2519</v>
      </c>
      <c r="BB6" s="155"/>
      <c r="BC6" s="211" t="s">
        <v>2516</v>
      </c>
      <c r="BD6" s="211" t="s">
        <v>2517</v>
      </c>
      <c r="BE6" s="211" t="s">
        <v>2518</v>
      </c>
      <c r="BF6" s="212" t="s">
        <v>2519</v>
      </c>
      <c r="BG6" s="155"/>
      <c r="BH6" s="223" t="s">
        <v>2516</v>
      </c>
      <c r="BI6" s="223" t="s">
        <v>2517</v>
      </c>
      <c r="BJ6" s="223" t="s">
        <v>2518</v>
      </c>
      <c r="BK6" s="224" t="s">
        <v>2519</v>
      </c>
      <c r="BM6" s="228" t="s">
        <v>2519</v>
      </c>
      <c r="BN6" s="228" t="s">
        <v>2935</v>
      </c>
      <c r="BO6" s="228" t="s">
        <v>2936</v>
      </c>
      <c r="BP6" s="228" t="s">
        <v>2939</v>
      </c>
      <c r="BQ6" s="228" t="s">
        <v>2938</v>
      </c>
      <c r="BR6" s="228" t="s">
        <v>2937</v>
      </c>
      <c r="BS6" s="228" t="s">
        <v>2940</v>
      </c>
      <c r="BT6" s="228" t="s">
        <v>2941</v>
      </c>
      <c r="BU6" s="228" t="s">
        <v>2942</v>
      </c>
      <c r="BV6" s="228" t="s">
        <v>2943</v>
      </c>
      <c r="BW6" s="126"/>
    </row>
    <row r="7" spans="1:75" x14ac:dyDescent="0.25">
      <c r="AJ7" s="37"/>
      <c r="AM7" s="38"/>
      <c r="BN7" s="41"/>
    </row>
    <row r="8" spans="1:75" s="86" customFormat="1" x14ac:dyDescent="0.25">
      <c r="A8" s="86" t="str">
        <f>_xlfn.XLOOKUP($G8,MD_SKU[Mã SKU],MD_SKU[Link vào file BCQT])</f>
        <v>Phó sản</v>
      </c>
      <c r="B8" s="91" t="s">
        <v>2890</v>
      </c>
      <c r="C8" s="82" t="s">
        <v>252</v>
      </c>
      <c r="D8" s="82" t="s">
        <v>2789</v>
      </c>
      <c r="E8" s="83" t="s">
        <v>2496</v>
      </c>
      <c r="F8" s="82" t="s">
        <v>2608</v>
      </c>
      <c r="G8" s="83" t="s">
        <v>257</v>
      </c>
      <c r="H8" s="82" t="s">
        <v>2604</v>
      </c>
      <c r="I8" s="83"/>
      <c r="J8" s="83"/>
      <c r="K8" s="84">
        <f>SUMIFS('Working-T05-B1'!L$8:L$150,'Working-T05-B1'!$C$8:$C$150,$D8)</f>
        <v>60756</v>
      </c>
      <c r="L8" s="84" cm="1">
        <f t="array" ref="L8">SUMPRODUCT(Sales!$G$3:$H$100*(Sales!$B$3:$B$100=$D8))</f>
        <v>0</v>
      </c>
      <c r="M8" s="85">
        <f t="shared" ref="M8:M38" si="4">K8-L8</f>
        <v>60756</v>
      </c>
      <c r="N8" s="84">
        <f>SUMIFS(Sales!$I$3:$I$100,Sales!$B$3:$B$100,$D8)</f>
        <v>0</v>
      </c>
      <c r="P8" s="84">
        <f>SUMIFS('Working-T05-B1'!O$8:O$150,'Working-T05-B1'!$C$8:$C$150,$D8)</f>
        <v>0</v>
      </c>
      <c r="Q8" s="84">
        <f>MAX(0,MIN(K8,L8+N8)-P8)</f>
        <v>0</v>
      </c>
      <c r="R8" s="84">
        <f>MAX(0,L8+N8-SUM(P8:Q8))</f>
        <v>0</v>
      </c>
      <c r="S8" s="84">
        <f>SUM(P8:R8)</f>
        <v>0</v>
      </c>
      <c r="T8" s="127">
        <f t="shared" ref="T8:T38" si="5">S8-(L8+N8)</f>
        <v>0</v>
      </c>
      <c r="U8" s="88">
        <f>IFERROR(AE8/Z8,0)</f>
        <v>0</v>
      </c>
      <c r="V8" s="88">
        <f>IFERROR(AF8/AA8,0)</f>
        <v>0</v>
      </c>
      <c r="W8" s="131">
        <f>IF(AND(R8&gt;0,V8&gt;0),V8,0)</f>
        <v>0</v>
      </c>
      <c r="X8" s="88">
        <f>IFERROR(IF($C8="XK",$AM8/$S8/$AC8,$AM8/$S8),0)</f>
        <v>0</v>
      </c>
      <c r="Y8" s="87"/>
      <c r="Z8" s="84"/>
      <c r="AA8" s="118">
        <f t="shared" ref="AA8:AB27" si="6">IF($C8="NĐ",1,EXR_FC05)</f>
        <v>1</v>
      </c>
      <c r="AB8" s="118">
        <f t="shared" si="6"/>
        <v>1</v>
      </c>
      <c r="AC8" s="84">
        <f>IFERROR(SUMPRODUCT(AJ8:AL8,Z8:AB8)/AM8,0)</f>
        <v>0</v>
      </c>
      <c r="AD8" s="87"/>
      <c r="AE8" s="84">
        <f>IFERROR(AJ8/P8,0)</f>
        <v>0</v>
      </c>
      <c r="AF8" s="84">
        <f>IFERROR(AK8/Q8,0)</f>
        <v>0</v>
      </c>
      <c r="AG8" s="84">
        <f>W8*AB8</f>
        <v>0</v>
      </c>
      <c r="AH8" s="84"/>
      <c r="AI8" s="87"/>
      <c r="AJ8" s="89">
        <f>SUMIFS('Working-T05-B1'!AI$8:AI$150,'Working-T05-B1'!$C$8:$C$150,$D8)</f>
        <v>0</v>
      </c>
      <c r="AK8" s="84">
        <f>SUMIFS('Working-T05-B1'!AJ$8:AJ$150,'Working-T05-B1'!$C$8:$C$150,$D8)</f>
        <v>0</v>
      </c>
      <c r="AL8" s="84">
        <f t="shared" ref="AL8:AL71" si="7">R8*AG8</f>
        <v>0</v>
      </c>
      <c r="AM8" s="90">
        <f>SUM(AJ8:AL8)</f>
        <v>0</v>
      </c>
      <c r="AO8" s="84">
        <f>IFERROR(SUM(AQ8:AR8)/SUM(P8:Q8),0)</f>
        <v>0</v>
      </c>
      <c r="AP8" s="82"/>
      <c r="AQ8" s="84">
        <f>SUMIFS('Working-T05-B1'!AP$8:AP$150,'Working-T05-B1'!$C$8:$C$150,$D8)</f>
        <v>0</v>
      </c>
      <c r="AR8" s="84">
        <f>SUMIFS('Working-T05-B1'!AQ$8:AQ$150,'Working-T05-B1'!$C$8:$C$150,$D8)</f>
        <v>0</v>
      </c>
      <c r="AS8" s="84">
        <f>AO8*R8</f>
        <v>0</v>
      </c>
      <c r="AT8" s="215">
        <f>SUM(AQ8:AS8)</f>
        <v>0</v>
      </c>
      <c r="AV8" s="84">
        <f>IFERROR(BA8/S8,0)</f>
        <v>0</v>
      </c>
      <c r="AW8" s="82"/>
      <c r="AX8" s="84">
        <f>SUMIFS('Working-T05-B1'!AW$8:AW$150,'Working-T05-B1'!$C$8:$C$150,$D8)</f>
        <v>0</v>
      </c>
      <c r="AY8" s="84">
        <f>SUMIFS('Working-T05-B1'!AX$8:AX$150,'Working-T05-B1'!$C$8:$C$150,$D8)</f>
        <v>0</v>
      </c>
      <c r="AZ8" s="82"/>
      <c r="BA8" s="215">
        <f>SUM(AX8:AZ8)</f>
        <v>0</v>
      </c>
      <c r="BC8" s="87">
        <f>_xlfn.XLOOKUP($G8,'GIÁ XUẤT KHO'!$A$4:$A$97,'GIÁ XUẤT KHO'!$AW$4:$AW$97)*P8</f>
        <v>0</v>
      </c>
      <c r="BD8" s="87">
        <f>_xlfn.XLOOKUP($G8,'GIÁ XUẤT KHO'!$A$4:$A$97,'GIÁ XUẤT KHO'!$AW$4:$AW$97)*Q8</f>
        <v>0</v>
      </c>
      <c r="BE8" s="87">
        <f>_xlfn.XLOOKUP($G8,'GIÁ XUẤT KHO'!$A$4:$A$97,'GIÁ XUẤT KHO'!$AW$4:$AW$97)*R8</f>
        <v>0</v>
      </c>
      <c r="BF8" s="219">
        <f>SUM(BC8:BE8)</f>
        <v>0</v>
      </c>
      <c r="BH8" s="87">
        <f>AJ8-BC8</f>
        <v>0</v>
      </c>
      <c r="BI8" s="87">
        <f t="shared" ref="BI8:BI38" si="8">AK8-BD8</f>
        <v>0</v>
      </c>
      <c r="BJ8" s="87">
        <f t="shared" ref="BJ8:BJ38" si="9">AL8-BE8</f>
        <v>0</v>
      </c>
      <c r="BK8" s="219">
        <f>SUM(BH8:BJ8)</f>
        <v>0</v>
      </c>
      <c r="BM8" s="215">
        <f>SUM(BN8:BV8)</f>
        <v>0</v>
      </c>
      <c r="BN8" s="84">
        <f>SUMIFS('GIÁ XUẤT KHO'!AX$4:AX$97,'GIÁ XUẤT KHO'!$A$4:$A$97,$G8)*$S8</f>
        <v>0</v>
      </c>
      <c r="BO8" s="84">
        <f>SUMIFS('GIÁ XUẤT KHO'!AY$4:AY$97,'GIÁ XUẤT KHO'!$A$4:$A$97,$G8)*$S8</f>
        <v>0</v>
      </c>
      <c r="BP8" s="84">
        <f>SUMIFS('GIÁ XUẤT KHO'!AZ$4:AZ$97,'GIÁ XUẤT KHO'!$A$4:$A$97,$G8)*$S8</f>
        <v>0</v>
      </c>
      <c r="BQ8" s="84">
        <f>SUMIFS('GIÁ XUẤT KHO'!BA$4:BA$97,'GIÁ XUẤT KHO'!$A$4:$A$97,$G8)*$S8</f>
        <v>0</v>
      </c>
      <c r="BR8" s="84">
        <f>SUMIFS('GIÁ XUẤT KHO'!BB$4:BB$97,'GIÁ XUẤT KHO'!$A$4:$A$97,$G8)*$S8</f>
        <v>0</v>
      </c>
      <c r="BS8" s="84">
        <f>SUMIFS('GIÁ XUẤT KHO'!BC$4:BC$97,'GIÁ XUẤT KHO'!$A$4:$A$97,$G8)*$S8</f>
        <v>0</v>
      </c>
      <c r="BT8" s="84">
        <f>SUMIFS('GIÁ XUẤT KHO'!BD$4:BD$97,'GIÁ XUẤT KHO'!$A$4:$A$97,$G8)*$S8</f>
        <v>0</v>
      </c>
      <c r="BU8" s="84">
        <f>SUMIFS('GIÁ XUẤT KHO'!BE$4:BE$97,'GIÁ XUẤT KHO'!$A$4:$A$97,$G8)*$S8</f>
        <v>0</v>
      </c>
      <c r="BV8" s="84">
        <f>SUMIFS('GIÁ XUẤT KHO'!BF$4:BF$97,'GIÁ XUẤT KHO'!$A$4:$A$97,$G8)*$S8</f>
        <v>0</v>
      </c>
      <c r="BW8" s="243">
        <f>BM8-BF8</f>
        <v>0</v>
      </c>
    </row>
    <row r="9" spans="1:75" s="86" customFormat="1" x14ac:dyDescent="0.25">
      <c r="A9" s="86" t="str">
        <f>_xlfn.XLOOKUP($G9,MD_SKU[Mã SKU],MD_SKU[Link vào file BCQT])</f>
        <v>Vảy rHDPE ép</v>
      </c>
      <c r="B9" s="86" t="s">
        <v>2890</v>
      </c>
      <c r="C9" s="82" t="s">
        <v>252</v>
      </c>
      <c r="D9" s="82" t="s">
        <v>2791</v>
      </c>
      <c r="E9" s="83" t="s">
        <v>2496</v>
      </c>
      <c r="F9" s="82" t="s">
        <v>2608</v>
      </c>
      <c r="G9" s="83" t="s">
        <v>54</v>
      </c>
      <c r="H9" s="82" t="s">
        <v>379</v>
      </c>
      <c r="I9" s="83"/>
      <c r="J9" s="83"/>
      <c r="K9" s="84">
        <f>SUMIFS('Working-T05-B1'!L$8:L$150,'Working-T05-B1'!$C$8:$C$150,$D9)</f>
        <v>96000</v>
      </c>
      <c r="L9" s="84" cm="1">
        <f t="array" ref="L9">SUMPRODUCT(Sales!$G$3:$H$100*(Sales!$B$3:$B$100=$D9))</f>
        <v>0</v>
      </c>
      <c r="M9" s="85">
        <f t="shared" si="4"/>
        <v>96000</v>
      </c>
      <c r="N9" s="84">
        <f>SUMIFS(Sales!$I$3:$I$100,Sales!$B$3:$B$100,$D9)</f>
        <v>0</v>
      </c>
      <c r="P9" s="84">
        <f>SUMIFS('Working-T05-B1'!O$8:O$150,'Working-T05-B1'!$C$8:$C$150,$D9)</f>
        <v>0</v>
      </c>
      <c r="Q9" s="84">
        <f t="shared" ref="Q9:Q38" si="10">MAX(0,MIN(K9,L9+N9)-P9)</f>
        <v>0</v>
      </c>
      <c r="R9" s="84">
        <f t="shared" ref="R9:R71" si="11">MAX(0,L9+N9-SUM(P9:Q9))</f>
        <v>0</v>
      </c>
      <c r="S9" s="84">
        <f t="shared" ref="S9:S71" si="12">SUM(P9:R9)</f>
        <v>0</v>
      </c>
      <c r="T9" s="127">
        <f t="shared" si="5"/>
        <v>0</v>
      </c>
      <c r="U9" s="88">
        <f t="shared" ref="U9:V38" si="13">IFERROR(AE9/Z9,0)</f>
        <v>0</v>
      </c>
      <c r="V9" s="88">
        <f t="shared" si="13"/>
        <v>0</v>
      </c>
      <c r="W9" s="131">
        <f t="shared" ref="W9:W38" si="14">IF(AND(R9&gt;0,V9&gt;0),V9,0)</f>
        <v>0</v>
      </c>
      <c r="X9" s="88">
        <f t="shared" ref="X9:X71" si="15">IFERROR(IF($C9="XK",$AM9/$S9/$AC9,$AM9/$S9),0)</f>
        <v>0</v>
      </c>
      <c r="Y9" s="87"/>
      <c r="Z9" s="84"/>
      <c r="AA9" s="118">
        <f t="shared" si="6"/>
        <v>1</v>
      </c>
      <c r="AB9" s="118">
        <f t="shared" si="6"/>
        <v>1</v>
      </c>
      <c r="AC9" s="84">
        <f t="shared" ref="AC9:AC38" si="16">IFERROR(SUMPRODUCT(AJ9:AL9,Z9:AB9)/AM9,0)</f>
        <v>0</v>
      </c>
      <c r="AD9" s="87"/>
      <c r="AE9" s="84">
        <f t="shared" ref="AE9:AE38" si="17">IFERROR(AJ9/P9,0)</f>
        <v>0</v>
      </c>
      <c r="AF9" s="84">
        <f t="shared" ref="AF9:AF38" si="18">IFERROR(AK9/Q9,0)</f>
        <v>0</v>
      </c>
      <c r="AG9" s="84">
        <f t="shared" ref="AG9:AG71" si="19">W9*AB9</f>
        <v>0</v>
      </c>
      <c r="AH9" s="84"/>
      <c r="AI9" s="87"/>
      <c r="AJ9" s="89">
        <f>SUMIFS('Working-T05-B1'!AI$8:AI$150,'Working-T05-B1'!$C$8:$C$150,$D9)</f>
        <v>0</v>
      </c>
      <c r="AK9" s="84">
        <f>SUMIFS('Working-T05-B1'!AJ$8:AJ$150,'Working-T05-B1'!$C$8:$C$150,$D9)</f>
        <v>0</v>
      </c>
      <c r="AL9" s="84">
        <f t="shared" si="7"/>
        <v>0</v>
      </c>
      <c r="AM9" s="90">
        <f t="shared" ref="AM9:AM72" si="20">SUM(AJ9:AL9)</f>
        <v>0</v>
      </c>
      <c r="AO9" s="84">
        <f t="shared" ref="AO9:AO38" si="21">IFERROR(SUM(AQ9:AR9)/SUM(P9:Q9),0)</f>
        <v>0</v>
      </c>
      <c r="AP9" s="82"/>
      <c r="AQ9" s="84">
        <f>SUMIFS('Working-T05-B1'!AP$8:AP$150,'Working-T05-B1'!$C$8:$C$150,$D9)</f>
        <v>0</v>
      </c>
      <c r="AR9" s="84">
        <f>SUMIFS('Working-T05-B1'!AQ$8:AQ$150,'Working-T05-B1'!$C$8:$C$150,$D9)</f>
        <v>0</v>
      </c>
      <c r="AS9" s="84">
        <f t="shared" ref="AS9:AS38" si="22">AO9*R9</f>
        <v>0</v>
      </c>
      <c r="AT9" s="215">
        <f t="shared" ref="AT9:AT38" si="23">SUM(AQ9:AS9)</f>
        <v>0</v>
      </c>
      <c r="AV9" s="84">
        <f t="shared" ref="AV9:AV38" si="24">IFERROR(BA9/S9,0)</f>
        <v>0</v>
      </c>
      <c r="AW9" s="82"/>
      <c r="AX9" s="84">
        <f>SUMIFS('Working-T05-B1'!AW$8:AW$150,'Working-T05-B1'!$C$8:$C$150,$D9)</f>
        <v>0</v>
      </c>
      <c r="AY9" s="84">
        <f>SUMIFS('Working-T05-B1'!AX$8:AX$150,'Working-T05-B1'!$C$8:$C$150,$D9)</f>
        <v>0</v>
      </c>
      <c r="AZ9" s="82"/>
      <c r="BA9" s="215">
        <f t="shared" ref="BA9:BA72" si="25">SUM(AX9:AZ9)</f>
        <v>0</v>
      </c>
      <c r="BC9" s="87">
        <f>_xlfn.XLOOKUP($G9,'GIÁ XUẤT KHO'!$A$4:$A$97,'GIÁ XUẤT KHO'!$AW$4:$AW$97)*P9</f>
        <v>0</v>
      </c>
      <c r="BD9" s="87">
        <f>_xlfn.XLOOKUP($G9,'GIÁ XUẤT KHO'!$A$4:$A$97,'GIÁ XUẤT KHO'!$AW$4:$AW$97)*Q9</f>
        <v>0</v>
      </c>
      <c r="BE9" s="87">
        <f>_xlfn.XLOOKUP($G9,'GIÁ XUẤT KHO'!$A$4:$A$97,'GIÁ XUẤT KHO'!$AW$4:$AW$97)*R9</f>
        <v>0</v>
      </c>
      <c r="BF9" s="219">
        <f t="shared" ref="BF9:BF72" si="26">SUM(BC9:BE9)</f>
        <v>0</v>
      </c>
      <c r="BH9" s="87">
        <f t="shared" ref="BH9:BH38" si="27">AJ9-BC9</f>
        <v>0</v>
      </c>
      <c r="BI9" s="87">
        <f t="shared" si="8"/>
        <v>0</v>
      </c>
      <c r="BJ9" s="87">
        <f t="shared" si="9"/>
        <v>0</v>
      </c>
      <c r="BK9" s="219">
        <f t="shared" ref="BK9:BK72" si="28">SUM(BH9:BJ9)</f>
        <v>0</v>
      </c>
      <c r="BM9" s="215">
        <f t="shared" ref="BM9:BM38" si="29">SUM(BN9:BV9)</f>
        <v>0</v>
      </c>
      <c r="BN9" s="84">
        <f>SUMIFS('GIÁ XUẤT KHO'!AX$4:AX$97,'GIÁ XUẤT KHO'!$A$4:$A$97,$G9)*$S9</f>
        <v>0</v>
      </c>
      <c r="BO9" s="84">
        <f>SUMIFS('GIÁ XUẤT KHO'!AY$4:AY$97,'GIÁ XUẤT KHO'!$A$4:$A$97,$G9)*$S9</f>
        <v>0</v>
      </c>
      <c r="BP9" s="84">
        <f>SUMIFS('GIÁ XUẤT KHO'!AZ$4:AZ$97,'GIÁ XUẤT KHO'!$A$4:$A$97,$G9)*$S9</f>
        <v>0</v>
      </c>
      <c r="BQ9" s="84">
        <f>SUMIFS('GIÁ XUẤT KHO'!BA$4:BA$97,'GIÁ XUẤT KHO'!$A$4:$A$97,$G9)*$S9</f>
        <v>0</v>
      </c>
      <c r="BR9" s="84">
        <f>SUMIFS('GIÁ XUẤT KHO'!BB$4:BB$97,'GIÁ XUẤT KHO'!$A$4:$A$97,$G9)*$S9</f>
        <v>0</v>
      </c>
      <c r="BS9" s="84">
        <f>SUMIFS('GIÁ XUẤT KHO'!BC$4:BC$97,'GIÁ XUẤT KHO'!$A$4:$A$97,$G9)*$S9</f>
        <v>0</v>
      </c>
      <c r="BT9" s="84">
        <f>SUMIFS('GIÁ XUẤT KHO'!BD$4:BD$97,'GIÁ XUẤT KHO'!$A$4:$A$97,$G9)*$S9</f>
        <v>0</v>
      </c>
      <c r="BU9" s="84">
        <f>SUMIFS('GIÁ XUẤT KHO'!BE$4:BE$97,'GIÁ XUẤT KHO'!$A$4:$A$97,$G9)*$S9</f>
        <v>0</v>
      </c>
      <c r="BV9" s="84">
        <f>SUMIFS('GIÁ XUẤT KHO'!BF$4:BF$97,'GIÁ XUẤT KHO'!$A$4:$A$97,$G9)*$S9</f>
        <v>0</v>
      </c>
      <c r="BW9" s="243">
        <f t="shared" ref="BW9:BW38" si="30">BM9-BF9</f>
        <v>0</v>
      </c>
    </row>
    <row r="10" spans="1:75" s="97" customFormat="1" x14ac:dyDescent="0.25">
      <c r="A10" s="97" t="str">
        <f>_xlfn.XLOOKUP($G10,MD_SKU[Mã SKU],MD_SKU[Link vào file BCQT])</f>
        <v>Phó sản</v>
      </c>
      <c r="B10" s="97" t="s">
        <v>2890</v>
      </c>
      <c r="C10" s="98" t="s">
        <v>252</v>
      </c>
      <c r="D10" s="98" t="s">
        <v>2790</v>
      </c>
      <c r="E10" s="99" t="s">
        <v>2010</v>
      </c>
      <c r="F10" s="98" t="s">
        <v>2609</v>
      </c>
      <c r="G10" s="99" t="s">
        <v>1898</v>
      </c>
      <c r="H10" s="98" t="s">
        <v>1899</v>
      </c>
      <c r="I10" s="99"/>
      <c r="J10" s="99"/>
      <c r="K10" s="100">
        <f>SUMIFS('Working-T05-B1'!L$8:L$150,'Working-T05-B1'!$C$8:$C$150,$D10)</f>
        <v>80930</v>
      </c>
      <c r="L10" s="100" cm="1">
        <f t="array" ref="L10">SUMPRODUCT(Sales!$G$3:$H$100*(Sales!$B$3:$B$100=$D10))</f>
        <v>0</v>
      </c>
      <c r="M10" s="101">
        <f t="shared" si="4"/>
        <v>80930</v>
      </c>
      <c r="N10" s="100">
        <f>SUMIFS(Sales!$I$3:$I$100,Sales!$B$3:$B$100,$D10)</f>
        <v>100000</v>
      </c>
      <c r="P10" s="100">
        <f>SUMIFS('Working-T05-B1'!O$8:O$150,'Working-T05-B1'!$C$8:$C$150,$D10)</f>
        <v>0</v>
      </c>
      <c r="Q10" s="100">
        <f t="shared" si="10"/>
        <v>80930</v>
      </c>
      <c r="R10" s="100">
        <f t="shared" si="11"/>
        <v>19070</v>
      </c>
      <c r="S10" s="100">
        <f t="shared" si="12"/>
        <v>100000</v>
      </c>
      <c r="T10" s="127">
        <f t="shared" si="5"/>
        <v>0</v>
      </c>
      <c r="U10" s="103">
        <f t="shared" si="13"/>
        <v>0</v>
      </c>
      <c r="V10" s="103">
        <f t="shared" si="13"/>
        <v>12000</v>
      </c>
      <c r="W10" s="141">
        <f t="shared" si="14"/>
        <v>12000</v>
      </c>
      <c r="X10" s="103">
        <f t="shared" si="15"/>
        <v>12000</v>
      </c>
      <c r="Y10" s="102"/>
      <c r="Z10" s="100"/>
      <c r="AA10" s="119">
        <f t="shared" si="6"/>
        <v>1</v>
      </c>
      <c r="AB10" s="119">
        <f t="shared" si="6"/>
        <v>1</v>
      </c>
      <c r="AC10" s="100">
        <f t="shared" si="16"/>
        <v>1</v>
      </c>
      <c r="AD10" s="102"/>
      <c r="AE10" s="100">
        <f t="shared" si="17"/>
        <v>0</v>
      </c>
      <c r="AF10" s="100">
        <f t="shared" si="18"/>
        <v>12000</v>
      </c>
      <c r="AG10" s="100">
        <f t="shared" si="19"/>
        <v>12000</v>
      </c>
      <c r="AH10" s="100"/>
      <c r="AI10" s="102"/>
      <c r="AJ10" s="104">
        <f>SUMIFS('Working-T05-B1'!AI$8:AI$150,'Working-T05-B1'!$C$8:$C$150,$D10)</f>
        <v>0</v>
      </c>
      <c r="AK10" s="100">
        <f>SUMIFS('Working-T05-B1'!AJ$8:AJ$150,'Working-T05-B1'!$C$8:$C$150,$D10)</f>
        <v>971160000</v>
      </c>
      <c r="AL10" s="100">
        <f t="shared" si="7"/>
        <v>228840000</v>
      </c>
      <c r="AM10" s="105">
        <f t="shared" si="20"/>
        <v>1200000000</v>
      </c>
      <c r="AO10" s="100">
        <f t="shared" si="21"/>
        <v>0</v>
      </c>
      <c r="AP10" s="98"/>
      <c r="AQ10" s="100">
        <f>SUMIFS('Working-T05-B1'!AP$8:AP$150,'Working-T05-B1'!$C$8:$C$150,$D10)</f>
        <v>0</v>
      </c>
      <c r="AR10" s="100">
        <f>SUMIFS('Working-T05-B1'!AQ$8:AQ$150,'Working-T05-B1'!$C$8:$C$150,$D10)</f>
        <v>0</v>
      </c>
      <c r="AS10" s="100">
        <f t="shared" si="22"/>
        <v>0</v>
      </c>
      <c r="AT10" s="216">
        <f t="shared" si="23"/>
        <v>0</v>
      </c>
      <c r="AV10" s="100">
        <f t="shared" si="24"/>
        <v>0</v>
      </c>
      <c r="AW10" s="98"/>
      <c r="AX10" s="100">
        <f>SUMIFS('Working-T05-B1'!AW$8:AW$150,'Working-T05-B1'!$C$8:$C$150,$D10)</f>
        <v>0</v>
      </c>
      <c r="AY10" s="100">
        <f>SUMIFS('Working-T05-B1'!AX$8:AX$150,'Working-T05-B1'!$C$8:$C$150,$D10)</f>
        <v>0</v>
      </c>
      <c r="AZ10" s="98"/>
      <c r="BA10" s="216">
        <f t="shared" si="25"/>
        <v>0</v>
      </c>
      <c r="BC10" s="102">
        <f>_xlfn.XLOOKUP($G10,'GIÁ XUẤT KHO'!$A$4:$A$97,'GIÁ XUẤT KHO'!$AW$4:$AW$97)*P10</f>
        <v>0</v>
      </c>
      <c r="BD10" s="102">
        <f>_xlfn.XLOOKUP($G10,'GIÁ XUẤT KHO'!$A$4:$A$97,'GIÁ XUẤT KHO'!$AW$4:$AW$97)*Q10</f>
        <v>1557495056.487252</v>
      </c>
      <c r="BE10" s="102">
        <f>_xlfn.XLOOKUP($G10,'GIÁ XUẤT KHO'!$A$4:$A$97,'GIÁ XUẤT KHO'!$AW$4:$AW$97)*R10</f>
        <v>367001491.74857152</v>
      </c>
      <c r="BF10" s="220">
        <f t="shared" si="26"/>
        <v>1924496548.2358236</v>
      </c>
      <c r="BH10" s="102">
        <f t="shared" si="27"/>
        <v>0</v>
      </c>
      <c r="BI10" s="102">
        <f t="shared" si="8"/>
        <v>-586335056.487252</v>
      </c>
      <c r="BJ10" s="102">
        <f t="shared" si="9"/>
        <v>-138161491.74857152</v>
      </c>
      <c r="BK10" s="220">
        <f t="shared" si="28"/>
        <v>-724496548.23582351</v>
      </c>
      <c r="BM10" s="216">
        <f t="shared" si="29"/>
        <v>1924496548.2358236</v>
      </c>
      <c r="BN10" s="100">
        <f>SUMIFS('GIÁ XUẤT KHO'!AX$4:AX$97,'GIÁ XUẤT KHO'!$A$4:$A$97,$G10)*$S10</f>
        <v>1217176049.0824144</v>
      </c>
      <c r="BO10" s="100">
        <f>SUMIFS('GIÁ XUẤT KHO'!AY$4:AY$97,'GIÁ XUẤT KHO'!$A$4:$A$97,$G10)*$S10</f>
        <v>0.58393628647820783</v>
      </c>
      <c r="BP10" s="100">
        <f>SUMIFS('GIÁ XUẤT KHO'!AZ$4:AZ$97,'GIÁ XUẤT KHO'!$A$4:$A$97,$G10)*$S10</f>
        <v>9.3429805836513253</v>
      </c>
      <c r="BQ10" s="100">
        <f>SUMIFS('GIÁ XUẤT KHO'!BA$4:BA$97,'GIÁ XUẤT KHO'!$A$4:$A$97,$G10)*$S10</f>
        <v>72585904.034976393</v>
      </c>
      <c r="BR10" s="100">
        <f>SUMIFS('GIÁ XUẤT KHO'!BB$4:BB$97,'GIÁ XUẤT KHO'!$A$4:$A$97,$G10)*$S10</f>
        <v>0</v>
      </c>
      <c r="BS10" s="100">
        <f>SUMIFS('GIÁ XUẤT KHO'!BC$4:BC$97,'GIÁ XUẤT KHO'!$A$4:$A$97,$G10)*$S10</f>
        <v>149781744.4699482</v>
      </c>
      <c r="BT10" s="100">
        <f>SUMIFS('GIÁ XUẤT KHO'!BD$4:BD$97,'GIÁ XUẤT KHO'!$A$4:$A$97,$G10)*$S10</f>
        <v>162439809.0154624</v>
      </c>
      <c r="BU10" s="100">
        <f>SUMIFS('GIÁ XUẤT KHO'!BE$4:BE$97,'GIÁ XUẤT KHO'!$A$4:$A$97,$G10)*$S10</f>
        <v>15714904.436490973</v>
      </c>
      <c r="BV10" s="100">
        <f>SUMIFS('GIÁ XUẤT KHO'!BF$4:BF$97,'GIÁ XUẤT KHO'!$A$4:$A$97,$G10)*$S10</f>
        <v>306798127.26961434</v>
      </c>
      <c r="BW10" s="243">
        <f t="shared" si="30"/>
        <v>0</v>
      </c>
    </row>
    <row r="11" spans="1:75" s="86" customFormat="1" x14ac:dyDescent="0.25">
      <c r="A11" s="86" t="str">
        <f>_xlfn.XLOOKUP($G11,MD_SKU[Mã SKU],MD_SKU[Link vào file BCQT])</f>
        <v>Hạt rPET</v>
      </c>
      <c r="B11" s="86" t="s">
        <v>2890</v>
      </c>
      <c r="C11" s="82" t="s">
        <v>252</v>
      </c>
      <c r="D11" s="82" t="s">
        <v>2793</v>
      </c>
      <c r="E11" s="83" t="s">
        <v>2479</v>
      </c>
      <c r="F11" s="82" t="s">
        <v>2480</v>
      </c>
      <c r="G11" s="83" t="s">
        <v>273</v>
      </c>
      <c r="H11" s="82" t="s">
        <v>274</v>
      </c>
      <c r="I11" s="83"/>
      <c r="J11" s="83"/>
      <c r="K11" s="84">
        <f>SUMIFS('Working-T05-B1'!L$8:L$150,'Working-T05-B1'!$C$8:$C$150,$D11)</f>
        <v>230400</v>
      </c>
      <c r="L11" s="84" cm="1">
        <f t="array" ref="L11">SUMPRODUCT(Sales!$G$3:$H$100*(Sales!$B$3:$B$100=$D11))</f>
        <v>30800</v>
      </c>
      <c r="M11" s="85">
        <f t="shared" si="4"/>
        <v>199600</v>
      </c>
      <c r="N11" s="84">
        <f>SUMIFS(Sales!$I$3:$I$100,Sales!$B$3:$B$100,$D11)</f>
        <v>0</v>
      </c>
      <c r="P11" s="84">
        <f>SUMIFS('Working-T05-B1'!O$8:O$150,'Working-T05-B1'!$C$8:$C$150,$D11)</f>
        <v>0</v>
      </c>
      <c r="Q11" s="84">
        <f t="shared" si="10"/>
        <v>30800</v>
      </c>
      <c r="R11" s="84">
        <f t="shared" si="11"/>
        <v>0</v>
      </c>
      <c r="S11" s="84">
        <f t="shared" si="12"/>
        <v>30800</v>
      </c>
      <c r="T11" s="127">
        <f t="shared" si="5"/>
        <v>0</v>
      </c>
      <c r="U11" s="88">
        <f t="shared" si="13"/>
        <v>0</v>
      </c>
      <c r="V11" s="88">
        <f>IFERROR(AF11/AA11,0)</f>
        <v>33832.83</v>
      </c>
      <c r="W11" s="131">
        <f t="shared" si="14"/>
        <v>0</v>
      </c>
      <c r="X11" s="88">
        <f t="shared" si="15"/>
        <v>33832.83</v>
      </c>
      <c r="Y11" s="87"/>
      <c r="Z11" s="84"/>
      <c r="AA11" s="118">
        <f t="shared" si="6"/>
        <v>1</v>
      </c>
      <c r="AB11" s="118">
        <f t="shared" si="6"/>
        <v>1</v>
      </c>
      <c r="AC11" s="84">
        <f t="shared" si="16"/>
        <v>1</v>
      </c>
      <c r="AD11" s="87"/>
      <c r="AE11" s="84">
        <f t="shared" si="17"/>
        <v>0</v>
      </c>
      <c r="AF11" s="84">
        <f t="shared" si="18"/>
        <v>33832.83</v>
      </c>
      <c r="AG11" s="84">
        <f t="shared" si="19"/>
        <v>0</v>
      </c>
      <c r="AH11" s="84"/>
      <c r="AI11" s="87"/>
      <c r="AJ11" s="89">
        <f>SUMIFS('Working-T05-B1'!AI$8:AI$150,'Working-T05-B1'!$C$8:$C$150,$D11)</f>
        <v>0</v>
      </c>
      <c r="AK11" s="84">
        <f>SUMIFS('Working-T05-B1'!AJ$8:AJ$150,'Working-T05-B1'!$C$8:$C$150,$D11)</f>
        <v>1042051164</v>
      </c>
      <c r="AL11" s="84">
        <f t="shared" si="7"/>
        <v>0</v>
      </c>
      <c r="AM11" s="90">
        <f t="shared" si="20"/>
        <v>1042051164</v>
      </c>
      <c r="AO11" s="84">
        <f t="shared" si="21"/>
        <v>0</v>
      </c>
      <c r="AP11" s="82"/>
      <c r="AQ11" s="84">
        <f>SUMIFS('Working-T05-B1'!AP$8:AP$150,'Working-T05-B1'!$C$8:$C$150,$D11)</f>
        <v>0</v>
      </c>
      <c r="AR11" s="84">
        <f>SUMIFS('Working-T05-B1'!AQ$8:AQ$150,'Working-T05-B1'!$C$8:$C$150,$D11)</f>
        <v>0</v>
      </c>
      <c r="AS11" s="84">
        <f t="shared" si="22"/>
        <v>0</v>
      </c>
      <c r="AT11" s="215">
        <f t="shared" si="23"/>
        <v>0</v>
      </c>
      <c r="AV11" s="84">
        <f t="shared" si="24"/>
        <v>0</v>
      </c>
      <c r="AW11" s="82"/>
      <c r="AX11" s="84">
        <f>SUMIFS('Working-T05-B1'!AW$8:AW$150,'Working-T05-B1'!$C$8:$C$150,$D11)</f>
        <v>0</v>
      </c>
      <c r="AY11" s="84">
        <f>SUMIFS('Working-T05-B1'!AX$8:AX$150,'Working-T05-B1'!$C$8:$C$150,$D11)</f>
        <v>0</v>
      </c>
      <c r="AZ11" s="82"/>
      <c r="BA11" s="215">
        <f t="shared" si="25"/>
        <v>0</v>
      </c>
      <c r="BC11" s="87">
        <f>_xlfn.XLOOKUP($G11,'GIÁ XUẤT KHO'!$A$4:$A$97,'GIÁ XUẤT KHO'!$AW$4:$AW$97)*P11</f>
        <v>0</v>
      </c>
      <c r="BD11" s="87">
        <f>_xlfn.XLOOKUP($G11,'GIÁ XUẤT KHO'!$A$4:$A$97,'GIÁ XUẤT KHO'!$AW$4:$AW$97)*Q11</f>
        <v>1000254067.4754723</v>
      </c>
      <c r="BE11" s="87">
        <f>_xlfn.XLOOKUP($G11,'GIÁ XUẤT KHO'!$A$4:$A$97,'GIÁ XUẤT KHO'!$AW$4:$AW$97)*R11</f>
        <v>0</v>
      </c>
      <c r="BF11" s="219">
        <f t="shared" si="26"/>
        <v>1000254067.4754723</v>
      </c>
      <c r="BH11" s="87">
        <f t="shared" si="27"/>
        <v>0</v>
      </c>
      <c r="BI11" s="87">
        <f t="shared" si="8"/>
        <v>41797096.524527669</v>
      </c>
      <c r="BJ11" s="87">
        <f t="shared" si="9"/>
        <v>0</v>
      </c>
      <c r="BK11" s="219">
        <f t="shared" si="28"/>
        <v>41797096.524527669</v>
      </c>
      <c r="BM11" s="215">
        <f t="shared" si="29"/>
        <v>1000254067.4754722</v>
      </c>
      <c r="BN11" s="84">
        <f>SUMIFS('GIÁ XUẤT KHO'!AX$4:AX$97,'GIÁ XUẤT KHO'!$A$4:$A$97,$G11)*$S11</f>
        <v>602119780.17158782</v>
      </c>
      <c r="BO11" s="84">
        <f>SUMIFS('GIÁ XUẤT KHO'!AY$4:AY$97,'GIÁ XUẤT KHO'!$A$4:$A$97,$G11)*$S11</f>
        <v>2702006.6240687789</v>
      </c>
      <c r="BP11" s="84">
        <f>SUMIFS('GIÁ XUẤT KHO'!AZ$4:AZ$97,'GIÁ XUẤT KHO'!$A$4:$A$97,$G11)*$S11</f>
        <v>8.6119702009297612</v>
      </c>
      <c r="BQ11" s="84">
        <f>SUMIFS('GIÁ XUẤT KHO'!BA$4:BA$97,'GIÁ XUẤT KHO'!$A$4:$A$97,$G11)*$S11</f>
        <v>64998198.594658732</v>
      </c>
      <c r="BR11" s="84">
        <f>SUMIFS('GIÁ XUẤT KHO'!BB$4:BB$97,'GIÁ XUẤT KHO'!$A$4:$A$97,$G11)*$S11</f>
        <v>6081552.8894594545</v>
      </c>
      <c r="BS11" s="84">
        <f>SUMIFS('GIÁ XUẤT KHO'!BC$4:BC$97,'GIÁ XUẤT KHO'!$A$4:$A$97,$G11)*$S11</f>
        <v>48034157.044212326</v>
      </c>
      <c r="BT11" s="84">
        <f>SUMIFS('GIÁ XUẤT KHO'!BD$4:BD$97,'GIÁ XUẤT KHO'!$A$4:$A$97,$G11)*$S11</f>
        <v>77478929.3361343</v>
      </c>
      <c r="BU11" s="84">
        <f>SUMIFS('GIÁ XUẤT KHO'!BE$4:BE$97,'GIÁ XUẤT KHO'!$A$4:$A$97,$G11)*$S11</f>
        <v>36355979.849643074</v>
      </c>
      <c r="BV11" s="84">
        <f>SUMIFS('GIÁ XUẤT KHO'!BF$4:BF$97,'GIÁ XUẤT KHO'!$A$4:$A$97,$G11)*$S11</f>
        <v>162483454.35373753</v>
      </c>
      <c r="BW11" s="243">
        <f t="shared" si="30"/>
        <v>0</v>
      </c>
    </row>
    <row r="12" spans="1:75" s="86" customFormat="1" x14ac:dyDescent="0.25">
      <c r="A12" s="86" t="str">
        <f>_xlfn.XLOOKUP($G12,MD_SKU[Mã SKU],MD_SKU[Link vào file BCQT])</f>
        <v>Vảy rHDPE ép</v>
      </c>
      <c r="B12" s="86" t="s">
        <v>2890</v>
      </c>
      <c r="C12" s="82" t="s">
        <v>252</v>
      </c>
      <c r="D12" s="82" t="s">
        <v>2795</v>
      </c>
      <c r="E12" s="83" t="s">
        <v>55</v>
      </c>
      <c r="F12" s="82" t="s">
        <v>56</v>
      </c>
      <c r="G12" s="83" t="s">
        <v>381</v>
      </c>
      <c r="H12" s="82" t="s">
        <v>382</v>
      </c>
      <c r="I12" s="83"/>
      <c r="J12" s="83"/>
      <c r="K12" s="84">
        <f>SUMIFS('Working-T05-B1'!L$8:L$150,'Working-T05-B1'!$C$8:$C$150,$D12)</f>
        <v>3000</v>
      </c>
      <c r="L12" s="84" cm="1">
        <f t="array" ref="L12">SUMPRODUCT(Sales!$G$3:$H$100*(Sales!$B$3:$B$100=$D12))</f>
        <v>0</v>
      </c>
      <c r="M12" s="85">
        <f t="shared" si="4"/>
        <v>3000</v>
      </c>
      <c r="N12" s="84">
        <f>SUMIFS(Sales!$I$3:$I$100,Sales!$B$3:$B$100,$D12)</f>
        <v>6000</v>
      </c>
      <c r="P12" s="84">
        <f>SUMIFS('Working-T05-B1'!O$8:O$150,'Working-T05-B1'!$C$8:$C$150,$D12)</f>
        <v>0</v>
      </c>
      <c r="Q12" s="84">
        <f t="shared" si="10"/>
        <v>3000</v>
      </c>
      <c r="R12" s="84">
        <f t="shared" si="11"/>
        <v>3000</v>
      </c>
      <c r="S12" s="84">
        <f t="shared" si="12"/>
        <v>6000</v>
      </c>
      <c r="T12" s="127">
        <f t="shared" si="5"/>
        <v>0</v>
      </c>
      <c r="U12" s="88">
        <f t="shared" si="13"/>
        <v>0</v>
      </c>
      <c r="V12" s="88">
        <f t="shared" si="13"/>
        <v>15740.740740740739</v>
      </c>
      <c r="W12" s="131">
        <f t="shared" si="14"/>
        <v>15740.740740740739</v>
      </c>
      <c r="X12" s="88">
        <f t="shared" si="15"/>
        <v>15740.740740740739</v>
      </c>
      <c r="Y12" s="87"/>
      <c r="Z12" s="84"/>
      <c r="AA12" s="118">
        <f t="shared" si="6"/>
        <v>1</v>
      </c>
      <c r="AB12" s="118">
        <f t="shared" si="6"/>
        <v>1</v>
      </c>
      <c r="AC12" s="84">
        <f t="shared" si="16"/>
        <v>1</v>
      </c>
      <c r="AD12" s="87"/>
      <c r="AE12" s="84">
        <f t="shared" si="17"/>
        <v>0</v>
      </c>
      <c r="AF12" s="84">
        <f t="shared" si="18"/>
        <v>15740.740740740739</v>
      </c>
      <c r="AG12" s="84">
        <f t="shared" si="19"/>
        <v>15740.740740740739</v>
      </c>
      <c r="AH12" s="84"/>
      <c r="AI12" s="87"/>
      <c r="AJ12" s="89">
        <f>SUMIFS('Working-T05-B1'!AI$8:AI$150,'Working-T05-B1'!$C$8:$C$150,$D12)</f>
        <v>0</v>
      </c>
      <c r="AK12" s="84">
        <f>SUMIFS('Working-T05-B1'!AJ$8:AJ$150,'Working-T05-B1'!$C$8:$C$150,$D12)</f>
        <v>47222222.222222216</v>
      </c>
      <c r="AL12" s="84">
        <f t="shared" si="7"/>
        <v>47222222.222222216</v>
      </c>
      <c r="AM12" s="90">
        <f t="shared" si="20"/>
        <v>94444444.444444433</v>
      </c>
      <c r="AO12" s="84">
        <f t="shared" si="21"/>
        <v>0</v>
      </c>
      <c r="AP12" s="82"/>
      <c r="AQ12" s="84">
        <f>SUMIFS('Working-T05-B1'!AP$8:AP$150,'Working-T05-B1'!$C$8:$C$150,$D12)</f>
        <v>0</v>
      </c>
      <c r="AR12" s="84">
        <f>SUMIFS('Working-T05-B1'!AQ$8:AQ$150,'Working-T05-B1'!$C$8:$C$150,$D12)</f>
        <v>0</v>
      </c>
      <c r="AS12" s="84">
        <f t="shared" si="22"/>
        <v>0</v>
      </c>
      <c r="AT12" s="215">
        <f t="shared" si="23"/>
        <v>0</v>
      </c>
      <c r="AV12" s="84">
        <f t="shared" si="24"/>
        <v>0</v>
      </c>
      <c r="AW12" s="82"/>
      <c r="AX12" s="84">
        <f>SUMIFS('Working-T05-B1'!AW$8:AW$150,'Working-T05-B1'!$C$8:$C$150,$D12)</f>
        <v>0</v>
      </c>
      <c r="AY12" s="84">
        <f>SUMIFS('Working-T05-B1'!AX$8:AX$150,'Working-T05-B1'!$C$8:$C$150,$D12)</f>
        <v>0</v>
      </c>
      <c r="AZ12" s="82"/>
      <c r="BA12" s="215">
        <f t="shared" si="25"/>
        <v>0</v>
      </c>
      <c r="BC12" s="87">
        <f>_xlfn.XLOOKUP($G12,'GIÁ XUẤT KHO'!$A$4:$A$97,'GIÁ XUẤT KHO'!$AW$4:$AW$97)*P12</f>
        <v>0</v>
      </c>
      <c r="BD12" s="87">
        <f>_xlfn.XLOOKUP($G12,'GIÁ XUẤT KHO'!$A$4:$A$97,'GIÁ XUẤT KHO'!$AW$4:$AW$97)*Q12</f>
        <v>46759663.894389436</v>
      </c>
      <c r="BE12" s="87">
        <f>_xlfn.XLOOKUP($G12,'GIÁ XUẤT KHO'!$A$4:$A$97,'GIÁ XUẤT KHO'!$AW$4:$AW$97)*R12</f>
        <v>46759663.894389436</v>
      </c>
      <c r="BF12" s="219">
        <f t="shared" si="26"/>
        <v>93519327.788778871</v>
      </c>
      <c r="BH12" s="87">
        <f t="shared" si="27"/>
        <v>0</v>
      </c>
      <c r="BI12" s="87">
        <f t="shared" si="8"/>
        <v>462558.32783278078</v>
      </c>
      <c r="BJ12" s="87">
        <f t="shared" si="9"/>
        <v>462558.32783278078</v>
      </c>
      <c r="BK12" s="219">
        <f t="shared" si="28"/>
        <v>925116.65566556156</v>
      </c>
      <c r="BM12" s="215">
        <f t="shared" si="29"/>
        <v>93519327.788778871</v>
      </c>
      <c r="BN12" s="84">
        <f>SUMIFS('GIÁ XUẤT KHO'!AX$4:AX$97,'GIÁ XUẤT KHO'!$A$4:$A$97,$G12)*$S12</f>
        <v>88163097.293729365</v>
      </c>
      <c r="BO12" s="84">
        <f>SUMIFS('GIÁ XUẤT KHO'!AY$4:AY$97,'GIÁ XUẤT KHO'!$A$4:$A$97,$G12)*$S12</f>
        <v>0.26402640264026406</v>
      </c>
      <c r="BP12" s="84">
        <f>SUMIFS('GIÁ XUẤT KHO'!AZ$4:AZ$97,'GIÁ XUẤT KHO'!$A$4:$A$97,$G12)*$S12</f>
        <v>0</v>
      </c>
      <c r="BQ12" s="84">
        <f>SUMIFS('GIÁ XUẤT KHO'!BA$4:BA$97,'GIÁ XUẤT KHO'!$A$4:$A$97,$G12)*$S12</f>
        <v>748615.4455445545</v>
      </c>
      <c r="BR12" s="84">
        <f>SUMIFS('GIÁ XUẤT KHO'!BB$4:BB$97,'GIÁ XUẤT KHO'!$A$4:$A$97,$G12)*$S12</f>
        <v>36585.346534653465</v>
      </c>
      <c r="BS12" s="84">
        <f>SUMIFS('GIÁ XUẤT KHO'!BC$4:BC$97,'GIÁ XUẤT KHO'!$A$4:$A$97,$G12)*$S12</f>
        <v>1427975.9735973598</v>
      </c>
      <c r="BT12" s="84">
        <f>SUMIFS('GIÁ XUẤT KHO'!BD$4:BD$97,'GIÁ XUẤT KHO'!$A$4:$A$97,$G12)*$S12</f>
        <v>1081458.481848185</v>
      </c>
      <c r="BU12" s="84">
        <f>SUMIFS('GIÁ XUẤT KHO'!BE$4:BE$97,'GIÁ XUẤT KHO'!$A$4:$A$97,$G12)*$S12</f>
        <v>666959.47194719478</v>
      </c>
      <c r="BV12" s="84">
        <f>SUMIFS('GIÁ XUẤT KHO'!BF$4:BF$97,'GIÁ XUẤT KHO'!$A$4:$A$97,$G12)*$S12</f>
        <v>1394635.511551155</v>
      </c>
      <c r="BW12" s="243">
        <f t="shared" si="30"/>
        <v>0</v>
      </c>
    </row>
    <row r="13" spans="1:75" s="86" customFormat="1" x14ac:dyDescent="0.25">
      <c r="A13" s="86" t="str">
        <f>_xlfn.XLOOKUP($G13,MD_SKU[Mã SKU],MD_SKU[Link vào file BCQT])</f>
        <v>Vảy rHDPE ép</v>
      </c>
      <c r="B13" s="86" t="s">
        <v>2890</v>
      </c>
      <c r="C13" s="82" t="s">
        <v>252</v>
      </c>
      <c r="D13" s="82" t="s">
        <v>2796</v>
      </c>
      <c r="E13" s="83" t="s">
        <v>55</v>
      </c>
      <c r="F13" s="82" t="s">
        <v>56</v>
      </c>
      <c r="G13" s="83" t="s">
        <v>384</v>
      </c>
      <c r="H13" s="82" t="s">
        <v>385</v>
      </c>
      <c r="I13" s="83"/>
      <c r="J13" s="83"/>
      <c r="K13" s="84">
        <f>SUMIFS('Working-T05-B1'!L$8:L$150,'Working-T05-B1'!$C$8:$C$150,$D13)</f>
        <v>10500</v>
      </c>
      <c r="L13" s="84" cm="1">
        <f t="array" ref="L13">SUMPRODUCT(Sales!$G$3:$H$100*(Sales!$B$3:$B$100=$D13))</f>
        <v>0</v>
      </c>
      <c r="M13" s="85">
        <f t="shared" si="4"/>
        <v>10500</v>
      </c>
      <c r="N13" s="84">
        <f>SUMIFS(Sales!$I$3:$I$100,Sales!$B$3:$B$100,$D13)</f>
        <v>0</v>
      </c>
      <c r="P13" s="84">
        <f>SUMIFS('Working-T05-B1'!O$8:O$150,'Working-T05-B1'!$C$8:$C$150,$D13)</f>
        <v>0</v>
      </c>
      <c r="Q13" s="84">
        <f t="shared" si="10"/>
        <v>0</v>
      </c>
      <c r="R13" s="84">
        <f t="shared" si="11"/>
        <v>0</v>
      </c>
      <c r="S13" s="84">
        <f t="shared" si="12"/>
        <v>0</v>
      </c>
      <c r="T13" s="127">
        <f t="shared" si="5"/>
        <v>0</v>
      </c>
      <c r="U13" s="88">
        <f t="shared" si="13"/>
        <v>0</v>
      </c>
      <c r="V13" s="88">
        <f t="shared" si="13"/>
        <v>0</v>
      </c>
      <c r="W13" s="131">
        <f t="shared" si="14"/>
        <v>0</v>
      </c>
      <c r="X13" s="88">
        <f t="shared" si="15"/>
        <v>0</v>
      </c>
      <c r="Y13" s="87"/>
      <c r="Z13" s="84"/>
      <c r="AA13" s="118">
        <f t="shared" si="6"/>
        <v>1</v>
      </c>
      <c r="AB13" s="118">
        <f t="shared" si="6"/>
        <v>1</v>
      </c>
      <c r="AC13" s="84">
        <f t="shared" si="16"/>
        <v>0</v>
      </c>
      <c r="AD13" s="87"/>
      <c r="AE13" s="84">
        <f t="shared" si="17"/>
        <v>0</v>
      </c>
      <c r="AF13" s="84">
        <f t="shared" si="18"/>
        <v>0</v>
      </c>
      <c r="AG13" s="84">
        <f t="shared" si="19"/>
        <v>0</v>
      </c>
      <c r="AH13" s="84"/>
      <c r="AI13" s="87"/>
      <c r="AJ13" s="89">
        <f>SUMIFS('Working-T05-B1'!AI$8:AI$150,'Working-T05-B1'!$C$8:$C$150,$D13)</f>
        <v>0</v>
      </c>
      <c r="AK13" s="84">
        <f>SUMIFS('Working-T05-B1'!AJ$8:AJ$150,'Working-T05-B1'!$C$8:$C$150,$D13)</f>
        <v>0</v>
      </c>
      <c r="AL13" s="84">
        <f t="shared" si="7"/>
        <v>0</v>
      </c>
      <c r="AM13" s="90">
        <f t="shared" si="20"/>
        <v>0</v>
      </c>
      <c r="AO13" s="84">
        <f t="shared" si="21"/>
        <v>0</v>
      </c>
      <c r="AP13" s="82"/>
      <c r="AQ13" s="84">
        <f>SUMIFS('Working-T05-B1'!AP$8:AP$150,'Working-T05-B1'!$C$8:$C$150,$D13)</f>
        <v>0</v>
      </c>
      <c r="AR13" s="84">
        <f>SUMIFS('Working-T05-B1'!AQ$8:AQ$150,'Working-T05-B1'!$C$8:$C$150,$D13)</f>
        <v>0</v>
      </c>
      <c r="AS13" s="84">
        <f t="shared" si="22"/>
        <v>0</v>
      </c>
      <c r="AT13" s="215">
        <f t="shared" si="23"/>
        <v>0</v>
      </c>
      <c r="AV13" s="84">
        <f t="shared" si="24"/>
        <v>0</v>
      </c>
      <c r="AW13" s="82"/>
      <c r="AX13" s="84">
        <f>SUMIFS('Working-T05-B1'!AW$8:AW$150,'Working-T05-B1'!$C$8:$C$150,$D13)</f>
        <v>0</v>
      </c>
      <c r="AY13" s="84">
        <f>SUMIFS('Working-T05-B1'!AX$8:AX$150,'Working-T05-B1'!$C$8:$C$150,$D13)</f>
        <v>0</v>
      </c>
      <c r="AZ13" s="82"/>
      <c r="BA13" s="215">
        <f t="shared" si="25"/>
        <v>0</v>
      </c>
      <c r="BC13" s="87">
        <f>_xlfn.XLOOKUP($G13,'GIÁ XUẤT KHO'!$A$4:$A$97,'GIÁ XUẤT KHO'!$AW$4:$AW$97)*P13</f>
        <v>0</v>
      </c>
      <c r="BD13" s="87">
        <f>_xlfn.XLOOKUP($G13,'GIÁ XUẤT KHO'!$A$4:$A$97,'GIÁ XUẤT KHO'!$AW$4:$AW$97)*Q13</f>
        <v>0</v>
      </c>
      <c r="BE13" s="87">
        <f>_xlfn.XLOOKUP($G13,'GIÁ XUẤT KHO'!$A$4:$A$97,'GIÁ XUẤT KHO'!$AW$4:$AW$97)*R13</f>
        <v>0</v>
      </c>
      <c r="BF13" s="219">
        <f t="shared" si="26"/>
        <v>0</v>
      </c>
      <c r="BH13" s="87">
        <f t="shared" si="27"/>
        <v>0</v>
      </c>
      <c r="BI13" s="87">
        <f t="shared" si="8"/>
        <v>0</v>
      </c>
      <c r="BJ13" s="87">
        <f t="shared" si="9"/>
        <v>0</v>
      </c>
      <c r="BK13" s="219">
        <f t="shared" si="28"/>
        <v>0</v>
      </c>
      <c r="BM13" s="215">
        <f t="shared" si="29"/>
        <v>0</v>
      </c>
      <c r="BN13" s="84">
        <f>SUMIFS('GIÁ XUẤT KHO'!AX$4:AX$97,'GIÁ XUẤT KHO'!$A$4:$A$97,$G13)*$S13</f>
        <v>0</v>
      </c>
      <c r="BO13" s="84">
        <f>SUMIFS('GIÁ XUẤT KHO'!AY$4:AY$97,'GIÁ XUẤT KHO'!$A$4:$A$97,$G13)*$S13</f>
        <v>0</v>
      </c>
      <c r="BP13" s="84">
        <f>SUMIFS('GIÁ XUẤT KHO'!AZ$4:AZ$97,'GIÁ XUẤT KHO'!$A$4:$A$97,$G13)*$S13</f>
        <v>0</v>
      </c>
      <c r="BQ13" s="84">
        <f>SUMIFS('GIÁ XUẤT KHO'!BA$4:BA$97,'GIÁ XUẤT KHO'!$A$4:$A$97,$G13)*$S13</f>
        <v>0</v>
      </c>
      <c r="BR13" s="84">
        <f>SUMIFS('GIÁ XUẤT KHO'!BB$4:BB$97,'GIÁ XUẤT KHO'!$A$4:$A$97,$G13)*$S13</f>
        <v>0</v>
      </c>
      <c r="BS13" s="84">
        <f>SUMIFS('GIÁ XUẤT KHO'!BC$4:BC$97,'GIÁ XUẤT KHO'!$A$4:$A$97,$G13)*$S13</f>
        <v>0</v>
      </c>
      <c r="BT13" s="84">
        <f>SUMIFS('GIÁ XUẤT KHO'!BD$4:BD$97,'GIÁ XUẤT KHO'!$A$4:$A$97,$G13)*$S13</f>
        <v>0</v>
      </c>
      <c r="BU13" s="84">
        <f>SUMIFS('GIÁ XUẤT KHO'!BE$4:BE$97,'GIÁ XUẤT KHO'!$A$4:$A$97,$G13)*$S13</f>
        <v>0</v>
      </c>
      <c r="BV13" s="84">
        <f>SUMIFS('GIÁ XUẤT KHO'!BF$4:BF$97,'GIÁ XUẤT KHO'!$A$4:$A$97,$G13)*$S13</f>
        <v>0</v>
      </c>
      <c r="BW13" s="243">
        <f t="shared" si="30"/>
        <v>0</v>
      </c>
    </row>
    <row r="14" spans="1:75" s="86" customFormat="1" x14ac:dyDescent="0.25">
      <c r="A14" s="86" t="str">
        <f>_xlfn.XLOOKUP($G14,MD_SKU[Mã SKU],MD_SKU[Link vào file BCQT])</f>
        <v>Vảy rHDPE ép</v>
      </c>
      <c r="B14" s="86" t="s">
        <v>2890</v>
      </c>
      <c r="C14" s="82" t="s">
        <v>252</v>
      </c>
      <c r="D14" s="82" t="s">
        <v>2797</v>
      </c>
      <c r="E14" s="83" t="s">
        <v>55</v>
      </c>
      <c r="F14" s="82" t="s">
        <v>56</v>
      </c>
      <c r="G14" s="83" t="s">
        <v>260</v>
      </c>
      <c r="H14" s="82" t="s">
        <v>376</v>
      </c>
      <c r="I14" s="83"/>
      <c r="J14" s="83"/>
      <c r="K14" s="84">
        <f>SUMIFS('Working-T05-B1'!L$8:L$150,'Working-T05-B1'!$C$8:$C$150,$D14)</f>
        <v>24000</v>
      </c>
      <c r="L14" s="84" cm="1">
        <f t="array" ref="L14">SUMPRODUCT(Sales!$G$3:$H$100*(Sales!$B$3:$B$100=$D14))</f>
        <v>0</v>
      </c>
      <c r="M14" s="85">
        <f t="shared" si="4"/>
        <v>24000</v>
      </c>
      <c r="N14" s="84">
        <f>SUMIFS(Sales!$I$3:$I$100,Sales!$B$3:$B$100,$D14)</f>
        <v>12000</v>
      </c>
      <c r="P14" s="84">
        <f>SUMIFS('Working-T05-B1'!O$8:O$150,'Working-T05-B1'!$C$8:$C$150,$D14)</f>
        <v>0</v>
      </c>
      <c r="Q14" s="84">
        <f t="shared" si="10"/>
        <v>12000</v>
      </c>
      <c r="R14" s="84">
        <f t="shared" si="11"/>
        <v>0</v>
      </c>
      <c r="S14" s="84">
        <f t="shared" si="12"/>
        <v>12000</v>
      </c>
      <c r="T14" s="127">
        <f t="shared" si="5"/>
        <v>0</v>
      </c>
      <c r="U14" s="88">
        <f t="shared" si="13"/>
        <v>0</v>
      </c>
      <c r="V14" s="88">
        <f t="shared" si="13"/>
        <v>15740.740740740739</v>
      </c>
      <c r="W14" s="131">
        <f t="shared" si="14"/>
        <v>0</v>
      </c>
      <c r="X14" s="88">
        <f t="shared" si="15"/>
        <v>15740.740740740739</v>
      </c>
      <c r="Y14" s="87"/>
      <c r="Z14" s="84"/>
      <c r="AA14" s="118">
        <f t="shared" si="6"/>
        <v>1</v>
      </c>
      <c r="AB14" s="118">
        <f t="shared" si="6"/>
        <v>1</v>
      </c>
      <c r="AC14" s="84">
        <f t="shared" si="16"/>
        <v>1</v>
      </c>
      <c r="AD14" s="87"/>
      <c r="AE14" s="84">
        <f t="shared" si="17"/>
        <v>0</v>
      </c>
      <c r="AF14" s="84">
        <f t="shared" si="18"/>
        <v>15740.740740740739</v>
      </c>
      <c r="AG14" s="84">
        <f t="shared" si="19"/>
        <v>0</v>
      </c>
      <c r="AH14" s="84"/>
      <c r="AI14" s="87"/>
      <c r="AJ14" s="89">
        <f>SUMIFS('Working-T05-B1'!AI$8:AI$150,'Working-T05-B1'!$C$8:$C$150,$D14)</f>
        <v>0</v>
      </c>
      <c r="AK14" s="84">
        <f>SUMIFS('Working-T05-B1'!AJ$8:AJ$150,'Working-T05-B1'!$C$8:$C$150,$D14)</f>
        <v>188888888.88888887</v>
      </c>
      <c r="AL14" s="84">
        <f t="shared" si="7"/>
        <v>0</v>
      </c>
      <c r="AM14" s="90">
        <f t="shared" si="20"/>
        <v>188888888.88888887</v>
      </c>
      <c r="AO14" s="84">
        <f t="shared" si="21"/>
        <v>0</v>
      </c>
      <c r="AP14" s="82"/>
      <c r="AQ14" s="84">
        <f>SUMIFS('Working-T05-B1'!AP$8:AP$150,'Working-T05-B1'!$C$8:$C$150,$D14)</f>
        <v>0</v>
      </c>
      <c r="AR14" s="84">
        <f>SUMIFS('Working-T05-B1'!AQ$8:AQ$150,'Working-T05-B1'!$C$8:$C$150,$D14)</f>
        <v>0</v>
      </c>
      <c r="AS14" s="84">
        <f t="shared" si="22"/>
        <v>0</v>
      </c>
      <c r="AT14" s="215">
        <f t="shared" si="23"/>
        <v>0</v>
      </c>
      <c r="AV14" s="84">
        <f t="shared" si="24"/>
        <v>0</v>
      </c>
      <c r="AW14" s="82"/>
      <c r="AX14" s="84">
        <f>SUMIFS('Working-T05-B1'!AW$8:AW$150,'Working-T05-B1'!$C$8:$C$150,$D14)</f>
        <v>0</v>
      </c>
      <c r="AY14" s="84">
        <f>SUMIFS('Working-T05-B1'!AX$8:AX$150,'Working-T05-B1'!$C$8:$C$150,$D14)</f>
        <v>0</v>
      </c>
      <c r="AZ14" s="82"/>
      <c r="BA14" s="215">
        <f t="shared" si="25"/>
        <v>0</v>
      </c>
      <c r="BC14" s="87">
        <f>_xlfn.XLOOKUP($G14,'GIÁ XUẤT KHO'!$A$4:$A$97,'GIÁ XUẤT KHO'!$AW$4:$AW$97)*P14</f>
        <v>0</v>
      </c>
      <c r="BD14" s="87">
        <f>_xlfn.XLOOKUP($G14,'GIÁ XUẤT KHO'!$A$4:$A$97,'GIÁ XUẤT KHO'!$AW$4:$AW$97)*Q14</f>
        <v>634255616.01041329</v>
      </c>
      <c r="BE14" s="87">
        <f>_xlfn.XLOOKUP($G14,'GIÁ XUẤT KHO'!$A$4:$A$97,'GIÁ XUẤT KHO'!$AW$4:$AW$97)*R14</f>
        <v>0</v>
      </c>
      <c r="BF14" s="219">
        <f t="shared" si="26"/>
        <v>634255616.01041329</v>
      </c>
      <c r="BH14" s="87">
        <f t="shared" si="27"/>
        <v>0</v>
      </c>
      <c r="BI14" s="87">
        <f t="shared" si="8"/>
        <v>-445366727.12152445</v>
      </c>
      <c r="BJ14" s="87">
        <f t="shared" si="9"/>
        <v>0</v>
      </c>
      <c r="BK14" s="219">
        <f t="shared" si="28"/>
        <v>-445366727.12152445</v>
      </c>
      <c r="BM14" s="215">
        <f t="shared" si="29"/>
        <v>634255616.01041329</v>
      </c>
      <c r="BN14" s="84">
        <f>SUMIFS('GIÁ XUẤT KHO'!AX$4:AX$97,'GIÁ XUẤT KHO'!$A$4:$A$97,$G14)*$S14</f>
        <v>229974397.91734463</v>
      </c>
      <c r="BO14" s="84">
        <f>SUMIFS('GIÁ XUẤT KHO'!AY$4:AY$97,'GIÁ XUẤT KHO'!$A$4:$A$97,$G14)*$S14</f>
        <v>116210.34819394728</v>
      </c>
      <c r="BP14" s="84">
        <f>SUMIFS('GIÁ XUẤT KHO'!AZ$4:AZ$97,'GIÁ XUẤT KHO'!$A$4:$A$97,$G14)*$S14</f>
        <v>1991055.2554506997</v>
      </c>
      <c r="BQ14" s="84">
        <f>SUMIFS('GIÁ XUẤT KHO'!BA$4:BA$97,'GIÁ XUẤT KHO'!$A$4:$A$97,$G14)*$S14</f>
        <v>48462853.758542143</v>
      </c>
      <c r="BR14" s="84">
        <f>SUMIFS('GIÁ XUẤT KHO'!BB$4:BB$97,'GIÁ XUẤT KHO'!$A$4:$A$97,$G14)*$S14</f>
        <v>5209662.7399934912</v>
      </c>
      <c r="BS14" s="84">
        <f>SUMIFS('GIÁ XUẤT KHO'!BC$4:BC$97,'GIÁ XUẤT KHO'!$A$4:$A$97,$G14)*$S14</f>
        <v>97711593.101204038</v>
      </c>
      <c r="BT14" s="84">
        <f>SUMIFS('GIÁ XUẤT KHO'!BD$4:BD$97,'GIÁ XUẤT KHO'!$A$4:$A$97,$G14)*$S14</f>
        <v>89153977.220956713</v>
      </c>
      <c r="BU14" s="84">
        <f>SUMIFS('GIÁ XUẤT KHO'!BE$4:BE$97,'GIÁ XUẤT KHO'!$A$4:$A$97,$G14)*$S14</f>
        <v>46994558.021477386</v>
      </c>
      <c r="BV14" s="84">
        <f>SUMIFS('GIÁ XUẤT KHO'!BF$4:BF$97,'GIÁ XUẤT KHO'!$A$4:$A$97,$G14)*$S14</f>
        <v>114641307.64725024</v>
      </c>
      <c r="BW14" s="243">
        <f t="shared" si="30"/>
        <v>0</v>
      </c>
    </row>
    <row r="15" spans="1:75" s="86" customFormat="1" x14ac:dyDescent="0.25">
      <c r="A15" s="86" t="str">
        <f>_xlfn.XLOOKUP($G15,MD_SKU[Mã SKU],MD_SKU[Link vào file BCQT])</f>
        <v>Hạt rHDPE thổi</v>
      </c>
      <c r="B15" s="86" t="s">
        <v>2890</v>
      </c>
      <c r="C15" s="82" t="s">
        <v>252</v>
      </c>
      <c r="D15" s="82" t="s">
        <v>2812</v>
      </c>
      <c r="E15" s="83" t="s">
        <v>51</v>
      </c>
      <c r="F15" s="82" t="s">
        <v>52</v>
      </c>
      <c r="G15" s="83" t="s">
        <v>53</v>
      </c>
      <c r="H15" s="82" t="s">
        <v>831</v>
      </c>
      <c r="I15" s="83"/>
      <c r="J15" s="83"/>
      <c r="K15" s="84">
        <f>SUMIFS('Working-T05-B1'!L$8:L$150,'Working-T05-B1'!$C$8:$C$150,$D15)</f>
        <v>30500</v>
      </c>
      <c r="L15" s="84" cm="1">
        <f t="array" ref="L15">SUMPRODUCT(Sales!$G$3:$H$100*(Sales!$B$3:$B$100=$D15))</f>
        <v>0</v>
      </c>
      <c r="M15" s="85">
        <f t="shared" si="4"/>
        <v>30500</v>
      </c>
      <c r="N15" s="84">
        <f>SUMIFS(Sales!$I$3:$I$100,Sales!$B$3:$B$100,$D15)</f>
        <v>30000</v>
      </c>
      <c r="P15" s="84">
        <f>SUMIFS('Working-T05-B1'!O$8:O$150,'Working-T05-B1'!$C$8:$C$150,$D15)</f>
        <v>0</v>
      </c>
      <c r="Q15" s="84">
        <f t="shared" si="10"/>
        <v>30000</v>
      </c>
      <c r="R15" s="84">
        <f t="shared" si="11"/>
        <v>0</v>
      </c>
      <c r="S15" s="84">
        <f t="shared" si="12"/>
        <v>30000</v>
      </c>
      <c r="T15" s="127">
        <f t="shared" si="5"/>
        <v>0</v>
      </c>
      <c r="U15" s="88">
        <f t="shared" si="13"/>
        <v>0</v>
      </c>
      <c r="V15" s="88">
        <f t="shared" si="13"/>
        <v>16203.703703703704</v>
      </c>
      <c r="W15" s="131">
        <f t="shared" si="14"/>
        <v>0</v>
      </c>
      <c r="X15" s="88">
        <f t="shared" si="15"/>
        <v>16203.703703703704</v>
      </c>
      <c r="Y15" s="87"/>
      <c r="Z15" s="84"/>
      <c r="AA15" s="118">
        <f t="shared" si="6"/>
        <v>1</v>
      </c>
      <c r="AB15" s="118">
        <f t="shared" si="6"/>
        <v>1</v>
      </c>
      <c r="AC15" s="84">
        <f t="shared" si="16"/>
        <v>1</v>
      </c>
      <c r="AD15" s="87"/>
      <c r="AE15" s="84">
        <f t="shared" si="17"/>
        <v>0</v>
      </c>
      <c r="AF15" s="84">
        <f t="shared" si="18"/>
        <v>16203.703703703704</v>
      </c>
      <c r="AG15" s="84">
        <f t="shared" si="19"/>
        <v>0</v>
      </c>
      <c r="AH15" s="84"/>
      <c r="AI15" s="87"/>
      <c r="AJ15" s="89">
        <f>SUMIFS('Working-T05-B1'!AI$8:AI$150,'Working-T05-B1'!$C$8:$C$150,$D15)</f>
        <v>0</v>
      </c>
      <c r="AK15" s="84">
        <f>SUMIFS('Working-T05-B1'!AJ$8:AJ$150,'Working-T05-B1'!$C$8:$C$150,$D15)</f>
        <v>486111111.1111111</v>
      </c>
      <c r="AL15" s="84">
        <f t="shared" si="7"/>
        <v>0</v>
      </c>
      <c r="AM15" s="90">
        <f t="shared" si="20"/>
        <v>486111111.1111111</v>
      </c>
      <c r="AO15" s="84">
        <f t="shared" si="21"/>
        <v>0</v>
      </c>
      <c r="AP15" s="82"/>
      <c r="AQ15" s="84">
        <f>SUMIFS('Working-T05-B1'!AP$8:AP$150,'Working-T05-B1'!$C$8:$C$150,$D15)</f>
        <v>0</v>
      </c>
      <c r="AR15" s="84">
        <f>SUMIFS('Working-T05-B1'!AQ$8:AQ$150,'Working-T05-B1'!$C$8:$C$150,$D15)</f>
        <v>0</v>
      </c>
      <c r="AS15" s="84">
        <f t="shared" si="22"/>
        <v>0</v>
      </c>
      <c r="AT15" s="215">
        <f t="shared" si="23"/>
        <v>0</v>
      </c>
      <c r="AV15" s="84">
        <f t="shared" si="24"/>
        <v>0</v>
      </c>
      <c r="AW15" s="82"/>
      <c r="AX15" s="84">
        <f>SUMIFS('Working-T05-B1'!AW$8:AW$150,'Working-T05-B1'!$C$8:$C$150,$D15)</f>
        <v>0</v>
      </c>
      <c r="AY15" s="84">
        <f>SUMIFS('Working-T05-B1'!AX$8:AX$150,'Working-T05-B1'!$C$8:$C$150,$D15)</f>
        <v>0</v>
      </c>
      <c r="AZ15" s="82"/>
      <c r="BA15" s="215">
        <f t="shared" si="25"/>
        <v>0</v>
      </c>
      <c r="BC15" s="87">
        <f>_xlfn.XLOOKUP($G15,'GIÁ XUẤT KHO'!$A$4:$A$97,'GIÁ XUẤT KHO'!$AW$4:$AW$97)*P15</f>
        <v>0</v>
      </c>
      <c r="BD15" s="87">
        <f>_xlfn.XLOOKUP($G15,'GIÁ XUẤT KHO'!$A$4:$A$97,'GIÁ XUẤT KHO'!$AW$4:$AW$97)*Q15</f>
        <v>610487548.02103388</v>
      </c>
      <c r="BE15" s="87">
        <f>_xlfn.XLOOKUP($G15,'GIÁ XUẤT KHO'!$A$4:$A$97,'GIÁ XUẤT KHO'!$AW$4:$AW$97)*R15</f>
        <v>0</v>
      </c>
      <c r="BF15" s="219">
        <f t="shared" si="26"/>
        <v>610487548.02103388</v>
      </c>
      <c r="BH15" s="87">
        <f t="shared" si="27"/>
        <v>0</v>
      </c>
      <c r="BI15" s="87">
        <f t="shared" si="8"/>
        <v>-124376436.90992278</v>
      </c>
      <c r="BJ15" s="87">
        <f t="shared" si="9"/>
        <v>0</v>
      </c>
      <c r="BK15" s="219">
        <f t="shared" si="28"/>
        <v>-124376436.90992278</v>
      </c>
      <c r="BM15" s="215">
        <f t="shared" si="29"/>
        <v>610487548.02103376</v>
      </c>
      <c r="BN15" s="84">
        <f>SUMIFS('GIÁ XUẤT KHO'!AX$4:AX$97,'GIÁ XUẤT KHO'!$A$4:$A$97,$G15)*$S15</f>
        <v>395178709.28167558</v>
      </c>
      <c r="BO15" s="84">
        <f>SUMIFS('GIÁ XUẤT KHO'!AY$4:AY$97,'GIÁ XUẤT KHO'!$A$4:$A$97,$G15)*$S15</f>
        <v>10029044.625057507</v>
      </c>
      <c r="BP15" s="84">
        <f>SUMIFS('GIÁ XUẤT KHO'!AZ$4:AZ$97,'GIÁ XUẤT KHO'!$A$4:$A$97,$G15)*$S15</f>
        <v>4911418.9887757171</v>
      </c>
      <c r="BQ15" s="84">
        <f>SUMIFS('GIÁ XUẤT KHO'!BA$4:BA$97,'GIÁ XUẤT KHO'!$A$4:$A$97,$G15)*$S15</f>
        <v>33250668.460705116</v>
      </c>
      <c r="BR15" s="84">
        <f>SUMIFS('GIÁ XUẤT KHO'!BB$4:BB$97,'GIÁ XUẤT KHO'!$A$4:$A$97,$G15)*$S15</f>
        <v>7139174.280612018</v>
      </c>
      <c r="BS15" s="84">
        <f>SUMIFS('GIÁ XUẤT KHO'!BC$4:BC$97,'GIÁ XUẤT KHO'!$A$4:$A$97,$G15)*$S15</f>
        <v>42618159.593571141</v>
      </c>
      <c r="BT15" s="84">
        <f>SUMIFS('GIÁ XUẤT KHO'!BD$4:BD$97,'GIÁ XUẤT KHO'!$A$4:$A$97,$G15)*$S15</f>
        <v>40571789.800693542</v>
      </c>
      <c r="BU15" s="84">
        <f>SUMIFS('GIÁ XUẤT KHO'!BE$4:BE$97,'GIÁ XUẤT KHO'!$A$4:$A$97,$G15)*$S15</f>
        <v>8246135.1168186152</v>
      </c>
      <c r="BV15" s="84">
        <f>SUMIFS('GIÁ XUẤT KHO'!BF$4:BF$97,'GIÁ XUẤT KHO'!$A$4:$A$97,$G15)*$S15</f>
        <v>68542447.87312454</v>
      </c>
      <c r="BW15" s="243">
        <f t="shared" si="30"/>
        <v>0</v>
      </c>
    </row>
    <row r="16" spans="1:75" s="86" customFormat="1" x14ac:dyDescent="0.25">
      <c r="A16" s="86" t="str">
        <f>_xlfn.XLOOKUP($G16,MD_SKU[Mã SKU],MD_SKU[Link vào file BCQT])</f>
        <v>Hạt rHDPE ép</v>
      </c>
      <c r="B16" s="86" t="s">
        <v>2890</v>
      </c>
      <c r="C16" s="82" t="s">
        <v>252</v>
      </c>
      <c r="D16" s="82" t="s">
        <v>2813</v>
      </c>
      <c r="E16" s="83" t="s">
        <v>8</v>
      </c>
      <c r="F16" s="82" t="s">
        <v>2616</v>
      </c>
      <c r="G16" s="83" t="s">
        <v>44</v>
      </c>
      <c r="H16" s="82" t="s">
        <v>305</v>
      </c>
      <c r="I16" s="83"/>
      <c r="J16" s="83"/>
      <c r="K16" s="84">
        <f>SUMIFS('Working-T05-B1'!L$8:L$150,'Working-T05-B1'!$C$8:$C$150,$D16)</f>
        <v>11000</v>
      </c>
      <c r="L16" s="84" cm="1">
        <f t="array" ref="L16">SUMPRODUCT(Sales!$G$3:$H$100*(Sales!$B$3:$B$100=$D16))</f>
        <v>0</v>
      </c>
      <c r="M16" s="85">
        <f t="shared" si="4"/>
        <v>11000</v>
      </c>
      <c r="N16" s="84">
        <f>SUMIFS(Sales!$I$3:$I$100,Sales!$B$3:$B$100,$D16)</f>
        <v>0</v>
      </c>
      <c r="P16" s="84">
        <f>SUMIFS('Working-T05-B1'!O$8:O$150,'Working-T05-B1'!$C$8:$C$150,$D16)</f>
        <v>0</v>
      </c>
      <c r="Q16" s="84">
        <f t="shared" si="10"/>
        <v>0</v>
      </c>
      <c r="R16" s="84">
        <f t="shared" si="11"/>
        <v>0</v>
      </c>
      <c r="S16" s="84">
        <f t="shared" si="12"/>
        <v>0</v>
      </c>
      <c r="T16" s="127">
        <f t="shared" si="5"/>
        <v>0</v>
      </c>
      <c r="U16" s="88">
        <f t="shared" si="13"/>
        <v>0</v>
      </c>
      <c r="V16" s="88">
        <f t="shared" si="13"/>
        <v>0</v>
      </c>
      <c r="W16" s="131">
        <f t="shared" si="14"/>
        <v>0</v>
      </c>
      <c r="X16" s="88">
        <f t="shared" si="15"/>
        <v>0</v>
      </c>
      <c r="Y16" s="87"/>
      <c r="Z16" s="84"/>
      <c r="AA16" s="118">
        <f t="shared" si="6"/>
        <v>1</v>
      </c>
      <c r="AB16" s="118">
        <f t="shared" si="6"/>
        <v>1</v>
      </c>
      <c r="AC16" s="84">
        <f t="shared" si="16"/>
        <v>0</v>
      </c>
      <c r="AD16" s="87"/>
      <c r="AE16" s="84">
        <f t="shared" si="17"/>
        <v>0</v>
      </c>
      <c r="AF16" s="84">
        <f t="shared" si="18"/>
        <v>0</v>
      </c>
      <c r="AG16" s="84">
        <f t="shared" si="19"/>
        <v>0</v>
      </c>
      <c r="AH16" s="84"/>
      <c r="AI16" s="87"/>
      <c r="AJ16" s="89">
        <f>SUMIFS('Working-T05-B1'!AI$8:AI$150,'Working-T05-B1'!$C$8:$C$150,$D16)</f>
        <v>0</v>
      </c>
      <c r="AK16" s="84">
        <f>SUMIFS('Working-T05-B1'!AJ$8:AJ$150,'Working-T05-B1'!$C$8:$C$150,$D16)</f>
        <v>0</v>
      </c>
      <c r="AL16" s="84">
        <f t="shared" si="7"/>
        <v>0</v>
      </c>
      <c r="AM16" s="90">
        <f t="shared" si="20"/>
        <v>0</v>
      </c>
      <c r="AO16" s="84">
        <f t="shared" si="21"/>
        <v>0</v>
      </c>
      <c r="AP16" s="82"/>
      <c r="AQ16" s="84">
        <f>SUMIFS('Working-T05-B1'!AP$8:AP$150,'Working-T05-B1'!$C$8:$C$150,$D16)</f>
        <v>0</v>
      </c>
      <c r="AR16" s="84">
        <f>SUMIFS('Working-T05-B1'!AQ$8:AQ$150,'Working-T05-B1'!$C$8:$C$150,$D16)</f>
        <v>0</v>
      </c>
      <c r="AS16" s="84">
        <f t="shared" si="22"/>
        <v>0</v>
      </c>
      <c r="AT16" s="215">
        <f t="shared" si="23"/>
        <v>0</v>
      </c>
      <c r="AV16" s="84">
        <f t="shared" si="24"/>
        <v>0</v>
      </c>
      <c r="AW16" s="82"/>
      <c r="AX16" s="84">
        <f>SUMIFS('Working-T05-B1'!AW$8:AW$150,'Working-T05-B1'!$C$8:$C$150,$D16)</f>
        <v>0</v>
      </c>
      <c r="AY16" s="84">
        <f>SUMIFS('Working-T05-B1'!AX$8:AX$150,'Working-T05-B1'!$C$8:$C$150,$D16)</f>
        <v>0</v>
      </c>
      <c r="AZ16" s="82"/>
      <c r="BA16" s="215">
        <f t="shared" si="25"/>
        <v>0</v>
      </c>
      <c r="BC16" s="87">
        <f>_xlfn.XLOOKUP($G16,'GIÁ XUẤT KHO'!$A$4:$A$97,'GIÁ XUẤT KHO'!$AW$4:$AW$97)*P16</f>
        <v>0</v>
      </c>
      <c r="BD16" s="87">
        <f>_xlfn.XLOOKUP($G16,'GIÁ XUẤT KHO'!$A$4:$A$97,'GIÁ XUẤT KHO'!$AW$4:$AW$97)*Q16</f>
        <v>0</v>
      </c>
      <c r="BE16" s="87">
        <f>_xlfn.XLOOKUP($G16,'GIÁ XUẤT KHO'!$A$4:$A$97,'GIÁ XUẤT KHO'!$AW$4:$AW$97)*R16</f>
        <v>0</v>
      </c>
      <c r="BF16" s="219">
        <f t="shared" si="26"/>
        <v>0</v>
      </c>
      <c r="BH16" s="87">
        <f t="shared" si="27"/>
        <v>0</v>
      </c>
      <c r="BI16" s="87">
        <f t="shared" si="8"/>
        <v>0</v>
      </c>
      <c r="BJ16" s="87">
        <f t="shared" si="9"/>
        <v>0</v>
      </c>
      <c r="BK16" s="219">
        <f t="shared" si="28"/>
        <v>0</v>
      </c>
      <c r="BM16" s="215">
        <f t="shared" si="29"/>
        <v>0</v>
      </c>
      <c r="BN16" s="84">
        <f>SUMIFS('GIÁ XUẤT KHO'!AX$4:AX$97,'GIÁ XUẤT KHO'!$A$4:$A$97,$G16)*$S16</f>
        <v>0</v>
      </c>
      <c r="BO16" s="84">
        <f>SUMIFS('GIÁ XUẤT KHO'!AY$4:AY$97,'GIÁ XUẤT KHO'!$A$4:$A$97,$G16)*$S16</f>
        <v>0</v>
      </c>
      <c r="BP16" s="84">
        <f>SUMIFS('GIÁ XUẤT KHO'!AZ$4:AZ$97,'GIÁ XUẤT KHO'!$A$4:$A$97,$G16)*$S16</f>
        <v>0</v>
      </c>
      <c r="BQ16" s="84">
        <f>SUMIFS('GIÁ XUẤT KHO'!BA$4:BA$97,'GIÁ XUẤT KHO'!$A$4:$A$97,$G16)*$S16</f>
        <v>0</v>
      </c>
      <c r="BR16" s="84">
        <f>SUMIFS('GIÁ XUẤT KHO'!BB$4:BB$97,'GIÁ XUẤT KHO'!$A$4:$A$97,$G16)*$S16</f>
        <v>0</v>
      </c>
      <c r="BS16" s="84">
        <f>SUMIFS('GIÁ XUẤT KHO'!BC$4:BC$97,'GIÁ XUẤT KHO'!$A$4:$A$97,$G16)*$S16</f>
        <v>0</v>
      </c>
      <c r="BT16" s="84">
        <f>SUMIFS('GIÁ XUẤT KHO'!BD$4:BD$97,'GIÁ XUẤT KHO'!$A$4:$A$97,$G16)*$S16</f>
        <v>0</v>
      </c>
      <c r="BU16" s="84">
        <f>SUMIFS('GIÁ XUẤT KHO'!BE$4:BE$97,'GIÁ XUẤT KHO'!$A$4:$A$97,$G16)*$S16</f>
        <v>0</v>
      </c>
      <c r="BV16" s="84">
        <f>SUMIFS('GIÁ XUẤT KHO'!BF$4:BF$97,'GIÁ XUẤT KHO'!$A$4:$A$97,$G16)*$S16</f>
        <v>0</v>
      </c>
      <c r="BW16" s="243">
        <f t="shared" si="30"/>
        <v>0</v>
      </c>
    </row>
    <row r="17" spans="1:75" s="86" customFormat="1" x14ac:dyDescent="0.25">
      <c r="A17" s="86" t="str">
        <f>_xlfn.XLOOKUP($G17,MD_SKU[Mã SKU],MD_SKU[Link vào file BCQT])</f>
        <v>Phó sản</v>
      </c>
      <c r="B17" s="86" t="s">
        <v>2890</v>
      </c>
      <c r="C17" s="82" t="s">
        <v>252</v>
      </c>
      <c r="D17" s="82" t="s">
        <v>2815</v>
      </c>
      <c r="E17" s="83" t="s">
        <v>2629</v>
      </c>
      <c r="F17" s="82" t="s">
        <v>2617</v>
      </c>
      <c r="G17" s="83" t="s">
        <v>1898</v>
      </c>
      <c r="H17" s="82" t="s">
        <v>1899</v>
      </c>
      <c r="I17" s="83"/>
      <c r="J17" s="83"/>
      <c r="K17" s="84">
        <f>SUMIFS('Working-T05-B1'!L$8:L$150,'Working-T05-B1'!$C$8:$C$150,$D17)</f>
        <v>5000</v>
      </c>
      <c r="L17" s="84" cm="1">
        <f t="array" ref="L17">SUMPRODUCT(Sales!$G$3:$H$100*(Sales!$B$3:$B$100=$D17))</f>
        <v>0</v>
      </c>
      <c r="M17" s="85">
        <f t="shared" si="4"/>
        <v>5000</v>
      </c>
      <c r="N17" s="84">
        <f>SUMIFS(Sales!$I$3:$I$100,Sales!$B$3:$B$100,$D17)</f>
        <v>0</v>
      </c>
      <c r="P17" s="84">
        <f>SUMIFS('Working-T05-B1'!O$8:O$150,'Working-T05-B1'!$C$8:$C$150,$D17)</f>
        <v>0</v>
      </c>
      <c r="Q17" s="84">
        <f t="shared" si="10"/>
        <v>0</v>
      </c>
      <c r="R17" s="84">
        <f t="shared" si="11"/>
        <v>0</v>
      </c>
      <c r="S17" s="84">
        <f t="shared" si="12"/>
        <v>0</v>
      </c>
      <c r="T17" s="127">
        <f t="shared" si="5"/>
        <v>0</v>
      </c>
      <c r="U17" s="88">
        <f t="shared" si="13"/>
        <v>0</v>
      </c>
      <c r="V17" s="88">
        <f t="shared" si="13"/>
        <v>0</v>
      </c>
      <c r="W17" s="131">
        <f t="shared" si="14"/>
        <v>0</v>
      </c>
      <c r="X17" s="88">
        <f t="shared" si="15"/>
        <v>0</v>
      </c>
      <c r="Y17" s="87"/>
      <c r="Z17" s="84"/>
      <c r="AA17" s="118">
        <f t="shared" si="6"/>
        <v>1</v>
      </c>
      <c r="AB17" s="118">
        <f t="shared" si="6"/>
        <v>1</v>
      </c>
      <c r="AC17" s="84">
        <f t="shared" si="16"/>
        <v>0</v>
      </c>
      <c r="AD17" s="87"/>
      <c r="AE17" s="84">
        <f t="shared" si="17"/>
        <v>0</v>
      </c>
      <c r="AF17" s="84">
        <f t="shared" si="18"/>
        <v>0</v>
      </c>
      <c r="AG17" s="84">
        <f t="shared" si="19"/>
        <v>0</v>
      </c>
      <c r="AH17" s="84"/>
      <c r="AI17" s="87"/>
      <c r="AJ17" s="89">
        <f>SUMIFS('Working-T05-B1'!AI$8:AI$150,'Working-T05-B1'!$C$8:$C$150,$D17)</f>
        <v>0</v>
      </c>
      <c r="AK17" s="84">
        <f>SUMIFS('Working-T05-B1'!AJ$8:AJ$150,'Working-T05-B1'!$C$8:$C$150,$D17)</f>
        <v>0</v>
      </c>
      <c r="AL17" s="84">
        <f t="shared" si="7"/>
        <v>0</v>
      </c>
      <c r="AM17" s="90">
        <f t="shared" si="20"/>
        <v>0</v>
      </c>
      <c r="AO17" s="84">
        <f t="shared" si="21"/>
        <v>0</v>
      </c>
      <c r="AP17" s="82"/>
      <c r="AQ17" s="84">
        <f>SUMIFS('Working-T05-B1'!AP$8:AP$150,'Working-T05-B1'!$C$8:$C$150,$D17)</f>
        <v>0</v>
      </c>
      <c r="AR17" s="84">
        <f>SUMIFS('Working-T05-B1'!AQ$8:AQ$150,'Working-T05-B1'!$C$8:$C$150,$D17)</f>
        <v>0</v>
      </c>
      <c r="AS17" s="84">
        <f t="shared" si="22"/>
        <v>0</v>
      </c>
      <c r="AT17" s="215">
        <f t="shared" si="23"/>
        <v>0</v>
      </c>
      <c r="AV17" s="84">
        <f t="shared" si="24"/>
        <v>0</v>
      </c>
      <c r="AW17" s="82"/>
      <c r="AX17" s="84">
        <f>SUMIFS('Working-T05-B1'!AW$8:AW$150,'Working-T05-B1'!$C$8:$C$150,$D17)</f>
        <v>0</v>
      </c>
      <c r="AY17" s="84">
        <f>SUMIFS('Working-T05-B1'!AX$8:AX$150,'Working-T05-B1'!$C$8:$C$150,$D17)</f>
        <v>0</v>
      </c>
      <c r="AZ17" s="82"/>
      <c r="BA17" s="215">
        <f t="shared" si="25"/>
        <v>0</v>
      </c>
      <c r="BC17" s="87">
        <f>_xlfn.XLOOKUP($G17,'GIÁ XUẤT KHO'!$A$4:$A$97,'GIÁ XUẤT KHO'!$AW$4:$AW$97)*P17</f>
        <v>0</v>
      </c>
      <c r="BD17" s="87">
        <f>_xlfn.XLOOKUP($G17,'GIÁ XUẤT KHO'!$A$4:$A$97,'GIÁ XUẤT KHO'!$AW$4:$AW$97)*Q17</f>
        <v>0</v>
      </c>
      <c r="BE17" s="87">
        <f>_xlfn.XLOOKUP($G17,'GIÁ XUẤT KHO'!$A$4:$A$97,'GIÁ XUẤT KHO'!$AW$4:$AW$97)*R17</f>
        <v>0</v>
      </c>
      <c r="BF17" s="219">
        <f t="shared" si="26"/>
        <v>0</v>
      </c>
      <c r="BH17" s="87">
        <f t="shared" si="27"/>
        <v>0</v>
      </c>
      <c r="BI17" s="87">
        <f t="shared" si="8"/>
        <v>0</v>
      </c>
      <c r="BJ17" s="87">
        <f t="shared" si="9"/>
        <v>0</v>
      </c>
      <c r="BK17" s="219">
        <f t="shared" si="28"/>
        <v>0</v>
      </c>
      <c r="BM17" s="215">
        <f t="shared" si="29"/>
        <v>0</v>
      </c>
      <c r="BN17" s="84">
        <f>SUMIFS('GIÁ XUẤT KHO'!AX$4:AX$97,'GIÁ XUẤT KHO'!$A$4:$A$97,$G17)*$S17</f>
        <v>0</v>
      </c>
      <c r="BO17" s="84">
        <f>SUMIFS('GIÁ XUẤT KHO'!AY$4:AY$97,'GIÁ XUẤT KHO'!$A$4:$A$97,$G17)*$S17</f>
        <v>0</v>
      </c>
      <c r="BP17" s="84">
        <f>SUMIFS('GIÁ XUẤT KHO'!AZ$4:AZ$97,'GIÁ XUẤT KHO'!$A$4:$A$97,$G17)*$S17</f>
        <v>0</v>
      </c>
      <c r="BQ17" s="84">
        <f>SUMIFS('GIÁ XUẤT KHO'!BA$4:BA$97,'GIÁ XUẤT KHO'!$A$4:$A$97,$G17)*$S17</f>
        <v>0</v>
      </c>
      <c r="BR17" s="84">
        <f>SUMIFS('GIÁ XUẤT KHO'!BB$4:BB$97,'GIÁ XUẤT KHO'!$A$4:$A$97,$G17)*$S17</f>
        <v>0</v>
      </c>
      <c r="BS17" s="84">
        <f>SUMIFS('GIÁ XUẤT KHO'!BC$4:BC$97,'GIÁ XUẤT KHO'!$A$4:$A$97,$G17)*$S17</f>
        <v>0</v>
      </c>
      <c r="BT17" s="84">
        <f>SUMIFS('GIÁ XUẤT KHO'!BD$4:BD$97,'GIÁ XUẤT KHO'!$A$4:$A$97,$G17)*$S17</f>
        <v>0</v>
      </c>
      <c r="BU17" s="84">
        <f>SUMIFS('GIÁ XUẤT KHO'!BE$4:BE$97,'GIÁ XUẤT KHO'!$A$4:$A$97,$G17)*$S17</f>
        <v>0</v>
      </c>
      <c r="BV17" s="84">
        <f>SUMIFS('GIÁ XUẤT KHO'!BF$4:BF$97,'GIÁ XUẤT KHO'!$A$4:$A$97,$G17)*$S17</f>
        <v>0</v>
      </c>
      <c r="BW17" s="243">
        <f t="shared" si="30"/>
        <v>0</v>
      </c>
    </row>
    <row r="18" spans="1:75" s="86" customFormat="1" x14ac:dyDescent="0.25">
      <c r="A18" s="86" t="str">
        <f>_xlfn.XLOOKUP($G18,MD_SKU[Mã SKU],MD_SKU[Link vào file BCQT])</f>
        <v>Hạt rHDPE ép</v>
      </c>
      <c r="B18" s="86" t="s">
        <v>2890</v>
      </c>
      <c r="C18" s="82" t="s">
        <v>252</v>
      </c>
      <c r="D18" s="82" t="s">
        <v>2817</v>
      </c>
      <c r="E18" s="83" t="s">
        <v>57</v>
      </c>
      <c r="F18" s="82" t="s">
        <v>58</v>
      </c>
      <c r="G18" s="83" t="s">
        <v>263</v>
      </c>
      <c r="H18" s="82" t="s">
        <v>315</v>
      </c>
      <c r="I18" s="83"/>
      <c r="J18" s="83"/>
      <c r="K18" s="84">
        <f>SUMIFS('Working-T05-B1'!L$8:L$150,'Working-T05-B1'!$C$8:$C$150,$D18)</f>
        <v>33000</v>
      </c>
      <c r="L18" s="84" cm="1">
        <f t="array" ref="L18">SUMPRODUCT(Sales!$G$3:$H$100*(Sales!$B$3:$B$100=$D18))</f>
        <v>0</v>
      </c>
      <c r="M18" s="85">
        <f t="shared" si="4"/>
        <v>33000</v>
      </c>
      <c r="N18" s="84">
        <f>SUMIFS(Sales!$I$3:$I$100,Sales!$B$3:$B$100,$D18)</f>
        <v>0</v>
      </c>
      <c r="P18" s="84">
        <f>SUMIFS('Working-T05-B1'!O$8:O$150,'Working-T05-B1'!$C$8:$C$150,$D18)</f>
        <v>0</v>
      </c>
      <c r="Q18" s="84">
        <f t="shared" si="10"/>
        <v>0</v>
      </c>
      <c r="R18" s="84">
        <f t="shared" si="11"/>
        <v>0</v>
      </c>
      <c r="S18" s="84">
        <f t="shared" si="12"/>
        <v>0</v>
      </c>
      <c r="T18" s="127">
        <f t="shared" si="5"/>
        <v>0</v>
      </c>
      <c r="U18" s="88">
        <f t="shared" si="13"/>
        <v>0</v>
      </c>
      <c r="V18" s="88">
        <f t="shared" si="13"/>
        <v>0</v>
      </c>
      <c r="W18" s="131">
        <f t="shared" si="14"/>
        <v>0</v>
      </c>
      <c r="X18" s="88">
        <f t="shared" si="15"/>
        <v>0</v>
      </c>
      <c r="Y18" s="87"/>
      <c r="Z18" s="84"/>
      <c r="AA18" s="118">
        <f t="shared" si="6"/>
        <v>1</v>
      </c>
      <c r="AB18" s="118">
        <f t="shared" si="6"/>
        <v>1</v>
      </c>
      <c r="AC18" s="84">
        <f t="shared" si="16"/>
        <v>0</v>
      </c>
      <c r="AD18" s="87"/>
      <c r="AE18" s="84">
        <f t="shared" si="17"/>
        <v>0</v>
      </c>
      <c r="AF18" s="84">
        <f t="shared" si="18"/>
        <v>0</v>
      </c>
      <c r="AG18" s="84">
        <f t="shared" si="19"/>
        <v>0</v>
      </c>
      <c r="AH18" s="84"/>
      <c r="AI18" s="87"/>
      <c r="AJ18" s="89">
        <f>SUMIFS('Working-T05-B1'!AI$8:AI$150,'Working-T05-B1'!$C$8:$C$150,$D18)</f>
        <v>0</v>
      </c>
      <c r="AK18" s="84">
        <f>SUMIFS('Working-T05-B1'!AJ$8:AJ$150,'Working-T05-B1'!$C$8:$C$150,$D18)</f>
        <v>0</v>
      </c>
      <c r="AL18" s="84">
        <f t="shared" si="7"/>
        <v>0</v>
      </c>
      <c r="AM18" s="90">
        <f t="shared" si="20"/>
        <v>0</v>
      </c>
      <c r="AO18" s="84">
        <f t="shared" si="21"/>
        <v>0</v>
      </c>
      <c r="AP18" s="82"/>
      <c r="AQ18" s="84">
        <f>SUMIFS('Working-T05-B1'!AP$8:AP$150,'Working-T05-B1'!$C$8:$C$150,$D18)</f>
        <v>0</v>
      </c>
      <c r="AR18" s="84">
        <f>SUMIFS('Working-T05-B1'!AQ$8:AQ$150,'Working-T05-B1'!$C$8:$C$150,$D18)</f>
        <v>0</v>
      </c>
      <c r="AS18" s="84">
        <f t="shared" si="22"/>
        <v>0</v>
      </c>
      <c r="AT18" s="215">
        <f t="shared" si="23"/>
        <v>0</v>
      </c>
      <c r="AV18" s="84">
        <f t="shared" si="24"/>
        <v>0</v>
      </c>
      <c r="AW18" s="82"/>
      <c r="AX18" s="84">
        <f>SUMIFS('Working-T05-B1'!AW$8:AW$150,'Working-T05-B1'!$C$8:$C$150,$D18)</f>
        <v>0</v>
      </c>
      <c r="AY18" s="84">
        <f>SUMIFS('Working-T05-B1'!AX$8:AX$150,'Working-T05-B1'!$C$8:$C$150,$D18)</f>
        <v>0</v>
      </c>
      <c r="AZ18" s="82"/>
      <c r="BA18" s="215">
        <f t="shared" si="25"/>
        <v>0</v>
      </c>
      <c r="BC18" s="87">
        <f>_xlfn.XLOOKUP($G18,'GIÁ XUẤT KHO'!$A$4:$A$97,'GIÁ XUẤT KHO'!$AW$4:$AW$97)*P18</f>
        <v>0</v>
      </c>
      <c r="BD18" s="87">
        <f>_xlfn.XLOOKUP($G18,'GIÁ XUẤT KHO'!$A$4:$A$97,'GIÁ XUẤT KHO'!$AW$4:$AW$97)*Q18</f>
        <v>0</v>
      </c>
      <c r="BE18" s="87">
        <f>_xlfn.XLOOKUP($G18,'GIÁ XUẤT KHO'!$A$4:$A$97,'GIÁ XUẤT KHO'!$AW$4:$AW$97)*R18</f>
        <v>0</v>
      </c>
      <c r="BF18" s="219">
        <f t="shared" si="26"/>
        <v>0</v>
      </c>
      <c r="BH18" s="87">
        <f t="shared" si="27"/>
        <v>0</v>
      </c>
      <c r="BI18" s="87">
        <f t="shared" si="8"/>
        <v>0</v>
      </c>
      <c r="BJ18" s="87">
        <f t="shared" si="9"/>
        <v>0</v>
      </c>
      <c r="BK18" s="219">
        <f t="shared" si="28"/>
        <v>0</v>
      </c>
      <c r="BM18" s="215">
        <f t="shared" si="29"/>
        <v>0</v>
      </c>
      <c r="BN18" s="84">
        <f>SUMIFS('GIÁ XUẤT KHO'!AX$4:AX$97,'GIÁ XUẤT KHO'!$A$4:$A$97,$G18)*$S18</f>
        <v>0</v>
      </c>
      <c r="BO18" s="84">
        <f>SUMIFS('GIÁ XUẤT KHO'!AY$4:AY$97,'GIÁ XUẤT KHO'!$A$4:$A$97,$G18)*$S18</f>
        <v>0</v>
      </c>
      <c r="BP18" s="84">
        <f>SUMIFS('GIÁ XUẤT KHO'!AZ$4:AZ$97,'GIÁ XUẤT KHO'!$A$4:$A$97,$G18)*$S18</f>
        <v>0</v>
      </c>
      <c r="BQ18" s="84">
        <f>SUMIFS('GIÁ XUẤT KHO'!BA$4:BA$97,'GIÁ XUẤT KHO'!$A$4:$A$97,$G18)*$S18</f>
        <v>0</v>
      </c>
      <c r="BR18" s="84">
        <f>SUMIFS('GIÁ XUẤT KHO'!BB$4:BB$97,'GIÁ XUẤT KHO'!$A$4:$A$97,$G18)*$S18</f>
        <v>0</v>
      </c>
      <c r="BS18" s="84">
        <f>SUMIFS('GIÁ XUẤT KHO'!BC$4:BC$97,'GIÁ XUẤT KHO'!$A$4:$A$97,$G18)*$S18</f>
        <v>0</v>
      </c>
      <c r="BT18" s="84">
        <f>SUMIFS('GIÁ XUẤT KHO'!BD$4:BD$97,'GIÁ XUẤT KHO'!$A$4:$A$97,$G18)*$S18</f>
        <v>0</v>
      </c>
      <c r="BU18" s="84">
        <f>SUMIFS('GIÁ XUẤT KHO'!BE$4:BE$97,'GIÁ XUẤT KHO'!$A$4:$A$97,$G18)*$S18</f>
        <v>0</v>
      </c>
      <c r="BV18" s="84">
        <f>SUMIFS('GIÁ XUẤT KHO'!BF$4:BF$97,'GIÁ XUẤT KHO'!$A$4:$A$97,$G18)*$S18</f>
        <v>0</v>
      </c>
      <c r="BW18" s="243">
        <f t="shared" si="30"/>
        <v>0</v>
      </c>
    </row>
    <row r="19" spans="1:75" s="86" customFormat="1" x14ac:dyDescent="0.25">
      <c r="A19" s="86" t="str">
        <f>_xlfn.XLOOKUP($G19,MD_SKU[Mã SKU],MD_SKU[Link vào file BCQT])</f>
        <v>Phó sản</v>
      </c>
      <c r="B19" s="86" t="s">
        <v>2890</v>
      </c>
      <c r="C19" s="82" t="s">
        <v>252</v>
      </c>
      <c r="D19" s="82" t="s">
        <v>2818</v>
      </c>
      <c r="E19" s="83" t="s">
        <v>2013</v>
      </c>
      <c r="F19" s="82" t="s">
        <v>2014</v>
      </c>
      <c r="G19" s="83" t="s">
        <v>2057</v>
      </c>
      <c r="H19" s="82" t="s">
        <v>2062</v>
      </c>
      <c r="I19" s="83"/>
      <c r="J19" s="83"/>
      <c r="K19" s="84">
        <f>SUMIFS('Working-T05-B1'!L$8:L$150,'Working-T05-B1'!$C$8:$C$150,$D19)</f>
        <v>25876</v>
      </c>
      <c r="L19" s="84" cm="1">
        <f t="array" ref="L19">SUMPRODUCT(Sales!$G$3:$H$100*(Sales!$B$3:$B$100=$D19))</f>
        <v>0</v>
      </c>
      <c r="M19" s="85">
        <f t="shared" si="4"/>
        <v>25876</v>
      </c>
      <c r="N19" s="84">
        <f>SUMIFS(Sales!$I$3:$I$100,Sales!$B$3:$B$100,$D19)</f>
        <v>0</v>
      </c>
      <c r="P19" s="84">
        <f>SUMIFS('Working-T05-B1'!O$8:O$150,'Working-T05-B1'!$C$8:$C$150,$D19)</f>
        <v>0</v>
      </c>
      <c r="Q19" s="84">
        <f t="shared" si="10"/>
        <v>0</v>
      </c>
      <c r="R19" s="84">
        <f t="shared" si="11"/>
        <v>0</v>
      </c>
      <c r="S19" s="84">
        <f t="shared" si="12"/>
        <v>0</v>
      </c>
      <c r="T19" s="127">
        <f t="shared" si="5"/>
        <v>0</v>
      </c>
      <c r="U19" s="88">
        <f t="shared" si="13"/>
        <v>0</v>
      </c>
      <c r="V19" s="88">
        <f t="shared" si="13"/>
        <v>0</v>
      </c>
      <c r="W19" s="131">
        <f t="shared" si="14"/>
        <v>0</v>
      </c>
      <c r="X19" s="88">
        <f t="shared" si="15"/>
        <v>0</v>
      </c>
      <c r="Y19" s="87"/>
      <c r="Z19" s="84"/>
      <c r="AA19" s="118">
        <f t="shared" si="6"/>
        <v>1</v>
      </c>
      <c r="AB19" s="118">
        <f t="shared" si="6"/>
        <v>1</v>
      </c>
      <c r="AC19" s="84">
        <f t="shared" si="16"/>
        <v>0</v>
      </c>
      <c r="AD19" s="87"/>
      <c r="AE19" s="84">
        <f t="shared" si="17"/>
        <v>0</v>
      </c>
      <c r="AF19" s="84">
        <f t="shared" si="18"/>
        <v>0</v>
      </c>
      <c r="AG19" s="84">
        <f t="shared" si="19"/>
        <v>0</v>
      </c>
      <c r="AH19" s="84"/>
      <c r="AI19" s="87"/>
      <c r="AJ19" s="89">
        <f>SUMIFS('Working-T05-B1'!AI$8:AI$150,'Working-T05-B1'!$C$8:$C$150,$D19)</f>
        <v>0</v>
      </c>
      <c r="AK19" s="84">
        <f>SUMIFS('Working-T05-B1'!AJ$8:AJ$150,'Working-T05-B1'!$C$8:$C$150,$D19)</f>
        <v>0</v>
      </c>
      <c r="AL19" s="84">
        <f t="shared" si="7"/>
        <v>0</v>
      </c>
      <c r="AM19" s="90">
        <f t="shared" si="20"/>
        <v>0</v>
      </c>
      <c r="AO19" s="84">
        <f t="shared" si="21"/>
        <v>0</v>
      </c>
      <c r="AP19" s="82"/>
      <c r="AQ19" s="84">
        <f>SUMIFS('Working-T05-B1'!AP$8:AP$150,'Working-T05-B1'!$C$8:$C$150,$D19)</f>
        <v>0</v>
      </c>
      <c r="AR19" s="84">
        <f>SUMIFS('Working-T05-B1'!AQ$8:AQ$150,'Working-T05-B1'!$C$8:$C$150,$D19)</f>
        <v>0</v>
      </c>
      <c r="AS19" s="84">
        <f t="shared" si="22"/>
        <v>0</v>
      </c>
      <c r="AT19" s="215">
        <f t="shared" si="23"/>
        <v>0</v>
      </c>
      <c r="AV19" s="84">
        <f t="shared" si="24"/>
        <v>0</v>
      </c>
      <c r="AW19" s="82"/>
      <c r="AX19" s="84">
        <f>SUMIFS('Working-T05-B1'!AW$8:AW$150,'Working-T05-B1'!$C$8:$C$150,$D19)</f>
        <v>0</v>
      </c>
      <c r="AY19" s="84">
        <f>SUMIFS('Working-T05-B1'!AX$8:AX$150,'Working-T05-B1'!$C$8:$C$150,$D19)</f>
        <v>0</v>
      </c>
      <c r="AZ19" s="82"/>
      <c r="BA19" s="215">
        <f t="shared" si="25"/>
        <v>0</v>
      </c>
      <c r="BC19" s="87">
        <f>_xlfn.XLOOKUP($G19,'GIÁ XUẤT KHO'!$A$4:$A$97,'GIÁ XUẤT KHO'!$AW$4:$AW$97)*P19</f>
        <v>0</v>
      </c>
      <c r="BD19" s="87">
        <f>_xlfn.XLOOKUP($G19,'GIÁ XUẤT KHO'!$A$4:$A$97,'GIÁ XUẤT KHO'!$AW$4:$AW$97)*Q19</f>
        <v>0</v>
      </c>
      <c r="BE19" s="87">
        <f>_xlfn.XLOOKUP($G19,'GIÁ XUẤT KHO'!$A$4:$A$97,'GIÁ XUẤT KHO'!$AW$4:$AW$97)*R19</f>
        <v>0</v>
      </c>
      <c r="BF19" s="219">
        <f t="shared" si="26"/>
        <v>0</v>
      </c>
      <c r="BH19" s="87">
        <f t="shared" si="27"/>
        <v>0</v>
      </c>
      <c r="BI19" s="87">
        <f t="shared" si="8"/>
        <v>0</v>
      </c>
      <c r="BJ19" s="87">
        <f t="shared" si="9"/>
        <v>0</v>
      </c>
      <c r="BK19" s="219">
        <f t="shared" si="28"/>
        <v>0</v>
      </c>
      <c r="BM19" s="215">
        <f t="shared" si="29"/>
        <v>0</v>
      </c>
      <c r="BN19" s="84">
        <f>SUMIFS('GIÁ XUẤT KHO'!AX$4:AX$97,'GIÁ XUẤT KHO'!$A$4:$A$97,$G19)*$S19</f>
        <v>0</v>
      </c>
      <c r="BO19" s="84">
        <f>SUMIFS('GIÁ XUẤT KHO'!AY$4:AY$97,'GIÁ XUẤT KHO'!$A$4:$A$97,$G19)*$S19</f>
        <v>0</v>
      </c>
      <c r="BP19" s="84">
        <f>SUMIFS('GIÁ XUẤT KHO'!AZ$4:AZ$97,'GIÁ XUẤT KHO'!$A$4:$A$97,$G19)*$S19</f>
        <v>0</v>
      </c>
      <c r="BQ19" s="84">
        <f>SUMIFS('GIÁ XUẤT KHO'!BA$4:BA$97,'GIÁ XUẤT KHO'!$A$4:$A$97,$G19)*$S19</f>
        <v>0</v>
      </c>
      <c r="BR19" s="84">
        <f>SUMIFS('GIÁ XUẤT KHO'!BB$4:BB$97,'GIÁ XUẤT KHO'!$A$4:$A$97,$G19)*$S19</f>
        <v>0</v>
      </c>
      <c r="BS19" s="84">
        <f>SUMIFS('GIÁ XUẤT KHO'!BC$4:BC$97,'GIÁ XUẤT KHO'!$A$4:$A$97,$G19)*$S19</f>
        <v>0</v>
      </c>
      <c r="BT19" s="84">
        <f>SUMIFS('GIÁ XUẤT KHO'!BD$4:BD$97,'GIÁ XUẤT KHO'!$A$4:$A$97,$G19)*$S19</f>
        <v>0</v>
      </c>
      <c r="BU19" s="84">
        <f>SUMIFS('GIÁ XUẤT KHO'!BE$4:BE$97,'GIÁ XUẤT KHO'!$A$4:$A$97,$G19)*$S19</f>
        <v>0</v>
      </c>
      <c r="BV19" s="84">
        <f>SUMIFS('GIÁ XUẤT KHO'!BF$4:BF$97,'GIÁ XUẤT KHO'!$A$4:$A$97,$G19)*$S19</f>
        <v>0</v>
      </c>
      <c r="BW19" s="243">
        <f t="shared" si="30"/>
        <v>0</v>
      </c>
    </row>
    <row r="20" spans="1:75" s="86" customFormat="1" x14ac:dyDescent="0.25">
      <c r="A20" s="86" t="str">
        <f>_xlfn.XLOOKUP($G20,MD_SKU[Mã SKU],MD_SKU[Link vào file BCQT])</f>
        <v>Phó sản</v>
      </c>
      <c r="B20" s="86" t="s">
        <v>2890</v>
      </c>
      <c r="C20" s="82" t="s">
        <v>252</v>
      </c>
      <c r="D20" s="82" t="s">
        <v>2850</v>
      </c>
      <c r="E20" s="83" t="s">
        <v>2060</v>
      </c>
      <c r="F20" s="82" t="s">
        <v>2061</v>
      </c>
      <c r="G20" s="83" t="s">
        <v>2057</v>
      </c>
      <c r="H20" s="82" t="s">
        <v>2062</v>
      </c>
      <c r="I20" s="83"/>
      <c r="J20" s="83"/>
      <c r="K20" s="84">
        <f>SUMIFS('Working-T05-B1'!L$8:L$150,'Working-T05-B1'!$C$8:$C$150,$D20)</f>
        <v>9129</v>
      </c>
      <c r="L20" s="84" cm="1">
        <f t="array" ref="L20">SUMPRODUCT(Sales!$G$3:$H$100*(Sales!$B$3:$B$100=$D20))</f>
        <v>0</v>
      </c>
      <c r="M20" s="85">
        <f t="shared" si="4"/>
        <v>9129</v>
      </c>
      <c r="N20" s="84">
        <f>SUMIFS(Sales!$I$3:$I$100,Sales!$B$3:$B$100,$D20)</f>
        <v>0</v>
      </c>
      <c r="P20" s="84">
        <f>SUMIFS('Working-T05-B1'!O$8:O$150,'Working-T05-B1'!$C$8:$C$150,$D20)</f>
        <v>0</v>
      </c>
      <c r="Q20" s="84">
        <f t="shared" si="10"/>
        <v>0</v>
      </c>
      <c r="R20" s="84">
        <f t="shared" si="11"/>
        <v>0</v>
      </c>
      <c r="S20" s="84">
        <f t="shared" si="12"/>
        <v>0</v>
      </c>
      <c r="T20" s="127">
        <f t="shared" si="5"/>
        <v>0</v>
      </c>
      <c r="U20" s="88">
        <f t="shared" si="13"/>
        <v>0</v>
      </c>
      <c r="V20" s="88">
        <f t="shared" si="13"/>
        <v>0</v>
      </c>
      <c r="W20" s="131">
        <f t="shared" si="14"/>
        <v>0</v>
      </c>
      <c r="X20" s="88">
        <f t="shared" si="15"/>
        <v>0</v>
      </c>
      <c r="Y20" s="87"/>
      <c r="Z20" s="84"/>
      <c r="AA20" s="118">
        <f t="shared" si="6"/>
        <v>1</v>
      </c>
      <c r="AB20" s="118">
        <f t="shared" si="6"/>
        <v>1</v>
      </c>
      <c r="AC20" s="84">
        <f t="shared" si="16"/>
        <v>0</v>
      </c>
      <c r="AD20" s="87"/>
      <c r="AE20" s="84">
        <f t="shared" si="17"/>
        <v>0</v>
      </c>
      <c r="AF20" s="84">
        <f t="shared" si="18"/>
        <v>0</v>
      </c>
      <c r="AG20" s="84">
        <f t="shared" si="19"/>
        <v>0</v>
      </c>
      <c r="AH20" s="84"/>
      <c r="AI20" s="87"/>
      <c r="AJ20" s="89">
        <f>SUMIFS('Working-T05-B1'!AI$8:AI$150,'Working-T05-B1'!$C$8:$C$150,$D20)</f>
        <v>0</v>
      </c>
      <c r="AK20" s="84">
        <f>SUMIFS('Working-T05-B1'!AJ$8:AJ$150,'Working-T05-B1'!$C$8:$C$150,$D20)</f>
        <v>0</v>
      </c>
      <c r="AL20" s="84">
        <f t="shared" si="7"/>
        <v>0</v>
      </c>
      <c r="AM20" s="90">
        <f t="shared" si="20"/>
        <v>0</v>
      </c>
      <c r="AO20" s="84">
        <f t="shared" si="21"/>
        <v>0</v>
      </c>
      <c r="AP20" s="82"/>
      <c r="AQ20" s="84">
        <f>SUMIFS('Working-T05-B1'!AP$8:AP$150,'Working-T05-B1'!$C$8:$C$150,$D20)</f>
        <v>0</v>
      </c>
      <c r="AR20" s="84">
        <f>SUMIFS('Working-T05-B1'!AQ$8:AQ$150,'Working-T05-B1'!$C$8:$C$150,$D20)</f>
        <v>0</v>
      </c>
      <c r="AS20" s="84">
        <f t="shared" si="22"/>
        <v>0</v>
      </c>
      <c r="AT20" s="215">
        <f t="shared" si="23"/>
        <v>0</v>
      </c>
      <c r="AV20" s="84">
        <f t="shared" si="24"/>
        <v>0</v>
      </c>
      <c r="AW20" s="82"/>
      <c r="AX20" s="84">
        <f>SUMIFS('Working-T05-B1'!AW$8:AW$150,'Working-T05-B1'!$C$8:$C$150,$D20)</f>
        <v>0</v>
      </c>
      <c r="AY20" s="84">
        <f>SUMIFS('Working-T05-B1'!AX$8:AX$150,'Working-T05-B1'!$C$8:$C$150,$D20)</f>
        <v>0</v>
      </c>
      <c r="AZ20" s="82"/>
      <c r="BA20" s="215">
        <f t="shared" si="25"/>
        <v>0</v>
      </c>
      <c r="BC20" s="87">
        <f>_xlfn.XLOOKUP($G20,'GIÁ XUẤT KHO'!$A$4:$A$97,'GIÁ XUẤT KHO'!$AW$4:$AW$97)*P20</f>
        <v>0</v>
      </c>
      <c r="BD20" s="87">
        <f>_xlfn.XLOOKUP($G20,'GIÁ XUẤT KHO'!$A$4:$A$97,'GIÁ XUẤT KHO'!$AW$4:$AW$97)*Q20</f>
        <v>0</v>
      </c>
      <c r="BE20" s="87">
        <f>_xlfn.XLOOKUP($G20,'GIÁ XUẤT KHO'!$A$4:$A$97,'GIÁ XUẤT KHO'!$AW$4:$AW$97)*R20</f>
        <v>0</v>
      </c>
      <c r="BF20" s="219">
        <f t="shared" si="26"/>
        <v>0</v>
      </c>
      <c r="BH20" s="87">
        <f t="shared" si="27"/>
        <v>0</v>
      </c>
      <c r="BI20" s="87">
        <f t="shared" si="8"/>
        <v>0</v>
      </c>
      <c r="BJ20" s="87">
        <f t="shared" si="9"/>
        <v>0</v>
      </c>
      <c r="BK20" s="219">
        <f t="shared" si="28"/>
        <v>0</v>
      </c>
      <c r="BM20" s="215">
        <f t="shared" si="29"/>
        <v>0</v>
      </c>
      <c r="BN20" s="84">
        <f>SUMIFS('GIÁ XUẤT KHO'!AX$4:AX$97,'GIÁ XUẤT KHO'!$A$4:$A$97,$G20)*$S20</f>
        <v>0</v>
      </c>
      <c r="BO20" s="84">
        <f>SUMIFS('GIÁ XUẤT KHO'!AY$4:AY$97,'GIÁ XUẤT KHO'!$A$4:$A$97,$G20)*$S20</f>
        <v>0</v>
      </c>
      <c r="BP20" s="84">
        <f>SUMIFS('GIÁ XUẤT KHO'!AZ$4:AZ$97,'GIÁ XUẤT KHO'!$A$4:$A$97,$G20)*$S20</f>
        <v>0</v>
      </c>
      <c r="BQ20" s="84">
        <f>SUMIFS('GIÁ XUẤT KHO'!BA$4:BA$97,'GIÁ XUẤT KHO'!$A$4:$A$97,$G20)*$S20</f>
        <v>0</v>
      </c>
      <c r="BR20" s="84">
        <f>SUMIFS('GIÁ XUẤT KHO'!BB$4:BB$97,'GIÁ XUẤT KHO'!$A$4:$A$97,$G20)*$S20</f>
        <v>0</v>
      </c>
      <c r="BS20" s="84">
        <f>SUMIFS('GIÁ XUẤT KHO'!BC$4:BC$97,'GIÁ XUẤT KHO'!$A$4:$A$97,$G20)*$S20</f>
        <v>0</v>
      </c>
      <c r="BT20" s="84">
        <f>SUMIFS('GIÁ XUẤT KHO'!BD$4:BD$97,'GIÁ XUẤT KHO'!$A$4:$A$97,$G20)*$S20</f>
        <v>0</v>
      </c>
      <c r="BU20" s="84">
        <f>SUMIFS('GIÁ XUẤT KHO'!BE$4:BE$97,'GIÁ XUẤT KHO'!$A$4:$A$97,$G20)*$S20</f>
        <v>0</v>
      </c>
      <c r="BV20" s="84">
        <f>SUMIFS('GIÁ XUẤT KHO'!BF$4:BF$97,'GIÁ XUẤT KHO'!$A$4:$A$97,$G20)*$S20</f>
        <v>0</v>
      </c>
      <c r="BW20" s="243">
        <f t="shared" si="30"/>
        <v>0</v>
      </c>
    </row>
    <row r="21" spans="1:75" s="86" customFormat="1" x14ac:dyDescent="0.25">
      <c r="A21" s="86" t="str">
        <f>_xlfn.XLOOKUP($G21,MD_SKU[Mã SKU],MD_SKU[Link vào file BCQT])</f>
        <v>Hạt rPET</v>
      </c>
      <c r="B21" s="86" t="s">
        <v>2890</v>
      </c>
      <c r="C21" s="82" t="s">
        <v>252</v>
      </c>
      <c r="D21" s="82" t="s">
        <v>2820</v>
      </c>
      <c r="E21" s="83" t="s">
        <v>2628</v>
      </c>
      <c r="F21" s="82" t="s">
        <v>2612</v>
      </c>
      <c r="G21" s="83" t="s">
        <v>37</v>
      </c>
      <c r="H21" s="82" t="s">
        <v>298</v>
      </c>
      <c r="I21" s="83"/>
      <c r="J21" s="83"/>
      <c r="K21" s="84">
        <f>SUMIFS('Working-T05-B1'!L$8:L$150,'Working-T05-B1'!$C$8:$C$150,$D21)</f>
        <v>44000</v>
      </c>
      <c r="L21" s="84" cm="1">
        <f t="array" ref="L21">SUMPRODUCT(Sales!$G$3:$H$100*(Sales!$B$3:$B$100=$D21))</f>
        <v>0</v>
      </c>
      <c r="M21" s="85">
        <f t="shared" si="4"/>
        <v>44000</v>
      </c>
      <c r="N21" s="84">
        <f>SUMIFS(Sales!$I$3:$I$100,Sales!$B$3:$B$100,$D21)</f>
        <v>44000</v>
      </c>
      <c r="P21" s="84">
        <f>SUMIFS('Working-T05-B1'!O$8:O$150,'Working-T05-B1'!$C$8:$C$150,$D21)</f>
        <v>0</v>
      </c>
      <c r="Q21" s="84">
        <f t="shared" si="10"/>
        <v>44000</v>
      </c>
      <c r="R21" s="84">
        <f t="shared" si="11"/>
        <v>0</v>
      </c>
      <c r="S21" s="84">
        <f t="shared" si="12"/>
        <v>44000</v>
      </c>
      <c r="T21" s="127">
        <f t="shared" si="5"/>
        <v>0</v>
      </c>
      <c r="U21" s="88">
        <f t="shared" si="13"/>
        <v>0</v>
      </c>
      <c r="V21" s="88">
        <f t="shared" si="13"/>
        <v>34770</v>
      </c>
      <c r="W21" s="131">
        <f t="shared" si="14"/>
        <v>0</v>
      </c>
      <c r="X21" s="88">
        <f t="shared" si="15"/>
        <v>34770</v>
      </c>
      <c r="Y21" s="87"/>
      <c r="Z21" s="84"/>
      <c r="AA21" s="118">
        <f t="shared" si="6"/>
        <v>1</v>
      </c>
      <c r="AB21" s="118">
        <f t="shared" si="6"/>
        <v>1</v>
      </c>
      <c r="AC21" s="84">
        <f t="shared" si="16"/>
        <v>1</v>
      </c>
      <c r="AD21" s="87"/>
      <c r="AE21" s="84">
        <f t="shared" si="17"/>
        <v>0</v>
      </c>
      <c r="AF21" s="84">
        <f t="shared" si="18"/>
        <v>34770</v>
      </c>
      <c r="AG21" s="84">
        <f t="shared" si="19"/>
        <v>0</v>
      </c>
      <c r="AH21" s="84"/>
      <c r="AI21" s="87"/>
      <c r="AJ21" s="89">
        <f>SUMIFS('Working-T05-B1'!AI$8:AI$150,'Working-T05-B1'!$C$8:$C$150,$D21)</f>
        <v>0</v>
      </c>
      <c r="AK21" s="84">
        <f>SUMIFS('Working-T05-B1'!AJ$8:AJ$150,'Working-T05-B1'!$C$8:$C$150,$D21)</f>
        <v>1529880000</v>
      </c>
      <c r="AL21" s="84">
        <f t="shared" si="7"/>
        <v>0</v>
      </c>
      <c r="AM21" s="90">
        <f t="shared" si="20"/>
        <v>1529880000</v>
      </c>
      <c r="AO21" s="84">
        <f t="shared" si="21"/>
        <v>120.27396375517648</v>
      </c>
      <c r="AP21" s="82"/>
      <c r="AQ21" s="84">
        <f>SUMIFS('Working-T05-B1'!AP$8:AP$150,'Working-T05-B1'!$C$8:$C$150,$D21)</f>
        <v>0</v>
      </c>
      <c r="AR21" s="84">
        <f>SUMIFS('Working-T05-B1'!AQ$8:AQ$150,'Working-T05-B1'!$C$8:$C$150,$D21)</f>
        <v>5292054.4052277654</v>
      </c>
      <c r="AS21" s="84">
        <f t="shared" si="22"/>
        <v>0</v>
      </c>
      <c r="AT21" s="215">
        <f t="shared" si="23"/>
        <v>5292054.4052277654</v>
      </c>
      <c r="AV21" s="84">
        <f t="shared" si="24"/>
        <v>1000</v>
      </c>
      <c r="AW21" s="82"/>
      <c r="AX21" s="84">
        <f>SUMIFS('Working-T05-B1'!AW$8:AW$150,'Working-T05-B1'!$C$8:$C$150,$D21)</f>
        <v>0</v>
      </c>
      <c r="AY21" s="84">
        <f>SUMIFS('Working-T05-B1'!AX$8:AX$150,'Working-T05-B1'!$C$8:$C$150,$D21)</f>
        <v>44000000</v>
      </c>
      <c r="AZ21" s="82"/>
      <c r="BA21" s="215">
        <f t="shared" si="25"/>
        <v>44000000</v>
      </c>
      <c r="BC21" s="87">
        <f>_xlfn.XLOOKUP($G21,'GIÁ XUẤT KHO'!$A$4:$A$97,'GIÁ XUẤT KHO'!$AW$4:$AW$97)*P21</f>
        <v>0</v>
      </c>
      <c r="BD21" s="87">
        <f>_xlfn.XLOOKUP($G21,'GIÁ XUẤT KHO'!$A$4:$A$97,'GIÁ XUẤT KHO'!$AW$4:$AW$97)*Q21</f>
        <v>1151219854.902113</v>
      </c>
      <c r="BE21" s="87">
        <f>_xlfn.XLOOKUP($G21,'GIÁ XUẤT KHO'!$A$4:$A$97,'GIÁ XUẤT KHO'!$AW$4:$AW$97)*R21</f>
        <v>0</v>
      </c>
      <c r="BF21" s="219">
        <f t="shared" si="26"/>
        <v>1151219854.902113</v>
      </c>
      <c r="BH21" s="87">
        <f t="shared" si="27"/>
        <v>0</v>
      </c>
      <c r="BI21" s="87">
        <f t="shared" si="8"/>
        <v>378660145.09788704</v>
      </c>
      <c r="BJ21" s="87">
        <f t="shared" si="9"/>
        <v>0</v>
      </c>
      <c r="BK21" s="219">
        <f t="shared" si="28"/>
        <v>378660145.09788704</v>
      </c>
      <c r="BM21" s="215">
        <f t="shared" si="29"/>
        <v>1151219854.902113</v>
      </c>
      <c r="BN21" s="84">
        <f>SUMIFS('GIÁ XUẤT KHO'!AX$4:AX$97,'GIÁ XUẤT KHO'!$A$4:$A$97,$G21)*$S21</f>
        <v>856163146.7715832</v>
      </c>
      <c r="BO21" s="84">
        <f>SUMIFS('GIÁ XUẤT KHO'!AY$4:AY$97,'GIÁ XUẤT KHO'!$A$4:$A$97,$G21)*$S21</f>
        <v>7440302.6681172168</v>
      </c>
      <c r="BP21" s="84">
        <f>SUMIFS('GIÁ XUẤT KHO'!AZ$4:AZ$97,'GIÁ XUẤT KHO'!$A$4:$A$97,$G21)*$S21</f>
        <v>1481.9451274943742</v>
      </c>
      <c r="BQ21" s="84">
        <f>SUMIFS('GIÁ XUẤT KHO'!BA$4:BA$97,'GIÁ XUẤT KHO'!$A$4:$A$97,$G21)*$S21</f>
        <v>35130745.51298292</v>
      </c>
      <c r="BR21" s="84">
        <f>SUMIFS('GIÁ XUẤT KHO'!BB$4:BB$97,'GIÁ XUẤT KHO'!$A$4:$A$97,$G21)*$S21</f>
        <v>10207463.177399244</v>
      </c>
      <c r="BS21" s="84">
        <f>SUMIFS('GIÁ XUẤT KHO'!BC$4:BC$97,'GIÁ XUẤT KHO'!$A$4:$A$97,$G21)*$S21</f>
        <v>19052298.356209297</v>
      </c>
      <c r="BT21" s="84">
        <f>SUMIFS('GIÁ XUẤT KHO'!BD$4:BD$97,'GIÁ XUẤT KHO'!$A$4:$A$97,$G21)*$S21</f>
        <v>64856869.49523852</v>
      </c>
      <c r="BU21" s="84">
        <f>SUMIFS('GIÁ XUẤT KHO'!BE$4:BE$97,'GIÁ XUẤT KHO'!$A$4:$A$97,$G21)*$S21</f>
        <v>3361358.4298296594</v>
      </c>
      <c r="BV21" s="84">
        <f>SUMIFS('GIÁ XUẤT KHO'!BF$4:BF$97,'GIÁ XUẤT KHO'!$A$4:$A$97,$G21)*$S21</f>
        <v>155006188.54562527</v>
      </c>
      <c r="BW21" s="243">
        <f t="shared" si="30"/>
        <v>0</v>
      </c>
    </row>
    <row r="22" spans="1:75" s="86" customFormat="1" x14ac:dyDescent="0.25">
      <c r="A22" s="86" t="str">
        <f>_xlfn.XLOOKUP($G22,MD_SKU[Mã SKU],MD_SKU[Link vào file BCQT])</f>
        <v>Hạt rPET</v>
      </c>
      <c r="B22" s="86" t="s">
        <v>2890</v>
      </c>
      <c r="C22" s="82" t="s">
        <v>252</v>
      </c>
      <c r="D22" s="82" t="s">
        <v>2807</v>
      </c>
      <c r="E22" s="83" t="s">
        <v>2047</v>
      </c>
      <c r="F22" s="82" t="s">
        <v>2614</v>
      </c>
      <c r="G22" s="83" t="s">
        <v>301</v>
      </c>
      <c r="H22" s="82" t="s">
        <v>302</v>
      </c>
      <c r="I22" s="83"/>
      <c r="J22" s="83"/>
      <c r="K22" s="84">
        <f>SUMIFS('Working-T05-B1'!L$8:L$150,'Working-T05-B1'!$C$8:$C$150,$D22)</f>
        <v>570900</v>
      </c>
      <c r="L22" s="84" cm="1">
        <f t="array" ref="L22">SUMPRODUCT(Sales!$G$3:$H$100*(Sales!$B$3:$B$100=$D22))</f>
        <v>0</v>
      </c>
      <c r="M22" s="85">
        <f t="shared" si="4"/>
        <v>570900</v>
      </c>
      <c r="N22" s="84">
        <f>SUMIFS(Sales!$I$3:$I$100,Sales!$B$3:$B$100,$D22)</f>
        <v>333300</v>
      </c>
      <c r="P22" s="84">
        <f>SUMIFS('Working-T05-B1'!O$8:O$150,'Working-T05-B1'!$C$8:$C$150,$D22)</f>
        <v>0</v>
      </c>
      <c r="Q22" s="84">
        <f t="shared" si="10"/>
        <v>333300</v>
      </c>
      <c r="R22" s="84">
        <f t="shared" si="11"/>
        <v>0</v>
      </c>
      <c r="S22" s="84">
        <f t="shared" si="12"/>
        <v>333300</v>
      </c>
      <c r="T22" s="127">
        <f t="shared" si="5"/>
        <v>0</v>
      </c>
      <c r="U22" s="88">
        <f t="shared" si="13"/>
        <v>0</v>
      </c>
      <c r="V22" s="88">
        <f t="shared" si="13"/>
        <v>30221</v>
      </c>
      <c r="W22" s="131">
        <f t="shared" si="14"/>
        <v>0</v>
      </c>
      <c r="X22" s="88">
        <f t="shared" si="15"/>
        <v>30221</v>
      </c>
      <c r="Y22" s="87"/>
      <c r="Z22" s="84"/>
      <c r="AA22" s="118">
        <f t="shared" si="6"/>
        <v>1</v>
      </c>
      <c r="AB22" s="118">
        <f t="shared" si="6"/>
        <v>1</v>
      </c>
      <c r="AC22" s="84">
        <f t="shared" si="16"/>
        <v>1</v>
      </c>
      <c r="AD22" s="87"/>
      <c r="AE22" s="84">
        <f t="shared" si="17"/>
        <v>0</v>
      </c>
      <c r="AF22" s="84">
        <f>IFERROR(AK22/Q22,0)</f>
        <v>30221</v>
      </c>
      <c r="AG22" s="84">
        <f t="shared" si="19"/>
        <v>0</v>
      </c>
      <c r="AH22" s="84"/>
      <c r="AI22" s="87"/>
      <c r="AJ22" s="89">
        <f>SUMIFS('Working-T05-B1'!AI$8:AI$150,'Working-T05-B1'!$C$8:$C$150,$D22)</f>
        <v>0</v>
      </c>
      <c r="AK22" s="84">
        <f>SUMIFS('Working-T05-B1'!AJ$8:AJ$150,'Working-T05-B1'!$C$8:$C$150,$D22)</f>
        <v>10072659300</v>
      </c>
      <c r="AL22" s="84">
        <f t="shared" si="7"/>
        <v>0</v>
      </c>
      <c r="AM22" s="90">
        <f t="shared" si="20"/>
        <v>10072659300</v>
      </c>
      <c r="AO22" s="84">
        <f t="shared" si="21"/>
        <v>204.80531813865147</v>
      </c>
      <c r="AP22" s="82"/>
      <c r="AQ22" s="84">
        <f>SUMIFS('Working-T05-B1'!AP$8:AP$150,'Working-T05-B1'!$C$8:$C$150,$D22)</f>
        <v>0</v>
      </c>
      <c r="AR22" s="84">
        <f>SUMIFS('Working-T05-B1'!AQ$8:AQ$150,'Working-T05-B1'!$C$8:$C$150,$D22)</f>
        <v>68261612.535612538</v>
      </c>
      <c r="AS22" s="84">
        <f t="shared" si="22"/>
        <v>0</v>
      </c>
      <c r="AT22" s="215">
        <f t="shared" si="23"/>
        <v>68261612.535612538</v>
      </c>
      <c r="AV22" s="84">
        <f t="shared" si="24"/>
        <v>0</v>
      </c>
      <c r="AW22" s="82"/>
      <c r="AX22" s="84">
        <f>SUMIFS('Working-T05-B1'!AW$8:AW$150,'Working-T05-B1'!$C$8:$C$150,$D22)</f>
        <v>0</v>
      </c>
      <c r="AY22" s="84">
        <f>SUMIFS('Working-T05-B1'!AX$8:AX$150,'Working-T05-B1'!$C$8:$C$150,$D22)</f>
        <v>0</v>
      </c>
      <c r="AZ22" s="82"/>
      <c r="BA22" s="215">
        <f t="shared" si="25"/>
        <v>0</v>
      </c>
      <c r="BC22" s="87">
        <f>_xlfn.XLOOKUP($G22,'GIÁ XUẤT KHO'!$A$4:$A$97,'GIÁ XUẤT KHO'!$AW$4:$AW$97)*P22</f>
        <v>0</v>
      </c>
      <c r="BD22" s="87">
        <f>_xlfn.XLOOKUP($G22,'GIÁ XUẤT KHO'!$A$4:$A$97,'GIÁ XUẤT KHO'!$AW$4:$AW$97)*Q22</f>
        <v>9004337790.2471638</v>
      </c>
      <c r="BE22" s="87">
        <f>_xlfn.XLOOKUP($G22,'GIÁ XUẤT KHO'!$A$4:$A$97,'GIÁ XUẤT KHO'!$AW$4:$AW$97)*R22</f>
        <v>0</v>
      </c>
      <c r="BF22" s="219">
        <f t="shared" si="26"/>
        <v>9004337790.2471638</v>
      </c>
      <c r="BH22" s="87">
        <f t="shared" si="27"/>
        <v>0</v>
      </c>
      <c r="BI22" s="87">
        <f t="shared" si="8"/>
        <v>1068321509.7528362</v>
      </c>
      <c r="BJ22" s="87">
        <f t="shared" si="9"/>
        <v>0</v>
      </c>
      <c r="BK22" s="219">
        <f t="shared" si="28"/>
        <v>1068321509.7528362</v>
      </c>
      <c r="BM22" s="215">
        <f t="shared" si="29"/>
        <v>9004337790.2471619</v>
      </c>
      <c r="BN22" s="84">
        <f>SUMIFS('GIÁ XUẤT KHO'!AX$4:AX$97,'GIÁ XUẤT KHO'!$A$4:$A$97,$G22)*$S22</f>
        <v>6467129169.132206</v>
      </c>
      <c r="BO22" s="84">
        <f>SUMIFS('GIÁ XUẤT KHO'!AY$4:AY$97,'GIÁ XUẤT KHO'!$A$4:$A$97,$G22)*$S22</f>
        <v>349778859.77742875</v>
      </c>
      <c r="BP22" s="84">
        <f>SUMIFS('GIÁ XUẤT KHO'!AZ$4:AZ$97,'GIÁ XUẤT KHO'!$A$4:$A$97,$G22)*$S22</f>
        <v>1449846.5581507508</v>
      </c>
      <c r="BQ22" s="84">
        <f>SUMIFS('GIÁ XUẤT KHO'!BA$4:BA$97,'GIÁ XUẤT KHO'!$A$4:$A$97,$G22)*$S22</f>
        <v>353302001.13799572</v>
      </c>
      <c r="BR22" s="84">
        <f>SUMIFS('GIÁ XUẤT KHO'!BB$4:BB$97,'GIÁ XUẤT KHO'!$A$4:$A$97,$G22)*$S22</f>
        <v>70108378.945152029</v>
      </c>
      <c r="BS22" s="84">
        <f>SUMIFS('GIÁ XUẤT KHO'!BC$4:BC$97,'GIÁ XUẤT KHO'!$A$4:$A$97,$G22)*$S22</f>
        <v>365876443.9638316</v>
      </c>
      <c r="BT22" s="84">
        <f>SUMIFS('GIÁ XUẤT KHO'!BD$4:BD$97,'GIÁ XUẤT KHO'!$A$4:$A$97,$G22)*$S22</f>
        <v>347862077.99929142</v>
      </c>
      <c r="BU22" s="84">
        <f>SUMIFS('GIÁ XUẤT KHO'!BE$4:BE$97,'GIÁ XUẤT KHO'!$A$4:$A$97,$G22)*$S22</f>
        <v>144791442.74486619</v>
      </c>
      <c r="BV22" s="84">
        <f>SUMIFS('GIÁ XUẤT KHO'!BF$4:BF$97,'GIÁ XUẤT KHO'!$A$4:$A$97,$G22)*$S22</f>
        <v>904039569.98823988</v>
      </c>
      <c r="BW22" s="243">
        <f t="shared" si="30"/>
        <v>0</v>
      </c>
    </row>
    <row r="23" spans="1:75" s="86" customFormat="1" x14ac:dyDescent="0.25">
      <c r="A23" s="86" t="str">
        <f>_xlfn.XLOOKUP($G23,MD_SKU[Mã SKU],MD_SKU[Link vào file BCQT])</f>
        <v>Hạt rHDPE thổi</v>
      </c>
      <c r="B23" s="86" t="s">
        <v>2890</v>
      </c>
      <c r="C23" s="82" t="s">
        <v>253</v>
      </c>
      <c r="D23" s="82" t="s">
        <v>2822</v>
      </c>
      <c r="E23" s="83" t="s">
        <v>2630</v>
      </c>
      <c r="F23" s="82" t="s">
        <v>2618</v>
      </c>
      <c r="G23" s="83" t="s">
        <v>53</v>
      </c>
      <c r="H23" s="82" t="s">
        <v>831</v>
      </c>
      <c r="I23" s="83"/>
      <c r="J23" s="83"/>
      <c r="K23" s="84">
        <f>SUMIFS('Working-T05-B1'!L$8:L$150,'Working-T05-B1'!$C$8:$C$150,$D23)</f>
        <v>81000</v>
      </c>
      <c r="L23" s="84" cm="1">
        <f t="array" ref="L23">SUMPRODUCT(Sales!$G$3:$H$100*(Sales!$B$3:$B$100=$D23))</f>
        <v>0</v>
      </c>
      <c r="M23" s="85">
        <f t="shared" si="4"/>
        <v>81000</v>
      </c>
      <c r="N23" s="84">
        <f>SUMIFS(Sales!$I$3:$I$100,Sales!$B$3:$B$100,$D23)</f>
        <v>0</v>
      </c>
      <c r="P23" s="84">
        <f>SUMIFS('Working-T05-B1'!O$8:O$150,'Working-T05-B1'!$C$8:$C$150,$D23)</f>
        <v>0</v>
      </c>
      <c r="Q23" s="84">
        <f t="shared" si="10"/>
        <v>0</v>
      </c>
      <c r="R23" s="84">
        <f t="shared" si="11"/>
        <v>0</v>
      </c>
      <c r="S23" s="84">
        <f t="shared" si="12"/>
        <v>0</v>
      </c>
      <c r="T23" s="127">
        <f t="shared" si="5"/>
        <v>0</v>
      </c>
      <c r="U23" s="88">
        <f t="shared" si="13"/>
        <v>0</v>
      </c>
      <c r="V23" s="88">
        <f>IFERROR(AF23/AA23,0)</f>
        <v>0</v>
      </c>
      <c r="W23" s="131">
        <f t="shared" si="14"/>
        <v>0</v>
      </c>
      <c r="X23" s="88">
        <f t="shared" si="15"/>
        <v>0</v>
      </c>
      <c r="Y23" s="87"/>
      <c r="Z23" s="84"/>
      <c r="AA23" s="118">
        <f t="shared" si="6"/>
        <v>26300</v>
      </c>
      <c r="AB23" s="118">
        <f t="shared" si="6"/>
        <v>26300</v>
      </c>
      <c r="AC23" s="84">
        <f t="shared" si="16"/>
        <v>0</v>
      </c>
      <c r="AD23" s="87"/>
      <c r="AE23" s="84">
        <f t="shared" si="17"/>
        <v>0</v>
      </c>
      <c r="AF23" s="84">
        <f t="shared" si="18"/>
        <v>0</v>
      </c>
      <c r="AG23" s="84">
        <f t="shared" si="19"/>
        <v>0</v>
      </c>
      <c r="AH23" s="84"/>
      <c r="AI23" s="87"/>
      <c r="AJ23" s="89">
        <f>SUMIFS('Working-T05-B1'!AI$8:AI$150,'Working-T05-B1'!$C$8:$C$150,$D23)</f>
        <v>0</v>
      </c>
      <c r="AK23" s="84">
        <f>SUMIFS('Working-T05-B1'!AJ$8:AJ$150,'Working-T05-B1'!$C$8:$C$150,$D23)</f>
        <v>0</v>
      </c>
      <c r="AL23" s="84">
        <f t="shared" si="7"/>
        <v>0</v>
      </c>
      <c r="AM23" s="90">
        <f t="shared" si="20"/>
        <v>0</v>
      </c>
      <c r="AO23" s="84">
        <f t="shared" si="21"/>
        <v>0</v>
      </c>
      <c r="AP23" s="82"/>
      <c r="AQ23" s="84">
        <f>SUMIFS('Working-T05-B1'!AP$8:AP$150,'Working-T05-B1'!$C$8:$C$150,$D23)</f>
        <v>0</v>
      </c>
      <c r="AR23" s="84">
        <f>SUMIFS('Working-T05-B1'!AQ$8:AQ$150,'Working-T05-B1'!$C$8:$C$150,$D23)</f>
        <v>0</v>
      </c>
      <c r="AS23" s="84">
        <f t="shared" si="22"/>
        <v>0</v>
      </c>
      <c r="AT23" s="215">
        <f t="shared" si="23"/>
        <v>0</v>
      </c>
      <c r="AV23" s="84">
        <f t="shared" si="24"/>
        <v>0</v>
      </c>
      <c r="AW23" s="82"/>
      <c r="AX23" s="84">
        <f>SUMIFS('Working-T05-B1'!AW$8:AW$150,'Working-T05-B1'!$C$8:$C$150,$D23)</f>
        <v>0</v>
      </c>
      <c r="AY23" s="84">
        <f>SUMIFS('Working-T05-B1'!AX$8:AX$150,'Working-T05-B1'!$C$8:$C$150,$D23)</f>
        <v>0</v>
      </c>
      <c r="AZ23" s="82"/>
      <c r="BA23" s="215">
        <f t="shared" si="25"/>
        <v>0</v>
      </c>
      <c r="BC23" s="87">
        <f>_xlfn.XLOOKUP($G23,'GIÁ XUẤT KHO'!$A$4:$A$97,'GIÁ XUẤT KHO'!$AW$4:$AW$97)*P23</f>
        <v>0</v>
      </c>
      <c r="BD23" s="87">
        <f>_xlfn.XLOOKUP($G23,'GIÁ XUẤT KHO'!$A$4:$A$97,'GIÁ XUẤT KHO'!$AW$4:$AW$97)*Q23</f>
        <v>0</v>
      </c>
      <c r="BE23" s="87">
        <f>_xlfn.XLOOKUP($G23,'GIÁ XUẤT KHO'!$A$4:$A$97,'GIÁ XUẤT KHO'!$AW$4:$AW$97)*R23</f>
        <v>0</v>
      </c>
      <c r="BF23" s="219">
        <f t="shared" si="26"/>
        <v>0</v>
      </c>
      <c r="BH23" s="87">
        <f t="shared" si="27"/>
        <v>0</v>
      </c>
      <c r="BI23" s="87">
        <f t="shared" si="8"/>
        <v>0</v>
      </c>
      <c r="BJ23" s="87">
        <f t="shared" si="9"/>
        <v>0</v>
      </c>
      <c r="BK23" s="219">
        <f t="shared" si="28"/>
        <v>0</v>
      </c>
      <c r="BM23" s="215">
        <f t="shared" si="29"/>
        <v>0</v>
      </c>
      <c r="BN23" s="84">
        <f>SUMIFS('GIÁ XUẤT KHO'!AX$4:AX$97,'GIÁ XUẤT KHO'!$A$4:$A$97,$G23)*$S23</f>
        <v>0</v>
      </c>
      <c r="BO23" s="84">
        <f>SUMIFS('GIÁ XUẤT KHO'!AY$4:AY$97,'GIÁ XUẤT KHO'!$A$4:$A$97,$G23)*$S23</f>
        <v>0</v>
      </c>
      <c r="BP23" s="84">
        <f>SUMIFS('GIÁ XUẤT KHO'!AZ$4:AZ$97,'GIÁ XUẤT KHO'!$A$4:$A$97,$G23)*$S23</f>
        <v>0</v>
      </c>
      <c r="BQ23" s="84">
        <f>SUMIFS('GIÁ XUẤT KHO'!BA$4:BA$97,'GIÁ XUẤT KHO'!$A$4:$A$97,$G23)*$S23</f>
        <v>0</v>
      </c>
      <c r="BR23" s="84">
        <f>SUMIFS('GIÁ XUẤT KHO'!BB$4:BB$97,'GIÁ XUẤT KHO'!$A$4:$A$97,$G23)*$S23</f>
        <v>0</v>
      </c>
      <c r="BS23" s="84">
        <f>SUMIFS('GIÁ XUẤT KHO'!BC$4:BC$97,'GIÁ XUẤT KHO'!$A$4:$A$97,$G23)*$S23</f>
        <v>0</v>
      </c>
      <c r="BT23" s="84">
        <f>SUMIFS('GIÁ XUẤT KHO'!BD$4:BD$97,'GIÁ XUẤT KHO'!$A$4:$A$97,$G23)*$S23</f>
        <v>0</v>
      </c>
      <c r="BU23" s="84">
        <f>SUMIFS('GIÁ XUẤT KHO'!BE$4:BE$97,'GIÁ XUẤT KHO'!$A$4:$A$97,$G23)*$S23</f>
        <v>0</v>
      </c>
      <c r="BV23" s="84">
        <f>SUMIFS('GIÁ XUẤT KHO'!BF$4:BF$97,'GIÁ XUẤT KHO'!$A$4:$A$97,$G23)*$S23</f>
        <v>0</v>
      </c>
      <c r="BW23" s="243">
        <f t="shared" si="30"/>
        <v>0</v>
      </c>
    </row>
    <row r="24" spans="1:75" s="86" customFormat="1" x14ac:dyDescent="0.25">
      <c r="A24" s="86" t="str">
        <f>_xlfn.XLOOKUP($G24,MD_SKU[Mã SKU],MD_SKU[Link vào file BCQT])</f>
        <v>Hạt rPET</v>
      </c>
      <c r="B24" s="86" t="s">
        <v>2890</v>
      </c>
      <c r="C24" s="82" t="s">
        <v>252</v>
      </c>
      <c r="D24" s="82" t="s">
        <v>2788</v>
      </c>
      <c r="E24" s="83" t="s">
        <v>2022</v>
      </c>
      <c r="F24" s="82" t="s">
        <v>2023</v>
      </c>
      <c r="G24" s="83" t="s">
        <v>32</v>
      </c>
      <c r="H24" s="82" t="s">
        <v>279</v>
      </c>
      <c r="I24" s="83"/>
      <c r="J24" s="83"/>
      <c r="K24" s="84">
        <f>SUMIFS('Working-T05-B1'!L$8:L$150,'Working-T05-B1'!$C$8:$C$150,$D24)</f>
        <v>88000</v>
      </c>
      <c r="L24" s="84" cm="1">
        <f t="array" ref="L24">SUMPRODUCT(Sales!$G$3:$H$100*(Sales!$B$3:$B$100=$D24))</f>
        <v>0</v>
      </c>
      <c r="M24" s="85">
        <f t="shared" si="4"/>
        <v>88000</v>
      </c>
      <c r="N24" s="84">
        <f>SUMIFS(Sales!$I$3:$I$100,Sales!$B$3:$B$100,$D24)</f>
        <v>88000</v>
      </c>
      <c r="P24" s="84">
        <f>SUMIFS('Working-T05-B1'!O$8:O$150,'Working-T05-B1'!$C$8:$C$150,$D24)</f>
        <v>0</v>
      </c>
      <c r="Q24" s="84">
        <f t="shared" si="10"/>
        <v>88000</v>
      </c>
      <c r="R24" s="84">
        <f t="shared" si="11"/>
        <v>0</v>
      </c>
      <c r="S24" s="84">
        <f t="shared" si="12"/>
        <v>88000</v>
      </c>
      <c r="T24" s="127">
        <f t="shared" si="5"/>
        <v>0</v>
      </c>
      <c r="U24" s="88">
        <f t="shared" si="13"/>
        <v>0</v>
      </c>
      <c r="V24" s="88">
        <f t="shared" si="13"/>
        <v>31844</v>
      </c>
      <c r="W24" s="131">
        <f t="shared" si="14"/>
        <v>0</v>
      </c>
      <c r="X24" s="88">
        <f t="shared" si="15"/>
        <v>31844</v>
      </c>
      <c r="Y24" s="87"/>
      <c r="Z24" s="84"/>
      <c r="AA24" s="118">
        <f t="shared" si="6"/>
        <v>1</v>
      </c>
      <c r="AB24" s="118">
        <f t="shared" si="6"/>
        <v>1</v>
      </c>
      <c r="AC24" s="84">
        <f t="shared" si="16"/>
        <v>1</v>
      </c>
      <c r="AD24" s="87"/>
      <c r="AE24" s="84">
        <f t="shared" si="17"/>
        <v>0</v>
      </c>
      <c r="AF24" s="84">
        <f t="shared" si="18"/>
        <v>31844</v>
      </c>
      <c r="AG24" s="84">
        <f t="shared" si="19"/>
        <v>0</v>
      </c>
      <c r="AH24" s="84"/>
      <c r="AI24" s="87"/>
      <c r="AJ24" s="89">
        <f>SUMIFS('Working-T05-B1'!AI$8:AI$150,'Working-T05-B1'!$C$8:$C$150,$D24)</f>
        <v>0</v>
      </c>
      <c r="AK24" s="84">
        <f>SUMIFS('Working-T05-B1'!AJ$8:AJ$150,'Working-T05-B1'!$C$8:$C$150,$D24)</f>
        <v>2802272000</v>
      </c>
      <c r="AL24" s="84">
        <f t="shared" si="7"/>
        <v>0</v>
      </c>
      <c r="AM24" s="90">
        <f t="shared" si="20"/>
        <v>2802272000</v>
      </c>
      <c r="AO24" s="84">
        <f t="shared" si="21"/>
        <v>263</v>
      </c>
      <c r="AP24" s="82"/>
      <c r="AQ24" s="84">
        <f>SUMIFS('Working-T05-B1'!AP$8:AP$150,'Working-T05-B1'!$C$8:$C$150,$D24)</f>
        <v>0</v>
      </c>
      <c r="AR24" s="84">
        <f>SUMIFS('Working-T05-B1'!AQ$8:AQ$150,'Working-T05-B1'!$C$8:$C$150,$D24)</f>
        <v>23144000</v>
      </c>
      <c r="AS24" s="84">
        <f t="shared" si="22"/>
        <v>0</v>
      </c>
      <c r="AT24" s="215">
        <f t="shared" si="23"/>
        <v>23144000</v>
      </c>
      <c r="AV24" s="84">
        <f t="shared" si="24"/>
        <v>1910.64</v>
      </c>
      <c r="AW24" s="82"/>
      <c r="AX24" s="84">
        <f>SUMIFS('Working-T05-B1'!AW$8:AW$150,'Working-T05-B1'!$C$8:$C$150,$D24)</f>
        <v>0</v>
      </c>
      <c r="AY24" s="84">
        <f>SUMIFS('Working-T05-B1'!AX$8:AX$150,'Working-T05-B1'!$C$8:$C$150,$D24)</f>
        <v>168136320</v>
      </c>
      <c r="AZ24" s="82"/>
      <c r="BA24" s="215">
        <f t="shared" si="25"/>
        <v>168136320</v>
      </c>
      <c r="BB24" s="91" t="s">
        <v>2851</v>
      </c>
      <c r="BC24" s="87">
        <f>_xlfn.XLOOKUP($G24,'GIÁ XUẤT KHO'!$A$4:$A$97,'GIÁ XUẤT KHO'!$AW$4:$AW$97)*P24</f>
        <v>0</v>
      </c>
      <c r="BD24" s="87">
        <f>_xlfn.XLOOKUP($G24,'GIÁ XUẤT KHO'!$A$4:$A$97,'GIÁ XUẤT KHO'!$AW$4:$AW$97)*Q24</f>
        <v>2465559792.7380643</v>
      </c>
      <c r="BE24" s="87">
        <f>_xlfn.XLOOKUP($G24,'GIÁ XUẤT KHO'!$A$4:$A$97,'GIÁ XUẤT KHO'!$AW$4:$AW$97)*R24</f>
        <v>0</v>
      </c>
      <c r="BF24" s="219">
        <f t="shared" si="26"/>
        <v>2465559792.7380643</v>
      </c>
      <c r="BH24" s="87">
        <f t="shared" si="27"/>
        <v>0</v>
      </c>
      <c r="BI24" s="87">
        <f t="shared" si="8"/>
        <v>336712207.26193571</v>
      </c>
      <c r="BJ24" s="87">
        <f t="shared" si="9"/>
        <v>0</v>
      </c>
      <c r="BK24" s="219">
        <f t="shared" si="28"/>
        <v>336712207.26193571</v>
      </c>
      <c r="BM24" s="215">
        <f t="shared" si="29"/>
        <v>2465559792.7380643</v>
      </c>
      <c r="BN24" s="84">
        <f>SUMIFS('GIÁ XUẤT KHO'!AX$4:AX$97,'GIÁ XUẤT KHO'!$A$4:$A$97,$G24)*$S24</f>
        <v>1457533319.5658333</v>
      </c>
      <c r="BO24" s="84">
        <f>SUMIFS('GIÁ XUẤT KHO'!AY$4:AY$97,'GIÁ XUẤT KHO'!$A$4:$A$97,$G24)*$S24</f>
        <v>24217604.165781055</v>
      </c>
      <c r="BP24" s="84">
        <f>SUMIFS('GIÁ XUẤT KHO'!AZ$4:AZ$97,'GIÁ XUẤT KHO'!$A$4:$A$97,$G24)*$S24</f>
        <v>9866.9955870752055</v>
      </c>
      <c r="BQ24" s="84">
        <f>SUMIFS('GIÁ XUẤT KHO'!BA$4:BA$97,'GIÁ XUẤT KHO'!$A$4:$A$97,$G24)*$S24</f>
        <v>160837508.62514874</v>
      </c>
      <c r="BR24" s="84">
        <f>SUMIFS('GIÁ XUẤT KHO'!BB$4:BB$97,'GIÁ XUẤT KHO'!$A$4:$A$97,$G24)*$S24</f>
        <v>19037092.71358997</v>
      </c>
      <c r="BS24" s="84">
        <f>SUMIFS('GIÁ XUẤT KHO'!BC$4:BC$97,'GIÁ XUẤT KHO'!$A$4:$A$97,$G24)*$S24</f>
        <v>115096550.11507566</v>
      </c>
      <c r="BT24" s="84">
        <f>SUMIFS('GIÁ XUẤT KHO'!BD$4:BD$97,'GIÁ XUẤT KHO'!$A$4:$A$97,$G24)*$S24</f>
        <v>185469265.64573926</v>
      </c>
      <c r="BU24" s="84">
        <f>SUMIFS('GIÁ XUẤT KHO'!BE$4:BE$97,'GIÁ XUẤT KHO'!$A$4:$A$97,$G24)*$S24</f>
        <v>44526341.249029227</v>
      </c>
      <c r="BV24" s="84">
        <f>SUMIFS('GIÁ XUẤT KHO'!BF$4:BF$97,'GIÁ XUẤT KHO'!$A$4:$A$97,$G24)*$S24</f>
        <v>458832243.6622799</v>
      </c>
      <c r="BW24" s="243">
        <f t="shared" si="30"/>
        <v>0</v>
      </c>
    </row>
    <row r="25" spans="1:75" s="86" customFormat="1" x14ac:dyDescent="0.25">
      <c r="A25" s="86" t="str">
        <f>_xlfn.XLOOKUP($G25,MD_SKU[Mã SKU],MD_SKU[Link vào file BCQT])</f>
        <v>Vảy rPET</v>
      </c>
      <c r="B25" s="86" t="s">
        <v>2890</v>
      </c>
      <c r="C25" s="82" t="s">
        <v>253</v>
      </c>
      <c r="D25" s="82" t="s">
        <v>2828</v>
      </c>
      <c r="E25" s="83" t="s">
        <v>2631</v>
      </c>
      <c r="F25" s="82" t="s">
        <v>2619</v>
      </c>
      <c r="G25" s="83" t="s">
        <v>1842</v>
      </c>
      <c r="H25" s="82" t="s">
        <v>1843</v>
      </c>
      <c r="I25" s="83"/>
      <c r="J25" s="83"/>
      <c r="K25" s="84">
        <f>SUMIFS('Working-T05-B1'!L$8:L$150,'Working-T05-B1'!$C$8:$C$150,$D25)</f>
        <v>770000</v>
      </c>
      <c r="L25" s="84" cm="1">
        <f t="array" ref="L25">SUMPRODUCT(Sales!$G$3:$H$100*(Sales!$B$3:$B$100=$D25))</f>
        <v>0</v>
      </c>
      <c r="M25" s="85">
        <f t="shared" si="4"/>
        <v>770000</v>
      </c>
      <c r="N25" s="84">
        <f>SUMIFS(Sales!$I$3:$I$100,Sales!$B$3:$B$100,$D25)</f>
        <v>770000</v>
      </c>
      <c r="P25" s="84">
        <f>SUMIFS('Working-T05-B1'!O$8:O$150,'Working-T05-B1'!$C$8:$C$150,$D25)</f>
        <v>0</v>
      </c>
      <c r="Q25" s="84">
        <f t="shared" si="10"/>
        <v>770000</v>
      </c>
      <c r="R25" s="84">
        <f t="shared" si="11"/>
        <v>0</v>
      </c>
      <c r="S25" s="84">
        <f t="shared" si="12"/>
        <v>770000</v>
      </c>
      <c r="T25" s="127">
        <f t="shared" si="5"/>
        <v>0</v>
      </c>
      <c r="U25" s="88">
        <f t="shared" si="13"/>
        <v>0</v>
      </c>
      <c r="V25" s="88">
        <f t="shared" si="13"/>
        <v>0.84</v>
      </c>
      <c r="W25" s="131">
        <f t="shared" si="14"/>
        <v>0</v>
      </c>
      <c r="X25" s="88">
        <f t="shared" si="15"/>
        <v>0.84</v>
      </c>
      <c r="Y25" s="87"/>
      <c r="Z25" s="84"/>
      <c r="AA25" s="118">
        <f t="shared" si="6"/>
        <v>26300</v>
      </c>
      <c r="AB25" s="118">
        <f t="shared" si="6"/>
        <v>26300</v>
      </c>
      <c r="AC25" s="84">
        <f t="shared" si="16"/>
        <v>26300</v>
      </c>
      <c r="AD25" s="87"/>
      <c r="AE25" s="84">
        <f t="shared" si="17"/>
        <v>0</v>
      </c>
      <c r="AF25" s="84">
        <f t="shared" si="18"/>
        <v>22092</v>
      </c>
      <c r="AG25" s="84">
        <f t="shared" si="19"/>
        <v>0</v>
      </c>
      <c r="AH25" s="84"/>
      <c r="AI25" s="87"/>
      <c r="AJ25" s="89">
        <f>SUMIFS('Working-T05-B1'!AI$8:AI$150,'Working-T05-B1'!$C$8:$C$150,$D25)</f>
        <v>0</v>
      </c>
      <c r="AK25" s="84">
        <f>SUMIFS('Working-T05-B1'!AJ$8:AJ$150,'Working-T05-B1'!$C$8:$C$150,$D25)</f>
        <v>17010840000</v>
      </c>
      <c r="AL25" s="84">
        <f t="shared" si="7"/>
        <v>0</v>
      </c>
      <c r="AM25" s="90">
        <f t="shared" si="20"/>
        <v>17010840000</v>
      </c>
      <c r="AO25" s="84">
        <f t="shared" si="21"/>
        <v>526</v>
      </c>
      <c r="AP25" s="82"/>
      <c r="AQ25" s="84">
        <f>SUMIFS('Working-T05-B1'!AP$8:AP$150,'Working-T05-B1'!$C$8:$C$150,$D25)</f>
        <v>0</v>
      </c>
      <c r="AR25" s="84">
        <f>SUMIFS('Working-T05-B1'!AQ$8:AQ$150,'Working-T05-B1'!$C$8:$C$150,$D25)</f>
        <v>405020000</v>
      </c>
      <c r="AS25" s="84">
        <f t="shared" si="22"/>
        <v>0</v>
      </c>
      <c r="AT25" s="215">
        <f t="shared" si="23"/>
        <v>405020000</v>
      </c>
      <c r="AV25" s="84">
        <f t="shared" si="24"/>
        <v>0</v>
      </c>
      <c r="AW25" s="82"/>
      <c r="AX25" s="84">
        <f>SUMIFS('Working-T05-B1'!AW$8:AW$150,'Working-T05-B1'!$C$8:$C$150,$D25)</f>
        <v>0</v>
      </c>
      <c r="AY25" s="84">
        <f>SUMIFS('Working-T05-B1'!AX$8:AX$150,'Working-T05-B1'!$C$8:$C$150,$D25)</f>
        <v>0</v>
      </c>
      <c r="AZ25" s="82"/>
      <c r="BA25" s="215">
        <f t="shared" si="25"/>
        <v>0</v>
      </c>
      <c r="BC25" s="87">
        <f>_xlfn.XLOOKUP($G25,'GIÁ XUẤT KHO'!$A$4:$A$97,'GIÁ XUẤT KHO'!$AW$4:$AW$97)*P25</f>
        <v>0</v>
      </c>
      <c r="BD25" s="87">
        <f>_xlfn.XLOOKUP($G25,'GIÁ XUẤT KHO'!$A$4:$A$97,'GIÁ XUẤT KHO'!$AW$4:$AW$97)*Q25</f>
        <v>19788494040.301723</v>
      </c>
      <c r="BE25" s="87">
        <f>_xlfn.XLOOKUP($G25,'GIÁ XUẤT KHO'!$A$4:$A$97,'GIÁ XUẤT KHO'!$AW$4:$AW$97)*R25</f>
        <v>0</v>
      </c>
      <c r="BF25" s="219">
        <f t="shared" si="26"/>
        <v>19788494040.301723</v>
      </c>
      <c r="BH25" s="87">
        <f t="shared" si="27"/>
        <v>0</v>
      </c>
      <c r="BI25" s="87">
        <f t="shared" si="8"/>
        <v>-2777654040.3017235</v>
      </c>
      <c r="BJ25" s="87">
        <f t="shared" si="9"/>
        <v>0</v>
      </c>
      <c r="BK25" s="219">
        <f t="shared" si="28"/>
        <v>-2777654040.3017235</v>
      </c>
      <c r="BM25" s="215">
        <f t="shared" si="29"/>
        <v>19788494040.30172</v>
      </c>
      <c r="BN25" s="84">
        <f>SUMIFS('GIÁ XUẤT KHO'!AX$4:AX$97,'GIÁ XUẤT KHO'!$A$4:$A$97,$G25)*$S25</f>
        <v>17202387639.439655</v>
      </c>
      <c r="BO25" s="84">
        <f>SUMIFS('GIÁ XUẤT KHO'!AY$4:AY$97,'GIÁ XUẤT KHO'!$A$4:$A$97,$G25)*$S25</f>
        <v>27108757.183908049</v>
      </c>
      <c r="BP25" s="84">
        <f>SUMIFS('GIÁ XUẤT KHO'!AZ$4:AZ$97,'GIÁ XUẤT KHO'!$A$4:$A$97,$G25)*$S25</f>
        <v>0</v>
      </c>
      <c r="BQ25" s="84">
        <f>SUMIFS('GIÁ XUẤT KHO'!BA$4:BA$97,'GIÁ XUẤT KHO'!$A$4:$A$97,$G25)*$S25</f>
        <v>122773512.93103449</v>
      </c>
      <c r="BR25" s="84">
        <f>SUMIFS('GIÁ XUẤT KHO'!BB$4:BB$97,'GIÁ XUẤT KHO'!$A$4:$A$97,$G25)*$S25</f>
        <v>0</v>
      </c>
      <c r="BS25" s="84">
        <f>SUMIFS('GIÁ XUẤT KHO'!BC$4:BC$97,'GIÁ XUẤT KHO'!$A$4:$A$97,$G25)*$S25</f>
        <v>469498096.26436782</v>
      </c>
      <c r="BT25" s="84">
        <f>SUMIFS('GIÁ XUẤT KHO'!BD$4:BD$97,'GIÁ XUẤT KHO'!$A$4:$A$97,$G25)*$S25</f>
        <v>670236875</v>
      </c>
      <c r="BU25" s="84">
        <f>SUMIFS('GIÁ XUẤT KHO'!BE$4:BE$97,'GIÁ XUẤT KHO'!$A$4:$A$97,$G25)*$S25</f>
        <v>73897320.402298853</v>
      </c>
      <c r="BV25" s="84">
        <f>SUMIFS('GIÁ XUẤT KHO'!BF$4:BF$97,'GIÁ XUẤT KHO'!$A$4:$A$97,$G25)*$S25</f>
        <v>1222591839.0804598</v>
      </c>
      <c r="BW25" s="243">
        <f t="shared" si="30"/>
        <v>0</v>
      </c>
    </row>
    <row r="26" spans="1:75" s="86" customFormat="1" x14ac:dyDescent="0.25">
      <c r="A26" s="86" t="str">
        <f>_xlfn.XLOOKUP($G26,MD_SKU[Mã SKU],MD_SKU[Link vào file BCQT])</f>
        <v>Hạt rPET</v>
      </c>
      <c r="B26" s="86" t="s">
        <v>2890</v>
      </c>
      <c r="C26" s="82" t="s">
        <v>253</v>
      </c>
      <c r="D26" s="82" t="s">
        <v>2832</v>
      </c>
      <c r="E26" s="83" t="s">
        <v>2632</v>
      </c>
      <c r="F26" s="82" t="s">
        <v>2620</v>
      </c>
      <c r="G26" s="83" t="s">
        <v>37</v>
      </c>
      <c r="H26" s="82" t="s">
        <v>298</v>
      </c>
      <c r="I26" s="83"/>
      <c r="J26" s="83"/>
      <c r="K26" s="84">
        <f>SUMIFS('Working-T05-B1'!L$8:L$150,'Working-T05-B1'!$C$8:$C$150,$D26)</f>
        <v>0</v>
      </c>
      <c r="L26" s="84" cm="1">
        <f t="array" ref="L26">SUMPRODUCT(Sales!$G$3:$H$100*(Sales!$B$3:$B$100=$D26))</f>
        <v>0</v>
      </c>
      <c r="M26" s="85">
        <f t="shared" si="4"/>
        <v>0</v>
      </c>
      <c r="N26" s="84">
        <f>SUMIFS(Sales!$I$3:$I$100,Sales!$B$3:$B$100,$D26)</f>
        <v>0</v>
      </c>
      <c r="P26" s="84">
        <f>SUMIFS('Working-T05-B1'!O$8:O$150,'Working-T05-B1'!$C$8:$C$150,$D26)</f>
        <v>0</v>
      </c>
      <c r="Q26" s="84">
        <f t="shared" si="10"/>
        <v>0</v>
      </c>
      <c r="R26" s="84">
        <f t="shared" si="11"/>
        <v>0</v>
      </c>
      <c r="S26" s="84">
        <f t="shared" si="12"/>
        <v>0</v>
      </c>
      <c r="T26" s="127">
        <f t="shared" si="5"/>
        <v>0</v>
      </c>
      <c r="U26" s="88">
        <f t="shared" si="13"/>
        <v>0</v>
      </c>
      <c r="V26" s="88">
        <f t="shared" si="13"/>
        <v>0</v>
      </c>
      <c r="W26" s="131">
        <f t="shared" si="14"/>
        <v>0</v>
      </c>
      <c r="X26" s="88">
        <f t="shared" si="15"/>
        <v>0</v>
      </c>
      <c r="Y26" s="87"/>
      <c r="Z26" s="84"/>
      <c r="AA26" s="118">
        <f t="shared" si="6"/>
        <v>26300</v>
      </c>
      <c r="AB26" s="118">
        <f t="shared" si="6"/>
        <v>26300</v>
      </c>
      <c r="AC26" s="84">
        <f t="shared" si="16"/>
        <v>0</v>
      </c>
      <c r="AD26" s="87"/>
      <c r="AE26" s="84">
        <f t="shared" si="17"/>
        <v>0</v>
      </c>
      <c r="AF26" s="84">
        <f t="shared" si="18"/>
        <v>0</v>
      </c>
      <c r="AG26" s="84">
        <f t="shared" si="19"/>
        <v>0</v>
      </c>
      <c r="AH26" s="84"/>
      <c r="AI26" s="87"/>
      <c r="AJ26" s="89">
        <f>SUMIFS('Working-T05-B1'!AI$8:AI$150,'Working-T05-B1'!$C$8:$C$150,$D26)</f>
        <v>0</v>
      </c>
      <c r="AK26" s="84">
        <f>SUMIFS('Working-T05-B1'!AJ$8:AJ$150,'Working-T05-B1'!$C$8:$C$150,$D26)</f>
        <v>0</v>
      </c>
      <c r="AL26" s="84">
        <f t="shared" si="7"/>
        <v>0</v>
      </c>
      <c r="AM26" s="90">
        <f t="shared" si="20"/>
        <v>0</v>
      </c>
      <c r="AO26" s="84">
        <f t="shared" si="21"/>
        <v>0</v>
      </c>
      <c r="AP26" s="82"/>
      <c r="AQ26" s="84">
        <f>SUMIFS('Working-T05-B1'!AP$8:AP$150,'Working-T05-B1'!$C$8:$C$150,$D26)</f>
        <v>0</v>
      </c>
      <c r="AR26" s="84">
        <f>SUMIFS('Working-T05-B1'!AQ$8:AQ$150,'Working-T05-B1'!$C$8:$C$150,$D26)</f>
        <v>0</v>
      </c>
      <c r="AS26" s="84">
        <f t="shared" si="22"/>
        <v>0</v>
      </c>
      <c r="AT26" s="215">
        <f t="shared" si="23"/>
        <v>0</v>
      </c>
      <c r="AV26" s="84">
        <f t="shared" si="24"/>
        <v>0</v>
      </c>
      <c r="AW26" s="82"/>
      <c r="AX26" s="84">
        <f>SUMIFS('Working-T05-B1'!AW$8:AW$150,'Working-T05-B1'!$C$8:$C$150,$D26)</f>
        <v>0</v>
      </c>
      <c r="AY26" s="84">
        <f>SUMIFS('Working-T05-B1'!AX$8:AX$150,'Working-T05-B1'!$C$8:$C$150,$D26)</f>
        <v>0</v>
      </c>
      <c r="AZ26" s="82"/>
      <c r="BA26" s="215">
        <f t="shared" si="25"/>
        <v>0</v>
      </c>
      <c r="BC26" s="87">
        <f>_xlfn.XLOOKUP($G26,'GIÁ XUẤT KHO'!$A$4:$A$97,'GIÁ XUẤT KHO'!$AW$4:$AW$97)*P26</f>
        <v>0</v>
      </c>
      <c r="BD26" s="87">
        <f>_xlfn.XLOOKUP($G26,'GIÁ XUẤT KHO'!$A$4:$A$97,'GIÁ XUẤT KHO'!$AW$4:$AW$97)*Q26</f>
        <v>0</v>
      </c>
      <c r="BE26" s="87">
        <f>_xlfn.XLOOKUP($G26,'GIÁ XUẤT KHO'!$A$4:$A$97,'GIÁ XUẤT KHO'!$AW$4:$AW$97)*R26</f>
        <v>0</v>
      </c>
      <c r="BF26" s="219">
        <f t="shared" si="26"/>
        <v>0</v>
      </c>
      <c r="BH26" s="87">
        <f t="shared" si="27"/>
        <v>0</v>
      </c>
      <c r="BI26" s="87">
        <f t="shared" si="8"/>
        <v>0</v>
      </c>
      <c r="BJ26" s="87">
        <f t="shared" si="9"/>
        <v>0</v>
      </c>
      <c r="BK26" s="219">
        <f t="shared" si="28"/>
        <v>0</v>
      </c>
      <c r="BM26" s="215">
        <f t="shared" si="29"/>
        <v>0</v>
      </c>
      <c r="BN26" s="84">
        <f>SUMIFS('GIÁ XUẤT KHO'!AX$4:AX$97,'GIÁ XUẤT KHO'!$A$4:$A$97,$G26)*$S26</f>
        <v>0</v>
      </c>
      <c r="BO26" s="84">
        <f>SUMIFS('GIÁ XUẤT KHO'!AY$4:AY$97,'GIÁ XUẤT KHO'!$A$4:$A$97,$G26)*$S26</f>
        <v>0</v>
      </c>
      <c r="BP26" s="84">
        <f>SUMIFS('GIÁ XUẤT KHO'!AZ$4:AZ$97,'GIÁ XUẤT KHO'!$A$4:$A$97,$G26)*$S26</f>
        <v>0</v>
      </c>
      <c r="BQ26" s="84">
        <f>SUMIFS('GIÁ XUẤT KHO'!BA$4:BA$97,'GIÁ XUẤT KHO'!$A$4:$A$97,$G26)*$S26</f>
        <v>0</v>
      </c>
      <c r="BR26" s="84">
        <f>SUMIFS('GIÁ XUẤT KHO'!BB$4:BB$97,'GIÁ XUẤT KHO'!$A$4:$A$97,$G26)*$S26</f>
        <v>0</v>
      </c>
      <c r="BS26" s="84">
        <f>SUMIFS('GIÁ XUẤT KHO'!BC$4:BC$97,'GIÁ XUẤT KHO'!$A$4:$A$97,$G26)*$S26</f>
        <v>0</v>
      </c>
      <c r="BT26" s="84">
        <f>SUMIFS('GIÁ XUẤT KHO'!BD$4:BD$97,'GIÁ XUẤT KHO'!$A$4:$A$97,$G26)*$S26</f>
        <v>0</v>
      </c>
      <c r="BU26" s="84">
        <f>SUMIFS('GIÁ XUẤT KHO'!BE$4:BE$97,'GIÁ XUẤT KHO'!$A$4:$A$97,$G26)*$S26</f>
        <v>0</v>
      </c>
      <c r="BV26" s="84">
        <f>SUMIFS('GIÁ XUẤT KHO'!BF$4:BF$97,'GIÁ XUẤT KHO'!$A$4:$A$97,$G26)*$S26</f>
        <v>0</v>
      </c>
      <c r="BW26" s="243">
        <f t="shared" si="30"/>
        <v>0</v>
      </c>
    </row>
    <row r="27" spans="1:75" s="86" customFormat="1" x14ac:dyDescent="0.25">
      <c r="A27" s="86" t="str">
        <f>_xlfn.XLOOKUP($G27,MD_SKU[Mã SKU],MD_SKU[Link vào file BCQT])</f>
        <v>Phó sản</v>
      </c>
      <c r="B27" s="86" t="s">
        <v>2890</v>
      </c>
      <c r="C27" s="82" t="s">
        <v>252</v>
      </c>
      <c r="D27" s="82" t="s">
        <v>2824</v>
      </c>
      <c r="E27" s="83" t="s">
        <v>55</v>
      </c>
      <c r="F27" s="82" t="s">
        <v>56</v>
      </c>
      <c r="G27" s="83" t="s">
        <v>262</v>
      </c>
      <c r="H27" s="82" t="s">
        <v>2606</v>
      </c>
      <c r="I27" s="83"/>
      <c r="J27" s="83"/>
      <c r="K27" s="84">
        <f>SUMIFS('Working-T05-B1'!L$8:L$150,'Working-T05-B1'!$C$8:$C$150,$D27)</f>
        <v>11266</v>
      </c>
      <c r="L27" s="84" cm="1">
        <f t="array" ref="L27">SUMPRODUCT(Sales!$G$3:$H$100*(Sales!$B$3:$B$100=$D27))</f>
        <v>0</v>
      </c>
      <c r="M27" s="85">
        <f t="shared" si="4"/>
        <v>11266</v>
      </c>
      <c r="N27" s="84">
        <f>SUMIFS(Sales!$I$3:$I$100,Sales!$B$3:$B$100,$D27)</f>
        <v>0</v>
      </c>
      <c r="P27" s="84">
        <f>SUMIFS('Working-T05-B1'!O$8:O$150,'Working-T05-B1'!$C$8:$C$150,$D27)</f>
        <v>0</v>
      </c>
      <c r="Q27" s="84">
        <f t="shared" si="10"/>
        <v>0</v>
      </c>
      <c r="R27" s="84">
        <f t="shared" si="11"/>
        <v>0</v>
      </c>
      <c r="S27" s="84">
        <f t="shared" si="12"/>
        <v>0</v>
      </c>
      <c r="T27" s="127">
        <f t="shared" si="5"/>
        <v>0</v>
      </c>
      <c r="U27" s="88">
        <f t="shared" si="13"/>
        <v>0</v>
      </c>
      <c r="V27" s="88">
        <f t="shared" si="13"/>
        <v>0</v>
      </c>
      <c r="W27" s="131">
        <f t="shared" si="14"/>
        <v>0</v>
      </c>
      <c r="X27" s="88">
        <f t="shared" si="15"/>
        <v>0</v>
      </c>
      <c r="Y27" s="87"/>
      <c r="Z27" s="84"/>
      <c r="AA27" s="118">
        <f t="shared" si="6"/>
        <v>1</v>
      </c>
      <c r="AB27" s="118">
        <f t="shared" si="6"/>
        <v>1</v>
      </c>
      <c r="AC27" s="84">
        <f t="shared" si="16"/>
        <v>0</v>
      </c>
      <c r="AD27" s="87"/>
      <c r="AE27" s="84">
        <f t="shared" si="17"/>
        <v>0</v>
      </c>
      <c r="AF27" s="84">
        <f t="shared" si="18"/>
        <v>0</v>
      </c>
      <c r="AG27" s="84">
        <f t="shared" si="19"/>
        <v>0</v>
      </c>
      <c r="AH27" s="84"/>
      <c r="AI27" s="87"/>
      <c r="AJ27" s="89">
        <f>SUMIFS('Working-T05-B1'!AI$8:AI$150,'Working-T05-B1'!$C$8:$C$150,$D27)</f>
        <v>0</v>
      </c>
      <c r="AK27" s="84">
        <f>SUMIFS('Working-T05-B1'!AJ$8:AJ$150,'Working-T05-B1'!$C$8:$C$150,$D27)</f>
        <v>0</v>
      </c>
      <c r="AL27" s="84">
        <f t="shared" si="7"/>
        <v>0</v>
      </c>
      <c r="AM27" s="90">
        <f t="shared" si="20"/>
        <v>0</v>
      </c>
      <c r="AO27" s="84">
        <f t="shared" si="21"/>
        <v>0</v>
      </c>
      <c r="AP27" s="82"/>
      <c r="AQ27" s="84">
        <f>SUMIFS('Working-T05-B1'!AP$8:AP$150,'Working-T05-B1'!$C$8:$C$150,$D27)</f>
        <v>0</v>
      </c>
      <c r="AR27" s="84">
        <f>SUMIFS('Working-T05-B1'!AQ$8:AQ$150,'Working-T05-B1'!$C$8:$C$150,$D27)</f>
        <v>0</v>
      </c>
      <c r="AS27" s="84">
        <f t="shared" si="22"/>
        <v>0</v>
      </c>
      <c r="AT27" s="215">
        <f t="shared" si="23"/>
        <v>0</v>
      </c>
      <c r="AV27" s="84">
        <f t="shared" si="24"/>
        <v>0</v>
      </c>
      <c r="AW27" s="82"/>
      <c r="AX27" s="84">
        <f>SUMIFS('Working-T05-B1'!AW$8:AW$150,'Working-T05-B1'!$C$8:$C$150,$D27)</f>
        <v>0</v>
      </c>
      <c r="AY27" s="84">
        <f>SUMIFS('Working-T05-B1'!AX$8:AX$150,'Working-T05-B1'!$C$8:$C$150,$D27)</f>
        <v>0</v>
      </c>
      <c r="AZ27" s="82"/>
      <c r="BA27" s="215">
        <f t="shared" si="25"/>
        <v>0</v>
      </c>
      <c r="BC27" s="87">
        <f>_xlfn.XLOOKUP($G27,'GIÁ XUẤT KHO'!$A$4:$A$97,'GIÁ XUẤT KHO'!$AW$4:$AW$97)*P27</f>
        <v>0</v>
      </c>
      <c r="BD27" s="87">
        <f>_xlfn.XLOOKUP($G27,'GIÁ XUẤT KHO'!$A$4:$A$97,'GIÁ XUẤT KHO'!$AW$4:$AW$97)*Q27</f>
        <v>0</v>
      </c>
      <c r="BE27" s="87">
        <f>_xlfn.XLOOKUP($G27,'GIÁ XUẤT KHO'!$A$4:$A$97,'GIÁ XUẤT KHO'!$AW$4:$AW$97)*R27</f>
        <v>0</v>
      </c>
      <c r="BF27" s="219">
        <f t="shared" si="26"/>
        <v>0</v>
      </c>
      <c r="BH27" s="87">
        <f t="shared" si="27"/>
        <v>0</v>
      </c>
      <c r="BI27" s="87">
        <f t="shared" si="8"/>
        <v>0</v>
      </c>
      <c r="BJ27" s="87">
        <f t="shared" si="9"/>
        <v>0</v>
      </c>
      <c r="BK27" s="219">
        <f t="shared" si="28"/>
        <v>0</v>
      </c>
      <c r="BM27" s="215">
        <f t="shared" si="29"/>
        <v>0</v>
      </c>
      <c r="BN27" s="84">
        <f>SUMIFS('GIÁ XUẤT KHO'!AX$4:AX$97,'GIÁ XUẤT KHO'!$A$4:$A$97,$G27)*$S27</f>
        <v>0</v>
      </c>
      <c r="BO27" s="84">
        <f>SUMIFS('GIÁ XUẤT KHO'!AY$4:AY$97,'GIÁ XUẤT KHO'!$A$4:$A$97,$G27)*$S27</f>
        <v>0</v>
      </c>
      <c r="BP27" s="84">
        <f>SUMIFS('GIÁ XUẤT KHO'!AZ$4:AZ$97,'GIÁ XUẤT KHO'!$A$4:$A$97,$G27)*$S27</f>
        <v>0</v>
      </c>
      <c r="BQ27" s="84">
        <f>SUMIFS('GIÁ XUẤT KHO'!BA$4:BA$97,'GIÁ XUẤT KHO'!$A$4:$A$97,$G27)*$S27</f>
        <v>0</v>
      </c>
      <c r="BR27" s="84">
        <f>SUMIFS('GIÁ XUẤT KHO'!BB$4:BB$97,'GIÁ XUẤT KHO'!$A$4:$A$97,$G27)*$S27</f>
        <v>0</v>
      </c>
      <c r="BS27" s="84">
        <f>SUMIFS('GIÁ XUẤT KHO'!BC$4:BC$97,'GIÁ XUẤT KHO'!$A$4:$A$97,$G27)*$S27</f>
        <v>0</v>
      </c>
      <c r="BT27" s="84">
        <f>SUMIFS('GIÁ XUẤT KHO'!BD$4:BD$97,'GIÁ XUẤT KHO'!$A$4:$A$97,$G27)*$S27</f>
        <v>0</v>
      </c>
      <c r="BU27" s="84">
        <f>SUMIFS('GIÁ XUẤT KHO'!BE$4:BE$97,'GIÁ XUẤT KHO'!$A$4:$A$97,$G27)*$S27</f>
        <v>0</v>
      </c>
      <c r="BV27" s="84">
        <f>SUMIFS('GIÁ XUẤT KHO'!BF$4:BF$97,'GIÁ XUẤT KHO'!$A$4:$A$97,$G27)*$S27</f>
        <v>0</v>
      </c>
      <c r="BW27" s="243">
        <f t="shared" si="30"/>
        <v>0</v>
      </c>
    </row>
    <row r="28" spans="1:75" s="86" customFormat="1" x14ac:dyDescent="0.25">
      <c r="A28" s="86" t="str">
        <f>_xlfn.XLOOKUP($G28,MD_SKU[Mã SKU],MD_SKU[Link vào file BCQT])</f>
        <v>Phó sản</v>
      </c>
      <c r="B28" s="86" t="s">
        <v>2890</v>
      </c>
      <c r="C28" s="82" t="s">
        <v>252</v>
      </c>
      <c r="D28" s="82" t="s">
        <v>2835</v>
      </c>
      <c r="E28" s="83" t="s">
        <v>55</v>
      </c>
      <c r="F28" s="82" t="s">
        <v>56</v>
      </c>
      <c r="G28" s="83" t="s">
        <v>257</v>
      </c>
      <c r="H28" s="82" t="s">
        <v>2604</v>
      </c>
      <c r="I28" s="83"/>
      <c r="J28" s="83"/>
      <c r="K28" s="84">
        <f>SUMIFS('Working-T05-B1'!L$8:L$150,'Working-T05-B1'!$C$8:$C$150,$D28)</f>
        <v>25000</v>
      </c>
      <c r="L28" s="84" cm="1">
        <f t="array" ref="L28">SUMPRODUCT(Sales!$G$3:$H$100*(Sales!$B$3:$B$100=$D28))</f>
        <v>0</v>
      </c>
      <c r="M28" s="85">
        <f t="shared" si="4"/>
        <v>25000</v>
      </c>
      <c r="N28" s="84">
        <f>SUMIFS(Sales!$I$3:$I$100,Sales!$B$3:$B$100,$D28)</f>
        <v>0</v>
      </c>
      <c r="P28" s="84">
        <f>SUMIFS('Working-T05-B1'!O$8:O$150,'Working-T05-B1'!$C$8:$C$150,$D28)</f>
        <v>0</v>
      </c>
      <c r="Q28" s="84">
        <f t="shared" si="10"/>
        <v>0</v>
      </c>
      <c r="R28" s="84">
        <f t="shared" si="11"/>
        <v>0</v>
      </c>
      <c r="S28" s="84">
        <f t="shared" si="12"/>
        <v>0</v>
      </c>
      <c r="T28" s="127">
        <f t="shared" si="5"/>
        <v>0</v>
      </c>
      <c r="U28" s="88">
        <f t="shared" si="13"/>
        <v>0</v>
      </c>
      <c r="V28" s="88">
        <f t="shared" si="13"/>
        <v>0</v>
      </c>
      <c r="W28" s="131">
        <f t="shared" si="14"/>
        <v>0</v>
      </c>
      <c r="X28" s="88">
        <f t="shared" si="15"/>
        <v>0</v>
      </c>
      <c r="Y28" s="87"/>
      <c r="Z28" s="84"/>
      <c r="AA28" s="118">
        <f t="shared" ref="AA28:AB47" si="31">IF($C28="NĐ",1,EXR_FC05)</f>
        <v>1</v>
      </c>
      <c r="AB28" s="118">
        <f t="shared" si="31"/>
        <v>1</v>
      </c>
      <c r="AC28" s="84">
        <f t="shared" si="16"/>
        <v>0</v>
      </c>
      <c r="AD28" s="87"/>
      <c r="AE28" s="84">
        <f t="shared" si="17"/>
        <v>0</v>
      </c>
      <c r="AF28" s="84">
        <f t="shared" si="18"/>
        <v>0</v>
      </c>
      <c r="AG28" s="84">
        <f t="shared" si="19"/>
        <v>0</v>
      </c>
      <c r="AH28" s="84"/>
      <c r="AI28" s="87"/>
      <c r="AJ28" s="89">
        <f>SUMIFS('Working-T05-B1'!AI$8:AI$150,'Working-T05-B1'!$C$8:$C$150,$D28)</f>
        <v>0</v>
      </c>
      <c r="AK28" s="84">
        <f>SUMIFS('Working-T05-B1'!AJ$8:AJ$150,'Working-T05-B1'!$C$8:$C$150,$D28)</f>
        <v>0</v>
      </c>
      <c r="AL28" s="84">
        <f t="shared" si="7"/>
        <v>0</v>
      </c>
      <c r="AM28" s="90">
        <f t="shared" si="20"/>
        <v>0</v>
      </c>
      <c r="AO28" s="84">
        <f t="shared" si="21"/>
        <v>0</v>
      </c>
      <c r="AP28" s="82"/>
      <c r="AQ28" s="84">
        <f>SUMIFS('Working-T05-B1'!AP$8:AP$150,'Working-T05-B1'!$C$8:$C$150,$D28)</f>
        <v>0</v>
      </c>
      <c r="AR28" s="84">
        <f>SUMIFS('Working-T05-B1'!AQ$8:AQ$150,'Working-T05-B1'!$C$8:$C$150,$D28)</f>
        <v>0</v>
      </c>
      <c r="AS28" s="84">
        <f t="shared" si="22"/>
        <v>0</v>
      </c>
      <c r="AT28" s="215">
        <f t="shared" si="23"/>
        <v>0</v>
      </c>
      <c r="AV28" s="84">
        <f t="shared" si="24"/>
        <v>0</v>
      </c>
      <c r="AW28" s="82"/>
      <c r="AX28" s="84">
        <f>SUMIFS('Working-T05-B1'!AW$8:AW$150,'Working-T05-B1'!$C$8:$C$150,$D28)</f>
        <v>0</v>
      </c>
      <c r="AY28" s="84">
        <f>SUMIFS('Working-T05-B1'!AX$8:AX$150,'Working-T05-B1'!$C$8:$C$150,$D28)</f>
        <v>0</v>
      </c>
      <c r="AZ28" s="82"/>
      <c r="BA28" s="215">
        <f t="shared" si="25"/>
        <v>0</v>
      </c>
      <c r="BC28" s="87">
        <f>_xlfn.XLOOKUP($G28,'GIÁ XUẤT KHO'!$A$4:$A$97,'GIÁ XUẤT KHO'!$AW$4:$AW$97)*P28</f>
        <v>0</v>
      </c>
      <c r="BD28" s="87">
        <f>_xlfn.XLOOKUP($G28,'GIÁ XUẤT KHO'!$A$4:$A$97,'GIÁ XUẤT KHO'!$AW$4:$AW$97)*Q28</f>
        <v>0</v>
      </c>
      <c r="BE28" s="87">
        <f>_xlfn.XLOOKUP($G28,'GIÁ XUẤT KHO'!$A$4:$A$97,'GIÁ XUẤT KHO'!$AW$4:$AW$97)*R28</f>
        <v>0</v>
      </c>
      <c r="BF28" s="219">
        <f t="shared" si="26"/>
        <v>0</v>
      </c>
      <c r="BH28" s="87">
        <f t="shared" si="27"/>
        <v>0</v>
      </c>
      <c r="BI28" s="87">
        <f t="shared" si="8"/>
        <v>0</v>
      </c>
      <c r="BJ28" s="87">
        <f t="shared" si="9"/>
        <v>0</v>
      </c>
      <c r="BK28" s="219">
        <f t="shared" si="28"/>
        <v>0</v>
      </c>
      <c r="BM28" s="215">
        <f t="shared" si="29"/>
        <v>0</v>
      </c>
      <c r="BN28" s="84">
        <f>SUMIFS('GIÁ XUẤT KHO'!AX$4:AX$97,'GIÁ XUẤT KHO'!$A$4:$A$97,$G28)*$S28</f>
        <v>0</v>
      </c>
      <c r="BO28" s="84">
        <f>SUMIFS('GIÁ XUẤT KHO'!AY$4:AY$97,'GIÁ XUẤT KHO'!$A$4:$A$97,$G28)*$S28</f>
        <v>0</v>
      </c>
      <c r="BP28" s="84">
        <f>SUMIFS('GIÁ XUẤT KHO'!AZ$4:AZ$97,'GIÁ XUẤT KHO'!$A$4:$A$97,$G28)*$S28</f>
        <v>0</v>
      </c>
      <c r="BQ28" s="84">
        <f>SUMIFS('GIÁ XUẤT KHO'!BA$4:BA$97,'GIÁ XUẤT KHO'!$A$4:$A$97,$G28)*$S28</f>
        <v>0</v>
      </c>
      <c r="BR28" s="84">
        <f>SUMIFS('GIÁ XUẤT KHO'!BB$4:BB$97,'GIÁ XUẤT KHO'!$A$4:$A$97,$G28)*$S28</f>
        <v>0</v>
      </c>
      <c r="BS28" s="84">
        <f>SUMIFS('GIÁ XUẤT KHO'!BC$4:BC$97,'GIÁ XUẤT KHO'!$A$4:$A$97,$G28)*$S28</f>
        <v>0</v>
      </c>
      <c r="BT28" s="84">
        <f>SUMIFS('GIÁ XUẤT KHO'!BD$4:BD$97,'GIÁ XUẤT KHO'!$A$4:$A$97,$G28)*$S28</f>
        <v>0</v>
      </c>
      <c r="BU28" s="84">
        <f>SUMIFS('GIÁ XUẤT KHO'!BE$4:BE$97,'GIÁ XUẤT KHO'!$A$4:$A$97,$G28)*$S28</f>
        <v>0</v>
      </c>
      <c r="BV28" s="84">
        <f>SUMIFS('GIÁ XUẤT KHO'!BF$4:BF$97,'GIÁ XUẤT KHO'!$A$4:$A$97,$G28)*$S28</f>
        <v>0</v>
      </c>
      <c r="BW28" s="243">
        <f t="shared" si="30"/>
        <v>0</v>
      </c>
    </row>
    <row r="29" spans="1:75" s="86" customFormat="1" x14ac:dyDescent="0.25">
      <c r="A29" s="86" t="str">
        <f>_xlfn.XLOOKUP($G29,MD_SKU[Mã SKU],MD_SKU[Link vào file BCQT])</f>
        <v>Hạt rHDPE thổi</v>
      </c>
      <c r="B29" s="86" t="s">
        <v>2890</v>
      </c>
      <c r="C29" s="82" t="s">
        <v>252</v>
      </c>
      <c r="D29" s="82" t="s">
        <v>2836</v>
      </c>
      <c r="E29" s="83" t="s">
        <v>2354</v>
      </c>
      <c r="F29" s="82" t="s">
        <v>2355</v>
      </c>
      <c r="G29" s="83" t="s">
        <v>36</v>
      </c>
      <c r="H29" s="82" t="s">
        <v>412</v>
      </c>
      <c r="I29" s="83"/>
      <c r="J29" s="83"/>
      <c r="K29" s="84">
        <f>SUMIFS('Working-T05-B1'!L$8:L$150,'Working-T05-B1'!$C$8:$C$150,$D29)</f>
        <v>17875</v>
      </c>
      <c r="L29" s="84" cm="1">
        <f t="array" ref="L29">SUMPRODUCT(Sales!$G$3:$H$100*(Sales!$B$3:$B$100=$D29))</f>
        <v>0</v>
      </c>
      <c r="M29" s="85">
        <f t="shared" si="4"/>
        <v>17875</v>
      </c>
      <c r="N29" s="84">
        <f>SUMIFS(Sales!$I$3:$I$100,Sales!$B$3:$B$100,$D29)</f>
        <v>0</v>
      </c>
      <c r="P29" s="84">
        <f>SUMIFS('Working-T05-B1'!O$8:O$150,'Working-T05-B1'!$C$8:$C$150,$D29)</f>
        <v>0</v>
      </c>
      <c r="Q29" s="84">
        <f t="shared" si="10"/>
        <v>0</v>
      </c>
      <c r="R29" s="84">
        <f t="shared" si="11"/>
        <v>0</v>
      </c>
      <c r="S29" s="84">
        <f t="shared" si="12"/>
        <v>0</v>
      </c>
      <c r="T29" s="127">
        <f t="shared" si="5"/>
        <v>0</v>
      </c>
      <c r="U29" s="88">
        <f t="shared" si="13"/>
        <v>0</v>
      </c>
      <c r="V29" s="88">
        <f t="shared" si="13"/>
        <v>0</v>
      </c>
      <c r="W29" s="131">
        <f t="shared" si="14"/>
        <v>0</v>
      </c>
      <c r="X29" s="88">
        <f t="shared" si="15"/>
        <v>0</v>
      </c>
      <c r="Y29" s="87"/>
      <c r="Z29" s="84"/>
      <c r="AA29" s="118">
        <f t="shared" si="31"/>
        <v>1</v>
      </c>
      <c r="AB29" s="118">
        <f t="shared" si="31"/>
        <v>1</v>
      </c>
      <c r="AC29" s="84">
        <f t="shared" si="16"/>
        <v>0</v>
      </c>
      <c r="AD29" s="87"/>
      <c r="AE29" s="84">
        <f t="shared" si="17"/>
        <v>0</v>
      </c>
      <c r="AF29" s="84">
        <f t="shared" si="18"/>
        <v>0</v>
      </c>
      <c r="AG29" s="84">
        <f t="shared" si="19"/>
        <v>0</v>
      </c>
      <c r="AH29" s="84"/>
      <c r="AI29" s="87"/>
      <c r="AJ29" s="89">
        <f>SUMIFS('Working-T05-B1'!AI$8:AI$150,'Working-T05-B1'!$C$8:$C$150,$D29)</f>
        <v>0</v>
      </c>
      <c r="AK29" s="84">
        <f>SUMIFS('Working-T05-B1'!AJ$8:AJ$150,'Working-T05-B1'!$C$8:$C$150,$D29)</f>
        <v>0</v>
      </c>
      <c r="AL29" s="84">
        <f t="shared" si="7"/>
        <v>0</v>
      </c>
      <c r="AM29" s="90">
        <f t="shared" si="20"/>
        <v>0</v>
      </c>
      <c r="AO29" s="84">
        <f t="shared" si="21"/>
        <v>0</v>
      </c>
      <c r="AP29" s="82"/>
      <c r="AQ29" s="84">
        <f>SUMIFS('Working-T05-B1'!AP$8:AP$150,'Working-T05-B1'!$C$8:$C$150,$D29)</f>
        <v>0</v>
      </c>
      <c r="AR29" s="84">
        <f>SUMIFS('Working-T05-B1'!AQ$8:AQ$150,'Working-T05-B1'!$C$8:$C$150,$D29)</f>
        <v>0</v>
      </c>
      <c r="AS29" s="84">
        <f t="shared" si="22"/>
        <v>0</v>
      </c>
      <c r="AT29" s="215">
        <f t="shared" si="23"/>
        <v>0</v>
      </c>
      <c r="AV29" s="84">
        <f t="shared" si="24"/>
        <v>0</v>
      </c>
      <c r="AW29" s="82"/>
      <c r="AX29" s="84">
        <f>SUMIFS('Working-T05-B1'!AW$8:AW$150,'Working-T05-B1'!$C$8:$C$150,$D29)</f>
        <v>0</v>
      </c>
      <c r="AY29" s="84">
        <f>SUMIFS('Working-T05-B1'!AX$8:AX$150,'Working-T05-B1'!$C$8:$C$150,$D29)</f>
        <v>0</v>
      </c>
      <c r="AZ29" s="82"/>
      <c r="BA29" s="215">
        <f t="shared" si="25"/>
        <v>0</v>
      </c>
      <c r="BC29" s="87">
        <f>_xlfn.XLOOKUP($G29,'GIÁ XUẤT KHO'!$A$4:$A$97,'GIÁ XUẤT KHO'!$AW$4:$AW$97)*P29</f>
        <v>0</v>
      </c>
      <c r="BD29" s="87">
        <f>_xlfn.XLOOKUP($G29,'GIÁ XUẤT KHO'!$A$4:$A$97,'GIÁ XUẤT KHO'!$AW$4:$AW$97)*Q29</f>
        <v>0</v>
      </c>
      <c r="BE29" s="87">
        <f>_xlfn.XLOOKUP($G29,'GIÁ XUẤT KHO'!$A$4:$A$97,'GIÁ XUẤT KHO'!$AW$4:$AW$97)*R29</f>
        <v>0</v>
      </c>
      <c r="BF29" s="219">
        <f t="shared" si="26"/>
        <v>0</v>
      </c>
      <c r="BH29" s="87">
        <f t="shared" si="27"/>
        <v>0</v>
      </c>
      <c r="BI29" s="87">
        <f t="shared" si="8"/>
        <v>0</v>
      </c>
      <c r="BJ29" s="87">
        <f t="shared" si="9"/>
        <v>0</v>
      </c>
      <c r="BK29" s="219">
        <f t="shared" si="28"/>
        <v>0</v>
      </c>
      <c r="BM29" s="215">
        <f t="shared" si="29"/>
        <v>0</v>
      </c>
      <c r="BN29" s="84">
        <f>SUMIFS('GIÁ XUẤT KHO'!AX$4:AX$97,'GIÁ XUẤT KHO'!$A$4:$A$97,$G29)*$S29</f>
        <v>0</v>
      </c>
      <c r="BO29" s="84">
        <f>SUMIFS('GIÁ XUẤT KHO'!AY$4:AY$97,'GIÁ XUẤT KHO'!$A$4:$A$97,$G29)*$S29</f>
        <v>0</v>
      </c>
      <c r="BP29" s="84">
        <f>SUMIFS('GIÁ XUẤT KHO'!AZ$4:AZ$97,'GIÁ XUẤT KHO'!$A$4:$A$97,$G29)*$S29</f>
        <v>0</v>
      </c>
      <c r="BQ29" s="84">
        <f>SUMIFS('GIÁ XUẤT KHO'!BA$4:BA$97,'GIÁ XUẤT KHO'!$A$4:$A$97,$G29)*$S29</f>
        <v>0</v>
      </c>
      <c r="BR29" s="84">
        <f>SUMIFS('GIÁ XUẤT KHO'!BB$4:BB$97,'GIÁ XUẤT KHO'!$A$4:$A$97,$G29)*$S29</f>
        <v>0</v>
      </c>
      <c r="BS29" s="84">
        <f>SUMIFS('GIÁ XUẤT KHO'!BC$4:BC$97,'GIÁ XUẤT KHO'!$A$4:$A$97,$G29)*$S29</f>
        <v>0</v>
      </c>
      <c r="BT29" s="84">
        <f>SUMIFS('GIÁ XUẤT KHO'!BD$4:BD$97,'GIÁ XUẤT KHO'!$A$4:$A$97,$G29)*$S29</f>
        <v>0</v>
      </c>
      <c r="BU29" s="84">
        <f>SUMIFS('GIÁ XUẤT KHO'!BE$4:BE$97,'GIÁ XUẤT KHO'!$A$4:$A$97,$G29)*$S29</f>
        <v>0</v>
      </c>
      <c r="BV29" s="84">
        <f>SUMIFS('GIÁ XUẤT KHO'!BF$4:BF$97,'GIÁ XUẤT KHO'!$A$4:$A$97,$G29)*$S29</f>
        <v>0</v>
      </c>
      <c r="BW29" s="243">
        <f t="shared" si="30"/>
        <v>0</v>
      </c>
    </row>
    <row r="30" spans="1:75" s="86" customFormat="1" x14ac:dyDescent="0.25">
      <c r="A30" s="86" t="str">
        <f>_xlfn.XLOOKUP($G30,MD_SKU[Mã SKU],MD_SKU[Link vào file BCQT])</f>
        <v>Hạt rHDPE ép</v>
      </c>
      <c r="B30" s="86" t="s">
        <v>2890</v>
      </c>
      <c r="C30" s="82" t="s">
        <v>252</v>
      </c>
      <c r="D30" s="82" t="s">
        <v>2837</v>
      </c>
      <c r="E30" s="83" t="s">
        <v>34</v>
      </c>
      <c r="F30" s="82" t="s">
        <v>35</v>
      </c>
      <c r="G30" s="83" t="s">
        <v>309</v>
      </c>
      <c r="H30" s="82" t="s">
        <v>310</v>
      </c>
      <c r="I30" s="83"/>
      <c r="J30" s="83"/>
      <c r="K30" s="84">
        <f>SUMIFS('Working-T05-B1'!L$8:L$150,'Working-T05-B1'!$C$8:$C$150,$D30)</f>
        <v>22000</v>
      </c>
      <c r="L30" s="84" cm="1">
        <f t="array" ref="L30">SUMPRODUCT(Sales!$G$3:$H$100*(Sales!$B$3:$B$100=$D30))</f>
        <v>0</v>
      </c>
      <c r="M30" s="85">
        <f t="shared" si="4"/>
        <v>22000</v>
      </c>
      <c r="N30" s="84">
        <f>SUMIFS(Sales!$I$3:$I$100,Sales!$B$3:$B$100,$D30)</f>
        <v>0</v>
      </c>
      <c r="P30" s="84">
        <f>SUMIFS('Working-T05-B1'!O$8:O$150,'Working-T05-B1'!$C$8:$C$150,$D30)</f>
        <v>0</v>
      </c>
      <c r="Q30" s="84">
        <f t="shared" si="10"/>
        <v>0</v>
      </c>
      <c r="R30" s="84">
        <f t="shared" si="11"/>
        <v>0</v>
      </c>
      <c r="S30" s="84">
        <f t="shared" si="12"/>
        <v>0</v>
      </c>
      <c r="T30" s="127">
        <f t="shared" si="5"/>
        <v>0</v>
      </c>
      <c r="U30" s="88">
        <f t="shared" si="13"/>
        <v>0</v>
      </c>
      <c r="V30" s="88">
        <f t="shared" si="13"/>
        <v>0</v>
      </c>
      <c r="W30" s="131">
        <f t="shared" si="14"/>
        <v>0</v>
      </c>
      <c r="X30" s="88">
        <f t="shared" si="15"/>
        <v>0</v>
      </c>
      <c r="Y30" s="87"/>
      <c r="Z30" s="84"/>
      <c r="AA30" s="118">
        <f t="shared" si="31"/>
        <v>1</v>
      </c>
      <c r="AB30" s="118">
        <f t="shared" si="31"/>
        <v>1</v>
      </c>
      <c r="AC30" s="84">
        <f t="shared" si="16"/>
        <v>0</v>
      </c>
      <c r="AD30" s="87"/>
      <c r="AE30" s="84">
        <f t="shared" si="17"/>
        <v>0</v>
      </c>
      <c r="AF30" s="84">
        <f t="shared" si="18"/>
        <v>0</v>
      </c>
      <c r="AG30" s="84">
        <f t="shared" si="19"/>
        <v>0</v>
      </c>
      <c r="AH30" s="84"/>
      <c r="AI30" s="87"/>
      <c r="AJ30" s="89">
        <f>SUMIFS('Working-T05-B1'!AI$8:AI$150,'Working-T05-B1'!$C$8:$C$150,$D30)</f>
        <v>0</v>
      </c>
      <c r="AK30" s="84">
        <f>SUMIFS('Working-T05-B1'!AJ$8:AJ$150,'Working-T05-B1'!$C$8:$C$150,$D30)</f>
        <v>0</v>
      </c>
      <c r="AL30" s="84">
        <f t="shared" si="7"/>
        <v>0</v>
      </c>
      <c r="AM30" s="90">
        <f t="shared" si="20"/>
        <v>0</v>
      </c>
      <c r="AO30" s="84">
        <f t="shared" si="21"/>
        <v>0</v>
      </c>
      <c r="AP30" s="82"/>
      <c r="AQ30" s="84">
        <f>SUMIFS('Working-T05-B1'!AP$8:AP$150,'Working-T05-B1'!$C$8:$C$150,$D30)</f>
        <v>0</v>
      </c>
      <c r="AR30" s="84">
        <f>SUMIFS('Working-T05-B1'!AQ$8:AQ$150,'Working-T05-B1'!$C$8:$C$150,$D30)</f>
        <v>0</v>
      </c>
      <c r="AS30" s="84">
        <f t="shared" si="22"/>
        <v>0</v>
      </c>
      <c r="AT30" s="215">
        <f t="shared" si="23"/>
        <v>0</v>
      </c>
      <c r="AV30" s="84">
        <f t="shared" si="24"/>
        <v>0</v>
      </c>
      <c r="AW30" s="82"/>
      <c r="AX30" s="84">
        <f>SUMIFS('Working-T05-B1'!AW$8:AW$150,'Working-T05-B1'!$C$8:$C$150,$D30)</f>
        <v>0</v>
      </c>
      <c r="AY30" s="84">
        <f>SUMIFS('Working-T05-B1'!AX$8:AX$150,'Working-T05-B1'!$C$8:$C$150,$D30)</f>
        <v>0</v>
      </c>
      <c r="AZ30" s="82"/>
      <c r="BA30" s="215">
        <f t="shared" si="25"/>
        <v>0</v>
      </c>
      <c r="BC30" s="87">
        <f>_xlfn.XLOOKUP($G30,'GIÁ XUẤT KHO'!$A$4:$A$97,'GIÁ XUẤT KHO'!$AW$4:$AW$97)*P30</f>
        <v>0</v>
      </c>
      <c r="BD30" s="87">
        <f>_xlfn.XLOOKUP($G30,'GIÁ XUẤT KHO'!$A$4:$A$97,'GIÁ XUẤT KHO'!$AW$4:$AW$97)*Q30</f>
        <v>0</v>
      </c>
      <c r="BE30" s="87">
        <f>_xlfn.XLOOKUP($G30,'GIÁ XUẤT KHO'!$A$4:$A$97,'GIÁ XUẤT KHO'!$AW$4:$AW$97)*R30</f>
        <v>0</v>
      </c>
      <c r="BF30" s="219">
        <f t="shared" si="26"/>
        <v>0</v>
      </c>
      <c r="BH30" s="87">
        <f t="shared" si="27"/>
        <v>0</v>
      </c>
      <c r="BI30" s="87">
        <f t="shared" si="8"/>
        <v>0</v>
      </c>
      <c r="BJ30" s="87">
        <f t="shared" si="9"/>
        <v>0</v>
      </c>
      <c r="BK30" s="219">
        <f t="shared" si="28"/>
        <v>0</v>
      </c>
      <c r="BM30" s="215">
        <f t="shared" si="29"/>
        <v>0</v>
      </c>
      <c r="BN30" s="84">
        <f>SUMIFS('GIÁ XUẤT KHO'!AX$4:AX$97,'GIÁ XUẤT KHO'!$A$4:$A$97,$G30)*$S30</f>
        <v>0</v>
      </c>
      <c r="BO30" s="84">
        <f>SUMIFS('GIÁ XUẤT KHO'!AY$4:AY$97,'GIÁ XUẤT KHO'!$A$4:$A$97,$G30)*$S30</f>
        <v>0</v>
      </c>
      <c r="BP30" s="84">
        <f>SUMIFS('GIÁ XUẤT KHO'!AZ$4:AZ$97,'GIÁ XUẤT KHO'!$A$4:$A$97,$G30)*$S30</f>
        <v>0</v>
      </c>
      <c r="BQ30" s="84">
        <f>SUMIFS('GIÁ XUẤT KHO'!BA$4:BA$97,'GIÁ XUẤT KHO'!$A$4:$A$97,$G30)*$S30</f>
        <v>0</v>
      </c>
      <c r="BR30" s="84">
        <f>SUMIFS('GIÁ XUẤT KHO'!BB$4:BB$97,'GIÁ XUẤT KHO'!$A$4:$A$97,$G30)*$S30</f>
        <v>0</v>
      </c>
      <c r="BS30" s="84">
        <f>SUMIFS('GIÁ XUẤT KHO'!BC$4:BC$97,'GIÁ XUẤT KHO'!$A$4:$A$97,$G30)*$S30</f>
        <v>0</v>
      </c>
      <c r="BT30" s="84">
        <f>SUMIFS('GIÁ XUẤT KHO'!BD$4:BD$97,'GIÁ XUẤT KHO'!$A$4:$A$97,$G30)*$S30</f>
        <v>0</v>
      </c>
      <c r="BU30" s="84">
        <f>SUMIFS('GIÁ XUẤT KHO'!BE$4:BE$97,'GIÁ XUẤT KHO'!$A$4:$A$97,$G30)*$S30</f>
        <v>0</v>
      </c>
      <c r="BV30" s="84">
        <f>SUMIFS('GIÁ XUẤT KHO'!BF$4:BF$97,'GIÁ XUẤT KHO'!$A$4:$A$97,$G30)*$S30</f>
        <v>0</v>
      </c>
      <c r="BW30" s="243">
        <f t="shared" si="30"/>
        <v>0</v>
      </c>
    </row>
    <row r="31" spans="1:75" s="86" customFormat="1" x14ac:dyDescent="0.25">
      <c r="A31" s="86" t="str">
        <f>_xlfn.XLOOKUP($G31,MD_SKU[Mã SKU],MD_SKU[Link vào file BCQT])</f>
        <v>Hạt rPET</v>
      </c>
      <c r="B31" s="86" t="s">
        <v>2890</v>
      </c>
      <c r="C31" s="82" t="s">
        <v>252</v>
      </c>
      <c r="D31" s="82" t="s">
        <v>2803</v>
      </c>
      <c r="E31" s="83" t="s">
        <v>2008</v>
      </c>
      <c r="F31" s="82" t="s">
        <v>2009</v>
      </c>
      <c r="G31" s="83" t="s">
        <v>33</v>
      </c>
      <c r="H31" s="82" t="s">
        <v>296</v>
      </c>
      <c r="I31" s="83"/>
      <c r="J31" s="83"/>
      <c r="K31" s="84">
        <f>SUMIFS('Working-T05-B1'!L$8:L$150,'Working-T05-B1'!$C$8:$C$150,$D31)</f>
        <v>44000</v>
      </c>
      <c r="L31" s="84" cm="1">
        <f t="array" ref="L31">SUMPRODUCT(Sales!$G$3:$H$100*(Sales!$B$3:$B$100=$D31))</f>
        <v>0</v>
      </c>
      <c r="M31" s="85">
        <f t="shared" si="4"/>
        <v>44000</v>
      </c>
      <c r="N31" s="84">
        <f>SUMIFS(Sales!$I$3:$I$100,Sales!$B$3:$B$100,$D31)</f>
        <v>88000</v>
      </c>
      <c r="P31" s="84">
        <f>SUMIFS('Working-T05-B1'!O$8:O$150,'Working-T05-B1'!$C$8:$C$150,$D31)</f>
        <v>0</v>
      </c>
      <c r="Q31" s="84">
        <f t="shared" si="10"/>
        <v>44000</v>
      </c>
      <c r="R31" s="84">
        <f t="shared" si="11"/>
        <v>44000</v>
      </c>
      <c r="S31" s="84">
        <f t="shared" si="12"/>
        <v>88000</v>
      </c>
      <c r="T31" s="127">
        <f t="shared" si="5"/>
        <v>0</v>
      </c>
      <c r="U31" s="88">
        <f t="shared" si="13"/>
        <v>0</v>
      </c>
      <c r="V31" s="88">
        <f t="shared" si="13"/>
        <v>31679</v>
      </c>
      <c r="W31" s="131">
        <f t="shared" si="14"/>
        <v>31679</v>
      </c>
      <c r="X31" s="88">
        <f t="shared" si="15"/>
        <v>31679</v>
      </c>
      <c r="Y31" s="87"/>
      <c r="Z31" s="84"/>
      <c r="AA31" s="118">
        <f t="shared" si="31"/>
        <v>1</v>
      </c>
      <c r="AB31" s="118">
        <f t="shared" si="31"/>
        <v>1</v>
      </c>
      <c r="AC31" s="84">
        <f t="shared" si="16"/>
        <v>1</v>
      </c>
      <c r="AD31" s="87"/>
      <c r="AE31" s="84">
        <f t="shared" si="17"/>
        <v>0</v>
      </c>
      <c r="AF31" s="84">
        <f t="shared" si="18"/>
        <v>31679</v>
      </c>
      <c r="AG31" s="84">
        <f t="shared" si="19"/>
        <v>31679</v>
      </c>
      <c r="AH31" s="84"/>
      <c r="AI31" s="87"/>
      <c r="AJ31" s="89">
        <f>SUMIFS('Working-T05-B1'!AI$8:AI$150,'Working-T05-B1'!$C$8:$C$150,$D31)</f>
        <v>0</v>
      </c>
      <c r="AK31" s="84">
        <f>SUMIFS('Working-T05-B1'!AJ$8:AJ$150,'Working-T05-B1'!$C$8:$C$150,$D31)</f>
        <v>1393876000</v>
      </c>
      <c r="AL31" s="84">
        <f t="shared" si="7"/>
        <v>1393876000</v>
      </c>
      <c r="AM31" s="90">
        <f t="shared" si="20"/>
        <v>2787752000</v>
      </c>
      <c r="AO31" s="84">
        <f t="shared" si="21"/>
        <v>165.16000451246566</v>
      </c>
      <c r="AP31" s="82"/>
      <c r="AQ31" s="84">
        <f>SUMIFS('Working-T05-B1'!AP$8:AP$150,'Working-T05-B1'!$C$8:$C$150,$D31)</f>
        <v>0</v>
      </c>
      <c r="AR31" s="84">
        <f>SUMIFS('Working-T05-B1'!AQ$8:AQ$150,'Working-T05-B1'!$C$8:$C$150,$D31)</f>
        <v>7267040.1985484893</v>
      </c>
      <c r="AS31" s="84">
        <f t="shared" si="22"/>
        <v>7267040.1985484893</v>
      </c>
      <c r="AT31" s="215">
        <f t="shared" si="23"/>
        <v>14534080.397096979</v>
      </c>
      <c r="AV31" s="84">
        <f t="shared" si="24"/>
        <v>0</v>
      </c>
      <c r="AW31" s="82"/>
      <c r="AX31" s="84">
        <f>SUMIFS('Working-T05-B1'!AW$8:AW$150,'Working-T05-B1'!$C$8:$C$150,$D31)</f>
        <v>0</v>
      </c>
      <c r="AY31" s="84">
        <f>SUMIFS('Working-T05-B1'!AX$8:AX$150,'Working-T05-B1'!$C$8:$C$150,$D31)</f>
        <v>0</v>
      </c>
      <c r="AZ31" s="82"/>
      <c r="BA31" s="215">
        <f t="shared" si="25"/>
        <v>0</v>
      </c>
      <c r="BC31" s="87">
        <f>_xlfn.XLOOKUP($G31,'GIÁ XUẤT KHO'!$A$4:$A$97,'GIÁ XUẤT KHO'!$AW$4:$AW$97)*P31</f>
        <v>0</v>
      </c>
      <c r="BD31" s="87">
        <f>_xlfn.XLOOKUP($G31,'GIÁ XUẤT KHO'!$A$4:$A$97,'GIÁ XUẤT KHO'!$AW$4:$AW$97)*Q31</f>
        <v>1097265011.1275172</v>
      </c>
      <c r="BE31" s="87">
        <f>_xlfn.XLOOKUP($G31,'GIÁ XUẤT KHO'!$A$4:$A$97,'GIÁ XUẤT KHO'!$AW$4:$AW$97)*R31</f>
        <v>1097265011.1275172</v>
      </c>
      <c r="BF31" s="219">
        <f t="shared" si="26"/>
        <v>2194530022.2550344</v>
      </c>
      <c r="BH31" s="87">
        <f t="shared" si="27"/>
        <v>0</v>
      </c>
      <c r="BI31" s="87">
        <f t="shared" si="8"/>
        <v>296610988.87248278</v>
      </c>
      <c r="BJ31" s="87">
        <f t="shared" si="9"/>
        <v>296610988.87248278</v>
      </c>
      <c r="BK31" s="219">
        <f t="shared" si="28"/>
        <v>593221977.74496555</v>
      </c>
      <c r="BM31" s="215">
        <f t="shared" si="29"/>
        <v>2194530022.2550344</v>
      </c>
      <c r="BN31" s="84">
        <f>SUMIFS('GIÁ XUẤT KHO'!AX$4:AX$97,'GIÁ XUẤT KHO'!$A$4:$A$97,$G31)*$S31</f>
        <v>1584720860.5448735</v>
      </c>
      <c r="BO31" s="84">
        <f>SUMIFS('GIÁ XUẤT KHO'!AY$4:AY$97,'GIÁ XUẤT KHO'!$A$4:$A$97,$G31)*$S31</f>
        <v>16096370.069305532</v>
      </c>
      <c r="BP31" s="84">
        <f>SUMIFS('GIÁ XUẤT KHO'!AZ$4:AZ$97,'GIÁ XUẤT KHO'!$A$4:$A$97,$G31)*$S31</f>
        <v>8468.5138979645635</v>
      </c>
      <c r="BQ31" s="84">
        <f>SUMIFS('GIÁ XUẤT KHO'!BA$4:BA$97,'GIÁ XUẤT KHO'!$A$4:$A$97,$G31)*$S31</f>
        <v>112512463.00643829</v>
      </c>
      <c r="BR31" s="84">
        <f>SUMIFS('GIÁ XUẤT KHO'!BB$4:BB$97,'GIÁ XUẤT KHO'!$A$4:$A$97,$G31)*$S31</f>
        <v>15451603.927688353</v>
      </c>
      <c r="BS31" s="84">
        <f>SUMIFS('GIÁ XUẤT KHO'!BC$4:BC$97,'GIÁ XUẤT KHO'!$A$4:$A$97,$G31)*$S31</f>
        <v>63477196.263223588</v>
      </c>
      <c r="BT31" s="84">
        <f>SUMIFS('GIÁ XUẤT KHO'!BD$4:BD$97,'GIÁ XUẤT KHO'!$A$4:$A$97,$G31)*$S31</f>
        <v>102104457.55895095</v>
      </c>
      <c r="BU31" s="84">
        <f>SUMIFS('GIÁ XUẤT KHO'!BE$4:BE$97,'GIÁ XUẤT KHO'!$A$4:$A$97,$G31)*$S31</f>
        <v>27765118.898907878</v>
      </c>
      <c r="BV31" s="84">
        <f>SUMIFS('GIÁ XUẤT KHO'!BF$4:BF$97,'GIÁ XUẤT KHO'!$A$4:$A$97,$G31)*$S31</f>
        <v>272393483.47174871</v>
      </c>
      <c r="BW31" s="243">
        <f t="shared" si="30"/>
        <v>0</v>
      </c>
    </row>
    <row r="32" spans="1:75" s="86" customFormat="1" x14ac:dyDescent="0.25">
      <c r="A32" s="86" t="str">
        <f>_xlfn.XLOOKUP($G32,MD_SKU[Mã SKU],MD_SKU[Link vào file BCQT])</f>
        <v>Phó sản</v>
      </c>
      <c r="B32" s="86" t="s">
        <v>2890</v>
      </c>
      <c r="C32" s="82" t="s">
        <v>252</v>
      </c>
      <c r="D32" s="82" t="s">
        <v>2838</v>
      </c>
      <c r="E32" s="83" t="s">
        <v>2496</v>
      </c>
      <c r="F32" s="82" t="s">
        <v>2608</v>
      </c>
      <c r="G32" s="83" t="s">
        <v>60</v>
      </c>
      <c r="H32" s="82" t="s">
        <v>1925</v>
      </c>
      <c r="I32" s="83"/>
      <c r="J32" s="83"/>
      <c r="K32" s="84">
        <f>SUMIFS('Working-T05-B1'!L$8:L$150,'Working-T05-B1'!$C$8:$C$150,$D32)</f>
        <v>46997</v>
      </c>
      <c r="L32" s="84" cm="1">
        <f t="array" ref="L32">SUMPRODUCT(Sales!$G$3:$H$100*(Sales!$B$3:$B$100=$D32))</f>
        <v>0</v>
      </c>
      <c r="M32" s="85">
        <f t="shared" si="4"/>
        <v>46997</v>
      </c>
      <c r="N32" s="84">
        <f>SUMIFS(Sales!$I$3:$I$100,Sales!$B$3:$B$100,$D32)</f>
        <v>0</v>
      </c>
      <c r="P32" s="84">
        <f>SUMIFS('Working-T05-B1'!O$8:O$150,'Working-T05-B1'!$C$8:$C$150,$D32)</f>
        <v>0</v>
      </c>
      <c r="Q32" s="84">
        <f t="shared" si="10"/>
        <v>0</v>
      </c>
      <c r="R32" s="84">
        <f t="shared" si="11"/>
        <v>0</v>
      </c>
      <c r="S32" s="84">
        <f t="shared" si="12"/>
        <v>0</v>
      </c>
      <c r="T32" s="127">
        <f t="shared" si="5"/>
        <v>0</v>
      </c>
      <c r="U32" s="88">
        <f t="shared" si="13"/>
        <v>0</v>
      </c>
      <c r="V32" s="88">
        <f t="shared" si="13"/>
        <v>0</v>
      </c>
      <c r="W32" s="131">
        <f t="shared" si="14"/>
        <v>0</v>
      </c>
      <c r="X32" s="88">
        <f t="shared" si="15"/>
        <v>0</v>
      </c>
      <c r="Y32" s="87"/>
      <c r="Z32" s="84"/>
      <c r="AA32" s="118">
        <f t="shared" si="31"/>
        <v>1</v>
      </c>
      <c r="AB32" s="118">
        <f t="shared" si="31"/>
        <v>1</v>
      </c>
      <c r="AC32" s="84">
        <f t="shared" si="16"/>
        <v>0</v>
      </c>
      <c r="AD32" s="87"/>
      <c r="AE32" s="84">
        <f t="shared" si="17"/>
        <v>0</v>
      </c>
      <c r="AF32" s="84">
        <f t="shared" si="18"/>
        <v>0</v>
      </c>
      <c r="AG32" s="84">
        <f t="shared" si="19"/>
        <v>0</v>
      </c>
      <c r="AH32" s="84"/>
      <c r="AI32" s="87"/>
      <c r="AJ32" s="89">
        <f>SUMIFS('Working-T05-B1'!AI$8:AI$150,'Working-T05-B1'!$C$8:$C$150,$D32)</f>
        <v>0</v>
      </c>
      <c r="AK32" s="84">
        <f>SUMIFS('Working-T05-B1'!AJ$8:AJ$150,'Working-T05-B1'!$C$8:$C$150,$D32)</f>
        <v>0</v>
      </c>
      <c r="AL32" s="84">
        <f t="shared" si="7"/>
        <v>0</v>
      </c>
      <c r="AM32" s="90">
        <f t="shared" si="20"/>
        <v>0</v>
      </c>
      <c r="AO32" s="84">
        <f t="shared" si="21"/>
        <v>0</v>
      </c>
      <c r="AP32" s="82"/>
      <c r="AQ32" s="84">
        <f>SUMIFS('Working-T05-B1'!AP$8:AP$150,'Working-T05-B1'!$C$8:$C$150,$D32)</f>
        <v>0</v>
      </c>
      <c r="AR32" s="84">
        <f>SUMIFS('Working-T05-B1'!AQ$8:AQ$150,'Working-T05-B1'!$C$8:$C$150,$D32)</f>
        <v>0</v>
      </c>
      <c r="AS32" s="84">
        <f t="shared" si="22"/>
        <v>0</v>
      </c>
      <c r="AT32" s="215">
        <f t="shared" si="23"/>
        <v>0</v>
      </c>
      <c r="AV32" s="84">
        <f t="shared" si="24"/>
        <v>0</v>
      </c>
      <c r="AW32" s="82"/>
      <c r="AX32" s="84">
        <f>SUMIFS('Working-T05-B1'!AW$8:AW$150,'Working-T05-B1'!$C$8:$C$150,$D32)</f>
        <v>0</v>
      </c>
      <c r="AY32" s="84">
        <f>SUMIFS('Working-T05-B1'!AX$8:AX$150,'Working-T05-B1'!$C$8:$C$150,$D32)</f>
        <v>0</v>
      </c>
      <c r="AZ32" s="82"/>
      <c r="BA32" s="215">
        <f t="shared" si="25"/>
        <v>0</v>
      </c>
      <c r="BC32" s="87">
        <f>_xlfn.XLOOKUP($G32,'GIÁ XUẤT KHO'!$A$4:$A$97,'GIÁ XUẤT KHO'!$AW$4:$AW$97)*P32</f>
        <v>0</v>
      </c>
      <c r="BD32" s="87">
        <f>_xlfn.XLOOKUP($G32,'GIÁ XUẤT KHO'!$A$4:$A$97,'GIÁ XUẤT KHO'!$AW$4:$AW$97)*Q32</f>
        <v>0</v>
      </c>
      <c r="BE32" s="87">
        <f>_xlfn.XLOOKUP($G32,'GIÁ XUẤT KHO'!$A$4:$A$97,'GIÁ XUẤT KHO'!$AW$4:$AW$97)*R32</f>
        <v>0</v>
      </c>
      <c r="BF32" s="219">
        <f t="shared" si="26"/>
        <v>0</v>
      </c>
      <c r="BH32" s="87">
        <f t="shared" si="27"/>
        <v>0</v>
      </c>
      <c r="BI32" s="87">
        <f t="shared" si="8"/>
        <v>0</v>
      </c>
      <c r="BJ32" s="87">
        <f t="shared" si="9"/>
        <v>0</v>
      </c>
      <c r="BK32" s="219">
        <f t="shared" si="28"/>
        <v>0</v>
      </c>
      <c r="BM32" s="215">
        <f t="shared" si="29"/>
        <v>0</v>
      </c>
      <c r="BN32" s="84">
        <f>SUMIFS('GIÁ XUẤT KHO'!AX$4:AX$97,'GIÁ XUẤT KHO'!$A$4:$A$97,$G32)*$S32</f>
        <v>0</v>
      </c>
      <c r="BO32" s="84">
        <f>SUMIFS('GIÁ XUẤT KHO'!AY$4:AY$97,'GIÁ XUẤT KHO'!$A$4:$A$97,$G32)*$S32</f>
        <v>0</v>
      </c>
      <c r="BP32" s="84">
        <f>SUMIFS('GIÁ XUẤT KHO'!AZ$4:AZ$97,'GIÁ XUẤT KHO'!$A$4:$A$97,$G32)*$S32</f>
        <v>0</v>
      </c>
      <c r="BQ32" s="84">
        <f>SUMIFS('GIÁ XUẤT KHO'!BA$4:BA$97,'GIÁ XUẤT KHO'!$A$4:$A$97,$G32)*$S32</f>
        <v>0</v>
      </c>
      <c r="BR32" s="84">
        <f>SUMIFS('GIÁ XUẤT KHO'!BB$4:BB$97,'GIÁ XUẤT KHO'!$A$4:$A$97,$G32)*$S32</f>
        <v>0</v>
      </c>
      <c r="BS32" s="84">
        <f>SUMIFS('GIÁ XUẤT KHO'!BC$4:BC$97,'GIÁ XUẤT KHO'!$A$4:$A$97,$G32)*$S32</f>
        <v>0</v>
      </c>
      <c r="BT32" s="84">
        <f>SUMIFS('GIÁ XUẤT KHO'!BD$4:BD$97,'GIÁ XUẤT KHO'!$A$4:$A$97,$G32)*$S32</f>
        <v>0</v>
      </c>
      <c r="BU32" s="84">
        <f>SUMIFS('GIÁ XUẤT KHO'!BE$4:BE$97,'GIÁ XUẤT KHO'!$A$4:$A$97,$G32)*$S32</f>
        <v>0</v>
      </c>
      <c r="BV32" s="84">
        <f>SUMIFS('GIÁ XUẤT KHO'!BF$4:BF$97,'GIÁ XUẤT KHO'!$A$4:$A$97,$G32)*$S32</f>
        <v>0</v>
      </c>
      <c r="BW32" s="243">
        <f t="shared" si="30"/>
        <v>0</v>
      </c>
    </row>
    <row r="33" spans="1:75" s="86" customFormat="1" x14ac:dyDescent="0.25">
      <c r="A33" s="86" t="str">
        <f>_xlfn.XLOOKUP($G33,MD_SKU[Mã SKU],MD_SKU[Link vào file BCQT])</f>
        <v>Phó sản</v>
      </c>
      <c r="B33" s="86" t="s">
        <v>2890</v>
      </c>
      <c r="C33" s="82" t="s">
        <v>252</v>
      </c>
      <c r="D33" s="82" t="s">
        <v>2839</v>
      </c>
      <c r="E33" s="83" t="s">
        <v>2496</v>
      </c>
      <c r="F33" s="82" t="s">
        <v>2608</v>
      </c>
      <c r="G33" s="83" t="s">
        <v>262</v>
      </c>
      <c r="H33" s="82" t="s">
        <v>2606</v>
      </c>
      <c r="I33" s="83"/>
      <c r="J33" s="83"/>
      <c r="K33" s="84">
        <f>SUMIFS('Working-T05-B1'!L$8:L$150,'Working-T05-B1'!$C$8:$C$150,$D33)</f>
        <v>6995</v>
      </c>
      <c r="L33" s="84" cm="1">
        <f t="array" ref="L33">SUMPRODUCT(Sales!$G$3:$H$100*(Sales!$B$3:$B$100=$D33))</f>
        <v>0</v>
      </c>
      <c r="M33" s="85">
        <f t="shared" si="4"/>
        <v>6995</v>
      </c>
      <c r="N33" s="84">
        <f>SUMIFS(Sales!$I$3:$I$100,Sales!$B$3:$B$100,$D33)</f>
        <v>0</v>
      </c>
      <c r="P33" s="84">
        <f>SUMIFS('Working-T05-B1'!O$8:O$150,'Working-T05-B1'!$C$8:$C$150,$D33)</f>
        <v>0</v>
      </c>
      <c r="Q33" s="84">
        <f t="shared" si="10"/>
        <v>0</v>
      </c>
      <c r="R33" s="84">
        <f t="shared" si="11"/>
        <v>0</v>
      </c>
      <c r="S33" s="84">
        <f t="shared" si="12"/>
        <v>0</v>
      </c>
      <c r="T33" s="127">
        <f t="shared" si="5"/>
        <v>0</v>
      </c>
      <c r="U33" s="88">
        <f t="shared" si="13"/>
        <v>0</v>
      </c>
      <c r="V33" s="88">
        <f t="shared" si="13"/>
        <v>0</v>
      </c>
      <c r="W33" s="131">
        <f t="shared" si="14"/>
        <v>0</v>
      </c>
      <c r="X33" s="88">
        <f t="shared" si="15"/>
        <v>0</v>
      </c>
      <c r="Y33" s="87"/>
      <c r="Z33" s="84"/>
      <c r="AA33" s="118">
        <f t="shared" si="31"/>
        <v>1</v>
      </c>
      <c r="AB33" s="118">
        <f t="shared" si="31"/>
        <v>1</v>
      </c>
      <c r="AC33" s="84">
        <f t="shared" si="16"/>
        <v>0</v>
      </c>
      <c r="AD33" s="87"/>
      <c r="AE33" s="84">
        <f t="shared" si="17"/>
        <v>0</v>
      </c>
      <c r="AF33" s="84">
        <f t="shared" si="18"/>
        <v>0</v>
      </c>
      <c r="AG33" s="84">
        <f t="shared" si="19"/>
        <v>0</v>
      </c>
      <c r="AH33" s="84"/>
      <c r="AI33" s="87"/>
      <c r="AJ33" s="89">
        <f>SUMIFS('Working-T05-B1'!AI$8:AI$150,'Working-T05-B1'!$C$8:$C$150,$D33)</f>
        <v>0</v>
      </c>
      <c r="AK33" s="84">
        <f>SUMIFS('Working-T05-B1'!AJ$8:AJ$150,'Working-T05-B1'!$C$8:$C$150,$D33)</f>
        <v>0</v>
      </c>
      <c r="AL33" s="84">
        <f t="shared" si="7"/>
        <v>0</v>
      </c>
      <c r="AM33" s="90">
        <f t="shared" si="20"/>
        <v>0</v>
      </c>
      <c r="AO33" s="84">
        <f t="shared" si="21"/>
        <v>0</v>
      </c>
      <c r="AP33" s="82"/>
      <c r="AQ33" s="84">
        <f>SUMIFS('Working-T05-B1'!AP$8:AP$150,'Working-T05-B1'!$C$8:$C$150,$D33)</f>
        <v>0</v>
      </c>
      <c r="AR33" s="84">
        <f>SUMIFS('Working-T05-B1'!AQ$8:AQ$150,'Working-T05-B1'!$C$8:$C$150,$D33)</f>
        <v>0</v>
      </c>
      <c r="AS33" s="84">
        <f t="shared" si="22"/>
        <v>0</v>
      </c>
      <c r="AT33" s="215">
        <f t="shared" si="23"/>
        <v>0</v>
      </c>
      <c r="AV33" s="84">
        <f t="shared" si="24"/>
        <v>0</v>
      </c>
      <c r="AW33" s="82"/>
      <c r="AX33" s="84">
        <f>SUMIFS('Working-T05-B1'!AW$8:AW$150,'Working-T05-B1'!$C$8:$C$150,$D33)</f>
        <v>0</v>
      </c>
      <c r="AY33" s="84">
        <f>SUMIFS('Working-T05-B1'!AX$8:AX$150,'Working-T05-B1'!$C$8:$C$150,$D33)</f>
        <v>0</v>
      </c>
      <c r="AZ33" s="82"/>
      <c r="BA33" s="215">
        <f t="shared" si="25"/>
        <v>0</v>
      </c>
      <c r="BC33" s="87">
        <f>_xlfn.XLOOKUP($G33,'GIÁ XUẤT KHO'!$A$4:$A$97,'GIÁ XUẤT KHO'!$AW$4:$AW$97)*P33</f>
        <v>0</v>
      </c>
      <c r="BD33" s="87">
        <f>_xlfn.XLOOKUP($G33,'GIÁ XUẤT KHO'!$A$4:$A$97,'GIÁ XUẤT KHO'!$AW$4:$AW$97)*Q33</f>
        <v>0</v>
      </c>
      <c r="BE33" s="87">
        <f>_xlfn.XLOOKUP($G33,'GIÁ XUẤT KHO'!$A$4:$A$97,'GIÁ XUẤT KHO'!$AW$4:$AW$97)*R33</f>
        <v>0</v>
      </c>
      <c r="BF33" s="219">
        <f t="shared" si="26"/>
        <v>0</v>
      </c>
      <c r="BH33" s="87">
        <f t="shared" si="27"/>
        <v>0</v>
      </c>
      <c r="BI33" s="87">
        <f t="shared" si="8"/>
        <v>0</v>
      </c>
      <c r="BJ33" s="87">
        <f t="shared" si="9"/>
        <v>0</v>
      </c>
      <c r="BK33" s="219">
        <f t="shared" si="28"/>
        <v>0</v>
      </c>
      <c r="BM33" s="215">
        <f t="shared" si="29"/>
        <v>0</v>
      </c>
      <c r="BN33" s="84">
        <f>SUMIFS('GIÁ XUẤT KHO'!AX$4:AX$97,'GIÁ XUẤT KHO'!$A$4:$A$97,$G33)*$S33</f>
        <v>0</v>
      </c>
      <c r="BO33" s="84">
        <f>SUMIFS('GIÁ XUẤT KHO'!AY$4:AY$97,'GIÁ XUẤT KHO'!$A$4:$A$97,$G33)*$S33</f>
        <v>0</v>
      </c>
      <c r="BP33" s="84">
        <f>SUMIFS('GIÁ XUẤT KHO'!AZ$4:AZ$97,'GIÁ XUẤT KHO'!$A$4:$A$97,$G33)*$S33</f>
        <v>0</v>
      </c>
      <c r="BQ33" s="84">
        <f>SUMIFS('GIÁ XUẤT KHO'!BA$4:BA$97,'GIÁ XUẤT KHO'!$A$4:$A$97,$G33)*$S33</f>
        <v>0</v>
      </c>
      <c r="BR33" s="84">
        <f>SUMIFS('GIÁ XUẤT KHO'!BB$4:BB$97,'GIÁ XUẤT KHO'!$A$4:$A$97,$G33)*$S33</f>
        <v>0</v>
      </c>
      <c r="BS33" s="84">
        <f>SUMIFS('GIÁ XUẤT KHO'!BC$4:BC$97,'GIÁ XUẤT KHO'!$A$4:$A$97,$G33)*$S33</f>
        <v>0</v>
      </c>
      <c r="BT33" s="84">
        <f>SUMIFS('GIÁ XUẤT KHO'!BD$4:BD$97,'GIÁ XUẤT KHO'!$A$4:$A$97,$G33)*$S33</f>
        <v>0</v>
      </c>
      <c r="BU33" s="84">
        <f>SUMIFS('GIÁ XUẤT KHO'!BE$4:BE$97,'GIÁ XUẤT KHO'!$A$4:$A$97,$G33)*$S33</f>
        <v>0</v>
      </c>
      <c r="BV33" s="84">
        <f>SUMIFS('GIÁ XUẤT KHO'!BF$4:BF$97,'GIÁ XUẤT KHO'!$A$4:$A$97,$G33)*$S33</f>
        <v>0</v>
      </c>
      <c r="BW33" s="243">
        <f t="shared" si="30"/>
        <v>0</v>
      </c>
    </row>
    <row r="34" spans="1:75" s="86" customFormat="1" x14ac:dyDescent="0.25">
      <c r="A34" s="86" t="str">
        <f>_xlfn.XLOOKUP($G34,MD_SKU[Mã SKU],MD_SKU[Link vào file BCQT])</f>
        <v>Hạt rHDPE thổi</v>
      </c>
      <c r="B34" s="86" t="s">
        <v>2890</v>
      </c>
      <c r="C34" s="82" t="s">
        <v>252</v>
      </c>
      <c r="D34" s="82" t="s">
        <v>2842</v>
      </c>
      <c r="E34" s="83" t="s">
        <v>2634</v>
      </c>
      <c r="F34" s="82" t="s">
        <v>2622</v>
      </c>
      <c r="G34" s="83" t="s">
        <v>50</v>
      </c>
      <c r="H34" s="82" t="s">
        <v>704</v>
      </c>
      <c r="I34" s="83"/>
      <c r="J34" s="83"/>
      <c r="K34" s="84">
        <f>SUMIFS('Working-T05-B1'!L$8:L$150,'Working-T05-B1'!$C$8:$C$150,$D34)</f>
        <v>50</v>
      </c>
      <c r="L34" s="84" cm="1">
        <f t="array" ref="L34">SUMPRODUCT(Sales!$G$3:$H$100*(Sales!$B$3:$B$100=$D34))</f>
        <v>0</v>
      </c>
      <c r="M34" s="85">
        <f t="shared" si="4"/>
        <v>50</v>
      </c>
      <c r="N34" s="84">
        <f>SUMIFS(Sales!$I$3:$I$100,Sales!$B$3:$B$100,$D34)</f>
        <v>0</v>
      </c>
      <c r="P34" s="84">
        <f>SUMIFS('Working-T05-B1'!O$8:O$150,'Working-T05-B1'!$C$8:$C$150,$D34)</f>
        <v>0</v>
      </c>
      <c r="Q34" s="84">
        <f t="shared" si="10"/>
        <v>0</v>
      </c>
      <c r="R34" s="84">
        <f t="shared" si="11"/>
        <v>0</v>
      </c>
      <c r="S34" s="84">
        <f t="shared" si="12"/>
        <v>0</v>
      </c>
      <c r="T34" s="127">
        <f t="shared" si="5"/>
        <v>0</v>
      </c>
      <c r="U34" s="88">
        <f t="shared" si="13"/>
        <v>0</v>
      </c>
      <c r="V34" s="88">
        <f t="shared" si="13"/>
        <v>0</v>
      </c>
      <c r="W34" s="131">
        <f t="shared" si="14"/>
        <v>0</v>
      </c>
      <c r="X34" s="88">
        <f t="shared" si="15"/>
        <v>0</v>
      </c>
      <c r="Y34" s="87"/>
      <c r="Z34" s="84"/>
      <c r="AA34" s="118">
        <f t="shared" si="31"/>
        <v>1</v>
      </c>
      <c r="AB34" s="118">
        <f t="shared" si="31"/>
        <v>1</v>
      </c>
      <c r="AC34" s="84">
        <f t="shared" si="16"/>
        <v>0</v>
      </c>
      <c r="AD34" s="87"/>
      <c r="AE34" s="84">
        <f t="shared" si="17"/>
        <v>0</v>
      </c>
      <c r="AF34" s="84">
        <f t="shared" si="18"/>
        <v>0</v>
      </c>
      <c r="AG34" s="84">
        <f t="shared" si="19"/>
        <v>0</v>
      </c>
      <c r="AH34" s="84"/>
      <c r="AI34" s="87"/>
      <c r="AJ34" s="89">
        <f>SUMIFS('Working-T05-B1'!AI$8:AI$150,'Working-T05-B1'!$C$8:$C$150,$D34)</f>
        <v>0</v>
      </c>
      <c r="AK34" s="84">
        <f>SUMIFS('Working-T05-B1'!AJ$8:AJ$150,'Working-T05-B1'!$C$8:$C$150,$D34)</f>
        <v>0</v>
      </c>
      <c r="AL34" s="84">
        <f t="shared" si="7"/>
        <v>0</v>
      </c>
      <c r="AM34" s="90">
        <f t="shared" si="20"/>
        <v>0</v>
      </c>
      <c r="AO34" s="84">
        <f t="shared" si="21"/>
        <v>0</v>
      </c>
      <c r="AP34" s="82"/>
      <c r="AQ34" s="84">
        <f>SUMIFS('Working-T05-B1'!AP$8:AP$150,'Working-T05-B1'!$C$8:$C$150,$D34)</f>
        <v>0</v>
      </c>
      <c r="AR34" s="84">
        <f>SUMIFS('Working-T05-B1'!AQ$8:AQ$150,'Working-T05-B1'!$C$8:$C$150,$D34)</f>
        <v>0</v>
      </c>
      <c r="AS34" s="84">
        <f t="shared" si="22"/>
        <v>0</v>
      </c>
      <c r="AT34" s="215">
        <f t="shared" si="23"/>
        <v>0</v>
      </c>
      <c r="AV34" s="84">
        <f t="shared" si="24"/>
        <v>0</v>
      </c>
      <c r="AW34" s="82"/>
      <c r="AX34" s="84">
        <f>SUMIFS('Working-T05-B1'!AW$8:AW$150,'Working-T05-B1'!$C$8:$C$150,$D34)</f>
        <v>0</v>
      </c>
      <c r="AY34" s="84">
        <f>SUMIFS('Working-T05-B1'!AX$8:AX$150,'Working-T05-B1'!$C$8:$C$150,$D34)</f>
        <v>0</v>
      </c>
      <c r="AZ34" s="82"/>
      <c r="BA34" s="215">
        <f t="shared" si="25"/>
        <v>0</v>
      </c>
      <c r="BC34" s="87">
        <f>_xlfn.XLOOKUP($G34,'GIÁ XUẤT KHO'!$A$4:$A$97,'GIÁ XUẤT KHO'!$AW$4:$AW$97)*P34</f>
        <v>0</v>
      </c>
      <c r="BD34" s="87">
        <f>_xlfn.XLOOKUP($G34,'GIÁ XUẤT KHO'!$A$4:$A$97,'GIÁ XUẤT KHO'!$AW$4:$AW$97)*Q34</f>
        <v>0</v>
      </c>
      <c r="BE34" s="87">
        <f>_xlfn.XLOOKUP($G34,'GIÁ XUẤT KHO'!$A$4:$A$97,'GIÁ XUẤT KHO'!$AW$4:$AW$97)*R34</f>
        <v>0</v>
      </c>
      <c r="BF34" s="219">
        <f t="shared" si="26"/>
        <v>0</v>
      </c>
      <c r="BH34" s="87">
        <f t="shared" si="27"/>
        <v>0</v>
      </c>
      <c r="BI34" s="87">
        <f t="shared" si="8"/>
        <v>0</v>
      </c>
      <c r="BJ34" s="87">
        <f t="shared" si="9"/>
        <v>0</v>
      </c>
      <c r="BK34" s="219">
        <f t="shared" si="28"/>
        <v>0</v>
      </c>
      <c r="BM34" s="215">
        <f t="shared" si="29"/>
        <v>0</v>
      </c>
      <c r="BN34" s="84">
        <f>SUMIFS('GIÁ XUẤT KHO'!AX$4:AX$97,'GIÁ XUẤT KHO'!$A$4:$A$97,$G34)*$S34</f>
        <v>0</v>
      </c>
      <c r="BO34" s="84">
        <f>SUMIFS('GIÁ XUẤT KHO'!AY$4:AY$97,'GIÁ XUẤT KHO'!$A$4:$A$97,$G34)*$S34</f>
        <v>0</v>
      </c>
      <c r="BP34" s="84">
        <f>SUMIFS('GIÁ XUẤT KHO'!AZ$4:AZ$97,'GIÁ XUẤT KHO'!$A$4:$A$97,$G34)*$S34</f>
        <v>0</v>
      </c>
      <c r="BQ34" s="84">
        <f>SUMIFS('GIÁ XUẤT KHO'!BA$4:BA$97,'GIÁ XUẤT KHO'!$A$4:$A$97,$G34)*$S34</f>
        <v>0</v>
      </c>
      <c r="BR34" s="84">
        <f>SUMIFS('GIÁ XUẤT KHO'!BB$4:BB$97,'GIÁ XUẤT KHO'!$A$4:$A$97,$G34)*$S34</f>
        <v>0</v>
      </c>
      <c r="BS34" s="84">
        <f>SUMIFS('GIÁ XUẤT KHO'!BC$4:BC$97,'GIÁ XUẤT KHO'!$A$4:$A$97,$G34)*$S34</f>
        <v>0</v>
      </c>
      <c r="BT34" s="84">
        <f>SUMIFS('GIÁ XUẤT KHO'!BD$4:BD$97,'GIÁ XUẤT KHO'!$A$4:$A$97,$G34)*$S34</f>
        <v>0</v>
      </c>
      <c r="BU34" s="84">
        <f>SUMIFS('GIÁ XUẤT KHO'!BE$4:BE$97,'GIÁ XUẤT KHO'!$A$4:$A$97,$G34)*$S34</f>
        <v>0</v>
      </c>
      <c r="BV34" s="84">
        <f>SUMIFS('GIÁ XUẤT KHO'!BF$4:BF$97,'GIÁ XUẤT KHO'!$A$4:$A$97,$G34)*$S34</f>
        <v>0</v>
      </c>
      <c r="BW34" s="243">
        <f t="shared" si="30"/>
        <v>0</v>
      </c>
    </row>
    <row r="35" spans="1:75" s="86" customFormat="1" x14ac:dyDescent="0.25">
      <c r="A35" s="86" t="str">
        <f>_xlfn.XLOOKUP($G35,MD_SKU[Mã SKU],MD_SKU[Link vào file BCQT])</f>
        <v>Hạt rPET</v>
      </c>
      <c r="B35" s="86" t="s">
        <v>2890</v>
      </c>
      <c r="C35" s="82" t="s">
        <v>252</v>
      </c>
      <c r="D35" s="82" t="s">
        <v>2806</v>
      </c>
      <c r="E35" s="83" t="s">
        <v>45</v>
      </c>
      <c r="F35" s="82" t="s">
        <v>46</v>
      </c>
      <c r="G35" s="83" t="s">
        <v>33</v>
      </c>
      <c r="H35" s="82" t="s">
        <v>296</v>
      </c>
      <c r="I35" s="83"/>
      <c r="J35" s="83"/>
      <c r="K35" s="84">
        <f>SUMIFS('Working-T05-B1'!L$8:L$150,'Working-T05-B1'!$C$8:$C$150,$D35)</f>
        <v>19100</v>
      </c>
      <c r="L35" s="84" cm="1">
        <f t="array" ref="L35">SUMPRODUCT(Sales!$G$3:$H$100*(Sales!$B$3:$B$100=$D35))</f>
        <v>0</v>
      </c>
      <c r="M35" s="85">
        <f t="shared" si="4"/>
        <v>19100</v>
      </c>
      <c r="N35" s="84">
        <f>SUMIFS(Sales!$I$3:$I$100,Sales!$B$3:$B$100,$D35)</f>
        <v>122000</v>
      </c>
      <c r="P35" s="84">
        <f>SUMIFS('Working-T05-B1'!O$8:O$150,'Working-T05-B1'!$C$8:$C$150,$D35)</f>
        <v>0</v>
      </c>
      <c r="Q35" s="84">
        <f t="shared" si="10"/>
        <v>19100</v>
      </c>
      <c r="R35" s="84">
        <f t="shared" si="11"/>
        <v>102900</v>
      </c>
      <c r="S35" s="84">
        <f t="shared" si="12"/>
        <v>122000</v>
      </c>
      <c r="T35" s="127">
        <f t="shared" si="5"/>
        <v>0</v>
      </c>
      <c r="U35" s="88">
        <f t="shared" si="13"/>
        <v>0</v>
      </c>
      <c r="V35" s="88">
        <f t="shared" si="13"/>
        <v>31897</v>
      </c>
      <c r="W35" s="131">
        <f t="shared" si="14"/>
        <v>31897</v>
      </c>
      <c r="X35" s="88">
        <f t="shared" si="15"/>
        <v>31897</v>
      </c>
      <c r="Y35" s="87"/>
      <c r="Z35" s="84"/>
      <c r="AA35" s="118">
        <f t="shared" si="31"/>
        <v>1</v>
      </c>
      <c r="AB35" s="118">
        <f t="shared" si="31"/>
        <v>1</v>
      </c>
      <c r="AC35" s="84">
        <f t="shared" si="16"/>
        <v>1</v>
      </c>
      <c r="AD35" s="87"/>
      <c r="AE35" s="84">
        <f t="shared" si="17"/>
        <v>0</v>
      </c>
      <c r="AF35" s="84">
        <f t="shared" si="18"/>
        <v>31897</v>
      </c>
      <c r="AG35" s="84">
        <f t="shared" si="19"/>
        <v>31897</v>
      </c>
      <c r="AH35" s="84"/>
      <c r="AI35" s="87"/>
      <c r="AJ35" s="89">
        <f>SUMIFS('Working-T05-B1'!AI$8:AI$150,'Working-T05-B1'!$C$8:$C$150,$D35)</f>
        <v>0</v>
      </c>
      <c r="AK35" s="84">
        <f>SUMIFS('Working-T05-B1'!AJ$8:AJ$150,'Working-T05-B1'!$C$8:$C$150,$D35)</f>
        <v>609232700</v>
      </c>
      <c r="AL35" s="84">
        <f t="shared" si="7"/>
        <v>3282201300</v>
      </c>
      <c r="AM35" s="90">
        <f t="shared" si="20"/>
        <v>3891434000</v>
      </c>
      <c r="AO35" s="84">
        <f t="shared" si="21"/>
        <v>0</v>
      </c>
      <c r="AP35" s="82"/>
      <c r="AQ35" s="84">
        <f>SUMIFS('Working-T05-B1'!AP$8:AP$150,'Working-T05-B1'!$C$8:$C$150,$D35)</f>
        <v>0</v>
      </c>
      <c r="AR35" s="84">
        <f>SUMIFS('Working-T05-B1'!AQ$8:AQ$150,'Working-T05-B1'!$C$8:$C$150,$D35)</f>
        <v>0</v>
      </c>
      <c r="AS35" s="84">
        <f t="shared" si="22"/>
        <v>0</v>
      </c>
      <c r="AT35" s="215">
        <f t="shared" si="23"/>
        <v>0</v>
      </c>
      <c r="AV35" s="84">
        <f t="shared" si="24"/>
        <v>0</v>
      </c>
      <c r="AW35" s="82"/>
      <c r="AX35" s="84">
        <f>SUMIFS('Working-T05-B1'!AW$8:AW$150,'Working-T05-B1'!$C$8:$C$150,$D35)</f>
        <v>0</v>
      </c>
      <c r="AY35" s="84">
        <f>SUMIFS('Working-T05-B1'!AX$8:AX$150,'Working-T05-B1'!$C$8:$C$150,$D35)</f>
        <v>0</v>
      </c>
      <c r="AZ35" s="82"/>
      <c r="BA35" s="215">
        <f t="shared" si="25"/>
        <v>0</v>
      </c>
      <c r="BC35" s="87">
        <f>_xlfn.XLOOKUP($G35,'GIÁ XUẤT KHO'!$A$4:$A$97,'GIÁ XUẤT KHO'!$AW$4:$AW$97)*P35</f>
        <v>0</v>
      </c>
      <c r="BD35" s="87">
        <f>_xlfn.XLOOKUP($G35,'GIÁ XUẤT KHO'!$A$4:$A$97,'GIÁ XUẤT KHO'!$AW$4:$AW$97)*Q35</f>
        <v>476312766.19399047</v>
      </c>
      <c r="BE35" s="87">
        <f>_xlfn.XLOOKUP($G35,'GIÁ XUẤT KHO'!$A$4:$A$97,'GIÁ XUẤT KHO'!$AW$4:$AW$97)*R35</f>
        <v>2566103855.5686712</v>
      </c>
      <c r="BF35" s="219">
        <f t="shared" si="26"/>
        <v>3042416621.7626619</v>
      </c>
      <c r="BH35" s="87">
        <f t="shared" si="27"/>
        <v>0</v>
      </c>
      <c r="BI35" s="87">
        <f t="shared" si="8"/>
        <v>132919933.80600953</v>
      </c>
      <c r="BJ35" s="87">
        <f t="shared" si="9"/>
        <v>716097444.43132877</v>
      </c>
      <c r="BK35" s="219">
        <f t="shared" si="28"/>
        <v>849017378.2373383</v>
      </c>
      <c r="BM35" s="215">
        <f t="shared" si="29"/>
        <v>3042416621.7626619</v>
      </c>
      <c r="BN35" s="84">
        <f>SUMIFS('GIÁ XUẤT KHO'!AX$4:AX$97,'GIÁ XUẤT KHO'!$A$4:$A$97,$G35)*$S35</f>
        <v>2196999374.846302</v>
      </c>
      <c r="BO35" s="84">
        <f>SUMIFS('GIÁ XUẤT KHO'!AY$4:AY$97,'GIÁ XUẤT KHO'!$A$4:$A$97,$G35)*$S35</f>
        <v>22315422.141537216</v>
      </c>
      <c r="BP35" s="84">
        <f>SUMIFS('GIÁ XUẤT KHO'!AZ$4:AZ$97,'GIÁ XUẤT KHO'!$A$4:$A$97,$G35)*$S35</f>
        <v>11740.439722178146</v>
      </c>
      <c r="BQ35" s="84">
        <f>SUMIFS('GIÁ XUẤT KHO'!BA$4:BA$97,'GIÁ XUẤT KHO'!$A$4:$A$97,$G35)*$S35</f>
        <v>155983187.34983489</v>
      </c>
      <c r="BR35" s="84">
        <f>SUMIFS('GIÁ XUẤT KHO'!BB$4:BB$97,'GIÁ XUẤT KHO'!$A$4:$A$97,$G35)*$S35</f>
        <v>21421541.80884067</v>
      </c>
      <c r="BS35" s="84">
        <f>SUMIFS('GIÁ XUẤT KHO'!BC$4:BC$97,'GIÁ XUẤT KHO'!$A$4:$A$97,$G35)*$S35</f>
        <v>88002476.637650892</v>
      </c>
      <c r="BT35" s="84">
        <f>SUMIFS('GIÁ XUẤT KHO'!BD$4:BD$97,'GIÁ XUẤT KHO'!$A$4:$A$97,$G35)*$S35</f>
        <v>141553907.07036379</v>
      </c>
      <c r="BU35" s="84">
        <f>SUMIFS('GIÁ XUẤT KHO'!BE$4:BE$97,'GIÁ XUẤT KHO'!$A$4:$A$97,$G35)*$S35</f>
        <v>38492551.200758651</v>
      </c>
      <c r="BV35" s="84">
        <f>SUMIFS('GIÁ XUẤT KHO'!BF$4:BF$97,'GIÁ XUẤT KHO'!$A$4:$A$97,$G35)*$S35</f>
        <v>377636420.26765162</v>
      </c>
      <c r="BW35" s="243">
        <f t="shared" si="30"/>
        <v>0</v>
      </c>
    </row>
    <row r="36" spans="1:75" s="86" customFormat="1" x14ac:dyDescent="0.25">
      <c r="A36" s="86" t="str">
        <f>_xlfn.XLOOKUP($G36,MD_SKU[Mã SKU],MD_SKU[Link vào file BCQT])</f>
        <v>Hạt rPET</v>
      </c>
      <c r="B36" s="86" t="s">
        <v>2890</v>
      </c>
      <c r="C36" s="82" t="s">
        <v>252</v>
      </c>
      <c r="D36" s="82" t="s">
        <v>2804</v>
      </c>
      <c r="E36" s="83" t="s">
        <v>34</v>
      </c>
      <c r="F36" s="82" t="s">
        <v>35</v>
      </c>
      <c r="G36" s="83" t="s">
        <v>33</v>
      </c>
      <c r="H36" s="82" t="s">
        <v>296</v>
      </c>
      <c r="I36" s="83"/>
      <c r="J36" s="83"/>
      <c r="K36" s="84">
        <f>SUMIFS('Working-T05-B1'!L$8:L$150,'Working-T05-B1'!$C$8:$C$150,$D36)</f>
        <v>44000</v>
      </c>
      <c r="L36" s="84" cm="1">
        <f t="array" ref="L36">SUMPRODUCT(Sales!$G$3:$H$100*(Sales!$B$3:$B$100=$D36))</f>
        <v>0</v>
      </c>
      <c r="M36" s="85">
        <f t="shared" si="4"/>
        <v>44000</v>
      </c>
      <c r="N36" s="84">
        <f>SUMIFS(Sales!$I$3:$I$100,Sales!$B$3:$B$100,$D36)</f>
        <v>6311.7965429124197</v>
      </c>
      <c r="P36" s="84">
        <f>SUMIFS('Working-T05-B1'!O$8:O$150,'Working-T05-B1'!$C$8:$C$150,$D36)</f>
        <v>0</v>
      </c>
      <c r="Q36" s="84">
        <f t="shared" si="10"/>
        <v>6311.7965429124197</v>
      </c>
      <c r="R36" s="84">
        <f t="shared" si="11"/>
        <v>0</v>
      </c>
      <c r="S36" s="84">
        <f t="shared" si="12"/>
        <v>6311.7965429124197</v>
      </c>
      <c r="T36" s="127">
        <f t="shared" si="5"/>
        <v>0</v>
      </c>
      <c r="U36" s="88">
        <f t="shared" si="13"/>
        <v>0</v>
      </c>
      <c r="V36" s="88">
        <f t="shared" si="13"/>
        <v>31513</v>
      </c>
      <c r="W36" s="131">
        <f t="shared" si="14"/>
        <v>0</v>
      </c>
      <c r="X36" s="88">
        <f t="shared" si="15"/>
        <v>31513</v>
      </c>
      <c r="Y36" s="87"/>
      <c r="Z36" s="84"/>
      <c r="AA36" s="118">
        <f t="shared" si="31"/>
        <v>1</v>
      </c>
      <c r="AB36" s="118">
        <f t="shared" si="31"/>
        <v>1</v>
      </c>
      <c r="AC36" s="84">
        <f t="shared" si="16"/>
        <v>1</v>
      </c>
      <c r="AD36" s="87"/>
      <c r="AE36" s="84">
        <f t="shared" si="17"/>
        <v>0</v>
      </c>
      <c r="AF36" s="84">
        <f t="shared" si="18"/>
        <v>31513</v>
      </c>
      <c r="AG36" s="84">
        <f t="shared" si="19"/>
        <v>0</v>
      </c>
      <c r="AH36" s="84"/>
      <c r="AI36" s="87"/>
      <c r="AJ36" s="89">
        <f>SUMIFS('Working-T05-B1'!AI$8:AI$150,'Working-T05-B1'!$C$8:$C$150,$D36)</f>
        <v>0</v>
      </c>
      <c r="AK36" s="84">
        <f>SUMIFS('Working-T05-B1'!AJ$8:AJ$150,'Working-T05-B1'!$C$8:$C$150,$D36)</f>
        <v>198903644.45679909</v>
      </c>
      <c r="AL36" s="84">
        <f t="shared" si="7"/>
        <v>0</v>
      </c>
      <c r="AM36" s="90">
        <f t="shared" si="20"/>
        <v>198903644.45679909</v>
      </c>
      <c r="AO36" s="84">
        <f t="shared" si="21"/>
        <v>0</v>
      </c>
      <c r="AP36" s="82"/>
      <c r="AQ36" s="84">
        <f>SUMIFS('Working-T05-B1'!AP$8:AP$150,'Working-T05-B1'!$C$8:$C$150,$D36)</f>
        <v>0</v>
      </c>
      <c r="AR36" s="84">
        <f>SUMIFS('Working-T05-B1'!AQ$8:AQ$150,'Working-T05-B1'!$C$8:$C$150,$D36)</f>
        <v>0</v>
      </c>
      <c r="AS36" s="84">
        <f t="shared" si="22"/>
        <v>0</v>
      </c>
      <c r="AT36" s="215">
        <f t="shared" si="23"/>
        <v>0</v>
      </c>
      <c r="AV36" s="84">
        <f t="shared" si="24"/>
        <v>0</v>
      </c>
      <c r="AW36" s="82"/>
      <c r="AX36" s="84">
        <f>SUMIFS('Working-T05-B1'!AW$8:AW$150,'Working-T05-B1'!$C$8:$C$150,$D36)</f>
        <v>0</v>
      </c>
      <c r="AY36" s="84">
        <f>SUMIFS('Working-T05-B1'!AX$8:AX$150,'Working-T05-B1'!$C$8:$C$150,$D36)</f>
        <v>0</v>
      </c>
      <c r="AZ36" s="82"/>
      <c r="BA36" s="215">
        <f t="shared" si="25"/>
        <v>0</v>
      </c>
      <c r="BC36" s="87">
        <f>_xlfn.XLOOKUP($G36,'GIÁ XUẤT KHO'!$A$4:$A$97,'GIÁ XUẤT KHO'!$AW$4:$AW$97)*P36</f>
        <v>0</v>
      </c>
      <c r="BD36" s="87">
        <f>_xlfn.XLOOKUP($G36,'GIÁ XUẤT KHO'!$A$4:$A$97,'GIÁ XUẤT KHO'!$AW$4:$AW$97)*Q36</f>
        <v>157402579.63394138</v>
      </c>
      <c r="BE36" s="87">
        <f>_xlfn.XLOOKUP($G36,'GIÁ XUẤT KHO'!$A$4:$A$97,'GIÁ XUẤT KHO'!$AW$4:$AW$97)*R36</f>
        <v>0</v>
      </c>
      <c r="BF36" s="219">
        <f t="shared" si="26"/>
        <v>157402579.63394138</v>
      </c>
      <c r="BH36" s="87">
        <f t="shared" si="27"/>
        <v>0</v>
      </c>
      <c r="BI36" s="87">
        <f t="shared" si="8"/>
        <v>41501064.822857708</v>
      </c>
      <c r="BJ36" s="87">
        <f t="shared" si="9"/>
        <v>0</v>
      </c>
      <c r="BK36" s="219">
        <f t="shared" si="28"/>
        <v>41501064.822857708</v>
      </c>
      <c r="BM36" s="215">
        <f t="shared" si="29"/>
        <v>157402579.63394141</v>
      </c>
      <c r="BN36" s="84">
        <f>SUMIFS('GIÁ XUẤT KHO'!AX$4:AX$97,'GIÁ XUẤT KHO'!$A$4:$A$97,$G36)*$S36</f>
        <v>113664041.46668553</v>
      </c>
      <c r="BO36" s="84">
        <f>SUMIFS('GIÁ XUẤT KHO'!AY$4:AY$97,'GIÁ XUẤT KHO'!$A$4:$A$97,$G36)*$S36</f>
        <v>1154511.5108736546</v>
      </c>
      <c r="BP36" s="84">
        <f>SUMIFS('GIÁ XUẤT KHO'!AZ$4:AZ$97,'GIÁ XUẤT KHO'!$A$4:$A$97,$G36)*$S36</f>
        <v>607.4038266452103</v>
      </c>
      <c r="BQ36" s="84">
        <f>SUMIFS('GIÁ XUẤT KHO'!BA$4:BA$97,'GIÁ XUẤT KHO'!$A$4:$A$97,$G36)*$S36</f>
        <v>8069951.9890749846</v>
      </c>
      <c r="BR36" s="84">
        <f>SUMIFS('GIÁ XUẤT KHO'!BB$4:BB$97,'GIÁ XUẤT KHO'!$A$4:$A$97,$G36)*$S36</f>
        <v>1108265.6846958557</v>
      </c>
      <c r="BS36" s="84">
        <f>SUMIFS('GIÁ XUẤT KHO'!BC$4:BC$97,'GIÁ XUẤT KHO'!$A$4:$A$97,$G36)*$S36</f>
        <v>4552899.4082725886</v>
      </c>
      <c r="BT36" s="84">
        <f>SUMIFS('GIÁ XUẤT KHO'!BD$4:BD$97,'GIÁ XUẤT KHO'!$A$4:$A$97,$G36)*$S36</f>
        <v>7323438.2072333451</v>
      </c>
      <c r="BU36" s="84">
        <f>SUMIFS('GIÁ XUẤT KHO'!BE$4:BE$97,'GIÁ XUẤT KHO'!$A$4:$A$97,$G36)*$S36</f>
        <v>1991452.0622690797</v>
      </c>
      <c r="BV36" s="84">
        <f>SUMIFS('GIÁ XUẤT KHO'!BF$4:BF$97,'GIÁ XUẤT KHO'!$A$4:$A$97,$G36)*$S36</f>
        <v>19537411.901009712</v>
      </c>
      <c r="BW36" s="243">
        <f t="shared" si="30"/>
        <v>0</v>
      </c>
    </row>
    <row r="37" spans="1:75" s="86" customFormat="1" x14ac:dyDescent="0.25">
      <c r="A37" s="86" t="str">
        <f>_xlfn.XLOOKUP($G37,MD_SKU[Mã SKU],MD_SKU[Link vào file BCQT])</f>
        <v>Hạt rHDPE thổi</v>
      </c>
      <c r="B37" s="86" t="s">
        <v>2890</v>
      </c>
      <c r="C37" s="82" t="s">
        <v>252</v>
      </c>
      <c r="D37" s="82" t="s">
        <v>2843</v>
      </c>
      <c r="E37" s="83" t="s">
        <v>2354</v>
      </c>
      <c r="F37" s="82" t="s">
        <v>2355</v>
      </c>
      <c r="G37" s="83" t="s">
        <v>38</v>
      </c>
      <c r="H37" s="82" t="s">
        <v>288</v>
      </c>
      <c r="I37" s="83"/>
      <c r="J37" s="83"/>
      <c r="K37" s="84">
        <f>SUMIFS('Working-T05-B1'!L$8:L$150,'Working-T05-B1'!$C$8:$C$150,$D37)</f>
        <v>66000</v>
      </c>
      <c r="L37" s="84" cm="1">
        <f t="array" ref="L37">SUMPRODUCT(Sales!$G$3:$H$100*(Sales!$B$3:$B$100=$D37))</f>
        <v>0</v>
      </c>
      <c r="M37" s="85">
        <f t="shared" si="4"/>
        <v>66000</v>
      </c>
      <c r="N37" s="84">
        <f>SUMIFS(Sales!$I$3:$I$100,Sales!$B$3:$B$100,$D37)</f>
        <v>0</v>
      </c>
      <c r="P37" s="84">
        <f>SUMIFS('Working-T05-B1'!O$8:O$150,'Working-T05-B1'!$C$8:$C$150,$D37)</f>
        <v>0</v>
      </c>
      <c r="Q37" s="84">
        <f t="shared" si="10"/>
        <v>0</v>
      </c>
      <c r="R37" s="84">
        <f t="shared" si="11"/>
        <v>0</v>
      </c>
      <c r="S37" s="84">
        <f t="shared" si="12"/>
        <v>0</v>
      </c>
      <c r="T37" s="127">
        <f t="shared" si="5"/>
        <v>0</v>
      </c>
      <c r="U37" s="88">
        <f t="shared" si="13"/>
        <v>0</v>
      </c>
      <c r="V37" s="88">
        <f t="shared" si="13"/>
        <v>0</v>
      </c>
      <c r="W37" s="131">
        <f t="shared" si="14"/>
        <v>0</v>
      </c>
      <c r="X37" s="88">
        <f t="shared" si="15"/>
        <v>0</v>
      </c>
      <c r="Y37" s="87"/>
      <c r="Z37" s="84"/>
      <c r="AA37" s="118">
        <f t="shared" si="31"/>
        <v>1</v>
      </c>
      <c r="AB37" s="118">
        <f t="shared" si="31"/>
        <v>1</v>
      </c>
      <c r="AC37" s="84">
        <f t="shared" si="16"/>
        <v>0</v>
      </c>
      <c r="AD37" s="87"/>
      <c r="AE37" s="84">
        <f t="shared" si="17"/>
        <v>0</v>
      </c>
      <c r="AF37" s="84">
        <f t="shared" si="18"/>
        <v>0</v>
      </c>
      <c r="AG37" s="84">
        <f t="shared" si="19"/>
        <v>0</v>
      </c>
      <c r="AH37" s="84"/>
      <c r="AI37" s="87"/>
      <c r="AJ37" s="89">
        <f>SUMIFS('Working-T05-B1'!AI$8:AI$150,'Working-T05-B1'!$C$8:$C$150,$D37)</f>
        <v>0</v>
      </c>
      <c r="AK37" s="84">
        <f>SUMIFS('Working-T05-B1'!AJ$8:AJ$150,'Working-T05-B1'!$C$8:$C$150,$D37)</f>
        <v>0</v>
      </c>
      <c r="AL37" s="84">
        <f t="shared" si="7"/>
        <v>0</v>
      </c>
      <c r="AM37" s="90">
        <f t="shared" si="20"/>
        <v>0</v>
      </c>
      <c r="AO37" s="84">
        <f t="shared" si="21"/>
        <v>0</v>
      </c>
      <c r="AP37" s="82"/>
      <c r="AQ37" s="84">
        <f>SUMIFS('Working-T05-B1'!AP$8:AP$150,'Working-T05-B1'!$C$8:$C$150,$D37)</f>
        <v>0</v>
      </c>
      <c r="AR37" s="84">
        <f>SUMIFS('Working-T05-B1'!AQ$8:AQ$150,'Working-T05-B1'!$C$8:$C$150,$D37)</f>
        <v>0</v>
      </c>
      <c r="AS37" s="84">
        <f t="shared" si="22"/>
        <v>0</v>
      </c>
      <c r="AT37" s="215">
        <f t="shared" si="23"/>
        <v>0</v>
      </c>
      <c r="AV37" s="84">
        <f t="shared" si="24"/>
        <v>0</v>
      </c>
      <c r="AW37" s="82"/>
      <c r="AX37" s="84">
        <f>SUMIFS('Working-T05-B1'!AW$8:AW$150,'Working-T05-B1'!$C$8:$C$150,$D37)</f>
        <v>0</v>
      </c>
      <c r="AY37" s="84">
        <f>SUMIFS('Working-T05-B1'!AX$8:AX$150,'Working-T05-B1'!$C$8:$C$150,$D37)</f>
        <v>0</v>
      </c>
      <c r="AZ37" s="82"/>
      <c r="BA37" s="215">
        <f t="shared" si="25"/>
        <v>0</v>
      </c>
      <c r="BC37" s="87">
        <f>_xlfn.XLOOKUP($G37,'GIÁ XUẤT KHO'!$A$4:$A$97,'GIÁ XUẤT KHO'!$AW$4:$AW$97)*P37</f>
        <v>0</v>
      </c>
      <c r="BD37" s="87">
        <f>_xlfn.XLOOKUP($G37,'GIÁ XUẤT KHO'!$A$4:$A$97,'GIÁ XUẤT KHO'!$AW$4:$AW$97)*Q37</f>
        <v>0</v>
      </c>
      <c r="BE37" s="87">
        <f>_xlfn.XLOOKUP($G37,'GIÁ XUẤT KHO'!$A$4:$A$97,'GIÁ XUẤT KHO'!$AW$4:$AW$97)*R37</f>
        <v>0</v>
      </c>
      <c r="BF37" s="219">
        <f t="shared" si="26"/>
        <v>0</v>
      </c>
      <c r="BH37" s="87">
        <f t="shared" si="27"/>
        <v>0</v>
      </c>
      <c r="BI37" s="87">
        <f t="shared" si="8"/>
        <v>0</v>
      </c>
      <c r="BJ37" s="87">
        <f t="shared" si="9"/>
        <v>0</v>
      </c>
      <c r="BK37" s="219">
        <f t="shared" si="28"/>
        <v>0</v>
      </c>
      <c r="BM37" s="215">
        <f t="shared" si="29"/>
        <v>0</v>
      </c>
      <c r="BN37" s="84">
        <f>SUMIFS('GIÁ XUẤT KHO'!AX$4:AX$97,'GIÁ XUẤT KHO'!$A$4:$A$97,$G37)*$S37</f>
        <v>0</v>
      </c>
      <c r="BO37" s="84">
        <f>SUMIFS('GIÁ XUẤT KHO'!AY$4:AY$97,'GIÁ XUẤT KHO'!$A$4:$A$97,$G37)*$S37</f>
        <v>0</v>
      </c>
      <c r="BP37" s="84">
        <f>SUMIFS('GIÁ XUẤT KHO'!AZ$4:AZ$97,'GIÁ XUẤT KHO'!$A$4:$A$97,$G37)*$S37</f>
        <v>0</v>
      </c>
      <c r="BQ37" s="84">
        <f>SUMIFS('GIÁ XUẤT KHO'!BA$4:BA$97,'GIÁ XUẤT KHO'!$A$4:$A$97,$G37)*$S37</f>
        <v>0</v>
      </c>
      <c r="BR37" s="84">
        <f>SUMIFS('GIÁ XUẤT KHO'!BB$4:BB$97,'GIÁ XUẤT KHO'!$A$4:$A$97,$G37)*$S37</f>
        <v>0</v>
      </c>
      <c r="BS37" s="84">
        <f>SUMIFS('GIÁ XUẤT KHO'!BC$4:BC$97,'GIÁ XUẤT KHO'!$A$4:$A$97,$G37)*$S37</f>
        <v>0</v>
      </c>
      <c r="BT37" s="84">
        <f>SUMIFS('GIÁ XUẤT KHO'!BD$4:BD$97,'GIÁ XUẤT KHO'!$A$4:$A$97,$G37)*$S37</f>
        <v>0</v>
      </c>
      <c r="BU37" s="84">
        <f>SUMIFS('GIÁ XUẤT KHO'!BE$4:BE$97,'GIÁ XUẤT KHO'!$A$4:$A$97,$G37)*$S37</f>
        <v>0</v>
      </c>
      <c r="BV37" s="84">
        <f>SUMIFS('GIÁ XUẤT KHO'!BF$4:BF$97,'GIÁ XUẤT KHO'!$A$4:$A$97,$G37)*$S37</f>
        <v>0</v>
      </c>
      <c r="BW37" s="243">
        <f t="shared" si="30"/>
        <v>0</v>
      </c>
    </row>
    <row r="38" spans="1:75" s="86" customFormat="1" x14ac:dyDescent="0.25">
      <c r="A38" s="86" t="str">
        <f>_xlfn.XLOOKUP($G38,MD_SKU[Mã SKU],MD_SKU[Link vào file BCQT])</f>
        <v>Hạt rPP</v>
      </c>
      <c r="B38" s="86" t="s">
        <v>2890</v>
      </c>
      <c r="C38" s="82" t="s">
        <v>252</v>
      </c>
      <c r="D38" s="82" t="s">
        <v>2844</v>
      </c>
      <c r="E38" s="83" t="s">
        <v>2635</v>
      </c>
      <c r="F38" s="82" t="s">
        <v>2623</v>
      </c>
      <c r="G38" s="83" t="s">
        <v>799</v>
      </c>
      <c r="H38" s="82" t="s">
        <v>800</v>
      </c>
      <c r="I38" s="83"/>
      <c r="J38" s="83"/>
      <c r="K38" s="84">
        <f>SUMIFS('Working-T05-B1'!L$8:L$150,'Working-T05-B1'!$C$8:$C$150,$D38)</f>
        <v>500</v>
      </c>
      <c r="L38" s="84" cm="1">
        <f t="array" ref="L38">SUMPRODUCT(Sales!$G$3:$H$100*(Sales!$B$3:$B$100=$D38))</f>
        <v>0</v>
      </c>
      <c r="M38" s="85">
        <f t="shared" si="4"/>
        <v>500</v>
      </c>
      <c r="N38" s="84">
        <f>SUMIFS(Sales!$I$3:$I$100,Sales!$B$3:$B$100,$D38)</f>
        <v>0</v>
      </c>
      <c r="P38" s="84">
        <f>SUMIFS('Working-T05-B1'!O$8:O$150,'Working-T05-B1'!$C$8:$C$150,$D38)</f>
        <v>0</v>
      </c>
      <c r="Q38" s="84">
        <f t="shared" si="10"/>
        <v>0</v>
      </c>
      <c r="R38" s="84">
        <f t="shared" si="11"/>
        <v>0</v>
      </c>
      <c r="S38" s="84">
        <f t="shared" si="12"/>
        <v>0</v>
      </c>
      <c r="T38" s="127">
        <f t="shared" si="5"/>
        <v>0</v>
      </c>
      <c r="U38" s="88">
        <f t="shared" si="13"/>
        <v>0</v>
      </c>
      <c r="V38" s="88">
        <f t="shared" si="13"/>
        <v>0</v>
      </c>
      <c r="W38" s="131">
        <f t="shared" si="14"/>
        <v>0</v>
      </c>
      <c r="X38" s="88">
        <f t="shared" si="15"/>
        <v>0</v>
      </c>
      <c r="Y38" s="87"/>
      <c r="Z38" s="84"/>
      <c r="AA38" s="118">
        <f t="shared" si="31"/>
        <v>1</v>
      </c>
      <c r="AB38" s="118">
        <f t="shared" si="31"/>
        <v>1</v>
      </c>
      <c r="AC38" s="84">
        <f t="shared" si="16"/>
        <v>0</v>
      </c>
      <c r="AD38" s="87"/>
      <c r="AE38" s="84">
        <f t="shared" si="17"/>
        <v>0</v>
      </c>
      <c r="AF38" s="84">
        <f t="shared" si="18"/>
        <v>0</v>
      </c>
      <c r="AG38" s="84">
        <f t="shared" si="19"/>
        <v>0</v>
      </c>
      <c r="AH38" s="84"/>
      <c r="AI38" s="87"/>
      <c r="AJ38" s="89">
        <f>SUMIFS('Working-T05-B1'!AI$8:AI$150,'Working-T05-B1'!$C$8:$C$150,$D38)</f>
        <v>0</v>
      </c>
      <c r="AK38" s="84">
        <f>SUMIFS('Working-T05-B1'!AJ$8:AJ$150,'Working-T05-B1'!$C$8:$C$150,$D38)</f>
        <v>0</v>
      </c>
      <c r="AL38" s="84">
        <f t="shared" si="7"/>
        <v>0</v>
      </c>
      <c r="AM38" s="90">
        <f t="shared" si="20"/>
        <v>0</v>
      </c>
      <c r="AO38" s="84">
        <f t="shared" si="21"/>
        <v>0</v>
      </c>
      <c r="AP38" s="82"/>
      <c r="AQ38" s="84">
        <f>SUMIFS('Working-T05-B1'!AP$8:AP$150,'Working-T05-B1'!$C$8:$C$150,$D38)</f>
        <v>0</v>
      </c>
      <c r="AR38" s="84">
        <f>SUMIFS('Working-T05-B1'!AQ$8:AQ$150,'Working-T05-B1'!$C$8:$C$150,$D38)</f>
        <v>0</v>
      </c>
      <c r="AS38" s="84">
        <f t="shared" si="22"/>
        <v>0</v>
      </c>
      <c r="AT38" s="215">
        <f t="shared" si="23"/>
        <v>0</v>
      </c>
      <c r="AV38" s="84">
        <f t="shared" si="24"/>
        <v>0</v>
      </c>
      <c r="AW38" s="82"/>
      <c r="AX38" s="84">
        <f>SUMIFS('Working-T05-B1'!AW$8:AW$150,'Working-T05-B1'!$C$8:$C$150,$D38)</f>
        <v>0</v>
      </c>
      <c r="AY38" s="84">
        <f>SUMIFS('Working-T05-B1'!AX$8:AX$150,'Working-T05-B1'!$C$8:$C$150,$D38)</f>
        <v>0</v>
      </c>
      <c r="AZ38" s="82"/>
      <c r="BA38" s="215">
        <f t="shared" si="25"/>
        <v>0</v>
      </c>
      <c r="BC38" s="87">
        <f>_xlfn.XLOOKUP($G38,'GIÁ XUẤT KHO'!$A$4:$A$97,'GIÁ XUẤT KHO'!$AW$4:$AW$97)*P38</f>
        <v>0</v>
      </c>
      <c r="BD38" s="87">
        <f>_xlfn.XLOOKUP($G38,'GIÁ XUẤT KHO'!$A$4:$A$97,'GIÁ XUẤT KHO'!$AW$4:$AW$97)*Q38</f>
        <v>0</v>
      </c>
      <c r="BE38" s="87">
        <f>_xlfn.XLOOKUP($G38,'GIÁ XUẤT KHO'!$A$4:$A$97,'GIÁ XUẤT KHO'!$AW$4:$AW$97)*R38</f>
        <v>0</v>
      </c>
      <c r="BF38" s="219">
        <f t="shared" si="26"/>
        <v>0</v>
      </c>
      <c r="BH38" s="87">
        <f t="shared" si="27"/>
        <v>0</v>
      </c>
      <c r="BI38" s="87">
        <f t="shared" si="8"/>
        <v>0</v>
      </c>
      <c r="BJ38" s="87">
        <f t="shared" si="9"/>
        <v>0</v>
      </c>
      <c r="BK38" s="219">
        <f t="shared" si="28"/>
        <v>0</v>
      </c>
      <c r="BM38" s="215">
        <f t="shared" si="29"/>
        <v>0</v>
      </c>
      <c r="BN38" s="84">
        <f>SUMIFS('GIÁ XUẤT KHO'!AX$4:AX$97,'GIÁ XUẤT KHO'!$A$4:$A$97,$G38)*$S38</f>
        <v>0</v>
      </c>
      <c r="BO38" s="84">
        <f>SUMIFS('GIÁ XUẤT KHO'!AY$4:AY$97,'GIÁ XUẤT KHO'!$A$4:$A$97,$G38)*$S38</f>
        <v>0</v>
      </c>
      <c r="BP38" s="84">
        <f>SUMIFS('GIÁ XUẤT KHO'!AZ$4:AZ$97,'GIÁ XUẤT KHO'!$A$4:$A$97,$G38)*$S38</f>
        <v>0</v>
      </c>
      <c r="BQ38" s="84">
        <f>SUMIFS('GIÁ XUẤT KHO'!BA$4:BA$97,'GIÁ XUẤT KHO'!$A$4:$A$97,$G38)*$S38</f>
        <v>0</v>
      </c>
      <c r="BR38" s="84">
        <f>SUMIFS('GIÁ XUẤT KHO'!BB$4:BB$97,'GIÁ XUẤT KHO'!$A$4:$A$97,$G38)*$S38</f>
        <v>0</v>
      </c>
      <c r="BS38" s="84">
        <f>SUMIFS('GIÁ XUẤT KHO'!BC$4:BC$97,'GIÁ XUẤT KHO'!$A$4:$A$97,$G38)*$S38</f>
        <v>0</v>
      </c>
      <c r="BT38" s="84">
        <f>SUMIFS('GIÁ XUẤT KHO'!BD$4:BD$97,'GIÁ XUẤT KHO'!$A$4:$A$97,$G38)*$S38</f>
        <v>0</v>
      </c>
      <c r="BU38" s="84">
        <f>SUMIFS('GIÁ XUẤT KHO'!BE$4:BE$97,'GIÁ XUẤT KHO'!$A$4:$A$97,$G38)*$S38</f>
        <v>0</v>
      </c>
      <c r="BV38" s="84">
        <f>SUMIFS('GIÁ XUẤT KHO'!BF$4:BF$97,'GIÁ XUẤT KHO'!$A$4:$A$97,$G38)*$S38</f>
        <v>0</v>
      </c>
      <c r="BW38" s="243">
        <f t="shared" si="30"/>
        <v>0</v>
      </c>
    </row>
    <row r="39" spans="1:75" s="108" customFormat="1" x14ac:dyDescent="0.25">
      <c r="A39" s="108" t="str">
        <f>_xlfn.XLOOKUP($G39,MD_SKU[Mã SKU],MD_SKU[Link vào file BCQT])</f>
        <v>Hạt rPET</v>
      </c>
      <c r="B39" s="108" t="s">
        <v>2895</v>
      </c>
      <c r="C39" s="109" t="str">
        <f t="shared" ref="C39:C71" si="32">IF(LEFT($E39,1)="2","XK","NĐ")</f>
        <v>NĐ</v>
      </c>
      <c r="D39" s="109" t="s">
        <v>3055</v>
      </c>
      <c r="E39" s="110" t="s">
        <v>8</v>
      </c>
      <c r="F39" s="109" t="s">
        <v>2429</v>
      </c>
      <c r="G39" s="110" t="s">
        <v>33</v>
      </c>
      <c r="H39" s="109" t="s">
        <v>2863</v>
      </c>
      <c r="I39" s="110"/>
      <c r="J39" s="110" t="s">
        <v>2639</v>
      </c>
      <c r="K39" s="111"/>
      <c r="L39" s="111"/>
      <c r="M39" s="112"/>
      <c r="N39" s="111">
        <f>SUMIFS(Sales!$I$3:$I$100,Sales!$B$3:$B$100,$D39)</f>
        <v>6311.7965429124197</v>
      </c>
      <c r="P39" s="111"/>
      <c r="Q39" s="111"/>
      <c r="R39" s="111">
        <f t="shared" si="11"/>
        <v>6311.7965429124197</v>
      </c>
      <c r="S39" s="111">
        <f t="shared" si="12"/>
        <v>6311.7965429124197</v>
      </c>
      <c r="T39" s="128"/>
      <c r="U39" s="114"/>
      <c r="V39" s="114"/>
      <c r="W39" s="131">
        <f>1.28*EXR_FC05</f>
        <v>33664</v>
      </c>
      <c r="X39" s="114">
        <f t="shared" si="15"/>
        <v>33664</v>
      </c>
      <c r="Y39" s="113"/>
      <c r="Z39" s="111"/>
      <c r="AA39" s="120">
        <f t="shared" si="31"/>
        <v>1</v>
      </c>
      <c r="AB39" s="120">
        <f t="shared" si="31"/>
        <v>1</v>
      </c>
      <c r="AC39" s="111">
        <f t="shared" ref="AC39:AC71" si="33">IFERROR(SUMPRODUCT(AJ39:AL39,Z39:AB39)/AM39,0)</f>
        <v>1</v>
      </c>
      <c r="AD39" s="113"/>
      <c r="AE39" s="111"/>
      <c r="AF39" s="111"/>
      <c r="AG39" s="111">
        <f t="shared" si="19"/>
        <v>33664</v>
      </c>
      <c r="AH39" s="111"/>
      <c r="AI39" s="113"/>
      <c r="AJ39" s="115"/>
      <c r="AK39" s="111"/>
      <c r="AL39" s="111">
        <f t="shared" si="7"/>
        <v>212480318.8206037</v>
      </c>
      <c r="AM39" s="116">
        <f t="shared" si="20"/>
        <v>212480318.8206037</v>
      </c>
      <c r="AO39" s="111"/>
      <c r="AP39" s="109"/>
      <c r="AQ39" s="111"/>
      <c r="AR39" s="111"/>
      <c r="AS39" s="111">
        <f t="shared" ref="AS39:AS71" si="34">AO39*R39</f>
        <v>0</v>
      </c>
      <c r="AT39" s="244">
        <f t="shared" ref="AT39:AT71" si="35">SUM(AQ39:AS39)</f>
        <v>0</v>
      </c>
      <c r="AV39" s="111"/>
      <c r="AW39" s="109"/>
      <c r="AX39" s="111"/>
      <c r="AY39" s="111"/>
      <c r="AZ39" s="109"/>
      <c r="BA39" s="244">
        <f t="shared" si="25"/>
        <v>0</v>
      </c>
      <c r="BC39" s="113"/>
      <c r="BD39" s="113"/>
      <c r="BE39" s="113">
        <f>_xlfn.XLOOKUP($G39,'GIÁ XUẤT KHO'!$A$4:$A$97,'GIÁ XUẤT KHO'!$AW$4:$AW$97)*R39</f>
        <v>157402579.63394138</v>
      </c>
      <c r="BF39" s="221">
        <f t="shared" si="26"/>
        <v>157402579.63394138</v>
      </c>
      <c r="BH39" s="113"/>
      <c r="BI39" s="113">
        <f t="shared" ref="BI39:BI71" si="36">AK39-BD39</f>
        <v>0</v>
      </c>
      <c r="BJ39" s="113">
        <f>AL39-BE39</f>
        <v>55077739.186662316</v>
      </c>
      <c r="BK39" s="221">
        <f t="shared" si="28"/>
        <v>55077739.186662316</v>
      </c>
      <c r="BM39" s="244">
        <f t="shared" ref="BM39:BM71" si="37">SUM(BN39:BV39)</f>
        <v>157402579.63394141</v>
      </c>
      <c r="BN39" s="111">
        <f>SUMIFS('GIÁ XUẤT KHO'!AX$4:AX$97,'GIÁ XUẤT KHO'!$A$4:$A$97,$G39)*$S39</f>
        <v>113664041.46668553</v>
      </c>
      <c r="BO39" s="111">
        <f>SUMIFS('GIÁ XUẤT KHO'!AY$4:AY$97,'GIÁ XUẤT KHO'!$A$4:$A$97,$G39)*$S39</f>
        <v>1154511.5108736546</v>
      </c>
      <c r="BP39" s="111">
        <f>SUMIFS('GIÁ XUẤT KHO'!AZ$4:AZ$97,'GIÁ XUẤT KHO'!$A$4:$A$97,$G39)*$S39</f>
        <v>607.4038266452103</v>
      </c>
      <c r="BQ39" s="111">
        <f>SUMIFS('GIÁ XUẤT KHO'!BA$4:BA$97,'GIÁ XUẤT KHO'!$A$4:$A$97,$G39)*$S39</f>
        <v>8069951.9890749846</v>
      </c>
      <c r="BR39" s="111">
        <f>SUMIFS('GIÁ XUẤT KHO'!BB$4:BB$97,'GIÁ XUẤT KHO'!$A$4:$A$97,$G39)*$S39</f>
        <v>1108265.6846958557</v>
      </c>
      <c r="BS39" s="111">
        <f>SUMIFS('GIÁ XUẤT KHO'!BC$4:BC$97,'GIÁ XUẤT KHO'!$A$4:$A$97,$G39)*$S39</f>
        <v>4552899.4082725886</v>
      </c>
      <c r="BT39" s="111">
        <f>SUMIFS('GIÁ XUẤT KHO'!BD$4:BD$97,'GIÁ XUẤT KHO'!$A$4:$A$97,$G39)*$S39</f>
        <v>7323438.2072333451</v>
      </c>
      <c r="BU39" s="111">
        <f>SUMIFS('GIÁ XUẤT KHO'!BE$4:BE$97,'GIÁ XUẤT KHO'!$A$4:$A$97,$G39)*$S39</f>
        <v>1991452.0622690797</v>
      </c>
      <c r="BV39" s="111">
        <f>SUMIFS('GIÁ XUẤT KHO'!BF$4:BF$97,'GIÁ XUẤT KHO'!$A$4:$A$97,$G39)*$S39</f>
        <v>19537411.901009712</v>
      </c>
      <c r="BW39" s="245">
        <f>BM39-BF39</f>
        <v>0</v>
      </c>
    </row>
    <row r="40" spans="1:75" s="108" customFormat="1" x14ac:dyDescent="0.25">
      <c r="A40" s="108" t="str">
        <f>_xlfn.XLOOKUP($G40,MD_SKU[Mã SKU],MD_SKU[Link vào file BCQT])</f>
        <v>Hạt rHDPE ép</v>
      </c>
      <c r="B40" s="108" t="s">
        <v>2895</v>
      </c>
      <c r="C40" s="109" t="str">
        <f t="shared" si="32"/>
        <v>NĐ</v>
      </c>
      <c r="D40" s="109" t="s">
        <v>2829</v>
      </c>
      <c r="E40" s="110" t="s">
        <v>8</v>
      </c>
      <c r="F40" s="109" t="s">
        <v>2429</v>
      </c>
      <c r="G40" s="110" t="s">
        <v>309</v>
      </c>
      <c r="H40" s="109" t="s">
        <v>310</v>
      </c>
      <c r="I40" s="110"/>
      <c r="J40" s="110" t="s">
        <v>2639</v>
      </c>
      <c r="K40" s="111"/>
      <c r="L40" s="111"/>
      <c r="M40" s="112"/>
      <c r="N40" s="111">
        <f>SUMIFS(Sales!$I$3:$I$100,Sales!$B$3:$B$100,$D40)</f>
        <v>6920.9129249295729</v>
      </c>
      <c r="P40" s="111"/>
      <c r="Q40" s="111"/>
      <c r="R40" s="111">
        <f t="shared" si="11"/>
        <v>6920.9129249295729</v>
      </c>
      <c r="S40" s="111">
        <f t="shared" si="12"/>
        <v>6920.9129249295729</v>
      </c>
      <c r="T40" s="128"/>
      <c r="U40" s="114"/>
      <c r="V40" s="114"/>
      <c r="W40" s="131">
        <f>1.23*EXR_FC05</f>
        <v>32349</v>
      </c>
      <c r="X40" s="114">
        <f t="shared" si="15"/>
        <v>32349</v>
      </c>
      <c r="Y40" s="113"/>
      <c r="Z40" s="111"/>
      <c r="AA40" s="120">
        <f t="shared" si="31"/>
        <v>1</v>
      </c>
      <c r="AB40" s="120">
        <f t="shared" si="31"/>
        <v>1</v>
      </c>
      <c r="AC40" s="111">
        <f t="shared" si="33"/>
        <v>1</v>
      </c>
      <c r="AD40" s="113"/>
      <c r="AE40" s="111"/>
      <c r="AF40" s="111"/>
      <c r="AG40" s="111">
        <f t="shared" si="19"/>
        <v>32349</v>
      </c>
      <c r="AH40" s="111"/>
      <c r="AI40" s="113"/>
      <c r="AJ40" s="115"/>
      <c r="AK40" s="111"/>
      <c r="AL40" s="111">
        <f t="shared" si="7"/>
        <v>223884612.20854676</v>
      </c>
      <c r="AM40" s="116">
        <f t="shared" si="20"/>
        <v>223884612.20854676</v>
      </c>
      <c r="AO40" s="111"/>
      <c r="AP40" s="109"/>
      <c r="AQ40" s="111"/>
      <c r="AR40" s="111"/>
      <c r="AS40" s="111">
        <f t="shared" si="34"/>
        <v>0</v>
      </c>
      <c r="AT40" s="244">
        <f t="shared" si="35"/>
        <v>0</v>
      </c>
      <c r="AV40" s="111"/>
      <c r="AW40" s="109"/>
      <c r="AX40" s="111"/>
      <c r="AY40" s="111"/>
      <c r="AZ40" s="109"/>
      <c r="BA40" s="244">
        <f t="shared" si="25"/>
        <v>0</v>
      </c>
      <c r="BC40" s="113"/>
      <c r="BD40" s="113"/>
      <c r="BE40" s="113">
        <f>_xlfn.XLOOKUP($G40,'GIÁ XUẤT KHO'!$A$4:$A$97,'GIÁ XUẤT KHO'!$AW$4:$AW$97)*R40</f>
        <v>330727481.82842845</v>
      </c>
      <c r="BF40" s="221">
        <f t="shared" si="26"/>
        <v>330727481.82842845</v>
      </c>
      <c r="BH40" s="113"/>
      <c r="BI40" s="113">
        <f t="shared" si="36"/>
        <v>0</v>
      </c>
      <c r="BJ40" s="113">
        <f t="shared" ref="BJ40:BJ71" si="38">AL40-BE40</f>
        <v>-106842869.61988169</v>
      </c>
      <c r="BK40" s="221">
        <f t="shared" si="28"/>
        <v>-106842869.61988169</v>
      </c>
      <c r="BM40" s="244">
        <f t="shared" si="37"/>
        <v>330727481.82842845</v>
      </c>
      <c r="BN40" s="111">
        <f>SUMIFS('GIÁ XUẤT KHO'!AX$4:AX$97,'GIÁ XUẤT KHO'!$A$4:$A$97,$G40)*$S40</f>
        <v>87223585.009051085</v>
      </c>
      <c r="BO40" s="111">
        <f>SUMIFS('GIÁ XUẤT KHO'!AY$4:AY$97,'GIÁ XUẤT KHO'!$A$4:$A$97,$G40)*$S40</f>
        <v>1645637.9072821923</v>
      </c>
      <c r="BP40" s="111">
        <f>SUMIFS('GIÁ XUẤT KHO'!AZ$4:AZ$97,'GIÁ XUẤT KHO'!$A$4:$A$97,$G40)*$S40</f>
        <v>1821404.4367407542</v>
      </c>
      <c r="BQ40" s="111">
        <f>SUMIFS('GIÁ XUẤT KHO'!BA$4:BA$97,'GIÁ XUẤT KHO'!$A$4:$A$97,$G40)*$S40</f>
        <v>33451564.532620326</v>
      </c>
      <c r="BR40" s="111">
        <f>SUMIFS('GIÁ XUẤT KHO'!BB$4:BB$97,'GIÁ XUẤT KHO'!$A$4:$A$97,$G40)*$S40</f>
        <v>5336569.3185431445</v>
      </c>
      <c r="BS40" s="111">
        <f>SUMIFS('GIÁ XUẤT KHO'!BC$4:BC$97,'GIÁ XUẤT KHO'!$A$4:$A$97,$G40)*$S40</f>
        <v>58295121.1426474</v>
      </c>
      <c r="BT40" s="111">
        <f>SUMIFS('GIÁ XUẤT KHO'!BD$4:BD$97,'GIÁ XUẤT KHO'!$A$4:$A$97,$G40)*$S40</f>
        <v>51955186.801280618</v>
      </c>
      <c r="BU40" s="111">
        <f>SUMIFS('GIÁ XUẤT KHO'!BE$4:BE$97,'GIÁ XUẤT KHO'!$A$4:$A$97,$G40)*$S40</f>
        <v>31741527.283983313</v>
      </c>
      <c r="BV40" s="111">
        <f>SUMIFS('GIÁ XUẤT KHO'!BF$4:BF$97,'GIÁ XUẤT KHO'!$A$4:$A$97,$G40)*$S40</f>
        <v>59256885.396279655</v>
      </c>
      <c r="BW40" s="245">
        <f t="shared" ref="BW40:BW71" si="39">BM40-BF40</f>
        <v>0</v>
      </c>
    </row>
    <row r="41" spans="1:75" s="108" customFormat="1" x14ac:dyDescent="0.25">
      <c r="A41" s="108" t="str">
        <f>_xlfn.XLOOKUP($G41,MD_SKU[Mã SKU],MD_SKU[Link vào file BCQT])</f>
        <v>Hạt rHDPE ép</v>
      </c>
      <c r="B41" s="108" t="s">
        <v>2895</v>
      </c>
      <c r="C41" s="109" t="str">
        <f t="shared" si="32"/>
        <v>NĐ</v>
      </c>
      <c r="D41" s="109" t="s">
        <v>3056</v>
      </c>
      <c r="E41" s="110" t="s">
        <v>8</v>
      </c>
      <c r="F41" s="109" t="s">
        <v>2429</v>
      </c>
      <c r="G41" s="110" t="s">
        <v>312</v>
      </c>
      <c r="H41" s="109" t="s">
        <v>2864</v>
      </c>
      <c r="I41" s="110"/>
      <c r="J41" s="110" t="s">
        <v>2639</v>
      </c>
      <c r="K41" s="111"/>
      <c r="L41" s="111"/>
      <c r="M41" s="112"/>
      <c r="N41" s="111">
        <f>SUMIFS(Sales!$I$3:$I$100,Sales!$B$3:$B$100,$D41)</f>
        <v>1375</v>
      </c>
      <c r="P41" s="111"/>
      <c r="Q41" s="111"/>
      <c r="R41" s="111">
        <f t="shared" si="11"/>
        <v>1375</v>
      </c>
      <c r="S41" s="111">
        <f t="shared" si="12"/>
        <v>1375</v>
      </c>
      <c r="T41" s="128"/>
      <c r="U41" s="114"/>
      <c r="V41" s="114"/>
      <c r="W41" s="131">
        <f>1.23*EXR_FC05</f>
        <v>32349</v>
      </c>
      <c r="X41" s="114">
        <f t="shared" si="15"/>
        <v>32349</v>
      </c>
      <c r="Y41" s="113"/>
      <c r="Z41" s="111"/>
      <c r="AA41" s="120">
        <f t="shared" si="31"/>
        <v>1</v>
      </c>
      <c r="AB41" s="120">
        <f t="shared" si="31"/>
        <v>1</v>
      </c>
      <c r="AC41" s="111">
        <f t="shared" si="33"/>
        <v>1</v>
      </c>
      <c r="AD41" s="113"/>
      <c r="AE41" s="111"/>
      <c r="AF41" s="111"/>
      <c r="AG41" s="111">
        <f t="shared" si="19"/>
        <v>32349</v>
      </c>
      <c r="AH41" s="111"/>
      <c r="AI41" s="113"/>
      <c r="AJ41" s="115"/>
      <c r="AK41" s="111"/>
      <c r="AL41" s="111">
        <f t="shared" si="7"/>
        <v>44479875</v>
      </c>
      <c r="AM41" s="116">
        <f t="shared" si="20"/>
        <v>44479875</v>
      </c>
      <c r="AO41" s="111"/>
      <c r="AP41" s="109"/>
      <c r="AQ41" s="111"/>
      <c r="AR41" s="111"/>
      <c r="AS41" s="111">
        <f t="shared" si="34"/>
        <v>0</v>
      </c>
      <c r="AT41" s="244">
        <f t="shared" si="35"/>
        <v>0</v>
      </c>
      <c r="AV41" s="111"/>
      <c r="AW41" s="109"/>
      <c r="AX41" s="111"/>
      <c r="AY41" s="111"/>
      <c r="AZ41" s="109"/>
      <c r="BA41" s="244">
        <f t="shared" si="25"/>
        <v>0</v>
      </c>
      <c r="BC41" s="113"/>
      <c r="BD41" s="113"/>
      <c r="BE41" s="113">
        <f>_xlfn.XLOOKUP($G41,'GIÁ XUẤT KHO'!$A$4:$A$97,'GIÁ XUẤT KHO'!$AW$4:$AW$97)*R41</f>
        <v>25648904.588131703</v>
      </c>
      <c r="BF41" s="221">
        <f t="shared" si="26"/>
        <v>25648904.588131703</v>
      </c>
      <c r="BH41" s="113"/>
      <c r="BI41" s="113">
        <f t="shared" si="36"/>
        <v>0</v>
      </c>
      <c r="BJ41" s="113">
        <f t="shared" si="38"/>
        <v>18830970.411868297</v>
      </c>
      <c r="BK41" s="221">
        <f t="shared" si="28"/>
        <v>18830970.411868297</v>
      </c>
      <c r="BM41" s="244">
        <f t="shared" si="37"/>
        <v>25648904.588131703</v>
      </c>
      <c r="BN41" s="111">
        <f>SUMIFS('GIÁ XUẤT KHO'!AX$4:AX$97,'GIÁ XUẤT KHO'!$A$4:$A$97,$G41)*$S41</f>
        <v>19968511.997788168</v>
      </c>
      <c r="BO41" s="111">
        <f>SUMIFS('GIÁ XUẤT KHO'!AY$4:AY$97,'GIÁ XUẤT KHO'!$A$4:$A$97,$G41)*$S41</f>
        <v>49017.53991105788</v>
      </c>
      <c r="BP41" s="111">
        <f>SUMIFS('GIÁ XUẤT KHO'!AZ$4:AZ$97,'GIÁ XUẤT KHO'!$A$4:$A$97,$G41)*$S41</f>
        <v>1454.1086067722847</v>
      </c>
      <c r="BQ41" s="111">
        <f>SUMIFS('GIÁ XUẤT KHO'!BA$4:BA$97,'GIÁ XUẤT KHO'!$A$4:$A$97,$G41)*$S41</f>
        <v>1290066.753370082</v>
      </c>
      <c r="BR41" s="111">
        <f>SUMIFS('GIÁ XUẤT KHO'!BB$4:BB$97,'GIÁ XUẤT KHO'!$A$4:$A$97,$G41)*$S41</f>
        <v>351053.99246299255</v>
      </c>
      <c r="BS41" s="111">
        <f>SUMIFS('GIÁ XUẤT KHO'!BC$4:BC$97,'GIÁ XUẤT KHO'!$A$4:$A$97,$G41)*$S41</f>
        <v>744871.91230897862</v>
      </c>
      <c r="BT41" s="111">
        <f>SUMIFS('GIÁ XUẤT KHO'!BD$4:BD$97,'GIÁ XUẤT KHO'!$A$4:$A$97,$G41)*$S41</f>
        <v>775637.32305449911</v>
      </c>
      <c r="BU41" s="111">
        <f>SUMIFS('GIÁ XUẤT KHO'!BE$4:BE$97,'GIÁ XUẤT KHO'!$A$4:$A$97,$G41)*$S41</f>
        <v>891092.10779574001</v>
      </c>
      <c r="BV41" s="111">
        <f>SUMIFS('GIÁ XUẤT KHO'!BF$4:BF$97,'GIÁ XUẤT KHO'!$A$4:$A$97,$G41)*$S41</f>
        <v>1577198.8528334107</v>
      </c>
      <c r="BW41" s="245">
        <f t="shared" si="39"/>
        <v>0</v>
      </c>
    </row>
    <row r="42" spans="1:75" s="108" customFormat="1" x14ac:dyDescent="0.25">
      <c r="A42" s="108" t="str">
        <f>_xlfn.XLOOKUP($G42,MD_SKU[Mã SKU],MD_SKU[Link vào file BCQT])</f>
        <v>Hạt rHDPE ép</v>
      </c>
      <c r="B42" s="108" t="s">
        <v>2895</v>
      </c>
      <c r="C42" s="109" t="str">
        <f t="shared" si="32"/>
        <v>NĐ</v>
      </c>
      <c r="D42" s="109" t="s">
        <v>2814</v>
      </c>
      <c r="E42" s="110" t="s">
        <v>8</v>
      </c>
      <c r="F42" s="109" t="s">
        <v>2429</v>
      </c>
      <c r="G42" s="110" t="s">
        <v>263</v>
      </c>
      <c r="H42" s="109" t="s">
        <v>2865</v>
      </c>
      <c r="I42" s="110"/>
      <c r="J42" s="110" t="s">
        <v>2639</v>
      </c>
      <c r="K42" s="111"/>
      <c r="L42" s="111"/>
      <c r="M42" s="112"/>
      <c r="N42" s="111">
        <f>SUMIFS(Sales!$I$3:$I$100,Sales!$B$3:$B$100,$D42)</f>
        <v>6349.2401829453584</v>
      </c>
      <c r="P42" s="111"/>
      <c r="Q42" s="111"/>
      <c r="R42" s="111">
        <f t="shared" si="11"/>
        <v>6349.2401829453584</v>
      </c>
      <c r="S42" s="111">
        <f t="shared" si="12"/>
        <v>6349.2401829453584</v>
      </c>
      <c r="T42" s="128"/>
      <c r="U42" s="114"/>
      <c r="V42" s="114"/>
      <c r="W42" s="131">
        <f>1.23*EXR_FC05</f>
        <v>32349</v>
      </c>
      <c r="X42" s="114">
        <f t="shared" si="15"/>
        <v>32349</v>
      </c>
      <c r="Y42" s="113"/>
      <c r="Z42" s="111"/>
      <c r="AA42" s="120">
        <f t="shared" si="31"/>
        <v>1</v>
      </c>
      <c r="AB42" s="120">
        <f t="shared" si="31"/>
        <v>1</v>
      </c>
      <c r="AC42" s="111">
        <f t="shared" si="33"/>
        <v>1</v>
      </c>
      <c r="AD42" s="113"/>
      <c r="AE42" s="111"/>
      <c r="AF42" s="111"/>
      <c r="AG42" s="111">
        <f t="shared" si="19"/>
        <v>32349</v>
      </c>
      <c r="AH42" s="111"/>
      <c r="AI42" s="113"/>
      <c r="AJ42" s="115"/>
      <c r="AK42" s="111"/>
      <c r="AL42" s="111">
        <f t="shared" si="7"/>
        <v>205391570.67809939</v>
      </c>
      <c r="AM42" s="116">
        <f t="shared" si="20"/>
        <v>205391570.67809939</v>
      </c>
      <c r="AO42" s="111"/>
      <c r="AP42" s="109"/>
      <c r="AQ42" s="111"/>
      <c r="AR42" s="111"/>
      <c r="AS42" s="111">
        <f t="shared" si="34"/>
        <v>0</v>
      </c>
      <c r="AT42" s="244">
        <f t="shared" si="35"/>
        <v>0</v>
      </c>
      <c r="AV42" s="111"/>
      <c r="AW42" s="109"/>
      <c r="AX42" s="111"/>
      <c r="AY42" s="111"/>
      <c r="AZ42" s="109"/>
      <c r="BA42" s="244">
        <f t="shared" si="25"/>
        <v>0</v>
      </c>
      <c r="BC42" s="113"/>
      <c r="BD42" s="113"/>
      <c r="BE42" s="113">
        <f>_xlfn.XLOOKUP($G42,'GIÁ XUẤT KHO'!$A$4:$A$97,'GIÁ XUẤT KHO'!$AW$4:$AW$97)*R42</f>
        <v>139322883.59838149</v>
      </c>
      <c r="BF42" s="221">
        <f t="shared" si="26"/>
        <v>139322883.59838149</v>
      </c>
      <c r="BH42" s="113"/>
      <c r="BI42" s="113">
        <f t="shared" si="36"/>
        <v>0</v>
      </c>
      <c r="BJ42" s="113">
        <f t="shared" si="38"/>
        <v>66068687.079717904</v>
      </c>
      <c r="BK42" s="221">
        <f t="shared" si="28"/>
        <v>66068687.079717904</v>
      </c>
      <c r="BM42" s="244">
        <f t="shared" si="37"/>
        <v>139322883.59838143</v>
      </c>
      <c r="BN42" s="111">
        <f>SUMIFS('GIÁ XUẤT KHO'!AX$4:AX$97,'GIÁ XUẤT KHO'!$A$4:$A$97,$G42)*$S42</f>
        <v>113598929.64088726</v>
      </c>
      <c r="BO42" s="111">
        <f>SUMIFS('GIÁ XUẤT KHO'!AY$4:AY$97,'GIÁ XUẤT KHO'!$A$4:$A$97,$G42)*$S42</f>
        <v>285542.80855995748</v>
      </c>
      <c r="BP42" s="111">
        <f>SUMIFS('GIÁ XUẤT KHO'!AZ$4:AZ$97,'GIÁ XUẤT KHO'!$A$4:$A$97,$G42)*$S42</f>
        <v>101.97341404490747</v>
      </c>
      <c r="BQ42" s="111">
        <f>SUMIFS('GIÁ XUẤT KHO'!BA$4:BA$97,'GIÁ XUẤT KHO'!$A$4:$A$97,$G42)*$S42</f>
        <v>3608857.8942747465</v>
      </c>
      <c r="BR42" s="111">
        <f>SUMIFS('GIÁ XUẤT KHO'!BB$4:BB$97,'GIÁ XUẤT KHO'!$A$4:$A$97,$G42)*$S42</f>
        <v>1174562.7594464228</v>
      </c>
      <c r="BS42" s="111">
        <f>SUMIFS('GIÁ XUẤT KHO'!BC$4:BC$97,'GIÁ XUẤT KHO'!$A$4:$A$97,$G42)*$S42</f>
        <v>4300368.0254166797</v>
      </c>
      <c r="BT42" s="111">
        <f>SUMIFS('GIÁ XUẤT KHO'!BD$4:BD$97,'GIÁ XUẤT KHO'!$A$4:$A$97,$G42)*$S42</f>
        <v>4797553.8645095425</v>
      </c>
      <c r="BU42" s="111">
        <f>SUMIFS('GIÁ XUẤT KHO'!BE$4:BE$97,'GIÁ XUẤT KHO'!$A$4:$A$97,$G42)*$S42</f>
        <v>4610555.9310287442</v>
      </c>
      <c r="BV42" s="111">
        <f>SUMIFS('GIÁ XUẤT KHO'!BF$4:BF$97,'GIÁ XUẤT KHO'!$A$4:$A$97,$G42)*$S42</f>
        <v>6946410.7008440439</v>
      </c>
      <c r="BW42" s="245">
        <f t="shared" si="39"/>
        <v>0</v>
      </c>
    </row>
    <row r="43" spans="1:75" s="108" customFormat="1" x14ac:dyDescent="0.25">
      <c r="A43" s="108" t="str">
        <f>_xlfn.XLOOKUP($G43,MD_SKU[Mã SKU],MD_SKU[Link vào file BCQT])</f>
        <v>Hạt rHDPE ép</v>
      </c>
      <c r="B43" s="108" t="s">
        <v>2895</v>
      </c>
      <c r="C43" s="109" t="str">
        <f t="shared" si="32"/>
        <v>NĐ</v>
      </c>
      <c r="D43" s="109" t="s">
        <v>3057</v>
      </c>
      <c r="E43" s="110" t="s">
        <v>8</v>
      </c>
      <c r="F43" s="109" t="s">
        <v>2429</v>
      </c>
      <c r="G43" s="110" t="s">
        <v>47</v>
      </c>
      <c r="H43" s="109" t="s">
        <v>320</v>
      </c>
      <c r="I43" s="110"/>
      <c r="J43" s="110" t="s">
        <v>2639</v>
      </c>
      <c r="K43" s="111"/>
      <c r="L43" s="111"/>
      <c r="M43" s="112"/>
      <c r="N43" s="111">
        <f>SUMIFS(Sales!$I$3:$I$100,Sales!$B$3:$B$100,$D43)</f>
        <v>1375</v>
      </c>
      <c r="P43" s="111"/>
      <c r="Q43" s="111"/>
      <c r="R43" s="111">
        <f t="shared" si="11"/>
        <v>1375</v>
      </c>
      <c r="S43" s="111">
        <f t="shared" si="12"/>
        <v>1375</v>
      </c>
      <c r="T43" s="128"/>
      <c r="U43" s="114"/>
      <c r="V43" s="114"/>
      <c r="W43" s="131">
        <f>1.23*EXR_FC05</f>
        <v>32349</v>
      </c>
      <c r="X43" s="114">
        <f t="shared" si="15"/>
        <v>32349</v>
      </c>
      <c r="Y43" s="113"/>
      <c r="Z43" s="111"/>
      <c r="AA43" s="120">
        <f t="shared" si="31"/>
        <v>1</v>
      </c>
      <c r="AB43" s="120">
        <f t="shared" si="31"/>
        <v>1</v>
      </c>
      <c r="AC43" s="111">
        <f t="shared" si="33"/>
        <v>1</v>
      </c>
      <c r="AD43" s="113"/>
      <c r="AE43" s="111"/>
      <c r="AF43" s="111"/>
      <c r="AG43" s="111">
        <f t="shared" si="19"/>
        <v>32349</v>
      </c>
      <c r="AH43" s="111"/>
      <c r="AI43" s="113"/>
      <c r="AJ43" s="115"/>
      <c r="AK43" s="111"/>
      <c r="AL43" s="111">
        <f>R43*AG43</f>
        <v>44479875</v>
      </c>
      <c r="AM43" s="116">
        <f t="shared" si="20"/>
        <v>44479875</v>
      </c>
      <c r="AO43" s="111"/>
      <c r="AP43" s="109"/>
      <c r="AQ43" s="111"/>
      <c r="AR43" s="111"/>
      <c r="AS43" s="111">
        <f t="shared" si="34"/>
        <v>0</v>
      </c>
      <c r="AT43" s="244">
        <f t="shared" si="35"/>
        <v>0</v>
      </c>
      <c r="AV43" s="111"/>
      <c r="AW43" s="109"/>
      <c r="AX43" s="111"/>
      <c r="AY43" s="111"/>
      <c r="AZ43" s="109"/>
      <c r="BA43" s="244">
        <f t="shared" si="25"/>
        <v>0</v>
      </c>
      <c r="BC43" s="113"/>
      <c r="BD43" s="113"/>
      <c r="BE43" s="113">
        <f>_xlfn.XLOOKUP($G43,'GIÁ XUẤT KHO'!$A$4:$A$97,'GIÁ XUẤT KHO'!$AW$4:$AW$97)*R43</f>
        <v>34344520.359195404</v>
      </c>
      <c r="BF43" s="221">
        <f t="shared" si="26"/>
        <v>34344520.359195404</v>
      </c>
      <c r="BH43" s="113"/>
      <c r="BI43" s="113">
        <f t="shared" si="36"/>
        <v>0</v>
      </c>
      <c r="BJ43" s="113">
        <f t="shared" si="38"/>
        <v>10135354.640804596</v>
      </c>
      <c r="BK43" s="221">
        <f t="shared" si="28"/>
        <v>10135354.640804596</v>
      </c>
      <c r="BM43" s="244">
        <f t="shared" si="37"/>
        <v>34344520.359195404</v>
      </c>
      <c r="BN43" s="111">
        <f>SUMIFS('GIÁ XUẤT KHO'!AX$4:AX$97,'GIÁ XUẤT KHO'!$A$4:$A$97,$G43)*$S43</f>
        <v>22724302.586206898</v>
      </c>
      <c r="BO43" s="111">
        <f>SUMIFS('GIÁ XUẤT KHO'!AY$4:AY$97,'GIÁ XUẤT KHO'!$A$4:$A$97,$G43)*$S43</f>
        <v>2566892.5407088124</v>
      </c>
      <c r="BP43" s="111">
        <f>SUMIFS('GIÁ XUẤT KHO'!AZ$4:AZ$97,'GIÁ XUẤT KHO'!$A$4:$A$97,$G43)*$S43</f>
        <v>3662.5047892720304</v>
      </c>
      <c r="BQ43" s="111">
        <f>SUMIFS('GIÁ XUẤT KHO'!BA$4:BA$97,'GIÁ XUẤT KHO'!$A$4:$A$97,$G43)*$S43</f>
        <v>1490356.8630268199</v>
      </c>
      <c r="BR43" s="111">
        <f>SUMIFS('GIÁ XUẤT KHO'!BB$4:BB$97,'GIÁ XUẤT KHO'!$A$4:$A$97,$G43)*$S43</f>
        <v>377929.44444444444</v>
      </c>
      <c r="BS43" s="111">
        <f>SUMIFS('GIÁ XUẤT KHO'!BC$4:BC$97,'GIÁ XUẤT KHO'!$A$4:$A$97,$G43)*$S43</f>
        <v>1868115.617816092</v>
      </c>
      <c r="BT43" s="111">
        <f>SUMIFS('GIÁ XUẤT KHO'!BD$4:BD$97,'GIÁ XUẤT KHO'!$A$4:$A$97,$G43)*$S43</f>
        <v>2117220.5747126439</v>
      </c>
      <c r="BU43" s="111">
        <f>SUMIFS('GIÁ XUẤT KHO'!BE$4:BE$97,'GIÁ XUẤT KHO'!$A$4:$A$97,$G43)*$S43</f>
        <v>932015.53879310342</v>
      </c>
      <c r="BV43" s="111">
        <f>SUMIFS('GIÁ XUẤT KHO'!BF$4:BF$97,'GIÁ XUẤT KHO'!$A$4:$A$97,$G43)*$S43</f>
        <v>2264024.6886973181</v>
      </c>
      <c r="BW43" s="245">
        <f t="shared" si="39"/>
        <v>0</v>
      </c>
    </row>
    <row r="44" spans="1:75" s="108" customFormat="1" x14ac:dyDescent="0.25">
      <c r="A44" s="108" t="str">
        <f>_xlfn.XLOOKUP($G44,MD_SKU[Mã SKU],MD_SKU[Link vào file BCQT])</f>
        <v>Hạt rHDPE ép</v>
      </c>
      <c r="B44" s="108" t="s">
        <v>2895</v>
      </c>
      <c r="C44" s="109" t="str">
        <f t="shared" si="32"/>
        <v>NĐ</v>
      </c>
      <c r="D44" s="109" t="s">
        <v>3058</v>
      </c>
      <c r="E44" s="110" t="s">
        <v>8</v>
      </c>
      <c r="F44" s="109" t="s">
        <v>2429</v>
      </c>
      <c r="G44" s="110" t="s">
        <v>333</v>
      </c>
      <c r="H44" s="109" t="s">
        <v>2866</v>
      </c>
      <c r="I44" s="110"/>
      <c r="J44" s="110" t="s">
        <v>2639</v>
      </c>
      <c r="K44" s="111"/>
      <c r="L44" s="111"/>
      <c r="M44" s="112"/>
      <c r="N44" s="111">
        <f>SUMIFS(Sales!$I$3:$I$100,Sales!$B$3:$B$100,$D44)</f>
        <v>23375</v>
      </c>
      <c r="P44" s="111"/>
      <c r="Q44" s="111"/>
      <c r="R44" s="111">
        <f t="shared" si="11"/>
        <v>23375</v>
      </c>
      <c r="S44" s="111">
        <f t="shared" si="12"/>
        <v>23375</v>
      </c>
      <c r="T44" s="128"/>
      <c r="U44" s="114"/>
      <c r="V44" s="114"/>
      <c r="W44" s="131">
        <f>1.23*EXR_FC05</f>
        <v>32349</v>
      </c>
      <c r="X44" s="114">
        <f t="shared" si="15"/>
        <v>32349</v>
      </c>
      <c r="Y44" s="113"/>
      <c r="Z44" s="111"/>
      <c r="AA44" s="120">
        <f t="shared" si="31"/>
        <v>1</v>
      </c>
      <c r="AB44" s="120">
        <f t="shared" si="31"/>
        <v>1</v>
      </c>
      <c r="AC44" s="111">
        <f t="shared" si="33"/>
        <v>1</v>
      </c>
      <c r="AD44" s="113"/>
      <c r="AE44" s="111"/>
      <c r="AF44" s="111"/>
      <c r="AG44" s="111">
        <f t="shared" si="19"/>
        <v>32349</v>
      </c>
      <c r="AH44" s="111"/>
      <c r="AI44" s="113"/>
      <c r="AJ44" s="115"/>
      <c r="AK44" s="111"/>
      <c r="AL44" s="111">
        <f t="shared" si="7"/>
        <v>756157875</v>
      </c>
      <c r="AM44" s="116">
        <f t="shared" si="20"/>
        <v>756157875</v>
      </c>
      <c r="AO44" s="111"/>
      <c r="AP44" s="109"/>
      <c r="AQ44" s="111"/>
      <c r="AR44" s="111"/>
      <c r="AS44" s="111">
        <f t="shared" si="34"/>
        <v>0</v>
      </c>
      <c r="AT44" s="244">
        <f t="shared" si="35"/>
        <v>0</v>
      </c>
      <c r="AV44" s="111"/>
      <c r="AW44" s="109"/>
      <c r="AX44" s="111"/>
      <c r="AY44" s="111"/>
      <c r="AZ44" s="109"/>
      <c r="BA44" s="244">
        <f t="shared" si="25"/>
        <v>0</v>
      </c>
      <c r="BC44" s="113"/>
      <c r="BD44" s="113"/>
      <c r="BE44" s="113">
        <f>_xlfn.XLOOKUP($G44,'GIÁ XUẤT KHO'!$A$4:$A$97,'GIÁ XUẤT KHO'!$AW$4:$AW$97)*R44</f>
        <v>551008194.04128051</v>
      </c>
      <c r="BF44" s="221">
        <f t="shared" si="26"/>
        <v>551008194.04128051</v>
      </c>
      <c r="BH44" s="113"/>
      <c r="BI44" s="113">
        <f t="shared" si="36"/>
        <v>0</v>
      </c>
      <c r="BJ44" s="113">
        <f t="shared" si="38"/>
        <v>205149680.95871949</v>
      </c>
      <c r="BK44" s="221">
        <f t="shared" si="28"/>
        <v>205149680.95871949</v>
      </c>
      <c r="BM44" s="244">
        <f t="shared" si="37"/>
        <v>551008194.04128051</v>
      </c>
      <c r="BN44" s="111">
        <f>SUMIFS('GIÁ XUẤT KHO'!AX$4:AX$97,'GIÁ XUẤT KHO'!$A$4:$A$97,$G44)*$S44</f>
        <v>393417088.4987331</v>
      </c>
      <c r="BO44" s="111">
        <f>SUMIFS('GIÁ XUẤT KHO'!AY$4:AY$97,'GIÁ XUẤT KHO'!$A$4:$A$97,$G44)*$S44</f>
        <v>31045388.12666389</v>
      </c>
      <c r="BP44" s="111">
        <f>SUMIFS('GIÁ XUẤT KHO'!AZ$4:AZ$97,'GIÁ XUẤT KHO'!$A$4:$A$97,$G44)*$S44</f>
        <v>2427061.5557943359</v>
      </c>
      <c r="BQ44" s="111">
        <f>SUMIFS('GIÁ XUẤT KHO'!BA$4:BA$97,'GIÁ XUẤT KHO'!$A$4:$A$97,$G44)*$S44</f>
        <v>25035838.097796455</v>
      </c>
      <c r="BR44" s="111">
        <f>SUMIFS('GIÁ XUẤT KHO'!BB$4:BB$97,'GIÁ XUẤT KHO'!$A$4:$A$97,$G44)*$S44</f>
        <v>4574750.7377233217</v>
      </c>
      <c r="BS44" s="111">
        <f>SUMIFS('GIÁ XUẤT KHO'!BC$4:BC$97,'GIÁ XUẤT KHO'!$A$4:$A$97,$G44)*$S44</f>
        <v>20887677.173878182</v>
      </c>
      <c r="BT44" s="111">
        <f>SUMIFS('GIÁ XUẤT KHO'!BD$4:BD$97,'GIÁ XUẤT KHO'!$A$4:$A$97,$G44)*$S44</f>
        <v>23532346.581614655</v>
      </c>
      <c r="BU44" s="111">
        <f>SUMIFS('GIÁ XUẤT KHO'!BE$4:BE$97,'GIÁ XUẤT KHO'!$A$4:$A$97,$G44)*$S44</f>
        <v>23172012.300734516</v>
      </c>
      <c r="BV44" s="111">
        <f>SUMIFS('GIÁ XUẤT KHO'!BF$4:BF$97,'GIÁ XUẤT KHO'!$A$4:$A$97,$G44)*$S44</f>
        <v>26916030.968342047</v>
      </c>
      <c r="BW44" s="245">
        <f t="shared" si="39"/>
        <v>0</v>
      </c>
    </row>
    <row r="45" spans="1:75" s="108" customFormat="1" x14ac:dyDescent="0.25">
      <c r="A45" s="108" t="str">
        <f>_xlfn.XLOOKUP($G45,MD_SKU[Mã SKU],MD_SKU[Link vào file BCQT])</f>
        <v>Hạt rPET</v>
      </c>
      <c r="B45" s="108" t="s">
        <v>2895</v>
      </c>
      <c r="C45" s="109" t="str">
        <f t="shared" si="32"/>
        <v>NĐ</v>
      </c>
      <c r="D45" s="109" t="s">
        <v>2798</v>
      </c>
      <c r="E45" s="110" t="s">
        <v>42</v>
      </c>
      <c r="F45" s="109" t="s">
        <v>43</v>
      </c>
      <c r="G45" s="110" t="s">
        <v>33</v>
      </c>
      <c r="H45" s="109" t="s">
        <v>2863</v>
      </c>
      <c r="I45" s="110"/>
      <c r="J45" s="110" t="s">
        <v>2639</v>
      </c>
      <c r="K45" s="111"/>
      <c r="L45" s="111"/>
      <c r="M45" s="112"/>
      <c r="N45" s="111">
        <f>SUMIFS(Sales!$I$3:$I$100,Sales!$B$3:$B$100,$D45)</f>
        <v>220000</v>
      </c>
      <c r="P45" s="111"/>
      <c r="Q45" s="111"/>
      <c r="R45" s="111">
        <f t="shared" si="11"/>
        <v>220000</v>
      </c>
      <c r="S45" s="111">
        <f t="shared" si="12"/>
        <v>220000</v>
      </c>
      <c r="T45" s="128"/>
      <c r="U45" s="114"/>
      <c r="V45" s="114"/>
      <c r="W45" s="131">
        <f>W31</f>
        <v>31679</v>
      </c>
      <c r="X45" s="114">
        <f t="shared" si="15"/>
        <v>31679</v>
      </c>
      <c r="Y45" s="113"/>
      <c r="Z45" s="111"/>
      <c r="AA45" s="120">
        <f t="shared" si="31"/>
        <v>1</v>
      </c>
      <c r="AB45" s="120">
        <f t="shared" si="31"/>
        <v>1</v>
      </c>
      <c r="AC45" s="111">
        <f t="shared" si="33"/>
        <v>1</v>
      </c>
      <c r="AD45" s="113"/>
      <c r="AE45" s="111"/>
      <c r="AF45" s="111"/>
      <c r="AG45" s="111">
        <f t="shared" si="19"/>
        <v>31679</v>
      </c>
      <c r="AH45" s="111"/>
      <c r="AI45" s="113"/>
      <c r="AJ45" s="115"/>
      <c r="AK45" s="111"/>
      <c r="AL45" s="111">
        <f t="shared" si="7"/>
        <v>6969380000</v>
      </c>
      <c r="AM45" s="116">
        <f t="shared" si="20"/>
        <v>6969380000</v>
      </c>
      <c r="AO45" s="111">
        <f>AO31</f>
        <v>165.16000451246566</v>
      </c>
      <c r="AP45" s="109"/>
      <c r="AQ45" s="111"/>
      <c r="AR45" s="111"/>
      <c r="AS45" s="111">
        <f t="shared" si="34"/>
        <v>36335200.992742449</v>
      </c>
      <c r="AT45" s="244">
        <f t="shared" si="35"/>
        <v>36335200.992742449</v>
      </c>
      <c r="AV45" s="111"/>
      <c r="AW45" s="109"/>
      <c r="AX45" s="111"/>
      <c r="AY45" s="111"/>
      <c r="AZ45" s="109"/>
      <c r="BA45" s="244">
        <f t="shared" si="25"/>
        <v>0</v>
      </c>
      <c r="BC45" s="113"/>
      <c r="BD45" s="113"/>
      <c r="BE45" s="113">
        <f>_xlfn.XLOOKUP($G45,'GIÁ XUẤT KHO'!$A$4:$A$97,'GIÁ XUẤT KHO'!$AW$4:$AW$97)*R45</f>
        <v>5486325055.6375866</v>
      </c>
      <c r="BF45" s="221">
        <f t="shared" si="26"/>
        <v>5486325055.6375866</v>
      </c>
      <c r="BH45" s="113"/>
      <c r="BI45" s="113">
        <f t="shared" si="36"/>
        <v>0</v>
      </c>
      <c r="BJ45" s="113">
        <f t="shared" si="38"/>
        <v>1483054944.3624134</v>
      </c>
      <c r="BK45" s="221">
        <f t="shared" si="28"/>
        <v>1483054944.3624134</v>
      </c>
      <c r="BM45" s="244">
        <f t="shared" si="37"/>
        <v>5486325055.6375866</v>
      </c>
      <c r="BN45" s="111">
        <f>SUMIFS('GIÁ XUẤT KHO'!AX$4:AX$97,'GIÁ XUẤT KHO'!$A$4:$A$97,$G45)*$S45</f>
        <v>3961802151.3621836</v>
      </c>
      <c r="BO45" s="111">
        <f>SUMIFS('GIÁ XUẤT KHO'!AY$4:AY$97,'GIÁ XUẤT KHO'!$A$4:$A$97,$G45)*$S45</f>
        <v>40240925.173263833</v>
      </c>
      <c r="BP45" s="111">
        <f>SUMIFS('GIÁ XUẤT KHO'!AZ$4:AZ$97,'GIÁ XUẤT KHO'!$A$4:$A$97,$G45)*$S45</f>
        <v>21171.284744911409</v>
      </c>
      <c r="BQ45" s="111">
        <f>SUMIFS('GIÁ XUẤT KHO'!BA$4:BA$97,'GIÁ XUẤT KHO'!$A$4:$A$97,$G45)*$S45</f>
        <v>281281157.5160957</v>
      </c>
      <c r="BR45" s="111">
        <f>SUMIFS('GIÁ XUẤT KHO'!BB$4:BB$97,'GIÁ XUẤT KHO'!$A$4:$A$97,$G45)*$S45</f>
        <v>38629009.819220878</v>
      </c>
      <c r="BS45" s="111">
        <f>SUMIFS('GIÁ XUẤT KHO'!BC$4:BC$97,'GIÁ XUẤT KHO'!$A$4:$A$97,$G45)*$S45</f>
        <v>158692990.65805897</v>
      </c>
      <c r="BT45" s="111">
        <f>SUMIFS('GIÁ XUẤT KHO'!BD$4:BD$97,'GIÁ XUẤT KHO'!$A$4:$A$97,$G45)*$S45</f>
        <v>255261143.89737734</v>
      </c>
      <c r="BU45" s="111">
        <f>SUMIFS('GIÁ XUẤT KHO'!BE$4:BE$97,'GIÁ XUẤT KHO'!$A$4:$A$97,$G45)*$S45</f>
        <v>69412797.24726969</v>
      </c>
      <c r="BV45" s="111">
        <f>SUMIFS('GIÁ XUẤT KHO'!BF$4:BF$97,'GIÁ XUẤT KHO'!$A$4:$A$97,$G45)*$S45</f>
        <v>680983708.67937171</v>
      </c>
      <c r="BW45" s="245">
        <f t="shared" si="39"/>
        <v>0</v>
      </c>
    </row>
    <row r="46" spans="1:75" s="108" customFormat="1" x14ac:dyDescent="0.25">
      <c r="A46" s="108" t="str">
        <f>_xlfn.XLOOKUP($G46,MD_SKU[Mã SKU],MD_SKU[Link vào file BCQT])</f>
        <v>Hạt rPET</v>
      </c>
      <c r="B46" s="108" t="s">
        <v>2895</v>
      </c>
      <c r="C46" s="109" t="str">
        <f t="shared" si="32"/>
        <v>NĐ</v>
      </c>
      <c r="D46" s="109" t="s">
        <v>2821</v>
      </c>
      <c r="E46" s="110" t="s">
        <v>258</v>
      </c>
      <c r="F46" s="109" t="s">
        <v>259</v>
      </c>
      <c r="G46" s="110" t="s">
        <v>32</v>
      </c>
      <c r="H46" s="109" t="s">
        <v>279</v>
      </c>
      <c r="I46" s="110"/>
      <c r="J46" s="110" t="s">
        <v>2639</v>
      </c>
      <c r="K46" s="111"/>
      <c r="L46" s="111"/>
      <c r="M46" s="112"/>
      <c r="N46" s="111">
        <f>SUMIFS(Sales!$I$3:$I$100,Sales!$B$3:$B$100,$D46)</f>
        <v>572000</v>
      </c>
      <c r="P46" s="111"/>
      <c r="Q46" s="111"/>
      <c r="R46" s="111">
        <f t="shared" si="11"/>
        <v>572000</v>
      </c>
      <c r="S46" s="111">
        <f t="shared" si="12"/>
        <v>572000</v>
      </c>
      <c r="T46" s="128"/>
      <c r="U46" s="114"/>
      <c r="V46" s="114"/>
      <c r="W46" s="131">
        <v>32240</v>
      </c>
      <c r="X46" s="114">
        <f t="shared" si="15"/>
        <v>32240</v>
      </c>
      <c r="Y46" s="113"/>
      <c r="Z46" s="111"/>
      <c r="AA46" s="120">
        <f t="shared" si="31"/>
        <v>1</v>
      </c>
      <c r="AB46" s="120">
        <f t="shared" si="31"/>
        <v>1</v>
      </c>
      <c r="AC46" s="111">
        <f t="shared" si="33"/>
        <v>1</v>
      </c>
      <c r="AD46" s="113"/>
      <c r="AE46" s="111"/>
      <c r="AF46" s="111"/>
      <c r="AG46" s="111">
        <f t="shared" si="19"/>
        <v>32240</v>
      </c>
      <c r="AH46" s="111"/>
      <c r="AI46" s="113"/>
      <c r="AJ46" s="115"/>
      <c r="AK46" s="111"/>
      <c r="AL46" s="111">
        <f t="shared" si="7"/>
        <v>18441280000</v>
      </c>
      <c r="AM46" s="116">
        <f t="shared" si="20"/>
        <v>18441280000</v>
      </c>
      <c r="AO46" s="111">
        <f>25*EXR_FC05/1000</f>
        <v>657.5</v>
      </c>
      <c r="AP46" s="109"/>
      <c r="AQ46" s="111"/>
      <c r="AR46" s="111"/>
      <c r="AS46" s="111">
        <f t="shared" si="34"/>
        <v>376090000</v>
      </c>
      <c r="AT46" s="244">
        <f t="shared" si="35"/>
        <v>376090000</v>
      </c>
      <c r="AV46" s="111"/>
      <c r="AW46" s="109"/>
      <c r="AX46" s="111"/>
      <c r="AY46" s="111"/>
      <c r="AZ46" s="112">
        <f>6%*AL46</f>
        <v>1106476800</v>
      </c>
      <c r="BA46" s="244">
        <f t="shared" si="25"/>
        <v>1106476800</v>
      </c>
      <c r="BB46" s="117" t="s">
        <v>2851</v>
      </c>
      <c r="BC46" s="113"/>
      <c r="BD46" s="113"/>
      <c r="BE46" s="113">
        <f>_xlfn.XLOOKUP($G46,'GIÁ XUẤT KHO'!$A$4:$A$97,'GIÁ XUẤT KHO'!$AW$4:$AW$97)*R46</f>
        <v>16026138652.797417</v>
      </c>
      <c r="BF46" s="221">
        <f t="shared" si="26"/>
        <v>16026138652.797417</v>
      </c>
      <c r="BH46" s="113"/>
      <c r="BI46" s="113">
        <f t="shared" si="36"/>
        <v>0</v>
      </c>
      <c r="BJ46" s="113">
        <f t="shared" si="38"/>
        <v>2415141347.2025833</v>
      </c>
      <c r="BK46" s="221">
        <f t="shared" si="28"/>
        <v>2415141347.2025833</v>
      </c>
      <c r="BM46" s="244">
        <f t="shared" si="37"/>
        <v>16026138652.797419</v>
      </c>
      <c r="BN46" s="111">
        <f>SUMIFS('GIÁ XUẤT KHO'!AX$4:AX$97,'GIÁ XUẤT KHO'!$A$4:$A$97,$G46)*$S46</f>
        <v>9473966577.1779175</v>
      </c>
      <c r="BO46" s="111">
        <f>SUMIFS('GIÁ XUẤT KHO'!AY$4:AY$97,'GIÁ XUẤT KHO'!$A$4:$A$97,$G46)*$S46</f>
        <v>157414427.07757688</v>
      </c>
      <c r="BP46" s="111">
        <f>SUMIFS('GIÁ XUẤT KHO'!AZ$4:AZ$97,'GIÁ XUẤT KHO'!$A$4:$A$97,$G46)*$S46</f>
        <v>64135.471315988834</v>
      </c>
      <c r="BQ46" s="111">
        <f>SUMIFS('GIÁ XUẤT KHO'!BA$4:BA$97,'GIÁ XUẤT KHO'!$A$4:$A$97,$G46)*$S46</f>
        <v>1045443806.0634669</v>
      </c>
      <c r="BR46" s="111">
        <f>SUMIFS('GIÁ XUẤT KHO'!BB$4:BB$97,'GIÁ XUẤT KHO'!$A$4:$A$97,$G46)*$S46</f>
        <v>123741102.63833481</v>
      </c>
      <c r="BS46" s="111">
        <f>SUMIFS('GIÁ XUẤT KHO'!BC$4:BC$97,'GIÁ XUẤT KHO'!$A$4:$A$97,$G46)*$S46</f>
        <v>748127575.7479918</v>
      </c>
      <c r="BT46" s="111">
        <f>SUMIFS('GIÁ XUẤT KHO'!BD$4:BD$97,'GIÁ XUẤT KHO'!$A$4:$A$97,$G46)*$S46</f>
        <v>1205550226.6973052</v>
      </c>
      <c r="BU46" s="111">
        <f>SUMIFS('GIÁ XUẤT KHO'!BE$4:BE$97,'GIÁ XUẤT KHO'!$A$4:$A$97,$G46)*$S46</f>
        <v>289421218.11869001</v>
      </c>
      <c r="BV46" s="111">
        <f>SUMIFS('GIÁ XUẤT KHO'!BF$4:BF$97,'GIÁ XUẤT KHO'!$A$4:$A$97,$G46)*$S46</f>
        <v>2982409583.8048196</v>
      </c>
      <c r="BW46" s="245">
        <f t="shared" si="39"/>
        <v>0</v>
      </c>
    </row>
    <row r="47" spans="1:75" s="108" customFormat="1" x14ac:dyDescent="0.25">
      <c r="A47" s="108" t="str">
        <f>_xlfn.XLOOKUP($G47,MD_SKU[Mã SKU],MD_SKU[Link vào file BCQT])</f>
        <v>Hạt rPET</v>
      </c>
      <c r="B47" s="108" t="s">
        <v>2895</v>
      </c>
      <c r="C47" s="109" t="str">
        <f t="shared" si="32"/>
        <v>NĐ</v>
      </c>
      <c r="D47" s="109" t="s">
        <v>2786</v>
      </c>
      <c r="E47" s="110" t="s">
        <v>2625</v>
      </c>
      <c r="F47" s="109" t="s">
        <v>2869</v>
      </c>
      <c r="G47" s="110" t="s">
        <v>32</v>
      </c>
      <c r="H47" s="109" t="s">
        <v>279</v>
      </c>
      <c r="I47" s="110"/>
      <c r="J47" s="110" t="s">
        <v>2639</v>
      </c>
      <c r="K47" s="111"/>
      <c r="L47" s="111"/>
      <c r="M47" s="112"/>
      <c r="N47" s="111">
        <f>SUMIFS(Sales!$I$3:$I$100,Sales!$B$3:$B$100,$D47)</f>
        <v>242000</v>
      </c>
      <c r="P47" s="111"/>
      <c r="Q47" s="111"/>
      <c r="R47" s="111">
        <f t="shared" si="11"/>
        <v>242000</v>
      </c>
      <c r="S47" s="111">
        <f t="shared" si="12"/>
        <v>242000</v>
      </c>
      <c r="T47" s="128"/>
      <c r="U47" s="114"/>
      <c r="V47" s="114"/>
      <c r="W47" s="131">
        <v>31844</v>
      </c>
      <c r="X47" s="114">
        <f t="shared" si="15"/>
        <v>31844</v>
      </c>
      <c r="Y47" s="113"/>
      <c r="Z47" s="111"/>
      <c r="AA47" s="120">
        <f t="shared" si="31"/>
        <v>1</v>
      </c>
      <c r="AB47" s="120">
        <f t="shared" si="31"/>
        <v>1</v>
      </c>
      <c r="AC47" s="111">
        <f t="shared" si="33"/>
        <v>1</v>
      </c>
      <c r="AD47" s="113"/>
      <c r="AE47" s="111"/>
      <c r="AF47" s="111"/>
      <c r="AG47" s="111">
        <f t="shared" si="19"/>
        <v>31844</v>
      </c>
      <c r="AH47" s="111"/>
      <c r="AI47" s="113"/>
      <c r="AJ47" s="115"/>
      <c r="AK47" s="111"/>
      <c r="AL47" s="111">
        <f t="shared" si="7"/>
        <v>7706248000</v>
      </c>
      <c r="AM47" s="116">
        <f t="shared" si="20"/>
        <v>7706248000</v>
      </c>
      <c r="AO47" s="111">
        <f>20*EXR_FC05/1000</f>
        <v>526</v>
      </c>
      <c r="AP47" s="109"/>
      <c r="AQ47" s="111"/>
      <c r="AR47" s="111"/>
      <c r="AS47" s="111">
        <f t="shared" si="34"/>
        <v>127292000</v>
      </c>
      <c r="AT47" s="244">
        <f t="shared" si="35"/>
        <v>127292000</v>
      </c>
      <c r="AV47" s="111"/>
      <c r="AW47" s="109"/>
      <c r="AX47" s="111"/>
      <c r="AY47" s="111"/>
      <c r="AZ47" s="112">
        <f>6%*AL47</f>
        <v>462374880</v>
      </c>
      <c r="BA47" s="244">
        <f t="shared" si="25"/>
        <v>462374880</v>
      </c>
      <c r="BB47" s="117" t="s">
        <v>2851</v>
      </c>
      <c r="BC47" s="113"/>
      <c r="BD47" s="113"/>
      <c r="BE47" s="113">
        <f>_xlfn.XLOOKUP($G47,'GIÁ XUẤT KHO'!$A$4:$A$97,'GIÁ XUẤT KHO'!$AW$4:$AW$97)*R47</f>
        <v>6780289430.0296764</v>
      </c>
      <c r="BF47" s="221">
        <f t="shared" si="26"/>
        <v>6780289430.0296764</v>
      </c>
      <c r="BH47" s="113"/>
      <c r="BI47" s="113">
        <f t="shared" si="36"/>
        <v>0</v>
      </c>
      <c r="BJ47" s="113">
        <f t="shared" si="38"/>
        <v>925958569.97032356</v>
      </c>
      <c r="BK47" s="221">
        <f t="shared" si="28"/>
        <v>925958569.97032356</v>
      </c>
      <c r="BM47" s="244">
        <f t="shared" si="37"/>
        <v>6780289430.0296764</v>
      </c>
      <c r="BN47" s="111">
        <f>SUMIFS('GIÁ XUẤT KHO'!AX$4:AX$97,'GIÁ XUẤT KHO'!$A$4:$A$97,$G47)*$S47</f>
        <v>4008216628.8060417</v>
      </c>
      <c r="BO47" s="111">
        <f>SUMIFS('GIÁ XUẤT KHO'!AY$4:AY$97,'GIÁ XUẤT KHO'!$A$4:$A$97,$G47)*$S47</f>
        <v>66598411.455897905</v>
      </c>
      <c r="BP47" s="111">
        <f>SUMIFS('GIÁ XUẤT KHO'!AZ$4:AZ$97,'GIÁ XUẤT KHO'!$A$4:$A$97,$G47)*$S47</f>
        <v>27134.237864456816</v>
      </c>
      <c r="BQ47" s="111">
        <f>SUMIFS('GIÁ XUẤT KHO'!BA$4:BA$97,'GIÁ XUẤT KHO'!$A$4:$A$97,$G47)*$S47</f>
        <v>442303148.71915907</v>
      </c>
      <c r="BR47" s="111">
        <f>SUMIFS('GIÁ XUẤT KHO'!BB$4:BB$97,'GIÁ XUẤT KHO'!$A$4:$A$97,$G47)*$S47</f>
        <v>52352004.962372422</v>
      </c>
      <c r="BS47" s="111">
        <f>SUMIFS('GIÁ XUẤT KHO'!BC$4:BC$97,'GIÁ XUẤT KHO'!$A$4:$A$97,$G47)*$S47</f>
        <v>316515512.81645811</v>
      </c>
      <c r="BT47" s="111">
        <f>SUMIFS('GIÁ XUẤT KHO'!BD$4:BD$97,'GIÁ XUẤT KHO'!$A$4:$A$97,$G47)*$S47</f>
        <v>510040480.52578294</v>
      </c>
      <c r="BU47" s="111">
        <f>SUMIFS('GIÁ XUẤT KHO'!BE$4:BE$97,'GIÁ XUẤT KHO'!$A$4:$A$97,$G47)*$S47</f>
        <v>122447438.43483038</v>
      </c>
      <c r="BV47" s="111">
        <f>SUMIFS('GIÁ XUẤT KHO'!BF$4:BF$97,'GIÁ XUẤT KHO'!$A$4:$A$97,$G47)*$S47</f>
        <v>1261788670.0712698</v>
      </c>
      <c r="BW47" s="245">
        <f t="shared" si="39"/>
        <v>0</v>
      </c>
    </row>
    <row r="48" spans="1:75" s="108" customFormat="1" x14ac:dyDescent="0.25">
      <c r="A48" s="108" t="str">
        <f>_xlfn.XLOOKUP($G48,MD_SKU[Mã SKU],MD_SKU[Link vào file BCQT])</f>
        <v>Hạt rHDPE thổi</v>
      </c>
      <c r="B48" s="108" t="s">
        <v>2895</v>
      </c>
      <c r="C48" s="109" t="str">
        <f t="shared" si="32"/>
        <v>NĐ</v>
      </c>
      <c r="D48" s="109" t="s">
        <v>2800</v>
      </c>
      <c r="E48" s="110" t="s">
        <v>2026</v>
      </c>
      <c r="F48" s="109" t="s">
        <v>2027</v>
      </c>
      <c r="G48" s="110" t="s">
        <v>38</v>
      </c>
      <c r="H48" s="109" t="s">
        <v>2870</v>
      </c>
      <c r="I48" s="110"/>
      <c r="J48" s="110" t="s">
        <v>2639</v>
      </c>
      <c r="K48" s="111"/>
      <c r="L48" s="111"/>
      <c r="M48" s="112"/>
      <c r="N48" s="111">
        <f>SUMIFS(Sales!$I$3:$I$100,Sales!$B$3:$B$100,$D48)</f>
        <v>70000</v>
      </c>
      <c r="P48" s="111"/>
      <c r="Q48" s="111"/>
      <c r="R48" s="111">
        <f t="shared" si="11"/>
        <v>70000</v>
      </c>
      <c r="S48" s="111">
        <f t="shared" si="12"/>
        <v>70000</v>
      </c>
      <c r="T48" s="128"/>
      <c r="U48" s="114"/>
      <c r="V48" s="114"/>
      <c r="W48" s="131">
        <f>1.36*EXR_FC05</f>
        <v>35768</v>
      </c>
      <c r="X48" s="114">
        <f t="shared" si="15"/>
        <v>35768</v>
      </c>
      <c r="Y48" s="113"/>
      <c r="Z48" s="111"/>
      <c r="AA48" s="120">
        <f t="shared" ref="AA48:AB71" si="40">IF($C48="NĐ",1,EXR_FC05)</f>
        <v>1</v>
      </c>
      <c r="AB48" s="120">
        <f t="shared" si="40"/>
        <v>1</v>
      </c>
      <c r="AC48" s="111">
        <f t="shared" si="33"/>
        <v>1</v>
      </c>
      <c r="AD48" s="113"/>
      <c r="AE48" s="111"/>
      <c r="AF48" s="111"/>
      <c r="AG48" s="111">
        <f t="shared" si="19"/>
        <v>35768</v>
      </c>
      <c r="AH48" s="111"/>
      <c r="AI48" s="113"/>
      <c r="AJ48" s="115"/>
      <c r="AK48" s="111"/>
      <c r="AL48" s="111">
        <f t="shared" si="7"/>
        <v>2503760000</v>
      </c>
      <c r="AM48" s="116">
        <f t="shared" si="20"/>
        <v>2503760000</v>
      </c>
      <c r="AO48" s="111">
        <f>30*EXR_FC05/1000</f>
        <v>789</v>
      </c>
      <c r="AP48" s="109"/>
      <c r="AQ48" s="111"/>
      <c r="AR48" s="111"/>
      <c r="AS48" s="111">
        <f t="shared" si="34"/>
        <v>55230000</v>
      </c>
      <c r="AT48" s="244">
        <f t="shared" si="35"/>
        <v>55230000</v>
      </c>
      <c r="AV48" s="111"/>
      <c r="AW48" s="109"/>
      <c r="AX48" s="111"/>
      <c r="AY48" s="111"/>
      <c r="AZ48" s="109"/>
      <c r="BA48" s="244">
        <f t="shared" si="25"/>
        <v>0</v>
      </c>
      <c r="BC48" s="113"/>
      <c r="BD48" s="113"/>
      <c r="BE48" s="113">
        <f>_xlfn.XLOOKUP($G48,'GIÁ XUẤT KHO'!$A$4:$A$97,'GIÁ XUẤT KHO'!$AW$4:$AW$97)*R48</f>
        <v>2099177746.1887784</v>
      </c>
      <c r="BF48" s="221">
        <f t="shared" si="26"/>
        <v>2099177746.1887784</v>
      </c>
      <c r="BH48" s="113"/>
      <c r="BI48" s="113">
        <f t="shared" si="36"/>
        <v>0</v>
      </c>
      <c r="BJ48" s="113">
        <f t="shared" si="38"/>
        <v>404582253.8112216</v>
      </c>
      <c r="BK48" s="221">
        <f t="shared" si="28"/>
        <v>404582253.8112216</v>
      </c>
      <c r="BM48" s="244">
        <f t="shared" si="37"/>
        <v>2099177746.1887784</v>
      </c>
      <c r="BN48" s="111">
        <f>SUMIFS('GIÁ XUẤT KHO'!AX$4:AX$97,'GIÁ XUẤT KHO'!$A$4:$A$97,$G48)*$S48</f>
        <v>1522142923.3752425</v>
      </c>
      <c r="BO48" s="111">
        <f>SUMIFS('GIÁ XUẤT KHO'!AY$4:AY$97,'GIÁ XUẤT KHO'!$A$4:$A$97,$G48)*$S48</f>
        <v>32737238.506286357</v>
      </c>
      <c r="BP48" s="111">
        <f>SUMIFS('GIÁ XUẤT KHO'!AZ$4:AZ$97,'GIÁ XUẤT KHO'!$A$4:$A$97,$G48)*$S48</f>
        <v>55332772.277475446</v>
      </c>
      <c r="BQ48" s="111">
        <f>SUMIFS('GIÁ XUẤT KHO'!BA$4:BA$97,'GIÁ XUẤT KHO'!$A$4:$A$97,$G48)*$S48</f>
        <v>93971028.210420966</v>
      </c>
      <c r="BR48" s="111">
        <f>SUMIFS('GIÁ XUẤT KHO'!BB$4:BB$97,'GIÁ XUẤT KHO'!$A$4:$A$97,$G48)*$S48</f>
        <v>16760156.527178332</v>
      </c>
      <c r="BS48" s="111">
        <f>SUMIFS('GIÁ XUẤT KHO'!BC$4:BC$97,'GIÁ XUẤT KHO'!$A$4:$A$97,$G48)*$S48</f>
        <v>109298899.35572653</v>
      </c>
      <c r="BT48" s="111">
        <f>SUMIFS('GIÁ XUẤT KHO'!BD$4:BD$97,'GIÁ XUẤT KHO'!$A$4:$A$97,$G48)*$S48</f>
        <v>98956371.201601312</v>
      </c>
      <c r="BU48" s="111">
        <f>SUMIFS('GIÁ XUẤT KHO'!BE$4:BE$97,'GIÁ XUẤT KHO'!$A$4:$A$97,$G48)*$S48</f>
        <v>30865470.294614375</v>
      </c>
      <c r="BV48" s="111">
        <f>SUMIFS('GIÁ XUẤT KHO'!BF$4:BF$97,'GIÁ XUẤT KHO'!$A$4:$A$97,$G48)*$S48</f>
        <v>139112886.44023269</v>
      </c>
      <c r="BW48" s="245">
        <f t="shared" si="39"/>
        <v>0</v>
      </c>
    </row>
    <row r="49" spans="1:75" s="108" customFormat="1" x14ac:dyDescent="0.25">
      <c r="A49" s="108" t="str">
        <f>_xlfn.XLOOKUP($G49,MD_SKU[Mã SKU],MD_SKU[Link vào file BCQT])</f>
        <v>Vảy rHDPE ép</v>
      </c>
      <c r="B49" s="108" t="s">
        <v>2895</v>
      </c>
      <c r="C49" s="109" t="str">
        <f t="shared" si="32"/>
        <v>NĐ</v>
      </c>
      <c r="D49" s="109" t="s">
        <v>3059</v>
      </c>
      <c r="E49" s="110" t="s">
        <v>3043</v>
      </c>
      <c r="F49" s="109" t="s">
        <v>3044</v>
      </c>
      <c r="G49" s="110" t="s">
        <v>260</v>
      </c>
      <c r="H49" s="109" t="s">
        <v>376</v>
      </c>
      <c r="I49" s="110"/>
      <c r="J49" s="273" t="s">
        <v>2640</v>
      </c>
      <c r="K49" s="111"/>
      <c r="L49" s="111"/>
      <c r="M49" s="112"/>
      <c r="N49" s="111">
        <f>SUMIFS(Sales!$I$3:$I$100,Sales!$B$3:$B$100,$D49)</f>
        <v>6000</v>
      </c>
      <c r="P49" s="111"/>
      <c r="Q49" s="111"/>
      <c r="R49" s="111">
        <f t="shared" si="11"/>
        <v>6000</v>
      </c>
      <c r="S49" s="111">
        <f t="shared" si="12"/>
        <v>6000</v>
      </c>
      <c r="T49" s="128"/>
      <c r="U49" s="114"/>
      <c r="V49" s="114"/>
      <c r="W49" s="131">
        <f>1.16*EXR_FC05</f>
        <v>30507.999999999996</v>
      </c>
      <c r="X49" s="114">
        <f t="shared" si="15"/>
        <v>30507.999999999996</v>
      </c>
      <c r="Y49" s="113"/>
      <c r="Z49" s="111"/>
      <c r="AA49" s="120">
        <f t="shared" si="40"/>
        <v>1</v>
      </c>
      <c r="AB49" s="120">
        <f t="shared" si="40"/>
        <v>1</v>
      </c>
      <c r="AC49" s="111">
        <f t="shared" si="33"/>
        <v>1</v>
      </c>
      <c r="AD49" s="113"/>
      <c r="AE49" s="111"/>
      <c r="AF49" s="111"/>
      <c r="AG49" s="111">
        <f t="shared" si="19"/>
        <v>30507.999999999996</v>
      </c>
      <c r="AH49" s="111"/>
      <c r="AI49" s="113"/>
      <c r="AJ49" s="115"/>
      <c r="AK49" s="111"/>
      <c r="AL49" s="111">
        <f t="shared" si="7"/>
        <v>183047999.99999997</v>
      </c>
      <c r="AM49" s="116">
        <f t="shared" si="20"/>
        <v>183047999.99999997</v>
      </c>
      <c r="AO49" s="111"/>
      <c r="AP49" s="109"/>
      <c r="AQ49" s="111"/>
      <c r="AR49" s="111"/>
      <c r="AS49" s="111">
        <f t="shared" si="34"/>
        <v>0</v>
      </c>
      <c r="AT49" s="244">
        <f t="shared" si="35"/>
        <v>0</v>
      </c>
      <c r="AV49" s="111"/>
      <c r="AW49" s="109"/>
      <c r="AX49" s="111"/>
      <c r="AY49" s="111"/>
      <c r="AZ49" s="109"/>
      <c r="BA49" s="244">
        <f t="shared" si="25"/>
        <v>0</v>
      </c>
      <c r="BC49" s="113"/>
      <c r="BD49" s="113"/>
      <c r="BE49" s="113">
        <f>_xlfn.XLOOKUP($G49,'GIÁ XUẤT KHO'!$A$4:$A$97,'GIÁ XUẤT KHO'!$AW$4:$AW$97)*R49</f>
        <v>317127808.00520664</v>
      </c>
      <c r="BF49" s="221">
        <f t="shared" si="26"/>
        <v>317127808.00520664</v>
      </c>
      <c r="BH49" s="113"/>
      <c r="BI49" s="113">
        <f t="shared" si="36"/>
        <v>0</v>
      </c>
      <c r="BJ49" s="113">
        <f t="shared" si="38"/>
        <v>-134079808.00520667</v>
      </c>
      <c r="BK49" s="221">
        <f t="shared" si="28"/>
        <v>-134079808.00520667</v>
      </c>
      <c r="BM49" s="244">
        <f t="shared" si="37"/>
        <v>317127808.00520664</v>
      </c>
      <c r="BN49" s="111">
        <f>SUMIFS('GIÁ XUẤT KHO'!AX$4:AX$97,'GIÁ XUẤT KHO'!$A$4:$A$97,$G49)*$S49</f>
        <v>114987198.95867231</v>
      </c>
      <c r="BO49" s="111">
        <f>SUMIFS('GIÁ XUẤT KHO'!AY$4:AY$97,'GIÁ XUẤT KHO'!$A$4:$A$97,$G49)*$S49</f>
        <v>58105.174096973642</v>
      </c>
      <c r="BP49" s="111">
        <f>SUMIFS('GIÁ XUẤT KHO'!AZ$4:AZ$97,'GIÁ XUẤT KHO'!$A$4:$A$97,$G49)*$S49</f>
        <v>995527.62772534986</v>
      </c>
      <c r="BQ49" s="111">
        <f>SUMIFS('GIÁ XUẤT KHO'!BA$4:BA$97,'GIÁ XUẤT KHO'!$A$4:$A$97,$G49)*$S49</f>
        <v>24231426.879271071</v>
      </c>
      <c r="BR49" s="111">
        <f>SUMIFS('GIÁ XUẤT KHO'!BB$4:BB$97,'GIÁ XUẤT KHO'!$A$4:$A$97,$G49)*$S49</f>
        <v>2604831.3699967456</v>
      </c>
      <c r="BS49" s="111">
        <f>SUMIFS('GIÁ XUẤT KHO'!BC$4:BC$97,'GIÁ XUẤT KHO'!$A$4:$A$97,$G49)*$S49</f>
        <v>48855796.550602019</v>
      </c>
      <c r="BT49" s="111">
        <f>SUMIFS('GIÁ XUẤT KHO'!BD$4:BD$97,'GIÁ XUẤT KHO'!$A$4:$A$97,$G49)*$S49</f>
        <v>44576988.610478356</v>
      </c>
      <c r="BU49" s="111">
        <f>SUMIFS('GIÁ XUẤT KHO'!BE$4:BE$97,'GIÁ XUẤT KHO'!$A$4:$A$97,$G49)*$S49</f>
        <v>23497279.010738693</v>
      </c>
      <c r="BV49" s="111">
        <f>SUMIFS('GIÁ XUẤT KHO'!BF$4:BF$97,'GIÁ XUẤT KHO'!$A$4:$A$97,$G49)*$S49</f>
        <v>57320653.823625118</v>
      </c>
      <c r="BW49" s="245">
        <f t="shared" si="39"/>
        <v>0</v>
      </c>
    </row>
    <row r="50" spans="1:75" s="108" customFormat="1" x14ac:dyDescent="0.25">
      <c r="A50" s="108" t="str">
        <f>_xlfn.XLOOKUP($G50,MD_SKU[Mã SKU],MD_SKU[Link vào file BCQT])</f>
        <v>Vảy rPP</v>
      </c>
      <c r="B50" s="108" t="s">
        <v>2895</v>
      </c>
      <c r="C50" s="109" t="str">
        <f t="shared" si="32"/>
        <v>NĐ</v>
      </c>
      <c r="D50" s="109" t="s">
        <v>3060</v>
      </c>
      <c r="E50" s="110" t="s">
        <v>3043</v>
      </c>
      <c r="F50" s="109" t="s">
        <v>3044</v>
      </c>
      <c r="G50" s="110" t="s">
        <v>255</v>
      </c>
      <c r="H50" s="109" t="s">
        <v>409</v>
      </c>
      <c r="I50" s="110"/>
      <c r="J50" s="273" t="s">
        <v>2640</v>
      </c>
      <c r="K50" s="111"/>
      <c r="L50" s="111"/>
      <c r="M50" s="112"/>
      <c r="N50" s="111">
        <f>SUMIFS(Sales!$I$3:$I$100,Sales!$B$3:$B$100,$D50)</f>
        <v>11000</v>
      </c>
      <c r="P50" s="111"/>
      <c r="Q50" s="111"/>
      <c r="R50" s="111">
        <f t="shared" si="11"/>
        <v>11000</v>
      </c>
      <c r="S50" s="111">
        <f t="shared" si="12"/>
        <v>11000</v>
      </c>
      <c r="T50" s="128"/>
      <c r="U50" s="114"/>
      <c r="V50" s="114"/>
      <c r="W50" s="131">
        <f>1.12*EXR_FC05</f>
        <v>29456.000000000004</v>
      </c>
      <c r="X50" s="114">
        <f t="shared" si="15"/>
        <v>29456.000000000004</v>
      </c>
      <c r="Y50" s="113"/>
      <c r="Z50" s="111"/>
      <c r="AA50" s="120">
        <f t="shared" si="40"/>
        <v>1</v>
      </c>
      <c r="AB50" s="120">
        <f t="shared" si="40"/>
        <v>1</v>
      </c>
      <c r="AC50" s="111">
        <f t="shared" si="33"/>
        <v>1</v>
      </c>
      <c r="AD50" s="113"/>
      <c r="AE50" s="111"/>
      <c r="AF50" s="111"/>
      <c r="AG50" s="111">
        <f t="shared" si="19"/>
        <v>29456.000000000004</v>
      </c>
      <c r="AH50" s="111"/>
      <c r="AI50" s="113"/>
      <c r="AJ50" s="115"/>
      <c r="AK50" s="111"/>
      <c r="AL50" s="111">
        <f t="shared" si="7"/>
        <v>324016000.00000006</v>
      </c>
      <c r="AM50" s="116">
        <f t="shared" si="20"/>
        <v>324016000.00000006</v>
      </c>
      <c r="AO50" s="111"/>
      <c r="AP50" s="109"/>
      <c r="AQ50" s="111"/>
      <c r="AR50" s="111"/>
      <c r="AS50" s="111">
        <f t="shared" si="34"/>
        <v>0</v>
      </c>
      <c r="AT50" s="244">
        <f t="shared" si="35"/>
        <v>0</v>
      </c>
      <c r="AV50" s="111"/>
      <c r="AW50" s="109"/>
      <c r="AX50" s="111"/>
      <c r="AY50" s="111"/>
      <c r="AZ50" s="109"/>
      <c r="BA50" s="244">
        <f t="shared" si="25"/>
        <v>0</v>
      </c>
      <c r="BC50" s="113"/>
      <c r="BD50" s="113"/>
      <c r="BE50" s="113">
        <f>_xlfn.XLOOKUP($G50,'GIÁ XUẤT KHO'!$A$4:$A$97,'GIÁ XUẤT KHO'!$AW$4:$AW$97)*R50</f>
        <v>224215883.322855</v>
      </c>
      <c r="BF50" s="221">
        <f t="shared" si="26"/>
        <v>224215883.322855</v>
      </c>
      <c r="BH50" s="113"/>
      <c r="BI50" s="113">
        <f t="shared" si="36"/>
        <v>0</v>
      </c>
      <c r="BJ50" s="113">
        <f t="shared" si="38"/>
        <v>99800116.677145064</v>
      </c>
      <c r="BK50" s="221">
        <f t="shared" si="28"/>
        <v>99800116.677145064</v>
      </c>
      <c r="BM50" s="244">
        <f t="shared" si="37"/>
        <v>224215883.322855</v>
      </c>
      <c r="BN50" s="111">
        <f>SUMIFS('GIÁ XUẤT KHO'!AX$4:AX$97,'GIÁ XUẤT KHO'!$A$4:$A$97,$G50)*$S50</f>
        <v>202037033.01265702</v>
      </c>
      <c r="BO50" s="111">
        <f>SUMIFS('GIÁ XUẤT KHO'!AY$4:AY$97,'GIÁ XUẤT KHO'!$A$4:$A$97,$G50)*$S50</f>
        <v>1411297.61212797</v>
      </c>
      <c r="BP50" s="111">
        <f>SUMIFS('GIÁ XUẤT KHO'!AZ$4:AZ$97,'GIÁ XUẤT KHO'!$A$4:$A$97,$G50)*$S50</f>
        <v>2736.2664737073105</v>
      </c>
      <c r="BQ50" s="111">
        <f>SUMIFS('GIÁ XUẤT KHO'!BA$4:BA$97,'GIÁ XUẤT KHO'!$A$4:$A$97,$G50)*$S50</f>
        <v>1867707.3818815907</v>
      </c>
      <c r="BR50" s="111">
        <f>SUMIFS('GIÁ XUẤT KHO'!BB$4:BB$97,'GIÁ XUẤT KHO'!$A$4:$A$97,$G50)*$S50</f>
        <v>7707.7377492556425</v>
      </c>
      <c r="BS50" s="111">
        <f>SUMIFS('GIÁ XUẤT KHO'!BC$4:BC$97,'GIÁ XUẤT KHO'!$A$4:$A$97,$G50)*$S50</f>
        <v>3679526.8146285336</v>
      </c>
      <c r="BT50" s="111">
        <f>SUMIFS('GIÁ XUẤT KHO'!BD$4:BD$97,'GIÁ XUẤT KHO'!$A$4:$A$97,$G50)*$S50</f>
        <v>5270482.4379307479</v>
      </c>
      <c r="BU50" s="111">
        <f>SUMIFS('GIÁ XUẤT KHO'!BE$4:BE$97,'GIÁ XUẤT KHO'!$A$4:$A$97,$G50)*$S50</f>
        <v>3496328.7505486291</v>
      </c>
      <c r="BV50" s="111">
        <f>SUMIFS('GIÁ XUẤT KHO'!BF$4:BF$97,'GIÁ XUẤT KHO'!$A$4:$A$97,$G50)*$S50</f>
        <v>6443063.3088575453</v>
      </c>
      <c r="BW50" s="245">
        <f t="shared" si="39"/>
        <v>0</v>
      </c>
    </row>
    <row r="51" spans="1:75" s="108" customFormat="1" x14ac:dyDescent="0.25">
      <c r="A51" s="108" t="str">
        <f>_xlfn.XLOOKUP($G51,MD_SKU[Mã SKU],MD_SKU[Link vào file BCQT])</f>
        <v>Hạt rHDPE thổi</v>
      </c>
      <c r="B51" s="108" t="s">
        <v>2895</v>
      </c>
      <c r="C51" s="109" t="str">
        <f t="shared" si="32"/>
        <v>NĐ</v>
      </c>
      <c r="D51" s="109" t="s">
        <v>2787</v>
      </c>
      <c r="E51" s="110" t="s">
        <v>34</v>
      </c>
      <c r="F51" s="109" t="s">
        <v>35</v>
      </c>
      <c r="G51" s="110" t="s">
        <v>38</v>
      </c>
      <c r="H51" s="109" t="s">
        <v>2870</v>
      </c>
      <c r="I51" s="110"/>
      <c r="J51" s="273" t="s">
        <v>2640</v>
      </c>
      <c r="K51" s="111"/>
      <c r="L51" s="111"/>
      <c r="M51" s="112"/>
      <c r="N51" s="111">
        <f>SUMIFS(Sales!$I$3:$I$100,Sales!$B$3:$B$100,$D51)</f>
        <v>215000</v>
      </c>
      <c r="P51" s="111"/>
      <c r="Q51" s="111"/>
      <c r="R51" s="111">
        <f t="shared" si="11"/>
        <v>215000</v>
      </c>
      <c r="S51" s="111">
        <f t="shared" si="12"/>
        <v>215000</v>
      </c>
      <c r="T51" s="128"/>
      <c r="U51" s="114"/>
      <c r="V51" s="114"/>
      <c r="W51" s="131">
        <f>V36</f>
        <v>31513</v>
      </c>
      <c r="X51" s="114">
        <f t="shared" si="15"/>
        <v>31513</v>
      </c>
      <c r="Y51" s="113"/>
      <c r="Z51" s="111"/>
      <c r="AA51" s="120">
        <f t="shared" si="40"/>
        <v>1</v>
      </c>
      <c r="AB51" s="120">
        <f t="shared" si="40"/>
        <v>1</v>
      </c>
      <c r="AC51" s="111">
        <f t="shared" si="33"/>
        <v>1</v>
      </c>
      <c r="AD51" s="113"/>
      <c r="AE51" s="111"/>
      <c r="AF51" s="111"/>
      <c r="AG51" s="111">
        <f t="shared" si="19"/>
        <v>31513</v>
      </c>
      <c r="AH51" s="111"/>
      <c r="AI51" s="113"/>
      <c r="AJ51" s="115"/>
      <c r="AK51" s="111"/>
      <c r="AL51" s="111">
        <f t="shared" si="7"/>
        <v>6775295000</v>
      </c>
      <c r="AM51" s="116">
        <f t="shared" si="20"/>
        <v>6775295000</v>
      </c>
      <c r="AO51" s="111"/>
      <c r="AP51" s="109"/>
      <c r="AQ51" s="111"/>
      <c r="AR51" s="111"/>
      <c r="AS51" s="111">
        <f t="shared" si="34"/>
        <v>0</v>
      </c>
      <c r="AT51" s="244">
        <f t="shared" si="35"/>
        <v>0</v>
      </c>
      <c r="AV51" s="111"/>
      <c r="AW51" s="109"/>
      <c r="AX51" s="111"/>
      <c r="AY51" s="111"/>
      <c r="AZ51" s="109"/>
      <c r="BA51" s="244">
        <f t="shared" si="25"/>
        <v>0</v>
      </c>
      <c r="BC51" s="113"/>
      <c r="BD51" s="113"/>
      <c r="BE51" s="113">
        <f>_xlfn.XLOOKUP($G51,'GIÁ XUẤT KHO'!$A$4:$A$97,'GIÁ XUẤT KHO'!$AW$4:$AW$97)*R51</f>
        <v>6447474506.151248</v>
      </c>
      <c r="BF51" s="221">
        <f t="shared" si="26"/>
        <v>6447474506.151248</v>
      </c>
      <c r="BH51" s="113"/>
      <c r="BI51" s="113">
        <f t="shared" si="36"/>
        <v>0</v>
      </c>
      <c r="BJ51" s="113">
        <f t="shared" si="38"/>
        <v>327820493.84875202</v>
      </c>
      <c r="BK51" s="221">
        <f t="shared" si="28"/>
        <v>327820493.84875202</v>
      </c>
      <c r="BM51" s="244">
        <f t="shared" si="37"/>
        <v>6447474506.151248</v>
      </c>
      <c r="BN51" s="111">
        <f>SUMIFS('GIÁ XUẤT KHO'!AX$4:AX$97,'GIÁ XUẤT KHO'!$A$4:$A$97,$G51)*$S51</f>
        <v>4675153264.6525307</v>
      </c>
      <c r="BO51" s="111">
        <f>SUMIFS('GIÁ XUẤT KHO'!AY$4:AY$97,'GIÁ XUẤT KHO'!$A$4:$A$97,$G51)*$S51</f>
        <v>100550089.69787952</v>
      </c>
      <c r="BP51" s="111">
        <f>SUMIFS('GIÁ XUẤT KHO'!AZ$4:AZ$97,'GIÁ XUẤT KHO'!$A$4:$A$97,$G51)*$S51</f>
        <v>169950657.70938888</v>
      </c>
      <c r="BQ51" s="111">
        <f>SUMIFS('GIÁ XUẤT KHO'!BA$4:BA$97,'GIÁ XUẤT KHO'!$A$4:$A$97,$G51)*$S51</f>
        <v>288625300.93200725</v>
      </c>
      <c r="BR51" s="111">
        <f>SUMIFS('GIÁ XUẤT KHO'!BB$4:BB$97,'GIÁ XUẤT KHO'!$A$4:$A$97,$G51)*$S51</f>
        <v>51477623.619190589</v>
      </c>
      <c r="BS51" s="111">
        <f>SUMIFS('GIÁ XUẤT KHO'!BC$4:BC$97,'GIÁ XUẤT KHO'!$A$4:$A$97,$G51)*$S51</f>
        <v>335703762.30687433</v>
      </c>
      <c r="BT51" s="111">
        <f>SUMIFS('GIÁ XUẤT KHO'!BD$4:BD$97,'GIÁ XUẤT KHO'!$A$4:$A$97,$G51)*$S51</f>
        <v>303937425.83348972</v>
      </c>
      <c r="BU51" s="111">
        <f>SUMIFS('GIÁ XUẤT KHO'!BE$4:BE$97,'GIÁ XUẤT KHO'!$A$4:$A$97,$G51)*$S51</f>
        <v>94801087.333458439</v>
      </c>
      <c r="BV51" s="111">
        <f>SUMIFS('GIÁ XUẤT KHO'!BF$4:BF$97,'GIÁ XUẤT KHO'!$A$4:$A$97,$G51)*$S51</f>
        <v>427275294.06642902</v>
      </c>
      <c r="BW51" s="245">
        <f t="shared" si="39"/>
        <v>0</v>
      </c>
    </row>
    <row r="52" spans="1:75" s="108" customFormat="1" x14ac:dyDescent="0.25">
      <c r="A52" s="108" t="str">
        <f>_xlfn.XLOOKUP($G52,MD_SKU[Mã SKU],MD_SKU[Link vào file BCQT])</f>
        <v>Hạt rHDPE thổi</v>
      </c>
      <c r="B52" s="108" t="s">
        <v>2895</v>
      </c>
      <c r="C52" s="109" t="str">
        <f t="shared" si="32"/>
        <v>NĐ</v>
      </c>
      <c r="D52" s="109" t="s">
        <v>2811</v>
      </c>
      <c r="E52" s="110" t="s">
        <v>34</v>
      </c>
      <c r="F52" s="109" t="s">
        <v>35</v>
      </c>
      <c r="G52" s="110" t="s">
        <v>261</v>
      </c>
      <c r="H52" s="109" t="s">
        <v>2871</v>
      </c>
      <c r="I52" s="110"/>
      <c r="J52" s="273" t="s">
        <v>2640</v>
      </c>
      <c r="K52" s="111"/>
      <c r="L52" s="111"/>
      <c r="M52" s="112"/>
      <c r="N52" s="111">
        <f>SUMIFS(Sales!$I$3:$I$100,Sales!$B$3:$B$100,$D52)</f>
        <v>50000</v>
      </c>
      <c r="P52" s="111"/>
      <c r="Q52" s="111"/>
      <c r="R52" s="111">
        <f t="shared" si="11"/>
        <v>50000</v>
      </c>
      <c r="S52" s="111">
        <f t="shared" si="12"/>
        <v>50000</v>
      </c>
      <c r="T52" s="128"/>
      <c r="U52" s="114"/>
      <c r="V52" s="114"/>
      <c r="W52" s="131">
        <f>W51</f>
        <v>31513</v>
      </c>
      <c r="X52" s="114">
        <f t="shared" si="15"/>
        <v>31513</v>
      </c>
      <c r="Y52" s="113"/>
      <c r="Z52" s="111"/>
      <c r="AA52" s="120">
        <f t="shared" si="40"/>
        <v>1</v>
      </c>
      <c r="AB52" s="120">
        <f t="shared" si="40"/>
        <v>1</v>
      </c>
      <c r="AC52" s="111">
        <f t="shared" si="33"/>
        <v>1</v>
      </c>
      <c r="AD52" s="113"/>
      <c r="AE52" s="111"/>
      <c r="AF52" s="111"/>
      <c r="AG52" s="111">
        <f t="shared" si="19"/>
        <v>31513</v>
      </c>
      <c r="AH52" s="111"/>
      <c r="AI52" s="113"/>
      <c r="AJ52" s="115"/>
      <c r="AK52" s="111"/>
      <c r="AL52" s="111">
        <f t="shared" si="7"/>
        <v>1575650000</v>
      </c>
      <c r="AM52" s="116">
        <f t="shared" si="20"/>
        <v>1575650000</v>
      </c>
      <c r="AO52" s="111"/>
      <c r="AP52" s="109"/>
      <c r="AQ52" s="111"/>
      <c r="AR52" s="111"/>
      <c r="AS52" s="111">
        <f t="shared" si="34"/>
        <v>0</v>
      </c>
      <c r="AT52" s="244">
        <f t="shared" si="35"/>
        <v>0</v>
      </c>
      <c r="AV52" s="111"/>
      <c r="AW52" s="109"/>
      <c r="AX52" s="111"/>
      <c r="AY52" s="111"/>
      <c r="AZ52" s="109"/>
      <c r="BA52" s="244">
        <f t="shared" si="25"/>
        <v>0</v>
      </c>
      <c r="BC52" s="113"/>
      <c r="BD52" s="113"/>
      <c r="BE52" s="113">
        <f>_xlfn.XLOOKUP($G52,'GIÁ XUẤT KHO'!$A$4:$A$97,'GIÁ XUẤT KHO'!$AW$4:$AW$97)*R52</f>
        <v>1401064724.5843382</v>
      </c>
      <c r="BF52" s="221">
        <f t="shared" si="26"/>
        <v>1401064724.5843382</v>
      </c>
      <c r="BH52" s="113"/>
      <c r="BI52" s="113">
        <f t="shared" si="36"/>
        <v>0</v>
      </c>
      <c r="BJ52" s="113">
        <f t="shared" si="38"/>
        <v>174585275.41566181</v>
      </c>
      <c r="BK52" s="221">
        <f t="shared" si="28"/>
        <v>174585275.41566181</v>
      </c>
      <c r="BM52" s="244">
        <f t="shared" si="37"/>
        <v>1401064724.5843382</v>
      </c>
      <c r="BN52" s="111">
        <f>SUMIFS('GIÁ XUẤT KHO'!AX$4:AX$97,'GIÁ XUẤT KHO'!$A$4:$A$97,$G52)*$S52</f>
        <v>1027075704.7214115</v>
      </c>
      <c r="BO52" s="111">
        <f>SUMIFS('GIÁ XUẤT KHO'!AY$4:AY$97,'GIÁ XUẤT KHO'!$A$4:$A$97,$G52)*$S52</f>
        <v>10687635.96268562</v>
      </c>
      <c r="BP52" s="111">
        <f>SUMIFS('GIÁ XUẤT KHO'!AZ$4:AZ$97,'GIÁ XUẤT KHO'!$A$4:$A$97,$G52)*$S52</f>
        <v>59637558.700342685</v>
      </c>
      <c r="BQ52" s="111">
        <f>SUMIFS('GIÁ XUẤT KHO'!BA$4:BA$97,'GIÁ XUẤT KHO'!$A$4:$A$97,$G52)*$S52</f>
        <v>58363455.387739569</v>
      </c>
      <c r="BR52" s="111">
        <f>SUMIFS('GIÁ XUẤT KHO'!BB$4:BB$97,'GIÁ XUẤT KHO'!$A$4:$A$97,$G52)*$S52</f>
        <v>10059180.257646909</v>
      </c>
      <c r="BS52" s="111">
        <f>SUMIFS('GIÁ XUẤT KHO'!BC$4:BC$97,'GIÁ XUẤT KHO'!$A$4:$A$97,$G52)*$S52</f>
        <v>68924277.351186693</v>
      </c>
      <c r="BT52" s="111">
        <f>SUMIFS('GIÁ XUẤT KHO'!BD$4:BD$97,'GIÁ XUẤT KHO'!$A$4:$A$97,$G52)*$S52</f>
        <v>60648133.170453101</v>
      </c>
      <c r="BU52" s="111">
        <f>SUMIFS('GIÁ XUẤT KHO'!BE$4:BE$97,'GIÁ XUẤT KHO'!$A$4:$A$97,$G52)*$S52</f>
        <v>7519548.1660109153</v>
      </c>
      <c r="BV52" s="111">
        <f>SUMIFS('GIÁ XUẤT KHO'!BF$4:BF$97,'GIÁ XUẤT KHO'!$A$4:$A$97,$G52)*$S52</f>
        <v>98149230.866861269</v>
      </c>
      <c r="BW52" s="245">
        <f t="shared" si="39"/>
        <v>0</v>
      </c>
    </row>
    <row r="53" spans="1:75" s="108" customFormat="1" x14ac:dyDescent="0.25">
      <c r="A53" s="108" t="str">
        <f>_xlfn.XLOOKUP($G53,MD_SKU[Mã SKU],MD_SKU[Link vào file BCQT])</f>
        <v>Hạt rPET</v>
      </c>
      <c r="B53" s="108" t="s">
        <v>2895</v>
      </c>
      <c r="C53" s="109" t="str">
        <f t="shared" si="32"/>
        <v>NĐ</v>
      </c>
      <c r="D53" s="109" t="s">
        <v>2794</v>
      </c>
      <c r="E53" s="110" t="s">
        <v>2024</v>
      </c>
      <c r="F53" s="109" t="s">
        <v>2025</v>
      </c>
      <c r="G53" s="110" t="s">
        <v>33</v>
      </c>
      <c r="H53" s="109" t="s">
        <v>2863</v>
      </c>
      <c r="I53" s="110"/>
      <c r="J53" s="273" t="s">
        <v>2640</v>
      </c>
      <c r="K53" s="111"/>
      <c r="L53" s="111"/>
      <c r="M53" s="112"/>
      <c r="N53" s="111">
        <f>SUMIFS(Sales!$I$3:$I$100,Sales!$B$3:$B$100,$D53)</f>
        <v>18150</v>
      </c>
      <c r="P53" s="111"/>
      <c r="Q53" s="111"/>
      <c r="R53" s="111">
        <f t="shared" si="11"/>
        <v>18150</v>
      </c>
      <c r="S53" s="111">
        <f t="shared" si="12"/>
        <v>18150</v>
      </c>
      <c r="T53" s="128"/>
      <c r="U53" s="114"/>
      <c r="V53" s="114"/>
      <c r="W53" s="131">
        <f>1.28*EXR_FC05</f>
        <v>33664</v>
      </c>
      <c r="X53" s="114">
        <f t="shared" si="15"/>
        <v>33664</v>
      </c>
      <c r="Y53" s="113"/>
      <c r="Z53" s="111"/>
      <c r="AA53" s="120">
        <f t="shared" si="40"/>
        <v>1</v>
      </c>
      <c r="AB53" s="120">
        <f t="shared" si="40"/>
        <v>1</v>
      </c>
      <c r="AC53" s="111">
        <f t="shared" si="33"/>
        <v>1</v>
      </c>
      <c r="AD53" s="113"/>
      <c r="AE53" s="111"/>
      <c r="AF53" s="111"/>
      <c r="AG53" s="111">
        <f t="shared" si="19"/>
        <v>33664</v>
      </c>
      <c r="AH53" s="111"/>
      <c r="AI53" s="113"/>
      <c r="AJ53" s="115"/>
      <c r="AK53" s="111"/>
      <c r="AL53" s="111">
        <f t="shared" si="7"/>
        <v>611001600</v>
      </c>
      <c r="AM53" s="116">
        <f t="shared" si="20"/>
        <v>611001600</v>
      </c>
      <c r="AO53" s="111"/>
      <c r="AP53" s="109"/>
      <c r="AQ53" s="111"/>
      <c r="AR53" s="111"/>
      <c r="AS53" s="111">
        <f t="shared" si="34"/>
        <v>0</v>
      </c>
      <c r="AT53" s="244">
        <f t="shared" si="35"/>
        <v>0</v>
      </c>
      <c r="AV53" s="111"/>
      <c r="AW53" s="109"/>
      <c r="AX53" s="111"/>
      <c r="AY53" s="111"/>
      <c r="AZ53" s="109"/>
      <c r="BA53" s="244">
        <f t="shared" si="25"/>
        <v>0</v>
      </c>
      <c r="BC53" s="113"/>
      <c r="BD53" s="113"/>
      <c r="BE53" s="113">
        <f>_xlfn.XLOOKUP($G53,'GIÁ XUẤT KHO'!$A$4:$A$97,'GIÁ XUẤT KHO'!$AW$4:$AW$97)*R53</f>
        <v>452621817.09010088</v>
      </c>
      <c r="BF53" s="221">
        <f t="shared" si="26"/>
        <v>452621817.09010088</v>
      </c>
      <c r="BH53" s="113"/>
      <c r="BI53" s="113">
        <f t="shared" si="36"/>
        <v>0</v>
      </c>
      <c r="BJ53" s="113">
        <f t="shared" si="38"/>
        <v>158379782.90989912</v>
      </c>
      <c r="BK53" s="221">
        <f t="shared" si="28"/>
        <v>158379782.90989912</v>
      </c>
      <c r="BM53" s="244">
        <f t="shared" si="37"/>
        <v>452621817.09010094</v>
      </c>
      <c r="BN53" s="111">
        <f>SUMIFS('GIÁ XUẤT KHO'!AX$4:AX$97,'GIÁ XUẤT KHO'!$A$4:$A$97,$G53)*$S53</f>
        <v>326848677.48738015</v>
      </c>
      <c r="BO53" s="111">
        <f>SUMIFS('GIÁ XUẤT KHO'!AY$4:AY$97,'GIÁ XUẤT KHO'!$A$4:$A$97,$G53)*$S53</f>
        <v>3319876.3267942658</v>
      </c>
      <c r="BP53" s="111">
        <f>SUMIFS('GIÁ XUẤT KHO'!AZ$4:AZ$97,'GIÁ XUẤT KHO'!$A$4:$A$97,$G53)*$S53</f>
        <v>1746.6309914551912</v>
      </c>
      <c r="BQ53" s="111">
        <f>SUMIFS('GIÁ XUẤT KHO'!BA$4:BA$97,'GIÁ XUẤT KHO'!$A$4:$A$97,$G53)*$S53</f>
        <v>23205695.495077897</v>
      </c>
      <c r="BR53" s="111">
        <f>SUMIFS('GIÁ XUẤT KHO'!BB$4:BB$97,'GIÁ XUẤT KHO'!$A$4:$A$97,$G53)*$S53</f>
        <v>3186893.3100857227</v>
      </c>
      <c r="BS53" s="111">
        <f>SUMIFS('GIÁ XUẤT KHO'!BC$4:BC$97,'GIÁ XUẤT KHO'!$A$4:$A$97,$G53)*$S53</f>
        <v>13092171.729289865</v>
      </c>
      <c r="BT53" s="111">
        <f>SUMIFS('GIÁ XUẤT KHO'!BD$4:BD$97,'GIÁ XUẤT KHO'!$A$4:$A$97,$G53)*$S53</f>
        <v>21059044.371533632</v>
      </c>
      <c r="BU53" s="111">
        <f>SUMIFS('GIÁ XUẤT KHO'!BE$4:BE$97,'GIÁ XUẤT KHO'!$A$4:$A$97,$G53)*$S53</f>
        <v>5726555.7728997497</v>
      </c>
      <c r="BV53" s="111">
        <f>SUMIFS('GIÁ XUẤT KHO'!BF$4:BF$97,'GIÁ XUẤT KHO'!$A$4:$A$97,$G53)*$S53</f>
        <v>56181155.966048166</v>
      </c>
      <c r="BW53" s="245">
        <f t="shared" si="39"/>
        <v>0</v>
      </c>
    </row>
    <row r="54" spans="1:75" s="108" customFormat="1" x14ac:dyDescent="0.25">
      <c r="A54" s="108" t="str">
        <f>_xlfn.XLOOKUP($G54,MD_SKU[Mã SKU],MD_SKU[Link vào file BCQT])</f>
        <v>Hạt rPET</v>
      </c>
      <c r="B54" s="108" t="s">
        <v>2895</v>
      </c>
      <c r="C54" s="109" t="str">
        <f t="shared" si="32"/>
        <v>NĐ</v>
      </c>
      <c r="D54" s="109" t="s">
        <v>2805</v>
      </c>
      <c r="E54" s="110" t="s">
        <v>2034</v>
      </c>
      <c r="F54" s="109" t="s">
        <v>2613</v>
      </c>
      <c r="G54" s="110" t="s">
        <v>37</v>
      </c>
      <c r="H54" s="109" t="s">
        <v>1396</v>
      </c>
      <c r="I54" s="110"/>
      <c r="J54" s="273" t="s">
        <v>2640</v>
      </c>
      <c r="K54" s="111"/>
      <c r="L54" s="111"/>
      <c r="M54" s="112"/>
      <c r="N54" s="111">
        <f>SUMIFS(Sales!$I$3:$I$100,Sales!$B$3:$B$100,$D54)</f>
        <v>44000</v>
      </c>
      <c r="P54" s="111"/>
      <c r="Q54" s="111"/>
      <c r="R54" s="111">
        <f t="shared" si="11"/>
        <v>44000</v>
      </c>
      <c r="S54" s="111">
        <f t="shared" si="12"/>
        <v>44000</v>
      </c>
      <c r="T54" s="128"/>
      <c r="U54" s="114"/>
      <c r="V54" s="114"/>
      <c r="W54" s="131">
        <f>1.31*EXR_FC05</f>
        <v>34453</v>
      </c>
      <c r="X54" s="114">
        <f t="shared" si="15"/>
        <v>34453</v>
      </c>
      <c r="Y54" s="113"/>
      <c r="Z54" s="111"/>
      <c r="AA54" s="120">
        <f t="shared" si="40"/>
        <v>1</v>
      </c>
      <c r="AB54" s="120">
        <f t="shared" si="40"/>
        <v>1</v>
      </c>
      <c r="AC54" s="111">
        <f t="shared" si="33"/>
        <v>1</v>
      </c>
      <c r="AD54" s="113"/>
      <c r="AE54" s="111"/>
      <c r="AF54" s="111"/>
      <c r="AG54" s="111">
        <f t="shared" si="19"/>
        <v>34453</v>
      </c>
      <c r="AH54" s="111"/>
      <c r="AI54" s="113"/>
      <c r="AJ54" s="115"/>
      <c r="AK54" s="111"/>
      <c r="AL54" s="111">
        <f t="shared" si="7"/>
        <v>1515932000</v>
      </c>
      <c r="AM54" s="116">
        <f t="shared" si="20"/>
        <v>1515932000</v>
      </c>
      <c r="AO54" s="111"/>
      <c r="AP54" s="109"/>
      <c r="AQ54" s="111"/>
      <c r="AR54" s="111"/>
      <c r="AS54" s="111">
        <f t="shared" si="34"/>
        <v>0</v>
      </c>
      <c r="AT54" s="244">
        <f t="shared" si="35"/>
        <v>0</v>
      </c>
      <c r="AV54" s="111"/>
      <c r="AW54" s="109"/>
      <c r="AX54" s="111"/>
      <c r="AY54" s="111"/>
      <c r="AZ54" s="109"/>
      <c r="BA54" s="244">
        <f t="shared" si="25"/>
        <v>0</v>
      </c>
      <c r="BC54" s="113"/>
      <c r="BD54" s="113"/>
      <c r="BE54" s="113">
        <f>_xlfn.XLOOKUP($G54,'GIÁ XUẤT KHO'!$A$4:$A$97,'GIÁ XUẤT KHO'!$AW$4:$AW$97)*R54</f>
        <v>1151219854.902113</v>
      </c>
      <c r="BF54" s="221">
        <f t="shared" si="26"/>
        <v>1151219854.902113</v>
      </c>
      <c r="BH54" s="113"/>
      <c r="BI54" s="113">
        <f t="shared" si="36"/>
        <v>0</v>
      </c>
      <c r="BJ54" s="113">
        <f t="shared" si="38"/>
        <v>364712145.09788704</v>
      </c>
      <c r="BK54" s="221">
        <f t="shared" si="28"/>
        <v>364712145.09788704</v>
      </c>
      <c r="BM54" s="244">
        <f t="shared" si="37"/>
        <v>1151219854.902113</v>
      </c>
      <c r="BN54" s="111">
        <f>SUMIFS('GIÁ XUẤT KHO'!AX$4:AX$97,'GIÁ XUẤT KHO'!$A$4:$A$97,$G54)*$S54</f>
        <v>856163146.7715832</v>
      </c>
      <c r="BO54" s="111">
        <f>SUMIFS('GIÁ XUẤT KHO'!AY$4:AY$97,'GIÁ XUẤT KHO'!$A$4:$A$97,$G54)*$S54</f>
        <v>7440302.6681172168</v>
      </c>
      <c r="BP54" s="111">
        <f>SUMIFS('GIÁ XUẤT KHO'!AZ$4:AZ$97,'GIÁ XUẤT KHO'!$A$4:$A$97,$G54)*$S54</f>
        <v>1481.9451274943742</v>
      </c>
      <c r="BQ54" s="111">
        <f>SUMIFS('GIÁ XUẤT KHO'!BA$4:BA$97,'GIÁ XUẤT KHO'!$A$4:$A$97,$G54)*$S54</f>
        <v>35130745.51298292</v>
      </c>
      <c r="BR54" s="111">
        <f>SUMIFS('GIÁ XUẤT KHO'!BB$4:BB$97,'GIÁ XUẤT KHO'!$A$4:$A$97,$G54)*$S54</f>
        <v>10207463.177399244</v>
      </c>
      <c r="BS54" s="111">
        <f>SUMIFS('GIÁ XUẤT KHO'!BC$4:BC$97,'GIÁ XUẤT KHO'!$A$4:$A$97,$G54)*$S54</f>
        <v>19052298.356209297</v>
      </c>
      <c r="BT54" s="111">
        <f>SUMIFS('GIÁ XUẤT KHO'!BD$4:BD$97,'GIÁ XUẤT KHO'!$A$4:$A$97,$G54)*$S54</f>
        <v>64856869.49523852</v>
      </c>
      <c r="BU54" s="111">
        <f>SUMIFS('GIÁ XUẤT KHO'!BE$4:BE$97,'GIÁ XUẤT KHO'!$A$4:$A$97,$G54)*$S54</f>
        <v>3361358.4298296594</v>
      </c>
      <c r="BV54" s="111">
        <f>SUMIFS('GIÁ XUẤT KHO'!BF$4:BF$97,'GIÁ XUẤT KHO'!$A$4:$A$97,$G54)*$S54</f>
        <v>155006188.54562527</v>
      </c>
      <c r="BW54" s="245">
        <f t="shared" si="39"/>
        <v>0</v>
      </c>
    </row>
    <row r="55" spans="1:75" s="108" customFormat="1" x14ac:dyDescent="0.25">
      <c r="A55" s="108" t="str">
        <f>_xlfn.XLOOKUP($G55,MD_SKU[Mã SKU],MD_SKU[Link vào file BCQT])</f>
        <v>Hạt rPET</v>
      </c>
      <c r="B55" s="108" t="s">
        <v>2895</v>
      </c>
      <c r="C55" s="109" t="str">
        <f t="shared" si="32"/>
        <v>NĐ</v>
      </c>
      <c r="D55" s="109" t="s">
        <v>3061</v>
      </c>
      <c r="E55" s="110" t="s">
        <v>3045</v>
      </c>
      <c r="F55" s="109" t="s">
        <v>3046</v>
      </c>
      <c r="G55" s="110" t="s">
        <v>33</v>
      </c>
      <c r="H55" s="109" t="s">
        <v>2863</v>
      </c>
      <c r="I55" s="110"/>
      <c r="J55" s="273" t="s">
        <v>2640</v>
      </c>
      <c r="K55" s="111"/>
      <c r="L55" s="111"/>
      <c r="M55" s="112"/>
      <c r="N55" s="111">
        <f>SUMIFS(Sales!$I$3:$I$100,Sales!$B$3:$B$100,$D55)</f>
        <v>4400</v>
      </c>
      <c r="P55" s="111"/>
      <c r="Q55" s="111"/>
      <c r="R55" s="111">
        <f t="shared" si="11"/>
        <v>4400</v>
      </c>
      <c r="S55" s="111">
        <f t="shared" si="12"/>
        <v>4400</v>
      </c>
      <c r="T55" s="128"/>
      <c r="U55" s="114"/>
      <c r="V55" s="114"/>
      <c r="W55" s="131">
        <f>1.28*EXR_FC05</f>
        <v>33664</v>
      </c>
      <c r="X55" s="114">
        <f t="shared" si="15"/>
        <v>33664</v>
      </c>
      <c r="Y55" s="113"/>
      <c r="Z55" s="111"/>
      <c r="AA55" s="120">
        <f t="shared" si="40"/>
        <v>1</v>
      </c>
      <c r="AB55" s="120">
        <f t="shared" si="40"/>
        <v>1</v>
      </c>
      <c r="AC55" s="111">
        <f t="shared" si="33"/>
        <v>1</v>
      </c>
      <c r="AD55" s="113"/>
      <c r="AE55" s="111"/>
      <c r="AF55" s="111"/>
      <c r="AG55" s="111">
        <f t="shared" si="19"/>
        <v>33664</v>
      </c>
      <c r="AH55" s="111"/>
      <c r="AI55" s="113"/>
      <c r="AJ55" s="115"/>
      <c r="AK55" s="111"/>
      <c r="AL55" s="111">
        <f t="shared" si="7"/>
        <v>148121600</v>
      </c>
      <c r="AM55" s="116">
        <f t="shared" si="20"/>
        <v>148121600</v>
      </c>
      <c r="AO55" s="111"/>
      <c r="AP55" s="109"/>
      <c r="AQ55" s="111"/>
      <c r="AR55" s="111"/>
      <c r="AS55" s="111">
        <f t="shared" si="34"/>
        <v>0</v>
      </c>
      <c r="AT55" s="244">
        <f t="shared" si="35"/>
        <v>0</v>
      </c>
      <c r="AV55" s="111"/>
      <c r="AW55" s="109"/>
      <c r="AX55" s="111"/>
      <c r="AY55" s="111"/>
      <c r="AZ55" s="109"/>
      <c r="BA55" s="244">
        <f t="shared" si="25"/>
        <v>0</v>
      </c>
      <c r="BC55" s="113"/>
      <c r="BD55" s="113"/>
      <c r="BE55" s="113">
        <f>_xlfn.XLOOKUP($G55,'GIÁ XUẤT KHO'!$A$4:$A$97,'GIÁ XUẤT KHO'!$AW$4:$AW$97)*R55</f>
        <v>109726501.11275172</v>
      </c>
      <c r="BF55" s="221">
        <f t="shared" si="26"/>
        <v>109726501.11275172</v>
      </c>
      <c r="BH55" s="113"/>
      <c r="BI55" s="113">
        <f t="shared" si="36"/>
        <v>0</v>
      </c>
      <c r="BJ55" s="113">
        <f t="shared" si="38"/>
        <v>38395098.887248278</v>
      </c>
      <c r="BK55" s="221">
        <f t="shared" si="28"/>
        <v>38395098.887248278</v>
      </c>
      <c r="BM55" s="244">
        <f t="shared" si="37"/>
        <v>109726501.11275175</v>
      </c>
      <c r="BN55" s="111">
        <f>SUMIFS('GIÁ XUẤT KHO'!AX$4:AX$97,'GIÁ XUẤT KHO'!$A$4:$A$97,$G55)*$S55</f>
        <v>79236043.027243674</v>
      </c>
      <c r="BO55" s="111">
        <f>SUMIFS('GIÁ XUẤT KHO'!AY$4:AY$97,'GIÁ XUẤT KHO'!$A$4:$A$97,$G55)*$S55</f>
        <v>804818.50346527656</v>
      </c>
      <c r="BP55" s="111">
        <f>SUMIFS('GIÁ XUẤT KHO'!AZ$4:AZ$97,'GIÁ XUẤT KHO'!$A$4:$A$97,$G55)*$S55</f>
        <v>423.42569489822819</v>
      </c>
      <c r="BQ55" s="111">
        <f>SUMIFS('GIÁ XUẤT KHO'!BA$4:BA$97,'GIÁ XUẤT KHO'!$A$4:$A$97,$G55)*$S55</f>
        <v>5625623.1503219139</v>
      </c>
      <c r="BR55" s="111">
        <f>SUMIFS('GIÁ XUẤT KHO'!BB$4:BB$97,'GIÁ XUẤT KHO'!$A$4:$A$97,$G55)*$S55</f>
        <v>772580.19638441759</v>
      </c>
      <c r="BS55" s="111">
        <f>SUMIFS('GIÁ XUẤT KHO'!BC$4:BC$97,'GIÁ XUẤT KHO'!$A$4:$A$97,$G55)*$S55</f>
        <v>3173859.8131611794</v>
      </c>
      <c r="BT55" s="111">
        <f>SUMIFS('GIÁ XUẤT KHO'!BD$4:BD$97,'GIÁ XUẤT KHO'!$A$4:$A$97,$G55)*$S55</f>
        <v>5105222.8779475465</v>
      </c>
      <c r="BU55" s="111">
        <f>SUMIFS('GIÁ XUẤT KHO'!BE$4:BE$97,'GIÁ XUẤT KHO'!$A$4:$A$97,$G55)*$S55</f>
        <v>1388255.9449453938</v>
      </c>
      <c r="BV55" s="111">
        <f>SUMIFS('GIÁ XUẤT KHO'!BF$4:BF$97,'GIÁ XUẤT KHO'!$A$4:$A$97,$G55)*$S55</f>
        <v>13619674.173587434</v>
      </c>
      <c r="BW55" s="245">
        <f t="shared" si="39"/>
        <v>0</v>
      </c>
    </row>
    <row r="56" spans="1:75" s="108" customFormat="1" x14ac:dyDescent="0.25">
      <c r="A56" s="108" t="str">
        <f>_xlfn.XLOOKUP($G56,MD_SKU[Mã SKU],MD_SKU[Link vào file BCQT])</f>
        <v>Hạt rHDPE thổi</v>
      </c>
      <c r="B56" s="108" t="s">
        <v>2895</v>
      </c>
      <c r="C56" s="109" t="str">
        <f t="shared" si="32"/>
        <v>NĐ</v>
      </c>
      <c r="D56" s="109" t="s">
        <v>2799</v>
      </c>
      <c r="E56" s="110" t="s">
        <v>48</v>
      </c>
      <c r="F56" s="109" t="s">
        <v>2872</v>
      </c>
      <c r="G56" s="110" t="s">
        <v>50</v>
      </c>
      <c r="H56" s="109" t="s">
        <v>2873</v>
      </c>
      <c r="I56" s="110"/>
      <c r="J56" s="273" t="s">
        <v>2640</v>
      </c>
      <c r="K56" s="111"/>
      <c r="L56" s="111"/>
      <c r="M56" s="112"/>
      <c r="N56" s="111">
        <f>SUMIFS(Sales!$I$3:$I$100,Sales!$B$3:$B$100,$D56)</f>
        <v>68750</v>
      </c>
      <c r="P56" s="111"/>
      <c r="Q56" s="111"/>
      <c r="R56" s="111">
        <f t="shared" si="11"/>
        <v>68750</v>
      </c>
      <c r="S56" s="111">
        <f t="shared" si="12"/>
        <v>68750</v>
      </c>
      <c r="T56" s="128"/>
      <c r="U56" s="114"/>
      <c r="V56" s="114"/>
      <c r="W56" s="131">
        <f>1.3*EXR_FC05</f>
        <v>34190</v>
      </c>
      <c r="X56" s="114">
        <f t="shared" si="15"/>
        <v>34190</v>
      </c>
      <c r="Y56" s="113"/>
      <c r="Z56" s="111"/>
      <c r="AA56" s="120">
        <f t="shared" si="40"/>
        <v>1</v>
      </c>
      <c r="AB56" s="120">
        <f t="shared" si="40"/>
        <v>1</v>
      </c>
      <c r="AC56" s="111">
        <f t="shared" si="33"/>
        <v>1</v>
      </c>
      <c r="AD56" s="113"/>
      <c r="AE56" s="111"/>
      <c r="AF56" s="111"/>
      <c r="AG56" s="111">
        <f t="shared" si="19"/>
        <v>34190</v>
      </c>
      <c r="AH56" s="111"/>
      <c r="AI56" s="113"/>
      <c r="AJ56" s="115"/>
      <c r="AK56" s="111"/>
      <c r="AL56" s="111">
        <f t="shared" si="7"/>
        <v>2350562500</v>
      </c>
      <c r="AM56" s="116">
        <f t="shared" si="20"/>
        <v>2350562500</v>
      </c>
      <c r="AO56" s="111"/>
      <c r="AP56" s="109"/>
      <c r="AQ56" s="111"/>
      <c r="AR56" s="111"/>
      <c r="AS56" s="111">
        <f t="shared" si="34"/>
        <v>0</v>
      </c>
      <c r="AT56" s="244">
        <f t="shared" si="35"/>
        <v>0</v>
      </c>
      <c r="AV56" s="111"/>
      <c r="AW56" s="109"/>
      <c r="AX56" s="111"/>
      <c r="AY56" s="111"/>
      <c r="AZ56" s="109"/>
      <c r="BA56" s="244">
        <f t="shared" si="25"/>
        <v>0</v>
      </c>
      <c r="BC56" s="113"/>
      <c r="BD56" s="113"/>
      <c r="BE56" s="113">
        <f>_xlfn.XLOOKUP($G56,'GIÁ XUẤT KHO'!$A$4:$A$97,'GIÁ XUẤT KHO'!$AW$4:$AW$97)*R56</f>
        <v>1918012916.7236037</v>
      </c>
      <c r="BF56" s="221">
        <f t="shared" si="26"/>
        <v>1918012916.7236037</v>
      </c>
      <c r="BH56" s="113"/>
      <c r="BI56" s="113">
        <f t="shared" si="36"/>
        <v>0</v>
      </c>
      <c r="BJ56" s="113">
        <f t="shared" si="38"/>
        <v>432549583.27639627</v>
      </c>
      <c r="BK56" s="221">
        <f t="shared" si="28"/>
        <v>432549583.27639627</v>
      </c>
      <c r="BM56" s="244">
        <f t="shared" si="37"/>
        <v>1918012916.7236037</v>
      </c>
      <c r="BN56" s="111">
        <f>SUMIFS('GIÁ XUẤT KHO'!AX$4:AX$97,'GIÁ XUẤT KHO'!$A$4:$A$97,$G56)*$S56</f>
        <v>1395827485.6375902</v>
      </c>
      <c r="BO56" s="111">
        <f>SUMIFS('GIÁ XUẤT KHO'!AY$4:AY$97,'GIÁ XUẤT KHO'!$A$4:$A$97,$G56)*$S56</f>
        <v>12162218.490376033</v>
      </c>
      <c r="BP56" s="111">
        <f>SUMIFS('GIÁ XUẤT KHO'!AZ$4:AZ$97,'GIÁ XUẤT KHO'!$A$4:$A$97,$G56)*$S56</f>
        <v>9019078.8486108277</v>
      </c>
      <c r="BQ56" s="111">
        <f>SUMIFS('GIÁ XUẤT KHO'!BA$4:BA$97,'GIÁ XUẤT KHO'!$A$4:$A$97,$G56)*$S56</f>
        <v>168237213.53013203</v>
      </c>
      <c r="BR56" s="111">
        <f>SUMIFS('GIÁ XUẤT KHO'!BB$4:BB$97,'GIÁ XUẤT KHO'!$A$4:$A$97,$G56)*$S56</f>
        <v>12512247.132734951</v>
      </c>
      <c r="BS56" s="111">
        <f>SUMIFS('GIÁ XUẤT KHO'!BC$4:BC$97,'GIÁ XUẤT KHO'!$A$4:$A$97,$G56)*$S56</f>
        <v>59506531.534866929</v>
      </c>
      <c r="BT56" s="111">
        <f>SUMIFS('GIÁ XUẤT KHO'!BD$4:BD$97,'GIÁ XUẤT KHO'!$A$4:$A$97,$G56)*$S56</f>
        <v>75427183.891517147</v>
      </c>
      <c r="BU56" s="111">
        <f>SUMIFS('GIÁ XUẤT KHO'!BE$4:BE$97,'GIÁ XUẤT KHO'!$A$4:$A$97,$G56)*$S56</f>
        <v>53730222.446959466</v>
      </c>
      <c r="BV56" s="111">
        <f>SUMIFS('GIÁ XUẤT KHO'!BF$4:BF$97,'GIÁ XUẤT KHO'!$A$4:$A$97,$G56)*$S56</f>
        <v>131590735.21081583</v>
      </c>
      <c r="BW56" s="245">
        <f t="shared" si="39"/>
        <v>0</v>
      </c>
    </row>
    <row r="57" spans="1:75" s="108" customFormat="1" x14ac:dyDescent="0.25">
      <c r="A57" s="108" t="str">
        <f>_xlfn.XLOOKUP($G57,MD_SKU[Mã SKU],MD_SKU[Link vào file BCQT])</f>
        <v>Hạt rPET</v>
      </c>
      <c r="B57" s="108" t="s">
        <v>2895</v>
      </c>
      <c r="C57" s="109" t="str">
        <f t="shared" si="32"/>
        <v>NĐ</v>
      </c>
      <c r="D57" s="109" t="s">
        <v>3062</v>
      </c>
      <c r="E57" s="110" t="s">
        <v>3047</v>
      </c>
      <c r="F57" s="109" t="s">
        <v>3048</v>
      </c>
      <c r="G57" s="110" t="s">
        <v>37</v>
      </c>
      <c r="H57" s="109" t="s">
        <v>1396</v>
      </c>
      <c r="I57" s="110"/>
      <c r="J57" s="273" t="s">
        <v>2640</v>
      </c>
      <c r="K57" s="111"/>
      <c r="L57" s="111"/>
      <c r="M57" s="112"/>
      <c r="N57" s="111">
        <f>SUMIFS(Sales!$I$3:$I$100,Sales!$B$3:$B$100,$D57)</f>
        <v>3000</v>
      </c>
      <c r="P57" s="111"/>
      <c r="Q57" s="111"/>
      <c r="R57" s="111">
        <f t="shared" si="11"/>
        <v>3000</v>
      </c>
      <c r="S57" s="111">
        <f t="shared" si="12"/>
        <v>3000</v>
      </c>
      <c r="T57" s="128"/>
      <c r="U57" s="114"/>
      <c r="V57" s="114"/>
      <c r="W57" s="131">
        <f>1.31*EXR_FC05</f>
        <v>34453</v>
      </c>
      <c r="X57" s="114">
        <f t="shared" si="15"/>
        <v>34453</v>
      </c>
      <c r="Y57" s="113"/>
      <c r="Z57" s="111"/>
      <c r="AA57" s="120">
        <f t="shared" si="40"/>
        <v>1</v>
      </c>
      <c r="AB57" s="120">
        <f t="shared" si="40"/>
        <v>1</v>
      </c>
      <c r="AC57" s="111">
        <f t="shared" si="33"/>
        <v>1</v>
      </c>
      <c r="AD57" s="113"/>
      <c r="AE57" s="111"/>
      <c r="AF57" s="111"/>
      <c r="AG57" s="111">
        <f t="shared" si="19"/>
        <v>34453</v>
      </c>
      <c r="AH57" s="111"/>
      <c r="AI57" s="113"/>
      <c r="AJ57" s="115"/>
      <c r="AK57" s="111"/>
      <c r="AL57" s="111">
        <f t="shared" si="7"/>
        <v>103359000</v>
      </c>
      <c r="AM57" s="116">
        <f t="shared" si="20"/>
        <v>103359000</v>
      </c>
      <c r="AO57" s="111"/>
      <c r="AP57" s="109"/>
      <c r="AQ57" s="111"/>
      <c r="AR57" s="111"/>
      <c r="AS57" s="111">
        <f t="shared" si="34"/>
        <v>0</v>
      </c>
      <c r="AT57" s="244">
        <f t="shared" si="35"/>
        <v>0</v>
      </c>
      <c r="AV57" s="111"/>
      <c r="AW57" s="109"/>
      <c r="AX57" s="111"/>
      <c r="AY57" s="111"/>
      <c r="AZ57" s="109"/>
      <c r="BA57" s="244">
        <f t="shared" si="25"/>
        <v>0</v>
      </c>
      <c r="BC57" s="113"/>
      <c r="BD57" s="113"/>
      <c r="BE57" s="113">
        <f>_xlfn.XLOOKUP($G57,'GIÁ XUẤT KHO'!$A$4:$A$97,'GIÁ XUẤT KHO'!$AW$4:$AW$97)*R57</f>
        <v>78492262.834234968</v>
      </c>
      <c r="BF57" s="221">
        <f t="shared" si="26"/>
        <v>78492262.834234968</v>
      </c>
      <c r="BH57" s="113"/>
      <c r="BI57" s="113">
        <f t="shared" si="36"/>
        <v>0</v>
      </c>
      <c r="BJ57" s="113">
        <f t="shared" si="38"/>
        <v>24866737.165765032</v>
      </c>
      <c r="BK57" s="221">
        <f t="shared" si="28"/>
        <v>24866737.165765032</v>
      </c>
      <c r="BM57" s="244">
        <f t="shared" si="37"/>
        <v>78492262.834234953</v>
      </c>
      <c r="BN57" s="111">
        <f>SUMIFS('GIÁ XUẤT KHO'!AX$4:AX$97,'GIÁ XUẤT KHO'!$A$4:$A$97,$G57)*$S57</f>
        <v>58374760.007153399</v>
      </c>
      <c r="BO57" s="111">
        <f>SUMIFS('GIÁ XUẤT KHO'!AY$4:AY$97,'GIÁ XUẤT KHO'!$A$4:$A$97,$G57)*$S57</f>
        <v>507293.36373526475</v>
      </c>
      <c r="BP57" s="111">
        <f>SUMIFS('GIÁ XUẤT KHO'!AZ$4:AZ$97,'GIÁ XUẤT KHO'!$A$4:$A$97,$G57)*$S57</f>
        <v>101.0417132382528</v>
      </c>
      <c r="BQ57" s="111">
        <f>SUMIFS('GIÁ XUẤT KHO'!BA$4:BA$97,'GIÁ XUẤT KHO'!$A$4:$A$97,$G57)*$S57</f>
        <v>2395278.1031579264</v>
      </c>
      <c r="BR57" s="111">
        <f>SUMIFS('GIÁ XUẤT KHO'!BB$4:BB$97,'GIÁ XUẤT KHO'!$A$4:$A$97,$G57)*$S57</f>
        <v>695963.3984590394</v>
      </c>
      <c r="BS57" s="111">
        <f>SUMIFS('GIÁ XUẤT KHO'!BC$4:BC$97,'GIÁ XUẤT KHO'!$A$4:$A$97,$G57)*$S57</f>
        <v>1299020.3424688156</v>
      </c>
      <c r="BT57" s="111">
        <f>SUMIFS('GIÁ XUẤT KHO'!BD$4:BD$97,'GIÁ XUẤT KHO'!$A$4:$A$97,$G57)*$S57</f>
        <v>4422059.2837662632</v>
      </c>
      <c r="BU57" s="111">
        <f>SUMIFS('GIÁ XUẤT KHO'!BE$4:BE$97,'GIÁ XUẤT KHO'!$A$4:$A$97,$G57)*$S57</f>
        <v>229183.52930656768</v>
      </c>
      <c r="BV57" s="111">
        <f>SUMIFS('GIÁ XUẤT KHO'!BF$4:BF$97,'GIÁ XUẤT KHO'!$A$4:$A$97,$G57)*$S57</f>
        <v>10568603.76447445</v>
      </c>
      <c r="BW57" s="245">
        <f t="shared" si="39"/>
        <v>0</v>
      </c>
    </row>
    <row r="58" spans="1:75" s="108" customFormat="1" x14ac:dyDescent="0.25">
      <c r="A58" s="108" t="str">
        <f>_xlfn.XLOOKUP($G58,MD_SKU[Mã SKU],MD_SKU[Link vào file BCQT])</f>
        <v>Hạt rPET</v>
      </c>
      <c r="B58" s="108" t="s">
        <v>2895</v>
      </c>
      <c r="C58" s="109" t="str">
        <f t="shared" si="32"/>
        <v>NĐ</v>
      </c>
      <c r="D58" s="109" t="s">
        <v>2845</v>
      </c>
      <c r="E58" s="110" t="s">
        <v>2636</v>
      </c>
      <c r="F58" s="109" t="s">
        <v>2874</v>
      </c>
      <c r="G58" s="110" t="s">
        <v>32</v>
      </c>
      <c r="H58" s="109" t="s">
        <v>279</v>
      </c>
      <c r="I58" s="110"/>
      <c r="J58" s="110" t="s">
        <v>2639</v>
      </c>
      <c r="K58" s="111"/>
      <c r="L58" s="111"/>
      <c r="M58" s="112"/>
      <c r="N58" s="111">
        <f>SUMIFS(Sales!$I$3:$I$100,Sales!$B$3:$B$100,$D58)</f>
        <v>88000</v>
      </c>
      <c r="P58" s="111"/>
      <c r="Q58" s="111"/>
      <c r="R58" s="111">
        <f t="shared" si="11"/>
        <v>88000</v>
      </c>
      <c r="S58" s="111">
        <f t="shared" si="12"/>
        <v>88000</v>
      </c>
      <c r="T58" s="128"/>
      <c r="U58" s="114"/>
      <c r="V58" s="114"/>
      <c r="W58" s="131">
        <f>1.284*EXR_FC05</f>
        <v>33769.200000000004</v>
      </c>
      <c r="X58" s="114">
        <f t="shared" si="15"/>
        <v>33769.200000000004</v>
      </c>
      <c r="Y58" s="113"/>
      <c r="Z58" s="111"/>
      <c r="AA58" s="120">
        <f t="shared" si="40"/>
        <v>1</v>
      </c>
      <c r="AB58" s="120">
        <f t="shared" si="40"/>
        <v>1</v>
      </c>
      <c r="AC58" s="111">
        <f t="shared" si="33"/>
        <v>1</v>
      </c>
      <c r="AD58" s="113"/>
      <c r="AE58" s="111"/>
      <c r="AF58" s="111"/>
      <c r="AG58" s="111">
        <f t="shared" si="19"/>
        <v>33769.200000000004</v>
      </c>
      <c r="AH58" s="111"/>
      <c r="AI58" s="113"/>
      <c r="AJ58" s="115"/>
      <c r="AK58" s="111"/>
      <c r="AL58" s="111">
        <f t="shared" si="7"/>
        <v>2971689600.0000005</v>
      </c>
      <c r="AM58" s="116">
        <f t="shared" si="20"/>
        <v>2971689600.0000005</v>
      </c>
      <c r="AO58" s="111">
        <f>10*EXR_FC05/1000</f>
        <v>263</v>
      </c>
      <c r="AP58" s="109"/>
      <c r="AQ58" s="111"/>
      <c r="AR58" s="111"/>
      <c r="AS58" s="111">
        <f t="shared" si="34"/>
        <v>23144000</v>
      </c>
      <c r="AT58" s="244">
        <f t="shared" si="35"/>
        <v>23144000</v>
      </c>
      <c r="AV58" s="111"/>
      <c r="AW58" s="109"/>
      <c r="AX58" s="111"/>
      <c r="AY58" s="111"/>
      <c r="AZ58" s="109"/>
      <c r="BA58" s="244">
        <f t="shared" si="25"/>
        <v>0</v>
      </c>
      <c r="BC58" s="113"/>
      <c r="BD58" s="113"/>
      <c r="BE58" s="113">
        <f>_xlfn.XLOOKUP($G58,'GIÁ XUẤT KHO'!$A$4:$A$97,'GIÁ XUẤT KHO'!$AW$4:$AW$97)*R58</f>
        <v>2465559792.7380643</v>
      </c>
      <c r="BF58" s="221">
        <f t="shared" si="26"/>
        <v>2465559792.7380643</v>
      </c>
      <c r="BH58" s="113"/>
      <c r="BI58" s="113">
        <f t="shared" si="36"/>
        <v>0</v>
      </c>
      <c r="BJ58" s="113">
        <f t="shared" si="38"/>
        <v>506129807.26193619</v>
      </c>
      <c r="BK58" s="221">
        <f t="shared" si="28"/>
        <v>506129807.26193619</v>
      </c>
      <c r="BM58" s="244">
        <f t="shared" si="37"/>
        <v>2465559792.7380643</v>
      </c>
      <c r="BN58" s="111">
        <f>SUMIFS('GIÁ XUẤT KHO'!AX$4:AX$97,'GIÁ XUẤT KHO'!$A$4:$A$97,$G58)*$S58</f>
        <v>1457533319.5658333</v>
      </c>
      <c r="BO58" s="111">
        <f>SUMIFS('GIÁ XUẤT KHO'!AY$4:AY$97,'GIÁ XUẤT KHO'!$A$4:$A$97,$G58)*$S58</f>
        <v>24217604.165781055</v>
      </c>
      <c r="BP58" s="111">
        <f>SUMIFS('GIÁ XUẤT KHO'!AZ$4:AZ$97,'GIÁ XUẤT KHO'!$A$4:$A$97,$G58)*$S58</f>
        <v>9866.9955870752055</v>
      </c>
      <c r="BQ58" s="111">
        <f>SUMIFS('GIÁ XUẤT KHO'!BA$4:BA$97,'GIÁ XUẤT KHO'!$A$4:$A$97,$G58)*$S58</f>
        <v>160837508.62514874</v>
      </c>
      <c r="BR58" s="111">
        <f>SUMIFS('GIÁ XUẤT KHO'!BB$4:BB$97,'GIÁ XUẤT KHO'!$A$4:$A$97,$G58)*$S58</f>
        <v>19037092.71358997</v>
      </c>
      <c r="BS58" s="111">
        <f>SUMIFS('GIÁ XUẤT KHO'!BC$4:BC$97,'GIÁ XUẤT KHO'!$A$4:$A$97,$G58)*$S58</f>
        <v>115096550.11507566</v>
      </c>
      <c r="BT58" s="111">
        <f>SUMIFS('GIÁ XUẤT KHO'!BD$4:BD$97,'GIÁ XUẤT KHO'!$A$4:$A$97,$G58)*$S58</f>
        <v>185469265.64573926</v>
      </c>
      <c r="BU58" s="111">
        <f>SUMIFS('GIÁ XUẤT KHO'!BE$4:BE$97,'GIÁ XUẤT KHO'!$A$4:$A$97,$G58)*$S58</f>
        <v>44526341.249029227</v>
      </c>
      <c r="BV58" s="111">
        <f>SUMIFS('GIÁ XUẤT KHO'!BF$4:BF$97,'GIÁ XUẤT KHO'!$A$4:$A$97,$G58)*$S58</f>
        <v>458832243.6622799</v>
      </c>
      <c r="BW58" s="245">
        <f t="shared" si="39"/>
        <v>0</v>
      </c>
    </row>
    <row r="59" spans="1:75" s="108" customFormat="1" x14ac:dyDescent="0.25">
      <c r="A59" s="108" t="str">
        <f>_xlfn.XLOOKUP($G59,MD_SKU[Mã SKU],MD_SKU[Link vào file BCQT])</f>
        <v>Vảy rHDPE ép</v>
      </c>
      <c r="B59" s="108" t="s">
        <v>2895</v>
      </c>
      <c r="C59" s="109" t="str">
        <f t="shared" si="32"/>
        <v>NĐ</v>
      </c>
      <c r="D59" s="109" t="s">
        <v>3063</v>
      </c>
      <c r="E59" s="110" t="s">
        <v>57</v>
      </c>
      <c r="F59" s="109" t="s">
        <v>58</v>
      </c>
      <c r="G59" s="110" t="s">
        <v>381</v>
      </c>
      <c r="H59" s="109" t="s">
        <v>382</v>
      </c>
      <c r="I59" s="110"/>
      <c r="J59" s="110" t="s">
        <v>2640</v>
      </c>
      <c r="K59" s="111"/>
      <c r="L59" s="111"/>
      <c r="M59" s="112"/>
      <c r="N59" s="111">
        <f>SUMIFS(Sales!$I$3:$I$100,Sales!$B$3:$B$100,$D59)</f>
        <v>11000</v>
      </c>
      <c r="P59" s="111"/>
      <c r="Q59" s="111"/>
      <c r="R59" s="111">
        <f t="shared" si="11"/>
        <v>11000</v>
      </c>
      <c r="S59" s="111">
        <f t="shared" si="12"/>
        <v>11000</v>
      </c>
      <c r="T59" s="128"/>
      <c r="U59" s="114"/>
      <c r="V59" s="114"/>
      <c r="W59" s="131">
        <f>1.12*EXR_FC05</f>
        <v>29456.000000000004</v>
      </c>
      <c r="X59" s="114">
        <f t="shared" si="15"/>
        <v>29456.000000000004</v>
      </c>
      <c r="Y59" s="113"/>
      <c r="Z59" s="111"/>
      <c r="AA59" s="120">
        <f t="shared" si="40"/>
        <v>1</v>
      </c>
      <c r="AB59" s="120">
        <f t="shared" si="40"/>
        <v>1</v>
      </c>
      <c r="AC59" s="111">
        <f t="shared" si="33"/>
        <v>1</v>
      </c>
      <c r="AD59" s="113"/>
      <c r="AE59" s="111"/>
      <c r="AF59" s="111"/>
      <c r="AG59" s="111">
        <f t="shared" si="19"/>
        <v>29456.000000000004</v>
      </c>
      <c r="AH59" s="111"/>
      <c r="AI59" s="113"/>
      <c r="AJ59" s="115"/>
      <c r="AK59" s="111"/>
      <c r="AL59" s="111">
        <f t="shared" si="7"/>
        <v>324016000.00000006</v>
      </c>
      <c r="AM59" s="116">
        <f t="shared" si="20"/>
        <v>324016000.00000006</v>
      </c>
      <c r="AO59" s="111"/>
      <c r="AP59" s="109"/>
      <c r="AQ59" s="111"/>
      <c r="AR59" s="111"/>
      <c r="AS59" s="111">
        <f t="shared" si="34"/>
        <v>0</v>
      </c>
      <c r="AT59" s="244">
        <f t="shared" si="35"/>
        <v>0</v>
      </c>
      <c r="AV59" s="111"/>
      <c r="AW59" s="109"/>
      <c r="AX59" s="111"/>
      <c r="AY59" s="111"/>
      <c r="AZ59" s="112">
        <f>700*R59</f>
        <v>7700000</v>
      </c>
      <c r="BA59" s="244">
        <f t="shared" si="25"/>
        <v>7700000</v>
      </c>
      <c r="BC59" s="113"/>
      <c r="BD59" s="113"/>
      <c r="BE59" s="113">
        <f>_xlfn.XLOOKUP($G59,'GIÁ XUẤT KHO'!$A$4:$A$97,'GIÁ XUẤT KHO'!$AW$4:$AW$97)*R59</f>
        <v>171452100.9460946</v>
      </c>
      <c r="BF59" s="221">
        <f t="shared" si="26"/>
        <v>171452100.9460946</v>
      </c>
      <c r="BH59" s="113"/>
      <c r="BI59" s="113">
        <f t="shared" si="36"/>
        <v>0</v>
      </c>
      <c r="BJ59" s="113">
        <f t="shared" si="38"/>
        <v>152563899.05390546</v>
      </c>
      <c r="BK59" s="221">
        <f t="shared" si="28"/>
        <v>152563899.05390546</v>
      </c>
      <c r="BM59" s="244">
        <f t="shared" si="37"/>
        <v>171452100.9460946</v>
      </c>
      <c r="BN59" s="111">
        <f>SUMIFS('GIÁ XUẤT KHO'!AX$4:AX$97,'GIÁ XUẤT KHO'!$A$4:$A$97,$G59)*$S59</f>
        <v>161632345.03850386</v>
      </c>
      <c r="BO59" s="111">
        <f>SUMIFS('GIÁ XUẤT KHO'!AY$4:AY$97,'GIÁ XUẤT KHO'!$A$4:$A$97,$G59)*$S59</f>
        <v>0.48404840484048406</v>
      </c>
      <c r="BP59" s="111">
        <f>SUMIFS('GIÁ XUẤT KHO'!AZ$4:AZ$97,'GIÁ XUẤT KHO'!$A$4:$A$97,$G59)*$S59</f>
        <v>0</v>
      </c>
      <c r="BQ59" s="111">
        <f>SUMIFS('GIÁ XUẤT KHO'!BA$4:BA$97,'GIÁ XUẤT KHO'!$A$4:$A$97,$G59)*$S59</f>
        <v>1372461.6501650165</v>
      </c>
      <c r="BR59" s="111">
        <f>SUMIFS('GIÁ XUẤT KHO'!BB$4:BB$97,'GIÁ XUẤT KHO'!$A$4:$A$97,$G59)*$S59</f>
        <v>67073.135313531355</v>
      </c>
      <c r="BS59" s="111">
        <f>SUMIFS('GIÁ XUẤT KHO'!BC$4:BC$97,'GIÁ XUẤT KHO'!$A$4:$A$97,$G59)*$S59</f>
        <v>2617955.9515951597</v>
      </c>
      <c r="BT59" s="111">
        <f>SUMIFS('GIÁ XUẤT KHO'!BD$4:BD$97,'GIÁ XUẤT KHO'!$A$4:$A$97,$G59)*$S59</f>
        <v>1982673.8833883388</v>
      </c>
      <c r="BU59" s="111">
        <f>SUMIFS('GIÁ XUẤT KHO'!BE$4:BE$97,'GIÁ XUẤT KHO'!$A$4:$A$97,$G59)*$S59</f>
        <v>1222759.0319031903</v>
      </c>
      <c r="BV59" s="111">
        <f>SUMIFS('GIÁ XUẤT KHO'!BF$4:BF$97,'GIÁ XUẤT KHO'!$A$4:$A$97,$G59)*$S59</f>
        <v>2556831.7711771177</v>
      </c>
      <c r="BW59" s="245">
        <f t="shared" si="39"/>
        <v>0</v>
      </c>
    </row>
    <row r="60" spans="1:75" s="108" customFormat="1" x14ac:dyDescent="0.25">
      <c r="A60" s="108" t="str">
        <f>_xlfn.XLOOKUP($G60,MD_SKU[Mã SKU],MD_SKU[Link vào file BCQT])</f>
        <v>Hạt rPP</v>
      </c>
      <c r="B60" s="108" t="s">
        <v>2895</v>
      </c>
      <c r="C60" s="109" t="str">
        <f t="shared" si="32"/>
        <v>NĐ</v>
      </c>
      <c r="D60" s="109" t="s">
        <v>2825</v>
      </c>
      <c r="E60" s="110" t="s">
        <v>2028</v>
      </c>
      <c r="F60" s="109" t="s">
        <v>2029</v>
      </c>
      <c r="G60" s="110" t="s">
        <v>1001</v>
      </c>
      <c r="H60" s="109" t="s">
        <v>1002</v>
      </c>
      <c r="I60" s="110"/>
      <c r="J60" s="110" t="s">
        <v>2640</v>
      </c>
      <c r="K60" s="111"/>
      <c r="L60" s="111"/>
      <c r="M60" s="112"/>
      <c r="N60" s="111">
        <f>SUMIFS(Sales!$I$3:$I$100,Sales!$B$3:$B$100,$D60)</f>
        <v>15000</v>
      </c>
      <c r="P60" s="111"/>
      <c r="Q60" s="111"/>
      <c r="R60" s="111">
        <f t="shared" si="11"/>
        <v>15000</v>
      </c>
      <c r="S60" s="111">
        <f t="shared" si="12"/>
        <v>15000</v>
      </c>
      <c r="T60" s="128"/>
      <c r="U60" s="114"/>
      <c r="V60" s="114"/>
      <c r="W60" s="131">
        <f>1.19*EXR_FC05</f>
        <v>31297</v>
      </c>
      <c r="X60" s="114">
        <f t="shared" si="15"/>
        <v>31297</v>
      </c>
      <c r="Y60" s="113"/>
      <c r="Z60" s="111"/>
      <c r="AA60" s="120">
        <f t="shared" si="40"/>
        <v>1</v>
      </c>
      <c r="AB60" s="120">
        <f t="shared" si="40"/>
        <v>1</v>
      </c>
      <c r="AC60" s="111">
        <f t="shared" si="33"/>
        <v>1</v>
      </c>
      <c r="AD60" s="113"/>
      <c r="AE60" s="111"/>
      <c r="AF60" s="111"/>
      <c r="AG60" s="111">
        <f t="shared" si="19"/>
        <v>31297</v>
      </c>
      <c r="AH60" s="111"/>
      <c r="AI60" s="113"/>
      <c r="AJ60" s="115"/>
      <c r="AK60" s="111"/>
      <c r="AL60" s="111">
        <f t="shared" si="7"/>
        <v>469455000</v>
      </c>
      <c r="AM60" s="116">
        <f t="shared" si="20"/>
        <v>469455000</v>
      </c>
      <c r="AO60" s="111"/>
      <c r="AP60" s="109"/>
      <c r="AQ60" s="111"/>
      <c r="AR60" s="111"/>
      <c r="AS60" s="111">
        <f t="shared" si="34"/>
        <v>0</v>
      </c>
      <c r="AT60" s="244">
        <f t="shared" si="35"/>
        <v>0</v>
      </c>
      <c r="AV60" s="111"/>
      <c r="AW60" s="109"/>
      <c r="AX60" s="111"/>
      <c r="AY60" s="111"/>
      <c r="AZ60" s="109"/>
      <c r="BA60" s="244">
        <f t="shared" si="25"/>
        <v>0</v>
      </c>
      <c r="BC60" s="113"/>
      <c r="BD60" s="113"/>
      <c r="BE60" s="113">
        <f>_xlfn.XLOOKUP($G60,'GIÁ XUẤT KHO'!$A$4:$A$97,'GIÁ XUẤT KHO'!$AW$4:$AW$97)*R60</f>
        <v>330437431.36401141</v>
      </c>
      <c r="BF60" s="221">
        <f t="shared" si="26"/>
        <v>330437431.36401141</v>
      </c>
      <c r="BH60" s="113"/>
      <c r="BI60" s="113">
        <f t="shared" si="36"/>
        <v>0</v>
      </c>
      <c r="BJ60" s="113">
        <f t="shared" si="38"/>
        <v>139017568.63598859</v>
      </c>
      <c r="BK60" s="221">
        <f t="shared" si="28"/>
        <v>139017568.63598859</v>
      </c>
      <c r="BM60" s="244">
        <f t="shared" si="37"/>
        <v>330437431.36401141</v>
      </c>
      <c r="BN60" s="111">
        <f>SUMIFS('GIÁ XUẤT KHO'!AX$4:AX$97,'GIÁ XUẤT KHO'!$A$4:$A$97,$G60)*$S60</f>
        <v>214080696.09955084</v>
      </c>
      <c r="BO60" s="111">
        <f>SUMIFS('GIÁ XUẤT KHO'!AY$4:AY$97,'GIÁ XUẤT KHO'!$A$4:$A$97,$G60)*$S60</f>
        <v>20291235.906132553</v>
      </c>
      <c r="BP60" s="111">
        <f>SUMIFS('GIÁ XUẤT KHO'!AZ$4:AZ$97,'GIÁ XUẤT KHO'!$A$4:$A$97,$G60)*$S60</f>
        <v>126.84480704005867</v>
      </c>
      <c r="BQ60" s="111">
        <f>SUMIFS('GIÁ XUẤT KHO'!BA$4:BA$97,'GIÁ XUẤT KHO'!$A$4:$A$97,$G60)*$S60</f>
        <v>13514960.812173435</v>
      </c>
      <c r="BR60" s="111">
        <f>SUMIFS('GIÁ XUẤT KHO'!BB$4:BB$97,'GIÁ XUẤT KHO'!$A$4:$A$97,$G60)*$S60</f>
        <v>2961908.0575671466</v>
      </c>
      <c r="BS60" s="111">
        <f>SUMIFS('GIÁ XUẤT KHO'!BC$4:BC$97,'GIÁ XUẤT KHO'!$A$4:$A$97,$G60)*$S60</f>
        <v>15624225.639380328</v>
      </c>
      <c r="BT60" s="111">
        <f>SUMIFS('GIÁ XUẤT KHO'!BD$4:BD$97,'GIÁ XUẤT KHO'!$A$4:$A$97,$G60)*$S60</f>
        <v>13552658.470070584</v>
      </c>
      <c r="BU60" s="111">
        <f>SUMIFS('GIÁ XUẤT KHO'!BE$4:BE$97,'GIÁ XUẤT KHO'!$A$4:$A$97,$G60)*$S60</f>
        <v>12507483.729031075</v>
      </c>
      <c r="BV60" s="111">
        <f>SUMIFS('GIÁ XUẤT KHO'!BF$4:BF$97,'GIÁ XUẤT KHO'!$A$4:$A$97,$G60)*$S60</f>
        <v>37904135.805298373</v>
      </c>
      <c r="BW60" s="245">
        <f t="shared" si="39"/>
        <v>0</v>
      </c>
    </row>
    <row r="61" spans="1:75" s="108" customFormat="1" x14ac:dyDescent="0.25">
      <c r="A61" s="108" t="str">
        <f>_xlfn.XLOOKUP($G61,MD_SKU[Mã SKU],MD_SKU[Link vào file BCQT])</f>
        <v>Phó sản</v>
      </c>
      <c r="B61" s="108" t="s">
        <v>2895</v>
      </c>
      <c r="C61" s="109" t="str">
        <f t="shared" si="32"/>
        <v>NĐ</v>
      </c>
      <c r="D61" s="109" t="s">
        <v>2792</v>
      </c>
      <c r="E61" s="110" t="s">
        <v>2013</v>
      </c>
      <c r="F61" s="109" t="s">
        <v>2014</v>
      </c>
      <c r="G61" s="110" t="s">
        <v>1836</v>
      </c>
      <c r="H61" s="109" t="s">
        <v>1837</v>
      </c>
      <c r="I61" s="110"/>
      <c r="J61" s="110" t="s">
        <v>2640</v>
      </c>
      <c r="K61" s="111"/>
      <c r="L61" s="111"/>
      <c r="M61" s="112"/>
      <c r="N61" s="111">
        <f>SUMIFS(Sales!$I$3:$I$100,Sales!$B$3:$B$100,$D61)</f>
        <v>150000</v>
      </c>
      <c r="P61" s="111"/>
      <c r="Q61" s="111"/>
      <c r="R61" s="111">
        <f t="shared" si="11"/>
        <v>150000</v>
      </c>
      <c r="S61" s="111">
        <f t="shared" si="12"/>
        <v>150000</v>
      </c>
      <c r="T61" s="128"/>
      <c r="U61" s="114"/>
      <c r="V61" s="114"/>
      <c r="W61" s="131">
        <v>11111.111111111109</v>
      </c>
      <c r="X61" s="114">
        <f t="shared" si="15"/>
        <v>11111.111111111109</v>
      </c>
      <c r="Y61" s="113"/>
      <c r="Z61" s="111"/>
      <c r="AA61" s="120">
        <f t="shared" si="40"/>
        <v>1</v>
      </c>
      <c r="AB61" s="120">
        <f t="shared" si="40"/>
        <v>1</v>
      </c>
      <c r="AC61" s="111">
        <f t="shared" si="33"/>
        <v>1</v>
      </c>
      <c r="AD61" s="113"/>
      <c r="AE61" s="111"/>
      <c r="AF61" s="111"/>
      <c r="AG61" s="111">
        <f t="shared" si="19"/>
        <v>11111.111111111109</v>
      </c>
      <c r="AH61" s="111"/>
      <c r="AI61" s="113"/>
      <c r="AJ61" s="115"/>
      <c r="AK61" s="111"/>
      <c r="AL61" s="111">
        <f t="shared" si="7"/>
        <v>1666666666.6666665</v>
      </c>
      <c r="AM61" s="116">
        <f t="shared" si="20"/>
        <v>1666666666.6666665</v>
      </c>
      <c r="AO61" s="111"/>
      <c r="AP61" s="109"/>
      <c r="AQ61" s="111"/>
      <c r="AR61" s="111"/>
      <c r="AS61" s="111">
        <f t="shared" si="34"/>
        <v>0</v>
      </c>
      <c r="AT61" s="244">
        <f t="shared" si="35"/>
        <v>0</v>
      </c>
      <c r="AV61" s="111"/>
      <c r="AW61" s="109"/>
      <c r="AX61" s="111"/>
      <c r="AY61" s="111"/>
      <c r="AZ61" s="109"/>
      <c r="BA61" s="244">
        <f t="shared" si="25"/>
        <v>0</v>
      </c>
      <c r="BC61" s="113"/>
      <c r="BD61" s="113"/>
      <c r="BE61" s="113">
        <f>_xlfn.XLOOKUP($G61,'GIÁ XUẤT KHO'!$A$4:$A$97,'GIÁ XUẤT KHO'!$AW$4:$AW$97)*R61</f>
        <v>1144303849.0757153</v>
      </c>
      <c r="BF61" s="221">
        <f t="shared" si="26"/>
        <v>1144303849.0757153</v>
      </c>
      <c r="BH61" s="113"/>
      <c r="BI61" s="113">
        <f t="shared" si="36"/>
        <v>0</v>
      </c>
      <c r="BJ61" s="113">
        <f t="shared" si="38"/>
        <v>522362817.5909512</v>
      </c>
      <c r="BK61" s="221">
        <f t="shared" si="28"/>
        <v>522362817.5909512</v>
      </c>
      <c r="BM61" s="244">
        <f t="shared" si="37"/>
        <v>1144303849.0757153</v>
      </c>
      <c r="BN61" s="111">
        <f>SUMIFS('GIÁ XUẤT KHO'!AX$4:AX$97,'GIÁ XUẤT KHO'!$A$4:$A$97,$G61)*$S61</f>
        <v>1144303849.0757153</v>
      </c>
      <c r="BO61" s="111">
        <f>SUMIFS('GIÁ XUẤT KHO'!AY$4:AY$97,'GIÁ XUẤT KHO'!$A$4:$A$97,$G61)*$S61</f>
        <v>0</v>
      </c>
      <c r="BP61" s="111">
        <f>SUMIFS('GIÁ XUẤT KHO'!AZ$4:AZ$97,'GIÁ XUẤT KHO'!$A$4:$A$97,$G61)*$S61</f>
        <v>0</v>
      </c>
      <c r="BQ61" s="111">
        <f>SUMIFS('GIÁ XUẤT KHO'!BA$4:BA$97,'GIÁ XUẤT KHO'!$A$4:$A$97,$G61)*$S61</f>
        <v>0</v>
      </c>
      <c r="BR61" s="111">
        <f>SUMIFS('GIÁ XUẤT KHO'!BB$4:BB$97,'GIÁ XUẤT KHO'!$A$4:$A$97,$G61)*$S61</f>
        <v>0</v>
      </c>
      <c r="BS61" s="111">
        <f>SUMIFS('GIÁ XUẤT KHO'!BC$4:BC$97,'GIÁ XUẤT KHO'!$A$4:$A$97,$G61)*$S61</f>
        <v>0</v>
      </c>
      <c r="BT61" s="111">
        <f>SUMIFS('GIÁ XUẤT KHO'!BD$4:BD$97,'GIÁ XUẤT KHO'!$A$4:$A$97,$G61)*$S61</f>
        <v>0</v>
      </c>
      <c r="BU61" s="111">
        <f>SUMIFS('GIÁ XUẤT KHO'!BE$4:BE$97,'GIÁ XUẤT KHO'!$A$4:$A$97,$G61)*$S61</f>
        <v>0</v>
      </c>
      <c r="BV61" s="111">
        <f>SUMIFS('GIÁ XUẤT KHO'!BF$4:BF$97,'GIÁ XUẤT KHO'!$A$4:$A$97,$G61)*$S61</f>
        <v>0</v>
      </c>
      <c r="BW61" s="245">
        <f t="shared" si="39"/>
        <v>0</v>
      </c>
    </row>
    <row r="62" spans="1:75" s="108" customFormat="1" x14ac:dyDescent="0.25">
      <c r="A62" s="108" t="str">
        <f>_xlfn.XLOOKUP($G62,MD_SKU[Mã SKU],MD_SKU[Link vào file BCQT])</f>
        <v>Hạt rHDPE thổi</v>
      </c>
      <c r="B62" s="108" t="s">
        <v>2895</v>
      </c>
      <c r="C62" s="109" t="str">
        <f t="shared" si="32"/>
        <v>NĐ</v>
      </c>
      <c r="D62" s="109" t="s">
        <v>3064</v>
      </c>
      <c r="E62" s="110" t="s">
        <v>2876</v>
      </c>
      <c r="F62" s="109" t="s">
        <v>2877</v>
      </c>
      <c r="G62" s="110" t="s">
        <v>1316</v>
      </c>
      <c r="H62" s="109" t="s">
        <v>1317</v>
      </c>
      <c r="I62" s="110"/>
      <c r="J62" s="110" t="s">
        <v>2640</v>
      </c>
      <c r="K62" s="111"/>
      <c r="L62" s="111"/>
      <c r="M62" s="112"/>
      <c r="N62" s="111">
        <f>SUMIFS(Sales!$I$3:$I$100,Sales!$B$3:$B$100,$D62)</f>
        <v>8000</v>
      </c>
      <c r="P62" s="111"/>
      <c r="Q62" s="111"/>
      <c r="R62" s="111">
        <f t="shared" si="11"/>
        <v>8000</v>
      </c>
      <c r="S62" s="111">
        <f t="shared" si="12"/>
        <v>8000</v>
      </c>
      <c r="T62" s="128"/>
      <c r="U62" s="114"/>
      <c r="V62" s="114"/>
      <c r="W62" s="131">
        <f>1.35*EXR_FC05</f>
        <v>35505</v>
      </c>
      <c r="X62" s="114">
        <f t="shared" si="15"/>
        <v>35505</v>
      </c>
      <c r="Y62" s="113"/>
      <c r="Z62" s="111"/>
      <c r="AA62" s="120">
        <f t="shared" si="40"/>
        <v>1</v>
      </c>
      <c r="AB62" s="120">
        <f t="shared" si="40"/>
        <v>1</v>
      </c>
      <c r="AC62" s="111">
        <f t="shared" si="33"/>
        <v>1</v>
      </c>
      <c r="AD62" s="113"/>
      <c r="AE62" s="111"/>
      <c r="AF62" s="111"/>
      <c r="AG62" s="111">
        <f t="shared" si="19"/>
        <v>35505</v>
      </c>
      <c r="AH62" s="111"/>
      <c r="AI62" s="113"/>
      <c r="AJ62" s="115"/>
      <c r="AK62" s="111"/>
      <c r="AL62" s="111">
        <f t="shared" si="7"/>
        <v>284040000</v>
      </c>
      <c r="AM62" s="116">
        <f t="shared" si="20"/>
        <v>284040000</v>
      </c>
      <c r="AO62" s="111"/>
      <c r="AP62" s="109"/>
      <c r="AQ62" s="111"/>
      <c r="AR62" s="111"/>
      <c r="AS62" s="111">
        <f t="shared" si="34"/>
        <v>0</v>
      </c>
      <c r="AT62" s="244">
        <f t="shared" si="35"/>
        <v>0</v>
      </c>
      <c r="AV62" s="111"/>
      <c r="AW62" s="109"/>
      <c r="AX62" s="111"/>
      <c r="AY62" s="111"/>
      <c r="AZ62" s="109"/>
      <c r="BA62" s="244">
        <f t="shared" si="25"/>
        <v>0</v>
      </c>
      <c r="BC62" s="113"/>
      <c r="BD62" s="113"/>
      <c r="BE62" s="113">
        <f>_xlfn.XLOOKUP($G62,'GIÁ XUẤT KHO'!$A$4:$A$97,'GIÁ XUẤT KHO'!$AW$4:$AW$97)*R62</f>
        <v>236588661.02201417</v>
      </c>
      <c r="BF62" s="221">
        <f t="shared" si="26"/>
        <v>236588661.02201417</v>
      </c>
      <c r="BH62" s="113"/>
      <c r="BI62" s="113">
        <f t="shared" si="36"/>
        <v>0</v>
      </c>
      <c r="BJ62" s="113">
        <f t="shared" si="38"/>
        <v>47451338.977985829</v>
      </c>
      <c r="BK62" s="221">
        <f t="shared" si="28"/>
        <v>47451338.977985829</v>
      </c>
      <c r="BM62" s="244">
        <f t="shared" si="37"/>
        <v>236588661.02201414</v>
      </c>
      <c r="BN62" s="111">
        <f>SUMIFS('GIÁ XUẤT KHO'!AX$4:AX$97,'GIÁ XUẤT KHO'!$A$4:$A$97,$G62)*$S62</f>
        <v>143640143.44058174</v>
      </c>
      <c r="BO62" s="111">
        <f>SUMIFS('GIÁ XUẤT KHO'!AY$4:AY$97,'GIÁ XUẤT KHO'!$A$4:$A$97,$G62)*$S62</f>
        <v>16652967.028588504</v>
      </c>
      <c r="BP62" s="111">
        <f>SUMIFS('GIÁ XUẤT KHO'!AZ$4:AZ$97,'GIÁ XUẤT KHO'!$A$4:$A$97,$G62)*$S62</f>
        <v>4012852.2761231195</v>
      </c>
      <c r="BQ62" s="111">
        <f>SUMIFS('GIÁ XUẤT KHO'!BA$4:BA$97,'GIÁ XUẤT KHO'!$A$4:$A$97,$G62)*$S62</f>
        <v>17579184.779360496</v>
      </c>
      <c r="BR62" s="111">
        <f>SUMIFS('GIÁ XUẤT KHO'!BB$4:BB$97,'GIÁ XUẤT KHO'!$A$4:$A$97,$G62)*$S62</f>
        <v>3368284.0920410398</v>
      </c>
      <c r="BS62" s="111">
        <f>SUMIFS('GIÁ XUẤT KHO'!BC$4:BC$97,'GIÁ XUẤT KHO'!$A$4:$A$97,$G62)*$S62</f>
        <v>15939608.327522662</v>
      </c>
      <c r="BT62" s="111">
        <f>SUMIFS('GIÁ XUẤT KHO'!BD$4:BD$97,'GIÁ XUẤT KHO'!$A$4:$A$97,$G62)*$S62</f>
        <v>11848572.566988744</v>
      </c>
      <c r="BU62" s="111">
        <f>SUMIFS('GIÁ XUẤT KHO'!BE$4:BE$97,'GIÁ XUẤT KHO'!$A$4:$A$97,$G62)*$S62</f>
        <v>9778270.744098017</v>
      </c>
      <c r="BV62" s="111">
        <f>SUMIFS('GIÁ XUẤT KHO'!BF$4:BF$97,'GIÁ XUẤT KHO'!$A$4:$A$97,$G62)*$S62</f>
        <v>13768777.766709831</v>
      </c>
      <c r="BW62" s="245">
        <f t="shared" si="39"/>
        <v>0</v>
      </c>
    </row>
    <row r="63" spans="1:75" s="108" customFormat="1" x14ac:dyDescent="0.25">
      <c r="A63" s="108" t="str">
        <f>_xlfn.XLOOKUP($G63,MD_SKU[Mã SKU],MD_SKU[Link vào file BCQT])</f>
        <v>Hạt rPET</v>
      </c>
      <c r="B63" s="108" t="s">
        <v>2895</v>
      </c>
      <c r="C63" s="109" t="str">
        <f t="shared" si="32"/>
        <v>NĐ</v>
      </c>
      <c r="D63" s="109" t="s">
        <v>2808</v>
      </c>
      <c r="E63" s="110" t="s">
        <v>2030</v>
      </c>
      <c r="F63" s="109" t="s">
        <v>2031</v>
      </c>
      <c r="G63" s="110" t="s">
        <v>33</v>
      </c>
      <c r="H63" s="109" t="s">
        <v>2863</v>
      </c>
      <c r="I63" s="110"/>
      <c r="J63" s="110" t="s">
        <v>2640</v>
      </c>
      <c r="K63" s="111"/>
      <c r="L63" s="111"/>
      <c r="M63" s="112"/>
      <c r="N63" s="111">
        <f>SUMIFS(Sales!$I$3:$I$100,Sales!$B$3:$B$100,$D63)</f>
        <v>48800</v>
      </c>
      <c r="P63" s="111"/>
      <c r="Q63" s="111"/>
      <c r="R63" s="111">
        <f t="shared" si="11"/>
        <v>48800</v>
      </c>
      <c r="S63" s="111">
        <f t="shared" si="12"/>
        <v>48800</v>
      </c>
      <c r="T63" s="128"/>
      <c r="U63" s="114"/>
      <c r="V63" s="114"/>
      <c r="W63" s="131">
        <f>1.28*EXR_FC05</f>
        <v>33664</v>
      </c>
      <c r="X63" s="114">
        <f t="shared" si="15"/>
        <v>33664</v>
      </c>
      <c r="Y63" s="113"/>
      <c r="Z63" s="111"/>
      <c r="AA63" s="120">
        <f t="shared" si="40"/>
        <v>1</v>
      </c>
      <c r="AB63" s="120">
        <f t="shared" si="40"/>
        <v>1</v>
      </c>
      <c r="AC63" s="111">
        <f t="shared" si="33"/>
        <v>1</v>
      </c>
      <c r="AD63" s="113"/>
      <c r="AE63" s="111"/>
      <c r="AF63" s="111"/>
      <c r="AG63" s="111">
        <f t="shared" si="19"/>
        <v>33664</v>
      </c>
      <c r="AH63" s="111"/>
      <c r="AI63" s="113"/>
      <c r="AJ63" s="115"/>
      <c r="AK63" s="111"/>
      <c r="AL63" s="111">
        <f t="shared" si="7"/>
        <v>1642803200</v>
      </c>
      <c r="AM63" s="116">
        <f t="shared" si="20"/>
        <v>1642803200</v>
      </c>
      <c r="AO63" s="111"/>
      <c r="AP63" s="109"/>
      <c r="AQ63" s="111"/>
      <c r="AR63" s="111"/>
      <c r="AS63" s="111">
        <f t="shared" si="34"/>
        <v>0</v>
      </c>
      <c r="AT63" s="244">
        <f t="shared" si="35"/>
        <v>0</v>
      </c>
      <c r="AV63" s="111"/>
      <c r="AW63" s="109"/>
      <c r="AX63" s="111"/>
      <c r="AY63" s="111"/>
      <c r="AZ63" s="109"/>
      <c r="BA63" s="244">
        <f t="shared" si="25"/>
        <v>0</v>
      </c>
      <c r="BC63" s="113"/>
      <c r="BD63" s="113"/>
      <c r="BE63" s="113">
        <f>_xlfn.XLOOKUP($G63,'GIÁ XUẤT KHO'!$A$4:$A$97,'GIÁ XUẤT KHO'!$AW$4:$AW$97)*R63</f>
        <v>1216966648.7050645</v>
      </c>
      <c r="BF63" s="221">
        <f t="shared" si="26"/>
        <v>1216966648.7050645</v>
      </c>
      <c r="BH63" s="113"/>
      <c r="BI63" s="113">
        <f t="shared" si="36"/>
        <v>0</v>
      </c>
      <c r="BJ63" s="113">
        <f t="shared" si="38"/>
        <v>425836551.29493546</v>
      </c>
      <c r="BK63" s="221">
        <f t="shared" si="28"/>
        <v>425836551.29493546</v>
      </c>
      <c r="BM63" s="244">
        <f t="shared" si="37"/>
        <v>1216966648.7050645</v>
      </c>
      <c r="BN63" s="111">
        <f>SUMIFS('GIÁ XUẤT KHO'!AX$4:AX$97,'GIÁ XUẤT KHO'!$A$4:$A$97,$G63)*$S63</f>
        <v>878799749.93852079</v>
      </c>
      <c r="BO63" s="111">
        <f>SUMIFS('GIÁ XUẤT KHO'!AY$4:AY$97,'GIÁ XUẤT KHO'!$A$4:$A$97,$G63)*$S63</f>
        <v>8926168.8566148859</v>
      </c>
      <c r="BP63" s="111">
        <f>SUMIFS('GIÁ XUẤT KHO'!AZ$4:AZ$97,'GIÁ XUẤT KHO'!$A$4:$A$97,$G63)*$S63</f>
        <v>4696.1758888712575</v>
      </c>
      <c r="BQ63" s="111">
        <f>SUMIFS('GIÁ XUẤT KHO'!BA$4:BA$97,'GIÁ XUẤT KHO'!$A$4:$A$97,$G63)*$S63</f>
        <v>62393274.939933956</v>
      </c>
      <c r="BR63" s="111">
        <f>SUMIFS('GIÁ XUẤT KHO'!BB$4:BB$97,'GIÁ XUẤT KHO'!$A$4:$A$97,$G63)*$S63</f>
        <v>8568616.7235362679</v>
      </c>
      <c r="BS63" s="111">
        <f>SUMIFS('GIÁ XUẤT KHO'!BC$4:BC$97,'GIÁ XUẤT KHO'!$A$4:$A$97,$G63)*$S63</f>
        <v>35200990.655060351</v>
      </c>
      <c r="BT63" s="111">
        <f>SUMIFS('GIÁ XUẤT KHO'!BD$4:BD$97,'GIÁ XUẤT KHO'!$A$4:$A$97,$G63)*$S63</f>
        <v>56621562.828145519</v>
      </c>
      <c r="BU63" s="111">
        <f>SUMIFS('GIÁ XUẤT KHO'!BE$4:BE$97,'GIÁ XUẤT KHO'!$A$4:$A$97,$G63)*$S63</f>
        <v>15397020.480303459</v>
      </c>
      <c r="BV63" s="111">
        <f>SUMIFS('GIÁ XUẤT KHO'!BF$4:BF$97,'GIÁ XUẤT KHO'!$A$4:$A$97,$G63)*$S63</f>
        <v>151054568.10706064</v>
      </c>
      <c r="BW63" s="245">
        <f t="shared" si="39"/>
        <v>0</v>
      </c>
    </row>
    <row r="64" spans="1:75" s="108" customFormat="1" x14ac:dyDescent="0.25">
      <c r="A64" s="108" t="str">
        <f>_xlfn.XLOOKUP($G64,MD_SKU[Mã SKU],MD_SKU[Link vào file BCQT])</f>
        <v>Hạt rPET</v>
      </c>
      <c r="B64" s="108" t="s">
        <v>2895</v>
      </c>
      <c r="C64" s="109" t="str">
        <f t="shared" si="32"/>
        <v>XK</v>
      </c>
      <c r="D64" s="109" t="s">
        <v>2801</v>
      </c>
      <c r="E64" s="110" t="s">
        <v>2627</v>
      </c>
      <c r="F64" s="109" t="s">
        <v>2611</v>
      </c>
      <c r="G64" s="110" t="s">
        <v>33</v>
      </c>
      <c r="H64" s="109" t="s">
        <v>2863</v>
      </c>
      <c r="I64" s="110"/>
      <c r="J64" s="110" t="s">
        <v>2642</v>
      </c>
      <c r="K64" s="111"/>
      <c r="L64" s="111"/>
      <c r="M64" s="112"/>
      <c r="N64" s="111">
        <f>SUMIFS(Sales!$I$3:$I$100,Sales!$B$3:$B$100,$D64)</f>
        <v>154000</v>
      </c>
      <c r="P64" s="111"/>
      <c r="Q64" s="111"/>
      <c r="R64" s="111">
        <f t="shared" si="11"/>
        <v>154000</v>
      </c>
      <c r="S64" s="111">
        <f t="shared" si="12"/>
        <v>154000</v>
      </c>
      <c r="T64" s="128"/>
      <c r="U64" s="114"/>
      <c r="V64" s="114"/>
      <c r="W64" s="144">
        <v>1.1000000000000001</v>
      </c>
      <c r="X64" s="114">
        <f t="shared" si="15"/>
        <v>1.1000000000000003</v>
      </c>
      <c r="Y64" s="113"/>
      <c r="Z64" s="111"/>
      <c r="AA64" s="120">
        <f t="shared" si="40"/>
        <v>26300</v>
      </c>
      <c r="AB64" s="120">
        <f t="shared" si="40"/>
        <v>26300</v>
      </c>
      <c r="AC64" s="111">
        <f t="shared" si="33"/>
        <v>26300</v>
      </c>
      <c r="AD64" s="113"/>
      <c r="AE64" s="111"/>
      <c r="AF64" s="111"/>
      <c r="AG64" s="111">
        <f t="shared" si="19"/>
        <v>28930.000000000004</v>
      </c>
      <c r="AH64" s="111"/>
      <c r="AI64" s="113"/>
      <c r="AJ64" s="115"/>
      <c r="AK64" s="111"/>
      <c r="AL64" s="111">
        <f t="shared" si="7"/>
        <v>4455220000.000001</v>
      </c>
      <c r="AM64" s="116">
        <f t="shared" si="20"/>
        <v>4455220000.000001</v>
      </c>
      <c r="AO64" s="111">
        <f>20*EXR_FC05/1000</f>
        <v>526</v>
      </c>
      <c r="AP64" s="109"/>
      <c r="AQ64" s="111"/>
      <c r="AR64" s="111"/>
      <c r="AS64" s="111">
        <f t="shared" si="34"/>
        <v>81004000</v>
      </c>
      <c r="AT64" s="244">
        <f t="shared" si="35"/>
        <v>81004000</v>
      </c>
      <c r="AV64" s="111"/>
      <c r="AW64" s="109"/>
      <c r="AX64" s="111"/>
      <c r="AY64" s="111"/>
      <c r="AZ64" s="109"/>
      <c r="BA64" s="244">
        <f t="shared" si="25"/>
        <v>0</v>
      </c>
      <c r="BC64" s="113"/>
      <c r="BD64" s="113"/>
      <c r="BE64" s="113">
        <f>_xlfn.XLOOKUP($G64,'GIÁ XUẤT KHO'!$A$4:$A$97,'GIÁ XUẤT KHO'!$AW$4:$AW$97)*R64</f>
        <v>3840427538.9463105</v>
      </c>
      <c r="BF64" s="221">
        <f t="shared" si="26"/>
        <v>3840427538.9463105</v>
      </c>
      <c r="BH64" s="113"/>
      <c r="BI64" s="113">
        <f t="shared" si="36"/>
        <v>0</v>
      </c>
      <c r="BJ64" s="113">
        <f t="shared" si="38"/>
        <v>614792461.05369043</v>
      </c>
      <c r="BK64" s="221">
        <f t="shared" si="28"/>
        <v>614792461.05369043</v>
      </c>
      <c r="BM64" s="244">
        <f t="shared" si="37"/>
        <v>3840427538.9463105</v>
      </c>
      <c r="BN64" s="111">
        <f>SUMIFS('GIÁ XUẤT KHO'!AX$4:AX$97,'GIÁ XUẤT KHO'!$A$4:$A$97,$G64)*$S64</f>
        <v>2773261505.9535284</v>
      </c>
      <c r="BO64" s="111">
        <f>SUMIFS('GIÁ XUẤT KHO'!AY$4:AY$97,'GIÁ XUẤT KHO'!$A$4:$A$97,$G64)*$S64</f>
        <v>28168647.621284682</v>
      </c>
      <c r="BP64" s="111">
        <f>SUMIFS('GIÁ XUẤT KHO'!AZ$4:AZ$97,'GIÁ XUẤT KHO'!$A$4:$A$97,$G64)*$S64</f>
        <v>14819.899321437986</v>
      </c>
      <c r="BQ64" s="111">
        <f>SUMIFS('GIÁ XUẤT KHO'!BA$4:BA$97,'GIÁ XUẤT KHO'!$A$4:$A$97,$G64)*$S64</f>
        <v>196896810.26126701</v>
      </c>
      <c r="BR64" s="111">
        <f>SUMIFS('GIÁ XUẤT KHO'!BB$4:BB$97,'GIÁ XUẤT KHO'!$A$4:$A$97,$G64)*$S64</f>
        <v>27040306.873454615</v>
      </c>
      <c r="BS64" s="111">
        <f>SUMIFS('GIÁ XUẤT KHO'!BC$4:BC$97,'GIÁ XUẤT KHO'!$A$4:$A$97,$G64)*$S64</f>
        <v>111085093.46064128</v>
      </c>
      <c r="BT64" s="111">
        <f>SUMIFS('GIÁ XUẤT KHO'!BD$4:BD$97,'GIÁ XUẤT KHO'!$A$4:$A$97,$G64)*$S64</f>
        <v>178682800.72816414</v>
      </c>
      <c r="BU64" s="111">
        <f>SUMIFS('GIÁ XUẤT KHO'!BE$4:BE$97,'GIÁ XUẤT KHO'!$A$4:$A$97,$G64)*$S64</f>
        <v>48588958.073088787</v>
      </c>
      <c r="BV64" s="111">
        <f>SUMIFS('GIÁ XUẤT KHO'!BF$4:BF$97,'GIÁ XUẤT KHO'!$A$4:$A$97,$G64)*$S64</f>
        <v>476688596.07556021</v>
      </c>
      <c r="BW64" s="245">
        <f t="shared" si="39"/>
        <v>0</v>
      </c>
    </row>
    <row r="65" spans="1:75" s="108" customFormat="1" x14ac:dyDescent="0.25">
      <c r="A65" s="108" t="str">
        <f>_xlfn.XLOOKUP($G65,MD_SKU[Mã SKU],MD_SKU[Link vào file BCQT])</f>
        <v>Hạt rPET</v>
      </c>
      <c r="B65" s="108" t="s">
        <v>2895</v>
      </c>
      <c r="C65" s="109" t="str">
        <f t="shared" si="32"/>
        <v>XK</v>
      </c>
      <c r="D65" s="109" t="s">
        <v>2834</v>
      </c>
      <c r="E65" s="110" t="s">
        <v>2633</v>
      </c>
      <c r="F65" s="109" t="s">
        <v>2879</v>
      </c>
      <c r="G65" s="110" t="s">
        <v>33</v>
      </c>
      <c r="H65" s="109" t="s">
        <v>2863</v>
      </c>
      <c r="I65" s="110"/>
      <c r="J65" s="110" t="s">
        <v>2642</v>
      </c>
      <c r="K65" s="111"/>
      <c r="L65" s="111"/>
      <c r="M65" s="112"/>
      <c r="N65" s="111">
        <f>SUMIFS(Sales!$I$3:$I$100,Sales!$B$3:$B$100,$D65)</f>
        <v>1012000</v>
      </c>
      <c r="P65" s="111"/>
      <c r="Q65" s="111"/>
      <c r="R65" s="111">
        <f t="shared" si="11"/>
        <v>1012000</v>
      </c>
      <c r="S65" s="111">
        <f t="shared" si="12"/>
        <v>1012000</v>
      </c>
      <c r="T65" s="128"/>
      <c r="U65" s="114"/>
      <c r="V65" s="114"/>
      <c r="W65" s="143">
        <v>1.2210000000000001</v>
      </c>
      <c r="X65" s="114">
        <f t="shared" si="15"/>
        <v>1.2210000000000001</v>
      </c>
      <c r="Y65" s="113"/>
      <c r="Z65" s="111"/>
      <c r="AA65" s="120">
        <f t="shared" si="40"/>
        <v>26300</v>
      </c>
      <c r="AB65" s="120">
        <f t="shared" si="40"/>
        <v>26300</v>
      </c>
      <c r="AC65" s="111">
        <f t="shared" si="33"/>
        <v>26300</v>
      </c>
      <c r="AD65" s="113"/>
      <c r="AE65" s="111"/>
      <c r="AF65" s="111"/>
      <c r="AG65" s="111">
        <f t="shared" si="19"/>
        <v>32112.300000000003</v>
      </c>
      <c r="AH65" s="111"/>
      <c r="AI65" s="113"/>
      <c r="AJ65" s="115"/>
      <c r="AK65" s="111"/>
      <c r="AL65" s="111">
        <f t="shared" si="7"/>
        <v>32497647600.000004</v>
      </c>
      <c r="AM65" s="116">
        <f t="shared" si="20"/>
        <v>32497647600.000004</v>
      </c>
      <c r="AO65" s="111">
        <f>20*EXR_FC05/1000</f>
        <v>526</v>
      </c>
      <c r="AP65" s="109"/>
      <c r="AQ65" s="111"/>
      <c r="AR65" s="111"/>
      <c r="AS65" s="111">
        <f t="shared" si="34"/>
        <v>532312000</v>
      </c>
      <c r="AT65" s="244">
        <f t="shared" si="35"/>
        <v>532312000</v>
      </c>
      <c r="AV65" s="111"/>
      <c r="AW65" s="109"/>
      <c r="AX65" s="111"/>
      <c r="AY65" s="111"/>
      <c r="AZ65" s="111">
        <f>1.5%*AL65</f>
        <v>487464714.00000006</v>
      </c>
      <c r="BA65" s="244">
        <f t="shared" si="25"/>
        <v>487464714.00000006</v>
      </c>
      <c r="BC65" s="113"/>
      <c r="BD65" s="113"/>
      <c r="BE65" s="113">
        <f>_xlfn.XLOOKUP($G65,'GIÁ XUẤT KHO'!$A$4:$A$97,'GIÁ XUẤT KHO'!$AW$4:$AW$97)*R65</f>
        <v>25237095255.932896</v>
      </c>
      <c r="BF65" s="221">
        <f t="shared" si="26"/>
        <v>25237095255.932896</v>
      </c>
      <c r="BH65" s="113"/>
      <c r="BI65" s="113">
        <f t="shared" si="36"/>
        <v>0</v>
      </c>
      <c r="BJ65" s="113">
        <f t="shared" si="38"/>
        <v>7260552344.0671082</v>
      </c>
      <c r="BK65" s="221">
        <f t="shared" si="28"/>
        <v>7260552344.0671082</v>
      </c>
      <c r="BM65" s="244">
        <f t="shared" si="37"/>
        <v>25237095255.932899</v>
      </c>
      <c r="BN65" s="111">
        <f>SUMIFS('GIÁ XUẤT KHO'!AX$4:AX$97,'GIÁ XUẤT KHO'!$A$4:$A$97,$G65)*$S65</f>
        <v>18224289896.266045</v>
      </c>
      <c r="BO65" s="111">
        <f>SUMIFS('GIÁ XUẤT KHO'!AY$4:AY$97,'GIÁ XUẤT KHO'!$A$4:$A$97,$G65)*$S65</f>
        <v>185108255.79701361</v>
      </c>
      <c r="BP65" s="111">
        <f>SUMIFS('GIÁ XUẤT KHO'!AZ$4:AZ$97,'GIÁ XUẤT KHO'!$A$4:$A$97,$G65)*$S65</f>
        <v>97387.909826592484</v>
      </c>
      <c r="BQ65" s="111">
        <f>SUMIFS('GIÁ XUẤT KHO'!BA$4:BA$97,'GIÁ XUẤT KHO'!$A$4:$A$97,$G65)*$S65</f>
        <v>1293893324.5740402</v>
      </c>
      <c r="BR65" s="111">
        <f>SUMIFS('GIÁ XUẤT KHO'!BB$4:BB$97,'GIÁ XUẤT KHO'!$A$4:$A$97,$G65)*$S65</f>
        <v>177693445.16841605</v>
      </c>
      <c r="BS65" s="111">
        <f>SUMIFS('GIÁ XUẤT KHO'!BC$4:BC$97,'GIÁ XUẤT KHO'!$A$4:$A$97,$G65)*$S65</f>
        <v>729987757.02707124</v>
      </c>
      <c r="BT65" s="111">
        <f>SUMIFS('GIÁ XUẤT KHO'!BD$4:BD$97,'GIÁ XUẤT KHO'!$A$4:$A$97,$G65)*$S65</f>
        <v>1174201261.9279358</v>
      </c>
      <c r="BU65" s="111">
        <f>SUMIFS('GIÁ XUẤT KHO'!BE$4:BE$97,'GIÁ XUẤT KHO'!$A$4:$A$97,$G65)*$S65</f>
        <v>319298867.33744061</v>
      </c>
      <c r="BV65" s="111">
        <f>SUMIFS('GIÁ XUẤT KHO'!BF$4:BF$97,'GIÁ XUẤT KHO'!$A$4:$A$97,$G65)*$S65</f>
        <v>3132525059.9251099</v>
      </c>
      <c r="BW65" s="245">
        <f t="shared" si="39"/>
        <v>0</v>
      </c>
    </row>
    <row r="66" spans="1:75" s="108" customFormat="1" x14ac:dyDescent="0.25">
      <c r="A66" s="108" t="str">
        <f>_xlfn.XLOOKUP($G66,MD_SKU[Mã SKU],MD_SKU[Link vào file BCQT])</f>
        <v>Hạt rPET</v>
      </c>
      <c r="B66" s="108" t="s">
        <v>2895</v>
      </c>
      <c r="C66" s="109" t="str">
        <f t="shared" si="32"/>
        <v>XK</v>
      </c>
      <c r="D66" s="109" t="s">
        <v>3065</v>
      </c>
      <c r="E66" s="110" t="s">
        <v>2880</v>
      </c>
      <c r="F66" s="109" t="s">
        <v>2881</v>
      </c>
      <c r="G66" s="110" t="s">
        <v>301</v>
      </c>
      <c r="H66" s="109" t="s">
        <v>302</v>
      </c>
      <c r="I66" s="110"/>
      <c r="J66" s="110"/>
      <c r="K66" s="111"/>
      <c r="L66" s="111"/>
      <c r="M66" s="112"/>
      <c r="N66" s="111">
        <f>SUMIFS(Sales!$I$3:$I$100,Sales!$B$3:$B$100,$D66)</f>
        <v>0</v>
      </c>
      <c r="P66" s="111"/>
      <c r="Q66" s="111"/>
      <c r="R66" s="111">
        <f t="shared" si="11"/>
        <v>0</v>
      </c>
      <c r="S66" s="111">
        <f t="shared" si="12"/>
        <v>0</v>
      </c>
      <c r="T66" s="128"/>
      <c r="U66" s="114"/>
      <c r="V66" s="114"/>
      <c r="W66" s="131"/>
      <c r="X66" s="114">
        <f t="shared" si="15"/>
        <v>0</v>
      </c>
      <c r="Y66" s="113"/>
      <c r="Z66" s="111"/>
      <c r="AA66" s="120">
        <f t="shared" si="40"/>
        <v>26300</v>
      </c>
      <c r="AB66" s="120">
        <f t="shared" si="40"/>
        <v>26300</v>
      </c>
      <c r="AC66" s="111">
        <f t="shared" si="33"/>
        <v>0</v>
      </c>
      <c r="AD66" s="113"/>
      <c r="AE66" s="111"/>
      <c r="AF66" s="111"/>
      <c r="AG66" s="111">
        <f t="shared" si="19"/>
        <v>0</v>
      </c>
      <c r="AH66" s="111"/>
      <c r="AI66" s="113"/>
      <c r="AJ66" s="115"/>
      <c r="AK66" s="111"/>
      <c r="AL66" s="111">
        <f t="shared" si="7"/>
        <v>0</v>
      </c>
      <c r="AM66" s="116">
        <f t="shared" si="20"/>
        <v>0</v>
      </c>
      <c r="AO66" s="111"/>
      <c r="AP66" s="109"/>
      <c r="AQ66" s="111"/>
      <c r="AR66" s="111"/>
      <c r="AS66" s="111">
        <f t="shared" si="34"/>
        <v>0</v>
      </c>
      <c r="AT66" s="244">
        <f t="shared" si="35"/>
        <v>0</v>
      </c>
      <c r="AV66" s="111"/>
      <c r="AW66" s="109"/>
      <c r="AX66" s="111"/>
      <c r="AY66" s="111"/>
      <c r="AZ66" s="109"/>
      <c r="BA66" s="244">
        <f t="shared" si="25"/>
        <v>0</v>
      </c>
      <c r="BC66" s="113"/>
      <c r="BD66" s="113"/>
      <c r="BE66" s="113">
        <f>_xlfn.XLOOKUP($G66,'GIÁ XUẤT KHO'!$A$4:$A$97,'GIÁ XUẤT KHO'!$AW$4:$AW$97)*R66</f>
        <v>0</v>
      </c>
      <c r="BF66" s="221">
        <f t="shared" si="26"/>
        <v>0</v>
      </c>
      <c r="BH66" s="113"/>
      <c r="BI66" s="113">
        <f t="shared" si="36"/>
        <v>0</v>
      </c>
      <c r="BJ66" s="113">
        <f t="shared" si="38"/>
        <v>0</v>
      </c>
      <c r="BK66" s="221">
        <f t="shared" si="28"/>
        <v>0</v>
      </c>
      <c r="BM66" s="244">
        <f t="shared" si="37"/>
        <v>0</v>
      </c>
      <c r="BN66" s="111">
        <f>SUMIFS('GIÁ XUẤT KHO'!AX$4:AX$97,'GIÁ XUẤT KHO'!$A$4:$A$97,$G66)*$S66</f>
        <v>0</v>
      </c>
      <c r="BO66" s="111">
        <f>SUMIFS('GIÁ XUẤT KHO'!AY$4:AY$97,'GIÁ XUẤT KHO'!$A$4:$A$97,$G66)*$S66</f>
        <v>0</v>
      </c>
      <c r="BP66" s="111">
        <f>SUMIFS('GIÁ XUẤT KHO'!AZ$4:AZ$97,'GIÁ XUẤT KHO'!$A$4:$A$97,$G66)*$S66</f>
        <v>0</v>
      </c>
      <c r="BQ66" s="111">
        <f>SUMIFS('GIÁ XUẤT KHO'!BA$4:BA$97,'GIÁ XUẤT KHO'!$A$4:$A$97,$G66)*$S66</f>
        <v>0</v>
      </c>
      <c r="BR66" s="111">
        <f>SUMIFS('GIÁ XUẤT KHO'!BB$4:BB$97,'GIÁ XUẤT KHO'!$A$4:$A$97,$G66)*$S66</f>
        <v>0</v>
      </c>
      <c r="BS66" s="111">
        <f>SUMIFS('GIÁ XUẤT KHO'!BC$4:BC$97,'GIÁ XUẤT KHO'!$A$4:$A$97,$G66)*$S66</f>
        <v>0</v>
      </c>
      <c r="BT66" s="111">
        <f>SUMIFS('GIÁ XUẤT KHO'!BD$4:BD$97,'GIÁ XUẤT KHO'!$A$4:$A$97,$G66)*$S66</f>
        <v>0</v>
      </c>
      <c r="BU66" s="111">
        <f>SUMIFS('GIÁ XUẤT KHO'!BE$4:BE$97,'GIÁ XUẤT KHO'!$A$4:$A$97,$G66)*$S66</f>
        <v>0</v>
      </c>
      <c r="BV66" s="111">
        <f>SUMIFS('GIÁ XUẤT KHO'!BF$4:BF$97,'GIÁ XUẤT KHO'!$A$4:$A$97,$G66)*$S66</f>
        <v>0</v>
      </c>
      <c r="BW66" s="245">
        <f t="shared" si="39"/>
        <v>0</v>
      </c>
    </row>
    <row r="67" spans="1:75" s="108" customFormat="1" x14ac:dyDescent="0.25">
      <c r="A67" s="108" t="str">
        <f>_xlfn.XLOOKUP($G67,MD_SKU[Mã SKU],MD_SKU[Link vào file BCQT])</f>
        <v>Hạt rPET</v>
      </c>
      <c r="B67" s="108" t="s">
        <v>2895</v>
      </c>
      <c r="C67" s="109" t="str">
        <f t="shared" si="32"/>
        <v>XK</v>
      </c>
      <c r="D67" s="109" t="s">
        <v>3066</v>
      </c>
      <c r="E67" s="110" t="s">
        <v>3049</v>
      </c>
      <c r="F67" s="109" t="s">
        <v>3050</v>
      </c>
      <c r="G67" s="110" t="s">
        <v>32</v>
      </c>
      <c r="H67" s="109" t="s">
        <v>279</v>
      </c>
      <c r="I67" s="110"/>
      <c r="J67" s="110" t="s">
        <v>2642</v>
      </c>
      <c r="K67" s="111"/>
      <c r="L67" s="111"/>
      <c r="M67" s="112"/>
      <c r="N67" s="111">
        <f>SUMIFS(Sales!$I$3:$I$100,Sales!$B$3:$B$100,$D67)</f>
        <v>22000</v>
      </c>
      <c r="P67" s="111"/>
      <c r="Q67" s="111"/>
      <c r="R67" s="111">
        <f t="shared" si="11"/>
        <v>22000</v>
      </c>
      <c r="S67" s="111">
        <f t="shared" si="12"/>
        <v>22000</v>
      </c>
      <c r="T67" s="128"/>
      <c r="U67" s="114"/>
      <c r="V67" s="114"/>
      <c r="W67" s="144">
        <v>1.39</v>
      </c>
      <c r="X67" s="114">
        <f t="shared" si="15"/>
        <v>1.39</v>
      </c>
      <c r="Y67" s="113"/>
      <c r="Z67" s="111"/>
      <c r="AA67" s="120">
        <f t="shared" si="40"/>
        <v>26300</v>
      </c>
      <c r="AB67" s="120">
        <f t="shared" si="40"/>
        <v>26300</v>
      </c>
      <c r="AC67" s="111">
        <f t="shared" si="33"/>
        <v>26300</v>
      </c>
      <c r="AD67" s="113"/>
      <c r="AE67" s="111"/>
      <c r="AF67" s="111"/>
      <c r="AG67" s="111">
        <f t="shared" si="19"/>
        <v>36557</v>
      </c>
      <c r="AH67" s="111"/>
      <c r="AI67" s="113"/>
      <c r="AJ67" s="115"/>
      <c r="AK67" s="111"/>
      <c r="AL67" s="111">
        <f t="shared" si="7"/>
        <v>804254000</v>
      </c>
      <c r="AM67" s="116">
        <f t="shared" si="20"/>
        <v>804254000</v>
      </c>
      <c r="AO67" s="111">
        <f>20*EXR_FC05/1000</f>
        <v>526</v>
      </c>
      <c r="AP67" s="109"/>
      <c r="AQ67" s="111"/>
      <c r="AR67" s="111"/>
      <c r="AS67" s="111">
        <f t="shared" si="34"/>
        <v>11572000</v>
      </c>
      <c r="AT67" s="244">
        <f t="shared" si="35"/>
        <v>11572000</v>
      </c>
      <c r="AV67" s="111"/>
      <c r="AW67" s="109"/>
      <c r="AX67" s="111"/>
      <c r="AY67" s="111"/>
      <c r="AZ67" s="109"/>
      <c r="BA67" s="244">
        <f t="shared" si="25"/>
        <v>0</v>
      </c>
      <c r="BC67" s="113"/>
      <c r="BD67" s="113"/>
      <c r="BE67" s="113">
        <f>_xlfn.XLOOKUP($G67,'GIÁ XUẤT KHO'!$A$4:$A$97,'GIÁ XUẤT KHO'!$AW$4:$AW$97)*R67</f>
        <v>616389948.18451607</v>
      </c>
      <c r="BF67" s="221">
        <f t="shared" si="26"/>
        <v>616389948.18451607</v>
      </c>
      <c r="BH67" s="113"/>
      <c r="BI67" s="113">
        <f t="shared" si="36"/>
        <v>0</v>
      </c>
      <c r="BJ67" s="113">
        <f t="shared" si="38"/>
        <v>187864051.81548393</v>
      </c>
      <c r="BK67" s="221">
        <f t="shared" si="28"/>
        <v>187864051.81548393</v>
      </c>
      <c r="BM67" s="244">
        <f t="shared" si="37"/>
        <v>616389948.18451607</v>
      </c>
      <c r="BN67" s="111">
        <f>SUMIFS('GIÁ XUẤT KHO'!AX$4:AX$97,'GIÁ XUẤT KHO'!$A$4:$A$97,$G67)*$S67</f>
        <v>364383329.89145833</v>
      </c>
      <c r="BO67" s="111">
        <f>SUMIFS('GIÁ XUẤT KHO'!AY$4:AY$97,'GIÁ XUẤT KHO'!$A$4:$A$97,$G67)*$S67</f>
        <v>6054401.0414452637</v>
      </c>
      <c r="BP67" s="111">
        <f>SUMIFS('GIÁ XUẤT KHO'!AZ$4:AZ$97,'GIÁ XUẤT KHO'!$A$4:$A$97,$G67)*$S67</f>
        <v>2466.7488967688014</v>
      </c>
      <c r="BQ67" s="111">
        <f>SUMIFS('GIÁ XUẤT KHO'!BA$4:BA$97,'GIÁ XUẤT KHO'!$A$4:$A$97,$G67)*$S67</f>
        <v>40209377.156287186</v>
      </c>
      <c r="BR67" s="111">
        <f>SUMIFS('GIÁ XUẤT KHO'!BB$4:BB$97,'GIÁ XUẤT KHO'!$A$4:$A$97,$G67)*$S67</f>
        <v>4759273.1783974925</v>
      </c>
      <c r="BS67" s="111">
        <f>SUMIFS('GIÁ XUẤT KHO'!BC$4:BC$97,'GIÁ XUẤT KHO'!$A$4:$A$97,$G67)*$S67</f>
        <v>28774137.528768916</v>
      </c>
      <c r="BT67" s="111">
        <f>SUMIFS('GIÁ XUẤT KHO'!BD$4:BD$97,'GIÁ XUẤT KHO'!$A$4:$A$97,$G67)*$S67</f>
        <v>46367316.411434814</v>
      </c>
      <c r="BU67" s="111">
        <f>SUMIFS('GIÁ XUẤT KHO'!BE$4:BE$97,'GIÁ XUẤT KHO'!$A$4:$A$97,$G67)*$S67</f>
        <v>11131585.312257307</v>
      </c>
      <c r="BV67" s="111">
        <f>SUMIFS('GIÁ XUẤT KHO'!BF$4:BF$97,'GIÁ XUẤT KHO'!$A$4:$A$97,$G67)*$S67</f>
        <v>114708060.91556998</v>
      </c>
      <c r="BW67" s="245">
        <f t="shared" si="39"/>
        <v>0</v>
      </c>
    </row>
    <row r="68" spans="1:75" s="108" customFormat="1" x14ac:dyDescent="0.25">
      <c r="A68" s="108" t="str">
        <f>_xlfn.XLOOKUP($G68,MD_SKU[Mã SKU],MD_SKU[Link vào file BCQT])</f>
        <v>Hạt rPET</v>
      </c>
      <c r="B68" s="108" t="s">
        <v>2895</v>
      </c>
      <c r="C68" s="109" t="str">
        <f t="shared" si="32"/>
        <v>XK</v>
      </c>
      <c r="D68" s="109" t="s">
        <v>3067</v>
      </c>
      <c r="E68" s="110" t="s">
        <v>3051</v>
      </c>
      <c r="F68" s="109" t="s">
        <v>3052</v>
      </c>
      <c r="G68" s="110" t="s">
        <v>37</v>
      </c>
      <c r="H68" s="109" t="s">
        <v>1396</v>
      </c>
      <c r="I68" s="110"/>
      <c r="J68" s="110" t="s">
        <v>2642</v>
      </c>
      <c r="K68" s="111"/>
      <c r="L68" s="111"/>
      <c r="M68" s="112"/>
      <c r="N68" s="111">
        <f>SUMIFS(Sales!$I$3:$I$100,Sales!$B$3:$B$100,$D68)</f>
        <v>506000</v>
      </c>
      <c r="P68" s="111"/>
      <c r="Q68" s="111"/>
      <c r="R68" s="111">
        <f t="shared" si="11"/>
        <v>506000</v>
      </c>
      <c r="S68" s="111">
        <f t="shared" si="12"/>
        <v>506000</v>
      </c>
      <c r="T68" s="128"/>
      <c r="U68" s="114"/>
      <c r="V68" s="114"/>
      <c r="W68" s="144">
        <f>1.31-0.07+N("giảm gia")</f>
        <v>1.24</v>
      </c>
      <c r="X68" s="114">
        <f t="shared" si="15"/>
        <v>1.24</v>
      </c>
      <c r="Y68" s="113"/>
      <c r="Z68" s="111"/>
      <c r="AA68" s="120">
        <f t="shared" si="40"/>
        <v>26300</v>
      </c>
      <c r="AB68" s="120">
        <f t="shared" si="40"/>
        <v>26300</v>
      </c>
      <c r="AC68" s="111">
        <f t="shared" si="33"/>
        <v>26300</v>
      </c>
      <c r="AD68" s="113"/>
      <c r="AE68" s="111"/>
      <c r="AF68" s="111"/>
      <c r="AG68" s="111">
        <f t="shared" si="19"/>
        <v>32612</v>
      </c>
      <c r="AH68" s="111"/>
      <c r="AI68" s="113"/>
      <c r="AJ68" s="115"/>
      <c r="AK68" s="111"/>
      <c r="AL68" s="111">
        <f t="shared" si="7"/>
        <v>16501672000</v>
      </c>
      <c r="AM68" s="116">
        <f t="shared" si="20"/>
        <v>16501672000</v>
      </c>
      <c r="AO68" s="111">
        <f>20*EXR_FC05/1000</f>
        <v>526</v>
      </c>
      <c r="AP68" s="109"/>
      <c r="AQ68" s="111"/>
      <c r="AR68" s="111"/>
      <c r="AS68" s="111">
        <f t="shared" si="34"/>
        <v>266156000</v>
      </c>
      <c r="AT68" s="244">
        <f t="shared" si="35"/>
        <v>266156000</v>
      </c>
      <c r="AV68" s="111"/>
      <c r="AW68" s="109"/>
      <c r="AX68" s="111"/>
      <c r="AY68" s="111"/>
      <c r="AZ68" s="109"/>
      <c r="BA68" s="244">
        <f t="shared" si="25"/>
        <v>0</v>
      </c>
      <c r="BC68" s="113"/>
      <c r="BD68" s="113"/>
      <c r="BE68" s="113">
        <f>_xlfn.XLOOKUP($G68,'GIÁ XUẤT KHO'!$A$4:$A$97,'GIÁ XUẤT KHO'!$AW$4:$AW$97)*R68</f>
        <v>13239028331.374298</v>
      </c>
      <c r="BF68" s="221">
        <f t="shared" si="26"/>
        <v>13239028331.374298</v>
      </c>
      <c r="BH68" s="113"/>
      <c r="BI68" s="113">
        <f t="shared" si="36"/>
        <v>0</v>
      </c>
      <c r="BJ68" s="113">
        <f t="shared" si="38"/>
        <v>3262643668.6257019</v>
      </c>
      <c r="BK68" s="221">
        <f t="shared" si="28"/>
        <v>3262643668.6257019</v>
      </c>
      <c r="BM68" s="244">
        <f t="shared" si="37"/>
        <v>13239028331.374298</v>
      </c>
      <c r="BN68" s="111">
        <f>SUMIFS('GIÁ XUẤT KHO'!AX$4:AX$97,'GIÁ XUẤT KHO'!$A$4:$A$97,$G68)*$S68</f>
        <v>9845876187.8732071</v>
      </c>
      <c r="BO68" s="111">
        <f>SUMIFS('GIÁ XUẤT KHO'!AY$4:AY$97,'GIÁ XUẤT KHO'!$A$4:$A$97,$G68)*$S68</f>
        <v>85563480.683347985</v>
      </c>
      <c r="BP68" s="111">
        <f>SUMIFS('GIÁ XUẤT KHO'!AZ$4:AZ$97,'GIÁ XUẤT KHO'!$A$4:$A$97,$G68)*$S68</f>
        <v>17042.368966185302</v>
      </c>
      <c r="BQ68" s="111">
        <f>SUMIFS('GIÁ XUẤT KHO'!BA$4:BA$97,'GIÁ XUẤT KHO'!$A$4:$A$97,$G68)*$S68</f>
        <v>404003573.39930356</v>
      </c>
      <c r="BR68" s="111">
        <f>SUMIFS('GIÁ XUẤT KHO'!BB$4:BB$97,'GIÁ XUẤT KHO'!$A$4:$A$97,$G68)*$S68</f>
        <v>117385826.54009131</v>
      </c>
      <c r="BS68" s="111">
        <f>SUMIFS('GIÁ XUẤT KHO'!BC$4:BC$97,'GIÁ XUẤT KHO'!$A$4:$A$97,$G68)*$S68</f>
        <v>219101431.09640691</v>
      </c>
      <c r="BT68" s="111">
        <f>SUMIFS('GIÁ XUẤT KHO'!BD$4:BD$97,'GIÁ XUẤT KHO'!$A$4:$A$97,$G68)*$S68</f>
        <v>745853999.195243</v>
      </c>
      <c r="BU68" s="111">
        <f>SUMIFS('GIÁ XUẤT KHO'!BE$4:BE$97,'GIÁ XUẤT KHO'!$A$4:$A$97,$G68)*$S68</f>
        <v>38655621.943041086</v>
      </c>
      <c r="BV68" s="111">
        <f>SUMIFS('GIÁ XUẤT KHO'!BF$4:BF$97,'GIÁ XUẤT KHO'!$A$4:$A$97,$G68)*$S68</f>
        <v>1782571168.2746906</v>
      </c>
      <c r="BW68" s="245">
        <f t="shared" si="39"/>
        <v>0</v>
      </c>
    </row>
    <row r="69" spans="1:75" s="108" customFormat="1" x14ac:dyDescent="0.25">
      <c r="A69" s="108" t="str">
        <f>_xlfn.XLOOKUP($G69,MD_SKU[Mã SKU],MD_SKU[Link vào file BCQT])</f>
        <v>Hạt rPET</v>
      </c>
      <c r="B69" s="108" t="s">
        <v>2895</v>
      </c>
      <c r="C69" s="109" t="str">
        <f t="shared" si="32"/>
        <v>XK</v>
      </c>
      <c r="D69" s="109" t="s">
        <v>3068</v>
      </c>
      <c r="E69" s="110" t="s">
        <v>2882</v>
      </c>
      <c r="F69" s="109" t="s">
        <v>2883</v>
      </c>
      <c r="G69" s="110" t="s">
        <v>33</v>
      </c>
      <c r="H69" s="109" t="s">
        <v>2863</v>
      </c>
      <c r="I69" s="110"/>
      <c r="J69" s="110" t="s">
        <v>2642</v>
      </c>
      <c r="K69" s="111"/>
      <c r="L69" s="111"/>
      <c r="M69" s="112"/>
      <c r="N69" s="111">
        <f>SUMIFS(Sales!$I$3:$I$100,Sales!$B$3:$B$100,$D69)</f>
        <v>44000</v>
      </c>
      <c r="P69" s="111"/>
      <c r="Q69" s="111"/>
      <c r="R69" s="111">
        <f t="shared" si="11"/>
        <v>44000</v>
      </c>
      <c r="S69" s="111">
        <f t="shared" si="12"/>
        <v>44000</v>
      </c>
      <c r="T69" s="128"/>
      <c r="U69" s="114"/>
      <c r="V69" s="114"/>
      <c r="W69" s="131">
        <v>1.3</v>
      </c>
      <c r="X69" s="114">
        <f t="shared" si="15"/>
        <v>1.3</v>
      </c>
      <c r="Y69" s="113"/>
      <c r="Z69" s="111"/>
      <c r="AA69" s="120">
        <f t="shared" si="40"/>
        <v>26300</v>
      </c>
      <c r="AB69" s="120">
        <f t="shared" si="40"/>
        <v>26300</v>
      </c>
      <c r="AC69" s="111">
        <f t="shared" si="33"/>
        <v>26300</v>
      </c>
      <c r="AD69" s="113"/>
      <c r="AE69" s="111"/>
      <c r="AF69" s="111"/>
      <c r="AG69" s="111">
        <f t="shared" si="19"/>
        <v>34190</v>
      </c>
      <c r="AH69" s="111"/>
      <c r="AI69" s="113"/>
      <c r="AJ69" s="115"/>
      <c r="AK69" s="111"/>
      <c r="AL69" s="111">
        <f t="shared" si="7"/>
        <v>1504360000</v>
      </c>
      <c r="AM69" s="116">
        <f t="shared" si="20"/>
        <v>1504360000</v>
      </c>
      <c r="AO69" s="111">
        <f>20*EXR_FC05/1000</f>
        <v>526</v>
      </c>
      <c r="AP69" s="109"/>
      <c r="AQ69" s="111"/>
      <c r="AR69" s="111"/>
      <c r="AS69" s="111">
        <f t="shared" si="34"/>
        <v>23144000</v>
      </c>
      <c r="AT69" s="244">
        <f t="shared" si="35"/>
        <v>23144000</v>
      </c>
      <c r="AV69" s="111"/>
      <c r="AW69" s="109"/>
      <c r="AX69" s="111"/>
      <c r="AY69" s="111"/>
      <c r="AZ69" s="109"/>
      <c r="BA69" s="244">
        <f t="shared" si="25"/>
        <v>0</v>
      </c>
      <c r="BC69" s="113"/>
      <c r="BD69" s="113"/>
      <c r="BE69" s="113">
        <f>_xlfn.XLOOKUP($G69,'GIÁ XUẤT KHO'!$A$4:$A$97,'GIÁ XUẤT KHO'!$AW$4:$AW$97)*R69</f>
        <v>1097265011.1275172</v>
      </c>
      <c r="BF69" s="221">
        <f t="shared" si="26"/>
        <v>1097265011.1275172</v>
      </c>
      <c r="BH69" s="113"/>
      <c r="BI69" s="113">
        <f t="shared" si="36"/>
        <v>0</v>
      </c>
      <c r="BJ69" s="113">
        <f t="shared" si="38"/>
        <v>407094988.87248278</v>
      </c>
      <c r="BK69" s="221">
        <f t="shared" si="28"/>
        <v>407094988.87248278</v>
      </c>
      <c r="BM69" s="244">
        <f t="shared" si="37"/>
        <v>1097265011.1275172</v>
      </c>
      <c r="BN69" s="111">
        <f>SUMIFS('GIÁ XUẤT KHO'!AX$4:AX$97,'GIÁ XUẤT KHO'!$A$4:$A$97,$G69)*$S69</f>
        <v>792360430.27243674</v>
      </c>
      <c r="BO69" s="111">
        <f>SUMIFS('GIÁ XUẤT KHO'!AY$4:AY$97,'GIÁ XUẤT KHO'!$A$4:$A$97,$G69)*$S69</f>
        <v>8048185.0346527658</v>
      </c>
      <c r="BP69" s="111">
        <f>SUMIFS('GIÁ XUẤT KHO'!AZ$4:AZ$97,'GIÁ XUẤT KHO'!$A$4:$A$97,$G69)*$S69</f>
        <v>4234.2569489822818</v>
      </c>
      <c r="BQ69" s="111">
        <f>SUMIFS('GIÁ XUẤT KHO'!BA$4:BA$97,'GIÁ XUẤT KHO'!$A$4:$A$97,$G69)*$S69</f>
        <v>56256231.503219143</v>
      </c>
      <c r="BR69" s="111">
        <f>SUMIFS('GIÁ XUẤT KHO'!BB$4:BB$97,'GIÁ XUẤT KHO'!$A$4:$A$97,$G69)*$S69</f>
        <v>7725801.9638441764</v>
      </c>
      <c r="BS69" s="111">
        <f>SUMIFS('GIÁ XUẤT KHO'!BC$4:BC$97,'GIÁ XUẤT KHO'!$A$4:$A$97,$G69)*$S69</f>
        <v>31738598.131611794</v>
      </c>
      <c r="BT69" s="111">
        <f>SUMIFS('GIÁ XUẤT KHO'!BD$4:BD$97,'GIÁ XUẤT KHO'!$A$4:$A$97,$G69)*$S69</f>
        <v>51052228.779475473</v>
      </c>
      <c r="BU69" s="111">
        <f>SUMIFS('GIÁ XUẤT KHO'!BE$4:BE$97,'GIÁ XUẤT KHO'!$A$4:$A$97,$G69)*$S69</f>
        <v>13882559.449453939</v>
      </c>
      <c r="BV69" s="111">
        <f>SUMIFS('GIÁ XUẤT KHO'!BF$4:BF$97,'GIÁ XUẤT KHO'!$A$4:$A$97,$G69)*$S69</f>
        <v>136196741.73587435</v>
      </c>
      <c r="BW69" s="245">
        <f t="shared" si="39"/>
        <v>0</v>
      </c>
    </row>
    <row r="70" spans="1:75" s="108" customFormat="1" x14ac:dyDescent="0.25">
      <c r="A70" s="108" t="str">
        <f>_xlfn.XLOOKUP($G70,MD_SKU[Mã SKU],MD_SKU[Link vào file BCQT])</f>
        <v>Hạt rPET</v>
      </c>
      <c r="B70" s="108" t="s">
        <v>2895</v>
      </c>
      <c r="C70" s="109" t="str">
        <f t="shared" si="32"/>
        <v>XK</v>
      </c>
      <c r="D70" s="109" t="s">
        <v>2802</v>
      </c>
      <c r="E70" s="110" t="s">
        <v>2458</v>
      </c>
      <c r="F70" s="109" t="s">
        <v>2884</v>
      </c>
      <c r="G70" s="110" t="s">
        <v>33</v>
      </c>
      <c r="H70" s="109" t="s">
        <v>2863</v>
      </c>
      <c r="I70" s="110"/>
      <c r="J70" s="110" t="s">
        <v>2642</v>
      </c>
      <c r="K70" s="111"/>
      <c r="L70" s="111"/>
      <c r="M70" s="112"/>
      <c r="N70" s="111">
        <f>SUMIFS(Sales!$I$3:$I$100,Sales!$B$3:$B$100,$D70)</f>
        <v>220000</v>
      </c>
      <c r="P70" s="111"/>
      <c r="Q70" s="111"/>
      <c r="R70" s="111">
        <f t="shared" si="11"/>
        <v>220000</v>
      </c>
      <c r="S70" s="111">
        <f t="shared" si="12"/>
        <v>220000</v>
      </c>
      <c r="T70" s="128"/>
      <c r="U70" s="114"/>
      <c r="V70" s="114"/>
      <c r="W70" s="143">
        <v>1.1499999999999999</v>
      </c>
      <c r="X70" s="114">
        <f t="shared" si="15"/>
        <v>1.1499999999999999</v>
      </c>
      <c r="Y70" s="113"/>
      <c r="Z70" s="111"/>
      <c r="AA70" s="120">
        <f t="shared" si="40"/>
        <v>26300</v>
      </c>
      <c r="AB70" s="120">
        <f t="shared" si="40"/>
        <v>26300</v>
      </c>
      <c r="AC70" s="111">
        <f t="shared" si="33"/>
        <v>26300</v>
      </c>
      <c r="AD70" s="113"/>
      <c r="AE70" s="111"/>
      <c r="AF70" s="111"/>
      <c r="AG70" s="111">
        <f t="shared" si="19"/>
        <v>30244.999999999996</v>
      </c>
      <c r="AH70" s="111"/>
      <c r="AI70" s="113"/>
      <c r="AJ70" s="115"/>
      <c r="AK70" s="111"/>
      <c r="AL70" s="111">
        <f t="shared" si="7"/>
        <v>6653899999.999999</v>
      </c>
      <c r="AM70" s="116">
        <f t="shared" si="20"/>
        <v>6653899999.999999</v>
      </c>
      <c r="AO70" s="111">
        <f>20*EXR_FC05/1000</f>
        <v>526</v>
      </c>
      <c r="AP70" s="109"/>
      <c r="AQ70" s="111"/>
      <c r="AR70" s="111"/>
      <c r="AS70" s="111">
        <f t="shared" si="34"/>
        <v>115720000</v>
      </c>
      <c r="AT70" s="244">
        <f t="shared" si="35"/>
        <v>115720000</v>
      </c>
      <c r="AV70" s="111"/>
      <c r="AW70" s="109"/>
      <c r="AX70" s="111"/>
      <c r="AY70" s="111"/>
      <c r="AZ70" s="111">
        <f>1.5%*AL70</f>
        <v>99808499.999999985</v>
      </c>
      <c r="BA70" s="244">
        <f t="shared" si="25"/>
        <v>99808499.999999985</v>
      </c>
      <c r="BC70" s="113"/>
      <c r="BD70" s="113"/>
      <c r="BE70" s="113">
        <f>_xlfn.XLOOKUP($G70,'GIÁ XUẤT KHO'!$A$4:$A$97,'GIÁ XUẤT KHO'!$AW$4:$AW$97)*R70</f>
        <v>5486325055.6375866</v>
      </c>
      <c r="BF70" s="221">
        <f t="shared" si="26"/>
        <v>5486325055.6375866</v>
      </c>
      <c r="BH70" s="113"/>
      <c r="BI70" s="113">
        <f t="shared" si="36"/>
        <v>0</v>
      </c>
      <c r="BJ70" s="113">
        <f t="shared" si="38"/>
        <v>1167574944.3624125</v>
      </c>
      <c r="BK70" s="221">
        <f t="shared" si="28"/>
        <v>1167574944.3624125</v>
      </c>
      <c r="BM70" s="244">
        <f t="shared" si="37"/>
        <v>5486325055.6375866</v>
      </c>
      <c r="BN70" s="111">
        <f>SUMIFS('GIÁ XUẤT KHO'!AX$4:AX$97,'GIÁ XUẤT KHO'!$A$4:$A$97,$G70)*$S70</f>
        <v>3961802151.3621836</v>
      </c>
      <c r="BO70" s="111">
        <f>SUMIFS('GIÁ XUẤT KHO'!AY$4:AY$97,'GIÁ XUẤT KHO'!$A$4:$A$97,$G70)*$S70</f>
        <v>40240925.173263833</v>
      </c>
      <c r="BP70" s="111">
        <f>SUMIFS('GIÁ XUẤT KHO'!AZ$4:AZ$97,'GIÁ XUẤT KHO'!$A$4:$A$97,$G70)*$S70</f>
        <v>21171.284744911409</v>
      </c>
      <c r="BQ70" s="111">
        <f>SUMIFS('GIÁ XUẤT KHO'!BA$4:BA$97,'GIÁ XUẤT KHO'!$A$4:$A$97,$G70)*$S70</f>
        <v>281281157.5160957</v>
      </c>
      <c r="BR70" s="111">
        <f>SUMIFS('GIÁ XUẤT KHO'!BB$4:BB$97,'GIÁ XUẤT KHO'!$A$4:$A$97,$G70)*$S70</f>
        <v>38629009.819220878</v>
      </c>
      <c r="BS70" s="111">
        <f>SUMIFS('GIÁ XUẤT KHO'!BC$4:BC$97,'GIÁ XUẤT KHO'!$A$4:$A$97,$G70)*$S70</f>
        <v>158692990.65805897</v>
      </c>
      <c r="BT70" s="111">
        <f>SUMIFS('GIÁ XUẤT KHO'!BD$4:BD$97,'GIÁ XUẤT KHO'!$A$4:$A$97,$G70)*$S70</f>
        <v>255261143.89737734</v>
      </c>
      <c r="BU70" s="111">
        <f>SUMIFS('GIÁ XUẤT KHO'!BE$4:BE$97,'GIÁ XUẤT KHO'!$A$4:$A$97,$G70)*$S70</f>
        <v>69412797.24726969</v>
      </c>
      <c r="BV70" s="111">
        <f>SUMIFS('GIÁ XUẤT KHO'!BF$4:BF$97,'GIÁ XUẤT KHO'!$A$4:$A$97,$G70)*$S70</f>
        <v>680983708.67937171</v>
      </c>
      <c r="BW70" s="245">
        <f t="shared" si="39"/>
        <v>0</v>
      </c>
    </row>
    <row r="71" spans="1:75" s="108" customFormat="1" x14ac:dyDescent="0.25">
      <c r="A71" s="108" t="str">
        <f>_xlfn.XLOOKUP($G71,MD_SKU[Mã SKU],MD_SKU[Link vào file BCQT])</f>
        <v>Hạt rPP</v>
      </c>
      <c r="B71" s="108" t="s">
        <v>2895</v>
      </c>
      <c r="C71" s="109" t="str">
        <f t="shared" si="32"/>
        <v>NĐ</v>
      </c>
      <c r="D71" s="109" t="s">
        <v>3069</v>
      </c>
      <c r="E71" s="110" t="s">
        <v>2885</v>
      </c>
      <c r="F71" s="109" t="s">
        <v>2885</v>
      </c>
      <c r="G71" s="110" t="s">
        <v>1044</v>
      </c>
      <c r="H71" s="109" t="s">
        <v>1045</v>
      </c>
      <c r="I71" s="110"/>
      <c r="J71" s="273" t="s">
        <v>2640</v>
      </c>
      <c r="K71" s="111"/>
      <c r="L71" s="111"/>
      <c r="M71" s="112"/>
      <c r="N71" s="111">
        <f>SUMIFS(Sales!$I$3:$I$100,Sales!$B$3:$B$100,$D71)</f>
        <v>1375</v>
      </c>
      <c r="P71" s="111"/>
      <c r="Q71" s="111"/>
      <c r="R71" s="111">
        <f t="shared" si="11"/>
        <v>1375</v>
      </c>
      <c r="S71" s="111">
        <f t="shared" si="12"/>
        <v>1375</v>
      </c>
      <c r="T71" s="128"/>
      <c r="U71" s="114"/>
      <c r="V71" s="114"/>
      <c r="W71" s="275">
        <f>1.19*EXR_FC05</f>
        <v>31297</v>
      </c>
      <c r="X71" s="114">
        <f t="shared" si="15"/>
        <v>31297</v>
      </c>
      <c r="Y71" s="113"/>
      <c r="Z71" s="111"/>
      <c r="AA71" s="120">
        <f t="shared" si="40"/>
        <v>1</v>
      </c>
      <c r="AB71" s="120">
        <f t="shared" si="40"/>
        <v>1</v>
      </c>
      <c r="AC71" s="111">
        <f t="shared" si="33"/>
        <v>1</v>
      </c>
      <c r="AD71" s="113"/>
      <c r="AE71" s="111"/>
      <c r="AF71" s="111"/>
      <c r="AG71" s="111">
        <f t="shared" si="19"/>
        <v>31297</v>
      </c>
      <c r="AH71" s="111"/>
      <c r="AI71" s="113"/>
      <c r="AJ71" s="115"/>
      <c r="AK71" s="111"/>
      <c r="AL71" s="111">
        <f t="shared" si="7"/>
        <v>43033375</v>
      </c>
      <c r="AM71" s="116">
        <f t="shared" si="20"/>
        <v>43033375</v>
      </c>
      <c r="AO71" s="111"/>
      <c r="AP71" s="109"/>
      <c r="AQ71" s="111"/>
      <c r="AR71" s="111"/>
      <c r="AS71" s="111">
        <f t="shared" si="34"/>
        <v>0</v>
      </c>
      <c r="AT71" s="244">
        <f t="shared" si="35"/>
        <v>0</v>
      </c>
      <c r="AV71" s="111"/>
      <c r="AW71" s="109"/>
      <c r="AX71" s="111"/>
      <c r="AY71" s="111"/>
      <c r="AZ71" s="109"/>
      <c r="BA71" s="244">
        <f t="shared" si="25"/>
        <v>0</v>
      </c>
      <c r="BC71" s="113"/>
      <c r="BD71" s="113"/>
      <c r="BE71" s="113">
        <f>_xlfn.XLOOKUP($G71,'GIÁ XUẤT KHO'!$A$4:$A$97,'GIÁ XUẤT KHO'!$AW$4:$AW$97)*R71</f>
        <v>40691848.357664227</v>
      </c>
      <c r="BF71" s="221">
        <f t="shared" si="26"/>
        <v>40691848.357664227</v>
      </c>
      <c r="BH71" s="113"/>
      <c r="BI71" s="113">
        <f t="shared" si="36"/>
        <v>0</v>
      </c>
      <c r="BJ71" s="113">
        <f t="shared" si="38"/>
        <v>2341526.6423357725</v>
      </c>
      <c r="BK71" s="221">
        <f t="shared" si="28"/>
        <v>2341526.6423357725</v>
      </c>
      <c r="BM71" s="244">
        <f t="shared" si="37"/>
        <v>40691848.357664227</v>
      </c>
      <c r="BN71" s="111">
        <f>SUMIFS('GIÁ XUẤT KHO'!AX$4:AX$97,'GIÁ XUẤT KHO'!$A$4:$A$97,$G71)*$S71</f>
        <v>25355821.989051092</v>
      </c>
      <c r="BO71" s="111">
        <f>SUMIFS('GIÁ XUẤT KHO'!AY$4:AY$97,'GIÁ XUẤT KHO'!$A$4:$A$97,$G71)*$S71</f>
        <v>142105.7481751825</v>
      </c>
      <c r="BP71" s="111">
        <f>SUMIFS('GIÁ XUẤT KHO'!AZ$4:AZ$97,'GIÁ XUẤT KHO'!$A$4:$A$97,$G71)*$S71</f>
        <v>5.0182481751824817</v>
      </c>
      <c r="BQ71" s="111">
        <f>SUMIFS('GIÁ XUẤT KHO'!BA$4:BA$97,'GIÁ XUẤT KHO'!$A$4:$A$97,$G71)*$S71</f>
        <v>2206408.3029197082</v>
      </c>
      <c r="BR71" s="111">
        <f>SUMIFS('GIÁ XUẤT KHO'!BB$4:BB$97,'GIÁ XUẤT KHO'!$A$4:$A$97,$G71)*$S71</f>
        <v>448217.88321167883</v>
      </c>
      <c r="BS71" s="111">
        <f>SUMIFS('GIÁ XUẤT KHO'!BC$4:BC$97,'GIÁ XUẤT KHO'!$A$4:$A$97,$G71)*$S71</f>
        <v>4503944.9817518247</v>
      </c>
      <c r="BT71" s="111">
        <f>SUMIFS('GIÁ XUẤT KHO'!BD$4:BD$97,'GIÁ XUẤT KHO'!$A$4:$A$97,$G71)*$S71</f>
        <v>2080207.3905109488</v>
      </c>
      <c r="BU71" s="111">
        <f>SUMIFS('GIÁ XUẤT KHO'!BE$4:BE$97,'GIÁ XUẤT KHO'!$A$4:$A$97,$G71)*$S71</f>
        <v>1275618.6131386862</v>
      </c>
      <c r="BV71" s="111">
        <f>SUMIFS('GIÁ XUẤT KHO'!BF$4:BF$97,'GIÁ XUẤT KHO'!$A$4:$A$97,$G71)*$S71</f>
        <v>4679518.4306569342</v>
      </c>
      <c r="BW71" s="245">
        <f t="shared" si="39"/>
        <v>0</v>
      </c>
    </row>
    <row r="72" spans="1:75" x14ac:dyDescent="0.25">
      <c r="C72" s="39"/>
      <c r="D72" s="39"/>
      <c r="E72" s="54"/>
      <c r="F72" s="39"/>
      <c r="G72" s="54"/>
      <c r="H72" s="39"/>
      <c r="I72" s="54"/>
      <c r="J72" s="54"/>
      <c r="K72" s="254"/>
      <c r="L72" s="254"/>
      <c r="M72" s="55"/>
      <c r="N72" s="254"/>
      <c r="P72" s="254"/>
      <c r="Q72" s="254"/>
      <c r="R72" s="254"/>
      <c r="S72" s="254"/>
      <c r="T72" s="255"/>
      <c r="U72" s="256"/>
      <c r="V72" s="256"/>
      <c r="W72" s="131"/>
      <c r="X72" s="256"/>
      <c r="Y72" s="257"/>
      <c r="Z72" s="254"/>
      <c r="AA72" s="258"/>
      <c r="AB72" s="258"/>
      <c r="AC72" s="254"/>
      <c r="AD72" s="257"/>
      <c r="AE72" s="254"/>
      <c r="AF72" s="254"/>
      <c r="AG72" s="254"/>
      <c r="AH72" s="254"/>
      <c r="AI72" s="257"/>
      <c r="AJ72" s="259"/>
      <c r="AK72" s="254"/>
      <c r="AL72" s="254"/>
      <c r="AM72" s="260">
        <f t="shared" si="20"/>
        <v>0</v>
      </c>
      <c r="AO72" s="254"/>
      <c r="AP72" s="39"/>
      <c r="AQ72" s="254"/>
      <c r="AR72" s="254"/>
      <c r="AS72" s="254"/>
      <c r="AT72" s="261"/>
      <c r="AV72" s="254"/>
      <c r="AW72" s="39"/>
      <c r="AX72" s="254"/>
      <c r="AY72" s="254"/>
      <c r="AZ72" s="39"/>
      <c r="BA72" s="261">
        <f t="shared" si="25"/>
        <v>0</v>
      </c>
      <c r="BC72" s="257"/>
      <c r="BD72" s="257"/>
      <c r="BE72" s="257"/>
      <c r="BF72" s="262">
        <f t="shared" si="26"/>
        <v>0</v>
      </c>
      <c r="BH72" s="257"/>
      <c r="BI72" s="257"/>
      <c r="BJ72" s="257"/>
      <c r="BK72" s="262">
        <f t="shared" si="28"/>
        <v>0</v>
      </c>
      <c r="BM72" s="261"/>
      <c r="BN72" s="254"/>
      <c r="BO72" s="254"/>
      <c r="BP72" s="254"/>
      <c r="BQ72" s="254"/>
      <c r="BR72" s="254"/>
      <c r="BS72" s="254"/>
      <c r="BT72" s="254"/>
      <c r="BU72" s="254"/>
      <c r="BV72" s="254"/>
      <c r="BW72" s="263"/>
    </row>
    <row r="73" spans="1:75" x14ac:dyDescent="0.25">
      <c r="C73" s="39"/>
      <c r="D73" s="39"/>
      <c r="E73" s="54"/>
      <c r="F73" s="39"/>
      <c r="G73" s="54"/>
      <c r="H73" s="39"/>
      <c r="I73" s="54"/>
      <c r="J73" s="54"/>
      <c r="K73" s="254"/>
      <c r="L73" s="254"/>
      <c r="M73" s="55"/>
      <c r="N73" s="254"/>
      <c r="P73" s="254"/>
      <c r="Q73" s="254"/>
      <c r="R73" s="254"/>
      <c r="S73" s="254"/>
      <c r="T73" s="255"/>
      <c r="U73" s="256"/>
      <c r="V73" s="256"/>
      <c r="W73" s="131"/>
      <c r="X73" s="256"/>
      <c r="Y73" s="257"/>
      <c r="Z73" s="254"/>
      <c r="AA73" s="258"/>
      <c r="AB73" s="258"/>
      <c r="AC73" s="254"/>
      <c r="AD73" s="257"/>
      <c r="AE73" s="254"/>
      <c r="AF73" s="254"/>
      <c r="AG73" s="254"/>
      <c r="AH73" s="254"/>
      <c r="AI73" s="257"/>
      <c r="AJ73" s="259"/>
      <c r="AK73" s="254"/>
      <c r="AL73" s="254"/>
      <c r="AM73" s="260">
        <f t="shared" ref="AM73:AM125" si="41">SUM(AJ73:AL73)</f>
        <v>0</v>
      </c>
      <c r="AO73" s="254"/>
      <c r="AP73" s="39"/>
      <c r="AQ73" s="254"/>
      <c r="AR73" s="254"/>
      <c r="AS73" s="254"/>
      <c r="AT73" s="261"/>
      <c r="AV73" s="254"/>
      <c r="AW73" s="39"/>
      <c r="AX73" s="254"/>
      <c r="AY73" s="254"/>
      <c r="AZ73" s="39"/>
      <c r="BA73" s="261">
        <f t="shared" ref="BA73:BA136" si="42">SUM(AX73:AZ73)</f>
        <v>0</v>
      </c>
      <c r="BC73" s="257"/>
      <c r="BD73" s="257"/>
      <c r="BE73" s="257"/>
      <c r="BF73" s="262">
        <f t="shared" ref="BF73:BF99" si="43">SUM(BC73:BE73)</f>
        <v>0</v>
      </c>
      <c r="BH73" s="257"/>
      <c r="BI73" s="257"/>
      <c r="BJ73" s="257"/>
      <c r="BK73" s="262">
        <f t="shared" ref="BK73:BK98" si="44">SUM(BH73:BJ73)</f>
        <v>0</v>
      </c>
      <c r="BM73" s="261"/>
      <c r="BN73" s="254"/>
      <c r="BO73" s="254"/>
      <c r="BP73" s="254"/>
      <c r="BQ73" s="254"/>
      <c r="BR73" s="254"/>
      <c r="BS73" s="254"/>
      <c r="BT73" s="254"/>
      <c r="BU73" s="254"/>
      <c r="BV73" s="254"/>
      <c r="BW73" s="263"/>
    </row>
    <row r="74" spans="1:75" x14ac:dyDescent="0.25">
      <c r="C74" s="39"/>
      <c r="D74" s="39"/>
      <c r="E74" s="54"/>
      <c r="F74" s="39"/>
      <c r="G74" s="54"/>
      <c r="H74" s="39"/>
      <c r="I74" s="54"/>
      <c r="J74" s="54"/>
      <c r="K74" s="254"/>
      <c r="L74" s="254"/>
      <c r="M74" s="55"/>
      <c r="N74" s="254"/>
      <c r="P74" s="254"/>
      <c r="Q74" s="254"/>
      <c r="R74" s="254"/>
      <c r="S74" s="254"/>
      <c r="T74" s="255"/>
      <c r="U74" s="256"/>
      <c r="V74" s="256"/>
      <c r="W74" s="131"/>
      <c r="X74" s="256"/>
      <c r="Y74" s="257"/>
      <c r="Z74" s="254"/>
      <c r="AA74" s="258"/>
      <c r="AB74" s="258"/>
      <c r="AC74" s="254"/>
      <c r="AD74" s="257"/>
      <c r="AE74" s="254"/>
      <c r="AF74" s="254"/>
      <c r="AG74" s="254"/>
      <c r="AH74" s="254"/>
      <c r="AI74" s="257"/>
      <c r="AJ74" s="259"/>
      <c r="AK74" s="254"/>
      <c r="AL74" s="254"/>
      <c r="AM74" s="260">
        <f t="shared" si="41"/>
        <v>0</v>
      </c>
      <c r="AO74" s="254"/>
      <c r="AP74" s="39"/>
      <c r="AQ74" s="254"/>
      <c r="AR74" s="254"/>
      <c r="AS74" s="254"/>
      <c r="AT74" s="261"/>
      <c r="AV74" s="254"/>
      <c r="AW74" s="39"/>
      <c r="AX74" s="254"/>
      <c r="AY74" s="254"/>
      <c r="AZ74" s="39"/>
      <c r="BA74" s="261">
        <f t="shared" si="42"/>
        <v>0</v>
      </c>
      <c r="BC74" s="257"/>
      <c r="BD74" s="257"/>
      <c r="BE74" s="257"/>
      <c r="BF74" s="262">
        <f t="shared" si="43"/>
        <v>0</v>
      </c>
      <c r="BH74" s="257"/>
      <c r="BI74" s="257"/>
      <c r="BJ74" s="257"/>
      <c r="BK74" s="262">
        <f t="shared" si="44"/>
        <v>0</v>
      </c>
      <c r="BM74" s="261"/>
      <c r="BN74" s="254"/>
      <c r="BO74" s="254"/>
      <c r="BP74" s="254"/>
      <c r="BQ74" s="254"/>
      <c r="BR74" s="254"/>
      <c r="BS74" s="254"/>
      <c r="BT74" s="254"/>
      <c r="BU74" s="254"/>
      <c r="BV74" s="254"/>
      <c r="BW74" s="263"/>
    </row>
    <row r="75" spans="1:75" x14ac:dyDescent="0.25">
      <c r="C75" s="39"/>
      <c r="D75" s="39"/>
      <c r="E75" s="54"/>
      <c r="F75" s="39"/>
      <c r="G75" s="54"/>
      <c r="H75" s="39"/>
      <c r="I75" s="54"/>
      <c r="J75" s="54"/>
      <c r="K75" s="254"/>
      <c r="L75" s="254"/>
      <c r="M75" s="55"/>
      <c r="N75" s="254"/>
      <c r="P75" s="254"/>
      <c r="Q75" s="254"/>
      <c r="R75" s="254"/>
      <c r="S75" s="254"/>
      <c r="T75" s="255"/>
      <c r="U75" s="256"/>
      <c r="V75" s="256"/>
      <c r="W75" s="131"/>
      <c r="X75" s="256"/>
      <c r="Y75" s="257"/>
      <c r="Z75" s="254"/>
      <c r="AA75" s="258"/>
      <c r="AB75" s="258"/>
      <c r="AC75" s="254"/>
      <c r="AD75" s="257"/>
      <c r="AE75" s="254"/>
      <c r="AF75" s="254"/>
      <c r="AG75" s="254"/>
      <c r="AH75" s="254"/>
      <c r="AI75" s="257"/>
      <c r="AJ75" s="259"/>
      <c r="AK75" s="254"/>
      <c r="AL75" s="254"/>
      <c r="AM75" s="260">
        <f t="shared" si="41"/>
        <v>0</v>
      </c>
      <c r="AO75" s="254"/>
      <c r="AP75" s="39"/>
      <c r="AQ75" s="254"/>
      <c r="AR75" s="254"/>
      <c r="AS75" s="254"/>
      <c r="AT75" s="261"/>
      <c r="AV75" s="254"/>
      <c r="AW75" s="39"/>
      <c r="AX75" s="254"/>
      <c r="AY75" s="254"/>
      <c r="AZ75" s="39"/>
      <c r="BA75" s="261">
        <f t="shared" si="42"/>
        <v>0</v>
      </c>
      <c r="BC75" s="257"/>
      <c r="BD75" s="257"/>
      <c r="BE75" s="257"/>
      <c r="BF75" s="262">
        <f t="shared" si="43"/>
        <v>0</v>
      </c>
      <c r="BH75" s="257"/>
      <c r="BI75" s="257"/>
      <c r="BJ75" s="257"/>
      <c r="BK75" s="262">
        <f t="shared" si="44"/>
        <v>0</v>
      </c>
      <c r="BM75" s="261"/>
      <c r="BN75" s="254"/>
      <c r="BO75" s="254"/>
      <c r="BP75" s="254"/>
      <c r="BQ75" s="254"/>
      <c r="BR75" s="254"/>
      <c r="BS75" s="254"/>
      <c r="BT75" s="254"/>
      <c r="BU75" s="254"/>
      <c r="BV75" s="254"/>
      <c r="BW75" s="263"/>
    </row>
    <row r="76" spans="1:75" x14ac:dyDescent="0.25">
      <c r="C76" s="39"/>
      <c r="D76" s="39"/>
      <c r="E76" s="54"/>
      <c r="F76" s="39"/>
      <c r="G76" s="54"/>
      <c r="H76" s="39"/>
      <c r="I76" s="54"/>
      <c r="J76" s="54"/>
      <c r="K76" s="254"/>
      <c r="L76" s="254"/>
      <c r="M76" s="55"/>
      <c r="N76" s="254"/>
      <c r="P76" s="254"/>
      <c r="Q76" s="254"/>
      <c r="R76" s="254"/>
      <c r="S76" s="254"/>
      <c r="T76" s="255"/>
      <c r="U76" s="256"/>
      <c r="V76" s="256"/>
      <c r="W76" s="131"/>
      <c r="X76" s="256"/>
      <c r="Y76" s="257"/>
      <c r="Z76" s="254"/>
      <c r="AA76" s="258"/>
      <c r="AB76" s="258"/>
      <c r="AC76" s="254"/>
      <c r="AD76" s="257"/>
      <c r="AE76" s="254"/>
      <c r="AF76" s="254"/>
      <c r="AG76" s="254"/>
      <c r="AH76" s="254"/>
      <c r="AI76" s="257"/>
      <c r="AJ76" s="259"/>
      <c r="AK76" s="254"/>
      <c r="AL76" s="254"/>
      <c r="AM76" s="260">
        <f t="shared" si="41"/>
        <v>0</v>
      </c>
      <c r="AO76" s="254"/>
      <c r="AP76" s="39"/>
      <c r="AQ76" s="254"/>
      <c r="AR76" s="254"/>
      <c r="AS76" s="254"/>
      <c r="AT76" s="264"/>
      <c r="AV76" s="254"/>
      <c r="AW76" s="39"/>
      <c r="AX76" s="254"/>
      <c r="AY76" s="254"/>
      <c r="AZ76" s="39"/>
      <c r="BA76" s="261">
        <f t="shared" si="42"/>
        <v>0</v>
      </c>
      <c r="BC76" s="257"/>
      <c r="BD76" s="257"/>
      <c r="BE76" s="257"/>
      <c r="BF76" s="262">
        <f t="shared" si="43"/>
        <v>0</v>
      </c>
      <c r="BH76" s="257"/>
      <c r="BI76" s="257"/>
      <c r="BJ76" s="257"/>
      <c r="BK76" s="262">
        <f t="shared" si="44"/>
        <v>0</v>
      </c>
      <c r="BM76" s="261"/>
      <c r="BN76" s="254"/>
      <c r="BO76" s="254"/>
      <c r="BP76" s="254"/>
      <c r="BQ76" s="254"/>
      <c r="BR76" s="254"/>
      <c r="BS76" s="254"/>
      <c r="BT76" s="254"/>
      <c r="BU76" s="254"/>
      <c r="BV76" s="254"/>
      <c r="BW76" s="263"/>
    </row>
    <row r="77" spans="1:75" x14ac:dyDescent="0.25">
      <c r="C77" s="39"/>
      <c r="D77" s="39"/>
      <c r="E77" s="54"/>
      <c r="F77" s="39"/>
      <c r="G77" s="54"/>
      <c r="H77" s="39"/>
      <c r="I77" s="54"/>
      <c r="J77" s="54"/>
      <c r="K77" s="254"/>
      <c r="L77" s="254"/>
      <c r="M77" s="55"/>
      <c r="N77" s="254"/>
      <c r="P77" s="254"/>
      <c r="Q77" s="254"/>
      <c r="R77" s="254"/>
      <c r="S77" s="254"/>
      <c r="T77" s="255"/>
      <c r="U77" s="256"/>
      <c r="V77" s="256"/>
      <c r="W77" s="131"/>
      <c r="X77" s="256"/>
      <c r="Y77" s="257"/>
      <c r="Z77" s="254"/>
      <c r="AA77" s="258"/>
      <c r="AB77" s="258"/>
      <c r="AC77" s="254"/>
      <c r="AD77" s="257"/>
      <c r="AE77" s="254"/>
      <c r="AF77" s="254"/>
      <c r="AG77" s="254"/>
      <c r="AH77" s="254"/>
      <c r="AI77" s="257"/>
      <c r="AJ77" s="259"/>
      <c r="AK77" s="254"/>
      <c r="AL77" s="254"/>
      <c r="AM77" s="260">
        <f t="shared" si="41"/>
        <v>0</v>
      </c>
      <c r="AO77" s="254"/>
      <c r="AP77" s="39"/>
      <c r="AQ77" s="254"/>
      <c r="AR77" s="254"/>
      <c r="AS77" s="254"/>
      <c r="AT77" s="264"/>
      <c r="AV77" s="254"/>
      <c r="AW77" s="39"/>
      <c r="AX77" s="254"/>
      <c r="AY77" s="254"/>
      <c r="AZ77" s="39"/>
      <c r="BA77" s="261">
        <f t="shared" si="42"/>
        <v>0</v>
      </c>
      <c r="BC77" s="257"/>
      <c r="BD77" s="257"/>
      <c r="BE77" s="257"/>
      <c r="BF77" s="262">
        <f t="shared" si="43"/>
        <v>0</v>
      </c>
      <c r="BH77" s="257"/>
      <c r="BI77" s="257"/>
      <c r="BJ77" s="257"/>
      <c r="BK77" s="262">
        <f t="shared" si="44"/>
        <v>0</v>
      </c>
      <c r="BM77" s="261"/>
      <c r="BN77" s="254"/>
      <c r="BO77" s="254"/>
      <c r="BP77" s="254"/>
      <c r="BQ77" s="254"/>
      <c r="BR77" s="254"/>
      <c r="BS77" s="254"/>
      <c r="BT77" s="254"/>
      <c r="BU77" s="254"/>
      <c r="BV77" s="254"/>
      <c r="BW77" s="263"/>
    </row>
    <row r="78" spans="1:75" x14ac:dyDescent="0.25">
      <c r="C78" s="39"/>
      <c r="D78" s="39"/>
      <c r="E78" s="54"/>
      <c r="F78" s="39"/>
      <c r="G78" s="54"/>
      <c r="H78" s="39"/>
      <c r="I78" s="54"/>
      <c r="J78" s="54"/>
      <c r="K78" s="254"/>
      <c r="L78" s="254"/>
      <c r="M78" s="55"/>
      <c r="N78" s="254"/>
      <c r="P78" s="254"/>
      <c r="Q78" s="254"/>
      <c r="R78" s="254"/>
      <c r="S78" s="254"/>
      <c r="T78" s="255"/>
      <c r="U78" s="256"/>
      <c r="V78" s="256"/>
      <c r="W78" s="131"/>
      <c r="X78" s="256"/>
      <c r="Y78" s="257"/>
      <c r="Z78" s="254"/>
      <c r="AA78" s="258"/>
      <c r="AB78" s="258"/>
      <c r="AC78" s="254"/>
      <c r="AD78" s="257"/>
      <c r="AE78" s="254"/>
      <c r="AF78" s="254"/>
      <c r="AG78" s="254"/>
      <c r="AH78" s="254"/>
      <c r="AI78" s="257"/>
      <c r="AJ78" s="259"/>
      <c r="AK78" s="254"/>
      <c r="AL78" s="254"/>
      <c r="AM78" s="260">
        <f t="shared" si="41"/>
        <v>0</v>
      </c>
      <c r="AO78" s="254"/>
      <c r="AP78" s="39"/>
      <c r="AQ78" s="254"/>
      <c r="AR78" s="254"/>
      <c r="AS78" s="254"/>
      <c r="AT78" s="264"/>
      <c r="AV78" s="254"/>
      <c r="AW78" s="39"/>
      <c r="AX78" s="254"/>
      <c r="AY78" s="254"/>
      <c r="AZ78" s="39"/>
      <c r="BA78" s="264">
        <f t="shared" si="42"/>
        <v>0</v>
      </c>
      <c r="BC78" s="257"/>
      <c r="BD78" s="257"/>
      <c r="BE78" s="257"/>
      <c r="BF78" s="262">
        <f t="shared" si="43"/>
        <v>0</v>
      </c>
      <c r="BH78" s="257"/>
      <c r="BI78" s="257"/>
      <c r="BJ78" s="257"/>
      <c r="BK78" s="262">
        <f t="shared" si="44"/>
        <v>0</v>
      </c>
      <c r="BM78" s="261"/>
      <c r="BN78" s="254"/>
      <c r="BO78" s="254"/>
      <c r="BP78" s="254"/>
      <c r="BQ78" s="254"/>
      <c r="BR78" s="254"/>
      <c r="BS78" s="254"/>
      <c r="BT78" s="254"/>
      <c r="BU78" s="254"/>
      <c r="BV78" s="254"/>
      <c r="BW78" s="263"/>
    </row>
    <row r="79" spans="1:75" x14ac:dyDescent="0.25">
      <c r="B79" s="24"/>
      <c r="C79" s="39"/>
      <c r="D79" s="39"/>
      <c r="E79" s="54"/>
      <c r="F79" s="39"/>
      <c r="G79" s="54"/>
      <c r="H79" s="39"/>
      <c r="I79" s="54"/>
      <c r="J79" s="54"/>
      <c r="K79" s="254"/>
      <c r="L79" s="254"/>
      <c r="M79" s="55"/>
      <c r="N79" s="254"/>
      <c r="P79" s="254"/>
      <c r="Q79" s="254"/>
      <c r="R79" s="254"/>
      <c r="S79" s="254"/>
      <c r="T79" s="255"/>
      <c r="U79" s="256"/>
      <c r="V79" s="256"/>
      <c r="W79" s="131"/>
      <c r="X79" s="256"/>
      <c r="Y79" s="257"/>
      <c r="Z79" s="254"/>
      <c r="AA79" s="258"/>
      <c r="AB79" s="258"/>
      <c r="AC79" s="254"/>
      <c r="AD79" s="257"/>
      <c r="AE79" s="254"/>
      <c r="AF79" s="254"/>
      <c r="AG79" s="254"/>
      <c r="AH79" s="254"/>
      <c r="AI79" s="257"/>
      <c r="AJ79" s="259"/>
      <c r="AK79" s="254"/>
      <c r="AL79" s="254"/>
      <c r="AM79" s="260">
        <f t="shared" si="41"/>
        <v>0</v>
      </c>
      <c r="AO79" s="39"/>
      <c r="AP79" s="39"/>
      <c r="AQ79" s="39"/>
      <c r="AR79" s="39"/>
      <c r="AS79" s="254"/>
      <c r="AT79" s="264"/>
      <c r="AV79" s="256"/>
      <c r="AW79" s="39"/>
      <c r="AX79" s="39"/>
      <c r="AY79" s="39"/>
      <c r="AZ79" s="39"/>
      <c r="BA79" s="264">
        <f t="shared" si="42"/>
        <v>0</v>
      </c>
      <c r="BC79" s="257"/>
      <c r="BD79" s="257"/>
      <c r="BE79" s="257"/>
      <c r="BF79" s="262">
        <f t="shared" si="43"/>
        <v>0</v>
      </c>
      <c r="BH79" s="257"/>
      <c r="BI79" s="257"/>
      <c r="BJ79" s="257"/>
      <c r="BK79" s="262">
        <f t="shared" si="44"/>
        <v>0</v>
      </c>
      <c r="BM79" s="261"/>
      <c r="BN79" s="254"/>
      <c r="BO79" s="254"/>
      <c r="BP79" s="254"/>
      <c r="BQ79" s="254"/>
      <c r="BR79" s="254"/>
      <c r="BS79" s="254"/>
      <c r="BT79" s="254"/>
      <c r="BU79" s="254"/>
      <c r="BV79" s="254"/>
      <c r="BW79" s="263"/>
    </row>
    <row r="80" spans="1:75" x14ac:dyDescent="0.25">
      <c r="C80" s="39"/>
      <c r="D80" s="39"/>
      <c r="E80" s="54"/>
      <c r="F80" s="39"/>
      <c r="G80" s="54"/>
      <c r="H80" s="39"/>
      <c r="I80" s="54"/>
      <c r="J80" s="54"/>
      <c r="K80" s="254"/>
      <c r="L80" s="254"/>
      <c r="M80" s="55"/>
      <c r="N80" s="254"/>
      <c r="P80" s="254"/>
      <c r="Q80" s="254"/>
      <c r="R80" s="254"/>
      <c r="S80" s="254"/>
      <c r="T80" s="255"/>
      <c r="U80" s="256"/>
      <c r="V80" s="256"/>
      <c r="W80" s="131"/>
      <c r="X80" s="256"/>
      <c r="Y80" s="257"/>
      <c r="Z80" s="254"/>
      <c r="AA80" s="258"/>
      <c r="AB80" s="258"/>
      <c r="AC80" s="254"/>
      <c r="AD80" s="257"/>
      <c r="AE80" s="254"/>
      <c r="AF80" s="254"/>
      <c r="AG80" s="254"/>
      <c r="AH80" s="254"/>
      <c r="AI80" s="257"/>
      <c r="AJ80" s="259"/>
      <c r="AK80" s="254"/>
      <c r="AL80" s="254"/>
      <c r="AM80" s="260">
        <f t="shared" si="41"/>
        <v>0</v>
      </c>
      <c r="AO80" s="39"/>
      <c r="AP80" s="39"/>
      <c r="AQ80" s="39"/>
      <c r="AR80" s="39"/>
      <c r="AS80" s="254"/>
      <c r="AT80" s="264"/>
      <c r="AV80" s="256"/>
      <c r="AW80" s="39"/>
      <c r="AX80" s="39"/>
      <c r="AY80" s="39"/>
      <c r="AZ80" s="55"/>
      <c r="BA80" s="264">
        <f t="shared" si="42"/>
        <v>0</v>
      </c>
      <c r="BC80" s="257"/>
      <c r="BD80" s="257"/>
      <c r="BE80" s="257"/>
      <c r="BF80" s="262">
        <f t="shared" si="43"/>
        <v>0</v>
      </c>
      <c r="BH80" s="257"/>
      <c r="BI80" s="257"/>
      <c r="BJ80" s="257"/>
      <c r="BK80" s="262">
        <f t="shared" si="44"/>
        <v>0</v>
      </c>
      <c r="BM80" s="261"/>
      <c r="BN80" s="254"/>
      <c r="BO80" s="254"/>
      <c r="BP80" s="254"/>
      <c r="BQ80" s="254"/>
      <c r="BR80" s="254"/>
      <c r="BS80" s="254"/>
      <c r="BT80" s="254"/>
      <c r="BU80" s="254"/>
      <c r="BV80" s="254"/>
      <c r="BW80" s="263"/>
    </row>
    <row r="81" spans="3:75" x14ac:dyDescent="0.25">
      <c r="C81" s="39"/>
      <c r="D81" s="39"/>
      <c r="E81" s="54"/>
      <c r="F81" s="39"/>
      <c r="G81" s="54"/>
      <c r="H81" s="39"/>
      <c r="I81" s="54"/>
      <c r="J81" s="54"/>
      <c r="K81" s="254"/>
      <c r="L81" s="254"/>
      <c r="M81" s="55"/>
      <c r="N81" s="254"/>
      <c r="P81" s="254"/>
      <c r="Q81" s="254"/>
      <c r="R81" s="254"/>
      <c r="S81" s="254"/>
      <c r="T81" s="255"/>
      <c r="U81" s="256"/>
      <c r="V81" s="256"/>
      <c r="W81" s="131"/>
      <c r="X81" s="256"/>
      <c r="Y81" s="257"/>
      <c r="Z81" s="254"/>
      <c r="AA81" s="258"/>
      <c r="AB81" s="258"/>
      <c r="AC81" s="254"/>
      <c r="AD81" s="257"/>
      <c r="AE81" s="254"/>
      <c r="AF81" s="254"/>
      <c r="AG81" s="254"/>
      <c r="AH81" s="254"/>
      <c r="AI81" s="257"/>
      <c r="AJ81" s="259"/>
      <c r="AK81" s="254"/>
      <c r="AL81" s="254"/>
      <c r="AM81" s="260">
        <f t="shared" si="41"/>
        <v>0</v>
      </c>
      <c r="AO81" s="39"/>
      <c r="AP81" s="39"/>
      <c r="AQ81" s="39"/>
      <c r="AR81" s="39"/>
      <c r="AS81" s="254"/>
      <c r="AT81" s="264"/>
      <c r="AV81" s="256"/>
      <c r="AW81" s="39"/>
      <c r="AX81" s="39"/>
      <c r="AY81" s="39"/>
      <c r="AZ81" s="39"/>
      <c r="BA81" s="264">
        <f t="shared" si="42"/>
        <v>0</v>
      </c>
      <c r="BC81" s="257"/>
      <c r="BD81" s="257"/>
      <c r="BE81" s="257"/>
      <c r="BF81" s="262">
        <f t="shared" si="43"/>
        <v>0</v>
      </c>
      <c r="BH81" s="257"/>
      <c r="BI81" s="257"/>
      <c r="BJ81" s="257"/>
      <c r="BK81" s="262">
        <f t="shared" si="44"/>
        <v>0</v>
      </c>
      <c r="BM81" s="261"/>
      <c r="BN81" s="254"/>
      <c r="BO81" s="254"/>
      <c r="BP81" s="254"/>
      <c r="BQ81" s="254"/>
      <c r="BR81" s="254"/>
      <c r="BS81" s="254"/>
      <c r="BT81" s="254"/>
      <c r="BU81" s="254"/>
      <c r="BV81" s="254"/>
      <c r="BW81" s="263"/>
    </row>
    <row r="82" spans="3:75" x14ac:dyDescent="0.25">
      <c r="C82" s="39"/>
      <c r="D82" s="39"/>
      <c r="E82" s="54"/>
      <c r="F82" s="39"/>
      <c r="G82" s="54"/>
      <c r="H82" s="39"/>
      <c r="I82" s="54"/>
      <c r="J82" s="54"/>
      <c r="K82" s="254"/>
      <c r="L82" s="254"/>
      <c r="M82" s="55"/>
      <c r="N82" s="254"/>
      <c r="P82" s="254"/>
      <c r="Q82" s="254"/>
      <c r="R82" s="254"/>
      <c r="S82" s="254"/>
      <c r="T82" s="255"/>
      <c r="U82" s="256"/>
      <c r="V82" s="256"/>
      <c r="W82" s="131"/>
      <c r="X82" s="256"/>
      <c r="Y82" s="257"/>
      <c r="Z82" s="254"/>
      <c r="AA82" s="258"/>
      <c r="AB82" s="258"/>
      <c r="AC82" s="254"/>
      <c r="AD82" s="257"/>
      <c r="AE82" s="254"/>
      <c r="AF82" s="254"/>
      <c r="AG82" s="254"/>
      <c r="AH82" s="254"/>
      <c r="AI82" s="257"/>
      <c r="AJ82" s="259"/>
      <c r="AK82" s="254"/>
      <c r="AL82" s="254"/>
      <c r="AM82" s="260">
        <f t="shared" si="41"/>
        <v>0</v>
      </c>
      <c r="AO82" s="39"/>
      <c r="AP82" s="39"/>
      <c r="AQ82" s="39"/>
      <c r="AR82" s="39"/>
      <c r="AS82" s="254"/>
      <c r="AT82" s="264"/>
      <c r="AV82" s="256"/>
      <c r="AW82" s="39"/>
      <c r="AX82" s="39"/>
      <c r="AY82" s="39"/>
      <c r="AZ82" s="39"/>
      <c r="BA82" s="264">
        <f t="shared" si="42"/>
        <v>0</v>
      </c>
      <c r="BC82" s="257"/>
      <c r="BD82" s="257"/>
      <c r="BE82" s="257"/>
      <c r="BF82" s="262">
        <f t="shared" si="43"/>
        <v>0</v>
      </c>
      <c r="BH82" s="257"/>
      <c r="BI82" s="257"/>
      <c r="BJ82" s="257"/>
      <c r="BK82" s="262">
        <f t="shared" si="44"/>
        <v>0</v>
      </c>
      <c r="BM82" s="261"/>
      <c r="BN82" s="254"/>
      <c r="BO82" s="254"/>
      <c r="BP82" s="254"/>
      <c r="BQ82" s="254"/>
      <c r="BR82" s="254"/>
      <c r="BS82" s="254"/>
      <c r="BT82" s="254"/>
      <c r="BU82" s="254"/>
      <c r="BV82" s="254"/>
      <c r="BW82" s="263"/>
    </row>
    <row r="83" spans="3:75" x14ac:dyDescent="0.25">
      <c r="C83" s="39"/>
      <c r="D83" s="39"/>
      <c r="E83" s="54"/>
      <c r="F83" s="39"/>
      <c r="G83" s="54"/>
      <c r="H83" s="39"/>
      <c r="I83" s="54"/>
      <c r="J83" s="54"/>
      <c r="K83" s="254"/>
      <c r="L83" s="254"/>
      <c r="M83" s="55"/>
      <c r="N83" s="254"/>
      <c r="P83" s="254"/>
      <c r="Q83" s="254"/>
      <c r="R83" s="254"/>
      <c r="S83" s="254"/>
      <c r="T83" s="255"/>
      <c r="U83" s="256"/>
      <c r="V83" s="256"/>
      <c r="W83" s="131"/>
      <c r="X83" s="256"/>
      <c r="Y83" s="257"/>
      <c r="Z83" s="254"/>
      <c r="AA83" s="258"/>
      <c r="AB83" s="258"/>
      <c r="AC83" s="254"/>
      <c r="AD83" s="257"/>
      <c r="AE83" s="254"/>
      <c r="AF83" s="254"/>
      <c r="AG83" s="254"/>
      <c r="AH83" s="254"/>
      <c r="AI83" s="257"/>
      <c r="AJ83" s="259"/>
      <c r="AK83" s="254"/>
      <c r="AL83" s="254"/>
      <c r="AM83" s="260">
        <f t="shared" si="41"/>
        <v>0</v>
      </c>
      <c r="AO83" s="39"/>
      <c r="AP83" s="39"/>
      <c r="AQ83" s="39"/>
      <c r="AR83" s="39"/>
      <c r="AS83" s="254"/>
      <c r="AT83" s="264"/>
      <c r="AV83" s="256"/>
      <c r="AW83" s="39"/>
      <c r="AX83" s="39"/>
      <c r="AY83" s="39"/>
      <c r="AZ83" s="39"/>
      <c r="BA83" s="264">
        <f t="shared" si="42"/>
        <v>0</v>
      </c>
      <c r="BC83" s="257"/>
      <c r="BD83" s="257"/>
      <c r="BE83" s="257"/>
      <c r="BF83" s="262">
        <f t="shared" si="43"/>
        <v>0</v>
      </c>
      <c r="BH83" s="257"/>
      <c r="BI83" s="257"/>
      <c r="BJ83" s="257"/>
      <c r="BK83" s="262">
        <f t="shared" si="44"/>
        <v>0</v>
      </c>
      <c r="BM83" s="261"/>
      <c r="BN83" s="254"/>
      <c r="BO83" s="254"/>
      <c r="BP83" s="254"/>
      <c r="BQ83" s="254"/>
      <c r="BR83" s="254"/>
      <c r="BS83" s="254"/>
      <c r="BT83" s="254"/>
      <c r="BU83" s="254"/>
      <c r="BV83" s="254"/>
      <c r="BW83" s="263"/>
    </row>
    <row r="84" spans="3:75" x14ac:dyDescent="0.25">
      <c r="C84" s="39"/>
      <c r="D84" s="39"/>
      <c r="E84" s="54"/>
      <c r="F84" s="39"/>
      <c r="G84" s="54"/>
      <c r="H84" s="39"/>
      <c r="I84" s="54"/>
      <c r="J84" s="54"/>
      <c r="K84" s="254"/>
      <c r="L84" s="254"/>
      <c r="M84" s="55"/>
      <c r="N84" s="254"/>
      <c r="P84" s="254"/>
      <c r="Q84" s="254"/>
      <c r="R84" s="254"/>
      <c r="S84" s="254"/>
      <c r="T84" s="255"/>
      <c r="U84" s="256"/>
      <c r="V84" s="256"/>
      <c r="W84" s="131"/>
      <c r="X84" s="256"/>
      <c r="Y84" s="257"/>
      <c r="Z84" s="254"/>
      <c r="AA84" s="258"/>
      <c r="AB84" s="258"/>
      <c r="AC84" s="254"/>
      <c r="AD84" s="257"/>
      <c r="AE84" s="254"/>
      <c r="AF84" s="254"/>
      <c r="AG84" s="254"/>
      <c r="AH84" s="254"/>
      <c r="AI84" s="257"/>
      <c r="AJ84" s="259"/>
      <c r="AK84" s="254"/>
      <c r="AL84" s="254"/>
      <c r="AM84" s="260">
        <f t="shared" si="41"/>
        <v>0</v>
      </c>
      <c r="AO84" s="39"/>
      <c r="AP84" s="39"/>
      <c r="AQ84" s="39"/>
      <c r="AR84" s="39"/>
      <c r="AS84" s="254"/>
      <c r="AT84" s="264"/>
      <c r="AV84" s="256"/>
      <c r="AW84" s="39"/>
      <c r="AX84" s="39"/>
      <c r="AY84" s="39"/>
      <c r="AZ84" s="55"/>
      <c r="BA84" s="264">
        <f t="shared" si="42"/>
        <v>0</v>
      </c>
      <c r="BC84" s="257"/>
      <c r="BD84" s="257"/>
      <c r="BE84" s="257"/>
      <c r="BF84" s="262">
        <f t="shared" si="43"/>
        <v>0</v>
      </c>
      <c r="BH84" s="257"/>
      <c r="BI84" s="257"/>
      <c r="BJ84" s="257"/>
      <c r="BK84" s="262">
        <f t="shared" si="44"/>
        <v>0</v>
      </c>
      <c r="BM84" s="261"/>
      <c r="BN84" s="254"/>
      <c r="BO84" s="254"/>
      <c r="BP84" s="254"/>
      <c r="BQ84" s="254"/>
      <c r="BR84" s="254"/>
      <c r="BS84" s="254"/>
      <c r="BT84" s="254"/>
      <c r="BU84" s="254"/>
      <c r="BV84" s="254"/>
      <c r="BW84" s="263"/>
    </row>
    <row r="85" spans="3:75" x14ac:dyDescent="0.25">
      <c r="C85" s="39"/>
      <c r="D85" s="39"/>
      <c r="E85" s="54"/>
      <c r="F85" s="39"/>
      <c r="G85" s="54"/>
      <c r="H85" s="39"/>
      <c r="I85" s="54"/>
      <c r="J85" s="54"/>
      <c r="K85" s="254"/>
      <c r="L85" s="254"/>
      <c r="M85" s="55"/>
      <c r="N85" s="254"/>
      <c r="P85" s="254"/>
      <c r="Q85" s="254"/>
      <c r="R85" s="254"/>
      <c r="S85" s="254"/>
      <c r="T85" s="255"/>
      <c r="U85" s="256"/>
      <c r="V85" s="256"/>
      <c r="W85" s="143"/>
      <c r="X85" s="256"/>
      <c r="Y85" s="257"/>
      <c r="Z85" s="254"/>
      <c r="AA85" s="258"/>
      <c r="AB85" s="258"/>
      <c r="AC85" s="254"/>
      <c r="AD85" s="257"/>
      <c r="AE85" s="254"/>
      <c r="AF85" s="254"/>
      <c r="AG85" s="254"/>
      <c r="AH85" s="254"/>
      <c r="AI85" s="257"/>
      <c r="AJ85" s="259"/>
      <c r="AK85" s="254"/>
      <c r="AL85" s="254"/>
      <c r="AM85" s="260">
        <f t="shared" si="41"/>
        <v>0</v>
      </c>
      <c r="AO85" s="39"/>
      <c r="AP85" s="39"/>
      <c r="AQ85" s="39"/>
      <c r="AR85" s="39"/>
      <c r="AS85" s="254"/>
      <c r="AT85" s="264"/>
      <c r="AV85" s="256"/>
      <c r="AW85" s="39"/>
      <c r="AX85" s="39"/>
      <c r="AY85" s="39"/>
      <c r="AZ85" s="39"/>
      <c r="BA85" s="264">
        <f t="shared" si="42"/>
        <v>0</v>
      </c>
      <c r="BC85" s="257"/>
      <c r="BD85" s="257"/>
      <c r="BE85" s="257"/>
      <c r="BF85" s="262">
        <f t="shared" si="43"/>
        <v>0</v>
      </c>
      <c r="BH85" s="257"/>
      <c r="BI85" s="257"/>
      <c r="BJ85" s="257"/>
      <c r="BK85" s="262">
        <f t="shared" si="44"/>
        <v>0</v>
      </c>
      <c r="BM85" s="261"/>
      <c r="BN85" s="254"/>
      <c r="BO85" s="254"/>
      <c r="BP85" s="254"/>
      <c r="BQ85" s="254"/>
      <c r="BR85" s="254"/>
      <c r="BS85" s="254"/>
      <c r="BT85" s="254"/>
      <c r="BU85" s="254"/>
      <c r="BV85" s="254"/>
      <c r="BW85" s="263"/>
    </row>
    <row r="86" spans="3:75" x14ac:dyDescent="0.25">
      <c r="C86" s="39"/>
      <c r="D86" s="39"/>
      <c r="E86" s="54"/>
      <c r="F86" s="39"/>
      <c r="G86" s="54"/>
      <c r="H86" s="39"/>
      <c r="I86" s="54"/>
      <c r="J86" s="54"/>
      <c r="K86" s="254"/>
      <c r="L86" s="254"/>
      <c r="M86" s="55"/>
      <c r="N86" s="254"/>
      <c r="P86" s="254"/>
      <c r="Q86" s="254"/>
      <c r="R86" s="254"/>
      <c r="S86" s="254"/>
      <c r="T86" s="255"/>
      <c r="U86" s="256"/>
      <c r="V86" s="256"/>
      <c r="W86" s="131"/>
      <c r="X86" s="256"/>
      <c r="Y86" s="257"/>
      <c r="Z86" s="254"/>
      <c r="AA86" s="258"/>
      <c r="AB86" s="258"/>
      <c r="AC86" s="254"/>
      <c r="AD86" s="257"/>
      <c r="AE86" s="254"/>
      <c r="AF86" s="254"/>
      <c r="AG86" s="254"/>
      <c r="AH86" s="254"/>
      <c r="AI86" s="257"/>
      <c r="AJ86" s="259"/>
      <c r="AK86" s="254"/>
      <c r="AL86" s="254"/>
      <c r="AM86" s="260">
        <f t="shared" si="41"/>
        <v>0</v>
      </c>
      <c r="AO86" s="39"/>
      <c r="AP86" s="39"/>
      <c r="AQ86" s="39"/>
      <c r="AR86" s="39"/>
      <c r="AS86" s="254"/>
      <c r="AT86" s="264"/>
      <c r="AV86" s="256"/>
      <c r="AW86" s="39"/>
      <c r="AX86" s="39"/>
      <c r="AY86" s="39"/>
      <c r="AZ86" s="39"/>
      <c r="BA86" s="264">
        <f t="shared" si="42"/>
        <v>0</v>
      </c>
      <c r="BC86" s="257"/>
      <c r="BD86" s="257"/>
      <c r="BE86" s="257"/>
      <c r="BF86" s="262">
        <f t="shared" si="43"/>
        <v>0</v>
      </c>
      <c r="BH86" s="257"/>
      <c r="BI86" s="257"/>
      <c r="BJ86" s="257"/>
      <c r="BK86" s="262">
        <f t="shared" si="44"/>
        <v>0</v>
      </c>
      <c r="BM86" s="261"/>
      <c r="BN86" s="254"/>
      <c r="BO86" s="254"/>
      <c r="BP86" s="254"/>
      <c r="BQ86" s="254"/>
      <c r="BR86" s="254"/>
      <c r="BS86" s="254"/>
      <c r="BT86" s="254"/>
      <c r="BU86" s="254"/>
      <c r="BV86" s="254"/>
      <c r="BW86" s="263"/>
    </row>
    <row r="87" spans="3:75" x14ac:dyDescent="0.25">
      <c r="C87" s="39"/>
      <c r="D87" s="39"/>
      <c r="E87" s="54"/>
      <c r="F87" s="39"/>
      <c r="G87" s="54"/>
      <c r="H87" s="39"/>
      <c r="I87" s="54"/>
      <c r="J87" s="54"/>
      <c r="K87" s="254"/>
      <c r="L87" s="254"/>
      <c r="M87" s="55"/>
      <c r="N87" s="254"/>
      <c r="P87" s="254"/>
      <c r="Q87" s="254"/>
      <c r="R87" s="254"/>
      <c r="S87" s="254"/>
      <c r="T87" s="255"/>
      <c r="U87" s="256"/>
      <c r="V87" s="256"/>
      <c r="W87" s="131"/>
      <c r="X87" s="256"/>
      <c r="Y87" s="257"/>
      <c r="Z87" s="254"/>
      <c r="AA87" s="258"/>
      <c r="AB87" s="258"/>
      <c r="AC87" s="254"/>
      <c r="AD87" s="257"/>
      <c r="AE87" s="254"/>
      <c r="AF87" s="254"/>
      <c r="AG87" s="254"/>
      <c r="AH87" s="254"/>
      <c r="AI87" s="257"/>
      <c r="AJ87" s="259"/>
      <c r="AK87" s="254"/>
      <c r="AL87" s="254"/>
      <c r="AM87" s="260">
        <f t="shared" si="41"/>
        <v>0</v>
      </c>
      <c r="AO87" s="39"/>
      <c r="AP87" s="39"/>
      <c r="AQ87" s="39"/>
      <c r="AR87" s="39"/>
      <c r="AS87" s="254"/>
      <c r="AT87" s="264"/>
      <c r="AV87" s="256"/>
      <c r="AW87" s="39"/>
      <c r="AX87" s="39"/>
      <c r="AY87" s="39"/>
      <c r="AZ87" s="39"/>
      <c r="BA87" s="264">
        <f t="shared" si="42"/>
        <v>0</v>
      </c>
      <c r="BC87" s="257"/>
      <c r="BD87" s="257"/>
      <c r="BE87" s="257"/>
      <c r="BF87" s="262">
        <f t="shared" si="43"/>
        <v>0</v>
      </c>
      <c r="BH87" s="257"/>
      <c r="BI87" s="257"/>
      <c r="BJ87" s="257"/>
      <c r="BK87" s="262">
        <f t="shared" si="44"/>
        <v>0</v>
      </c>
      <c r="BM87" s="261"/>
      <c r="BN87" s="254"/>
      <c r="BO87" s="254"/>
      <c r="BP87" s="254"/>
      <c r="BQ87" s="254"/>
      <c r="BR87" s="254"/>
      <c r="BS87" s="254"/>
      <c r="BT87" s="254"/>
      <c r="BU87" s="254"/>
      <c r="BV87" s="254"/>
      <c r="BW87" s="263"/>
    </row>
    <row r="88" spans="3:75" x14ac:dyDescent="0.25">
      <c r="C88" s="39"/>
      <c r="D88" s="39"/>
      <c r="E88" s="54"/>
      <c r="F88" s="39"/>
      <c r="G88" s="54"/>
      <c r="H88" s="39"/>
      <c r="I88" s="54"/>
      <c r="J88" s="54"/>
      <c r="K88" s="254"/>
      <c r="L88" s="254"/>
      <c r="M88" s="55"/>
      <c r="N88" s="254"/>
      <c r="P88" s="254"/>
      <c r="Q88" s="254"/>
      <c r="R88" s="254"/>
      <c r="S88" s="254"/>
      <c r="T88" s="255"/>
      <c r="U88" s="256"/>
      <c r="V88" s="256"/>
      <c r="W88" s="131"/>
      <c r="X88" s="256"/>
      <c r="Y88" s="257"/>
      <c r="Z88" s="254"/>
      <c r="AA88" s="258"/>
      <c r="AB88" s="258"/>
      <c r="AC88" s="254"/>
      <c r="AD88" s="257"/>
      <c r="AE88" s="254"/>
      <c r="AF88" s="254"/>
      <c r="AG88" s="254"/>
      <c r="AH88" s="254"/>
      <c r="AI88" s="257"/>
      <c r="AJ88" s="259"/>
      <c r="AK88" s="254"/>
      <c r="AL88" s="254"/>
      <c r="AM88" s="260">
        <f t="shared" si="41"/>
        <v>0</v>
      </c>
      <c r="AO88" s="39"/>
      <c r="AP88" s="39"/>
      <c r="AQ88" s="39"/>
      <c r="AR88" s="39"/>
      <c r="AS88" s="254"/>
      <c r="AT88" s="264"/>
      <c r="AV88" s="256"/>
      <c r="AW88" s="39"/>
      <c r="AX88" s="39"/>
      <c r="AY88" s="39"/>
      <c r="AZ88" s="39"/>
      <c r="BA88" s="264">
        <f t="shared" si="42"/>
        <v>0</v>
      </c>
      <c r="BC88" s="257"/>
      <c r="BD88" s="257"/>
      <c r="BE88" s="257"/>
      <c r="BF88" s="262">
        <f t="shared" si="43"/>
        <v>0</v>
      </c>
      <c r="BH88" s="257"/>
      <c r="BI88" s="257"/>
      <c r="BJ88" s="257"/>
      <c r="BK88" s="262">
        <f t="shared" si="44"/>
        <v>0</v>
      </c>
      <c r="BM88" s="261"/>
      <c r="BN88" s="254"/>
      <c r="BO88" s="254"/>
      <c r="BP88" s="254"/>
      <c r="BQ88" s="254"/>
      <c r="BR88" s="254"/>
      <c r="BS88" s="254"/>
      <c r="BT88" s="254"/>
      <c r="BU88" s="254"/>
      <c r="BV88" s="254"/>
      <c r="BW88" s="263"/>
    </row>
    <row r="89" spans="3:75" x14ac:dyDescent="0.25">
      <c r="C89" s="39"/>
      <c r="D89" s="39"/>
      <c r="E89" s="54"/>
      <c r="F89" s="39"/>
      <c r="G89" s="54"/>
      <c r="H89" s="39"/>
      <c r="I89" s="54"/>
      <c r="J89" s="54"/>
      <c r="K89" s="254"/>
      <c r="L89" s="254"/>
      <c r="M89" s="55"/>
      <c r="N89" s="254"/>
      <c r="P89" s="254"/>
      <c r="Q89" s="254"/>
      <c r="R89" s="254"/>
      <c r="S89" s="254"/>
      <c r="T89" s="255"/>
      <c r="U89" s="256"/>
      <c r="V89" s="256"/>
      <c r="W89" s="131"/>
      <c r="X89" s="256"/>
      <c r="Y89" s="257"/>
      <c r="Z89" s="254"/>
      <c r="AA89" s="258"/>
      <c r="AB89" s="258"/>
      <c r="AC89" s="254"/>
      <c r="AD89" s="257"/>
      <c r="AE89" s="254"/>
      <c r="AF89" s="254"/>
      <c r="AG89" s="254"/>
      <c r="AH89" s="254"/>
      <c r="AI89" s="257"/>
      <c r="AJ89" s="259"/>
      <c r="AK89" s="254"/>
      <c r="AL89" s="254"/>
      <c r="AM89" s="260">
        <f t="shared" si="41"/>
        <v>0</v>
      </c>
      <c r="AO89" s="39"/>
      <c r="AP89" s="39"/>
      <c r="AQ89" s="39"/>
      <c r="AR89" s="39"/>
      <c r="AS89" s="254"/>
      <c r="AT89" s="264"/>
      <c r="AV89" s="256"/>
      <c r="AW89" s="39"/>
      <c r="AX89" s="39"/>
      <c r="AY89" s="39"/>
      <c r="AZ89" s="39"/>
      <c r="BA89" s="264">
        <f t="shared" si="42"/>
        <v>0</v>
      </c>
      <c r="BC89" s="257"/>
      <c r="BD89" s="257"/>
      <c r="BE89" s="257"/>
      <c r="BF89" s="262">
        <f t="shared" si="43"/>
        <v>0</v>
      </c>
      <c r="BH89" s="257"/>
      <c r="BI89" s="257"/>
      <c r="BJ89" s="257"/>
      <c r="BK89" s="262">
        <f t="shared" si="44"/>
        <v>0</v>
      </c>
      <c r="BM89" s="261"/>
      <c r="BN89" s="254"/>
      <c r="BO89" s="254"/>
      <c r="BP89" s="254"/>
      <c r="BQ89" s="254"/>
      <c r="BR89" s="254"/>
      <c r="BS89" s="254"/>
      <c r="BT89" s="254"/>
      <c r="BU89" s="254"/>
      <c r="BV89" s="254"/>
      <c r="BW89" s="263"/>
    </row>
    <row r="90" spans="3:75" x14ac:dyDescent="0.25">
      <c r="C90" s="39"/>
      <c r="D90" s="39"/>
      <c r="E90" s="54"/>
      <c r="F90" s="39"/>
      <c r="G90" s="54"/>
      <c r="H90" s="39"/>
      <c r="I90" s="54"/>
      <c r="J90" s="54"/>
      <c r="K90" s="254"/>
      <c r="L90" s="254"/>
      <c r="M90" s="55"/>
      <c r="N90" s="254"/>
      <c r="P90" s="254"/>
      <c r="Q90" s="254"/>
      <c r="R90" s="254"/>
      <c r="S90" s="254"/>
      <c r="T90" s="255"/>
      <c r="U90" s="256"/>
      <c r="V90" s="256"/>
      <c r="W90" s="131"/>
      <c r="X90" s="256"/>
      <c r="Y90" s="257"/>
      <c r="Z90" s="254"/>
      <c r="AA90" s="258"/>
      <c r="AB90" s="258"/>
      <c r="AC90" s="254"/>
      <c r="AD90" s="257"/>
      <c r="AE90" s="254"/>
      <c r="AF90" s="254"/>
      <c r="AG90" s="254"/>
      <c r="AH90" s="254"/>
      <c r="AI90" s="257"/>
      <c r="AJ90" s="259"/>
      <c r="AK90" s="254"/>
      <c r="AL90" s="254"/>
      <c r="AM90" s="260">
        <f t="shared" si="41"/>
        <v>0</v>
      </c>
      <c r="AO90" s="39"/>
      <c r="AP90" s="39"/>
      <c r="AQ90" s="39"/>
      <c r="AR90" s="39"/>
      <c r="AS90" s="254"/>
      <c r="AT90" s="264"/>
      <c r="AV90" s="256"/>
      <c r="AW90" s="39"/>
      <c r="AX90" s="39"/>
      <c r="AY90" s="39"/>
      <c r="AZ90" s="39"/>
      <c r="BA90" s="264">
        <f t="shared" si="42"/>
        <v>0</v>
      </c>
      <c r="BC90" s="257"/>
      <c r="BD90" s="257"/>
      <c r="BE90" s="257"/>
      <c r="BF90" s="262">
        <f t="shared" si="43"/>
        <v>0</v>
      </c>
      <c r="BH90" s="257"/>
      <c r="BI90" s="257"/>
      <c r="BJ90" s="257"/>
      <c r="BK90" s="262">
        <f t="shared" si="44"/>
        <v>0</v>
      </c>
      <c r="BM90" s="261"/>
      <c r="BN90" s="254"/>
      <c r="BO90" s="254"/>
      <c r="BP90" s="254"/>
      <c r="BQ90" s="254"/>
      <c r="BR90" s="254"/>
      <c r="BS90" s="254"/>
      <c r="BT90" s="254"/>
      <c r="BU90" s="254"/>
      <c r="BV90" s="254"/>
      <c r="BW90" s="263"/>
    </row>
    <row r="91" spans="3:75" x14ac:dyDescent="0.25">
      <c r="C91" s="39"/>
      <c r="D91" s="39"/>
      <c r="E91" s="54"/>
      <c r="F91" s="39"/>
      <c r="G91" s="54"/>
      <c r="H91" s="39"/>
      <c r="I91" s="54"/>
      <c r="J91" s="54"/>
      <c r="K91" s="254"/>
      <c r="L91" s="254"/>
      <c r="M91" s="55"/>
      <c r="N91" s="254"/>
      <c r="P91" s="254"/>
      <c r="Q91" s="254"/>
      <c r="R91" s="254"/>
      <c r="S91" s="254"/>
      <c r="T91" s="255"/>
      <c r="U91" s="256"/>
      <c r="V91" s="256"/>
      <c r="W91" s="131"/>
      <c r="X91" s="256"/>
      <c r="Y91" s="257"/>
      <c r="Z91" s="254"/>
      <c r="AA91" s="258"/>
      <c r="AB91" s="258"/>
      <c r="AC91" s="254"/>
      <c r="AD91" s="257"/>
      <c r="AE91" s="254"/>
      <c r="AF91" s="254"/>
      <c r="AG91" s="254"/>
      <c r="AH91" s="254"/>
      <c r="AI91" s="257"/>
      <c r="AJ91" s="259"/>
      <c r="AK91" s="254"/>
      <c r="AL91" s="254"/>
      <c r="AM91" s="260">
        <f t="shared" si="41"/>
        <v>0</v>
      </c>
      <c r="AO91" s="39"/>
      <c r="AP91" s="39"/>
      <c r="AQ91" s="39"/>
      <c r="AR91" s="39"/>
      <c r="AS91" s="254"/>
      <c r="AT91" s="264"/>
      <c r="AV91" s="256"/>
      <c r="AW91" s="39"/>
      <c r="AX91" s="39"/>
      <c r="AY91" s="39"/>
      <c r="AZ91" s="39"/>
      <c r="BA91" s="264">
        <f t="shared" si="42"/>
        <v>0</v>
      </c>
      <c r="BC91" s="257"/>
      <c r="BD91" s="257"/>
      <c r="BE91" s="257"/>
      <c r="BF91" s="262">
        <f t="shared" si="43"/>
        <v>0</v>
      </c>
      <c r="BH91" s="257"/>
      <c r="BI91" s="257"/>
      <c r="BJ91" s="257"/>
      <c r="BK91" s="262">
        <f t="shared" si="44"/>
        <v>0</v>
      </c>
      <c r="BM91" s="261"/>
      <c r="BN91" s="254"/>
      <c r="BO91" s="254"/>
      <c r="BP91" s="254"/>
      <c r="BQ91" s="254"/>
      <c r="BR91" s="254"/>
      <c r="BS91" s="254"/>
      <c r="BT91" s="254"/>
      <c r="BU91" s="254"/>
      <c r="BV91" s="254"/>
      <c r="BW91" s="263"/>
    </row>
    <row r="92" spans="3:75" x14ac:dyDescent="0.25">
      <c r="C92" s="39"/>
      <c r="D92" s="39"/>
      <c r="E92" s="54"/>
      <c r="F92" s="39"/>
      <c r="G92" s="54"/>
      <c r="H92" s="39"/>
      <c r="I92" s="54"/>
      <c r="J92" s="54"/>
      <c r="K92" s="254"/>
      <c r="L92" s="254"/>
      <c r="M92" s="55"/>
      <c r="N92" s="254"/>
      <c r="P92" s="254"/>
      <c r="Q92" s="254"/>
      <c r="R92" s="254"/>
      <c r="S92" s="254"/>
      <c r="T92" s="255"/>
      <c r="U92" s="256"/>
      <c r="V92" s="256"/>
      <c r="W92" s="144"/>
      <c r="X92" s="256"/>
      <c r="Y92" s="257"/>
      <c r="Z92" s="254"/>
      <c r="AA92" s="258"/>
      <c r="AB92" s="258"/>
      <c r="AC92" s="254"/>
      <c r="AD92" s="257"/>
      <c r="AE92" s="254"/>
      <c r="AF92" s="254"/>
      <c r="AG92" s="254"/>
      <c r="AH92" s="254"/>
      <c r="AI92" s="257"/>
      <c r="AJ92" s="259"/>
      <c r="AK92" s="254"/>
      <c r="AL92" s="254"/>
      <c r="AM92" s="260">
        <f t="shared" si="41"/>
        <v>0</v>
      </c>
      <c r="AO92" s="39"/>
      <c r="AP92" s="39"/>
      <c r="AQ92" s="39"/>
      <c r="AR92" s="39"/>
      <c r="AS92" s="254"/>
      <c r="AT92" s="264"/>
      <c r="AV92" s="256"/>
      <c r="AW92" s="39"/>
      <c r="AX92" s="39"/>
      <c r="AY92" s="39"/>
      <c r="AZ92" s="39"/>
      <c r="BA92" s="264">
        <f t="shared" si="42"/>
        <v>0</v>
      </c>
      <c r="BC92" s="257"/>
      <c r="BD92" s="257"/>
      <c r="BE92" s="257"/>
      <c r="BF92" s="262">
        <f t="shared" si="43"/>
        <v>0</v>
      </c>
      <c r="BH92" s="257"/>
      <c r="BI92" s="257"/>
      <c r="BJ92" s="257"/>
      <c r="BK92" s="262">
        <f t="shared" si="44"/>
        <v>0</v>
      </c>
      <c r="BM92" s="261"/>
      <c r="BN92" s="254"/>
      <c r="BO92" s="254"/>
      <c r="BP92" s="254"/>
      <c r="BQ92" s="254"/>
      <c r="BR92" s="254"/>
      <c r="BS92" s="254"/>
      <c r="BT92" s="254"/>
      <c r="BU92" s="254"/>
      <c r="BV92" s="254"/>
      <c r="BW92" s="263"/>
    </row>
    <row r="93" spans="3:75" x14ac:dyDescent="0.25">
      <c r="C93" s="39"/>
      <c r="D93" s="39"/>
      <c r="E93" s="54"/>
      <c r="F93" s="39"/>
      <c r="G93" s="54"/>
      <c r="H93" s="39"/>
      <c r="I93" s="54"/>
      <c r="J93" s="54"/>
      <c r="K93" s="254"/>
      <c r="L93" s="254"/>
      <c r="M93" s="55"/>
      <c r="N93" s="254"/>
      <c r="P93" s="254"/>
      <c r="Q93" s="254"/>
      <c r="R93" s="254"/>
      <c r="S93" s="254"/>
      <c r="T93" s="255"/>
      <c r="U93" s="256"/>
      <c r="V93" s="256"/>
      <c r="W93" s="131"/>
      <c r="X93" s="256"/>
      <c r="Y93" s="257"/>
      <c r="Z93" s="254"/>
      <c r="AA93" s="258"/>
      <c r="AB93" s="258"/>
      <c r="AC93" s="254"/>
      <c r="AD93" s="257"/>
      <c r="AE93" s="254"/>
      <c r="AF93" s="254"/>
      <c r="AG93" s="254"/>
      <c r="AH93" s="254"/>
      <c r="AI93" s="257"/>
      <c r="AJ93" s="259"/>
      <c r="AK93" s="254"/>
      <c r="AL93" s="254"/>
      <c r="AM93" s="260">
        <f t="shared" si="41"/>
        <v>0</v>
      </c>
      <c r="AO93" s="39"/>
      <c r="AP93" s="39"/>
      <c r="AQ93" s="39"/>
      <c r="AR93" s="39"/>
      <c r="AS93" s="254"/>
      <c r="AT93" s="264"/>
      <c r="AV93" s="256"/>
      <c r="AW93" s="39"/>
      <c r="AX93" s="39"/>
      <c r="AY93" s="39"/>
      <c r="AZ93" s="39"/>
      <c r="BA93" s="264">
        <f t="shared" si="42"/>
        <v>0</v>
      </c>
      <c r="BC93" s="257"/>
      <c r="BD93" s="257"/>
      <c r="BE93" s="257"/>
      <c r="BF93" s="262">
        <f t="shared" si="43"/>
        <v>0</v>
      </c>
      <c r="BH93" s="257"/>
      <c r="BI93" s="257"/>
      <c r="BJ93" s="257"/>
      <c r="BK93" s="262">
        <f t="shared" si="44"/>
        <v>0</v>
      </c>
      <c r="BM93" s="261"/>
      <c r="BN93" s="254"/>
      <c r="BO93" s="254"/>
      <c r="BP93" s="254"/>
      <c r="BQ93" s="254"/>
      <c r="BR93" s="254"/>
      <c r="BS93" s="254"/>
      <c r="BT93" s="254"/>
      <c r="BU93" s="254"/>
      <c r="BV93" s="254"/>
      <c r="BW93" s="263"/>
    </row>
    <row r="94" spans="3:75" x14ac:dyDescent="0.25">
      <c r="C94" s="39"/>
      <c r="D94" s="39"/>
      <c r="E94" s="54"/>
      <c r="F94" s="39"/>
      <c r="G94" s="54"/>
      <c r="H94" s="39"/>
      <c r="I94" s="54"/>
      <c r="J94" s="54"/>
      <c r="K94" s="254"/>
      <c r="L94" s="254"/>
      <c r="M94" s="55"/>
      <c r="N94" s="254"/>
      <c r="P94" s="254"/>
      <c r="Q94" s="254"/>
      <c r="R94" s="254"/>
      <c r="S94" s="254"/>
      <c r="T94" s="255"/>
      <c r="U94" s="256"/>
      <c r="V94" s="256"/>
      <c r="W94" s="131"/>
      <c r="X94" s="256"/>
      <c r="Y94" s="257"/>
      <c r="Z94" s="254"/>
      <c r="AA94" s="258"/>
      <c r="AB94" s="258"/>
      <c r="AC94" s="254"/>
      <c r="AD94" s="257"/>
      <c r="AE94" s="254"/>
      <c r="AF94" s="254"/>
      <c r="AG94" s="254"/>
      <c r="AH94" s="254"/>
      <c r="AI94" s="257"/>
      <c r="AJ94" s="259"/>
      <c r="AK94" s="254"/>
      <c r="AL94" s="254"/>
      <c r="AM94" s="260">
        <f t="shared" si="41"/>
        <v>0</v>
      </c>
      <c r="AO94" s="39"/>
      <c r="AP94" s="39"/>
      <c r="AQ94" s="39"/>
      <c r="AR94" s="39"/>
      <c r="AS94" s="254"/>
      <c r="AT94" s="264"/>
      <c r="AV94" s="256"/>
      <c r="AW94" s="39"/>
      <c r="AX94" s="39"/>
      <c r="AY94" s="39"/>
      <c r="AZ94" s="39"/>
      <c r="BA94" s="264">
        <f t="shared" si="42"/>
        <v>0</v>
      </c>
      <c r="BC94" s="257"/>
      <c r="BD94" s="257"/>
      <c r="BE94" s="257"/>
      <c r="BF94" s="262">
        <f t="shared" si="43"/>
        <v>0</v>
      </c>
      <c r="BH94" s="257"/>
      <c r="BI94" s="257"/>
      <c r="BJ94" s="257"/>
      <c r="BK94" s="262">
        <f t="shared" si="44"/>
        <v>0</v>
      </c>
      <c r="BM94" s="261"/>
      <c r="BN94" s="254"/>
      <c r="BO94" s="254"/>
      <c r="BP94" s="254"/>
      <c r="BQ94" s="254"/>
      <c r="BR94" s="254"/>
      <c r="BS94" s="254"/>
      <c r="BT94" s="254"/>
      <c r="BU94" s="254"/>
      <c r="BV94" s="254"/>
      <c r="BW94" s="263"/>
    </row>
    <row r="95" spans="3:75" x14ac:dyDescent="0.25">
      <c r="C95" s="39"/>
      <c r="D95" s="39"/>
      <c r="E95" s="54"/>
      <c r="F95" s="39"/>
      <c r="G95" s="54"/>
      <c r="H95" s="39"/>
      <c r="I95" s="54"/>
      <c r="J95" s="54"/>
      <c r="K95" s="254"/>
      <c r="L95" s="254"/>
      <c r="M95" s="55"/>
      <c r="N95" s="254"/>
      <c r="P95" s="254"/>
      <c r="Q95" s="254"/>
      <c r="R95" s="254"/>
      <c r="S95" s="254"/>
      <c r="T95" s="255"/>
      <c r="U95" s="256"/>
      <c r="V95" s="256"/>
      <c r="W95" s="131"/>
      <c r="X95" s="256"/>
      <c r="Y95" s="257"/>
      <c r="Z95" s="254"/>
      <c r="AA95" s="258"/>
      <c r="AB95" s="258"/>
      <c r="AC95" s="254"/>
      <c r="AD95" s="257"/>
      <c r="AE95" s="254"/>
      <c r="AF95" s="254"/>
      <c r="AG95" s="254"/>
      <c r="AH95" s="254"/>
      <c r="AI95" s="257"/>
      <c r="AJ95" s="259"/>
      <c r="AK95" s="254"/>
      <c r="AL95" s="254"/>
      <c r="AM95" s="260">
        <f t="shared" si="41"/>
        <v>0</v>
      </c>
      <c r="AO95" s="39"/>
      <c r="AP95" s="39"/>
      <c r="AQ95" s="39"/>
      <c r="AR95" s="39"/>
      <c r="AS95" s="254"/>
      <c r="AT95" s="264"/>
      <c r="AV95" s="256"/>
      <c r="AW95" s="39"/>
      <c r="AX95" s="39"/>
      <c r="AY95" s="39"/>
      <c r="AZ95" s="39"/>
      <c r="BA95" s="264">
        <f t="shared" si="42"/>
        <v>0</v>
      </c>
      <c r="BC95" s="257"/>
      <c r="BD95" s="257"/>
      <c r="BE95" s="257"/>
      <c r="BF95" s="262">
        <f t="shared" si="43"/>
        <v>0</v>
      </c>
      <c r="BH95" s="257"/>
      <c r="BI95" s="257"/>
      <c r="BJ95" s="257"/>
      <c r="BK95" s="262">
        <f t="shared" si="44"/>
        <v>0</v>
      </c>
      <c r="BM95" s="261"/>
      <c r="BN95" s="254"/>
      <c r="BO95" s="254"/>
      <c r="BP95" s="254"/>
      <c r="BQ95" s="254"/>
      <c r="BR95" s="254"/>
      <c r="BS95" s="254"/>
      <c r="BT95" s="254"/>
      <c r="BU95" s="254"/>
      <c r="BV95" s="254"/>
      <c r="BW95" s="263"/>
    </row>
    <row r="96" spans="3:75" x14ac:dyDescent="0.25">
      <c r="C96" s="39"/>
      <c r="D96" s="39"/>
      <c r="E96" s="54"/>
      <c r="F96" s="39"/>
      <c r="G96" s="54"/>
      <c r="H96" s="39"/>
      <c r="I96" s="54"/>
      <c r="J96" s="54"/>
      <c r="K96" s="254"/>
      <c r="L96" s="254"/>
      <c r="M96" s="55"/>
      <c r="N96" s="254"/>
      <c r="P96" s="254"/>
      <c r="Q96" s="254"/>
      <c r="R96" s="254"/>
      <c r="S96" s="254"/>
      <c r="T96" s="255"/>
      <c r="U96" s="256"/>
      <c r="V96" s="256"/>
      <c r="W96" s="131"/>
      <c r="X96" s="256"/>
      <c r="Y96" s="257"/>
      <c r="Z96" s="254"/>
      <c r="AA96" s="258"/>
      <c r="AB96" s="258"/>
      <c r="AC96" s="254"/>
      <c r="AD96" s="257"/>
      <c r="AE96" s="254"/>
      <c r="AF96" s="254"/>
      <c r="AG96" s="254"/>
      <c r="AH96" s="254"/>
      <c r="AI96" s="257"/>
      <c r="AJ96" s="259"/>
      <c r="AK96" s="254"/>
      <c r="AL96" s="254"/>
      <c r="AM96" s="260">
        <f t="shared" si="41"/>
        <v>0</v>
      </c>
      <c r="AO96" s="39"/>
      <c r="AP96" s="39"/>
      <c r="AQ96" s="39"/>
      <c r="AR96" s="39"/>
      <c r="AS96" s="254"/>
      <c r="AT96" s="264"/>
      <c r="AV96" s="256"/>
      <c r="AW96" s="39"/>
      <c r="AX96" s="39"/>
      <c r="AY96" s="39"/>
      <c r="AZ96" s="39"/>
      <c r="BA96" s="264">
        <f t="shared" si="42"/>
        <v>0</v>
      </c>
      <c r="BC96" s="257"/>
      <c r="BD96" s="257"/>
      <c r="BE96" s="257"/>
      <c r="BF96" s="262">
        <f t="shared" si="43"/>
        <v>0</v>
      </c>
      <c r="BH96" s="257"/>
      <c r="BI96" s="257"/>
      <c r="BJ96" s="257"/>
      <c r="BK96" s="262">
        <f t="shared" si="44"/>
        <v>0</v>
      </c>
      <c r="BM96" s="261"/>
      <c r="BN96" s="254"/>
      <c r="BO96" s="254"/>
      <c r="BP96" s="254"/>
      <c r="BQ96" s="254"/>
      <c r="BR96" s="254"/>
      <c r="BS96" s="254"/>
      <c r="BT96" s="254"/>
      <c r="BU96" s="254"/>
      <c r="BV96" s="254"/>
      <c r="BW96" s="263"/>
    </row>
    <row r="97" spans="1:75" x14ac:dyDescent="0.25">
      <c r="C97" s="39"/>
      <c r="D97" s="39"/>
      <c r="E97" s="54"/>
      <c r="F97" s="39"/>
      <c r="G97" s="54"/>
      <c r="H97" s="39"/>
      <c r="I97" s="54"/>
      <c r="J97" s="54"/>
      <c r="K97" s="254"/>
      <c r="L97" s="254"/>
      <c r="M97" s="55"/>
      <c r="N97" s="254"/>
      <c r="P97" s="254"/>
      <c r="Q97" s="254"/>
      <c r="R97" s="254"/>
      <c r="S97" s="254"/>
      <c r="T97" s="255"/>
      <c r="U97" s="256"/>
      <c r="V97" s="256"/>
      <c r="W97" s="131"/>
      <c r="X97" s="256"/>
      <c r="Y97" s="257"/>
      <c r="Z97" s="254"/>
      <c r="AA97" s="258"/>
      <c r="AB97" s="258"/>
      <c r="AC97" s="254"/>
      <c r="AD97" s="257"/>
      <c r="AE97" s="254"/>
      <c r="AF97" s="254"/>
      <c r="AG97" s="254"/>
      <c r="AH97" s="254"/>
      <c r="AI97" s="257"/>
      <c r="AJ97" s="259"/>
      <c r="AK97" s="254"/>
      <c r="AL97" s="254"/>
      <c r="AM97" s="260">
        <f t="shared" si="41"/>
        <v>0</v>
      </c>
      <c r="AO97" s="39"/>
      <c r="AP97" s="39"/>
      <c r="AQ97" s="39"/>
      <c r="AR97" s="39"/>
      <c r="AS97" s="254"/>
      <c r="AT97" s="264"/>
      <c r="AV97" s="256"/>
      <c r="AW97" s="39"/>
      <c r="AX97" s="39"/>
      <c r="AY97" s="39"/>
      <c r="AZ97" s="39"/>
      <c r="BA97" s="264">
        <f t="shared" si="42"/>
        <v>0</v>
      </c>
      <c r="BC97" s="257"/>
      <c r="BD97" s="257"/>
      <c r="BE97" s="257"/>
      <c r="BF97" s="262">
        <f t="shared" si="43"/>
        <v>0</v>
      </c>
      <c r="BH97" s="257"/>
      <c r="BI97" s="257"/>
      <c r="BJ97" s="257"/>
      <c r="BK97" s="262">
        <f t="shared" si="44"/>
        <v>0</v>
      </c>
      <c r="BM97" s="261"/>
      <c r="BN97" s="254"/>
      <c r="BO97" s="254"/>
      <c r="BP97" s="254"/>
      <c r="BQ97" s="254"/>
      <c r="BR97" s="254"/>
      <c r="BS97" s="254"/>
      <c r="BT97" s="254"/>
      <c r="BU97" s="254"/>
      <c r="BV97" s="254"/>
      <c r="BW97" s="263"/>
    </row>
    <row r="98" spans="1:75" s="230" customFormat="1" x14ac:dyDescent="0.25">
      <c r="A98" s="230" t="s">
        <v>3072</v>
      </c>
      <c r="C98" s="134"/>
      <c r="D98" s="134"/>
      <c r="E98" s="133"/>
      <c r="F98" s="134"/>
      <c r="G98" s="133"/>
      <c r="H98" s="231" t="s">
        <v>3070</v>
      </c>
      <c r="I98" s="133"/>
      <c r="J98" s="133"/>
      <c r="K98" s="232"/>
      <c r="L98" s="232"/>
      <c r="M98" s="233"/>
      <c r="N98" s="232"/>
      <c r="P98" s="232"/>
      <c r="Q98" s="232"/>
      <c r="R98" s="232"/>
      <c r="S98" s="232"/>
      <c r="T98" s="234"/>
      <c r="U98" s="235"/>
      <c r="V98" s="235"/>
      <c r="W98" s="232"/>
      <c r="X98" s="235"/>
      <c r="Y98" s="236"/>
      <c r="Z98" s="232"/>
      <c r="AA98" s="237"/>
      <c r="AB98" s="237"/>
      <c r="AC98" s="232"/>
      <c r="AD98" s="236"/>
      <c r="AE98" s="232"/>
      <c r="AF98" s="232"/>
      <c r="AG98" s="232"/>
      <c r="AH98" s="232"/>
      <c r="AI98" s="236"/>
      <c r="AJ98" s="238"/>
      <c r="AK98" s="232"/>
      <c r="AL98" s="232">
        <f>210655.5*EXR_FC05</f>
        <v>5540239650</v>
      </c>
      <c r="AM98" s="239">
        <f t="shared" si="41"/>
        <v>5540239650</v>
      </c>
      <c r="AO98" s="134"/>
      <c r="AP98" s="134"/>
      <c r="AQ98" s="134"/>
      <c r="AR98" s="134"/>
      <c r="AS98" s="232"/>
      <c r="AT98" s="241"/>
      <c r="AV98" s="235"/>
      <c r="AW98" s="134"/>
      <c r="AX98" s="134"/>
      <c r="AY98" s="134"/>
      <c r="AZ98" s="232">
        <f>3159.8325*EXR_FC05</f>
        <v>83103594.75</v>
      </c>
      <c r="BA98" s="241">
        <f t="shared" si="42"/>
        <v>83103594.75</v>
      </c>
      <c r="BC98" s="232"/>
      <c r="BD98" s="232"/>
      <c r="BE98" s="232"/>
      <c r="BF98" s="242">
        <f t="shared" si="43"/>
        <v>0</v>
      </c>
      <c r="BH98" s="232">
        <f t="shared" ref="BH98" si="45">AJ98-BC98</f>
        <v>0</v>
      </c>
      <c r="BI98" s="232">
        <f t="shared" ref="BI98" si="46">AK98-BD98</f>
        <v>0</v>
      </c>
      <c r="BJ98" s="232">
        <f t="shared" ref="BJ98" si="47">AL98-BE98</f>
        <v>5540239650</v>
      </c>
      <c r="BK98" s="242">
        <f t="shared" si="44"/>
        <v>5540239650</v>
      </c>
      <c r="BM98" s="242"/>
      <c r="BN98" s="232"/>
      <c r="BO98" s="232"/>
      <c r="BP98" s="232"/>
      <c r="BQ98" s="232"/>
      <c r="BR98" s="232"/>
      <c r="BS98" s="232"/>
      <c r="BT98" s="232"/>
      <c r="BU98" s="232"/>
      <c r="BV98" s="232"/>
      <c r="BW98" s="274"/>
    </row>
    <row r="99" spans="1:75" s="230" customFormat="1" x14ac:dyDescent="0.25">
      <c r="A99" s="230" t="s">
        <v>3073</v>
      </c>
      <c r="C99" s="134"/>
      <c r="D99" s="134"/>
      <c r="E99" s="133"/>
      <c r="F99" s="134"/>
      <c r="G99" s="133"/>
      <c r="H99" s="231" t="s">
        <v>3026</v>
      </c>
      <c r="I99" s="133"/>
      <c r="J99" s="133"/>
      <c r="K99" s="232">
        <f>SUMIFS('Working-T05-B1'!L$8:L$150,'Working-T05-B1'!$C$8:$C$150,$D99)</f>
        <v>0</v>
      </c>
      <c r="L99" s="232" cm="1">
        <f t="array" ref="L99">SUMPRODUCT(Sales!$G$3:$H$100*(Sales!$B$3:$B$100=$D99))</f>
        <v>0</v>
      </c>
      <c r="M99" s="233"/>
      <c r="N99" s="232"/>
      <c r="P99" s="232">
        <f>SUMIFS('Working-T05-B1'!O$8:O$150,'Working-T05-B1'!$C$8:$C$150,$D99)</f>
        <v>0</v>
      </c>
      <c r="Q99" s="232"/>
      <c r="R99" s="232"/>
      <c r="S99" s="232">
        <f t="shared" ref="S99:S136" si="48">SUM(P99:R99)</f>
        <v>0</v>
      </c>
      <c r="T99" s="234"/>
      <c r="U99" s="235"/>
      <c r="V99" s="235"/>
      <c r="W99" s="232"/>
      <c r="X99" s="235">
        <f t="shared" ref="X99:X128" si="49">IFERROR(IF($C99="XK",$AM99/$S99/$AC99,$AM99/$S99),0)</f>
        <v>0</v>
      </c>
      <c r="Y99" s="236"/>
      <c r="Z99" s="232">
        <f>IF($C99="NĐ",1,IFERROR(SUMIFS(Data_FAGLL03[Amount in local currency],Data_FAGLL03[Offsetting acct no.],$E99,Data_FAGLL03[Material],$G99)/SUMIFS(Data_FAGLL03[Dthu (USD)],Data_FAGLL03[Offsetting acct no.],$E99,Data_FAGLL03[Material],$G99),0))</f>
        <v>0</v>
      </c>
      <c r="AA99" s="237">
        <f t="shared" ref="AA99:AB118" si="50">IF($C99="NĐ",1,EXR_FC05)</f>
        <v>26300</v>
      </c>
      <c r="AB99" s="237">
        <f t="shared" si="50"/>
        <v>26300</v>
      </c>
      <c r="AC99" s="232">
        <f t="shared" ref="AC99:AC136" si="51">IFERROR(SUMPRODUCT(AJ99:AL99,Z99:AB99)/AM99,0)</f>
        <v>0</v>
      </c>
      <c r="AD99" s="236"/>
      <c r="AE99" s="232">
        <f t="shared" ref="AE99:AE127" si="52">IFERROR(AJ99/P99,0)</f>
        <v>0</v>
      </c>
      <c r="AF99" s="232">
        <f t="shared" ref="AF99:AF127" si="53">IFERROR(AK99/Q99,0)</f>
        <v>0</v>
      </c>
      <c r="AG99" s="232">
        <f t="shared" ref="AG99:AG120" si="54">W99*AB99</f>
        <v>0</v>
      </c>
      <c r="AH99" s="232"/>
      <c r="AI99" s="236"/>
      <c r="AJ99" s="238"/>
      <c r="AK99" s="232"/>
      <c r="AL99" s="232">
        <f t="shared" ref="AL99:AL101" si="55">R99*AG99</f>
        <v>0</v>
      </c>
      <c r="AM99" s="239">
        <f t="shared" si="41"/>
        <v>0</v>
      </c>
      <c r="AO99" s="134"/>
      <c r="AP99" s="134"/>
      <c r="AQ99" s="134"/>
      <c r="AR99" s="134"/>
      <c r="AS99" s="134"/>
      <c r="AT99" s="240"/>
      <c r="AV99" s="235">
        <f t="shared" ref="AV99:AV136" si="56">IFERROR(BA99/S99,0)</f>
        <v>0</v>
      </c>
      <c r="AW99" s="134"/>
      <c r="AX99" s="134"/>
      <c r="AY99" s="134"/>
      <c r="AZ99" s="232"/>
      <c r="BA99" s="241">
        <f t="shared" si="42"/>
        <v>0</v>
      </c>
      <c r="BC99" s="232"/>
      <c r="BD99" s="232"/>
      <c r="BE99" s="232">
        <v>1113447612</v>
      </c>
      <c r="BF99" s="242">
        <f t="shared" si="43"/>
        <v>1113447612</v>
      </c>
      <c r="BH99" s="232">
        <f t="shared" ref="BH99:BH136" si="57">AJ99-BC99</f>
        <v>0</v>
      </c>
      <c r="BI99" s="232">
        <f t="shared" ref="BI99:BI135" si="58">AK99-BD99</f>
        <v>0</v>
      </c>
      <c r="BJ99" s="232">
        <f t="shared" ref="BJ99:BJ135" si="59">AL99-BE99</f>
        <v>-1113447612</v>
      </c>
      <c r="BK99" s="242">
        <f t="shared" ref="BK99:BK136" si="60">SUM(BH99:BJ99)</f>
        <v>-1113447612</v>
      </c>
      <c r="BM99" s="240"/>
      <c r="BN99" s="134"/>
      <c r="BO99" s="134"/>
      <c r="BP99" s="134"/>
      <c r="BQ99" s="134"/>
      <c r="BR99" s="134"/>
      <c r="BS99" s="134"/>
      <c r="BT99" s="134"/>
      <c r="BU99" s="134"/>
      <c r="BV99" s="134"/>
      <c r="BW99" s="247"/>
    </row>
    <row r="100" spans="1:75" s="230" customFormat="1" x14ac:dyDescent="0.25">
      <c r="A100" s="230" t="s">
        <v>3074</v>
      </c>
      <c r="C100" s="134"/>
      <c r="D100" s="134"/>
      <c r="E100" s="133"/>
      <c r="F100" s="134"/>
      <c r="G100" s="133"/>
      <c r="H100" s="231" t="s">
        <v>3027</v>
      </c>
      <c r="I100" s="133"/>
      <c r="J100" s="133"/>
      <c r="K100" s="232">
        <f>SUMIFS('Working-T05-B1'!L$8:L$150,'Working-T05-B1'!$C$8:$C$150,$D100)</f>
        <v>0</v>
      </c>
      <c r="L100" s="232" cm="1">
        <f t="array" ref="L100">SUMPRODUCT(Sales!$G$3:$H$100*(Sales!$B$3:$B$100=$D100))</f>
        <v>0</v>
      </c>
      <c r="M100" s="233"/>
      <c r="N100" s="232"/>
      <c r="P100" s="232">
        <f>SUMIFS('Working-T05-B1'!O$8:O$150,'Working-T05-B1'!$C$8:$C$150,$D100)</f>
        <v>0</v>
      </c>
      <c r="Q100" s="232"/>
      <c r="R100" s="232"/>
      <c r="S100" s="232">
        <f t="shared" si="48"/>
        <v>0</v>
      </c>
      <c r="T100" s="234"/>
      <c r="U100" s="235"/>
      <c r="V100" s="235"/>
      <c r="W100" s="232"/>
      <c r="X100" s="235">
        <f t="shared" si="49"/>
        <v>0</v>
      </c>
      <c r="Y100" s="236"/>
      <c r="Z100" s="232">
        <f>IF($C100="NĐ",1,IFERROR(SUMIFS(Data_FAGLL03[Amount in local currency],Data_FAGLL03[Offsetting acct no.],$E100,Data_FAGLL03[Material],$G100)/SUMIFS(Data_FAGLL03[Dthu (USD)],Data_FAGLL03[Offsetting acct no.],$E100,Data_FAGLL03[Material],$G100),0))</f>
        <v>0</v>
      </c>
      <c r="AA100" s="237">
        <f t="shared" si="50"/>
        <v>26300</v>
      </c>
      <c r="AB100" s="237">
        <f t="shared" si="50"/>
        <v>26300</v>
      </c>
      <c r="AC100" s="232">
        <f t="shared" si="51"/>
        <v>0</v>
      </c>
      <c r="AD100" s="236"/>
      <c r="AE100" s="232">
        <f t="shared" si="52"/>
        <v>0</v>
      </c>
      <c r="AF100" s="232">
        <f t="shared" si="53"/>
        <v>0</v>
      </c>
      <c r="AG100" s="232">
        <f t="shared" si="54"/>
        <v>0</v>
      </c>
      <c r="AH100" s="232"/>
      <c r="AI100" s="236"/>
      <c r="AJ100" s="238"/>
      <c r="AK100" s="232"/>
      <c r="AL100" s="232">
        <f t="shared" si="55"/>
        <v>0</v>
      </c>
      <c r="AM100" s="239">
        <f t="shared" si="41"/>
        <v>0</v>
      </c>
      <c r="AO100" s="134"/>
      <c r="AP100" s="134"/>
      <c r="AQ100" s="134"/>
      <c r="AR100" s="134"/>
      <c r="AS100" s="134"/>
      <c r="AT100" s="240"/>
      <c r="AV100" s="235">
        <f t="shared" si="56"/>
        <v>0</v>
      </c>
      <c r="AW100" s="134"/>
      <c r="AX100" s="134"/>
      <c r="AY100" s="134"/>
      <c r="AZ100" s="134"/>
      <c r="BA100" s="241">
        <f t="shared" si="42"/>
        <v>0</v>
      </c>
      <c r="BC100" s="232"/>
      <c r="BD100" s="232"/>
      <c r="BE100" s="232">
        <v>500000000</v>
      </c>
      <c r="BF100" s="242">
        <f t="shared" ref="BF100:BF136" si="61">SUM(BC100:BE100)</f>
        <v>500000000</v>
      </c>
      <c r="BH100" s="232">
        <f t="shared" si="57"/>
        <v>0</v>
      </c>
      <c r="BI100" s="232">
        <f t="shared" si="58"/>
        <v>0</v>
      </c>
      <c r="BJ100" s="232">
        <f t="shared" si="59"/>
        <v>-500000000</v>
      </c>
      <c r="BK100" s="242">
        <f t="shared" si="60"/>
        <v>-500000000</v>
      </c>
      <c r="BM100" s="240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247"/>
    </row>
    <row r="101" spans="1:75" s="230" customFormat="1" x14ac:dyDescent="0.25">
      <c r="A101" s="230" t="s">
        <v>3075</v>
      </c>
      <c r="C101" s="134"/>
      <c r="D101" s="134"/>
      <c r="E101" s="133"/>
      <c r="F101" s="134"/>
      <c r="G101" s="133"/>
      <c r="H101" s="231" t="s">
        <v>3028</v>
      </c>
      <c r="I101" s="133"/>
      <c r="J101" s="133"/>
      <c r="K101" s="232">
        <f>SUMIFS('Working-T05-B1'!L$8:L$150,'Working-T05-B1'!$C$8:$C$150,$D101)</f>
        <v>0</v>
      </c>
      <c r="L101" s="232" cm="1">
        <f t="array" ref="L101">SUMPRODUCT(Sales!$G$3:$H$100*(Sales!$B$3:$B$100=$D101))</f>
        <v>0</v>
      </c>
      <c r="M101" s="233"/>
      <c r="N101" s="232"/>
      <c r="P101" s="232">
        <f>SUMIFS('Working-T05-B1'!O$8:O$150,'Working-T05-B1'!$C$8:$C$150,$D101)</f>
        <v>0</v>
      </c>
      <c r="Q101" s="232"/>
      <c r="R101" s="232"/>
      <c r="S101" s="232">
        <f t="shared" si="48"/>
        <v>0</v>
      </c>
      <c r="T101" s="234"/>
      <c r="U101" s="235"/>
      <c r="V101" s="235"/>
      <c r="W101" s="232"/>
      <c r="X101" s="235">
        <f t="shared" si="49"/>
        <v>0</v>
      </c>
      <c r="Y101" s="236"/>
      <c r="Z101" s="232">
        <f>IF($C101="NĐ",1,IFERROR(SUMIFS(Data_FAGLL03[Amount in local currency],Data_FAGLL03[Offsetting acct no.],$E101,Data_FAGLL03[Material],$G101)/SUMIFS(Data_FAGLL03[Dthu (USD)],Data_FAGLL03[Offsetting acct no.],$E101,Data_FAGLL03[Material],$G101),0))</f>
        <v>0</v>
      </c>
      <c r="AA101" s="237">
        <f t="shared" si="50"/>
        <v>26300</v>
      </c>
      <c r="AB101" s="237">
        <f t="shared" si="50"/>
        <v>26300</v>
      </c>
      <c r="AC101" s="232">
        <f t="shared" si="51"/>
        <v>0</v>
      </c>
      <c r="AD101" s="236"/>
      <c r="AE101" s="232">
        <f t="shared" si="52"/>
        <v>0</v>
      </c>
      <c r="AF101" s="232">
        <f t="shared" si="53"/>
        <v>0</v>
      </c>
      <c r="AG101" s="232">
        <f t="shared" si="54"/>
        <v>0</v>
      </c>
      <c r="AH101" s="232"/>
      <c r="AI101" s="236"/>
      <c r="AJ101" s="238"/>
      <c r="AK101" s="232"/>
      <c r="AL101" s="232">
        <f t="shared" si="55"/>
        <v>0</v>
      </c>
      <c r="AM101" s="239">
        <f t="shared" si="41"/>
        <v>0</v>
      </c>
      <c r="AO101" s="134"/>
      <c r="AP101" s="134"/>
      <c r="AQ101" s="134"/>
      <c r="AR101" s="134"/>
      <c r="AS101" s="134"/>
      <c r="AT101" s="240"/>
      <c r="AV101" s="235">
        <f t="shared" si="56"/>
        <v>0</v>
      </c>
      <c r="AW101" s="134"/>
      <c r="AX101" s="134"/>
      <c r="AY101" s="134"/>
      <c r="AZ101" s="134"/>
      <c r="BA101" s="241">
        <f t="shared" si="42"/>
        <v>0</v>
      </c>
      <c r="BC101" s="232"/>
      <c r="BD101" s="232"/>
      <c r="BE101" s="232">
        <v>36700352</v>
      </c>
      <c r="BF101" s="242">
        <f t="shared" si="61"/>
        <v>36700352</v>
      </c>
      <c r="BH101" s="232">
        <f t="shared" si="57"/>
        <v>0</v>
      </c>
      <c r="BI101" s="232">
        <f t="shared" si="58"/>
        <v>0</v>
      </c>
      <c r="BJ101" s="232">
        <f t="shared" si="59"/>
        <v>-36700352</v>
      </c>
      <c r="BK101" s="242">
        <f t="shared" si="60"/>
        <v>-36700352</v>
      </c>
      <c r="BM101" s="240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247"/>
    </row>
    <row r="102" spans="1:75" x14ac:dyDescent="0.25">
      <c r="C102" s="39"/>
      <c r="D102" s="39"/>
      <c r="E102" s="54"/>
      <c r="F102" s="39"/>
      <c r="G102" s="54"/>
      <c r="H102" s="39"/>
      <c r="I102" s="54"/>
      <c r="J102" s="54"/>
      <c r="K102" s="40">
        <f>SUMIFS('Working-T05-B1'!L$8:L$150,'Working-T05-B1'!$C$8:$C$150,$D102)</f>
        <v>0</v>
      </c>
      <c r="L102" s="40" cm="1">
        <f t="array" ref="L102">SUMPRODUCT(Sales!$G$3:$H$100*(Sales!$B$3:$B$100=$D102))</f>
        <v>0</v>
      </c>
      <c r="M102" s="55"/>
      <c r="N102" s="40"/>
      <c r="P102" s="40">
        <f>SUMIFS('Working-T05-B1'!O$8:O$150,'Working-T05-B1'!$C$8:$C$150,$D102)</f>
        <v>0</v>
      </c>
      <c r="Q102" s="40"/>
      <c r="R102" s="40"/>
      <c r="S102" s="40">
        <f t="shared" si="48"/>
        <v>0</v>
      </c>
      <c r="T102" s="129"/>
      <c r="U102" s="42"/>
      <c r="V102" s="42"/>
      <c r="W102" s="131"/>
      <c r="X102" s="42">
        <f t="shared" si="49"/>
        <v>0</v>
      </c>
      <c r="Y102" s="41"/>
      <c r="Z102" s="40">
        <f>IF($C102="NĐ",1,IFERROR(SUMIFS(Data_FAGLL03[Amount in local currency],Data_FAGLL03[Offsetting acct no.],$E102,Data_FAGLL03[Material],$G102)/SUMIFS(Data_FAGLL03[Dthu (USD)],Data_FAGLL03[Offsetting acct no.],$E102,Data_FAGLL03[Material],$G102),0))</f>
        <v>0</v>
      </c>
      <c r="AA102" s="121">
        <f t="shared" si="50"/>
        <v>26300</v>
      </c>
      <c r="AB102" s="121">
        <f t="shared" si="50"/>
        <v>26300</v>
      </c>
      <c r="AC102" s="40">
        <f t="shared" si="51"/>
        <v>0</v>
      </c>
      <c r="AD102" s="41"/>
      <c r="AE102" s="40">
        <f t="shared" si="52"/>
        <v>0</v>
      </c>
      <c r="AF102" s="40">
        <f t="shared" si="53"/>
        <v>0</v>
      </c>
      <c r="AG102" s="40">
        <f t="shared" si="54"/>
        <v>0</v>
      </c>
      <c r="AH102" s="40"/>
      <c r="AI102" s="41"/>
      <c r="AJ102" s="43"/>
      <c r="AK102" s="40"/>
      <c r="AL102" s="40">
        <f t="shared" ref="AL102:AL150" si="62">R102*AG102</f>
        <v>0</v>
      </c>
      <c r="AM102" s="44">
        <f t="shared" si="41"/>
        <v>0</v>
      </c>
      <c r="AO102" s="39"/>
      <c r="AP102" s="39"/>
      <c r="AQ102" s="39"/>
      <c r="AR102" s="39"/>
      <c r="AS102" s="39"/>
      <c r="AT102" s="94"/>
      <c r="AV102" s="42">
        <f t="shared" si="56"/>
        <v>0</v>
      </c>
      <c r="AW102" s="39"/>
      <c r="AX102" s="39"/>
      <c r="AY102" s="39"/>
      <c r="AZ102" s="39"/>
      <c r="BA102" s="217">
        <f t="shared" si="42"/>
        <v>0</v>
      </c>
      <c r="BC102" s="40"/>
      <c r="BD102" s="40"/>
      <c r="BE102" s="40"/>
      <c r="BF102" s="226">
        <f t="shared" si="61"/>
        <v>0</v>
      </c>
      <c r="BH102" s="40">
        <f t="shared" si="57"/>
        <v>0</v>
      </c>
      <c r="BI102" s="40">
        <f t="shared" si="58"/>
        <v>0</v>
      </c>
      <c r="BJ102" s="40">
        <f t="shared" si="59"/>
        <v>0</v>
      </c>
      <c r="BK102" s="226">
        <f t="shared" si="60"/>
        <v>0</v>
      </c>
      <c r="BM102" s="94"/>
      <c r="BN102" s="39"/>
      <c r="BO102" s="39"/>
      <c r="BP102" s="39"/>
      <c r="BQ102" s="39"/>
      <c r="BR102" s="39"/>
      <c r="BS102" s="39"/>
      <c r="BT102" s="39"/>
      <c r="BU102" s="39"/>
      <c r="BV102" s="39"/>
      <c r="BW102" s="246"/>
    </row>
    <row r="103" spans="1:75" x14ac:dyDescent="0.25">
      <c r="C103" s="39"/>
      <c r="D103" s="39"/>
      <c r="E103" s="54"/>
      <c r="F103" s="39"/>
      <c r="G103" s="54"/>
      <c r="H103" s="39"/>
      <c r="I103" s="54"/>
      <c r="J103" s="54"/>
      <c r="K103" s="40">
        <f>SUMIFS('Working-T05-B1'!L$8:L$150,'Working-T05-B1'!$C$8:$C$150,$D103)</f>
        <v>0</v>
      </c>
      <c r="L103" s="40" cm="1">
        <f t="array" ref="L103">SUMPRODUCT(Sales!$G$3:$H$100*(Sales!$B$3:$B$100=$D103))</f>
        <v>0</v>
      </c>
      <c r="M103" s="55"/>
      <c r="N103" s="40"/>
      <c r="P103" s="40">
        <f>SUMIFS('Working-T05-B1'!O$8:O$150,'Working-T05-B1'!$C$8:$C$150,$D103)</f>
        <v>0</v>
      </c>
      <c r="Q103" s="40"/>
      <c r="R103" s="40"/>
      <c r="S103" s="40">
        <f t="shared" si="48"/>
        <v>0</v>
      </c>
      <c r="T103" s="129"/>
      <c r="U103" s="42"/>
      <c r="V103" s="42"/>
      <c r="W103" s="131"/>
      <c r="X103" s="42">
        <f t="shared" si="49"/>
        <v>0</v>
      </c>
      <c r="Y103" s="41"/>
      <c r="Z103" s="40">
        <f>IF($C103="NĐ",1,IFERROR(SUMIFS(Data_FAGLL03[Amount in local currency],Data_FAGLL03[Offsetting acct no.],$E103,Data_FAGLL03[Material],$G103)/SUMIFS(Data_FAGLL03[Dthu (USD)],Data_FAGLL03[Offsetting acct no.],$E103,Data_FAGLL03[Material],$G103),0))</f>
        <v>0</v>
      </c>
      <c r="AA103" s="121">
        <f t="shared" si="50"/>
        <v>26300</v>
      </c>
      <c r="AB103" s="121">
        <f t="shared" si="50"/>
        <v>26300</v>
      </c>
      <c r="AC103" s="40">
        <f t="shared" si="51"/>
        <v>0</v>
      </c>
      <c r="AD103" s="41"/>
      <c r="AE103" s="40">
        <f t="shared" si="52"/>
        <v>0</v>
      </c>
      <c r="AF103" s="40">
        <f t="shared" si="53"/>
        <v>0</v>
      </c>
      <c r="AG103" s="40">
        <f t="shared" si="54"/>
        <v>0</v>
      </c>
      <c r="AH103" s="40"/>
      <c r="AI103" s="41"/>
      <c r="AJ103" s="43"/>
      <c r="AK103" s="40"/>
      <c r="AL103" s="40">
        <f t="shared" si="62"/>
        <v>0</v>
      </c>
      <c r="AM103" s="44">
        <f t="shared" si="41"/>
        <v>0</v>
      </c>
      <c r="AO103" s="39"/>
      <c r="AP103" s="39"/>
      <c r="AQ103" s="39"/>
      <c r="AR103" s="39"/>
      <c r="AS103" s="39"/>
      <c r="AT103" s="94"/>
      <c r="AV103" s="42">
        <f t="shared" si="56"/>
        <v>0</v>
      </c>
      <c r="AW103" s="39"/>
      <c r="AX103" s="39"/>
      <c r="AY103" s="39"/>
      <c r="AZ103" s="39"/>
      <c r="BA103" s="217">
        <f t="shared" si="42"/>
        <v>0</v>
      </c>
      <c r="BC103" s="40"/>
      <c r="BD103" s="40"/>
      <c r="BE103" s="40"/>
      <c r="BF103" s="226">
        <f t="shared" si="61"/>
        <v>0</v>
      </c>
      <c r="BH103" s="40">
        <f t="shared" si="57"/>
        <v>0</v>
      </c>
      <c r="BI103" s="40">
        <f t="shared" si="58"/>
        <v>0</v>
      </c>
      <c r="BJ103" s="40">
        <f t="shared" si="59"/>
        <v>0</v>
      </c>
      <c r="BK103" s="226">
        <f t="shared" si="60"/>
        <v>0</v>
      </c>
      <c r="BM103" s="94"/>
      <c r="BN103" s="39"/>
      <c r="BO103" s="39"/>
      <c r="BP103" s="39"/>
      <c r="BQ103" s="39"/>
      <c r="BR103" s="39"/>
      <c r="BS103" s="39"/>
      <c r="BT103" s="39"/>
      <c r="BU103" s="39"/>
      <c r="BV103" s="39"/>
      <c r="BW103" s="246"/>
    </row>
    <row r="104" spans="1:75" x14ac:dyDescent="0.25">
      <c r="C104" s="39"/>
      <c r="D104" s="39"/>
      <c r="E104" s="54"/>
      <c r="F104" s="39"/>
      <c r="G104" s="54"/>
      <c r="H104" s="39"/>
      <c r="I104" s="54"/>
      <c r="J104" s="54"/>
      <c r="K104" s="40">
        <f>SUMIFS('Working-T05-B1'!L$8:L$150,'Working-T05-B1'!$C$8:$C$150,$D104)</f>
        <v>0</v>
      </c>
      <c r="L104" s="40" cm="1">
        <f t="array" ref="L104">SUMPRODUCT(Sales!$G$3:$H$100*(Sales!$B$3:$B$100=$D104))</f>
        <v>0</v>
      </c>
      <c r="M104" s="55"/>
      <c r="N104" s="40"/>
      <c r="P104" s="40">
        <f>SUMIFS('Working-T05-B1'!O$8:O$150,'Working-T05-B1'!$C$8:$C$150,$D104)</f>
        <v>0</v>
      </c>
      <c r="Q104" s="40"/>
      <c r="R104" s="40"/>
      <c r="S104" s="40">
        <f t="shared" si="48"/>
        <v>0</v>
      </c>
      <c r="T104" s="129"/>
      <c r="U104" s="42"/>
      <c r="V104" s="42"/>
      <c r="W104" s="131"/>
      <c r="X104" s="42">
        <f t="shared" si="49"/>
        <v>0</v>
      </c>
      <c r="Y104" s="41"/>
      <c r="Z104" s="40">
        <f>IF($C104="NĐ",1,IFERROR(SUMIFS(Data_FAGLL03[Amount in local currency],Data_FAGLL03[Offsetting acct no.],$E104,Data_FAGLL03[Material],$G104)/SUMIFS(Data_FAGLL03[Dthu (USD)],Data_FAGLL03[Offsetting acct no.],$E104,Data_FAGLL03[Material],$G104),0))</f>
        <v>0</v>
      </c>
      <c r="AA104" s="121">
        <f t="shared" si="50"/>
        <v>26300</v>
      </c>
      <c r="AB104" s="121">
        <f t="shared" si="50"/>
        <v>26300</v>
      </c>
      <c r="AC104" s="40">
        <f t="shared" si="51"/>
        <v>0</v>
      </c>
      <c r="AD104" s="41"/>
      <c r="AE104" s="40">
        <f t="shared" si="52"/>
        <v>0</v>
      </c>
      <c r="AF104" s="40">
        <f t="shared" si="53"/>
        <v>0</v>
      </c>
      <c r="AG104" s="40">
        <f t="shared" si="54"/>
        <v>0</v>
      </c>
      <c r="AH104" s="40"/>
      <c r="AI104" s="41"/>
      <c r="AJ104" s="43"/>
      <c r="AK104" s="40"/>
      <c r="AL104" s="40">
        <f t="shared" si="62"/>
        <v>0</v>
      </c>
      <c r="AM104" s="44">
        <f t="shared" si="41"/>
        <v>0</v>
      </c>
      <c r="AO104" s="39"/>
      <c r="AP104" s="39"/>
      <c r="AQ104" s="39"/>
      <c r="AR104" s="39"/>
      <c r="AS104" s="39"/>
      <c r="AT104" s="94"/>
      <c r="AV104" s="42">
        <f t="shared" si="56"/>
        <v>0</v>
      </c>
      <c r="AW104" s="39"/>
      <c r="AX104" s="39"/>
      <c r="AY104" s="39"/>
      <c r="AZ104" s="39"/>
      <c r="BA104" s="217">
        <f t="shared" si="42"/>
        <v>0</v>
      </c>
      <c r="BC104" s="40"/>
      <c r="BD104" s="40"/>
      <c r="BE104" s="40"/>
      <c r="BF104" s="226">
        <f t="shared" si="61"/>
        <v>0</v>
      </c>
      <c r="BH104" s="40">
        <f t="shared" si="57"/>
        <v>0</v>
      </c>
      <c r="BI104" s="40">
        <f t="shared" si="58"/>
        <v>0</v>
      </c>
      <c r="BJ104" s="40">
        <f t="shared" si="59"/>
        <v>0</v>
      </c>
      <c r="BK104" s="226">
        <f t="shared" si="60"/>
        <v>0</v>
      </c>
      <c r="BM104" s="94"/>
      <c r="BN104" s="39"/>
      <c r="BO104" s="39"/>
      <c r="BP104" s="39"/>
      <c r="BQ104" s="39"/>
      <c r="BR104" s="39"/>
      <c r="BS104" s="39"/>
      <c r="BT104" s="39"/>
      <c r="BU104" s="39"/>
      <c r="BV104" s="39"/>
      <c r="BW104" s="246"/>
    </row>
    <row r="105" spans="1:75" x14ac:dyDescent="0.25">
      <c r="C105" s="39"/>
      <c r="D105" s="39"/>
      <c r="E105" s="54"/>
      <c r="F105" s="39"/>
      <c r="G105" s="54"/>
      <c r="H105" s="39"/>
      <c r="I105" s="54"/>
      <c r="J105" s="54"/>
      <c r="K105" s="40">
        <f>SUMIFS('Working-T05-B1'!L$8:L$150,'Working-T05-B1'!$C$8:$C$150,$D105)</f>
        <v>0</v>
      </c>
      <c r="L105" s="40" cm="1">
        <f t="array" ref="L105">SUMPRODUCT(Sales!$G$3:$H$100*(Sales!$B$3:$B$100=$D105))</f>
        <v>0</v>
      </c>
      <c r="M105" s="55"/>
      <c r="N105" s="40"/>
      <c r="P105" s="40">
        <f>SUMIFS('Working-T05-B1'!O$8:O$150,'Working-T05-B1'!$C$8:$C$150,$D105)</f>
        <v>0</v>
      </c>
      <c r="Q105" s="40"/>
      <c r="R105" s="40"/>
      <c r="S105" s="40">
        <f t="shared" si="48"/>
        <v>0</v>
      </c>
      <c r="T105" s="129"/>
      <c r="U105" s="42"/>
      <c r="V105" s="42"/>
      <c r="W105" s="131"/>
      <c r="X105" s="42">
        <f t="shared" si="49"/>
        <v>0</v>
      </c>
      <c r="Y105" s="41"/>
      <c r="Z105" s="40">
        <f>IF($C105="NĐ",1,IFERROR(SUMIFS(Data_FAGLL03[Amount in local currency],Data_FAGLL03[Offsetting acct no.],$E105,Data_FAGLL03[Material],$G105)/SUMIFS(Data_FAGLL03[Dthu (USD)],Data_FAGLL03[Offsetting acct no.],$E105,Data_FAGLL03[Material],$G105),0))</f>
        <v>0</v>
      </c>
      <c r="AA105" s="121">
        <f t="shared" si="50"/>
        <v>26300</v>
      </c>
      <c r="AB105" s="121">
        <f t="shared" si="50"/>
        <v>26300</v>
      </c>
      <c r="AC105" s="40">
        <f t="shared" si="51"/>
        <v>0</v>
      </c>
      <c r="AD105" s="41"/>
      <c r="AE105" s="40">
        <f t="shared" si="52"/>
        <v>0</v>
      </c>
      <c r="AF105" s="40">
        <f t="shared" si="53"/>
        <v>0</v>
      </c>
      <c r="AG105" s="40">
        <f t="shared" si="54"/>
        <v>0</v>
      </c>
      <c r="AH105" s="40"/>
      <c r="AI105" s="41"/>
      <c r="AJ105" s="43"/>
      <c r="AK105" s="40"/>
      <c r="AL105" s="40">
        <f t="shared" si="62"/>
        <v>0</v>
      </c>
      <c r="AM105" s="44">
        <f t="shared" si="41"/>
        <v>0</v>
      </c>
      <c r="AO105" s="39"/>
      <c r="AP105" s="39"/>
      <c r="AQ105" s="39"/>
      <c r="AR105" s="39"/>
      <c r="AS105" s="39"/>
      <c r="AT105" s="94"/>
      <c r="AV105" s="42">
        <f t="shared" si="56"/>
        <v>0</v>
      </c>
      <c r="AW105" s="39"/>
      <c r="AX105" s="39"/>
      <c r="AY105" s="39"/>
      <c r="AZ105" s="39"/>
      <c r="BA105" s="217">
        <f t="shared" si="42"/>
        <v>0</v>
      </c>
      <c r="BC105" s="40"/>
      <c r="BD105" s="40"/>
      <c r="BE105" s="40"/>
      <c r="BF105" s="226">
        <f t="shared" si="61"/>
        <v>0</v>
      </c>
      <c r="BH105" s="40">
        <f t="shared" si="57"/>
        <v>0</v>
      </c>
      <c r="BI105" s="40">
        <f t="shared" si="58"/>
        <v>0</v>
      </c>
      <c r="BJ105" s="40">
        <f t="shared" si="59"/>
        <v>0</v>
      </c>
      <c r="BK105" s="226">
        <f t="shared" si="60"/>
        <v>0</v>
      </c>
      <c r="BM105" s="94"/>
      <c r="BN105" s="39"/>
      <c r="BO105" s="39"/>
      <c r="BP105" s="39"/>
      <c r="BQ105" s="39"/>
      <c r="BR105" s="39"/>
      <c r="BS105" s="39"/>
      <c r="BT105" s="39"/>
      <c r="BU105" s="39"/>
      <c r="BV105" s="39"/>
      <c r="BW105" s="246"/>
    </row>
    <row r="106" spans="1:75" x14ac:dyDescent="0.25">
      <c r="C106" s="39"/>
      <c r="D106" s="39"/>
      <c r="E106" s="54"/>
      <c r="F106" s="39"/>
      <c r="G106" s="54"/>
      <c r="H106" s="39"/>
      <c r="I106" s="54"/>
      <c r="J106" s="54"/>
      <c r="K106" s="40">
        <f>SUMIFS('Working-T05-B1'!L$8:L$150,'Working-T05-B1'!$C$8:$C$150,$D106)</f>
        <v>0</v>
      </c>
      <c r="L106" s="40" cm="1">
        <f t="array" ref="L106">SUMPRODUCT(Sales!$G$3:$H$100*(Sales!$B$3:$B$100=$D106))</f>
        <v>0</v>
      </c>
      <c r="M106" s="55"/>
      <c r="N106" s="40"/>
      <c r="P106" s="40">
        <f>SUMIFS('Working-T05-B1'!O$8:O$150,'Working-T05-B1'!$C$8:$C$150,$D106)</f>
        <v>0</v>
      </c>
      <c r="Q106" s="40"/>
      <c r="R106" s="40"/>
      <c r="S106" s="40">
        <f t="shared" si="48"/>
        <v>0</v>
      </c>
      <c r="T106" s="129"/>
      <c r="U106" s="42"/>
      <c r="V106" s="42"/>
      <c r="W106" s="131"/>
      <c r="X106" s="42">
        <f t="shared" si="49"/>
        <v>0</v>
      </c>
      <c r="Y106" s="41"/>
      <c r="Z106" s="40">
        <f>IF($C106="NĐ",1,IFERROR(SUMIFS(Data_FAGLL03[Amount in local currency],Data_FAGLL03[Offsetting acct no.],$E106,Data_FAGLL03[Material],$G106)/SUMIFS(Data_FAGLL03[Dthu (USD)],Data_FAGLL03[Offsetting acct no.],$E106,Data_FAGLL03[Material],$G106),0))</f>
        <v>0</v>
      </c>
      <c r="AA106" s="121">
        <f t="shared" si="50"/>
        <v>26300</v>
      </c>
      <c r="AB106" s="121">
        <f t="shared" si="50"/>
        <v>26300</v>
      </c>
      <c r="AC106" s="40">
        <f t="shared" si="51"/>
        <v>0</v>
      </c>
      <c r="AD106" s="41"/>
      <c r="AE106" s="40">
        <f t="shared" si="52"/>
        <v>0</v>
      </c>
      <c r="AF106" s="40">
        <f t="shared" si="53"/>
        <v>0</v>
      </c>
      <c r="AG106" s="40">
        <f t="shared" si="54"/>
        <v>0</v>
      </c>
      <c r="AH106" s="40"/>
      <c r="AI106" s="41"/>
      <c r="AJ106" s="43"/>
      <c r="AK106" s="40"/>
      <c r="AL106" s="40">
        <f t="shared" si="62"/>
        <v>0</v>
      </c>
      <c r="AM106" s="44">
        <f t="shared" si="41"/>
        <v>0</v>
      </c>
      <c r="AO106" s="39"/>
      <c r="AP106" s="39"/>
      <c r="AQ106" s="39"/>
      <c r="AR106" s="39"/>
      <c r="AS106" s="39"/>
      <c r="AT106" s="94"/>
      <c r="AV106" s="42">
        <f t="shared" si="56"/>
        <v>0</v>
      </c>
      <c r="AW106" s="39"/>
      <c r="AX106" s="39"/>
      <c r="AY106" s="39"/>
      <c r="AZ106" s="39"/>
      <c r="BA106" s="217">
        <f t="shared" si="42"/>
        <v>0</v>
      </c>
      <c r="BC106" s="40"/>
      <c r="BD106" s="40"/>
      <c r="BE106" s="40"/>
      <c r="BF106" s="226">
        <f t="shared" si="61"/>
        <v>0</v>
      </c>
      <c r="BH106" s="40">
        <f t="shared" si="57"/>
        <v>0</v>
      </c>
      <c r="BI106" s="40">
        <f t="shared" si="58"/>
        <v>0</v>
      </c>
      <c r="BJ106" s="40">
        <f t="shared" si="59"/>
        <v>0</v>
      </c>
      <c r="BK106" s="226">
        <f t="shared" si="60"/>
        <v>0</v>
      </c>
      <c r="BM106" s="94"/>
      <c r="BN106" s="39"/>
      <c r="BO106" s="39"/>
      <c r="BP106" s="39"/>
      <c r="BQ106" s="39"/>
      <c r="BR106" s="39"/>
      <c r="BS106" s="39"/>
      <c r="BT106" s="39"/>
      <c r="BU106" s="39"/>
      <c r="BV106" s="39"/>
      <c r="BW106" s="246"/>
    </row>
    <row r="107" spans="1:75" x14ac:dyDescent="0.25">
      <c r="C107" s="39"/>
      <c r="D107" s="39"/>
      <c r="E107" s="54"/>
      <c r="F107" s="39"/>
      <c r="G107" s="54"/>
      <c r="H107" s="39"/>
      <c r="I107" s="54"/>
      <c r="J107" s="54"/>
      <c r="K107" s="40">
        <f>SUMIFS('Working-T05-B1'!L$8:L$150,'Working-T05-B1'!$C$8:$C$150,$D107)</f>
        <v>0</v>
      </c>
      <c r="L107" s="40" cm="1">
        <f t="array" ref="L107">SUMPRODUCT(Sales!$G$3:$H$100*(Sales!$B$3:$B$100=$D107))</f>
        <v>0</v>
      </c>
      <c r="M107" s="55"/>
      <c r="N107" s="40"/>
      <c r="P107" s="40">
        <f>SUMIFS('Working-T05-B1'!O$8:O$150,'Working-T05-B1'!$C$8:$C$150,$D107)</f>
        <v>0</v>
      </c>
      <c r="Q107" s="40"/>
      <c r="R107" s="40"/>
      <c r="S107" s="40">
        <f t="shared" si="48"/>
        <v>0</v>
      </c>
      <c r="T107" s="129"/>
      <c r="U107" s="42"/>
      <c r="V107" s="42"/>
      <c r="W107" s="131"/>
      <c r="X107" s="42">
        <f t="shared" si="49"/>
        <v>0</v>
      </c>
      <c r="Y107" s="41"/>
      <c r="Z107" s="40">
        <f>IF($C107="NĐ",1,IFERROR(SUMIFS(Data_FAGLL03[Amount in local currency],Data_FAGLL03[Offsetting acct no.],$E107,Data_FAGLL03[Material],$G107)/SUMIFS(Data_FAGLL03[Dthu (USD)],Data_FAGLL03[Offsetting acct no.],$E107,Data_FAGLL03[Material],$G107),0))</f>
        <v>0</v>
      </c>
      <c r="AA107" s="121">
        <f t="shared" si="50"/>
        <v>26300</v>
      </c>
      <c r="AB107" s="121">
        <f t="shared" si="50"/>
        <v>26300</v>
      </c>
      <c r="AC107" s="40">
        <f t="shared" si="51"/>
        <v>0</v>
      </c>
      <c r="AD107" s="41"/>
      <c r="AE107" s="40">
        <f t="shared" si="52"/>
        <v>0</v>
      </c>
      <c r="AF107" s="40">
        <f t="shared" si="53"/>
        <v>0</v>
      </c>
      <c r="AG107" s="40">
        <f t="shared" si="54"/>
        <v>0</v>
      </c>
      <c r="AH107" s="40"/>
      <c r="AI107" s="41"/>
      <c r="AJ107" s="43"/>
      <c r="AK107" s="40"/>
      <c r="AL107" s="40">
        <f t="shared" si="62"/>
        <v>0</v>
      </c>
      <c r="AM107" s="44">
        <f t="shared" si="41"/>
        <v>0</v>
      </c>
      <c r="AO107" s="39"/>
      <c r="AP107" s="39"/>
      <c r="AQ107" s="39"/>
      <c r="AR107" s="39"/>
      <c r="AS107" s="39"/>
      <c r="AT107" s="94"/>
      <c r="AV107" s="42">
        <f t="shared" si="56"/>
        <v>0</v>
      </c>
      <c r="AW107" s="39"/>
      <c r="AX107" s="39"/>
      <c r="AY107" s="39"/>
      <c r="AZ107" s="39"/>
      <c r="BA107" s="217">
        <f t="shared" si="42"/>
        <v>0</v>
      </c>
      <c r="BC107" s="40"/>
      <c r="BD107" s="40"/>
      <c r="BE107" s="40"/>
      <c r="BF107" s="226">
        <f t="shared" si="61"/>
        <v>0</v>
      </c>
      <c r="BH107" s="40">
        <f t="shared" si="57"/>
        <v>0</v>
      </c>
      <c r="BI107" s="40">
        <f t="shared" si="58"/>
        <v>0</v>
      </c>
      <c r="BJ107" s="40">
        <f t="shared" si="59"/>
        <v>0</v>
      </c>
      <c r="BK107" s="226">
        <f t="shared" si="60"/>
        <v>0</v>
      </c>
      <c r="BM107" s="94"/>
      <c r="BN107" s="39"/>
      <c r="BO107" s="39"/>
      <c r="BP107" s="39"/>
      <c r="BQ107" s="39"/>
      <c r="BR107" s="39"/>
      <c r="BS107" s="39"/>
      <c r="BT107" s="39"/>
      <c r="BU107" s="39"/>
      <c r="BV107" s="39"/>
      <c r="BW107" s="246"/>
    </row>
    <row r="108" spans="1:75" x14ac:dyDescent="0.25">
      <c r="C108" s="39"/>
      <c r="D108" s="39"/>
      <c r="E108" s="54"/>
      <c r="F108" s="39"/>
      <c r="G108" s="54"/>
      <c r="H108" s="39"/>
      <c r="I108" s="54"/>
      <c r="J108" s="54"/>
      <c r="K108" s="40">
        <f>SUMIFS('Working-T05-B1'!L$8:L$150,'Working-T05-B1'!$C$8:$C$150,$D108)</f>
        <v>0</v>
      </c>
      <c r="L108" s="40" cm="1">
        <f t="array" ref="L108">SUMPRODUCT(Sales!$G$3:$H$100*(Sales!$B$3:$B$100=$D108))</f>
        <v>0</v>
      </c>
      <c r="M108" s="55"/>
      <c r="N108" s="40"/>
      <c r="P108" s="40">
        <f>SUMIFS('Working-T05-B1'!O$8:O$150,'Working-T05-B1'!$C$8:$C$150,$D108)</f>
        <v>0</v>
      </c>
      <c r="Q108" s="40"/>
      <c r="R108" s="40"/>
      <c r="S108" s="40">
        <f t="shared" si="48"/>
        <v>0</v>
      </c>
      <c r="T108" s="129"/>
      <c r="U108" s="42"/>
      <c r="V108" s="42"/>
      <c r="W108" s="131"/>
      <c r="X108" s="42">
        <f t="shared" si="49"/>
        <v>0</v>
      </c>
      <c r="Y108" s="41"/>
      <c r="Z108" s="40">
        <f>IF($C108="NĐ",1,IFERROR(SUMIFS(Data_FAGLL03[Amount in local currency],Data_FAGLL03[Offsetting acct no.],$E108,Data_FAGLL03[Material],$G108)/SUMIFS(Data_FAGLL03[Dthu (USD)],Data_FAGLL03[Offsetting acct no.],$E108,Data_FAGLL03[Material],$G108),0))</f>
        <v>0</v>
      </c>
      <c r="AA108" s="121">
        <f t="shared" si="50"/>
        <v>26300</v>
      </c>
      <c r="AB108" s="121">
        <f t="shared" si="50"/>
        <v>26300</v>
      </c>
      <c r="AC108" s="40">
        <f t="shared" si="51"/>
        <v>0</v>
      </c>
      <c r="AD108" s="41"/>
      <c r="AE108" s="40">
        <f t="shared" si="52"/>
        <v>0</v>
      </c>
      <c r="AF108" s="40">
        <f t="shared" si="53"/>
        <v>0</v>
      </c>
      <c r="AG108" s="40">
        <f t="shared" si="54"/>
        <v>0</v>
      </c>
      <c r="AH108" s="40"/>
      <c r="AI108" s="41"/>
      <c r="AJ108" s="43"/>
      <c r="AK108" s="40"/>
      <c r="AL108" s="40">
        <f t="shared" si="62"/>
        <v>0</v>
      </c>
      <c r="AM108" s="44">
        <f t="shared" si="41"/>
        <v>0</v>
      </c>
      <c r="AO108" s="39"/>
      <c r="AP108" s="39"/>
      <c r="AQ108" s="39"/>
      <c r="AR108" s="39"/>
      <c r="AS108" s="39"/>
      <c r="AT108" s="94"/>
      <c r="AV108" s="42">
        <f t="shared" si="56"/>
        <v>0</v>
      </c>
      <c r="AW108" s="39"/>
      <c r="AX108" s="39"/>
      <c r="AY108" s="39"/>
      <c r="AZ108" s="39"/>
      <c r="BA108" s="217">
        <f t="shared" si="42"/>
        <v>0</v>
      </c>
      <c r="BC108" s="40"/>
      <c r="BD108" s="40"/>
      <c r="BE108" s="40"/>
      <c r="BF108" s="226">
        <f t="shared" si="61"/>
        <v>0</v>
      </c>
      <c r="BH108" s="40">
        <f t="shared" si="57"/>
        <v>0</v>
      </c>
      <c r="BI108" s="40">
        <f t="shared" si="58"/>
        <v>0</v>
      </c>
      <c r="BJ108" s="40">
        <f t="shared" si="59"/>
        <v>0</v>
      </c>
      <c r="BK108" s="226">
        <f t="shared" si="60"/>
        <v>0</v>
      </c>
      <c r="BM108" s="94"/>
      <c r="BN108" s="39"/>
      <c r="BO108" s="39"/>
      <c r="BP108" s="39"/>
      <c r="BQ108" s="39"/>
      <c r="BR108" s="39"/>
      <c r="BS108" s="39"/>
      <c r="BT108" s="39"/>
      <c r="BU108" s="39"/>
      <c r="BV108" s="39"/>
      <c r="BW108" s="246"/>
    </row>
    <row r="109" spans="1:75" x14ac:dyDescent="0.25">
      <c r="C109" s="39"/>
      <c r="D109" s="39"/>
      <c r="E109" s="54"/>
      <c r="F109" s="39"/>
      <c r="G109" s="54"/>
      <c r="H109" s="39"/>
      <c r="I109" s="54"/>
      <c r="J109" s="54"/>
      <c r="K109" s="40">
        <f>SUMIFS('Working-T05-B1'!L$8:L$150,'Working-T05-B1'!$C$8:$C$150,$D109)</f>
        <v>0</v>
      </c>
      <c r="L109" s="40" cm="1">
        <f t="array" ref="L109">SUMPRODUCT(Sales!$G$3:$H$100*(Sales!$B$3:$B$100=$D109))</f>
        <v>0</v>
      </c>
      <c r="M109" s="55"/>
      <c r="N109" s="40"/>
      <c r="P109" s="40">
        <f>SUMIFS('Working-T05-B1'!O$8:O$150,'Working-T05-B1'!$C$8:$C$150,$D109)</f>
        <v>0</v>
      </c>
      <c r="Q109" s="40"/>
      <c r="R109" s="40"/>
      <c r="S109" s="40">
        <f t="shared" si="48"/>
        <v>0</v>
      </c>
      <c r="T109" s="129"/>
      <c r="U109" s="42"/>
      <c r="V109" s="42"/>
      <c r="W109" s="131"/>
      <c r="X109" s="42">
        <f t="shared" si="49"/>
        <v>0</v>
      </c>
      <c r="Y109" s="41"/>
      <c r="Z109" s="40">
        <f>IF($C109="NĐ",1,IFERROR(SUMIFS(Data_FAGLL03[Amount in local currency],Data_FAGLL03[Offsetting acct no.],$E109,Data_FAGLL03[Material],$G109)/SUMIFS(Data_FAGLL03[Dthu (USD)],Data_FAGLL03[Offsetting acct no.],$E109,Data_FAGLL03[Material],$G109),0))</f>
        <v>0</v>
      </c>
      <c r="AA109" s="121">
        <f t="shared" si="50"/>
        <v>26300</v>
      </c>
      <c r="AB109" s="121">
        <f t="shared" si="50"/>
        <v>26300</v>
      </c>
      <c r="AC109" s="40">
        <f t="shared" si="51"/>
        <v>0</v>
      </c>
      <c r="AD109" s="41"/>
      <c r="AE109" s="40">
        <f t="shared" si="52"/>
        <v>0</v>
      </c>
      <c r="AF109" s="40">
        <f t="shared" si="53"/>
        <v>0</v>
      </c>
      <c r="AG109" s="40">
        <f t="shared" si="54"/>
        <v>0</v>
      </c>
      <c r="AH109" s="40"/>
      <c r="AI109" s="41"/>
      <c r="AJ109" s="43"/>
      <c r="AK109" s="40"/>
      <c r="AL109" s="40">
        <f t="shared" si="62"/>
        <v>0</v>
      </c>
      <c r="AM109" s="44">
        <f t="shared" si="41"/>
        <v>0</v>
      </c>
      <c r="AO109" s="39"/>
      <c r="AP109" s="39"/>
      <c r="AQ109" s="39"/>
      <c r="AR109" s="39"/>
      <c r="AS109" s="39"/>
      <c r="AT109" s="94"/>
      <c r="AV109" s="42">
        <f t="shared" si="56"/>
        <v>0</v>
      </c>
      <c r="AW109" s="39"/>
      <c r="AX109" s="39"/>
      <c r="AY109" s="39"/>
      <c r="AZ109" s="39"/>
      <c r="BA109" s="217">
        <f t="shared" si="42"/>
        <v>0</v>
      </c>
      <c r="BC109" s="40"/>
      <c r="BD109" s="40"/>
      <c r="BE109" s="40"/>
      <c r="BF109" s="226">
        <f t="shared" si="61"/>
        <v>0</v>
      </c>
      <c r="BH109" s="40">
        <f t="shared" si="57"/>
        <v>0</v>
      </c>
      <c r="BI109" s="40">
        <f t="shared" si="58"/>
        <v>0</v>
      </c>
      <c r="BJ109" s="40">
        <f t="shared" si="59"/>
        <v>0</v>
      </c>
      <c r="BK109" s="226">
        <f t="shared" si="60"/>
        <v>0</v>
      </c>
      <c r="BM109" s="94"/>
      <c r="BN109" s="39"/>
      <c r="BO109" s="39"/>
      <c r="BP109" s="39"/>
      <c r="BQ109" s="39"/>
      <c r="BR109" s="39"/>
      <c r="BS109" s="39"/>
      <c r="BT109" s="39"/>
      <c r="BU109" s="39"/>
      <c r="BV109" s="39"/>
      <c r="BW109" s="246"/>
    </row>
    <row r="110" spans="1:75" x14ac:dyDescent="0.25">
      <c r="C110" s="39"/>
      <c r="D110" s="39"/>
      <c r="E110" s="54"/>
      <c r="F110" s="39"/>
      <c r="G110" s="54"/>
      <c r="H110" s="39"/>
      <c r="I110" s="54"/>
      <c r="J110" s="54"/>
      <c r="K110" s="40">
        <f>SUMIFS('Working-T05-B1'!L$8:L$150,'Working-T05-B1'!$C$8:$C$150,$D110)</f>
        <v>0</v>
      </c>
      <c r="L110" s="40" cm="1">
        <f t="array" ref="L110">SUMPRODUCT(Sales!$G$3:$H$100*(Sales!$B$3:$B$100=$D110))</f>
        <v>0</v>
      </c>
      <c r="M110" s="55"/>
      <c r="N110" s="40"/>
      <c r="P110" s="40">
        <f>SUMIFS('Working-T05-B1'!O$8:O$150,'Working-T05-B1'!$C$8:$C$150,$D110)</f>
        <v>0</v>
      </c>
      <c r="Q110" s="40"/>
      <c r="R110" s="40"/>
      <c r="S110" s="40">
        <f t="shared" si="48"/>
        <v>0</v>
      </c>
      <c r="T110" s="129"/>
      <c r="U110" s="42"/>
      <c r="V110" s="42"/>
      <c r="W110" s="131"/>
      <c r="X110" s="42">
        <f t="shared" si="49"/>
        <v>0</v>
      </c>
      <c r="Y110" s="41"/>
      <c r="Z110" s="40">
        <f>IF($C110="NĐ",1,IFERROR(SUMIFS(Data_FAGLL03[Amount in local currency],Data_FAGLL03[Offsetting acct no.],$E110,Data_FAGLL03[Material],$G110)/SUMIFS(Data_FAGLL03[Dthu (USD)],Data_FAGLL03[Offsetting acct no.],$E110,Data_FAGLL03[Material],$G110),0))</f>
        <v>0</v>
      </c>
      <c r="AA110" s="121">
        <f t="shared" si="50"/>
        <v>26300</v>
      </c>
      <c r="AB110" s="121">
        <f t="shared" si="50"/>
        <v>26300</v>
      </c>
      <c r="AC110" s="40">
        <f t="shared" si="51"/>
        <v>0</v>
      </c>
      <c r="AD110" s="41"/>
      <c r="AE110" s="40">
        <f t="shared" si="52"/>
        <v>0</v>
      </c>
      <c r="AF110" s="40">
        <f t="shared" si="53"/>
        <v>0</v>
      </c>
      <c r="AG110" s="40">
        <f t="shared" si="54"/>
        <v>0</v>
      </c>
      <c r="AH110" s="40"/>
      <c r="AI110" s="41"/>
      <c r="AJ110" s="43"/>
      <c r="AK110" s="40"/>
      <c r="AL110" s="40">
        <f t="shared" si="62"/>
        <v>0</v>
      </c>
      <c r="AM110" s="44">
        <f t="shared" si="41"/>
        <v>0</v>
      </c>
      <c r="AO110" s="39"/>
      <c r="AP110" s="39"/>
      <c r="AQ110" s="39"/>
      <c r="AR110" s="39"/>
      <c r="AS110" s="39"/>
      <c r="AT110" s="94"/>
      <c r="AV110" s="42">
        <f t="shared" si="56"/>
        <v>0</v>
      </c>
      <c r="AW110" s="39"/>
      <c r="AX110" s="39"/>
      <c r="AY110" s="39"/>
      <c r="AZ110" s="39"/>
      <c r="BA110" s="217">
        <f t="shared" si="42"/>
        <v>0</v>
      </c>
      <c r="BC110" s="40"/>
      <c r="BD110" s="40"/>
      <c r="BE110" s="40"/>
      <c r="BF110" s="226">
        <f t="shared" si="61"/>
        <v>0</v>
      </c>
      <c r="BH110" s="40">
        <f t="shared" si="57"/>
        <v>0</v>
      </c>
      <c r="BI110" s="40">
        <f t="shared" si="58"/>
        <v>0</v>
      </c>
      <c r="BJ110" s="40">
        <f t="shared" si="59"/>
        <v>0</v>
      </c>
      <c r="BK110" s="226">
        <f t="shared" si="60"/>
        <v>0</v>
      </c>
      <c r="BM110" s="94"/>
      <c r="BN110" s="39"/>
      <c r="BO110" s="39"/>
      <c r="BP110" s="39"/>
      <c r="BQ110" s="39"/>
      <c r="BR110" s="39"/>
      <c r="BS110" s="39"/>
      <c r="BT110" s="39"/>
      <c r="BU110" s="39"/>
      <c r="BV110" s="39"/>
      <c r="BW110" s="246"/>
    </row>
    <row r="111" spans="1:75" x14ac:dyDescent="0.25">
      <c r="C111" s="39"/>
      <c r="D111" s="39"/>
      <c r="E111" s="54"/>
      <c r="F111" s="39"/>
      <c r="G111" s="54"/>
      <c r="H111" s="39"/>
      <c r="I111" s="54"/>
      <c r="J111" s="54"/>
      <c r="K111" s="40">
        <f>SUMIFS('Working-T05-B1'!L$8:L$150,'Working-T05-B1'!$C$8:$C$150,$D111)</f>
        <v>0</v>
      </c>
      <c r="L111" s="40" cm="1">
        <f t="array" ref="L111">SUMPRODUCT(Sales!$G$3:$H$100*(Sales!$B$3:$B$100=$D111))</f>
        <v>0</v>
      </c>
      <c r="M111" s="55"/>
      <c r="N111" s="40"/>
      <c r="P111" s="40">
        <f>SUMIFS('Working-T05-B1'!O$8:O$150,'Working-T05-B1'!$C$8:$C$150,$D111)</f>
        <v>0</v>
      </c>
      <c r="Q111" s="40"/>
      <c r="R111" s="40"/>
      <c r="S111" s="40">
        <f t="shared" si="48"/>
        <v>0</v>
      </c>
      <c r="T111" s="129"/>
      <c r="U111" s="42"/>
      <c r="V111" s="42"/>
      <c r="W111" s="131"/>
      <c r="X111" s="42">
        <f t="shared" si="49"/>
        <v>0</v>
      </c>
      <c r="Y111" s="41"/>
      <c r="Z111" s="40">
        <f>IF($C111="NĐ",1,IFERROR(SUMIFS(Data_FAGLL03[Amount in local currency],Data_FAGLL03[Offsetting acct no.],$E111,Data_FAGLL03[Material],$G111)/SUMIFS(Data_FAGLL03[Dthu (USD)],Data_FAGLL03[Offsetting acct no.],$E111,Data_FAGLL03[Material],$G111),0))</f>
        <v>0</v>
      </c>
      <c r="AA111" s="121">
        <f t="shared" si="50"/>
        <v>26300</v>
      </c>
      <c r="AB111" s="121">
        <f t="shared" si="50"/>
        <v>26300</v>
      </c>
      <c r="AC111" s="40">
        <f t="shared" si="51"/>
        <v>0</v>
      </c>
      <c r="AD111" s="41"/>
      <c r="AE111" s="40">
        <f t="shared" si="52"/>
        <v>0</v>
      </c>
      <c r="AF111" s="40">
        <f t="shared" si="53"/>
        <v>0</v>
      </c>
      <c r="AG111" s="40">
        <f t="shared" si="54"/>
        <v>0</v>
      </c>
      <c r="AH111" s="40"/>
      <c r="AI111" s="41"/>
      <c r="AJ111" s="43"/>
      <c r="AK111" s="40"/>
      <c r="AL111" s="40">
        <f t="shared" si="62"/>
        <v>0</v>
      </c>
      <c r="AM111" s="44">
        <f t="shared" si="41"/>
        <v>0</v>
      </c>
      <c r="AO111" s="39"/>
      <c r="AP111" s="39"/>
      <c r="AQ111" s="39"/>
      <c r="AR111" s="39"/>
      <c r="AS111" s="39"/>
      <c r="AT111" s="94"/>
      <c r="AV111" s="42">
        <f t="shared" si="56"/>
        <v>0</v>
      </c>
      <c r="AW111" s="39"/>
      <c r="AX111" s="39"/>
      <c r="AY111" s="39"/>
      <c r="AZ111" s="39"/>
      <c r="BA111" s="217">
        <f t="shared" si="42"/>
        <v>0</v>
      </c>
      <c r="BC111" s="40"/>
      <c r="BD111" s="40"/>
      <c r="BE111" s="40"/>
      <c r="BF111" s="226">
        <f t="shared" si="61"/>
        <v>0</v>
      </c>
      <c r="BH111" s="40">
        <f t="shared" si="57"/>
        <v>0</v>
      </c>
      <c r="BI111" s="40">
        <f t="shared" si="58"/>
        <v>0</v>
      </c>
      <c r="BJ111" s="40">
        <f t="shared" si="59"/>
        <v>0</v>
      </c>
      <c r="BK111" s="226">
        <f t="shared" si="60"/>
        <v>0</v>
      </c>
      <c r="BM111" s="94"/>
      <c r="BN111" s="39"/>
      <c r="BO111" s="39"/>
      <c r="BP111" s="39"/>
      <c r="BQ111" s="39"/>
      <c r="BR111" s="39"/>
      <c r="BS111" s="39"/>
      <c r="BT111" s="39"/>
      <c r="BU111" s="39"/>
      <c r="BV111" s="39"/>
      <c r="BW111" s="246"/>
    </row>
    <row r="112" spans="1:75" x14ac:dyDescent="0.25">
      <c r="C112" s="39"/>
      <c r="D112" s="39"/>
      <c r="E112" s="54"/>
      <c r="F112" s="39"/>
      <c r="G112" s="54"/>
      <c r="H112" s="39"/>
      <c r="I112" s="54"/>
      <c r="J112" s="54"/>
      <c r="K112" s="40">
        <f>SUMIFS('Working-T05-B1'!L$8:L$150,'Working-T05-B1'!$C$8:$C$150,$D112)</f>
        <v>0</v>
      </c>
      <c r="L112" s="40" cm="1">
        <f t="array" ref="L112">SUMPRODUCT(Sales!$G$3:$H$100*(Sales!$B$3:$B$100=$D112))</f>
        <v>0</v>
      </c>
      <c r="M112" s="55"/>
      <c r="N112" s="40"/>
      <c r="P112" s="40">
        <f>SUMIFS('Working-T05-B1'!O$8:O$150,'Working-T05-B1'!$C$8:$C$150,$D112)</f>
        <v>0</v>
      </c>
      <c r="Q112" s="40"/>
      <c r="R112" s="40"/>
      <c r="S112" s="40">
        <f t="shared" si="48"/>
        <v>0</v>
      </c>
      <c r="T112" s="129"/>
      <c r="U112" s="42"/>
      <c r="V112" s="42"/>
      <c r="W112" s="131"/>
      <c r="X112" s="42">
        <f t="shared" si="49"/>
        <v>0</v>
      </c>
      <c r="Y112" s="41"/>
      <c r="Z112" s="40">
        <f>IF($C112="NĐ",1,IFERROR(SUMIFS(Data_FAGLL03[Amount in local currency],Data_FAGLL03[Offsetting acct no.],$E112,Data_FAGLL03[Material],$G112)/SUMIFS(Data_FAGLL03[Dthu (USD)],Data_FAGLL03[Offsetting acct no.],$E112,Data_FAGLL03[Material],$G112),0))</f>
        <v>0</v>
      </c>
      <c r="AA112" s="121">
        <f t="shared" si="50"/>
        <v>26300</v>
      </c>
      <c r="AB112" s="121">
        <f t="shared" si="50"/>
        <v>26300</v>
      </c>
      <c r="AC112" s="40">
        <f t="shared" si="51"/>
        <v>0</v>
      </c>
      <c r="AD112" s="41"/>
      <c r="AE112" s="40">
        <f t="shared" si="52"/>
        <v>0</v>
      </c>
      <c r="AF112" s="40">
        <f t="shared" si="53"/>
        <v>0</v>
      </c>
      <c r="AG112" s="40">
        <f t="shared" si="54"/>
        <v>0</v>
      </c>
      <c r="AH112" s="40"/>
      <c r="AI112" s="41"/>
      <c r="AJ112" s="43"/>
      <c r="AK112" s="40"/>
      <c r="AL112" s="40">
        <f t="shared" si="62"/>
        <v>0</v>
      </c>
      <c r="AM112" s="44">
        <f t="shared" si="41"/>
        <v>0</v>
      </c>
      <c r="AO112" s="39"/>
      <c r="AP112" s="39"/>
      <c r="AQ112" s="39"/>
      <c r="AR112" s="39"/>
      <c r="AS112" s="39"/>
      <c r="AT112" s="94"/>
      <c r="AV112" s="42">
        <f t="shared" si="56"/>
        <v>0</v>
      </c>
      <c r="AW112" s="39"/>
      <c r="AX112" s="39"/>
      <c r="AY112" s="39"/>
      <c r="AZ112" s="39"/>
      <c r="BA112" s="217">
        <f t="shared" si="42"/>
        <v>0</v>
      </c>
      <c r="BC112" s="40"/>
      <c r="BD112" s="40"/>
      <c r="BE112" s="40"/>
      <c r="BF112" s="226">
        <f t="shared" si="61"/>
        <v>0</v>
      </c>
      <c r="BH112" s="40">
        <f t="shared" si="57"/>
        <v>0</v>
      </c>
      <c r="BI112" s="40">
        <f t="shared" si="58"/>
        <v>0</v>
      </c>
      <c r="BJ112" s="40">
        <f t="shared" si="59"/>
        <v>0</v>
      </c>
      <c r="BK112" s="226">
        <f t="shared" si="60"/>
        <v>0</v>
      </c>
      <c r="BM112" s="94"/>
      <c r="BN112" s="39"/>
      <c r="BO112" s="39"/>
      <c r="BP112" s="39"/>
      <c r="BQ112" s="39"/>
      <c r="BR112" s="39"/>
      <c r="BS112" s="39"/>
      <c r="BT112" s="39"/>
      <c r="BU112" s="39"/>
      <c r="BV112" s="39"/>
      <c r="BW112" s="246"/>
    </row>
    <row r="113" spans="3:75" x14ac:dyDescent="0.25">
      <c r="C113" s="39"/>
      <c r="D113" s="39"/>
      <c r="E113" s="54"/>
      <c r="F113" s="39"/>
      <c r="G113" s="54"/>
      <c r="H113" s="39"/>
      <c r="I113" s="54"/>
      <c r="J113" s="54"/>
      <c r="K113" s="40">
        <f>SUMIFS('Working-T05-B1'!L$8:L$150,'Working-T05-B1'!$C$8:$C$150,$D113)</f>
        <v>0</v>
      </c>
      <c r="L113" s="40" cm="1">
        <f t="array" ref="L113">SUMPRODUCT(Sales!$G$3:$H$100*(Sales!$B$3:$B$100=$D113))</f>
        <v>0</v>
      </c>
      <c r="M113" s="55"/>
      <c r="N113" s="40"/>
      <c r="P113" s="40">
        <f>SUMIFS('Working-T05-B1'!O$8:O$150,'Working-T05-B1'!$C$8:$C$150,$D113)</f>
        <v>0</v>
      </c>
      <c r="Q113" s="40"/>
      <c r="R113" s="40"/>
      <c r="S113" s="40">
        <f t="shared" si="48"/>
        <v>0</v>
      </c>
      <c r="T113" s="129"/>
      <c r="U113" s="42"/>
      <c r="V113" s="42"/>
      <c r="W113" s="131"/>
      <c r="X113" s="42">
        <f t="shared" si="49"/>
        <v>0</v>
      </c>
      <c r="Y113" s="41"/>
      <c r="Z113" s="40">
        <f>IF($C113="NĐ",1,IFERROR(SUMIFS(Data_FAGLL03[Amount in local currency],Data_FAGLL03[Offsetting acct no.],$E113,Data_FAGLL03[Material],$G113)/SUMIFS(Data_FAGLL03[Dthu (USD)],Data_FAGLL03[Offsetting acct no.],$E113,Data_FAGLL03[Material],$G113),0))</f>
        <v>0</v>
      </c>
      <c r="AA113" s="121">
        <f t="shared" si="50"/>
        <v>26300</v>
      </c>
      <c r="AB113" s="121">
        <f t="shared" si="50"/>
        <v>26300</v>
      </c>
      <c r="AC113" s="40">
        <f t="shared" si="51"/>
        <v>0</v>
      </c>
      <c r="AD113" s="41"/>
      <c r="AE113" s="40">
        <f t="shared" si="52"/>
        <v>0</v>
      </c>
      <c r="AF113" s="40">
        <f t="shared" si="53"/>
        <v>0</v>
      </c>
      <c r="AG113" s="40">
        <f t="shared" si="54"/>
        <v>0</v>
      </c>
      <c r="AH113" s="40"/>
      <c r="AI113" s="41"/>
      <c r="AJ113" s="43"/>
      <c r="AK113" s="40"/>
      <c r="AL113" s="40">
        <f t="shared" si="62"/>
        <v>0</v>
      </c>
      <c r="AM113" s="44">
        <f t="shared" si="41"/>
        <v>0</v>
      </c>
      <c r="AO113" s="39"/>
      <c r="AP113" s="39"/>
      <c r="AQ113" s="39"/>
      <c r="AR113" s="39"/>
      <c r="AS113" s="39"/>
      <c r="AT113" s="94"/>
      <c r="AV113" s="42">
        <f t="shared" si="56"/>
        <v>0</v>
      </c>
      <c r="AW113" s="39"/>
      <c r="AX113" s="39"/>
      <c r="AY113" s="39"/>
      <c r="AZ113" s="39"/>
      <c r="BA113" s="217">
        <f t="shared" si="42"/>
        <v>0</v>
      </c>
      <c r="BC113" s="40"/>
      <c r="BD113" s="40"/>
      <c r="BE113" s="40"/>
      <c r="BF113" s="226">
        <f t="shared" si="61"/>
        <v>0</v>
      </c>
      <c r="BH113" s="40">
        <f t="shared" si="57"/>
        <v>0</v>
      </c>
      <c r="BI113" s="40">
        <f t="shared" si="58"/>
        <v>0</v>
      </c>
      <c r="BJ113" s="40">
        <f t="shared" si="59"/>
        <v>0</v>
      </c>
      <c r="BK113" s="226">
        <f t="shared" si="60"/>
        <v>0</v>
      </c>
      <c r="BM113" s="94"/>
      <c r="BN113" s="39"/>
      <c r="BO113" s="39"/>
      <c r="BP113" s="39"/>
      <c r="BQ113" s="39"/>
      <c r="BR113" s="39"/>
      <c r="BS113" s="39"/>
      <c r="BT113" s="39"/>
      <c r="BU113" s="39"/>
      <c r="BV113" s="39"/>
      <c r="BW113" s="246"/>
    </row>
    <row r="114" spans="3:75" x14ac:dyDescent="0.25">
      <c r="C114" s="39"/>
      <c r="D114" s="39"/>
      <c r="E114" s="39"/>
      <c r="F114" s="39"/>
      <c r="G114" s="39"/>
      <c r="H114" s="39"/>
      <c r="I114" s="39"/>
      <c r="J114" s="39"/>
      <c r="K114" s="40">
        <f>SUMIFS('Working-T05-B1'!L$8:L$150,'Working-T05-B1'!$C$8:$C$150,$D114)</f>
        <v>0</v>
      </c>
      <c r="L114" s="40" cm="1">
        <f t="array" ref="L114">SUMPRODUCT(Sales!$G$3:$H$100*(Sales!$B$3:$B$100=$D114))</f>
        <v>0</v>
      </c>
      <c r="M114" s="39"/>
      <c r="N114" s="40"/>
      <c r="P114" s="40">
        <f>SUMIFS('Working-T05-B1'!O$8:O$150,'Working-T05-B1'!$C$8:$C$150,$D114)</f>
        <v>0</v>
      </c>
      <c r="Q114" s="40"/>
      <c r="R114" s="40"/>
      <c r="S114" s="40">
        <f t="shared" si="48"/>
        <v>0</v>
      </c>
      <c r="T114" s="129"/>
      <c r="U114" s="40"/>
      <c r="V114" s="40"/>
      <c r="W114" s="131"/>
      <c r="X114" s="42">
        <f t="shared" si="49"/>
        <v>0</v>
      </c>
      <c r="Y114" s="41"/>
      <c r="Z114" s="40">
        <f>IF($C114="NĐ",1,IFERROR(SUMIFS(Data_FAGLL03[Amount in local currency],Data_FAGLL03[Offsetting acct no.],$E114,Data_FAGLL03[Material],$G114)/SUMIFS(Data_FAGLL03[Dthu (USD)],Data_FAGLL03[Offsetting acct no.],$E114,Data_FAGLL03[Material],$G114),0))</f>
        <v>0</v>
      </c>
      <c r="AA114" s="121">
        <f t="shared" si="50"/>
        <v>26300</v>
      </c>
      <c r="AB114" s="121">
        <f t="shared" si="50"/>
        <v>26300</v>
      </c>
      <c r="AC114" s="40">
        <f t="shared" si="51"/>
        <v>0</v>
      </c>
      <c r="AD114" s="41"/>
      <c r="AE114" s="40">
        <f t="shared" si="52"/>
        <v>0</v>
      </c>
      <c r="AF114" s="40">
        <f t="shared" si="53"/>
        <v>0</v>
      </c>
      <c r="AG114" s="40">
        <f t="shared" si="54"/>
        <v>0</v>
      </c>
      <c r="AH114" s="40"/>
      <c r="AI114" s="41"/>
      <c r="AJ114" s="43"/>
      <c r="AK114" s="40"/>
      <c r="AL114" s="40">
        <f t="shared" si="62"/>
        <v>0</v>
      </c>
      <c r="AM114" s="44">
        <f t="shared" si="41"/>
        <v>0</v>
      </c>
      <c r="AO114" s="39"/>
      <c r="AP114" s="39"/>
      <c r="AQ114" s="39"/>
      <c r="AR114" s="39"/>
      <c r="AS114" s="39"/>
      <c r="AT114" s="94"/>
      <c r="AV114" s="42">
        <f t="shared" si="56"/>
        <v>0</v>
      </c>
      <c r="AW114" s="39"/>
      <c r="AX114" s="39"/>
      <c r="AY114" s="39"/>
      <c r="AZ114" s="39"/>
      <c r="BA114" s="217">
        <f t="shared" si="42"/>
        <v>0</v>
      </c>
      <c r="BC114" s="40"/>
      <c r="BD114" s="40"/>
      <c r="BE114" s="40"/>
      <c r="BF114" s="226">
        <f t="shared" si="61"/>
        <v>0</v>
      </c>
      <c r="BH114" s="40">
        <f t="shared" si="57"/>
        <v>0</v>
      </c>
      <c r="BI114" s="40">
        <f t="shared" si="58"/>
        <v>0</v>
      </c>
      <c r="BJ114" s="40">
        <f t="shared" si="59"/>
        <v>0</v>
      </c>
      <c r="BK114" s="226">
        <f t="shared" si="60"/>
        <v>0</v>
      </c>
      <c r="BM114" s="94"/>
      <c r="BN114" s="39"/>
      <c r="BO114" s="39"/>
      <c r="BP114" s="39"/>
      <c r="BQ114" s="39"/>
      <c r="BR114" s="39"/>
      <c r="BS114" s="39"/>
      <c r="BT114" s="39"/>
      <c r="BU114" s="39"/>
      <c r="BV114" s="39"/>
      <c r="BW114" s="246"/>
    </row>
    <row r="115" spans="3:75" x14ac:dyDescent="0.25">
      <c r="C115" s="39"/>
      <c r="D115" s="39"/>
      <c r="E115" s="39"/>
      <c r="F115" s="39"/>
      <c r="G115" s="39"/>
      <c r="H115" s="39"/>
      <c r="I115" s="39"/>
      <c r="J115" s="39"/>
      <c r="K115" s="40">
        <f>SUMIFS('Working-T05-B1'!L$8:L$150,'Working-T05-B1'!$C$8:$C$150,$D115)</f>
        <v>0</v>
      </c>
      <c r="L115" s="40" cm="1">
        <f t="array" ref="L115">SUMPRODUCT(Sales!$G$3:$H$100*(Sales!$B$3:$B$100=$D115))</f>
        <v>0</v>
      </c>
      <c r="M115" s="39"/>
      <c r="N115" s="40"/>
      <c r="P115" s="40">
        <f>SUMIFS('Working-T05-B1'!O$8:O$150,'Working-T05-B1'!$C$8:$C$150,$D115)</f>
        <v>0</v>
      </c>
      <c r="Q115" s="40"/>
      <c r="R115" s="40"/>
      <c r="S115" s="40">
        <f t="shared" si="48"/>
        <v>0</v>
      </c>
      <c r="T115" s="129"/>
      <c r="U115" s="40"/>
      <c r="V115" s="40"/>
      <c r="W115" s="131"/>
      <c r="X115" s="42">
        <f t="shared" si="49"/>
        <v>0</v>
      </c>
      <c r="Y115" s="41"/>
      <c r="Z115" s="40">
        <f>IF($C115="NĐ",1,IFERROR(SUMIFS(Data_FAGLL03[Amount in local currency],Data_FAGLL03[Offsetting acct no.],$E115,Data_FAGLL03[Material],$G115)/SUMIFS(Data_FAGLL03[Dthu (USD)],Data_FAGLL03[Offsetting acct no.],$E115,Data_FAGLL03[Material],$G115),0))</f>
        <v>0</v>
      </c>
      <c r="AA115" s="121">
        <f t="shared" si="50"/>
        <v>26300</v>
      </c>
      <c r="AB115" s="121">
        <f t="shared" si="50"/>
        <v>26300</v>
      </c>
      <c r="AC115" s="40">
        <f t="shared" si="51"/>
        <v>0</v>
      </c>
      <c r="AD115" s="41"/>
      <c r="AE115" s="40">
        <f t="shared" si="52"/>
        <v>0</v>
      </c>
      <c r="AF115" s="40">
        <f t="shared" si="53"/>
        <v>0</v>
      </c>
      <c r="AG115" s="40">
        <f t="shared" si="54"/>
        <v>0</v>
      </c>
      <c r="AH115" s="40"/>
      <c r="AI115" s="41"/>
      <c r="AJ115" s="43"/>
      <c r="AK115" s="40"/>
      <c r="AL115" s="40">
        <f t="shared" si="62"/>
        <v>0</v>
      </c>
      <c r="AM115" s="44">
        <f t="shared" si="41"/>
        <v>0</v>
      </c>
      <c r="AO115" s="39"/>
      <c r="AP115" s="39"/>
      <c r="AQ115" s="39"/>
      <c r="AR115" s="39"/>
      <c r="AS115" s="39"/>
      <c r="AT115" s="94"/>
      <c r="AV115" s="42">
        <f t="shared" si="56"/>
        <v>0</v>
      </c>
      <c r="AW115" s="39"/>
      <c r="AX115" s="39"/>
      <c r="AY115" s="39"/>
      <c r="AZ115" s="39"/>
      <c r="BA115" s="217">
        <f t="shared" si="42"/>
        <v>0</v>
      </c>
      <c r="BC115" s="40"/>
      <c r="BD115" s="40"/>
      <c r="BE115" s="40"/>
      <c r="BF115" s="226">
        <f t="shared" si="61"/>
        <v>0</v>
      </c>
      <c r="BH115" s="40">
        <f t="shared" si="57"/>
        <v>0</v>
      </c>
      <c r="BI115" s="40">
        <f t="shared" si="58"/>
        <v>0</v>
      </c>
      <c r="BJ115" s="40">
        <f t="shared" si="59"/>
        <v>0</v>
      </c>
      <c r="BK115" s="226">
        <f t="shared" si="60"/>
        <v>0</v>
      </c>
      <c r="BM115" s="94"/>
      <c r="BN115" s="39"/>
      <c r="BO115" s="39"/>
      <c r="BP115" s="39"/>
      <c r="BQ115" s="39"/>
      <c r="BR115" s="39"/>
      <c r="BS115" s="39"/>
      <c r="BT115" s="39"/>
      <c r="BU115" s="39"/>
      <c r="BV115" s="39"/>
      <c r="BW115" s="246"/>
    </row>
    <row r="116" spans="3:75" x14ac:dyDescent="0.25">
      <c r="C116" s="39"/>
      <c r="D116" s="39"/>
      <c r="E116" s="39"/>
      <c r="F116" s="39"/>
      <c r="G116" s="39"/>
      <c r="H116" s="39"/>
      <c r="I116" s="39"/>
      <c r="J116" s="39"/>
      <c r="K116" s="40">
        <f>SUMIFS('Working-T05-B1'!L$8:L$150,'Working-T05-B1'!$C$8:$C$150,$D116)</f>
        <v>0</v>
      </c>
      <c r="L116" s="40" cm="1">
        <f t="array" ref="L116">SUMPRODUCT(Sales!$G$3:$H$100*(Sales!$B$3:$B$100=$D116))</f>
        <v>0</v>
      </c>
      <c r="M116" s="39"/>
      <c r="N116" s="40"/>
      <c r="P116" s="40">
        <f>SUMIFS('Working-T05-B1'!O$8:O$150,'Working-T05-B1'!$C$8:$C$150,$D116)</f>
        <v>0</v>
      </c>
      <c r="Q116" s="40"/>
      <c r="R116" s="40"/>
      <c r="S116" s="40">
        <f t="shared" si="48"/>
        <v>0</v>
      </c>
      <c r="T116" s="129"/>
      <c r="U116" s="40"/>
      <c r="V116" s="40"/>
      <c r="W116" s="131"/>
      <c r="X116" s="42">
        <f t="shared" si="49"/>
        <v>0</v>
      </c>
      <c r="Y116" s="41"/>
      <c r="Z116" s="40">
        <f>IF($C116="NĐ",1,IFERROR(SUMIFS(Data_FAGLL03[Amount in local currency],Data_FAGLL03[Offsetting acct no.],$E116,Data_FAGLL03[Material],$G116)/SUMIFS(Data_FAGLL03[Dthu (USD)],Data_FAGLL03[Offsetting acct no.],$E116,Data_FAGLL03[Material],$G116),0))</f>
        <v>0</v>
      </c>
      <c r="AA116" s="121">
        <f t="shared" si="50"/>
        <v>26300</v>
      </c>
      <c r="AB116" s="121">
        <f t="shared" si="50"/>
        <v>26300</v>
      </c>
      <c r="AC116" s="40">
        <f t="shared" si="51"/>
        <v>0</v>
      </c>
      <c r="AD116" s="41"/>
      <c r="AE116" s="40">
        <f t="shared" si="52"/>
        <v>0</v>
      </c>
      <c r="AF116" s="40">
        <f t="shared" si="53"/>
        <v>0</v>
      </c>
      <c r="AG116" s="40">
        <f t="shared" si="54"/>
        <v>0</v>
      </c>
      <c r="AH116" s="40"/>
      <c r="AI116" s="41"/>
      <c r="AJ116" s="43"/>
      <c r="AK116" s="40"/>
      <c r="AL116" s="40">
        <f t="shared" si="62"/>
        <v>0</v>
      </c>
      <c r="AM116" s="44">
        <f t="shared" si="41"/>
        <v>0</v>
      </c>
      <c r="AO116" s="39"/>
      <c r="AP116" s="39"/>
      <c r="AQ116" s="39"/>
      <c r="AR116" s="39"/>
      <c r="AS116" s="39"/>
      <c r="AT116" s="94"/>
      <c r="AV116" s="42">
        <f t="shared" si="56"/>
        <v>0</v>
      </c>
      <c r="AW116" s="39"/>
      <c r="AX116" s="39"/>
      <c r="AY116" s="39"/>
      <c r="AZ116" s="39"/>
      <c r="BA116" s="217">
        <f t="shared" si="42"/>
        <v>0</v>
      </c>
      <c r="BC116" s="40"/>
      <c r="BD116" s="40"/>
      <c r="BE116" s="40"/>
      <c r="BF116" s="226">
        <f t="shared" si="61"/>
        <v>0</v>
      </c>
      <c r="BH116" s="40">
        <f t="shared" si="57"/>
        <v>0</v>
      </c>
      <c r="BI116" s="40">
        <f t="shared" si="58"/>
        <v>0</v>
      </c>
      <c r="BJ116" s="40">
        <f t="shared" si="59"/>
        <v>0</v>
      </c>
      <c r="BK116" s="226">
        <f t="shared" si="60"/>
        <v>0</v>
      </c>
      <c r="BM116" s="94"/>
      <c r="BN116" s="39"/>
      <c r="BO116" s="39"/>
      <c r="BP116" s="39"/>
      <c r="BQ116" s="39"/>
      <c r="BR116" s="39"/>
      <c r="BS116" s="39"/>
      <c r="BT116" s="39"/>
      <c r="BU116" s="39"/>
      <c r="BV116" s="39"/>
      <c r="BW116" s="246"/>
    </row>
    <row r="117" spans="3:75" x14ac:dyDescent="0.25">
      <c r="C117" s="39"/>
      <c r="D117" s="39"/>
      <c r="E117" s="39"/>
      <c r="F117" s="39"/>
      <c r="G117" s="39"/>
      <c r="H117" s="39"/>
      <c r="I117" s="39"/>
      <c r="J117" s="39"/>
      <c r="K117" s="40">
        <f>SUMIFS('Working-T05-B1'!L$8:L$150,'Working-T05-B1'!$C$8:$C$150,$D117)</f>
        <v>0</v>
      </c>
      <c r="L117" s="40" cm="1">
        <f t="array" ref="L117">SUMPRODUCT(Sales!$G$3:$H$100*(Sales!$B$3:$B$100=$D117))</f>
        <v>0</v>
      </c>
      <c r="M117" s="39"/>
      <c r="N117" s="40"/>
      <c r="P117" s="40">
        <f>SUMIFS('Working-T05-B1'!O$8:O$150,'Working-T05-B1'!$C$8:$C$150,$D117)</f>
        <v>0</v>
      </c>
      <c r="Q117" s="40"/>
      <c r="R117" s="40"/>
      <c r="S117" s="40">
        <f t="shared" si="48"/>
        <v>0</v>
      </c>
      <c r="T117" s="129"/>
      <c r="U117" s="40"/>
      <c r="V117" s="40"/>
      <c r="W117" s="131"/>
      <c r="X117" s="42">
        <f t="shared" si="49"/>
        <v>0</v>
      </c>
      <c r="Y117" s="41"/>
      <c r="Z117" s="40">
        <f>IF($C117="NĐ",1,IFERROR(SUMIFS(Data_FAGLL03[Amount in local currency],Data_FAGLL03[Offsetting acct no.],$E117,Data_FAGLL03[Material],$G117)/SUMIFS(Data_FAGLL03[Dthu (USD)],Data_FAGLL03[Offsetting acct no.],$E117,Data_FAGLL03[Material],$G117),0))</f>
        <v>0</v>
      </c>
      <c r="AA117" s="121">
        <f t="shared" si="50"/>
        <v>26300</v>
      </c>
      <c r="AB117" s="121">
        <f t="shared" si="50"/>
        <v>26300</v>
      </c>
      <c r="AC117" s="40">
        <f t="shared" si="51"/>
        <v>0</v>
      </c>
      <c r="AD117" s="41"/>
      <c r="AE117" s="40">
        <f t="shared" si="52"/>
        <v>0</v>
      </c>
      <c r="AF117" s="40">
        <f t="shared" si="53"/>
        <v>0</v>
      </c>
      <c r="AG117" s="40">
        <f t="shared" si="54"/>
        <v>0</v>
      </c>
      <c r="AH117" s="40"/>
      <c r="AI117" s="41"/>
      <c r="AJ117" s="43"/>
      <c r="AK117" s="40"/>
      <c r="AL117" s="40">
        <f t="shared" si="62"/>
        <v>0</v>
      </c>
      <c r="AM117" s="44">
        <f t="shared" si="41"/>
        <v>0</v>
      </c>
      <c r="AO117" s="39"/>
      <c r="AP117" s="39"/>
      <c r="AQ117" s="39"/>
      <c r="AR117" s="39"/>
      <c r="AS117" s="39"/>
      <c r="AT117" s="94"/>
      <c r="AV117" s="42">
        <f t="shared" si="56"/>
        <v>0</v>
      </c>
      <c r="AW117" s="39"/>
      <c r="AX117" s="39"/>
      <c r="AY117" s="39"/>
      <c r="AZ117" s="39"/>
      <c r="BA117" s="217">
        <f t="shared" si="42"/>
        <v>0</v>
      </c>
      <c r="BC117" s="40"/>
      <c r="BD117" s="40"/>
      <c r="BE117" s="40"/>
      <c r="BF117" s="226">
        <f t="shared" si="61"/>
        <v>0</v>
      </c>
      <c r="BH117" s="40">
        <f t="shared" si="57"/>
        <v>0</v>
      </c>
      <c r="BI117" s="40">
        <f t="shared" si="58"/>
        <v>0</v>
      </c>
      <c r="BJ117" s="40">
        <f t="shared" si="59"/>
        <v>0</v>
      </c>
      <c r="BK117" s="226">
        <f t="shared" si="60"/>
        <v>0</v>
      </c>
      <c r="BM117" s="94"/>
      <c r="BN117" s="39"/>
      <c r="BO117" s="39"/>
      <c r="BP117" s="39"/>
      <c r="BQ117" s="39"/>
      <c r="BR117" s="39"/>
      <c r="BS117" s="39"/>
      <c r="BT117" s="39"/>
      <c r="BU117" s="39"/>
      <c r="BV117" s="39"/>
      <c r="BW117" s="246"/>
    </row>
    <row r="118" spans="3:75" x14ac:dyDescent="0.25">
      <c r="C118" s="39"/>
      <c r="D118" s="39"/>
      <c r="E118" s="39"/>
      <c r="F118" s="39"/>
      <c r="G118" s="39"/>
      <c r="H118" s="39"/>
      <c r="I118" s="39"/>
      <c r="J118" s="39"/>
      <c r="K118" s="40">
        <f>SUMIFS('Working-T05-B1'!L$8:L$150,'Working-T05-B1'!$C$8:$C$150,$D118)</f>
        <v>0</v>
      </c>
      <c r="L118" s="40" cm="1">
        <f t="array" ref="L118">SUMPRODUCT(Sales!$G$3:$H$100*(Sales!$B$3:$B$100=$D118))</f>
        <v>0</v>
      </c>
      <c r="M118" s="39"/>
      <c r="N118" s="40"/>
      <c r="P118" s="40">
        <f>SUMIFS('Working-T05-B1'!O$8:O$150,'Working-T05-B1'!$C$8:$C$150,$D118)</f>
        <v>0</v>
      </c>
      <c r="Q118" s="40"/>
      <c r="R118" s="40"/>
      <c r="S118" s="40">
        <f t="shared" si="48"/>
        <v>0</v>
      </c>
      <c r="T118" s="129"/>
      <c r="U118" s="40"/>
      <c r="V118" s="40"/>
      <c r="W118" s="131"/>
      <c r="X118" s="42">
        <f t="shared" si="49"/>
        <v>0</v>
      </c>
      <c r="Y118" s="41"/>
      <c r="Z118" s="40">
        <f>IF($C118="NĐ",1,IFERROR(SUMIFS(Data_FAGLL03[Amount in local currency],Data_FAGLL03[Offsetting acct no.],$E118,Data_FAGLL03[Material],$G118)/SUMIFS(Data_FAGLL03[Dthu (USD)],Data_FAGLL03[Offsetting acct no.],$E118,Data_FAGLL03[Material],$G118),0))</f>
        <v>0</v>
      </c>
      <c r="AA118" s="121">
        <f t="shared" si="50"/>
        <v>26300</v>
      </c>
      <c r="AB118" s="121">
        <f t="shared" si="50"/>
        <v>26300</v>
      </c>
      <c r="AC118" s="40">
        <f t="shared" si="51"/>
        <v>0</v>
      </c>
      <c r="AD118" s="41"/>
      <c r="AE118" s="40">
        <f t="shared" si="52"/>
        <v>0</v>
      </c>
      <c r="AF118" s="40">
        <f t="shared" si="53"/>
        <v>0</v>
      </c>
      <c r="AG118" s="40">
        <f t="shared" si="54"/>
        <v>0</v>
      </c>
      <c r="AH118" s="40"/>
      <c r="AI118" s="41"/>
      <c r="AJ118" s="43"/>
      <c r="AK118" s="40"/>
      <c r="AL118" s="40">
        <f t="shared" si="62"/>
        <v>0</v>
      </c>
      <c r="AM118" s="44">
        <f t="shared" si="41"/>
        <v>0</v>
      </c>
      <c r="AO118" s="39"/>
      <c r="AP118" s="39"/>
      <c r="AQ118" s="39"/>
      <c r="AR118" s="39"/>
      <c r="AS118" s="39"/>
      <c r="AT118" s="94"/>
      <c r="AV118" s="42">
        <f t="shared" si="56"/>
        <v>0</v>
      </c>
      <c r="AW118" s="39"/>
      <c r="AX118" s="39"/>
      <c r="AY118" s="39"/>
      <c r="AZ118" s="39"/>
      <c r="BA118" s="217">
        <f t="shared" si="42"/>
        <v>0</v>
      </c>
      <c r="BC118" s="40"/>
      <c r="BD118" s="40"/>
      <c r="BE118" s="40"/>
      <c r="BF118" s="226">
        <f t="shared" si="61"/>
        <v>0</v>
      </c>
      <c r="BH118" s="40">
        <f t="shared" si="57"/>
        <v>0</v>
      </c>
      <c r="BI118" s="40">
        <f t="shared" si="58"/>
        <v>0</v>
      </c>
      <c r="BJ118" s="40">
        <f t="shared" si="59"/>
        <v>0</v>
      </c>
      <c r="BK118" s="226">
        <f t="shared" si="60"/>
        <v>0</v>
      </c>
      <c r="BM118" s="94"/>
      <c r="BN118" s="39"/>
      <c r="BO118" s="39"/>
      <c r="BP118" s="39"/>
      <c r="BQ118" s="39"/>
      <c r="BR118" s="39"/>
      <c r="BS118" s="39"/>
      <c r="BT118" s="39"/>
      <c r="BU118" s="39"/>
      <c r="BV118" s="39"/>
      <c r="BW118" s="246"/>
    </row>
    <row r="119" spans="3:75" x14ac:dyDescent="0.25">
      <c r="C119" s="39"/>
      <c r="D119" s="39"/>
      <c r="E119" s="39"/>
      <c r="F119" s="39"/>
      <c r="G119" s="39"/>
      <c r="H119" s="39"/>
      <c r="I119" s="39"/>
      <c r="J119" s="39"/>
      <c r="K119" s="40">
        <f>SUMIFS('Working-T05-B1'!L$8:L$150,'Working-T05-B1'!$C$8:$C$150,$D119)</f>
        <v>0</v>
      </c>
      <c r="L119" s="40" cm="1">
        <f t="array" ref="L119">SUMPRODUCT(Sales!$G$3:$H$100*(Sales!$B$3:$B$100=$D119))</f>
        <v>0</v>
      </c>
      <c r="M119" s="39"/>
      <c r="N119" s="40"/>
      <c r="P119" s="40">
        <f>SUMIFS('Working-T05-B1'!O$8:O$150,'Working-T05-B1'!$C$8:$C$150,$D119)</f>
        <v>0</v>
      </c>
      <c r="Q119" s="40"/>
      <c r="R119" s="40"/>
      <c r="S119" s="40">
        <f t="shared" si="48"/>
        <v>0</v>
      </c>
      <c r="T119" s="129"/>
      <c r="U119" s="40"/>
      <c r="V119" s="40"/>
      <c r="W119" s="131"/>
      <c r="X119" s="42">
        <f t="shared" si="49"/>
        <v>0</v>
      </c>
      <c r="Y119" s="41"/>
      <c r="Z119" s="40">
        <f>IF($C119="NĐ",1,IFERROR(SUMIFS(Data_FAGLL03[Amount in local currency],Data_FAGLL03[Offsetting acct no.],$E119,Data_FAGLL03[Material],$G119)/SUMIFS(Data_FAGLL03[Dthu (USD)],Data_FAGLL03[Offsetting acct no.],$E119,Data_FAGLL03[Material],$G119),0))</f>
        <v>0</v>
      </c>
      <c r="AA119" s="121">
        <f t="shared" ref="AA119:AB138" si="63">IF($C119="NĐ",1,EXR_FC05)</f>
        <v>26300</v>
      </c>
      <c r="AB119" s="121">
        <f t="shared" si="63"/>
        <v>26300</v>
      </c>
      <c r="AC119" s="40">
        <f t="shared" si="51"/>
        <v>0</v>
      </c>
      <c r="AD119" s="41"/>
      <c r="AE119" s="40">
        <f t="shared" si="52"/>
        <v>0</v>
      </c>
      <c r="AF119" s="40">
        <f t="shared" si="53"/>
        <v>0</v>
      </c>
      <c r="AG119" s="40">
        <f t="shared" si="54"/>
        <v>0</v>
      </c>
      <c r="AH119" s="40"/>
      <c r="AI119" s="41"/>
      <c r="AJ119" s="43"/>
      <c r="AK119" s="40"/>
      <c r="AL119" s="40">
        <f t="shared" si="62"/>
        <v>0</v>
      </c>
      <c r="AM119" s="44">
        <f t="shared" si="41"/>
        <v>0</v>
      </c>
      <c r="AO119" s="39"/>
      <c r="AP119" s="39"/>
      <c r="AQ119" s="39"/>
      <c r="AR119" s="39"/>
      <c r="AS119" s="39"/>
      <c r="AT119" s="94"/>
      <c r="AV119" s="42">
        <f t="shared" si="56"/>
        <v>0</v>
      </c>
      <c r="AW119" s="39"/>
      <c r="AX119" s="39"/>
      <c r="AY119" s="39"/>
      <c r="AZ119" s="39"/>
      <c r="BA119" s="217">
        <f t="shared" si="42"/>
        <v>0</v>
      </c>
      <c r="BC119" s="40"/>
      <c r="BD119" s="40"/>
      <c r="BE119" s="40"/>
      <c r="BF119" s="226">
        <f t="shared" si="61"/>
        <v>0</v>
      </c>
      <c r="BH119" s="40">
        <f t="shared" si="57"/>
        <v>0</v>
      </c>
      <c r="BI119" s="40">
        <f t="shared" si="58"/>
        <v>0</v>
      </c>
      <c r="BJ119" s="40">
        <f t="shared" si="59"/>
        <v>0</v>
      </c>
      <c r="BK119" s="226">
        <f t="shared" si="60"/>
        <v>0</v>
      </c>
      <c r="BM119" s="94"/>
      <c r="BN119" s="39"/>
      <c r="BO119" s="39"/>
      <c r="BP119" s="39"/>
      <c r="BQ119" s="39"/>
      <c r="BR119" s="39"/>
      <c r="BS119" s="39"/>
      <c r="BT119" s="39"/>
      <c r="BU119" s="39"/>
      <c r="BV119" s="39"/>
      <c r="BW119" s="246"/>
    </row>
    <row r="120" spans="3:75" x14ac:dyDescent="0.25">
      <c r="C120" s="39"/>
      <c r="D120" s="39"/>
      <c r="E120" s="39"/>
      <c r="F120" s="39"/>
      <c r="G120" s="39"/>
      <c r="H120" s="39"/>
      <c r="I120" s="39"/>
      <c r="J120" s="39"/>
      <c r="K120" s="40">
        <f>SUMIFS('Working-T05-B1'!L$8:L$150,'Working-T05-B1'!$C$8:$C$150,$D120)</f>
        <v>0</v>
      </c>
      <c r="L120" s="40" cm="1">
        <f t="array" ref="L120">SUMPRODUCT(Sales!$G$3:$H$100*(Sales!$B$3:$B$100=$D120))</f>
        <v>0</v>
      </c>
      <c r="M120" s="39"/>
      <c r="N120" s="40"/>
      <c r="P120" s="40">
        <f>SUMIFS('Working-T05-B1'!O$8:O$150,'Working-T05-B1'!$C$8:$C$150,$D120)</f>
        <v>0</v>
      </c>
      <c r="Q120" s="40"/>
      <c r="R120" s="40"/>
      <c r="S120" s="40">
        <f t="shared" si="48"/>
        <v>0</v>
      </c>
      <c r="T120" s="129"/>
      <c r="U120" s="40"/>
      <c r="V120" s="40"/>
      <c r="W120" s="131"/>
      <c r="X120" s="42">
        <f t="shared" si="49"/>
        <v>0</v>
      </c>
      <c r="Y120" s="41"/>
      <c r="Z120" s="40">
        <f>IF($C120="NĐ",1,IFERROR(SUMIFS(Data_FAGLL03[Amount in local currency],Data_FAGLL03[Offsetting acct no.],$E120,Data_FAGLL03[Material],$G120)/SUMIFS(Data_FAGLL03[Dthu (USD)],Data_FAGLL03[Offsetting acct no.],$E120,Data_FAGLL03[Material],$G120),0))</f>
        <v>0</v>
      </c>
      <c r="AA120" s="121">
        <f t="shared" si="63"/>
        <v>26300</v>
      </c>
      <c r="AB120" s="121">
        <f t="shared" si="63"/>
        <v>26300</v>
      </c>
      <c r="AC120" s="40">
        <f t="shared" si="51"/>
        <v>0</v>
      </c>
      <c r="AD120" s="41"/>
      <c r="AE120" s="40">
        <f t="shared" si="52"/>
        <v>0</v>
      </c>
      <c r="AF120" s="40">
        <f t="shared" si="53"/>
        <v>0</v>
      </c>
      <c r="AG120" s="40">
        <f t="shared" si="54"/>
        <v>0</v>
      </c>
      <c r="AH120" s="40"/>
      <c r="AI120" s="41"/>
      <c r="AJ120" s="43"/>
      <c r="AK120" s="40"/>
      <c r="AL120" s="40">
        <f t="shared" si="62"/>
        <v>0</v>
      </c>
      <c r="AM120" s="44">
        <f t="shared" si="41"/>
        <v>0</v>
      </c>
      <c r="AO120" s="39"/>
      <c r="AP120" s="39"/>
      <c r="AQ120" s="39"/>
      <c r="AR120" s="39"/>
      <c r="AS120" s="39"/>
      <c r="AT120" s="94"/>
      <c r="AV120" s="42">
        <f t="shared" si="56"/>
        <v>0</v>
      </c>
      <c r="AW120" s="39"/>
      <c r="AX120" s="39"/>
      <c r="AY120" s="39"/>
      <c r="AZ120" s="39"/>
      <c r="BA120" s="217">
        <f t="shared" si="42"/>
        <v>0</v>
      </c>
      <c r="BC120" s="40"/>
      <c r="BD120" s="40"/>
      <c r="BE120" s="40"/>
      <c r="BF120" s="226">
        <f t="shared" si="61"/>
        <v>0</v>
      </c>
      <c r="BH120" s="40">
        <f t="shared" si="57"/>
        <v>0</v>
      </c>
      <c r="BI120" s="40">
        <f t="shared" si="58"/>
        <v>0</v>
      </c>
      <c r="BJ120" s="40">
        <f t="shared" si="59"/>
        <v>0</v>
      </c>
      <c r="BK120" s="226">
        <f t="shared" si="60"/>
        <v>0</v>
      </c>
      <c r="BM120" s="94"/>
      <c r="BN120" s="39"/>
      <c r="BO120" s="39"/>
      <c r="BP120" s="39"/>
      <c r="BQ120" s="39"/>
      <c r="BR120" s="39"/>
      <c r="BS120" s="39"/>
      <c r="BT120" s="39"/>
      <c r="BU120" s="39"/>
      <c r="BV120" s="39"/>
      <c r="BW120" s="246"/>
    </row>
    <row r="121" spans="3:75" x14ac:dyDescent="0.25">
      <c r="C121" s="39"/>
      <c r="D121" s="39"/>
      <c r="E121" s="39"/>
      <c r="F121" s="39"/>
      <c r="G121" s="39"/>
      <c r="H121" s="39"/>
      <c r="I121" s="39"/>
      <c r="J121" s="39"/>
      <c r="K121" s="40">
        <f>SUMIFS('Working-T05-B1'!L$8:L$150,'Working-T05-B1'!$C$8:$C$150,$D121)</f>
        <v>0</v>
      </c>
      <c r="L121" s="40" cm="1">
        <f t="array" ref="L121">SUMPRODUCT(Sales!$G$3:$H$100*(Sales!$B$3:$B$100=$D121))</f>
        <v>0</v>
      </c>
      <c r="M121" s="39"/>
      <c r="N121" s="40"/>
      <c r="P121" s="40">
        <f>SUMIFS('Working-T05-B1'!O$8:O$150,'Working-T05-B1'!$C$8:$C$150,$D121)</f>
        <v>0</v>
      </c>
      <c r="Q121" s="40"/>
      <c r="R121" s="40"/>
      <c r="S121" s="40">
        <f t="shared" si="48"/>
        <v>0</v>
      </c>
      <c r="T121" s="129"/>
      <c r="U121" s="40"/>
      <c r="V121" s="40"/>
      <c r="W121" s="131"/>
      <c r="X121" s="42">
        <f t="shared" si="49"/>
        <v>0</v>
      </c>
      <c r="Y121" s="41"/>
      <c r="Z121" s="40">
        <f>IF($C121="NĐ",1,IFERROR(SUMIFS(Data_FAGLL03[Amount in local currency],Data_FAGLL03[Offsetting acct no.],$E121,Data_FAGLL03[Material],$G121)/SUMIFS(Data_FAGLL03[Dthu (USD)],Data_FAGLL03[Offsetting acct no.],$E121,Data_FAGLL03[Material],$G121),0))</f>
        <v>0</v>
      </c>
      <c r="AA121" s="121">
        <f t="shared" si="63"/>
        <v>26300</v>
      </c>
      <c r="AB121" s="121">
        <f t="shared" si="63"/>
        <v>26300</v>
      </c>
      <c r="AC121" s="40">
        <f t="shared" si="51"/>
        <v>0</v>
      </c>
      <c r="AD121" s="41"/>
      <c r="AE121" s="40">
        <f t="shared" si="52"/>
        <v>0</v>
      </c>
      <c r="AF121" s="40">
        <f t="shared" si="53"/>
        <v>0</v>
      </c>
      <c r="AG121" s="40">
        <f t="shared" ref="AE121:AG150" si="64">W121*AB121</f>
        <v>0</v>
      </c>
      <c r="AH121" s="40"/>
      <c r="AI121" s="41"/>
      <c r="AJ121" s="43"/>
      <c r="AK121" s="40"/>
      <c r="AL121" s="40">
        <f t="shared" si="62"/>
        <v>0</v>
      </c>
      <c r="AM121" s="44">
        <f t="shared" si="41"/>
        <v>0</v>
      </c>
      <c r="AO121" s="39"/>
      <c r="AP121" s="39"/>
      <c r="AQ121" s="39"/>
      <c r="AR121" s="39"/>
      <c r="AS121" s="39"/>
      <c r="AT121" s="94"/>
      <c r="AV121" s="42">
        <f t="shared" si="56"/>
        <v>0</v>
      </c>
      <c r="AW121" s="39"/>
      <c r="AX121" s="39"/>
      <c r="AY121" s="39"/>
      <c r="AZ121" s="39"/>
      <c r="BA121" s="217">
        <f t="shared" si="42"/>
        <v>0</v>
      </c>
      <c r="BC121" s="40"/>
      <c r="BD121" s="40"/>
      <c r="BE121" s="40"/>
      <c r="BF121" s="226">
        <f t="shared" si="61"/>
        <v>0</v>
      </c>
      <c r="BH121" s="40">
        <f t="shared" si="57"/>
        <v>0</v>
      </c>
      <c r="BI121" s="40">
        <f t="shared" si="58"/>
        <v>0</v>
      </c>
      <c r="BJ121" s="40">
        <f t="shared" si="59"/>
        <v>0</v>
      </c>
      <c r="BK121" s="226">
        <f t="shared" si="60"/>
        <v>0</v>
      </c>
      <c r="BM121" s="94"/>
      <c r="BN121" s="39"/>
      <c r="BO121" s="39"/>
      <c r="BP121" s="39"/>
      <c r="BQ121" s="39"/>
      <c r="BR121" s="39"/>
      <c r="BS121" s="39"/>
      <c r="BT121" s="39"/>
      <c r="BU121" s="39"/>
      <c r="BV121" s="39"/>
      <c r="BW121" s="246"/>
    </row>
    <row r="122" spans="3:75" x14ac:dyDescent="0.25">
      <c r="C122" s="39"/>
      <c r="D122" s="39"/>
      <c r="E122" s="39"/>
      <c r="F122" s="39"/>
      <c r="G122" s="39"/>
      <c r="H122" s="39"/>
      <c r="I122" s="39"/>
      <c r="J122" s="39"/>
      <c r="K122" s="40">
        <f>SUMIFS('Working-T05-B1'!L$8:L$150,'Working-T05-B1'!$C$8:$C$150,$D122)</f>
        <v>0</v>
      </c>
      <c r="L122" s="40" cm="1">
        <f t="array" ref="L122">SUMPRODUCT(Sales!$G$3:$H$100*(Sales!$B$3:$B$100=$D122))</f>
        <v>0</v>
      </c>
      <c r="M122" s="39"/>
      <c r="N122" s="40"/>
      <c r="P122" s="40">
        <f>SUMIFS('Working-T05-B1'!O$8:O$150,'Working-T05-B1'!$C$8:$C$150,$D122)</f>
        <v>0</v>
      </c>
      <c r="Q122" s="40"/>
      <c r="R122" s="40"/>
      <c r="S122" s="40">
        <f t="shared" si="48"/>
        <v>0</v>
      </c>
      <c r="T122" s="129"/>
      <c r="U122" s="40"/>
      <c r="V122" s="40"/>
      <c r="W122" s="131"/>
      <c r="X122" s="42">
        <f t="shared" si="49"/>
        <v>0</v>
      </c>
      <c r="Y122" s="41"/>
      <c r="Z122" s="40">
        <f>IF($C122="NĐ",1,IFERROR(SUMIFS(Data_FAGLL03[Amount in local currency],Data_FAGLL03[Offsetting acct no.],$E122,Data_FAGLL03[Material],$G122)/SUMIFS(Data_FAGLL03[Dthu (USD)],Data_FAGLL03[Offsetting acct no.],$E122,Data_FAGLL03[Material],$G122),0))</f>
        <v>0</v>
      </c>
      <c r="AA122" s="121">
        <f t="shared" si="63"/>
        <v>26300</v>
      </c>
      <c r="AB122" s="121">
        <f t="shared" si="63"/>
        <v>26300</v>
      </c>
      <c r="AC122" s="40">
        <f t="shared" si="51"/>
        <v>0</v>
      </c>
      <c r="AD122" s="41"/>
      <c r="AE122" s="40">
        <f t="shared" si="52"/>
        <v>0</v>
      </c>
      <c r="AF122" s="40">
        <f t="shared" si="53"/>
        <v>0</v>
      </c>
      <c r="AG122" s="40">
        <f t="shared" si="64"/>
        <v>0</v>
      </c>
      <c r="AH122" s="40"/>
      <c r="AI122" s="41"/>
      <c r="AJ122" s="43"/>
      <c r="AK122" s="40"/>
      <c r="AL122" s="40">
        <f t="shared" si="62"/>
        <v>0</v>
      </c>
      <c r="AM122" s="44">
        <f t="shared" si="41"/>
        <v>0</v>
      </c>
      <c r="AO122" s="39"/>
      <c r="AP122" s="39"/>
      <c r="AQ122" s="39"/>
      <c r="AR122" s="39"/>
      <c r="AS122" s="39"/>
      <c r="AT122" s="94"/>
      <c r="AV122" s="42">
        <f t="shared" si="56"/>
        <v>0</v>
      </c>
      <c r="AW122" s="39"/>
      <c r="AX122" s="39"/>
      <c r="AY122" s="39"/>
      <c r="AZ122" s="39"/>
      <c r="BA122" s="217">
        <f t="shared" si="42"/>
        <v>0</v>
      </c>
      <c r="BC122" s="40"/>
      <c r="BD122" s="40"/>
      <c r="BE122" s="40"/>
      <c r="BF122" s="226">
        <f t="shared" si="61"/>
        <v>0</v>
      </c>
      <c r="BH122" s="40">
        <f t="shared" si="57"/>
        <v>0</v>
      </c>
      <c r="BI122" s="40">
        <f t="shared" si="58"/>
        <v>0</v>
      </c>
      <c r="BJ122" s="40">
        <f t="shared" si="59"/>
        <v>0</v>
      </c>
      <c r="BK122" s="226">
        <f t="shared" si="60"/>
        <v>0</v>
      </c>
      <c r="BM122" s="94"/>
      <c r="BN122" s="39"/>
      <c r="BO122" s="39"/>
      <c r="BP122" s="39"/>
      <c r="BQ122" s="39"/>
      <c r="BR122" s="39"/>
      <c r="BS122" s="39"/>
      <c r="BT122" s="39"/>
      <c r="BU122" s="39"/>
      <c r="BV122" s="39"/>
      <c r="BW122" s="246"/>
    </row>
    <row r="123" spans="3:75" x14ac:dyDescent="0.25">
      <c r="C123" s="39"/>
      <c r="D123" s="39"/>
      <c r="E123" s="39"/>
      <c r="F123" s="39"/>
      <c r="G123" s="39"/>
      <c r="H123" s="39"/>
      <c r="I123" s="39"/>
      <c r="J123" s="39"/>
      <c r="K123" s="40">
        <f>SUMIFS('Working-T05-B1'!L$8:L$150,'Working-T05-B1'!$C$8:$C$150,$D123)</f>
        <v>0</v>
      </c>
      <c r="L123" s="40" cm="1">
        <f t="array" ref="L123">SUMPRODUCT(Sales!$G$3:$H$100*(Sales!$B$3:$B$100=$D123))</f>
        <v>0</v>
      </c>
      <c r="M123" s="39"/>
      <c r="N123" s="40"/>
      <c r="P123" s="40">
        <f>SUMIFS('Working-T05-B1'!O$8:O$150,'Working-T05-B1'!$C$8:$C$150,$D123)</f>
        <v>0</v>
      </c>
      <c r="Q123" s="40"/>
      <c r="R123" s="40"/>
      <c r="S123" s="40">
        <f t="shared" si="48"/>
        <v>0</v>
      </c>
      <c r="T123" s="129"/>
      <c r="U123" s="40"/>
      <c r="V123" s="40"/>
      <c r="W123" s="131"/>
      <c r="X123" s="42">
        <f t="shared" si="49"/>
        <v>0</v>
      </c>
      <c r="Y123" s="41"/>
      <c r="Z123" s="40">
        <f>IF($C123="NĐ",1,IFERROR(SUMIFS(Data_FAGLL03[Amount in local currency],Data_FAGLL03[Offsetting acct no.],$E123,Data_FAGLL03[Material],$G123)/SUMIFS(Data_FAGLL03[Dthu (USD)],Data_FAGLL03[Offsetting acct no.],$E123,Data_FAGLL03[Material],$G123),0))</f>
        <v>0</v>
      </c>
      <c r="AA123" s="121">
        <f t="shared" si="63"/>
        <v>26300</v>
      </c>
      <c r="AB123" s="121">
        <f t="shared" si="63"/>
        <v>26300</v>
      </c>
      <c r="AC123" s="40">
        <f t="shared" si="51"/>
        <v>0</v>
      </c>
      <c r="AD123" s="41"/>
      <c r="AE123" s="40">
        <f t="shared" si="52"/>
        <v>0</v>
      </c>
      <c r="AF123" s="40">
        <f t="shared" si="53"/>
        <v>0</v>
      </c>
      <c r="AG123" s="40">
        <f t="shared" si="64"/>
        <v>0</v>
      </c>
      <c r="AH123" s="40"/>
      <c r="AI123" s="41"/>
      <c r="AJ123" s="43"/>
      <c r="AK123" s="40"/>
      <c r="AL123" s="40">
        <f t="shared" si="62"/>
        <v>0</v>
      </c>
      <c r="AM123" s="44">
        <f t="shared" si="41"/>
        <v>0</v>
      </c>
      <c r="AO123" s="39"/>
      <c r="AP123" s="39"/>
      <c r="AQ123" s="39"/>
      <c r="AR123" s="39"/>
      <c r="AS123" s="39"/>
      <c r="AT123" s="94"/>
      <c r="AV123" s="42">
        <f t="shared" si="56"/>
        <v>0</v>
      </c>
      <c r="AW123" s="39"/>
      <c r="AX123" s="39"/>
      <c r="AY123" s="39"/>
      <c r="AZ123" s="39"/>
      <c r="BA123" s="217">
        <f t="shared" si="42"/>
        <v>0</v>
      </c>
      <c r="BC123" s="40"/>
      <c r="BD123" s="40"/>
      <c r="BE123" s="40"/>
      <c r="BF123" s="226">
        <f t="shared" si="61"/>
        <v>0</v>
      </c>
      <c r="BH123" s="40">
        <f t="shared" si="57"/>
        <v>0</v>
      </c>
      <c r="BI123" s="40">
        <f t="shared" si="58"/>
        <v>0</v>
      </c>
      <c r="BJ123" s="40">
        <f t="shared" si="59"/>
        <v>0</v>
      </c>
      <c r="BK123" s="226">
        <f t="shared" si="60"/>
        <v>0</v>
      </c>
      <c r="BM123" s="94"/>
      <c r="BN123" s="39"/>
      <c r="BO123" s="39"/>
      <c r="BP123" s="39"/>
      <c r="BQ123" s="39"/>
      <c r="BR123" s="39"/>
      <c r="BS123" s="39"/>
      <c r="BT123" s="39"/>
      <c r="BU123" s="39"/>
      <c r="BV123" s="39"/>
      <c r="BW123" s="246"/>
    </row>
    <row r="124" spans="3:75" x14ac:dyDescent="0.25">
      <c r="C124" s="39"/>
      <c r="D124" s="39"/>
      <c r="E124" s="39"/>
      <c r="F124" s="39"/>
      <c r="G124" s="39"/>
      <c r="H124" s="39"/>
      <c r="I124" s="39"/>
      <c r="J124" s="39"/>
      <c r="K124" s="40">
        <f>SUMIFS('Working-T05-B1'!L$8:L$150,'Working-T05-B1'!$C$8:$C$150,$D124)</f>
        <v>0</v>
      </c>
      <c r="L124" s="40" cm="1">
        <f t="array" ref="L124">SUMPRODUCT(Sales!$G$3:$H$100*(Sales!$B$3:$B$100=$D124))</f>
        <v>0</v>
      </c>
      <c r="M124" s="39"/>
      <c r="N124" s="40"/>
      <c r="P124" s="40">
        <f>SUMIFS('Working-T05-B1'!O$8:O$150,'Working-T05-B1'!$C$8:$C$150,$D124)</f>
        <v>0</v>
      </c>
      <c r="Q124" s="40"/>
      <c r="R124" s="40"/>
      <c r="S124" s="40">
        <f t="shared" si="48"/>
        <v>0</v>
      </c>
      <c r="T124" s="129"/>
      <c r="U124" s="40"/>
      <c r="V124" s="40"/>
      <c r="W124" s="131"/>
      <c r="X124" s="42">
        <f t="shared" si="49"/>
        <v>0</v>
      </c>
      <c r="Y124" s="41"/>
      <c r="Z124" s="40">
        <f>IF($C124="NĐ",1,IFERROR(SUMIFS(Data_FAGLL03[Amount in local currency],Data_FAGLL03[Offsetting acct no.],$E124,Data_FAGLL03[Material],$G124)/SUMIFS(Data_FAGLL03[Dthu (USD)],Data_FAGLL03[Offsetting acct no.],$E124,Data_FAGLL03[Material],$G124),0))</f>
        <v>0</v>
      </c>
      <c r="AA124" s="121">
        <f t="shared" si="63"/>
        <v>26300</v>
      </c>
      <c r="AB124" s="121">
        <f t="shared" si="63"/>
        <v>26300</v>
      </c>
      <c r="AC124" s="40">
        <f t="shared" si="51"/>
        <v>0</v>
      </c>
      <c r="AD124" s="41"/>
      <c r="AE124" s="40">
        <f t="shared" si="52"/>
        <v>0</v>
      </c>
      <c r="AF124" s="40">
        <f t="shared" si="53"/>
        <v>0</v>
      </c>
      <c r="AG124" s="40">
        <f t="shared" si="64"/>
        <v>0</v>
      </c>
      <c r="AH124" s="40"/>
      <c r="AI124" s="41"/>
      <c r="AJ124" s="43"/>
      <c r="AK124" s="40"/>
      <c r="AL124" s="40">
        <f t="shared" si="62"/>
        <v>0</v>
      </c>
      <c r="AM124" s="44">
        <f t="shared" si="41"/>
        <v>0</v>
      </c>
      <c r="AO124" s="39"/>
      <c r="AP124" s="39"/>
      <c r="AQ124" s="39"/>
      <c r="AR124" s="39"/>
      <c r="AS124" s="39"/>
      <c r="AT124" s="94"/>
      <c r="AV124" s="42">
        <f t="shared" si="56"/>
        <v>0</v>
      </c>
      <c r="AW124" s="39"/>
      <c r="AX124" s="39"/>
      <c r="AY124" s="39"/>
      <c r="AZ124" s="39"/>
      <c r="BA124" s="217">
        <f t="shared" si="42"/>
        <v>0</v>
      </c>
      <c r="BC124" s="40"/>
      <c r="BD124" s="40"/>
      <c r="BE124" s="40"/>
      <c r="BF124" s="226">
        <f t="shared" si="61"/>
        <v>0</v>
      </c>
      <c r="BH124" s="40">
        <f t="shared" si="57"/>
        <v>0</v>
      </c>
      <c r="BI124" s="40">
        <f t="shared" si="58"/>
        <v>0</v>
      </c>
      <c r="BJ124" s="40">
        <f t="shared" si="59"/>
        <v>0</v>
      </c>
      <c r="BK124" s="226">
        <f t="shared" si="60"/>
        <v>0</v>
      </c>
      <c r="BM124" s="94"/>
      <c r="BN124" s="39"/>
      <c r="BO124" s="39"/>
      <c r="BP124" s="39"/>
      <c r="BQ124" s="39"/>
      <c r="BR124" s="39"/>
      <c r="BS124" s="39"/>
      <c r="BT124" s="39"/>
      <c r="BU124" s="39"/>
      <c r="BV124" s="39"/>
      <c r="BW124" s="246"/>
    </row>
    <row r="125" spans="3:75" x14ac:dyDescent="0.25">
      <c r="C125" s="39"/>
      <c r="D125" s="39"/>
      <c r="E125" s="39"/>
      <c r="F125" s="39"/>
      <c r="G125" s="39"/>
      <c r="H125" s="39"/>
      <c r="I125" s="39"/>
      <c r="J125" s="39"/>
      <c r="K125" s="40">
        <f>SUMIFS('Working-T05-B1'!L$8:L$150,'Working-T05-B1'!$C$8:$C$150,$D125)</f>
        <v>0</v>
      </c>
      <c r="L125" s="40" cm="1">
        <f t="array" ref="L125">SUMPRODUCT(Sales!$G$3:$H$100*(Sales!$B$3:$B$100=$D125))</f>
        <v>0</v>
      </c>
      <c r="M125" s="39"/>
      <c r="N125" s="40"/>
      <c r="P125" s="40">
        <f>SUMIFS('Working-T05-B1'!O$8:O$150,'Working-T05-B1'!$C$8:$C$150,$D125)</f>
        <v>0</v>
      </c>
      <c r="Q125" s="40"/>
      <c r="R125" s="40"/>
      <c r="S125" s="40">
        <f t="shared" si="48"/>
        <v>0</v>
      </c>
      <c r="T125" s="129"/>
      <c r="U125" s="40"/>
      <c r="V125" s="40"/>
      <c r="W125" s="131"/>
      <c r="X125" s="42">
        <f t="shared" si="49"/>
        <v>0</v>
      </c>
      <c r="Y125" s="41"/>
      <c r="Z125" s="40">
        <f>IF($C125="NĐ",1,IFERROR(SUMIFS(Data_FAGLL03[Amount in local currency],Data_FAGLL03[Offsetting acct no.],$E125,Data_FAGLL03[Material],$G125)/SUMIFS(Data_FAGLL03[Dthu (USD)],Data_FAGLL03[Offsetting acct no.],$E125,Data_FAGLL03[Material],$G125),0))</f>
        <v>0</v>
      </c>
      <c r="AA125" s="121">
        <f t="shared" si="63"/>
        <v>26300</v>
      </c>
      <c r="AB125" s="121">
        <f t="shared" si="63"/>
        <v>26300</v>
      </c>
      <c r="AC125" s="40">
        <f t="shared" si="51"/>
        <v>0</v>
      </c>
      <c r="AD125" s="41"/>
      <c r="AE125" s="40">
        <f t="shared" si="52"/>
        <v>0</v>
      </c>
      <c r="AF125" s="40">
        <f t="shared" si="53"/>
        <v>0</v>
      </c>
      <c r="AG125" s="40">
        <f t="shared" si="64"/>
        <v>0</v>
      </c>
      <c r="AH125" s="40"/>
      <c r="AI125" s="41"/>
      <c r="AJ125" s="43"/>
      <c r="AK125" s="40"/>
      <c r="AL125" s="40">
        <f t="shared" si="62"/>
        <v>0</v>
      </c>
      <c r="AM125" s="44">
        <f t="shared" si="41"/>
        <v>0</v>
      </c>
      <c r="AO125" s="39"/>
      <c r="AP125" s="39"/>
      <c r="AQ125" s="39"/>
      <c r="AR125" s="39"/>
      <c r="AS125" s="39"/>
      <c r="AT125" s="94"/>
      <c r="AV125" s="42">
        <f t="shared" si="56"/>
        <v>0</v>
      </c>
      <c r="AW125" s="39"/>
      <c r="AX125" s="39"/>
      <c r="AY125" s="39"/>
      <c r="AZ125" s="39"/>
      <c r="BA125" s="217">
        <f t="shared" si="42"/>
        <v>0</v>
      </c>
      <c r="BC125" s="40"/>
      <c r="BD125" s="40"/>
      <c r="BE125" s="40"/>
      <c r="BF125" s="226">
        <f t="shared" si="61"/>
        <v>0</v>
      </c>
      <c r="BH125" s="40">
        <f t="shared" si="57"/>
        <v>0</v>
      </c>
      <c r="BI125" s="40">
        <f t="shared" si="58"/>
        <v>0</v>
      </c>
      <c r="BJ125" s="40">
        <f t="shared" si="59"/>
        <v>0</v>
      </c>
      <c r="BK125" s="226">
        <f t="shared" si="60"/>
        <v>0</v>
      </c>
      <c r="BM125" s="94"/>
      <c r="BN125" s="39"/>
      <c r="BO125" s="39"/>
      <c r="BP125" s="39"/>
      <c r="BQ125" s="39"/>
      <c r="BR125" s="39"/>
      <c r="BS125" s="39"/>
      <c r="BT125" s="39"/>
      <c r="BU125" s="39"/>
      <c r="BV125" s="39"/>
      <c r="BW125" s="246"/>
    </row>
    <row r="126" spans="3:75" x14ac:dyDescent="0.25">
      <c r="C126" s="39"/>
      <c r="D126" s="39"/>
      <c r="E126" s="39"/>
      <c r="F126" s="39"/>
      <c r="G126" s="39"/>
      <c r="H126" s="39"/>
      <c r="I126" s="39"/>
      <c r="J126" s="39"/>
      <c r="K126" s="40">
        <f>SUMIFS('Working-T05-B1'!L$8:L$150,'Working-T05-B1'!$C$8:$C$150,$D126)</f>
        <v>0</v>
      </c>
      <c r="L126" s="40" cm="1">
        <f t="array" ref="L126">SUMPRODUCT(Sales!$G$3:$H$100*(Sales!$B$3:$B$100=$D126))</f>
        <v>0</v>
      </c>
      <c r="M126" s="39"/>
      <c r="N126" s="40"/>
      <c r="P126" s="40">
        <f>SUMIFS('Working-T05-B1'!O$8:O$150,'Working-T05-B1'!$C$8:$C$150,$D126)</f>
        <v>0</v>
      </c>
      <c r="Q126" s="40"/>
      <c r="R126" s="40"/>
      <c r="S126" s="40">
        <f t="shared" si="48"/>
        <v>0</v>
      </c>
      <c r="T126" s="129"/>
      <c r="U126" s="40"/>
      <c r="V126" s="40"/>
      <c r="W126" s="131"/>
      <c r="X126" s="42">
        <f t="shared" si="49"/>
        <v>0</v>
      </c>
      <c r="Y126" s="41"/>
      <c r="Z126" s="40">
        <f>IF($C126="NĐ",1,IFERROR(SUMIFS(Data_FAGLL03[Amount in local currency],Data_FAGLL03[Offsetting acct no.],$E126,Data_FAGLL03[Material],$G126)/SUMIFS(Data_FAGLL03[Dthu (USD)],Data_FAGLL03[Offsetting acct no.],$E126,Data_FAGLL03[Material],$G126),0))</f>
        <v>0</v>
      </c>
      <c r="AA126" s="121">
        <f t="shared" si="63"/>
        <v>26300</v>
      </c>
      <c r="AB126" s="121">
        <f t="shared" si="63"/>
        <v>26300</v>
      </c>
      <c r="AC126" s="40">
        <f t="shared" si="51"/>
        <v>0</v>
      </c>
      <c r="AD126" s="41"/>
      <c r="AE126" s="40">
        <f t="shared" si="52"/>
        <v>0</v>
      </c>
      <c r="AF126" s="40">
        <f t="shared" si="53"/>
        <v>0</v>
      </c>
      <c r="AG126" s="40">
        <f t="shared" si="64"/>
        <v>0</v>
      </c>
      <c r="AH126" s="40"/>
      <c r="AI126" s="41"/>
      <c r="AJ126" s="43"/>
      <c r="AK126" s="40"/>
      <c r="AL126" s="40">
        <f t="shared" si="62"/>
        <v>0</v>
      </c>
      <c r="AM126" s="44">
        <f t="shared" ref="AM126:AM136" si="65">SUM(AJ126:AL126)</f>
        <v>0</v>
      </c>
      <c r="AO126" s="39"/>
      <c r="AP126" s="39"/>
      <c r="AQ126" s="39"/>
      <c r="AR126" s="39"/>
      <c r="AS126" s="39"/>
      <c r="AT126" s="94"/>
      <c r="AV126" s="42">
        <f t="shared" si="56"/>
        <v>0</v>
      </c>
      <c r="AW126" s="39"/>
      <c r="AX126" s="39"/>
      <c r="AY126" s="39"/>
      <c r="AZ126" s="39"/>
      <c r="BA126" s="217">
        <f t="shared" si="42"/>
        <v>0</v>
      </c>
      <c r="BC126" s="40"/>
      <c r="BD126" s="40"/>
      <c r="BE126" s="40"/>
      <c r="BF126" s="226">
        <f t="shared" si="61"/>
        <v>0</v>
      </c>
      <c r="BH126" s="40">
        <f t="shared" si="57"/>
        <v>0</v>
      </c>
      <c r="BI126" s="40">
        <f t="shared" si="58"/>
        <v>0</v>
      </c>
      <c r="BJ126" s="40">
        <f t="shared" si="59"/>
        <v>0</v>
      </c>
      <c r="BK126" s="226">
        <f t="shared" si="60"/>
        <v>0</v>
      </c>
      <c r="BM126" s="94"/>
      <c r="BN126" s="39"/>
      <c r="BO126" s="39"/>
      <c r="BP126" s="39"/>
      <c r="BQ126" s="39"/>
      <c r="BR126" s="39"/>
      <c r="BS126" s="39"/>
      <c r="BT126" s="39"/>
      <c r="BU126" s="39"/>
      <c r="BV126" s="39"/>
      <c r="BW126" s="246"/>
    </row>
    <row r="127" spans="3:75" x14ac:dyDescent="0.25">
      <c r="C127" s="39"/>
      <c r="D127" s="39"/>
      <c r="E127" s="39"/>
      <c r="F127" s="39"/>
      <c r="G127" s="39"/>
      <c r="H127" s="39"/>
      <c r="I127" s="39"/>
      <c r="J127" s="39"/>
      <c r="K127" s="40">
        <f>SUMIFS('Working-T05-B1'!L$8:L$150,'Working-T05-B1'!$C$8:$C$150,$D127)</f>
        <v>0</v>
      </c>
      <c r="L127" s="40" cm="1">
        <f t="array" ref="L127">SUMPRODUCT(Sales!$G$3:$H$100*(Sales!$B$3:$B$100=$D127))</f>
        <v>0</v>
      </c>
      <c r="M127" s="39"/>
      <c r="N127" s="40"/>
      <c r="P127" s="40">
        <f>SUMIFS('Working-T05-B1'!O$8:O$150,'Working-T05-B1'!$C$8:$C$150,$D127)</f>
        <v>0</v>
      </c>
      <c r="Q127" s="40"/>
      <c r="R127" s="40"/>
      <c r="S127" s="40">
        <f t="shared" si="48"/>
        <v>0</v>
      </c>
      <c r="T127" s="129"/>
      <c r="U127" s="40"/>
      <c r="V127" s="40"/>
      <c r="W127" s="131"/>
      <c r="X127" s="42">
        <f t="shared" si="49"/>
        <v>0</v>
      </c>
      <c r="Y127" s="41"/>
      <c r="Z127" s="40">
        <f>IF($C127="NĐ",1,IFERROR(SUMIFS(Data_FAGLL03[Amount in local currency],Data_FAGLL03[Offsetting acct no.],$E127,Data_FAGLL03[Material],$G127)/SUMIFS(Data_FAGLL03[Dthu (USD)],Data_FAGLL03[Offsetting acct no.],$E127,Data_FAGLL03[Material],$G127),0))</f>
        <v>0</v>
      </c>
      <c r="AA127" s="121">
        <f t="shared" si="63"/>
        <v>26300</v>
      </c>
      <c r="AB127" s="121">
        <f t="shared" si="63"/>
        <v>26300</v>
      </c>
      <c r="AC127" s="40">
        <f t="shared" si="51"/>
        <v>0</v>
      </c>
      <c r="AD127" s="41"/>
      <c r="AE127" s="40">
        <f t="shared" si="52"/>
        <v>0</v>
      </c>
      <c r="AF127" s="40">
        <f t="shared" si="53"/>
        <v>0</v>
      </c>
      <c r="AG127" s="40">
        <f t="shared" si="64"/>
        <v>0</v>
      </c>
      <c r="AH127" s="40"/>
      <c r="AI127" s="41"/>
      <c r="AJ127" s="43"/>
      <c r="AK127" s="40"/>
      <c r="AL127" s="40">
        <f t="shared" si="62"/>
        <v>0</v>
      </c>
      <c r="AM127" s="44">
        <f t="shared" si="65"/>
        <v>0</v>
      </c>
      <c r="AO127" s="39"/>
      <c r="AP127" s="39"/>
      <c r="AQ127" s="39"/>
      <c r="AR127" s="39"/>
      <c r="AS127" s="39"/>
      <c r="AT127" s="94"/>
      <c r="AV127" s="42">
        <f t="shared" si="56"/>
        <v>0</v>
      </c>
      <c r="AW127" s="39"/>
      <c r="AX127" s="39"/>
      <c r="AY127" s="39"/>
      <c r="AZ127" s="39"/>
      <c r="BA127" s="217">
        <f t="shared" si="42"/>
        <v>0</v>
      </c>
      <c r="BC127" s="40"/>
      <c r="BD127" s="40"/>
      <c r="BE127" s="40"/>
      <c r="BF127" s="226">
        <f t="shared" si="61"/>
        <v>0</v>
      </c>
      <c r="BH127" s="40">
        <f t="shared" si="57"/>
        <v>0</v>
      </c>
      <c r="BI127" s="40">
        <f t="shared" si="58"/>
        <v>0</v>
      </c>
      <c r="BJ127" s="40">
        <f t="shared" si="59"/>
        <v>0</v>
      </c>
      <c r="BK127" s="226">
        <f t="shared" si="60"/>
        <v>0</v>
      </c>
      <c r="BM127" s="94"/>
      <c r="BN127" s="39"/>
      <c r="BO127" s="39"/>
      <c r="BP127" s="39"/>
      <c r="BQ127" s="39"/>
      <c r="BR127" s="39"/>
      <c r="BS127" s="39"/>
      <c r="BT127" s="39"/>
      <c r="BU127" s="39"/>
      <c r="BV127" s="39"/>
      <c r="BW127" s="246"/>
    </row>
    <row r="128" spans="3:75" x14ac:dyDescent="0.25">
      <c r="C128" s="39"/>
      <c r="D128" s="39"/>
      <c r="E128" s="39"/>
      <c r="F128" s="39"/>
      <c r="G128" s="39"/>
      <c r="H128" s="39"/>
      <c r="I128" s="39"/>
      <c r="J128" s="39"/>
      <c r="K128" s="40">
        <f>SUMIFS('Working-T05-B1'!L$8:L$150,'Working-T05-B1'!$C$8:$C$150,$D128)</f>
        <v>0</v>
      </c>
      <c r="L128" s="40" cm="1">
        <f t="array" ref="L128">SUMPRODUCT(Sales!$G$3:$H$100*(Sales!$B$3:$B$100=$D128))</f>
        <v>0</v>
      </c>
      <c r="M128" s="39"/>
      <c r="N128" s="40"/>
      <c r="P128" s="40">
        <f>SUMIFS('Working-T05-B1'!O$8:O$150,'Working-T05-B1'!$C$8:$C$150,$D128)</f>
        <v>0</v>
      </c>
      <c r="Q128" s="40"/>
      <c r="R128" s="40"/>
      <c r="S128" s="40">
        <f t="shared" si="48"/>
        <v>0</v>
      </c>
      <c r="T128" s="129"/>
      <c r="U128" s="40"/>
      <c r="V128" s="40"/>
      <c r="W128" s="131"/>
      <c r="X128" s="42">
        <f t="shared" si="49"/>
        <v>0</v>
      </c>
      <c r="Y128" s="41"/>
      <c r="Z128" s="40">
        <f>IF($C128="NĐ",1,IFERROR(SUMIFS(Data_FAGLL03[Amount in local currency],Data_FAGLL03[Offsetting acct no.],$E128,Data_FAGLL03[Material],$G128)/SUMIFS(Data_FAGLL03[Dthu (USD)],Data_FAGLL03[Offsetting acct no.],$E128,Data_FAGLL03[Material],$G128),0))</f>
        <v>0</v>
      </c>
      <c r="AA128" s="40">
        <f t="shared" si="63"/>
        <v>26300</v>
      </c>
      <c r="AB128" s="40">
        <f t="shared" si="63"/>
        <v>26300</v>
      </c>
      <c r="AC128" s="40">
        <f t="shared" si="51"/>
        <v>0</v>
      </c>
      <c r="AD128" s="41"/>
      <c r="AE128" s="40"/>
      <c r="AF128" s="40"/>
      <c r="AG128" s="40"/>
      <c r="AH128" s="40"/>
      <c r="AI128" s="41"/>
      <c r="AJ128" s="43"/>
      <c r="AK128" s="40"/>
      <c r="AL128" s="40">
        <f t="shared" si="62"/>
        <v>0</v>
      </c>
      <c r="AM128" s="44">
        <f t="shared" si="65"/>
        <v>0</v>
      </c>
      <c r="AO128" s="39"/>
      <c r="AP128" s="39"/>
      <c r="AQ128" s="39"/>
      <c r="AR128" s="39"/>
      <c r="AS128" s="39"/>
      <c r="AT128" s="94"/>
      <c r="AV128" s="42">
        <f t="shared" si="56"/>
        <v>0</v>
      </c>
      <c r="AW128" s="39"/>
      <c r="AX128" s="39"/>
      <c r="AY128" s="39"/>
      <c r="AZ128" s="39"/>
      <c r="BA128" s="217">
        <f t="shared" si="42"/>
        <v>0</v>
      </c>
      <c r="BC128" s="40"/>
      <c r="BD128" s="40"/>
      <c r="BE128" s="40"/>
      <c r="BF128" s="226">
        <f t="shared" si="61"/>
        <v>0</v>
      </c>
      <c r="BH128" s="40">
        <f t="shared" si="57"/>
        <v>0</v>
      </c>
      <c r="BI128" s="40">
        <f t="shared" si="58"/>
        <v>0</v>
      </c>
      <c r="BJ128" s="40">
        <f t="shared" si="59"/>
        <v>0</v>
      </c>
      <c r="BK128" s="226">
        <f t="shared" si="60"/>
        <v>0</v>
      </c>
      <c r="BM128" s="94"/>
      <c r="BN128" s="39"/>
      <c r="BO128" s="39"/>
      <c r="BP128" s="39"/>
      <c r="BQ128" s="39"/>
      <c r="BR128" s="39"/>
      <c r="BS128" s="39"/>
      <c r="BT128" s="39"/>
      <c r="BU128" s="39"/>
      <c r="BV128" s="39"/>
      <c r="BW128" s="246"/>
    </row>
    <row r="129" spans="3:75" x14ac:dyDescent="0.25">
      <c r="C129" s="39"/>
      <c r="D129" s="39"/>
      <c r="E129" s="39"/>
      <c r="F129" s="39"/>
      <c r="G129" s="39"/>
      <c r="H129" s="225"/>
      <c r="I129" s="39"/>
      <c r="J129" s="39"/>
      <c r="K129" s="40">
        <f>SUMIFS('Working-T05-B1'!L$8:L$150,'Working-T05-B1'!$C$8:$C$150,$D129)</f>
        <v>0</v>
      </c>
      <c r="L129" s="40" cm="1">
        <f t="array" ref="L129">SUMPRODUCT(Sales!$G$3:$H$100*(Sales!$B$3:$B$100=$D129))</f>
        <v>0</v>
      </c>
      <c r="M129" s="39"/>
      <c r="N129" s="40"/>
      <c r="P129" s="40">
        <f>SUMIFS('Working-T05-B1'!O$8:O$150,'Working-T05-B1'!$C$8:$C$150,$D129)</f>
        <v>0</v>
      </c>
      <c r="Q129" s="40"/>
      <c r="R129" s="40"/>
      <c r="S129" s="40">
        <f t="shared" si="48"/>
        <v>0</v>
      </c>
      <c r="T129" s="129"/>
      <c r="U129" s="40"/>
      <c r="V129" s="40"/>
      <c r="W129" s="131"/>
      <c r="X129" s="42">
        <f t="shared" ref="X129:X133" si="66">IFERROR($AM129/$S129,0)</f>
        <v>0</v>
      </c>
      <c r="Y129" s="41"/>
      <c r="Z129" s="40">
        <f>IF($C129="NĐ",1,IFERROR(SUMIFS(Data_FAGLL03[Amount in local currency],Data_FAGLL03[Offsetting acct no.],$E129,Data_FAGLL03[Material],$G129)/SUMIFS(Data_FAGLL03[Dthu (USD)],Data_FAGLL03[Offsetting acct no.],$E129,Data_FAGLL03[Material],$G129),0))</f>
        <v>0</v>
      </c>
      <c r="AA129" s="40">
        <f t="shared" si="63"/>
        <v>26300</v>
      </c>
      <c r="AB129" s="40">
        <f t="shared" si="63"/>
        <v>26300</v>
      </c>
      <c r="AC129" s="40">
        <f t="shared" si="51"/>
        <v>0</v>
      </c>
      <c r="AD129" s="41"/>
      <c r="AE129" s="40">
        <f t="shared" si="64"/>
        <v>0</v>
      </c>
      <c r="AF129" s="40">
        <f t="shared" si="64"/>
        <v>0</v>
      </c>
      <c r="AG129" s="40">
        <f t="shared" si="64"/>
        <v>0</v>
      </c>
      <c r="AH129" s="40"/>
      <c r="AI129" s="41"/>
      <c r="AJ129" s="43"/>
      <c r="AK129" s="40"/>
      <c r="AL129" s="40">
        <f t="shared" si="62"/>
        <v>0</v>
      </c>
      <c r="AM129" s="44">
        <f t="shared" si="65"/>
        <v>0</v>
      </c>
      <c r="AO129" s="39"/>
      <c r="AP129" s="39"/>
      <c r="AQ129" s="39"/>
      <c r="AR129" s="39"/>
      <c r="AS129" s="39"/>
      <c r="AT129" s="94"/>
      <c r="AV129" s="42">
        <f t="shared" si="56"/>
        <v>0</v>
      </c>
      <c r="AW129" s="39"/>
      <c r="AX129" s="39"/>
      <c r="AY129" s="39"/>
      <c r="AZ129" s="40"/>
      <c r="BA129" s="217">
        <f t="shared" si="42"/>
        <v>0</v>
      </c>
      <c r="BC129" s="40"/>
      <c r="BD129" s="40"/>
      <c r="BE129" s="40"/>
      <c r="BF129" s="226">
        <f t="shared" si="61"/>
        <v>0</v>
      </c>
      <c r="BH129" s="40">
        <f t="shared" si="57"/>
        <v>0</v>
      </c>
      <c r="BI129" s="40">
        <f t="shared" si="58"/>
        <v>0</v>
      </c>
      <c r="BJ129" s="40">
        <f t="shared" si="59"/>
        <v>0</v>
      </c>
      <c r="BK129" s="226">
        <f t="shared" si="60"/>
        <v>0</v>
      </c>
      <c r="BM129" s="94"/>
      <c r="BN129" s="39"/>
      <c r="BO129" s="39"/>
      <c r="BP129" s="39"/>
      <c r="BQ129" s="39"/>
      <c r="BR129" s="39"/>
      <c r="BS129" s="39"/>
      <c r="BT129" s="39"/>
      <c r="BU129" s="39"/>
      <c r="BV129" s="39"/>
      <c r="BW129" s="246"/>
    </row>
    <row r="130" spans="3:75" x14ac:dyDescent="0.25">
      <c r="C130" s="39"/>
      <c r="D130" s="39"/>
      <c r="E130" s="39"/>
      <c r="F130" s="39"/>
      <c r="G130" s="39"/>
      <c r="H130" s="39"/>
      <c r="I130" s="39"/>
      <c r="J130" s="39"/>
      <c r="K130" s="40">
        <f>SUMIFS('Working-T05-B1'!L$8:L$150,'Working-T05-B1'!$C$8:$C$150,$D130)</f>
        <v>0</v>
      </c>
      <c r="L130" s="40" cm="1">
        <f t="array" ref="L130">SUMPRODUCT(Sales!$G$3:$H$100*(Sales!$B$3:$B$100=$D130))</f>
        <v>0</v>
      </c>
      <c r="M130" s="39"/>
      <c r="N130" s="40"/>
      <c r="P130" s="40">
        <f>SUMIFS('Working-T05-B1'!O$8:O$150,'Working-T05-B1'!$C$8:$C$150,$D130)</f>
        <v>0</v>
      </c>
      <c r="Q130" s="40"/>
      <c r="R130" s="40"/>
      <c r="S130" s="40">
        <f t="shared" si="48"/>
        <v>0</v>
      </c>
      <c r="T130" s="129"/>
      <c r="U130" s="40"/>
      <c r="V130" s="40"/>
      <c r="W130" s="131"/>
      <c r="X130" s="42">
        <f t="shared" si="66"/>
        <v>0</v>
      </c>
      <c r="Y130" s="41"/>
      <c r="Z130" s="40">
        <f>IF($C130="NĐ",1,IFERROR(SUMIFS(Data_FAGLL03[Amount in local currency],Data_FAGLL03[Offsetting acct no.],$E130,Data_FAGLL03[Material],$G130)/SUMIFS(Data_FAGLL03[Dthu (USD)],Data_FAGLL03[Offsetting acct no.],$E130,Data_FAGLL03[Material],$G130),0))</f>
        <v>0</v>
      </c>
      <c r="AA130" s="40">
        <f t="shared" si="63"/>
        <v>26300</v>
      </c>
      <c r="AB130" s="40">
        <f t="shared" si="63"/>
        <v>26300</v>
      </c>
      <c r="AC130" s="40">
        <f t="shared" si="51"/>
        <v>0</v>
      </c>
      <c r="AD130" s="41"/>
      <c r="AE130" s="40">
        <f t="shared" si="64"/>
        <v>0</v>
      </c>
      <c r="AF130" s="40">
        <f t="shared" si="64"/>
        <v>0</v>
      </c>
      <c r="AG130" s="40">
        <f t="shared" si="64"/>
        <v>0</v>
      </c>
      <c r="AH130" s="40"/>
      <c r="AI130" s="41"/>
      <c r="AJ130" s="43"/>
      <c r="AK130" s="40"/>
      <c r="AL130" s="40">
        <f t="shared" si="62"/>
        <v>0</v>
      </c>
      <c r="AM130" s="44">
        <f t="shared" si="65"/>
        <v>0</v>
      </c>
      <c r="AO130" s="39"/>
      <c r="AP130" s="39"/>
      <c r="AQ130" s="39"/>
      <c r="AR130" s="39"/>
      <c r="AS130" s="39"/>
      <c r="AT130" s="94"/>
      <c r="AV130" s="42">
        <f t="shared" si="56"/>
        <v>0</v>
      </c>
      <c r="AW130" s="39"/>
      <c r="AX130" s="39"/>
      <c r="AY130" s="39"/>
      <c r="AZ130" s="39"/>
      <c r="BA130" s="217">
        <f t="shared" si="42"/>
        <v>0</v>
      </c>
      <c r="BC130" s="40"/>
      <c r="BD130" s="40"/>
      <c r="BE130" s="40"/>
      <c r="BF130" s="226">
        <f t="shared" si="61"/>
        <v>0</v>
      </c>
      <c r="BH130" s="40">
        <f t="shared" si="57"/>
        <v>0</v>
      </c>
      <c r="BI130" s="40">
        <f t="shared" si="58"/>
        <v>0</v>
      </c>
      <c r="BJ130" s="40">
        <f t="shared" si="59"/>
        <v>0</v>
      </c>
      <c r="BK130" s="226">
        <f t="shared" si="60"/>
        <v>0</v>
      </c>
      <c r="BM130" s="94"/>
      <c r="BN130" s="39"/>
      <c r="BO130" s="39"/>
      <c r="BP130" s="39"/>
      <c r="BQ130" s="39"/>
      <c r="BR130" s="39"/>
      <c r="BS130" s="39"/>
      <c r="BT130" s="39"/>
      <c r="BU130" s="39"/>
      <c r="BV130" s="39"/>
      <c r="BW130" s="246"/>
    </row>
    <row r="131" spans="3:75" x14ac:dyDescent="0.25">
      <c r="C131" s="39"/>
      <c r="D131" s="39"/>
      <c r="E131" s="39"/>
      <c r="F131" s="39"/>
      <c r="G131" s="39"/>
      <c r="H131" s="39"/>
      <c r="I131" s="39"/>
      <c r="J131" s="39"/>
      <c r="K131" s="40">
        <f>SUMIFS('Working-T05-B1'!L$8:L$150,'Working-T05-B1'!$C$8:$C$150,$D131)</f>
        <v>0</v>
      </c>
      <c r="L131" s="40" cm="1">
        <f t="array" ref="L131">SUMPRODUCT(Sales!$G$3:$H$100*(Sales!$B$3:$B$100=$D131))</f>
        <v>0</v>
      </c>
      <c r="M131" s="39"/>
      <c r="N131" s="40"/>
      <c r="P131" s="40">
        <f>SUMIFS('Working-T05-B1'!O$8:O$150,'Working-T05-B1'!$C$8:$C$150,$D131)</f>
        <v>0</v>
      </c>
      <c r="Q131" s="40"/>
      <c r="R131" s="40"/>
      <c r="S131" s="40">
        <f t="shared" si="48"/>
        <v>0</v>
      </c>
      <c r="T131" s="129"/>
      <c r="U131" s="40"/>
      <c r="V131" s="40"/>
      <c r="W131" s="131"/>
      <c r="X131" s="42">
        <f t="shared" si="66"/>
        <v>0</v>
      </c>
      <c r="Y131" s="41"/>
      <c r="Z131" s="40">
        <f>IF($C131="NĐ",1,IFERROR(SUMIFS(Data_FAGLL03[Amount in local currency],Data_FAGLL03[Offsetting acct no.],$E131,Data_FAGLL03[Material],$G131)/SUMIFS(Data_FAGLL03[Dthu (USD)],Data_FAGLL03[Offsetting acct no.],$E131,Data_FAGLL03[Material],$G131),0))</f>
        <v>0</v>
      </c>
      <c r="AA131" s="40">
        <f t="shared" si="63"/>
        <v>26300</v>
      </c>
      <c r="AB131" s="40">
        <f t="shared" si="63"/>
        <v>26300</v>
      </c>
      <c r="AC131" s="40">
        <f t="shared" si="51"/>
        <v>0</v>
      </c>
      <c r="AD131" s="41"/>
      <c r="AE131" s="40">
        <f t="shared" si="64"/>
        <v>0</v>
      </c>
      <c r="AF131" s="40">
        <f t="shared" si="64"/>
        <v>0</v>
      </c>
      <c r="AG131" s="40">
        <f t="shared" si="64"/>
        <v>0</v>
      </c>
      <c r="AH131" s="40"/>
      <c r="AI131" s="41"/>
      <c r="AJ131" s="43"/>
      <c r="AK131" s="40"/>
      <c r="AL131" s="40">
        <f t="shared" si="62"/>
        <v>0</v>
      </c>
      <c r="AM131" s="44">
        <f t="shared" si="65"/>
        <v>0</v>
      </c>
      <c r="AO131" s="39"/>
      <c r="AP131" s="39"/>
      <c r="AQ131" s="39"/>
      <c r="AR131" s="39"/>
      <c r="AS131" s="39"/>
      <c r="AT131" s="94"/>
      <c r="AV131" s="42">
        <f t="shared" si="56"/>
        <v>0</v>
      </c>
      <c r="AW131" s="39"/>
      <c r="AX131" s="39"/>
      <c r="AY131" s="39"/>
      <c r="AZ131" s="39"/>
      <c r="BA131" s="217">
        <f t="shared" si="42"/>
        <v>0</v>
      </c>
      <c r="BC131" s="40"/>
      <c r="BD131" s="40"/>
      <c r="BE131" s="40"/>
      <c r="BF131" s="226">
        <f t="shared" si="61"/>
        <v>0</v>
      </c>
      <c r="BH131" s="40">
        <f t="shared" si="57"/>
        <v>0</v>
      </c>
      <c r="BI131" s="40">
        <f t="shared" si="58"/>
        <v>0</v>
      </c>
      <c r="BJ131" s="40">
        <f t="shared" si="59"/>
        <v>0</v>
      </c>
      <c r="BK131" s="226">
        <f t="shared" si="60"/>
        <v>0</v>
      </c>
      <c r="BM131" s="94"/>
      <c r="BN131" s="39"/>
      <c r="BO131" s="39"/>
      <c r="BP131" s="39"/>
      <c r="BQ131" s="39"/>
      <c r="BR131" s="39"/>
      <c r="BS131" s="39"/>
      <c r="BT131" s="39"/>
      <c r="BU131" s="39"/>
      <c r="BV131" s="39"/>
      <c r="BW131" s="246"/>
    </row>
    <row r="132" spans="3:75" x14ac:dyDescent="0.25">
      <c r="C132" s="39"/>
      <c r="D132" s="39"/>
      <c r="E132" s="39"/>
      <c r="F132" s="39"/>
      <c r="G132" s="39"/>
      <c r="H132" s="39"/>
      <c r="I132" s="39"/>
      <c r="J132" s="39"/>
      <c r="K132" s="40">
        <f>SUMIFS('Working-T05-B1'!L$8:L$150,'Working-T05-B1'!$C$8:$C$150,$D132)</f>
        <v>0</v>
      </c>
      <c r="L132" s="40" cm="1">
        <f t="array" ref="L132">SUMPRODUCT(Sales!$G$3:$H$100*(Sales!$B$3:$B$100=$D132))</f>
        <v>0</v>
      </c>
      <c r="M132" s="39"/>
      <c r="N132" s="40"/>
      <c r="P132" s="40">
        <f>SUMIFS('Working-T05-B1'!O$8:O$150,'Working-T05-B1'!$C$8:$C$150,$D132)</f>
        <v>0</v>
      </c>
      <c r="Q132" s="40"/>
      <c r="R132" s="40"/>
      <c r="S132" s="40">
        <f t="shared" si="48"/>
        <v>0</v>
      </c>
      <c r="T132" s="129"/>
      <c r="U132" s="40"/>
      <c r="V132" s="40"/>
      <c r="W132" s="131"/>
      <c r="X132" s="42">
        <f t="shared" si="66"/>
        <v>0</v>
      </c>
      <c r="Y132" s="41"/>
      <c r="Z132" s="40">
        <f>IF($C132="NĐ",1,IFERROR(SUMIFS(Data_FAGLL03[Amount in local currency],Data_FAGLL03[Offsetting acct no.],$E132,Data_FAGLL03[Material],$G132)/SUMIFS(Data_FAGLL03[Dthu (USD)],Data_FAGLL03[Offsetting acct no.],$E132,Data_FAGLL03[Material],$G132),0))</f>
        <v>0</v>
      </c>
      <c r="AA132" s="40">
        <f t="shared" si="63"/>
        <v>26300</v>
      </c>
      <c r="AB132" s="40">
        <f t="shared" si="63"/>
        <v>26300</v>
      </c>
      <c r="AC132" s="40">
        <f t="shared" si="51"/>
        <v>0</v>
      </c>
      <c r="AD132" s="41"/>
      <c r="AE132" s="40">
        <f t="shared" si="64"/>
        <v>0</v>
      </c>
      <c r="AF132" s="40">
        <f t="shared" si="64"/>
        <v>0</v>
      </c>
      <c r="AG132" s="40">
        <f t="shared" si="64"/>
        <v>0</v>
      </c>
      <c r="AH132" s="40"/>
      <c r="AI132" s="41"/>
      <c r="AJ132" s="43"/>
      <c r="AK132" s="40"/>
      <c r="AL132" s="40">
        <f t="shared" si="62"/>
        <v>0</v>
      </c>
      <c r="AM132" s="44">
        <f t="shared" si="65"/>
        <v>0</v>
      </c>
      <c r="AO132" s="39"/>
      <c r="AP132" s="39"/>
      <c r="AQ132" s="39"/>
      <c r="AR132" s="39"/>
      <c r="AS132" s="39"/>
      <c r="AT132" s="94"/>
      <c r="AV132" s="42">
        <f t="shared" si="56"/>
        <v>0</v>
      </c>
      <c r="AW132" s="39"/>
      <c r="AX132" s="39"/>
      <c r="AY132" s="39"/>
      <c r="AZ132" s="39"/>
      <c r="BA132" s="217">
        <f t="shared" si="42"/>
        <v>0</v>
      </c>
      <c r="BC132" s="40"/>
      <c r="BD132" s="40"/>
      <c r="BE132" s="40"/>
      <c r="BF132" s="226">
        <f t="shared" si="61"/>
        <v>0</v>
      </c>
      <c r="BH132" s="40">
        <f t="shared" si="57"/>
        <v>0</v>
      </c>
      <c r="BI132" s="40">
        <f t="shared" si="58"/>
        <v>0</v>
      </c>
      <c r="BJ132" s="40">
        <f t="shared" si="59"/>
        <v>0</v>
      </c>
      <c r="BK132" s="226">
        <f t="shared" si="60"/>
        <v>0</v>
      </c>
      <c r="BM132" s="94"/>
      <c r="BN132" s="39"/>
      <c r="BO132" s="39"/>
      <c r="BP132" s="39"/>
      <c r="BQ132" s="39"/>
      <c r="BR132" s="39"/>
      <c r="BS132" s="39"/>
      <c r="BT132" s="39"/>
      <c r="BU132" s="39"/>
      <c r="BV132" s="39"/>
      <c r="BW132" s="246"/>
    </row>
    <row r="133" spans="3:75" x14ac:dyDescent="0.25">
      <c r="C133" s="39"/>
      <c r="D133" s="39"/>
      <c r="E133" s="39"/>
      <c r="F133" s="39"/>
      <c r="G133" s="39"/>
      <c r="H133" s="39"/>
      <c r="I133" s="39"/>
      <c r="J133" s="39"/>
      <c r="K133" s="40">
        <f>SUMIFS('Working-T05-B1'!L$8:L$150,'Working-T05-B1'!$C$8:$C$150,$D133)</f>
        <v>0</v>
      </c>
      <c r="L133" s="40" cm="1">
        <f t="array" ref="L133">SUMPRODUCT(Sales!$G$3:$H$100*(Sales!$B$3:$B$100=$D133))</f>
        <v>0</v>
      </c>
      <c r="M133" s="39"/>
      <c r="N133" s="40"/>
      <c r="P133" s="40">
        <f>SUMIFS('Working-T05-B1'!O$8:O$150,'Working-T05-B1'!$C$8:$C$150,$D133)</f>
        <v>0</v>
      </c>
      <c r="Q133" s="40"/>
      <c r="R133" s="40"/>
      <c r="S133" s="40">
        <f t="shared" si="48"/>
        <v>0</v>
      </c>
      <c r="T133" s="129"/>
      <c r="U133" s="40"/>
      <c r="V133" s="40"/>
      <c r="W133" s="131"/>
      <c r="X133" s="42">
        <f t="shared" si="66"/>
        <v>0</v>
      </c>
      <c r="Y133" s="41"/>
      <c r="Z133" s="40">
        <f>IF($C133="NĐ",1,IFERROR(SUMIFS(Data_FAGLL03[Amount in local currency],Data_FAGLL03[Offsetting acct no.],$E133,Data_FAGLL03[Material],$G133)/SUMIFS(Data_FAGLL03[Dthu (USD)],Data_FAGLL03[Offsetting acct no.],$E133,Data_FAGLL03[Material],$G133),0))</f>
        <v>0</v>
      </c>
      <c r="AA133" s="40">
        <f t="shared" si="63"/>
        <v>26300</v>
      </c>
      <c r="AB133" s="40">
        <f t="shared" si="63"/>
        <v>26300</v>
      </c>
      <c r="AC133" s="40">
        <f t="shared" si="51"/>
        <v>0</v>
      </c>
      <c r="AD133" s="41"/>
      <c r="AE133" s="40">
        <f t="shared" si="64"/>
        <v>0</v>
      </c>
      <c r="AF133" s="40">
        <f t="shared" si="64"/>
        <v>0</v>
      </c>
      <c r="AG133" s="40">
        <f t="shared" si="64"/>
        <v>0</v>
      </c>
      <c r="AH133" s="40"/>
      <c r="AI133" s="41"/>
      <c r="AJ133" s="43"/>
      <c r="AK133" s="40"/>
      <c r="AL133" s="40">
        <f t="shared" si="62"/>
        <v>0</v>
      </c>
      <c r="AM133" s="44">
        <f t="shared" si="65"/>
        <v>0</v>
      </c>
      <c r="AO133" s="39"/>
      <c r="AP133" s="39"/>
      <c r="AQ133" s="39"/>
      <c r="AR133" s="39"/>
      <c r="AS133" s="39"/>
      <c r="AT133" s="94"/>
      <c r="AV133" s="42">
        <f t="shared" si="56"/>
        <v>0</v>
      </c>
      <c r="AW133" s="39"/>
      <c r="AX133" s="39"/>
      <c r="AY133" s="39"/>
      <c r="AZ133" s="39"/>
      <c r="BA133" s="217">
        <f t="shared" si="42"/>
        <v>0</v>
      </c>
      <c r="BC133" s="40"/>
      <c r="BD133" s="40"/>
      <c r="BE133" s="40"/>
      <c r="BF133" s="226">
        <f t="shared" si="61"/>
        <v>0</v>
      </c>
      <c r="BH133" s="40">
        <f t="shared" si="57"/>
        <v>0</v>
      </c>
      <c r="BI133" s="40">
        <f t="shared" si="58"/>
        <v>0</v>
      </c>
      <c r="BJ133" s="40">
        <f t="shared" si="59"/>
        <v>0</v>
      </c>
      <c r="BK133" s="226">
        <f t="shared" si="60"/>
        <v>0</v>
      </c>
      <c r="BM133" s="94"/>
      <c r="BN133" s="39"/>
      <c r="BO133" s="39"/>
      <c r="BP133" s="39"/>
      <c r="BQ133" s="39"/>
      <c r="BR133" s="39"/>
      <c r="BS133" s="39"/>
      <c r="BT133" s="39"/>
      <c r="BU133" s="39"/>
      <c r="BV133" s="39"/>
      <c r="BW133" s="246"/>
    </row>
    <row r="134" spans="3:75" x14ac:dyDescent="0.25">
      <c r="C134" s="39"/>
      <c r="D134" s="39"/>
      <c r="E134" s="39"/>
      <c r="F134" s="39"/>
      <c r="G134" s="39"/>
      <c r="H134" s="39"/>
      <c r="I134" s="39"/>
      <c r="J134" s="39"/>
      <c r="K134" s="40">
        <f>SUMIFS('Working-T05-B1'!L$8:L$150,'Working-T05-B1'!$C$8:$C$150,$D134)</f>
        <v>0</v>
      </c>
      <c r="L134" s="40" cm="1">
        <f t="array" ref="L134">SUMPRODUCT(Sales!$G$3:$H$100*(Sales!$B$3:$B$100=$D134))</f>
        <v>0</v>
      </c>
      <c r="M134" s="39"/>
      <c r="N134" s="40"/>
      <c r="P134" s="40">
        <f>SUMIFS('Working-T05-B1'!O$8:O$150,'Working-T05-B1'!$C$8:$C$150,$D134)</f>
        <v>0</v>
      </c>
      <c r="Q134" s="40"/>
      <c r="R134" s="40"/>
      <c r="S134" s="40">
        <f t="shared" si="48"/>
        <v>0</v>
      </c>
      <c r="T134" s="129"/>
      <c r="U134" s="40"/>
      <c r="V134" s="40"/>
      <c r="W134" s="131"/>
      <c r="X134" s="42">
        <f t="shared" ref="X134:X150" si="67">IFERROR($AM134/$S134,0)</f>
        <v>0</v>
      </c>
      <c r="Y134" s="41"/>
      <c r="Z134" s="40">
        <f>IF($C134="NĐ",1,IFERROR(SUMIFS(Data_FAGLL03[Amount in local currency],Data_FAGLL03[Offsetting acct no.],$E134,Data_FAGLL03[Material],$G134)/SUMIFS(Data_FAGLL03[Dthu (USD)],Data_FAGLL03[Offsetting acct no.],$E134,Data_FAGLL03[Material],$G134),0))</f>
        <v>0</v>
      </c>
      <c r="AA134" s="40">
        <f t="shared" si="63"/>
        <v>26300</v>
      </c>
      <c r="AB134" s="40">
        <f t="shared" si="63"/>
        <v>26300</v>
      </c>
      <c r="AC134" s="40">
        <f t="shared" si="51"/>
        <v>0</v>
      </c>
      <c r="AD134" s="41"/>
      <c r="AE134" s="40">
        <f t="shared" si="64"/>
        <v>0</v>
      </c>
      <c r="AF134" s="40">
        <f t="shared" si="64"/>
        <v>0</v>
      </c>
      <c r="AG134" s="40">
        <f t="shared" si="64"/>
        <v>0</v>
      </c>
      <c r="AH134" s="40"/>
      <c r="AI134" s="41"/>
      <c r="AJ134" s="43"/>
      <c r="AK134" s="40"/>
      <c r="AL134" s="40">
        <f t="shared" si="62"/>
        <v>0</v>
      </c>
      <c r="AM134" s="44">
        <f t="shared" si="65"/>
        <v>0</v>
      </c>
      <c r="AO134" s="39"/>
      <c r="AP134" s="39"/>
      <c r="AQ134" s="39"/>
      <c r="AR134" s="39"/>
      <c r="AS134" s="39"/>
      <c r="AT134" s="94"/>
      <c r="AV134" s="42">
        <f t="shared" si="56"/>
        <v>0</v>
      </c>
      <c r="AW134" s="39"/>
      <c r="AX134" s="39"/>
      <c r="AY134" s="39"/>
      <c r="AZ134" s="39"/>
      <c r="BA134" s="217">
        <f t="shared" si="42"/>
        <v>0</v>
      </c>
      <c r="BC134" s="40"/>
      <c r="BD134" s="40"/>
      <c r="BE134" s="40"/>
      <c r="BF134" s="226">
        <f t="shared" si="61"/>
        <v>0</v>
      </c>
      <c r="BH134" s="40">
        <f t="shared" si="57"/>
        <v>0</v>
      </c>
      <c r="BI134" s="40">
        <f t="shared" si="58"/>
        <v>0</v>
      </c>
      <c r="BJ134" s="40">
        <f t="shared" si="59"/>
        <v>0</v>
      </c>
      <c r="BK134" s="226">
        <f t="shared" si="60"/>
        <v>0</v>
      </c>
      <c r="BM134" s="94"/>
      <c r="BN134" s="39"/>
      <c r="BO134" s="39"/>
      <c r="BP134" s="39"/>
      <c r="BQ134" s="39"/>
      <c r="BR134" s="39"/>
      <c r="BS134" s="39"/>
      <c r="BT134" s="39"/>
      <c r="BU134" s="39"/>
      <c r="BV134" s="39"/>
      <c r="BW134" s="246"/>
    </row>
    <row r="135" spans="3:75" x14ac:dyDescent="0.25">
      <c r="C135" s="39"/>
      <c r="D135" s="39"/>
      <c r="E135" s="39"/>
      <c r="F135" s="39"/>
      <c r="G135" s="39"/>
      <c r="H135" s="39"/>
      <c r="I135" s="39"/>
      <c r="J135" s="39"/>
      <c r="K135" s="40">
        <f>SUMIFS('Working-T05-B1'!L$8:L$150,'Working-T05-B1'!$C$8:$C$150,$D135)</f>
        <v>0</v>
      </c>
      <c r="L135" s="40" cm="1">
        <f t="array" ref="L135">SUMPRODUCT(Sales!$G$3:$H$100*(Sales!$B$3:$B$100=$D135))</f>
        <v>0</v>
      </c>
      <c r="M135" s="39"/>
      <c r="N135" s="40"/>
      <c r="P135" s="40">
        <f>SUMIFS('Working-T05-B1'!O$8:O$150,'Working-T05-B1'!$C$8:$C$150,$D135)</f>
        <v>0</v>
      </c>
      <c r="Q135" s="40"/>
      <c r="R135" s="40"/>
      <c r="S135" s="40">
        <f t="shared" si="48"/>
        <v>0</v>
      </c>
      <c r="T135" s="129"/>
      <c r="U135" s="40"/>
      <c r="V135" s="40"/>
      <c r="W135" s="131"/>
      <c r="X135" s="42">
        <f t="shared" si="67"/>
        <v>0</v>
      </c>
      <c r="Y135" s="41"/>
      <c r="Z135" s="40">
        <f>IF($C135="NĐ",1,IFERROR(SUMIFS(Data_FAGLL03[Amount in local currency],Data_FAGLL03[Offsetting acct no.],$E135,Data_FAGLL03[Material],$G135)/SUMIFS(Data_FAGLL03[Dthu (USD)],Data_FAGLL03[Offsetting acct no.],$E135,Data_FAGLL03[Material],$G135),0))</f>
        <v>0</v>
      </c>
      <c r="AA135" s="40">
        <f t="shared" si="63"/>
        <v>26300</v>
      </c>
      <c r="AB135" s="40">
        <f t="shared" si="63"/>
        <v>26300</v>
      </c>
      <c r="AC135" s="40">
        <f t="shared" si="51"/>
        <v>0</v>
      </c>
      <c r="AD135" s="41"/>
      <c r="AE135" s="40">
        <f t="shared" si="64"/>
        <v>0</v>
      </c>
      <c r="AF135" s="40">
        <f t="shared" si="64"/>
        <v>0</v>
      </c>
      <c r="AG135" s="40">
        <f t="shared" si="64"/>
        <v>0</v>
      </c>
      <c r="AH135" s="40"/>
      <c r="AI135" s="41"/>
      <c r="AJ135" s="43"/>
      <c r="AK135" s="40"/>
      <c r="AL135" s="40">
        <f t="shared" si="62"/>
        <v>0</v>
      </c>
      <c r="AM135" s="44">
        <f t="shared" si="65"/>
        <v>0</v>
      </c>
      <c r="AO135" s="39"/>
      <c r="AP135" s="39"/>
      <c r="AQ135" s="39"/>
      <c r="AR135" s="39"/>
      <c r="AS135" s="39"/>
      <c r="AT135" s="94"/>
      <c r="AV135" s="42">
        <f t="shared" si="56"/>
        <v>0</v>
      </c>
      <c r="AW135" s="39"/>
      <c r="AX135" s="39"/>
      <c r="AY135" s="39"/>
      <c r="AZ135" s="39"/>
      <c r="BA135" s="217">
        <f t="shared" si="42"/>
        <v>0</v>
      </c>
      <c r="BC135" s="40"/>
      <c r="BD135" s="40"/>
      <c r="BE135" s="40"/>
      <c r="BF135" s="226">
        <f t="shared" si="61"/>
        <v>0</v>
      </c>
      <c r="BH135" s="40">
        <f t="shared" si="57"/>
        <v>0</v>
      </c>
      <c r="BI135" s="40">
        <f t="shared" si="58"/>
        <v>0</v>
      </c>
      <c r="BJ135" s="40">
        <f t="shared" si="59"/>
        <v>0</v>
      </c>
      <c r="BK135" s="226">
        <f t="shared" si="60"/>
        <v>0</v>
      </c>
      <c r="BM135" s="94"/>
      <c r="BN135" s="39"/>
      <c r="BO135" s="39"/>
      <c r="BP135" s="39"/>
      <c r="BQ135" s="39"/>
      <c r="BR135" s="39"/>
      <c r="BS135" s="39"/>
      <c r="BT135" s="39"/>
      <c r="BU135" s="39"/>
      <c r="BV135" s="39"/>
      <c r="BW135" s="246"/>
    </row>
    <row r="136" spans="3:75" x14ac:dyDescent="0.25">
      <c r="C136" s="39"/>
      <c r="D136" s="39"/>
      <c r="E136" s="39"/>
      <c r="F136" s="39"/>
      <c r="G136" s="39"/>
      <c r="H136" s="39"/>
      <c r="I136" s="39"/>
      <c r="J136" s="39"/>
      <c r="K136" s="40">
        <f>SUMIFS('Working-T05-B1'!L$8:L$150,'Working-T05-B1'!$C$8:$C$150,$D136)</f>
        <v>0</v>
      </c>
      <c r="L136" s="40" cm="1">
        <f t="array" ref="L136">SUMPRODUCT(Sales!$G$3:$H$100*(Sales!$B$3:$B$100=$D136))</f>
        <v>0</v>
      </c>
      <c r="M136" s="39"/>
      <c r="N136" s="40"/>
      <c r="P136" s="40">
        <f>SUMIFS('Working-T05-B1'!O$8:O$150,'Working-T05-B1'!$C$8:$C$150,$D136)</f>
        <v>0</v>
      </c>
      <c r="Q136" s="40"/>
      <c r="R136" s="40"/>
      <c r="S136" s="40">
        <f t="shared" si="48"/>
        <v>0</v>
      </c>
      <c r="T136" s="129"/>
      <c r="U136" s="40"/>
      <c r="V136" s="40"/>
      <c r="W136" s="131"/>
      <c r="X136" s="42">
        <f t="shared" si="67"/>
        <v>0</v>
      </c>
      <c r="Y136" s="41"/>
      <c r="Z136" s="40">
        <f>IF($C136="NĐ",1,IFERROR(SUMIFS(Data_FAGLL03[Amount in local currency],Data_FAGLL03[Offsetting acct no.],$E136,Data_FAGLL03[Material],$G136)/SUMIFS(Data_FAGLL03[Dthu (USD)],Data_FAGLL03[Offsetting acct no.],$E136,Data_FAGLL03[Material],$G136),0))</f>
        <v>0</v>
      </c>
      <c r="AA136" s="40">
        <f t="shared" si="63"/>
        <v>26300</v>
      </c>
      <c r="AB136" s="40">
        <f t="shared" si="63"/>
        <v>26300</v>
      </c>
      <c r="AC136" s="40">
        <f t="shared" si="51"/>
        <v>0</v>
      </c>
      <c r="AD136" s="41"/>
      <c r="AE136" s="40">
        <f t="shared" si="64"/>
        <v>0</v>
      </c>
      <c r="AF136" s="40">
        <f t="shared" si="64"/>
        <v>0</v>
      </c>
      <c r="AG136" s="40">
        <f t="shared" si="64"/>
        <v>0</v>
      </c>
      <c r="AH136" s="40"/>
      <c r="AI136" s="41"/>
      <c r="AJ136" s="43"/>
      <c r="AK136" s="40"/>
      <c r="AL136" s="40">
        <f t="shared" si="62"/>
        <v>0</v>
      </c>
      <c r="AM136" s="44">
        <f t="shared" si="65"/>
        <v>0</v>
      </c>
      <c r="AO136" s="39"/>
      <c r="AP136" s="39"/>
      <c r="AQ136" s="39"/>
      <c r="AR136" s="39"/>
      <c r="AS136" s="39"/>
      <c r="AT136" s="94"/>
      <c r="AV136" s="42">
        <f t="shared" si="56"/>
        <v>0</v>
      </c>
      <c r="AW136" s="39"/>
      <c r="AX136" s="39"/>
      <c r="AY136" s="39"/>
      <c r="AZ136" s="39"/>
      <c r="BA136" s="217">
        <f t="shared" si="42"/>
        <v>0</v>
      </c>
      <c r="BC136" s="40"/>
      <c r="BD136" s="40"/>
      <c r="BE136" s="40"/>
      <c r="BF136" s="226">
        <f t="shared" si="61"/>
        <v>0</v>
      </c>
      <c r="BH136" s="40">
        <f t="shared" si="57"/>
        <v>0</v>
      </c>
      <c r="BI136" s="40">
        <f t="shared" ref="BI136:BI150" si="68">AK136-BD136</f>
        <v>0</v>
      </c>
      <c r="BJ136" s="40">
        <f t="shared" ref="BJ136:BJ150" si="69">AL136-BE136</f>
        <v>0</v>
      </c>
      <c r="BK136" s="226">
        <f t="shared" si="60"/>
        <v>0</v>
      </c>
      <c r="BM136" s="94"/>
      <c r="BN136" s="39"/>
      <c r="BO136" s="39"/>
      <c r="BP136" s="39"/>
      <c r="BQ136" s="39"/>
      <c r="BR136" s="39"/>
      <c r="BS136" s="39"/>
      <c r="BT136" s="39"/>
      <c r="BU136" s="39"/>
      <c r="BV136" s="39"/>
      <c r="BW136" s="246"/>
    </row>
    <row r="137" spans="3:75" x14ac:dyDescent="0.25">
      <c r="C137" s="39"/>
      <c r="D137" s="39"/>
      <c r="E137" s="39"/>
      <c r="F137" s="39"/>
      <c r="G137" s="39"/>
      <c r="H137" s="39"/>
      <c r="I137" s="39"/>
      <c r="J137" s="39"/>
      <c r="K137" s="40">
        <f>SUMIFS('Working-T05-B1'!L$8:L$150,'Working-T05-B1'!$C$8:$C$150,$D137)</f>
        <v>0</v>
      </c>
      <c r="L137" s="40" cm="1">
        <f t="array" ref="L137">SUMPRODUCT(Sales!$G$3:$H$100*(Sales!$B$3:$B$100=$D137))</f>
        <v>0</v>
      </c>
      <c r="M137" s="39"/>
      <c r="N137" s="40"/>
      <c r="P137" s="40">
        <f>SUMIFS('Working-T05-B1'!O$8:O$150,'Working-T05-B1'!$C$8:$C$150,$D137)</f>
        <v>0</v>
      </c>
      <c r="Q137" s="40"/>
      <c r="R137" s="40"/>
      <c r="S137" s="40">
        <f t="shared" ref="S137:S150" si="70">SUM(P137:R137)</f>
        <v>0</v>
      </c>
      <c r="T137" s="129"/>
      <c r="U137" s="40"/>
      <c r="V137" s="40"/>
      <c r="W137" s="131"/>
      <c r="X137" s="42">
        <f t="shared" si="67"/>
        <v>0</v>
      </c>
      <c r="Y137" s="41"/>
      <c r="Z137" s="40">
        <f>IF($C137="NĐ",1,IFERROR(SUMIFS(Data_FAGLL03[Amount in local currency],Data_FAGLL03[Offsetting acct no.],$E137,Data_FAGLL03[Material],$G137)/SUMIFS(Data_FAGLL03[Dthu (USD)],Data_FAGLL03[Offsetting acct no.],$E137,Data_FAGLL03[Material],$G137),0))</f>
        <v>0</v>
      </c>
      <c r="AA137" s="40">
        <f t="shared" si="63"/>
        <v>26300</v>
      </c>
      <c r="AB137" s="40">
        <f t="shared" si="63"/>
        <v>26300</v>
      </c>
      <c r="AC137" s="40">
        <f t="shared" ref="AC137:AC150" si="71">IFERROR(SUMPRODUCT(AJ137:AL137,Z137:AB137)/AM137,0)</f>
        <v>0</v>
      </c>
      <c r="AD137" s="41"/>
      <c r="AE137" s="40">
        <f t="shared" si="64"/>
        <v>0</v>
      </c>
      <c r="AF137" s="40">
        <f t="shared" si="64"/>
        <v>0</v>
      </c>
      <c r="AG137" s="40">
        <f t="shared" si="64"/>
        <v>0</v>
      </c>
      <c r="AH137" s="40"/>
      <c r="AI137" s="41"/>
      <c r="AJ137" s="43"/>
      <c r="AK137" s="40"/>
      <c r="AL137" s="40">
        <f t="shared" si="62"/>
        <v>0</v>
      </c>
      <c r="AM137" s="44">
        <f t="shared" ref="AM137:AM150" si="72">SUM(AJ137:AL137)</f>
        <v>0</v>
      </c>
      <c r="AO137" s="39"/>
      <c r="AP137" s="39"/>
      <c r="AQ137" s="39"/>
      <c r="AR137" s="39"/>
      <c r="AS137" s="39"/>
      <c r="AT137" s="94"/>
      <c r="AV137" s="42">
        <f t="shared" ref="AV137:AV150" si="73">IFERROR(BA137/S137,0)</f>
        <v>0</v>
      </c>
      <c r="AW137" s="39"/>
      <c r="AX137" s="39"/>
      <c r="AY137" s="39"/>
      <c r="AZ137" s="39"/>
      <c r="BA137" s="217">
        <f t="shared" ref="BA137:BA150" si="74">SUM(AX137:AZ137)</f>
        <v>0</v>
      </c>
      <c r="BC137" s="40"/>
      <c r="BD137" s="40"/>
      <c r="BE137" s="40"/>
      <c r="BF137" s="226">
        <f t="shared" ref="BF137:BF150" si="75">SUM(BC137:BE137)</f>
        <v>0</v>
      </c>
      <c r="BH137" s="40">
        <f t="shared" ref="BH137:BH150" si="76">AJ137-BC137</f>
        <v>0</v>
      </c>
      <c r="BI137" s="40">
        <f t="shared" si="68"/>
        <v>0</v>
      </c>
      <c r="BJ137" s="40">
        <f t="shared" si="69"/>
        <v>0</v>
      </c>
      <c r="BK137" s="226">
        <f t="shared" ref="BK137:BK150" si="77">SUM(BH137:BJ137)</f>
        <v>0</v>
      </c>
      <c r="BM137" s="94"/>
      <c r="BN137" s="39"/>
      <c r="BO137" s="39"/>
      <c r="BP137" s="39"/>
      <c r="BQ137" s="39"/>
      <c r="BR137" s="39"/>
      <c r="BS137" s="39"/>
      <c r="BT137" s="39"/>
      <c r="BU137" s="39"/>
      <c r="BV137" s="39"/>
      <c r="BW137" s="246"/>
    </row>
    <row r="138" spans="3:75" x14ac:dyDescent="0.25">
      <c r="C138" s="39"/>
      <c r="D138" s="39"/>
      <c r="E138" s="39"/>
      <c r="F138" s="39"/>
      <c r="G138" s="39"/>
      <c r="H138" s="39"/>
      <c r="I138" s="39"/>
      <c r="J138" s="39"/>
      <c r="K138" s="40">
        <f>SUMIFS('Working-T05-B1'!L$8:L$150,'Working-T05-B1'!$C$8:$C$150,$D138)</f>
        <v>0</v>
      </c>
      <c r="L138" s="40" cm="1">
        <f t="array" ref="L138">SUMPRODUCT(Sales!$G$3:$H$100*(Sales!$B$3:$B$100=$D138))</f>
        <v>0</v>
      </c>
      <c r="M138" s="39"/>
      <c r="N138" s="40"/>
      <c r="P138" s="40">
        <f>SUMIFS('Working-T05-B1'!O$8:O$150,'Working-T05-B1'!$C$8:$C$150,$D138)</f>
        <v>0</v>
      </c>
      <c r="Q138" s="40"/>
      <c r="R138" s="40"/>
      <c r="S138" s="40">
        <f t="shared" si="70"/>
        <v>0</v>
      </c>
      <c r="T138" s="129"/>
      <c r="U138" s="40"/>
      <c r="V138" s="40"/>
      <c r="W138" s="131"/>
      <c r="X138" s="42">
        <f t="shared" si="67"/>
        <v>0</v>
      </c>
      <c r="Y138" s="41"/>
      <c r="Z138" s="40">
        <f>IF($C138="NĐ",1,IFERROR(SUMIFS(Data_FAGLL03[Amount in local currency],Data_FAGLL03[Offsetting acct no.],$E138,Data_FAGLL03[Material],$G138)/SUMIFS(Data_FAGLL03[Dthu (USD)],Data_FAGLL03[Offsetting acct no.],$E138,Data_FAGLL03[Material],$G138),0))</f>
        <v>0</v>
      </c>
      <c r="AA138" s="40">
        <f t="shared" si="63"/>
        <v>26300</v>
      </c>
      <c r="AB138" s="40">
        <f t="shared" si="63"/>
        <v>26300</v>
      </c>
      <c r="AC138" s="40">
        <f t="shared" si="71"/>
        <v>0</v>
      </c>
      <c r="AD138" s="41"/>
      <c r="AE138" s="40">
        <f t="shared" si="64"/>
        <v>0</v>
      </c>
      <c r="AF138" s="40">
        <f t="shared" si="64"/>
        <v>0</v>
      </c>
      <c r="AG138" s="40">
        <f t="shared" si="64"/>
        <v>0</v>
      </c>
      <c r="AH138" s="40"/>
      <c r="AI138" s="41"/>
      <c r="AJ138" s="43"/>
      <c r="AK138" s="40"/>
      <c r="AL138" s="40">
        <f t="shared" si="62"/>
        <v>0</v>
      </c>
      <c r="AM138" s="44">
        <f t="shared" si="72"/>
        <v>0</v>
      </c>
      <c r="AO138" s="39"/>
      <c r="AP138" s="39"/>
      <c r="AQ138" s="39"/>
      <c r="AR138" s="39"/>
      <c r="AS138" s="39"/>
      <c r="AT138" s="94"/>
      <c r="AV138" s="42">
        <f t="shared" si="73"/>
        <v>0</v>
      </c>
      <c r="AW138" s="39"/>
      <c r="AX138" s="39"/>
      <c r="AY138" s="39"/>
      <c r="AZ138" s="39"/>
      <c r="BA138" s="217">
        <f t="shared" si="74"/>
        <v>0</v>
      </c>
      <c r="BC138" s="40"/>
      <c r="BD138" s="40"/>
      <c r="BE138" s="40"/>
      <c r="BF138" s="226">
        <f t="shared" si="75"/>
        <v>0</v>
      </c>
      <c r="BH138" s="40">
        <f t="shared" si="76"/>
        <v>0</v>
      </c>
      <c r="BI138" s="40">
        <f t="shared" si="68"/>
        <v>0</v>
      </c>
      <c r="BJ138" s="40">
        <f t="shared" si="69"/>
        <v>0</v>
      </c>
      <c r="BK138" s="226">
        <f t="shared" si="77"/>
        <v>0</v>
      </c>
      <c r="BM138" s="94"/>
      <c r="BN138" s="39"/>
      <c r="BO138" s="39"/>
      <c r="BP138" s="39"/>
      <c r="BQ138" s="39"/>
      <c r="BR138" s="39"/>
      <c r="BS138" s="39"/>
      <c r="BT138" s="39"/>
      <c r="BU138" s="39"/>
      <c r="BV138" s="39"/>
      <c r="BW138" s="246"/>
    </row>
    <row r="139" spans="3:75" x14ac:dyDescent="0.25">
      <c r="C139" s="39"/>
      <c r="D139" s="39"/>
      <c r="E139" s="39"/>
      <c r="F139" s="39"/>
      <c r="G139" s="39"/>
      <c r="H139" s="39"/>
      <c r="I139" s="39"/>
      <c r="J139" s="39"/>
      <c r="K139" s="40">
        <f>SUMIFS('Working-T05-B1'!L$8:L$150,'Working-T05-B1'!$C$8:$C$150,$D139)</f>
        <v>0</v>
      </c>
      <c r="L139" s="40" cm="1">
        <f t="array" ref="L139">SUMPRODUCT(Sales!$G$3:$H$100*(Sales!$B$3:$B$100=$D139))</f>
        <v>0</v>
      </c>
      <c r="M139" s="39"/>
      <c r="N139" s="40"/>
      <c r="P139" s="40">
        <f>SUMIFS('Working-T05-B1'!O$8:O$150,'Working-T05-B1'!$C$8:$C$150,$D139)</f>
        <v>0</v>
      </c>
      <c r="Q139" s="40"/>
      <c r="R139" s="40"/>
      <c r="S139" s="40">
        <f t="shared" si="70"/>
        <v>0</v>
      </c>
      <c r="T139" s="129"/>
      <c r="U139" s="40"/>
      <c r="V139" s="40"/>
      <c r="W139" s="131"/>
      <c r="X139" s="42">
        <f t="shared" si="67"/>
        <v>0</v>
      </c>
      <c r="Y139" s="41"/>
      <c r="Z139" s="40">
        <f>IF($C139="NĐ",1,IFERROR(SUMIFS(Data_FAGLL03[Amount in local currency],Data_FAGLL03[Offsetting acct no.],$E139,Data_FAGLL03[Material],$G139)/SUMIFS(Data_FAGLL03[Dthu (USD)],Data_FAGLL03[Offsetting acct no.],$E139,Data_FAGLL03[Material],$G139),0))</f>
        <v>0</v>
      </c>
      <c r="AA139" s="40">
        <f t="shared" ref="AA139:AB150" si="78">IF($C139="NĐ",1,EXR_FC05)</f>
        <v>26300</v>
      </c>
      <c r="AB139" s="40">
        <f t="shared" si="78"/>
        <v>26300</v>
      </c>
      <c r="AC139" s="40">
        <f t="shared" si="71"/>
        <v>0</v>
      </c>
      <c r="AD139" s="41"/>
      <c r="AE139" s="40">
        <f t="shared" si="64"/>
        <v>0</v>
      </c>
      <c r="AF139" s="40">
        <f t="shared" si="64"/>
        <v>0</v>
      </c>
      <c r="AG139" s="40">
        <f t="shared" si="64"/>
        <v>0</v>
      </c>
      <c r="AH139" s="40"/>
      <c r="AI139" s="41"/>
      <c r="AJ139" s="43"/>
      <c r="AK139" s="40"/>
      <c r="AL139" s="40">
        <f t="shared" si="62"/>
        <v>0</v>
      </c>
      <c r="AM139" s="44">
        <f t="shared" si="72"/>
        <v>0</v>
      </c>
      <c r="AO139" s="39"/>
      <c r="AP139" s="39"/>
      <c r="AQ139" s="39"/>
      <c r="AR139" s="39"/>
      <c r="AS139" s="39"/>
      <c r="AT139" s="94"/>
      <c r="AV139" s="42">
        <f t="shared" si="73"/>
        <v>0</v>
      </c>
      <c r="AW139" s="39"/>
      <c r="AX139" s="39"/>
      <c r="AY139" s="39"/>
      <c r="AZ139" s="39"/>
      <c r="BA139" s="217">
        <f t="shared" si="74"/>
        <v>0</v>
      </c>
      <c r="BC139" s="40"/>
      <c r="BD139" s="40"/>
      <c r="BE139" s="40"/>
      <c r="BF139" s="226">
        <f t="shared" si="75"/>
        <v>0</v>
      </c>
      <c r="BH139" s="40">
        <f t="shared" si="76"/>
        <v>0</v>
      </c>
      <c r="BI139" s="40">
        <f t="shared" si="68"/>
        <v>0</v>
      </c>
      <c r="BJ139" s="40">
        <f t="shared" si="69"/>
        <v>0</v>
      </c>
      <c r="BK139" s="226">
        <f t="shared" si="77"/>
        <v>0</v>
      </c>
      <c r="BM139" s="94"/>
      <c r="BN139" s="39"/>
      <c r="BO139" s="39"/>
      <c r="BP139" s="39"/>
      <c r="BQ139" s="39"/>
      <c r="BR139" s="39"/>
      <c r="BS139" s="39"/>
      <c r="BT139" s="39"/>
      <c r="BU139" s="39"/>
      <c r="BV139" s="39"/>
      <c r="BW139" s="246"/>
    </row>
    <row r="140" spans="3:75" x14ac:dyDescent="0.25">
      <c r="C140" s="39"/>
      <c r="D140" s="39"/>
      <c r="E140" s="39"/>
      <c r="F140" s="39"/>
      <c r="G140" s="39"/>
      <c r="H140" s="39"/>
      <c r="I140" s="39"/>
      <c r="J140" s="39"/>
      <c r="K140" s="40">
        <f>SUMIFS('Working-T05-B1'!L$8:L$150,'Working-T05-B1'!$C$8:$C$150,$D140)</f>
        <v>0</v>
      </c>
      <c r="L140" s="40" cm="1">
        <f t="array" ref="L140">SUMPRODUCT(Sales!$G$3:$H$100*(Sales!$B$3:$B$100=$D140))</f>
        <v>0</v>
      </c>
      <c r="M140" s="39"/>
      <c r="N140" s="40"/>
      <c r="P140" s="40">
        <f>SUMIFS('Working-T05-B1'!O$8:O$150,'Working-T05-B1'!$C$8:$C$150,$D140)</f>
        <v>0</v>
      </c>
      <c r="Q140" s="40"/>
      <c r="R140" s="40"/>
      <c r="S140" s="40">
        <f t="shared" si="70"/>
        <v>0</v>
      </c>
      <c r="T140" s="129"/>
      <c r="U140" s="40"/>
      <c r="V140" s="40"/>
      <c r="W140" s="131"/>
      <c r="X140" s="42">
        <f t="shared" si="67"/>
        <v>0</v>
      </c>
      <c r="Y140" s="41"/>
      <c r="Z140" s="40">
        <f>IF($C140="NĐ",1,IFERROR(SUMIFS(Data_FAGLL03[Amount in local currency],Data_FAGLL03[Offsetting acct no.],$E140,Data_FAGLL03[Material],$G140)/SUMIFS(Data_FAGLL03[Dthu (USD)],Data_FAGLL03[Offsetting acct no.],$E140,Data_FAGLL03[Material],$G140),0))</f>
        <v>0</v>
      </c>
      <c r="AA140" s="40">
        <f t="shared" si="78"/>
        <v>26300</v>
      </c>
      <c r="AB140" s="40">
        <f t="shared" si="78"/>
        <v>26300</v>
      </c>
      <c r="AC140" s="40">
        <f t="shared" si="71"/>
        <v>0</v>
      </c>
      <c r="AD140" s="41"/>
      <c r="AE140" s="40">
        <f t="shared" si="64"/>
        <v>0</v>
      </c>
      <c r="AF140" s="40">
        <f t="shared" si="64"/>
        <v>0</v>
      </c>
      <c r="AG140" s="40">
        <f t="shared" si="64"/>
        <v>0</v>
      </c>
      <c r="AH140" s="40"/>
      <c r="AI140" s="41"/>
      <c r="AJ140" s="43"/>
      <c r="AK140" s="40"/>
      <c r="AL140" s="40">
        <f t="shared" si="62"/>
        <v>0</v>
      </c>
      <c r="AM140" s="44">
        <f t="shared" si="72"/>
        <v>0</v>
      </c>
      <c r="AO140" s="39"/>
      <c r="AP140" s="39"/>
      <c r="AQ140" s="39"/>
      <c r="AR140" s="39"/>
      <c r="AS140" s="39"/>
      <c r="AT140" s="94"/>
      <c r="AV140" s="42">
        <f t="shared" si="73"/>
        <v>0</v>
      </c>
      <c r="AW140" s="39"/>
      <c r="AX140" s="39"/>
      <c r="AY140" s="39"/>
      <c r="AZ140" s="39"/>
      <c r="BA140" s="217">
        <f t="shared" si="74"/>
        <v>0</v>
      </c>
      <c r="BC140" s="40"/>
      <c r="BD140" s="40"/>
      <c r="BE140" s="40"/>
      <c r="BF140" s="226">
        <f t="shared" si="75"/>
        <v>0</v>
      </c>
      <c r="BH140" s="40">
        <f t="shared" si="76"/>
        <v>0</v>
      </c>
      <c r="BI140" s="40">
        <f t="shared" si="68"/>
        <v>0</v>
      </c>
      <c r="BJ140" s="40">
        <f t="shared" si="69"/>
        <v>0</v>
      </c>
      <c r="BK140" s="226">
        <f t="shared" si="77"/>
        <v>0</v>
      </c>
      <c r="BM140" s="94"/>
      <c r="BN140" s="39"/>
      <c r="BO140" s="39"/>
      <c r="BP140" s="39"/>
      <c r="BQ140" s="39"/>
      <c r="BR140" s="39"/>
      <c r="BS140" s="39"/>
      <c r="BT140" s="39"/>
      <c r="BU140" s="39"/>
      <c r="BV140" s="39"/>
      <c r="BW140" s="246"/>
    </row>
    <row r="141" spans="3:75" x14ac:dyDescent="0.25">
      <c r="C141" s="39"/>
      <c r="D141" s="39"/>
      <c r="E141" s="39"/>
      <c r="F141" s="39"/>
      <c r="G141" s="39"/>
      <c r="H141" s="39"/>
      <c r="I141" s="39"/>
      <c r="J141" s="39"/>
      <c r="K141" s="40">
        <f>SUMIFS('Working-T05-B1'!L$8:L$150,'Working-T05-B1'!$C$8:$C$150,$D141)</f>
        <v>0</v>
      </c>
      <c r="L141" s="40" cm="1">
        <f t="array" ref="L141">SUMPRODUCT(Sales!$G$3:$H$100*(Sales!$B$3:$B$100=$D141))</f>
        <v>0</v>
      </c>
      <c r="M141" s="39"/>
      <c r="N141" s="40"/>
      <c r="P141" s="40">
        <f>SUMIFS('Working-T05-B1'!O$8:O$150,'Working-T05-B1'!$C$8:$C$150,$D141)</f>
        <v>0</v>
      </c>
      <c r="Q141" s="40"/>
      <c r="R141" s="40"/>
      <c r="S141" s="40">
        <f t="shared" si="70"/>
        <v>0</v>
      </c>
      <c r="T141" s="129"/>
      <c r="U141" s="40"/>
      <c r="V141" s="40"/>
      <c r="W141" s="131"/>
      <c r="X141" s="42">
        <f t="shared" si="67"/>
        <v>0</v>
      </c>
      <c r="Y141" s="41"/>
      <c r="Z141" s="40">
        <f>IF($C141="NĐ",1,IFERROR(SUMIFS(Data_FAGLL03[Amount in local currency],Data_FAGLL03[Offsetting acct no.],$E141,Data_FAGLL03[Material],$G141)/SUMIFS(Data_FAGLL03[Dthu (USD)],Data_FAGLL03[Offsetting acct no.],$E141,Data_FAGLL03[Material],$G141),0))</f>
        <v>0</v>
      </c>
      <c r="AA141" s="40">
        <f t="shared" si="78"/>
        <v>26300</v>
      </c>
      <c r="AB141" s="40">
        <f t="shared" si="78"/>
        <v>26300</v>
      </c>
      <c r="AC141" s="40">
        <f t="shared" si="71"/>
        <v>0</v>
      </c>
      <c r="AD141" s="41"/>
      <c r="AE141" s="40">
        <f t="shared" si="64"/>
        <v>0</v>
      </c>
      <c r="AF141" s="40">
        <f t="shared" si="64"/>
        <v>0</v>
      </c>
      <c r="AG141" s="40">
        <f t="shared" si="64"/>
        <v>0</v>
      </c>
      <c r="AH141" s="40"/>
      <c r="AI141" s="41"/>
      <c r="AJ141" s="43"/>
      <c r="AK141" s="40"/>
      <c r="AL141" s="40">
        <f t="shared" si="62"/>
        <v>0</v>
      </c>
      <c r="AM141" s="44">
        <f t="shared" si="72"/>
        <v>0</v>
      </c>
      <c r="AO141" s="39"/>
      <c r="AP141" s="39"/>
      <c r="AQ141" s="39"/>
      <c r="AR141" s="39"/>
      <c r="AS141" s="39"/>
      <c r="AT141" s="94"/>
      <c r="AV141" s="42">
        <f t="shared" si="73"/>
        <v>0</v>
      </c>
      <c r="AW141" s="39"/>
      <c r="AX141" s="39"/>
      <c r="AY141" s="39"/>
      <c r="AZ141" s="39"/>
      <c r="BA141" s="217">
        <f t="shared" si="74"/>
        <v>0</v>
      </c>
      <c r="BC141" s="40"/>
      <c r="BD141" s="40"/>
      <c r="BE141" s="40"/>
      <c r="BF141" s="226">
        <f t="shared" si="75"/>
        <v>0</v>
      </c>
      <c r="BH141" s="40">
        <f t="shared" si="76"/>
        <v>0</v>
      </c>
      <c r="BI141" s="40">
        <f t="shared" si="68"/>
        <v>0</v>
      </c>
      <c r="BJ141" s="40">
        <f t="shared" si="69"/>
        <v>0</v>
      </c>
      <c r="BK141" s="226">
        <f t="shared" si="77"/>
        <v>0</v>
      </c>
      <c r="BM141" s="94"/>
      <c r="BN141" s="39"/>
      <c r="BO141" s="39"/>
      <c r="BP141" s="39"/>
      <c r="BQ141" s="39"/>
      <c r="BR141" s="39"/>
      <c r="BS141" s="39"/>
      <c r="BT141" s="39"/>
      <c r="BU141" s="39"/>
      <c r="BV141" s="39"/>
      <c r="BW141" s="246"/>
    </row>
    <row r="142" spans="3:75" x14ac:dyDescent="0.25">
      <c r="C142" s="39"/>
      <c r="D142" s="39"/>
      <c r="E142" s="39"/>
      <c r="F142" s="39"/>
      <c r="G142" s="39"/>
      <c r="H142" s="39"/>
      <c r="I142" s="39"/>
      <c r="J142" s="39"/>
      <c r="K142" s="40">
        <f>SUMIFS('Working-T05-B1'!L$8:L$150,'Working-T05-B1'!$C$8:$C$150,$D142)</f>
        <v>0</v>
      </c>
      <c r="L142" s="40" cm="1">
        <f t="array" ref="L142">SUMPRODUCT(Sales!$G$3:$H$100*(Sales!$B$3:$B$100=$D142))</f>
        <v>0</v>
      </c>
      <c r="M142" s="39"/>
      <c r="N142" s="40"/>
      <c r="P142" s="40">
        <f>SUMIFS('Working-T05-B1'!O$8:O$150,'Working-T05-B1'!$C$8:$C$150,$D142)</f>
        <v>0</v>
      </c>
      <c r="Q142" s="40"/>
      <c r="R142" s="40"/>
      <c r="S142" s="40">
        <f t="shared" si="70"/>
        <v>0</v>
      </c>
      <c r="T142" s="129"/>
      <c r="U142" s="40"/>
      <c r="V142" s="40"/>
      <c r="W142" s="131"/>
      <c r="X142" s="42">
        <f t="shared" si="67"/>
        <v>0</v>
      </c>
      <c r="Y142" s="41"/>
      <c r="Z142" s="40">
        <f>IF($C142="NĐ",1,IFERROR(SUMIFS(Data_FAGLL03[Amount in local currency],Data_FAGLL03[Offsetting acct no.],$E142,Data_FAGLL03[Material],$G142)/SUMIFS(Data_FAGLL03[Dthu (USD)],Data_FAGLL03[Offsetting acct no.],$E142,Data_FAGLL03[Material],$G142),0))</f>
        <v>0</v>
      </c>
      <c r="AA142" s="40">
        <f t="shared" si="78"/>
        <v>26300</v>
      </c>
      <c r="AB142" s="40">
        <f t="shared" si="78"/>
        <v>26300</v>
      </c>
      <c r="AC142" s="40">
        <f t="shared" si="71"/>
        <v>0</v>
      </c>
      <c r="AD142" s="41"/>
      <c r="AE142" s="40">
        <f t="shared" si="64"/>
        <v>0</v>
      </c>
      <c r="AF142" s="40">
        <f t="shared" si="64"/>
        <v>0</v>
      </c>
      <c r="AG142" s="40">
        <f t="shared" si="64"/>
        <v>0</v>
      </c>
      <c r="AH142" s="40"/>
      <c r="AI142" s="41"/>
      <c r="AJ142" s="43"/>
      <c r="AK142" s="40"/>
      <c r="AL142" s="40">
        <f t="shared" si="62"/>
        <v>0</v>
      </c>
      <c r="AM142" s="44">
        <f t="shared" si="72"/>
        <v>0</v>
      </c>
      <c r="AO142" s="39"/>
      <c r="AP142" s="39"/>
      <c r="AQ142" s="39"/>
      <c r="AR142" s="39"/>
      <c r="AS142" s="39"/>
      <c r="AT142" s="94"/>
      <c r="AV142" s="42">
        <f t="shared" si="73"/>
        <v>0</v>
      </c>
      <c r="AW142" s="39"/>
      <c r="AX142" s="39"/>
      <c r="AY142" s="39"/>
      <c r="AZ142" s="39"/>
      <c r="BA142" s="217">
        <f t="shared" si="74"/>
        <v>0</v>
      </c>
      <c r="BC142" s="40"/>
      <c r="BD142" s="40"/>
      <c r="BE142" s="40"/>
      <c r="BF142" s="226">
        <f t="shared" si="75"/>
        <v>0</v>
      </c>
      <c r="BH142" s="40">
        <f t="shared" si="76"/>
        <v>0</v>
      </c>
      <c r="BI142" s="40">
        <f t="shared" si="68"/>
        <v>0</v>
      </c>
      <c r="BJ142" s="40">
        <f t="shared" si="69"/>
        <v>0</v>
      </c>
      <c r="BK142" s="226">
        <f t="shared" si="77"/>
        <v>0</v>
      </c>
      <c r="BM142" s="94"/>
      <c r="BN142" s="39"/>
      <c r="BO142" s="39"/>
      <c r="BP142" s="39"/>
      <c r="BQ142" s="39"/>
      <c r="BR142" s="39"/>
      <c r="BS142" s="39"/>
      <c r="BT142" s="39"/>
      <c r="BU142" s="39"/>
      <c r="BV142" s="39"/>
      <c r="BW142" s="246"/>
    </row>
    <row r="143" spans="3:75" x14ac:dyDescent="0.25">
      <c r="C143" s="39"/>
      <c r="D143" s="39"/>
      <c r="E143" s="39"/>
      <c r="F143" s="39"/>
      <c r="G143" s="39"/>
      <c r="H143" s="39"/>
      <c r="I143" s="39"/>
      <c r="J143" s="39"/>
      <c r="K143" s="40">
        <f>SUMIFS('Working-T05-B1'!L$8:L$150,'Working-T05-B1'!$C$8:$C$150,$D143)</f>
        <v>0</v>
      </c>
      <c r="L143" s="40" cm="1">
        <f t="array" ref="L143">SUMPRODUCT(Sales!$G$3:$H$100*(Sales!$B$3:$B$100=$D143))</f>
        <v>0</v>
      </c>
      <c r="M143" s="39"/>
      <c r="N143" s="40"/>
      <c r="P143" s="40">
        <f>SUMIFS('Working-T05-B1'!O$8:O$150,'Working-T05-B1'!$C$8:$C$150,$D143)</f>
        <v>0</v>
      </c>
      <c r="Q143" s="40"/>
      <c r="R143" s="40"/>
      <c r="S143" s="40">
        <f t="shared" si="70"/>
        <v>0</v>
      </c>
      <c r="T143" s="129"/>
      <c r="U143" s="40"/>
      <c r="V143" s="40"/>
      <c r="W143" s="131"/>
      <c r="X143" s="42">
        <f t="shared" si="67"/>
        <v>0</v>
      </c>
      <c r="Y143" s="41"/>
      <c r="Z143" s="40">
        <f>IF($C143="NĐ",1,IFERROR(SUMIFS(Data_FAGLL03[Amount in local currency],Data_FAGLL03[Offsetting acct no.],$E143,Data_FAGLL03[Material],$G143)/SUMIFS(Data_FAGLL03[Dthu (USD)],Data_FAGLL03[Offsetting acct no.],$E143,Data_FAGLL03[Material],$G143),0))</f>
        <v>0</v>
      </c>
      <c r="AA143" s="40">
        <f t="shared" si="78"/>
        <v>26300</v>
      </c>
      <c r="AB143" s="40">
        <f t="shared" si="78"/>
        <v>26300</v>
      </c>
      <c r="AC143" s="40">
        <f t="shared" si="71"/>
        <v>0</v>
      </c>
      <c r="AD143" s="41"/>
      <c r="AE143" s="40">
        <f t="shared" si="64"/>
        <v>0</v>
      </c>
      <c r="AF143" s="40">
        <f t="shared" si="64"/>
        <v>0</v>
      </c>
      <c r="AG143" s="40">
        <f t="shared" si="64"/>
        <v>0</v>
      </c>
      <c r="AH143" s="40"/>
      <c r="AI143" s="41"/>
      <c r="AJ143" s="43"/>
      <c r="AK143" s="40"/>
      <c r="AL143" s="40">
        <f t="shared" si="62"/>
        <v>0</v>
      </c>
      <c r="AM143" s="44">
        <f t="shared" si="72"/>
        <v>0</v>
      </c>
      <c r="AO143" s="39"/>
      <c r="AP143" s="39"/>
      <c r="AQ143" s="39"/>
      <c r="AR143" s="39"/>
      <c r="AS143" s="39"/>
      <c r="AT143" s="94"/>
      <c r="AV143" s="42">
        <f t="shared" si="73"/>
        <v>0</v>
      </c>
      <c r="AW143" s="39"/>
      <c r="AX143" s="39"/>
      <c r="AY143" s="39"/>
      <c r="AZ143" s="39"/>
      <c r="BA143" s="217">
        <f t="shared" si="74"/>
        <v>0</v>
      </c>
      <c r="BC143" s="40"/>
      <c r="BD143" s="40"/>
      <c r="BE143" s="40"/>
      <c r="BF143" s="226">
        <f t="shared" si="75"/>
        <v>0</v>
      </c>
      <c r="BH143" s="40">
        <f t="shared" si="76"/>
        <v>0</v>
      </c>
      <c r="BI143" s="40">
        <f t="shared" si="68"/>
        <v>0</v>
      </c>
      <c r="BJ143" s="40">
        <f t="shared" si="69"/>
        <v>0</v>
      </c>
      <c r="BK143" s="226">
        <f t="shared" si="77"/>
        <v>0</v>
      </c>
      <c r="BM143" s="94"/>
      <c r="BN143" s="39"/>
      <c r="BO143" s="39"/>
      <c r="BP143" s="39"/>
      <c r="BQ143" s="39"/>
      <c r="BR143" s="39"/>
      <c r="BS143" s="39"/>
      <c r="BT143" s="39"/>
      <c r="BU143" s="39"/>
      <c r="BV143" s="39"/>
      <c r="BW143" s="246"/>
    </row>
    <row r="144" spans="3:75" x14ac:dyDescent="0.25">
      <c r="C144" s="39"/>
      <c r="D144" s="39"/>
      <c r="E144" s="39"/>
      <c r="F144" s="39"/>
      <c r="G144" s="39"/>
      <c r="H144" s="39"/>
      <c r="I144" s="39"/>
      <c r="J144" s="39"/>
      <c r="K144" s="40">
        <f>SUMIFS('Working-T05-B1'!L$8:L$150,'Working-T05-B1'!$C$8:$C$150,$D144)</f>
        <v>0</v>
      </c>
      <c r="L144" s="40" cm="1">
        <f t="array" ref="L144">SUMPRODUCT(Sales!$G$3:$H$100*(Sales!$B$3:$B$100=$D144))</f>
        <v>0</v>
      </c>
      <c r="M144" s="39"/>
      <c r="N144" s="40"/>
      <c r="P144" s="40">
        <f>SUMIFS('Working-T05-B1'!O$8:O$150,'Working-T05-B1'!$C$8:$C$150,$D144)</f>
        <v>0</v>
      </c>
      <c r="Q144" s="40"/>
      <c r="R144" s="40"/>
      <c r="S144" s="40">
        <f t="shared" si="70"/>
        <v>0</v>
      </c>
      <c r="T144" s="129"/>
      <c r="U144" s="40"/>
      <c r="V144" s="40"/>
      <c r="W144" s="131"/>
      <c r="X144" s="42">
        <f t="shared" si="67"/>
        <v>0</v>
      </c>
      <c r="Y144" s="41"/>
      <c r="Z144" s="40">
        <f>IF($C144="NĐ",1,IFERROR(SUMIFS(Data_FAGLL03[Amount in local currency],Data_FAGLL03[Offsetting acct no.],$E144,Data_FAGLL03[Material],$G144)/SUMIFS(Data_FAGLL03[Dthu (USD)],Data_FAGLL03[Offsetting acct no.],$E144,Data_FAGLL03[Material],$G144),0))</f>
        <v>0</v>
      </c>
      <c r="AA144" s="40">
        <f t="shared" si="78"/>
        <v>26300</v>
      </c>
      <c r="AB144" s="40">
        <f t="shared" si="78"/>
        <v>26300</v>
      </c>
      <c r="AC144" s="40">
        <f t="shared" si="71"/>
        <v>0</v>
      </c>
      <c r="AD144" s="41"/>
      <c r="AE144" s="40">
        <f t="shared" si="64"/>
        <v>0</v>
      </c>
      <c r="AF144" s="40">
        <f t="shared" si="64"/>
        <v>0</v>
      </c>
      <c r="AG144" s="40">
        <f t="shared" si="64"/>
        <v>0</v>
      </c>
      <c r="AH144" s="40"/>
      <c r="AI144" s="41"/>
      <c r="AJ144" s="43"/>
      <c r="AK144" s="40"/>
      <c r="AL144" s="40">
        <f t="shared" si="62"/>
        <v>0</v>
      </c>
      <c r="AM144" s="44">
        <f t="shared" si="72"/>
        <v>0</v>
      </c>
      <c r="AO144" s="39"/>
      <c r="AP144" s="39"/>
      <c r="AQ144" s="39"/>
      <c r="AR144" s="39"/>
      <c r="AS144" s="39"/>
      <c r="AT144" s="94"/>
      <c r="AV144" s="42">
        <f t="shared" si="73"/>
        <v>0</v>
      </c>
      <c r="AW144" s="39"/>
      <c r="AX144" s="39"/>
      <c r="AY144" s="39"/>
      <c r="AZ144" s="39"/>
      <c r="BA144" s="217">
        <f t="shared" si="74"/>
        <v>0</v>
      </c>
      <c r="BC144" s="40"/>
      <c r="BD144" s="40"/>
      <c r="BE144" s="40"/>
      <c r="BF144" s="226">
        <f t="shared" si="75"/>
        <v>0</v>
      </c>
      <c r="BH144" s="40">
        <f t="shared" si="76"/>
        <v>0</v>
      </c>
      <c r="BI144" s="40">
        <f t="shared" si="68"/>
        <v>0</v>
      </c>
      <c r="BJ144" s="40">
        <f t="shared" si="69"/>
        <v>0</v>
      </c>
      <c r="BK144" s="226">
        <f t="shared" si="77"/>
        <v>0</v>
      </c>
      <c r="BM144" s="94"/>
      <c r="BN144" s="39"/>
      <c r="BO144" s="39"/>
      <c r="BP144" s="39"/>
      <c r="BQ144" s="39"/>
      <c r="BR144" s="39"/>
      <c r="BS144" s="39"/>
      <c r="BT144" s="39"/>
      <c r="BU144" s="39"/>
      <c r="BV144" s="39"/>
      <c r="BW144" s="246"/>
    </row>
    <row r="145" spans="3:75" x14ac:dyDescent="0.25">
      <c r="C145" s="39"/>
      <c r="D145" s="39"/>
      <c r="E145" s="39"/>
      <c r="F145" s="39"/>
      <c r="G145" s="39"/>
      <c r="H145" s="39"/>
      <c r="I145" s="39"/>
      <c r="J145" s="39"/>
      <c r="K145" s="40">
        <f>SUMIFS('Working-T05-B1'!L$8:L$150,'Working-T05-B1'!$C$8:$C$150,$D145)</f>
        <v>0</v>
      </c>
      <c r="L145" s="40" cm="1">
        <f t="array" ref="L145">SUMPRODUCT(Sales!$G$3:$H$100*(Sales!$B$3:$B$100=$D145))</f>
        <v>0</v>
      </c>
      <c r="M145" s="39"/>
      <c r="N145" s="40"/>
      <c r="P145" s="40">
        <f>SUMIFS('Working-T05-B1'!O$8:O$150,'Working-T05-B1'!$C$8:$C$150,$D145)</f>
        <v>0</v>
      </c>
      <c r="Q145" s="40"/>
      <c r="R145" s="40"/>
      <c r="S145" s="40">
        <f t="shared" si="70"/>
        <v>0</v>
      </c>
      <c r="T145" s="129"/>
      <c r="U145" s="40"/>
      <c r="V145" s="40"/>
      <c r="W145" s="131"/>
      <c r="X145" s="42">
        <f t="shared" si="67"/>
        <v>0</v>
      </c>
      <c r="Y145" s="41"/>
      <c r="Z145" s="40">
        <f>IF($C145="NĐ",1,IFERROR(SUMIFS(Data_FAGLL03[Amount in local currency],Data_FAGLL03[Offsetting acct no.],$E145,Data_FAGLL03[Material],$G145)/SUMIFS(Data_FAGLL03[Dthu (USD)],Data_FAGLL03[Offsetting acct no.],$E145,Data_FAGLL03[Material],$G145),0))</f>
        <v>0</v>
      </c>
      <c r="AA145" s="40">
        <f t="shared" si="78"/>
        <v>26300</v>
      </c>
      <c r="AB145" s="40">
        <f t="shared" si="78"/>
        <v>26300</v>
      </c>
      <c r="AC145" s="40">
        <f t="shared" si="71"/>
        <v>0</v>
      </c>
      <c r="AD145" s="41"/>
      <c r="AE145" s="40">
        <f t="shared" si="64"/>
        <v>0</v>
      </c>
      <c r="AF145" s="40">
        <f t="shared" si="64"/>
        <v>0</v>
      </c>
      <c r="AG145" s="40">
        <f t="shared" si="64"/>
        <v>0</v>
      </c>
      <c r="AH145" s="40"/>
      <c r="AI145" s="41"/>
      <c r="AJ145" s="43"/>
      <c r="AK145" s="40"/>
      <c r="AL145" s="40">
        <f t="shared" si="62"/>
        <v>0</v>
      </c>
      <c r="AM145" s="44">
        <f t="shared" si="72"/>
        <v>0</v>
      </c>
      <c r="AO145" s="39"/>
      <c r="AP145" s="39"/>
      <c r="AQ145" s="39"/>
      <c r="AR145" s="39"/>
      <c r="AS145" s="39"/>
      <c r="AT145" s="94"/>
      <c r="AV145" s="42">
        <f t="shared" si="73"/>
        <v>0</v>
      </c>
      <c r="AW145" s="39"/>
      <c r="AX145" s="39"/>
      <c r="AY145" s="39"/>
      <c r="AZ145" s="39"/>
      <c r="BA145" s="217">
        <f t="shared" si="74"/>
        <v>0</v>
      </c>
      <c r="BC145" s="40"/>
      <c r="BD145" s="40"/>
      <c r="BE145" s="40"/>
      <c r="BF145" s="226">
        <f t="shared" si="75"/>
        <v>0</v>
      </c>
      <c r="BH145" s="40">
        <f t="shared" si="76"/>
        <v>0</v>
      </c>
      <c r="BI145" s="40">
        <f t="shared" si="68"/>
        <v>0</v>
      </c>
      <c r="BJ145" s="40">
        <f t="shared" si="69"/>
        <v>0</v>
      </c>
      <c r="BK145" s="226">
        <f t="shared" si="77"/>
        <v>0</v>
      </c>
      <c r="BM145" s="94"/>
      <c r="BN145" s="39"/>
      <c r="BO145" s="39"/>
      <c r="BP145" s="39"/>
      <c r="BQ145" s="39"/>
      <c r="BR145" s="39"/>
      <c r="BS145" s="39"/>
      <c r="BT145" s="39"/>
      <c r="BU145" s="39"/>
      <c r="BV145" s="39"/>
      <c r="BW145" s="246"/>
    </row>
    <row r="146" spans="3:75" x14ac:dyDescent="0.25">
      <c r="C146" s="39"/>
      <c r="D146" s="39"/>
      <c r="E146" s="39"/>
      <c r="F146" s="39"/>
      <c r="G146" s="39"/>
      <c r="H146" s="39"/>
      <c r="I146" s="39"/>
      <c r="J146" s="39"/>
      <c r="K146" s="40">
        <f>SUMIFS('Working-T05-B1'!L$8:L$150,'Working-T05-B1'!$C$8:$C$150,$D146)</f>
        <v>0</v>
      </c>
      <c r="L146" s="40" cm="1">
        <f t="array" ref="L146">SUMPRODUCT(Sales!$G$3:$H$100*(Sales!$B$3:$B$100=$D146))</f>
        <v>0</v>
      </c>
      <c r="M146" s="39"/>
      <c r="N146" s="40"/>
      <c r="P146" s="40">
        <f>SUMIFS('Working-T05-B1'!O$8:O$150,'Working-T05-B1'!$C$8:$C$150,$D146)</f>
        <v>0</v>
      </c>
      <c r="Q146" s="40"/>
      <c r="R146" s="40"/>
      <c r="S146" s="40">
        <f t="shared" si="70"/>
        <v>0</v>
      </c>
      <c r="T146" s="129"/>
      <c r="U146" s="40"/>
      <c r="V146" s="40"/>
      <c r="W146" s="131"/>
      <c r="X146" s="42">
        <f t="shared" si="67"/>
        <v>0</v>
      </c>
      <c r="Y146" s="41"/>
      <c r="Z146" s="40">
        <f>IF($C146="NĐ",1,IFERROR(SUMIFS(Data_FAGLL03[Amount in local currency],Data_FAGLL03[Offsetting acct no.],$E146,Data_FAGLL03[Material],$G146)/SUMIFS(Data_FAGLL03[Dthu (USD)],Data_FAGLL03[Offsetting acct no.],$E146,Data_FAGLL03[Material],$G146),0))</f>
        <v>0</v>
      </c>
      <c r="AA146" s="40">
        <f t="shared" si="78"/>
        <v>26300</v>
      </c>
      <c r="AB146" s="40">
        <f t="shared" si="78"/>
        <v>26300</v>
      </c>
      <c r="AC146" s="40">
        <f t="shared" si="71"/>
        <v>0</v>
      </c>
      <c r="AD146" s="41"/>
      <c r="AE146" s="40">
        <f t="shared" si="64"/>
        <v>0</v>
      </c>
      <c r="AF146" s="40">
        <f t="shared" si="64"/>
        <v>0</v>
      </c>
      <c r="AG146" s="40">
        <f t="shared" si="64"/>
        <v>0</v>
      </c>
      <c r="AH146" s="40"/>
      <c r="AI146" s="41"/>
      <c r="AJ146" s="43"/>
      <c r="AK146" s="40"/>
      <c r="AL146" s="40">
        <f t="shared" si="62"/>
        <v>0</v>
      </c>
      <c r="AM146" s="44">
        <f t="shared" si="72"/>
        <v>0</v>
      </c>
      <c r="AO146" s="39"/>
      <c r="AP146" s="39"/>
      <c r="AQ146" s="39"/>
      <c r="AR146" s="39"/>
      <c r="AS146" s="39"/>
      <c r="AT146" s="94"/>
      <c r="AV146" s="42">
        <f t="shared" si="73"/>
        <v>0</v>
      </c>
      <c r="AW146" s="39"/>
      <c r="AX146" s="39"/>
      <c r="AY146" s="39"/>
      <c r="AZ146" s="39"/>
      <c r="BA146" s="217">
        <f t="shared" si="74"/>
        <v>0</v>
      </c>
      <c r="BC146" s="40"/>
      <c r="BD146" s="40"/>
      <c r="BE146" s="40"/>
      <c r="BF146" s="226">
        <f t="shared" si="75"/>
        <v>0</v>
      </c>
      <c r="BH146" s="40">
        <f t="shared" si="76"/>
        <v>0</v>
      </c>
      <c r="BI146" s="40">
        <f t="shared" si="68"/>
        <v>0</v>
      </c>
      <c r="BJ146" s="40">
        <f t="shared" si="69"/>
        <v>0</v>
      </c>
      <c r="BK146" s="226">
        <f t="shared" si="77"/>
        <v>0</v>
      </c>
      <c r="BM146" s="94"/>
      <c r="BN146" s="39"/>
      <c r="BO146" s="39"/>
      <c r="BP146" s="39"/>
      <c r="BQ146" s="39"/>
      <c r="BR146" s="39"/>
      <c r="BS146" s="39"/>
      <c r="BT146" s="39"/>
      <c r="BU146" s="39"/>
      <c r="BV146" s="39"/>
      <c r="BW146" s="246"/>
    </row>
    <row r="147" spans="3:75" x14ac:dyDescent="0.25">
      <c r="C147" s="39"/>
      <c r="D147" s="39"/>
      <c r="E147" s="39"/>
      <c r="F147" s="39"/>
      <c r="G147" s="39"/>
      <c r="H147" s="39"/>
      <c r="I147" s="39"/>
      <c r="J147" s="39"/>
      <c r="K147" s="40">
        <f>SUMIFS('Working-T05-B1'!L$8:L$150,'Working-T05-B1'!$C$8:$C$150,$D147)</f>
        <v>0</v>
      </c>
      <c r="L147" s="40" cm="1">
        <f t="array" ref="L147">SUMPRODUCT(Sales!$G$3:$H$100*(Sales!$B$3:$B$100=$D147))</f>
        <v>0</v>
      </c>
      <c r="M147" s="39"/>
      <c r="N147" s="40"/>
      <c r="P147" s="40">
        <f>SUMIFS('Working-T05-B1'!O$8:O$150,'Working-T05-B1'!$C$8:$C$150,$D147)</f>
        <v>0</v>
      </c>
      <c r="Q147" s="40"/>
      <c r="R147" s="40"/>
      <c r="S147" s="40">
        <f t="shared" si="70"/>
        <v>0</v>
      </c>
      <c r="T147" s="129"/>
      <c r="U147" s="40"/>
      <c r="V147" s="40"/>
      <c r="W147" s="131"/>
      <c r="X147" s="42">
        <f t="shared" si="67"/>
        <v>0</v>
      </c>
      <c r="Y147" s="41"/>
      <c r="Z147" s="40">
        <f>IF($C147="NĐ",1,IFERROR(SUMIFS(Data_FAGLL03[Amount in local currency],Data_FAGLL03[Offsetting acct no.],$E147,Data_FAGLL03[Material],$G147)/SUMIFS(Data_FAGLL03[Dthu (USD)],Data_FAGLL03[Offsetting acct no.],$E147,Data_FAGLL03[Material],$G147),0))</f>
        <v>0</v>
      </c>
      <c r="AA147" s="40">
        <f t="shared" si="78"/>
        <v>26300</v>
      </c>
      <c r="AB147" s="40">
        <f t="shared" si="78"/>
        <v>26300</v>
      </c>
      <c r="AC147" s="40">
        <f t="shared" si="71"/>
        <v>0</v>
      </c>
      <c r="AD147" s="41"/>
      <c r="AE147" s="40">
        <f t="shared" si="64"/>
        <v>0</v>
      </c>
      <c r="AF147" s="40">
        <f t="shared" si="64"/>
        <v>0</v>
      </c>
      <c r="AG147" s="40">
        <f t="shared" si="64"/>
        <v>0</v>
      </c>
      <c r="AH147" s="40"/>
      <c r="AI147" s="41"/>
      <c r="AJ147" s="43"/>
      <c r="AK147" s="40"/>
      <c r="AL147" s="40">
        <f t="shared" si="62"/>
        <v>0</v>
      </c>
      <c r="AM147" s="44">
        <f t="shared" si="72"/>
        <v>0</v>
      </c>
      <c r="AO147" s="39"/>
      <c r="AP147" s="39"/>
      <c r="AQ147" s="39"/>
      <c r="AR147" s="39"/>
      <c r="AS147" s="39"/>
      <c r="AT147" s="94"/>
      <c r="AV147" s="42">
        <f t="shared" si="73"/>
        <v>0</v>
      </c>
      <c r="AW147" s="39"/>
      <c r="AX147" s="39"/>
      <c r="AY147" s="39"/>
      <c r="AZ147" s="39"/>
      <c r="BA147" s="217">
        <f t="shared" si="74"/>
        <v>0</v>
      </c>
      <c r="BC147" s="40"/>
      <c r="BD147" s="40"/>
      <c r="BE147" s="40"/>
      <c r="BF147" s="226">
        <f t="shared" si="75"/>
        <v>0</v>
      </c>
      <c r="BH147" s="40">
        <f t="shared" si="76"/>
        <v>0</v>
      </c>
      <c r="BI147" s="40">
        <f t="shared" si="68"/>
        <v>0</v>
      </c>
      <c r="BJ147" s="40">
        <f t="shared" si="69"/>
        <v>0</v>
      </c>
      <c r="BK147" s="226">
        <f t="shared" si="77"/>
        <v>0</v>
      </c>
      <c r="BM147" s="94"/>
      <c r="BN147" s="39"/>
      <c r="BO147" s="39"/>
      <c r="BP147" s="39"/>
      <c r="BQ147" s="39"/>
      <c r="BR147" s="39"/>
      <c r="BS147" s="39"/>
      <c r="BT147" s="39"/>
      <c r="BU147" s="39"/>
      <c r="BV147" s="39"/>
      <c r="BW147" s="246"/>
    </row>
    <row r="148" spans="3:75" x14ac:dyDescent="0.25">
      <c r="C148" s="39"/>
      <c r="D148" s="39"/>
      <c r="E148" s="39"/>
      <c r="F148" s="39"/>
      <c r="G148" s="39"/>
      <c r="H148" s="39"/>
      <c r="I148" s="39"/>
      <c r="J148" s="39"/>
      <c r="K148" s="40">
        <f>SUMIFS('Working-T05-B1'!L$8:L$150,'Working-T05-B1'!$C$8:$C$150,$D148)</f>
        <v>0</v>
      </c>
      <c r="L148" s="40" cm="1">
        <f t="array" ref="L148">SUMPRODUCT(Sales!$G$3:$H$100*(Sales!$B$3:$B$100=$D148))</f>
        <v>0</v>
      </c>
      <c r="M148" s="39"/>
      <c r="N148" s="40"/>
      <c r="P148" s="40">
        <f>SUMIFS('Working-T05-B1'!O$8:O$150,'Working-T05-B1'!$C$8:$C$150,$D148)</f>
        <v>0</v>
      </c>
      <c r="Q148" s="40"/>
      <c r="R148" s="40"/>
      <c r="S148" s="40">
        <f t="shared" si="70"/>
        <v>0</v>
      </c>
      <c r="T148" s="129"/>
      <c r="U148" s="40"/>
      <c r="V148" s="40"/>
      <c r="W148" s="131"/>
      <c r="X148" s="42">
        <f t="shared" si="67"/>
        <v>0</v>
      </c>
      <c r="Y148" s="41"/>
      <c r="Z148" s="40">
        <f>IF($C148="NĐ",1,IFERROR(SUMIFS(Data_FAGLL03[Amount in local currency],Data_FAGLL03[Offsetting acct no.],$E148,Data_FAGLL03[Material],$G148)/SUMIFS(Data_FAGLL03[Dthu (USD)],Data_FAGLL03[Offsetting acct no.],$E148,Data_FAGLL03[Material],$G148),0))</f>
        <v>0</v>
      </c>
      <c r="AA148" s="40">
        <f t="shared" si="78"/>
        <v>26300</v>
      </c>
      <c r="AB148" s="40">
        <f t="shared" si="78"/>
        <v>26300</v>
      </c>
      <c r="AC148" s="40">
        <f t="shared" si="71"/>
        <v>0</v>
      </c>
      <c r="AD148" s="41"/>
      <c r="AE148" s="40">
        <f t="shared" si="64"/>
        <v>0</v>
      </c>
      <c r="AF148" s="40">
        <f t="shared" si="64"/>
        <v>0</v>
      </c>
      <c r="AG148" s="40">
        <f t="shared" si="64"/>
        <v>0</v>
      </c>
      <c r="AH148" s="40"/>
      <c r="AI148" s="41"/>
      <c r="AJ148" s="43"/>
      <c r="AK148" s="40"/>
      <c r="AL148" s="40">
        <f t="shared" si="62"/>
        <v>0</v>
      </c>
      <c r="AM148" s="44">
        <f t="shared" si="72"/>
        <v>0</v>
      </c>
      <c r="AO148" s="39"/>
      <c r="AP148" s="39"/>
      <c r="AQ148" s="39"/>
      <c r="AR148" s="39"/>
      <c r="AS148" s="39"/>
      <c r="AT148" s="94"/>
      <c r="AV148" s="42">
        <f t="shared" si="73"/>
        <v>0</v>
      </c>
      <c r="AW148" s="39"/>
      <c r="AX148" s="39"/>
      <c r="AY148" s="39"/>
      <c r="AZ148" s="39"/>
      <c r="BA148" s="217">
        <f t="shared" si="74"/>
        <v>0</v>
      </c>
      <c r="BC148" s="40"/>
      <c r="BD148" s="40"/>
      <c r="BE148" s="40"/>
      <c r="BF148" s="226">
        <f t="shared" si="75"/>
        <v>0</v>
      </c>
      <c r="BH148" s="40">
        <f t="shared" si="76"/>
        <v>0</v>
      </c>
      <c r="BI148" s="40">
        <f t="shared" si="68"/>
        <v>0</v>
      </c>
      <c r="BJ148" s="40">
        <f t="shared" si="69"/>
        <v>0</v>
      </c>
      <c r="BK148" s="226">
        <f t="shared" si="77"/>
        <v>0</v>
      </c>
      <c r="BM148" s="94"/>
      <c r="BN148" s="39"/>
      <c r="BO148" s="39"/>
      <c r="BP148" s="39"/>
      <c r="BQ148" s="39"/>
      <c r="BR148" s="39"/>
      <c r="BS148" s="39"/>
      <c r="BT148" s="39"/>
      <c r="BU148" s="39"/>
      <c r="BV148" s="39"/>
      <c r="BW148" s="246"/>
    </row>
    <row r="149" spans="3:75" x14ac:dyDescent="0.25">
      <c r="C149" s="39"/>
      <c r="D149" s="39"/>
      <c r="E149" s="39"/>
      <c r="F149" s="39"/>
      <c r="G149" s="39"/>
      <c r="H149" s="39"/>
      <c r="I149" s="39"/>
      <c r="J149" s="39"/>
      <c r="K149" s="40">
        <f>SUMIFS('Working-T05-B1'!L$8:L$150,'Working-T05-B1'!$C$8:$C$150,$D149)</f>
        <v>0</v>
      </c>
      <c r="L149" s="40" cm="1">
        <f t="array" ref="L149">SUMPRODUCT(Sales!$G$3:$H$100*(Sales!$B$3:$B$100=$D149))</f>
        <v>0</v>
      </c>
      <c r="M149" s="39"/>
      <c r="N149" s="40"/>
      <c r="P149" s="40">
        <f>SUMIFS('Working-T05-B1'!O$8:O$150,'Working-T05-B1'!$C$8:$C$150,$D149)</f>
        <v>0</v>
      </c>
      <c r="Q149" s="40"/>
      <c r="R149" s="40"/>
      <c r="S149" s="40">
        <f t="shared" si="70"/>
        <v>0</v>
      </c>
      <c r="T149" s="129"/>
      <c r="U149" s="40"/>
      <c r="V149" s="40"/>
      <c r="W149" s="131"/>
      <c r="X149" s="42">
        <f t="shared" si="67"/>
        <v>0</v>
      </c>
      <c r="Y149" s="41"/>
      <c r="Z149" s="40">
        <f>IF($C149="NĐ",1,IFERROR(SUMIFS(Data_FAGLL03[Amount in local currency],Data_FAGLL03[Offsetting acct no.],$E149,Data_FAGLL03[Material],$G149)/SUMIFS(Data_FAGLL03[Dthu (USD)],Data_FAGLL03[Offsetting acct no.],$E149,Data_FAGLL03[Material],$G149),0))</f>
        <v>0</v>
      </c>
      <c r="AA149" s="40">
        <f t="shared" si="78"/>
        <v>26300</v>
      </c>
      <c r="AB149" s="40">
        <f t="shared" si="78"/>
        <v>26300</v>
      </c>
      <c r="AC149" s="40">
        <f t="shared" si="71"/>
        <v>0</v>
      </c>
      <c r="AD149" s="41"/>
      <c r="AE149" s="40">
        <f t="shared" si="64"/>
        <v>0</v>
      </c>
      <c r="AF149" s="40">
        <f t="shared" si="64"/>
        <v>0</v>
      </c>
      <c r="AG149" s="40">
        <f t="shared" si="64"/>
        <v>0</v>
      </c>
      <c r="AH149" s="40"/>
      <c r="AI149" s="41"/>
      <c r="AJ149" s="43"/>
      <c r="AK149" s="40"/>
      <c r="AL149" s="40">
        <f t="shared" si="62"/>
        <v>0</v>
      </c>
      <c r="AM149" s="44">
        <f t="shared" si="72"/>
        <v>0</v>
      </c>
      <c r="AO149" s="39"/>
      <c r="AP149" s="39"/>
      <c r="AQ149" s="39"/>
      <c r="AR149" s="39"/>
      <c r="AS149" s="39"/>
      <c r="AT149" s="94"/>
      <c r="AV149" s="42">
        <f t="shared" si="73"/>
        <v>0</v>
      </c>
      <c r="AW149" s="39"/>
      <c r="AX149" s="39"/>
      <c r="AY149" s="39"/>
      <c r="AZ149" s="39"/>
      <c r="BA149" s="217">
        <f t="shared" si="74"/>
        <v>0</v>
      </c>
      <c r="BC149" s="40"/>
      <c r="BD149" s="40"/>
      <c r="BE149" s="40"/>
      <c r="BF149" s="226">
        <f t="shared" si="75"/>
        <v>0</v>
      </c>
      <c r="BH149" s="40">
        <f t="shared" si="76"/>
        <v>0</v>
      </c>
      <c r="BI149" s="40">
        <f t="shared" si="68"/>
        <v>0</v>
      </c>
      <c r="BJ149" s="40">
        <f t="shared" si="69"/>
        <v>0</v>
      </c>
      <c r="BK149" s="226">
        <f t="shared" si="77"/>
        <v>0</v>
      </c>
      <c r="BM149" s="94"/>
      <c r="BN149" s="39"/>
      <c r="BO149" s="39"/>
      <c r="BP149" s="39"/>
      <c r="BQ149" s="39"/>
      <c r="BR149" s="39"/>
      <c r="BS149" s="39"/>
      <c r="BT149" s="39"/>
      <c r="BU149" s="39"/>
      <c r="BV149" s="39"/>
      <c r="BW149" s="246"/>
    </row>
    <row r="150" spans="3:75" s="46" customFormat="1" ht="13.8" thickBot="1" x14ac:dyDescent="0.3">
      <c r="C150" s="45"/>
      <c r="D150" s="45"/>
      <c r="E150" s="45"/>
      <c r="F150" s="45"/>
      <c r="G150" s="45"/>
      <c r="H150" s="45"/>
      <c r="I150" s="45"/>
      <c r="J150" s="45"/>
      <c r="K150" s="47">
        <f>SUMIFS('Working-T05-B1'!L$8:L$150,'Working-T05-B1'!$C$8:$C$150,$D150)</f>
        <v>0</v>
      </c>
      <c r="L150" s="47" cm="1">
        <f t="array" ref="L150">SUMPRODUCT(Sales!$G$3:$H$100*(Sales!$B$3:$B$100=$D150))</f>
        <v>0</v>
      </c>
      <c r="M150" s="45"/>
      <c r="N150" s="47"/>
      <c r="P150" s="47">
        <f>SUMIFS('Working-T05-B1'!O$8:O$150,'Working-T05-B1'!$C$8:$C$150,$D150)</f>
        <v>0</v>
      </c>
      <c r="Q150" s="47"/>
      <c r="R150" s="47"/>
      <c r="S150" s="47">
        <f t="shared" si="70"/>
        <v>0</v>
      </c>
      <c r="T150" s="130"/>
      <c r="U150" s="47"/>
      <c r="V150" s="47"/>
      <c r="W150" s="132"/>
      <c r="X150" s="49">
        <f t="shared" si="67"/>
        <v>0</v>
      </c>
      <c r="Y150" s="48"/>
      <c r="Z150" s="47">
        <f>IF($C150="NĐ",1,IFERROR(SUMIFS(Data_FAGLL03[Amount in local currency],Data_FAGLL03[Offsetting acct no.],$E150,Data_FAGLL03[Material],$G150)/SUMIFS(Data_FAGLL03[Dthu (USD)],Data_FAGLL03[Offsetting acct no.],$E150,Data_FAGLL03[Material],$G150),0))</f>
        <v>0</v>
      </c>
      <c r="AA150" s="47">
        <f t="shared" si="78"/>
        <v>26300</v>
      </c>
      <c r="AB150" s="47">
        <f t="shared" si="78"/>
        <v>26300</v>
      </c>
      <c r="AC150" s="47">
        <f t="shared" si="71"/>
        <v>0</v>
      </c>
      <c r="AD150" s="48"/>
      <c r="AE150" s="47">
        <f t="shared" si="64"/>
        <v>0</v>
      </c>
      <c r="AF150" s="47">
        <f t="shared" si="64"/>
        <v>0</v>
      </c>
      <c r="AG150" s="47">
        <f t="shared" si="64"/>
        <v>0</v>
      </c>
      <c r="AH150" s="47"/>
      <c r="AI150" s="48"/>
      <c r="AJ150" s="50"/>
      <c r="AK150" s="51"/>
      <c r="AL150" s="51">
        <f t="shared" si="62"/>
        <v>0</v>
      </c>
      <c r="AM150" s="52">
        <f t="shared" si="72"/>
        <v>0</v>
      </c>
      <c r="AO150" s="45"/>
      <c r="AP150" s="45"/>
      <c r="AQ150" s="45"/>
      <c r="AR150" s="45"/>
      <c r="AS150" s="45"/>
      <c r="AT150" s="95"/>
      <c r="AV150" s="49">
        <f t="shared" si="73"/>
        <v>0</v>
      </c>
      <c r="AW150" s="45"/>
      <c r="AX150" s="45"/>
      <c r="AY150" s="45"/>
      <c r="AZ150" s="45"/>
      <c r="BA150" s="218">
        <f t="shared" si="74"/>
        <v>0</v>
      </c>
      <c r="BC150" s="47"/>
      <c r="BD150" s="47"/>
      <c r="BE150" s="47"/>
      <c r="BF150" s="227">
        <f t="shared" si="75"/>
        <v>0</v>
      </c>
      <c r="BH150" s="47">
        <f t="shared" si="76"/>
        <v>0</v>
      </c>
      <c r="BI150" s="47">
        <f t="shared" si="68"/>
        <v>0</v>
      </c>
      <c r="BJ150" s="47">
        <f t="shared" si="69"/>
        <v>0</v>
      </c>
      <c r="BK150" s="227">
        <f t="shared" si="77"/>
        <v>0</v>
      </c>
      <c r="BM150" s="95"/>
      <c r="BN150" s="45"/>
      <c r="BO150" s="45"/>
      <c r="BP150" s="45"/>
      <c r="BQ150" s="45"/>
      <c r="BR150" s="45"/>
      <c r="BS150" s="45"/>
      <c r="BT150" s="45"/>
      <c r="BU150" s="45"/>
      <c r="BV150" s="45"/>
      <c r="BW150" s="248"/>
    </row>
  </sheetData>
  <autoFilter ref="A7:BW101" xr:uid="{2D29B486-9C2F-427A-ACBA-A60B93480C6F}"/>
  <mergeCells count="13">
    <mergeCell ref="B4:B6"/>
    <mergeCell ref="L5:L6"/>
    <mergeCell ref="N5:N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0A1E-DF54-4707-84EA-47CA17444283}">
  <dimension ref="A1:BM104"/>
  <sheetViews>
    <sheetView showGridLines="0" zoomScale="85" zoomScaleNormal="85" workbookViewId="0">
      <pane xSplit="3" ySplit="3" topLeftCell="BD4" activePane="bottomRight" state="frozen"/>
      <selection pane="topRight" activeCell="D1" sqref="D1"/>
      <selection pane="bottomLeft" activeCell="A3" sqref="A3"/>
      <selection pane="bottomRight" activeCell="AX4" sqref="AX4:BF47"/>
    </sheetView>
  </sheetViews>
  <sheetFormatPr defaultRowHeight="13.2" x14ac:dyDescent="0.25"/>
  <cols>
    <col min="1" max="1" width="10" bestFit="1" customWidth="1"/>
    <col min="2" max="2" width="37.6640625" bestFit="1" customWidth="1"/>
    <col min="3" max="3" width="13.109375" bestFit="1" customWidth="1"/>
    <col min="4" max="4" width="15" bestFit="1" customWidth="1"/>
    <col min="5" max="5" width="16.88671875" bestFit="1" customWidth="1"/>
    <col min="6" max="6" width="19.88671875" bestFit="1" customWidth="1"/>
    <col min="7" max="7" width="17.5546875" customWidth="1"/>
    <col min="8" max="8" width="13.33203125" bestFit="1" customWidth="1"/>
    <col min="9" max="9" width="14.109375" bestFit="1" customWidth="1"/>
    <col min="10" max="10" width="16.6640625" bestFit="1" customWidth="1"/>
    <col min="11" max="11" width="14.6640625" bestFit="1" customWidth="1"/>
    <col min="12" max="12" width="16.109375" bestFit="1" customWidth="1"/>
    <col min="13" max="13" width="20.33203125" bestFit="1" customWidth="1"/>
    <col min="14" max="14" width="19.88671875" bestFit="1" customWidth="1"/>
    <col min="15" max="15" width="16.33203125" bestFit="1" customWidth="1"/>
    <col min="16" max="16" width="18.44140625" bestFit="1" customWidth="1"/>
    <col min="17" max="17" width="11.44140625" bestFit="1" customWidth="1"/>
    <col min="18" max="18" width="25.44140625" bestFit="1" customWidth="1"/>
    <col min="19" max="20" width="24" bestFit="1" customWidth="1"/>
    <col min="21" max="21" width="19.44140625" bestFit="1" customWidth="1"/>
    <col min="22" max="22" width="20.88671875" bestFit="1" customWidth="1"/>
    <col min="23" max="23" width="17.88671875" bestFit="1" customWidth="1"/>
    <col min="24" max="24" width="1.5546875" customWidth="1"/>
    <col min="25" max="25" width="13" style="76" customWidth="1"/>
    <col min="26" max="26" width="11.109375" customWidth="1"/>
    <col min="27" max="27" width="21.109375" bestFit="1" customWidth="1"/>
    <col min="28" max="28" width="9.33203125" bestFit="1" customWidth="1"/>
    <col min="29" max="29" width="9.5546875" bestFit="1" customWidth="1"/>
    <col min="30" max="30" width="8" bestFit="1" customWidth="1"/>
    <col min="31" max="32" width="9.5546875" bestFit="1" customWidth="1"/>
    <col min="33" max="33" width="14.44140625" bestFit="1" customWidth="1"/>
    <col min="34" max="34" width="12.6640625" bestFit="1" customWidth="1"/>
    <col min="35" max="35" width="1.6640625" customWidth="1"/>
    <col min="36" max="36" width="13.109375" bestFit="1" customWidth="1"/>
    <col min="37" max="37" width="11.5546875" bestFit="1" customWidth="1"/>
    <col min="38" max="38" width="4.44140625" customWidth="1"/>
    <col min="39" max="39" width="10.5546875" customWidth="1"/>
    <col min="40" max="47" width="20.109375" customWidth="1"/>
    <col min="49" max="49" width="17" customWidth="1"/>
    <col min="50" max="58" width="13.33203125" customWidth="1"/>
    <col min="60" max="60" width="16.44140625" bestFit="1" customWidth="1"/>
    <col min="61" max="62" width="13.88671875" customWidth="1"/>
    <col min="63" max="63" width="13.109375" bestFit="1" customWidth="1"/>
    <col min="64" max="64" width="14.33203125" bestFit="1" customWidth="1"/>
    <col min="65" max="65" width="13.109375" bestFit="1" customWidth="1"/>
  </cols>
  <sheetData>
    <row r="1" spans="1:65" x14ac:dyDescent="0.25">
      <c r="D1" s="22" t="s">
        <v>2935</v>
      </c>
      <c r="E1" s="22" t="s">
        <v>2935</v>
      </c>
      <c r="F1" s="22" t="s">
        <v>2935</v>
      </c>
      <c r="G1" s="22" t="s">
        <v>2935</v>
      </c>
      <c r="H1" s="22" t="s">
        <v>2936</v>
      </c>
      <c r="I1" s="22" t="s">
        <v>2936</v>
      </c>
      <c r="J1" s="22" t="s">
        <v>2936</v>
      </c>
      <c r="K1" s="22" t="s">
        <v>2937</v>
      </c>
      <c r="L1" s="22" t="s">
        <v>2938</v>
      </c>
      <c r="M1" s="22" t="s">
        <v>2939</v>
      </c>
      <c r="N1" s="22" t="s">
        <v>2939</v>
      </c>
      <c r="O1" s="22" t="s">
        <v>2939</v>
      </c>
      <c r="P1" s="22" t="s">
        <v>2939</v>
      </c>
      <c r="Q1" s="22" t="s">
        <v>2939</v>
      </c>
      <c r="R1" s="22" t="s">
        <v>2940</v>
      </c>
      <c r="S1" s="22" t="s">
        <v>2940</v>
      </c>
      <c r="T1" s="22" t="s">
        <v>2941</v>
      </c>
      <c r="U1" s="22" t="s">
        <v>2942</v>
      </c>
      <c r="V1" s="22" t="s">
        <v>2894</v>
      </c>
      <c r="W1" s="22" t="s">
        <v>2943</v>
      </c>
      <c r="AJ1" s="176">
        <f>AJ2-SUM('Working-T05-B2'!S8:S150)</f>
        <v>0</v>
      </c>
      <c r="BH1" t="s">
        <v>3053</v>
      </c>
      <c r="BK1" s="18">
        <f>'[1]GIÁ XUẤT KHO'!$BK$1</f>
        <v>5783401.7675908133</v>
      </c>
      <c r="BL1" s="18">
        <f>SUMIFS($AJ$4:$AJ$97,$A$4:$A$97,"11*")</f>
        <v>5230593.7461937005</v>
      </c>
    </row>
    <row r="2" spans="1:65" s="76" customFormat="1" x14ac:dyDescent="0.25">
      <c r="AJ2" s="66">
        <f>SUM(AJ4:AJ97)</f>
        <v>5480593.7461937005</v>
      </c>
    </row>
    <row r="3" spans="1:65" s="162" customFormat="1" ht="28.8" x14ac:dyDescent="0.25">
      <c r="A3" s="161" t="s">
        <v>265</v>
      </c>
      <c r="B3" s="161" t="s">
        <v>266</v>
      </c>
      <c r="C3" s="161" t="s">
        <v>2914</v>
      </c>
      <c r="D3" s="161" t="s">
        <v>2915</v>
      </c>
      <c r="E3" s="161" t="s">
        <v>2916</v>
      </c>
      <c r="F3" s="161" t="s">
        <v>2917</v>
      </c>
      <c r="G3" s="161" t="s">
        <v>2918</v>
      </c>
      <c r="H3" s="161" t="s">
        <v>2919</v>
      </c>
      <c r="I3" s="161" t="s">
        <v>2920</v>
      </c>
      <c r="J3" s="161" t="s">
        <v>2921</v>
      </c>
      <c r="K3" s="161" t="s">
        <v>2922</v>
      </c>
      <c r="L3" s="161" t="s">
        <v>2923</v>
      </c>
      <c r="M3" s="161" t="s">
        <v>2924</v>
      </c>
      <c r="N3" s="161" t="s">
        <v>2925</v>
      </c>
      <c r="O3" s="161" t="s">
        <v>2926</v>
      </c>
      <c r="P3" s="161" t="s">
        <v>2927</v>
      </c>
      <c r="Q3" s="161" t="s">
        <v>2928</v>
      </c>
      <c r="R3" s="161" t="s">
        <v>2929</v>
      </c>
      <c r="S3" s="161" t="s">
        <v>2930</v>
      </c>
      <c r="T3" s="161" t="s">
        <v>2931</v>
      </c>
      <c r="U3" s="161" t="s">
        <v>2932</v>
      </c>
      <c r="V3" s="161" t="s">
        <v>2933</v>
      </c>
      <c r="W3" s="161" t="s">
        <v>2934</v>
      </c>
      <c r="Y3" s="167" t="s">
        <v>2524</v>
      </c>
      <c r="Z3" s="169" t="s">
        <v>2935</v>
      </c>
      <c r="AA3" s="169" t="s">
        <v>2936</v>
      </c>
      <c r="AB3" s="169" t="s">
        <v>2937</v>
      </c>
      <c r="AC3" s="169" t="s">
        <v>2938</v>
      </c>
      <c r="AD3" s="169" t="s">
        <v>2939</v>
      </c>
      <c r="AE3" s="169" t="s">
        <v>2940</v>
      </c>
      <c r="AF3" s="169" t="s">
        <v>2941</v>
      </c>
      <c r="AG3" s="169" t="s">
        <v>2942</v>
      </c>
      <c r="AH3" s="169" t="s">
        <v>2943</v>
      </c>
      <c r="AJ3" s="173" t="s">
        <v>2944</v>
      </c>
      <c r="AM3" s="177" t="s">
        <v>2935</v>
      </c>
      <c r="AN3" s="177" t="s">
        <v>2936</v>
      </c>
      <c r="AO3" s="177" t="s">
        <v>2939</v>
      </c>
      <c r="AP3" s="177" t="s">
        <v>2938</v>
      </c>
      <c r="AQ3" s="177" t="s">
        <v>2937</v>
      </c>
      <c r="AR3" s="177" t="s">
        <v>2940</v>
      </c>
      <c r="AS3" s="177" t="s">
        <v>2941</v>
      </c>
      <c r="AT3" s="177" t="s">
        <v>2942</v>
      </c>
      <c r="AU3" s="177" t="s">
        <v>2943</v>
      </c>
      <c r="AW3" s="179" t="s">
        <v>2948</v>
      </c>
      <c r="AX3" s="178" t="s">
        <v>2935</v>
      </c>
      <c r="AY3" s="178" t="s">
        <v>2936</v>
      </c>
      <c r="AZ3" s="178" t="s">
        <v>2939</v>
      </c>
      <c r="BA3" s="178" t="s">
        <v>2938</v>
      </c>
      <c r="BB3" s="178" t="s">
        <v>2937</v>
      </c>
      <c r="BC3" s="178" t="s">
        <v>2940</v>
      </c>
      <c r="BD3" s="178" t="s">
        <v>2941</v>
      </c>
      <c r="BE3" s="178" t="s">
        <v>2942</v>
      </c>
      <c r="BF3" s="178" t="s">
        <v>2943</v>
      </c>
      <c r="BH3" s="184"/>
      <c r="BI3" s="184">
        <v>2</v>
      </c>
      <c r="BJ3" s="184">
        <v>3</v>
      </c>
      <c r="BK3" s="184">
        <v>4</v>
      </c>
      <c r="BL3" s="184">
        <v>5</v>
      </c>
      <c r="BM3" s="184">
        <v>6</v>
      </c>
    </row>
    <row r="4" spans="1:65" ht="14.4" x14ac:dyDescent="0.3">
      <c r="A4" s="163" t="s">
        <v>273</v>
      </c>
      <c r="B4" s="163" t="s">
        <v>274</v>
      </c>
      <c r="C4" s="164">
        <v>411288</v>
      </c>
      <c r="D4" s="164">
        <v>0</v>
      </c>
      <c r="E4" s="164">
        <v>7993588340</v>
      </c>
      <c r="F4" s="164">
        <v>74955</v>
      </c>
      <c r="G4" s="164">
        <v>127963366</v>
      </c>
      <c r="H4" s="164">
        <v>3755225</v>
      </c>
      <c r="I4" s="164">
        <v>0</v>
      </c>
      <c r="J4" s="164">
        <v>32326038</v>
      </c>
      <c r="K4" s="164">
        <v>115</v>
      </c>
      <c r="L4" s="164">
        <v>867953867</v>
      </c>
      <c r="M4" s="164">
        <v>81209917</v>
      </c>
      <c r="N4" s="164">
        <v>139</v>
      </c>
      <c r="O4" s="164">
        <v>0</v>
      </c>
      <c r="P4" s="164">
        <v>0</v>
      </c>
      <c r="Q4" s="164">
        <v>0</v>
      </c>
      <c r="R4" s="164">
        <v>641424427</v>
      </c>
      <c r="S4" s="164">
        <v>1</v>
      </c>
      <c r="T4" s="164">
        <v>1034615386</v>
      </c>
      <c r="U4" s="164">
        <v>485479813</v>
      </c>
      <c r="V4" s="164">
        <v>0</v>
      </c>
      <c r="W4" s="164">
        <v>2410804292</v>
      </c>
      <c r="Y4" s="170">
        <f>SUM(Z4:AH4)</f>
        <v>33259.409175565539</v>
      </c>
      <c r="Z4" s="168">
        <f>IFERROR(SUMIFS($D4:$W4,$D$1:$W$1,Z$3)/$C4,0)</f>
        <v>19746.811628348019</v>
      </c>
      <c r="AA4" s="168">
        <f t="shared" ref="AA4:AH16" si="0">IFERROR(SUMIFS($D4:$W4,$D$1:$W$1,AA$3)/$C4,0)</f>
        <v>87.727487794440876</v>
      </c>
      <c r="AB4" s="168">
        <f t="shared" si="0"/>
        <v>2.7960942210810915E-4</v>
      </c>
      <c r="AC4" s="168">
        <f t="shared" si="0"/>
        <v>2110.3311232032056</v>
      </c>
      <c r="AD4" s="168">
        <f t="shared" si="0"/>
        <v>197.45301589154073</v>
      </c>
      <c r="AE4" s="168">
        <f t="shared" si="0"/>
        <v>1559.5505533835171</v>
      </c>
      <c r="AF4" s="168">
        <f t="shared" si="0"/>
        <v>2515.549653770594</v>
      </c>
      <c r="AG4" s="168">
        <f t="shared" si="0"/>
        <v>1180.3889561572425</v>
      </c>
      <c r="AH4" s="168">
        <f t="shared" si="0"/>
        <v>5861.5964774075583</v>
      </c>
      <c r="AJ4" s="181">
        <f>SUMIFS('Working-T05-B2'!$S$8:$S$150,'Working-T05-B2'!$G$8:$G$150,$A4)</f>
        <v>30800</v>
      </c>
      <c r="AK4" s="18">
        <f>C4-AJ4</f>
        <v>380488</v>
      </c>
      <c r="AM4" s="270">
        <v>0.01</v>
      </c>
      <c r="AN4" s="270"/>
      <c r="AO4" s="270"/>
      <c r="AP4" s="270"/>
      <c r="AQ4" s="270"/>
      <c r="AR4" s="270"/>
      <c r="AS4" s="270"/>
      <c r="AT4" s="270"/>
      <c r="AU4" s="270">
        <v>0.1</v>
      </c>
      <c r="AW4" s="170">
        <f>SUM(AX4:BF4)</f>
        <v>32475.781411541309</v>
      </c>
      <c r="AX4" s="168">
        <f>Z4*(1-AM4)</f>
        <v>19549.343512064541</v>
      </c>
      <c r="AY4" s="168">
        <f t="shared" ref="AY4:BF4" si="1">AA4*(1-AN4)</f>
        <v>87.727487794440876</v>
      </c>
      <c r="AZ4" s="168">
        <f t="shared" si="1"/>
        <v>2.7960942210810915E-4</v>
      </c>
      <c r="BA4" s="168">
        <f t="shared" si="1"/>
        <v>2110.3311232032056</v>
      </c>
      <c r="BB4" s="168">
        <f t="shared" si="1"/>
        <v>197.45301589154073</v>
      </c>
      <c r="BC4" s="168">
        <f t="shared" si="1"/>
        <v>1559.5505533835171</v>
      </c>
      <c r="BD4" s="168">
        <f t="shared" si="1"/>
        <v>2515.549653770594</v>
      </c>
      <c r="BE4" s="168">
        <f t="shared" si="1"/>
        <v>1180.3889561572425</v>
      </c>
      <c r="BF4" s="168">
        <f t="shared" si="1"/>
        <v>5275.4368296668026</v>
      </c>
      <c r="BH4" s="183" t="s">
        <v>2519</v>
      </c>
      <c r="BI4" s="194">
        <v>1811100</v>
      </c>
      <c r="BJ4" s="194">
        <v>4279489</v>
      </c>
      <c r="BK4" s="185">
        <f>SUM(BK5:BK7)</f>
        <v>4050000</v>
      </c>
      <c r="BL4" s="185">
        <f t="shared" ref="BL4:BM4" si="2">SUM(BL5:BL7)</f>
        <v>4260000</v>
      </c>
      <c r="BM4" s="185">
        <f t="shared" si="2"/>
        <v>4315000</v>
      </c>
    </row>
    <row r="5" spans="1:65" x14ac:dyDescent="0.25">
      <c r="A5" s="165" t="s">
        <v>32</v>
      </c>
      <c r="B5" s="165" t="s">
        <v>279</v>
      </c>
      <c r="C5" s="164">
        <v>441079.35</v>
      </c>
      <c r="D5" s="164">
        <v>16</v>
      </c>
      <c r="E5" s="164">
        <v>17518447662</v>
      </c>
      <c r="F5" s="164">
        <v>3631357</v>
      </c>
      <c r="G5" s="164">
        <v>-10142741923</v>
      </c>
      <c r="H5" s="164">
        <v>73850651</v>
      </c>
      <c r="I5" s="164">
        <v>0</v>
      </c>
      <c r="J5" s="164">
        <v>47534407</v>
      </c>
      <c r="K5" s="164">
        <v>49456</v>
      </c>
      <c r="L5" s="164">
        <v>806160270</v>
      </c>
      <c r="M5" s="164">
        <v>95420869</v>
      </c>
      <c r="N5" s="164">
        <v>-1909</v>
      </c>
      <c r="O5" s="164">
        <v>0</v>
      </c>
      <c r="P5" s="164">
        <v>0</v>
      </c>
      <c r="Q5" s="164">
        <v>0</v>
      </c>
      <c r="R5" s="164">
        <v>576893198</v>
      </c>
      <c r="S5" s="164">
        <v>1251</v>
      </c>
      <c r="T5" s="164">
        <v>929621172</v>
      </c>
      <c r="U5" s="164">
        <v>223177837</v>
      </c>
      <c r="V5" s="164">
        <v>0</v>
      </c>
      <c r="W5" s="164">
        <v>2555321058</v>
      </c>
      <c r="Y5" s="170">
        <f t="shared" ref="Y5:Y46" si="3">SUM(Z5:AH5)</f>
        <v>28764.360362823609</v>
      </c>
      <c r="Z5" s="168">
        <f t="shared" ref="Z5:AH17" si="4">IFERROR(SUMIFS($D5:$W5,$D$1:$W$1,Z$3)/$C5,0)</f>
        <v>16730.180435787803</v>
      </c>
      <c r="AA5" s="168">
        <f t="shared" si="0"/>
        <v>275.20004733842109</v>
      </c>
      <c r="AB5" s="168">
        <f t="shared" si="0"/>
        <v>0.11212494985312733</v>
      </c>
      <c r="AC5" s="168">
        <f t="shared" si="0"/>
        <v>1827.6989616494177</v>
      </c>
      <c r="AD5" s="168">
        <f t="shared" si="0"/>
        <v>216.33059901806786</v>
      </c>
      <c r="AE5" s="168">
        <f t="shared" si="0"/>
        <v>1307.915342216769</v>
      </c>
      <c r="AF5" s="168">
        <f t="shared" si="0"/>
        <v>2107.6052914288553</v>
      </c>
      <c r="AG5" s="168">
        <f t="shared" si="0"/>
        <v>505.98115055715033</v>
      </c>
      <c r="AH5" s="168">
        <f t="shared" si="0"/>
        <v>5793.3364098772709</v>
      </c>
      <c r="AJ5" s="181">
        <f>SUMIFS('Working-T05-B2'!$S$8:$S$150,'Working-T05-B2'!$G$8:$G$150,$A5)</f>
        <v>1012000</v>
      </c>
      <c r="AK5" s="18">
        <f t="shared" ref="AK5:AK68" si="5">C5-AJ5</f>
        <v>-570920.65</v>
      </c>
      <c r="AM5" s="270">
        <v>0.01</v>
      </c>
      <c r="AN5" s="270"/>
      <c r="AO5" s="270"/>
      <c r="AP5" s="270"/>
      <c r="AQ5" s="270"/>
      <c r="AR5" s="270"/>
      <c r="AS5" s="270"/>
      <c r="AT5" s="270"/>
      <c r="AU5" s="270">
        <v>0.1</v>
      </c>
      <c r="AW5" s="170">
        <f t="shared" ref="AW5:AW68" si="6">SUM(AX5:BF5)</f>
        <v>28017.724917478001</v>
      </c>
      <c r="AX5" s="168">
        <f t="shared" ref="AX5:AX46" si="7">Z5*(1-AM5)</f>
        <v>16562.878631429925</v>
      </c>
      <c r="AY5" s="168">
        <f t="shared" ref="AY5:AY46" si="8">AA5*(1-AN5)</f>
        <v>275.20004733842109</v>
      </c>
      <c r="AZ5" s="168">
        <f t="shared" ref="AZ5:AZ46" si="9">AB5*(1-AO5)</f>
        <v>0.11212494985312733</v>
      </c>
      <c r="BA5" s="168">
        <f t="shared" ref="BA5:BA46" si="10">AC5*(1-AP5)</f>
        <v>1827.6989616494177</v>
      </c>
      <c r="BB5" s="168">
        <f t="shared" ref="BB5:BB46" si="11">AD5*(1-AQ5)</f>
        <v>216.33059901806786</v>
      </c>
      <c r="BC5" s="168">
        <f t="shared" ref="BC5:BC46" si="12">AE5*(1-AR5)</f>
        <v>1307.915342216769</v>
      </c>
      <c r="BD5" s="168">
        <f t="shared" ref="BD5:BD46" si="13">AF5*(1-AS5)</f>
        <v>2107.6052914288553</v>
      </c>
      <c r="BE5" s="168">
        <f t="shared" ref="BE5:BE46" si="14">AG5*(1-AT5)</f>
        <v>505.98115055715033</v>
      </c>
      <c r="BF5" s="168">
        <f t="shared" ref="BF5:BF46" si="15">AH5*(1-AU5)</f>
        <v>5214.0027688895443</v>
      </c>
      <c r="BH5" s="14" t="s">
        <v>2949</v>
      </c>
      <c r="BI5" s="14"/>
      <c r="BJ5" s="14"/>
      <c r="BK5" s="186">
        <v>3600000</v>
      </c>
      <c r="BL5" s="186">
        <v>3800000</v>
      </c>
      <c r="BM5" s="186">
        <v>3800000</v>
      </c>
    </row>
    <row r="6" spans="1:65" x14ac:dyDescent="0.25">
      <c r="A6" s="165" t="s">
        <v>38</v>
      </c>
      <c r="B6" s="165" t="s">
        <v>288</v>
      </c>
      <c r="C6" s="164">
        <v>199837.5</v>
      </c>
      <c r="D6" s="164">
        <v>35636309</v>
      </c>
      <c r="E6" s="164">
        <v>5909746730</v>
      </c>
      <c r="F6" s="164">
        <v>0</v>
      </c>
      <c r="G6" s="164">
        <v>-1599936804</v>
      </c>
      <c r="H6" s="164">
        <v>82311513</v>
      </c>
      <c r="I6" s="164">
        <v>0</v>
      </c>
      <c r="J6" s="164">
        <v>11147457</v>
      </c>
      <c r="K6" s="164">
        <v>157965184</v>
      </c>
      <c r="L6" s="164">
        <v>268270505</v>
      </c>
      <c r="M6" s="164">
        <v>47847254</v>
      </c>
      <c r="N6" s="164">
        <v>0</v>
      </c>
      <c r="O6" s="164">
        <v>0</v>
      </c>
      <c r="P6" s="164">
        <v>0</v>
      </c>
      <c r="Q6" s="164">
        <v>0</v>
      </c>
      <c r="R6" s="164">
        <v>311854327</v>
      </c>
      <c r="S6" s="164">
        <v>174513</v>
      </c>
      <c r="T6" s="164">
        <v>282502769</v>
      </c>
      <c r="U6" s="164">
        <v>88115406</v>
      </c>
      <c r="V6" s="164">
        <v>0</v>
      </c>
      <c r="W6" s="164">
        <v>441269388</v>
      </c>
      <c r="Y6" s="170">
        <f t="shared" si="3"/>
        <v>30209.067622443235</v>
      </c>
      <c r="Z6" s="168">
        <f t="shared" si="4"/>
        <v>21744.898905360606</v>
      </c>
      <c r="AA6" s="168">
        <f t="shared" si="0"/>
        <v>467.67483580409083</v>
      </c>
      <c r="AB6" s="168">
        <f t="shared" si="0"/>
        <v>790.4681753925064</v>
      </c>
      <c r="AC6" s="168">
        <f t="shared" si="0"/>
        <v>1342.4432601488709</v>
      </c>
      <c r="AD6" s="168">
        <f t="shared" si="0"/>
        <v>239.43080753111903</v>
      </c>
      <c r="AE6" s="168">
        <f t="shared" si="0"/>
        <v>1561.4128479389503</v>
      </c>
      <c r="AF6" s="168">
        <f t="shared" si="0"/>
        <v>1413.6624457371615</v>
      </c>
      <c r="AG6" s="168">
        <f t="shared" si="0"/>
        <v>440.9352899230625</v>
      </c>
      <c r="AH6" s="168">
        <f t="shared" si="0"/>
        <v>2208.1410546068682</v>
      </c>
      <c r="AJ6" s="181">
        <f>SUMIFS('Working-T05-B2'!$S$8:$S$150,'Working-T05-B2'!$G$8:$G$150,$A6)</f>
        <v>285000</v>
      </c>
      <c r="AK6" s="18">
        <f t="shared" si="5"/>
        <v>-85162.5</v>
      </c>
      <c r="AM6" s="270"/>
      <c r="AN6" s="270"/>
      <c r="AO6" s="270"/>
      <c r="AP6" s="270"/>
      <c r="AQ6" s="270"/>
      <c r="AR6" s="270"/>
      <c r="AS6" s="270"/>
      <c r="AT6" s="270"/>
      <c r="AU6" s="270">
        <v>0.1</v>
      </c>
      <c r="AW6" s="170">
        <f t="shared" si="6"/>
        <v>29988.25351698255</v>
      </c>
      <c r="AX6" s="168">
        <f t="shared" si="7"/>
        <v>21744.898905360606</v>
      </c>
      <c r="AY6" s="168">
        <f t="shared" si="8"/>
        <v>467.67483580409083</v>
      </c>
      <c r="AZ6" s="168">
        <f t="shared" si="9"/>
        <v>790.4681753925064</v>
      </c>
      <c r="BA6" s="168">
        <f t="shared" si="10"/>
        <v>1342.4432601488709</v>
      </c>
      <c r="BB6" s="168">
        <f t="shared" si="11"/>
        <v>239.43080753111903</v>
      </c>
      <c r="BC6" s="168">
        <f t="shared" si="12"/>
        <v>1561.4128479389503</v>
      </c>
      <c r="BD6" s="168">
        <f t="shared" si="13"/>
        <v>1413.6624457371615</v>
      </c>
      <c r="BE6" s="168">
        <f t="shared" si="14"/>
        <v>440.9352899230625</v>
      </c>
      <c r="BF6" s="168">
        <f t="shared" si="15"/>
        <v>1987.3269491461815</v>
      </c>
      <c r="BH6" s="14" t="s">
        <v>349</v>
      </c>
      <c r="BI6" s="14"/>
      <c r="BJ6" s="14"/>
      <c r="BK6" s="186">
        <v>50000</v>
      </c>
      <c r="BL6" s="186">
        <v>60000</v>
      </c>
      <c r="BM6" s="186">
        <v>65000</v>
      </c>
    </row>
    <row r="7" spans="1:65" x14ac:dyDescent="0.25">
      <c r="A7" s="165" t="s">
        <v>53</v>
      </c>
      <c r="B7" s="165" t="s">
        <v>2875</v>
      </c>
      <c r="C7" s="164">
        <v>101075.5</v>
      </c>
      <c r="D7" s="164">
        <v>362337</v>
      </c>
      <c r="E7" s="164">
        <v>274182945</v>
      </c>
      <c r="F7" s="164">
        <v>0</v>
      </c>
      <c r="G7" s="164">
        <v>1056884239</v>
      </c>
      <c r="H7" s="164">
        <v>30476414</v>
      </c>
      <c r="I7" s="164">
        <v>0</v>
      </c>
      <c r="J7" s="164">
        <v>3313276</v>
      </c>
      <c r="K7" s="164">
        <v>16547471</v>
      </c>
      <c r="L7" s="164">
        <v>112027598</v>
      </c>
      <c r="M7" s="164">
        <v>24052932</v>
      </c>
      <c r="N7" s="164">
        <v>255</v>
      </c>
      <c r="O7" s="164">
        <v>0</v>
      </c>
      <c r="P7" s="164">
        <v>0</v>
      </c>
      <c r="Q7" s="164">
        <v>0</v>
      </c>
      <c r="R7" s="164">
        <v>143583199</v>
      </c>
      <c r="S7" s="164">
        <v>5194</v>
      </c>
      <c r="T7" s="164">
        <v>136693798</v>
      </c>
      <c r="U7" s="164">
        <v>27782741</v>
      </c>
      <c r="V7" s="164">
        <v>0</v>
      </c>
      <c r="W7" s="164">
        <v>230932073</v>
      </c>
      <c r="Y7" s="170">
        <f t="shared" si="3"/>
        <v>20349.584934034461</v>
      </c>
      <c r="Z7" s="168">
        <f t="shared" si="4"/>
        <v>13172.623642722519</v>
      </c>
      <c r="AA7" s="168">
        <f t="shared" si="0"/>
        <v>334.30148750191688</v>
      </c>
      <c r="AB7" s="168">
        <f t="shared" si="0"/>
        <v>163.71396629252391</v>
      </c>
      <c r="AC7" s="168">
        <f t="shared" si="0"/>
        <v>1108.3556153568372</v>
      </c>
      <c r="AD7" s="168">
        <f t="shared" si="0"/>
        <v>237.97247602040059</v>
      </c>
      <c r="AE7" s="168">
        <f t="shared" si="0"/>
        <v>1420.6053197857048</v>
      </c>
      <c r="AF7" s="168">
        <f t="shared" si="0"/>
        <v>1352.3929933564514</v>
      </c>
      <c r="AG7" s="168">
        <f t="shared" si="0"/>
        <v>274.8711705606205</v>
      </c>
      <c r="AH7" s="168">
        <f t="shared" si="0"/>
        <v>2284.7482624374848</v>
      </c>
      <c r="AJ7" s="181">
        <f>SUMIFS('Working-T05-B2'!$S$8:$S$150,'Working-T05-B2'!$G$8:$G$150,$A7)</f>
        <v>30000</v>
      </c>
      <c r="AK7" s="18">
        <f t="shared" si="5"/>
        <v>71075.5</v>
      </c>
      <c r="AM7" s="270"/>
      <c r="AN7" s="270"/>
      <c r="AO7" s="270"/>
      <c r="AP7" s="270"/>
      <c r="AQ7" s="270"/>
      <c r="AR7" s="270"/>
      <c r="AS7" s="270"/>
      <c r="AT7" s="270"/>
      <c r="AU7" s="270"/>
      <c r="AW7" s="170">
        <f t="shared" si="6"/>
        <v>20349.584934034461</v>
      </c>
      <c r="AX7" s="168">
        <f t="shared" si="7"/>
        <v>13172.623642722519</v>
      </c>
      <c r="AY7" s="168">
        <f t="shared" si="8"/>
        <v>334.30148750191688</v>
      </c>
      <c r="AZ7" s="168">
        <f t="shared" si="9"/>
        <v>163.71396629252391</v>
      </c>
      <c r="BA7" s="168">
        <f t="shared" si="10"/>
        <v>1108.3556153568372</v>
      </c>
      <c r="BB7" s="168">
        <f t="shared" si="11"/>
        <v>237.97247602040059</v>
      </c>
      <c r="BC7" s="168">
        <f t="shared" si="12"/>
        <v>1420.6053197857048</v>
      </c>
      <c r="BD7" s="168">
        <f t="shared" si="13"/>
        <v>1352.3929933564514</v>
      </c>
      <c r="BE7" s="168">
        <f t="shared" si="14"/>
        <v>274.8711705606205</v>
      </c>
      <c r="BF7" s="168">
        <f t="shared" si="15"/>
        <v>2284.7482624374848</v>
      </c>
      <c r="BH7" s="14" t="s">
        <v>2950</v>
      </c>
      <c r="BI7" s="14"/>
      <c r="BJ7" s="14"/>
      <c r="BK7" s="186">
        <v>400000</v>
      </c>
      <c r="BL7" s="186">
        <v>400000</v>
      </c>
      <c r="BM7" s="186">
        <v>450000</v>
      </c>
    </row>
    <row r="8" spans="1:65" x14ac:dyDescent="0.25">
      <c r="A8" s="165" t="s">
        <v>33</v>
      </c>
      <c r="B8" s="165" t="s">
        <v>296</v>
      </c>
      <c r="C8" s="164">
        <v>400184.5</v>
      </c>
      <c r="D8" s="164">
        <v>13</v>
      </c>
      <c r="E8" s="164">
        <v>5089089350</v>
      </c>
      <c r="F8" s="164">
        <v>41587</v>
      </c>
      <c r="G8" s="164">
        <v>2190262131</v>
      </c>
      <c r="H8" s="164">
        <v>5863039</v>
      </c>
      <c r="I8" s="164">
        <v>0</v>
      </c>
      <c r="J8" s="164">
        <v>67336027</v>
      </c>
      <c r="K8" s="164">
        <v>38511</v>
      </c>
      <c r="L8" s="164">
        <v>511656179</v>
      </c>
      <c r="M8" s="164">
        <v>70238014</v>
      </c>
      <c r="N8" s="164">
        <v>28945</v>
      </c>
      <c r="O8" s="164">
        <v>0</v>
      </c>
      <c r="P8" s="164">
        <v>0</v>
      </c>
      <c r="Q8" s="164">
        <v>0</v>
      </c>
      <c r="R8" s="164">
        <v>288665212</v>
      </c>
      <c r="S8" s="164">
        <v>584</v>
      </c>
      <c r="T8" s="164">
        <v>464325242</v>
      </c>
      <c r="U8" s="164">
        <v>126263298</v>
      </c>
      <c r="V8" s="164">
        <v>0</v>
      </c>
      <c r="W8" s="164">
        <v>1376359217</v>
      </c>
      <c r="Y8" s="170">
        <f t="shared" si="3"/>
        <v>25463.673253211953</v>
      </c>
      <c r="Z8" s="168">
        <f t="shared" si="4"/>
        <v>18190.092522324077</v>
      </c>
      <c r="AA8" s="168">
        <f t="shared" si="0"/>
        <v>182.91329624210832</v>
      </c>
      <c r="AB8" s="168">
        <f t="shared" si="0"/>
        <v>9.6233112476870039E-2</v>
      </c>
      <c r="AC8" s="168">
        <f t="shared" si="0"/>
        <v>1278.5507159822532</v>
      </c>
      <c r="AD8" s="168">
        <f t="shared" si="0"/>
        <v>175.58640826918582</v>
      </c>
      <c r="AE8" s="168">
        <f t="shared" si="0"/>
        <v>721.33177571844988</v>
      </c>
      <c r="AF8" s="168">
        <f t="shared" si="0"/>
        <v>1160.2779268062607</v>
      </c>
      <c r="AG8" s="168">
        <f t="shared" si="0"/>
        <v>315.51271476031678</v>
      </c>
      <c r="AH8" s="168">
        <f t="shared" si="0"/>
        <v>3439.3116599968266</v>
      </c>
      <c r="AJ8" s="181">
        <f>SUMIFS('Working-T05-B2'!$S$8:$S$150,'Working-T05-B2'!$G$8:$G$150,$A8)</f>
        <v>1943973.593085825</v>
      </c>
      <c r="AK8" s="18">
        <f t="shared" si="5"/>
        <v>-1543789.093085825</v>
      </c>
      <c r="AM8" s="270">
        <v>0.01</v>
      </c>
      <c r="AN8" s="270"/>
      <c r="AO8" s="270"/>
      <c r="AP8" s="270"/>
      <c r="AQ8" s="270"/>
      <c r="AR8" s="270"/>
      <c r="AS8" s="270"/>
      <c r="AT8" s="270"/>
      <c r="AU8" s="270">
        <v>0.1</v>
      </c>
      <c r="AW8" s="170">
        <f t="shared" si="6"/>
        <v>24937.841161989028</v>
      </c>
      <c r="AX8" s="168">
        <f t="shared" si="7"/>
        <v>18008.191597100835</v>
      </c>
      <c r="AY8" s="168">
        <f t="shared" si="8"/>
        <v>182.91329624210832</v>
      </c>
      <c r="AZ8" s="168">
        <f t="shared" si="9"/>
        <v>9.6233112476870039E-2</v>
      </c>
      <c r="BA8" s="168">
        <f t="shared" si="10"/>
        <v>1278.5507159822532</v>
      </c>
      <c r="BB8" s="168">
        <f t="shared" si="11"/>
        <v>175.58640826918582</v>
      </c>
      <c r="BC8" s="168">
        <f t="shared" si="12"/>
        <v>721.33177571844988</v>
      </c>
      <c r="BD8" s="168">
        <f t="shared" si="13"/>
        <v>1160.2779268062607</v>
      </c>
      <c r="BE8" s="168">
        <f t="shared" si="14"/>
        <v>315.51271476031678</v>
      </c>
      <c r="BF8" s="168">
        <f t="shared" si="15"/>
        <v>3095.3804939971442</v>
      </c>
    </row>
    <row r="9" spans="1:65" x14ac:dyDescent="0.25">
      <c r="A9" s="165" t="s">
        <v>37</v>
      </c>
      <c r="B9" s="165" t="s">
        <v>298</v>
      </c>
      <c r="C9" s="164">
        <v>50325.75</v>
      </c>
      <c r="D9" s="164">
        <v>0</v>
      </c>
      <c r="E9" s="164">
        <v>126637587</v>
      </c>
      <c r="F9" s="164">
        <v>46288</v>
      </c>
      <c r="G9" s="164">
        <v>862458744</v>
      </c>
      <c r="H9" s="164">
        <v>147914</v>
      </c>
      <c r="I9" s="164">
        <v>0</v>
      </c>
      <c r="J9" s="164">
        <v>8362059</v>
      </c>
      <c r="K9" s="164">
        <v>1695</v>
      </c>
      <c r="L9" s="164">
        <v>40181389</v>
      </c>
      <c r="M9" s="164">
        <v>11659232</v>
      </c>
      <c r="N9" s="164">
        <v>15728</v>
      </c>
      <c r="O9" s="164">
        <v>0</v>
      </c>
      <c r="P9" s="164">
        <v>0</v>
      </c>
      <c r="Q9" s="164">
        <v>0</v>
      </c>
      <c r="R9" s="164">
        <v>21791351</v>
      </c>
      <c r="S9" s="164">
        <v>40</v>
      </c>
      <c r="T9" s="164">
        <v>74181150</v>
      </c>
      <c r="U9" s="164">
        <v>3844611</v>
      </c>
      <c r="V9" s="164">
        <v>0</v>
      </c>
      <c r="W9" s="164">
        <v>196989967</v>
      </c>
      <c r="Y9" s="170">
        <f t="shared" si="3"/>
        <v>26752.065393958364</v>
      </c>
      <c r="Z9" s="168">
        <f t="shared" si="4"/>
        <v>19654.801349209898</v>
      </c>
      <c r="AA9" s="168">
        <f t="shared" si="0"/>
        <v>169.09778791175492</v>
      </c>
      <c r="AB9" s="168">
        <f t="shared" si="0"/>
        <v>3.3680571079417597E-2</v>
      </c>
      <c r="AC9" s="168">
        <f t="shared" si="0"/>
        <v>798.42603438597541</v>
      </c>
      <c r="AD9" s="168">
        <f t="shared" si="0"/>
        <v>231.98779948634646</v>
      </c>
      <c r="AE9" s="168">
        <f t="shared" si="0"/>
        <v>433.00678082293854</v>
      </c>
      <c r="AF9" s="168">
        <f t="shared" si="0"/>
        <v>1474.0197612554209</v>
      </c>
      <c r="AG9" s="168">
        <f t="shared" si="0"/>
        <v>76.394509768855897</v>
      </c>
      <c r="AH9" s="168">
        <f t="shared" si="0"/>
        <v>3914.2976905460923</v>
      </c>
      <c r="AJ9" s="181">
        <f>SUMIFS('Working-T05-B2'!$S$8:$S$150,'Working-T05-B2'!$G$8:$G$150,$A9)</f>
        <v>597000</v>
      </c>
      <c r="AK9" s="18">
        <f t="shared" si="5"/>
        <v>-546674.25</v>
      </c>
      <c r="AM9" s="270">
        <v>0.01</v>
      </c>
      <c r="AN9" s="270"/>
      <c r="AO9" s="270"/>
      <c r="AP9" s="270"/>
      <c r="AQ9" s="270"/>
      <c r="AR9" s="270"/>
      <c r="AS9" s="270"/>
      <c r="AT9" s="270"/>
      <c r="AU9" s="270">
        <v>0.1</v>
      </c>
      <c r="AW9" s="170">
        <f t="shared" si="6"/>
        <v>26164.087611411658</v>
      </c>
      <c r="AX9" s="168">
        <f t="shared" si="7"/>
        <v>19458.2533357178</v>
      </c>
      <c r="AY9" s="168">
        <f t="shared" si="8"/>
        <v>169.09778791175492</v>
      </c>
      <c r="AZ9" s="168">
        <f t="shared" si="9"/>
        <v>3.3680571079417597E-2</v>
      </c>
      <c r="BA9" s="168">
        <f t="shared" si="10"/>
        <v>798.42603438597541</v>
      </c>
      <c r="BB9" s="168">
        <f t="shared" si="11"/>
        <v>231.98779948634646</v>
      </c>
      <c r="BC9" s="168">
        <f t="shared" si="12"/>
        <v>433.00678082293854</v>
      </c>
      <c r="BD9" s="168">
        <f t="shared" si="13"/>
        <v>1474.0197612554209</v>
      </c>
      <c r="BE9" s="168">
        <f t="shared" si="14"/>
        <v>76.394509768855897</v>
      </c>
      <c r="BF9" s="168">
        <f t="shared" si="15"/>
        <v>3522.8679214914832</v>
      </c>
    </row>
    <row r="10" spans="1:65" x14ac:dyDescent="0.25">
      <c r="A10" s="165" t="s">
        <v>301</v>
      </c>
      <c r="B10" s="165" t="s">
        <v>302</v>
      </c>
      <c r="C10" s="164">
        <v>1696930.8</v>
      </c>
      <c r="D10" s="164">
        <v>1696</v>
      </c>
      <c r="E10" s="164">
        <v>21242639924</v>
      </c>
      <c r="F10" s="164">
        <v>72728640</v>
      </c>
      <c r="G10" s="164">
        <v>11943321290</v>
      </c>
      <c r="H10" s="164">
        <v>37510470</v>
      </c>
      <c r="I10" s="164">
        <v>0</v>
      </c>
      <c r="J10" s="164">
        <v>1743319174</v>
      </c>
      <c r="K10" s="164">
        <v>7381606</v>
      </c>
      <c r="L10" s="164">
        <v>1798767019</v>
      </c>
      <c r="M10" s="164">
        <v>356806093</v>
      </c>
      <c r="N10" s="164">
        <v>136804</v>
      </c>
      <c r="O10" s="164">
        <v>0</v>
      </c>
      <c r="P10" s="164">
        <v>0</v>
      </c>
      <c r="Q10" s="164">
        <v>0</v>
      </c>
      <c r="R10" s="164">
        <v>1862688398</v>
      </c>
      <c r="S10" s="164">
        <v>98901</v>
      </c>
      <c r="T10" s="164">
        <v>1771070730</v>
      </c>
      <c r="U10" s="164">
        <v>737176894</v>
      </c>
      <c r="V10" s="164">
        <v>0</v>
      </c>
      <c r="W10" s="164">
        <v>4602738046</v>
      </c>
      <c r="Y10" s="170">
        <f t="shared" si="3"/>
        <v>27211.708152742591</v>
      </c>
      <c r="Z10" s="168">
        <f t="shared" si="4"/>
        <v>19599.321050687511</v>
      </c>
      <c r="AA10" s="168">
        <f t="shared" si="0"/>
        <v>1049.4415234846347</v>
      </c>
      <c r="AB10" s="168">
        <f t="shared" si="0"/>
        <v>4.3499746719194441</v>
      </c>
      <c r="AC10" s="168">
        <f t="shared" si="0"/>
        <v>1060.0120046144486</v>
      </c>
      <c r="AD10" s="168">
        <f t="shared" si="0"/>
        <v>210.34617145260137</v>
      </c>
      <c r="AE10" s="168">
        <f t="shared" si="0"/>
        <v>1097.7391058020751</v>
      </c>
      <c r="AF10" s="168">
        <f t="shared" si="0"/>
        <v>1043.6906030581802</v>
      </c>
      <c r="AG10" s="168">
        <f t="shared" si="0"/>
        <v>434.41777001159977</v>
      </c>
      <c r="AH10" s="168">
        <f t="shared" si="0"/>
        <v>2712.3899489596156</v>
      </c>
      <c r="AJ10" s="181">
        <f>SUMIFS('Working-T05-B2'!$S$8:$S$150,'Working-T05-B2'!$G$8:$G$150,$A10)</f>
        <v>333300</v>
      </c>
      <c r="AK10" s="18">
        <f t="shared" si="5"/>
        <v>1363630.8</v>
      </c>
      <c r="AM10" s="270">
        <v>0.01</v>
      </c>
      <c r="AN10" s="270"/>
      <c r="AO10" s="270"/>
      <c r="AP10" s="270"/>
      <c r="AQ10" s="270"/>
      <c r="AR10" s="270"/>
      <c r="AS10" s="270"/>
      <c r="AT10" s="270"/>
      <c r="AU10" s="270"/>
      <c r="AW10" s="170">
        <f t="shared" si="6"/>
        <v>27015.714942235714</v>
      </c>
      <c r="AX10" s="168">
        <f t="shared" si="7"/>
        <v>19403.327840180635</v>
      </c>
      <c r="AY10" s="168">
        <f t="shared" si="8"/>
        <v>1049.4415234846347</v>
      </c>
      <c r="AZ10" s="168">
        <f t="shared" si="9"/>
        <v>4.3499746719194441</v>
      </c>
      <c r="BA10" s="168">
        <f t="shared" si="10"/>
        <v>1060.0120046144486</v>
      </c>
      <c r="BB10" s="168">
        <f t="shared" si="11"/>
        <v>210.34617145260137</v>
      </c>
      <c r="BC10" s="168">
        <f t="shared" si="12"/>
        <v>1097.7391058020751</v>
      </c>
      <c r="BD10" s="168">
        <f t="shared" si="13"/>
        <v>1043.6906030581802</v>
      </c>
      <c r="BE10" s="168">
        <f t="shared" si="14"/>
        <v>434.41777001159977</v>
      </c>
      <c r="BF10" s="168">
        <f t="shared" si="15"/>
        <v>2712.3899489596156</v>
      </c>
      <c r="BH10" s="76" t="s">
        <v>2951</v>
      </c>
      <c r="BI10" s="76"/>
      <c r="BJ10" s="76"/>
      <c r="BK10" s="18">
        <f>AVERAGE(BI4:BJ4)</f>
        <v>3045294.5</v>
      </c>
      <c r="BL10" s="18">
        <f t="shared" ref="BL10:BM10" si="16">AVERAGE(BJ4:BK4)</f>
        <v>4164744.5</v>
      </c>
      <c r="BM10" s="18">
        <f t="shared" si="16"/>
        <v>4155000</v>
      </c>
    </row>
    <row r="11" spans="1:65" x14ac:dyDescent="0.25">
      <c r="A11" s="165" t="s">
        <v>44</v>
      </c>
      <c r="B11" s="165" t="s">
        <v>305</v>
      </c>
      <c r="C11" s="164">
        <v>40070</v>
      </c>
      <c r="D11" s="164">
        <v>182</v>
      </c>
      <c r="E11" s="164">
        <v>17695032</v>
      </c>
      <c r="F11" s="164">
        <v>0</v>
      </c>
      <c r="G11" s="164">
        <v>674049339</v>
      </c>
      <c r="H11" s="164">
        <v>66369852</v>
      </c>
      <c r="I11" s="164">
        <v>0</v>
      </c>
      <c r="J11" s="164">
        <v>1921984</v>
      </c>
      <c r="K11" s="164">
        <v>142508</v>
      </c>
      <c r="L11" s="164">
        <v>31294980</v>
      </c>
      <c r="M11" s="164">
        <v>7775543</v>
      </c>
      <c r="N11" s="164">
        <v>0</v>
      </c>
      <c r="O11" s="164">
        <v>0</v>
      </c>
      <c r="P11" s="164">
        <v>0</v>
      </c>
      <c r="Q11" s="164">
        <v>0</v>
      </c>
      <c r="R11" s="164">
        <v>36397291</v>
      </c>
      <c r="S11" s="164">
        <v>115</v>
      </c>
      <c r="T11" s="164">
        <v>34947317</v>
      </c>
      <c r="U11" s="164">
        <v>21985299</v>
      </c>
      <c r="V11" s="164">
        <v>0</v>
      </c>
      <c r="W11" s="164">
        <v>39647004</v>
      </c>
      <c r="Y11" s="170">
        <f t="shared" si="3"/>
        <v>23264.947491889197</v>
      </c>
      <c r="Z11" s="168">
        <f t="shared" si="4"/>
        <v>17263.402869977541</v>
      </c>
      <c r="AA11" s="168">
        <f t="shared" si="0"/>
        <v>1704.3133516346393</v>
      </c>
      <c r="AB11" s="168">
        <f t="shared" si="0"/>
        <v>3.5564761667082605</v>
      </c>
      <c r="AC11" s="168">
        <f t="shared" si="0"/>
        <v>781.00773646119296</v>
      </c>
      <c r="AD11" s="168">
        <f t="shared" si="0"/>
        <v>194.04898926877965</v>
      </c>
      <c r="AE11" s="168">
        <f t="shared" si="0"/>
        <v>908.34554529573245</v>
      </c>
      <c r="AF11" s="168">
        <f t="shared" si="0"/>
        <v>872.1566508609933</v>
      </c>
      <c r="AG11" s="168">
        <f t="shared" si="0"/>
        <v>548.67229847766407</v>
      </c>
      <c r="AH11" s="168">
        <f t="shared" si="0"/>
        <v>989.4435737459446</v>
      </c>
      <c r="AJ11" s="181">
        <f>SUMIFS('Working-T05-B2'!$S$8:$S$150,'Working-T05-B2'!$G$8:$G$150,$A11)</f>
        <v>0</v>
      </c>
      <c r="AK11" s="18">
        <f t="shared" si="5"/>
        <v>40070</v>
      </c>
      <c r="AM11" s="270"/>
      <c r="AN11" s="270"/>
      <c r="AO11" s="270"/>
      <c r="AP11" s="270"/>
      <c r="AQ11" s="270"/>
      <c r="AR11" s="270"/>
      <c r="AS11" s="270"/>
      <c r="AT11" s="270"/>
      <c r="AU11" s="270"/>
      <c r="AW11" s="170">
        <f t="shared" si="6"/>
        <v>23264.947491889197</v>
      </c>
      <c r="AX11" s="168">
        <f t="shared" si="7"/>
        <v>17263.402869977541</v>
      </c>
      <c r="AY11" s="168">
        <f t="shared" si="8"/>
        <v>1704.3133516346393</v>
      </c>
      <c r="AZ11" s="168">
        <f t="shared" si="9"/>
        <v>3.5564761667082605</v>
      </c>
      <c r="BA11" s="168">
        <f t="shared" si="10"/>
        <v>781.00773646119296</v>
      </c>
      <c r="BB11" s="168">
        <f t="shared" si="11"/>
        <v>194.04898926877965</v>
      </c>
      <c r="BC11" s="168">
        <f t="shared" si="12"/>
        <v>908.34554529573245</v>
      </c>
      <c r="BD11" s="168">
        <f t="shared" si="13"/>
        <v>872.1566508609933</v>
      </c>
      <c r="BE11" s="168">
        <f t="shared" si="14"/>
        <v>548.67229847766407</v>
      </c>
      <c r="BF11" s="168">
        <f t="shared" si="15"/>
        <v>989.4435737459446</v>
      </c>
      <c r="BH11" t="s">
        <v>2952</v>
      </c>
      <c r="BK11" s="195">
        <f>BK10/BK4</f>
        <v>0.75192456790123452</v>
      </c>
      <c r="BL11" s="195">
        <f t="shared" ref="BL11:BM11" si="17">BL10/BL4</f>
        <v>0.97763955399061031</v>
      </c>
      <c r="BM11" s="195">
        <f t="shared" si="17"/>
        <v>0.9629200463499421</v>
      </c>
    </row>
    <row r="12" spans="1:65" x14ac:dyDescent="0.25">
      <c r="A12" s="165" t="s">
        <v>309</v>
      </c>
      <c r="B12" s="165" t="s">
        <v>310</v>
      </c>
      <c r="C12" s="164">
        <v>21050</v>
      </c>
      <c r="D12" s="164">
        <v>-11</v>
      </c>
      <c r="E12" s="164">
        <v>1760682659</v>
      </c>
      <c r="F12" s="164">
        <v>0</v>
      </c>
      <c r="G12" s="164">
        <v>-1495391568</v>
      </c>
      <c r="H12" s="164">
        <v>3434869</v>
      </c>
      <c r="I12" s="164">
        <v>0</v>
      </c>
      <c r="J12" s="164">
        <v>1570349</v>
      </c>
      <c r="K12" s="164">
        <v>5539813</v>
      </c>
      <c r="L12" s="164">
        <v>101743143</v>
      </c>
      <c r="M12" s="164">
        <v>16231209</v>
      </c>
      <c r="N12" s="164">
        <v>0</v>
      </c>
      <c r="O12" s="164">
        <v>0</v>
      </c>
      <c r="P12" s="164">
        <v>0</v>
      </c>
      <c r="Q12" s="164">
        <v>0</v>
      </c>
      <c r="R12" s="164">
        <v>177051553</v>
      </c>
      <c r="S12" s="164">
        <v>253423</v>
      </c>
      <c r="T12" s="164">
        <v>158022026</v>
      </c>
      <c r="U12" s="164">
        <v>96542054</v>
      </c>
      <c r="V12" s="164">
        <v>0</v>
      </c>
      <c r="W12" s="164">
        <v>180230188</v>
      </c>
      <c r="Y12" s="170">
        <f t="shared" si="3"/>
        <v>47786.684418052253</v>
      </c>
      <c r="Z12" s="168">
        <f t="shared" si="4"/>
        <v>12602.901662707838</v>
      </c>
      <c r="AA12" s="168">
        <f t="shared" si="0"/>
        <v>237.77757719714964</v>
      </c>
      <c r="AB12" s="168">
        <f t="shared" si="0"/>
        <v>263.1740142517815</v>
      </c>
      <c r="AC12" s="168">
        <f t="shared" si="0"/>
        <v>4833.4034679334918</v>
      </c>
      <c r="AD12" s="168">
        <f t="shared" si="0"/>
        <v>771.07881235154389</v>
      </c>
      <c r="AE12" s="168">
        <f t="shared" si="0"/>
        <v>8423.0392399049888</v>
      </c>
      <c r="AF12" s="168">
        <f t="shared" si="0"/>
        <v>7506.9846080760099</v>
      </c>
      <c r="AG12" s="168">
        <f t="shared" si="0"/>
        <v>4586.3208551068883</v>
      </c>
      <c r="AH12" s="168">
        <f t="shared" si="0"/>
        <v>8562.0041805225646</v>
      </c>
      <c r="AJ12" s="181">
        <f>SUMIFS('Working-T05-B2'!$S$8:$S$150,'Working-T05-B2'!$G$8:$G$150,$A12)</f>
        <v>6920.9129249295729</v>
      </c>
      <c r="AK12" s="18">
        <f t="shared" si="5"/>
        <v>14129.087075070427</v>
      </c>
      <c r="AM12" s="270"/>
      <c r="AN12" s="270"/>
      <c r="AO12" s="270"/>
      <c r="AP12" s="270"/>
      <c r="AQ12" s="270"/>
      <c r="AR12" s="270"/>
      <c r="AS12" s="270"/>
      <c r="AT12" s="270"/>
      <c r="AU12" s="270"/>
      <c r="AW12" s="170">
        <f t="shared" si="6"/>
        <v>47786.684418052253</v>
      </c>
      <c r="AX12" s="168">
        <f t="shared" si="7"/>
        <v>12602.901662707838</v>
      </c>
      <c r="AY12" s="168">
        <f t="shared" si="8"/>
        <v>237.77757719714964</v>
      </c>
      <c r="AZ12" s="168">
        <f t="shared" si="9"/>
        <v>263.1740142517815</v>
      </c>
      <c r="BA12" s="168">
        <f t="shared" si="10"/>
        <v>4833.4034679334918</v>
      </c>
      <c r="BB12" s="168">
        <f t="shared" si="11"/>
        <v>771.07881235154389</v>
      </c>
      <c r="BC12" s="168">
        <f t="shared" si="12"/>
        <v>8423.0392399049888</v>
      </c>
      <c r="BD12" s="168">
        <f t="shared" si="13"/>
        <v>7506.9846080760099</v>
      </c>
      <c r="BE12" s="168">
        <f t="shared" si="14"/>
        <v>4586.3208551068883</v>
      </c>
      <c r="BF12" s="168">
        <f t="shared" si="15"/>
        <v>8562.0041805225646</v>
      </c>
      <c r="BH12" s="61" t="s">
        <v>2953</v>
      </c>
      <c r="BJ12" s="18">
        <v>8086827.5000000009</v>
      </c>
      <c r="BK12" s="12">
        <f>BJ12+BK4-BK1</f>
        <v>6353425.7324091867</v>
      </c>
      <c r="BL12" s="18">
        <f>BK12+BL4-BL1</f>
        <v>5382831.9862154862</v>
      </c>
    </row>
    <row r="13" spans="1:65" x14ac:dyDescent="0.25">
      <c r="A13" s="165" t="s">
        <v>312</v>
      </c>
      <c r="B13" s="165" t="s">
        <v>2864</v>
      </c>
      <c r="C13" s="164">
        <v>243146.9</v>
      </c>
      <c r="D13" s="164">
        <v>42836</v>
      </c>
      <c r="E13" s="164">
        <v>150717075</v>
      </c>
      <c r="F13" s="164">
        <v>0</v>
      </c>
      <c r="G13" s="164">
        <v>3380354118</v>
      </c>
      <c r="H13" s="164">
        <v>882945</v>
      </c>
      <c r="I13" s="164">
        <v>0</v>
      </c>
      <c r="J13" s="164">
        <v>7785028</v>
      </c>
      <c r="K13" s="164">
        <v>257136</v>
      </c>
      <c r="L13" s="164">
        <v>228127805</v>
      </c>
      <c r="M13" s="164">
        <v>62078320</v>
      </c>
      <c r="N13" s="164">
        <v>0</v>
      </c>
      <c r="O13" s="164">
        <v>0</v>
      </c>
      <c r="P13" s="164">
        <v>0</v>
      </c>
      <c r="Q13" s="164">
        <v>0</v>
      </c>
      <c r="R13" s="164">
        <v>131698430</v>
      </c>
      <c r="S13" s="164">
        <v>20331</v>
      </c>
      <c r="T13" s="164">
        <v>137159135</v>
      </c>
      <c r="U13" s="164">
        <v>157575479</v>
      </c>
      <c r="V13" s="164">
        <v>0</v>
      </c>
      <c r="W13" s="164">
        <v>278902554</v>
      </c>
      <c r="Y13" s="170">
        <f t="shared" si="3"/>
        <v>18653.748791368511</v>
      </c>
      <c r="Z13" s="168">
        <f t="shared" si="4"/>
        <v>14522.554180209578</v>
      </c>
      <c r="AA13" s="168">
        <f t="shared" si="0"/>
        <v>35.649119935314822</v>
      </c>
      <c r="AB13" s="168">
        <f t="shared" si="0"/>
        <v>1.0575335321980253</v>
      </c>
      <c r="AC13" s="168">
        <f t="shared" si="0"/>
        <v>938.23036608733241</v>
      </c>
      <c r="AD13" s="168">
        <f t="shared" si="0"/>
        <v>255.31199451854005</v>
      </c>
      <c r="AE13" s="168">
        <f t="shared" si="0"/>
        <v>541.72502713380266</v>
      </c>
      <c r="AF13" s="168">
        <f t="shared" si="0"/>
        <v>564.09987131236301</v>
      </c>
      <c r="AG13" s="168">
        <f t="shared" si="0"/>
        <v>648.06698748781093</v>
      </c>
      <c r="AH13" s="168">
        <f t="shared" si="0"/>
        <v>1147.0537111515714</v>
      </c>
      <c r="AJ13" s="181">
        <f>SUMIFS('Working-T05-B2'!$S$8:$S$150,'Working-T05-B2'!$G$8:$G$150,$A13)</f>
        <v>1375</v>
      </c>
      <c r="AK13" s="18">
        <f t="shared" si="5"/>
        <v>241771.9</v>
      </c>
      <c r="AM13" s="270"/>
      <c r="AN13" s="270"/>
      <c r="AO13" s="270"/>
      <c r="AP13" s="270"/>
      <c r="AQ13" s="270"/>
      <c r="AR13" s="270"/>
      <c r="AS13" s="270"/>
      <c r="AT13" s="270"/>
      <c r="AU13" s="270"/>
      <c r="AW13" s="170">
        <f t="shared" si="6"/>
        <v>18653.748791368511</v>
      </c>
      <c r="AX13" s="168">
        <f t="shared" si="7"/>
        <v>14522.554180209578</v>
      </c>
      <c r="AY13" s="168">
        <f t="shared" si="8"/>
        <v>35.649119935314822</v>
      </c>
      <c r="AZ13" s="168">
        <f t="shared" si="9"/>
        <v>1.0575335321980253</v>
      </c>
      <c r="BA13" s="168">
        <f t="shared" si="10"/>
        <v>938.23036608733241</v>
      </c>
      <c r="BB13" s="168">
        <f t="shared" si="11"/>
        <v>255.31199451854005</v>
      </c>
      <c r="BC13" s="168">
        <f t="shared" si="12"/>
        <v>541.72502713380266</v>
      </c>
      <c r="BD13" s="168">
        <f t="shared" si="13"/>
        <v>564.09987131236301</v>
      </c>
      <c r="BE13" s="168">
        <f t="shared" si="14"/>
        <v>648.06698748781093</v>
      </c>
      <c r="BF13" s="168">
        <f t="shared" si="15"/>
        <v>1147.0537111515714</v>
      </c>
    </row>
    <row r="14" spans="1:65" x14ac:dyDescent="0.25">
      <c r="A14" s="165" t="s">
        <v>263</v>
      </c>
      <c r="B14" s="165" t="s">
        <v>315</v>
      </c>
      <c r="C14" s="164">
        <v>12515</v>
      </c>
      <c r="D14" s="164">
        <v>0</v>
      </c>
      <c r="E14" s="164">
        <v>-144215268</v>
      </c>
      <c r="F14" s="164">
        <v>0</v>
      </c>
      <c r="G14" s="164">
        <v>368130345</v>
      </c>
      <c r="H14" s="164">
        <v>18</v>
      </c>
      <c r="I14" s="164">
        <v>0</v>
      </c>
      <c r="J14" s="164">
        <v>562816</v>
      </c>
      <c r="K14" s="164">
        <v>201</v>
      </c>
      <c r="L14" s="164">
        <v>7113427</v>
      </c>
      <c r="M14" s="164">
        <v>2315183</v>
      </c>
      <c r="N14" s="164">
        <v>0</v>
      </c>
      <c r="O14" s="164">
        <v>0</v>
      </c>
      <c r="P14" s="164">
        <v>0</v>
      </c>
      <c r="Q14" s="164">
        <v>0</v>
      </c>
      <c r="R14" s="164">
        <v>8476336</v>
      </c>
      <c r="S14" s="164">
        <v>128</v>
      </c>
      <c r="T14" s="164">
        <v>9456468</v>
      </c>
      <c r="U14" s="164">
        <v>9087876</v>
      </c>
      <c r="V14" s="164">
        <v>0</v>
      </c>
      <c r="W14" s="164">
        <v>13692084</v>
      </c>
      <c r="Y14" s="170">
        <f t="shared" si="3"/>
        <v>21943.237235317625</v>
      </c>
      <c r="Z14" s="168">
        <f t="shared" si="4"/>
        <v>17891.736076707952</v>
      </c>
      <c r="AA14" s="168">
        <f t="shared" si="0"/>
        <v>44.972752696763884</v>
      </c>
      <c r="AB14" s="168">
        <f t="shared" si="0"/>
        <v>1.6060727127447064E-2</v>
      </c>
      <c r="AC14" s="168">
        <f t="shared" si="0"/>
        <v>568.39208949260887</v>
      </c>
      <c r="AD14" s="168">
        <f t="shared" si="0"/>
        <v>184.99264882141429</v>
      </c>
      <c r="AE14" s="168">
        <f t="shared" si="0"/>
        <v>677.30435477427091</v>
      </c>
      <c r="AF14" s="168">
        <f t="shared" si="0"/>
        <v>755.6107071514183</v>
      </c>
      <c r="AG14" s="168">
        <f t="shared" si="0"/>
        <v>726.15868957251303</v>
      </c>
      <c r="AH14" s="168">
        <f t="shared" si="0"/>
        <v>1094.0538553735516</v>
      </c>
      <c r="AJ14" s="181">
        <f>SUMIFS('Working-T05-B2'!$S$8:$S$150,'Working-T05-B2'!$G$8:$G$150,$A14)</f>
        <v>6349.2401829453584</v>
      </c>
      <c r="AK14" s="18">
        <f t="shared" si="5"/>
        <v>6165.7598170546416</v>
      </c>
      <c r="AM14" s="270"/>
      <c r="AN14" s="270"/>
      <c r="AO14" s="270"/>
      <c r="AP14" s="270"/>
      <c r="AQ14" s="270"/>
      <c r="AR14" s="270"/>
      <c r="AS14" s="270"/>
      <c r="AT14" s="270"/>
      <c r="AU14" s="270"/>
      <c r="AW14" s="170">
        <f t="shared" si="6"/>
        <v>21943.237235317625</v>
      </c>
      <c r="AX14" s="168">
        <f t="shared" si="7"/>
        <v>17891.736076707952</v>
      </c>
      <c r="AY14" s="168">
        <f t="shared" si="8"/>
        <v>44.972752696763884</v>
      </c>
      <c r="AZ14" s="168">
        <f t="shared" si="9"/>
        <v>1.6060727127447064E-2</v>
      </c>
      <c r="BA14" s="168">
        <f t="shared" si="10"/>
        <v>568.39208949260887</v>
      </c>
      <c r="BB14" s="168">
        <f t="shared" si="11"/>
        <v>184.99264882141429</v>
      </c>
      <c r="BC14" s="168">
        <f t="shared" si="12"/>
        <v>677.30435477427091</v>
      </c>
      <c r="BD14" s="168">
        <f t="shared" si="13"/>
        <v>755.6107071514183</v>
      </c>
      <c r="BE14" s="168">
        <f t="shared" si="14"/>
        <v>726.15868957251303</v>
      </c>
      <c r="BF14" s="168">
        <f t="shared" si="15"/>
        <v>1094.0538553735516</v>
      </c>
      <c r="BH14" s="14" t="s">
        <v>2954</v>
      </c>
      <c r="BK14" s="196">
        <f>(BK4*ROUND(BK11,2)+BK12)/(BK12+BK4)</f>
        <v>0.90267628894145724</v>
      </c>
      <c r="BL14" s="196">
        <f>(BL4*ROUND(BL11,2)+BL12)/(BL12+BL4)</f>
        <v>0.99116442139386085</v>
      </c>
      <c r="BM14" s="196"/>
    </row>
    <row r="15" spans="1:65" x14ac:dyDescent="0.25">
      <c r="A15" s="165" t="s">
        <v>47</v>
      </c>
      <c r="B15" s="165" t="s">
        <v>320</v>
      </c>
      <c r="C15" s="164">
        <v>52200</v>
      </c>
      <c r="D15" s="164">
        <v>859</v>
      </c>
      <c r="E15" s="164">
        <v>8313128</v>
      </c>
      <c r="F15" s="164">
        <v>0</v>
      </c>
      <c r="G15" s="164">
        <v>854383173</v>
      </c>
      <c r="H15" s="164">
        <v>95571754</v>
      </c>
      <c r="I15" s="164">
        <v>0</v>
      </c>
      <c r="J15" s="164">
        <v>1876821</v>
      </c>
      <c r="K15" s="164">
        <v>139042</v>
      </c>
      <c r="L15" s="164">
        <v>56579366</v>
      </c>
      <c r="M15" s="164">
        <v>14347576</v>
      </c>
      <c r="N15" s="164">
        <v>0</v>
      </c>
      <c r="O15" s="164">
        <v>0</v>
      </c>
      <c r="P15" s="164">
        <v>0</v>
      </c>
      <c r="Q15" s="164">
        <v>0</v>
      </c>
      <c r="R15" s="164">
        <v>70916791</v>
      </c>
      <c r="S15" s="164">
        <v>3671</v>
      </c>
      <c r="T15" s="164">
        <v>80377392</v>
      </c>
      <c r="U15" s="164">
        <v>35382699</v>
      </c>
      <c r="V15" s="164">
        <v>0</v>
      </c>
      <c r="W15" s="164">
        <v>85950610</v>
      </c>
      <c r="Y15" s="170">
        <f t="shared" si="3"/>
        <v>24977.83298850575</v>
      </c>
      <c r="Z15" s="168">
        <f t="shared" si="4"/>
        <v>16526.76551724138</v>
      </c>
      <c r="AA15" s="168">
        <f t="shared" si="0"/>
        <v>1866.8309386973181</v>
      </c>
      <c r="AB15" s="168">
        <f t="shared" si="0"/>
        <v>2.6636398467432949</v>
      </c>
      <c r="AC15" s="168">
        <f t="shared" si="0"/>
        <v>1083.8959003831417</v>
      </c>
      <c r="AD15" s="168">
        <f t="shared" si="0"/>
        <v>274.85777777777776</v>
      </c>
      <c r="AE15" s="168">
        <f t="shared" si="0"/>
        <v>1358.6295402298852</v>
      </c>
      <c r="AF15" s="168">
        <f t="shared" si="0"/>
        <v>1539.7967816091955</v>
      </c>
      <c r="AG15" s="168">
        <f t="shared" si="0"/>
        <v>677.82948275862066</v>
      </c>
      <c r="AH15" s="168">
        <f t="shared" si="0"/>
        <v>1646.5634099616859</v>
      </c>
      <c r="AJ15" s="181">
        <f>SUMIFS('Working-T05-B2'!$S$8:$S$150,'Working-T05-B2'!$G$8:$G$150,$A15)</f>
        <v>1375</v>
      </c>
      <c r="AK15" s="18">
        <f t="shared" si="5"/>
        <v>50825</v>
      </c>
      <c r="AM15" s="270"/>
      <c r="AN15" s="270"/>
      <c r="AO15" s="270"/>
      <c r="AP15" s="270"/>
      <c r="AQ15" s="270"/>
      <c r="AR15" s="270"/>
      <c r="AS15" s="270"/>
      <c r="AT15" s="270"/>
      <c r="AU15" s="270"/>
      <c r="AW15" s="170">
        <f t="shared" si="6"/>
        <v>24977.83298850575</v>
      </c>
      <c r="AX15" s="168">
        <f t="shared" si="7"/>
        <v>16526.76551724138</v>
      </c>
      <c r="AY15" s="168">
        <f t="shared" si="8"/>
        <v>1866.8309386973181</v>
      </c>
      <c r="AZ15" s="168">
        <f t="shared" si="9"/>
        <v>2.6636398467432949</v>
      </c>
      <c r="BA15" s="168">
        <f t="shared" si="10"/>
        <v>1083.8959003831417</v>
      </c>
      <c r="BB15" s="168">
        <f t="shared" si="11"/>
        <v>274.85777777777776</v>
      </c>
      <c r="BC15" s="168">
        <f t="shared" si="12"/>
        <v>1358.6295402298852</v>
      </c>
      <c r="BD15" s="168">
        <f t="shared" si="13"/>
        <v>1539.7967816091955</v>
      </c>
      <c r="BE15" s="168">
        <f t="shared" si="14"/>
        <v>677.82948275862066</v>
      </c>
      <c r="BF15" s="168">
        <f t="shared" si="15"/>
        <v>1646.5634099616859</v>
      </c>
    </row>
    <row r="16" spans="1:65" x14ac:dyDescent="0.25">
      <c r="A16" s="165" t="s">
        <v>333</v>
      </c>
      <c r="B16" s="165" t="s">
        <v>2866</v>
      </c>
      <c r="C16" s="164">
        <v>6235.4</v>
      </c>
      <c r="D16" s="164">
        <v>57804</v>
      </c>
      <c r="E16" s="164">
        <v>50975816</v>
      </c>
      <c r="F16" s="164">
        <v>0</v>
      </c>
      <c r="G16" s="164">
        <v>53912387</v>
      </c>
      <c r="H16" s="164">
        <v>7876378</v>
      </c>
      <c r="I16" s="164">
        <v>0</v>
      </c>
      <c r="J16" s="164">
        <v>405137</v>
      </c>
      <c r="K16" s="164">
        <v>647431</v>
      </c>
      <c r="L16" s="164">
        <v>6678437</v>
      </c>
      <c r="M16" s="164">
        <v>1220338</v>
      </c>
      <c r="N16" s="164">
        <v>0</v>
      </c>
      <c r="O16" s="164">
        <v>0</v>
      </c>
      <c r="P16" s="164">
        <v>0</v>
      </c>
      <c r="Q16" s="164">
        <v>0</v>
      </c>
      <c r="R16" s="164">
        <v>5570847</v>
      </c>
      <c r="S16" s="164">
        <v>1047</v>
      </c>
      <c r="T16" s="164">
        <v>6277373</v>
      </c>
      <c r="U16" s="164">
        <v>6181252</v>
      </c>
      <c r="V16" s="164">
        <v>0</v>
      </c>
      <c r="W16" s="164">
        <v>7179988</v>
      </c>
      <c r="Y16" s="170">
        <f t="shared" si="3"/>
        <v>23572.543060589538</v>
      </c>
      <c r="Z16" s="168">
        <f t="shared" si="4"/>
        <v>16830.677582833501</v>
      </c>
      <c r="AA16" s="168">
        <f t="shared" si="0"/>
        <v>1328.1449465952467</v>
      </c>
      <c r="AB16" s="168">
        <f t="shared" si="0"/>
        <v>103.83151040831383</v>
      </c>
      <c r="AC16" s="168">
        <f t="shared" si="0"/>
        <v>1071.0518972319339</v>
      </c>
      <c r="AD16" s="168">
        <f t="shared" si="0"/>
        <v>195.71126150688008</v>
      </c>
      <c r="AE16" s="168">
        <f t="shared" si="0"/>
        <v>893.59046733168691</v>
      </c>
      <c r="AF16" s="168">
        <f t="shared" si="0"/>
        <v>1006.7314045610547</v>
      </c>
      <c r="AG16" s="168">
        <f t="shared" si="0"/>
        <v>991.31603425602214</v>
      </c>
      <c r="AH16" s="168">
        <f t="shared" si="0"/>
        <v>1151.4879558649004</v>
      </c>
      <c r="AJ16" s="181">
        <f>SUMIFS('Working-T05-B2'!$S$8:$S$150,'Working-T05-B2'!$G$8:$G$150,$A16)</f>
        <v>23375</v>
      </c>
      <c r="AK16" s="18">
        <f t="shared" si="5"/>
        <v>-17139.599999999999</v>
      </c>
      <c r="AM16" s="270"/>
      <c r="AN16" s="270"/>
      <c r="AO16" s="270"/>
      <c r="AP16" s="270"/>
      <c r="AQ16" s="270"/>
      <c r="AR16" s="270"/>
      <c r="AS16" s="270"/>
      <c r="AT16" s="270"/>
      <c r="AU16" s="270"/>
      <c r="AW16" s="170">
        <f t="shared" si="6"/>
        <v>23572.543060589538</v>
      </c>
      <c r="AX16" s="168">
        <f t="shared" si="7"/>
        <v>16830.677582833501</v>
      </c>
      <c r="AY16" s="168">
        <f t="shared" si="8"/>
        <v>1328.1449465952467</v>
      </c>
      <c r="AZ16" s="168">
        <f t="shared" si="9"/>
        <v>103.83151040831383</v>
      </c>
      <c r="BA16" s="168">
        <f t="shared" si="10"/>
        <v>1071.0518972319339</v>
      </c>
      <c r="BB16" s="168">
        <f t="shared" si="11"/>
        <v>195.71126150688008</v>
      </c>
      <c r="BC16" s="168">
        <f t="shared" si="12"/>
        <v>893.59046733168691</v>
      </c>
      <c r="BD16" s="168">
        <f t="shared" si="13"/>
        <v>1006.7314045610547</v>
      </c>
      <c r="BE16" s="168">
        <f t="shared" si="14"/>
        <v>991.31603425602214</v>
      </c>
      <c r="BF16" s="168">
        <f t="shared" si="15"/>
        <v>1151.4879558649004</v>
      </c>
    </row>
    <row r="17" spans="1:58" x14ac:dyDescent="0.25">
      <c r="A17" s="165" t="s">
        <v>50</v>
      </c>
      <c r="B17" s="165" t="s">
        <v>704</v>
      </c>
      <c r="C17" s="164">
        <v>297112.40000000002</v>
      </c>
      <c r="D17" s="164">
        <v>20886564</v>
      </c>
      <c r="E17" s="164">
        <v>901107113</v>
      </c>
      <c r="F17" s="164">
        <v>0</v>
      </c>
      <c r="G17" s="164">
        <v>5110263112</v>
      </c>
      <c r="H17" s="164">
        <v>31880264</v>
      </c>
      <c r="I17" s="164">
        <v>0</v>
      </c>
      <c r="J17" s="164">
        <v>20680404</v>
      </c>
      <c r="K17" s="164">
        <v>38977166</v>
      </c>
      <c r="L17" s="164">
        <v>727059815</v>
      </c>
      <c r="M17" s="164">
        <v>54073364</v>
      </c>
      <c r="N17" s="164">
        <v>0</v>
      </c>
      <c r="O17" s="164">
        <v>0</v>
      </c>
      <c r="P17" s="164">
        <v>0</v>
      </c>
      <c r="Q17" s="164">
        <v>0</v>
      </c>
      <c r="R17" s="164">
        <v>257129259</v>
      </c>
      <c r="S17" s="164">
        <v>36245</v>
      </c>
      <c r="T17" s="164">
        <v>325968751</v>
      </c>
      <c r="U17" s="164">
        <v>232202405</v>
      </c>
      <c r="V17" s="164">
        <v>0</v>
      </c>
      <c r="W17" s="164">
        <v>568687115</v>
      </c>
      <c r="Y17" s="170">
        <f t="shared" si="3"/>
        <v>27898.369697797873</v>
      </c>
      <c r="Z17" s="168">
        <f t="shared" si="4"/>
        <v>20302.945245637675</v>
      </c>
      <c r="AA17" s="168">
        <f t="shared" si="4"/>
        <v>176.90499622365138</v>
      </c>
      <c r="AB17" s="168">
        <f t="shared" si="4"/>
        <v>131.18660143433931</v>
      </c>
      <c r="AC17" s="168">
        <f t="shared" si="4"/>
        <v>2447.0867422564656</v>
      </c>
      <c r="AD17" s="168">
        <f t="shared" si="4"/>
        <v>181.99632193069019</v>
      </c>
      <c r="AE17" s="168">
        <f t="shared" si="4"/>
        <v>865.54954959806446</v>
      </c>
      <c r="AF17" s="168">
        <f t="shared" si="4"/>
        <v>1097.122674785704</v>
      </c>
      <c r="AG17" s="168">
        <f t="shared" si="4"/>
        <v>781.53050831941039</v>
      </c>
      <c r="AH17" s="168">
        <f t="shared" si="4"/>
        <v>1914.0470576118666</v>
      </c>
      <c r="AJ17" s="181">
        <f>SUMIFS('Working-T05-B2'!$S$8:$S$150,'Working-T05-B2'!$G$8:$G$150,$A17)</f>
        <v>68750</v>
      </c>
      <c r="AK17" s="18">
        <f t="shared" si="5"/>
        <v>228362.40000000002</v>
      </c>
      <c r="AM17" s="270"/>
      <c r="AN17" s="270"/>
      <c r="AO17" s="270"/>
      <c r="AP17" s="270"/>
      <c r="AQ17" s="270"/>
      <c r="AR17" s="270"/>
      <c r="AS17" s="270"/>
      <c r="AT17" s="270"/>
      <c r="AU17" s="270"/>
      <c r="AW17" s="170">
        <f t="shared" si="6"/>
        <v>27898.369697797873</v>
      </c>
      <c r="AX17" s="168">
        <f t="shared" si="7"/>
        <v>20302.945245637675</v>
      </c>
      <c r="AY17" s="168">
        <f t="shared" si="8"/>
        <v>176.90499622365138</v>
      </c>
      <c r="AZ17" s="168">
        <f t="shared" si="9"/>
        <v>131.18660143433931</v>
      </c>
      <c r="BA17" s="168">
        <f t="shared" si="10"/>
        <v>2447.0867422564656</v>
      </c>
      <c r="BB17" s="168">
        <f t="shared" si="11"/>
        <v>181.99632193069019</v>
      </c>
      <c r="BC17" s="168">
        <f t="shared" si="12"/>
        <v>865.54954959806446</v>
      </c>
      <c r="BD17" s="168">
        <f t="shared" si="13"/>
        <v>1097.122674785704</v>
      </c>
      <c r="BE17" s="168">
        <f t="shared" si="14"/>
        <v>781.53050831941039</v>
      </c>
      <c r="BF17" s="168">
        <f t="shared" si="15"/>
        <v>1914.0470576118666</v>
      </c>
    </row>
    <row r="18" spans="1:58" x14ac:dyDescent="0.25">
      <c r="A18" s="165" t="s">
        <v>706</v>
      </c>
      <c r="B18" s="165" t="s">
        <v>707</v>
      </c>
      <c r="C18" s="164">
        <v>27828</v>
      </c>
      <c r="D18" s="164">
        <v>-46</v>
      </c>
      <c r="E18" s="164">
        <v>81120573</v>
      </c>
      <c r="F18" s="164">
        <v>0</v>
      </c>
      <c r="G18" s="164">
        <v>233189761</v>
      </c>
      <c r="H18" s="164">
        <v>25687546</v>
      </c>
      <c r="I18" s="164">
        <v>0</v>
      </c>
      <c r="J18" s="164">
        <v>1808879</v>
      </c>
      <c r="K18" s="164">
        <v>680</v>
      </c>
      <c r="L18" s="164">
        <v>37182573</v>
      </c>
      <c r="M18" s="164">
        <v>5630647</v>
      </c>
      <c r="N18" s="164">
        <v>0</v>
      </c>
      <c r="O18" s="164">
        <v>0</v>
      </c>
      <c r="P18" s="164">
        <v>0</v>
      </c>
      <c r="Q18" s="164">
        <v>0</v>
      </c>
      <c r="R18" s="164">
        <v>32647765</v>
      </c>
      <c r="S18" s="164">
        <v>476</v>
      </c>
      <c r="T18" s="164">
        <v>26611523</v>
      </c>
      <c r="U18" s="164">
        <v>16991668</v>
      </c>
      <c r="V18" s="164">
        <v>0</v>
      </c>
      <c r="W18" s="164">
        <v>48399259</v>
      </c>
      <c r="Y18" s="170">
        <f t="shared" si="3"/>
        <v>18300.679315797035</v>
      </c>
      <c r="Z18" s="168">
        <f t="shared" ref="Z18:AH32" si="18">IFERROR(SUMIFS($D18:$W18,$D$1:$W$1,Z$3)/$C18,0)</f>
        <v>11294.749460974557</v>
      </c>
      <c r="AA18" s="168">
        <f t="shared" si="18"/>
        <v>988.08484260457089</v>
      </c>
      <c r="AB18" s="168">
        <f t="shared" si="18"/>
        <v>2.4435820037372432E-2</v>
      </c>
      <c r="AC18" s="168">
        <f t="shared" si="18"/>
        <v>1336.1568564036222</v>
      </c>
      <c r="AD18" s="168">
        <f t="shared" si="18"/>
        <v>202.33746586172199</v>
      </c>
      <c r="AE18" s="168">
        <f t="shared" si="18"/>
        <v>1173.2155023717119</v>
      </c>
      <c r="AF18" s="168">
        <f t="shared" si="18"/>
        <v>956.28586315940777</v>
      </c>
      <c r="AG18" s="168">
        <f t="shared" si="18"/>
        <v>610.596090268794</v>
      </c>
      <c r="AH18" s="168">
        <f t="shared" si="18"/>
        <v>1739.2287983326146</v>
      </c>
      <c r="AJ18" s="181">
        <f>SUMIFS('Working-T05-B2'!$S$8:$S$150,'Working-T05-B2'!$G$8:$G$150,$A18)</f>
        <v>0</v>
      </c>
      <c r="AK18" s="18">
        <f t="shared" si="5"/>
        <v>27828</v>
      </c>
      <c r="AM18" s="270"/>
      <c r="AN18" s="270"/>
      <c r="AO18" s="270"/>
      <c r="AP18" s="270"/>
      <c r="AQ18" s="270"/>
      <c r="AR18" s="270"/>
      <c r="AS18" s="270"/>
      <c r="AT18" s="270"/>
      <c r="AU18" s="270"/>
      <c r="AW18" s="170">
        <f t="shared" si="6"/>
        <v>18300.679315797035</v>
      </c>
      <c r="AX18" s="168">
        <f t="shared" si="7"/>
        <v>11294.749460974557</v>
      </c>
      <c r="AY18" s="168">
        <f t="shared" si="8"/>
        <v>988.08484260457089</v>
      </c>
      <c r="AZ18" s="168">
        <f t="shared" si="9"/>
        <v>2.4435820037372432E-2</v>
      </c>
      <c r="BA18" s="168">
        <f t="shared" si="10"/>
        <v>1336.1568564036222</v>
      </c>
      <c r="BB18" s="168">
        <f t="shared" si="11"/>
        <v>202.33746586172199</v>
      </c>
      <c r="BC18" s="168">
        <f t="shared" si="12"/>
        <v>1173.2155023717119</v>
      </c>
      <c r="BD18" s="168">
        <f t="shared" si="13"/>
        <v>956.28586315940777</v>
      </c>
      <c r="BE18" s="168">
        <f t="shared" si="14"/>
        <v>610.596090268794</v>
      </c>
      <c r="BF18" s="168">
        <f t="shared" si="15"/>
        <v>1739.2287983326146</v>
      </c>
    </row>
    <row r="19" spans="1:58" x14ac:dyDescent="0.25">
      <c r="A19" s="165" t="s">
        <v>1001</v>
      </c>
      <c r="B19" s="165" t="s">
        <v>1002</v>
      </c>
      <c r="C19" s="164">
        <v>43636</v>
      </c>
      <c r="D19" s="164">
        <v>-36</v>
      </c>
      <c r="E19" s="164">
        <v>515750777</v>
      </c>
      <c r="F19" s="164">
        <v>0</v>
      </c>
      <c r="G19" s="164">
        <v>107024276</v>
      </c>
      <c r="H19" s="164">
        <v>56025651</v>
      </c>
      <c r="I19" s="164">
        <v>0</v>
      </c>
      <c r="J19" s="164">
        <v>3002907</v>
      </c>
      <c r="K19" s="164">
        <v>369</v>
      </c>
      <c r="L19" s="164">
        <v>39315922</v>
      </c>
      <c r="M19" s="164">
        <v>8616388</v>
      </c>
      <c r="N19" s="164">
        <v>0</v>
      </c>
      <c r="O19" s="164">
        <v>0</v>
      </c>
      <c r="P19" s="164">
        <v>0</v>
      </c>
      <c r="Q19" s="164">
        <v>0</v>
      </c>
      <c r="R19" s="164">
        <v>45451614</v>
      </c>
      <c r="S19" s="164">
        <v>300</v>
      </c>
      <c r="T19" s="164">
        <v>39425587</v>
      </c>
      <c r="U19" s="164">
        <v>36385104</v>
      </c>
      <c r="V19" s="164">
        <v>0</v>
      </c>
      <c r="W19" s="164">
        <v>110265658</v>
      </c>
      <c r="Y19" s="170">
        <f t="shared" si="3"/>
        <v>22029.162090934093</v>
      </c>
      <c r="Z19" s="168">
        <f t="shared" si="18"/>
        <v>14272.046406636722</v>
      </c>
      <c r="AA19" s="168">
        <f t="shared" si="18"/>
        <v>1352.7490604088368</v>
      </c>
      <c r="AB19" s="168">
        <f t="shared" si="18"/>
        <v>8.4563204693372442E-3</v>
      </c>
      <c r="AC19" s="168">
        <f t="shared" si="18"/>
        <v>900.99738747822903</v>
      </c>
      <c r="AD19" s="168">
        <f t="shared" si="18"/>
        <v>197.4605371711431</v>
      </c>
      <c r="AE19" s="168">
        <f t="shared" si="18"/>
        <v>1041.6150426253553</v>
      </c>
      <c r="AF19" s="168">
        <f t="shared" si="18"/>
        <v>903.51056467137221</v>
      </c>
      <c r="AG19" s="168">
        <f t="shared" si="18"/>
        <v>833.83224860207167</v>
      </c>
      <c r="AH19" s="168">
        <f t="shared" si="18"/>
        <v>2526.9423870198916</v>
      </c>
      <c r="AJ19" s="181">
        <f>SUMIFS('Working-T05-B2'!$S$8:$S$150,'Working-T05-B2'!$G$8:$G$150,$A19)</f>
        <v>15000</v>
      </c>
      <c r="AK19" s="18">
        <f t="shared" si="5"/>
        <v>28636</v>
      </c>
      <c r="AM19" s="270"/>
      <c r="AN19" s="270"/>
      <c r="AO19" s="270"/>
      <c r="AP19" s="270"/>
      <c r="AQ19" s="270"/>
      <c r="AR19" s="270"/>
      <c r="AS19" s="270"/>
      <c r="AT19" s="270"/>
      <c r="AU19" s="270"/>
      <c r="AW19" s="170">
        <f t="shared" si="6"/>
        <v>22029.162090934093</v>
      </c>
      <c r="AX19" s="168">
        <f t="shared" si="7"/>
        <v>14272.046406636722</v>
      </c>
      <c r="AY19" s="168">
        <f t="shared" si="8"/>
        <v>1352.7490604088368</v>
      </c>
      <c r="AZ19" s="168">
        <f t="shared" si="9"/>
        <v>8.4563204693372442E-3</v>
      </c>
      <c r="BA19" s="168">
        <f t="shared" si="10"/>
        <v>900.99738747822903</v>
      </c>
      <c r="BB19" s="168">
        <f t="shared" si="11"/>
        <v>197.4605371711431</v>
      </c>
      <c r="BC19" s="168">
        <f t="shared" si="12"/>
        <v>1041.6150426253553</v>
      </c>
      <c r="BD19" s="168">
        <f t="shared" si="13"/>
        <v>903.51056467137221</v>
      </c>
      <c r="BE19" s="168">
        <f t="shared" si="14"/>
        <v>833.83224860207167</v>
      </c>
      <c r="BF19" s="168">
        <f t="shared" si="15"/>
        <v>2526.9423870198916</v>
      </c>
    </row>
    <row r="20" spans="1:58" x14ac:dyDescent="0.25">
      <c r="A20" s="165" t="s">
        <v>1044</v>
      </c>
      <c r="B20" s="165" t="s">
        <v>1045</v>
      </c>
      <c r="C20" s="164">
        <v>1370</v>
      </c>
      <c r="D20" s="164">
        <v>0</v>
      </c>
      <c r="E20" s="164">
        <v>30381435</v>
      </c>
      <c r="F20" s="164">
        <v>0</v>
      </c>
      <c r="G20" s="164">
        <v>-5117816</v>
      </c>
      <c r="H20" s="164">
        <v>93501</v>
      </c>
      <c r="I20" s="164">
        <v>0</v>
      </c>
      <c r="J20" s="164">
        <v>48088</v>
      </c>
      <c r="K20" s="164">
        <v>5</v>
      </c>
      <c r="L20" s="164">
        <v>2198385</v>
      </c>
      <c r="M20" s="164">
        <v>446588</v>
      </c>
      <c r="N20" s="164">
        <v>0</v>
      </c>
      <c r="O20" s="164">
        <v>0</v>
      </c>
      <c r="P20" s="164">
        <v>0</v>
      </c>
      <c r="Q20" s="164">
        <v>0</v>
      </c>
      <c r="R20" s="164">
        <v>4487051</v>
      </c>
      <c r="S20" s="164">
        <v>516</v>
      </c>
      <c r="T20" s="164">
        <v>2072643</v>
      </c>
      <c r="U20" s="164">
        <v>1270980</v>
      </c>
      <c r="V20" s="164">
        <v>0</v>
      </c>
      <c r="W20" s="164">
        <v>4662502</v>
      </c>
      <c r="Y20" s="170">
        <f t="shared" si="3"/>
        <v>29594.071532846709</v>
      </c>
      <c r="Z20" s="168">
        <f t="shared" si="18"/>
        <v>18440.597810218977</v>
      </c>
      <c r="AA20" s="168">
        <f t="shared" si="18"/>
        <v>103.34963503649635</v>
      </c>
      <c r="AB20" s="168">
        <f t="shared" si="18"/>
        <v>3.6496350364963502E-3</v>
      </c>
      <c r="AC20" s="168">
        <f t="shared" si="18"/>
        <v>1604.6605839416059</v>
      </c>
      <c r="AD20" s="168">
        <f t="shared" si="18"/>
        <v>325.97664233576643</v>
      </c>
      <c r="AE20" s="168">
        <f t="shared" si="18"/>
        <v>3275.5963503649637</v>
      </c>
      <c r="AF20" s="168">
        <f t="shared" si="18"/>
        <v>1512.878102189781</v>
      </c>
      <c r="AG20" s="168">
        <f t="shared" si="18"/>
        <v>927.72262773722628</v>
      </c>
      <c r="AH20" s="168">
        <f t="shared" si="18"/>
        <v>3403.2861313868611</v>
      </c>
      <c r="AJ20" s="181">
        <f>SUMIFS('Working-T05-B2'!$S$8:$S$150,'Working-T05-B2'!$G$8:$G$150,$A20)</f>
        <v>1375</v>
      </c>
      <c r="AK20" s="18">
        <f t="shared" si="5"/>
        <v>-5</v>
      </c>
      <c r="AM20" s="270"/>
      <c r="AN20" s="270"/>
      <c r="AO20" s="270"/>
      <c r="AP20" s="270"/>
      <c r="AQ20" s="270"/>
      <c r="AR20" s="270"/>
      <c r="AS20" s="270"/>
      <c r="AT20" s="270"/>
      <c r="AU20" s="270"/>
      <c r="AW20" s="170">
        <f t="shared" si="6"/>
        <v>29594.071532846709</v>
      </c>
      <c r="AX20" s="168">
        <f t="shared" si="7"/>
        <v>18440.597810218977</v>
      </c>
      <c r="AY20" s="168">
        <f t="shared" si="8"/>
        <v>103.34963503649635</v>
      </c>
      <c r="AZ20" s="168">
        <f t="shared" si="9"/>
        <v>3.6496350364963502E-3</v>
      </c>
      <c r="BA20" s="168">
        <f t="shared" si="10"/>
        <v>1604.6605839416059</v>
      </c>
      <c r="BB20" s="168">
        <f t="shared" si="11"/>
        <v>325.97664233576643</v>
      </c>
      <c r="BC20" s="168">
        <f t="shared" si="12"/>
        <v>3275.5963503649637</v>
      </c>
      <c r="BD20" s="168">
        <f t="shared" si="13"/>
        <v>1512.878102189781</v>
      </c>
      <c r="BE20" s="168">
        <f t="shared" si="14"/>
        <v>927.72262773722628</v>
      </c>
      <c r="BF20" s="168">
        <f t="shared" si="15"/>
        <v>3403.2861313868611</v>
      </c>
    </row>
    <row r="21" spans="1:58" x14ac:dyDescent="0.25">
      <c r="A21" s="165" t="s">
        <v>260</v>
      </c>
      <c r="B21" s="165" t="s">
        <v>376</v>
      </c>
      <c r="C21" s="164">
        <v>46095</v>
      </c>
      <c r="D21" s="164">
        <v>-27</v>
      </c>
      <c r="E21" s="164">
        <v>3836440794</v>
      </c>
      <c r="F21" s="164">
        <v>0</v>
      </c>
      <c r="G21" s="164">
        <v>-2953051611</v>
      </c>
      <c r="H21" s="164">
        <v>50744</v>
      </c>
      <c r="I21" s="164">
        <v>0</v>
      </c>
      <c r="J21" s="164">
        <v>395649</v>
      </c>
      <c r="K21" s="164">
        <v>7648141</v>
      </c>
      <c r="L21" s="164">
        <v>186157937</v>
      </c>
      <c r="M21" s="164">
        <v>20011617</v>
      </c>
      <c r="N21" s="164">
        <v>0</v>
      </c>
      <c r="O21" s="164">
        <v>0</v>
      </c>
      <c r="P21" s="164">
        <v>0</v>
      </c>
      <c r="Q21" s="164">
        <v>0</v>
      </c>
      <c r="R21" s="164">
        <v>374942732</v>
      </c>
      <c r="S21" s="164">
        <v>391925</v>
      </c>
      <c r="T21" s="164">
        <v>342462715</v>
      </c>
      <c r="U21" s="164">
        <v>180517846</v>
      </c>
      <c r="V21" s="164">
        <v>0</v>
      </c>
      <c r="W21" s="164">
        <v>440365923</v>
      </c>
      <c r="Y21" s="170">
        <f t="shared" si="3"/>
        <v>52854.634667534439</v>
      </c>
      <c r="Z21" s="168">
        <f t="shared" si="18"/>
        <v>19164.533159778719</v>
      </c>
      <c r="AA21" s="168">
        <f t="shared" si="18"/>
        <v>9.6841956828289408</v>
      </c>
      <c r="AB21" s="168">
        <f t="shared" si="18"/>
        <v>165.92127128755831</v>
      </c>
      <c r="AC21" s="168">
        <f t="shared" si="18"/>
        <v>4038.5711465451786</v>
      </c>
      <c r="AD21" s="168">
        <f t="shared" si="18"/>
        <v>434.1385616661243</v>
      </c>
      <c r="AE21" s="168">
        <f t="shared" si="18"/>
        <v>8142.6327584336696</v>
      </c>
      <c r="AF21" s="168">
        <f t="shared" si="18"/>
        <v>7429.4981017463933</v>
      </c>
      <c r="AG21" s="168">
        <f t="shared" si="18"/>
        <v>3916.2131684564488</v>
      </c>
      <c r="AH21" s="168">
        <f t="shared" si="18"/>
        <v>9553.4423039375197</v>
      </c>
      <c r="AJ21" s="181">
        <f>SUMIFS('Working-T05-B2'!$S$8:$S$150,'Working-T05-B2'!$G$8:$G$150,$A21)</f>
        <v>18000</v>
      </c>
      <c r="AK21" s="18">
        <f t="shared" si="5"/>
        <v>28095</v>
      </c>
      <c r="AM21" s="270"/>
      <c r="AN21" s="270"/>
      <c r="AO21" s="270"/>
      <c r="AP21" s="270"/>
      <c r="AQ21" s="270"/>
      <c r="AR21" s="270"/>
      <c r="AS21" s="270"/>
      <c r="AT21" s="270"/>
      <c r="AU21" s="270"/>
      <c r="AW21" s="170">
        <f t="shared" si="6"/>
        <v>52854.634667534439</v>
      </c>
      <c r="AX21" s="168">
        <f t="shared" si="7"/>
        <v>19164.533159778719</v>
      </c>
      <c r="AY21" s="168">
        <f t="shared" si="8"/>
        <v>9.6841956828289408</v>
      </c>
      <c r="AZ21" s="168">
        <f t="shared" si="9"/>
        <v>165.92127128755831</v>
      </c>
      <c r="BA21" s="168">
        <f t="shared" si="10"/>
        <v>4038.5711465451786</v>
      </c>
      <c r="BB21" s="168">
        <f t="shared" si="11"/>
        <v>434.1385616661243</v>
      </c>
      <c r="BC21" s="168">
        <f t="shared" si="12"/>
        <v>8142.6327584336696</v>
      </c>
      <c r="BD21" s="168">
        <f t="shared" si="13"/>
        <v>7429.4981017463933</v>
      </c>
      <c r="BE21" s="168">
        <f t="shared" si="14"/>
        <v>3916.2131684564488</v>
      </c>
      <c r="BF21" s="168">
        <f t="shared" si="15"/>
        <v>9553.4423039375197</v>
      </c>
    </row>
    <row r="22" spans="1:58" x14ac:dyDescent="0.25">
      <c r="A22" s="165" t="s">
        <v>54</v>
      </c>
      <c r="B22" s="165" t="s">
        <v>379</v>
      </c>
      <c r="C22" s="164">
        <v>48229.2</v>
      </c>
      <c r="D22" s="164">
        <v>0</v>
      </c>
      <c r="E22" s="164">
        <v>38</v>
      </c>
      <c r="F22" s="164">
        <v>0</v>
      </c>
      <c r="G22" s="164">
        <v>746136289</v>
      </c>
      <c r="H22" s="164">
        <v>0</v>
      </c>
      <c r="I22" s="164">
        <v>0</v>
      </c>
      <c r="J22" s="164">
        <v>134</v>
      </c>
      <c r="K22" s="164">
        <v>0</v>
      </c>
      <c r="L22" s="164">
        <v>34165649</v>
      </c>
      <c r="M22" s="164">
        <v>9407841</v>
      </c>
      <c r="N22" s="164">
        <v>0</v>
      </c>
      <c r="O22" s="164">
        <v>0</v>
      </c>
      <c r="P22" s="164">
        <v>0</v>
      </c>
      <c r="Q22" s="164">
        <v>0</v>
      </c>
      <c r="R22" s="164">
        <v>50726475</v>
      </c>
      <c r="S22" s="164">
        <v>0</v>
      </c>
      <c r="T22" s="164">
        <v>62037536</v>
      </c>
      <c r="U22" s="164">
        <v>13044028</v>
      </c>
      <c r="V22" s="164">
        <v>0</v>
      </c>
      <c r="W22" s="164">
        <v>63186159</v>
      </c>
      <c r="Y22" s="170">
        <f t="shared" si="3"/>
        <v>20292.771785557299</v>
      </c>
      <c r="Z22" s="168">
        <f t="shared" si="18"/>
        <v>15470.634532606804</v>
      </c>
      <c r="AA22" s="168">
        <f t="shared" si="18"/>
        <v>2.7783998075854464E-3</v>
      </c>
      <c r="AB22" s="168">
        <f t="shared" si="18"/>
        <v>0</v>
      </c>
      <c r="AC22" s="168">
        <f t="shared" si="18"/>
        <v>708.40173587785</v>
      </c>
      <c r="AD22" s="168">
        <f t="shared" si="18"/>
        <v>195.06525092682443</v>
      </c>
      <c r="AE22" s="168">
        <f t="shared" si="18"/>
        <v>1051.7793162648354</v>
      </c>
      <c r="AF22" s="168">
        <f t="shared" si="18"/>
        <v>1286.3065528766806</v>
      </c>
      <c r="AG22" s="168">
        <f t="shared" si="18"/>
        <v>270.45914093536697</v>
      </c>
      <c r="AH22" s="168">
        <f t="shared" si="18"/>
        <v>1310.1224776691299</v>
      </c>
      <c r="AJ22" s="181">
        <f>SUMIFS('Working-T05-B2'!$S$8:$S$150,'Working-T05-B2'!$G$8:$G$150,$A22)</f>
        <v>0</v>
      </c>
      <c r="AK22" s="18">
        <f t="shared" si="5"/>
        <v>48229.2</v>
      </c>
      <c r="AM22" s="270"/>
      <c r="AN22" s="270"/>
      <c r="AO22" s="270"/>
      <c r="AP22" s="270"/>
      <c r="AQ22" s="270"/>
      <c r="AR22" s="270"/>
      <c r="AS22" s="270"/>
      <c r="AT22" s="270"/>
      <c r="AU22" s="270"/>
      <c r="AW22" s="170">
        <f t="shared" si="6"/>
        <v>20292.771785557299</v>
      </c>
      <c r="AX22" s="168">
        <f t="shared" si="7"/>
        <v>15470.634532606804</v>
      </c>
      <c r="AY22" s="168">
        <f t="shared" si="8"/>
        <v>2.7783998075854464E-3</v>
      </c>
      <c r="AZ22" s="168">
        <f t="shared" si="9"/>
        <v>0</v>
      </c>
      <c r="BA22" s="168">
        <f t="shared" si="10"/>
        <v>708.40173587785</v>
      </c>
      <c r="BB22" s="168">
        <f t="shared" si="11"/>
        <v>195.06525092682443</v>
      </c>
      <c r="BC22" s="168">
        <f t="shared" si="12"/>
        <v>1051.7793162648354</v>
      </c>
      <c r="BD22" s="168">
        <f t="shared" si="13"/>
        <v>1286.3065528766806</v>
      </c>
      <c r="BE22" s="168">
        <f t="shared" si="14"/>
        <v>270.45914093536697</v>
      </c>
      <c r="BF22" s="168">
        <f t="shared" si="15"/>
        <v>1310.1224776691299</v>
      </c>
    </row>
    <row r="23" spans="1:58" x14ac:dyDescent="0.25">
      <c r="A23" s="165" t="s">
        <v>381</v>
      </c>
      <c r="B23" s="165" t="s">
        <v>382</v>
      </c>
      <c r="C23" s="164">
        <v>22725</v>
      </c>
      <c r="D23" s="164">
        <v>0</v>
      </c>
      <c r="E23" s="164">
        <v>0</v>
      </c>
      <c r="F23" s="164">
        <v>0</v>
      </c>
      <c r="G23" s="164">
        <v>333917731</v>
      </c>
      <c r="H23" s="164">
        <v>0</v>
      </c>
      <c r="I23" s="164">
        <v>0</v>
      </c>
      <c r="J23" s="164">
        <v>1</v>
      </c>
      <c r="K23" s="164">
        <v>0</v>
      </c>
      <c r="L23" s="164">
        <v>2835381</v>
      </c>
      <c r="M23" s="164">
        <v>138567</v>
      </c>
      <c r="N23" s="164">
        <v>0</v>
      </c>
      <c r="O23" s="164">
        <v>0</v>
      </c>
      <c r="P23" s="164">
        <v>0</v>
      </c>
      <c r="Q23" s="164">
        <v>0</v>
      </c>
      <c r="R23" s="164">
        <v>5408459</v>
      </c>
      <c r="S23" s="164">
        <v>0</v>
      </c>
      <c r="T23" s="164">
        <v>4096024</v>
      </c>
      <c r="U23" s="164">
        <v>2526109</v>
      </c>
      <c r="V23" s="164">
        <v>0</v>
      </c>
      <c r="W23" s="164">
        <v>5282182</v>
      </c>
      <c r="Y23" s="170">
        <f t="shared" si="3"/>
        <v>15586.554631463145</v>
      </c>
      <c r="Z23" s="168">
        <f t="shared" si="18"/>
        <v>14693.849548954895</v>
      </c>
      <c r="AA23" s="168">
        <f t="shared" si="18"/>
        <v>4.4004400440044006E-5</v>
      </c>
      <c r="AB23" s="168">
        <f t="shared" si="18"/>
        <v>0</v>
      </c>
      <c r="AC23" s="168">
        <f t="shared" si="18"/>
        <v>124.76924092409241</v>
      </c>
      <c r="AD23" s="168">
        <f t="shared" si="18"/>
        <v>6.0975577557755773</v>
      </c>
      <c r="AE23" s="168">
        <f t="shared" si="18"/>
        <v>237.99599559955996</v>
      </c>
      <c r="AF23" s="168">
        <f t="shared" si="18"/>
        <v>180.24308030803081</v>
      </c>
      <c r="AG23" s="168">
        <f t="shared" si="18"/>
        <v>111.15991199119912</v>
      </c>
      <c r="AH23" s="168">
        <f t="shared" si="18"/>
        <v>232.43925192519251</v>
      </c>
      <c r="AJ23" s="181">
        <f>SUMIFS('Working-T05-B2'!$S$8:$S$150,'Working-T05-B2'!$G$8:$G$150,$A23)</f>
        <v>17000</v>
      </c>
      <c r="AK23" s="18">
        <f t="shared" si="5"/>
        <v>5725</v>
      </c>
      <c r="AM23" s="270"/>
      <c r="AN23" s="270"/>
      <c r="AO23" s="270"/>
      <c r="AP23" s="270"/>
      <c r="AQ23" s="270"/>
      <c r="AR23" s="270"/>
      <c r="AS23" s="270"/>
      <c r="AT23" s="270"/>
      <c r="AU23" s="270"/>
      <c r="AW23" s="170">
        <f t="shared" si="6"/>
        <v>15586.554631463145</v>
      </c>
      <c r="AX23" s="168">
        <f t="shared" si="7"/>
        <v>14693.849548954895</v>
      </c>
      <c r="AY23" s="168">
        <f t="shared" si="8"/>
        <v>4.4004400440044006E-5</v>
      </c>
      <c r="AZ23" s="168">
        <f t="shared" si="9"/>
        <v>0</v>
      </c>
      <c r="BA23" s="168">
        <f t="shared" si="10"/>
        <v>124.76924092409241</v>
      </c>
      <c r="BB23" s="168">
        <f t="shared" si="11"/>
        <v>6.0975577557755773</v>
      </c>
      <c r="BC23" s="168">
        <f t="shared" si="12"/>
        <v>237.99599559955996</v>
      </c>
      <c r="BD23" s="168">
        <f t="shared" si="13"/>
        <v>180.24308030803081</v>
      </c>
      <c r="BE23" s="168">
        <f t="shared" si="14"/>
        <v>111.15991199119912</v>
      </c>
      <c r="BF23" s="168">
        <f t="shared" si="15"/>
        <v>232.43925192519251</v>
      </c>
    </row>
    <row r="24" spans="1:58" x14ac:dyDescent="0.25">
      <c r="A24" s="165" t="s">
        <v>384</v>
      </c>
      <c r="B24" s="165" t="s">
        <v>385</v>
      </c>
      <c r="C24" s="164">
        <v>17050</v>
      </c>
      <c r="D24" s="164">
        <v>0</v>
      </c>
      <c r="E24" s="164">
        <v>12023</v>
      </c>
      <c r="F24" s="164">
        <v>0</v>
      </c>
      <c r="G24" s="164">
        <v>224076297</v>
      </c>
      <c r="H24" s="164">
        <v>5</v>
      </c>
      <c r="I24" s="164">
        <v>0</v>
      </c>
      <c r="J24" s="164">
        <v>3421</v>
      </c>
      <c r="K24" s="164">
        <v>85</v>
      </c>
      <c r="L24" s="164">
        <v>158862</v>
      </c>
      <c r="M24" s="164">
        <v>16526</v>
      </c>
      <c r="N24" s="164">
        <v>0</v>
      </c>
      <c r="O24" s="164">
        <v>0</v>
      </c>
      <c r="P24" s="164">
        <v>0</v>
      </c>
      <c r="Q24" s="164">
        <v>0</v>
      </c>
      <c r="R24" s="164">
        <v>392710</v>
      </c>
      <c r="S24" s="164">
        <v>209</v>
      </c>
      <c r="T24" s="164">
        <v>232863</v>
      </c>
      <c r="U24" s="164">
        <v>200247</v>
      </c>
      <c r="V24" s="164">
        <v>0</v>
      </c>
      <c r="W24" s="164">
        <v>281242</v>
      </c>
      <c r="Y24" s="170">
        <f t="shared" si="3"/>
        <v>13218.445161290325</v>
      </c>
      <c r="Z24" s="168">
        <f t="shared" si="18"/>
        <v>13143.009970674488</v>
      </c>
      <c r="AA24" s="168">
        <f t="shared" si="18"/>
        <v>0.20093841642228738</v>
      </c>
      <c r="AB24" s="168">
        <f t="shared" si="18"/>
        <v>4.98533724340176E-3</v>
      </c>
      <c r="AC24" s="168">
        <f t="shared" si="18"/>
        <v>9.3174193548387105</v>
      </c>
      <c r="AD24" s="168">
        <f t="shared" si="18"/>
        <v>0.96926686217008795</v>
      </c>
      <c r="AE24" s="168">
        <f t="shared" si="18"/>
        <v>23.045102639296189</v>
      </c>
      <c r="AF24" s="168">
        <f t="shared" si="18"/>
        <v>13.657653958944282</v>
      </c>
      <c r="AG24" s="168">
        <f t="shared" si="18"/>
        <v>11.744692082111436</v>
      </c>
      <c r="AH24" s="168">
        <f t="shared" si="18"/>
        <v>16.495131964809385</v>
      </c>
      <c r="AJ24" s="181">
        <f>SUMIFS('Working-T05-B2'!$S$8:$S$150,'Working-T05-B2'!$G$8:$G$150,$A24)</f>
        <v>0</v>
      </c>
      <c r="AK24" s="18">
        <f t="shared" si="5"/>
        <v>17050</v>
      </c>
      <c r="AM24" s="270"/>
      <c r="AN24" s="270"/>
      <c r="AO24" s="270"/>
      <c r="AP24" s="270"/>
      <c r="AQ24" s="270"/>
      <c r="AR24" s="270"/>
      <c r="AS24" s="270"/>
      <c r="AT24" s="270"/>
      <c r="AU24" s="270"/>
      <c r="AW24" s="170">
        <f t="shared" si="6"/>
        <v>13218.445161290325</v>
      </c>
      <c r="AX24" s="168">
        <f t="shared" si="7"/>
        <v>13143.009970674488</v>
      </c>
      <c r="AY24" s="168">
        <f t="shared" si="8"/>
        <v>0.20093841642228738</v>
      </c>
      <c r="AZ24" s="168">
        <f t="shared" si="9"/>
        <v>4.98533724340176E-3</v>
      </c>
      <c r="BA24" s="168">
        <f t="shared" si="10"/>
        <v>9.3174193548387105</v>
      </c>
      <c r="BB24" s="168">
        <f t="shared" si="11"/>
        <v>0.96926686217008795</v>
      </c>
      <c r="BC24" s="168">
        <f t="shared" si="12"/>
        <v>23.045102639296189</v>
      </c>
      <c r="BD24" s="168">
        <f t="shared" si="13"/>
        <v>13.657653958944282</v>
      </c>
      <c r="BE24" s="168">
        <f t="shared" si="14"/>
        <v>11.744692082111436</v>
      </c>
      <c r="BF24" s="168">
        <f t="shared" si="15"/>
        <v>16.495131964809385</v>
      </c>
    </row>
    <row r="25" spans="1:58" x14ac:dyDescent="0.25">
      <c r="A25" s="165" t="s">
        <v>36</v>
      </c>
      <c r="B25" s="165" t="s">
        <v>412</v>
      </c>
      <c r="C25" s="164">
        <v>21296.5</v>
      </c>
      <c r="D25" s="164">
        <v>9384</v>
      </c>
      <c r="E25" s="164">
        <v>188449243</v>
      </c>
      <c r="F25" s="164">
        <v>0</v>
      </c>
      <c r="G25" s="164">
        <v>270910382</v>
      </c>
      <c r="H25" s="164">
        <v>15276081</v>
      </c>
      <c r="I25" s="164">
        <v>0</v>
      </c>
      <c r="J25" s="164">
        <v>993010</v>
      </c>
      <c r="K25" s="164">
        <v>3916590</v>
      </c>
      <c r="L25" s="164">
        <v>12670617</v>
      </c>
      <c r="M25" s="164">
        <v>3158362</v>
      </c>
      <c r="N25" s="164">
        <v>0</v>
      </c>
      <c r="O25" s="164">
        <v>0</v>
      </c>
      <c r="P25" s="164">
        <v>0</v>
      </c>
      <c r="Q25" s="164">
        <v>0</v>
      </c>
      <c r="R25" s="164">
        <v>16120756</v>
      </c>
      <c r="S25" s="164">
        <v>50763</v>
      </c>
      <c r="T25" s="164">
        <v>12425251</v>
      </c>
      <c r="U25" s="164">
        <v>5723512</v>
      </c>
      <c r="V25" s="164">
        <v>0</v>
      </c>
      <c r="W25" s="164">
        <v>17588478</v>
      </c>
      <c r="Y25" s="170">
        <f t="shared" si="3"/>
        <v>25698.703026318872</v>
      </c>
      <c r="Z25" s="168">
        <f t="shared" si="18"/>
        <v>21570.164534078369</v>
      </c>
      <c r="AA25" s="168">
        <f t="shared" si="18"/>
        <v>763.93261803582743</v>
      </c>
      <c r="AB25" s="168">
        <f t="shared" si="18"/>
        <v>183.90768436128002</v>
      </c>
      <c r="AC25" s="168">
        <f t="shared" si="18"/>
        <v>594.96241166388847</v>
      </c>
      <c r="AD25" s="168">
        <f t="shared" si="18"/>
        <v>148.30427535040968</v>
      </c>
      <c r="AE25" s="168">
        <f t="shared" si="18"/>
        <v>759.35102012067716</v>
      </c>
      <c r="AF25" s="168">
        <f t="shared" si="18"/>
        <v>583.44098795576735</v>
      </c>
      <c r="AG25" s="168">
        <f t="shared" si="18"/>
        <v>268.75364496513509</v>
      </c>
      <c r="AH25" s="168">
        <f t="shared" si="18"/>
        <v>825.88584978752374</v>
      </c>
      <c r="AJ25" s="181">
        <f>SUMIFS('Working-T05-B2'!$S$8:$S$150,'Working-T05-B2'!$G$8:$G$150,$A25)</f>
        <v>0</v>
      </c>
      <c r="AK25" s="18">
        <f t="shared" si="5"/>
        <v>21296.5</v>
      </c>
      <c r="AM25" s="270"/>
      <c r="AN25" s="270"/>
      <c r="AO25" s="270"/>
      <c r="AP25" s="270"/>
      <c r="AQ25" s="270"/>
      <c r="AR25" s="270"/>
      <c r="AS25" s="270"/>
      <c r="AT25" s="270"/>
      <c r="AU25" s="270"/>
      <c r="AW25" s="170">
        <f t="shared" si="6"/>
        <v>25698.703026318872</v>
      </c>
      <c r="AX25" s="168">
        <f t="shared" si="7"/>
        <v>21570.164534078369</v>
      </c>
      <c r="AY25" s="168">
        <f t="shared" si="8"/>
        <v>763.93261803582743</v>
      </c>
      <c r="AZ25" s="168">
        <f t="shared" si="9"/>
        <v>183.90768436128002</v>
      </c>
      <c r="BA25" s="168">
        <f t="shared" si="10"/>
        <v>594.96241166388847</v>
      </c>
      <c r="BB25" s="168">
        <f t="shared" si="11"/>
        <v>148.30427535040968</v>
      </c>
      <c r="BC25" s="168">
        <f t="shared" si="12"/>
        <v>759.35102012067716</v>
      </c>
      <c r="BD25" s="168">
        <f t="shared" si="13"/>
        <v>583.44098795576735</v>
      </c>
      <c r="BE25" s="168">
        <f t="shared" si="14"/>
        <v>268.75364496513509</v>
      </c>
      <c r="BF25" s="168">
        <f t="shared" si="15"/>
        <v>825.88584978752374</v>
      </c>
    </row>
    <row r="26" spans="1:58" x14ac:dyDescent="0.25">
      <c r="A26" s="165" t="s">
        <v>417</v>
      </c>
      <c r="B26" s="165" t="s">
        <v>418</v>
      </c>
      <c r="C26" s="164">
        <v>129580</v>
      </c>
      <c r="D26" s="164">
        <v>0</v>
      </c>
      <c r="E26" s="164">
        <v>24305</v>
      </c>
      <c r="F26" s="164">
        <v>0</v>
      </c>
      <c r="G26" s="164">
        <v>1916350483</v>
      </c>
      <c r="H26" s="164">
        <v>171</v>
      </c>
      <c r="I26" s="164">
        <v>0</v>
      </c>
      <c r="J26" s="164">
        <v>858</v>
      </c>
      <c r="K26" s="164">
        <v>647899184</v>
      </c>
      <c r="L26" s="164">
        <v>27018570</v>
      </c>
      <c r="M26" s="164">
        <v>0</v>
      </c>
      <c r="N26" s="164">
        <v>0</v>
      </c>
      <c r="O26" s="164">
        <v>0</v>
      </c>
      <c r="P26" s="164">
        <v>0</v>
      </c>
      <c r="Q26" s="164">
        <v>0</v>
      </c>
      <c r="R26" s="164">
        <v>64412825</v>
      </c>
      <c r="S26" s="164">
        <v>22</v>
      </c>
      <c r="T26" s="164">
        <v>49231867</v>
      </c>
      <c r="U26" s="164">
        <v>11213792</v>
      </c>
      <c r="V26" s="164">
        <v>0</v>
      </c>
      <c r="W26" s="164">
        <v>36989710</v>
      </c>
      <c r="Y26" s="170">
        <f t="shared" si="3"/>
        <v>21246.656791171477</v>
      </c>
      <c r="Z26" s="168">
        <f t="shared" si="18"/>
        <v>14789.124772341411</v>
      </c>
      <c r="AA26" s="168">
        <f t="shared" si="18"/>
        <v>7.9410402839944442E-3</v>
      </c>
      <c r="AB26" s="168">
        <f t="shared" si="18"/>
        <v>4999.9937027319029</v>
      </c>
      <c r="AC26" s="168">
        <f t="shared" si="18"/>
        <v>208.50879765395894</v>
      </c>
      <c r="AD26" s="168">
        <f t="shared" si="18"/>
        <v>0</v>
      </c>
      <c r="AE26" s="168">
        <f t="shared" si="18"/>
        <v>497.0894196635283</v>
      </c>
      <c r="AF26" s="168">
        <f t="shared" si="18"/>
        <v>379.93414878839326</v>
      </c>
      <c r="AG26" s="168">
        <f t="shared" si="18"/>
        <v>86.539527704892734</v>
      </c>
      <c r="AH26" s="168">
        <f t="shared" si="18"/>
        <v>285.45848124710602</v>
      </c>
      <c r="AJ26" s="181">
        <f>SUMIFS('Working-T05-B2'!$S$8:$S$150,'Working-T05-B2'!$G$8:$G$150,$A26)</f>
        <v>0</v>
      </c>
      <c r="AK26" s="18">
        <f t="shared" si="5"/>
        <v>129580</v>
      </c>
      <c r="AM26" s="270">
        <v>0.01</v>
      </c>
      <c r="AN26" s="270"/>
      <c r="AO26" s="270"/>
      <c r="AP26" s="270"/>
      <c r="AQ26" s="270"/>
      <c r="AR26" s="270"/>
      <c r="AS26" s="270"/>
      <c r="AT26" s="270"/>
      <c r="AU26" s="270"/>
      <c r="AW26" s="170">
        <f t="shared" si="6"/>
        <v>21098.765543448062</v>
      </c>
      <c r="AX26" s="168">
        <f t="shared" si="7"/>
        <v>14641.233524617997</v>
      </c>
      <c r="AY26" s="168">
        <f t="shared" si="8"/>
        <v>7.9410402839944442E-3</v>
      </c>
      <c r="AZ26" s="168">
        <f t="shared" si="9"/>
        <v>4999.9937027319029</v>
      </c>
      <c r="BA26" s="168">
        <f t="shared" si="10"/>
        <v>208.50879765395894</v>
      </c>
      <c r="BB26" s="168">
        <f t="shared" si="11"/>
        <v>0</v>
      </c>
      <c r="BC26" s="168">
        <f t="shared" si="12"/>
        <v>497.0894196635283</v>
      </c>
      <c r="BD26" s="168">
        <f t="shared" si="13"/>
        <v>379.93414878839326</v>
      </c>
      <c r="BE26" s="168">
        <f t="shared" si="14"/>
        <v>86.539527704892734</v>
      </c>
      <c r="BF26" s="168">
        <f t="shared" si="15"/>
        <v>285.45848124710602</v>
      </c>
    </row>
    <row r="27" spans="1:58" x14ac:dyDescent="0.25">
      <c r="A27" s="165" t="s">
        <v>264</v>
      </c>
      <c r="B27" s="165" t="s">
        <v>854</v>
      </c>
      <c r="C27" s="164">
        <v>28452</v>
      </c>
      <c r="D27" s="164">
        <v>26</v>
      </c>
      <c r="E27" s="164">
        <v>683608</v>
      </c>
      <c r="F27" s="164">
        <v>0</v>
      </c>
      <c r="G27" s="164">
        <v>369824342</v>
      </c>
      <c r="H27" s="164">
        <v>550</v>
      </c>
      <c r="I27" s="164">
        <v>0</v>
      </c>
      <c r="J27" s="164">
        <v>1398144</v>
      </c>
      <c r="K27" s="164">
        <v>2068</v>
      </c>
      <c r="L27" s="164">
        <v>37555462</v>
      </c>
      <c r="M27" s="164">
        <v>8792139</v>
      </c>
      <c r="N27" s="164">
        <v>0</v>
      </c>
      <c r="O27" s="164">
        <v>0</v>
      </c>
      <c r="P27" s="164">
        <v>0</v>
      </c>
      <c r="Q27" s="164">
        <v>0</v>
      </c>
      <c r="R27" s="164">
        <v>39049613</v>
      </c>
      <c r="S27" s="164">
        <v>110</v>
      </c>
      <c r="T27" s="164">
        <v>43276130</v>
      </c>
      <c r="U27" s="164">
        <v>20602909</v>
      </c>
      <c r="V27" s="164">
        <v>0</v>
      </c>
      <c r="W27" s="164">
        <v>48990788</v>
      </c>
      <c r="Y27" s="170">
        <f t="shared" si="3"/>
        <v>20039.922993111202</v>
      </c>
      <c r="Z27" s="168">
        <f t="shared" si="18"/>
        <v>13022.212006185857</v>
      </c>
      <c r="AA27" s="168">
        <f t="shared" si="18"/>
        <v>49.159777871502882</v>
      </c>
      <c r="AB27" s="168">
        <f t="shared" si="18"/>
        <v>7.2683818360747929E-2</v>
      </c>
      <c r="AC27" s="168">
        <f t="shared" si="18"/>
        <v>1319.958596935189</v>
      </c>
      <c r="AD27" s="168">
        <f t="shared" si="18"/>
        <v>309.01655419654156</v>
      </c>
      <c r="AE27" s="168">
        <f t="shared" si="18"/>
        <v>1372.4772599465766</v>
      </c>
      <c r="AF27" s="168">
        <f t="shared" si="18"/>
        <v>1521.0224237311963</v>
      </c>
      <c r="AG27" s="168">
        <f t="shared" si="18"/>
        <v>724.12867285252355</v>
      </c>
      <c r="AH27" s="168">
        <f t="shared" si="18"/>
        <v>1721.8750175734569</v>
      </c>
      <c r="AJ27" s="181">
        <f>SUMIFS('Working-T05-B2'!$S$8:$S$150,'Working-T05-B2'!$G$8:$G$150,$A27)</f>
        <v>0</v>
      </c>
      <c r="AK27" s="18">
        <f t="shared" si="5"/>
        <v>28452</v>
      </c>
      <c r="AM27" s="270"/>
      <c r="AN27" s="270"/>
      <c r="AO27" s="270"/>
      <c r="AP27" s="270"/>
      <c r="AQ27" s="270"/>
      <c r="AR27" s="270"/>
      <c r="AS27" s="270"/>
      <c r="AT27" s="270"/>
      <c r="AU27" s="270"/>
      <c r="AW27" s="170">
        <f t="shared" si="6"/>
        <v>20039.922993111202</v>
      </c>
      <c r="AX27" s="168">
        <f t="shared" si="7"/>
        <v>13022.212006185857</v>
      </c>
      <c r="AY27" s="168">
        <f t="shared" si="8"/>
        <v>49.159777871502882</v>
      </c>
      <c r="AZ27" s="168">
        <f t="shared" si="9"/>
        <v>7.2683818360747929E-2</v>
      </c>
      <c r="BA27" s="168">
        <f t="shared" si="10"/>
        <v>1319.958596935189</v>
      </c>
      <c r="BB27" s="168">
        <f t="shared" si="11"/>
        <v>309.01655419654156</v>
      </c>
      <c r="BC27" s="168">
        <f t="shared" si="12"/>
        <v>1372.4772599465766</v>
      </c>
      <c r="BD27" s="168">
        <f t="shared" si="13"/>
        <v>1521.0224237311963</v>
      </c>
      <c r="BE27" s="168">
        <f t="shared" si="14"/>
        <v>724.12867285252355</v>
      </c>
      <c r="BF27" s="168">
        <f t="shared" si="15"/>
        <v>1721.8750175734569</v>
      </c>
    </row>
    <row r="28" spans="1:58" x14ac:dyDescent="0.25">
      <c r="A28" s="165" t="s">
        <v>424</v>
      </c>
      <c r="B28" s="165" t="s">
        <v>2886</v>
      </c>
      <c r="C28" s="164">
        <v>0</v>
      </c>
      <c r="D28" s="164">
        <v>0</v>
      </c>
      <c r="E28" s="164">
        <v>0</v>
      </c>
      <c r="F28" s="164">
        <v>0</v>
      </c>
      <c r="G28" s="164">
        <v>0</v>
      </c>
      <c r="H28" s="164">
        <v>0</v>
      </c>
      <c r="I28" s="164">
        <v>0</v>
      </c>
      <c r="J28" s="164">
        <v>0</v>
      </c>
      <c r="K28" s="164">
        <v>0</v>
      </c>
      <c r="L28" s="164">
        <v>0</v>
      </c>
      <c r="M28" s="164">
        <v>0</v>
      </c>
      <c r="N28" s="164">
        <v>0</v>
      </c>
      <c r="O28" s="164">
        <v>0</v>
      </c>
      <c r="P28" s="164">
        <v>0</v>
      </c>
      <c r="Q28" s="164">
        <v>0</v>
      </c>
      <c r="R28" s="164">
        <v>0</v>
      </c>
      <c r="S28" s="164">
        <v>0</v>
      </c>
      <c r="T28" s="164">
        <v>0</v>
      </c>
      <c r="U28" s="164">
        <v>0</v>
      </c>
      <c r="V28" s="164">
        <v>0</v>
      </c>
      <c r="W28" s="164">
        <v>0</v>
      </c>
      <c r="Y28" s="170">
        <f t="shared" si="3"/>
        <v>0</v>
      </c>
      <c r="Z28" s="168">
        <f t="shared" si="18"/>
        <v>0</v>
      </c>
      <c r="AA28" s="168">
        <f t="shared" si="18"/>
        <v>0</v>
      </c>
      <c r="AB28" s="168">
        <f t="shared" si="18"/>
        <v>0</v>
      </c>
      <c r="AC28" s="168">
        <f t="shared" si="18"/>
        <v>0</v>
      </c>
      <c r="AD28" s="168">
        <f t="shared" si="18"/>
        <v>0</v>
      </c>
      <c r="AE28" s="168">
        <f t="shared" si="18"/>
        <v>0</v>
      </c>
      <c r="AF28" s="168">
        <f t="shared" si="18"/>
        <v>0</v>
      </c>
      <c r="AG28" s="168">
        <f t="shared" si="18"/>
        <v>0</v>
      </c>
      <c r="AH28" s="168">
        <f t="shared" si="18"/>
        <v>0</v>
      </c>
      <c r="AJ28" s="181">
        <f>SUMIFS('Working-T05-B2'!$S$8:$S$150,'Working-T05-B2'!$G$8:$G$150,$A28)</f>
        <v>0</v>
      </c>
      <c r="AK28" s="18">
        <f t="shared" si="5"/>
        <v>0</v>
      </c>
      <c r="AM28" s="270"/>
      <c r="AN28" s="270"/>
      <c r="AO28" s="270"/>
      <c r="AP28" s="270"/>
      <c r="AQ28" s="270"/>
      <c r="AR28" s="270"/>
      <c r="AS28" s="270"/>
      <c r="AT28" s="270"/>
      <c r="AU28" s="270"/>
      <c r="AW28" s="170">
        <f t="shared" si="6"/>
        <v>29988.25351698255</v>
      </c>
      <c r="AX28" s="193">
        <f>AX6</f>
        <v>21744.898905360606</v>
      </c>
      <c r="AY28" s="193">
        <f t="shared" ref="AY28:BF28" si="19">AY6</f>
        <v>467.67483580409083</v>
      </c>
      <c r="AZ28" s="193">
        <f t="shared" si="19"/>
        <v>790.4681753925064</v>
      </c>
      <c r="BA28" s="193">
        <f t="shared" si="19"/>
        <v>1342.4432601488709</v>
      </c>
      <c r="BB28" s="193">
        <f t="shared" si="19"/>
        <v>239.43080753111903</v>
      </c>
      <c r="BC28" s="193">
        <f t="shared" si="19"/>
        <v>1561.4128479389503</v>
      </c>
      <c r="BD28" s="193">
        <f t="shared" si="19"/>
        <v>1413.6624457371615</v>
      </c>
      <c r="BE28" s="193">
        <f t="shared" si="19"/>
        <v>440.9352899230625</v>
      </c>
      <c r="BF28" s="193">
        <f t="shared" si="19"/>
        <v>1987.3269491461815</v>
      </c>
    </row>
    <row r="29" spans="1:58" x14ac:dyDescent="0.25">
      <c r="A29" s="165" t="s">
        <v>700</v>
      </c>
      <c r="B29" s="165" t="s">
        <v>701</v>
      </c>
      <c r="C29" s="164">
        <v>280276.7</v>
      </c>
      <c r="D29" s="164">
        <v>88</v>
      </c>
      <c r="E29" s="164">
        <v>6287562075</v>
      </c>
      <c r="F29" s="164">
        <v>6421824</v>
      </c>
      <c r="G29" s="164">
        <v>-1265200993</v>
      </c>
      <c r="H29" s="164">
        <v>1753918</v>
      </c>
      <c r="I29" s="164">
        <v>0</v>
      </c>
      <c r="J29" s="164">
        <v>64705102</v>
      </c>
      <c r="K29" s="164">
        <v>20940566</v>
      </c>
      <c r="L29" s="164">
        <v>443098391</v>
      </c>
      <c r="M29" s="164">
        <v>47876497</v>
      </c>
      <c r="N29" s="164">
        <v>4550</v>
      </c>
      <c r="O29" s="164">
        <v>0</v>
      </c>
      <c r="P29" s="164">
        <v>0</v>
      </c>
      <c r="Q29" s="164">
        <v>0</v>
      </c>
      <c r="R29" s="164">
        <v>529754795</v>
      </c>
      <c r="S29" s="164">
        <v>5342</v>
      </c>
      <c r="T29" s="164">
        <v>539638712</v>
      </c>
      <c r="U29" s="164">
        <v>71910848</v>
      </c>
      <c r="V29" s="164">
        <v>0</v>
      </c>
      <c r="W29" s="164">
        <v>1198720785</v>
      </c>
      <c r="Y29" s="170">
        <f t="shared" si="3"/>
        <v>28354.809729099848</v>
      </c>
      <c r="Z29" s="168">
        <f t="shared" si="18"/>
        <v>17942.208517511444</v>
      </c>
      <c r="AA29" s="168">
        <f t="shared" si="18"/>
        <v>237.11931815951877</v>
      </c>
      <c r="AB29" s="168">
        <f t="shared" si="18"/>
        <v>74.713902368623579</v>
      </c>
      <c r="AC29" s="168">
        <f t="shared" si="18"/>
        <v>1580.9319540297142</v>
      </c>
      <c r="AD29" s="168">
        <f t="shared" si="18"/>
        <v>170.8349177794658</v>
      </c>
      <c r="AE29" s="168">
        <f t="shared" si="18"/>
        <v>1890.1326332156757</v>
      </c>
      <c r="AF29" s="168">
        <f t="shared" si="18"/>
        <v>1925.3784278179385</v>
      </c>
      <c r="AG29" s="168">
        <f t="shared" si="18"/>
        <v>256.57091010419344</v>
      </c>
      <c r="AH29" s="168">
        <f t="shared" si="18"/>
        <v>4276.9191481132748</v>
      </c>
      <c r="AJ29" s="181">
        <f>SUMIFS('Working-T05-B2'!$S$8:$S$150,'Working-T05-B2'!$G$8:$G$150,$A29)</f>
        <v>0</v>
      </c>
      <c r="AK29" s="18">
        <f t="shared" si="5"/>
        <v>280276.7</v>
      </c>
      <c r="AM29" s="270">
        <v>0.01</v>
      </c>
      <c r="AN29" s="270"/>
      <c r="AO29" s="270"/>
      <c r="AP29" s="270"/>
      <c r="AQ29" s="270"/>
      <c r="AR29" s="270"/>
      <c r="AS29" s="270"/>
      <c r="AT29" s="270"/>
      <c r="AU29" s="270"/>
      <c r="AW29" s="170">
        <f t="shared" si="6"/>
        <v>28175.387643924732</v>
      </c>
      <c r="AX29" s="168">
        <f t="shared" si="7"/>
        <v>17762.786432336328</v>
      </c>
      <c r="AY29" s="168">
        <f t="shared" si="8"/>
        <v>237.11931815951877</v>
      </c>
      <c r="AZ29" s="168">
        <f t="shared" si="9"/>
        <v>74.713902368623579</v>
      </c>
      <c r="BA29" s="168">
        <f t="shared" si="10"/>
        <v>1580.9319540297142</v>
      </c>
      <c r="BB29" s="168">
        <f t="shared" si="11"/>
        <v>170.8349177794658</v>
      </c>
      <c r="BC29" s="168">
        <f t="shared" si="12"/>
        <v>1890.1326332156757</v>
      </c>
      <c r="BD29" s="168">
        <f t="shared" si="13"/>
        <v>1925.3784278179385</v>
      </c>
      <c r="BE29" s="168">
        <f t="shared" si="14"/>
        <v>256.57091010419344</v>
      </c>
      <c r="BF29" s="168">
        <f t="shared" si="15"/>
        <v>4276.9191481132748</v>
      </c>
    </row>
    <row r="30" spans="1:58" x14ac:dyDescent="0.25">
      <c r="A30" s="165" t="s">
        <v>796</v>
      </c>
      <c r="B30" s="165" t="s">
        <v>797</v>
      </c>
      <c r="C30" s="164">
        <v>22575</v>
      </c>
      <c r="D30" s="164">
        <v>0</v>
      </c>
      <c r="E30" s="164">
        <v>491727910</v>
      </c>
      <c r="F30" s="164">
        <v>0</v>
      </c>
      <c r="G30" s="164">
        <v>-46402762</v>
      </c>
      <c r="H30" s="164">
        <v>38503</v>
      </c>
      <c r="I30" s="164">
        <v>0</v>
      </c>
      <c r="J30" s="164">
        <v>5575795</v>
      </c>
      <c r="K30" s="164">
        <v>7427</v>
      </c>
      <c r="L30" s="164">
        <v>22058748</v>
      </c>
      <c r="M30" s="164">
        <v>4833826</v>
      </c>
      <c r="N30" s="164">
        <v>0</v>
      </c>
      <c r="O30" s="164">
        <v>0</v>
      </c>
      <c r="P30" s="164">
        <v>0</v>
      </c>
      <c r="Q30" s="164">
        <v>0</v>
      </c>
      <c r="R30" s="164">
        <v>30145428</v>
      </c>
      <c r="S30" s="164">
        <v>6646</v>
      </c>
      <c r="T30" s="164">
        <v>26600030</v>
      </c>
      <c r="U30" s="164">
        <v>6899573</v>
      </c>
      <c r="V30" s="164">
        <v>0</v>
      </c>
      <c r="W30" s="164">
        <v>43600730</v>
      </c>
      <c r="Y30" s="170">
        <f t="shared" si="3"/>
        <v>25917.69009966778</v>
      </c>
      <c r="Z30" s="168">
        <f t="shared" si="18"/>
        <v>19726.47388704319</v>
      </c>
      <c r="AA30" s="168">
        <f t="shared" si="18"/>
        <v>248.69537098560355</v>
      </c>
      <c r="AB30" s="168">
        <f t="shared" si="18"/>
        <v>0.32899224806201549</v>
      </c>
      <c r="AC30" s="168">
        <f t="shared" si="18"/>
        <v>977.13169435215946</v>
      </c>
      <c r="AD30" s="168">
        <f t="shared" si="18"/>
        <v>214.12296788482834</v>
      </c>
      <c r="AE30" s="168">
        <f t="shared" si="18"/>
        <v>1335.6400442967886</v>
      </c>
      <c r="AF30" s="168">
        <f t="shared" si="18"/>
        <v>1178.2959025470652</v>
      </c>
      <c r="AG30" s="168">
        <f t="shared" si="18"/>
        <v>305.62892580287928</v>
      </c>
      <c r="AH30" s="168">
        <f t="shared" si="18"/>
        <v>1931.3723145071983</v>
      </c>
      <c r="AJ30" s="181">
        <f>SUMIFS('Working-T05-B2'!$S$8:$S$150,'Working-T05-B2'!$G$8:$G$150,$A30)</f>
        <v>0</v>
      </c>
      <c r="AK30" s="18">
        <f t="shared" si="5"/>
        <v>22575</v>
      </c>
      <c r="AM30" s="270"/>
      <c r="AN30" s="270"/>
      <c r="AO30" s="270"/>
      <c r="AP30" s="270"/>
      <c r="AQ30" s="270"/>
      <c r="AR30" s="270"/>
      <c r="AS30" s="270"/>
      <c r="AT30" s="270"/>
      <c r="AU30" s="270"/>
      <c r="AW30" s="170">
        <f t="shared" si="6"/>
        <v>25917.69009966778</v>
      </c>
      <c r="AX30" s="168">
        <f t="shared" si="7"/>
        <v>19726.47388704319</v>
      </c>
      <c r="AY30" s="168">
        <f t="shared" si="8"/>
        <v>248.69537098560355</v>
      </c>
      <c r="AZ30" s="168">
        <f t="shared" si="9"/>
        <v>0.32899224806201549</v>
      </c>
      <c r="BA30" s="168">
        <f t="shared" si="10"/>
        <v>977.13169435215946</v>
      </c>
      <c r="BB30" s="168">
        <f t="shared" si="11"/>
        <v>214.12296788482834</v>
      </c>
      <c r="BC30" s="168">
        <f t="shared" si="12"/>
        <v>1335.6400442967886</v>
      </c>
      <c r="BD30" s="168">
        <f t="shared" si="13"/>
        <v>1178.2959025470652</v>
      </c>
      <c r="BE30" s="168">
        <f t="shared" si="14"/>
        <v>305.62892580287928</v>
      </c>
      <c r="BF30" s="168">
        <f t="shared" si="15"/>
        <v>1931.3723145071983</v>
      </c>
    </row>
    <row r="31" spans="1:58" x14ac:dyDescent="0.25">
      <c r="A31" s="165" t="s">
        <v>799</v>
      </c>
      <c r="B31" s="165" t="s">
        <v>800</v>
      </c>
      <c r="C31" s="164">
        <v>10900</v>
      </c>
      <c r="D31" s="164">
        <v>0</v>
      </c>
      <c r="E31" s="164">
        <v>241176194</v>
      </c>
      <c r="F31" s="164">
        <v>0</v>
      </c>
      <c r="G31" s="164">
        <v>-13345140</v>
      </c>
      <c r="H31" s="164">
        <v>61499</v>
      </c>
      <c r="I31" s="164">
        <v>0</v>
      </c>
      <c r="J31" s="164">
        <v>2649566</v>
      </c>
      <c r="K31" s="164">
        <v>1795</v>
      </c>
      <c r="L31" s="164">
        <v>18712525</v>
      </c>
      <c r="M31" s="164">
        <v>3781165</v>
      </c>
      <c r="N31" s="164">
        <v>0</v>
      </c>
      <c r="O31" s="164">
        <v>0</v>
      </c>
      <c r="P31" s="164">
        <v>0</v>
      </c>
      <c r="Q31" s="164">
        <v>0</v>
      </c>
      <c r="R31" s="164">
        <v>25631454</v>
      </c>
      <c r="S31" s="164">
        <v>11209</v>
      </c>
      <c r="T31" s="164">
        <v>23420649</v>
      </c>
      <c r="U31" s="164">
        <v>8231799</v>
      </c>
      <c r="V31" s="164">
        <v>0</v>
      </c>
      <c r="W31" s="164">
        <v>41381430</v>
      </c>
      <c r="Y31" s="170">
        <f t="shared" si="3"/>
        <v>32267.35275229358</v>
      </c>
      <c r="Z31" s="168">
        <f t="shared" si="18"/>
        <v>20901.931559633027</v>
      </c>
      <c r="AA31" s="168">
        <f t="shared" si="18"/>
        <v>248.72155963302751</v>
      </c>
      <c r="AB31" s="168">
        <f t="shared" si="18"/>
        <v>0.1646788990825688</v>
      </c>
      <c r="AC31" s="168">
        <f t="shared" si="18"/>
        <v>1716.7454128440368</v>
      </c>
      <c r="AD31" s="168">
        <f t="shared" si="18"/>
        <v>346.89587155963301</v>
      </c>
      <c r="AE31" s="168">
        <f t="shared" si="18"/>
        <v>2352.5378899082571</v>
      </c>
      <c r="AF31" s="168">
        <f t="shared" si="18"/>
        <v>2148.6833944954128</v>
      </c>
      <c r="AG31" s="168">
        <f t="shared" si="18"/>
        <v>755.21091743119268</v>
      </c>
      <c r="AH31" s="168">
        <f t="shared" si="18"/>
        <v>3796.4614678899084</v>
      </c>
      <c r="AJ31" s="181">
        <f>SUMIFS('Working-T05-B2'!$S$8:$S$150,'Working-T05-B2'!$G$8:$G$150,$A31)</f>
        <v>0</v>
      </c>
      <c r="AK31" s="18">
        <f t="shared" si="5"/>
        <v>10900</v>
      </c>
      <c r="AM31" s="270"/>
      <c r="AN31" s="270"/>
      <c r="AO31" s="270"/>
      <c r="AP31" s="270"/>
      <c r="AQ31" s="270"/>
      <c r="AR31" s="270"/>
      <c r="AS31" s="270"/>
      <c r="AT31" s="270"/>
      <c r="AU31" s="270"/>
      <c r="AW31" s="170">
        <f t="shared" si="6"/>
        <v>32267.35275229358</v>
      </c>
      <c r="AX31" s="168">
        <f t="shared" si="7"/>
        <v>20901.931559633027</v>
      </c>
      <c r="AY31" s="168">
        <f t="shared" si="8"/>
        <v>248.72155963302751</v>
      </c>
      <c r="AZ31" s="168">
        <f t="shared" si="9"/>
        <v>0.1646788990825688</v>
      </c>
      <c r="BA31" s="168">
        <f t="shared" si="10"/>
        <v>1716.7454128440368</v>
      </c>
      <c r="BB31" s="168">
        <f t="shared" si="11"/>
        <v>346.89587155963301</v>
      </c>
      <c r="BC31" s="168">
        <f t="shared" si="12"/>
        <v>2352.5378899082571</v>
      </c>
      <c r="BD31" s="168">
        <f t="shared" si="13"/>
        <v>2148.6833944954128</v>
      </c>
      <c r="BE31" s="168">
        <f t="shared" si="14"/>
        <v>755.21091743119268</v>
      </c>
      <c r="BF31" s="168">
        <f t="shared" si="15"/>
        <v>3796.4614678899084</v>
      </c>
    </row>
    <row r="32" spans="1:58" x14ac:dyDescent="0.25">
      <c r="A32" s="165" t="s">
        <v>261</v>
      </c>
      <c r="B32" s="165" t="s">
        <v>805</v>
      </c>
      <c r="C32" s="164">
        <v>315160</v>
      </c>
      <c r="D32" s="164">
        <v>-92816104</v>
      </c>
      <c r="E32" s="164">
        <v>7705826136</v>
      </c>
      <c r="F32" s="164">
        <v>0</v>
      </c>
      <c r="G32" s="164">
        <v>-1139146450</v>
      </c>
      <c r="H32" s="164">
        <v>48176308</v>
      </c>
      <c r="I32" s="164">
        <v>0</v>
      </c>
      <c r="J32" s="164">
        <v>19189999</v>
      </c>
      <c r="K32" s="164">
        <v>375907460</v>
      </c>
      <c r="L32" s="164">
        <v>367876532</v>
      </c>
      <c r="M32" s="164">
        <v>63405025</v>
      </c>
      <c r="N32" s="164">
        <v>0</v>
      </c>
      <c r="O32" s="164">
        <v>0</v>
      </c>
      <c r="P32" s="164">
        <v>0</v>
      </c>
      <c r="Q32" s="164">
        <v>0</v>
      </c>
      <c r="R32" s="164">
        <v>434313940</v>
      </c>
      <c r="S32" s="164">
        <v>129565</v>
      </c>
      <c r="T32" s="164">
        <v>382277313</v>
      </c>
      <c r="U32" s="164">
        <v>47397216</v>
      </c>
      <c r="V32" s="164">
        <v>0</v>
      </c>
      <c r="W32" s="164">
        <v>618654232</v>
      </c>
      <c r="Y32" s="170">
        <f t="shared" si="3"/>
        <v>28021.294491686764</v>
      </c>
      <c r="Z32" s="168">
        <f t="shared" si="18"/>
        <v>20541.514094428228</v>
      </c>
      <c r="AA32" s="168">
        <f t="shared" si="18"/>
        <v>213.7527192537124</v>
      </c>
      <c r="AB32" s="168">
        <f t="shared" si="18"/>
        <v>1192.7511740068537</v>
      </c>
      <c r="AC32" s="168">
        <f t="shared" si="18"/>
        <v>1167.2691077547913</v>
      </c>
      <c r="AD32" s="168">
        <f t="shared" si="18"/>
        <v>201.18360515293818</v>
      </c>
      <c r="AE32" s="168">
        <f t="shared" si="18"/>
        <v>1378.4855470237339</v>
      </c>
      <c r="AF32" s="168">
        <f t="shared" si="18"/>
        <v>1212.9626634090621</v>
      </c>
      <c r="AG32" s="168">
        <f t="shared" si="18"/>
        <v>150.3909633202183</v>
      </c>
      <c r="AH32" s="168">
        <f t="shared" si="18"/>
        <v>1962.9846173372255</v>
      </c>
      <c r="AJ32" s="181">
        <f>SUMIFS('Working-T05-B2'!$S$8:$S$150,'Working-T05-B2'!$G$8:$G$150,$A32)</f>
        <v>50000</v>
      </c>
      <c r="AK32" s="18">
        <f t="shared" si="5"/>
        <v>265160</v>
      </c>
      <c r="AM32" s="270"/>
      <c r="AN32" s="270"/>
      <c r="AO32" s="270"/>
      <c r="AP32" s="270"/>
      <c r="AQ32" s="270"/>
      <c r="AR32" s="270"/>
      <c r="AS32" s="270"/>
      <c r="AT32" s="270"/>
      <c r="AU32" s="270"/>
      <c r="AW32" s="170">
        <f t="shared" si="6"/>
        <v>28021.294491686764</v>
      </c>
      <c r="AX32" s="168">
        <f t="shared" si="7"/>
        <v>20541.514094428228</v>
      </c>
      <c r="AY32" s="168">
        <f t="shared" si="8"/>
        <v>213.7527192537124</v>
      </c>
      <c r="AZ32" s="168">
        <f t="shared" si="9"/>
        <v>1192.7511740068537</v>
      </c>
      <c r="BA32" s="168">
        <f t="shared" si="10"/>
        <v>1167.2691077547913</v>
      </c>
      <c r="BB32" s="168">
        <f t="shared" si="11"/>
        <v>201.18360515293818</v>
      </c>
      <c r="BC32" s="168">
        <f t="shared" si="12"/>
        <v>1378.4855470237339</v>
      </c>
      <c r="BD32" s="168">
        <f t="shared" si="13"/>
        <v>1212.9626634090621</v>
      </c>
      <c r="BE32" s="168">
        <f t="shared" si="14"/>
        <v>150.3909633202183</v>
      </c>
      <c r="BF32" s="168">
        <f t="shared" si="15"/>
        <v>1962.9846173372255</v>
      </c>
    </row>
    <row r="33" spans="1:58" x14ac:dyDescent="0.25">
      <c r="A33" s="165" t="s">
        <v>916</v>
      </c>
      <c r="B33" s="165" t="s">
        <v>917</v>
      </c>
      <c r="C33" s="164">
        <v>3612</v>
      </c>
      <c r="D33" s="164">
        <v>0</v>
      </c>
      <c r="E33" s="164">
        <v>108054559</v>
      </c>
      <c r="F33" s="164">
        <v>0</v>
      </c>
      <c r="G33" s="164">
        <v>-13966915</v>
      </c>
      <c r="H33" s="164">
        <v>4199</v>
      </c>
      <c r="I33" s="164">
        <v>0</v>
      </c>
      <c r="J33" s="164">
        <v>704914</v>
      </c>
      <c r="K33" s="164">
        <v>7320</v>
      </c>
      <c r="L33" s="164">
        <v>2695279</v>
      </c>
      <c r="M33" s="164">
        <v>696359</v>
      </c>
      <c r="N33" s="164">
        <v>0</v>
      </c>
      <c r="O33" s="164">
        <v>0</v>
      </c>
      <c r="P33" s="164">
        <v>0</v>
      </c>
      <c r="Q33" s="164">
        <v>0</v>
      </c>
      <c r="R33" s="164">
        <v>3596068</v>
      </c>
      <c r="S33" s="164">
        <v>45930</v>
      </c>
      <c r="T33" s="164">
        <v>3890876</v>
      </c>
      <c r="U33" s="164">
        <v>4262887</v>
      </c>
      <c r="V33" s="164">
        <v>0</v>
      </c>
      <c r="W33" s="164">
        <v>20480728</v>
      </c>
      <c r="Y33" s="170">
        <f t="shared" si="3"/>
        <v>36121.872646733114</v>
      </c>
      <c r="Z33" s="168">
        <f t="shared" ref="Z33:AH47" si="20">IFERROR(SUMIFS($D33:$W33,$D$1:$W$1,Z$3)/$C33,0)</f>
        <v>26048.627906976744</v>
      </c>
      <c r="AA33" s="168">
        <f t="shared" si="20"/>
        <v>196.32142857142858</v>
      </c>
      <c r="AB33" s="168">
        <f t="shared" si="20"/>
        <v>2.0265780730897012</v>
      </c>
      <c r="AC33" s="168">
        <f t="shared" si="20"/>
        <v>746.20127353266889</v>
      </c>
      <c r="AD33" s="168">
        <f t="shared" si="20"/>
        <v>192.79042081949058</v>
      </c>
      <c r="AE33" s="168">
        <f t="shared" si="20"/>
        <v>1008.3050941306756</v>
      </c>
      <c r="AF33" s="168">
        <f t="shared" si="20"/>
        <v>1077.2081949058693</v>
      </c>
      <c r="AG33" s="168">
        <f t="shared" si="20"/>
        <v>1180.2012735326689</v>
      </c>
      <c r="AH33" s="168">
        <f t="shared" si="20"/>
        <v>5670.1904761904761</v>
      </c>
      <c r="AJ33" s="181">
        <f>SUMIFS('Working-T05-B2'!$S$8:$S$150,'Working-T05-B2'!$G$8:$G$150,$A33)</f>
        <v>0</v>
      </c>
      <c r="AK33" s="18">
        <f t="shared" si="5"/>
        <v>3612</v>
      </c>
      <c r="AM33" s="270"/>
      <c r="AN33" s="270"/>
      <c r="AO33" s="270"/>
      <c r="AP33" s="270"/>
      <c r="AQ33" s="270"/>
      <c r="AR33" s="270"/>
      <c r="AS33" s="270"/>
      <c r="AT33" s="270"/>
      <c r="AU33" s="270"/>
      <c r="AW33" s="170">
        <f t="shared" si="6"/>
        <v>36121.872646733114</v>
      </c>
      <c r="AX33" s="168">
        <f t="shared" si="7"/>
        <v>26048.627906976744</v>
      </c>
      <c r="AY33" s="168">
        <f t="shared" si="8"/>
        <v>196.32142857142858</v>
      </c>
      <c r="AZ33" s="168">
        <f t="shared" si="9"/>
        <v>2.0265780730897012</v>
      </c>
      <c r="BA33" s="168">
        <f t="shared" si="10"/>
        <v>746.20127353266889</v>
      </c>
      <c r="BB33" s="168">
        <f t="shared" si="11"/>
        <v>192.79042081949058</v>
      </c>
      <c r="BC33" s="168">
        <f t="shared" si="12"/>
        <v>1008.3050941306756</v>
      </c>
      <c r="BD33" s="168">
        <f t="shared" si="13"/>
        <v>1077.2081949058693</v>
      </c>
      <c r="BE33" s="168">
        <f t="shared" si="14"/>
        <v>1180.2012735326689</v>
      </c>
      <c r="BF33" s="168">
        <f t="shared" si="15"/>
        <v>5670.1904761904761</v>
      </c>
    </row>
    <row r="34" spans="1:58" x14ac:dyDescent="0.25">
      <c r="A34" s="165" t="s">
        <v>1316</v>
      </c>
      <c r="B34" s="165" t="s">
        <v>1317</v>
      </c>
      <c r="C34" s="164">
        <v>20078</v>
      </c>
      <c r="D34" s="164">
        <v>69782</v>
      </c>
      <c r="E34" s="164">
        <v>631703538</v>
      </c>
      <c r="F34" s="164">
        <v>0</v>
      </c>
      <c r="G34" s="164">
        <v>-271272470</v>
      </c>
      <c r="H34" s="164">
        <v>38641672</v>
      </c>
      <c r="I34" s="164">
        <v>0</v>
      </c>
      <c r="J34" s="164">
        <v>3153112</v>
      </c>
      <c r="K34" s="164">
        <v>10071256</v>
      </c>
      <c r="L34" s="164">
        <v>44119359</v>
      </c>
      <c r="M34" s="164">
        <v>8453551</v>
      </c>
      <c r="N34" s="164">
        <v>0</v>
      </c>
      <c r="O34" s="164">
        <v>0</v>
      </c>
      <c r="P34" s="164">
        <v>0</v>
      </c>
      <c r="Q34" s="164">
        <v>0</v>
      </c>
      <c r="R34" s="164">
        <v>39849406</v>
      </c>
      <c r="S34" s="164">
        <v>155026</v>
      </c>
      <c r="T34" s="164">
        <v>29736955</v>
      </c>
      <c r="U34" s="164">
        <v>24541015</v>
      </c>
      <c r="V34" s="164">
        <v>0</v>
      </c>
      <c r="W34" s="164">
        <v>34556190</v>
      </c>
      <c r="Y34" s="170">
        <f t="shared" si="3"/>
        <v>29573.58262775177</v>
      </c>
      <c r="Z34" s="168">
        <f t="shared" si="20"/>
        <v>17955.017930072718</v>
      </c>
      <c r="AA34" s="168">
        <f t="shared" si="20"/>
        <v>2081.620878573563</v>
      </c>
      <c r="AB34" s="168">
        <f t="shared" si="20"/>
        <v>501.60653451538997</v>
      </c>
      <c r="AC34" s="168">
        <f t="shared" si="20"/>
        <v>2197.3980974200617</v>
      </c>
      <c r="AD34" s="168">
        <f t="shared" si="20"/>
        <v>421.03551150512999</v>
      </c>
      <c r="AE34" s="168">
        <f t="shared" si="20"/>
        <v>1992.4510409403326</v>
      </c>
      <c r="AF34" s="168">
        <f t="shared" si="20"/>
        <v>1481.0715708735929</v>
      </c>
      <c r="AG34" s="168">
        <f t="shared" si="20"/>
        <v>1222.2838430122522</v>
      </c>
      <c r="AH34" s="168">
        <f t="shared" si="20"/>
        <v>1721.0972208387288</v>
      </c>
      <c r="AJ34" s="181">
        <f>SUMIFS('Working-T05-B2'!$S$8:$S$150,'Working-T05-B2'!$G$8:$G$150,$A34)</f>
        <v>8000</v>
      </c>
      <c r="AK34" s="18">
        <f t="shared" si="5"/>
        <v>12078</v>
      </c>
      <c r="AM34" s="270"/>
      <c r="AN34" s="270"/>
      <c r="AO34" s="270"/>
      <c r="AP34" s="270"/>
      <c r="AQ34" s="270"/>
      <c r="AR34" s="270"/>
      <c r="AS34" s="270"/>
      <c r="AT34" s="270"/>
      <c r="AU34" s="270"/>
      <c r="AW34" s="170">
        <f t="shared" si="6"/>
        <v>29573.58262775177</v>
      </c>
      <c r="AX34" s="168">
        <f t="shared" si="7"/>
        <v>17955.017930072718</v>
      </c>
      <c r="AY34" s="168">
        <f t="shared" si="8"/>
        <v>2081.620878573563</v>
      </c>
      <c r="AZ34" s="168">
        <f t="shared" si="9"/>
        <v>501.60653451538997</v>
      </c>
      <c r="BA34" s="168">
        <f t="shared" si="10"/>
        <v>2197.3980974200617</v>
      </c>
      <c r="BB34" s="168">
        <f t="shared" si="11"/>
        <v>421.03551150512999</v>
      </c>
      <c r="BC34" s="168">
        <f t="shared" si="12"/>
        <v>1992.4510409403326</v>
      </c>
      <c r="BD34" s="168">
        <f t="shared" si="13"/>
        <v>1481.0715708735929</v>
      </c>
      <c r="BE34" s="168">
        <f t="shared" si="14"/>
        <v>1222.2838430122522</v>
      </c>
      <c r="BF34" s="168">
        <f t="shared" si="15"/>
        <v>1721.0972208387288</v>
      </c>
    </row>
    <row r="35" spans="1:58" x14ac:dyDescent="0.25">
      <c r="A35" s="165" t="s">
        <v>1436</v>
      </c>
      <c r="B35" s="165" t="s">
        <v>1437</v>
      </c>
      <c r="C35" s="164">
        <v>28530</v>
      </c>
      <c r="D35" s="164">
        <v>18</v>
      </c>
      <c r="E35" s="164">
        <v>254627228</v>
      </c>
      <c r="F35" s="164">
        <v>4623608</v>
      </c>
      <c r="G35" s="164">
        <v>289057919</v>
      </c>
      <c r="H35" s="164">
        <v>804497</v>
      </c>
      <c r="I35" s="164">
        <v>0</v>
      </c>
      <c r="J35" s="164">
        <v>36277319</v>
      </c>
      <c r="K35" s="164">
        <v>144222</v>
      </c>
      <c r="L35" s="164">
        <v>28321228</v>
      </c>
      <c r="M35" s="164">
        <v>4349465</v>
      </c>
      <c r="N35" s="164">
        <v>2262</v>
      </c>
      <c r="O35" s="164">
        <v>0</v>
      </c>
      <c r="P35" s="164">
        <v>0</v>
      </c>
      <c r="Q35" s="164">
        <v>0</v>
      </c>
      <c r="R35" s="164">
        <v>25250213</v>
      </c>
      <c r="S35" s="164">
        <v>2671</v>
      </c>
      <c r="T35" s="164">
        <v>33027009</v>
      </c>
      <c r="U35" s="164">
        <v>15817379</v>
      </c>
      <c r="V35" s="164">
        <v>0</v>
      </c>
      <c r="W35" s="164">
        <v>68710550</v>
      </c>
      <c r="Y35" s="170">
        <f t="shared" si="3"/>
        <v>26674.223203645288</v>
      </c>
      <c r="Z35" s="168">
        <f t="shared" si="20"/>
        <v>19218.674132492113</v>
      </c>
      <c r="AA35" s="168">
        <f t="shared" si="20"/>
        <v>1299.7481948825798</v>
      </c>
      <c r="AB35" s="168">
        <f t="shared" si="20"/>
        <v>5.0550998948475288</v>
      </c>
      <c r="AC35" s="168">
        <f t="shared" si="20"/>
        <v>992.68236943568172</v>
      </c>
      <c r="AD35" s="168">
        <f t="shared" si="20"/>
        <v>152.53161584297231</v>
      </c>
      <c r="AE35" s="168">
        <f t="shared" si="20"/>
        <v>885.1343848580442</v>
      </c>
      <c r="AF35" s="168">
        <f t="shared" si="20"/>
        <v>1157.6238696109358</v>
      </c>
      <c r="AG35" s="168">
        <f t="shared" si="20"/>
        <v>554.41216263582191</v>
      </c>
      <c r="AH35" s="168">
        <f t="shared" si="20"/>
        <v>2408.3613739922889</v>
      </c>
      <c r="AJ35" s="181">
        <f>SUMIFS('Working-T05-B2'!$S$8:$S$150,'Working-T05-B2'!$G$8:$G$150,$A35)</f>
        <v>0</v>
      </c>
      <c r="AK35" s="18">
        <f t="shared" si="5"/>
        <v>28530</v>
      </c>
      <c r="AM35" s="270">
        <v>0.01</v>
      </c>
      <c r="AN35" s="270"/>
      <c r="AO35" s="270"/>
      <c r="AP35" s="270"/>
      <c r="AQ35" s="270"/>
      <c r="AR35" s="270"/>
      <c r="AS35" s="270"/>
      <c r="AT35" s="270"/>
      <c r="AU35" s="270"/>
      <c r="AW35" s="170">
        <f t="shared" si="6"/>
        <v>26482.036462320368</v>
      </c>
      <c r="AX35" s="168">
        <f t="shared" si="7"/>
        <v>19026.487391167193</v>
      </c>
      <c r="AY35" s="168">
        <f t="shared" si="8"/>
        <v>1299.7481948825798</v>
      </c>
      <c r="AZ35" s="168">
        <f t="shared" si="9"/>
        <v>5.0550998948475288</v>
      </c>
      <c r="BA35" s="168">
        <f t="shared" si="10"/>
        <v>992.68236943568172</v>
      </c>
      <c r="BB35" s="168">
        <f t="shared" si="11"/>
        <v>152.53161584297231</v>
      </c>
      <c r="BC35" s="168">
        <f t="shared" si="12"/>
        <v>885.1343848580442</v>
      </c>
      <c r="BD35" s="168">
        <f t="shared" si="13"/>
        <v>1157.6238696109358</v>
      </c>
      <c r="BE35" s="168">
        <f t="shared" si="14"/>
        <v>554.41216263582191</v>
      </c>
      <c r="BF35" s="168">
        <f t="shared" si="15"/>
        <v>2408.3613739922889</v>
      </c>
    </row>
    <row r="36" spans="1:58" s="189" customFormat="1" x14ac:dyDescent="0.25">
      <c r="A36" s="187" t="s">
        <v>1842</v>
      </c>
      <c r="B36" s="187" t="s">
        <v>1843</v>
      </c>
      <c r="C36" s="188">
        <v>1392</v>
      </c>
      <c r="D36" s="188">
        <v>0</v>
      </c>
      <c r="E36" s="188">
        <v>4498158</v>
      </c>
      <c r="F36" s="188">
        <v>0</v>
      </c>
      <c r="G36" s="188">
        <v>26914309</v>
      </c>
      <c r="H36" s="188">
        <v>4392</v>
      </c>
      <c r="I36" s="188">
        <v>0</v>
      </c>
      <c r="J36" s="188">
        <v>44615</v>
      </c>
      <c r="K36" s="188">
        <v>0</v>
      </c>
      <c r="L36" s="188">
        <v>221949</v>
      </c>
      <c r="M36" s="188">
        <v>0</v>
      </c>
      <c r="N36" s="188">
        <v>0</v>
      </c>
      <c r="O36" s="188">
        <v>0</v>
      </c>
      <c r="P36" s="188">
        <v>0</v>
      </c>
      <c r="Q36" s="188">
        <v>0</v>
      </c>
      <c r="R36" s="188">
        <v>848755</v>
      </c>
      <c r="S36" s="188">
        <v>0</v>
      </c>
      <c r="T36" s="188">
        <v>1211649</v>
      </c>
      <c r="U36" s="188">
        <v>133591</v>
      </c>
      <c r="V36" s="188">
        <v>0</v>
      </c>
      <c r="W36" s="188">
        <v>2210192</v>
      </c>
      <c r="Y36" s="190">
        <f t="shared" si="3"/>
        <v>25925.007183908048</v>
      </c>
      <c r="Z36" s="191">
        <f t="shared" si="20"/>
        <v>22566.427442528737</v>
      </c>
      <c r="AA36" s="191">
        <f t="shared" si="20"/>
        <v>35.206178160919542</v>
      </c>
      <c r="AB36" s="191">
        <f t="shared" si="20"/>
        <v>0</v>
      </c>
      <c r="AC36" s="191">
        <f t="shared" si="20"/>
        <v>159.44612068965517</v>
      </c>
      <c r="AD36" s="191">
        <f t="shared" si="20"/>
        <v>0</v>
      </c>
      <c r="AE36" s="191">
        <f t="shared" si="20"/>
        <v>609.73778735632186</v>
      </c>
      <c r="AF36" s="191">
        <f t="shared" si="20"/>
        <v>870.4375</v>
      </c>
      <c r="AG36" s="191">
        <f t="shared" si="20"/>
        <v>95.970545977011497</v>
      </c>
      <c r="AH36" s="191">
        <f t="shared" si="20"/>
        <v>1587.7816091954023</v>
      </c>
      <c r="AJ36" s="191">
        <f>SUMIFS('Working-T05-B2'!$S$8:$S$150,'Working-T05-B2'!$G$8:$G$150,$A36)</f>
        <v>770000</v>
      </c>
      <c r="AK36" s="192">
        <f t="shared" si="5"/>
        <v>-768608</v>
      </c>
      <c r="AM36" s="269">
        <v>0.01</v>
      </c>
      <c r="AN36" s="269"/>
      <c r="AO36" s="269"/>
      <c r="AP36" s="269"/>
      <c r="AQ36" s="269"/>
      <c r="AR36" s="269"/>
      <c r="AS36" s="269"/>
      <c r="AT36" s="269"/>
      <c r="AU36" s="269"/>
      <c r="AW36" s="190">
        <f t="shared" si="6"/>
        <v>25699.342909482759</v>
      </c>
      <c r="AX36" s="191">
        <f t="shared" si="7"/>
        <v>22340.763168103451</v>
      </c>
      <c r="AY36" s="191">
        <f t="shared" si="8"/>
        <v>35.206178160919542</v>
      </c>
      <c r="AZ36" s="191">
        <f t="shared" si="9"/>
        <v>0</v>
      </c>
      <c r="BA36" s="191">
        <f t="shared" si="10"/>
        <v>159.44612068965517</v>
      </c>
      <c r="BB36" s="191">
        <f t="shared" si="11"/>
        <v>0</v>
      </c>
      <c r="BC36" s="191">
        <f t="shared" si="12"/>
        <v>609.73778735632186</v>
      </c>
      <c r="BD36" s="191">
        <f t="shared" si="13"/>
        <v>870.4375</v>
      </c>
      <c r="BE36" s="191">
        <f t="shared" si="14"/>
        <v>95.970545977011497</v>
      </c>
      <c r="BF36" s="191">
        <f t="shared" si="15"/>
        <v>1587.7816091954023</v>
      </c>
    </row>
    <row r="37" spans="1:58" x14ac:dyDescent="0.25">
      <c r="A37" s="165" t="s">
        <v>2493</v>
      </c>
      <c r="B37" s="165" t="s">
        <v>2505</v>
      </c>
      <c r="C37" s="164">
        <v>0</v>
      </c>
      <c r="D37" s="164">
        <v>0</v>
      </c>
      <c r="E37" s="164">
        <v>0</v>
      </c>
      <c r="F37" s="164">
        <v>0</v>
      </c>
      <c r="G37" s="164">
        <v>0</v>
      </c>
      <c r="H37" s="164">
        <v>0</v>
      </c>
      <c r="I37" s="164">
        <v>0</v>
      </c>
      <c r="J37" s="164">
        <v>0</v>
      </c>
      <c r="K37" s="164">
        <v>0</v>
      </c>
      <c r="L37" s="164">
        <v>0</v>
      </c>
      <c r="M37" s="164">
        <v>0</v>
      </c>
      <c r="N37" s="164">
        <v>0</v>
      </c>
      <c r="O37" s="164">
        <v>0</v>
      </c>
      <c r="P37" s="164">
        <v>0</v>
      </c>
      <c r="Q37" s="164">
        <v>0</v>
      </c>
      <c r="R37" s="164">
        <v>0</v>
      </c>
      <c r="S37" s="164">
        <v>0</v>
      </c>
      <c r="T37" s="164">
        <v>0</v>
      </c>
      <c r="U37" s="164">
        <v>0</v>
      </c>
      <c r="V37" s="164">
        <v>0</v>
      </c>
      <c r="W37" s="164">
        <v>0</v>
      </c>
      <c r="Y37" s="170">
        <f t="shared" si="3"/>
        <v>0</v>
      </c>
      <c r="Z37" s="168">
        <f t="shared" si="20"/>
        <v>0</v>
      </c>
      <c r="AA37" s="168">
        <f t="shared" si="20"/>
        <v>0</v>
      </c>
      <c r="AB37" s="168">
        <f t="shared" si="20"/>
        <v>0</v>
      </c>
      <c r="AC37" s="168">
        <f t="shared" si="20"/>
        <v>0</v>
      </c>
      <c r="AD37" s="168">
        <f t="shared" si="20"/>
        <v>0</v>
      </c>
      <c r="AE37" s="168">
        <f t="shared" si="20"/>
        <v>0</v>
      </c>
      <c r="AF37" s="168">
        <f t="shared" si="20"/>
        <v>0</v>
      </c>
      <c r="AG37" s="168">
        <f t="shared" si="20"/>
        <v>0</v>
      </c>
      <c r="AH37" s="168">
        <f t="shared" si="20"/>
        <v>0</v>
      </c>
      <c r="AJ37" s="181">
        <f>SUMIFS('Working-T05-B2'!$S$8:$S$150,'Working-T05-B2'!$G$8:$G$150,$A37)</f>
        <v>0</v>
      </c>
      <c r="AK37" s="18">
        <f t="shared" si="5"/>
        <v>0</v>
      </c>
      <c r="AM37" s="270">
        <v>0.01</v>
      </c>
      <c r="AN37" s="270"/>
      <c r="AO37" s="270"/>
      <c r="AP37" s="270"/>
      <c r="AQ37" s="270"/>
      <c r="AR37" s="270"/>
      <c r="AS37" s="270"/>
      <c r="AT37" s="270"/>
      <c r="AU37" s="270"/>
      <c r="AW37" s="170">
        <f t="shared" si="6"/>
        <v>22491</v>
      </c>
      <c r="AX37" s="193">
        <f>SUMIFS(WSS03NC!$F$29:$F$48,WSS03NC!$C$29:$C$48,'GIÁ XUẤT KHO'!AX$3)/10^3</f>
        <v>19241.652999999998</v>
      </c>
      <c r="AY37" s="193">
        <f>SUMIFS(WSS03NC!$F$29:$F$48,WSS03NC!$C$29:$C$48,'GIÁ XUẤT KHO'!AY$3)/10^3</f>
        <v>1031.557</v>
      </c>
      <c r="AZ37" s="193">
        <f>SUMIFS(WSS03NC!$F$29:$F$48,WSS03NC!$C$29:$C$48,'GIÁ XUẤT KHO'!AZ$3)/10^3</f>
        <v>158.50800000000001</v>
      </c>
      <c r="BA37" s="193">
        <f>SUMIFS(WSS03NC!$F$29:$F$48,WSS03NC!$C$29:$C$48,'GIÁ XUẤT KHO'!BA$3)/10^3</f>
        <v>547.178</v>
      </c>
      <c r="BB37" s="193">
        <f>SUMIFS(WSS03NC!$F$29:$F$48,WSS03NC!$C$29:$C$48,'GIÁ XUẤT KHO'!BB$3)/10^3</f>
        <v>0</v>
      </c>
      <c r="BC37" s="193">
        <f>SUMIFS(WSS03NC!$F$29:$F$48,WSS03NC!$C$29:$C$48,'GIÁ XUẤT KHO'!BC$3)/10^3</f>
        <v>235.5</v>
      </c>
      <c r="BD37" s="193">
        <f>SUMIFS(WSS03NC!$F$29:$F$48,WSS03NC!$C$29:$C$48,'GIÁ XUẤT KHO'!BD$3)/10^3</f>
        <v>318</v>
      </c>
      <c r="BE37" s="193">
        <f>SUMIFS(WSS03NC!$F$29:$F$48,WSS03NC!$C$29:$C$48,'GIÁ XUẤT KHO'!BE$3)/10^3</f>
        <v>238.60400000000001</v>
      </c>
      <c r="BF37" s="193">
        <f>SUMIFS(WSS03NC!$F$29:$F$48,WSS03NC!$C$29:$C$48,'GIÁ XUẤT KHO'!BF$3)/10^3</f>
        <v>720</v>
      </c>
    </row>
    <row r="38" spans="1:58" x14ac:dyDescent="0.25">
      <c r="A38" s="165" t="s">
        <v>2057</v>
      </c>
      <c r="B38" s="165" t="s">
        <v>2062</v>
      </c>
      <c r="C38" s="164">
        <v>287537</v>
      </c>
      <c r="D38" s="164">
        <v>0</v>
      </c>
      <c r="E38" s="164">
        <v>0</v>
      </c>
      <c r="F38" s="164">
        <v>0</v>
      </c>
      <c r="G38" s="164">
        <v>2477567416</v>
      </c>
      <c r="H38" s="164">
        <v>0</v>
      </c>
      <c r="I38" s="164">
        <v>0</v>
      </c>
      <c r="J38" s="164">
        <v>0</v>
      </c>
      <c r="K38" s="164">
        <v>0</v>
      </c>
      <c r="L38" s="164">
        <v>0</v>
      </c>
      <c r="M38" s="164">
        <v>0</v>
      </c>
      <c r="N38" s="164">
        <v>0</v>
      </c>
      <c r="O38" s="164">
        <v>0</v>
      </c>
      <c r="P38" s="164">
        <v>0</v>
      </c>
      <c r="Q38" s="164">
        <v>0</v>
      </c>
      <c r="R38" s="164">
        <v>0</v>
      </c>
      <c r="S38" s="164">
        <v>0</v>
      </c>
      <c r="T38" s="164">
        <v>0</v>
      </c>
      <c r="U38" s="164">
        <v>0</v>
      </c>
      <c r="V38" s="164">
        <v>0</v>
      </c>
      <c r="W38" s="164">
        <v>0</v>
      </c>
      <c r="Y38" s="170">
        <f t="shared" si="3"/>
        <v>8616.5168865224296</v>
      </c>
      <c r="Z38" s="168">
        <f t="shared" si="20"/>
        <v>8616.5168865224296</v>
      </c>
      <c r="AA38" s="168">
        <f t="shared" si="20"/>
        <v>0</v>
      </c>
      <c r="AB38" s="168">
        <f t="shared" si="20"/>
        <v>0</v>
      </c>
      <c r="AC38" s="168">
        <f t="shared" si="20"/>
        <v>0</v>
      </c>
      <c r="AD38" s="168">
        <f t="shared" si="20"/>
        <v>0</v>
      </c>
      <c r="AE38" s="168">
        <f t="shared" si="20"/>
        <v>0</v>
      </c>
      <c r="AF38" s="168">
        <f t="shared" si="20"/>
        <v>0</v>
      </c>
      <c r="AG38" s="168">
        <f t="shared" si="20"/>
        <v>0</v>
      </c>
      <c r="AH38" s="168">
        <f t="shared" si="20"/>
        <v>0</v>
      </c>
      <c r="AJ38" s="181">
        <f>SUMIFS('Working-T05-B2'!$S$8:$S$150,'Working-T05-B2'!$G$8:$G$150,$A38)</f>
        <v>0</v>
      </c>
      <c r="AK38" s="18">
        <f t="shared" si="5"/>
        <v>287537</v>
      </c>
      <c r="AM38" s="270"/>
      <c r="AN38" s="270"/>
      <c r="AO38" s="270"/>
      <c r="AP38" s="270"/>
      <c r="AQ38" s="270"/>
      <c r="AR38" s="270"/>
      <c r="AS38" s="270"/>
      <c r="AT38" s="270"/>
      <c r="AU38" s="270"/>
      <c r="AW38" s="170">
        <f t="shared" si="6"/>
        <v>8616.5168865224296</v>
      </c>
      <c r="AX38" s="168">
        <f t="shared" si="7"/>
        <v>8616.5168865224296</v>
      </c>
      <c r="AY38" s="168">
        <f t="shared" si="8"/>
        <v>0</v>
      </c>
      <c r="AZ38" s="168">
        <f t="shared" si="9"/>
        <v>0</v>
      </c>
      <c r="BA38" s="168">
        <f t="shared" si="10"/>
        <v>0</v>
      </c>
      <c r="BB38" s="168">
        <f t="shared" si="11"/>
        <v>0</v>
      </c>
      <c r="BC38" s="168">
        <f t="shared" si="12"/>
        <v>0</v>
      </c>
      <c r="BD38" s="168">
        <f t="shared" si="13"/>
        <v>0</v>
      </c>
      <c r="BE38" s="168">
        <f t="shared" si="14"/>
        <v>0</v>
      </c>
      <c r="BF38" s="168">
        <f t="shared" si="15"/>
        <v>0</v>
      </c>
    </row>
    <row r="39" spans="1:58" x14ac:dyDescent="0.25">
      <c r="A39" s="165" t="s">
        <v>257</v>
      </c>
      <c r="B39" s="165" t="s">
        <v>2604</v>
      </c>
      <c r="C39" s="164">
        <v>118597.882</v>
      </c>
      <c r="D39" s="164">
        <v>0</v>
      </c>
      <c r="E39" s="164">
        <v>0</v>
      </c>
      <c r="F39" s="164">
        <v>0</v>
      </c>
      <c r="G39" s="164">
        <v>594460446</v>
      </c>
      <c r="H39" s="164">
        <v>0</v>
      </c>
      <c r="I39" s="164">
        <v>0</v>
      </c>
      <c r="J39" s="164">
        <v>0</v>
      </c>
      <c r="K39" s="164">
        <v>0</v>
      </c>
      <c r="L39" s="164">
        <v>6230</v>
      </c>
      <c r="M39" s="164">
        <v>873</v>
      </c>
      <c r="N39" s="164">
        <v>0</v>
      </c>
      <c r="O39" s="164">
        <v>0</v>
      </c>
      <c r="P39" s="164">
        <v>0</v>
      </c>
      <c r="Q39" s="164">
        <v>0</v>
      </c>
      <c r="R39" s="164">
        <v>19980</v>
      </c>
      <c r="S39" s="164">
        <v>0</v>
      </c>
      <c r="T39" s="164">
        <v>10364</v>
      </c>
      <c r="U39" s="164">
        <v>14121</v>
      </c>
      <c r="V39" s="164">
        <v>0</v>
      </c>
      <c r="W39" s="164">
        <v>8572</v>
      </c>
      <c r="Y39" s="170">
        <f t="shared" si="3"/>
        <v>5012.9106521480717</v>
      </c>
      <c r="Z39" s="168">
        <f t="shared" si="20"/>
        <v>5012.4035604615601</v>
      </c>
      <c r="AA39" s="168">
        <f t="shared" si="20"/>
        <v>0</v>
      </c>
      <c r="AB39" s="168">
        <f t="shared" si="20"/>
        <v>0</v>
      </c>
      <c r="AC39" s="168">
        <f t="shared" si="20"/>
        <v>5.2530449068221977E-2</v>
      </c>
      <c r="AD39" s="168">
        <f t="shared" si="20"/>
        <v>7.3610083525774937E-3</v>
      </c>
      <c r="AE39" s="168">
        <f t="shared" si="20"/>
        <v>0.16846843858476326</v>
      </c>
      <c r="AF39" s="168">
        <f t="shared" si="20"/>
        <v>8.7387732607231552E-2</v>
      </c>
      <c r="AG39" s="168">
        <f t="shared" si="20"/>
        <v>0.11906620727004215</v>
      </c>
      <c r="AH39" s="168">
        <f t="shared" si="20"/>
        <v>7.2277850628057597E-2</v>
      </c>
      <c r="AJ39" s="181">
        <f>SUMIFS('Working-T05-B2'!$S$8:$S$150,'Working-T05-B2'!$G$8:$G$150,$A39)</f>
        <v>0</v>
      </c>
      <c r="AK39" s="18">
        <f t="shared" si="5"/>
        <v>118597.882</v>
      </c>
      <c r="AM39" s="270"/>
      <c r="AN39" s="270"/>
      <c r="AO39" s="270"/>
      <c r="AP39" s="270"/>
      <c r="AQ39" s="270"/>
      <c r="AR39" s="270"/>
      <c r="AS39" s="270"/>
      <c r="AT39" s="270"/>
      <c r="AU39" s="270"/>
      <c r="AW39" s="170">
        <f t="shared" si="6"/>
        <v>5012.9106521480717</v>
      </c>
      <c r="AX39" s="168">
        <f t="shared" si="7"/>
        <v>5012.4035604615601</v>
      </c>
      <c r="AY39" s="168">
        <f t="shared" si="8"/>
        <v>0</v>
      </c>
      <c r="AZ39" s="168">
        <f t="shared" si="9"/>
        <v>0</v>
      </c>
      <c r="BA39" s="168">
        <f t="shared" si="10"/>
        <v>5.2530449068221977E-2</v>
      </c>
      <c r="BB39" s="168">
        <f t="shared" si="11"/>
        <v>7.3610083525774937E-3</v>
      </c>
      <c r="BC39" s="168">
        <f t="shared" si="12"/>
        <v>0.16846843858476326</v>
      </c>
      <c r="BD39" s="168">
        <f t="shared" si="13"/>
        <v>8.7387732607231552E-2</v>
      </c>
      <c r="BE39" s="168">
        <f t="shared" si="14"/>
        <v>0.11906620727004215</v>
      </c>
      <c r="BF39" s="168">
        <f t="shared" si="15"/>
        <v>7.2277850628057597E-2</v>
      </c>
    </row>
    <row r="40" spans="1:58" x14ac:dyDescent="0.25">
      <c r="A40" s="165" t="s">
        <v>61</v>
      </c>
      <c r="B40" s="165" t="s">
        <v>784</v>
      </c>
      <c r="C40" s="164">
        <v>18937</v>
      </c>
      <c r="D40" s="164">
        <v>0</v>
      </c>
      <c r="E40" s="164">
        <v>0</v>
      </c>
      <c r="F40" s="164">
        <v>0</v>
      </c>
      <c r="G40" s="164">
        <v>195627759</v>
      </c>
      <c r="H40" s="164">
        <v>0</v>
      </c>
      <c r="I40" s="164">
        <v>0</v>
      </c>
      <c r="J40" s="164">
        <v>0</v>
      </c>
      <c r="K40" s="164">
        <v>0</v>
      </c>
      <c r="L40" s="164">
        <v>0</v>
      </c>
      <c r="M40" s="164">
        <v>0</v>
      </c>
      <c r="N40" s="164">
        <v>0</v>
      </c>
      <c r="O40" s="164">
        <v>0</v>
      </c>
      <c r="P40" s="164">
        <v>0</v>
      </c>
      <c r="Q40" s="164">
        <v>0</v>
      </c>
      <c r="R40" s="164">
        <v>131139</v>
      </c>
      <c r="S40" s="164">
        <v>0</v>
      </c>
      <c r="T40" s="164">
        <v>0</v>
      </c>
      <c r="U40" s="164">
        <v>0</v>
      </c>
      <c r="V40" s="164">
        <v>0</v>
      </c>
      <c r="W40" s="164">
        <v>0</v>
      </c>
      <c r="Y40" s="170">
        <f t="shared" si="3"/>
        <v>10337.376458784391</v>
      </c>
      <c r="Z40" s="168">
        <f t="shared" si="20"/>
        <v>10330.451444262555</v>
      </c>
      <c r="AA40" s="168">
        <f t="shared" si="20"/>
        <v>0</v>
      </c>
      <c r="AB40" s="168">
        <f t="shared" si="20"/>
        <v>0</v>
      </c>
      <c r="AC40" s="168">
        <f t="shared" si="20"/>
        <v>0</v>
      </c>
      <c r="AD40" s="168">
        <f t="shared" si="20"/>
        <v>0</v>
      </c>
      <c r="AE40" s="168">
        <f t="shared" si="20"/>
        <v>6.9250145218355597</v>
      </c>
      <c r="AF40" s="168">
        <f t="shared" si="20"/>
        <v>0</v>
      </c>
      <c r="AG40" s="168">
        <f t="shared" si="20"/>
        <v>0</v>
      </c>
      <c r="AH40" s="168">
        <f t="shared" si="20"/>
        <v>0</v>
      </c>
      <c r="AJ40" s="181">
        <f>SUMIFS('Working-T05-B2'!$S$8:$S$150,'Working-T05-B2'!$G$8:$G$150,$A40)</f>
        <v>0</v>
      </c>
      <c r="AK40" s="18">
        <f t="shared" si="5"/>
        <v>18937</v>
      </c>
      <c r="AM40" s="270"/>
      <c r="AN40" s="270"/>
      <c r="AO40" s="270"/>
      <c r="AP40" s="270"/>
      <c r="AQ40" s="270"/>
      <c r="AR40" s="270"/>
      <c r="AS40" s="270"/>
      <c r="AT40" s="270"/>
      <c r="AU40" s="270"/>
      <c r="AW40" s="170">
        <f t="shared" si="6"/>
        <v>10337.376458784391</v>
      </c>
      <c r="AX40" s="168">
        <f t="shared" si="7"/>
        <v>10330.451444262555</v>
      </c>
      <c r="AY40" s="168">
        <f t="shared" si="8"/>
        <v>0</v>
      </c>
      <c r="AZ40" s="168">
        <f t="shared" si="9"/>
        <v>0</v>
      </c>
      <c r="BA40" s="168">
        <f t="shared" si="10"/>
        <v>0</v>
      </c>
      <c r="BB40" s="168">
        <f t="shared" si="11"/>
        <v>0</v>
      </c>
      <c r="BC40" s="168">
        <f t="shared" si="12"/>
        <v>6.9250145218355597</v>
      </c>
      <c r="BD40" s="168">
        <f t="shared" si="13"/>
        <v>0</v>
      </c>
      <c r="BE40" s="168">
        <f t="shared" si="14"/>
        <v>0</v>
      </c>
      <c r="BF40" s="168">
        <f t="shared" si="15"/>
        <v>0</v>
      </c>
    </row>
    <row r="41" spans="1:58" x14ac:dyDescent="0.25">
      <c r="A41" s="165" t="s">
        <v>62</v>
      </c>
      <c r="B41" s="165" t="s">
        <v>786</v>
      </c>
      <c r="C41" s="164">
        <v>65854</v>
      </c>
      <c r="D41" s="164">
        <v>0</v>
      </c>
      <c r="E41" s="164">
        <v>0</v>
      </c>
      <c r="F41" s="164">
        <v>0</v>
      </c>
      <c r="G41" s="164">
        <v>533990604</v>
      </c>
      <c r="H41" s="164">
        <v>0</v>
      </c>
      <c r="I41" s="164">
        <v>0</v>
      </c>
      <c r="J41" s="164">
        <v>0</v>
      </c>
      <c r="K41" s="164">
        <v>0</v>
      </c>
      <c r="L41" s="164">
        <v>0</v>
      </c>
      <c r="M41" s="164">
        <v>0</v>
      </c>
      <c r="N41" s="164">
        <v>0</v>
      </c>
      <c r="O41" s="164">
        <v>0</v>
      </c>
      <c r="P41" s="164">
        <v>0</v>
      </c>
      <c r="Q41" s="164">
        <v>0</v>
      </c>
      <c r="R41" s="164">
        <v>1012479</v>
      </c>
      <c r="S41" s="164">
        <v>0</v>
      </c>
      <c r="T41" s="164">
        <v>0</v>
      </c>
      <c r="U41" s="164">
        <v>0</v>
      </c>
      <c r="V41" s="164">
        <v>0</v>
      </c>
      <c r="W41" s="164">
        <v>0</v>
      </c>
      <c r="Y41" s="170">
        <f t="shared" si="3"/>
        <v>8124.0787651471437</v>
      </c>
      <c r="Z41" s="168">
        <f t="shared" si="20"/>
        <v>8108.7041637561879</v>
      </c>
      <c r="AA41" s="168">
        <f t="shared" si="20"/>
        <v>0</v>
      </c>
      <c r="AB41" s="168">
        <f t="shared" si="20"/>
        <v>0</v>
      </c>
      <c r="AC41" s="168">
        <f t="shared" si="20"/>
        <v>0</v>
      </c>
      <c r="AD41" s="168">
        <f t="shared" si="20"/>
        <v>0</v>
      </c>
      <c r="AE41" s="168">
        <f t="shared" si="20"/>
        <v>15.37460139095575</v>
      </c>
      <c r="AF41" s="168">
        <f t="shared" si="20"/>
        <v>0</v>
      </c>
      <c r="AG41" s="168">
        <f t="shared" si="20"/>
        <v>0</v>
      </c>
      <c r="AH41" s="168">
        <f t="shared" si="20"/>
        <v>0</v>
      </c>
      <c r="AJ41" s="181">
        <f>SUMIFS('Working-T05-B2'!$S$8:$S$150,'Working-T05-B2'!$G$8:$G$150,$A41)</f>
        <v>0</v>
      </c>
      <c r="AK41" s="18">
        <f t="shared" si="5"/>
        <v>65854</v>
      </c>
      <c r="AM41" s="270"/>
      <c r="AN41" s="270"/>
      <c r="AO41" s="270"/>
      <c r="AP41" s="270"/>
      <c r="AQ41" s="270"/>
      <c r="AR41" s="270"/>
      <c r="AS41" s="270"/>
      <c r="AT41" s="270"/>
      <c r="AU41" s="270"/>
      <c r="AW41" s="170">
        <f t="shared" si="6"/>
        <v>8124.0787651471437</v>
      </c>
      <c r="AX41" s="168">
        <f t="shared" si="7"/>
        <v>8108.7041637561879</v>
      </c>
      <c r="AY41" s="168">
        <f t="shared" si="8"/>
        <v>0</v>
      </c>
      <c r="AZ41" s="168">
        <f t="shared" si="9"/>
        <v>0</v>
      </c>
      <c r="BA41" s="168">
        <f t="shared" si="10"/>
        <v>0</v>
      </c>
      <c r="BB41" s="168">
        <f t="shared" si="11"/>
        <v>0</v>
      </c>
      <c r="BC41" s="168">
        <f t="shared" si="12"/>
        <v>15.37460139095575</v>
      </c>
      <c r="BD41" s="168">
        <f t="shared" si="13"/>
        <v>0</v>
      </c>
      <c r="BE41" s="168">
        <f t="shared" si="14"/>
        <v>0</v>
      </c>
      <c r="BF41" s="168">
        <f t="shared" si="15"/>
        <v>0</v>
      </c>
    </row>
    <row r="42" spans="1:58" x14ac:dyDescent="0.25">
      <c r="A42" s="165" t="s">
        <v>63</v>
      </c>
      <c r="B42" s="165" t="s">
        <v>791</v>
      </c>
      <c r="C42" s="164">
        <v>95449.5</v>
      </c>
      <c r="D42" s="164">
        <v>0</v>
      </c>
      <c r="E42" s="164">
        <v>0</v>
      </c>
      <c r="F42" s="164">
        <v>0</v>
      </c>
      <c r="G42" s="164">
        <v>976001637</v>
      </c>
      <c r="H42" s="164">
        <v>0</v>
      </c>
      <c r="I42" s="164">
        <v>0</v>
      </c>
      <c r="J42" s="164">
        <v>0</v>
      </c>
      <c r="K42" s="164">
        <v>0</v>
      </c>
      <c r="L42" s="164">
        <v>0</v>
      </c>
      <c r="M42" s="164">
        <v>0</v>
      </c>
      <c r="N42" s="164">
        <v>0</v>
      </c>
      <c r="O42" s="164">
        <v>0</v>
      </c>
      <c r="P42" s="164">
        <v>0</v>
      </c>
      <c r="Q42" s="164">
        <v>0</v>
      </c>
      <c r="R42" s="164">
        <v>722902</v>
      </c>
      <c r="S42" s="164">
        <v>0</v>
      </c>
      <c r="T42" s="164">
        <v>0</v>
      </c>
      <c r="U42" s="164">
        <v>0</v>
      </c>
      <c r="V42" s="164">
        <v>0</v>
      </c>
      <c r="W42" s="164">
        <v>0</v>
      </c>
      <c r="Y42" s="170">
        <f t="shared" si="3"/>
        <v>10232.893194830775</v>
      </c>
      <c r="Z42" s="168">
        <f t="shared" si="20"/>
        <v>10225.31953546116</v>
      </c>
      <c r="AA42" s="168">
        <f t="shared" si="20"/>
        <v>0</v>
      </c>
      <c r="AB42" s="168">
        <f t="shared" si="20"/>
        <v>0</v>
      </c>
      <c r="AC42" s="168">
        <f t="shared" si="20"/>
        <v>0</v>
      </c>
      <c r="AD42" s="168">
        <f t="shared" si="20"/>
        <v>0</v>
      </c>
      <c r="AE42" s="168">
        <f t="shared" si="20"/>
        <v>7.5736593696142984</v>
      </c>
      <c r="AF42" s="168">
        <f t="shared" si="20"/>
        <v>0</v>
      </c>
      <c r="AG42" s="168">
        <f t="shared" si="20"/>
        <v>0</v>
      </c>
      <c r="AH42" s="168">
        <f t="shared" si="20"/>
        <v>0</v>
      </c>
      <c r="AJ42" s="181">
        <f>SUMIFS('Working-T05-B2'!$S$8:$S$150,'Working-T05-B2'!$G$8:$G$150,$A42)</f>
        <v>0</v>
      </c>
      <c r="AK42" s="18">
        <f t="shared" si="5"/>
        <v>95449.5</v>
      </c>
      <c r="AM42" s="270"/>
      <c r="AN42" s="270"/>
      <c r="AO42" s="270"/>
      <c r="AP42" s="270"/>
      <c r="AQ42" s="270"/>
      <c r="AR42" s="270"/>
      <c r="AS42" s="270"/>
      <c r="AT42" s="270"/>
      <c r="AU42" s="270"/>
      <c r="AW42" s="170">
        <f t="shared" si="6"/>
        <v>10232.893194830775</v>
      </c>
      <c r="AX42" s="168">
        <f t="shared" si="7"/>
        <v>10225.31953546116</v>
      </c>
      <c r="AY42" s="168">
        <f t="shared" si="8"/>
        <v>0</v>
      </c>
      <c r="AZ42" s="168">
        <f t="shared" si="9"/>
        <v>0</v>
      </c>
      <c r="BA42" s="168">
        <f t="shared" si="10"/>
        <v>0</v>
      </c>
      <c r="BB42" s="168">
        <f t="shared" si="11"/>
        <v>0</v>
      </c>
      <c r="BC42" s="168">
        <f t="shared" si="12"/>
        <v>7.5736593696142984</v>
      </c>
      <c r="BD42" s="168">
        <f t="shared" si="13"/>
        <v>0</v>
      </c>
      <c r="BE42" s="168">
        <f t="shared" si="14"/>
        <v>0</v>
      </c>
      <c r="BF42" s="168">
        <f t="shared" si="15"/>
        <v>0</v>
      </c>
    </row>
    <row r="43" spans="1:58" x14ac:dyDescent="0.25">
      <c r="A43" s="165" t="s">
        <v>1898</v>
      </c>
      <c r="B43" s="165" t="s">
        <v>1899</v>
      </c>
      <c r="C43" s="164">
        <v>171251.56</v>
      </c>
      <c r="D43" s="164">
        <v>0</v>
      </c>
      <c r="E43" s="164">
        <v>605</v>
      </c>
      <c r="F43" s="164">
        <v>0</v>
      </c>
      <c r="G43" s="164">
        <v>2084432367</v>
      </c>
      <c r="H43" s="164">
        <v>0</v>
      </c>
      <c r="I43" s="164">
        <v>0</v>
      </c>
      <c r="J43" s="164">
        <v>1</v>
      </c>
      <c r="K43" s="164">
        <v>16</v>
      </c>
      <c r="L43" s="164">
        <v>124304493</v>
      </c>
      <c r="M43" s="164">
        <v>0</v>
      </c>
      <c r="N43" s="164">
        <v>0</v>
      </c>
      <c r="O43" s="164">
        <v>0</v>
      </c>
      <c r="P43" s="164">
        <v>0</v>
      </c>
      <c r="Q43" s="164">
        <v>0</v>
      </c>
      <c r="R43" s="164">
        <v>256503555</v>
      </c>
      <c r="S43" s="164">
        <v>19</v>
      </c>
      <c r="T43" s="164">
        <v>278180707</v>
      </c>
      <c r="U43" s="164">
        <v>26912019</v>
      </c>
      <c r="V43" s="164">
        <v>0</v>
      </c>
      <c r="W43" s="164">
        <v>525396579</v>
      </c>
      <c r="Y43" s="170">
        <f t="shared" si="3"/>
        <v>19244.965482358235</v>
      </c>
      <c r="Z43" s="168">
        <f t="shared" si="20"/>
        <v>12171.760490824143</v>
      </c>
      <c r="AA43" s="168">
        <f t="shared" si="20"/>
        <v>5.8393628647820786E-6</v>
      </c>
      <c r="AB43" s="168">
        <f t="shared" si="20"/>
        <v>9.3429805836513257E-5</v>
      </c>
      <c r="AC43" s="168">
        <f t="shared" si="20"/>
        <v>725.85904034976386</v>
      </c>
      <c r="AD43" s="168">
        <f t="shared" si="20"/>
        <v>0</v>
      </c>
      <c r="AE43" s="168">
        <f t="shared" si="20"/>
        <v>1497.8174446994819</v>
      </c>
      <c r="AF43" s="168">
        <f t="shared" si="20"/>
        <v>1624.398090154624</v>
      </c>
      <c r="AG43" s="168">
        <f t="shared" si="20"/>
        <v>157.14904436490974</v>
      </c>
      <c r="AH43" s="168">
        <f t="shared" si="20"/>
        <v>3067.9812726961436</v>
      </c>
      <c r="AJ43" s="181">
        <f>SUMIFS('Working-T05-B2'!$S$8:$S$150,'Working-T05-B2'!$G$8:$G$150,$A43)</f>
        <v>100000</v>
      </c>
      <c r="AK43" s="18">
        <f t="shared" si="5"/>
        <v>71251.56</v>
      </c>
      <c r="AM43" s="270"/>
      <c r="AN43" s="270"/>
      <c r="AO43" s="270"/>
      <c r="AP43" s="270"/>
      <c r="AQ43" s="270"/>
      <c r="AR43" s="270"/>
      <c r="AS43" s="270"/>
      <c r="AT43" s="270"/>
      <c r="AU43" s="270"/>
      <c r="AW43" s="170">
        <f t="shared" si="6"/>
        <v>19244.965482358235</v>
      </c>
      <c r="AX43" s="168">
        <f t="shared" si="7"/>
        <v>12171.760490824143</v>
      </c>
      <c r="AY43" s="168">
        <f t="shared" si="8"/>
        <v>5.8393628647820786E-6</v>
      </c>
      <c r="AZ43" s="168">
        <f t="shared" si="9"/>
        <v>9.3429805836513257E-5</v>
      </c>
      <c r="BA43" s="168">
        <f t="shared" si="10"/>
        <v>725.85904034976386</v>
      </c>
      <c r="BB43" s="168">
        <f t="shared" si="11"/>
        <v>0</v>
      </c>
      <c r="BC43" s="168">
        <f t="shared" si="12"/>
        <v>1497.8174446994819</v>
      </c>
      <c r="BD43" s="168">
        <f t="shared" si="13"/>
        <v>1624.398090154624</v>
      </c>
      <c r="BE43" s="168">
        <f t="shared" si="14"/>
        <v>157.14904436490974</v>
      </c>
      <c r="BF43" s="168">
        <f t="shared" si="15"/>
        <v>3067.9812726961436</v>
      </c>
    </row>
    <row r="44" spans="1:58" x14ac:dyDescent="0.25">
      <c r="A44" s="165" t="s">
        <v>262</v>
      </c>
      <c r="B44" s="165" t="s">
        <v>2606</v>
      </c>
      <c r="C44" s="164">
        <v>25800</v>
      </c>
      <c r="D44" s="164">
        <v>0</v>
      </c>
      <c r="E44" s="164">
        <v>9250382</v>
      </c>
      <c r="F44" s="164">
        <v>0</v>
      </c>
      <c r="G44" s="164">
        <v>202768410</v>
      </c>
      <c r="H44" s="164">
        <v>0</v>
      </c>
      <c r="I44" s="164">
        <v>0</v>
      </c>
      <c r="J44" s="164">
        <v>49</v>
      </c>
      <c r="K44" s="164">
        <v>4</v>
      </c>
      <c r="L44" s="164">
        <v>515327</v>
      </c>
      <c r="M44" s="164">
        <v>13</v>
      </c>
      <c r="N44" s="164">
        <v>0</v>
      </c>
      <c r="O44" s="164">
        <v>0</v>
      </c>
      <c r="P44" s="164">
        <v>0</v>
      </c>
      <c r="Q44" s="164">
        <v>0</v>
      </c>
      <c r="R44" s="164">
        <v>1571100</v>
      </c>
      <c r="S44" s="164">
        <v>0</v>
      </c>
      <c r="T44" s="164">
        <v>1663514</v>
      </c>
      <c r="U44" s="164">
        <v>597039</v>
      </c>
      <c r="V44" s="164">
        <v>0</v>
      </c>
      <c r="W44" s="164">
        <v>2194125</v>
      </c>
      <c r="Y44" s="170">
        <f t="shared" si="3"/>
        <v>8471.3163953488365</v>
      </c>
      <c r="Z44" s="168">
        <f t="shared" si="20"/>
        <v>8217.7826356589139</v>
      </c>
      <c r="AA44" s="168">
        <f t="shared" si="20"/>
        <v>1.8992248062015503E-3</v>
      </c>
      <c r="AB44" s="168">
        <f t="shared" si="20"/>
        <v>1.5503875968992249E-4</v>
      </c>
      <c r="AC44" s="168">
        <f t="shared" si="20"/>
        <v>19.973914728682171</v>
      </c>
      <c r="AD44" s="168">
        <f t="shared" si="20"/>
        <v>5.0387596899224808E-4</v>
      </c>
      <c r="AE44" s="168">
        <f t="shared" si="20"/>
        <v>60.895348837209305</v>
      </c>
      <c r="AF44" s="168">
        <f t="shared" si="20"/>
        <v>64.47728682170542</v>
      </c>
      <c r="AG44" s="168">
        <f t="shared" si="20"/>
        <v>23.141046511627906</v>
      </c>
      <c r="AH44" s="168">
        <f t="shared" si="20"/>
        <v>85.043604651162795</v>
      </c>
      <c r="AJ44" s="181">
        <f>SUMIFS('Working-T05-B2'!$S$8:$S$150,'Working-T05-B2'!$G$8:$G$150,$A44)</f>
        <v>0</v>
      </c>
      <c r="AK44" s="18">
        <f t="shared" si="5"/>
        <v>25800</v>
      </c>
      <c r="AM44" s="270"/>
      <c r="AN44" s="270"/>
      <c r="AO44" s="270"/>
      <c r="AP44" s="270"/>
      <c r="AQ44" s="270"/>
      <c r="AR44" s="270"/>
      <c r="AS44" s="270"/>
      <c r="AT44" s="270"/>
      <c r="AU44" s="270"/>
      <c r="AW44" s="170">
        <f t="shared" si="6"/>
        <v>8471.3163953488365</v>
      </c>
      <c r="AX44" s="168">
        <f t="shared" si="7"/>
        <v>8217.7826356589139</v>
      </c>
      <c r="AY44" s="168">
        <f t="shared" si="8"/>
        <v>1.8992248062015503E-3</v>
      </c>
      <c r="AZ44" s="168">
        <f t="shared" si="9"/>
        <v>1.5503875968992249E-4</v>
      </c>
      <c r="BA44" s="168">
        <f t="shared" si="10"/>
        <v>19.973914728682171</v>
      </c>
      <c r="BB44" s="168">
        <f t="shared" si="11"/>
        <v>5.0387596899224808E-4</v>
      </c>
      <c r="BC44" s="168">
        <f t="shared" si="12"/>
        <v>60.895348837209305</v>
      </c>
      <c r="BD44" s="168">
        <f t="shared" si="13"/>
        <v>64.47728682170542</v>
      </c>
      <c r="BE44" s="168">
        <f t="shared" si="14"/>
        <v>23.141046511627906</v>
      </c>
      <c r="BF44" s="168">
        <f t="shared" si="15"/>
        <v>85.043604651162795</v>
      </c>
    </row>
    <row r="45" spans="1:58" x14ac:dyDescent="0.25">
      <c r="A45" s="165" t="s">
        <v>1836</v>
      </c>
      <c r="B45" s="165" t="s">
        <v>2605</v>
      </c>
      <c r="C45" s="164">
        <v>86878</v>
      </c>
      <c r="D45" s="164">
        <v>0</v>
      </c>
      <c r="E45" s="164">
        <v>0</v>
      </c>
      <c r="F45" s="164">
        <v>0</v>
      </c>
      <c r="G45" s="164">
        <v>662765532</v>
      </c>
      <c r="H45" s="164">
        <v>0</v>
      </c>
      <c r="I45" s="164">
        <v>0</v>
      </c>
      <c r="J45" s="164">
        <v>0</v>
      </c>
      <c r="K45" s="164">
        <v>0</v>
      </c>
      <c r="L45" s="164">
        <v>0</v>
      </c>
      <c r="M45" s="164">
        <v>0</v>
      </c>
      <c r="N45" s="164">
        <v>0</v>
      </c>
      <c r="O45" s="164">
        <v>0</v>
      </c>
      <c r="P45" s="164">
        <v>0</v>
      </c>
      <c r="Q45" s="164">
        <v>0</v>
      </c>
      <c r="R45" s="164">
        <v>0</v>
      </c>
      <c r="S45" s="164">
        <v>0</v>
      </c>
      <c r="T45" s="164">
        <v>0</v>
      </c>
      <c r="U45" s="164">
        <v>0</v>
      </c>
      <c r="V45" s="164">
        <v>0</v>
      </c>
      <c r="W45" s="164">
        <v>0</v>
      </c>
      <c r="Y45" s="170">
        <f t="shared" si="3"/>
        <v>7628.6923271714359</v>
      </c>
      <c r="Z45" s="168">
        <f t="shared" si="20"/>
        <v>7628.6923271714359</v>
      </c>
      <c r="AA45" s="168">
        <f t="shared" si="20"/>
        <v>0</v>
      </c>
      <c r="AB45" s="168">
        <f t="shared" si="20"/>
        <v>0</v>
      </c>
      <c r="AC45" s="168">
        <f t="shared" si="20"/>
        <v>0</v>
      </c>
      <c r="AD45" s="168">
        <f t="shared" si="20"/>
        <v>0</v>
      </c>
      <c r="AE45" s="168">
        <f t="shared" si="20"/>
        <v>0</v>
      </c>
      <c r="AF45" s="168">
        <f t="shared" si="20"/>
        <v>0</v>
      </c>
      <c r="AG45" s="168">
        <f t="shared" si="20"/>
        <v>0</v>
      </c>
      <c r="AH45" s="168">
        <f t="shared" si="20"/>
        <v>0</v>
      </c>
      <c r="AJ45" s="181">
        <f>SUMIFS('Working-T05-B2'!$S$8:$S$150,'Working-T05-B2'!$G$8:$G$150,$A45)</f>
        <v>150000</v>
      </c>
      <c r="AK45" s="18">
        <f t="shared" si="5"/>
        <v>-63122</v>
      </c>
      <c r="AM45" s="270"/>
      <c r="AN45" s="270"/>
      <c r="AO45" s="270"/>
      <c r="AP45" s="270"/>
      <c r="AQ45" s="270"/>
      <c r="AR45" s="270"/>
      <c r="AS45" s="270"/>
      <c r="AT45" s="270"/>
      <c r="AU45" s="270"/>
      <c r="AW45" s="170">
        <f t="shared" si="6"/>
        <v>7628.6923271714359</v>
      </c>
      <c r="AX45" s="168">
        <f t="shared" si="7"/>
        <v>7628.6923271714359</v>
      </c>
      <c r="AY45" s="168">
        <f t="shared" si="8"/>
        <v>0</v>
      </c>
      <c r="AZ45" s="168">
        <f t="shared" si="9"/>
        <v>0</v>
      </c>
      <c r="BA45" s="168">
        <f t="shared" si="10"/>
        <v>0</v>
      </c>
      <c r="BB45" s="168">
        <f t="shared" si="11"/>
        <v>0</v>
      </c>
      <c r="BC45" s="168">
        <f t="shared" si="12"/>
        <v>0</v>
      </c>
      <c r="BD45" s="168">
        <f t="shared" si="13"/>
        <v>0</v>
      </c>
      <c r="BE45" s="168">
        <f t="shared" si="14"/>
        <v>0</v>
      </c>
      <c r="BF45" s="168">
        <f t="shared" si="15"/>
        <v>0</v>
      </c>
    </row>
    <row r="46" spans="1:58" x14ac:dyDescent="0.25">
      <c r="A46" s="165" t="s">
        <v>60</v>
      </c>
      <c r="B46" s="165" t="s">
        <v>1925</v>
      </c>
      <c r="C46" s="164">
        <v>54170</v>
      </c>
      <c r="D46" s="164">
        <v>0</v>
      </c>
      <c r="E46" s="164">
        <v>-46044106</v>
      </c>
      <c r="F46" s="164">
        <v>0</v>
      </c>
      <c r="G46" s="164">
        <v>680379764</v>
      </c>
      <c r="H46" s="164">
        <v>0</v>
      </c>
      <c r="I46" s="164">
        <v>0</v>
      </c>
      <c r="J46" s="164">
        <v>0</v>
      </c>
      <c r="K46" s="164">
        <v>0</v>
      </c>
      <c r="L46" s="164">
        <v>24213818</v>
      </c>
      <c r="M46" s="164">
        <v>0</v>
      </c>
      <c r="N46" s="164">
        <v>0</v>
      </c>
      <c r="O46" s="164">
        <v>0</v>
      </c>
      <c r="P46" s="164">
        <v>0</v>
      </c>
      <c r="Q46" s="164">
        <v>0</v>
      </c>
      <c r="R46" s="164">
        <v>87590495</v>
      </c>
      <c r="S46" s="164">
        <v>0</v>
      </c>
      <c r="T46" s="164">
        <v>58094103</v>
      </c>
      <c r="U46" s="164">
        <v>5883559</v>
      </c>
      <c r="V46" s="164">
        <v>0</v>
      </c>
      <c r="W46" s="164">
        <v>82625593</v>
      </c>
      <c r="Y46" s="170">
        <f t="shared" si="3"/>
        <v>16480.399224663099</v>
      </c>
      <c r="Z46" s="168">
        <f t="shared" si="20"/>
        <v>11710.091526675282</v>
      </c>
      <c r="AA46" s="168">
        <f t="shared" si="20"/>
        <v>0</v>
      </c>
      <c r="AB46" s="168">
        <f t="shared" si="20"/>
        <v>0</v>
      </c>
      <c r="AC46" s="168">
        <f t="shared" si="20"/>
        <v>446.99682481078088</v>
      </c>
      <c r="AD46" s="168">
        <f t="shared" si="20"/>
        <v>0</v>
      </c>
      <c r="AE46" s="168">
        <f t="shared" si="20"/>
        <v>1616.9557873361639</v>
      </c>
      <c r="AF46" s="168">
        <f t="shared" si="20"/>
        <v>1072.4405205833486</v>
      </c>
      <c r="AG46" s="168">
        <f t="shared" si="20"/>
        <v>108.61286690049843</v>
      </c>
      <c r="AH46" s="168">
        <f t="shared" si="20"/>
        <v>1525.3016983570242</v>
      </c>
      <c r="AJ46" s="181">
        <f>SUMIFS('Working-T05-B2'!$S$8:$S$150,'Working-T05-B2'!$G$8:$G$150,$A46)</f>
        <v>0</v>
      </c>
      <c r="AK46" s="18">
        <f t="shared" si="5"/>
        <v>54170</v>
      </c>
      <c r="AM46" s="270"/>
      <c r="AN46" s="270"/>
      <c r="AO46" s="270"/>
      <c r="AP46" s="270"/>
      <c r="AQ46" s="270"/>
      <c r="AR46" s="270"/>
      <c r="AS46" s="270"/>
      <c r="AT46" s="270"/>
      <c r="AU46" s="270"/>
      <c r="AW46" s="170">
        <f t="shared" si="6"/>
        <v>16480.399224663099</v>
      </c>
      <c r="AX46" s="168">
        <f t="shared" si="7"/>
        <v>11710.091526675282</v>
      </c>
      <c r="AY46" s="168">
        <f t="shared" si="8"/>
        <v>0</v>
      </c>
      <c r="AZ46" s="168">
        <f t="shared" si="9"/>
        <v>0</v>
      </c>
      <c r="BA46" s="168">
        <f t="shared" si="10"/>
        <v>446.99682481078088</v>
      </c>
      <c r="BB46" s="168">
        <f t="shared" si="11"/>
        <v>0</v>
      </c>
      <c r="BC46" s="168">
        <f t="shared" si="12"/>
        <v>1616.9557873361639</v>
      </c>
      <c r="BD46" s="168">
        <f t="shared" si="13"/>
        <v>1072.4405205833486</v>
      </c>
      <c r="BE46" s="168">
        <f t="shared" si="14"/>
        <v>108.61286690049843</v>
      </c>
      <c r="BF46" s="168">
        <f t="shared" si="15"/>
        <v>1525.3016983570242</v>
      </c>
    </row>
    <row r="47" spans="1:58" x14ac:dyDescent="0.25">
      <c r="A47" s="165" t="s">
        <v>255</v>
      </c>
      <c r="B47" s="165" t="s">
        <v>409</v>
      </c>
      <c r="C47" s="168">
        <v>8430.1</v>
      </c>
      <c r="D47" s="168">
        <v>0</v>
      </c>
      <c r="E47" s="168">
        <v>118652757</v>
      </c>
      <c r="F47" s="168">
        <v>0</v>
      </c>
      <c r="G47" s="168">
        <v>36182915</v>
      </c>
      <c r="H47" s="168">
        <v>204</v>
      </c>
      <c r="I47" s="168">
        <v>0</v>
      </c>
      <c r="J47" s="168">
        <v>1081376</v>
      </c>
      <c r="K47" s="168">
        <v>2097</v>
      </c>
      <c r="L47" s="168">
        <v>1431360</v>
      </c>
      <c r="M47" s="168">
        <v>5907</v>
      </c>
      <c r="N47" s="168">
        <v>0</v>
      </c>
      <c r="O47" s="168">
        <v>0</v>
      </c>
      <c r="P47" s="168">
        <v>0</v>
      </c>
      <c r="Q47" s="168">
        <v>0</v>
      </c>
      <c r="R47" s="168">
        <v>2818038</v>
      </c>
      <c r="S47" s="168">
        <v>1851</v>
      </c>
      <c r="T47" s="168">
        <v>4039154</v>
      </c>
      <c r="U47" s="168">
        <v>2679491</v>
      </c>
      <c r="V47" s="168">
        <v>0</v>
      </c>
      <c r="W47" s="168">
        <v>4937788</v>
      </c>
      <c r="Y47" s="170">
        <f t="shared" ref="Y47" si="21">SUM(Z47:AH47)</f>
        <v>20383.262120259544</v>
      </c>
      <c r="Z47" s="168">
        <f t="shared" si="20"/>
        <v>18367.003001150639</v>
      </c>
      <c r="AA47" s="168">
        <f t="shared" si="20"/>
        <v>128.29978292072454</v>
      </c>
      <c r="AB47" s="168">
        <f t="shared" si="20"/>
        <v>0.24875149760975551</v>
      </c>
      <c r="AC47" s="168">
        <f t="shared" si="20"/>
        <v>169.79158017105371</v>
      </c>
      <c r="AD47" s="168">
        <f t="shared" si="20"/>
        <v>0.70070343175051297</v>
      </c>
      <c r="AE47" s="168">
        <f t="shared" si="20"/>
        <v>334.50243769350305</v>
      </c>
      <c r="AF47" s="168">
        <f t="shared" si="20"/>
        <v>479.13476708461343</v>
      </c>
      <c r="AG47" s="168">
        <f t="shared" si="20"/>
        <v>317.84806823169356</v>
      </c>
      <c r="AH47" s="168">
        <f t="shared" si="20"/>
        <v>585.73302807795869</v>
      </c>
      <c r="AJ47" s="181">
        <f>SUMIFS('Working-T05-B2'!$S$8:$S$150,'Working-T05-B2'!$G$8:$G$150,$A47)</f>
        <v>11000</v>
      </c>
      <c r="AK47" s="18">
        <f t="shared" si="5"/>
        <v>-2569.8999999999996</v>
      </c>
      <c r="AM47" s="270"/>
      <c r="AN47" s="270"/>
      <c r="AO47" s="270"/>
      <c r="AP47" s="270"/>
      <c r="AQ47" s="270"/>
      <c r="AR47" s="270"/>
      <c r="AS47" s="270"/>
      <c r="AT47" s="270"/>
      <c r="AU47" s="270"/>
      <c r="AW47" s="170">
        <f t="shared" si="6"/>
        <v>20383.262120259544</v>
      </c>
      <c r="AX47" s="168">
        <f t="shared" ref="AX47" si="22">Z47*(1-AM47)</f>
        <v>18367.003001150639</v>
      </c>
      <c r="AY47" s="168">
        <f t="shared" ref="AY47" si="23">AA47*(1-AN47)</f>
        <v>128.29978292072454</v>
      </c>
      <c r="AZ47" s="168">
        <f t="shared" ref="AZ47" si="24">AB47*(1-AO47)</f>
        <v>0.24875149760975551</v>
      </c>
      <c r="BA47" s="168">
        <f t="shared" ref="BA47" si="25">AC47*(1-AP47)</f>
        <v>169.79158017105371</v>
      </c>
      <c r="BB47" s="168">
        <f t="shared" ref="BB47" si="26">AD47*(1-AQ47)</f>
        <v>0.70070343175051297</v>
      </c>
      <c r="BC47" s="168">
        <f t="shared" ref="BC47" si="27">AE47*(1-AR47)</f>
        <v>334.50243769350305</v>
      </c>
      <c r="BD47" s="168">
        <f t="shared" ref="BD47" si="28">AF47*(1-AS47)</f>
        <v>479.13476708461343</v>
      </c>
      <c r="BE47" s="168">
        <f t="shared" ref="BE47" si="29">AG47*(1-AT47)</f>
        <v>317.84806823169356</v>
      </c>
      <c r="BF47" s="168">
        <f t="shared" ref="BF47" si="30">AH47*(1-AU47)</f>
        <v>585.73302807795869</v>
      </c>
    </row>
    <row r="48" spans="1:58" x14ac:dyDescent="0.25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Y48" s="171"/>
      <c r="Z48" s="165"/>
      <c r="AA48" s="165"/>
      <c r="AB48" s="165"/>
      <c r="AC48" s="165"/>
      <c r="AD48" s="165"/>
      <c r="AE48" s="165"/>
      <c r="AF48" s="165"/>
      <c r="AG48" s="165"/>
      <c r="AH48" s="165"/>
      <c r="AJ48" s="181">
        <f>SUMIFS('Working-T05-B2'!$S$8:$S$150,'Working-T05-B2'!$G$8:$G$150,$A48)</f>
        <v>0</v>
      </c>
      <c r="AK48" s="18">
        <f t="shared" si="5"/>
        <v>0</v>
      </c>
      <c r="AM48" s="270"/>
      <c r="AN48" s="270"/>
      <c r="AO48" s="270"/>
      <c r="AP48" s="270"/>
      <c r="AQ48" s="270"/>
      <c r="AR48" s="270"/>
      <c r="AS48" s="270"/>
      <c r="AT48" s="270"/>
      <c r="AU48" s="270"/>
      <c r="AW48" s="170">
        <f t="shared" si="6"/>
        <v>0</v>
      </c>
      <c r="AX48" s="165"/>
      <c r="AY48" s="165"/>
      <c r="AZ48" s="165"/>
      <c r="BA48" s="165"/>
      <c r="BB48" s="165"/>
      <c r="BC48" s="165"/>
      <c r="BD48" s="165"/>
      <c r="BE48" s="165"/>
      <c r="BF48" s="165"/>
    </row>
    <row r="49" spans="1:58" x14ac:dyDescent="0.25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Y49" s="171"/>
      <c r="Z49" s="165"/>
      <c r="AA49" s="165"/>
      <c r="AB49" s="165"/>
      <c r="AC49" s="165"/>
      <c r="AD49" s="165"/>
      <c r="AE49" s="165"/>
      <c r="AF49" s="165"/>
      <c r="AG49" s="165"/>
      <c r="AH49" s="165"/>
      <c r="AJ49" s="181">
        <f>SUMIFS('Working-T05-B2'!$S$8:$S$150,'Working-T05-B2'!$G$8:$G$150,$A49)</f>
        <v>0</v>
      </c>
      <c r="AK49" s="18">
        <f t="shared" si="5"/>
        <v>0</v>
      </c>
      <c r="AM49" s="270"/>
      <c r="AN49" s="270"/>
      <c r="AO49" s="270"/>
      <c r="AP49" s="270"/>
      <c r="AQ49" s="270"/>
      <c r="AR49" s="270"/>
      <c r="AS49" s="270"/>
      <c r="AT49" s="270"/>
      <c r="AU49" s="270"/>
      <c r="AW49" s="170">
        <f t="shared" si="6"/>
        <v>0</v>
      </c>
      <c r="AX49" s="165"/>
      <c r="AY49" s="165"/>
      <c r="AZ49" s="165"/>
      <c r="BA49" s="165"/>
      <c r="BB49" s="165"/>
      <c r="BC49" s="165"/>
      <c r="BD49" s="165"/>
      <c r="BE49" s="165"/>
      <c r="BF49" s="165"/>
    </row>
    <row r="50" spans="1:58" x14ac:dyDescent="0.25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Y50" s="171"/>
      <c r="Z50" s="165"/>
      <c r="AA50" s="165"/>
      <c r="AB50" s="165"/>
      <c r="AC50" s="165"/>
      <c r="AD50" s="165"/>
      <c r="AE50" s="165"/>
      <c r="AF50" s="165"/>
      <c r="AG50" s="165"/>
      <c r="AH50" s="165"/>
      <c r="AJ50" s="181">
        <f>SUMIFS('Working-T05-B2'!$S$8:$S$150,'Working-T05-B2'!$G$8:$G$150,$A50)</f>
        <v>0</v>
      </c>
      <c r="AK50" s="18">
        <f t="shared" si="5"/>
        <v>0</v>
      </c>
      <c r="AM50" s="270"/>
      <c r="AN50" s="270"/>
      <c r="AO50" s="270"/>
      <c r="AP50" s="270"/>
      <c r="AQ50" s="270"/>
      <c r="AR50" s="270"/>
      <c r="AS50" s="270"/>
      <c r="AT50" s="270"/>
      <c r="AU50" s="270"/>
      <c r="AW50" s="170">
        <f t="shared" si="6"/>
        <v>0</v>
      </c>
      <c r="AX50" s="165"/>
      <c r="AY50" s="165"/>
      <c r="AZ50" s="165"/>
      <c r="BA50" s="165"/>
      <c r="BB50" s="165"/>
      <c r="BC50" s="165"/>
      <c r="BD50" s="165"/>
      <c r="BE50" s="165"/>
      <c r="BF50" s="165"/>
    </row>
    <row r="51" spans="1:58" x14ac:dyDescent="0.25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Y51" s="171"/>
      <c r="Z51" s="165"/>
      <c r="AA51" s="165"/>
      <c r="AB51" s="165"/>
      <c r="AC51" s="165"/>
      <c r="AD51" s="165"/>
      <c r="AE51" s="165"/>
      <c r="AF51" s="165"/>
      <c r="AG51" s="165"/>
      <c r="AH51" s="165"/>
      <c r="AJ51" s="181">
        <f>SUMIFS('Working-T05-B2'!$S$8:$S$150,'Working-T05-B2'!$G$8:$G$150,$A51)</f>
        <v>0</v>
      </c>
      <c r="AK51" s="18">
        <f t="shared" si="5"/>
        <v>0</v>
      </c>
      <c r="AM51" s="270"/>
      <c r="AN51" s="270"/>
      <c r="AO51" s="270"/>
      <c r="AP51" s="270"/>
      <c r="AQ51" s="270"/>
      <c r="AR51" s="270"/>
      <c r="AS51" s="270"/>
      <c r="AT51" s="270"/>
      <c r="AU51" s="270"/>
      <c r="AW51" s="170">
        <f t="shared" si="6"/>
        <v>0</v>
      </c>
      <c r="AX51" s="165"/>
      <c r="AY51" s="165"/>
      <c r="AZ51" s="165"/>
      <c r="BA51" s="165"/>
      <c r="BB51" s="165"/>
      <c r="BC51" s="165"/>
      <c r="BD51" s="165"/>
      <c r="BE51" s="165"/>
      <c r="BF51" s="165"/>
    </row>
    <row r="52" spans="1:58" x14ac:dyDescent="0.25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Y52" s="171"/>
      <c r="Z52" s="165"/>
      <c r="AA52" s="165"/>
      <c r="AB52" s="165"/>
      <c r="AC52" s="165"/>
      <c r="AD52" s="165"/>
      <c r="AE52" s="165"/>
      <c r="AF52" s="165"/>
      <c r="AG52" s="165"/>
      <c r="AH52" s="165"/>
      <c r="AJ52" s="181">
        <f>SUMIFS('Working-T05-B2'!$S$8:$S$150,'Working-T05-B2'!$G$8:$G$150,$A52)</f>
        <v>0</v>
      </c>
      <c r="AK52" s="18">
        <f t="shared" si="5"/>
        <v>0</v>
      </c>
      <c r="AM52" s="270"/>
      <c r="AN52" s="270"/>
      <c r="AO52" s="270"/>
      <c r="AP52" s="270"/>
      <c r="AQ52" s="270"/>
      <c r="AR52" s="270"/>
      <c r="AS52" s="270"/>
      <c r="AT52" s="270"/>
      <c r="AU52" s="270"/>
      <c r="AW52" s="170">
        <f t="shared" si="6"/>
        <v>0</v>
      </c>
      <c r="AX52" s="165"/>
      <c r="AY52" s="165"/>
      <c r="AZ52" s="165"/>
      <c r="BA52" s="165"/>
      <c r="BB52" s="165"/>
      <c r="BC52" s="165"/>
      <c r="BD52" s="165"/>
      <c r="BE52" s="165"/>
      <c r="BF52" s="165"/>
    </row>
    <row r="53" spans="1:58" x14ac:dyDescent="0.25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Y53" s="171"/>
      <c r="Z53" s="165"/>
      <c r="AA53" s="165"/>
      <c r="AB53" s="165"/>
      <c r="AC53" s="165"/>
      <c r="AD53" s="165"/>
      <c r="AE53" s="165"/>
      <c r="AF53" s="165"/>
      <c r="AG53" s="165"/>
      <c r="AH53" s="165"/>
      <c r="AJ53" s="181">
        <f>SUMIFS('Working-T05-B2'!$S$8:$S$150,'Working-T05-B2'!$G$8:$G$150,$A53)</f>
        <v>0</v>
      </c>
      <c r="AK53" s="18">
        <f t="shared" si="5"/>
        <v>0</v>
      </c>
      <c r="AM53" s="270"/>
      <c r="AN53" s="270"/>
      <c r="AO53" s="270"/>
      <c r="AP53" s="270"/>
      <c r="AQ53" s="270"/>
      <c r="AR53" s="270"/>
      <c r="AS53" s="270"/>
      <c r="AT53" s="270"/>
      <c r="AU53" s="270"/>
      <c r="AW53" s="170">
        <f t="shared" si="6"/>
        <v>0</v>
      </c>
      <c r="AX53" s="165"/>
      <c r="AY53" s="165"/>
      <c r="AZ53" s="165"/>
      <c r="BA53" s="165"/>
      <c r="BB53" s="165"/>
      <c r="BC53" s="165"/>
      <c r="BD53" s="165"/>
      <c r="BE53" s="165"/>
      <c r="BF53" s="165"/>
    </row>
    <row r="54" spans="1:58" x14ac:dyDescent="0.25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Y54" s="171"/>
      <c r="Z54" s="165"/>
      <c r="AA54" s="165"/>
      <c r="AB54" s="165"/>
      <c r="AC54" s="165"/>
      <c r="AD54" s="165"/>
      <c r="AE54" s="165"/>
      <c r="AF54" s="165"/>
      <c r="AG54" s="165"/>
      <c r="AH54" s="165"/>
      <c r="AJ54" s="181">
        <f>SUMIFS('Working-T05-B2'!$S$8:$S$150,'Working-T05-B2'!$G$8:$G$150,$A54)</f>
        <v>0</v>
      </c>
      <c r="AK54" s="18">
        <f t="shared" si="5"/>
        <v>0</v>
      </c>
      <c r="AM54" s="270"/>
      <c r="AN54" s="270"/>
      <c r="AO54" s="270"/>
      <c r="AP54" s="270"/>
      <c r="AQ54" s="270"/>
      <c r="AR54" s="270"/>
      <c r="AS54" s="270"/>
      <c r="AT54" s="270"/>
      <c r="AU54" s="270"/>
      <c r="AW54" s="170">
        <f t="shared" si="6"/>
        <v>0</v>
      </c>
      <c r="AX54" s="165"/>
      <c r="AY54" s="165"/>
      <c r="AZ54" s="165"/>
      <c r="BA54" s="165"/>
      <c r="BB54" s="165"/>
      <c r="BC54" s="165"/>
      <c r="BD54" s="165"/>
      <c r="BE54" s="165"/>
      <c r="BF54" s="165"/>
    </row>
    <row r="55" spans="1:58" x14ac:dyDescent="0.25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Y55" s="171"/>
      <c r="Z55" s="165"/>
      <c r="AA55" s="165"/>
      <c r="AB55" s="165"/>
      <c r="AC55" s="165"/>
      <c r="AD55" s="165"/>
      <c r="AE55" s="165"/>
      <c r="AF55" s="165"/>
      <c r="AG55" s="165"/>
      <c r="AH55" s="165"/>
      <c r="AJ55" s="181">
        <f>SUMIFS('Working-T05-B2'!$S$8:$S$150,'Working-T05-B2'!$G$8:$G$150,$A55)</f>
        <v>0</v>
      </c>
      <c r="AK55" s="18">
        <f t="shared" si="5"/>
        <v>0</v>
      </c>
      <c r="AM55" s="270"/>
      <c r="AN55" s="270"/>
      <c r="AO55" s="270"/>
      <c r="AP55" s="270"/>
      <c r="AQ55" s="270"/>
      <c r="AR55" s="270"/>
      <c r="AS55" s="270"/>
      <c r="AT55" s="270"/>
      <c r="AU55" s="270"/>
      <c r="AW55" s="170">
        <f t="shared" si="6"/>
        <v>0</v>
      </c>
      <c r="AX55" s="165"/>
      <c r="AY55" s="165"/>
      <c r="AZ55" s="165"/>
      <c r="BA55" s="165"/>
      <c r="BB55" s="165"/>
      <c r="BC55" s="165"/>
      <c r="BD55" s="165"/>
      <c r="BE55" s="165"/>
      <c r="BF55" s="165"/>
    </row>
    <row r="56" spans="1:58" x14ac:dyDescent="0.25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Y56" s="171"/>
      <c r="Z56" s="165"/>
      <c r="AA56" s="165"/>
      <c r="AB56" s="165"/>
      <c r="AC56" s="165"/>
      <c r="AD56" s="165"/>
      <c r="AE56" s="165"/>
      <c r="AF56" s="165"/>
      <c r="AG56" s="165"/>
      <c r="AH56" s="165"/>
      <c r="AJ56" s="181">
        <f>SUMIFS('Working-T05-B2'!$S$8:$S$150,'Working-T05-B2'!$G$8:$G$150,$A56)</f>
        <v>0</v>
      </c>
      <c r="AK56" s="18">
        <f t="shared" si="5"/>
        <v>0</v>
      </c>
      <c r="AM56" s="270"/>
      <c r="AN56" s="270"/>
      <c r="AO56" s="270"/>
      <c r="AP56" s="270"/>
      <c r="AQ56" s="270"/>
      <c r="AR56" s="270"/>
      <c r="AS56" s="270"/>
      <c r="AT56" s="270"/>
      <c r="AU56" s="270"/>
      <c r="AW56" s="170">
        <f t="shared" si="6"/>
        <v>0</v>
      </c>
      <c r="AX56" s="165"/>
      <c r="AY56" s="165"/>
      <c r="AZ56" s="165"/>
      <c r="BA56" s="165"/>
      <c r="BB56" s="165"/>
      <c r="BC56" s="165"/>
      <c r="BD56" s="165"/>
      <c r="BE56" s="165"/>
      <c r="BF56" s="165"/>
    </row>
    <row r="57" spans="1:58" x14ac:dyDescent="0.25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Y57" s="171"/>
      <c r="Z57" s="165"/>
      <c r="AA57" s="165"/>
      <c r="AB57" s="165"/>
      <c r="AC57" s="165"/>
      <c r="AD57" s="165"/>
      <c r="AE57" s="165"/>
      <c r="AF57" s="165"/>
      <c r="AG57" s="165"/>
      <c r="AH57" s="165"/>
      <c r="AJ57" s="181">
        <f>SUMIFS('Working-T05-B2'!$S$8:$S$150,'Working-T05-B2'!$G$8:$G$150,$A57)</f>
        <v>0</v>
      </c>
      <c r="AK57" s="18">
        <f t="shared" si="5"/>
        <v>0</v>
      </c>
      <c r="AM57" s="270"/>
      <c r="AN57" s="270"/>
      <c r="AO57" s="270"/>
      <c r="AP57" s="270"/>
      <c r="AQ57" s="270"/>
      <c r="AR57" s="270"/>
      <c r="AS57" s="270"/>
      <c r="AT57" s="270"/>
      <c r="AU57" s="270"/>
      <c r="AW57" s="170">
        <f t="shared" si="6"/>
        <v>0</v>
      </c>
      <c r="AX57" s="165"/>
      <c r="AY57" s="165"/>
      <c r="AZ57" s="165"/>
      <c r="BA57" s="165"/>
      <c r="BB57" s="165"/>
      <c r="BC57" s="165"/>
      <c r="BD57" s="165"/>
      <c r="BE57" s="165"/>
      <c r="BF57" s="165"/>
    </row>
    <row r="58" spans="1:58" x14ac:dyDescent="0.25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Y58" s="171"/>
      <c r="Z58" s="165"/>
      <c r="AA58" s="165"/>
      <c r="AB58" s="165"/>
      <c r="AC58" s="165"/>
      <c r="AD58" s="165"/>
      <c r="AE58" s="165"/>
      <c r="AF58" s="165"/>
      <c r="AG58" s="165"/>
      <c r="AH58" s="165"/>
      <c r="AJ58" s="181">
        <f>SUMIFS('Working-T05-B2'!$S$8:$S$150,'Working-T05-B2'!$G$8:$G$150,$A58)</f>
        <v>0</v>
      </c>
      <c r="AK58" s="18">
        <f t="shared" si="5"/>
        <v>0</v>
      </c>
      <c r="AM58" s="270"/>
      <c r="AN58" s="270"/>
      <c r="AO58" s="270"/>
      <c r="AP58" s="270"/>
      <c r="AQ58" s="270"/>
      <c r="AR58" s="270"/>
      <c r="AS58" s="270"/>
      <c r="AT58" s="270"/>
      <c r="AU58" s="270"/>
      <c r="AW58" s="170">
        <f t="shared" si="6"/>
        <v>0</v>
      </c>
      <c r="AX58" s="165"/>
      <c r="AY58" s="165"/>
      <c r="AZ58" s="165"/>
      <c r="BA58" s="165"/>
      <c r="BB58" s="165"/>
      <c r="BC58" s="165"/>
      <c r="BD58" s="165"/>
      <c r="BE58" s="165"/>
      <c r="BF58" s="165"/>
    </row>
    <row r="59" spans="1:58" x14ac:dyDescent="0.25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Y59" s="171"/>
      <c r="Z59" s="165"/>
      <c r="AA59" s="165"/>
      <c r="AB59" s="165"/>
      <c r="AC59" s="165"/>
      <c r="AD59" s="165"/>
      <c r="AE59" s="165"/>
      <c r="AF59" s="165"/>
      <c r="AG59" s="165"/>
      <c r="AH59" s="165"/>
      <c r="AJ59" s="181">
        <f>SUMIFS('Working-T05-B2'!$S$8:$S$150,'Working-T05-B2'!$G$8:$G$150,$A59)</f>
        <v>0</v>
      </c>
      <c r="AK59" s="18">
        <f t="shared" si="5"/>
        <v>0</v>
      </c>
      <c r="AM59" s="270"/>
      <c r="AN59" s="270"/>
      <c r="AO59" s="270"/>
      <c r="AP59" s="270"/>
      <c r="AQ59" s="270"/>
      <c r="AR59" s="270"/>
      <c r="AS59" s="270"/>
      <c r="AT59" s="270"/>
      <c r="AU59" s="270"/>
      <c r="AW59" s="170">
        <f t="shared" si="6"/>
        <v>0</v>
      </c>
      <c r="AX59" s="165"/>
      <c r="AY59" s="165"/>
      <c r="AZ59" s="165"/>
      <c r="BA59" s="165"/>
      <c r="BB59" s="165"/>
      <c r="BC59" s="165"/>
      <c r="BD59" s="165"/>
      <c r="BE59" s="165"/>
      <c r="BF59" s="165"/>
    </row>
    <row r="60" spans="1:58" x14ac:dyDescent="0.25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Y60" s="171"/>
      <c r="Z60" s="165"/>
      <c r="AA60" s="165"/>
      <c r="AB60" s="165"/>
      <c r="AC60" s="165"/>
      <c r="AD60" s="165"/>
      <c r="AE60" s="165"/>
      <c r="AF60" s="165"/>
      <c r="AG60" s="165"/>
      <c r="AH60" s="165"/>
      <c r="AJ60" s="181">
        <f>SUMIFS('Working-T05-B2'!$S$8:$S$150,'Working-T05-B2'!$G$8:$G$150,$A60)</f>
        <v>0</v>
      </c>
      <c r="AK60" s="18">
        <f t="shared" si="5"/>
        <v>0</v>
      </c>
      <c r="AM60" s="270"/>
      <c r="AN60" s="270"/>
      <c r="AO60" s="270"/>
      <c r="AP60" s="270"/>
      <c r="AQ60" s="270"/>
      <c r="AR60" s="270"/>
      <c r="AS60" s="270"/>
      <c r="AT60" s="270"/>
      <c r="AU60" s="270"/>
      <c r="AW60" s="170">
        <f t="shared" si="6"/>
        <v>0</v>
      </c>
      <c r="AX60" s="165"/>
      <c r="AY60" s="165"/>
      <c r="AZ60" s="165"/>
      <c r="BA60" s="165"/>
      <c r="BB60" s="165"/>
      <c r="BC60" s="165"/>
      <c r="BD60" s="165"/>
      <c r="BE60" s="165"/>
      <c r="BF60" s="165"/>
    </row>
    <row r="61" spans="1:58" x14ac:dyDescent="0.25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Y61" s="171"/>
      <c r="Z61" s="165"/>
      <c r="AA61" s="165"/>
      <c r="AB61" s="165"/>
      <c r="AC61" s="165"/>
      <c r="AD61" s="165"/>
      <c r="AE61" s="165"/>
      <c r="AF61" s="165"/>
      <c r="AG61" s="165"/>
      <c r="AH61" s="165"/>
      <c r="AJ61" s="181">
        <f>SUMIFS('Working-T05-B2'!$S$8:$S$150,'Working-T05-B2'!$G$8:$G$150,$A61)</f>
        <v>0</v>
      </c>
      <c r="AK61" s="18">
        <f t="shared" si="5"/>
        <v>0</v>
      </c>
      <c r="AM61" s="270"/>
      <c r="AN61" s="270"/>
      <c r="AO61" s="270"/>
      <c r="AP61" s="270"/>
      <c r="AQ61" s="270"/>
      <c r="AR61" s="270"/>
      <c r="AS61" s="270"/>
      <c r="AT61" s="270"/>
      <c r="AU61" s="270"/>
      <c r="AW61" s="170">
        <f t="shared" si="6"/>
        <v>0</v>
      </c>
      <c r="AX61" s="165"/>
      <c r="AY61" s="165"/>
      <c r="AZ61" s="165"/>
      <c r="BA61" s="165"/>
      <c r="BB61" s="165"/>
      <c r="BC61" s="165"/>
      <c r="BD61" s="165"/>
      <c r="BE61" s="165"/>
      <c r="BF61" s="165"/>
    </row>
    <row r="62" spans="1:58" x14ac:dyDescent="0.25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Y62" s="171"/>
      <c r="Z62" s="165"/>
      <c r="AA62" s="165"/>
      <c r="AB62" s="165"/>
      <c r="AC62" s="165"/>
      <c r="AD62" s="165"/>
      <c r="AE62" s="165"/>
      <c r="AF62" s="165"/>
      <c r="AG62" s="165"/>
      <c r="AH62" s="165"/>
      <c r="AJ62" s="181">
        <f>SUMIFS('Working-T05-B2'!$S$8:$S$150,'Working-T05-B2'!$G$8:$G$150,$A62)</f>
        <v>0</v>
      </c>
      <c r="AK62" s="18">
        <f t="shared" si="5"/>
        <v>0</v>
      </c>
      <c r="AM62" s="270"/>
      <c r="AN62" s="270"/>
      <c r="AO62" s="270"/>
      <c r="AP62" s="270"/>
      <c r="AQ62" s="270"/>
      <c r="AR62" s="270"/>
      <c r="AS62" s="270"/>
      <c r="AT62" s="270"/>
      <c r="AU62" s="270"/>
      <c r="AW62" s="170">
        <f t="shared" si="6"/>
        <v>0</v>
      </c>
      <c r="AX62" s="165"/>
      <c r="AY62" s="165"/>
      <c r="AZ62" s="165"/>
      <c r="BA62" s="165"/>
      <c r="BB62" s="165"/>
      <c r="BC62" s="165"/>
      <c r="BD62" s="165"/>
      <c r="BE62" s="165"/>
      <c r="BF62" s="165"/>
    </row>
    <row r="63" spans="1:58" x14ac:dyDescent="0.25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Y63" s="171"/>
      <c r="Z63" s="165"/>
      <c r="AA63" s="165"/>
      <c r="AB63" s="165"/>
      <c r="AC63" s="165"/>
      <c r="AD63" s="165"/>
      <c r="AE63" s="165"/>
      <c r="AF63" s="165"/>
      <c r="AG63" s="165"/>
      <c r="AH63" s="165"/>
      <c r="AJ63" s="181">
        <f>SUMIFS('Working-T05-B2'!$S$8:$S$150,'Working-T05-B2'!$G$8:$G$150,$A63)</f>
        <v>0</v>
      </c>
      <c r="AK63" s="18">
        <f t="shared" si="5"/>
        <v>0</v>
      </c>
      <c r="AM63" s="270"/>
      <c r="AN63" s="270"/>
      <c r="AO63" s="270"/>
      <c r="AP63" s="270"/>
      <c r="AQ63" s="270"/>
      <c r="AR63" s="270"/>
      <c r="AS63" s="270"/>
      <c r="AT63" s="270"/>
      <c r="AU63" s="270"/>
      <c r="AW63" s="170">
        <f t="shared" si="6"/>
        <v>0</v>
      </c>
      <c r="AX63" s="165"/>
      <c r="AY63" s="165"/>
      <c r="AZ63" s="165"/>
      <c r="BA63" s="165"/>
      <c r="BB63" s="165"/>
      <c r="BC63" s="165"/>
      <c r="BD63" s="165"/>
      <c r="BE63" s="165"/>
      <c r="BF63" s="165"/>
    </row>
    <row r="64" spans="1:58" x14ac:dyDescent="0.25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Y64" s="171"/>
      <c r="Z64" s="165"/>
      <c r="AA64" s="165"/>
      <c r="AB64" s="165"/>
      <c r="AC64" s="165"/>
      <c r="AD64" s="165"/>
      <c r="AE64" s="165"/>
      <c r="AF64" s="165"/>
      <c r="AG64" s="165"/>
      <c r="AH64" s="165"/>
      <c r="AJ64" s="181">
        <f>SUMIFS('Working-T05-B2'!$S$8:$S$150,'Working-T05-B2'!$G$8:$G$150,$A64)</f>
        <v>0</v>
      </c>
      <c r="AK64" s="18">
        <f t="shared" si="5"/>
        <v>0</v>
      </c>
      <c r="AM64" s="270"/>
      <c r="AN64" s="270"/>
      <c r="AO64" s="270"/>
      <c r="AP64" s="270"/>
      <c r="AQ64" s="270"/>
      <c r="AR64" s="270"/>
      <c r="AS64" s="270"/>
      <c r="AT64" s="270"/>
      <c r="AU64" s="270"/>
      <c r="AW64" s="170">
        <f t="shared" si="6"/>
        <v>0</v>
      </c>
      <c r="AX64" s="165"/>
      <c r="AY64" s="165"/>
      <c r="AZ64" s="165"/>
      <c r="BA64" s="165"/>
      <c r="BB64" s="165"/>
      <c r="BC64" s="165"/>
      <c r="BD64" s="165"/>
      <c r="BE64" s="165"/>
      <c r="BF64" s="165"/>
    </row>
    <row r="65" spans="1:58" x14ac:dyDescent="0.25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Y65" s="171"/>
      <c r="Z65" s="165"/>
      <c r="AA65" s="165"/>
      <c r="AB65" s="165"/>
      <c r="AC65" s="165"/>
      <c r="AD65" s="165"/>
      <c r="AE65" s="165"/>
      <c r="AF65" s="165"/>
      <c r="AG65" s="165"/>
      <c r="AH65" s="165"/>
      <c r="AJ65" s="181">
        <f>SUMIFS('Working-T05-B2'!$S$8:$S$150,'Working-T05-B2'!$G$8:$G$150,$A65)</f>
        <v>0</v>
      </c>
      <c r="AK65" s="18">
        <f t="shared" si="5"/>
        <v>0</v>
      </c>
      <c r="AM65" s="270"/>
      <c r="AN65" s="270"/>
      <c r="AO65" s="270"/>
      <c r="AP65" s="270"/>
      <c r="AQ65" s="270"/>
      <c r="AR65" s="270"/>
      <c r="AS65" s="270"/>
      <c r="AT65" s="270"/>
      <c r="AU65" s="270"/>
      <c r="AW65" s="170">
        <f t="shared" si="6"/>
        <v>0</v>
      </c>
      <c r="AX65" s="165"/>
      <c r="AY65" s="165"/>
      <c r="AZ65" s="165"/>
      <c r="BA65" s="165"/>
      <c r="BB65" s="165"/>
      <c r="BC65" s="165"/>
      <c r="BD65" s="165"/>
      <c r="BE65" s="165"/>
      <c r="BF65" s="165"/>
    </row>
    <row r="66" spans="1:58" x14ac:dyDescent="0.25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Y66" s="171"/>
      <c r="Z66" s="165"/>
      <c r="AA66" s="165"/>
      <c r="AB66" s="165"/>
      <c r="AC66" s="165"/>
      <c r="AD66" s="165"/>
      <c r="AE66" s="165"/>
      <c r="AF66" s="165"/>
      <c r="AG66" s="165"/>
      <c r="AH66" s="165"/>
      <c r="AJ66" s="181">
        <f>SUMIFS('Working-T05-B2'!$S$8:$S$150,'Working-T05-B2'!$G$8:$G$150,$A66)</f>
        <v>0</v>
      </c>
      <c r="AK66" s="18">
        <f t="shared" si="5"/>
        <v>0</v>
      </c>
      <c r="AM66" s="270"/>
      <c r="AN66" s="270"/>
      <c r="AO66" s="270"/>
      <c r="AP66" s="270"/>
      <c r="AQ66" s="270"/>
      <c r="AR66" s="270"/>
      <c r="AS66" s="270"/>
      <c r="AT66" s="270"/>
      <c r="AU66" s="270"/>
      <c r="AW66" s="170">
        <f t="shared" si="6"/>
        <v>0</v>
      </c>
      <c r="AX66" s="165"/>
      <c r="AY66" s="165"/>
      <c r="AZ66" s="165"/>
      <c r="BA66" s="165"/>
      <c r="BB66" s="165"/>
      <c r="BC66" s="165"/>
      <c r="BD66" s="165"/>
      <c r="BE66" s="165"/>
      <c r="BF66" s="165"/>
    </row>
    <row r="67" spans="1:58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Y67" s="171"/>
      <c r="Z67" s="165"/>
      <c r="AA67" s="165"/>
      <c r="AB67" s="165"/>
      <c r="AC67" s="165"/>
      <c r="AD67" s="165"/>
      <c r="AE67" s="165"/>
      <c r="AF67" s="165"/>
      <c r="AG67" s="165"/>
      <c r="AH67" s="165"/>
      <c r="AJ67" s="181">
        <f>SUMIFS('Working-T05-B2'!$S$8:$S$150,'Working-T05-B2'!$G$8:$G$150,$A67)</f>
        <v>0</v>
      </c>
      <c r="AK67" s="18">
        <f t="shared" si="5"/>
        <v>0</v>
      </c>
      <c r="AM67" s="270"/>
      <c r="AN67" s="270"/>
      <c r="AO67" s="270"/>
      <c r="AP67" s="270"/>
      <c r="AQ67" s="270"/>
      <c r="AR67" s="270"/>
      <c r="AS67" s="270"/>
      <c r="AT67" s="270"/>
      <c r="AU67" s="270"/>
      <c r="AW67" s="170">
        <f t="shared" si="6"/>
        <v>0</v>
      </c>
      <c r="AX67" s="165"/>
      <c r="AY67" s="165"/>
      <c r="AZ67" s="165"/>
      <c r="BA67" s="165"/>
      <c r="BB67" s="165"/>
      <c r="BC67" s="165"/>
      <c r="BD67" s="165"/>
      <c r="BE67" s="165"/>
      <c r="BF67" s="165"/>
    </row>
    <row r="68" spans="1:58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Y68" s="171"/>
      <c r="Z68" s="165"/>
      <c r="AA68" s="165"/>
      <c r="AB68" s="165"/>
      <c r="AC68" s="165"/>
      <c r="AD68" s="165"/>
      <c r="AE68" s="165"/>
      <c r="AF68" s="165"/>
      <c r="AG68" s="165"/>
      <c r="AH68" s="165"/>
      <c r="AJ68" s="181">
        <f>SUMIFS('Working-T05-B2'!$S$8:$S$150,'Working-T05-B2'!$G$8:$G$150,$A68)</f>
        <v>0</v>
      </c>
      <c r="AK68" s="18">
        <f t="shared" si="5"/>
        <v>0</v>
      </c>
      <c r="AM68" s="270"/>
      <c r="AN68" s="270"/>
      <c r="AO68" s="270"/>
      <c r="AP68" s="270"/>
      <c r="AQ68" s="270"/>
      <c r="AR68" s="270"/>
      <c r="AS68" s="270"/>
      <c r="AT68" s="270"/>
      <c r="AU68" s="270"/>
      <c r="AW68" s="170">
        <f t="shared" si="6"/>
        <v>0</v>
      </c>
      <c r="AX68" s="165"/>
      <c r="AY68" s="165"/>
      <c r="AZ68" s="165"/>
      <c r="BA68" s="165"/>
      <c r="BB68" s="165"/>
      <c r="BC68" s="165"/>
      <c r="BD68" s="165"/>
      <c r="BE68" s="165"/>
      <c r="BF68" s="165"/>
    </row>
    <row r="69" spans="1:58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Y69" s="171"/>
      <c r="Z69" s="165"/>
      <c r="AA69" s="165"/>
      <c r="AB69" s="165"/>
      <c r="AC69" s="165"/>
      <c r="AD69" s="165"/>
      <c r="AE69" s="165"/>
      <c r="AF69" s="165"/>
      <c r="AG69" s="165"/>
      <c r="AH69" s="165"/>
      <c r="AJ69" s="181">
        <f>SUMIFS('Working-T05-B2'!$S$8:$S$150,'Working-T05-B2'!$G$8:$G$150,$A69)</f>
        <v>0</v>
      </c>
      <c r="AK69" s="18">
        <f t="shared" ref="AK69:AK97" si="31">C69-AJ69</f>
        <v>0</v>
      </c>
      <c r="AM69" s="270"/>
      <c r="AN69" s="270"/>
      <c r="AO69" s="270"/>
      <c r="AP69" s="270"/>
      <c r="AQ69" s="270"/>
      <c r="AR69" s="270"/>
      <c r="AS69" s="270"/>
      <c r="AT69" s="270"/>
      <c r="AU69" s="270"/>
      <c r="AW69" s="170">
        <f t="shared" ref="AW69:AW97" si="32">SUM(AX69:BF69)</f>
        <v>0</v>
      </c>
      <c r="AX69" s="165"/>
      <c r="AY69" s="165"/>
      <c r="AZ69" s="165"/>
      <c r="BA69" s="165"/>
      <c r="BB69" s="165"/>
      <c r="BC69" s="165"/>
      <c r="BD69" s="165"/>
      <c r="BE69" s="165"/>
      <c r="BF69" s="165"/>
    </row>
    <row r="70" spans="1:58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Y70" s="171"/>
      <c r="Z70" s="165"/>
      <c r="AA70" s="165"/>
      <c r="AB70" s="165"/>
      <c r="AC70" s="165"/>
      <c r="AD70" s="165"/>
      <c r="AE70" s="165"/>
      <c r="AF70" s="165"/>
      <c r="AG70" s="165"/>
      <c r="AH70" s="165"/>
      <c r="AJ70" s="181">
        <f>SUMIFS('Working-T05-B2'!$S$8:$S$150,'Working-T05-B2'!$G$8:$G$150,$A70)</f>
        <v>0</v>
      </c>
      <c r="AK70" s="18">
        <f t="shared" si="31"/>
        <v>0</v>
      </c>
      <c r="AM70" s="270"/>
      <c r="AN70" s="270"/>
      <c r="AO70" s="270"/>
      <c r="AP70" s="270"/>
      <c r="AQ70" s="270"/>
      <c r="AR70" s="270"/>
      <c r="AS70" s="270"/>
      <c r="AT70" s="270"/>
      <c r="AU70" s="270"/>
      <c r="AW70" s="170">
        <f t="shared" si="32"/>
        <v>0</v>
      </c>
      <c r="AX70" s="165"/>
      <c r="AY70" s="165"/>
      <c r="AZ70" s="165"/>
      <c r="BA70" s="165"/>
      <c r="BB70" s="165"/>
      <c r="BC70" s="165"/>
      <c r="BD70" s="165"/>
      <c r="BE70" s="165"/>
      <c r="BF70" s="165"/>
    </row>
    <row r="71" spans="1:58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Y71" s="171"/>
      <c r="Z71" s="165"/>
      <c r="AA71" s="165"/>
      <c r="AB71" s="165"/>
      <c r="AC71" s="165"/>
      <c r="AD71" s="165"/>
      <c r="AE71" s="165"/>
      <c r="AF71" s="165"/>
      <c r="AG71" s="165"/>
      <c r="AH71" s="165"/>
      <c r="AJ71" s="181">
        <f>SUMIFS('Working-T05-B2'!$S$8:$S$150,'Working-T05-B2'!$G$8:$G$150,$A71)</f>
        <v>0</v>
      </c>
      <c r="AK71" s="18">
        <f t="shared" si="31"/>
        <v>0</v>
      </c>
      <c r="AM71" s="270"/>
      <c r="AN71" s="270"/>
      <c r="AO71" s="270"/>
      <c r="AP71" s="270"/>
      <c r="AQ71" s="270"/>
      <c r="AR71" s="270"/>
      <c r="AS71" s="270"/>
      <c r="AT71" s="270"/>
      <c r="AU71" s="270"/>
      <c r="AW71" s="170">
        <f t="shared" si="32"/>
        <v>0</v>
      </c>
      <c r="AX71" s="165"/>
      <c r="AY71" s="165"/>
      <c r="AZ71" s="165"/>
      <c r="BA71" s="165"/>
      <c r="BB71" s="165"/>
      <c r="BC71" s="165"/>
      <c r="BD71" s="165"/>
      <c r="BE71" s="165"/>
      <c r="BF71" s="165"/>
    </row>
    <row r="72" spans="1:58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Y72" s="171"/>
      <c r="Z72" s="165"/>
      <c r="AA72" s="165"/>
      <c r="AB72" s="165"/>
      <c r="AC72" s="165"/>
      <c r="AD72" s="165"/>
      <c r="AE72" s="165"/>
      <c r="AF72" s="165"/>
      <c r="AG72" s="165"/>
      <c r="AH72" s="165"/>
      <c r="AJ72" s="181">
        <f>SUMIFS('Working-T05-B2'!$S$8:$S$150,'Working-T05-B2'!$G$8:$G$150,$A72)</f>
        <v>0</v>
      </c>
      <c r="AK72" s="18">
        <f t="shared" si="31"/>
        <v>0</v>
      </c>
      <c r="AM72" s="270"/>
      <c r="AN72" s="270"/>
      <c r="AO72" s="270"/>
      <c r="AP72" s="270"/>
      <c r="AQ72" s="270"/>
      <c r="AR72" s="270"/>
      <c r="AS72" s="270"/>
      <c r="AT72" s="270"/>
      <c r="AU72" s="270"/>
      <c r="AW72" s="170">
        <f t="shared" si="32"/>
        <v>0</v>
      </c>
      <c r="AX72" s="165"/>
      <c r="AY72" s="165"/>
      <c r="AZ72" s="165"/>
      <c r="BA72" s="165"/>
      <c r="BB72" s="165"/>
      <c r="BC72" s="165"/>
      <c r="BD72" s="165"/>
      <c r="BE72" s="165"/>
      <c r="BF72" s="165"/>
    </row>
    <row r="73" spans="1:58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Y73" s="171"/>
      <c r="Z73" s="165"/>
      <c r="AA73" s="165"/>
      <c r="AB73" s="165"/>
      <c r="AC73" s="165"/>
      <c r="AD73" s="165"/>
      <c r="AE73" s="165"/>
      <c r="AF73" s="165"/>
      <c r="AG73" s="165"/>
      <c r="AH73" s="165"/>
      <c r="AJ73" s="181">
        <f>SUMIFS('Working-T05-B2'!$S$8:$S$150,'Working-T05-B2'!$G$8:$G$150,$A73)</f>
        <v>0</v>
      </c>
      <c r="AK73" s="18">
        <f t="shared" si="31"/>
        <v>0</v>
      </c>
      <c r="AM73" s="270"/>
      <c r="AN73" s="270"/>
      <c r="AO73" s="270"/>
      <c r="AP73" s="270"/>
      <c r="AQ73" s="270"/>
      <c r="AR73" s="270"/>
      <c r="AS73" s="270"/>
      <c r="AT73" s="270"/>
      <c r="AU73" s="270"/>
      <c r="AW73" s="170">
        <f t="shared" si="32"/>
        <v>0</v>
      </c>
      <c r="AX73" s="165"/>
      <c r="AY73" s="165"/>
      <c r="AZ73" s="165"/>
      <c r="BA73" s="165"/>
      <c r="BB73" s="165"/>
      <c r="BC73" s="165"/>
      <c r="BD73" s="165"/>
      <c r="BE73" s="165"/>
      <c r="BF73" s="165"/>
    </row>
    <row r="74" spans="1:58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Y74" s="171"/>
      <c r="Z74" s="165"/>
      <c r="AA74" s="165"/>
      <c r="AB74" s="165"/>
      <c r="AC74" s="165"/>
      <c r="AD74" s="165"/>
      <c r="AE74" s="165"/>
      <c r="AF74" s="165"/>
      <c r="AG74" s="165"/>
      <c r="AH74" s="165"/>
      <c r="AJ74" s="181">
        <f>SUMIFS('Working-T05-B2'!$S$8:$S$150,'Working-T05-B2'!$G$8:$G$150,$A74)</f>
        <v>0</v>
      </c>
      <c r="AK74" s="18">
        <f t="shared" si="31"/>
        <v>0</v>
      </c>
      <c r="AM74" s="270"/>
      <c r="AN74" s="270"/>
      <c r="AO74" s="270"/>
      <c r="AP74" s="270"/>
      <c r="AQ74" s="270"/>
      <c r="AR74" s="270"/>
      <c r="AS74" s="270"/>
      <c r="AT74" s="270"/>
      <c r="AU74" s="270"/>
      <c r="AW74" s="170">
        <f t="shared" si="32"/>
        <v>0</v>
      </c>
      <c r="AX74" s="165"/>
      <c r="AY74" s="165"/>
      <c r="AZ74" s="165"/>
      <c r="BA74" s="165"/>
      <c r="BB74" s="165"/>
      <c r="BC74" s="165"/>
      <c r="BD74" s="165"/>
      <c r="BE74" s="165"/>
      <c r="BF74" s="165"/>
    </row>
    <row r="75" spans="1:58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Y75" s="171"/>
      <c r="Z75" s="165"/>
      <c r="AA75" s="165"/>
      <c r="AB75" s="165"/>
      <c r="AC75" s="165"/>
      <c r="AD75" s="165"/>
      <c r="AE75" s="165"/>
      <c r="AF75" s="165"/>
      <c r="AG75" s="165"/>
      <c r="AH75" s="165"/>
      <c r="AJ75" s="181">
        <f>SUMIFS('Working-T05-B2'!$S$8:$S$150,'Working-T05-B2'!$G$8:$G$150,$A75)</f>
        <v>0</v>
      </c>
      <c r="AK75" s="18">
        <f t="shared" si="31"/>
        <v>0</v>
      </c>
      <c r="AM75" s="270"/>
      <c r="AN75" s="270"/>
      <c r="AO75" s="270"/>
      <c r="AP75" s="270"/>
      <c r="AQ75" s="270"/>
      <c r="AR75" s="270"/>
      <c r="AS75" s="270"/>
      <c r="AT75" s="270"/>
      <c r="AU75" s="270"/>
      <c r="AW75" s="170">
        <f t="shared" si="32"/>
        <v>0</v>
      </c>
      <c r="AX75" s="165"/>
      <c r="AY75" s="165"/>
      <c r="AZ75" s="165"/>
      <c r="BA75" s="165"/>
      <c r="BB75" s="165"/>
      <c r="BC75" s="165"/>
      <c r="BD75" s="165"/>
      <c r="BE75" s="165"/>
      <c r="BF75" s="165"/>
    </row>
    <row r="76" spans="1:58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Y76" s="171"/>
      <c r="Z76" s="165"/>
      <c r="AA76" s="165"/>
      <c r="AB76" s="165"/>
      <c r="AC76" s="165"/>
      <c r="AD76" s="165"/>
      <c r="AE76" s="165"/>
      <c r="AF76" s="165"/>
      <c r="AG76" s="165"/>
      <c r="AH76" s="165"/>
      <c r="AJ76" s="181">
        <f>SUMIFS('Working-T05-B2'!$S$8:$S$150,'Working-T05-B2'!$G$8:$G$150,$A76)</f>
        <v>0</v>
      </c>
      <c r="AK76" s="18">
        <f t="shared" si="31"/>
        <v>0</v>
      </c>
      <c r="AM76" s="270"/>
      <c r="AN76" s="270"/>
      <c r="AO76" s="270"/>
      <c r="AP76" s="270"/>
      <c r="AQ76" s="270"/>
      <c r="AR76" s="270"/>
      <c r="AS76" s="270"/>
      <c r="AT76" s="270"/>
      <c r="AU76" s="270"/>
      <c r="AW76" s="170">
        <f t="shared" si="32"/>
        <v>0</v>
      </c>
      <c r="AX76" s="165"/>
      <c r="AY76" s="165"/>
      <c r="AZ76" s="165"/>
      <c r="BA76" s="165"/>
      <c r="BB76" s="165"/>
      <c r="BC76" s="165"/>
      <c r="BD76" s="165"/>
      <c r="BE76" s="165"/>
      <c r="BF76" s="165"/>
    </row>
    <row r="77" spans="1:58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Y77" s="171"/>
      <c r="Z77" s="165"/>
      <c r="AA77" s="165"/>
      <c r="AB77" s="165"/>
      <c r="AC77" s="165"/>
      <c r="AD77" s="165"/>
      <c r="AE77" s="165"/>
      <c r="AF77" s="165"/>
      <c r="AG77" s="165"/>
      <c r="AH77" s="165"/>
      <c r="AJ77" s="181">
        <f>SUMIFS('Working-T05-B2'!$S$8:$S$150,'Working-T05-B2'!$G$8:$G$150,$A77)</f>
        <v>0</v>
      </c>
      <c r="AK77" s="18">
        <f t="shared" si="31"/>
        <v>0</v>
      </c>
      <c r="AM77" s="270"/>
      <c r="AN77" s="270"/>
      <c r="AO77" s="270"/>
      <c r="AP77" s="270"/>
      <c r="AQ77" s="270"/>
      <c r="AR77" s="270"/>
      <c r="AS77" s="270"/>
      <c r="AT77" s="270"/>
      <c r="AU77" s="270"/>
      <c r="AW77" s="170">
        <f t="shared" si="32"/>
        <v>0</v>
      </c>
      <c r="AX77" s="165"/>
      <c r="AY77" s="165"/>
      <c r="AZ77" s="165"/>
      <c r="BA77" s="165"/>
      <c r="BB77" s="165"/>
      <c r="BC77" s="165"/>
      <c r="BD77" s="165"/>
      <c r="BE77" s="165"/>
      <c r="BF77" s="165"/>
    </row>
    <row r="78" spans="1:58" x14ac:dyDescent="0.25">
      <c r="A78" s="165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Y78" s="171"/>
      <c r="Z78" s="165"/>
      <c r="AA78" s="165"/>
      <c r="AB78" s="165"/>
      <c r="AC78" s="165"/>
      <c r="AD78" s="165"/>
      <c r="AE78" s="165"/>
      <c r="AF78" s="165"/>
      <c r="AG78" s="165"/>
      <c r="AH78" s="165"/>
      <c r="AJ78" s="181">
        <f>SUMIFS('Working-T05-B2'!$S$8:$S$150,'Working-T05-B2'!$G$8:$G$150,$A78)</f>
        <v>0</v>
      </c>
      <c r="AK78" s="18">
        <f t="shared" si="31"/>
        <v>0</v>
      </c>
      <c r="AM78" s="270"/>
      <c r="AN78" s="270"/>
      <c r="AO78" s="270"/>
      <c r="AP78" s="270"/>
      <c r="AQ78" s="270"/>
      <c r="AR78" s="270"/>
      <c r="AS78" s="270"/>
      <c r="AT78" s="270"/>
      <c r="AU78" s="270"/>
      <c r="AW78" s="170">
        <f t="shared" si="32"/>
        <v>0</v>
      </c>
      <c r="AX78" s="165"/>
      <c r="AY78" s="165"/>
      <c r="AZ78" s="165"/>
      <c r="BA78" s="165"/>
      <c r="BB78" s="165"/>
      <c r="BC78" s="165"/>
      <c r="BD78" s="165"/>
      <c r="BE78" s="165"/>
      <c r="BF78" s="165"/>
    </row>
    <row r="79" spans="1:58" x14ac:dyDescent="0.25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Y79" s="171"/>
      <c r="Z79" s="165"/>
      <c r="AA79" s="165"/>
      <c r="AB79" s="165"/>
      <c r="AC79" s="165"/>
      <c r="AD79" s="165"/>
      <c r="AE79" s="165"/>
      <c r="AF79" s="165"/>
      <c r="AG79" s="165"/>
      <c r="AH79" s="165"/>
      <c r="AJ79" s="181">
        <f>SUMIFS('Working-T05-B2'!$S$8:$S$150,'Working-T05-B2'!$G$8:$G$150,$A79)</f>
        <v>0</v>
      </c>
      <c r="AK79" s="18">
        <f t="shared" si="31"/>
        <v>0</v>
      </c>
      <c r="AM79" s="270"/>
      <c r="AN79" s="270"/>
      <c r="AO79" s="270"/>
      <c r="AP79" s="270"/>
      <c r="AQ79" s="270"/>
      <c r="AR79" s="270"/>
      <c r="AS79" s="270"/>
      <c r="AT79" s="270"/>
      <c r="AU79" s="270"/>
      <c r="AW79" s="170">
        <f t="shared" si="32"/>
        <v>0</v>
      </c>
      <c r="AX79" s="165"/>
      <c r="AY79" s="165"/>
      <c r="AZ79" s="165"/>
      <c r="BA79" s="165"/>
      <c r="BB79" s="165"/>
      <c r="BC79" s="165"/>
      <c r="BD79" s="165"/>
      <c r="BE79" s="165"/>
      <c r="BF79" s="165"/>
    </row>
    <row r="80" spans="1:58" x14ac:dyDescent="0.25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Y80" s="171"/>
      <c r="Z80" s="165"/>
      <c r="AA80" s="165"/>
      <c r="AB80" s="165"/>
      <c r="AC80" s="165"/>
      <c r="AD80" s="165"/>
      <c r="AE80" s="165"/>
      <c r="AF80" s="165"/>
      <c r="AG80" s="165"/>
      <c r="AH80" s="165"/>
      <c r="AJ80" s="181">
        <f>SUMIFS('Working-T05-B2'!$S$8:$S$150,'Working-T05-B2'!$G$8:$G$150,$A80)</f>
        <v>0</v>
      </c>
      <c r="AK80" s="18">
        <f t="shared" si="31"/>
        <v>0</v>
      </c>
      <c r="AM80" s="270"/>
      <c r="AN80" s="270"/>
      <c r="AO80" s="270"/>
      <c r="AP80" s="270"/>
      <c r="AQ80" s="270"/>
      <c r="AR80" s="270"/>
      <c r="AS80" s="270"/>
      <c r="AT80" s="270"/>
      <c r="AU80" s="270"/>
      <c r="AW80" s="170">
        <f t="shared" si="32"/>
        <v>0</v>
      </c>
      <c r="AX80" s="165"/>
      <c r="AY80" s="165"/>
      <c r="AZ80" s="165"/>
      <c r="BA80" s="165"/>
      <c r="BB80" s="165"/>
      <c r="BC80" s="165"/>
      <c r="BD80" s="165"/>
      <c r="BE80" s="165"/>
      <c r="BF80" s="165"/>
    </row>
    <row r="81" spans="1:58" x14ac:dyDescent="0.25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Y81" s="171"/>
      <c r="Z81" s="165"/>
      <c r="AA81" s="165"/>
      <c r="AB81" s="165"/>
      <c r="AC81" s="165"/>
      <c r="AD81" s="165"/>
      <c r="AE81" s="165"/>
      <c r="AF81" s="165"/>
      <c r="AG81" s="165"/>
      <c r="AH81" s="165"/>
      <c r="AJ81" s="181">
        <f>SUMIFS('Working-T05-B2'!$S$8:$S$150,'Working-T05-B2'!$G$8:$G$150,$A81)</f>
        <v>0</v>
      </c>
      <c r="AK81" s="18">
        <f t="shared" si="31"/>
        <v>0</v>
      </c>
      <c r="AM81" s="270"/>
      <c r="AN81" s="270"/>
      <c r="AO81" s="270"/>
      <c r="AP81" s="270"/>
      <c r="AQ81" s="270"/>
      <c r="AR81" s="270"/>
      <c r="AS81" s="270"/>
      <c r="AT81" s="270"/>
      <c r="AU81" s="270"/>
      <c r="AW81" s="170">
        <f t="shared" si="32"/>
        <v>0</v>
      </c>
      <c r="AX81" s="165"/>
      <c r="AY81" s="165"/>
      <c r="AZ81" s="165"/>
      <c r="BA81" s="165"/>
      <c r="BB81" s="165"/>
      <c r="BC81" s="165"/>
      <c r="BD81" s="165"/>
      <c r="BE81" s="165"/>
      <c r="BF81" s="165"/>
    </row>
    <row r="82" spans="1:58" x14ac:dyDescent="0.25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Y82" s="171"/>
      <c r="Z82" s="165"/>
      <c r="AA82" s="165"/>
      <c r="AB82" s="165"/>
      <c r="AC82" s="165"/>
      <c r="AD82" s="165"/>
      <c r="AE82" s="165"/>
      <c r="AF82" s="165"/>
      <c r="AG82" s="165"/>
      <c r="AH82" s="165"/>
      <c r="AJ82" s="181">
        <f>SUMIFS('Working-T05-B2'!$S$8:$S$150,'Working-T05-B2'!$G$8:$G$150,$A82)</f>
        <v>0</v>
      </c>
      <c r="AK82" s="18">
        <f t="shared" si="31"/>
        <v>0</v>
      </c>
      <c r="AM82" s="270"/>
      <c r="AN82" s="270"/>
      <c r="AO82" s="270"/>
      <c r="AP82" s="270"/>
      <c r="AQ82" s="270"/>
      <c r="AR82" s="270"/>
      <c r="AS82" s="270"/>
      <c r="AT82" s="270"/>
      <c r="AU82" s="270"/>
      <c r="AW82" s="170">
        <f t="shared" si="32"/>
        <v>0</v>
      </c>
      <c r="AX82" s="165"/>
      <c r="AY82" s="165"/>
      <c r="AZ82" s="165"/>
      <c r="BA82" s="165"/>
      <c r="BB82" s="165"/>
      <c r="BC82" s="165"/>
      <c r="BD82" s="165"/>
      <c r="BE82" s="165"/>
      <c r="BF82" s="165"/>
    </row>
    <row r="83" spans="1:58" x14ac:dyDescent="0.25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Y83" s="171"/>
      <c r="Z83" s="165"/>
      <c r="AA83" s="165"/>
      <c r="AB83" s="165"/>
      <c r="AC83" s="165"/>
      <c r="AD83" s="165"/>
      <c r="AE83" s="165"/>
      <c r="AF83" s="165"/>
      <c r="AG83" s="165"/>
      <c r="AH83" s="165"/>
      <c r="AJ83" s="181">
        <f>SUMIFS('Working-T05-B2'!$S$8:$S$150,'Working-T05-B2'!$G$8:$G$150,$A83)</f>
        <v>0</v>
      </c>
      <c r="AK83" s="18">
        <f t="shared" si="31"/>
        <v>0</v>
      </c>
      <c r="AM83" s="270"/>
      <c r="AN83" s="270"/>
      <c r="AO83" s="270"/>
      <c r="AP83" s="270"/>
      <c r="AQ83" s="270"/>
      <c r="AR83" s="270"/>
      <c r="AS83" s="270"/>
      <c r="AT83" s="270"/>
      <c r="AU83" s="270"/>
      <c r="AW83" s="170">
        <f t="shared" si="32"/>
        <v>0</v>
      </c>
      <c r="AX83" s="165"/>
      <c r="AY83" s="165"/>
      <c r="AZ83" s="165"/>
      <c r="BA83" s="165"/>
      <c r="BB83" s="165"/>
      <c r="BC83" s="165"/>
      <c r="BD83" s="165"/>
      <c r="BE83" s="165"/>
      <c r="BF83" s="165"/>
    </row>
    <row r="84" spans="1:58" x14ac:dyDescent="0.25">
      <c r="A84" s="165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Y84" s="171"/>
      <c r="Z84" s="165"/>
      <c r="AA84" s="165"/>
      <c r="AB84" s="165"/>
      <c r="AC84" s="165"/>
      <c r="AD84" s="165"/>
      <c r="AE84" s="165"/>
      <c r="AF84" s="165"/>
      <c r="AG84" s="165"/>
      <c r="AH84" s="165"/>
      <c r="AJ84" s="181">
        <f>SUMIFS('Working-T05-B2'!$S$8:$S$150,'Working-T05-B2'!$G$8:$G$150,$A84)</f>
        <v>0</v>
      </c>
      <c r="AK84" s="18">
        <f t="shared" si="31"/>
        <v>0</v>
      </c>
      <c r="AM84" s="270"/>
      <c r="AN84" s="270"/>
      <c r="AO84" s="270"/>
      <c r="AP84" s="270"/>
      <c r="AQ84" s="270"/>
      <c r="AR84" s="270"/>
      <c r="AS84" s="270"/>
      <c r="AT84" s="270"/>
      <c r="AU84" s="270"/>
      <c r="AW84" s="170">
        <f t="shared" si="32"/>
        <v>0</v>
      </c>
      <c r="AX84" s="165"/>
      <c r="AY84" s="165"/>
      <c r="AZ84" s="165"/>
      <c r="BA84" s="165"/>
      <c r="BB84" s="165"/>
      <c r="BC84" s="165"/>
      <c r="BD84" s="165"/>
      <c r="BE84" s="165"/>
      <c r="BF84" s="165"/>
    </row>
    <row r="85" spans="1:58" x14ac:dyDescent="0.25">
      <c r="A85" s="165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Y85" s="171"/>
      <c r="Z85" s="165"/>
      <c r="AA85" s="165"/>
      <c r="AB85" s="165"/>
      <c r="AC85" s="165"/>
      <c r="AD85" s="165"/>
      <c r="AE85" s="165"/>
      <c r="AF85" s="165"/>
      <c r="AG85" s="165"/>
      <c r="AH85" s="165"/>
      <c r="AJ85" s="181">
        <f>SUMIFS('Working-T05-B2'!$S$8:$S$150,'Working-T05-B2'!$G$8:$G$150,$A85)</f>
        <v>0</v>
      </c>
      <c r="AK85" s="18">
        <f t="shared" si="31"/>
        <v>0</v>
      </c>
      <c r="AM85" s="270"/>
      <c r="AN85" s="270"/>
      <c r="AO85" s="270"/>
      <c r="AP85" s="270"/>
      <c r="AQ85" s="270"/>
      <c r="AR85" s="270"/>
      <c r="AS85" s="270"/>
      <c r="AT85" s="270"/>
      <c r="AU85" s="270"/>
      <c r="AW85" s="170">
        <f t="shared" si="32"/>
        <v>0</v>
      </c>
      <c r="AX85" s="165"/>
      <c r="AY85" s="165"/>
      <c r="AZ85" s="165"/>
      <c r="BA85" s="165"/>
      <c r="BB85" s="165"/>
      <c r="BC85" s="165"/>
      <c r="BD85" s="165"/>
      <c r="BE85" s="165"/>
      <c r="BF85" s="165"/>
    </row>
    <row r="86" spans="1:58" x14ac:dyDescent="0.25">
      <c r="A86" s="165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Y86" s="171"/>
      <c r="Z86" s="165"/>
      <c r="AA86" s="165"/>
      <c r="AB86" s="165"/>
      <c r="AC86" s="165"/>
      <c r="AD86" s="165"/>
      <c r="AE86" s="165"/>
      <c r="AF86" s="165"/>
      <c r="AG86" s="165"/>
      <c r="AH86" s="165"/>
      <c r="AJ86" s="181">
        <f>SUMIFS('Working-T05-B2'!$S$8:$S$150,'Working-T05-B2'!$G$8:$G$150,$A86)</f>
        <v>0</v>
      </c>
      <c r="AK86" s="18">
        <f t="shared" si="31"/>
        <v>0</v>
      </c>
      <c r="AM86" s="270"/>
      <c r="AN86" s="270"/>
      <c r="AO86" s="270"/>
      <c r="AP86" s="270"/>
      <c r="AQ86" s="270"/>
      <c r="AR86" s="270"/>
      <c r="AS86" s="270"/>
      <c r="AT86" s="270"/>
      <c r="AU86" s="270"/>
      <c r="AW86" s="170">
        <f t="shared" si="32"/>
        <v>0</v>
      </c>
      <c r="AX86" s="165"/>
      <c r="AY86" s="165"/>
      <c r="AZ86" s="165"/>
      <c r="BA86" s="165"/>
      <c r="BB86" s="165"/>
      <c r="BC86" s="165"/>
      <c r="BD86" s="165"/>
      <c r="BE86" s="165"/>
      <c r="BF86" s="165"/>
    </row>
    <row r="87" spans="1:58" x14ac:dyDescent="0.25">
      <c r="A87" s="165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Y87" s="171"/>
      <c r="Z87" s="165"/>
      <c r="AA87" s="165"/>
      <c r="AB87" s="165"/>
      <c r="AC87" s="165"/>
      <c r="AD87" s="165"/>
      <c r="AE87" s="165"/>
      <c r="AF87" s="165"/>
      <c r="AG87" s="165"/>
      <c r="AH87" s="165"/>
      <c r="AJ87" s="181">
        <f>SUMIFS('Working-T05-B2'!$S$8:$S$150,'Working-T05-B2'!$G$8:$G$150,$A87)</f>
        <v>0</v>
      </c>
      <c r="AK87" s="18">
        <f t="shared" si="31"/>
        <v>0</v>
      </c>
      <c r="AM87" s="270"/>
      <c r="AN87" s="270"/>
      <c r="AO87" s="270"/>
      <c r="AP87" s="270"/>
      <c r="AQ87" s="270"/>
      <c r="AR87" s="270"/>
      <c r="AS87" s="270"/>
      <c r="AT87" s="270"/>
      <c r="AU87" s="270"/>
      <c r="AW87" s="170">
        <f t="shared" si="32"/>
        <v>0</v>
      </c>
      <c r="AX87" s="165"/>
      <c r="AY87" s="165"/>
      <c r="AZ87" s="165"/>
      <c r="BA87" s="165"/>
      <c r="BB87" s="165"/>
      <c r="BC87" s="165"/>
      <c r="BD87" s="165"/>
      <c r="BE87" s="165"/>
      <c r="BF87" s="165"/>
    </row>
    <row r="88" spans="1:58" x14ac:dyDescent="0.25">
      <c r="A88" s="165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Y88" s="171"/>
      <c r="Z88" s="165"/>
      <c r="AA88" s="165"/>
      <c r="AB88" s="165"/>
      <c r="AC88" s="165"/>
      <c r="AD88" s="165"/>
      <c r="AE88" s="165"/>
      <c r="AF88" s="165"/>
      <c r="AG88" s="165"/>
      <c r="AH88" s="165"/>
      <c r="AJ88" s="181">
        <f>SUMIFS('Working-T05-B2'!$S$8:$S$150,'Working-T05-B2'!$G$8:$G$150,$A88)</f>
        <v>0</v>
      </c>
      <c r="AK88" s="18">
        <f t="shared" si="31"/>
        <v>0</v>
      </c>
      <c r="AM88" s="270"/>
      <c r="AN88" s="270"/>
      <c r="AO88" s="270"/>
      <c r="AP88" s="270"/>
      <c r="AQ88" s="270"/>
      <c r="AR88" s="270"/>
      <c r="AS88" s="270"/>
      <c r="AT88" s="270"/>
      <c r="AU88" s="270"/>
      <c r="AW88" s="170">
        <f t="shared" si="32"/>
        <v>0</v>
      </c>
      <c r="AX88" s="165"/>
      <c r="AY88" s="165"/>
      <c r="AZ88" s="165"/>
      <c r="BA88" s="165"/>
      <c r="BB88" s="165"/>
      <c r="BC88" s="165"/>
      <c r="BD88" s="165"/>
      <c r="BE88" s="165"/>
      <c r="BF88" s="165"/>
    </row>
    <row r="89" spans="1:58" x14ac:dyDescent="0.25">
      <c r="A89" s="165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Y89" s="171"/>
      <c r="Z89" s="165"/>
      <c r="AA89" s="165"/>
      <c r="AB89" s="165"/>
      <c r="AC89" s="165"/>
      <c r="AD89" s="165"/>
      <c r="AE89" s="165"/>
      <c r="AF89" s="165"/>
      <c r="AG89" s="165"/>
      <c r="AH89" s="165"/>
      <c r="AJ89" s="181">
        <f>SUMIFS('Working-T05-B2'!$S$8:$S$150,'Working-T05-B2'!$G$8:$G$150,$A89)</f>
        <v>0</v>
      </c>
      <c r="AK89" s="18">
        <f t="shared" si="31"/>
        <v>0</v>
      </c>
      <c r="AM89" s="270"/>
      <c r="AN89" s="270"/>
      <c r="AO89" s="270"/>
      <c r="AP89" s="270"/>
      <c r="AQ89" s="270"/>
      <c r="AR89" s="270"/>
      <c r="AS89" s="270"/>
      <c r="AT89" s="270"/>
      <c r="AU89" s="270"/>
      <c r="AW89" s="170">
        <f t="shared" si="32"/>
        <v>0</v>
      </c>
      <c r="AX89" s="165"/>
      <c r="AY89" s="165"/>
      <c r="AZ89" s="165"/>
      <c r="BA89" s="165"/>
      <c r="BB89" s="165"/>
      <c r="BC89" s="165"/>
      <c r="BD89" s="165"/>
      <c r="BE89" s="165"/>
      <c r="BF89" s="165"/>
    </row>
    <row r="90" spans="1:58" x14ac:dyDescent="0.25">
      <c r="A90" s="165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Y90" s="171"/>
      <c r="Z90" s="165"/>
      <c r="AA90" s="165"/>
      <c r="AB90" s="165"/>
      <c r="AC90" s="165"/>
      <c r="AD90" s="165"/>
      <c r="AE90" s="165"/>
      <c r="AF90" s="165"/>
      <c r="AG90" s="165"/>
      <c r="AH90" s="165"/>
      <c r="AJ90" s="181">
        <f>SUMIFS('Working-T05-B2'!$S$8:$S$150,'Working-T05-B2'!$G$8:$G$150,$A90)</f>
        <v>0</v>
      </c>
      <c r="AK90" s="18">
        <f t="shared" si="31"/>
        <v>0</v>
      </c>
      <c r="AM90" s="270"/>
      <c r="AN90" s="270"/>
      <c r="AO90" s="270"/>
      <c r="AP90" s="270"/>
      <c r="AQ90" s="270"/>
      <c r="AR90" s="270"/>
      <c r="AS90" s="270"/>
      <c r="AT90" s="270"/>
      <c r="AU90" s="270"/>
      <c r="AW90" s="170">
        <f t="shared" si="32"/>
        <v>0</v>
      </c>
      <c r="AX90" s="165"/>
      <c r="AY90" s="165"/>
      <c r="AZ90" s="165"/>
      <c r="BA90" s="165"/>
      <c r="BB90" s="165"/>
      <c r="BC90" s="165"/>
      <c r="BD90" s="165"/>
      <c r="BE90" s="165"/>
      <c r="BF90" s="165"/>
    </row>
    <row r="91" spans="1:58" x14ac:dyDescent="0.25">
      <c r="A91" s="165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Y91" s="171"/>
      <c r="Z91" s="165"/>
      <c r="AA91" s="165"/>
      <c r="AB91" s="165"/>
      <c r="AC91" s="165"/>
      <c r="AD91" s="165"/>
      <c r="AE91" s="165"/>
      <c r="AF91" s="165"/>
      <c r="AG91" s="165"/>
      <c r="AH91" s="165"/>
      <c r="AJ91" s="181">
        <f>SUMIFS('Working-T05-B2'!$S$8:$S$150,'Working-T05-B2'!$G$8:$G$150,$A91)</f>
        <v>0</v>
      </c>
      <c r="AK91" s="18">
        <f t="shared" si="31"/>
        <v>0</v>
      </c>
      <c r="AM91" s="270"/>
      <c r="AN91" s="270"/>
      <c r="AO91" s="270"/>
      <c r="AP91" s="270"/>
      <c r="AQ91" s="270"/>
      <c r="AR91" s="270"/>
      <c r="AS91" s="270"/>
      <c r="AT91" s="270"/>
      <c r="AU91" s="270"/>
      <c r="AW91" s="170">
        <f t="shared" si="32"/>
        <v>0</v>
      </c>
      <c r="AX91" s="165"/>
      <c r="AY91" s="165"/>
      <c r="AZ91" s="165"/>
      <c r="BA91" s="165"/>
      <c r="BB91" s="165"/>
      <c r="BC91" s="165"/>
      <c r="BD91" s="165"/>
      <c r="BE91" s="165"/>
      <c r="BF91" s="165"/>
    </row>
    <row r="92" spans="1:58" x14ac:dyDescent="0.25">
      <c r="A92" s="165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Y92" s="171"/>
      <c r="Z92" s="165"/>
      <c r="AA92" s="165"/>
      <c r="AB92" s="165"/>
      <c r="AC92" s="165"/>
      <c r="AD92" s="165"/>
      <c r="AE92" s="165"/>
      <c r="AF92" s="165"/>
      <c r="AG92" s="165"/>
      <c r="AH92" s="165"/>
      <c r="AJ92" s="181">
        <f>SUMIFS('Working-T05-B2'!$S$8:$S$150,'Working-T05-B2'!$G$8:$G$150,$A92)</f>
        <v>0</v>
      </c>
      <c r="AK92" s="18">
        <f t="shared" si="31"/>
        <v>0</v>
      </c>
      <c r="AM92" s="270"/>
      <c r="AN92" s="270"/>
      <c r="AO92" s="270"/>
      <c r="AP92" s="270"/>
      <c r="AQ92" s="270"/>
      <c r="AR92" s="270"/>
      <c r="AS92" s="270"/>
      <c r="AT92" s="270"/>
      <c r="AU92" s="270"/>
      <c r="AW92" s="170">
        <f t="shared" si="32"/>
        <v>0</v>
      </c>
      <c r="AX92" s="165"/>
      <c r="AY92" s="165"/>
      <c r="AZ92" s="165"/>
      <c r="BA92" s="165"/>
      <c r="BB92" s="165"/>
      <c r="BC92" s="165"/>
      <c r="BD92" s="165"/>
      <c r="BE92" s="165"/>
      <c r="BF92" s="165"/>
    </row>
    <row r="93" spans="1:58" x14ac:dyDescent="0.25">
      <c r="A93" s="165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Y93" s="171"/>
      <c r="Z93" s="165"/>
      <c r="AA93" s="165"/>
      <c r="AB93" s="165"/>
      <c r="AC93" s="165"/>
      <c r="AD93" s="165"/>
      <c r="AE93" s="165"/>
      <c r="AF93" s="165"/>
      <c r="AG93" s="165"/>
      <c r="AH93" s="165"/>
      <c r="AJ93" s="181">
        <f>SUMIFS('Working-T05-B2'!$S$8:$S$150,'Working-T05-B2'!$G$8:$G$150,$A93)</f>
        <v>0</v>
      </c>
      <c r="AK93" s="18">
        <f t="shared" si="31"/>
        <v>0</v>
      </c>
      <c r="AM93" s="270"/>
      <c r="AN93" s="270"/>
      <c r="AO93" s="270"/>
      <c r="AP93" s="270"/>
      <c r="AQ93" s="270"/>
      <c r="AR93" s="270"/>
      <c r="AS93" s="270"/>
      <c r="AT93" s="270"/>
      <c r="AU93" s="270"/>
      <c r="AW93" s="170">
        <f t="shared" si="32"/>
        <v>0</v>
      </c>
      <c r="AX93" s="165"/>
      <c r="AY93" s="165"/>
      <c r="AZ93" s="165"/>
      <c r="BA93" s="165"/>
      <c r="BB93" s="165"/>
      <c r="BC93" s="165"/>
      <c r="BD93" s="165"/>
      <c r="BE93" s="165"/>
      <c r="BF93" s="165"/>
    </row>
    <row r="94" spans="1:58" x14ac:dyDescent="0.25">
      <c r="A94" s="165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Y94" s="171"/>
      <c r="Z94" s="165"/>
      <c r="AA94" s="165"/>
      <c r="AB94" s="165"/>
      <c r="AC94" s="165"/>
      <c r="AD94" s="165"/>
      <c r="AE94" s="165"/>
      <c r="AF94" s="165"/>
      <c r="AG94" s="165"/>
      <c r="AH94" s="165"/>
      <c r="AJ94" s="181">
        <f>SUMIFS('Working-T05-B2'!$S$8:$S$150,'Working-T05-B2'!$G$8:$G$150,$A94)</f>
        <v>0</v>
      </c>
      <c r="AK94" s="18">
        <f t="shared" si="31"/>
        <v>0</v>
      </c>
      <c r="AM94" s="270"/>
      <c r="AN94" s="270"/>
      <c r="AO94" s="270"/>
      <c r="AP94" s="270"/>
      <c r="AQ94" s="270"/>
      <c r="AR94" s="270"/>
      <c r="AS94" s="270"/>
      <c r="AT94" s="270"/>
      <c r="AU94" s="270"/>
      <c r="AW94" s="170">
        <f t="shared" si="32"/>
        <v>0</v>
      </c>
      <c r="AX94" s="165"/>
      <c r="AY94" s="165"/>
      <c r="AZ94" s="165"/>
      <c r="BA94" s="165"/>
      <c r="BB94" s="165"/>
      <c r="BC94" s="165"/>
      <c r="BD94" s="165"/>
      <c r="BE94" s="165"/>
      <c r="BF94" s="165"/>
    </row>
    <row r="95" spans="1:58" x14ac:dyDescent="0.25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Y95" s="171"/>
      <c r="Z95" s="165"/>
      <c r="AA95" s="165"/>
      <c r="AB95" s="165"/>
      <c r="AC95" s="165"/>
      <c r="AD95" s="165"/>
      <c r="AE95" s="165"/>
      <c r="AF95" s="165"/>
      <c r="AG95" s="165"/>
      <c r="AH95" s="165"/>
      <c r="AJ95" s="181">
        <f>SUMIFS('Working-T05-B2'!$S$8:$S$150,'Working-T05-B2'!$G$8:$G$150,$A95)</f>
        <v>0</v>
      </c>
      <c r="AK95" s="18">
        <f t="shared" si="31"/>
        <v>0</v>
      </c>
      <c r="AM95" s="270"/>
      <c r="AN95" s="270"/>
      <c r="AO95" s="270"/>
      <c r="AP95" s="270"/>
      <c r="AQ95" s="270"/>
      <c r="AR95" s="270"/>
      <c r="AS95" s="270"/>
      <c r="AT95" s="270"/>
      <c r="AU95" s="270"/>
      <c r="AW95" s="170">
        <f t="shared" si="32"/>
        <v>0</v>
      </c>
      <c r="AX95" s="165"/>
      <c r="AY95" s="165"/>
      <c r="AZ95" s="165"/>
      <c r="BA95" s="165"/>
      <c r="BB95" s="165"/>
      <c r="BC95" s="165"/>
      <c r="BD95" s="165"/>
      <c r="BE95" s="165"/>
      <c r="BF95" s="165"/>
    </row>
    <row r="96" spans="1:58" x14ac:dyDescent="0.25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Y96" s="171"/>
      <c r="Z96" s="165"/>
      <c r="AA96" s="165"/>
      <c r="AB96" s="165"/>
      <c r="AC96" s="165"/>
      <c r="AD96" s="165"/>
      <c r="AE96" s="165"/>
      <c r="AF96" s="165"/>
      <c r="AG96" s="165"/>
      <c r="AH96" s="165"/>
      <c r="AJ96" s="181">
        <f>SUMIFS('Working-T05-B2'!$S$8:$S$150,'Working-T05-B2'!$G$8:$G$150,$A96)</f>
        <v>0</v>
      </c>
      <c r="AK96" s="18">
        <f t="shared" si="31"/>
        <v>0</v>
      </c>
      <c r="AM96" s="270"/>
      <c r="AN96" s="270"/>
      <c r="AO96" s="270"/>
      <c r="AP96" s="270"/>
      <c r="AQ96" s="270"/>
      <c r="AR96" s="270"/>
      <c r="AS96" s="270"/>
      <c r="AT96" s="270"/>
      <c r="AU96" s="270"/>
      <c r="AW96" s="170">
        <f t="shared" si="32"/>
        <v>0</v>
      </c>
      <c r="AX96" s="165"/>
      <c r="AY96" s="165"/>
      <c r="AZ96" s="165"/>
      <c r="BA96" s="165"/>
      <c r="BB96" s="165"/>
      <c r="BC96" s="165"/>
      <c r="BD96" s="165"/>
      <c r="BE96" s="165"/>
      <c r="BF96" s="165"/>
    </row>
    <row r="97" spans="1:58" ht="13.8" thickBot="1" x14ac:dyDescent="0.3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Y97" s="172"/>
      <c r="Z97" s="166"/>
      <c r="AA97" s="166"/>
      <c r="AB97" s="166"/>
      <c r="AC97" s="166"/>
      <c r="AD97" s="166"/>
      <c r="AE97" s="166"/>
      <c r="AF97" s="166"/>
      <c r="AG97" s="166"/>
      <c r="AH97" s="166"/>
      <c r="AJ97" s="182">
        <f>SUMIFS('Working-T05-B2'!$S$8:$S$150,'Working-T05-B2'!$G$8:$G$150,$A97)</f>
        <v>0</v>
      </c>
      <c r="AK97" s="18">
        <f t="shared" si="31"/>
        <v>0</v>
      </c>
      <c r="AM97" s="271"/>
      <c r="AN97" s="271"/>
      <c r="AO97" s="271"/>
      <c r="AP97" s="271"/>
      <c r="AQ97" s="271"/>
      <c r="AR97" s="271"/>
      <c r="AS97" s="271"/>
      <c r="AT97" s="271"/>
      <c r="AU97" s="271"/>
      <c r="AW97" s="278">
        <f t="shared" si="32"/>
        <v>0</v>
      </c>
      <c r="AX97" s="166"/>
      <c r="AY97" s="166"/>
      <c r="AZ97" s="166"/>
      <c r="BA97" s="166"/>
      <c r="BB97" s="166"/>
      <c r="BC97" s="166"/>
      <c r="BD97" s="166"/>
      <c r="BE97" s="166"/>
      <c r="BF97" s="166"/>
    </row>
    <row r="98" spans="1:58" s="160" customFormat="1" x14ac:dyDescent="0.25">
      <c r="A98" s="174" t="s">
        <v>2894</v>
      </c>
      <c r="B98" s="175" t="s">
        <v>2894</v>
      </c>
      <c r="C98" s="175" t="s">
        <v>2894</v>
      </c>
      <c r="D98" s="175" t="s">
        <v>2894</v>
      </c>
      <c r="E98" s="175" t="s">
        <v>2894</v>
      </c>
      <c r="F98" s="175" t="s">
        <v>2894</v>
      </c>
      <c r="G98" s="175" t="s">
        <v>2894</v>
      </c>
      <c r="H98" s="175" t="s">
        <v>2894</v>
      </c>
      <c r="I98" s="175" t="s">
        <v>2894</v>
      </c>
      <c r="J98" s="175" t="s">
        <v>2894</v>
      </c>
      <c r="K98" s="175" t="s">
        <v>2894</v>
      </c>
      <c r="L98" s="175" t="s">
        <v>2894</v>
      </c>
      <c r="M98" s="175" t="s">
        <v>2894</v>
      </c>
      <c r="N98" s="175" t="s">
        <v>2894</v>
      </c>
      <c r="O98" s="175" t="s">
        <v>2894</v>
      </c>
      <c r="P98" s="175" t="s">
        <v>2894</v>
      </c>
      <c r="Q98" s="175" t="s">
        <v>2894</v>
      </c>
      <c r="R98" s="175" t="s">
        <v>2894</v>
      </c>
      <c r="S98" s="175" t="s">
        <v>2894</v>
      </c>
      <c r="T98" s="175" t="s">
        <v>2894</v>
      </c>
      <c r="U98" s="175" t="s">
        <v>2894</v>
      </c>
      <c r="V98" s="175" t="s">
        <v>2894</v>
      </c>
      <c r="W98" s="175" t="s">
        <v>2894</v>
      </c>
      <c r="X98" s="175" t="s">
        <v>2894</v>
      </c>
      <c r="Y98" s="175" t="s">
        <v>2894</v>
      </c>
      <c r="Z98" s="175" t="s">
        <v>2894</v>
      </c>
      <c r="AA98" s="175" t="s">
        <v>2894</v>
      </c>
      <c r="AB98" s="175" t="s">
        <v>2894</v>
      </c>
      <c r="AC98" s="175" t="s">
        <v>2894</v>
      </c>
      <c r="AD98" s="175" t="s">
        <v>2894</v>
      </c>
      <c r="AE98" s="175" t="s">
        <v>2894</v>
      </c>
      <c r="AF98" s="175" t="s">
        <v>2894</v>
      </c>
      <c r="AG98" s="175" t="s">
        <v>2894</v>
      </c>
      <c r="AH98" s="175" t="s">
        <v>2894</v>
      </c>
      <c r="AI98" s="175" t="s">
        <v>2894</v>
      </c>
      <c r="AJ98" s="175" t="s">
        <v>2894</v>
      </c>
      <c r="AK98" s="175" t="s">
        <v>2894</v>
      </c>
      <c r="AL98" s="175" t="s">
        <v>2894</v>
      </c>
      <c r="AM98" s="175" t="s">
        <v>2894</v>
      </c>
      <c r="AN98" s="175" t="s">
        <v>2894</v>
      </c>
      <c r="AO98" s="175" t="s">
        <v>2894</v>
      </c>
      <c r="AP98" s="175" t="s">
        <v>2894</v>
      </c>
      <c r="AQ98" s="175" t="s">
        <v>2894</v>
      </c>
      <c r="AR98" s="175" t="s">
        <v>2894</v>
      </c>
      <c r="AS98" s="175" t="s">
        <v>2894</v>
      </c>
      <c r="AT98" s="175" t="s">
        <v>2894</v>
      </c>
      <c r="AU98" s="175" t="s">
        <v>2894</v>
      </c>
      <c r="AV98" s="175" t="s">
        <v>2894</v>
      </c>
      <c r="AW98" s="175" t="s">
        <v>2894</v>
      </c>
      <c r="AX98" s="175" t="s">
        <v>2894</v>
      </c>
      <c r="AY98" s="175" t="s">
        <v>2894</v>
      </c>
      <c r="AZ98" s="175" t="s">
        <v>2894</v>
      </c>
      <c r="BA98" s="175" t="s">
        <v>2894</v>
      </c>
      <c r="BB98" s="175" t="s">
        <v>2894</v>
      </c>
      <c r="BC98" s="175" t="s">
        <v>2894</v>
      </c>
      <c r="BD98" s="175" t="s">
        <v>2894</v>
      </c>
      <c r="BE98" s="175" t="s">
        <v>2894</v>
      </c>
      <c r="BF98" s="175" t="s">
        <v>2894</v>
      </c>
    </row>
    <row r="103" spans="1:58" x14ac:dyDescent="0.25">
      <c r="A103" s="165" t="s">
        <v>339</v>
      </c>
      <c r="B103" s="165" t="s">
        <v>340</v>
      </c>
      <c r="C103" s="164">
        <v>321199.5</v>
      </c>
      <c r="D103" s="164">
        <v>60</v>
      </c>
      <c r="E103" s="164">
        <v>2530976261</v>
      </c>
      <c r="F103" s="164">
        <v>-13417346</v>
      </c>
      <c r="G103" s="164">
        <v>3591546716</v>
      </c>
      <c r="H103" s="164">
        <v>2895361</v>
      </c>
      <c r="I103" s="164">
        <v>0</v>
      </c>
      <c r="J103" s="164">
        <v>235282421</v>
      </c>
      <c r="K103" s="164">
        <v>830970</v>
      </c>
      <c r="L103" s="164">
        <v>316032472</v>
      </c>
      <c r="M103" s="164">
        <v>40727265</v>
      </c>
      <c r="N103" s="164">
        <v>6059</v>
      </c>
      <c r="O103" s="164">
        <v>0</v>
      </c>
      <c r="P103" s="164">
        <v>0</v>
      </c>
      <c r="Q103" s="164">
        <v>0</v>
      </c>
      <c r="R103" s="164">
        <v>122631851</v>
      </c>
      <c r="S103" s="164">
        <v>6890</v>
      </c>
      <c r="T103" s="164">
        <v>186802682</v>
      </c>
      <c r="U103" s="164">
        <v>128891265</v>
      </c>
      <c r="V103" s="164">
        <v>0</v>
      </c>
      <c r="W103" s="164">
        <v>533925229</v>
      </c>
      <c r="Y103" s="170">
        <f t="shared" ref="Y103" si="33">SUM(Z103:AH103)</f>
        <v>23901.463595055411</v>
      </c>
      <c r="Z103" s="168">
        <f t="shared" ref="Z103:AH103" si="34">IFERROR(SUMIFS($D103:$W103,$D$1:$W$1,Z$3)/$C103,0)</f>
        <v>19019.661272822654</v>
      </c>
      <c r="AA103" s="168">
        <f t="shared" si="34"/>
        <v>741.5260048661346</v>
      </c>
      <c r="AB103" s="168">
        <f t="shared" si="34"/>
        <v>2.5870837283370616</v>
      </c>
      <c r="AC103" s="168">
        <f t="shared" si="34"/>
        <v>983.91333734952889</v>
      </c>
      <c r="AD103" s="168">
        <f t="shared" si="34"/>
        <v>126.81627462060183</v>
      </c>
      <c r="AE103" s="168">
        <f t="shared" si="34"/>
        <v>381.81485649884263</v>
      </c>
      <c r="AF103" s="168">
        <f t="shared" si="34"/>
        <v>581.57837107467481</v>
      </c>
      <c r="AG103" s="168">
        <f t="shared" si="34"/>
        <v>401.28102627806084</v>
      </c>
      <c r="AH103" s="168">
        <f t="shared" si="34"/>
        <v>1662.285367816575</v>
      </c>
      <c r="AJ103" s="168"/>
      <c r="AK103" s="18"/>
    </row>
    <row r="104" spans="1:58" x14ac:dyDescent="0.25">
      <c r="A104" s="165" t="s">
        <v>342</v>
      </c>
      <c r="B104" s="165" t="s">
        <v>343</v>
      </c>
      <c r="C104" s="164">
        <v>1256197</v>
      </c>
      <c r="D104" s="164">
        <v>25</v>
      </c>
      <c r="E104" s="164">
        <v>8721562471</v>
      </c>
      <c r="F104" s="164">
        <v>-1374241</v>
      </c>
      <c r="G104" s="164">
        <v>17696292502</v>
      </c>
      <c r="H104" s="164">
        <v>7095604</v>
      </c>
      <c r="I104" s="164">
        <v>0</v>
      </c>
      <c r="J104" s="164">
        <v>1983181421</v>
      </c>
      <c r="K104" s="164">
        <v>1823683</v>
      </c>
      <c r="L104" s="164">
        <v>901974314</v>
      </c>
      <c r="M104" s="164">
        <v>212583819</v>
      </c>
      <c r="N104" s="164">
        <v>1787</v>
      </c>
      <c r="O104" s="164">
        <v>0</v>
      </c>
      <c r="P104" s="164">
        <v>0</v>
      </c>
      <c r="Q104" s="164">
        <v>0</v>
      </c>
      <c r="R104" s="164">
        <v>555346752</v>
      </c>
      <c r="S104" s="164">
        <v>1785</v>
      </c>
      <c r="T104" s="164">
        <v>792711224</v>
      </c>
      <c r="U104" s="164">
        <v>223819661</v>
      </c>
      <c r="V104" s="164">
        <v>0</v>
      </c>
      <c r="W104" s="164">
        <v>2005614528</v>
      </c>
      <c r="Y104" s="170"/>
      <c r="Z104" s="168"/>
      <c r="AA104" s="168"/>
      <c r="AB104" s="168"/>
      <c r="AC104" s="168"/>
      <c r="AD104" s="168"/>
      <c r="AE104" s="168"/>
      <c r="AF104" s="168"/>
      <c r="AG104" s="168"/>
      <c r="AH104" s="168"/>
      <c r="AJ104" s="168"/>
      <c r="AK104" s="18"/>
    </row>
  </sheetData>
  <autoFilter ref="A3:BM46" xr:uid="{73DA0A1E-DF54-4707-84EA-47CA17444283}"/>
  <conditionalFormatting sqref="A4:A97">
    <cfRule type="duplicateValues" dxfId="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9B61-0148-4DD5-9E43-EA559B0B772E}">
  <dimension ref="A1:BU48"/>
  <sheetViews>
    <sheetView showGridLines="0" zoomScale="85" zoomScaleNormal="85" workbookViewId="0">
      <pane xSplit="9" ySplit="2" topLeftCell="Q3" activePane="bottomRight" state="frozen"/>
      <selection pane="topRight" activeCell="J1" sqref="J1"/>
      <selection pane="bottomLeft" activeCell="A2" sqref="A2"/>
      <selection pane="bottomRight" activeCell="AQ24" sqref="AQ24"/>
    </sheetView>
  </sheetViews>
  <sheetFormatPr defaultRowHeight="13.2" x14ac:dyDescent="0.25"/>
  <cols>
    <col min="5" max="5" width="22.6640625" bestFit="1" customWidth="1"/>
    <col min="6" max="6" width="23.6640625" bestFit="1" customWidth="1"/>
    <col min="10" max="10" width="10.44140625" bestFit="1" customWidth="1"/>
    <col min="11" max="11" width="41.33203125" bestFit="1" customWidth="1"/>
    <col min="12" max="12" width="9.44140625" bestFit="1" customWidth="1"/>
    <col min="13" max="13" width="8.88671875" bestFit="1" customWidth="1"/>
    <col min="15" max="15" width="10.109375" bestFit="1" customWidth="1"/>
    <col min="16" max="16" width="10" bestFit="1" customWidth="1"/>
    <col min="17" max="18" width="10.88671875" bestFit="1" customWidth="1"/>
    <col min="19" max="19" width="14.33203125" bestFit="1" customWidth="1"/>
    <col min="20" max="20" width="0" hidden="1" customWidth="1"/>
    <col min="21" max="21" width="15.6640625" hidden="1" customWidth="1"/>
    <col min="22" max="22" width="16.33203125" hidden="1" customWidth="1"/>
    <col min="23" max="23" width="21.44140625" hidden="1" customWidth="1"/>
    <col min="24" max="24" width="15" hidden="1" customWidth="1"/>
    <col min="25" max="25" width="11.33203125" hidden="1" customWidth="1"/>
    <col min="26" max="26" width="14.88671875" hidden="1" customWidth="1"/>
    <col min="27" max="27" width="15.33203125" hidden="1" customWidth="1"/>
    <col min="28" max="28" width="15.5546875" hidden="1" customWidth="1"/>
    <col min="29" max="29" width="17.33203125" hidden="1" customWidth="1"/>
    <col min="30" max="30" width="22.109375" hidden="1" customWidth="1"/>
    <col min="31" max="31" width="21.109375" hidden="1" customWidth="1"/>
    <col min="32" max="32" width="17.88671875" hidden="1" customWidth="1"/>
    <col min="33" max="33" width="20" hidden="1" customWidth="1"/>
    <col min="34" max="34" width="12" hidden="1" customWidth="1"/>
    <col min="35" max="35" width="27.44140625" hidden="1" customWidth="1"/>
    <col min="36" max="37" width="26.109375" hidden="1" customWidth="1"/>
    <col min="38" max="38" width="20.6640625" hidden="1" customWidth="1"/>
    <col min="39" max="39" width="22.6640625" hidden="1" customWidth="1"/>
    <col min="40" max="40" width="19.109375" hidden="1" customWidth="1"/>
    <col min="41" max="41" width="0" hidden="1" customWidth="1"/>
    <col min="43" max="43" width="17.6640625" customWidth="1"/>
    <col min="44" max="44" width="24.6640625" customWidth="1"/>
    <col min="45" max="51" width="17.6640625" customWidth="1"/>
    <col min="64" max="64" width="15.44140625" customWidth="1"/>
    <col min="65" max="73" width="10.5546875" bestFit="1" customWidth="1"/>
  </cols>
  <sheetData>
    <row r="1" spans="1:73" ht="14.4" x14ac:dyDescent="0.3">
      <c r="U1" s="14" t="s">
        <v>2935</v>
      </c>
      <c r="V1" s="14" t="s">
        <v>2935</v>
      </c>
      <c r="W1" s="14" t="s">
        <v>2935</v>
      </c>
      <c r="X1" s="14" t="s">
        <v>2935</v>
      </c>
      <c r="Y1" s="14" t="s">
        <v>2936</v>
      </c>
      <c r="Z1" s="14" t="s">
        <v>2936</v>
      </c>
      <c r="AA1" s="14" t="s">
        <v>2936</v>
      </c>
      <c r="AB1" s="198" t="s">
        <v>2937</v>
      </c>
      <c r="AC1" s="14" t="s">
        <v>2938</v>
      </c>
      <c r="AD1" s="14" t="s">
        <v>2939</v>
      </c>
      <c r="AE1" s="14" t="s">
        <v>2939</v>
      </c>
      <c r="AF1" s="14" t="s">
        <v>2939</v>
      </c>
      <c r="AG1" s="14" t="s">
        <v>2939</v>
      </c>
      <c r="AH1" s="14" t="s">
        <v>2939</v>
      </c>
      <c r="AI1" s="14" t="s">
        <v>2940</v>
      </c>
      <c r="AJ1" s="14" t="s">
        <v>2940</v>
      </c>
      <c r="AK1" s="14" t="s">
        <v>2941</v>
      </c>
      <c r="AL1" s="14" t="s">
        <v>2942</v>
      </c>
      <c r="AM1" s="14" t="s">
        <v>2894</v>
      </c>
      <c r="AN1" s="14" t="s">
        <v>2943</v>
      </c>
      <c r="BA1" s="189" t="s">
        <v>2986</v>
      </c>
      <c r="BB1" s="189" t="s">
        <v>2986</v>
      </c>
      <c r="BC1" s="189" t="s">
        <v>2986</v>
      </c>
      <c r="BD1" s="189" t="s">
        <v>2986</v>
      </c>
      <c r="BE1" s="189" t="s">
        <v>2986</v>
      </c>
      <c r="BF1" s="189" t="s">
        <v>2986</v>
      </c>
      <c r="BG1" s="189" t="s">
        <v>2986</v>
      </c>
      <c r="BH1" s="189" t="s">
        <v>2986</v>
      </c>
      <c r="BI1" s="189" t="s">
        <v>2986</v>
      </c>
      <c r="BJ1" s="189" t="s">
        <v>2986</v>
      </c>
      <c r="BL1" s="12">
        <f>SUM(BL3:BL11)</f>
        <v>1511.4820000000002</v>
      </c>
    </row>
    <row r="2" spans="1:73" ht="43.2" x14ac:dyDescent="0.25">
      <c r="A2" s="1" t="s">
        <v>192</v>
      </c>
      <c r="B2" s="1" t="s">
        <v>2955</v>
      </c>
      <c r="C2" s="8" t="s">
        <v>2956</v>
      </c>
      <c r="D2" s="1" t="s">
        <v>2957</v>
      </c>
      <c r="E2" s="1" t="s">
        <v>171</v>
      </c>
      <c r="F2" s="1" t="s">
        <v>2958</v>
      </c>
      <c r="G2" s="8" t="s">
        <v>2959</v>
      </c>
      <c r="H2" s="1" t="s">
        <v>2960</v>
      </c>
      <c r="I2" s="8" t="s">
        <v>2961</v>
      </c>
      <c r="J2" s="1" t="s">
        <v>2962</v>
      </c>
      <c r="K2" s="1" t="s">
        <v>2963</v>
      </c>
      <c r="L2" s="8" t="s">
        <v>2964</v>
      </c>
      <c r="M2" s="8" t="s">
        <v>2965</v>
      </c>
      <c r="N2" s="8" t="s">
        <v>2966</v>
      </c>
      <c r="O2" s="1" t="s">
        <v>2967</v>
      </c>
      <c r="P2" s="1" t="s">
        <v>2968</v>
      </c>
      <c r="Q2" s="1" t="s">
        <v>2969</v>
      </c>
      <c r="R2" s="1" t="s">
        <v>2970</v>
      </c>
      <c r="T2" s="161" t="s">
        <v>2914</v>
      </c>
      <c r="U2" s="161" t="s">
        <v>2915</v>
      </c>
      <c r="V2" s="161" t="s">
        <v>2916</v>
      </c>
      <c r="W2" s="161" t="s">
        <v>2917</v>
      </c>
      <c r="X2" s="161" t="s">
        <v>2918</v>
      </c>
      <c r="Y2" s="161" t="s">
        <v>2919</v>
      </c>
      <c r="Z2" s="161" t="s">
        <v>2920</v>
      </c>
      <c r="AA2" s="161" t="s">
        <v>2921</v>
      </c>
      <c r="AB2" s="161" t="s">
        <v>2922</v>
      </c>
      <c r="AC2" s="161" t="s">
        <v>2923</v>
      </c>
      <c r="AD2" s="161" t="s">
        <v>2924</v>
      </c>
      <c r="AE2" s="161" t="s">
        <v>2925</v>
      </c>
      <c r="AF2" s="161" t="s">
        <v>2926</v>
      </c>
      <c r="AG2" s="161" t="s">
        <v>2927</v>
      </c>
      <c r="AH2" s="161" t="s">
        <v>2928</v>
      </c>
      <c r="AI2" s="161" t="s">
        <v>2929</v>
      </c>
      <c r="AJ2" s="161" t="s">
        <v>2930</v>
      </c>
      <c r="AK2" s="161" t="s">
        <v>2931</v>
      </c>
      <c r="AL2" s="161" t="s">
        <v>2932</v>
      </c>
      <c r="AM2" s="161" t="s">
        <v>2933</v>
      </c>
      <c r="AN2" s="161" t="s">
        <v>2934</v>
      </c>
      <c r="AP2" s="167" t="s">
        <v>2524</v>
      </c>
      <c r="AQ2" s="169" t="s">
        <v>2935</v>
      </c>
      <c r="AR2" s="169" t="s">
        <v>2936</v>
      </c>
      <c r="AS2" s="169" t="s">
        <v>2939</v>
      </c>
      <c r="AT2" s="169" t="s">
        <v>2938</v>
      </c>
      <c r="AU2" s="169" t="s">
        <v>2937</v>
      </c>
      <c r="AV2" s="169" t="s">
        <v>2940</v>
      </c>
      <c r="AW2" s="169" t="s">
        <v>2941</v>
      </c>
      <c r="AX2" s="169" t="s">
        <v>2942</v>
      </c>
      <c r="AY2" s="169" t="s">
        <v>2943</v>
      </c>
      <c r="BA2" s="167" t="s">
        <v>2524</v>
      </c>
      <c r="BB2" s="169" t="s">
        <v>2935</v>
      </c>
      <c r="BC2" s="169" t="s">
        <v>2936</v>
      </c>
      <c r="BD2" s="169" t="s">
        <v>2939</v>
      </c>
      <c r="BE2" s="169" t="s">
        <v>2938</v>
      </c>
      <c r="BF2" s="169" t="s">
        <v>2937</v>
      </c>
      <c r="BG2" s="169" t="s">
        <v>2940</v>
      </c>
      <c r="BH2" s="169" t="s">
        <v>2941</v>
      </c>
      <c r="BI2" s="169" t="s">
        <v>2942</v>
      </c>
      <c r="BJ2" s="169" t="s">
        <v>2943</v>
      </c>
      <c r="BL2" s="179" t="s">
        <v>2948</v>
      </c>
      <c r="BM2" s="178" t="s">
        <v>2935</v>
      </c>
      <c r="BN2" s="178" t="s">
        <v>2936</v>
      </c>
      <c r="BO2" s="178" t="s">
        <v>2939</v>
      </c>
      <c r="BP2" s="178" t="s">
        <v>2938</v>
      </c>
      <c r="BQ2" s="178" t="s">
        <v>2937</v>
      </c>
      <c r="BR2" s="178" t="s">
        <v>2940</v>
      </c>
      <c r="BS2" s="178" t="s">
        <v>2941</v>
      </c>
      <c r="BT2" s="178" t="s">
        <v>2942</v>
      </c>
      <c r="BU2" s="178" t="s">
        <v>2943</v>
      </c>
    </row>
    <row r="3" spans="1:73" x14ac:dyDescent="0.25">
      <c r="A3" t="s">
        <v>28</v>
      </c>
      <c r="B3" t="s">
        <v>2045</v>
      </c>
      <c r="C3" t="s">
        <v>2971</v>
      </c>
      <c r="D3" t="s">
        <v>2972</v>
      </c>
      <c r="E3" t="s">
        <v>2493</v>
      </c>
      <c r="F3" t="s">
        <v>2505</v>
      </c>
      <c r="G3" t="s">
        <v>2045</v>
      </c>
      <c r="H3" s="4">
        <v>2500</v>
      </c>
      <c r="I3" t="s">
        <v>24</v>
      </c>
      <c r="J3" t="s">
        <v>1652</v>
      </c>
      <c r="K3" t="s">
        <v>2945</v>
      </c>
      <c r="L3" s="197">
        <v>2800</v>
      </c>
      <c r="M3" t="s">
        <v>24</v>
      </c>
      <c r="N3" s="4">
        <v>0</v>
      </c>
      <c r="O3" s="2">
        <v>46107</v>
      </c>
      <c r="P3" t="s">
        <v>2973</v>
      </c>
      <c r="Q3" s="2"/>
      <c r="R3" t="s">
        <v>1</v>
      </c>
      <c r="S3" s="18"/>
      <c r="T3" s="18">
        <v>23505</v>
      </c>
      <c r="U3" s="18">
        <v>0</v>
      </c>
      <c r="V3" s="18">
        <v>1442070436</v>
      </c>
      <c r="W3" s="18">
        <v>0</v>
      </c>
      <c r="X3" s="18">
        <v>-1042177458</v>
      </c>
      <c r="Y3" s="18">
        <v>393566</v>
      </c>
      <c r="Z3" s="18">
        <v>0</v>
      </c>
      <c r="AA3" s="18">
        <v>10755656</v>
      </c>
      <c r="AB3" s="18">
        <v>569295</v>
      </c>
      <c r="AC3" s="18">
        <v>43879148</v>
      </c>
      <c r="AD3" s="18">
        <v>0</v>
      </c>
      <c r="AE3" s="18">
        <v>0</v>
      </c>
      <c r="AF3" s="18">
        <v>0</v>
      </c>
      <c r="AG3" s="18">
        <v>0</v>
      </c>
      <c r="AH3" s="18">
        <v>0</v>
      </c>
      <c r="AI3" s="18">
        <v>98848244</v>
      </c>
      <c r="AJ3" s="18">
        <v>0</v>
      </c>
      <c r="AK3" s="18">
        <v>56419506</v>
      </c>
      <c r="AL3" s="18">
        <v>7774864</v>
      </c>
      <c r="AM3" s="18">
        <v>0</v>
      </c>
      <c r="AN3" s="18">
        <v>161247130</v>
      </c>
      <c r="AP3" s="18">
        <f>SUM(AQ3:AY3)</f>
        <v>33175.085598808764</v>
      </c>
      <c r="AQ3" s="18">
        <f>SUMIFS($U3:$AN3,$U$1:$AN$1,AQ$2)/$T3</f>
        <v>17013.10265900872</v>
      </c>
      <c r="AR3" s="18">
        <f t="shared" ref="AR3:AY10" si="0">SUMIFS($U3:$AN3,$U$1:$AN$1,AR$2)/$T3</f>
        <v>474.3340565837056</v>
      </c>
      <c r="AS3" s="18">
        <f t="shared" si="0"/>
        <v>0</v>
      </c>
      <c r="AT3" s="18">
        <f t="shared" si="0"/>
        <v>1866.8005956179536</v>
      </c>
      <c r="AU3" s="18">
        <f t="shared" si="0"/>
        <v>24.220165922144226</v>
      </c>
      <c r="AV3" s="18">
        <f t="shared" si="0"/>
        <v>4205.4134864922353</v>
      </c>
      <c r="AW3" s="18">
        <f t="shared" si="0"/>
        <v>2400.3193363114233</v>
      </c>
      <c r="AX3" s="18">
        <f t="shared" si="0"/>
        <v>330.7748989576686</v>
      </c>
      <c r="AY3" s="18">
        <f t="shared" si="0"/>
        <v>6860.120399914912</v>
      </c>
      <c r="BA3" s="18">
        <f>SUM(BB3:BJ3)</f>
        <v>0</v>
      </c>
      <c r="BB3" s="21"/>
      <c r="BC3" s="21"/>
      <c r="BD3" s="21"/>
      <c r="BE3" s="21"/>
      <c r="BF3" s="21"/>
      <c r="BG3" s="21"/>
      <c r="BH3" s="21"/>
      <c r="BI3" s="21"/>
      <c r="BJ3" s="21"/>
      <c r="BL3" s="12">
        <f>SUM(BM3:BU3)</f>
        <v>0</v>
      </c>
      <c r="BM3" s="18">
        <f>$L3/$H3*BB3</f>
        <v>0</v>
      </c>
      <c r="BN3" s="18">
        <f t="shared" ref="BN3:BN4" si="1">$L3/$H3*BC3</f>
        <v>0</v>
      </c>
      <c r="BO3" s="18">
        <f t="shared" ref="BO3:BO4" si="2">$L3/$H3*BD3</f>
        <v>0</v>
      </c>
      <c r="BP3" s="18">
        <f t="shared" ref="BP3:BP4" si="3">$L3/$H3*BE3</f>
        <v>0</v>
      </c>
      <c r="BQ3" s="18">
        <f t="shared" ref="BQ3:BQ4" si="4">$L3/$H3*BF3</f>
        <v>0</v>
      </c>
      <c r="BR3" s="18">
        <f t="shared" ref="BR3:BR4" si="5">$L3/$H3*BG3</f>
        <v>0</v>
      </c>
      <c r="BS3" s="18">
        <f t="shared" ref="BS3:BS4" si="6">$L3/$H3*BH3</f>
        <v>0</v>
      </c>
      <c r="BT3" s="18">
        <f t="shared" ref="BT3:BT4" si="7">$L3/$H3*BI3</f>
        <v>0</v>
      </c>
      <c r="BU3" s="18">
        <f t="shared" ref="BU3:BU4" si="8">$L3/$H3*BJ3</f>
        <v>0</v>
      </c>
    </row>
    <row r="4" spans="1:73" s="199" customFormat="1" x14ac:dyDescent="0.25">
      <c r="A4" s="199" t="s">
        <v>28</v>
      </c>
      <c r="B4" s="199" t="s">
        <v>2045</v>
      </c>
      <c r="C4" s="199" t="s">
        <v>2971</v>
      </c>
      <c r="D4" s="199" t="s">
        <v>2972</v>
      </c>
      <c r="E4" s="199" t="s">
        <v>2493</v>
      </c>
      <c r="F4" s="199" t="s">
        <v>2505</v>
      </c>
      <c r="G4" s="199" t="s">
        <v>2045</v>
      </c>
      <c r="H4" s="200">
        <v>2500</v>
      </c>
      <c r="I4" s="199" t="s">
        <v>24</v>
      </c>
      <c r="J4" s="199" t="s">
        <v>2974</v>
      </c>
      <c r="K4" s="199" t="s">
        <v>2975</v>
      </c>
      <c r="L4" s="201">
        <v>311</v>
      </c>
      <c r="M4" s="199" t="s">
        <v>24</v>
      </c>
      <c r="N4" s="200">
        <v>0</v>
      </c>
      <c r="O4" s="202">
        <v>46107</v>
      </c>
      <c r="P4" s="199" t="s">
        <v>2973</v>
      </c>
      <c r="Q4" s="202"/>
      <c r="R4" s="199" t="s">
        <v>1</v>
      </c>
      <c r="S4" s="203" t="s">
        <v>2983</v>
      </c>
      <c r="T4" s="203">
        <v>5009</v>
      </c>
      <c r="U4" s="203">
        <v>0</v>
      </c>
      <c r="V4" s="203">
        <v>32585</v>
      </c>
      <c r="W4" s="203">
        <v>0</v>
      </c>
      <c r="X4" s="203">
        <v>86238678</v>
      </c>
      <c r="Y4" s="203">
        <v>54</v>
      </c>
      <c r="Z4" s="203">
        <v>0</v>
      </c>
      <c r="AA4" s="203">
        <v>501</v>
      </c>
      <c r="AB4" s="203">
        <v>0</v>
      </c>
      <c r="AC4" s="203">
        <v>796</v>
      </c>
      <c r="AD4" s="203">
        <v>0</v>
      </c>
      <c r="AE4" s="203">
        <v>0</v>
      </c>
      <c r="AF4" s="203">
        <v>0</v>
      </c>
      <c r="AG4" s="203">
        <v>0</v>
      </c>
      <c r="AH4" s="203">
        <v>0</v>
      </c>
      <c r="AI4" s="203">
        <v>1510</v>
      </c>
      <c r="AJ4" s="203">
        <v>0</v>
      </c>
      <c r="AK4" s="203">
        <v>951</v>
      </c>
      <c r="AL4" s="203">
        <v>1843</v>
      </c>
      <c r="AM4" s="203">
        <v>0</v>
      </c>
      <c r="AN4" s="203">
        <v>1169</v>
      </c>
      <c r="AP4" s="203">
        <f t="shared" ref="AP4:AP10" si="9">SUM(AQ4:AY4)</f>
        <v>17224.61309642643</v>
      </c>
      <c r="AQ4" s="203">
        <f t="shared" ref="AQ4:AQ10" si="10">SUMIFS($U4:$AN4,$U$1:$AN$1,AQ$2)/$T4</f>
        <v>17223.250748652426</v>
      </c>
      <c r="AR4" s="203">
        <f t="shared" si="0"/>
        <v>0.11080055899381114</v>
      </c>
      <c r="AS4" s="203">
        <f t="shared" si="0"/>
        <v>0</v>
      </c>
      <c r="AT4" s="203">
        <f t="shared" si="0"/>
        <v>0.15891395488121382</v>
      </c>
      <c r="AU4" s="203">
        <f t="shared" si="0"/>
        <v>0</v>
      </c>
      <c r="AV4" s="203">
        <f t="shared" si="0"/>
        <v>0.30145737672190059</v>
      </c>
      <c r="AW4" s="203">
        <f t="shared" si="0"/>
        <v>0.18985825514074667</v>
      </c>
      <c r="AX4" s="203">
        <f t="shared" si="0"/>
        <v>0.36793771211818727</v>
      </c>
      <c r="AY4" s="203">
        <f t="shared" si="0"/>
        <v>0.23337991615092832</v>
      </c>
      <c r="BA4" s="203">
        <f t="shared" ref="BA4:BA10" si="11">SUM(BB4:BJ4)</f>
        <v>0</v>
      </c>
      <c r="BB4" s="203"/>
      <c r="BC4" s="203"/>
      <c r="BD4" s="203"/>
      <c r="BE4" s="203"/>
      <c r="BF4" s="203"/>
      <c r="BG4" s="203"/>
      <c r="BH4" s="203"/>
      <c r="BI4" s="203"/>
      <c r="BJ4" s="203"/>
      <c r="BL4" s="204">
        <f t="shared" ref="BL4:BL11" si="12">SUM(BM4:BU4)</f>
        <v>0</v>
      </c>
      <c r="BM4" s="203">
        <f t="shared" ref="BM4" si="13">$L4/$H4*BB4</f>
        <v>0</v>
      </c>
      <c r="BN4" s="203">
        <f t="shared" si="1"/>
        <v>0</v>
      </c>
      <c r="BO4" s="203">
        <f t="shared" si="2"/>
        <v>0</v>
      </c>
      <c r="BP4" s="203">
        <f t="shared" si="3"/>
        <v>0</v>
      </c>
      <c r="BQ4" s="203">
        <f t="shared" si="4"/>
        <v>0</v>
      </c>
      <c r="BR4" s="203">
        <f t="shared" si="5"/>
        <v>0</v>
      </c>
      <c r="BS4" s="203">
        <f t="shared" si="6"/>
        <v>0</v>
      </c>
      <c r="BT4" s="203">
        <f t="shared" si="7"/>
        <v>0</v>
      </c>
      <c r="BU4" s="203">
        <f t="shared" si="8"/>
        <v>0</v>
      </c>
    </row>
    <row r="5" spans="1:73" s="199" customFormat="1" x14ac:dyDescent="0.25">
      <c r="A5" s="199" t="s">
        <v>28</v>
      </c>
      <c r="B5" s="199" t="s">
        <v>2045</v>
      </c>
      <c r="C5" s="199" t="s">
        <v>2971</v>
      </c>
      <c r="D5" s="199" t="s">
        <v>2972</v>
      </c>
      <c r="E5" s="199" t="s">
        <v>2493</v>
      </c>
      <c r="F5" s="199" t="s">
        <v>2505</v>
      </c>
      <c r="G5" s="199" t="s">
        <v>2045</v>
      </c>
      <c r="H5" s="200">
        <v>2500</v>
      </c>
      <c r="I5" s="199" t="s">
        <v>24</v>
      </c>
      <c r="J5" s="199" t="s">
        <v>2946</v>
      </c>
      <c r="K5" s="199" t="s">
        <v>2947</v>
      </c>
      <c r="L5" s="201">
        <v>311</v>
      </c>
      <c r="M5" s="199" t="s">
        <v>24</v>
      </c>
      <c r="N5" s="200">
        <v>0</v>
      </c>
      <c r="O5" s="202">
        <v>46107</v>
      </c>
      <c r="P5" s="199" t="s">
        <v>2973</v>
      </c>
      <c r="Q5" s="202"/>
      <c r="R5" s="199" t="s">
        <v>1</v>
      </c>
      <c r="S5" s="203" t="s">
        <v>2984</v>
      </c>
      <c r="T5" s="203">
        <v>19466</v>
      </c>
      <c r="U5" s="203">
        <v>0</v>
      </c>
      <c r="V5" s="203">
        <v>895</v>
      </c>
      <c r="W5" s="203">
        <v>0</v>
      </c>
      <c r="X5" s="203">
        <v>352773808</v>
      </c>
      <c r="Y5" s="203">
        <v>1</v>
      </c>
      <c r="Z5" s="203">
        <v>0</v>
      </c>
      <c r="AA5" s="203">
        <v>14</v>
      </c>
      <c r="AB5" s="203">
        <v>0</v>
      </c>
      <c r="AC5" s="203">
        <v>22</v>
      </c>
      <c r="AD5" s="203">
        <v>0</v>
      </c>
      <c r="AE5" s="203">
        <v>0</v>
      </c>
      <c r="AF5" s="203">
        <v>0</v>
      </c>
      <c r="AG5" s="203">
        <v>0</v>
      </c>
      <c r="AH5" s="203">
        <v>0</v>
      </c>
      <c r="AI5" s="203">
        <v>42</v>
      </c>
      <c r="AJ5" s="203">
        <v>0</v>
      </c>
      <c r="AK5" s="203">
        <v>27</v>
      </c>
      <c r="AL5" s="203">
        <v>51</v>
      </c>
      <c r="AM5" s="203">
        <v>0</v>
      </c>
      <c r="AN5" s="203">
        <v>32</v>
      </c>
      <c r="AP5" s="203">
        <f t="shared" si="9"/>
        <v>18122.61851433268</v>
      </c>
      <c r="AQ5" s="203">
        <f t="shared" si="10"/>
        <v>18122.608805096064</v>
      </c>
      <c r="AR5" s="203">
        <f t="shared" si="0"/>
        <v>7.7057433473749098E-4</v>
      </c>
      <c r="AS5" s="203">
        <f t="shared" si="0"/>
        <v>0</v>
      </c>
      <c r="AT5" s="203">
        <f t="shared" si="0"/>
        <v>1.1301756909483202E-3</v>
      </c>
      <c r="AU5" s="203">
        <f t="shared" si="0"/>
        <v>0</v>
      </c>
      <c r="AV5" s="203">
        <f t="shared" si="0"/>
        <v>2.1576081372649747E-3</v>
      </c>
      <c r="AW5" s="203">
        <f t="shared" si="0"/>
        <v>1.3870338025274839E-3</v>
      </c>
      <c r="AX5" s="203">
        <f t="shared" si="0"/>
        <v>2.6199527381074693E-3</v>
      </c>
      <c r="AY5" s="203">
        <f t="shared" si="0"/>
        <v>1.6438919141066476E-3</v>
      </c>
      <c r="BA5" s="203">
        <f t="shared" si="11"/>
        <v>0</v>
      </c>
      <c r="BB5" s="203"/>
      <c r="BC5" s="203"/>
      <c r="BD5" s="203"/>
      <c r="BE5" s="203"/>
      <c r="BF5" s="203"/>
      <c r="BG5" s="203"/>
      <c r="BH5" s="203"/>
      <c r="BI5" s="203"/>
      <c r="BJ5" s="203"/>
      <c r="BL5" s="204">
        <f t="shared" si="12"/>
        <v>0</v>
      </c>
      <c r="BM5" s="205"/>
      <c r="BN5" s="205"/>
      <c r="BO5" s="205"/>
      <c r="BP5" s="205"/>
      <c r="BQ5" s="205"/>
      <c r="BR5" s="205"/>
      <c r="BS5" s="205"/>
      <c r="BT5" s="205"/>
      <c r="BU5" s="205"/>
    </row>
    <row r="6" spans="1:73" x14ac:dyDescent="0.25">
      <c r="A6" t="s">
        <v>28</v>
      </c>
      <c r="B6" t="s">
        <v>2045</v>
      </c>
      <c r="C6" t="s">
        <v>2971</v>
      </c>
      <c r="D6" t="s">
        <v>2972</v>
      </c>
      <c r="E6" t="s">
        <v>2493</v>
      </c>
      <c r="F6" t="s">
        <v>2505</v>
      </c>
      <c r="G6" t="s">
        <v>2045</v>
      </c>
      <c r="H6" s="4">
        <v>2500</v>
      </c>
      <c r="I6" t="s">
        <v>24</v>
      </c>
      <c r="J6" t="s">
        <v>2976</v>
      </c>
      <c r="K6" t="s">
        <v>1177</v>
      </c>
      <c r="L6" s="197">
        <v>-400</v>
      </c>
      <c r="M6" t="s">
        <v>24</v>
      </c>
      <c r="N6" s="4">
        <v>0</v>
      </c>
      <c r="O6" s="2">
        <v>46107</v>
      </c>
      <c r="P6" t="s">
        <v>2973</v>
      </c>
      <c r="Q6" s="2"/>
      <c r="R6" t="s">
        <v>1</v>
      </c>
      <c r="S6" s="18"/>
      <c r="T6" s="18">
        <v>25985</v>
      </c>
      <c r="U6" s="18">
        <v>0</v>
      </c>
      <c r="V6" s="18">
        <v>0</v>
      </c>
      <c r="W6" s="18">
        <v>0</v>
      </c>
      <c r="X6" s="18">
        <v>228921478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P6" s="18">
        <f t="shared" si="9"/>
        <v>8809.7547816047718</v>
      </c>
      <c r="AQ6" s="18">
        <f t="shared" si="10"/>
        <v>8809.7547816047718</v>
      </c>
      <c r="AR6" s="18">
        <f t="shared" si="0"/>
        <v>0</v>
      </c>
      <c r="AS6" s="18">
        <f t="shared" si="0"/>
        <v>0</v>
      </c>
      <c r="AT6" s="18">
        <f t="shared" si="0"/>
        <v>0</v>
      </c>
      <c r="AU6" s="18">
        <f t="shared" si="0"/>
        <v>0</v>
      </c>
      <c r="AV6" s="18">
        <f t="shared" si="0"/>
        <v>0</v>
      </c>
      <c r="AW6" s="18">
        <f t="shared" si="0"/>
        <v>0</v>
      </c>
      <c r="AX6" s="18">
        <f t="shared" si="0"/>
        <v>0</v>
      </c>
      <c r="AY6" s="18">
        <f t="shared" si="0"/>
        <v>0</v>
      </c>
      <c r="BA6" s="18">
        <f t="shared" si="11"/>
        <v>0</v>
      </c>
      <c r="BB6" s="18"/>
      <c r="BC6" s="18"/>
      <c r="BD6" s="18"/>
      <c r="BE6" s="18"/>
      <c r="BF6" s="18"/>
      <c r="BG6" s="18"/>
      <c r="BH6" s="18"/>
      <c r="BI6" s="18"/>
      <c r="BJ6" s="18"/>
      <c r="BL6" s="12">
        <f t="shared" si="12"/>
        <v>0</v>
      </c>
      <c r="BM6" s="18">
        <f t="shared" ref="BM6:BM10" si="14">$L6/$H6*BB6</f>
        <v>0</v>
      </c>
      <c r="BN6" s="18">
        <f t="shared" ref="BN6:BN10" si="15">$L6/$H6*BC6</f>
        <v>0</v>
      </c>
      <c r="BO6" s="18">
        <f t="shared" ref="BO6:BO10" si="16">$L6/$H6*BD6</f>
        <v>0</v>
      </c>
      <c r="BP6" s="18">
        <f t="shared" ref="BP6:BP10" si="17">$L6/$H6*BE6</f>
        <v>0</v>
      </c>
      <c r="BQ6" s="18">
        <f t="shared" ref="BQ6:BQ10" si="18">$L6/$H6*BF6</f>
        <v>0</v>
      </c>
      <c r="BR6" s="18">
        <f t="shared" ref="BR6:BR10" si="19">$L6/$H6*BG6</f>
        <v>0</v>
      </c>
      <c r="BS6" s="18">
        <f t="shared" ref="BS6:BS10" si="20">$L6/$H6*BH6</f>
        <v>0</v>
      </c>
      <c r="BT6" s="18">
        <f t="shared" ref="BT6:BT10" si="21">$L6/$H6*BI6</f>
        <v>0</v>
      </c>
      <c r="BU6" s="18">
        <f t="shared" ref="BU6:BU10" si="22">$L6/$H6*BJ6</f>
        <v>0</v>
      </c>
    </row>
    <row r="7" spans="1:73" x14ac:dyDescent="0.25">
      <c r="A7" t="s">
        <v>28</v>
      </c>
      <c r="B7" t="s">
        <v>2045</v>
      </c>
      <c r="C7" t="s">
        <v>2971</v>
      </c>
      <c r="D7" t="s">
        <v>2972</v>
      </c>
      <c r="E7" t="s">
        <v>2493</v>
      </c>
      <c r="F7" t="s">
        <v>2505</v>
      </c>
      <c r="G7" t="s">
        <v>2045</v>
      </c>
      <c r="H7" s="4">
        <v>2500</v>
      </c>
      <c r="I7" t="s">
        <v>24</v>
      </c>
      <c r="J7" t="s">
        <v>956</v>
      </c>
      <c r="K7" t="s">
        <v>957</v>
      </c>
      <c r="L7" s="197">
        <v>-210</v>
      </c>
      <c r="M7" t="s">
        <v>24</v>
      </c>
      <c r="N7" s="4">
        <v>0</v>
      </c>
      <c r="O7" s="2">
        <v>46107</v>
      </c>
      <c r="P7" t="s">
        <v>2973</v>
      </c>
      <c r="Q7" s="2"/>
      <c r="R7" t="s">
        <v>1</v>
      </c>
      <c r="S7" s="18"/>
      <c r="T7" s="18">
        <v>18856</v>
      </c>
      <c r="U7" s="18">
        <v>0</v>
      </c>
      <c r="V7" s="18">
        <v>0</v>
      </c>
      <c r="W7" s="18">
        <v>0</v>
      </c>
      <c r="X7" s="18">
        <v>123959986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P7" s="18">
        <f t="shared" si="9"/>
        <v>6500</v>
      </c>
      <c r="AQ7" s="21">
        <v>6500</v>
      </c>
      <c r="AR7" s="21"/>
      <c r="AS7" s="21"/>
      <c r="AT7" s="21"/>
      <c r="AU7" s="21"/>
      <c r="AV7" s="21"/>
      <c r="AW7" s="21"/>
      <c r="AX7" s="21"/>
      <c r="AY7" s="21"/>
      <c r="BA7" s="18">
        <f t="shared" si="11"/>
        <v>6500</v>
      </c>
      <c r="BB7" s="21">
        <v>6500</v>
      </c>
      <c r="BC7" s="21"/>
      <c r="BD7" s="21"/>
      <c r="BE7" s="21"/>
      <c r="BF7" s="21"/>
      <c r="BG7" s="21"/>
      <c r="BH7" s="21"/>
      <c r="BI7" s="21"/>
      <c r="BJ7" s="21"/>
      <c r="BL7" s="12">
        <f t="shared" si="12"/>
        <v>-546</v>
      </c>
      <c r="BM7" s="18">
        <f t="shared" si="14"/>
        <v>-546</v>
      </c>
      <c r="BN7" s="18">
        <f t="shared" si="15"/>
        <v>0</v>
      </c>
      <c r="BO7" s="18">
        <f t="shared" si="16"/>
        <v>0</v>
      </c>
      <c r="BP7" s="18">
        <f t="shared" si="17"/>
        <v>0</v>
      </c>
      <c r="BQ7" s="18">
        <f t="shared" si="18"/>
        <v>0</v>
      </c>
      <c r="BR7" s="18">
        <f t="shared" si="19"/>
        <v>0</v>
      </c>
      <c r="BS7" s="18">
        <f t="shared" si="20"/>
        <v>0</v>
      </c>
      <c r="BT7" s="18">
        <f t="shared" si="21"/>
        <v>0</v>
      </c>
      <c r="BU7" s="18">
        <f t="shared" si="22"/>
        <v>0</v>
      </c>
    </row>
    <row r="8" spans="1:73" x14ac:dyDescent="0.25">
      <c r="A8" t="s">
        <v>28</v>
      </c>
      <c r="B8" t="s">
        <v>2045</v>
      </c>
      <c r="C8" t="s">
        <v>2971</v>
      </c>
      <c r="D8" t="s">
        <v>2972</v>
      </c>
      <c r="E8" t="s">
        <v>2493</v>
      </c>
      <c r="F8" t="s">
        <v>2505</v>
      </c>
      <c r="G8" t="s">
        <v>2045</v>
      </c>
      <c r="H8" s="4">
        <v>2500</v>
      </c>
      <c r="I8" t="s">
        <v>24</v>
      </c>
      <c r="J8" t="s">
        <v>2977</v>
      </c>
      <c r="K8" t="s">
        <v>2978</v>
      </c>
      <c r="L8" s="197">
        <v>-1</v>
      </c>
      <c r="M8" t="s">
        <v>24</v>
      </c>
      <c r="N8" s="4">
        <v>0</v>
      </c>
      <c r="O8" s="2">
        <v>46107</v>
      </c>
      <c r="P8" t="s">
        <v>2973</v>
      </c>
      <c r="Q8" s="2"/>
      <c r="R8" t="s">
        <v>1</v>
      </c>
      <c r="S8" s="18"/>
      <c r="T8" s="18">
        <v>19351</v>
      </c>
      <c r="U8" s="18">
        <v>0</v>
      </c>
      <c r="V8" s="18">
        <v>0</v>
      </c>
      <c r="W8" s="18">
        <v>0</v>
      </c>
      <c r="X8" s="18">
        <v>189305133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P8" s="18">
        <f t="shared" si="9"/>
        <v>9782.7054415792463</v>
      </c>
      <c r="AQ8" s="18">
        <f t="shared" si="10"/>
        <v>9782.7054415792463</v>
      </c>
      <c r="AR8" s="18">
        <f t="shared" si="0"/>
        <v>0</v>
      </c>
      <c r="AS8" s="18">
        <f t="shared" si="0"/>
        <v>0</v>
      </c>
      <c r="AT8" s="18">
        <f t="shared" si="0"/>
        <v>0</v>
      </c>
      <c r="AU8" s="18">
        <f t="shared" si="0"/>
        <v>0</v>
      </c>
      <c r="AV8" s="18">
        <f t="shared" si="0"/>
        <v>0</v>
      </c>
      <c r="AW8" s="18">
        <f t="shared" si="0"/>
        <v>0</v>
      </c>
      <c r="AX8" s="18">
        <f t="shared" si="0"/>
        <v>0</v>
      </c>
      <c r="AY8" s="18">
        <f t="shared" si="0"/>
        <v>0</v>
      </c>
      <c r="BA8" s="18">
        <f t="shared" si="11"/>
        <v>4500</v>
      </c>
      <c r="BB8" s="21">
        <v>4500</v>
      </c>
      <c r="BC8" s="21"/>
      <c r="BD8" s="21"/>
      <c r="BE8" s="21"/>
      <c r="BF8" s="21"/>
      <c r="BG8" s="21"/>
      <c r="BH8" s="21"/>
      <c r="BI8" s="21"/>
      <c r="BJ8" s="21"/>
      <c r="BL8" s="12">
        <f t="shared" si="12"/>
        <v>-1.8</v>
      </c>
      <c r="BM8" s="18">
        <f t="shared" si="14"/>
        <v>-1.8</v>
      </c>
      <c r="BN8" s="18">
        <f t="shared" si="15"/>
        <v>0</v>
      </c>
      <c r="BO8" s="18">
        <f t="shared" si="16"/>
        <v>0</v>
      </c>
      <c r="BP8" s="18">
        <f t="shared" si="17"/>
        <v>0</v>
      </c>
      <c r="BQ8" s="18">
        <f t="shared" si="18"/>
        <v>0</v>
      </c>
      <c r="BR8" s="18">
        <f t="shared" si="19"/>
        <v>0</v>
      </c>
      <c r="BS8" s="18">
        <f t="shared" si="20"/>
        <v>0</v>
      </c>
      <c r="BT8" s="18">
        <f t="shared" si="21"/>
        <v>0</v>
      </c>
      <c r="BU8" s="18">
        <f t="shared" si="22"/>
        <v>0</v>
      </c>
    </row>
    <row r="9" spans="1:73" x14ac:dyDescent="0.25">
      <c r="A9" t="s">
        <v>28</v>
      </c>
      <c r="B9" t="s">
        <v>2045</v>
      </c>
      <c r="C9" t="s">
        <v>2971</v>
      </c>
      <c r="D9" t="s">
        <v>2972</v>
      </c>
      <c r="E9" t="s">
        <v>2493</v>
      </c>
      <c r="F9" t="s">
        <v>2505</v>
      </c>
      <c r="G9" t="s">
        <v>2045</v>
      </c>
      <c r="H9" s="4">
        <v>2500</v>
      </c>
      <c r="I9" t="s">
        <v>24</v>
      </c>
      <c r="J9" t="s">
        <v>2979</v>
      </c>
      <c r="K9" t="s">
        <v>2980</v>
      </c>
      <c r="L9" s="197">
        <v>2.4</v>
      </c>
      <c r="M9" t="s">
        <v>2981</v>
      </c>
      <c r="N9" s="4">
        <v>0</v>
      </c>
      <c r="O9" s="2">
        <v>46107</v>
      </c>
      <c r="P9" t="s">
        <v>2973</v>
      </c>
      <c r="Q9" s="2"/>
      <c r="R9" t="s">
        <v>1</v>
      </c>
      <c r="S9" s="18"/>
      <c r="T9" s="18">
        <v>737</v>
      </c>
      <c r="U9" s="21"/>
      <c r="V9" s="21"/>
      <c r="W9" s="21"/>
      <c r="X9" s="21"/>
      <c r="Y9" s="21"/>
      <c r="Z9" s="21"/>
      <c r="AA9" s="21"/>
      <c r="AB9" s="21"/>
      <c r="AC9" s="21"/>
      <c r="AD9" s="21">
        <f>165113*T9</f>
        <v>121688281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P9" s="18">
        <f t="shared" si="9"/>
        <v>165113</v>
      </c>
      <c r="AQ9" s="18">
        <f t="shared" si="10"/>
        <v>0</v>
      </c>
      <c r="AR9" s="18">
        <f t="shared" si="0"/>
        <v>0</v>
      </c>
      <c r="AS9" s="18">
        <f t="shared" si="0"/>
        <v>165113</v>
      </c>
      <c r="AT9" s="18">
        <f t="shared" si="0"/>
        <v>0</v>
      </c>
      <c r="AU9" s="18">
        <f t="shared" si="0"/>
        <v>0</v>
      </c>
      <c r="AV9" s="18">
        <f t="shared" si="0"/>
        <v>0</v>
      </c>
      <c r="AW9" s="18">
        <f t="shared" si="0"/>
        <v>0</v>
      </c>
      <c r="AX9" s="18">
        <f t="shared" si="0"/>
        <v>0</v>
      </c>
      <c r="AY9" s="18">
        <f t="shared" si="0"/>
        <v>0</v>
      </c>
      <c r="BA9" s="18">
        <f t="shared" si="11"/>
        <v>0</v>
      </c>
      <c r="BB9" s="18"/>
      <c r="BC9" s="18"/>
      <c r="BD9" s="18"/>
      <c r="BE9" s="18"/>
      <c r="BF9" s="18"/>
      <c r="BG9" s="18"/>
      <c r="BH9" s="18"/>
      <c r="BI9" s="18"/>
      <c r="BJ9" s="18"/>
      <c r="BL9" s="12">
        <f t="shared" si="12"/>
        <v>0</v>
      </c>
      <c r="BM9" s="18">
        <f t="shared" si="14"/>
        <v>0</v>
      </c>
      <c r="BN9" s="18">
        <f t="shared" si="15"/>
        <v>0</v>
      </c>
      <c r="BO9" s="18">
        <f t="shared" si="16"/>
        <v>0</v>
      </c>
      <c r="BP9" s="18">
        <f t="shared" si="17"/>
        <v>0</v>
      </c>
      <c r="BQ9" s="18">
        <f t="shared" si="18"/>
        <v>0</v>
      </c>
      <c r="BR9" s="18">
        <f t="shared" si="19"/>
        <v>0</v>
      </c>
      <c r="BS9" s="18">
        <f t="shared" si="20"/>
        <v>0</v>
      </c>
      <c r="BT9" s="18">
        <f t="shared" si="21"/>
        <v>0</v>
      </c>
      <c r="BU9" s="18">
        <f t="shared" si="22"/>
        <v>0</v>
      </c>
    </row>
    <row r="10" spans="1:73" x14ac:dyDescent="0.25">
      <c r="A10" t="s">
        <v>28</v>
      </c>
      <c r="B10" t="s">
        <v>2045</v>
      </c>
      <c r="C10" t="s">
        <v>2971</v>
      </c>
      <c r="D10" t="s">
        <v>2972</v>
      </c>
      <c r="E10" t="s">
        <v>2493</v>
      </c>
      <c r="F10" t="s">
        <v>2505</v>
      </c>
      <c r="G10" t="s">
        <v>2045</v>
      </c>
      <c r="H10" s="4">
        <v>2500</v>
      </c>
      <c r="I10" t="s">
        <v>24</v>
      </c>
      <c r="J10" t="s">
        <v>757</v>
      </c>
      <c r="K10" t="s">
        <v>758</v>
      </c>
      <c r="L10" s="197">
        <v>2.9</v>
      </c>
      <c r="M10" t="s">
        <v>24</v>
      </c>
      <c r="N10" s="4">
        <v>0</v>
      </c>
      <c r="O10" s="2">
        <v>46107</v>
      </c>
      <c r="P10" t="s">
        <v>2973</v>
      </c>
      <c r="Q10" s="2"/>
      <c r="R10" t="s">
        <v>1</v>
      </c>
      <c r="S10" s="18"/>
      <c r="T10" s="18">
        <v>922.72500000000002</v>
      </c>
      <c r="U10" s="21"/>
      <c r="V10" s="21"/>
      <c r="W10" s="21"/>
      <c r="X10" s="21"/>
      <c r="Y10" s="21"/>
      <c r="Z10" s="21"/>
      <c r="AA10" s="21">
        <f>890000*T10</f>
        <v>821225250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P10" s="18">
        <f t="shared" si="9"/>
        <v>890000</v>
      </c>
      <c r="AQ10" s="18">
        <f t="shared" si="10"/>
        <v>0</v>
      </c>
      <c r="AR10" s="18">
        <f t="shared" si="0"/>
        <v>890000</v>
      </c>
      <c r="AS10" s="18">
        <f t="shared" si="0"/>
        <v>0</v>
      </c>
      <c r="AT10" s="18">
        <f t="shared" si="0"/>
        <v>0</v>
      </c>
      <c r="AU10" s="18">
        <f t="shared" si="0"/>
        <v>0</v>
      </c>
      <c r="AV10" s="18">
        <f t="shared" si="0"/>
        <v>0</v>
      </c>
      <c r="AW10" s="18">
        <f t="shared" si="0"/>
        <v>0</v>
      </c>
      <c r="AX10" s="18">
        <f t="shared" si="0"/>
        <v>0</v>
      </c>
      <c r="AY10" s="18">
        <f t="shared" si="0"/>
        <v>0</v>
      </c>
      <c r="BA10" s="18">
        <f t="shared" si="11"/>
        <v>0</v>
      </c>
      <c r="BB10" s="18"/>
      <c r="BC10" s="18"/>
      <c r="BD10" s="18"/>
      <c r="BE10" s="18"/>
      <c r="BF10" s="18"/>
      <c r="BG10" s="18"/>
      <c r="BH10" s="18"/>
      <c r="BI10" s="18"/>
      <c r="BJ10" s="18"/>
      <c r="BL10" s="12">
        <f t="shared" si="12"/>
        <v>0</v>
      </c>
      <c r="BM10" s="18">
        <f t="shared" si="14"/>
        <v>0</v>
      </c>
      <c r="BN10" s="18">
        <f t="shared" si="15"/>
        <v>0</v>
      </c>
      <c r="BO10" s="18">
        <f t="shared" si="16"/>
        <v>0</v>
      </c>
      <c r="BP10" s="18">
        <f t="shared" si="17"/>
        <v>0</v>
      </c>
      <c r="BQ10" s="18">
        <f t="shared" si="18"/>
        <v>0</v>
      </c>
      <c r="BR10" s="18">
        <f t="shared" si="19"/>
        <v>0</v>
      </c>
      <c r="BS10" s="18">
        <f t="shared" si="20"/>
        <v>0</v>
      </c>
      <c r="BT10" s="18">
        <f t="shared" si="21"/>
        <v>0</v>
      </c>
      <c r="BU10" s="18">
        <f t="shared" si="22"/>
        <v>0</v>
      </c>
    </row>
    <row r="11" spans="1:73" s="189" customFormat="1" x14ac:dyDescent="0.25">
      <c r="F11" s="189" t="s">
        <v>2982</v>
      </c>
      <c r="S11" s="207"/>
      <c r="BL11" s="192">
        <f t="shared" si="12"/>
        <v>2059.2820000000002</v>
      </c>
      <c r="BP11" s="209">
        <v>547.178</v>
      </c>
      <c r="BR11" s="189">
        <v>235.5</v>
      </c>
      <c r="BS11" s="189">
        <v>318</v>
      </c>
      <c r="BT11" s="208">
        <v>238.60400000000001</v>
      </c>
      <c r="BU11" s="189">
        <v>720</v>
      </c>
    </row>
    <row r="12" spans="1:73" x14ac:dyDescent="0.25">
      <c r="L12" s="206"/>
      <c r="S12" s="17"/>
    </row>
    <row r="20" spans="4:6" ht="13.8" thickBot="1" x14ac:dyDescent="0.3"/>
    <row r="21" spans="4:6" s="160" customFormat="1" x14ac:dyDescent="0.25"/>
    <row r="28" spans="4:6" x14ac:dyDescent="0.25">
      <c r="D28" t="s">
        <v>2987</v>
      </c>
      <c r="E28" t="s">
        <v>2988</v>
      </c>
      <c r="F28" t="s">
        <v>2989</v>
      </c>
    </row>
    <row r="29" spans="4:6" x14ac:dyDescent="0.25">
      <c r="D29" t="s">
        <v>2990</v>
      </c>
      <c r="E29" t="s">
        <v>2991</v>
      </c>
      <c r="F29" s="18">
        <v>0</v>
      </c>
    </row>
    <row r="30" spans="4:6" x14ac:dyDescent="0.25">
      <c r="D30" t="s">
        <v>2992</v>
      </c>
      <c r="E30" t="s">
        <v>2993</v>
      </c>
      <c r="F30" s="18">
        <v>0</v>
      </c>
    </row>
    <row r="31" spans="4:6" x14ac:dyDescent="0.25">
      <c r="D31" t="s">
        <v>2994</v>
      </c>
      <c r="E31" t="s">
        <v>2995</v>
      </c>
      <c r="F31" s="18">
        <v>0</v>
      </c>
    </row>
    <row r="32" spans="4:6" x14ac:dyDescent="0.25">
      <c r="D32" t="s">
        <v>2996</v>
      </c>
      <c r="E32" t="s">
        <v>2997</v>
      </c>
      <c r="F32" s="18">
        <v>0</v>
      </c>
    </row>
    <row r="33" spans="3:6" x14ac:dyDescent="0.25">
      <c r="D33" t="s">
        <v>2998</v>
      </c>
      <c r="E33" t="s">
        <v>2999</v>
      </c>
      <c r="F33" s="18">
        <v>0</v>
      </c>
    </row>
    <row r="34" spans="3:6" x14ac:dyDescent="0.25">
      <c r="C34" t="s">
        <v>2936</v>
      </c>
      <c r="D34" t="s">
        <v>3000</v>
      </c>
      <c r="E34" t="s">
        <v>3001</v>
      </c>
      <c r="F34" s="18">
        <v>1031557</v>
      </c>
    </row>
    <row r="35" spans="3:6" x14ac:dyDescent="0.25">
      <c r="C35" t="s">
        <v>2935</v>
      </c>
      <c r="D35" t="s">
        <v>2046</v>
      </c>
      <c r="E35" t="s">
        <v>3002</v>
      </c>
      <c r="F35" s="18">
        <v>19241653</v>
      </c>
    </row>
    <row r="36" spans="3:6" x14ac:dyDescent="0.25">
      <c r="D36" t="s">
        <v>22</v>
      </c>
      <c r="E36" t="s">
        <v>2937</v>
      </c>
      <c r="F36" s="18">
        <v>0</v>
      </c>
    </row>
    <row r="37" spans="3:6" x14ac:dyDescent="0.25">
      <c r="C37" t="s">
        <v>2940</v>
      </c>
      <c r="D37" t="s">
        <v>3003</v>
      </c>
      <c r="E37" t="s">
        <v>3004</v>
      </c>
      <c r="F37" s="18">
        <v>235500</v>
      </c>
    </row>
    <row r="38" spans="3:6" x14ac:dyDescent="0.25">
      <c r="D38" t="s">
        <v>3005</v>
      </c>
      <c r="E38" t="s">
        <v>3006</v>
      </c>
      <c r="F38" s="18">
        <v>0</v>
      </c>
    </row>
    <row r="39" spans="3:6" x14ac:dyDescent="0.25">
      <c r="C39" t="s">
        <v>2941</v>
      </c>
      <c r="D39" t="s">
        <v>3007</v>
      </c>
      <c r="E39" t="s">
        <v>3008</v>
      </c>
      <c r="F39" s="18">
        <v>318000</v>
      </c>
    </row>
    <row r="40" spans="3:6" x14ac:dyDescent="0.25">
      <c r="C40" t="s">
        <v>2942</v>
      </c>
      <c r="D40" t="s">
        <v>3009</v>
      </c>
      <c r="E40" t="s">
        <v>2942</v>
      </c>
      <c r="F40" s="18">
        <v>238604</v>
      </c>
    </row>
    <row r="41" spans="3:6" x14ac:dyDescent="0.25">
      <c r="D41" t="s">
        <v>3010</v>
      </c>
      <c r="E41" t="s">
        <v>3011</v>
      </c>
      <c r="F41" s="18">
        <v>0</v>
      </c>
    </row>
    <row r="42" spans="3:6" x14ac:dyDescent="0.25">
      <c r="C42" t="s">
        <v>2938</v>
      </c>
      <c r="D42" t="s">
        <v>3012</v>
      </c>
      <c r="E42" t="s">
        <v>3013</v>
      </c>
      <c r="F42" s="18">
        <v>547178</v>
      </c>
    </row>
    <row r="43" spans="3:6" x14ac:dyDescent="0.25">
      <c r="C43" t="s">
        <v>2943</v>
      </c>
      <c r="D43" t="s">
        <v>3014</v>
      </c>
      <c r="E43" t="s">
        <v>2943</v>
      </c>
      <c r="F43" s="18">
        <v>720000</v>
      </c>
    </row>
    <row r="44" spans="3:6" x14ac:dyDescent="0.25">
      <c r="C44" t="s">
        <v>2939</v>
      </c>
      <c r="D44" t="s">
        <v>3015</v>
      </c>
      <c r="E44" t="s">
        <v>3016</v>
      </c>
      <c r="F44" s="18">
        <v>158508</v>
      </c>
    </row>
    <row r="45" spans="3:6" x14ac:dyDescent="0.25">
      <c r="D45" t="s">
        <v>3017</v>
      </c>
      <c r="E45" t="s">
        <v>3018</v>
      </c>
      <c r="F45" s="18">
        <v>0</v>
      </c>
    </row>
    <row r="46" spans="3:6" x14ac:dyDescent="0.25">
      <c r="D46" t="s">
        <v>3019</v>
      </c>
      <c r="E46" t="s">
        <v>3020</v>
      </c>
      <c r="F46" s="18">
        <v>0</v>
      </c>
    </row>
    <row r="47" spans="3:6" x14ac:dyDescent="0.25">
      <c r="D47" t="s">
        <v>3021</v>
      </c>
      <c r="E47" t="s">
        <v>3022</v>
      </c>
      <c r="F47" s="18">
        <v>0</v>
      </c>
    </row>
    <row r="48" spans="3:6" x14ac:dyDescent="0.25">
      <c r="D48" t="s">
        <v>3023</v>
      </c>
      <c r="E48" t="s">
        <v>3024</v>
      </c>
      <c r="F48" s="18">
        <v>0</v>
      </c>
    </row>
  </sheetData>
  <autoFilter ref="A2:AN10" xr:uid="{769F9B61-0148-4DD5-9E43-EA559B0B77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C4DE-8824-4B63-900B-E6AC6CBB45F1}">
  <dimension ref="A1:L101"/>
  <sheetViews>
    <sheetView showGridLines="0" zoomScale="85" zoomScaleNormal="8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J29" sqref="J29"/>
    </sheetView>
  </sheetViews>
  <sheetFormatPr defaultColWidth="9.109375" defaultRowHeight="13.2" zeroHeight="1" x14ac:dyDescent="0.25"/>
  <cols>
    <col min="1" max="1" width="9.109375" style="61"/>
    <col min="2" max="2" width="18.33203125" style="61" bestFit="1" customWidth="1"/>
    <col min="3" max="3" width="27" style="61" bestFit="1" customWidth="1"/>
    <col min="4" max="4" width="39" style="61" bestFit="1" customWidth="1"/>
    <col min="5" max="5" width="11.109375" style="61" bestFit="1" customWidth="1"/>
    <col min="6" max="6" width="27.44140625" style="61" bestFit="1" customWidth="1"/>
    <col min="7" max="7" width="20.88671875" style="61" bestFit="1" customWidth="1"/>
    <col min="8" max="8" width="30.109375" style="61" bestFit="1" customWidth="1"/>
    <col min="9" max="9" width="23.88671875" style="61" bestFit="1" customWidth="1"/>
    <col min="10" max="10" width="13.109375" style="61" bestFit="1" customWidth="1"/>
    <col min="11" max="11" width="9.109375" style="61"/>
    <col min="12" max="12" width="9.109375" style="61" customWidth="1"/>
    <col min="13" max="16384" width="9.109375" style="61"/>
  </cols>
  <sheetData>
    <row r="1" spans="1:12" x14ac:dyDescent="0.25">
      <c r="G1" s="66">
        <f>SUBTOTAL(9,G3:G101)</f>
        <v>30800</v>
      </c>
      <c r="H1" s="66">
        <f t="shared" ref="H1:J1" si="0">SUBTOTAL(9,H3:H101)</f>
        <v>0</v>
      </c>
      <c r="I1" s="66">
        <f t="shared" si="0"/>
        <v>5449793.7461936995</v>
      </c>
      <c r="J1" s="66">
        <f t="shared" si="0"/>
        <v>5480593.7461936995</v>
      </c>
    </row>
    <row r="2" spans="1:12" ht="13.8" x14ac:dyDescent="0.25">
      <c r="B2" s="61" t="s">
        <v>2888</v>
      </c>
      <c r="C2" s="78" t="s">
        <v>115</v>
      </c>
      <c r="D2" s="78" t="s">
        <v>2857</v>
      </c>
      <c r="E2" s="78" t="s">
        <v>2858</v>
      </c>
      <c r="F2" s="78" t="s">
        <v>2859</v>
      </c>
      <c r="G2" s="78" t="s">
        <v>2860</v>
      </c>
      <c r="H2" s="78" t="s">
        <v>2861</v>
      </c>
      <c r="I2" s="78" t="s">
        <v>2862</v>
      </c>
      <c r="J2" s="78" t="s">
        <v>249</v>
      </c>
    </row>
    <row r="3" spans="1:12" ht="13.8" x14ac:dyDescent="0.25">
      <c r="A3" s="61" t="b" cm="1">
        <f t="array" ref="A3">OR($B3='Working-T05-B2'!$D$8:$D$150)</f>
        <v>1</v>
      </c>
      <c r="B3" s="61" t="str">
        <f>C3&amp;" | "&amp;E3</f>
        <v>1000 | 110000354</v>
      </c>
      <c r="C3" s="265" t="s">
        <v>8</v>
      </c>
      <c r="D3" s="265" t="s">
        <v>2429</v>
      </c>
      <c r="E3" s="24" t="s">
        <v>33</v>
      </c>
      <c r="F3" s="24" t="s">
        <v>2863</v>
      </c>
      <c r="G3" s="79"/>
      <c r="H3" s="79"/>
      <c r="I3" s="79">
        <v>6311.7965429124197</v>
      </c>
      <c r="J3" s="79">
        <f>SUM(G3:I3)</f>
        <v>6311.7965429124197</v>
      </c>
      <c r="L3" s="41"/>
    </row>
    <row r="4" spans="1:12" ht="13.8" x14ac:dyDescent="0.25">
      <c r="A4" s="61" t="b" cm="1">
        <f t="array" ref="A4">OR($B4='Working-T05-B2'!$D$8:$D$150)</f>
        <v>1</v>
      </c>
      <c r="B4" s="61" t="str">
        <f t="shared" ref="B4:B47" si="1">C4&amp;" | "&amp;E4</f>
        <v>1000 | 110000361</v>
      </c>
      <c r="C4" s="265" t="s">
        <v>8</v>
      </c>
      <c r="D4" s="265" t="s">
        <v>2429</v>
      </c>
      <c r="E4" s="24" t="s">
        <v>309</v>
      </c>
      <c r="F4" s="24" t="s">
        <v>310</v>
      </c>
      <c r="G4" s="79"/>
      <c r="H4" s="79"/>
      <c r="I4" s="79">
        <v>6920.9129249295729</v>
      </c>
      <c r="J4" s="79">
        <f t="shared" ref="J4:J47" si="2">SUM(G4:I4)</f>
        <v>6920.9129249295729</v>
      </c>
      <c r="L4" s="41"/>
    </row>
    <row r="5" spans="1:12" ht="13.8" x14ac:dyDescent="0.25">
      <c r="A5" s="61" t="b" cm="1">
        <f t="array" ref="A5">OR($B5='Working-T05-B2'!$D$8:$D$150)</f>
        <v>1</v>
      </c>
      <c r="B5" s="61" t="str">
        <f t="shared" si="1"/>
        <v>1000 | 110000363</v>
      </c>
      <c r="C5" s="265" t="s">
        <v>8</v>
      </c>
      <c r="D5" s="265" t="s">
        <v>2429</v>
      </c>
      <c r="E5" s="24" t="s">
        <v>312</v>
      </c>
      <c r="F5" s="24" t="s">
        <v>2864</v>
      </c>
      <c r="G5" s="79"/>
      <c r="H5" s="79"/>
      <c r="I5" s="79">
        <v>1375</v>
      </c>
      <c r="J5" s="79">
        <f t="shared" si="2"/>
        <v>1375</v>
      </c>
      <c r="L5" s="41"/>
    </row>
    <row r="6" spans="1:12" ht="13.8" x14ac:dyDescent="0.25">
      <c r="A6" s="61" t="b" cm="1">
        <f t="array" ref="A6">OR($B6='Working-T05-B2'!$D$8:$D$150)</f>
        <v>1</v>
      </c>
      <c r="B6" s="61" t="str">
        <f t="shared" si="1"/>
        <v>1000 | 110000364</v>
      </c>
      <c r="C6" s="265" t="s">
        <v>8</v>
      </c>
      <c r="D6" s="265" t="s">
        <v>2429</v>
      </c>
      <c r="E6" s="24" t="s">
        <v>263</v>
      </c>
      <c r="F6" s="24" t="s">
        <v>2865</v>
      </c>
      <c r="G6" s="79"/>
      <c r="H6" s="79"/>
      <c r="I6" s="79">
        <v>6349.2401829453584</v>
      </c>
      <c r="J6" s="79">
        <f t="shared" si="2"/>
        <v>6349.2401829453584</v>
      </c>
      <c r="L6" s="41"/>
    </row>
    <row r="7" spans="1:12" ht="13.8" x14ac:dyDescent="0.25">
      <c r="A7" s="61" t="b" cm="1">
        <f t="array" ref="A7">OR($B7='Working-T05-B2'!$D$8:$D$150)</f>
        <v>1</v>
      </c>
      <c r="B7" s="61" t="str">
        <f t="shared" si="1"/>
        <v>1000 | 110000366</v>
      </c>
      <c r="C7" s="265" t="s">
        <v>8</v>
      </c>
      <c r="D7" s="265" t="s">
        <v>2429</v>
      </c>
      <c r="E7" s="24" t="s">
        <v>47</v>
      </c>
      <c r="F7" s="24" t="s">
        <v>320</v>
      </c>
      <c r="G7" s="79"/>
      <c r="H7" s="79"/>
      <c r="I7" s="79">
        <v>1375</v>
      </c>
      <c r="J7" s="79">
        <f t="shared" si="2"/>
        <v>1375</v>
      </c>
      <c r="L7" s="41"/>
    </row>
    <row r="8" spans="1:12" ht="13.8" x14ac:dyDescent="0.25">
      <c r="A8" s="61" t="b" cm="1">
        <f t="array" ref="A8">OR($B8='Working-T05-B2'!$D$8:$D$150)</f>
        <v>1</v>
      </c>
      <c r="B8" s="61" t="str">
        <f t="shared" si="1"/>
        <v>1000 | 110000373</v>
      </c>
      <c r="C8" s="265" t="s">
        <v>8</v>
      </c>
      <c r="D8" s="265" t="s">
        <v>2429</v>
      </c>
      <c r="E8" s="24" t="s">
        <v>333</v>
      </c>
      <c r="F8" s="24" t="s">
        <v>2866</v>
      </c>
      <c r="G8" s="79"/>
      <c r="H8" s="79"/>
      <c r="I8" s="79">
        <v>23375</v>
      </c>
      <c r="J8" s="79">
        <f t="shared" si="2"/>
        <v>23375</v>
      </c>
      <c r="L8" s="41"/>
    </row>
    <row r="9" spans="1:12" ht="13.8" x14ac:dyDescent="0.25">
      <c r="A9" s="61" t="b" cm="1">
        <f t="array" ref="A9">OR($B9='Working-T05-B2'!$D$8:$D$150)</f>
        <v>1</v>
      </c>
      <c r="B9" s="61" t="str">
        <f t="shared" si="1"/>
        <v>104877 | 110000359</v>
      </c>
      <c r="C9" s="266" t="s">
        <v>2047</v>
      </c>
      <c r="D9" s="265" t="s">
        <v>2868</v>
      </c>
      <c r="E9" s="24" t="s">
        <v>301</v>
      </c>
      <c r="F9" s="24" t="s">
        <v>302</v>
      </c>
      <c r="G9" s="79"/>
      <c r="H9" s="79"/>
      <c r="I9" s="79">
        <v>333300</v>
      </c>
      <c r="J9" s="79">
        <f t="shared" si="2"/>
        <v>333300</v>
      </c>
      <c r="L9" s="41"/>
    </row>
    <row r="10" spans="1:12" ht="13.8" x14ac:dyDescent="0.25">
      <c r="A10" s="61" t="b" cm="1">
        <f t="array" ref="A10">OR($B10='Working-T05-B2'!$D$8:$D$150)</f>
        <v>1</v>
      </c>
      <c r="B10" s="61" t="str">
        <f t="shared" si="1"/>
        <v>104894 | 110000354</v>
      </c>
      <c r="C10" s="266" t="s">
        <v>42</v>
      </c>
      <c r="D10" s="265" t="s">
        <v>43</v>
      </c>
      <c r="E10" s="24" t="s">
        <v>33</v>
      </c>
      <c r="F10" s="24" t="s">
        <v>2863</v>
      </c>
      <c r="G10" s="79"/>
      <c r="H10" s="79"/>
      <c r="I10" s="79">
        <v>220000</v>
      </c>
      <c r="J10" s="79">
        <f t="shared" si="2"/>
        <v>220000</v>
      </c>
      <c r="L10" s="41"/>
    </row>
    <row r="11" spans="1:12" ht="13.8" x14ac:dyDescent="0.25">
      <c r="A11" s="61" t="b" cm="1">
        <f t="array" ref="A11">OR($B11='Working-T05-B2'!$D$8:$D$150)</f>
        <v>1</v>
      </c>
      <c r="B11" s="61" t="str">
        <f t="shared" si="1"/>
        <v>104909 | 110000329</v>
      </c>
      <c r="C11" s="266" t="s">
        <v>2479</v>
      </c>
      <c r="D11" s="265" t="s">
        <v>2480</v>
      </c>
      <c r="E11" s="24" t="s">
        <v>273</v>
      </c>
      <c r="F11" s="24" t="s">
        <v>274</v>
      </c>
      <c r="G11" s="79">
        <v>30800</v>
      </c>
      <c r="H11" s="79"/>
      <c r="I11" s="79"/>
      <c r="J11" s="79">
        <f t="shared" si="2"/>
        <v>30800</v>
      </c>
      <c r="L11" s="41"/>
    </row>
    <row r="12" spans="1:12" ht="13.8" x14ac:dyDescent="0.25">
      <c r="A12" s="61" t="b" cm="1">
        <f t="array" ref="A12">OR($B12='Working-T05-B2'!$D$8:$D$150)</f>
        <v>1</v>
      </c>
      <c r="B12" s="61" t="str">
        <f t="shared" si="1"/>
        <v>105194 | 110000332</v>
      </c>
      <c r="C12" s="266" t="s">
        <v>258</v>
      </c>
      <c r="D12" s="265" t="s">
        <v>259</v>
      </c>
      <c r="E12" s="24" t="s">
        <v>32</v>
      </c>
      <c r="F12" s="24" t="s">
        <v>279</v>
      </c>
      <c r="G12" s="79"/>
      <c r="H12" s="79"/>
      <c r="I12" s="79">
        <v>572000</v>
      </c>
      <c r="J12" s="79">
        <f t="shared" si="2"/>
        <v>572000</v>
      </c>
      <c r="L12" s="41"/>
    </row>
    <row r="13" spans="1:12" ht="13.8" x14ac:dyDescent="0.25">
      <c r="A13" s="61" t="b" cm="1">
        <f t="array" ref="A13">OR($B13='Working-T05-B2'!$D$8:$D$150)</f>
        <v>1</v>
      </c>
      <c r="B13" s="61" t="str">
        <f t="shared" si="1"/>
        <v>105207 | 110000332</v>
      </c>
      <c r="C13" s="266" t="s">
        <v>2625</v>
      </c>
      <c r="D13" s="265" t="s">
        <v>2869</v>
      </c>
      <c r="E13" s="24" t="s">
        <v>32</v>
      </c>
      <c r="F13" s="24" t="s">
        <v>279</v>
      </c>
      <c r="G13" s="79"/>
      <c r="H13" s="79"/>
      <c r="I13" s="79">
        <v>242000</v>
      </c>
      <c r="J13" s="79">
        <f t="shared" si="2"/>
        <v>242000</v>
      </c>
      <c r="L13" s="41"/>
    </row>
    <row r="14" spans="1:12" ht="13.8" x14ac:dyDescent="0.25">
      <c r="A14" s="61" t="b" cm="1">
        <f t="array" ref="A14">OR($B14='Working-T05-B2'!$D$8:$D$150)</f>
        <v>1</v>
      </c>
      <c r="B14" s="61" t="str">
        <f t="shared" si="1"/>
        <v>105223 | 110000339</v>
      </c>
      <c r="C14" s="266" t="s">
        <v>2026</v>
      </c>
      <c r="D14" s="265" t="s">
        <v>2027</v>
      </c>
      <c r="E14" s="24" t="s">
        <v>38</v>
      </c>
      <c r="F14" s="24" t="s">
        <v>2870</v>
      </c>
      <c r="G14" s="79"/>
      <c r="H14" s="79"/>
      <c r="I14" s="79">
        <v>70000</v>
      </c>
      <c r="J14" s="79">
        <f t="shared" si="2"/>
        <v>70000</v>
      </c>
      <c r="L14" s="41"/>
    </row>
    <row r="15" spans="1:12" ht="13.8" x14ac:dyDescent="0.25">
      <c r="A15" s="61" t="b" cm="1">
        <f t="array" ref="A15">OR($B15='Working-T05-B2'!$D$8:$D$150)</f>
        <v>1</v>
      </c>
      <c r="B15" s="61" t="str">
        <f t="shared" si="1"/>
        <v>105248 | 110000407</v>
      </c>
      <c r="C15" s="265" t="s">
        <v>3043</v>
      </c>
      <c r="D15" s="265" t="s">
        <v>3044</v>
      </c>
      <c r="E15" s="24" t="s">
        <v>260</v>
      </c>
      <c r="F15" s="24" t="s">
        <v>376</v>
      </c>
      <c r="G15" s="79"/>
      <c r="H15" s="79"/>
      <c r="I15" s="79">
        <v>6000</v>
      </c>
      <c r="J15" s="79">
        <f t="shared" si="2"/>
        <v>6000</v>
      </c>
      <c r="L15" s="41"/>
    </row>
    <row r="16" spans="1:12" ht="13.8" x14ac:dyDescent="0.25">
      <c r="A16" s="61" t="b" cm="1">
        <f t="array" ref="A16">OR($B16='Working-T05-B2'!$D$8:$D$150)</f>
        <v>1</v>
      </c>
      <c r="B16" s="61" t="str">
        <f t="shared" si="1"/>
        <v>105248 | 110000421</v>
      </c>
      <c r="C16" s="266" t="s">
        <v>3043</v>
      </c>
      <c r="D16" s="265" t="s">
        <v>3044</v>
      </c>
      <c r="E16" s="24" t="s">
        <v>255</v>
      </c>
      <c r="F16" s="24" t="s">
        <v>409</v>
      </c>
      <c r="G16" s="79"/>
      <c r="H16" s="79"/>
      <c r="I16" s="79">
        <v>11000</v>
      </c>
      <c r="J16" s="79">
        <f t="shared" si="2"/>
        <v>11000</v>
      </c>
      <c r="L16" s="41"/>
    </row>
    <row r="17" spans="1:12" ht="13.8" x14ac:dyDescent="0.25">
      <c r="A17" s="61" t="b" cm="1">
        <f t="array" ref="A17">OR($B17='Working-T05-B2'!$D$8:$D$150)</f>
        <v>1</v>
      </c>
      <c r="B17" s="61" t="str">
        <f t="shared" si="1"/>
        <v>105263 | 110000339</v>
      </c>
      <c r="C17" s="265" t="s">
        <v>34</v>
      </c>
      <c r="D17" s="265" t="s">
        <v>35</v>
      </c>
      <c r="E17" s="24" t="s">
        <v>38</v>
      </c>
      <c r="F17" s="24" t="s">
        <v>2870</v>
      </c>
      <c r="G17" s="79"/>
      <c r="H17" s="79"/>
      <c r="I17" s="79">
        <v>215000</v>
      </c>
      <c r="J17" s="79">
        <f t="shared" si="2"/>
        <v>215000</v>
      </c>
      <c r="L17" s="41"/>
    </row>
    <row r="18" spans="1:12" ht="13.8" x14ac:dyDescent="0.25">
      <c r="A18" s="61" t="b" cm="1">
        <f t="array" ref="A18">OR($B18='Working-T05-B2'!$D$8:$D$150)</f>
        <v>1</v>
      </c>
      <c r="B18" s="61" t="str">
        <f t="shared" si="1"/>
        <v>105263 | 110000354</v>
      </c>
      <c r="C18" s="265" t="s">
        <v>34</v>
      </c>
      <c r="D18" s="265" t="s">
        <v>35</v>
      </c>
      <c r="E18" s="24" t="s">
        <v>33</v>
      </c>
      <c r="F18" s="24" t="s">
        <v>2863</v>
      </c>
      <c r="G18" s="79"/>
      <c r="H18" s="79"/>
      <c r="I18" s="79">
        <v>6311.7965429124197</v>
      </c>
      <c r="J18" s="79">
        <f t="shared" si="2"/>
        <v>6311.7965429124197</v>
      </c>
      <c r="L18" s="41"/>
    </row>
    <row r="19" spans="1:12" ht="13.8" x14ac:dyDescent="0.25">
      <c r="A19" s="61" t="b" cm="1">
        <f t="array" ref="A19">OR($B19='Working-T05-B2'!$D$8:$D$150)</f>
        <v>1</v>
      </c>
      <c r="B19" s="61" t="str">
        <f t="shared" si="1"/>
        <v>105263 | 110000481</v>
      </c>
      <c r="C19" s="265" t="s">
        <v>34</v>
      </c>
      <c r="D19" s="265" t="s">
        <v>35</v>
      </c>
      <c r="E19" s="24" t="s">
        <v>261</v>
      </c>
      <c r="F19" s="24" t="s">
        <v>2871</v>
      </c>
      <c r="G19" s="79"/>
      <c r="H19" s="79"/>
      <c r="I19" s="79">
        <v>50000</v>
      </c>
      <c r="J19" s="79">
        <f t="shared" si="2"/>
        <v>50000</v>
      </c>
      <c r="L19" s="41"/>
    </row>
    <row r="20" spans="1:12" ht="13.8" x14ac:dyDescent="0.25">
      <c r="A20" s="61" t="b" cm="1">
        <f t="array" ref="A20">OR($B20='Working-T05-B2'!$D$8:$D$150)</f>
        <v>1</v>
      </c>
      <c r="B20" s="61" t="str">
        <f t="shared" si="1"/>
        <v>105266 | 110000354</v>
      </c>
      <c r="C20" s="266" t="s">
        <v>2024</v>
      </c>
      <c r="D20" s="265" t="s">
        <v>2025</v>
      </c>
      <c r="E20" s="24" t="s">
        <v>33</v>
      </c>
      <c r="F20" s="24" t="s">
        <v>2863</v>
      </c>
      <c r="G20" s="79"/>
      <c r="H20" s="79"/>
      <c r="I20" s="79">
        <v>18150</v>
      </c>
      <c r="J20" s="79">
        <f t="shared" si="2"/>
        <v>18150</v>
      </c>
      <c r="L20" s="41"/>
    </row>
    <row r="21" spans="1:12" ht="13.8" x14ac:dyDescent="0.25">
      <c r="A21" s="61" t="b" cm="1">
        <f t="array" ref="A21">OR($B21='Working-T05-B2'!$D$8:$D$150)</f>
        <v>1</v>
      </c>
      <c r="B21" s="61" t="str">
        <f t="shared" si="1"/>
        <v>105271 | 110000332</v>
      </c>
      <c r="C21" s="266" t="s">
        <v>2022</v>
      </c>
      <c r="D21" s="265" t="s">
        <v>2023</v>
      </c>
      <c r="E21" s="24" t="s">
        <v>32</v>
      </c>
      <c r="F21" s="24" t="s">
        <v>279</v>
      </c>
      <c r="G21" s="79"/>
      <c r="H21" s="79"/>
      <c r="I21" s="79">
        <v>88000</v>
      </c>
      <c r="J21" s="79">
        <f t="shared" si="2"/>
        <v>88000</v>
      </c>
      <c r="L21" s="41"/>
    </row>
    <row r="22" spans="1:12" ht="13.8" x14ac:dyDescent="0.25">
      <c r="A22" s="61" t="b" cm="1">
        <f t="array" ref="A22">OR($B22='Working-T05-B2'!$D$8:$D$150)</f>
        <v>1</v>
      </c>
      <c r="B22" s="61" t="str">
        <f t="shared" si="1"/>
        <v>105281 | 110000354</v>
      </c>
      <c r="C22" s="266" t="s">
        <v>45</v>
      </c>
      <c r="D22" s="265" t="s">
        <v>46</v>
      </c>
      <c r="E22" s="24" t="s">
        <v>33</v>
      </c>
      <c r="F22" s="24" t="s">
        <v>2863</v>
      </c>
      <c r="G22" s="79"/>
      <c r="H22" s="79"/>
      <c r="I22" s="79">
        <v>122000</v>
      </c>
      <c r="J22" s="79">
        <f t="shared" si="2"/>
        <v>122000</v>
      </c>
      <c r="L22" s="41"/>
    </row>
    <row r="23" spans="1:12" ht="13.8" x14ac:dyDescent="0.25">
      <c r="A23" s="61" t="b" cm="1">
        <f t="array" ref="A23">OR($B23='Working-T05-B2'!$D$8:$D$150)</f>
        <v>1</v>
      </c>
      <c r="B23" s="61" t="str">
        <f t="shared" si="1"/>
        <v>105286 | 110000355</v>
      </c>
      <c r="C23" s="266" t="s">
        <v>2034</v>
      </c>
      <c r="D23" s="265" t="s">
        <v>2613</v>
      </c>
      <c r="E23" s="24" t="s">
        <v>37</v>
      </c>
      <c r="F23" s="24" t="s">
        <v>1396</v>
      </c>
      <c r="G23" s="79"/>
      <c r="H23" s="79"/>
      <c r="I23" s="79">
        <v>44000</v>
      </c>
      <c r="J23" s="79">
        <f t="shared" si="2"/>
        <v>44000</v>
      </c>
      <c r="L23" s="41"/>
    </row>
    <row r="24" spans="1:12" ht="13.8" x14ac:dyDescent="0.25">
      <c r="A24" s="61" t="b" cm="1">
        <f t="array" ref="A24">OR($B24='Working-T05-B2'!$D$8:$D$150)</f>
        <v>1</v>
      </c>
      <c r="B24" s="61" t="str">
        <f t="shared" si="1"/>
        <v>105291 | 110000354</v>
      </c>
      <c r="C24" s="266" t="s">
        <v>3045</v>
      </c>
      <c r="D24" s="265" t="s">
        <v>3046</v>
      </c>
      <c r="E24" s="24" t="s">
        <v>33</v>
      </c>
      <c r="F24" s="24" t="s">
        <v>2863</v>
      </c>
      <c r="G24" s="79"/>
      <c r="H24" s="79"/>
      <c r="I24" s="79">
        <v>4400</v>
      </c>
      <c r="J24" s="79">
        <f t="shared" si="2"/>
        <v>4400</v>
      </c>
      <c r="L24" s="41"/>
    </row>
    <row r="25" spans="1:12" ht="13.8" x14ac:dyDescent="0.25">
      <c r="A25" s="61" t="b" cm="1">
        <f t="array" ref="A25">OR($B25='Working-T05-B2'!$D$8:$D$150)</f>
        <v>1</v>
      </c>
      <c r="B25" s="61" t="str">
        <f t="shared" si="1"/>
        <v>105314 | 110000374</v>
      </c>
      <c r="C25" s="266" t="s">
        <v>48</v>
      </c>
      <c r="D25" s="265" t="s">
        <v>2872</v>
      </c>
      <c r="E25" s="24" t="s">
        <v>50</v>
      </c>
      <c r="F25" s="24" t="s">
        <v>2873</v>
      </c>
      <c r="G25" s="79"/>
      <c r="H25" s="79"/>
      <c r="I25" s="79">
        <v>68750</v>
      </c>
      <c r="J25" s="79">
        <f t="shared" si="2"/>
        <v>68750</v>
      </c>
      <c r="L25" s="41"/>
    </row>
    <row r="26" spans="1:12" ht="13.8" x14ac:dyDescent="0.25">
      <c r="A26" s="61" t="b" cm="1">
        <f t="array" ref="A26">OR($B26='Working-T05-B2'!$D$8:$D$150)</f>
        <v>1</v>
      </c>
      <c r="B26" s="61" t="str">
        <f t="shared" si="1"/>
        <v>105315 | 110000355</v>
      </c>
      <c r="C26" s="266" t="s">
        <v>3047</v>
      </c>
      <c r="D26" s="265" t="s">
        <v>3048</v>
      </c>
      <c r="E26" s="24" t="s">
        <v>37</v>
      </c>
      <c r="F26" s="24" t="s">
        <v>1396</v>
      </c>
      <c r="G26" s="79"/>
      <c r="H26" s="79"/>
      <c r="I26" s="79">
        <v>3000</v>
      </c>
      <c r="J26" s="79">
        <f t="shared" si="2"/>
        <v>3000</v>
      </c>
      <c r="L26" s="41"/>
    </row>
    <row r="27" spans="1:12" ht="13.8" x14ac:dyDescent="0.25">
      <c r="A27" s="61" t="b" cm="1">
        <f t="array" ref="A27">OR($B27='Working-T05-B2'!$D$8:$D$150)</f>
        <v>1</v>
      </c>
      <c r="B27" s="61" t="str">
        <f t="shared" si="1"/>
        <v>105324 | 110000407</v>
      </c>
      <c r="C27" s="266" t="s">
        <v>55</v>
      </c>
      <c r="D27" s="265" t="s">
        <v>56</v>
      </c>
      <c r="E27" s="24" t="s">
        <v>260</v>
      </c>
      <c r="F27" s="24" t="s">
        <v>376</v>
      </c>
      <c r="G27" s="79"/>
      <c r="H27" s="79"/>
      <c r="I27" s="79">
        <v>12000</v>
      </c>
      <c r="J27" s="79">
        <f t="shared" si="2"/>
        <v>12000</v>
      </c>
      <c r="L27" s="41"/>
    </row>
    <row r="28" spans="1:12" ht="13.8" x14ac:dyDescent="0.25">
      <c r="A28" s="61" t="b" cm="1">
        <f t="array" ref="A28">OR($B28='Working-T05-B2'!$D$8:$D$150)</f>
        <v>1</v>
      </c>
      <c r="B28" s="61" t="str">
        <f t="shared" si="1"/>
        <v>105324 | 110000409</v>
      </c>
      <c r="C28" s="266" t="s">
        <v>55</v>
      </c>
      <c r="D28" s="265" t="s">
        <v>56</v>
      </c>
      <c r="E28" s="24" t="s">
        <v>381</v>
      </c>
      <c r="F28" s="24" t="s">
        <v>382</v>
      </c>
      <c r="G28" s="79"/>
      <c r="H28" s="79"/>
      <c r="I28" s="79">
        <v>6000</v>
      </c>
      <c r="J28" s="79">
        <f t="shared" si="2"/>
        <v>6000</v>
      </c>
      <c r="L28" s="41"/>
    </row>
    <row r="29" spans="1:12" ht="13.8" x14ac:dyDescent="0.25">
      <c r="A29" s="61" t="b" cm="1">
        <f t="array" ref="A29">OR($B29='Working-T05-B2'!$D$8:$D$150)</f>
        <v>1</v>
      </c>
      <c r="B29" s="61" t="str">
        <f t="shared" si="1"/>
        <v>105328 | 110000332</v>
      </c>
      <c r="C29" s="265" t="s">
        <v>2636</v>
      </c>
      <c r="D29" s="265" t="s">
        <v>2874</v>
      </c>
      <c r="E29" s="24" t="s">
        <v>32</v>
      </c>
      <c r="F29" s="24" t="s">
        <v>279</v>
      </c>
      <c r="G29" s="79"/>
      <c r="H29" s="79"/>
      <c r="I29" s="79">
        <v>88000</v>
      </c>
      <c r="J29" s="79">
        <f t="shared" si="2"/>
        <v>88000</v>
      </c>
      <c r="L29" s="41"/>
    </row>
    <row r="30" spans="1:12" ht="13.8" x14ac:dyDescent="0.25">
      <c r="A30" s="61" t="b" cm="1">
        <f t="array" ref="A30">OR($B30='Working-T05-B2'!$D$8:$D$150)</f>
        <v>1</v>
      </c>
      <c r="B30" s="61" t="str">
        <f t="shared" si="1"/>
        <v>105330 | 110000355</v>
      </c>
      <c r="C30" s="265" t="s">
        <v>2628</v>
      </c>
      <c r="D30" s="265" t="s">
        <v>2612</v>
      </c>
      <c r="E30" s="24" t="s">
        <v>37</v>
      </c>
      <c r="F30" s="24" t="s">
        <v>1396</v>
      </c>
      <c r="G30" s="79"/>
      <c r="H30" s="79"/>
      <c r="I30" s="79">
        <v>44000</v>
      </c>
      <c r="J30" s="79">
        <f t="shared" si="2"/>
        <v>44000</v>
      </c>
      <c r="L30" s="41"/>
    </row>
    <row r="31" spans="1:12" ht="13.8" x14ac:dyDescent="0.25">
      <c r="A31" s="61" t="b" cm="1">
        <f t="array" ref="A31">OR($B31='Working-T05-B2'!$D$8:$D$150)</f>
        <v>1</v>
      </c>
      <c r="B31" s="61" t="str">
        <f t="shared" si="1"/>
        <v>105339 | 110000409</v>
      </c>
      <c r="C31" s="266" t="s">
        <v>57</v>
      </c>
      <c r="D31" s="265" t="s">
        <v>58</v>
      </c>
      <c r="E31" s="24" t="s">
        <v>381</v>
      </c>
      <c r="F31" s="24" t="s">
        <v>382</v>
      </c>
      <c r="G31" s="79"/>
      <c r="H31" s="79"/>
      <c r="I31" s="79">
        <v>11000</v>
      </c>
      <c r="J31" s="79">
        <f t="shared" si="2"/>
        <v>11000</v>
      </c>
      <c r="L31" s="41"/>
    </row>
    <row r="32" spans="1:12" ht="13.8" x14ac:dyDescent="0.25">
      <c r="A32" s="61" t="b" cm="1">
        <f t="array" ref="A32">OR($B32='Working-T05-B2'!$D$8:$D$150)</f>
        <v>1</v>
      </c>
      <c r="B32" s="61" t="str">
        <f t="shared" si="1"/>
        <v>105349 | 110000341</v>
      </c>
      <c r="C32" s="266" t="s">
        <v>51</v>
      </c>
      <c r="D32" s="265" t="s">
        <v>52</v>
      </c>
      <c r="E32" s="24" t="s">
        <v>53</v>
      </c>
      <c r="F32" s="24" t="s">
        <v>2875</v>
      </c>
      <c r="G32" s="79"/>
      <c r="H32" s="79"/>
      <c r="I32" s="79">
        <v>30000</v>
      </c>
      <c r="J32" s="79">
        <f t="shared" si="2"/>
        <v>30000</v>
      </c>
      <c r="L32" s="41"/>
    </row>
    <row r="33" spans="1:12" ht="13.8" x14ac:dyDescent="0.25">
      <c r="A33" s="61" t="b" cm="1">
        <f t="array" ref="A33">OR($B33='Working-T05-B2'!$D$8:$D$150)</f>
        <v>1</v>
      </c>
      <c r="B33" s="61" t="str">
        <f t="shared" si="1"/>
        <v>105354 | 110000354</v>
      </c>
      <c r="C33" s="266" t="s">
        <v>2008</v>
      </c>
      <c r="D33" s="265" t="s">
        <v>2009</v>
      </c>
      <c r="E33" s="24" t="s">
        <v>33</v>
      </c>
      <c r="F33" s="24" t="s">
        <v>2863</v>
      </c>
      <c r="G33" s="79"/>
      <c r="H33" s="79"/>
      <c r="I33" s="79">
        <v>88000</v>
      </c>
      <c r="J33" s="79">
        <f t="shared" si="2"/>
        <v>88000</v>
      </c>
      <c r="L33" s="41"/>
    </row>
    <row r="34" spans="1:12" ht="13.8" x14ac:dyDescent="0.25">
      <c r="A34" s="61" t="b" cm="1">
        <f t="array" ref="A34">OR($B34='Working-T05-B2'!$D$8:$D$150)</f>
        <v>1</v>
      </c>
      <c r="B34" s="61" t="str">
        <f t="shared" si="1"/>
        <v>105362 | 110000393</v>
      </c>
      <c r="C34" s="265" t="s">
        <v>2028</v>
      </c>
      <c r="D34" s="265" t="s">
        <v>2029</v>
      </c>
      <c r="E34" s="24" t="s">
        <v>1001</v>
      </c>
      <c r="F34" s="24" t="s">
        <v>1002</v>
      </c>
      <c r="G34" s="79"/>
      <c r="H34" s="79"/>
      <c r="I34" s="79">
        <v>15000</v>
      </c>
      <c r="J34" s="79">
        <f t="shared" si="2"/>
        <v>15000</v>
      </c>
      <c r="L34" s="41"/>
    </row>
    <row r="35" spans="1:12" ht="13.8" x14ac:dyDescent="0.25">
      <c r="A35" s="61" t="b" cm="1">
        <f t="array" ref="A35">OR($B35='Working-T05-B2'!$D$8:$D$150)</f>
        <v>1</v>
      </c>
      <c r="B35" s="61" t="str">
        <f t="shared" si="1"/>
        <v>105371 | 160012956</v>
      </c>
      <c r="C35" s="265" t="s">
        <v>2013</v>
      </c>
      <c r="D35" s="265" t="s">
        <v>2014</v>
      </c>
      <c r="E35" s="24" t="s">
        <v>1836</v>
      </c>
      <c r="F35" s="24" t="s">
        <v>1837</v>
      </c>
      <c r="G35" s="79"/>
      <c r="H35" s="79"/>
      <c r="I35" s="79">
        <v>150000</v>
      </c>
      <c r="J35" s="79">
        <f t="shared" si="2"/>
        <v>150000</v>
      </c>
      <c r="L35" s="41"/>
    </row>
    <row r="36" spans="1:12" ht="13.8" x14ac:dyDescent="0.25">
      <c r="A36" s="61" t="b" cm="1">
        <f t="array" ref="A36">OR($B36='Working-T05-B2'!$D$8:$D$150)</f>
        <v>1</v>
      </c>
      <c r="B36" s="61" t="str">
        <f t="shared" si="1"/>
        <v>105372 | 110000495</v>
      </c>
      <c r="C36" s="265" t="s">
        <v>2876</v>
      </c>
      <c r="D36" s="265" t="s">
        <v>2877</v>
      </c>
      <c r="E36" s="24" t="s">
        <v>1316</v>
      </c>
      <c r="F36" s="24" t="s">
        <v>1317</v>
      </c>
      <c r="G36" s="79"/>
      <c r="H36" s="79"/>
      <c r="I36" s="79">
        <v>8000</v>
      </c>
      <c r="J36" s="79">
        <f t="shared" si="2"/>
        <v>8000</v>
      </c>
      <c r="L36" s="41"/>
    </row>
    <row r="37" spans="1:12" ht="13.8" x14ac:dyDescent="0.25">
      <c r="A37" s="61" t="b" cm="1">
        <f t="array" ref="A37">OR($B37='Working-T05-B2'!$D$8:$D$150)</f>
        <v>1</v>
      </c>
      <c r="B37" s="61" t="str">
        <f t="shared" si="1"/>
        <v>105397 | 110000354</v>
      </c>
      <c r="C37" s="266" t="s">
        <v>2030</v>
      </c>
      <c r="D37" s="265" t="s">
        <v>2031</v>
      </c>
      <c r="E37" s="24" t="s">
        <v>33</v>
      </c>
      <c r="F37" s="24" t="s">
        <v>2863</v>
      </c>
      <c r="G37" s="79"/>
      <c r="H37" s="79"/>
      <c r="I37" s="79">
        <v>48800</v>
      </c>
      <c r="J37" s="79">
        <f t="shared" si="2"/>
        <v>48800</v>
      </c>
      <c r="L37" s="41"/>
    </row>
    <row r="38" spans="1:12" ht="13.8" x14ac:dyDescent="0.25">
      <c r="A38" s="61" t="b" cm="1">
        <f t="array" ref="A38">OR($B38='Working-T05-B2'!$D$8:$D$150)</f>
        <v>1</v>
      </c>
      <c r="B38" s="61" t="str">
        <f t="shared" si="1"/>
        <v>105405 | 160012801</v>
      </c>
      <c r="C38" s="266" t="s">
        <v>2010</v>
      </c>
      <c r="D38" s="265" t="s">
        <v>2011</v>
      </c>
      <c r="E38" s="24" t="s">
        <v>1898</v>
      </c>
      <c r="F38" s="24" t="s">
        <v>2878</v>
      </c>
      <c r="G38" s="79"/>
      <c r="H38" s="79"/>
      <c r="I38" s="79">
        <v>100000</v>
      </c>
      <c r="J38" s="79">
        <f t="shared" si="2"/>
        <v>100000</v>
      </c>
      <c r="L38" s="41"/>
    </row>
    <row r="39" spans="1:12" ht="13.8" x14ac:dyDescent="0.25">
      <c r="A39" s="61" t="b" cm="1">
        <f t="array" ref="A39">OR($B39='Working-T05-B2'!$D$8:$D$150)</f>
        <v>1</v>
      </c>
      <c r="B39" s="61" t="str">
        <f t="shared" si="1"/>
        <v>200311 | 110000354</v>
      </c>
      <c r="C39" s="266" t="s">
        <v>2627</v>
      </c>
      <c r="D39" s="265" t="s">
        <v>2611</v>
      </c>
      <c r="E39" s="24" t="s">
        <v>33</v>
      </c>
      <c r="F39" s="24" t="s">
        <v>2863</v>
      </c>
      <c r="G39" s="79"/>
      <c r="H39" s="79"/>
      <c r="I39" s="79">
        <v>154000</v>
      </c>
      <c r="J39" s="79">
        <f t="shared" si="2"/>
        <v>154000</v>
      </c>
      <c r="L39" s="41"/>
    </row>
    <row r="40" spans="1:12" ht="13.8" x14ac:dyDescent="0.25">
      <c r="A40" s="61" t="b" cm="1">
        <f t="array" ref="A40">OR($B40='Working-T05-B2'!$D$8:$D$150)</f>
        <v>1</v>
      </c>
      <c r="B40" s="61" t="str">
        <f t="shared" si="1"/>
        <v>200319 | 110000354</v>
      </c>
      <c r="C40" s="266" t="s">
        <v>2633</v>
      </c>
      <c r="D40" s="265" t="s">
        <v>2879</v>
      </c>
      <c r="E40" s="24" t="s">
        <v>33</v>
      </c>
      <c r="F40" s="24" t="s">
        <v>2863</v>
      </c>
      <c r="G40" s="79"/>
      <c r="H40" s="79"/>
      <c r="I40" s="79">
        <v>1012000</v>
      </c>
      <c r="J40" s="79">
        <f t="shared" si="2"/>
        <v>1012000</v>
      </c>
      <c r="L40" s="41"/>
    </row>
    <row r="41" spans="1:12" ht="13.8" x14ac:dyDescent="0.25">
      <c r="A41" s="61" t="b" cm="1">
        <f t="array" ref="A41">OR($B41='Working-T05-B2'!$D$8:$D$150)</f>
        <v>1</v>
      </c>
      <c r="B41" s="61" t="str">
        <f t="shared" si="1"/>
        <v>200332 | 110000507</v>
      </c>
      <c r="C41" s="266" t="s">
        <v>2631</v>
      </c>
      <c r="D41" s="265" t="s">
        <v>2619</v>
      </c>
      <c r="E41" s="24" t="s">
        <v>1842</v>
      </c>
      <c r="F41" s="24" t="s">
        <v>1843</v>
      </c>
      <c r="G41" s="79"/>
      <c r="H41" s="79"/>
      <c r="I41" s="79">
        <v>770000</v>
      </c>
      <c r="J41" s="79">
        <f t="shared" si="2"/>
        <v>770000</v>
      </c>
      <c r="L41" s="41"/>
    </row>
    <row r="42" spans="1:12" ht="13.8" x14ac:dyDescent="0.25">
      <c r="A42" s="61" t="b" cm="1">
        <f t="array" ref="A42">OR($B42='Working-T05-B2'!$D$8:$D$150)</f>
        <v>1</v>
      </c>
      <c r="B42" s="61" t="str">
        <f t="shared" si="1"/>
        <v>200359 | 110000359</v>
      </c>
      <c r="C42" s="266" t="s">
        <v>2880</v>
      </c>
      <c r="D42" s="265" t="s">
        <v>2881</v>
      </c>
      <c r="E42" s="24" t="s">
        <v>301</v>
      </c>
      <c r="F42" s="24" t="s">
        <v>302</v>
      </c>
      <c r="G42" s="79"/>
      <c r="H42" s="79"/>
      <c r="I42" s="180">
        <f>220000*0</f>
        <v>0</v>
      </c>
      <c r="J42" s="79">
        <f t="shared" si="2"/>
        <v>0</v>
      </c>
      <c r="L42" s="41"/>
    </row>
    <row r="43" spans="1:12" ht="13.8" x14ac:dyDescent="0.25">
      <c r="A43" s="61" t="b" cm="1">
        <f t="array" ref="A43">OR($B43='Working-T05-B2'!$D$8:$D$150)</f>
        <v>1</v>
      </c>
      <c r="B43" s="61" t="str">
        <f t="shared" si="1"/>
        <v>200361 | 110000332</v>
      </c>
      <c r="C43" s="266" t="s">
        <v>3049</v>
      </c>
      <c r="D43" s="265" t="s">
        <v>3050</v>
      </c>
      <c r="E43" s="24" t="s">
        <v>32</v>
      </c>
      <c r="F43" s="24" t="s">
        <v>279</v>
      </c>
      <c r="G43" s="79"/>
      <c r="H43" s="79"/>
      <c r="I43" s="79">
        <v>22000</v>
      </c>
      <c r="J43" s="79">
        <f t="shared" si="2"/>
        <v>22000</v>
      </c>
      <c r="L43" s="41"/>
    </row>
    <row r="44" spans="1:12" ht="13.8" x14ac:dyDescent="0.25">
      <c r="A44" s="61" t="b" cm="1">
        <f t="array" ref="A44">OR($B44='Working-T05-B2'!$D$8:$D$150)</f>
        <v>1</v>
      </c>
      <c r="B44" s="61" t="str">
        <f t="shared" si="1"/>
        <v>200365 | 110000355</v>
      </c>
      <c r="C44" s="266" t="s">
        <v>3051</v>
      </c>
      <c r="D44" s="265" t="s">
        <v>3052</v>
      </c>
      <c r="E44" s="24" t="s">
        <v>37</v>
      </c>
      <c r="F44" s="24" t="s">
        <v>1396</v>
      </c>
      <c r="G44" s="79"/>
      <c r="H44" s="79"/>
      <c r="I44" s="79">
        <v>506000</v>
      </c>
      <c r="J44" s="79">
        <f t="shared" si="2"/>
        <v>506000</v>
      </c>
      <c r="L44" s="41"/>
    </row>
    <row r="45" spans="1:12" ht="13.8" x14ac:dyDescent="0.25">
      <c r="A45" s="61" t="b" cm="1">
        <f t="array" ref="A45">OR($B45='Working-T05-B2'!$D$8:$D$150)</f>
        <v>1</v>
      </c>
      <c r="B45" s="61" t="str">
        <f t="shared" si="1"/>
        <v>200383 | 110000354</v>
      </c>
      <c r="C45" s="266" t="s">
        <v>2882</v>
      </c>
      <c r="D45" s="265" t="s">
        <v>2883</v>
      </c>
      <c r="E45" s="24" t="s">
        <v>33</v>
      </c>
      <c r="F45" s="24" t="s">
        <v>2863</v>
      </c>
      <c r="G45" s="79"/>
      <c r="H45" s="79"/>
      <c r="I45" s="79">
        <v>44000</v>
      </c>
      <c r="J45" s="79">
        <f t="shared" si="2"/>
        <v>44000</v>
      </c>
      <c r="L45" s="41"/>
    </row>
    <row r="46" spans="1:12" ht="13.8" x14ac:dyDescent="0.25">
      <c r="A46" s="61" t="b" cm="1">
        <f t="array" ref="A46">OR($B46='Working-T05-B2'!$D$8:$D$150)</f>
        <v>1</v>
      </c>
      <c r="B46" s="61" t="str">
        <f t="shared" si="1"/>
        <v>200400 | 110000354</v>
      </c>
      <c r="C46" s="266" t="s">
        <v>2458</v>
      </c>
      <c r="D46" s="265" t="s">
        <v>2884</v>
      </c>
      <c r="E46" s="24" t="s">
        <v>33</v>
      </c>
      <c r="F46" s="24" t="s">
        <v>2863</v>
      </c>
      <c r="G46" s="79"/>
      <c r="H46" s="79"/>
      <c r="I46" s="79">
        <v>220000</v>
      </c>
      <c r="J46" s="79">
        <f t="shared" si="2"/>
        <v>220000</v>
      </c>
      <c r="L46" s="41"/>
    </row>
    <row r="47" spans="1:12" ht="13.8" x14ac:dyDescent="0.25">
      <c r="A47" s="61" t="b" cm="1">
        <f t="array" ref="A47">OR($B47='Working-T05-B2'!$D$8:$D$150)</f>
        <v>1</v>
      </c>
      <c r="B47" s="61" t="str">
        <f t="shared" si="1"/>
        <v>Aeonmall/ (Home Coordy) | 110000394</v>
      </c>
      <c r="C47" s="266" t="s">
        <v>2885</v>
      </c>
      <c r="D47" s="265" t="s">
        <v>2885</v>
      </c>
      <c r="E47" s="24" t="s">
        <v>1044</v>
      </c>
      <c r="F47" s="24" t="s">
        <v>1045</v>
      </c>
      <c r="G47" s="79"/>
      <c r="H47" s="79"/>
      <c r="I47" s="79">
        <v>1375</v>
      </c>
      <c r="J47" s="79">
        <f t="shared" si="2"/>
        <v>1375</v>
      </c>
      <c r="L47" s="41"/>
    </row>
    <row r="48" spans="1:12" ht="13.8" x14ac:dyDescent="0.25">
      <c r="C48" s="266"/>
      <c r="D48" s="265"/>
      <c r="E48" s="24"/>
      <c r="F48" s="24"/>
      <c r="G48" s="79"/>
      <c r="H48" s="79"/>
      <c r="I48" s="79"/>
      <c r="J48" s="79"/>
    </row>
    <row r="49" spans="3:10" ht="13.8" x14ac:dyDescent="0.25">
      <c r="C49" s="266"/>
      <c r="D49" s="265"/>
      <c r="E49" s="24"/>
      <c r="F49" s="24"/>
      <c r="G49" s="79"/>
      <c r="H49" s="79"/>
      <c r="I49" s="79"/>
      <c r="J49" s="79"/>
    </row>
    <row r="50" spans="3:10" ht="13.8" x14ac:dyDescent="0.25">
      <c r="C50" s="266"/>
      <c r="D50" s="265"/>
      <c r="E50" s="24"/>
      <c r="F50" s="24"/>
      <c r="G50" s="79"/>
      <c r="H50" s="79"/>
      <c r="I50" s="79"/>
      <c r="J50" s="79"/>
    </row>
    <row r="51" spans="3:10" ht="13.8" x14ac:dyDescent="0.25">
      <c r="C51" s="265"/>
      <c r="D51" s="265"/>
      <c r="E51" s="24"/>
      <c r="F51" s="24"/>
      <c r="G51" s="79"/>
      <c r="H51" s="79"/>
      <c r="I51" s="79"/>
      <c r="J51" s="79"/>
    </row>
    <row r="52" spans="3:10" ht="13.8" x14ac:dyDescent="0.25">
      <c r="C52" s="266"/>
      <c r="D52" s="265"/>
      <c r="E52" s="24"/>
      <c r="F52" s="24"/>
      <c r="G52" s="79"/>
      <c r="H52" s="79"/>
      <c r="I52" s="79"/>
      <c r="J52" s="79"/>
    </row>
    <row r="53" spans="3:10" ht="13.8" x14ac:dyDescent="0.25">
      <c r="C53" s="266"/>
      <c r="D53" s="265"/>
      <c r="E53" s="24"/>
      <c r="F53" s="24"/>
      <c r="G53" s="79"/>
      <c r="H53" s="79"/>
      <c r="I53" s="79"/>
      <c r="J53" s="79"/>
    </row>
    <row r="54" spans="3:10" ht="13.8" x14ac:dyDescent="0.25">
      <c r="C54" s="266"/>
      <c r="D54" s="265"/>
      <c r="E54" s="24"/>
      <c r="F54" s="24"/>
      <c r="G54" s="79"/>
      <c r="H54" s="79"/>
      <c r="I54" s="79"/>
      <c r="J54" s="79"/>
    </row>
    <row r="55" spans="3:10" ht="13.8" x14ac:dyDescent="0.25">
      <c r="C55" s="266"/>
      <c r="D55" s="265"/>
      <c r="E55" s="24"/>
      <c r="F55" s="24"/>
      <c r="G55" s="79"/>
      <c r="H55" s="79"/>
      <c r="I55" s="79"/>
      <c r="J55" s="79"/>
    </row>
    <row r="56" spans="3:10" ht="13.8" x14ac:dyDescent="0.25">
      <c r="C56" s="266"/>
      <c r="D56" s="265"/>
      <c r="E56" s="24"/>
      <c r="F56" s="24"/>
      <c r="G56" s="79"/>
      <c r="H56" s="79"/>
      <c r="I56" s="79"/>
      <c r="J56" s="79"/>
    </row>
    <row r="57" spans="3:10" ht="13.8" x14ac:dyDescent="0.25">
      <c r="C57" s="266"/>
      <c r="D57" s="265"/>
      <c r="E57" s="24"/>
      <c r="F57" s="24"/>
      <c r="G57" s="79"/>
      <c r="H57" s="79"/>
      <c r="I57" s="79"/>
      <c r="J57" s="79"/>
    </row>
    <row r="58" spans="3:10" ht="13.8" x14ac:dyDescent="0.25">
      <c r="C58" s="265"/>
      <c r="D58" s="265"/>
      <c r="E58" s="24"/>
      <c r="F58" s="24"/>
      <c r="G58" s="79"/>
      <c r="H58" s="79"/>
      <c r="I58" s="79"/>
      <c r="J58" s="79"/>
    </row>
    <row r="59" spans="3:10" ht="13.8" x14ac:dyDescent="0.25">
      <c r="C59" s="266"/>
      <c r="D59" s="265"/>
      <c r="E59" s="24"/>
      <c r="F59" s="24"/>
      <c r="G59" s="79"/>
      <c r="H59" s="79"/>
      <c r="I59" s="79"/>
      <c r="J59" s="79"/>
    </row>
    <row r="60" spans="3:10" ht="13.8" x14ac:dyDescent="0.25">
      <c r="C60" s="266"/>
      <c r="D60" s="265"/>
      <c r="E60" s="24"/>
      <c r="F60" s="24"/>
      <c r="G60" s="79"/>
      <c r="H60" s="79"/>
      <c r="I60" s="79"/>
      <c r="J60" s="79"/>
    </row>
    <row r="61" spans="3:10" ht="13.8" x14ac:dyDescent="0.25">
      <c r="C61" s="266"/>
      <c r="D61" s="265"/>
      <c r="E61" s="24"/>
      <c r="F61" s="24"/>
      <c r="G61" s="79"/>
      <c r="H61" s="79"/>
      <c r="I61" s="79"/>
      <c r="J61" s="79"/>
    </row>
    <row r="62" spans="3:10" ht="13.8" x14ac:dyDescent="0.25">
      <c r="C62" s="266"/>
      <c r="D62" s="265"/>
      <c r="E62" s="24"/>
      <c r="F62" s="24"/>
      <c r="G62" s="79"/>
      <c r="H62" s="79"/>
      <c r="I62" s="79"/>
      <c r="J62" s="79"/>
    </row>
    <row r="63" spans="3:10" ht="13.8" x14ac:dyDescent="0.25">
      <c r="C63" s="266"/>
      <c r="D63" s="265"/>
      <c r="E63" s="24"/>
      <c r="F63" s="24"/>
      <c r="G63" s="79"/>
      <c r="H63" s="79"/>
      <c r="I63" s="79"/>
      <c r="J63" s="79"/>
    </row>
    <row r="64" spans="3:10" x14ac:dyDescent="0.25">
      <c r="G64" s="267"/>
      <c r="H64" s="267"/>
      <c r="I64" s="267"/>
      <c r="J64" s="267"/>
    </row>
    <row r="65" spans="7:10" x14ac:dyDescent="0.25">
      <c r="G65" s="267"/>
      <c r="H65" s="267"/>
      <c r="I65" s="267"/>
      <c r="J65" s="267"/>
    </row>
    <row r="66" spans="7:10" x14ac:dyDescent="0.25"/>
    <row r="67" spans="7:10" x14ac:dyDescent="0.25"/>
    <row r="68" spans="7:10" x14ac:dyDescent="0.25"/>
    <row r="69" spans="7:10" x14ac:dyDescent="0.25"/>
    <row r="70" spans="7:10" x14ac:dyDescent="0.25"/>
    <row r="71" spans="7:10" x14ac:dyDescent="0.25"/>
    <row r="72" spans="7:10" x14ac:dyDescent="0.25"/>
    <row r="73" spans="7:10" x14ac:dyDescent="0.25"/>
    <row r="74" spans="7:10" x14ac:dyDescent="0.25"/>
    <row r="75" spans="7:10" x14ac:dyDescent="0.25"/>
    <row r="76" spans="7:10" x14ac:dyDescent="0.25"/>
    <row r="77" spans="7:10" x14ac:dyDescent="0.25"/>
    <row r="78" spans="7:10" x14ac:dyDescent="0.25"/>
    <row r="79" spans="7:10" x14ac:dyDescent="0.25"/>
    <row r="80" spans="7:1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s="80" customFormat="1" hidden="1" x14ac:dyDescent="0.25"/>
  </sheetData>
  <autoFilter ref="A2:J63" xr:uid="{AE11C4DE-8824-4B63-900B-E6AC6CBB45F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2747-3BC3-43C9-A39B-D64E974A2464}">
  <dimension ref="A1:I62"/>
  <sheetViews>
    <sheetView showGridLines="0" zoomScale="115" zoomScaleNormal="115" workbookViewId="0">
      <pane ySplit="3" topLeftCell="A24" activePane="bottomLeft" state="frozen"/>
      <selection pane="bottomLeft" activeCell="H27" sqref="H27"/>
    </sheetView>
  </sheetViews>
  <sheetFormatPr defaultRowHeight="13.2" x14ac:dyDescent="0.25"/>
  <cols>
    <col min="1" max="1" width="19.6640625" bestFit="1" customWidth="1"/>
    <col min="2" max="2" width="19.5546875" bestFit="1" customWidth="1"/>
    <col min="3" max="3" width="36.33203125" bestFit="1" customWidth="1"/>
    <col min="4" max="4" width="11.88671875" bestFit="1" customWidth="1"/>
    <col min="5" max="5" width="32.44140625" bestFit="1" customWidth="1"/>
    <col min="6" max="6" width="21.109375" bestFit="1" customWidth="1"/>
    <col min="7" max="7" width="22.6640625" bestFit="1" customWidth="1"/>
    <col min="8" max="8" width="9.44140625" bestFit="1" customWidth="1"/>
  </cols>
  <sheetData>
    <row r="1" spans="1:9" x14ac:dyDescent="0.25">
      <c r="B1" s="61" t="s">
        <v>2851</v>
      </c>
      <c r="C1" s="61" t="s">
        <v>2851</v>
      </c>
      <c r="D1" s="61" t="s">
        <v>2851</v>
      </c>
      <c r="E1" s="61" t="s">
        <v>2851</v>
      </c>
      <c r="F1" s="61" t="s">
        <v>2851</v>
      </c>
    </row>
    <row r="2" spans="1:9" x14ac:dyDescent="0.25">
      <c r="H2" s="70">
        <f>SUMIFS('Working-T05-B1'!$O$8:$O$150,'Working-T05-B1'!$C$8:$C$150,$A2,'Working-T05-B1'!$H$8:$H$150,$F2)</f>
        <v>0</v>
      </c>
    </row>
    <row r="3" spans="1:9" x14ac:dyDescent="0.25">
      <c r="A3" s="11" t="s">
        <v>2846</v>
      </c>
      <c r="B3" s="11" t="s">
        <v>71</v>
      </c>
      <c r="C3" s="11" t="s">
        <v>73</v>
      </c>
      <c r="D3" s="11" t="s">
        <v>171</v>
      </c>
      <c r="E3" s="11" t="s">
        <v>266</v>
      </c>
      <c r="F3" s="11" t="s">
        <v>2522</v>
      </c>
      <c r="G3" t="s">
        <v>2056</v>
      </c>
    </row>
    <row r="4" spans="1:9" x14ac:dyDescent="0.25">
      <c r="A4" t="s">
        <v>2829</v>
      </c>
      <c r="B4" t="s">
        <v>8</v>
      </c>
      <c r="C4" t="s">
        <v>2429</v>
      </c>
      <c r="D4" t="s">
        <v>309</v>
      </c>
      <c r="E4" t="s">
        <v>310</v>
      </c>
      <c r="F4" t="s">
        <v>2579</v>
      </c>
      <c r="G4" s="12">
        <v>-5500</v>
      </c>
      <c r="H4" s="18">
        <f>SUMIFS('Working-T05-B1'!$O$8:$O$150,'Working-T05-B1'!$C$8:$C$150,$A4,'Working-T05-B1'!$H$8:$H$150,$F4)</f>
        <v>0</v>
      </c>
      <c r="I4" s="12">
        <f>SUM(G4:H4)</f>
        <v>-5500</v>
      </c>
    </row>
    <row r="5" spans="1:9" x14ac:dyDescent="0.25">
      <c r="A5" t="s">
        <v>2836</v>
      </c>
      <c r="B5" t="s">
        <v>2354</v>
      </c>
      <c r="C5" t="s">
        <v>2355</v>
      </c>
      <c r="D5" t="s">
        <v>36</v>
      </c>
      <c r="E5" t="s">
        <v>412</v>
      </c>
      <c r="F5" t="s">
        <v>2587</v>
      </c>
      <c r="G5" s="12">
        <v>-11000</v>
      </c>
      <c r="H5" s="18">
        <f>SUMIFS('Working-T05-B1'!$O$8:$O$150,'Working-T05-B1'!$C$8:$C$150,$A5,'Working-T05-B1'!$H$8:$H$150,$F5)</f>
        <v>0</v>
      </c>
      <c r="I5" s="12">
        <f t="shared" ref="I5:I61" si="0">SUM(G5:H5)</f>
        <v>-11000</v>
      </c>
    </row>
    <row r="6" spans="1:9" x14ac:dyDescent="0.25">
      <c r="A6" t="s">
        <v>2807</v>
      </c>
      <c r="B6" t="s">
        <v>2047</v>
      </c>
      <c r="C6" t="s">
        <v>2048</v>
      </c>
      <c r="D6" t="s">
        <v>301</v>
      </c>
      <c r="E6" t="s">
        <v>302</v>
      </c>
      <c r="F6" t="s">
        <v>2551</v>
      </c>
      <c r="G6" s="12">
        <v>-440000</v>
      </c>
      <c r="H6" s="18">
        <f>SUMIFS('Working-T05-B1'!$O$8:$O$150,'Working-T05-B1'!$C$8:$C$150,$A6,'Working-T05-B1'!$H$8:$H$150,$F6)</f>
        <v>0</v>
      </c>
      <c r="I6" s="12">
        <f t="shared" si="0"/>
        <v>-440000</v>
      </c>
    </row>
    <row r="7" spans="1:9" x14ac:dyDescent="0.25">
      <c r="A7" t="s">
        <v>2807</v>
      </c>
      <c r="B7" t="s">
        <v>2047</v>
      </c>
      <c r="C7" t="s">
        <v>2048</v>
      </c>
      <c r="D7" t="s">
        <v>301</v>
      </c>
      <c r="E7" t="s">
        <v>302</v>
      </c>
      <c r="F7" t="s">
        <v>2568</v>
      </c>
      <c r="G7" s="12">
        <v>-95700</v>
      </c>
      <c r="H7" s="18">
        <f>SUMIFS('Working-T05-B1'!$O$8:$O$150,'Working-T05-B1'!$C$8:$C$150,$A7,'Working-T05-B1'!$H$8:$H$150,$F7)</f>
        <v>0</v>
      </c>
      <c r="I7" s="12">
        <f t="shared" si="0"/>
        <v>-95700</v>
      </c>
    </row>
    <row r="8" spans="1:9" x14ac:dyDescent="0.25">
      <c r="A8" t="s">
        <v>2798</v>
      </c>
      <c r="B8" t="s">
        <v>42</v>
      </c>
      <c r="C8" t="s">
        <v>43</v>
      </c>
      <c r="D8" t="s">
        <v>33</v>
      </c>
      <c r="E8" t="s">
        <v>296</v>
      </c>
      <c r="F8" t="s">
        <v>2539</v>
      </c>
      <c r="G8" s="12">
        <v>-22000</v>
      </c>
      <c r="H8" s="18">
        <f>SUMIFS('Working-T05-B1'!$O$8:$O$150,'Working-T05-B1'!$C$8:$C$150,$A8,'Working-T05-B1'!$H$8:$H$150,$F8)</f>
        <v>0</v>
      </c>
      <c r="I8" s="12">
        <f t="shared" si="0"/>
        <v>-22000</v>
      </c>
    </row>
    <row r="9" spans="1:9" x14ac:dyDescent="0.25">
      <c r="A9" t="s">
        <v>2798</v>
      </c>
      <c r="B9" t="s">
        <v>42</v>
      </c>
      <c r="C9" t="s">
        <v>43</v>
      </c>
      <c r="D9" t="s">
        <v>33</v>
      </c>
      <c r="E9" t="s">
        <v>296</v>
      </c>
      <c r="F9" t="s">
        <v>2578</v>
      </c>
      <c r="G9" s="12">
        <v>-88000</v>
      </c>
      <c r="H9" s="18">
        <f>SUMIFS('Working-T05-B1'!$O$8:$O$150,'Working-T05-B1'!$C$8:$C$150,$A9,'Working-T05-B1'!$H$8:$H$150,$F9)</f>
        <v>0</v>
      </c>
      <c r="I9" s="12">
        <f t="shared" si="0"/>
        <v>-88000</v>
      </c>
    </row>
    <row r="10" spans="1:9" x14ac:dyDescent="0.25">
      <c r="A10" t="s">
        <v>2793</v>
      </c>
      <c r="B10" t="s">
        <v>2479</v>
      </c>
      <c r="C10" t="s">
        <v>2480</v>
      </c>
      <c r="D10" t="s">
        <v>273</v>
      </c>
      <c r="E10" t="s">
        <v>274</v>
      </c>
      <c r="F10" t="s">
        <v>2531</v>
      </c>
      <c r="G10" s="12">
        <v>-11000</v>
      </c>
      <c r="H10" s="18">
        <f>SUMIFS('Working-T05-B1'!$O$8:$O$150,'Working-T05-B1'!$C$8:$C$150,$A10,'Working-T05-B1'!$H$8:$H$150,$F10)</f>
        <v>0</v>
      </c>
      <c r="I10" s="12">
        <f t="shared" si="0"/>
        <v>-11000</v>
      </c>
    </row>
    <row r="11" spans="1:9" x14ac:dyDescent="0.25">
      <c r="A11" t="s">
        <v>2833</v>
      </c>
      <c r="B11" t="s">
        <v>2058</v>
      </c>
      <c r="C11" t="s">
        <v>2059</v>
      </c>
      <c r="D11" t="s">
        <v>32</v>
      </c>
      <c r="E11" t="s">
        <v>279</v>
      </c>
      <c r="F11" t="s">
        <v>2583</v>
      </c>
      <c r="G11" s="12">
        <v>-22000</v>
      </c>
      <c r="H11" s="18">
        <f>SUMIFS('Working-T05-B1'!$O$8:$O$150,'Working-T05-B1'!$C$8:$C$150,$A11,'Working-T05-B1'!$H$8:$H$150,$F11)</f>
        <v>0</v>
      </c>
      <c r="I11" s="12">
        <f t="shared" si="0"/>
        <v>-22000</v>
      </c>
    </row>
    <row r="12" spans="1:9" x14ac:dyDescent="0.25">
      <c r="A12" t="s">
        <v>2841</v>
      </c>
      <c r="B12" t="s">
        <v>2438</v>
      </c>
      <c r="C12" t="s">
        <v>2439</v>
      </c>
      <c r="D12" t="s">
        <v>50</v>
      </c>
      <c r="E12" t="s">
        <v>704</v>
      </c>
      <c r="F12" t="s">
        <v>2592</v>
      </c>
      <c r="G12" s="12">
        <v>-1375</v>
      </c>
      <c r="H12" s="18">
        <f>SUMIFS('Working-T05-B1'!$O$8:$O$150,'Working-T05-B1'!$C$8:$C$150,$A12,'Working-T05-B1'!$H$8:$H$150,$F12)</f>
        <v>0</v>
      </c>
      <c r="I12" s="12">
        <f t="shared" si="0"/>
        <v>-1375</v>
      </c>
    </row>
    <row r="13" spans="1:9" x14ac:dyDescent="0.25">
      <c r="A13" t="s">
        <v>2821</v>
      </c>
      <c r="B13" t="s">
        <v>258</v>
      </c>
      <c r="C13" t="s">
        <v>259</v>
      </c>
      <c r="D13" t="s">
        <v>32</v>
      </c>
      <c r="E13" t="s">
        <v>279</v>
      </c>
      <c r="F13" t="s">
        <v>2569</v>
      </c>
      <c r="G13" s="12">
        <v>-198000</v>
      </c>
      <c r="H13" s="18">
        <f>SUMIFS('Working-T05-B1'!$O$8:$O$150,'Working-T05-B1'!$C$8:$C$150,$A13,'Working-T05-B1'!$H$8:$H$150,$F13)</f>
        <v>0</v>
      </c>
      <c r="I13" s="12">
        <f t="shared" si="0"/>
        <v>-198000</v>
      </c>
    </row>
    <row r="14" spans="1:9" x14ac:dyDescent="0.25">
      <c r="A14" t="s">
        <v>2787</v>
      </c>
      <c r="B14" t="s">
        <v>34</v>
      </c>
      <c r="C14" t="s">
        <v>35</v>
      </c>
      <c r="D14" t="s">
        <v>38</v>
      </c>
      <c r="E14" t="s">
        <v>288</v>
      </c>
      <c r="F14" t="s">
        <v>2535</v>
      </c>
      <c r="G14" s="12">
        <v>-11000</v>
      </c>
      <c r="H14" s="18">
        <f>SUMIFS('Working-T05-B1'!$O$8:$O$150,'Working-T05-B1'!$C$8:$C$150,$A14,'Working-T05-B1'!$H$8:$H$150,$F14)</f>
        <v>0</v>
      </c>
      <c r="I14" s="12">
        <f t="shared" si="0"/>
        <v>-11000</v>
      </c>
    </row>
    <row r="15" spans="1:9" x14ac:dyDescent="0.25">
      <c r="A15" t="s">
        <v>2787</v>
      </c>
      <c r="B15" t="s">
        <v>34</v>
      </c>
      <c r="C15" t="s">
        <v>35</v>
      </c>
      <c r="D15" t="s">
        <v>38</v>
      </c>
      <c r="E15" t="s">
        <v>288</v>
      </c>
      <c r="F15" t="s">
        <v>2555</v>
      </c>
      <c r="G15" s="12">
        <v>-22000</v>
      </c>
      <c r="H15" s="18">
        <f>SUMIFS('Working-T05-B1'!$O$8:$O$150,'Working-T05-B1'!$C$8:$C$150,$A15,'Working-T05-B1'!$H$8:$H$150,$F15)</f>
        <v>0</v>
      </c>
      <c r="I15" s="12">
        <f t="shared" si="0"/>
        <v>-22000</v>
      </c>
    </row>
    <row r="16" spans="1:9" x14ac:dyDescent="0.25">
      <c r="A16" t="s">
        <v>2787</v>
      </c>
      <c r="B16" t="s">
        <v>34</v>
      </c>
      <c r="C16" t="s">
        <v>35</v>
      </c>
      <c r="D16" t="s">
        <v>38</v>
      </c>
      <c r="E16" t="s">
        <v>288</v>
      </c>
      <c r="F16" t="s">
        <v>2556</v>
      </c>
      <c r="G16" s="12">
        <v>-22000</v>
      </c>
      <c r="H16" s="18">
        <f>SUMIFS('Working-T05-B1'!$O$8:$O$150,'Working-T05-B1'!$C$8:$C$150,$A16,'Working-T05-B1'!$H$8:$H$150,$F16)</f>
        <v>0</v>
      </c>
      <c r="I16" s="12">
        <f t="shared" si="0"/>
        <v>-22000</v>
      </c>
    </row>
    <row r="17" spans="1:9" x14ac:dyDescent="0.25">
      <c r="A17" t="s">
        <v>2811</v>
      </c>
      <c r="B17" t="s">
        <v>34</v>
      </c>
      <c r="C17" t="s">
        <v>35</v>
      </c>
      <c r="D17" t="s">
        <v>261</v>
      </c>
      <c r="E17" t="s">
        <v>805</v>
      </c>
      <c r="F17" t="s">
        <v>2554</v>
      </c>
      <c r="G17" s="12">
        <v>-33000</v>
      </c>
      <c r="H17" s="18">
        <f>SUMIFS('Working-T05-B1'!$O$8:$O$150,'Working-T05-B1'!$C$8:$C$150,$A17,'Working-T05-B1'!$H$8:$H$150,$F17)</f>
        <v>0</v>
      </c>
      <c r="I17" s="12">
        <f t="shared" si="0"/>
        <v>-33000</v>
      </c>
    </row>
    <row r="18" spans="1:9" x14ac:dyDescent="0.25">
      <c r="A18" t="s">
        <v>2794</v>
      </c>
      <c r="B18" t="s">
        <v>2024</v>
      </c>
      <c r="C18" t="s">
        <v>2025</v>
      </c>
      <c r="D18" t="s">
        <v>33</v>
      </c>
      <c r="E18" t="s">
        <v>296</v>
      </c>
      <c r="F18" t="s">
        <v>2547</v>
      </c>
      <c r="G18" s="12">
        <v>-5500</v>
      </c>
      <c r="H18" s="18">
        <f>SUMIFS('Working-T05-B1'!$O$8:$O$150,'Working-T05-B1'!$C$8:$C$150,$A18,'Working-T05-B1'!$H$8:$H$150,$F18)</f>
        <v>0</v>
      </c>
      <c r="I18" s="12">
        <f t="shared" si="0"/>
        <v>-5500</v>
      </c>
    </row>
    <row r="19" spans="1:9" x14ac:dyDescent="0.25">
      <c r="A19" t="s">
        <v>2788</v>
      </c>
      <c r="B19" t="s">
        <v>2022</v>
      </c>
      <c r="C19" t="s">
        <v>2023</v>
      </c>
      <c r="D19" t="s">
        <v>32</v>
      </c>
      <c r="E19" t="s">
        <v>279</v>
      </c>
      <c r="F19" t="s">
        <v>2560</v>
      </c>
      <c r="G19" s="12">
        <v>-88000</v>
      </c>
      <c r="H19" s="18">
        <f>SUMIFS('Working-T05-B1'!$O$8:$O$150,'Working-T05-B1'!$C$8:$C$150,$A19,'Working-T05-B1'!$H$8:$H$150,$F19)</f>
        <v>0</v>
      </c>
      <c r="I19" s="12">
        <f t="shared" si="0"/>
        <v>-88000</v>
      </c>
    </row>
    <row r="20" spans="1:9" x14ac:dyDescent="0.25">
      <c r="A20" t="s">
        <v>2806</v>
      </c>
      <c r="B20" t="s">
        <v>45</v>
      </c>
      <c r="C20" t="s">
        <v>46</v>
      </c>
      <c r="D20" t="s">
        <v>33</v>
      </c>
      <c r="E20" t="s">
        <v>296</v>
      </c>
      <c r="F20" t="s">
        <v>2549</v>
      </c>
      <c r="G20" s="12">
        <v>-22000</v>
      </c>
      <c r="H20" s="18">
        <f>SUMIFS('Working-T05-B1'!$O$8:$O$150,'Working-T05-B1'!$C$8:$C$150,$A20,'Working-T05-B1'!$H$8:$H$150,$F20)</f>
        <v>0</v>
      </c>
      <c r="I20" s="12">
        <f t="shared" si="0"/>
        <v>-22000</v>
      </c>
    </row>
    <row r="21" spans="1:9" x14ac:dyDescent="0.25">
      <c r="A21" t="s">
        <v>2806</v>
      </c>
      <c r="B21" t="s">
        <v>45</v>
      </c>
      <c r="C21" t="s">
        <v>46</v>
      </c>
      <c r="D21" t="s">
        <v>33</v>
      </c>
      <c r="E21" t="s">
        <v>296</v>
      </c>
      <c r="F21" t="s">
        <v>2550</v>
      </c>
      <c r="G21" s="12">
        <v>-11000</v>
      </c>
      <c r="H21" s="18">
        <f>SUMIFS('Working-T05-B1'!$O$8:$O$150,'Working-T05-B1'!$C$8:$C$150,$A21,'Working-T05-B1'!$H$8:$H$150,$F21)</f>
        <v>0</v>
      </c>
      <c r="I21" s="12">
        <f t="shared" si="0"/>
        <v>-11000</v>
      </c>
    </row>
    <row r="22" spans="1:9" x14ac:dyDescent="0.25">
      <c r="A22" t="s">
        <v>2805</v>
      </c>
      <c r="B22" t="s">
        <v>2034</v>
      </c>
      <c r="C22" t="s">
        <v>2035</v>
      </c>
      <c r="D22" t="s">
        <v>37</v>
      </c>
      <c r="E22" t="s">
        <v>298</v>
      </c>
      <c r="F22" t="s">
        <v>2546</v>
      </c>
      <c r="G22" s="12">
        <v>-15400</v>
      </c>
      <c r="H22" s="18">
        <f>SUMIFS('Working-T05-B1'!$O$8:$O$150,'Working-T05-B1'!$C$8:$C$150,$A22,'Working-T05-B1'!$H$8:$H$150,$F22)</f>
        <v>0</v>
      </c>
      <c r="I22" s="12">
        <f t="shared" si="0"/>
        <v>-15400</v>
      </c>
    </row>
    <row r="23" spans="1:9" x14ac:dyDescent="0.25">
      <c r="A23" t="s">
        <v>2847</v>
      </c>
      <c r="B23" t="s">
        <v>2036</v>
      </c>
      <c r="C23" t="s">
        <v>2037</v>
      </c>
      <c r="D23" t="s">
        <v>61</v>
      </c>
      <c r="E23" t="s">
        <v>784</v>
      </c>
      <c r="F23" t="s">
        <v>2643</v>
      </c>
      <c r="G23" s="12">
        <v>-2330</v>
      </c>
      <c r="H23" s="18">
        <f>SUMIFS('Working-T05-B1'!$O$8:$O$150,'Working-T05-B1'!$C$8:$C$150,$A23,'Working-T05-B1'!$H$8:$H$150,$F23)</f>
        <v>0</v>
      </c>
      <c r="I23" s="12">
        <f t="shared" si="0"/>
        <v>-2330</v>
      </c>
    </row>
    <row r="24" spans="1:9" x14ac:dyDescent="0.25">
      <c r="A24" t="s">
        <v>2847</v>
      </c>
      <c r="B24" t="s">
        <v>2036</v>
      </c>
      <c r="C24" t="s">
        <v>2037</v>
      </c>
      <c r="D24" t="s">
        <v>61</v>
      </c>
      <c r="E24" t="s">
        <v>784</v>
      </c>
      <c r="F24" t="s">
        <v>2645</v>
      </c>
      <c r="G24" s="12">
        <v>-2360</v>
      </c>
      <c r="H24" s="18">
        <f>SUMIFS('Working-T05-B1'!$O$8:$O$150,'Working-T05-B1'!$C$8:$C$150,$A24,'Working-T05-B1'!$H$8:$H$150,$F24)</f>
        <v>0</v>
      </c>
      <c r="I24" s="12">
        <f t="shared" si="0"/>
        <v>-2360</v>
      </c>
    </row>
    <row r="25" spans="1:9" x14ac:dyDescent="0.25">
      <c r="A25" t="s">
        <v>2847</v>
      </c>
      <c r="B25" t="s">
        <v>2036</v>
      </c>
      <c r="C25" t="s">
        <v>2037</v>
      </c>
      <c r="D25" t="s">
        <v>61</v>
      </c>
      <c r="E25" t="s">
        <v>784</v>
      </c>
      <c r="F25" t="s">
        <v>2646</v>
      </c>
      <c r="G25" s="12">
        <v>-2200</v>
      </c>
      <c r="H25" s="18">
        <f>SUMIFS('Working-T05-B1'!$O$8:$O$150,'Working-T05-B1'!$C$8:$C$150,$A25,'Working-T05-B1'!$H$8:$H$150,$F25)</f>
        <v>0</v>
      </c>
      <c r="I25" s="12">
        <f t="shared" si="0"/>
        <v>-2200</v>
      </c>
    </row>
    <row r="26" spans="1:9" x14ac:dyDescent="0.25">
      <c r="A26" t="s">
        <v>2847</v>
      </c>
      <c r="B26" t="s">
        <v>2036</v>
      </c>
      <c r="C26" t="s">
        <v>2037</v>
      </c>
      <c r="D26" t="s">
        <v>61</v>
      </c>
      <c r="E26" t="s">
        <v>784</v>
      </c>
      <c r="F26" t="s">
        <v>2647</v>
      </c>
      <c r="G26" s="12">
        <v>-2290</v>
      </c>
      <c r="H26" s="18">
        <f>SUMIFS('Working-T05-B1'!$O$8:$O$150,'Working-T05-B1'!$C$8:$C$150,$A26,'Working-T05-B1'!$H$8:$H$150,$F26)</f>
        <v>0</v>
      </c>
      <c r="I26" s="12">
        <f t="shared" si="0"/>
        <v>-2290</v>
      </c>
    </row>
    <row r="27" spans="1:9" x14ac:dyDescent="0.25">
      <c r="A27" t="s">
        <v>2847</v>
      </c>
      <c r="B27" t="s">
        <v>2036</v>
      </c>
      <c r="C27" t="s">
        <v>2037</v>
      </c>
      <c r="D27" t="s">
        <v>61</v>
      </c>
      <c r="E27" t="s">
        <v>784</v>
      </c>
      <c r="F27" t="s">
        <v>2648</v>
      </c>
      <c r="G27" s="12">
        <v>-3620</v>
      </c>
      <c r="H27" s="18">
        <f>SUMIFS('Working-T05-B1'!$O$8:$O$150,'Working-T05-B1'!$C$8:$C$150,$A27,'Working-T05-B1'!$H$8:$H$150,$F27)</f>
        <v>0</v>
      </c>
      <c r="I27" s="12">
        <f t="shared" si="0"/>
        <v>-3620</v>
      </c>
    </row>
    <row r="28" spans="1:9" x14ac:dyDescent="0.25">
      <c r="A28" t="s">
        <v>2848</v>
      </c>
      <c r="B28" t="s">
        <v>2036</v>
      </c>
      <c r="C28" t="s">
        <v>2037</v>
      </c>
      <c r="D28" t="s">
        <v>62</v>
      </c>
      <c r="E28" t="s">
        <v>786</v>
      </c>
      <c r="F28" t="s">
        <v>2643</v>
      </c>
      <c r="G28" s="12">
        <v>-2550</v>
      </c>
      <c r="H28" s="18">
        <f>SUMIFS('Working-T05-B1'!$O$8:$O$150,'Working-T05-B1'!$C$8:$C$150,$A28,'Working-T05-B1'!$H$8:$H$150,$F28)</f>
        <v>0</v>
      </c>
      <c r="I28" s="12">
        <f t="shared" si="0"/>
        <v>-2550</v>
      </c>
    </row>
    <row r="29" spans="1:9" x14ac:dyDescent="0.25">
      <c r="A29" t="s">
        <v>2848</v>
      </c>
      <c r="B29" t="s">
        <v>2036</v>
      </c>
      <c r="C29" t="s">
        <v>2037</v>
      </c>
      <c r="D29" t="s">
        <v>62</v>
      </c>
      <c r="E29" t="s">
        <v>786</v>
      </c>
      <c r="F29" t="s">
        <v>2645</v>
      </c>
      <c r="G29" s="12">
        <v>-2660</v>
      </c>
      <c r="H29" s="18">
        <f>SUMIFS('Working-T05-B1'!$O$8:$O$150,'Working-T05-B1'!$C$8:$C$150,$A29,'Working-T05-B1'!$H$8:$H$150,$F29)</f>
        <v>0</v>
      </c>
      <c r="I29" s="12">
        <f t="shared" si="0"/>
        <v>-2660</v>
      </c>
    </row>
    <row r="30" spans="1:9" x14ac:dyDescent="0.25">
      <c r="A30" t="s">
        <v>2848</v>
      </c>
      <c r="B30" t="s">
        <v>2036</v>
      </c>
      <c r="C30" t="s">
        <v>2037</v>
      </c>
      <c r="D30" t="s">
        <v>62</v>
      </c>
      <c r="E30" t="s">
        <v>786</v>
      </c>
      <c r="F30" t="s">
        <v>2646</v>
      </c>
      <c r="G30" s="12">
        <v>-2190</v>
      </c>
      <c r="H30" s="18">
        <f>SUMIFS('Working-T05-B1'!$O$8:$O$150,'Working-T05-B1'!$C$8:$C$150,$A30,'Working-T05-B1'!$H$8:$H$150,$F30)</f>
        <v>0</v>
      </c>
      <c r="I30" s="12">
        <f t="shared" si="0"/>
        <v>-2190</v>
      </c>
    </row>
    <row r="31" spans="1:9" x14ac:dyDescent="0.25">
      <c r="A31" t="s">
        <v>2848</v>
      </c>
      <c r="B31" t="s">
        <v>2036</v>
      </c>
      <c r="C31" t="s">
        <v>2037</v>
      </c>
      <c r="D31" t="s">
        <v>62</v>
      </c>
      <c r="E31" t="s">
        <v>786</v>
      </c>
      <c r="F31" t="s">
        <v>2647</v>
      </c>
      <c r="G31" s="12">
        <v>-2200</v>
      </c>
      <c r="H31" s="18">
        <f>SUMIFS('Working-T05-B1'!$O$8:$O$150,'Working-T05-B1'!$C$8:$C$150,$A31,'Working-T05-B1'!$H$8:$H$150,$F31)</f>
        <v>0</v>
      </c>
      <c r="I31" s="12">
        <f t="shared" si="0"/>
        <v>-2200</v>
      </c>
    </row>
    <row r="32" spans="1:9" x14ac:dyDescent="0.25">
      <c r="A32" t="s">
        <v>2848</v>
      </c>
      <c r="B32" t="s">
        <v>2036</v>
      </c>
      <c r="C32" t="s">
        <v>2037</v>
      </c>
      <c r="D32" t="s">
        <v>62</v>
      </c>
      <c r="E32" t="s">
        <v>786</v>
      </c>
      <c r="F32" t="s">
        <v>2648</v>
      </c>
      <c r="G32" s="12">
        <v>-3860</v>
      </c>
      <c r="H32" s="18">
        <f>SUMIFS('Working-T05-B1'!$O$8:$O$150,'Working-T05-B1'!$C$8:$C$150,$A32,'Working-T05-B1'!$H$8:$H$150,$F32)</f>
        <v>0</v>
      </c>
      <c r="I32" s="12">
        <f t="shared" si="0"/>
        <v>-3860</v>
      </c>
    </row>
    <row r="33" spans="1:9" x14ac:dyDescent="0.25">
      <c r="A33" t="s">
        <v>2849</v>
      </c>
      <c r="B33" t="s">
        <v>2036</v>
      </c>
      <c r="C33" t="s">
        <v>2037</v>
      </c>
      <c r="D33" t="s">
        <v>63</v>
      </c>
      <c r="E33" t="s">
        <v>791</v>
      </c>
      <c r="F33" t="s">
        <v>2643</v>
      </c>
      <c r="G33" s="12">
        <v>-2930</v>
      </c>
      <c r="H33" s="18">
        <f>SUMIFS('Working-T05-B1'!$O$8:$O$150,'Working-T05-B1'!$C$8:$C$150,$A33,'Working-T05-B1'!$H$8:$H$150,$F33)</f>
        <v>0</v>
      </c>
      <c r="I33" s="12">
        <f t="shared" si="0"/>
        <v>-2930</v>
      </c>
    </row>
    <row r="34" spans="1:9" x14ac:dyDescent="0.25">
      <c r="A34" t="s">
        <v>2849</v>
      </c>
      <c r="B34" t="s">
        <v>2036</v>
      </c>
      <c r="C34" t="s">
        <v>2037</v>
      </c>
      <c r="D34" t="s">
        <v>63</v>
      </c>
      <c r="E34" t="s">
        <v>791</v>
      </c>
      <c r="F34" t="s">
        <v>2645</v>
      </c>
      <c r="G34" s="12">
        <v>-2360</v>
      </c>
      <c r="H34" s="18">
        <f>SUMIFS('Working-T05-B1'!$O$8:$O$150,'Working-T05-B1'!$C$8:$C$150,$A34,'Working-T05-B1'!$H$8:$H$150,$F34)</f>
        <v>0</v>
      </c>
      <c r="I34" s="12">
        <f t="shared" si="0"/>
        <v>-2360</v>
      </c>
    </row>
    <row r="35" spans="1:9" x14ac:dyDescent="0.25">
      <c r="A35" t="s">
        <v>2849</v>
      </c>
      <c r="B35" t="s">
        <v>2036</v>
      </c>
      <c r="C35" t="s">
        <v>2037</v>
      </c>
      <c r="D35" t="s">
        <v>63</v>
      </c>
      <c r="E35" t="s">
        <v>791</v>
      </c>
      <c r="F35" t="s">
        <v>2646</v>
      </c>
      <c r="G35" s="12">
        <v>-2650</v>
      </c>
      <c r="H35" s="18">
        <f>SUMIFS('Working-T05-B1'!$O$8:$O$150,'Working-T05-B1'!$C$8:$C$150,$A35,'Working-T05-B1'!$H$8:$H$150,$F35)</f>
        <v>0</v>
      </c>
      <c r="I35" s="12">
        <f t="shared" si="0"/>
        <v>-2650</v>
      </c>
    </row>
    <row r="36" spans="1:9" x14ac:dyDescent="0.25">
      <c r="A36" t="s">
        <v>2849</v>
      </c>
      <c r="B36" t="s">
        <v>2036</v>
      </c>
      <c r="C36" t="s">
        <v>2037</v>
      </c>
      <c r="D36" t="s">
        <v>63</v>
      </c>
      <c r="E36" t="s">
        <v>791</v>
      </c>
      <c r="F36" t="s">
        <v>2647</v>
      </c>
      <c r="G36" s="12">
        <v>-2360</v>
      </c>
      <c r="H36" s="18">
        <f>SUMIFS('Working-T05-B1'!$O$8:$O$150,'Working-T05-B1'!$C$8:$C$150,$A36,'Working-T05-B1'!$H$8:$H$150,$F36)</f>
        <v>0</v>
      </c>
      <c r="I36" s="12">
        <f t="shared" si="0"/>
        <v>-2360</v>
      </c>
    </row>
    <row r="37" spans="1:9" x14ac:dyDescent="0.25">
      <c r="A37" t="s">
        <v>2826</v>
      </c>
      <c r="B37" t="s">
        <v>2433</v>
      </c>
      <c r="C37" t="s">
        <v>2434</v>
      </c>
      <c r="D37" t="s">
        <v>301</v>
      </c>
      <c r="E37" t="s">
        <v>302</v>
      </c>
      <c r="F37" t="s">
        <v>2575</v>
      </c>
      <c r="G37" s="12">
        <v>-3300</v>
      </c>
      <c r="H37" s="18">
        <f>SUMIFS('Working-T05-B1'!$O$8:$O$150,'Working-T05-B1'!$C$8:$C$150,$A37,'Working-T05-B1'!$H$8:$H$150,$F37)</f>
        <v>0</v>
      </c>
      <c r="I37" s="12">
        <f t="shared" si="0"/>
        <v>-3300</v>
      </c>
    </row>
    <row r="38" spans="1:9" x14ac:dyDescent="0.25">
      <c r="A38" t="s">
        <v>2799</v>
      </c>
      <c r="B38" t="s">
        <v>48</v>
      </c>
      <c r="C38" t="s">
        <v>49</v>
      </c>
      <c r="D38" t="s">
        <v>50</v>
      </c>
      <c r="E38" t="s">
        <v>704</v>
      </c>
      <c r="F38" t="s">
        <v>2540</v>
      </c>
      <c r="G38" s="12">
        <v>-11000</v>
      </c>
      <c r="H38" s="18">
        <f>SUMIFS('Working-T05-B1'!$O$8:$O$150,'Working-T05-B1'!$C$8:$C$150,$A38,'Working-T05-B1'!$H$8:$H$150,$F38)</f>
        <v>0</v>
      </c>
      <c r="I38" s="12">
        <f t="shared" si="0"/>
        <v>-11000</v>
      </c>
    </row>
    <row r="39" spans="1:9" x14ac:dyDescent="0.25">
      <c r="A39" t="s">
        <v>2799</v>
      </c>
      <c r="B39" t="s">
        <v>48</v>
      </c>
      <c r="C39" t="s">
        <v>49</v>
      </c>
      <c r="D39" t="s">
        <v>50</v>
      </c>
      <c r="E39" t="s">
        <v>704</v>
      </c>
      <c r="F39" t="s">
        <v>2541</v>
      </c>
      <c r="G39" s="12">
        <v>-11000</v>
      </c>
      <c r="H39" s="18">
        <f>SUMIFS('Working-T05-B1'!$O$8:$O$150,'Working-T05-B1'!$C$8:$C$150,$A39,'Working-T05-B1'!$H$8:$H$150,$F39)</f>
        <v>0</v>
      </c>
      <c r="I39" s="12">
        <f t="shared" si="0"/>
        <v>-11000</v>
      </c>
    </row>
    <row r="40" spans="1:9" x14ac:dyDescent="0.25">
      <c r="A40" t="s">
        <v>2809</v>
      </c>
      <c r="B40" t="s">
        <v>2032</v>
      </c>
      <c r="C40" t="s">
        <v>2033</v>
      </c>
      <c r="D40" t="s">
        <v>700</v>
      </c>
      <c r="E40" t="s">
        <v>701</v>
      </c>
      <c r="F40" t="s">
        <v>2552</v>
      </c>
      <c r="G40" s="12">
        <v>-110800</v>
      </c>
      <c r="H40" s="18">
        <f>SUMIFS('Working-T05-B1'!$O$8:$O$150,'Working-T05-B1'!$C$8:$C$150,$A40,'Working-T05-B1'!$H$8:$H$150,$F40)</f>
        <v>0</v>
      </c>
      <c r="I40" s="12">
        <f t="shared" si="0"/>
        <v>-110800</v>
      </c>
    </row>
    <row r="41" spans="1:9" x14ac:dyDescent="0.25">
      <c r="A41" t="s">
        <v>2824</v>
      </c>
      <c r="B41" t="s">
        <v>55</v>
      </c>
      <c r="C41" t="s">
        <v>56</v>
      </c>
      <c r="D41" t="s">
        <v>262</v>
      </c>
      <c r="E41" t="s">
        <v>1643</v>
      </c>
      <c r="F41" t="s">
        <v>2573</v>
      </c>
      <c r="G41" s="12">
        <v>-500</v>
      </c>
      <c r="H41" s="18">
        <f>SUMIFS('Working-T05-B1'!$O$8:$O$150,'Working-T05-B1'!$C$8:$C$150,$A41,'Working-T05-B1'!$H$8:$H$150,$F41)</f>
        <v>0</v>
      </c>
      <c r="I41" s="12">
        <f t="shared" si="0"/>
        <v>-500</v>
      </c>
    </row>
    <row r="42" spans="1:9" x14ac:dyDescent="0.25">
      <c r="A42" t="s">
        <v>2824</v>
      </c>
      <c r="B42" t="s">
        <v>55</v>
      </c>
      <c r="C42" t="s">
        <v>56</v>
      </c>
      <c r="D42" t="s">
        <v>262</v>
      </c>
      <c r="E42" t="s">
        <v>1643</v>
      </c>
      <c r="F42" t="s">
        <v>2586</v>
      </c>
      <c r="G42" s="12">
        <v>-13734</v>
      </c>
      <c r="H42" s="18">
        <f>SUMIFS('Working-T05-B1'!$O$8:$O$150,'Working-T05-B1'!$C$8:$C$150,$A42,'Working-T05-B1'!$H$8:$H$150,$F42)</f>
        <v>0</v>
      </c>
      <c r="I42" s="12">
        <f t="shared" si="0"/>
        <v>-13734</v>
      </c>
    </row>
    <row r="43" spans="1:9" x14ac:dyDescent="0.25">
      <c r="A43" t="s">
        <v>2785</v>
      </c>
      <c r="B43" t="s">
        <v>57</v>
      </c>
      <c r="C43" t="s">
        <v>58</v>
      </c>
      <c r="D43" t="s">
        <v>309</v>
      </c>
      <c r="E43" t="s">
        <v>310</v>
      </c>
      <c r="F43" t="s">
        <v>2526</v>
      </c>
      <c r="G43" s="12">
        <v>-11000</v>
      </c>
      <c r="H43" s="18">
        <f>SUMIFS('Working-T05-B1'!$O$8:$O$150,'Working-T05-B1'!$C$8:$C$150,$A43,'Working-T05-B1'!$H$8:$H$150,$F43)</f>
        <v>0</v>
      </c>
      <c r="I43" s="12">
        <f t="shared" si="0"/>
        <v>-11000</v>
      </c>
    </row>
    <row r="44" spans="1:9" x14ac:dyDescent="0.25">
      <c r="A44" t="s">
        <v>2816</v>
      </c>
      <c r="B44" t="s">
        <v>57</v>
      </c>
      <c r="C44" t="s">
        <v>58</v>
      </c>
      <c r="D44" t="s">
        <v>47</v>
      </c>
      <c r="E44" t="s">
        <v>320</v>
      </c>
      <c r="F44" t="s">
        <v>2564</v>
      </c>
      <c r="G44" s="12">
        <v>-11000</v>
      </c>
      <c r="H44" s="18">
        <f>SUMIFS('Working-T05-B1'!$O$8:$O$150,'Working-T05-B1'!$C$8:$C$150,$A44,'Working-T05-B1'!$H$8:$H$150,$F44)</f>
        <v>0</v>
      </c>
      <c r="I44" s="12">
        <f t="shared" si="0"/>
        <v>-11000</v>
      </c>
    </row>
    <row r="45" spans="1:9" x14ac:dyDescent="0.25">
      <c r="A45" t="s">
        <v>2812</v>
      </c>
      <c r="B45" t="s">
        <v>51</v>
      </c>
      <c r="C45" t="s">
        <v>52</v>
      </c>
      <c r="D45" t="s">
        <v>53</v>
      </c>
      <c r="E45" t="s">
        <v>831</v>
      </c>
      <c r="F45" t="s">
        <v>2558</v>
      </c>
      <c r="G45" s="12">
        <v>-11000</v>
      </c>
      <c r="H45" s="18">
        <f>SUMIFS('Working-T05-B1'!$O$8:$O$150,'Working-T05-B1'!$C$8:$C$150,$A45,'Working-T05-B1'!$H$8:$H$150,$F45)</f>
        <v>0</v>
      </c>
      <c r="I45" s="12">
        <f t="shared" si="0"/>
        <v>-11000</v>
      </c>
    </row>
    <row r="46" spans="1:9" x14ac:dyDescent="0.25">
      <c r="A46" t="s">
        <v>2803</v>
      </c>
      <c r="B46" t="s">
        <v>2008</v>
      </c>
      <c r="C46" t="s">
        <v>2009</v>
      </c>
      <c r="D46" t="s">
        <v>33</v>
      </c>
      <c r="E46" t="s">
        <v>296</v>
      </c>
      <c r="F46" t="s">
        <v>2544</v>
      </c>
      <c r="G46" s="12">
        <v>-44000</v>
      </c>
      <c r="H46" s="18">
        <f>SUMIFS('Working-T05-B1'!$O$8:$O$150,'Working-T05-B1'!$C$8:$C$150,$A46,'Working-T05-B1'!$H$8:$H$150,$F46)</f>
        <v>0</v>
      </c>
      <c r="I46" s="12">
        <f t="shared" si="0"/>
        <v>-44000</v>
      </c>
    </row>
    <row r="47" spans="1:9" x14ac:dyDescent="0.25">
      <c r="A47" t="s">
        <v>2825</v>
      </c>
      <c r="B47" t="s">
        <v>2028</v>
      </c>
      <c r="C47" t="s">
        <v>2029</v>
      </c>
      <c r="D47" t="s">
        <v>1001</v>
      </c>
      <c r="E47" t="s">
        <v>1002</v>
      </c>
      <c r="F47" t="s">
        <v>2574</v>
      </c>
      <c r="G47" s="12">
        <v>-15000</v>
      </c>
      <c r="H47" s="18">
        <f>SUMIFS('Working-T05-B1'!$O$8:$O$150,'Working-T05-B1'!$C$8:$C$150,$A47,'Working-T05-B1'!$H$8:$H$150,$F47)</f>
        <v>0</v>
      </c>
      <c r="I47" s="12">
        <f t="shared" si="0"/>
        <v>-15000</v>
      </c>
    </row>
    <row r="48" spans="1:9" x14ac:dyDescent="0.25">
      <c r="A48" t="s">
        <v>2818</v>
      </c>
      <c r="B48" t="s">
        <v>2013</v>
      </c>
      <c r="C48" t="s">
        <v>2014</v>
      </c>
      <c r="D48" t="s">
        <v>2057</v>
      </c>
      <c r="E48" t="s">
        <v>2062</v>
      </c>
      <c r="F48" t="s">
        <v>2565</v>
      </c>
      <c r="G48" s="12">
        <v>-79377</v>
      </c>
      <c r="H48" s="18">
        <f>SUMIFS('Working-T05-B1'!$O$8:$O$150,'Working-T05-B1'!$C$8:$C$150,$A48,'Working-T05-B1'!$H$8:$H$150,$F48)</f>
        <v>0</v>
      </c>
      <c r="I48" s="12">
        <f t="shared" si="0"/>
        <v>-79377</v>
      </c>
    </row>
    <row r="49" spans="1:9" x14ac:dyDescent="0.25">
      <c r="A49" t="s">
        <v>2839</v>
      </c>
      <c r="B49" t="s">
        <v>2496</v>
      </c>
      <c r="C49" t="s">
        <v>2497</v>
      </c>
      <c r="D49" t="s">
        <v>262</v>
      </c>
      <c r="E49" t="s">
        <v>1643</v>
      </c>
      <c r="F49" t="s">
        <v>2590</v>
      </c>
      <c r="G49" s="12">
        <v>-3005</v>
      </c>
      <c r="H49" s="18">
        <f>SUMIFS('Working-T05-B1'!$O$8:$O$150,'Working-T05-B1'!$C$8:$C$150,$A49,'Working-T05-B1'!$H$8:$H$150,$F49)</f>
        <v>0</v>
      </c>
      <c r="I49" s="12">
        <f t="shared" si="0"/>
        <v>-3005</v>
      </c>
    </row>
    <row r="50" spans="1:9" x14ac:dyDescent="0.25">
      <c r="A50" t="s">
        <v>2838</v>
      </c>
      <c r="B50" t="s">
        <v>2496</v>
      </c>
      <c r="C50" t="s">
        <v>2497</v>
      </c>
      <c r="D50" t="s">
        <v>60</v>
      </c>
      <c r="E50" t="s">
        <v>1925</v>
      </c>
      <c r="F50" t="s">
        <v>2590</v>
      </c>
      <c r="G50" s="12">
        <v>-3003</v>
      </c>
      <c r="H50" s="18">
        <f>SUMIFS('Working-T05-B1'!$O$8:$O$150,'Working-T05-B1'!$C$8:$C$150,$A50,'Working-T05-B1'!$H$8:$H$150,$F50)</f>
        <v>0</v>
      </c>
      <c r="I50" s="12">
        <f t="shared" si="0"/>
        <v>-3003</v>
      </c>
    </row>
    <row r="51" spans="1:9" x14ac:dyDescent="0.25">
      <c r="A51" t="s">
        <v>2808</v>
      </c>
      <c r="B51" t="s">
        <v>2030</v>
      </c>
      <c r="C51" t="s">
        <v>2031</v>
      </c>
      <c r="D51" t="s">
        <v>33</v>
      </c>
      <c r="E51" t="s">
        <v>296</v>
      </c>
      <c r="F51" t="s">
        <v>2559</v>
      </c>
      <c r="G51" s="12">
        <v>-200</v>
      </c>
      <c r="H51" s="18">
        <f>SUMIFS('Working-T05-B1'!$O$8:$O$150,'Working-T05-B1'!$C$8:$C$150,$A51,'Working-T05-B1'!$H$8:$H$150,$F51)</f>
        <v>0</v>
      </c>
      <c r="I51" s="12">
        <f t="shared" si="0"/>
        <v>-200</v>
      </c>
    </row>
    <row r="52" spans="1:9" x14ac:dyDescent="0.25">
      <c r="A52" t="s">
        <v>2790</v>
      </c>
      <c r="B52" t="s">
        <v>2010</v>
      </c>
      <c r="C52" t="s">
        <v>2011</v>
      </c>
      <c r="D52" t="s">
        <v>1898</v>
      </c>
      <c r="E52" t="s">
        <v>1899</v>
      </c>
      <c r="F52" t="s">
        <v>2529</v>
      </c>
      <c r="G52" s="12">
        <v>-15447</v>
      </c>
      <c r="H52" s="18">
        <f>SUMIFS('Working-T05-B1'!$O$8:$O$150,'Working-T05-B1'!$C$8:$C$150,$A52,'Working-T05-B1'!$H$8:$H$150,$F52)</f>
        <v>0</v>
      </c>
      <c r="I52" s="12">
        <f t="shared" si="0"/>
        <v>-15447</v>
      </c>
    </row>
    <row r="53" spans="1:9" x14ac:dyDescent="0.25">
      <c r="A53" t="s">
        <v>2850</v>
      </c>
      <c r="B53" t="s">
        <v>2060</v>
      </c>
      <c r="C53" t="s">
        <v>2061</v>
      </c>
      <c r="D53" t="s">
        <v>2057</v>
      </c>
      <c r="E53" t="s">
        <v>2062</v>
      </c>
      <c r="F53" t="s">
        <v>2566</v>
      </c>
      <c r="G53" s="12">
        <v>-17871</v>
      </c>
      <c r="H53" s="18">
        <f>SUMIFS('Working-T05-B1'!$O$8:$O$150,'Working-T05-B1'!$C$8:$C$150,$A53,'Working-T05-B1'!$H$8:$H$150,$F53)</f>
        <v>0</v>
      </c>
      <c r="I53" s="12">
        <f t="shared" si="0"/>
        <v>-17871</v>
      </c>
    </row>
    <row r="54" spans="1:9" x14ac:dyDescent="0.25">
      <c r="A54" t="s">
        <v>2819</v>
      </c>
      <c r="B54" t="s">
        <v>2060</v>
      </c>
      <c r="C54" t="s">
        <v>2061</v>
      </c>
      <c r="D54" t="s">
        <v>1836</v>
      </c>
      <c r="E54" t="s">
        <v>1837</v>
      </c>
      <c r="F54" t="s">
        <v>2566</v>
      </c>
      <c r="G54" s="12">
        <v>-34708</v>
      </c>
      <c r="H54" s="18">
        <f>SUMIFS('Working-T05-B1'!$O$8:$O$150,'Working-T05-B1'!$C$8:$C$150,$A54,'Working-T05-B1'!$H$8:$H$150,$F54)</f>
        <v>0</v>
      </c>
      <c r="I54" s="12">
        <f t="shared" si="0"/>
        <v>-34708</v>
      </c>
    </row>
    <row r="55" spans="1:9" x14ac:dyDescent="0.25">
      <c r="A55" t="s">
        <v>2831</v>
      </c>
      <c r="B55" t="s">
        <v>2201</v>
      </c>
      <c r="C55" t="s">
        <v>2202</v>
      </c>
      <c r="D55" t="s">
        <v>706</v>
      </c>
      <c r="E55" t="s">
        <v>707</v>
      </c>
      <c r="F55" t="s">
        <v>2580</v>
      </c>
      <c r="G55" s="12">
        <v>-25</v>
      </c>
      <c r="H55" s="18">
        <f>SUMIFS('Working-T05-B1'!$O$8:$O$150,'Working-T05-B1'!$C$8:$C$150,$A55,'Working-T05-B1'!$H$8:$H$150,$F55)</f>
        <v>0</v>
      </c>
      <c r="I55" s="12">
        <f t="shared" si="0"/>
        <v>-25</v>
      </c>
    </row>
    <row r="56" spans="1:9" x14ac:dyDescent="0.25">
      <c r="A56" t="s">
        <v>2830</v>
      </c>
      <c r="B56" t="s">
        <v>2201</v>
      </c>
      <c r="C56" t="s">
        <v>2202</v>
      </c>
      <c r="D56" t="s">
        <v>916</v>
      </c>
      <c r="E56" t="s">
        <v>917</v>
      </c>
      <c r="F56" t="s">
        <v>2580</v>
      </c>
      <c r="G56" s="12">
        <v>-25</v>
      </c>
      <c r="H56" s="18">
        <f>SUMIFS('Working-T05-B1'!$O$8:$O$150,'Working-T05-B1'!$C$8:$C$150,$A56,'Working-T05-B1'!$H$8:$H$150,$F56)</f>
        <v>0</v>
      </c>
      <c r="I56" s="12">
        <f t="shared" si="0"/>
        <v>-25</v>
      </c>
    </row>
    <row r="57" spans="1:9" x14ac:dyDescent="0.25">
      <c r="A57" t="s">
        <v>2827</v>
      </c>
      <c r="B57" t="s">
        <v>2309</v>
      </c>
      <c r="C57" t="s">
        <v>2310</v>
      </c>
      <c r="D57" t="s">
        <v>706</v>
      </c>
      <c r="E57" t="s">
        <v>707</v>
      </c>
      <c r="F57" t="s">
        <v>2525</v>
      </c>
      <c r="G57" s="12">
        <v>-100</v>
      </c>
      <c r="H57" s="18">
        <f>SUMIFS('Working-T05-B1'!$O$8:$O$150,'Working-T05-B1'!$C$8:$C$150,$A57,'Working-T05-B1'!$H$8:$H$150,$F57)</f>
        <v>0</v>
      </c>
      <c r="I57" s="12">
        <f t="shared" si="0"/>
        <v>-100</v>
      </c>
    </row>
    <row r="58" spans="1:9" x14ac:dyDescent="0.25">
      <c r="A58" t="s">
        <v>2840</v>
      </c>
      <c r="B58" t="s">
        <v>2490</v>
      </c>
      <c r="C58" t="s">
        <v>2491</v>
      </c>
      <c r="D58" t="s">
        <v>2493</v>
      </c>
      <c r="E58" t="s">
        <v>2505</v>
      </c>
      <c r="F58" t="s">
        <v>2591</v>
      </c>
      <c r="G58" s="12">
        <v>-50</v>
      </c>
      <c r="H58" s="18">
        <f>SUMIFS('Working-T05-B1'!$O$8:$O$150,'Working-T05-B1'!$C$8:$C$150,$A58,'Working-T05-B1'!$H$8:$H$150,$F58)</f>
        <v>0</v>
      </c>
      <c r="I58" s="12">
        <f t="shared" si="0"/>
        <v>-50</v>
      </c>
    </row>
    <row r="59" spans="1:9" x14ac:dyDescent="0.25">
      <c r="A59" t="s">
        <v>2823</v>
      </c>
      <c r="B59" t="s">
        <v>2392</v>
      </c>
      <c r="C59" t="s">
        <v>2393</v>
      </c>
      <c r="D59" t="s">
        <v>1842</v>
      </c>
      <c r="E59" t="s">
        <v>1843</v>
      </c>
      <c r="F59" t="s">
        <v>2572</v>
      </c>
      <c r="G59" s="12">
        <v>-110000</v>
      </c>
      <c r="H59" s="18">
        <f>SUMIFS('Working-T05-B1'!$O$8:$O$150,'Working-T05-B1'!$C$8:$C$150,$A59,'Working-T05-B1'!$H$8:$H$150,$F59)</f>
        <v>0</v>
      </c>
      <c r="I59" s="12">
        <f t="shared" si="0"/>
        <v>-110000</v>
      </c>
    </row>
    <row r="60" spans="1:9" x14ac:dyDescent="0.25">
      <c r="A60" t="s">
        <v>2802</v>
      </c>
      <c r="B60" t="s">
        <v>2458</v>
      </c>
      <c r="C60" t="s">
        <v>2459</v>
      </c>
      <c r="D60" t="s">
        <v>33</v>
      </c>
      <c r="E60" t="s">
        <v>296</v>
      </c>
      <c r="F60" t="s">
        <v>2543</v>
      </c>
      <c r="G60" s="12">
        <v>-110000</v>
      </c>
      <c r="H60" s="18">
        <f>SUMIFS('Working-T05-B1'!$O$8:$O$150,'Working-T05-B1'!$C$8:$C$150,$A60,'Working-T05-B1'!$H$8:$H$150,$F60)</f>
        <v>0</v>
      </c>
      <c r="I60" s="12">
        <f t="shared" si="0"/>
        <v>-110000</v>
      </c>
    </row>
    <row r="61" spans="1:9" x14ac:dyDescent="0.25">
      <c r="A61" t="s">
        <v>2810</v>
      </c>
      <c r="B61" t="s">
        <v>2053</v>
      </c>
      <c r="C61" t="s">
        <v>2054</v>
      </c>
      <c r="D61" t="s">
        <v>33</v>
      </c>
      <c r="E61" t="s">
        <v>296</v>
      </c>
      <c r="F61" t="s">
        <v>2553</v>
      </c>
      <c r="G61" s="12">
        <v>-22000</v>
      </c>
      <c r="H61" s="18">
        <f>SUMIFS('Working-T05-B1'!$O$8:$O$150,'Working-T05-B1'!$C$8:$C$150,$A61,'Working-T05-B1'!$H$8:$H$150,$F61)</f>
        <v>0</v>
      </c>
      <c r="I61" s="12">
        <f t="shared" si="0"/>
        <v>-22000</v>
      </c>
    </row>
    <row r="62" spans="1:9" x14ac:dyDescent="0.25">
      <c r="A62" t="s">
        <v>249</v>
      </c>
      <c r="G62" s="12">
        <v>-1799180</v>
      </c>
      <c r="H62" s="18"/>
      <c r="I62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5D1F-37CE-45AB-AAE6-73A7AE271D4C}">
  <sheetPr>
    <tabColor rgb="FFC00000"/>
  </sheetPr>
  <dimension ref="A1:BM150"/>
  <sheetViews>
    <sheetView showGridLines="0" zoomScale="70" zoomScaleNormal="70" workbookViewId="0">
      <pane xSplit="14" ySplit="7" topLeftCell="O8" activePane="bottomRight" state="frozen"/>
      <selection activeCell="C52" sqref="C52"/>
      <selection pane="topRight" activeCell="C52" sqref="C52"/>
      <selection pane="bottomLeft" activeCell="C52" sqref="C52"/>
      <selection pane="bottomRight" activeCell="O23" sqref="O23"/>
    </sheetView>
  </sheetViews>
  <sheetFormatPr defaultColWidth="8.88671875" defaultRowHeight="13.2" zeroHeight="1" x14ac:dyDescent="0.25"/>
  <cols>
    <col min="1" max="1" width="5.44140625" style="136" bestFit="1" customWidth="1"/>
    <col min="2" max="2" width="8" style="14" customWidth="1"/>
    <col min="3" max="3" width="22" style="14" bestFit="1" customWidth="1"/>
    <col min="4" max="4" width="7.33203125" style="14" bestFit="1" customWidth="1"/>
    <col min="5" max="5" width="34.44140625" style="14" bestFit="1" customWidth="1"/>
    <col min="6" max="6" width="10.33203125" style="14" bestFit="1" customWidth="1"/>
    <col min="7" max="7" width="37.33203125" style="14" bestFit="1" customWidth="1"/>
    <col min="8" max="8" width="21.5546875" style="14" bestFit="1" customWidth="1"/>
    <col min="9" max="9" width="10.44140625" style="14" bestFit="1" customWidth="1"/>
    <col min="10" max="10" width="13.109375" style="14" bestFit="1" customWidth="1"/>
    <col min="11" max="11" width="10.109375" style="14" bestFit="1" customWidth="1"/>
    <col min="12" max="12" width="11.44140625" style="14" bestFit="1" customWidth="1"/>
    <col min="13" max="13" width="11.44140625" style="14" customWidth="1"/>
    <col min="14" max="14" width="1.33203125" style="14" customWidth="1"/>
    <col min="15" max="15" width="14.6640625" style="14" customWidth="1"/>
    <col min="16" max="16" width="18.109375" style="14" customWidth="1"/>
    <col min="17" max="17" width="15.33203125" style="14" customWidth="1"/>
    <col min="18" max="18" width="11.6640625" style="14" bestFit="1" customWidth="1"/>
    <col min="19" max="19" width="9.6640625" style="14" bestFit="1" customWidth="1"/>
    <col min="20" max="20" width="14.88671875" style="14" customWidth="1"/>
    <col min="21" max="21" width="17.109375" style="14" customWidth="1"/>
    <col min="22" max="22" width="10.33203125" style="14" customWidth="1"/>
    <col min="23" max="23" width="11.33203125" style="14" customWidth="1"/>
    <col min="24" max="24" width="1.33203125" style="14" customWidth="1"/>
    <col min="25" max="25" width="18.6640625" style="14" customWidth="1"/>
    <col min="26" max="26" width="22.33203125" style="14" customWidth="1"/>
    <col min="27" max="28" width="12.88671875" style="14" customWidth="1"/>
    <col min="29" max="29" width="1.33203125" style="14" customWidth="1"/>
    <col min="30" max="33" width="12.6640625" style="14" customWidth="1"/>
    <col min="34" max="34" width="1.33203125" style="14" customWidth="1"/>
    <col min="35" max="35" width="20.44140625" style="14" customWidth="1"/>
    <col min="36" max="36" width="20.109375" style="14" bestFit="1" customWidth="1"/>
    <col min="37" max="37" width="12.6640625" style="14" customWidth="1"/>
    <col min="38" max="38" width="18.44140625" style="14" bestFit="1" customWidth="1"/>
    <col min="39" max="39" width="1.44140625" style="14" customWidth="1"/>
    <col min="40" max="40" width="8.88671875" style="14" customWidth="1"/>
    <col min="41" max="41" width="2.44140625" style="14" customWidth="1"/>
    <col min="42" max="42" width="15.33203125" style="14" bestFit="1" customWidth="1"/>
    <col min="43" max="43" width="19.44140625" style="14" customWidth="1"/>
    <col min="44" max="44" width="12.88671875" style="14" customWidth="1"/>
    <col min="45" max="45" width="16" style="14" bestFit="1" customWidth="1"/>
    <col min="46" max="46" width="1.88671875" style="14" customWidth="1"/>
    <col min="47" max="47" width="8.88671875" style="14"/>
    <col min="48" max="48" width="2.44140625" style="14" customWidth="1"/>
    <col min="49" max="49" width="13.109375" style="14" bestFit="1" customWidth="1"/>
    <col min="50" max="50" width="18.109375" style="14" bestFit="1" customWidth="1"/>
    <col min="51" max="51" width="12" style="14" customWidth="1"/>
    <col min="52" max="52" width="16" style="14" bestFit="1" customWidth="1"/>
    <col min="53" max="54" width="8.88671875" style="14"/>
    <col min="55" max="55" width="9.5546875" style="14" bestFit="1" customWidth="1"/>
    <col min="56" max="56" width="8.88671875" style="14"/>
    <col min="57" max="57" width="9.88671875" style="14" hidden="1" customWidth="1"/>
    <col min="58" max="58" width="18.6640625" style="14" bestFit="1" customWidth="1"/>
    <col min="59" max="60" width="8.88671875" style="14"/>
    <col min="61" max="61" width="11.6640625" style="14" bestFit="1" customWidth="1"/>
    <col min="62" max="62" width="9.6640625" style="14" bestFit="1" customWidth="1"/>
    <col min="63" max="63" width="11.6640625" style="14" bestFit="1" customWidth="1"/>
    <col min="64" max="64" width="9.5546875" style="14" bestFit="1" customWidth="1"/>
    <col min="65" max="16384" width="8.88671875" style="14"/>
  </cols>
  <sheetData>
    <row r="1" spans="1:64" s="59" customFormat="1" x14ac:dyDescent="0.25">
      <c r="A1" s="136"/>
      <c r="B1" s="59" t="s">
        <v>2765</v>
      </c>
      <c r="C1" s="59" t="s">
        <v>2765</v>
      </c>
      <c r="D1" s="59" t="s">
        <v>2894</v>
      </c>
      <c r="E1" s="59" t="s">
        <v>2894</v>
      </c>
      <c r="F1" s="59" t="s">
        <v>2894</v>
      </c>
      <c r="G1" s="59" t="s">
        <v>2894</v>
      </c>
      <c r="H1" s="59" t="s">
        <v>2894</v>
      </c>
      <c r="I1" s="59" t="s">
        <v>2894</v>
      </c>
      <c r="J1" s="60"/>
      <c r="O1" s="59" t="s">
        <v>2765</v>
      </c>
      <c r="P1" s="59" t="s">
        <v>2765</v>
      </c>
      <c r="U1" s="59" t="s">
        <v>2894</v>
      </c>
      <c r="V1" s="59" t="s">
        <v>2765</v>
      </c>
      <c r="W1" s="59" t="s">
        <v>2765</v>
      </c>
      <c r="AA1" s="59" t="s">
        <v>2765</v>
      </c>
      <c r="AD1" s="59" t="s">
        <v>2765</v>
      </c>
      <c r="AI1" s="59" t="s">
        <v>2765</v>
      </c>
    </row>
    <row r="2" spans="1:64" s="71" customFormat="1" ht="13.8" x14ac:dyDescent="0.25">
      <c r="A2" s="136"/>
      <c r="B2" s="63"/>
      <c r="C2" s="63"/>
      <c r="J2" s="72"/>
      <c r="P2" s="140">
        <f>SUM(P8:P150)-SUM('Working-T05-B2'!Q8:Q150)</f>
        <v>0</v>
      </c>
      <c r="AS2" s="159"/>
    </row>
    <row r="3" spans="1:64" s="63" customFormat="1" ht="13.8" x14ac:dyDescent="0.25">
      <c r="A3" s="137"/>
      <c r="J3" s="64"/>
      <c r="O3" s="65">
        <f>SUBTOTAL(9,O8:O150)</f>
        <v>0</v>
      </c>
      <c r="P3" s="65">
        <f>SUBTOTAL(9,P8:P150)</f>
        <v>1461441.7965429125</v>
      </c>
      <c r="Q3" s="65">
        <f>SUBTOTAL(9,Q8:Q150)</f>
        <v>0</v>
      </c>
      <c r="R3" s="65">
        <f>SUBTOTAL(9,R8:R150)</f>
        <v>1461441.7965429125</v>
      </c>
      <c r="AI3" s="65">
        <f>SUBTOTAL(9,AI8:AI150)</f>
        <v>0</v>
      </c>
      <c r="AJ3" s="65">
        <f>SUBTOTAL(9,AJ8:AJ150)</f>
        <v>36353097030.679024</v>
      </c>
      <c r="AK3" s="65">
        <f>SUBTOTAL(9,AK8:AK150)</f>
        <v>0</v>
      </c>
      <c r="AL3" s="65">
        <f>SUBTOTAL(9,AL8:AL150)</f>
        <v>36353097030.679024</v>
      </c>
      <c r="AS3" s="65">
        <f>SUBTOTAL(9,AS8:AS150)</f>
        <v>508984707.1393888</v>
      </c>
      <c r="AZ3" s="65">
        <f>SUBTOTAL(9,AZ8:AZ150)</f>
        <v>212136320</v>
      </c>
    </row>
    <row r="4" spans="1:64" s="25" customFormat="1" ht="18" customHeight="1" thickBot="1" x14ac:dyDescent="0.4">
      <c r="A4" s="138"/>
      <c r="B4" s="279" t="s">
        <v>2509</v>
      </c>
      <c r="C4" s="279" t="s">
        <v>2846</v>
      </c>
      <c r="D4" s="279" t="s">
        <v>2507</v>
      </c>
      <c r="E4" s="279" t="s">
        <v>2508</v>
      </c>
      <c r="F4" s="279" t="s">
        <v>265</v>
      </c>
      <c r="G4" s="279" t="s">
        <v>266</v>
      </c>
      <c r="H4" s="279" t="s">
        <v>2522</v>
      </c>
      <c r="I4" s="279" t="s">
        <v>2510</v>
      </c>
      <c r="J4" s="282" t="s">
        <v>2637</v>
      </c>
      <c r="K4" s="282" t="s">
        <v>2603</v>
      </c>
      <c r="L4" s="282" t="s">
        <v>2638</v>
      </c>
      <c r="M4" s="284" t="s">
        <v>3042</v>
      </c>
      <c r="O4" s="26" t="s">
        <v>3077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  <c r="AJ4" s="27"/>
      <c r="AK4" s="27"/>
      <c r="AL4" s="27"/>
      <c r="BL4" s="283" t="s">
        <v>3076</v>
      </c>
    </row>
    <row r="5" spans="1:64" s="25" customFormat="1" ht="15" customHeight="1" thickTop="1" x14ac:dyDescent="0.25">
      <c r="A5" s="138"/>
      <c r="B5" s="279"/>
      <c r="C5" s="279"/>
      <c r="D5" s="279"/>
      <c r="E5" s="279"/>
      <c r="F5" s="279"/>
      <c r="G5" s="279"/>
      <c r="H5" s="279"/>
      <c r="I5" s="279"/>
      <c r="J5" s="282"/>
      <c r="K5" s="282"/>
      <c r="L5" s="282"/>
      <c r="M5" s="284"/>
      <c r="O5" s="28" t="s">
        <v>2511</v>
      </c>
      <c r="P5" s="28"/>
      <c r="Q5" s="28"/>
      <c r="R5" s="28"/>
      <c r="T5" s="29" t="s">
        <v>2512</v>
      </c>
      <c r="U5" s="29"/>
      <c r="V5" s="29"/>
      <c r="W5" s="29"/>
      <c r="Y5" s="29" t="s">
        <v>2513</v>
      </c>
      <c r="Z5" s="29"/>
      <c r="AA5" s="29"/>
      <c r="AB5" s="29"/>
      <c r="AD5" s="28" t="s">
        <v>2514</v>
      </c>
      <c r="AE5" s="28"/>
      <c r="AF5" s="28"/>
      <c r="AG5" s="28"/>
      <c r="AI5" s="30" t="s">
        <v>2515</v>
      </c>
      <c r="AJ5" s="31"/>
      <c r="AK5" s="31"/>
      <c r="AL5" s="32"/>
      <c r="AN5" s="147" t="s">
        <v>2523</v>
      </c>
      <c r="AO5" s="147"/>
      <c r="AP5" s="147"/>
      <c r="AQ5" s="147"/>
      <c r="AR5" s="147"/>
      <c r="AS5" s="147"/>
      <c r="AU5" s="147" t="s">
        <v>2898</v>
      </c>
      <c r="AV5" s="147"/>
      <c r="AW5" s="147"/>
      <c r="AX5" s="147"/>
      <c r="AY5" s="147"/>
      <c r="AZ5" s="147"/>
      <c r="BB5" s="25" t="s">
        <v>2899</v>
      </c>
      <c r="BL5" s="283"/>
    </row>
    <row r="6" spans="1:64" s="25" customFormat="1" ht="14.4" customHeight="1" x14ac:dyDescent="0.25">
      <c r="A6" s="138" t="s">
        <v>2897</v>
      </c>
      <c r="B6" s="279"/>
      <c r="C6" s="279"/>
      <c r="D6" s="279"/>
      <c r="E6" s="279"/>
      <c r="F6" s="279"/>
      <c r="G6" s="279"/>
      <c r="H6" s="279"/>
      <c r="I6" s="279"/>
      <c r="J6" s="282"/>
      <c r="K6" s="282"/>
      <c r="L6" s="282"/>
      <c r="M6" s="284"/>
      <c r="O6" s="33" t="s">
        <v>2516</v>
      </c>
      <c r="P6" s="33" t="s">
        <v>2517</v>
      </c>
      <c r="Q6" s="33" t="s">
        <v>2518</v>
      </c>
      <c r="R6" s="33" t="s">
        <v>2519</v>
      </c>
      <c r="T6" s="34" t="s">
        <v>2516</v>
      </c>
      <c r="U6" s="34" t="s">
        <v>2517</v>
      </c>
      <c r="V6" s="34" t="s">
        <v>2518</v>
      </c>
      <c r="W6" s="34" t="s">
        <v>2520</v>
      </c>
      <c r="Y6" s="34" t="s">
        <v>2516</v>
      </c>
      <c r="Z6" s="34" t="s">
        <v>2517</v>
      </c>
      <c r="AA6" s="34" t="s">
        <v>2518</v>
      </c>
      <c r="AB6" s="34" t="s">
        <v>2520</v>
      </c>
      <c r="AD6" s="33" t="s">
        <v>2516</v>
      </c>
      <c r="AE6" s="33" t="s">
        <v>2517</v>
      </c>
      <c r="AF6" s="33" t="s">
        <v>2518</v>
      </c>
      <c r="AG6" s="33" t="s">
        <v>2520</v>
      </c>
      <c r="AI6" s="35" t="s">
        <v>2516</v>
      </c>
      <c r="AJ6" s="33" t="s">
        <v>2517</v>
      </c>
      <c r="AK6" s="33" t="s">
        <v>2518</v>
      </c>
      <c r="AL6" s="36" t="s">
        <v>2521</v>
      </c>
      <c r="AN6" s="53" t="s">
        <v>2524</v>
      </c>
      <c r="AO6" s="145"/>
      <c r="AP6" s="151" t="s">
        <v>2516</v>
      </c>
      <c r="AQ6" s="151" t="s">
        <v>2517</v>
      </c>
      <c r="AR6" s="151" t="s">
        <v>2518</v>
      </c>
      <c r="AS6" s="151" t="s">
        <v>2519</v>
      </c>
      <c r="AU6" s="53" t="s">
        <v>2524</v>
      </c>
      <c r="AV6" s="145"/>
      <c r="AW6" s="151" t="s">
        <v>2516</v>
      </c>
      <c r="AX6" s="151" t="s">
        <v>2517</v>
      </c>
      <c r="AY6" s="151" t="s">
        <v>2518</v>
      </c>
      <c r="AZ6" s="151" t="s">
        <v>2519</v>
      </c>
      <c r="BB6" s="25" t="s">
        <v>2900</v>
      </c>
      <c r="BC6" s="25" t="s">
        <v>2901</v>
      </c>
      <c r="BF6" s="25" t="s">
        <v>2913</v>
      </c>
      <c r="BI6" s="25" t="s">
        <v>3040</v>
      </c>
      <c r="BJ6" s="250" t="s">
        <v>3041</v>
      </c>
      <c r="BL6" s="283"/>
    </row>
    <row r="7" spans="1:64" ht="8.4" customHeight="1" x14ac:dyDescent="0.25">
      <c r="L7" s="92"/>
      <c r="M7" s="92"/>
      <c r="AI7" s="37"/>
      <c r="AL7" s="38"/>
    </row>
    <row r="8" spans="1:64" x14ac:dyDescent="0.25">
      <c r="A8" s="136">
        <f>COUNTIFS(C$8:C8,$C8)</f>
        <v>1</v>
      </c>
      <c r="B8" s="39" t="str">
        <f>IF(LEFT($D8,1)="2","XK","NĐ")</f>
        <v>NĐ</v>
      </c>
      <c r="C8" s="39" t="str">
        <f t="shared" ref="C8:C46" si="0">D8&amp;" | "&amp;F8</f>
        <v>105382 | 160012611</v>
      </c>
      <c r="D8" s="54" t="s">
        <v>2496</v>
      </c>
      <c r="E8" s="39" t="s">
        <v>2608</v>
      </c>
      <c r="F8" s="54" t="s">
        <v>257</v>
      </c>
      <c r="G8" s="39" t="s">
        <v>2604</v>
      </c>
      <c r="H8" s="54" t="s">
        <v>2527</v>
      </c>
      <c r="I8" s="54" t="s">
        <v>2639</v>
      </c>
      <c r="J8" s="40">
        <v>5756</v>
      </c>
      <c r="K8" s="40"/>
      <c r="L8" s="93">
        <f>J8-K8</f>
        <v>5756</v>
      </c>
      <c r="M8" s="93">
        <f>L8-O8</f>
        <v>5756</v>
      </c>
      <c r="O8" s="40"/>
      <c r="P8" s="40">
        <f>IF($A8=1,MIN($M8,SUMIFS('Working-T05-B2'!$Q$8:$Q$150,'Working-T05-B2'!$D$8:$D$150,$C8)),MIN($M8,SUMIFS('Working-T05-B2'!$Q$8:$Q$150,'Working-T05-B2'!$D$8:$D$150,$C8)-SUMIFS(P7:P$8,C7:C$8,$C8)))</f>
        <v>0</v>
      </c>
      <c r="Q8" s="40"/>
      <c r="R8" s="40">
        <f>SUM(O8:Q8)</f>
        <v>0</v>
      </c>
      <c r="S8" s="41">
        <f>R8-L8</f>
        <v>-5756</v>
      </c>
      <c r="T8" s="42"/>
      <c r="U8" s="135">
        <v>11574.074074074073</v>
      </c>
      <c r="V8" s="40"/>
      <c r="W8" s="40">
        <f t="shared" ref="W8:W38" si="1">IFERROR($AL8/$R8,0)</f>
        <v>0</v>
      </c>
      <c r="X8" s="41"/>
      <c r="Y8" s="40"/>
      <c r="Z8" s="131">
        <f t="shared" ref="Z8:AA27" si="2">IF($B8="NĐ",1,EXR_FC05)</f>
        <v>1</v>
      </c>
      <c r="AA8" s="131">
        <f t="shared" si="2"/>
        <v>1</v>
      </c>
      <c r="AB8" s="40"/>
      <c r="AC8" s="41"/>
      <c r="AD8" s="40">
        <f>IFERROR(AI8/O8,0)</f>
        <v>0</v>
      </c>
      <c r="AE8" s="40">
        <f>U8*Z8</f>
        <v>11574.074074074073</v>
      </c>
      <c r="AF8" s="40">
        <f>V8*AA8</f>
        <v>0</v>
      </c>
      <c r="AG8" s="40"/>
      <c r="AH8" s="41"/>
      <c r="AI8" s="43"/>
      <c r="AJ8" s="40">
        <f>P8*AE8</f>
        <v>0</v>
      </c>
      <c r="AK8" s="40">
        <f t="shared" ref="AK8:AK38" si="3">Q8*AF8</f>
        <v>0</v>
      </c>
      <c r="AL8" s="44">
        <f>SUM(AI8:AK8)</f>
        <v>0</v>
      </c>
      <c r="AN8" s="40">
        <f t="shared" ref="AN8:AN46" si="4">BB8*EXR_FC05/10^3</f>
        <v>133.60400000000001</v>
      </c>
      <c r="AO8" s="39"/>
      <c r="AP8" s="40">
        <f>$AN8*O8</f>
        <v>0</v>
      </c>
      <c r="AQ8" s="40">
        <f t="shared" ref="AQ8:AQ46" si="5">$AN8*P8</f>
        <v>0</v>
      </c>
      <c r="AR8" s="39"/>
      <c r="AS8" s="40">
        <f>SUM(AP8:AR8)</f>
        <v>0</v>
      </c>
      <c r="AU8" s="40">
        <f>BC8</f>
        <v>0</v>
      </c>
      <c r="AV8" s="39"/>
      <c r="AW8" s="40">
        <f>$AU8*O8+$BF8*AI8</f>
        <v>0</v>
      </c>
      <c r="AX8" s="40">
        <f t="shared" ref="AX8:AX46" si="6">$AU8*P8+$BF8*AJ8</f>
        <v>0</v>
      </c>
      <c r="AY8" s="39"/>
      <c r="AZ8" s="121">
        <f>SUM(AW8:AY8)</f>
        <v>0</v>
      </c>
      <c r="BB8" s="149">
        <v>5.08</v>
      </c>
      <c r="BC8" s="152"/>
      <c r="BD8" s="153">
        <f>SUM(BB8:BC8)</f>
        <v>5.08</v>
      </c>
      <c r="BE8" s="14" t="s">
        <v>2902</v>
      </c>
      <c r="BF8" s="86"/>
      <c r="BI8" s="41"/>
      <c r="BJ8" s="41"/>
      <c r="BL8" s="41">
        <f>L8-R8</f>
        <v>5756</v>
      </c>
    </row>
    <row r="9" spans="1:64" x14ac:dyDescent="0.25">
      <c r="A9" s="136">
        <f>COUNTIFS(C$8:C9,$C9)</f>
        <v>1</v>
      </c>
      <c r="B9" s="39" t="str">
        <f t="shared" ref="B9:B46" si="7">IF(LEFT($D9,1)="2","XK","NĐ")</f>
        <v>NĐ</v>
      </c>
      <c r="C9" s="39" t="str">
        <f t="shared" si="0"/>
        <v>105382 | 110000408</v>
      </c>
      <c r="D9" s="54" t="s">
        <v>2496</v>
      </c>
      <c r="E9" s="39" t="s">
        <v>2608</v>
      </c>
      <c r="F9" s="54" t="s">
        <v>54</v>
      </c>
      <c r="G9" s="39" t="s">
        <v>379</v>
      </c>
      <c r="H9" s="54" t="s">
        <v>2528</v>
      </c>
      <c r="I9" s="54" t="s">
        <v>2639</v>
      </c>
      <c r="J9" s="40">
        <v>6000</v>
      </c>
      <c r="K9" s="40"/>
      <c r="L9" s="93">
        <f t="shared" ref="L9:L46" si="8">J9-K9</f>
        <v>6000</v>
      </c>
      <c r="M9" s="93">
        <f t="shared" ref="M9:M46" si="9">L9-O9</f>
        <v>6000</v>
      </c>
      <c r="O9" s="40"/>
      <c r="P9" s="40">
        <f>IF($A9=1,MIN($M9,SUMIFS('Working-T05-B2'!$Q$8:$Q$150,'Working-T05-B2'!$D$8:$D$150,$C9)),MIN($M9,SUMIFS('Working-T05-B2'!$Q$8:$Q$150,'Working-T05-B2'!$D$8:$D$150,$C9)-SUMIFS(P8:P$8,C8:C$8,$C9)))</f>
        <v>0</v>
      </c>
      <c r="Q9" s="40"/>
      <c r="R9" s="40">
        <f t="shared" ref="R9:R46" si="10">SUM(O9:Q9)</f>
        <v>0</v>
      </c>
      <c r="S9" s="41">
        <f t="shared" ref="S9:S46" si="11">R9-L9</f>
        <v>-6000</v>
      </c>
      <c r="T9" s="42"/>
      <c r="U9" s="135">
        <v>16203.703703703703</v>
      </c>
      <c r="V9" s="40"/>
      <c r="W9" s="40">
        <f t="shared" si="1"/>
        <v>0</v>
      </c>
      <c r="X9" s="41"/>
      <c r="Y9" s="40"/>
      <c r="Z9" s="131">
        <f t="shared" si="2"/>
        <v>1</v>
      </c>
      <c r="AA9" s="131">
        <f t="shared" si="2"/>
        <v>1</v>
      </c>
      <c r="AB9" s="40"/>
      <c r="AC9" s="41"/>
      <c r="AD9" s="40">
        <f t="shared" ref="AD9:AD46" si="12">IFERROR(AI9/O9,0)</f>
        <v>0</v>
      </c>
      <c r="AE9" s="40">
        <f t="shared" ref="AE9:AF46" si="13">U9*Z9</f>
        <v>16203.703703703703</v>
      </c>
      <c r="AF9" s="40">
        <f t="shared" si="13"/>
        <v>0</v>
      </c>
      <c r="AG9" s="40"/>
      <c r="AH9" s="41"/>
      <c r="AI9" s="43"/>
      <c r="AJ9" s="40">
        <f t="shared" ref="AJ9:AJ38" si="14">P9*AE9</f>
        <v>0</v>
      </c>
      <c r="AK9" s="40">
        <f t="shared" si="3"/>
        <v>0</v>
      </c>
      <c r="AL9" s="44">
        <f t="shared" ref="AL9:AL46" si="15">SUM(AI9:AK9)</f>
        <v>0</v>
      </c>
      <c r="AN9" s="40">
        <f t="shared" si="4"/>
        <v>265.63</v>
      </c>
      <c r="AO9" s="39"/>
      <c r="AP9" s="40">
        <f t="shared" ref="AP9:AP46" si="16">$AN9*O9</f>
        <v>0</v>
      </c>
      <c r="AQ9" s="40">
        <f t="shared" si="5"/>
        <v>0</v>
      </c>
      <c r="AR9" s="39"/>
      <c r="AS9" s="40">
        <f t="shared" ref="AS9:AS46" si="17">SUM(AP9:AR9)</f>
        <v>0</v>
      </c>
      <c r="AU9" s="40">
        <f t="shared" ref="AU9:AU46" si="18">BC9</f>
        <v>0</v>
      </c>
      <c r="AV9" s="39"/>
      <c r="AW9" s="40">
        <f t="shared" ref="AW9:AW46" si="19">$AU9*O9+$BF9*AI9</f>
        <v>0</v>
      </c>
      <c r="AX9" s="40">
        <f t="shared" si="6"/>
        <v>0</v>
      </c>
      <c r="AY9" s="39"/>
      <c r="AZ9" s="121">
        <f t="shared" ref="AZ9:AZ46" si="20">SUM(AW9:AY9)</f>
        <v>0</v>
      </c>
      <c r="BB9" s="149">
        <v>10.1</v>
      </c>
      <c r="BC9" s="152"/>
      <c r="BD9" s="153">
        <f t="shared" ref="BD9:BD46" si="21">SUM(BB9:BC9)</f>
        <v>10.1</v>
      </c>
      <c r="BF9" s="86"/>
      <c r="BI9" s="41"/>
      <c r="BJ9" s="41"/>
      <c r="BL9" s="41">
        <f t="shared" ref="BL9:BL46" si="22">L9-R9</f>
        <v>6000</v>
      </c>
    </row>
    <row r="10" spans="1:64" x14ac:dyDescent="0.25">
      <c r="A10" s="136">
        <f>COUNTIFS(C$8:C10,$C10)</f>
        <v>1</v>
      </c>
      <c r="B10" s="39" t="str">
        <f t="shared" si="7"/>
        <v>NĐ</v>
      </c>
      <c r="C10" s="39" t="str">
        <f t="shared" si="0"/>
        <v>105405 | 160012801</v>
      </c>
      <c r="D10" s="54" t="s">
        <v>2010</v>
      </c>
      <c r="E10" s="39" t="s">
        <v>2609</v>
      </c>
      <c r="F10" s="54" t="s">
        <v>1898</v>
      </c>
      <c r="G10" s="39" t="s">
        <v>1899</v>
      </c>
      <c r="H10" s="54" t="s">
        <v>2529</v>
      </c>
      <c r="I10" s="54" t="s">
        <v>2640</v>
      </c>
      <c r="J10" s="40">
        <v>80930</v>
      </c>
      <c r="K10" s="40"/>
      <c r="L10" s="93">
        <f t="shared" si="8"/>
        <v>80930</v>
      </c>
      <c r="M10" s="93">
        <f t="shared" si="9"/>
        <v>80930</v>
      </c>
      <c r="O10" s="40"/>
      <c r="P10" s="40">
        <f>IF($A10=1,MIN($M10,SUMIFS('Working-T05-B2'!$Q$8:$Q$150,'Working-T05-B2'!$D$8:$D$150,$C10)),MIN($M10,SUMIFS('Working-T05-B2'!$Q$8:$Q$150,'Working-T05-B2'!$D$8:$D$150,$C10)-SUMIFS(P$8:P9,C$8:C9,$C10)))</f>
        <v>80930</v>
      </c>
      <c r="Q10" s="40"/>
      <c r="R10" s="40">
        <f t="shared" si="10"/>
        <v>80930</v>
      </c>
      <c r="S10" s="41">
        <f t="shared" si="11"/>
        <v>0</v>
      </c>
      <c r="T10" s="42"/>
      <c r="U10" s="135">
        <v>12000</v>
      </c>
      <c r="V10" s="40"/>
      <c r="W10" s="40">
        <f t="shared" si="1"/>
        <v>12000</v>
      </c>
      <c r="X10" s="41"/>
      <c r="Y10" s="40"/>
      <c r="Z10" s="131">
        <f t="shared" si="2"/>
        <v>1</v>
      </c>
      <c r="AA10" s="131">
        <f t="shared" si="2"/>
        <v>1</v>
      </c>
      <c r="AB10" s="40"/>
      <c r="AC10" s="41"/>
      <c r="AD10" s="40">
        <f t="shared" si="12"/>
        <v>0</v>
      </c>
      <c r="AE10" s="40">
        <f t="shared" si="13"/>
        <v>12000</v>
      </c>
      <c r="AF10" s="40">
        <f t="shared" si="13"/>
        <v>0</v>
      </c>
      <c r="AG10" s="40"/>
      <c r="AH10" s="41"/>
      <c r="AI10" s="43"/>
      <c r="AJ10" s="40">
        <f t="shared" si="14"/>
        <v>971160000</v>
      </c>
      <c r="AK10" s="40">
        <f t="shared" si="3"/>
        <v>0</v>
      </c>
      <c r="AL10" s="44">
        <f t="shared" si="15"/>
        <v>971160000</v>
      </c>
      <c r="AN10" s="40">
        <f t="shared" si="4"/>
        <v>0</v>
      </c>
      <c r="AO10" s="39"/>
      <c r="AP10" s="40">
        <f t="shared" si="16"/>
        <v>0</v>
      </c>
      <c r="AQ10" s="40">
        <f t="shared" si="5"/>
        <v>0</v>
      </c>
      <c r="AR10" s="39"/>
      <c r="AS10" s="40">
        <f t="shared" si="17"/>
        <v>0</v>
      </c>
      <c r="AU10" s="40">
        <f t="shared" si="18"/>
        <v>0</v>
      </c>
      <c r="AV10" s="39"/>
      <c r="AW10" s="40">
        <f t="shared" si="19"/>
        <v>0</v>
      </c>
      <c r="AX10" s="40">
        <f t="shared" si="6"/>
        <v>0</v>
      </c>
      <c r="AY10" s="39"/>
      <c r="AZ10" s="121">
        <f t="shared" si="20"/>
        <v>0</v>
      </c>
      <c r="BB10" s="149"/>
      <c r="BC10" s="152"/>
      <c r="BD10" s="153">
        <f t="shared" si="21"/>
        <v>0</v>
      </c>
      <c r="BF10" s="86"/>
      <c r="BI10" s="41"/>
      <c r="BJ10" s="41"/>
      <c r="BL10" s="41">
        <f t="shared" si="22"/>
        <v>0</v>
      </c>
    </row>
    <row r="11" spans="1:64" x14ac:dyDescent="0.25">
      <c r="A11" s="136">
        <f>COUNTIFS(C$8:C11,$C11)</f>
        <v>1</v>
      </c>
      <c r="B11" s="39" t="str">
        <f t="shared" si="7"/>
        <v>NĐ</v>
      </c>
      <c r="C11" s="39" t="str">
        <f t="shared" si="0"/>
        <v>104909 | 110000329</v>
      </c>
      <c r="D11" s="54" t="s">
        <v>2479</v>
      </c>
      <c r="E11" s="39" t="s">
        <v>2480</v>
      </c>
      <c r="F11" s="54" t="s">
        <v>273</v>
      </c>
      <c r="G11" s="39" t="s">
        <v>274</v>
      </c>
      <c r="H11" s="54" t="s">
        <v>2530</v>
      </c>
      <c r="I11" s="54" t="s">
        <v>2640</v>
      </c>
      <c r="J11" s="40">
        <v>116000</v>
      </c>
      <c r="K11" s="40"/>
      <c r="L11" s="93">
        <f t="shared" si="8"/>
        <v>116000</v>
      </c>
      <c r="M11" s="93">
        <f t="shared" si="9"/>
        <v>116000</v>
      </c>
      <c r="O11" s="40"/>
      <c r="P11" s="40">
        <f>IF($A11=1,MIN($M11,SUMIFS('Working-T05-B2'!$Q$8:$Q$150,'Working-T05-B2'!$D$8:$D$150,$C11)),MIN($M11,SUMIFS('Working-T05-B2'!$Q$8:$Q$150,'Working-T05-B2'!$D$8:$D$150,$C11)-SUMIFS(P$8:P10,C$8:C10,$C11)))</f>
        <v>30800</v>
      </c>
      <c r="Q11" s="40"/>
      <c r="R11" s="40">
        <f t="shared" si="10"/>
        <v>30800</v>
      </c>
      <c r="S11" s="41">
        <f t="shared" si="11"/>
        <v>-85200</v>
      </c>
      <c r="T11" s="42"/>
      <c r="U11" s="135">
        <v>33832.83</v>
      </c>
      <c r="V11" s="40"/>
      <c r="W11" s="40">
        <f t="shared" si="1"/>
        <v>33832.83</v>
      </c>
      <c r="X11" s="41"/>
      <c r="Y11" s="40"/>
      <c r="Z11" s="131">
        <f t="shared" si="2"/>
        <v>1</v>
      </c>
      <c r="AA11" s="131">
        <f t="shared" si="2"/>
        <v>1</v>
      </c>
      <c r="AB11" s="40"/>
      <c r="AC11" s="41"/>
      <c r="AD11" s="40">
        <f t="shared" si="12"/>
        <v>0</v>
      </c>
      <c r="AE11" s="40">
        <f>U11*Z11</f>
        <v>33832.83</v>
      </c>
      <c r="AF11" s="40">
        <f t="shared" si="13"/>
        <v>0</v>
      </c>
      <c r="AG11" s="40"/>
      <c r="AH11" s="41"/>
      <c r="AI11" s="43"/>
      <c r="AJ11" s="40">
        <f t="shared" si="14"/>
        <v>1042051164</v>
      </c>
      <c r="AK11" s="40">
        <f t="shared" si="3"/>
        <v>0</v>
      </c>
      <c r="AL11" s="44">
        <f t="shared" si="15"/>
        <v>1042051164</v>
      </c>
      <c r="AN11" s="40">
        <f t="shared" si="4"/>
        <v>0</v>
      </c>
      <c r="AO11" s="39"/>
      <c r="AP11" s="40">
        <f t="shared" si="16"/>
        <v>0</v>
      </c>
      <c r="AQ11" s="40">
        <f t="shared" si="5"/>
        <v>0</v>
      </c>
      <c r="AR11" s="39"/>
      <c r="AS11" s="40">
        <f t="shared" si="17"/>
        <v>0</v>
      </c>
      <c r="AU11" s="40">
        <f t="shared" si="18"/>
        <v>0</v>
      </c>
      <c r="AV11" s="39"/>
      <c r="AW11" s="40">
        <f t="shared" si="19"/>
        <v>0</v>
      </c>
      <c r="AX11" s="40">
        <f t="shared" si="6"/>
        <v>0</v>
      </c>
      <c r="AY11" s="39"/>
      <c r="AZ11" s="121">
        <f t="shared" si="20"/>
        <v>0</v>
      </c>
      <c r="BB11" s="149"/>
      <c r="BC11" s="152"/>
      <c r="BD11" s="153">
        <f t="shared" si="21"/>
        <v>0</v>
      </c>
      <c r="BE11" s="14" t="s">
        <v>2903</v>
      </c>
      <c r="BF11" s="86"/>
      <c r="BI11" s="41"/>
      <c r="BJ11" s="41"/>
      <c r="BL11" s="41">
        <f t="shared" si="22"/>
        <v>85200</v>
      </c>
    </row>
    <row r="12" spans="1:64" x14ac:dyDescent="0.25">
      <c r="A12" s="136">
        <f>COUNTIFS(C$8:C12,$C12)</f>
        <v>2</v>
      </c>
      <c r="B12" s="39" t="str">
        <f t="shared" si="7"/>
        <v>NĐ</v>
      </c>
      <c r="C12" s="39" t="str">
        <f t="shared" si="0"/>
        <v>104909 | 110000329</v>
      </c>
      <c r="D12" s="54" t="s">
        <v>2479</v>
      </c>
      <c r="E12" s="39" t="s">
        <v>2480</v>
      </c>
      <c r="F12" s="54" t="s">
        <v>273</v>
      </c>
      <c r="G12" s="39" t="s">
        <v>274</v>
      </c>
      <c r="H12" s="54" t="s">
        <v>2531</v>
      </c>
      <c r="I12" s="54" t="s">
        <v>2640</v>
      </c>
      <c r="J12" s="40">
        <v>114400</v>
      </c>
      <c r="K12" s="40"/>
      <c r="L12" s="93">
        <f t="shared" si="8"/>
        <v>114400</v>
      </c>
      <c r="M12" s="93">
        <f t="shared" si="9"/>
        <v>114400</v>
      </c>
      <c r="O12" s="40"/>
      <c r="P12" s="40">
        <f>IF($A12=1,MIN($M12,SUMIFS('Working-T05-B2'!$Q$8:$Q$150,'Working-T05-B2'!$D$8:$D$150,$C12)),MIN($M12,SUMIFS('Working-T05-B2'!$Q$8:$Q$150,'Working-T05-B2'!$D$8:$D$150,$C12)-SUMIFS(P$8:P11,C$8:C11,$C12)))</f>
        <v>0</v>
      </c>
      <c r="Q12" s="40"/>
      <c r="R12" s="40">
        <f t="shared" si="10"/>
        <v>0</v>
      </c>
      <c r="S12" s="41">
        <f t="shared" si="11"/>
        <v>-114400</v>
      </c>
      <c r="T12" s="42"/>
      <c r="U12" s="135">
        <v>33832.83</v>
      </c>
      <c r="V12" s="40"/>
      <c r="W12" s="40">
        <f t="shared" si="1"/>
        <v>0</v>
      </c>
      <c r="X12" s="41"/>
      <c r="Y12" s="40"/>
      <c r="Z12" s="131">
        <f t="shared" si="2"/>
        <v>1</v>
      </c>
      <c r="AA12" s="131">
        <f t="shared" si="2"/>
        <v>1</v>
      </c>
      <c r="AB12" s="40"/>
      <c r="AC12" s="41"/>
      <c r="AD12" s="40">
        <f t="shared" si="12"/>
        <v>0</v>
      </c>
      <c r="AE12" s="40">
        <f t="shared" si="13"/>
        <v>33832.83</v>
      </c>
      <c r="AF12" s="40">
        <f t="shared" si="13"/>
        <v>0</v>
      </c>
      <c r="AG12" s="40"/>
      <c r="AH12" s="41"/>
      <c r="AI12" s="43"/>
      <c r="AJ12" s="40">
        <f t="shared" si="14"/>
        <v>0</v>
      </c>
      <c r="AK12" s="40">
        <f t="shared" si="3"/>
        <v>0</v>
      </c>
      <c r="AL12" s="44">
        <f t="shared" si="15"/>
        <v>0</v>
      </c>
      <c r="AN12" s="40">
        <f t="shared" si="4"/>
        <v>0</v>
      </c>
      <c r="AO12" s="39"/>
      <c r="AP12" s="40">
        <f t="shared" si="16"/>
        <v>0</v>
      </c>
      <c r="AQ12" s="40">
        <f t="shared" si="5"/>
        <v>0</v>
      </c>
      <c r="AR12" s="39"/>
      <c r="AS12" s="40">
        <f t="shared" si="17"/>
        <v>0</v>
      </c>
      <c r="AU12" s="40">
        <f t="shared" si="18"/>
        <v>0</v>
      </c>
      <c r="AV12" s="39"/>
      <c r="AW12" s="40">
        <f t="shared" si="19"/>
        <v>0</v>
      </c>
      <c r="AX12" s="40">
        <f t="shared" si="6"/>
        <v>0</v>
      </c>
      <c r="AY12" s="39"/>
      <c r="AZ12" s="121">
        <f t="shared" si="20"/>
        <v>0</v>
      </c>
      <c r="BB12" s="149"/>
      <c r="BC12" s="152"/>
      <c r="BD12" s="153">
        <f t="shared" si="21"/>
        <v>0</v>
      </c>
      <c r="BE12" s="14" t="s">
        <v>2904</v>
      </c>
      <c r="BF12" s="86"/>
      <c r="BI12" s="41"/>
      <c r="BJ12" s="41"/>
      <c r="BL12" s="41">
        <f t="shared" si="22"/>
        <v>114400</v>
      </c>
    </row>
    <row r="13" spans="1:64" x14ac:dyDescent="0.25">
      <c r="A13" s="136">
        <f>COUNTIFS(C$8:C13,$C13)</f>
        <v>2</v>
      </c>
      <c r="B13" s="39" t="str">
        <f t="shared" si="7"/>
        <v>NĐ</v>
      </c>
      <c r="C13" s="39" t="str">
        <f t="shared" si="0"/>
        <v>105382 | 110000408</v>
      </c>
      <c r="D13" s="54" t="s">
        <v>2496</v>
      </c>
      <c r="E13" s="39" t="s">
        <v>2608</v>
      </c>
      <c r="F13" s="54" t="s">
        <v>54</v>
      </c>
      <c r="G13" s="39" t="s">
        <v>379</v>
      </c>
      <c r="H13" s="54" t="s">
        <v>2532</v>
      </c>
      <c r="I13" s="54" t="s">
        <v>2639</v>
      </c>
      <c r="J13" s="40">
        <v>60000</v>
      </c>
      <c r="K13" s="40"/>
      <c r="L13" s="93">
        <f t="shared" si="8"/>
        <v>60000</v>
      </c>
      <c r="M13" s="93">
        <f t="shared" si="9"/>
        <v>60000</v>
      </c>
      <c r="O13" s="40"/>
      <c r="P13" s="40">
        <f>IF($A13=1,MIN($M13,SUMIFS('Working-T05-B2'!$Q$8:$Q$150,'Working-T05-B2'!$D$8:$D$150,$C13)),MIN($M13,SUMIFS('Working-T05-B2'!$Q$8:$Q$150,'Working-T05-B2'!$D$8:$D$150,$C13)-SUMIFS(P$8:P12,C$8:C12,$C13)))</f>
        <v>0</v>
      </c>
      <c r="Q13" s="40"/>
      <c r="R13" s="40">
        <f t="shared" si="10"/>
        <v>0</v>
      </c>
      <c r="S13" s="41">
        <f t="shared" si="11"/>
        <v>-60000</v>
      </c>
      <c r="T13" s="42"/>
      <c r="U13" s="135">
        <v>16203.703703703703</v>
      </c>
      <c r="V13" s="40"/>
      <c r="W13" s="40">
        <f t="shared" si="1"/>
        <v>0</v>
      </c>
      <c r="X13" s="41"/>
      <c r="Y13" s="40"/>
      <c r="Z13" s="131">
        <f t="shared" si="2"/>
        <v>1</v>
      </c>
      <c r="AA13" s="131">
        <f t="shared" si="2"/>
        <v>1</v>
      </c>
      <c r="AB13" s="40"/>
      <c r="AC13" s="41"/>
      <c r="AD13" s="40">
        <f t="shared" si="12"/>
        <v>0</v>
      </c>
      <c r="AE13" s="40">
        <f t="shared" si="13"/>
        <v>16203.703703703703</v>
      </c>
      <c r="AF13" s="40">
        <f t="shared" si="13"/>
        <v>0</v>
      </c>
      <c r="AG13" s="40"/>
      <c r="AH13" s="41"/>
      <c r="AI13" s="43"/>
      <c r="AJ13" s="40">
        <f t="shared" si="14"/>
        <v>0</v>
      </c>
      <c r="AK13" s="40">
        <f t="shared" si="3"/>
        <v>0</v>
      </c>
      <c r="AL13" s="44">
        <f t="shared" si="15"/>
        <v>0</v>
      </c>
      <c r="AN13" s="40">
        <f t="shared" si="4"/>
        <v>267.99700000000001</v>
      </c>
      <c r="AO13" s="39"/>
      <c r="AP13" s="40">
        <f t="shared" si="16"/>
        <v>0</v>
      </c>
      <c r="AQ13" s="40">
        <f t="shared" si="5"/>
        <v>0</v>
      </c>
      <c r="AR13" s="39"/>
      <c r="AS13" s="40">
        <f t="shared" si="17"/>
        <v>0</v>
      </c>
      <c r="AU13" s="40">
        <f t="shared" si="18"/>
        <v>0</v>
      </c>
      <c r="AV13" s="39"/>
      <c r="AW13" s="40">
        <f t="shared" si="19"/>
        <v>0</v>
      </c>
      <c r="AX13" s="40">
        <f t="shared" si="6"/>
        <v>0</v>
      </c>
      <c r="AY13" s="39"/>
      <c r="AZ13" s="121">
        <f t="shared" si="20"/>
        <v>0</v>
      </c>
      <c r="BB13" s="149">
        <v>10.19</v>
      </c>
      <c r="BC13" s="152"/>
      <c r="BD13" s="153">
        <f t="shared" si="21"/>
        <v>10.19</v>
      </c>
      <c r="BE13" s="14" t="s">
        <v>2905</v>
      </c>
      <c r="BF13" s="86"/>
      <c r="BI13" s="41"/>
      <c r="BJ13" s="41"/>
      <c r="BL13" s="41">
        <f t="shared" si="22"/>
        <v>60000</v>
      </c>
    </row>
    <row r="14" spans="1:64" x14ac:dyDescent="0.25">
      <c r="A14" s="136">
        <f>COUNTIFS(C$8:C14,$C14)</f>
        <v>3</v>
      </c>
      <c r="B14" s="39" t="str">
        <f t="shared" si="7"/>
        <v>NĐ</v>
      </c>
      <c r="C14" s="39" t="str">
        <f t="shared" si="0"/>
        <v>105382 | 110000408</v>
      </c>
      <c r="D14" s="54" t="s">
        <v>2496</v>
      </c>
      <c r="E14" s="39" t="s">
        <v>2608</v>
      </c>
      <c r="F14" s="54" t="s">
        <v>54</v>
      </c>
      <c r="G14" s="39" t="s">
        <v>379</v>
      </c>
      <c r="H14" s="54" t="s">
        <v>2536</v>
      </c>
      <c r="I14" s="54" t="s">
        <v>2639</v>
      </c>
      <c r="J14" s="40">
        <v>30000</v>
      </c>
      <c r="K14" s="40"/>
      <c r="L14" s="93">
        <f t="shared" si="8"/>
        <v>30000</v>
      </c>
      <c r="M14" s="93">
        <f t="shared" si="9"/>
        <v>30000</v>
      </c>
      <c r="O14" s="40"/>
      <c r="P14" s="40">
        <f>IF($A14=1,MIN($M14,SUMIFS('Working-T05-B2'!$Q$8:$Q$150,'Working-T05-B2'!$D$8:$D$150,$C14)),MIN($M14,SUMIFS('Working-T05-B2'!$Q$8:$Q$150,'Working-T05-B2'!$D$8:$D$150,$C14)-SUMIFS(P$8:P13,C$8:C13,$C14)))</f>
        <v>0</v>
      </c>
      <c r="Q14" s="40"/>
      <c r="R14" s="40">
        <f t="shared" si="10"/>
        <v>0</v>
      </c>
      <c r="S14" s="41">
        <f t="shared" si="11"/>
        <v>-30000</v>
      </c>
      <c r="T14" s="42"/>
      <c r="U14" s="135">
        <v>16203.703703703703</v>
      </c>
      <c r="V14" s="40"/>
      <c r="W14" s="40">
        <f t="shared" si="1"/>
        <v>0</v>
      </c>
      <c r="X14" s="41"/>
      <c r="Y14" s="40"/>
      <c r="Z14" s="131">
        <f t="shared" si="2"/>
        <v>1</v>
      </c>
      <c r="AA14" s="131">
        <f t="shared" si="2"/>
        <v>1</v>
      </c>
      <c r="AB14" s="40"/>
      <c r="AC14" s="41"/>
      <c r="AD14" s="40">
        <f t="shared" si="12"/>
        <v>0</v>
      </c>
      <c r="AE14" s="40">
        <f t="shared" si="13"/>
        <v>16203.703703703703</v>
      </c>
      <c r="AF14" s="40">
        <f t="shared" si="13"/>
        <v>0</v>
      </c>
      <c r="AG14" s="40"/>
      <c r="AH14" s="41"/>
      <c r="AI14" s="43"/>
      <c r="AJ14" s="40">
        <f t="shared" si="14"/>
        <v>0</v>
      </c>
      <c r="AK14" s="40">
        <f t="shared" si="3"/>
        <v>0</v>
      </c>
      <c r="AL14" s="44">
        <f t="shared" si="15"/>
        <v>0</v>
      </c>
      <c r="AN14" s="40">
        <f t="shared" si="4"/>
        <v>267.99700000000001</v>
      </c>
      <c r="AO14" s="39"/>
      <c r="AP14" s="40">
        <f t="shared" si="16"/>
        <v>0</v>
      </c>
      <c r="AQ14" s="40">
        <f t="shared" si="5"/>
        <v>0</v>
      </c>
      <c r="AR14" s="39"/>
      <c r="AS14" s="40">
        <f t="shared" si="17"/>
        <v>0</v>
      </c>
      <c r="AU14" s="40">
        <f t="shared" si="18"/>
        <v>0</v>
      </c>
      <c r="AV14" s="39"/>
      <c r="AW14" s="40">
        <f t="shared" si="19"/>
        <v>0</v>
      </c>
      <c r="AX14" s="40">
        <f t="shared" si="6"/>
        <v>0</v>
      </c>
      <c r="AY14" s="39"/>
      <c r="AZ14" s="121">
        <f t="shared" si="20"/>
        <v>0</v>
      </c>
      <c r="BB14" s="149">
        <v>10.19</v>
      </c>
      <c r="BC14" s="152"/>
      <c r="BD14" s="153">
        <f t="shared" si="21"/>
        <v>10.19</v>
      </c>
      <c r="BF14" s="86"/>
      <c r="BI14" s="41"/>
      <c r="BJ14" s="41"/>
      <c r="BL14" s="41">
        <f t="shared" si="22"/>
        <v>30000</v>
      </c>
    </row>
    <row r="15" spans="1:64" x14ac:dyDescent="0.25">
      <c r="A15" s="136">
        <f>COUNTIFS(C$8:C15,$C15)</f>
        <v>1</v>
      </c>
      <c r="B15" s="39" t="str">
        <f t="shared" si="7"/>
        <v>NĐ</v>
      </c>
      <c r="C15" s="39" t="str">
        <f t="shared" si="0"/>
        <v>105324 | 110000409</v>
      </c>
      <c r="D15" s="54" t="s">
        <v>55</v>
      </c>
      <c r="E15" s="39" t="s">
        <v>56</v>
      </c>
      <c r="F15" s="54" t="s">
        <v>381</v>
      </c>
      <c r="G15" s="39" t="s">
        <v>382</v>
      </c>
      <c r="H15" s="54" t="s">
        <v>2537</v>
      </c>
      <c r="I15" s="54" t="s">
        <v>2640</v>
      </c>
      <c r="J15" s="40">
        <v>3000</v>
      </c>
      <c r="K15" s="40"/>
      <c r="L15" s="93">
        <f t="shared" si="8"/>
        <v>3000</v>
      </c>
      <c r="M15" s="93">
        <f t="shared" si="9"/>
        <v>3000</v>
      </c>
      <c r="O15" s="40"/>
      <c r="P15" s="40">
        <f>IF($A15=1,MIN($M15,SUMIFS('Working-T05-B2'!$Q$8:$Q$150,'Working-T05-B2'!$D$8:$D$150,$C15)),MIN($M15,SUMIFS('Working-T05-B2'!$Q$8:$Q$150,'Working-T05-B2'!$D$8:$D$150,$C15)-SUMIFS(P$8:P14,C$8:C14,$C15)))</f>
        <v>3000</v>
      </c>
      <c r="Q15" s="40"/>
      <c r="R15" s="40">
        <f t="shared" si="10"/>
        <v>3000</v>
      </c>
      <c r="S15" s="41">
        <f t="shared" si="11"/>
        <v>0</v>
      </c>
      <c r="T15" s="42"/>
      <c r="U15" s="135">
        <v>15740.740740740739</v>
      </c>
      <c r="V15" s="40"/>
      <c r="W15" s="40">
        <f t="shared" si="1"/>
        <v>15740.740740740739</v>
      </c>
      <c r="X15" s="41"/>
      <c r="Y15" s="40"/>
      <c r="Z15" s="131">
        <f t="shared" si="2"/>
        <v>1</v>
      </c>
      <c r="AA15" s="131">
        <f t="shared" si="2"/>
        <v>1</v>
      </c>
      <c r="AB15" s="40"/>
      <c r="AC15" s="41"/>
      <c r="AD15" s="40">
        <f t="shared" si="12"/>
        <v>0</v>
      </c>
      <c r="AE15" s="40">
        <f t="shared" si="13"/>
        <v>15740.740740740739</v>
      </c>
      <c r="AF15" s="40">
        <f t="shared" si="13"/>
        <v>0</v>
      </c>
      <c r="AG15" s="40"/>
      <c r="AH15" s="41"/>
      <c r="AI15" s="43"/>
      <c r="AJ15" s="40">
        <f t="shared" si="14"/>
        <v>47222222.222222216</v>
      </c>
      <c r="AK15" s="40">
        <f t="shared" si="3"/>
        <v>0</v>
      </c>
      <c r="AL15" s="44">
        <f t="shared" si="15"/>
        <v>47222222.222222216</v>
      </c>
      <c r="AN15" s="40">
        <f t="shared" si="4"/>
        <v>0</v>
      </c>
      <c r="AO15" s="39"/>
      <c r="AP15" s="40">
        <f t="shared" si="16"/>
        <v>0</v>
      </c>
      <c r="AQ15" s="40">
        <f t="shared" si="5"/>
        <v>0</v>
      </c>
      <c r="AR15" s="39"/>
      <c r="AS15" s="40">
        <f t="shared" si="17"/>
        <v>0</v>
      </c>
      <c r="AU15" s="40">
        <f t="shared" si="18"/>
        <v>0</v>
      </c>
      <c r="AV15" s="39"/>
      <c r="AW15" s="40">
        <f t="shared" si="19"/>
        <v>0</v>
      </c>
      <c r="AX15" s="40">
        <f t="shared" si="6"/>
        <v>0</v>
      </c>
      <c r="AY15" s="39"/>
      <c r="AZ15" s="121">
        <f t="shared" si="20"/>
        <v>0</v>
      </c>
      <c r="BB15" s="149"/>
      <c r="BC15" s="152"/>
      <c r="BD15" s="153">
        <f t="shared" si="21"/>
        <v>0</v>
      </c>
      <c r="BF15" s="86"/>
      <c r="BI15" s="41"/>
      <c r="BJ15" s="41"/>
      <c r="BL15" s="41">
        <f t="shared" si="22"/>
        <v>0</v>
      </c>
    </row>
    <row r="16" spans="1:64" x14ac:dyDescent="0.25">
      <c r="A16" s="136">
        <f>COUNTIFS(C$8:C16,$C16)</f>
        <v>1</v>
      </c>
      <c r="B16" s="39" t="str">
        <f t="shared" si="7"/>
        <v>NĐ</v>
      </c>
      <c r="C16" s="39" t="str">
        <f t="shared" si="0"/>
        <v>105324 | 110000410</v>
      </c>
      <c r="D16" s="54" t="s">
        <v>55</v>
      </c>
      <c r="E16" s="39" t="s">
        <v>56</v>
      </c>
      <c r="F16" s="54" t="s">
        <v>384</v>
      </c>
      <c r="G16" s="39" t="s">
        <v>385</v>
      </c>
      <c r="H16" s="54" t="s">
        <v>2537</v>
      </c>
      <c r="I16" s="54" t="s">
        <v>2640</v>
      </c>
      <c r="J16" s="40">
        <v>10500</v>
      </c>
      <c r="K16" s="40"/>
      <c r="L16" s="93">
        <f t="shared" si="8"/>
        <v>10500</v>
      </c>
      <c r="M16" s="93">
        <f t="shared" si="9"/>
        <v>10500</v>
      </c>
      <c r="O16" s="40"/>
      <c r="P16" s="40">
        <f>IF($A16=1,MIN($M16,SUMIFS('Working-T05-B2'!$Q$8:$Q$150,'Working-T05-B2'!$D$8:$D$150,$C16)),MIN($M16,SUMIFS('Working-T05-B2'!$Q$8:$Q$150,'Working-T05-B2'!$D$8:$D$150,$C16)-SUMIFS(P$8:P15,C$8:C15,$C16)))</f>
        <v>0</v>
      </c>
      <c r="Q16" s="40"/>
      <c r="R16" s="40">
        <f t="shared" si="10"/>
        <v>0</v>
      </c>
      <c r="S16" s="41">
        <f t="shared" si="11"/>
        <v>-10500</v>
      </c>
      <c r="T16" s="42"/>
      <c r="U16" s="135">
        <v>15740.740740740739</v>
      </c>
      <c r="V16" s="40"/>
      <c r="W16" s="40">
        <f t="shared" si="1"/>
        <v>0</v>
      </c>
      <c r="X16" s="41"/>
      <c r="Y16" s="40"/>
      <c r="Z16" s="131">
        <f t="shared" si="2"/>
        <v>1</v>
      </c>
      <c r="AA16" s="131">
        <f t="shared" si="2"/>
        <v>1</v>
      </c>
      <c r="AB16" s="40"/>
      <c r="AC16" s="41"/>
      <c r="AD16" s="40">
        <f t="shared" si="12"/>
        <v>0</v>
      </c>
      <c r="AE16" s="40">
        <f t="shared" si="13"/>
        <v>15740.740740740739</v>
      </c>
      <c r="AF16" s="40">
        <f t="shared" si="13"/>
        <v>0</v>
      </c>
      <c r="AG16" s="40"/>
      <c r="AH16" s="41"/>
      <c r="AI16" s="43"/>
      <c r="AJ16" s="40">
        <f t="shared" si="14"/>
        <v>0</v>
      </c>
      <c r="AK16" s="40">
        <f t="shared" si="3"/>
        <v>0</v>
      </c>
      <c r="AL16" s="44">
        <f t="shared" si="15"/>
        <v>0</v>
      </c>
      <c r="AN16" s="40">
        <f t="shared" si="4"/>
        <v>0</v>
      </c>
      <c r="AO16" s="39"/>
      <c r="AP16" s="40">
        <f t="shared" si="16"/>
        <v>0</v>
      </c>
      <c r="AQ16" s="40">
        <f t="shared" si="5"/>
        <v>0</v>
      </c>
      <c r="AR16" s="39"/>
      <c r="AS16" s="40">
        <f t="shared" si="17"/>
        <v>0</v>
      </c>
      <c r="AU16" s="40">
        <f t="shared" si="18"/>
        <v>0</v>
      </c>
      <c r="AV16" s="39"/>
      <c r="AW16" s="40">
        <f t="shared" si="19"/>
        <v>0</v>
      </c>
      <c r="AX16" s="40">
        <f t="shared" si="6"/>
        <v>0</v>
      </c>
      <c r="AY16" s="39"/>
      <c r="AZ16" s="121">
        <f t="shared" si="20"/>
        <v>0</v>
      </c>
      <c r="BB16" s="149"/>
      <c r="BC16" s="152"/>
      <c r="BD16" s="153">
        <f t="shared" si="21"/>
        <v>0</v>
      </c>
      <c r="BF16" s="86"/>
      <c r="BI16" s="41"/>
      <c r="BJ16" s="41"/>
      <c r="BL16" s="41">
        <f t="shared" si="22"/>
        <v>10500</v>
      </c>
    </row>
    <row r="17" spans="1:64" x14ac:dyDescent="0.25">
      <c r="A17" s="136">
        <f>COUNTIFS(C$8:C17,$C17)</f>
        <v>1</v>
      </c>
      <c r="B17" s="39" t="str">
        <f t="shared" si="7"/>
        <v>NĐ</v>
      </c>
      <c r="C17" s="39" t="str">
        <f t="shared" si="0"/>
        <v>105324 | 110000407</v>
      </c>
      <c r="D17" s="54" t="s">
        <v>55</v>
      </c>
      <c r="E17" s="39" t="s">
        <v>56</v>
      </c>
      <c r="F17" s="54" t="s">
        <v>260</v>
      </c>
      <c r="G17" s="39" t="s">
        <v>376</v>
      </c>
      <c r="H17" s="54" t="s">
        <v>2537</v>
      </c>
      <c r="I17" s="54" t="s">
        <v>2640</v>
      </c>
      <c r="J17" s="40">
        <v>18000</v>
      </c>
      <c r="K17" s="40"/>
      <c r="L17" s="93">
        <f t="shared" si="8"/>
        <v>18000</v>
      </c>
      <c r="M17" s="93">
        <f t="shared" si="9"/>
        <v>18000</v>
      </c>
      <c r="O17" s="40"/>
      <c r="P17" s="40">
        <f>IF($A17=1,MIN($M17,SUMIFS('Working-T05-B2'!$Q$8:$Q$150,'Working-T05-B2'!$D$8:$D$150,$C17)),MIN($M17,SUMIFS('Working-T05-B2'!$Q$8:$Q$150,'Working-T05-B2'!$D$8:$D$150,$C17)-SUMIFS(P$8:P16,C$8:C16,$C17)))</f>
        <v>12000</v>
      </c>
      <c r="Q17" s="40"/>
      <c r="R17" s="40">
        <f t="shared" si="10"/>
        <v>12000</v>
      </c>
      <c r="S17" s="41">
        <f t="shared" si="11"/>
        <v>-6000</v>
      </c>
      <c r="T17" s="42"/>
      <c r="U17" s="135">
        <v>15740.740740740739</v>
      </c>
      <c r="V17" s="40"/>
      <c r="W17" s="40">
        <f t="shared" si="1"/>
        <v>15740.740740740739</v>
      </c>
      <c r="X17" s="41"/>
      <c r="Y17" s="40"/>
      <c r="Z17" s="131">
        <f t="shared" si="2"/>
        <v>1</v>
      </c>
      <c r="AA17" s="131">
        <f t="shared" si="2"/>
        <v>1</v>
      </c>
      <c r="AB17" s="40"/>
      <c r="AC17" s="41"/>
      <c r="AD17" s="40">
        <f t="shared" si="12"/>
        <v>0</v>
      </c>
      <c r="AE17" s="40">
        <f t="shared" si="13"/>
        <v>15740.740740740739</v>
      </c>
      <c r="AF17" s="40">
        <f t="shared" si="13"/>
        <v>0</v>
      </c>
      <c r="AG17" s="40"/>
      <c r="AH17" s="41"/>
      <c r="AI17" s="43"/>
      <c r="AJ17" s="40">
        <f t="shared" si="14"/>
        <v>188888888.88888887</v>
      </c>
      <c r="AK17" s="40">
        <f t="shared" si="3"/>
        <v>0</v>
      </c>
      <c r="AL17" s="44">
        <f t="shared" si="15"/>
        <v>188888888.88888887</v>
      </c>
      <c r="AN17" s="40">
        <f t="shared" si="4"/>
        <v>0</v>
      </c>
      <c r="AO17" s="39"/>
      <c r="AP17" s="40">
        <f t="shared" si="16"/>
        <v>0</v>
      </c>
      <c r="AQ17" s="40">
        <f t="shared" si="5"/>
        <v>0</v>
      </c>
      <c r="AR17" s="39"/>
      <c r="AS17" s="40">
        <f t="shared" si="17"/>
        <v>0</v>
      </c>
      <c r="AU17" s="40">
        <f t="shared" si="18"/>
        <v>0</v>
      </c>
      <c r="AV17" s="39"/>
      <c r="AW17" s="40">
        <f t="shared" si="19"/>
        <v>0</v>
      </c>
      <c r="AX17" s="40">
        <f t="shared" si="6"/>
        <v>0</v>
      </c>
      <c r="AY17" s="39"/>
      <c r="AZ17" s="121">
        <f t="shared" si="20"/>
        <v>0</v>
      </c>
      <c r="BB17" s="149"/>
      <c r="BC17" s="152"/>
      <c r="BD17" s="153">
        <f t="shared" si="21"/>
        <v>0</v>
      </c>
      <c r="BE17" s="14" t="s">
        <v>2904</v>
      </c>
      <c r="BF17" s="86"/>
      <c r="BI17" s="41"/>
      <c r="BJ17" s="41"/>
      <c r="BL17" s="41">
        <f t="shared" si="22"/>
        <v>6000</v>
      </c>
    </row>
    <row r="18" spans="1:64" x14ac:dyDescent="0.25">
      <c r="A18" s="136">
        <f>COUNTIFS(C$8:C18,$C18)</f>
        <v>2</v>
      </c>
      <c r="B18" s="39" t="str">
        <f t="shared" si="7"/>
        <v>NĐ</v>
      </c>
      <c r="C18" s="39" t="str">
        <f t="shared" si="0"/>
        <v>105382 | 160012611</v>
      </c>
      <c r="D18" s="54" t="s">
        <v>2496</v>
      </c>
      <c r="E18" s="39" t="s">
        <v>2608</v>
      </c>
      <c r="F18" s="54" t="s">
        <v>257</v>
      </c>
      <c r="G18" s="39" t="s">
        <v>2604</v>
      </c>
      <c r="H18" s="54" t="s">
        <v>2538</v>
      </c>
      <c r="I18" s="54" t="s">
        <v>2640</v>
      </c>
      <c r="J18" s="40">
        <v>15000</v>
      </c>
      <c r="K18" s="40"/>
      <c r="L18" s="93">
        <f t="shared" si="8"/>
        <v>15000</v>
      </c>
      <c r="M18" s="93">
        <f t="shared" si="9"/>
        <v>15000</v>
      </c>
      <c r="O18" s="40"/>
      <c r="P18" s="40">
        <f>IF($A18=1,MIN($M18,SUMIFS('Working-T05-B2'!$Q$8:$Q$150,'Working-T05-B2'!$D$8:$D$150,$C18)),MIN($M18,SUMIFS('Working-T05-B2'!$Q$8:$Q$150,'Working-T05-B2'!$D$8:$D$150,$C18)-SUMIFS(P$8:P17,C$8:C17,$C18)))</f>
        <v>0</v>
      </c>
      <c r="Q18" s="40"/>
      <c r="R18" s="40">
        <f t="shared" si="10"/>
        <v>0</v>
      </c>
      <c r="S18" s="41">
        <f t="shared" si="11"/>
        <v>-15000</v>
      </c>
      <c r="T18" s="42"/>
      <c r="U18" s="135">
        <v>15740.740740740739</v>
      </c>
      <c r="V18" s="40"/>
      <c r="W18" s="40">
        <f t="shared" si="1"/>
        <v>0</v>
      </c>
      <c r="X18" s="41"/>
      <c r="Y18" s="40"/>
      <c r="Z18" s="131">
        <f t="shared" si="2"/>
        <v>1</v>
      </c>
      <c r="AA18" s="131">
        <f t="shared" si="2"/>
        <v>1</v>
      </c>
      <c r="AB18" s="40"/>
      <c r="AC18" s="41"/>
      <c r="AD18" s="40">
        <f t="shared" si="12"/>
        <v>0</v>
      </c>
      <c r="AE18" s="40">
        <f>U18*Z18</f>
        <v>15740.740740740739</v>
      </c>
      <c r="AF18" s="40">
        <f t="shared" si="13"/>
        <v>0</v>
      </c>
      <c r="AG18" s="40"/>
      <c r="AH18" s="41"/>
      <c r="AI18" s="43"/>
      <c r="AJ18" s="40">
        <f t="shared" si="14"/>
        <v>0</v>
      </c>
      <c r="AK18" s="40">
        <f t="shared" si="3"/>
        <v>0</v>
      </c>
      <c r="AL18" s="44">
        <f t="shared" si="15"/>
        <v>0</v>
      </c>
      <c r="AN18" s="40">
        <f t="shared" si="4"/>
        <v>0</v>
      </c>
      <c r="AO18" s="39"/>
      <c r="AP18" s="40">
        <f t="shared" si="16"/>
        <v>0</v>
      </c>
      <c r="AQ18" s="40">
        <f t="shared" si="5"/>
        <v>0</v>
      </c>
      <c r="AR18" s="39"/>
      <c r="AS18" s="40">
        <f t="shared" si="17"/>
        <v>0</v>
      </c>
      <c r="AU18" s="40">
        <f t="shared" si="18"/>
        <v>0</v>
      </c>
      <c r="AV18" s="39"/>
      <c r="AW18" s="40">
        <f t="shared" si="19"/>
        <v>0</v>
      </c>
      <c r="AX18" s="40">
        <f t="shared" si="6"/>
        <v>0</v>
      </c>
      <c r="AY18" s="39"/>
      <c r="AZ18" s="121">
        <f t="shared" si="20"/>
        <v>0</v>
      </c>
      <c r="BB18" s="149"/>
      <c r="BC18" s="152"/>
      <c r="BD18" s="153">
        <f t="shared" si="21"/>
        <v>0</v>
      </c>
      <c r="BF18" s="86"/>
      <c r="BI18" s="41"/>
      <c r="BJ18" s="41"/>
      <c r="BL18" s="41">
        <f t="shared" si="22"/>
        <v>15000</v>
      </c>
    </row>
    <row r="19" spans="1:64" x14ac:dyDescent="0.25">
      <c r="A19" s="136">
        <f>COUNTIFS(C$8:C19,$C19)</f>
        <v>2</v>
      </c>
      <c r="B19" s="39" t="str">
        <f t="shared" si="7"/>
        <v>NĐ</v>
      </c>
      <c r="C19" s="39" t="str">
        <f t="shared" si="0"/>
        <v>105324 | 110000407</v>
      </c>
      <c r="D19" s="54" t="s">
        <v>55</v>
      </c>
      <c r="E19" s="39" t="s">
        <v>56</v>
      </c>
      <c r="F19" s="54" t="s">
        <v>260</v>
      </c>
      <c r="G19" s="39" t="s">
        <v>376</v>
      </c>
      <c r="H19" s="54" t="s">
        <v>2548</v>
      </c>
      <c r="I19" s="54" t="s">
        <v>2640</v>
      </c>
      <c r="J19" s="40">
        <v>6000</v>
      </c>
      <c r="K19" s="40"/>
      <c r="L19" s="93">
        <f t="shared" si="8"/>
        <v>6000</v>
      </c>
      <c r="M19" s="93">
        <f t="shared" si="9"/>
        <v>6000</v>
      </c>
      <c r="O19" s="40"/>
      <c r="P19" s="40">
        <f>IF($A19=1,MIN($M19,SUMIFS('Working-T05-B2'!$Q$8:$Q$150,'Working-T05-B2'!$D$8:$D$150,$C19)),MIN($M19,SUMIFS('Working-T05-B2'!$Q$8:$Q$150,'Working-T05-B2'!$D$8:$D$150,$C19)-SUMIFS(P$8:P18,C$8:C18,$C19)))</f>
        <v>0</v>
      </c>
      <c r="Q19" s="40"/>
      <c r="R19" s="40">
        <f t="shared" si="10"/>
        <v>0</v>
      </c>
      <c r="S19" s="41">
        <f t="shared" si="11"/>
        <v>-6000</v>
      </c>
      <c r="T19" s="42"/>
      <c r="U19" s="135">
        <v>16203.703703703703</v>
      </c>
      <c r="V19" s="40"/>
      <c r="W19" s="40">
        <f t="shared" si="1"/>
        <v>0</v>
      </c>
      <c r="X19" s="41"/>
      <c r="Y19" s="40"/>
      <c r="Z19" s="131">
        <f t="shared" si="2"/>
        <v>1</v>
      </c>
      <c r="AA19" s="131">
        <f t="shared" si="2"/>
        <v>1</v>
      </c>
      <c r="AB19" s="40"/>
      <c r="AC19" s="41"/>
      <c r="AD19" s="40">
        <f t="shared" si="12"/>
        <v>0</v>
      </c>
      <c r="AE19" s="40">
        <f t="shared" si="13"/>
        <v>16203.703703703703</v>
      </c>
      <c r="AF19" s="40">
        <f t="shared" si="13"/>
        <v>0</v>
      </c>
      <c r="AG19" s="40"/>
      <c r="AH19" s="41"/>
      <c r="AI19" s="43"/>
      <c r="AJ19" s="40">
        <f t="shared" si="14"/>
        <v>0</v>
      </c>
      <c r="AK19" s="40">
        <f t="shared" si="3"/>
        <v>0</v>
      </c>
      <c r="AL19" s="44">
        <f t="shared" si="15"/>
        <v>0</v>
      </c>
      <c r="AN19" s="40">
        <f t="shared" si="4"/>
        <v>140.17794800000001</v>
      </c>
      <c r="AO19" s="39"/>
      <c r="AP19" s="40">
        <f t="shared" si="16"/>
        <v>0</v>
      </c>
      <c r="AQ19" s="40">
        <f t="shared" si="5"/>
        <v>0</v>
      </c>
      <c r="AR19" s="39"/>
      <c r="AS19" s="40">
        <f t="shared" si="17"/>
        <v>0</v>
      </c>
      <c r="AU19" s="40">
        <f t="shared" si="18"/>
        <v>0</v>
      </c>
      <c r="AV19" s="39"/>
      <c r="AW19" s="40">
        <f t="shared" si="19"/>
        <v>0</v>
      </c>
      <c r="AX19" s="40">
        <f t="shared" si="6"/>
        <v>0</v>
      </c>
      <c r="AY19" s="39"/>
      <c r="AZ19" s="121">
        <f t="shared" si="20"/>
        <v>0</v>
      </c>
      <c r="BB19" s="149">
        <v>5.3299599999999998</v>
      </c>
      <c r="BC19" s="152"/>
      <c r="BD19" s="153">
        <f t="shared" si="21"/>
        <v>5.3299599999999998</v>
      </c>
      <c r="BF19" s="86"/>
      <c r="BI19" s="41"/>
      <c r="BJ19" s="41"/>
      <c r="BL19" s="41">
        <f t="shared" si="22"/>
        <v>6000</v>
      </c>
    </row>
    <row r="20" spans="1:64" x14ac:dyDescent="0.25">
      <c r="A20" s="136">
        <f>COUNTIFS(C$8:C20,$C20)</f>
        <v>1</v>
      </c>
      <c r="B20" s="39" t="str">
        <f t="shared" si="7"/>
        <v>NĐ</v>
      </c>
      <c r="C20" s="39" t="str">
        <f t="shared" si="0"/>
        <v>105349 | 110000341</v>
      </c>
      <c r="D20" s="54" t="s">
        <v>51</v>
      </c>
      <c r="E20" s="39" t="s">
        <v>52</v>
      </c>
      <c r="F20" s="54" t="s">
        <v>53</v>
      </c>
      <c r="G20" s="39" t="s">
        <v>831</v>
      </c>
      <c r="H20" s="54" t="s">
        <v>2558</v>
      </c>
      <c r="I20" s="54" t="s">
        <v>2640</v>
      </c>
      <c r="J20" s="40">
        <v>30500</v>
      </c>
      <c r="K20" s="40"/>
      <c r="L20" s="93">
        <f t="shared" si="8"/>
        <v>30500</v>
      </c>
      <c r="M20" s="93">
        <f t="shared" si="9"/>
        <v>30500</v>
      </c>
      <c r="O20" s="40"/>
      <c r="P20" s="40">
        <f>IF($A20=1,MIN($M20,SUMIFS('Working-T05-B2'!$Q$8:$Q$150,'Working-T05-B2'!$D$8:$D$150,$C20)),MIN($M20,SUMIFS('Working-T05-B2'!$Q$8:$Q$150,'Working-T05-B2'!$D$8:$D$150,$C20)-SUMIFS(P$8:P19,C$8:C19,$C20)))</f>
        <v>30000</v>
      </c>
      <c r="Q20" s="40"/>
      <c r="R20" s="40">
        <f t="shared" si="10"/>
        <v>30000</v>
      </c>
      <c r="S20" s="41">
        <f t="shared" si="11"/>
        <v>-500</v>
      </c>
      <c r="T20" s="42"/>
      <c r="U20" s="135">
        <v>16203.703703703703</v>
      </c>
      <c r="V20" s="40"/>
      <c r="W20" s="40">
        <f t="shared" si="1"/>
        <v>16203.703703703704</v>
      </c>
      <c r="X20" s="41"/>
      <c r="Y20" s="40"/>
      <c r="Z20" s="131">
        <f t="shared" si="2"/>
        <v>1</v>
      </c>
      <c r="AA20" s="131">
        <f t="shared" si="2"/>
        <v>1</v>
      </c>
      <c r="AB20" s="40"/>
      <c r="AC20" s="41"/>
      <c r="AD20" s="40">
        <f t="shared" si="12"/>
        <v>0</v>
      </c>
      <c r="AE20" s="40">
        <f t="shared" si="13"/>
        <v>16203.703703703703</v>
      </c>
      <c r="AF20" s="40">
        <f t="shared" si="13"/>
        <v>0</v>
      </c>
      <c r="AG20" s="40"/>
      <c r="AH20" s="41"/>
      <c r="AI20" s="43"/>
      <c r="AJ20" s="40">
        <f t="shared" si="14"/>
        <v>486111111.1111111</v>
      </c>
      <c r="AK20" s="40">
        <f t="shared" si="3"/>
        <v>0</v>
      </c>
      <c r="AL20" s="44">
        <f t="shared" si="15"/>
        <v>486111111.1111111</v>
      </c>
      <c r="AN20" s="40">
        <f t="shared" si="4"/>
        <v>0</v>
      </c>
      <c r="AO20" s="39"/>
      <c r="AP20" s="40">
        <f t="shared" si="16"/>
        <v>0</v>
      </c>
      <c r="AQ20" s="40">
        <f t="shared" si="5"/>
        <v>0</v>
      </c>
      <c r="AR20" s="39"/>
      <c r="AS20" s="40">
        <f t="shared" si="17"/>
        <v>0</v>
      </c>
      <c r="AU20" s="40">
        <f t="shared" si="18"/>
        <v>0</v>
      </c>
      <c r="AV20" s="39"/>
      <c r="AW20" s="40">
        <f t="shared" si="19"/>
        <v>0</v>
      </c>
      <c r="AX20" s="40">
        <f t="shared" si="6"/>
        <v>0</v>
      </c>
      <c r="AY20" s="39"/>
      <c r="AZ20" s="121">
        <f t="shared" si="20"/>
        <v>0</v>
      </c>
      <c r="BB20" s="149"/>
      <c r="BC20" s="152"/>
      <c r="BD20" s="153">
        <f t="shared" si="21"/>
        <v>0</v>
      </c>
      <c r="BF20" s="86"/>
      <c r="BI20" s="41"/>
      <c r="BJ20" s="41"/>
      <c r="BL20" s="41">
        <f t="shared" si="22"/>
        <v>500</v>
      </c>
    </row>
    <row r="21" spans="1:64" x14ac:dyDescent="0.25">
      <c r="A21" s="136">
        <f>COUNTIFS(C$8:C21,$C21)</f>
        <v>1</v>
      </c>
      <c r="B21" s="39" t="str">
        <f t="shared" si="7"/>
        <v>NĐ</v>
      </c>
      <c r="C21" s="39" t="str">
        <f t="shared" si="0"/>
        <v>1000 | 110000360</v>
      </c>
      <c r="D21" s="54" t="s">
        <v>8</v>
      </c>
      <c r="E21" s="39" t="s">
        <v>2616</v>
      </c>
      <c r="F21" s="54" t="s">
        <v>44</v>
      </c>
      <c r="G21" s="39" t="s">
        <v>305</v>
      </c>
      <c r="H21" s="54" t="s">
        <v>2561</v>
      </c>
      <c r="I21" s="54" t="s">
        <v>2640</v>
      </c>
      <c r="J21" s="40">
        <v>11000</v>
      </c>
      <c r="K21" s="40"/>
      <c r="L21" s="93">
        <f t="shared" si="8"/>
        <v>11000</v>
      </c>
      <c r="M21" s="93">
        <f t="shared" si="9"/>
        <v>11000</v>
      </c>
      <c r="O21" s="40"/>
      <c r="P21" s="40">
        <f>IF($A21=1,MIN($M21,SUMIFS('Working-T05-B2'!$Q$8:$Q$150,'Working-T05-B2'!$D$8:$D$150,$C21)),MIN($M21,SUMIFS('Working-T05-B2'!$Q$8:$Q$150,'Working-T05-B2'!$D$8:$D$150,$C21)-SUMIFS(P$8:P20,C$8:C20,$C21)))</f>
        <v>0</v>
      </c>
      <c r="Q21" s="40"/>
      <c r="R21" s="40">
        <f t="shared" si="10"/>
        <v>0</v>
      </c>
      <c r="S21" s="41">
        <f t="shared" si="11"/>
        <v>-11000</v>
      </c>
      <c r="T21" s="42"/>
      <c r="U21" s="135">
        <v>31373</v>
      </c>
      <c r="V21" s="40"/>
      <c r="W21" s="40">
        <f t="shared" si="1"/>
        <v>0</v>
      </c>
      <c r="X21" s="41"/>
      <c r="Y21" s="40"/>
      <c r="Z21" s="131">
        <f t="shared" si="2"/>
        <v>1</v>
      </c>
      <c r="AA21" s="131">
        <f t="shared" si="2"/>
        <v>1</v>
      </c>
      <c r="AB21" s="40"/>
      <c r="AC21" s="41"/>
      <c r="AD21" s="40">
        <f t="shared" si="12"/>
        <v>0</v>
      </c>
      <c r="AE21" s="40">
        <f t="shared" si="13"/>
        <v>31373</v>
      </c>
      <c r="AF21" s="40">
        <f t="shared" si="13"/>
        <v>0</v>
      </c>
      <c r="AG21" s="40"/>
      <c r="AH21" s="41"/>
      <c r="AI21" s="43"/>
      <c r="AJ21" s="40">
        <f t="shared" si="14"/>
        <v>0</v>
      </c>
      <c r="AK21" s="40">
        <f t="shared" si="3"/>
        <v>0</v>
      </c>
      <c r="AL21" s="44">
        <f t="shared" si="15"/>
        <v>0</v>
      </c>
      <c r="AN21" s="40">
        <f t="shared" si="4"/>
        <v>0</v>
      </c>
      <c r="AO21" s="39"/>
      <c r="AP21" s="40">
        <f t="shared" si="16"/>
        <v>0</v>
      </c>
      <c r="AQ21" s="40">
        <f t="shared" si="5"/>
        <v>0</v>
      </c>
      <c r="AR21" s="39"/>
      <c r="AS21" s="40">
        <f t="shared" si="17"/>
        <v>0</v>
      </c>
      <c r="AU21" s="40">
        <f t="shared" si="18"/>
        <v>0</v>
      </c>
      <c r="AV21" s="39"/>
      <c r="AW21" s="40">
        <f t="shared" si="19"/>
        <v>0</v>
      </c>
      <c r="AX21" s="40">
        <f t="shared" si="6"/>
        <v>0</v>
      </c>
      <c r="AY21" s="39"/>
      <c r="AZ21" s="121">
        <f t="shared" si="20"/>
        <v>0</v>
      </c>
      <c r="BB21" s="149"/>
      <c r="BC21" s="152"/>
      <c r="BD21" s="153">
        <f t="shared" si="21"/>
        <v>0</v>
      </c>
      <c r="BF21" s="86"/>
      <c r="BI21" s="41"/>
      <c r="BJ21" s="41"/>
      <c r="BL21" s="41">
        <f t="shared" si="22"/>
        <v>11000</v>
      </c>
    </row>
    <row r="22" spans="1:64" x14ac:dyDescent="0.25">
      <c r="A22" s="136">
        <f>COUNTIFS(C$8:C22,$C22)</f>
        <v>1</v>
      </c>
      <c r="B22" s="39" t="str">
        <f t="shared" si="7"/>
        <v>NĐ</v>
      </c>
      <c r="C22" s="39" t="str">
        <f t="shared" si="0"/>
        <v>105229 | 160012801</v>
      </c>
      <c r="D22" s="54" t="s">
        <v>2629</v>
      </c>
      <c r="E22" s="39" t="s">
        <v>2617</v>
      </c>
      <c r="F22" s="54" t="s">
        <v>1898</v>
      </c>
      <c r="G22" s="39" t="s">
        <v>1899</v>
      </c>
      <c r="H22" s="54" t="s">
        <v>2563</v>
      </c>
      <c r="I22" s="54" t="s">
        <v>2640</v>
      </c>
      <c r="J22" s="40">
        <v>5000</v>
      </c>
      <c r="K22" s="40"/>
      <c r="L22" s="93">
        <f t="shared" si="8"/>
        <v>5000</v>
      </c>
      <c r="M22" s="93">
        <f t="shared" si="9"/>
        <v>5000</v>
      </c>
      <c r="O22" s="40"/>
      <c r="P22" s="40">
        <f>IF($A22=1,MIN($M22,SUMIFS('Working-T05-B2'!$Q$8:$Q$150,'Working-T05-B2'!$D$8:$D$150,$C22)),MIN($M22,SUMIFS('Working-T05-B2'!$Q$8:$Q$150,'Working-T05-B2'!$D$8:$D$150,$C22)-SUMIFS(P$8:P21,C$8:C21,$C22)))</f>
        <v>0</v>
      </c>
      <c r="Q22" s="40"/>
      <c r="R22" s="40">
        <f t="shared" si="10"/>
        <v>0</v>
      </c>
      <c r="S22" s="41">
        <f t="shared" si="11"/>
        <v>-5000</v>
      </c>
      <c r="T22" s="42"/>
      <c r="U22" s="135">
        <v>13000</v>
      </c>
      <c r="V22" s="40"/>
      <c r="W22" s="40">
        <f t="shared" si="1"/>
        <v>0</v>
      </c>
      <c r="X22" s="41"/>
      <c r="Y22" s="40"/>
      <c r="Z22" s="131">
        <f t="shared" si="2"/>
        <v>1</v>
      </c>
      <c r="AA22" s="131">
        <f t="shared" si="2"/>
        <v>1</v>
      </c>
      <c r="AB22" s="40"/>
      <c r="AC22" s="41"/>
      <c r="AD22" s="40">
        <f t="shared" si="12"/>
        <v>0</v>
      </c>
      <c r="AE22" s="40">
        <f t="shared" si="13"/>
        <v>13000</v>
      </c>
      <c r="AF22" s="40">
        <f t="shared" si="13"/>
        <v>0</v>
      </c>
      <c r="AG22" s="40"/>
      <c r="AH22" s="41"/>
      <c r="AI22" s="43"/>
      <c r="AJ22" s="40">
        <f t="shared" si="14"/>
        <v>0</v>
      </c>
      <c r="AK22" s="40">
        <f t="shared" si="3"/>
        <v>0</v>
      </c>
      <c r="AL22" s="44">
        <f t="shared" si="15"/>
        <v>0</v>
      </c>
      <c r="AN22" s="40">
        <f t="shared" si="4"/>
        <v>0</v>
      </c>
      <c r="AO22" s="39"/>
      <c r="AP22" s="40">
        <f t="shared" si="16"/>
        <v>0</v>
      </c>
      <c r="AQ22" s="40">
        <f t="shared" si="5"/>
        <v>0</v>
      </c>
      <c r="AR22" s="39"/>
      <c r="AS22" s="40">
        <f t="shared" si="17"/>
        <v>0</v>
      </c>
      <c r="AU22" s="40">
        <f t="shared" si="18"/>
        <v>0</v>
      </c>
      <c r="AV22" s="39"/>
      <c r="AW22" s="40">
        <f t="shared" si="19"/>
        <v>0</v>
      </c>
      <c r="AX22" s="40">
        <f t="shared" si="6"/>
        <v>0</v>
      </c>
      <c r="AY22" s="39"/>
      <c r="AZ22" s="121">
        <f t="shared" si="20"/>
        <v>0</v>
      </c>
      <c r="BB22" s="149"/>
      <c r="BC22" s="152"/>
      <c r="BD22" s="153">
        <f t="shared" si="21"/>
        <v>0</v>
      </c>
      <c r="BE22" s="14" t="s">
        <v>2906</v>
      </c>
      <c r="BF22" s="86"/>
      <c r="BI22" s="41"/>
      <c r="BJ22" s="41"/>
      <c r="BL22" s="41">
        <f t="shared" si="22"/>
        <v>5000</v>
      </c>
    </row>
    <row r="23" spans="1:64" x14ac:dyDescent="0.25">
      <c r="A23" s="136">
        <f>COUNTIFS(C$8:C23,$C23)</f>
        <v>1</v>
      </c>
      <c r="B23" s="39" t="str">
        <f t="shared" si="7"/>
        <v>NĐ</v>
      </c>
      <c r="C23" s="39" t="str">
        <f t="shared" si="0"/>
        <v>105339 | 110000364</v>
      </c>
      <c r="D23" s="54" t="s">
        <v>57</v>
      </c>
      <c r="E23" s="39" t="s">
        <v>58</v>
      </c>
      <c r="F23" s="54" t="s">
        <v>263</v>
      </c>
      <c r="G23" s="39" t="s">
        <v>315</v>
      </c>
      <c r="H23" s="54" t="s">
        <v>2564</v>
      </c>
      <c r="I23" s="148" t="s">
        <v>2639</v>
      </c>
      <c r="J23" s="40">
        <v>33000</v>
      </c>
      <c r="K23" s="40"/>
      <c r="L23" s="93">
        <f t="shared" si="8"/>
        <v>33000</v>
      </c>
      <c r="M23" s="93">
        <f t="shared" si="9"/>
        <v>33000</v>
      </c>
      <c r="O23" s="40"/>
      <c r="P23" s="40">
        <f>IF($A23=1,MIN($M23,SUMIFS('Working-T05-B2'!$Q$8:$Q$150,'Working-T05-B2'!$D$8:$D$150,$C23)),MIN($M23,SUMIFS('Working-T05-B2'!$Q$8:$Q$150,'Working-T05-B2'!$D$8:$D$150,$C23)-SUMIFS(P$8:P22,C$8:C22,$C23)))</f>
        <v>0</v>
      </c>
      <c r="Q23" s="40"/>
      <c r="R23" s="40">
        <f t="shared" si="10"/>
        <v>0</v>
      </c>
      <c r="S23" s="41">
        <f t="shared" si="11"/>
        <v>-33000</v>
      </c>
      <c r="T23" s="42"/>
      <c r="U23" s="135">
        <v>20700</v>
      </c>
      <c r="V23" s="40"/>
      <c r="W23" s="40">
        <f t="shared" si="1"/>
        <v>0</v>
      </c>
      <c r="X23" s="41"/>
      <c r="Y23" s="40"/>
      <c r="Z23" s="131">
        <f t="shared" si="2"/>
        <v>1</v>
      </c>
      <c r="AA23" s="131">
        <f t="shared" si="2"/>
        <v>1</v>
      </c>
      <c r="AB23" s="40"/>
      <c r="AC23" s="41"/>
      <c r="AD23" s="40">
        <f t="shared" si="12"/>
        <v>0</v>
      </c>
      <c r="AE23" s="40">
        <f t="shared" si="13"/>
        <v>20700</v>
      </c>
      <c r="AF23" s="40">
        <f t="shared" si="13"/>
        <v>0</v>
      </c>
      <c r="AG23" s="40"/>
      <c r="AH23" s="41"/>
      <c r="AI23" s="43"/>
      <c r="AJ23" s="40">
        <f t="shared" si="14"/>
        <v>0</v>
      </c>
      <c r="AK23" s="40">
        <f t="shared" si="3"/>
        <v>0</v>
      </c>
      <c r="AL23" s="44">
        <f t="shared" si="15"/>
        <v>0</v>
      </c>
      <c r="AN23" s="40">
        <f t="shared" si="4"/>
        <v>199.91638478203032</v>
      </c>
      <c r="AO23" s="39"/>
      <c r="AP23" s="40">
        <f t="shared" si="16"/>
        <v>0</v>
      </c>
      <c r="AQ23" s="40">
        <f t="shared" si="5"/>
        <v>0</v>
      </c>
      <c r="AR23" s="39"/>
      <c r="AS23" s="40">
        <f t="shared" si="17"/>
        <v>0</v>
      </c>
      <c r="AU23" s="40">
        <f t="shared" si="18"/>
        <v>700</v>
      </c>
      <c r="AV23" s="39"/>
      <c r="AW23" s="40">
        <f t="shared" si="19"/>
        <v>0</v>
      </c>
      <c r="AX23" s="40">
        <f t="shared" si="6"/>
        <v>0</v>
      </c>
      <c r="AY23" s="39"/>
      <c r="AZ23" s="121">
        <f t="shared" si="20"/>
        <v>0</v>
      </c>
      <c r="BB23" s="149">
        <v>7.6013834517882257</v>
      </c>
      <c r="BC23" s="152">
        <v>700</v>
      </c>
      <c r="BD23" s="153">
        <f t="shared" si="21"/>
        <v>707.60138345178825</v>
      </c>
      <c r="BE23" s="14" t="s">
        <v>2907</v>
      </c>
      <c r="BF23" s="86"/>
      <c r="BI23" s="41"/>
      <c r="BJ23" s="41"/>
      <c r="BL23" s="41">
        <f t="shared" si="22"/>
        <v>33000</v>
      </c>
    </row>
    <row r="24" spans="1:64" x14ac:dyDescent="0.25">
      <c r="A24" s="136">
        <f>COUNTIFS(C$8:C24,$C24)</f>
        <v>1</v>
      </c>
      <c r="B24" s="39" t="str">
        <f t="shared" si="7"/>
        <v>NĐ</v>
      </c>
      <c r="C24" s="39" t="str">
        <f t="shared" si="0"/>
        <v>105371 | 160012334</v>
      </c>
      <c r="D24" s="54" t="s">
        <v>2013</v>
      </c>
      <c r="E24" s="39" t="s">
        <v>2014</v>
      </c>
      <c r="F24" s="54" t="s">
        <v>2057</v>
      </c>
      <c r="G24" s="39" t="s">
        <v>2062</v>
      </c>
      <c r="H24" s="54" t="s">
        <v>2565</v>
      </c>
      <c r="I24" s="54" t="s">
        <v>2640</v>
      </c>
      <c r="J24" s="40">
        <v>25876</v>
      </c>
      <c r="K24" s="40"/>
      <c r="L24" s="93">
        <f t="shared" si="8"/>
        <v>25876</v>
      </c>
      <c r="M24" s="93">
        <f t="shared" si="9"/>
        <v>25876</v>
      </c>
      <c r="O24" s="40"/>
      <c r="P24" s="40">
        <f>IF($A24=1,MIN($M24,SUMIFS('Working-T05-B2'!$Q$8:$Q$150,'Working-T05-B2'!$D$8:$D$150,$C24)),MIN($M24,SUMIFS('Working-T05-B2'!$Q$8:$Q$150,'Working-T05-B2'!$D$8:$D$150,$C24)-SUMIFS(P$8:P23,C$8:C23,$C24)))</f>
        <v>0</v>
      </c>
      <c r="Q24" s="40"/>
      <c r="R24" s="40">
        <f t="shared" si="10"/>
        <v>0</v>
      </c>
      <c r="S24" s="41">
        <f t="shared" si="11"/>
        <v>-25876</v>
      </c>
      <c r="T24" s="42"/>
      <c r="U24" s="135">
        <v>9500</v>
      </c>
      <c r="V24" s="40"/>
      <c r="W24" s="40">
        <f t="shared" si="1"/>
        <v>0</v>
      </c>
      <c r="X24" s="41"/>
      <c r="Y24" s="40"/>
      <c r="Z24" s="131">
        <f t="shared" si="2"/>
        <v>1</v>
      </c>
      <c r="AA24" s="131">
        <f t="shared" si="2"/>
        <v>1</v>
      </c>
      <c r="AB24" s="40"/>
      <c r="AC24" s="41"/>
      <c r="AD24" s="40">
        <f t="shared" si="12"/>
        <v>0</v>
      </c>
      <c r="AE24" s="40">
        <f t="shared" si="13"/>
        <v>9500</v>
      </c>
      <c r="AF24" s="40">
        <f t="shared" si="13"/>
        <v>0</v>
      </c>
      <c r="AG24" s="40"/>
      <c r="AH24" s="41"/>
      <c r="AI24" s="43"/>
      <c r="AJ24" s="40">
        <f t="shared" si="14"/>
        <v>0</v>
      </c>
      <c r="AK24" s="40">
        <f t="shared" si="3"/>
        <v>0</v>
      </c>
      <c r="AL24" s="44">
        <f t="shared" si="15"/>
        <v>0</v>
      </c>
      <c r="AN24" s="40">
        <f t="shared" si="4"/>
        <v>0</v>
      </c>
      <c r="AO24" s="39"/>
      <c r="AP24" s="40">
        <f t="shared" si="16"/>
        <v>0</v>
      </c>
      <c r="AQ24" s="40">
        <f t="shared" si="5"/>
        <v>0</v>
      </c>
      <c r="AR24" s="39"/>
      <c r="AS24" s="40">
        <f t="shared" si="17"/>
        <v>0</v>
      </c>
      <c r="AU24" s="40">
        <f t="shared" si="18"/>
        <v>0</v>
      </c>
      <c r="AV24" s="39"/>
      <c r="AW24" s="40">
        <f t="shared" si="19"/>
        <v>0</v>
      </c>
      <c r="AX24" s="40">
        <f t="shared" si="6"/>
        <v>0</v>
      </c>
      <c r="AY24" s="39"/>
      <c r="AZ24" s="121">
        <f t="shared" si="20"/>
        <v>0</v>
      </c>
      <c r="BB24" s="149"/>
      <c r="BC24" s="152"/>
      <c r="BD24" s="153">
        <f t="shared" si="21"/>
        <v>0</v>
      </c>
      <c r="BE24" s="14" t="s">
        <v>2907</v>
      </c>
      <c r="BF24" s="86"/>
      <c r="BI24" s="41"/>
      <c r="BJ24" s="41"/>
      <c r="BL24" s="41">
        <f t="shared" si="22"/>
        <v>25876</v>
      </c>
    </row>
    <row r="25" spans="1:64" x14ac:dyDescent="0.25">
      <c r="A25" s="136">
        <f>COUNTIFS(C$8:C25,$C25)</f>
        <v>1</v>
      </c>
      <c r="B25" s="39" t="str">
        <f t="shared" si="7"/>
        <v>NĐ</v>
      </c>
      <c r="C25" s="39" t="str">
        <f t="shared" si="0"/>
        <v>105413 | 160012334</v>
      </c>
      <c r="D25" s="54" t="s">
        <v>2060</v>
      </c>
      <c r="E25" s="39" t="s">
        <v>2061</v>
      </c>
      <c r="F25" s="54" t="s">
        <v>2057</v>
      </c>
      <c r="G25" s="39" t="s">
        <v>2062</v>
      </c>
      <c r="H25" s="54" t="s">
        <v>2566</v>
      </c>
      <c r="I25" s="54" t="s">
        <v>2640</v>
      </c>
      <c r="J25" s="40">
        <v>9129</v>
      </c>
      <c r="K25" s="40"/>
      <c r="L25" s="93">
        <f t="shared" si="8"/>
        <v>9129</v>
      </c>
      <c r="M25" s="93">
        <f t="shared" si="9"/>
        <v>9129</v>
      </c>
      <c r="O25" s="40"/>
      <c r="P25" s="40">
        <f>IF($A25=1,MIN($M25,SUMIFS('Working-T05-B2'!$Q$8:$Q$150,'Working-T05-B2'!$D$8:$D$150,$C25)),MIN($M25,SUMIFS('Working-T05-B2'!$Q$8:$Q$150,'Working-T05-B2'!$D$8:$D$150,$C25)-SUMIFS(P$8:P24,C$8:C24,$C25)))</f>
        <v>0</v>
      </c>
      <c r="Q25" s="40"/>
      <c r="R25" s="40">
        <f t="shared" si="10"/>
        <v>0</v>
      </c>
      <c r="S25" s="41">
        <f t="shared" si="11"/>
        <v>-9129</v>
      </c>
      <c r="T25" s="42"/>
      <c r="U25" s="135">
        <v>9500</v>
      </c>
      <c r="V25" s="40"/>
      <c r="W25" s="40">
        <f t="shared" si="1"/>
        <v>0</v>
      </c>
      <c r="X25" s="41"/>
      <c r="Y25" s="40"/>
      <c r="Z25" s="131">
        <f t="shared" si="2"/>
        <v>1</v>
      </c>
      <c r="AA25" s="131">
        <f t="shared" si="2"/>
        <v>1</v>
      </c>
      <c r="AB25" s="40"/>
      <c r="AC25" s="41"/>
      <c r="AD25" s="40">
        <f t="shared" si="12"/>
        <v>0</v>
      </c>
      <c r="AE25" s="40">
        <f t="shared" si="13"/>
        <v>9500</v>
      </c>
      <c r="AF25" s="40">
        <f t="shared" si="13"/>
        <v>0</v>
      </c>
      <c r="AG25" s="40"/>
      <c r="AH25" s="41"/>
      <c r="AI25" s="43"/>
      <c r="AJ25" s="40">
        <f t="shared" si="14"/>
        <v>0</v>
      </c>
      <c r="AK25" s="40">
        <f t="shared" si="3"/>
        <v>0</v>
      </c>
      <c r="AL25" s="44">
        <f t="shared" si="15"/>
        <v>0</v>
      </c>
      <c r="AN25" s="40">
        <f t="shared" si="4"/>
        <v>0</v>
      </c>
      <c r="AO25" s="39"/>
      <c r="AP25" s="40">
        <f t="shared" si="16"/>
        <v>0</v>
      </c>
      <c r="AQ25" s="40">
        <f t="shared" si="5"/>
        <v>0</v>
      </c>
      <c r="AR25" s="39"/>
      <c r="AS25" s="40">
        <f t="shared" si="17"/>
        <v>0</v>
      </c>
      <c r="AU25" s="40">
        <f t="shared" si="18"/>
        <v>0</v>
      </c>
      <c r="AV25" s="39"/>
      <c r="AW25" s="40">
        <f t="shared" si="19"/>
        <v>0</v>
      </c>
      <c r="AX25" s="40">
        <f t="shared" si="6"/>
        <v>0</v>
      </c>
      <c r="AY25" s="39"/>
      <c r="AZ25" s="121">
        <f t="shared" si="20"/>
        <v>0</v>
      </c>
      <c r="BB25" s="149"/>
      <c r="BC25" s="152"/>
      <c r="BD25" s="153">
        <f t="shared" si="21"/>
        <v>0</v>
      </c>
      <c r="BE25" s="14" t="s">
        <v>2907</v>
      </c>
      <c r="BF25" s="86"/>
      <c r="BI25" s="41"/>
      <c r="BJ25" s="41"/>
      <c r="BL25" s="41">
        <f t="shared" si="22"/>
        <v>9129</v>
      </c>
    </row>
    <row r="26" spans="1:64" x14ac:dyDescent="0.25">
      <c r="A26" s="136">
        <f>COUNTIFS(C$8:C26,$C26)</f>
        <v>1</v>
      </c>
      <c r="B26" s="39" t="str">
        <f t="shared" si="7"/>
        <v>NĐ</v>
      </c>
      <c r="C26" s="39" t="str">
        <f t="shared" si="0"/>
        <v>105330 | 110000355</v>
      </c>
      <c r="D26" s="54" t="s">
        <v>2628</v>
      </c>
      <c r="E26" s="39" t="s">
        <v>2612</v>
      </c>
      <c r="F26" s="54" t="s">
        <v>37</v>
      </c>
      <c r="G26" s="39" t="s">
        <v>298</v>
      </c>
      <c r="H26" s="54" t="s">
        <v>2567</v>
      </c>
      <c r="I26" s="54" t="s">
        <v>2640</v>
      </c>
      <c r="J26" s="232">
        <f>77000-33000</f>
        <v>44000</v>
      </c>
      <c r="K26" s="40"/>
      <c r="L26" s="93">
        <f t="shared" si="8"/>
        <v>44000</v>
      </c>
      <c r="M26" s="93">
        <f t="shared" si="9"/>
        <v>44000</v>
      </c>
      <c r="O26" s="40"/>
      <c r="P26" s="40">
        <f>IF($A26=1,MIN($M26,SUMIFS('Working-T05-B2'!$Q$8:$Q$150,'Working-T05-B2'!$D$8:$D$150,$C26)),MIN($M26,SUMIFS('Working-T05-B2'!$Q$8:$Q$150,'Working-T05-B2'!$D$8:$D$150,$C26)-SUMIFS(P$8:P25,C$8:C25,$C26)))</f>
        <v>44000</v>
      </c>
      <c r="Q26" s="40"/>
      <c r="R26" s="40">
        <f t="shared" si="10"/>
        <v>44000</v>
      </c>
      <c r="S26" s="41">
        <f t="shared" si="11"/>
        <v>0</v>
      </c>
      <c r="T26" s="42"/>
      <c r="U26" s="135">
        <v>34770</v>
      </c>
      <c r="V26" s="40"/>
      <c r="W26" s="40">
        <f t="shared" si="1"/>
        <v>34770</v>
      </c>
      <c r="X26" s="41"/>
      <c r="Y26" s="40"/>
      <c r="Z26" s="131">
        <f t="shared" si="2"/>
        <v>1</v>
      </c>
      <c r="AA26" s="131">
        <f t="shared" si="2"/>
        <v>1</v>
      </c>
      <c r="AB26" s="40"/>
      <c r="AC26" s="41"/>
      <c r="AD26" s="40">
        <f t="shared" si="12"/>
        <v>0</v>
      </c>
      <c r="AE26" s="40">
        <f t="shared" si="13"/>
        <v>34770</v>
      </c>
      <c r="AF26" s="40">
        <f t="shared" si="13"/>
        <v>0</v>
      </c>
      <c r="AG26" s="40"/>
      <c r="AH26" s="41"/>
      <c r="AI26" s="43"/>
      <c r="AJ26" s="40">
        <f t="shared" si="14"/>
        <v>1529880000</v>
      </c>
      <c r="AK26" s="40">
        <f t="shared" si="3"/>
        <v>0</v>
      </c>
      <c r="AL26" s="44">
        <f t="shared" si="15"/>
        <v>1529880000</v>
      </c>
      <c r="AN26" s="40">
        <f t="shared" si="4"/>
        <v>120.27396375517648</v>
      </c>
      <c r="AO26" s="39"/>
      <c r="AP26" s="40">
        <f t="shared" si="16"/>
        <v>0</v>
      </c>
      <c r="AQ26" s="40">
        <f t="shared" si="5"/>
        <v>5292054.4052277654</v>
      </c>
      <c r="AR26" s="39"/>
      <c r="AS26" s="40">
        <f t="shared" si="17"/>
        <v>5292054.4052277654</v>
      </c>
      <c r="AU26" s="40">
        <f t="shared" si="18"/>
        <v>1000</v>
      </c>
      <c r="AV26" s="39"/>
      <c r="AW26" s="40">
        <f t="shared" si="19"/>
        <v>0</v>
      </c>
      <c r="AX26" s="40">
        <f t="shared" si="6"/>
        <v>44000000</v>
      </c>
      <c r="AY26" s="39"/>
      <c r="AZ26" s="121">
        <f t="shared" si="20"/>
        <v>44000000</v>
      </c>
      <c r="BB26" s="149">
        <v>4.5731545154059496</v>
      </c>
      <c r="BC26" s="152">
        <v>1000</v>
      </c>
      <c r="BD26" s="153">
        <f t="shared" si="21"/>
        <v>1004.5731545154059</v>
      </c>
      <c r="BE26" s="14" t="s">
        <v>2907</v>
      </c>
      <c r="BF26" s="86"/>
      <c r="BI26" s="41"/>
      <c r="BJ26" s="41"/>
      <c r="BL26" s="41">
        <f t="shared" si="22"/>
        <v>0</v>
      </c>
    </row>
    <row r="27" spans="1:64" x14ac:dyDescent="0.25">
      <c r="A27" s="136">
        <f>COUNTIFS(C$8:C27,$C27)</f>
        <v>1</v>
      </c>
      <c r="B27" s="39" t="str">
        <f t="shared" si="7"/>
        <v>NĐ</v>
      </c>
      <c r="C27" s="39" t="str">
        <f t="shared" si="0"/>
        <v>104877 | 110000359</v>
      </c>
      <c r="D27" s="54" t="s">
        <v>2047</v>
      </c>
      <c r="E27" s="39" t="s">
        <v>2614</v>
      </c>
      <c r="F27" s="54" t="s">
        <v>301</v>
      </c>
      <c r="G27" s="39" t="s">
        <v>302</v>
      </c>
      <c r="H27" s="54" t="s">
        <v>2568</v>
      </c>
      <c r="I27" s="54" t="s">
        <v>2639</v>
      </c>
      <c r="J27" s="40">
        <v>570900</v>
      </c>
      <c r="K27" s="40"/>
      <c r="L27" s="93">
        <f t="shared" si="8"/>
        <v>570900</v>
      </c>
      <c r="M27" s="93">
        <f t="shared" si="9"/>
        <v>570900</v>
      </c>
      <c r="O27" s="40"/>
      <c r="P27" s="40">
        <f>IF($A27=1,MIN($M27,SUMIFS('Working-T05-B2'!$Q$8:$Q$150,'Working-T05-B2'!$D$8:$D$150,$C27)),MIN($M27,SUMIFS('Working-T05-B2'!$Q$8:$Q$150,'Working-T05-B2'!$D$8:$D$150,$C27)-SUMIFS(P$8:P26,C$8:C26,$C27)))</f>
        <v>333300</v>
      </c>
      <c r="Q27" s="40"/>
      <c r="R27" s="40">
        <f t="shared" si="10"/>
        <v>333300</v>
      </c>
      <c r="S27" s="41">
        <f t="shared" si="11"/>
        <v>-237600</v>
      </c>
      <c r="T27" s="42"/>
      <c r="U27" s="135">
        <v>30221</v>
      </c>
      <c r="V27" s="40"/>
      <c r="W27" s="40">
        <f t="shared" si="1"/>
        <v>30221</v>
      </c>
      <c r="X27" s="41"/>
      <c r="Y27" s="40"/>
      <c r="Z27" s="131">
        <f t="shared" si="2"/>
        <v>1</v>
      </c>
      <c r="AA27" s="131">
        <f t="shared" si="2"/>
        <v>1</v>
      </c>
      <c r="AB27" s="40"/>
      <c r="AC27" s="41"/>
      <c r="AD27" s="40">
        <f t="shared" si="12"/>
        <v>0</v>
      </c>
      <c r="AE27" s="40">
        <f t="shared" si="13"/>
        <v>30221</v>
      </c>
      <c r="AF27" s="40">
        <f t="shared" si="13"/>
        <v>0</v>
      </c>
      <c r="AG27" s="40"/>
      <c r="AH27" s="41"/>
      <c r="AI27" s="43"/>
      <c r="AJ27" s="40">
        <f t="shared" si="14"/>
        <v>10072659300</v>
      </c>
      <c r="AK27" s="40">
        <f t="shared" si="3"/>
        <v>0</v>
      </c>
      <c r="AL27" s="44">
        <f t="shared" si="15"/>
        <v>10072659300</v>
      </c>
      <c r="AN27" s="40">
        <f t="shared" si="4"/>
        <v>204.80531813865147</v>
      </c>
      <c r="AO27" s="39"/>
      <c r="AP27" s="40">
        <f t="shared" si="16"/>
        <v>0</v>
      </c>
      <c r="AQ27" s="40">
        <f t="shared" si="5"/>
        <v>68261612.535612538</v>
      </c>
      <c r="AR27" s="39"/>
      <c r="AS27" s="40">
        <f t="shared" si="17"/>
        <v>68261612.535612538</v>
      </c>
      <c r="AU27" s="40">
        <f t="shared" si="18"/>
        <v>0</v>
      </c>
      <c r="AV27" s="39"/>
      <c r="AW27" s="40">
        <f t="shared" si="19"/>
        <v>0</v>
      </c>
      <c r="AX27" s="40">
        <f t="shared" si="6"/>
        <v>0</v>
      </c>
      <c r="AY27" s="39"/>
      <c r="AZ27" s="121">
        <f t="shared" si="20"/>
        <v>0</v>
      </c>
      <c r="BB27" s="149">
        <v>7.7872744539411203</v>
      </c>
      <c r="BC27" s="152"/>
      <c r="BD27" s="153">
        <f t="shared" si="21"/>
        <v>7.7872744539411203</v>
      </c>
      <c r="BE27" s="14" t="s">
        <v>2907</v>
      </c>
      <c r="BF27" s="86"/>
      <c r="BI27" s="41"/>
      <c r="BJ27" s="41"/>
      <c r="BL27" s="41">
        <f t="shared" si="22"/>
        <v>237600</v>
      </c>
    </row>
    <row r="28" spans="1:64" x14ac:dyDescent="0.25">
      <c r="A28" s="136">
        <f>COUNTIFS(C$8:C28,$C28)</f>
        <v>1</v>
      </c>
      <c r="B28" s="39" t="str">
        <f t="shared" si="7"/>
        <v>XK</v>
      </c>
      <c r="C28" s="39" t="str">
        <f t="shared" si="0"/>
        <v>200393 | 110000341</v>
      </c>
      <c r="D28" s="54" t="s">
        <v>2630</v>
      </c>
      <c r="E28" s="39" t="s">
        <v>2618</v>
      </c>
      <c r="F28" s="54" t="s">
        <v>53</v>
      </c>
      <c r="G28" s="39" t="s">
        <v>831</v>
      </c>
      <c r="H28" s="54" t="s">
        <v>2571</v>
      </c>
      <c r="I28" s="148" t="s">
        <v>2641</v>
      </c>
      <c r="J28" s="40">
        <v>81000</v>
      </c>
      <c r="K28" s="40"/>
      <c r="L28" s="93">
        <f t="shared" si="8"/>
        <v>81000</v>
      </c>
      <c r="M28" s="93">
        <f t="shared" si="9"/>
        <v>81000</v>
      </c>
      <c r="O28" s="40"/>
      <c r="P28" s="40">
        <f>IF($A28=1,MIN($M28,SUMIFS('Working-T05-B2'!$Q$8:$Q$150,'Working-T05-B2'!$D$8:$D$150,$C28)),MIN($M28,SUMIFS('Working-T05-B2'!$Q$8:$Q$150,'Working-T05-B2'!$D$8:$D$150,$C28)-SUMIFS(P$8:P27,C$8:C27,$C28)))</f>
        <v>0</v>
      </c>
      <c r="Q28" s="40"/>
      <c r="R28" s="40">
        <f t="shared" si="10"/>
        <v>0</v>
      </c>
      <c r="S28" s="41">
        <f t="shared" si="11"/>
        <v>-81000</v>
      </c>
      <c r="T28" s="42"/>
      <c r="U28" s="135">
        <v>1.05</v>
      </c>
      <c r="V28" s="40"/>
      <c r="W28" s="40">
        <f t="shared" si="1"/>
        <v>0</v>
      </c>
      <c r="X28" s="41"/>
      <c r="Y28" s="40"/>
      <c r="Z28" s="131">
        <f t="shared" ref="Z28:AA46" si="23">IF($B28="NĐ",1,EXR_FC05)</f>
        <v>26300</v>
      </c>
      <c r="AA28" s="131">
        <f t="shared" si="23"/>
        <v>26300</v>
      </c>
      <c r="AB28" s="40"/>
      <c r="AC28" s="41"/>
      <c r="AD28" s="40">
        <f t="shared" si="12"/>
        <v>0</v>
      </c>
      <c r="AE28" s="40">
        <f t="shared" si="13"/>
        <v>27615</v>
      </c>
      <c r="AF28" s="40">
        <f t="shared" si="13"/>
        <v>0</v>
      </c>
      <c r="AG28" s="40"/>
      <c r="AH28" s="41"/>
      <c r="AI28" s="43"/>
      <c r="AJ28" s="40">
        <f t="shared" si="14"/>
        <v>0</v>
      </c>
      <c r="AK28" s="40">
        <f t="shared" si="3"/>
        <v>0</v>
      </c>
      <c r="AL28" s="44">
        <f t="shared" si="15"/>
        <v>0</v>
      </c>
      <c r="AN28" s="40">
        <f t="shared" si="4"/>
        <v>3945</v>
      </c>
      <c r="AO28" s="39"/>
      <c r="AP28" s="40">
        <f t="shared" si="16"/>
        <v>0</v>
      </c>
      <c r="AQ28" s="40">
        <f t="shared" si="5"/>
        <v>0</v>
      </c>
      <c r="AR28" s="39"/>
      <c r="AS28" s="40">
        <f t="shared" si="17"/>
        <v>0</v>
      </c>
      <c r="AU28" s="40">
        <f t="shared" si="18"/>
        <v>0</v>
      </c>
      <c r="AV28" s="39"/>
      <c r="AW28" s="40">
        <f t="shared" si="19"/>
        <v>0</v>
      </c>
      <c r="AX28" s="40">
        <f t="shared" si="6"/>
        <v>0</v>
      </c>
      <c r="AY28" s="39"/>
      <c r="AZ28" s="121">
        <f t="shared" si="20"/>
        <v>0</v>
      </c>
      <c r="BB28" s="149">
        <v>150</v>
      </c>
      <c r="BC28" s="152"/>
      <c r="BD28" s="153">
        <f t="shared" si="21"/>
        <v>150</v>
      </c>
      <c r="BF28" s="86"/>
      <c r="BI28" s="41"/>
      <c r="BJ28" s="41"/>
      <c r="BL28" s="41">
        <f t="shared" si="22"/>
        <v>81000</v>
      </c>
    </row>
    <row r="29" spans="1:64" x14ac:dyDescent="0.25">
      <c r="A29" s="136">
        <f>COUNTIFS(C$8:C29,$C29)</f>
        <v>1</v>
      </c>
      <c r="B29" s="39" t="str">
        <f t="shared" si="7"/>
        <v>NĐ</v>
      </c>
      <c r="C29" s="39" t="str">
        <f t="shared" si="0"/>
        <v>105271 | 110000332</v>
      </c>
      <c r="D29" s="54" t="s">
        <v>2022</v>
      </c>
      <c r="E29" s="39" t="s">
        <v>2023</v>
      </c>
      <c r="F29" s="54" t="s">
        <v>32</v>
      </c>
      <c r="G29" s="39" t="s">
        <v>279</v>
      </c>
      <c r="H29" s="54" t="s">
        <v>2576</v>
      </c>
      <c r="I29" s="54" t="s">
        <v>2639</v>
      </c>
      <c r="J29" s="40">
        <v>88000</v>
      </c>
      <c r="K29" s="40"/>
      <c r="L29" s="93">
        <f t="shared" si="8"/>
        <v>88000</v>
      </c>
      <c r="M29" s="93">
        <f t="shared" si="9"/>
        <v>88000</v>
      </c>
      <c r="O29" s="40"/>
      <c r="P29" s="40">
        <f>IF($A29=1,MIN($M29,SUMIFS('Working-T05-B2'!$Q$8:$Q$150,'Working-T05-B2'!$D$8:$D$150,$C29)),MIN($M29,SUMIFS('Working-T05-B2'!$Q$8:$Q$150,'Working-T05-B2'!$D$8:$D$150,$C29)-SUMIFS(P$8:P28,C$8:C28,$C29)))</f>
        <v>88000</v>
      </c>
      <c r="Q29" s="40"/>
      <c r="R29" s="40">
        <f t="shared" si="10"/>
        <v>88000</v>
      </c>
      <c r="S29" s="41">
        <f t="shared" si="11"/>
        <v>0</v>
      </c>
      <c r="T29" s="42"/>
      <c r="U29" s="135">
        <v>31844</v>
      </c>
      <c r="V29" s="40"/>
      <c r="W29" s="40">
        <f t="shared" si="1"/>
        <v>31844</v>
      </c>
      <c r="X29" s="41"/>
      <c r="Y29" s="40"/>
      <c r="Z29" s="131">
        <f t="shared" si="23"/>
        <v>1</v>
      </c>
      <c r="AA29" s="131">
        <f t="shared" si="23"/>
        <v>1</v>
      </c>
      <c r="AB29" s="40"/>
      <c r="AC29" s="41"/>
      <c r="AD29" s="40">
        <f t="shared" si="12"/>
        <v>0</v>
      </c>
      <c r="AE29" s="40">
        <f t="shared" si="13"/>
        <v>31844</v>
      </c>
      <c r="AF29" s="40">
        <f t="shared" si="13"/>
        <v>0</v>
      </c>
      <c r="AG29" s="40"/>
      <c r="AH29" s="41"/>
      <c r="AI29" s="43"/>
      <c r="AJ29" s="40">
        <f t="shared" si="14"/>
        <v>2802272000</v>
      </c>
      <c r="AK29" s="40">
        <f t="shared" si="3"/>
        <v>0</v>
      </c>
      <c r="AL29" s="44">
        <f t="shared" si="15"/>
        <v>2802272000</v>
      </c>
      <c r="AN29" s="40">
        <f t="shared" si="4"/>
        <v>263</v>
      </c>
      <c r="AO29" s="39"/>
      <c r="AP29" s="40">
        <f t="shared" si="16"/>
        <v>0</v>
      </c>
      <c r="AQ29" s="40">
        <f t="shared" si="5"/>
        <v>23144000</v>
      </c>
      <c r="AR29" s="39"/>
      <c r="AS29" s="40">
        <f t="shared" si="17"/>
        <v>23144000</v>
      </c>
      <c r="AU29" s="40">
        <f t="shared" si="18"/>
        <v>0</v>
      </c>
      <c r="AV29" s="39"/>
      <c r="AW29" s="40">
        <f t="shared" si="19"/>
        <v>0</v>
      </c>
      <c r="AX29" s="40">
        <f t="shared" si="6"/>
        <v>168136320</v>
      </c>
      <c r="AY29" s="39"/>
      <c r="AZ29" s="121">
        <f t="shared" si="20"/>
        <v>168136320</v>
      </c>
      <c r="BB29" s="149">
        <v>10</v>
      </c>
      <c r="BC29" s="152"/>
      <c r="BD29" s="153">
        <f t="shared" si="21"/>
        <v>10</v>
      </c>
      <c r="BF29" s="272">
        <v>0.06</v>
      </c>
      <c r="BI29" s="41"/>
      <c r="BJ29" s="41"/>
      <c r="BL29" s="41">
        <f t="shared" si="22"/>
        <v>0</v>
      </c>
    </row>
    <row r="30" spans="1:64" x14ac:dyDescent="0.25">
      <c r="A30" s="136">
        <f>COUNTIFS(C$8:C30,$C30)</f>
        <v>1</v>
      </c>
      <c r="B30" s="39" t="str">
        <f t="shared" si="7"/>
        <v>XK</v>
      </c>
      <c r="C30" s="39" t="str">
        <f t="shared" si="0"/>
        <v>200332 | 110000507</v>
      </c>
      <c r="D30" s="54" t="s">
        <v>2631</v>
      </c>
      <c r="E30" s="39" t="s">
        <v>2619</v>
      </c>
      <c r="F30" s="54" t="s">
        <v>1842</v>
      </c>
      <c r="G30" s="39" t="s">
        <v>1843</v>
      </c>
      <c r="H30" s="54" t="s">
        <v>2577</v>
      </c>
      <c r="I30" s="54" t="s">
        <v>2642</v>
      </c>
      <c r="J30" s="40">
        <v>770000</v>
      </c>
      <c r="K30" s="40"/>
      <c r="L30" s="93">
        <f t="shared" si="8"/>
        <v>770000</v>
      </c>
      <c r="M30" s="93">
        <f t="shared" si="9"/>
        <v>770000</v>
      </c>
      <c r="O30" s="40"/>
      <c r="P30" s="40">
        <f>IF($A30=1,MIN($M30,SUMIFS('Working-T05-B2'!$Q$8:$Q$150,'Working-T05-B2'!$D$8:$D$150,$C30)),MIN($M30,SUMIFS('Working-T05-B2'!$Q$8:$Q$150,'Working-T05-B2'!$D$8:$D$150,$C30)-SUMIFS(P$8:P29,C$8:C29,$C30)))</f>
        <v>770000</v>
      </c>
      <c r="Q30" s="40"/>
      <c r="R30" s="40">
        <f t="shared" si="10"/>
        <v>770000</v>
      </c>
      <c r="S30" s="41">
        <f t="shared" si="11"/>
        <v>0</v>
      </c>
      <c r="T30" s="42"/>
      <c r="U30" s="135">
        <v>0.84</v>
      </c>
      <c r="V30" s="40"/>
      <c r="W30" s="40">
        <f t="shared" si="1"/>
        <v>22092</v>
      </c>
      <c r="X30" s="41"/>
      <c r="Y30" s="40"/>
      <c r="Z30" s="131">
        <f t="shared" si="23"/>
        <v>26300</v>
      </c>
      <c r="AA30" s="131">
        <f t="shared" si="23"/>
        <v>26300</v>
      </c>
      <c r="AB30" s="40"/>
      <c r="AC30" s="41"/>
      <c r="AD30" s="40">
        <f t="shared" si="12"/>
        <v>0</v>
      </c>
      <c r="AE30" s="40">
        <f t="shared" si="13"/>
        <v>22092</v>
      </c>
      <c r="AF30" s="40">
        <f t="shared" si="13"/>
        <v>0</v>
      </c>
      <c r="AG30" s="40"/>
      <c r="AH30" s="41"/>
      <c r="AI30" s="43"/>
      <c r="AJ30" s="40">
        <f t="shared" si="14"/>
        <v>17010840000</v>
      </c>
      <c r="AK30" s="40">
        <f t="shared" si="3"/>
        <v>0</v>
      </c>
      <c r="AL30" s="44">
        <f t="shared" si="15"/>
        <v>17010840000</v>
      </c>
      <c r="AN30" s="40">
        <f t="shared" si="4"/>
        <v>526</v>
      </c>
      <c r="AO30" s="39"/>
      <c r="AP30" s="40">
        <f t="shared" si="16"/>
        <v>0</v>
      </c>
      <c r="AQ30" s="40">
        <f t="shared" si="5"/>
        <v>405020000</v>
      </c>
      <c r="AR30" s="39"/>
      <c r="AS30" s="40">
        <f t="shared" si="17"/>
        <v>405020000</v>
      </c>
      <c r="AU30" s="40">
        <f t="shared" si="18"/>
        <v>0</v>
      </c>
      <c r="AV30" s="39"/>
      <c r="AW30" s="40">
        <f t="shared" si="19"/>
        <v>0</v>
      </c>
      <c r="AX30" s="40">
        <f t="shared" si="6"/>
        <v>0</v>
      </c>
      <c r="AY30" s="39"/>
      <c r="AZ30" s="121">
        <f t="shared" si="20"/>
        <v>0</v>
      </c>
      <c r="BB30" s="149">
        <v>20</v>
      </c>
      <c r="BC30" s="152"/>
      <c r="BD30" s="153">
        <f t="shared" si="21"/>
        <v>20</v>
      </c>
      <c r="BF30" s="86"/>
      <c r="BI30" s="41"/>
      <c r="BJ30" s="41"/>
      <c r="BL30" s="41">
        <f t="shared" si="22"/>
        <v>0</v>
      </c>
    </row>
    <row r="31" spans="1:64" x14ac:dyDescent="0.25">
      <c r="A31" s="136">
        <f>COUNTIFS(C$8:C31,$C31)</f>
        <v>1</v>
      </c>
      <c r="B31" s="39" t="str">
        <f t="shared" si="7"/>
        <v>XK</v>
      </c>
      <c r="C31" s="39" t="str">
        <f t="shared" si="0"/>
        <v>200330 | 110000355</v>
      </c>
      <c r="D31" s="54" t="s">
        <v>2632</v>
      </c>
      <c r="E31" s="39" t="s">
        <v>2620</v>
      </c>
      <c r="F31" s="54" t="s">
        <v>37</v>
      </c>
      <c r="G31" s="39" t="s">
        <v>298</v>
      </c>
      <c r="H31" s="54" t="s">
        <v>2581</v>
      </c>
      <c r="I31" s="54" t="s">
        <v>2642</v>
      </c>
      <c r="J31" s="232">
        <f>66000*0</f>
        <v>0</v>
      </c>
      <c r="K31" s="40"/>
      <c r="L31" s="93">
        <f t="shared" si="8"/>
        <v>0</v>
      </c>
      <c r="M31" s="93">
        <f t="shared" si="9"/>
        <v>0</v>
      </c>
      <c r="O31" s="40"/>
      <c r="P31" s="40">
        <f>IF($A31=1,MIN($M31,SUMIFS('Working-T05-B2'!$Q$8:$Q$150,'Working-T05-B2'!$D$8:$D$150,$C31)),MIN($M31,SUMIFS('Working-T05-B2'!$Q$8:$Q$150,'Working-T05-B2'!$D$8:$D$150,$C31)-SUMIFS(P$8:P30,C$8:C30,$C31)))</f>
        <v>0</v>
      </c>
      <c r="Q31" s="40"/>
      <c r="R31" s="40">
        <f t="shared" si="10"/>
        <v>0</v>
      </c>
      <c r="S31" s="41">
        <f t="shared" si="11"/>
        <v>0</v>
      </c>
      <c r="T31" s="42"/>
      <c r="U31" s="135">
        <v>1.3</v>
      </c>
      <c r="V31" s="40"/>
      <c r="W31" s="40">
        <f t="shared" si="1"/>
        <v>0</v>
      </c>
      <c r="X31" s="41"/>
      <c r="Y31" s="40"/>
      <c r="Z31" s="131">
        <f t="shared" si="23"/>
        <v>26300</v>
      </c>
      <c r="AA31" s="131">
        <f t="shared" si="23"/>
        <v>26300</v>
      </c>
      <c r="AB31" s="40"/>
      <c r="AC31" s="41"/>
      <c r="AD31" s="40">
        <f t="shared" si="12"/>
        <v>0</v>
      </c>
      <c r="AE31" s="40">
        <f t="shared" si="13"/>
        <v>34190</v>
      </c>
      <c r="AF31" s="40">
        <f t="shared" si="13"/>
        <v>0</v>
      </c>
      <c r="AG31" s="40"/>
      <c r="AH31" s="41"/>
      <c r="AI31" s="43"/>
      <c r="AJ31" s="40">
        <f t="shared" si="14"/>
        <v>0</v>
      </c>
      <c r="AK31" s="40">
        <f t="shared" si="3"/>
        <v>0</v>
      </c>
      <c r="AL31" s="44">
        <f t="shared" si="15"/>
        <v>0</v>
      </c>
      <c r="AN31" s="40">
        <f t="shared" si="4"/>
        <v>526</v>
      </c>
      <c r="AO31" s="39"/>
      <c r="AP31" s="40">
        <f t="shared" si="16"/>
        <v>0</v>
      </c>
      <c r="AQ31" s="40">
        <f t="shared" si="5"/>
        <v>0</v>
      </c>
      <c r="AR31" s="39"/>
      <c r="AS31" s="40">
        <f t="shared" si="17"/>
        <v>0</v>
      </c>
      <c r="AU31" s="40">
        <f t="shared" si="18"/>
        <v>0</v>
      </c>
      <c r="AV31" s="39"/>
      <c r="AW31" s="40">
        <f t="shared" si="19"/>
        <v>0</v>
      </c>
      <c r="AX31" s="40">
        <f t="shared" si="6"/>
        <v>0</v>
      </c>
      <c r="AY31" s="39"/>
      <c r="AZ31" s="121">
        <f t="shared" si="20"/>
        <v>0</v>
      </c>
      <c r="BB31" s="149">
        <v>20</v>
      </c>
      <c r="BC31" s="152"/>
      <c r="BD31" s="153">
        <f t="shared" si="21"/>
        <v>20</v>
      </c>
      <c r="BF31" s="86"/>
      <c r="BI31" s="41"/>
      <c r="BJ31" s="41"/>
      <c r="BL31" s="41">
        <f t="shared" si="22"/>
        <v>0</v>
      </c>
    </row>
    <row r="32" spans="1:64" x14ac:dyDescent="0.25">
      <c r="A32" s="136">
        <f>COUNTIFS(C$8:C32,$C32)</f>
        <v>2</v>
      </c>
      <c r="B32" s="39" t="str">
        <f t="shared" si="7"/>
        <v>XK</v>
      </c>
      <c r="C32" s="39" t="str">
        <f t="shared" si="0"/>
        <v>200330 | 110000355</v>
      </c>
      <c r="D32" s="54" t="s">
        <v>2632</v>
      </c>
      <c r="E32" s="39" t="s">
        <v>2620</v>
      </c>
      <c r="F32" s="54" t="s">
        <v>37</v>
      </c>
      <c r="G32" s="39" t="s">
        <v>298</v>
      </c>
      <c r="H32" s="54" t="s">
        <v>2582</v>
      </c>
      <c r="I32" s="54" t="s">
        <v>2642</v>
      </c>
      <c r="J32" s="232">
        <f>22000*0</f>
        <v>0</v>
      </c>
      <c r="K32" s="40"/>
      <c r="L32" s="93">
        <f t="shared" si="8"/>
        <v>0</v>
      </c>
      <c r="M32" s="93">
        <f t="shared" si="9"/>
        <v>0</v>
      </c>
      <c r="O32" s="40"/>
      <c r="P32" s="40">
        <f>IF($A32=1,MIN($M32,SUMIFS('Working-T05-B2'!$Q$8:$Q$150,'Working-T05-B2'!$D$8:$D$150,$C32)),MIN($M32,SUMIFS('Working-T05-B2'!$Q$8:$Q$150,'Working-T05-B2'!$D$8:$D$150,$C32)-SUMIFS(P$8:P31,C$8:C31,$C32)))</f>
        <v>0</v>
      </c>
      <c r="Q32" s="40"/>
      <c r="R32" s="40">
        <f t="shared" si="10"/>
        <v>0</v>
      </c>
      <c r="S32" s="41">
        <f t="shared" si="11"/>
        <v>0</v>
      </c>
      <c r="T32" s="42"/>
      <c r="U32" s="135">
        <v>1.3</v>
      </c>
      <c r="V32" s="40"/>
      <c r="W32" s="40">
        <f t="shared" si="1"/>
        <v>0</v>
      </c>
      <c r="X32" s="41"/>
      <c r="Y32" s="40"/>
      <c r="Z32" s="131">
        <f t="shared" si="23"/>
        <v>26300</v>
      </c>
      <c r="AA32" s="131">
        <f t="shared" si="23"/>
        <v>26300</v>
      </c>
      <c r="AB32" s="40"/>
      <c r="AC32" s="41"/>
      <c r="AD32" s="40">
        <f t="shared" si="12"/>
        <v>0</v>
      </c>
      <c r="AE32" s="40">
        <f t="shared" si="13"/>
        <v>34190</v>
      </c>
      <c r="AF32" s="40">
        <f t="shared" si="13"/>
        <v>0</v>
      </c>
      <c r="AG32" s="40"/>
      <c r="AH32" s="41"/>
      <c r="AI32" s="43"/>
      <c r="AJ32" s="40">
        <f t="shared" si="14"/>
        <v>0</v>
      </c>
      <c r="AK32" s="40">
        <f t="shared" si="3"/>
        <v>0</v>
      </c>
      <c r="AL32" s="44">
        <f t="shared" si="15"/>
        <v>0</v>
      </c>
      <c r="AN32" s="40">
        <f t="shared" si="4"/>
        <v>526</v>
      </c>
      <c r="AO32" s="39"/>
      <c r="AP32" s="40">
        <f t="shared" si="16"/>
        <v>0</v>
      </c>
      <c r="AQ32" s="40">
        <f t="shared" si="5"/>
        <v>0</v>
      </c>
      <c r="AR32" s="39"/>
      <c r="AS32" s="40">
        <f t="shared" si="17"/>
        <v>0</v>
      </c>
      <c r="AU32" s="40">
        <f t="shared" si="18"/>
        <v>0</v>
      </c>
      <c r="AV32" s="39"/>
      <c r="AW32" s="40">
        <f t="shared" si="19"/>
        <v>0</v>
      </c>
      <c r="AX32" s="40">
        <f t="shared" si="6"/>
        <v>0</v>
      </c>
      <c r="AY32" s="39"/>
      <c r="AZ32" s="121">
        <f t="shared" si="20"/>
        <v>0</v>
      </c>
      <c r="BB32" s="149">
        <v>20</v>
      </c>
      <c r="BC32" s="152"/>
      <c r="BD32" s="153">
        <f t="shared" si="21"/>
        <v>20</v>
      </c>
      <c r="BF32" s="157"/>
      <c r="BI32" s="41"/>
      <c r="BJ32" s="41"/>
      <c r="BL32" s="41">
        <f t="shared" si="22"/>
        <v>0</v>
      </c>
    </row>
    <row r="33" spans="1:64" x14ac:dyDescent="0.25">
      <c r="A33" s="136">
        <f>COUNTIFS(C$8:C33,$C33)</f>
        <v>1</v>
      </c>
      <c r="B33" s="39" t="str">
        <f t="shared" si="7"/>
        <v>NĐ</v>
      </c>
      <c r="C33" s="39" t="str">
        <f t="shared" si="0"/>
        <v>105324 | 160012951</v>
      </c>
      <c r="D33" s="54" t="s">
        <v>55</v>
      </c>
      <c r="E33" s="39" t="s">
        <v>56</v>
      </c>
      <c r="F33" s="54" t="s">
        <v>262</v>
      </c>
      <c r="G33" s="39" t="s">
        <v>2606</v>
      </c>
      <c r="H33" s="54" t="s">
        <v>2586</v>
      </c>
      <c r="I33" s="54" t="s">
        <v>2639</v>
      </c>
      <c r="J33" s="40">
        <v>11266</v>
      </c>
      <c r="K33" s="40"/>
      <c r="L33" s="93">
        <f t="shared" si="8"/>
        <v>11266</v>
      </c>
      <c r="M33" s="93">
        <f t="shared" si="9"/>
        <v>11266</v>
      </c>
      <c r="O33" s="40"/>
      <c r="P33" s="40">
        <f>IF($A33=1,MIN($M33,SUMIFS('Working-T05-B2'!$Q$8:$Q$150,'Working-T05-B2'!$D$8:$D$150,$C33)),MIN($M33,SUMIFS('Working-T05-B2'!$Q$8:$Q$150,'Working-T05-B2'!$D$8:$D$150,$C33)-SUMIFS(P$8:P32,C$8:C32,$C33)))</f>
        <v>0</v>
      </c>
      <c r="Q33" s="40"/>
      <c r="R33" s="40">
        <f t="shared" si="10"/>
        <v>0</v>
      </c>
      <c r="S33" s="41">
        <f t="shared" si="11"/>
        <v>-11266</v>
      </c>
      <c r="T33" s="42"/>
      <c r="U33" s="135">
        <v>14351.85185185185</v>
      </c>
      <c r="V33" s="40"/>
      <c r="W33" s="40">
        <f t="shared" si="1"/>
        <v>0</v>
      </c>
      <c r="X33" s="41"/>
      <c r="Y33" s="40"/>
      <c r="Z33" s="131">
        <f t="shared" si="23"/>
        <v>1</v>
      </c>
      <c r="AA33" s="131">
        <f t="shared" si="23"/>
        <v>1</v>
      </c>
      <c r="AB33" s="40"/>
      <c r="AC33" s="41"/>
      <c r="AD33" s="40">
        <f t="shared" si="12"/>
        <v>0</v>
      </c>
      <c r="AE33" s="40">
        <f t="shared" si="13"/>
        <v>14351.85185185185</v>
      </c>
      <c r="AF33" s="40">
        <f t="shared" si="13"/>
        <v>0</v>
      </c>
      <c r="AG33" s="40"/>
      <c r="AH33" s="41"/>
      <c r="AI33" s="43"/>
      <c r="AJ33" s="40">
        <f t="shared" si="14"/>
        <v>0</v>
      </c>
      <c r="AK33" s="40">
        <f t="shared" si="3"/>
        <v>0</v>
      </c>
      <c r="AL33" s="44">
        <f t="shared" si="15"/>
        <v>0</v>
      </c>
      <c r="AN33" s="40">
        <f t="shared" si="4"/>
        <v>250.4286798179059</v>
      </c>
      <c r="AO33" s="39"/>
      <c r="AP33" s="40">
        <f t="shared" si="16"/>
        <v>0</v>
      </c>
      <c r="AQ33" s="40">
        <f t="shared" si="5"/>
        <v>0</v>
      </c>
      <c r="AR33" s="39"/>
      <c r="AS33" s="40">
        <f t="shared" si="17"/>
        <v>0</v>
      </c>
      <c r="AU33" s="40">
        <f t="shared" si="18"/>
        <v>0</v>
      </c>
      <c r="AV33" s="39"/>
      <c r="AW33" s="40">
        <f t="shared" si="19"/>
        <v>0</v>
      </c>
      <c r="AX33" s="40">
        <f t="shared" si="6"/>
        <v>0</v>
      </c>
      <c r="AY33" s="39"/>
      <c r="AZ33" s="121">
        <f t="shared" si="20"/>
        <v>0</v>
      </c>
      <c r="BB33" s="149">
        <v>9.5220030349013651</v>
      </c>
      <c r="BC33" s="152"/>
      <c r="BD33" s="153">
        <f t="shared" si="21"/>
        <v>9.5220030349013651</v>
      </c>
      <c r="BF33" s="86"/>
      <c r="BI33" s="41"/>
      <c r="BJ33" s="41"/>
      <c r="BL33" s="41">
        <f t="shared" si="22"/>
        <v>11266</v>
      </c>
    </row>
    <row r="34" spans="1:64" x14ac:dyDescent="0.25">
      <c r="A34" s="136">
        <f>COUNTIFS(C$8:C34,$C34)</f>
        <v>1</v>
      </c>
      <c r="B34" s="39" t="str">
        <f t="shared" si="7"/>
        <v>NĐ</v>
      </c>
      <c r="C34" s="39" t="str">
        <f t="shared" si="0"/>
        <v>105324 | 160012611</v>
      </c>
      <c r="D34" s="54" t="s">
        <v>55</v>
      </c>
      <c r="E34" s="39" t="s">
        <v>56</v>
      </c>
      <c r="F34" s="54" t="s">
        <v>257</v>
      </c>
      <c r="G34" s="39" t="s">
        <v>2604</v>
      </c>
      <c r="H34" s="54" t="s">
        <v>2586</v>
      </c>
      <c r="I34" s="54" t="s">
        <v>2639</v>
      </c>
      <c r="J34" s="40">
        <v>25000</v>
      </c>
      <c r="K34" s="40"/>
      <c r="L34" s="93">
        <f t="shared" si="8"/>
        <v>25000</v>
      </c>
      <c r="M34" s="93">
        <f t="shared" si="9"/>
        <v>25000</v>
      </c>
      <c r="O34" s="40"/>
      <c r="P34" s="40">
        <f>IF($A34=1,MIN($M34,SUMIFS('Working-T05-B2'!$Q$8:$Q$150,'Working-T05-B2'!$D$8:$D$150,$C34)),MIN($M34,SUMIFS('Working-T05-B2'!$Q$8:$Q$150,'Working-T05-B2'!$D$8:$D$150,$C34)-SUMIFS(P$8:P33,C$8:C33,$C34)))</f>
        <v>0</v>
      </c>
      <c r="Q34" s="40"/>
      <c r="R34" s="40">
        <f t="shared" si="10"/>
        <v>0</v>
      </c>
      <c r="S34" s="41">
        <f t="shared" si="11"/>
        <v>-25000</v>
      </c>
      <c r="T34" s="42"/>
      <c r="U34" s="135">
        <v>14351.85185185185</v>
      </c>
      <c r="V34" s="40"/>
      <c r="W34" s="40">
        <f t="shared" si="1"/>
        <v>0</v>
      </c>
      <c r="X34" s="41"/>
      <c r="Y34" s="40"/>
      <c r="Z34" s="131">
        <f t="shared" si="23"/>
        <v>1</v>
      </c>
      <c r="AA34" s="131">
        <f t="shared" si="23"/>
        <v>1</v>
      </c>
      <c r="AB34" s="40"/>
      <c r="AC34" s="41"/>
      <c r="AD34" s="40">
        <f t="shared" si="12"/>
        <v>0</v>
      </c>
      <c r="AE34" s="40">
        <f t="shared" si="13"/>
        <v>14351.85185185185</v>
      </c>
      <c r="AF34" s="40">
        <f t="shared" si="13"/>
        <v>0</v>
      </c>
      <c r="AG34" s="40"/>
      <c r="AH34" s="41"/>
      <c r="AI34" s="43"/>
      <c r="AJ34" s="40">
        <f t="shared" si="14"/>
        <v>0</v>
      </c>
      <c r="AK34" s="40">
        <f t="shared" si="3"/>
        <v>0</v>
      </c>
      <c r="AL34" s="44">
        <f t="shared" si="15"/>
        <v>0</v>
      </c>
      <c r="AN34" s="40">
        <f t="shared" si="4"/>
        <v>250.4286798179059</v>
      </c>
      <c r="AO34" s="39"/>
      <c r="AP34" s="40">
        <f t="shared" si="16"/>
        <v>0</v>
      </c>
      <c r="AQ34" s="40">
        <f t="shared" si="5"/>
        <v>0</v>
      </c>
      <c r="AR34" s="39"/>
      <c r="AS34" s="40">
        <f t="shared" si="17"/>
        <v>0</v>
      </c>
      <c r="AU34" s="40">
        <f t="shared" si="18"/>
        <v>0</v>
      </c>
      <c r="AV34" s="39"/>
      <c r="AW34" s="40">
        <f t="shared" si="19"/>
        <v>0</v>
      </c>
      <c r="AX34" s="40">
        <f t="shared" si="6"/>
        <v>0</v>
      </c>
      <c r="AY34" s="39"/>
      <c r="AZ34" s="121">
        <f t="shared" si="20"/>
        <v>0</v>
      </c>
      <c r="BB34" s="149">
        <v>9.5220030349013651</v>
      </c>
      <c r="BC34" s="152"/>
      <c r="BD34" s="153">
        <f t="shared" si="21"/>
        <v>9.5220030349013651</v>
      </c>
      <c r="BE34" s="14" t="s">
        <v>2908</v>
      </c>
      <c r="BF34" s="86"/>
      <c r="BI34" s="41"/>
      <c r="BJ34" s="41"/>
      <c r="BL34" s="41">
        <f t="shared" si="22"/>
        <v>25000</v>
      </c>
    </row>
    <row r="35" spans="1:64" x14ac:dyDescent="0.25">
      <c r="A35" s="136">
        <f>COUNTIFS(C$8:C35,$C35)</f>
        <v>1</v>
      </c>
      <c r="B35" s="39" t="str">
        <f t="shared" si="7"/>
        <v>NĐ</v>
      </c>
      <c r="C35" s="39" t="str">
        <f t="shared" si="0"/>
        <v>1005 | 110000425</v>
      </c>
      <c r="D35" s="54" t="s">
        <v>2354</v>
      </c>
      <c r="E35" s="39" t="s">
        <v>2355</v>
      </c>
      <c r="F35" s="54" t="s">
        <v>36</v>
      </c>
      <c r="G35" s="39" t="s">
        <v>412</v>
      </c>
      <c r="H35" s="54" t="s">
        <v>2587</v>
      </c>
      <c r="I35" s="54" t="s">
        <v>2639</v>
      </c>
      <c r="J35" s="40">
        <v>17875</v>
      </c>
      <c r="K35" s="40"/>
      <c r="L35" s="93">
        <f t="shared" si="8"/>
        <v>17875</v>
      </c>
      <c r="M35" s="93">
        <f t="shared" si="9"/>
        <v>17875</v>
      </c>
      <c r="O35" s="40"/>
      <c r="P35" s="40">
        <f>IF($A35=1,MIN($M35,SUMIFS('Working-T05-B2'!$Q$8:$Q$150,'Working-T05-B2'!$D$8:$D$150,$C35)),MIN($M35,SUMIFS('Working-T05-B2'!$Q$8:$Q$150,'Working-T05-B2'!$D$8:$D$150,$C35)-SUMIFS(P$8:P34,C$8:C34,$C35)))</f>
        <v>0</v>
      </c>
      <c r="Q35" s="40"/>
      <c r="R35" s="40">
        <f t="shared" si="10"/>
        <v>0</v>
      </c>
      <c r="S35" s="41">
        <f t="shared" si="11"/>
        <v>-17875</v>
      </c>
      <c r="T35" s="42"/>
      <c r="U35" s="135">
        <v>33667</v>
      </c>
      <c r="V35" s="40"/>
      <c r="W35" s="40">
        <f t="shared" si="1"/>
        <v>0</v>
      </c>
      <c r="X35" s="41"/>
      <c r="Y35" s="40"/>
      <c r="Z35" s="131">
        <f t="shared" si="23"/>
        <v>1</v>
      </c>
      <c r="AA35" s="131">
        <f t="shared" si="23"/>
        <v>1</v>
      </c>
      <c r="AB35" s="40"/>
      <c r="AC35" s="41"/>
      <c r="AD35" s="40">
        <f t="shared" si="12"/>
        <v>0</v>
      </c>
      <c r="AE35" s="40">
        <f t="shared" si="13"/>
        <v>33667</v>
      </c>
      <c r="AF35" s="40">
        <f t="shared" si="13"/>
        <v>0</v>
      </c>
      <c r="AG35" s="40"/>
      <c r="AH35" s="41"/>
      <c r="AI35" s="43"/>
      <c r="AJ35" s="40">
        <f t="shared" si="14"/>
        <v>0</v>
      </c>
      <c r="AK35" s="40">
        <f t="shared" si="3"/>
        <v>0</v>
      </c>
      <c r="AL35" s="44">
        <f t="shared" si="15"/>
        <v>0</v>
      </c>
      <c r="AN35" s="40">
        <f t="shared" si="4"/>
        <v>105.45911330049523</v>
      </c>
      <c r="AO35" s="39"/>
      <c r="AP35" s="40">
        <f t="shared" si="16"/>
        <v>0</v>
      </c>
      <c r="AQ35" s="40">
        <f t="shared" si="5"/>
        <v>0</v>
      </c>
      <c r="AR35" s="39"/>
      <c r="AS35" s="40">
        <f t="shared" si="17"/>
        <v>0</v>
      </c>
      <c r="AU35" s="40">
        <f t="shared" si="18"/>
        <v>0</v>
      </c>
      <c r="AV35" s="39"/>
      <c r="AW35" s="40">
        <f t="shared" si="19"/>
        <v>0</v>
      </c>
      <c r="AX35" s="40">
        <f t="shared" si="6"/>
        <v>0</v>
      </c>
      <c r="AY35" s="39"/>
      <c r="AZ35" s="121">
        <f t="shared" si="20"/>
        <v>0</v>
      </c>
      <c r="BB35" s="149">
        <v>4.0098522167488682</v>
      </c>
      <c r="BC35" s="152"/>
      <c r="BD35" s="153">
        <f t="shared" si="21"/>
        <v>4.0098522167488682</v>
      </c>
      <c r="BF35" s="86"/>
      <c r="BI35" s="41"/>
      <c r="BJ35" s="41"/>
      <c r="BL35" s="41">
        <f t="shared" si="22"/>
        <v>17875</v>
      </c>
    </row>
    <row r="36" spans="1:64" x14ac:dyDescent="0.25">
      <c r="A36" s="136">
        <f>COUNTIFS(C$8:C36,$C36)</f>
        <v>1</v>
      </c>
      <c r="B36" s="39" t="str">
        <f t="shared" si="7"/>
        <v>NĐ</v>
      </c>
      <c r="C36" s="39" t="str">
        <f t="shared" si="0"/>
        <v>105263 | 110000361</v>
      </c>
      <c r="D36" s="54" t="s">
        <v>34</v>
      </c>
      <c r="E36" s="39" t="s">
        <v>35</v>
      </c>
      <c r="F36" s="54" t="s">
        <v>309</v>
      </c>
      <c r="G36" s="39" t="s">
        <v>310</v>
      </c>
      <c r="H36" s="54" t="s">
        <v>2588</v>
      </c>
      <c r="I36" s="54" t="s">
        <v>2639</v>
      </c>
      <c r="J36" s="40">
        <v>22000</v>
      </c>
      <c r="K36" s="40"/>
      <c r="L36" s="93">
        <f t="shared" si="8"/>
        <v>22000</v>
      </c>
      <c r="M36" s="93">
        <f t="shared" si="9"/>
        <v>22000</v>
      </c>
      <c r="O36" s="40"/>
      <c r="P36" s="40">
        <f>IF($A36=1,MIN($M36,SUMIFS('Working-T05-B2'!$Q$8:$Q$150,'Working-T05-B2'!$D$8:$D$150,$C36)),MIN($M36,SUMIFS('Working-T05-B2'!$Q$8:$Q$150,'Working-T05-B2'!$D$8:$D$150,$C36)-SUMIFS(P$8:P35,C$8:C35,$C36)))</f>
        <v>0</v>
      </c>
      <c r="Q36" s="40"/>
      <c r="R36" s="40">
        <f t="shared" si="10"/>
        <v>0</v>
      </c>
      <c r="S36" s="41">
        <f t="shared" si="11"/>
        <v>-22000</v>
      </c>
      <c r="T36" s="42"/>
      <c r="U36" s="135">
        <v>32424</v>
      </c>
      <c r="V36" s="40"/>
      <c r="W36" s="40">
        <f t="shared" si="1"/>
        <v>0</v>
      </c>
      <c r="X36" s="41"/>
      <c r="Y36" s="40"/>
      <c r="Z36" s="131">
        <f t="shared" si="23"/>
        <v>1</v>
      </c>
      <c r="AA36" s="131">
        <f t="shared" si="23"/>
        <v>1</v>
      </c>
      <c r="AB36" s="40"/>
      <c r="AC36" s="41"/>
      <c r="AD36" s="40">
        <f t="shared" si="12"/>
        <v>0</v>
      </c>
      <c r="AE36" s="40">
        <f t="shared" si="13"/>
        <v>32424</v>
      </c>
      <c r="AF36" s="40">
        <f t="shared" si="13"/>
        <v>0</v>
      </c>
      <c r="AG36" s="40"/>
      <c r="AH36" s="41"/>
      <c r="AI36" s="43"/>
      <c r="AJ36" s="40">
        <f t="shared" si="14"/>
        <v>0</v>
      </c>
      <c r="AK36" s="40">
        <f t="shared" si="3"/>
        <v>0</v>
      </c>
      <c r="AL36" s="44">
        <f t="shared" si="15"/>
        <v>0</v>
      </c>
      <c r="AN36" s="40">
        <f t="shared" si="4"/>
        <v>0</v>
      </c>
      <c r="AO36" s="39"/>
      <c r="AP36" s="40">
        <f t="shared" si="16"/>
        <v>0</v>
      </c>
      <c r="AQ36" s="40">
        <f t="shared" si="5"/>
        <v>0</v>
      </c>
      <c r="AR36" s="39"/>
      <c r="AS36" s="40">
        <f t="shared" si="17"/>
        <v>0</v>
      </c>
      <c r="AU36" s="40">
        <f t="shared" si="18"/>
        <v>0</v>
      </c>
      <c r="AV36" s="39"/>
      <c r="AW36" s="40">
        <f t="shared" si="19"/>
        <v>0</v>
      </c>
      <c r="AX36" s="40">
        <f t="shared" si="6"/>
        <v>0</v>
      </c>
      <c r="AY36" s="39"/>
      <c r="AZ36" s="121">
        <f t="shared" si="20"/>
        <v>0</v>
      </c>
      <c r="BB36" s="149"/>
      <c r="BC36" s="152"/>
      <c r="BD36" s="153">
        <f t="shared" si="21"/>
        <v>0</v>
      </c>
      <c r="BE36" s="14" t="s">
        <v>2909</v>
      </c>
      <c r="BF36" s="86"/>
      <c r="BI36" s="41"/>
      <c r="BJ36" s="41"/>
      <c r="BL36" s="41">
        <f t="shared" si="22"/>
        <v>22000</v>
      </c>
    </row>
    <row r="37" spans="1:64" x14ac:dyDescent="0.25">
      <c r="A37" s="136">
        <f>COUNTIFS(C$8:C37,$C37)</f>
        <v>1</v>
      </c>
      <c r="B37" s="39" t="str">
        <f t="shared" si="7"/>
        <v>NĐ</v>
      </c>
      <c r="C37" s="39" t="str">
        <f t="shared" si="0"/>
        <v>105354 | 110000354</v>
      </c>
      <c r="D37" s="54" t="s">
        <v>2008</v>
      </c>
      <c r="E37" s="39" t="s">
        <v>2009</v>
      </c>
      <c r="F37" s="54" t="s">
        <v>33</v>
      </c>
      <c r="G37" s="39" t="s">
        <v>296</v>
      </c>
      <c r="H37" s="54" t="s">
        <v>2589</v>
      </c>
      <c r="I37" s="54" t="s">
        <v>2639</v>
      </c>
      <c r="J37" s="40">
        <v>44000</v>
      </c>
      <c r="K37" s="40"/>
      <c r="L37" s="93">
        <f t="shared" si="8"/>
        <v>44000</v>
      </c>
      <c r="M37" s="93">
        <f t="shared" si="9"/>
        <v>44000</v>
      </c>
      <c r="O37" s="40"/>
      <c r="P37" s="40">
        <f>IF($A37=1,MIN($M37,SUMIFS('Working-T05-B2'!$Q$8:$Q$150,'Working-T05-B2'!$D$8:$D$150,$C37)),MIN($M37,SUMIFS('Working-T05-B2'!$Q$8:$Q$150,'Working-T05-B2'!$D$8:$D$150,$C37)-SUMIFS(P$8:P36,C$8:C36,$C37)))</f>
        <v>44000</v>
      </c>
      <c r="Q37" s="40"/>
      <c r="R37" s="40">
        <f t="shared" si="10"/>
        <v>44000</v>
      </c>
      <c r="S37" s="41">
        <f t="shared" si="11"/>
        <v>0</v>
      </c>
      <c r="T37" s="42"/>
      <c r="U37" s="135">
        <v>31679</v>
      </c>
      <c r="V37" s="40"/>
      <c r="W37" s="40">
        <f t="shared" si="1"/>
        <v>31679</v>
      </c>
      <c r="X37" s="41"/>
      <c r="Y37" s="40"/>
      <c r="Z37" s="131">
        <f t="shared" si="23"/>
        <v>1</v>
      </c>
      <c r="AA37" s="131">
        <f t="shared" si="23"/>
        <v>1</v>
      </c>
      <c r="AB37" s="40"/>
      <c r="AC37" s="41"/>
      <c r="AD37" s="40">
        <f t="shared" si="12"/>
        <v>0</v>
      </c>
      <c r="AE37" s="40">
        <f t="shared" si="13"/>
        <v>31679</v>
      </c>
      <c r="AF37" s="40">
        <f t="shared" si="13"/>
        <v>0</v>
      </c>
      <c r="AG37" s="40"/>
      <c r="AH37" s="41"/>
      <c r="AI37" s="43"/>
      <c r="AJ37" s="40">
        <f t="shared" si="14"/>
        <v>1393876000</v>
      </c>
      <c r="AK37" s="40">
        <f t="shared" si="3"/>
        <v>0</v>
      </c>
      <c r="AL37" s="44">
        <f t="shared" si="15"/>
        <v>1393876000</v>
      </c>
      <c r="AN37" s="40">
        <f t="shared" si="4"/>
        <v>165.16000451246566</v>
      </c>
      <c r="AO37" s="39"/>
      <c r="AP37" s="40">
        <f t="shared" si="16"/>
        <v>0</v>
      </c>
      <c r="AQ37" s="40">
        <f t="shared" si="5"/>
        <v>7267040.1985484893</v>
      </c>
      <c r="AR37" s="39"/>
      <c r="AS37" s="40">
        <f t="shared" si="17"/>
        <v>7267040.1985484893</v>
      </c>
      <c r="AU37" s="40">
        <f t="shared" si="18"/>
        <v>0</v>
      </c>
      <c r="AV37" s="39"/>
      <c r="AW37" s="40">
        <f t="shared" si="19"/>
        <v>0</v>
      </c>
      <c r="AX37" s="40">
        <f t="shared" si="6"/>
        <v>0</v>
      </c>
      <c r="AY37" s="39"/>
      <c r="AZ37" s="121">
        <f t="shared" si="20"/>
        <v>0</v>
      </c>
      <c r="BB37" s="149">
        <v>6.279848080321889</v>
      </c>
      <c r="BC37" s="152"/>
      <c r="BD37" s="153">
        <f t="shared" si="21"/>
        <v>6.279848080321889</v>
      </c>
      <c r="BE37" s="14" t="s">
        <v>2906</v>
      </c>
      <c r="BF37" s="86"/>
      <c r="BI37" s="41"/>
      <c r="BJ37" s="41"/>
      <c r="BL37" s="41">
        <f t="shared" si="22"/>
        <v>0</v>
      </c>
    </row>
    <row r="38" spans="1:64" x14ac:dyDescent="0.25">
      <c r="A38" s="136">
        <f>COUNTIFS(C$8:C38,$C38)</f>
        <v>1</v>
      </c>
      <c r="B38" s="39" t="str">
        <f t="shared" si="7"/>
        <v>NĐ</v>
      </c>
      <c r="C38" s="39" t="str">
        <f t="shared" si="0"/>
        <v>105382 | 160012974</v>
      </c>
      <c r="D38" s="54" t="s">
        <v>2496</v>
      </c>
      <c r="E38" s="39" t="s">
        <v>2608</v>
      </c>
      <c r="F38" s="54" t="s">
        <v>60</v>
      </c>
      <c r="G38" s="39" t="s">
        <v>1925</v>
      </c>
      <c r="H38" s="54" t="s">
        <v>2590</v>
      </c>
      <c r="I38" s="54" t="s">
        <v>2639</v>
      </c>
      <c r="J38" s="40">
        <v>46997</v>
      </c>
      <c r="K38" s="40"/>
      <c r="L38" s="93">
        <f t="shared" si="8"/>
        <v>46997</v>
      </c>
      <c r="M38" s="93">
        <f t="shared" si="9"/>
        <v>46997</v>
      </c>
      <c r="O38" s="40"/>
      <c r="P38" s="40">
        <f>IF($A38=1,MIN($M38,SUMIFS('Working-T05-B2'!$Q$8:$Q$150,'Working-T05-B2'!$D$8:$D$150,$C38)),MIN($M38,SUMIFS('Working-T05-B2'!$Q$8:$Q$150,'Working-T05-B2'!$D$8:$D$150,$C38)-SUMIFS(P$8:P37,C$8:C37,$C38)))</f>
        <v>0</v>
      </c>
      <c r="Q38" s="40"/>
      <c r="R38" s="40">
        <f t="shared" si="10"/>
        <v>0</v>
      </c>
      <c r="S38" s="41">
        <f t="shared" si="11"/>
        <v>-46997</v>
      </c>
      <c r="T38" s="42"/>
      <c r="U38" s="135">
        <v>13888.888888888889</v>
      </c>
      <c r="V38" s="40"/>
      <c r="W38" s="40">
        <f t="shared" si="1"/>
        <v>0</v>
      </c>
      <c r="X38" s="41"/>
      <c r="Y38" s="40"/>
      <c r="Z38" s="131">
        <f t="shared" si="23"/>
        <v>1</v>
      </c>
      <c r="AA38" s="131">
        <f t="shared" si="23"/>
        <v>1</v>
      </c>
      <c r="AB38" s="40"/>
      <c r="AC38" s="41"/>
      <c r="AD38" s="40">
        <f t="shared" si="12"/>
        <v>0</v>
      </c>
      <c r="AE38" s="40">
        <f t="shared" si="13"/>
        <v>13888.888888888889</v>
      </c>
      <c r="AF38" s="40">
        <f t="shared" si="13"/>
        <v>0</v>
      </c>
      <c r="AG38" s="40"/>
      <c r="AH38" s="41"/>
      <c r="AI38" s="43"/>
      <c r="AJ38" s="40">
        <f t="shared" si="14"/>
        <v>0</v>
      </c>
      <c r="AK38" s="40">
        <f t="shared" si="3"/>
        <v>0</v>
      </c>
      <c r="AL38" s="44">
        <f t="shared" si="15"/>
        <v>0</v>
      </c>
      <c r="AN38" s="40">
        <f t="shared" si="4"/>
        <v>387.99009900990097</v>
      </c>
      <c r="AO38" s="39"/>
      <c r="AP38" s="40">
        <f t="shared" si="16"/>
        <v>0</v>
      </c>
      <c r="AQ38" s="40">
        <f t="shared" si="5"/>
        <v>0</v>
      </c>
      <c r="AR38" s="39"/>
      <c r="AS38" s="40">
        <f t="shared" si="17"/>
        <v>0</v>
      </c>
      <c r="AU38" s="40">
        <f t="shared" si="18"/>
        <v>0</v>
      </c>
      <c r="AV38" s="39"/>
      <c r="AW38" s="40">
        <f t="shared" si="19"/>
        <v>0</v>
      </c>
      <c r="AX38" s="40">
        <f t="shared" si="6"/>
        <v>0</v>
      </c>
      <c r="AY38" s="39"/>
      <c r="AZ38" s="121">
        <f t="shared" si="20"/>
        <v>0</v>
      </c>
      <c r="BB38" s="149">
        <v>14.752475247524753</v>
      </c>
      <c r="BC38" s="152"/>
      <c r="BD38" s="153">
        <f t="shared" si="21"/>
        <v>14.752475247524753</v>
      </c>
      <c r="BE38" s="14" t="s">
        <v>2910</v>
      </c>
      <c r="BF38" s="86"/>
      <c r="BI38" s="41"/>
      <c r="BJ38" s="41"/>
      <c r="BL38" s="41">
        <f t="shared" si="22"/>
        <v>46997</v>
      </c>
    </row>
    <row r="39" spans="1:64" x14ac:dyDescent="0.25">
      <c r="A39" s="136">
        <f>COUNTIFS(C$8:C39,$C39)</f>
        <v>3</v>
      </c>
      <c r="B39" s="39" t="str">
        <f t="shared" si="7"/>
        <v>NĐ</v>
      </c>
      <c r="C39" s="39" t="str">
        <f t="shared" si="0"/>
        <v>105382 | 160012611</v>
      </c>
      <c r="D39" s="54" t="s">
        <v>2496</v>
      </c>
      <c r="E39" s="39" t="s">
        <v>2608</v>
      </c>
      <c r="F39" s="54" t="s">
        <v>257</v>
      </c>
      <c r="G39" s="39" t="s">
        <v>2604</v>
      </c>
      <c r="H39" s="54" t="s">
        <v>2590</v>
      </c>
      <c r="I39" s="54" t="s">
        <v>2639</v>
      </c>
      <c r="J39" s="40">
        <v>40000</v>
      </c>
      <c r="K39" s="40"/>
      <c r="L39" s="93">
        <f t="shared" si="8"/>
        <v>40000</v>
      </c>
      <c r="M39" s="93">
        <f t="shared" si="9"/>
        <v>40000</v>
      </c>
      <c r="O39" s="40"/>
      <c r="P39" s="40">
        <f>IF($A39=1,MIN($M39,SUMIFS('Working-T05-B2'!$Q$8:$Q$150,'Working-T05-B2'!$D$8:$D$150,$C39)),MIN($M39,SUMIFS('Working-T05-B2'!$Q$8:$Q$150,'Working-T05-B2'!$D$8:$D$150,$C39)-SUMIFS(P$8:P38,C$8:C38,$C39)))</f>
        <v>0</v>
      </c>
      <c r="Q39" s="40"/>
      <c r="R39" s="40">
        <f t="shared" si="10"/>
        <v>0</v>
      </c>
      <c r="S39" s="41">
        <f t="shared" si="11"/>
        <v>-40000</v>
      </c>
      <c r="T39" s="42"/>
      <c r="U39" s="135">
        <v>13888.888888888889</v>
      </c>
      <c r="V39" s="40"/>
      <c r="W39" s="40">
        <f t="shared" ref="W39:W46" si="24">IFERROR($AL39/$R39,0)</f>
        <v>0</v>
      </c>
      <c r="X39" s="41"/>
      <c r="Y39" s="40"/>
      <c r="Z39" s="131">
        <f t="shared" si="23"/>
        <v>1</v>
      </c>
      <c r="AA39" s="131">
        <f t="shared" si="23"/>
        <v>1</v>
      </c>
      <c r="AB39" s="40"/>
      <c r="AC39" s="41"/>
      <c r="AD39" s="40">
        <f t="shared" si="12"/>
        <v>0</v>
      </c>
      <c r="AE39" s="40">
        <f t="shared" si="13"/>
        <v>13888.888888888889</v>
      </c>
      <c r="AF39" s="40">
        <f t="shared" si="13"/>
        <v>0</v>
      </c>
      <c r="AG39" s="40"/>
      <c r="AH39" s="41"/>
      <c r="AI39" s="43"/>
      <c r="AJ39" s="40">
        <f t="shared" ref="AJ39:AJ46" si="25">P39*AE39</f>
        <v>0</v>
      </c>
      <c r="AK39" s="40">
        <f t="shared" ref="AK39:AK46" si="26">Q39*AF39</f>
        <v>0</v>
      </c>
      <c r="AL39" s="44">
        <f t="shared" si="15"/>
        <v>0</v>
      </c>
      <c r="AN39" s="40">
        <f t="shared" si="4"/>
        <v>387.99009900990097</v>
      </c>
      <c r="AO39" s="39"/>
      <c r="AP39" s="40">
        <f t="shared" si="16"/>
        <v>0</v>
      </c>
      <c r="AQ39" s="40">
        <f t="shared" si="5"/>
        <v>0</v>
      </c>
      <c r="AR39" s="39"/>
      <c r="AS39" s="40">
        <f t="shared" si="17"/>
        <v>0</v>
      </c>
      <c r="AU39" s="40">
        <f t="shared" si="18"/>
        <v>0</v>
      </c>
      <c r="AV39" s="39"/>
      <c r="AW39" s="40">
        <f t="shared" si="19"/>
        <v>0</v>
      </c>
      <c r="AX39" s="40">
        <f t="shared" si="6"/>
        <v>0</v>
      </c>
      <c r="AY39" s="39"/>
      <c r="AZ39" s="121">
        <f t="shared" si="20"/>
        <v>0</v>
      </c>
      <c r="BB39" s="149">
        <v>14.752475247524753</v>
      </c>
      <c r="BC39" s="152"/>
      <c r="BD39" s="153">
        <f t="shared" si="21"/>
        <v>14.752475247524753</v>
      </c>
      <c r="BF39" s="86"/>
      <c r="BI39" s="41"/>
      <c r="BJ39" s="41"/>
      <c r="BL39" s="41">
        <f t="shared" si="22"/>
        <v>40000</v>
      </c>
    </row>
    <row r="40" spans="1:64" x14ac:dyDescent="0.25">
      <c r="A40" s="136">
        <f>COUNTIFS(C$8:C40,$C40)</f>
        <v>1</v>
      </c>
      <c r="B40" s="39" t="str">
        <f t="shared" si="7"/>
        <v>NĐ</v>
      </c>
      <c r="C40" s="39" t="str">
        <f t="shared" si="0"/>
        <v>105382 | 160012951</v>
      </c>
      <c r="D40" s="54" t="s">
        <v>2496</v>
      </c>
      <c r="E40" s="39" t="s">
        <v>2608</v>
      </c>
      <c r="F40" s="54" t="s">
        <v>262</v>
      </c>
      <c r="G40" s="39" t="s">
        <v>2606</v>
      </c>
      <c r="H40" s="54" t="s">
        <v>2590</v>
      </c>
      <c r="I40" s="54" t="s">
        <v>2639</v>
      </c>
      <c r="J40" s="40">
        <v>6995</v>
      </c>
      <c r="K40" s="40"/>
      <c r="L40" s="93">
        <f t="shared" si="8"/>
        <v>6995</v>
      </c>
      <c r="M40" s="93">
        <f t="shared" si="9"/>
        <v>6995</v>
      </c>
      <c r="O40" s="40"/>
      <c r="P40" s="40">
        <f>IF($A40=1,MIN($M40,SUMIFS('Working-T05-B2'!$Q$8:$Q$150,'Working-T05-B2'!$D$8:$D$150,$C40)),MIN($M40,SUMIFS('Working-T05-B2'!$Q$8:$Q$150,'Working-T05-B2'!$D$8:$D$150,$C40)-SUMIFS(P$8:P39,C$8:C39,$C40)))</f>
        <v>0</v>
      </c>
      <c r="Q40" s="40"/>
      <c r="R40" s="40">
        <f t="shared" si="10"/>
        <v>0</v>
      </c>
      <c r="S40" s="41">
        <f t="shared" si="11"/>
        <v>-6995</v>
      </c>
      <c r="T40" s="42"/>
      <c r="U40" s="135">
        <v>13888.888888888889</v>
      </c>
      <c r="V40" s="40"/>
      <c r="W40" s="40">
        <f t="shared" si="24"/>
        <v>0</v>
      </c>
      <c r="X40" s="41"/>
      <c r="Y40" s="40"/>
      <c r="Z40" s="131">
        <f t="shared" si="23"/>
        <v>1</v>
      </c>
      <c r="AA40" s="131">
        <f t="shared" si="23"/>
        <v>1</v>
      </c>
      <c r="AB40" s="40"/>
      <c r="AC40" s="41"/>
      <c r="AD40" s="40">
        <f t="shared" si="12"/>
        <v>0</v>
      </c>
      <c r="AE40" s="40">
        <f t="shared" si="13"/>
        <v>13888.888888888889</v>
      </c>
      <c r="AF40" s="40">
        <f t="shared" si="13"/>
        <v>0</v>
      </c>
      <c r="AG40" s="40"/>
      <c r="AH40" s="41"/>
      <c r="AI40" s="43"/>
      <c r="AJ40" s="40">
        <f t="shared" si="25"/>
        <v>0</v>
      </c>
      <c r="AK40" s="40">
        <f t="shared" si="26"/>
        <v>0</v>
      </c>
      <c r="AL40" s="44">
        <f t="shared" si="15"/>
        <v>0</v>
      </c>
      <c r="AN40" s="40">
        <f t="shared" si="4"/>
        <v>387.99009900990097</v>
      </c>
      <c r="AO40" s="39"/>
      <c r="AP40" s="40">
        <f t="shared" si="16"/>
        <v>0</v>
      </c>
      <c r="AQ40" s="40">
        <f t="shared" si="5"/>
        <v>0</v>
      </c>
      <c r="AR40" s="39"/>
      <c r="AS40" s="40">
        <f t="shared" si="17"/>
        <v>0</v>
      </c>
      <c r="AU40" s="40">
        <f t="shared" si="18"/>
        <v>0</v>
      </c>
      <c r="AV40" s="39"/>
      <c r="AW40" s="40">
        <f t="shared" si="19"/>
        <v>0</v>
      </c>
      <c r="AX40" s="40">
        <f t="shared" si="6"/>
        <v>0</v>
      </c>
      <c r="AY40" s="39"/>
      <c r="AZ40" s="121">
        <f t="shared" si="20"/>
        <v>0</v>
      </c>
      <c r="BB40" s="149">
        <v>14.752475247524753</v>
      </c>
      <c r="BC40" s="152"/>
      <c r="BD40" s="153">
        <f t="shared" si="21"/>
        <v>14.752475247524753</v>
      </c>
      <c r="BF40" s="86"/>
      <c r="BI40" s="41"/>
      <c r="BJ40" s="41"/>
      <c r="BL40" s="41">
        <f t="shared" si="22"/>
        <v>6995</v>
      </c>
    </row>
    <row r="41" spans="1:64" x14ac:dyDescent="0.25">
      <c r="A41" s="136">
        <f>COUNTIFS(C$8:C41,$C41)</f>
        <v>1</v>
      </c>
      <c r="B41" s="39" t="str">
        <f t="shared" si="7"/>
        <v>NĐ</v>
      </c>
      <c r="C41" s="39" t="str">
        <f t="shared" si="0"/>
        <v>105424 | 110000374</v>
      </c>
      <c r="D41" s="54" t="s">
        <v>2634</v>
      </c>
      <c r="E41" s="39" t="s">
        <v>2622</v>
      </c>
      <c r="F41" s="54" t="s">
        <v>50</v>
      </c>
      <c r="G41" s="39" t="s">
        <v>704</v>
      </c>
      <c r="H41" s="54" t="s">
        <v>2593</v>
      </c>
      <c r="I41" s="54" t="s">
        <v>2640</v>
      </c>
      <c r="J41" s="40">
        <v>50</v>
      </c>
      <c r="K41" s="40"/>
      <c r="L41" s="93">
        <f t="shared" si="8"/>
        <v>50</v>
      </c>
      <c r="M41" s="93">
        <f t="shared" si="9"/>
        <v>50</v>
      </c>
      <c r="O41" s="40"/>
      <c r="P41" s="40">
        <f>IF($A41=1,MIN($M41,SUMIFS('Working-T05-B2'!$Q$8:$Q$150,'Working-T05-B2'!$D$8:$D$150,$C41)),MIN($M41,SUMIFS('Working-T05-B2'!$Q$8:$Q$150,'Working-T05-B2'!$D$8:$D$150,$C41)-SUMIFS(P$8:P40,C$8:C40,$C41)))</f>
        <v>0</v>
      </c>
      <c r="Q41" s="40"/>
      <c r="R41" s="40">
        <f t="shared" si="10"/>
        <v>0</v>
      </c>
      <c r="S41" s="41">
        <f t="shared" si="11"/>
        <v>-50</v>
      </c>
      <c r="T41" s="42"/>
      <c r="U41" s="135">
        <v>34629</v>
      </c>
      <c r="V41" s="40"/>
      <c r="W41" s="40">
        <f t="shared" si="24"/>
        <v>0</v>
      </c>
      <c r="X41" s="41"/>
      <c r="Y41" s="40"/>
      <c r="Z41" s="131">
        <f t="shared" si="23"/>
        <v>1</v>
      </c>
      <c r="AA41" s="131">
        <f t="shared" si="23"/>
        <v>1</v>
      </c>
      <c r="AB41" s="40"/>
      <c r="AC41" s="41"/>
      <c r="AD41" s="40">
        <f t="shared" si="12"/>
        <v>0</v>
      </c>
      <c r="AE41" s="40">
        <f t="shared" si="13"/>
        <v>34629</v>
      </c>
      <c r="AF41" s="40">
        <f t="shared" si="13"/>
        <v>0</v>
      </c>
      <c r="AG41" s="40"/>
      <c r="AH41" s="41"/>
      <c r="AI41" s="43"/>
      <c r="AJ41" s="40">
        <f t="shared" si="25"/>
        <v>0</v>
      </c>
      <c r="AK41" s="40">
        <f t="shared" si="26"/>
        <v>0</v>
      </c>
      <c r="AL41" s="44">
        <f t="shared" si="15"/>
        <v>0</v>
      </c>
      <c r="AN41" s="40">
        <f t="shared" si="4"/>
        <v>0</v>
      </c>
      <c r="AO41" s="39"/>
      <c r="AP41" s="40">
        <f t="shared" si="16"/>
        <v>0</v>
      </c>
      <c r="AQ41" s="40">
        <f t="shared" si="5"/>
        <v>0</v>
      </c>
      <c r="AR41" s="39"/>
      <c r="AS41" s="40">
        <f t="shared" si="17"/>
        <v>0</v>
      </c>
      <c r="AU41" s="40">
        <f t="shared" si="18"/>
        <v>0</v>
      </c>
      <c r="AV41" s="39"/>
      <c r="AW41" s="40">
        <f t="shared" si="19"/>
        <v>0</v>
      </c>
      <c r="AX41" s="40">
        <f t="shared" si="6"/>
        <v>0</v>
      </c>
      <c r="AY41" s="39"/>
      <c r="AZ41" s="121">
        <f t="shared" si="20"/>
        <v>0</v>
      </c>
      <c r="BB41" s="149"/>
      <c r="BC41" s="152"/>
      <c r="BD41" s="153">
        <f t="shared" si="21"/>
        <v>0</v>
      </c>
      <c r="BF41" s="86"/>
      <c r="BI41" s="41"/>
      <c r="BJ41" s="41"/>
      <c r="BL41" s="41">
        <f t="shared" si="22"/>
        <v>50</v>
      </c>
    </row>
    <row r="42" spans="1:64" x14ac:dyDescent="0.25">
      <c r="A42" s="136">
        <f>COUNTIFS(C$8:C42,$C42)</f>
        <v>1</v>
      </c>
      <c r="B42" s="39" t="str">
        <f t="shared" si="7"/>
        <v>NĐ</v>
      </c>
      <c r="C42" s="39" t="str">
        <f t="shared" si="0"/>
        <v>105281 | 110000354</v>
      </c>
      <c r="D42" s="54" t="s">
        <v>45</v>
      </c>
      <c r="E42" s="39" t="s">
        <v>46</v>
      </c>
      <c r="F42" s="54" t="s">
        <v>33</v>
      </c>
      <c r="G42" s="39" t="s">
        <v>296</v>
      </c>
      <c r="H42" s="54" t="s">
        <v>2595</v>
      </c>
      <c r="I42" s="54" t="s">
        <v>2639</v>
      </c>
      <c r="J42" s="40">
        <v>19100</v>
      </c>
      <c r="K42" s="40"/>
      <c r="L42" s="93">
        <f t="shared" si="8"/>
        <v>19100</v>
      </c>
      <c r="M42" s="93">
        <f t="shared" si="9"/>
        <v>19100</v>
      </c>
      <c r="O42" s="40"/>
      <c r="P42" s="40">
        <f>IF($A42=1,MIN($M42,SUMIFS('Working-T05-B2'!$Q$8:$Q$150,'Working-T05-B2'!$D$8:$D$150,$C42)),MIN($M42,SUMIFS('Working-T05-B2'!$Q$8:$Q$150,'Working-T05-B2'!$D$8:$D$150,$C42)-SUMIFS(P$8:P41,C$8:C41,$C42)))</f>
        <v>19100</v>
      </c>
      <c r="Q42" s="40"/>
      <c r="R42" s="40">
        <f t="shared" si="10"/>
        <v>19100</v>
      </c>
      <c r="S42" s="41">
        <f t="shared" si="11"/>
        <v>0</v>
      </c>
      <c r="T42" s="42"/>
      <c r="U42" s="135">
        <v>31897</v>
      </c>
      <c r="V42" s="40"/>
      <c r="W42" s="40">
        <f t="shared" si="24"/>
        <v>31897</v>
      </c>
      <c r="X42" s="41"/>
      <c r="Y42" s="40"/>
      <c r="Z42" s="131">
        <f t="shared" si="23"/>
        <v>1</v>
      </c>
      <c r="AA42" s="131">
        <f t="shared" si="23"/>
        <v>1</v>
      </c>
      <c r="AB42" s="40"/>
      <c r="AC42" s="41"/>
      <c r="AD42" s="40">
        <f t="shared" si="12"/>
        <v>0</v>
      </c>
      <c r="AE42" s="40">
        <f t="shared" si="13"/>
        <v>31897</v>
      </c>
      <c r="AF42" s="40">
        <f t="shared" si="13"/>
        <v>0</v>
      </c>
      <c r="AG42" s="40"/>
      <c r="AH42" s="41"/>
      <c r="AI42" s="43"/>
      <c r="AJ42" s="40">
        <f t="shared" si="25"/>
        <v>609232700</v>
      </c>
      <c r="AK42" s="40">
        <f t="shared" si="26"/>
        <v>0</v>
      </c>
      <c r="AL42" s="44">
        <f t="shared" si="15"/>
        <v>609232700</v>
      </c>
      <c r="AN42" s="40">
        <f t="shared" si="4"/>
        <v>0</v>
      </c>
      <c r="AO42" s="39"/>
      <c r="AP42" s="40">
        <f t="shared" si="16"/>
        <v>0</v>
      </c>
      <c r="AQ42" s="40">
        <f t="shared" si="5"/>
        <v>0</v>
      </c>
      <c r="AR42" s="39"/>
      <c r="AS42" s="40">
        <f t="shared" si="17"/>
        <v>0</v>
      </c>
      <c r="AU42" s="40">
        <f t="shared" si="18"/>
        <v>0</v>
      </c>
      <c r="AV42" s="39"/>
      <c r="AW42" s="40">
        <f t="shared" si="19"/>
        <v>0</v>
      </c>
      <c r="AX42" s="40">
        <f t="shared" si="6"/>
        <v>0</v>
      </c>
      <c r="AY42" s="39"/>
      <c r="AZ42" s="121">
        <f t="shared" si="20"/>
        <v>0</v>
      </c>
      <c r="BB42" s="149"/>
      <c r="BC42" s="152"/>
      <c r="BD42" s="153">
        <f t="shared" si="21"/>
        <v>0</v>
      </c>
      <c r="BF42" s="86"/>
      <c r="BI42" s="41"/>
      <c r="BJ42" s="41"/>
      <c r="BL42" s="41">
        <f t="shared" si="22"/>
        <v>0</v>
      </c>
    </row>
    <row r="43" spans="1:64" x14ac:dyDescent="0.25">
      <c r="A43" s="136">
        <f>COUNTIFS(C$8:C43,$C43)</f>
        <v>1</v>
      </c>
      <c r="B43" s="39" t="str">
        <f t="shared" si="7"/>
        <v>NĐ</v>
      </c>
      <c r="C43" s="39" t="str">
        <f t="shared" si="0"/>
        <v>105263 | 110000354</v>
      </c>
      <c r="D43" s="54" t="s">
        <v>34</v>
      </c>
      <c r="E43" s="39" t="s">
        <v>35</v>
      </c>
      <c r="F43" s="54" t="s">
        <v>33</v>
      </c>
      <c r="G43" s="39" t="s">
        <v>296</v>
      </c>
      <c r="H43" s="54" t="s">
        <v>2596</v>
      </c>
      <c r="I43" s="54" t="s">
        <v>2639</v>
      </c>
      <c r="J43" s="40">
        <v>44000</v>
      </c>
      <c r="K43" s="40"/>
      <c r="L43" s="93">
        <f t="shared" si="8"/>
        <v>44000</v>
      </c>
      <c r="M43" s="93">
        <f t="shared" si="9"/>
        <v>44000</v>
      </c>
      <c r="O43" s="40"/>
      <c r="P43" s="40">
        <f>IF($A43=1,MIN($M43,SUMIFS('Working-T05-B2'!$Q$8:$Q$150,'Working-T05-B2'!$D$8:$D$150,$C43)),MIN($M43,SUMIFS('Working-T05-B2'!$Q$8:$Q$150,'Working-T05-B2'!$D$8:$D$150,$C43)-SUMIFS(P$8:P42,C$8:C42,$C43)))</f>
        <v>6311.7965429124197</v>
      </c>
      <c r="Q43" s="40"/>
      <c r="R43" s="40">
        <f t="shared" si="10"/>
        <v>6311.7965429124197</v>
      </c>
      <c r="S43" s="41">
        <f t="shared" si="11"/>
        <v>-37688.203457087584</v>
      </c>
      <c r="T43" s="42"/>
      <c r="U43" s="135">
        <v>31513</v>
      </c>
      <c r="V43" s="40"/>
      <c r="W43" s="40">
        <f t="shared" si="24"/>
        <v>31513</v>
      </c>
      <c r="X43" s="41"/>
      <c r="Y43" s="40"/>
      <c r="Z43" s="131">
        <f t="shared" si="23"/>
        <v>1</v>
      </c>
      <c r="AA43" s="131">
        <f t="shared" si="23"/>
        <v>1</v>
      </c>
      <c r="AB43" s="40"/>
      <c r="AC43" s="41"/>
      <c r="AD43" s="40">
        <f t="shared" si="12"/>
        <v>0</v>
      </c>
      <c r="AE43" s="40">
        <f t="shared" si="13"/>
        <v>31513</v>
      </c>
      <c r="AF43" s="40">
        <f t="shared" si="13"/>
        <v>0</v>
      </c>
      <c r="AG43" s="40"/>
      <c r="AH43" s="41"/>
      <c r="AI43" s="43"/>
      <c r="AJ43" s="40">
        <f t="shared" si="25"/>
        <v>198903644.45679909</v>
      </c>
      <c r="AK43" s="40">
        <f t="shared" si="26"/>
        <v>0</v>
      </c>
      <c r="AL43" s="44">
        <f t="shared" si="15"/>
        <v>198903644.45679909</v>
      </c>
      <c r="AN43" s="40">
        <f t="shared" si="4"/>
        <v>0</v>
      </c>
      <c r="AO43" s="39"/>
      <c r="AP43" s="40">
        <f t="shared" si="16"/>
        <v>0</v>
      </c>
      <c r="AQ43" s="40">
        <f t="shared" si="5"/>
        <v>0</v>
      </c>
      <c r="AR43" s="39"/>
      <c r="AS43" s="40">
        <f t="shared" si="17"/>
        <v>0</v>
      </c>
      <c r="AU43" s="40">
        <f t="shared" si="18"/>
        <v>0</v>
      </c>
      <c r="AV43" s="39"/>
      <c r="AW43" s="40">
        <f t="shared" si="19"/>
        <v>0</v>
      </c>
      <c r="AX43" s="40">
        <f t="shared" si="6"/>
        <v>0</v>
      </c>
      <c r="AY43" s="39"/>
      <c r="AZ43" s="121">
        <f t="shared" si="20"/>
        <v>0</v>
      </c>
      <c r="BB43" s="149"/>
      <c r="BC43" s="152"/>
      <c r="BD43" s="153">
        <f t="shared" si="21"/>
        <v>0</v>
      </c>
      <c r="BF43" s="86"/>
      <c r="BI43" s="41"/>
      <c r="BJ43" s="41"/>
      <c r="BL43" s="41">
        <f t="shared" si="22"/>
        <v>37688.203457087584</v>
      </c>
    </row>
    <row r="44" spans="1:64" x14ac:dyDescent="0.25">
      <c r="A44" s="136">
        <f>COUNTIFS(C$8:C44,$C44)</f>
        <v>1</v>
      </c>
      <c r="B44" s="39" t="str">
        <f t="shared" si="7"/>
        <v>NĐ</v>
      </c>
      <c r="C44" s="39" t="str">
        <f t="shared" si="0"/>
        <v>1005 | 110000339</v>
      </c>
      <c r="D44" s="54" t="s">
        <v>2354</v>
      </c>
      <c r="E44" s="39" t="s">
        <v>2355</v>
      </c>
      <c r="F44" s="54" t="s">
        <v>38</v>
      </c>
      <c r="G44" s="39" t="s">
        <v>288</v>
      </c>
      <c r="H44" s="54" t="s">
        <v>2597</v>
      </c>
      <c r="I44" s="54" t="s">
        <v>2639</v>
      </c>
      <c r="J44" s="40">
        <v>33000</v>
      </c>
      <c r="K44" s="40"/>
      <c r="L44" s="93">
        <f t="shared" si="8"/>
        <v>33000</v>
      </c>
      <c r="M44" s="93">
        <f t="shared" si="9"/>
        <v>33000</v>
      </c>
      <c r="O44" s="40"/>
      <c r="P44" s="40">
        <f>IF($A44=1,MIN($M44,SUMIFS('Working-T05-B2'!$Q$8:$Q$150,'Working-T05-B2'!$D$8:$D$150,$C44)),MIN($M44,SUMIFS('Working-T05-B2'!$Q$8:$Q$150,'Working-T05-B2'!$D$8:$D$150,$C44)-SUMIFS(P$8:P43,C$8:C43,$C44)))</f>
        <v>0</v>
      </c>
      <c r="Q44" s="40"/>
      <c r="R44" s="40">
        <f t="shared" si="10"/>
        <v>0</v>
      </c>
      <c r="S44" s="41">
        <f t="shared" si="11"/>
        <v>-33000</v>
      </c>
      <c r="T44" s="42"/>
      <c r="U44" s="135">
        <v>33667</v>
      </c>
      <c r="V44" s="40"/>
      <c r="W44" s="40">
        <f t="shared" si="24"/>
        <v>0</v>
      </c>
      <c r="X44" s="41"/>
      <c r="Y44" s="40"/>
      <c r="Z44" s="131">
        <f t="shared" si="23"/>
        <v>1</v>
      </c>
      <c r="AA44" s="131">
        <f t="shared" si="23"/>
        <v>1</v>
      </c>
      <c r="AB44" s="40"/>
      <c r="AC44" s="41"/>
      <c r="AD44" s="40">
        <f t="shared" si="12"/>
        <v>0</v>
      </c>
      <c r="AE44" s="40">
        <f t="shared" si="13"/>
        <v>33667</v>
      </c>
      <c r="AF44" s="40">
        <f t="shared" si="13"/>
        <v>0</v>
      </c>
      <c r="AG44" s="40"/>
      <c r="AH44" s="41"/>
      <c r="AI44" s="43"/>
      <c r="AJ44" s="40">
        <f t="shared" si="25"/>
        <v>0</v>
      </c>
      <c r="AK44" s="40">
        <f t="shared" si="26"/>
        <v>0</v>
      </c>
      <c r="AL44" s="44">
        <f t="shared" si="15"/>
        <v>0</v>
      </c>
      <c r="AN44" s="40">
        <f t="shared" si="4"/>
        <v>0</v>
      </c>
      <c r="AO44" s="39"/>
      <c r="AP44" s="40">
        <f t="shared" si="16"/>
        <v>0</v>
      </c>
      <c r="AQ44" s="40">
        <f t="shared" si="5"/>
        <v>0</v>
      </c>
      <c r="AR44" s="39"/>
      <c r="AS44" s="40">
        <f t="shared" si="17"/>
        <v>0</v>
      </c>
      <c r="AU44" s="40">
        <f t="shared" si="18"/>
        <v>0</v>
      </c>
      <c r="AV44" s="39"/>
      <c r="AW44" s="40">
        <f t="shared" si="19"/>
        <v>0</v>
      </c>
      <c r="AX44" s="40">
        <f t="shared" si="6"/>
        <v>0</v>
      </c>
      <c r="AY44" s="39"/>
      <c r="AZ44" s="121">
        <f t="shared" si="20"/>
        <v>0</v>
      </c>
      <c r="BB44" s="149"/>
      <c r="BC44" s="152"/>
      <c r="BD44" s="153">
        <f t="shared" si="21"/>
        <v>0</v>
      </c>
      <c r="BE44" s="14" t="s">
        <v>2911</v>
      </c>
      <c r="BF44" s="86"/>
      <c r="BI44" s="41"/>
      <c r="BJ44" s="41"/>
      <c r="BL44" s="41">
        <f t="shared" si="22"/>
        <v>33000</v>
      </c>
    </row>
    <row r="45" spans="1:64" x14ac:dyDescent="0.25">
      <c r="A45" s="136">
        <f>COUNTIFS(C$8:C45,$C45)</f>
        <v>2</v>
      </c>
      <c r="B45" s="39" t="str">
        <f t="shared" si="7"/>
        <v>NĐ</v>
      </c>
      <c r="C45" s="39" t="str">
        <f t="shared" si="0"/>
        <v>1005 | 110000339</v>
      </c>
      <c r="D45" s="54" t="s">
        <v>2354</v>
      </c>
      <c r="E45" s="39" t="s">
        <v>2355</v>
      </c>
      <c r="F45" s="54" t="s">
        <v>38</v>
      </c>
      <c r="G45" s="39" t="s">
        <v>288</v>
      </c>
      <c r="H45" s="54" t="s">
        <v>2598</v>
      </c>
      <c r="I45" s="54" t="s">
        <v>2639</v>
      </c>
      <c r="J45" s="40">
        <v>33000</v>
      </c>
      <c r="K45" s="40"/>
      <c r="L45" s="93">
        <f t="shared" si="8"/>
        <v>33000</v>
      </c>
      <c r="M45" s="93">
        <f t="shared" si="9"/>
        <v>33000</v>
      </c>
      <c r="O45" s="40"/>
      <c r="P45" s="40">
        <f>IF($A45=1,MIN($M45,SUMIFS('Working-T05-B2'!$Q$8:$Q$150,'Working-T05-B2'!$D$8:$D$150,$C45)),MIN($M45,SUMIFS('Working-T05-B2'!$Q$8:$Q$150,'Working-T05-B2'!$D$8:$D$150,$C45)-SUMIFS(P$8:P44,C$8:C44,$C45)))</f>
        <v>0</v>
      </c>
      <c r="Q45" s="40"/>
      <c r="R45" s="40">
        <f t="shared" si="10"/>
        <v>0</v>
      </c>
      <c r="S45" s="41">
        <f t="shared" si="11"/>
        <v>-33000</v>
      </c>
      <c r="T45" s="42"/>
      <c r="U45" s="135">
        <v>33667</v>
      </c>
      <c r="V45" s="40"/>
      <c r="W45" s="40">
        <f t="shared" si="24"/>
        <v>0</v>
      </c>
      <c r="X45" s="41"/>
      <c r="Y45" s="40"/>
      <c r="Z45" s="131">
        <f t="shared" si="23"/>
        <v>1</v>
      </c>
      <c r="AA45" s="131">
        <f t="shared" si="23"/>
        <v>1</v>
      </c>
      <c r="AB45" s="40"/>
      <c r="AC45" s="41"/>
      <c r="AD45" s="40">
        <f t="shared" si="12"/>
        <v>0</v>
      </c>
      <c r="AE45" s="40">
        <f t="shared" si="13"/>
        <v>33667</v>
      </c>
      <c r="AF45" s="40">
        <f t="shared" si="13"/>
        <v>0</v>
      </c>
      <c r="AG45" s="40"/>
      <c r="AH45" s="41"/>
      <c r="AI45" s="43"/>
      <c r="AJ45" s="40">
        <f t="shared" si="25"/>
        <v>0</v>
      </c>
      <c r="AK45" s="40">
        <f t="shared" si="26"/>
        <v>0</v>
      </c>
      <c r="AL45" s="44">
        <f t="shared" si="15"/>
        <v>0</v>
      </c>
      <c r="AN45" s="40">
        <f t="shared" si="4"/>
        <v>0</v>
      </c>
      <c r="AO45" s="39"/>
      <c r="AP45" s="40">
        <f t="shared" si="16"/>
        <v>0</v>
      </c>
      <c r="AQ45" s="40">
        <f t="shared" si="5"/>
        <v>0</v>
      </c>
      <c r="AR45" s="39"/>
      <c r="AS45" s="40">
        <f t="shared" si="17"/>
        <v>0</v>
      </c>
      <c r="AU45" s="40">
        <f t="shared" si="18"/>
        <v>0</v>
      </c>
      <c r="AV45" s="39"/>
      <c r="AW45" s="40">
        <f t="shared" si="19"/>
        <v>0</v>
      </c>
      <c r="AX45" s="40">
        <f t="shared" si="6"/>
        <v>0</v>
      </c>
      <c r="AY45" s="39"/>
      <c r="AZ45" s="121">
        <f t="shared" si="20"/>
        <v>0</v>
      </c>
      <c r="BB45" s="149"/>
      <c r="BC45" s="152"/>
      <c r="BD45" s="153">
        <f t="shared" si="21"/>
        <v>0</v>
      </c>
      <c r="BE45" s="14" t="s">
        <v>2912</v>
      </c>
      <c r="BF45" s="86"/>
      <c r="BI45" s="41"/>
      <c r="BJ45" s="41"/>
      <c r="BL45" s="41">
        <f t="shared" si="22"/>
        <v>33000</v>
      </c>
    </row>
    <row r="46" spans="1:64" x14ac:dyDescent="0.25">
      <c r="A46" s="136">
        <f>COUNTIFS(C$8:C46,$C46)</f>
        <v>1</v>
      </c>
      <c r="B46" s="39" t="str">
        <f t="shared" si="7"/>
        <v>NĐ</v>
      </c>
      <c r="C46" s="39" t="str">
        <f t="shared" si="0"/>
        <v>105383 | 110000472</v>
      </c>
      <c r="D46" s="54" t="s">
        <v>2635</v>
      </c>
      <c r="E46" s="39" t="s">
        <v>2623</v>
      </c>
      <c r="F46" s="54" t="s">
        <v>799</v>
      </c>
      <c r="G46" s="39" t="s">
        <v>800</v>
      </c>
      <c r="H46" s="54" t="s">
        <v>2600</v>
      </c>
      <c r="I46" s="54" t="s">
        <v>2639</v>
      </c>
      <c r="J46" s="40">
        <v>500</v>
      </c>
      <c r="K46" s="40"/>
      <c r="L46" s="93">
        <f t="shared" si="8"/>
        <v>500</v>
      </c>
      <c r="M46" s="93">
        <f t="shared" si="9"/>
        <v>500</v>
      </c>
      <c r="O46" s="40"/>
      <c r="P46" s="40">
        <f>IF($A46=1,MIN($M46,SUMIFS('Working-T05-B2'!$Q$8:$Q$150,'Working-T05-B2'!$D$8:$D$150,$C46)),MIN($M46,SUMIFS('Working-T05-B2'!$Q$8:$Q$150,'Working-T05-B2'!$D$8:$D$150,$C46)-SUMIFS(P$8:P45,C$8:C45,$C46)))</f>
        <v>0</v>
      </c>
      <c r="Q46" s="40"/>
      <c r="R46" s="40">
        <f t="shared" si="10"/>
        <v>0</v>
      </c>
      <c r="S46" s="41">
        <f t="shared" si="11"/>
        <v>-500</v>
      </c>
      <c r="T46" s="42"/>
      <c r="U46" s="135">
        <v>32424</v>
      </c>
      <c r="V46" s="40"/>
      <c r="W46" s="40">
        <f t="shared" si="24"/>
        <v>0</v>
      </c>
      <c r="X46" s="41"/>
      <c r="Y46" s="40"/>
      <c r="Z46" s="131">
        <f t="shared" si="23"/>
        <v>1</v>
      </c>
      <c r="AA46" s="131">
        <f t="shared" si="23"/>
        <v>1</v>
      </c>
      <c r="AB46" s="40"/>
      <c r="AC46" s="41"/>
      <c r="AD46" s="40">
        <f t="shared" si="12"/>
        <v>0</v>
      </c>
      <c r="AE46" s="40">
        <f t="shared" si="13"/>
        <v>32424</v>
      </c>
      <c r="AF46" s="40">
        <f t="shared" si="13"/>
        <v>0</v>
      </c>
      <c r="AG46" s="40"/>
      <c r="AH46" s="41"/>
      <c r="AI46" s="43"/>
      <c r="AJ46" s="40">
        <f t="shared" si="25"/>
        <v>0</v>
      </c>
      <c r="AK46" s="40">
        <f t="shared" si="26"/>
        <v>0</v>
      </c>
      <c r="AL46" s="44">
        <f t="shared" si="15"/>
        <v>0</v>
      </c>
      <c r="AN46" s="40">
        <f t="shared" si="4"/>
        <v>0</v>
      </c>
      <c r="AO46" s="39"/>
      <c r="AP46" s="40">
        <f t="shared" si="16"/>
        <v>0</v>
      </c>
      <c r="AQ46" s="40">
        <f t="shared" si="5"/>
        <v>0</v>
      </c>
      <c r="AR46" s="39"/>
      <c r="AS46" s="40">
        <f t="shared" si="17"/>
        <v>0</v>
      </c>
      <c r="AU46" s="40">
        <f t="shared" si="18"/>
        <v>0</v>
      </c>
      <c r="AV46" s="39"/>
      <c r="AW46" s="40">
        <f t="shared" si="19"/>
        <v>0</v>
      </c>
      <c r="AX46" s="40">
        <f t="shared" si="6"/>
        <v>0</v>
      </c>
      <c r="AY46" s="39"/>
      <c r="AZ46" s="121">
        <f t="shared" si="20"/>
        <v>0</v>
      </c>
      <c r="BB46" s="149"/>
      <c r="BC46" s="152"/>
      <c r="BD46" s="153">
        <f t="shared" si="21"/>
        <v>0</v>
      </c>
      <c r="BF46" s="86"/>
      <c r="BI46" s="41"/>
      <c r="BJ46" s="41"/>
      <c r="BL46" s="41">
        <f t="shared" si="22"/>
        <v>500</v>
      </c>
    </row>
    <row r="47" spans="1:64" x14ac:dyDescent="0.25">
      <c r="B47" s="39"/>
      <c r="C47" s="39"/>
      <c r="D47" s="54"/>
      <c r="E47" s="39"/>
      <c r="F47" s="54"/>
      <c r="G47" s="39"/>
      <c r="H47" s="54"/>
      <c r="I47" s="54"/>
      <c r="J47" s="40"/>
      <c r="K47" s="40"/>
      <c r="L47" s="93"/>
      <c r="M47" s="93"/>
      <c r="O47" s="40"/>
      <c r="P47" s="40"/>
      <c r="Q47" s="40"/>
      <c r="R47" s="40"/>
      <c r="S47" s="41"/>
      <c r="T47" s="42"/>
      <c r="U47" s="135"/>
      <c r="V47" s="40"/>
      <c r="W47" s="42"/>
      <c r="X47" s="41"/>
      <c r="Y47" s="40"/>
      <c r="Z47" s="131"/>
      <c r="AA47" s="131"/>
      <c r="AB47" s="40"/>
      <c r="AC47" s="41"/>
      <c r="AD47" s="40"/>
      <c r="AE47" s="40"/>
      <c r="AF47" s="40"/>
      <c r="AG47" s="40"/>
      <c r="AH47" s="41"/>
      <c r="AI47" s="43"/>
      <c r="AJ47" s="40"/>
      <c r="AK47" s="40"/>
      <c r="AL47" s="44"/>
      <c r="AN47" s="40"/>
      <c r="AO47" s="39"/>
      <c r="AP47" s="40"/>
      <c r="AQ47" s="40"/>
      <c r="AR47" s="39"/>
      <c r="AS47" s="40"/>
      <c r="AU47" s="40"/>
      <c r="AV47" s="39"/>
      <c r="AW47" s="40"/>
      <c r="AX47" s="40"/>
      <c r="AY47" s="39"/>
      <c r="AZ47" s="121"/>
      <c r="BB47" s="149"/>
      <c r="BC47" s="152"/>
      <c r="BD47" s="153"/>
      <c r="BF47" s="86"/>
      <c r="BI47" s="41"/>
      <c r="BJ47" s="41"/>
    </row>
    <row r="48" spans="1:64" x14ac:dyDescent="0.25">
      <c r="B48" s="39"/>
      <c r="C48" s="39"/>
      <c r="D48" s="54"/>
      <c r="E48" s="39"/>
      <c r="F48" s="54"/>
      <c r="G48" s="39"/>
      <c r="H48" s="54"/>
      <c r="I48" s="54"/>
      <c r="J48" s="40"/>
      <c r="K48" s="40"/>
      <c r="L48" s="93"/>
      <c r="M48" s="93"/>
      <c r="O48" s="40"/>
      <c r="P48" s="40"/>
      <c r="Q48" s="40"/>
      <c r="R48" s="40"/>
      <c r="S48" s="41"/>
      <c r="T48" s="42"/>
      <c r="U48" s="135"/>
      <c r="V48" s="40"/>
      <c r="W48" s="42"/>
      <c r="X48" s="41"/>
      <c r="Y48" s="40"/>
      <c r="Z48" s="131"/>
      <c r="AA48" s="131"/>
      <c r="AB48" s="40"/>
      <c r="AC48" s="41"/>
      <c r="AD48" s="40"/>
      <c r="AE48" s="40"/>
      <c r="AF48" s="40"/>
      <c r="AG48" s="40"/>
      <c r="AH48" s="41"/>
      <c r="AI48" s="43"/>
      <c r="AJ48" s="40"/>
      <c r="AK48" s="40"/>
      <c r="AL48" s="44"/>
      <c r="AN48" s="40"/>
      <c r="AO48" s="39"/>
      <c r="AP48" s="40"/>
      <c r="AQ48" s="40"/>
      <c r="AR48" s="39"/>
      <c r="AS48" s="40"/>
      <c r="AU48" s="40"/>
      <c r="AV48" s="39"/>
      <c r="AW48" s="40"/>
      <c r="AX48" s="40"/>
      <c r="AY48" s="39"/>
      <c r="AZ48" s="121"/>
      <c r="BB48" s="149"/>
      <c r="BC48" s="152"/>
      <c r="BD48" s="153"/>
      <c r="BF48" s="86"/>
      <c r="BI48" s="41"/>
      <c r="BJ48" s="41"/>
    </row>
    <row r="49" spans="2:62" x14ac:dyDescent="0.25">
      <c r="B49" s="39"/>
      <c r="C49" s="39"/>
      <c r="D49" s="54"/>
      <c r="E49" s="39"/>
      <c r="F49" s="54"/>
      <c r="G49" s="39"/>
      <c r="H49" s="54"/>
      <c r="I49" s="54"/>
      <c r="J49" s="40"/>
      <c r="K49" s="40"/>
      <c r="L49" s="93"/>
      <c r="M49" s="93"/>
      <c r="O49" s="40"/>
      <c r="P49" s="40"/>
      <c r="Q49" s="40"/>
      <c r="R49" s="40"/>
      <c r="S49" s="41"/>
      <c r="T49" s="42"/>
      <c r="U49" s="135"/>
      <c r="V49" s="40"/>
      <c r="W49" s="42"/>
      <c r="X49" s="41"/>
      <c r="Y49" s="40"/>
      <c r="Z49" s="131"/>
      <c r="AA49" s="131"/>
      <c r="AB49" s="40"/>
      <c r="AC49" s="41"/>
      <c r="AD49" s="40"/>
      <c r="AE49" s="40"/>
      <c r="AF49" s="40"/>
      <c r="AG49" s="40"/>
      <c r="AH49" s="41"/>
      <c r="AI49" s="43"/>
      <c r="AJ49" s="40"/>
      <c r="AK49" s="40"/>
      <c r="AL49" s="44"/>
      <c r="AN49" s="40"/>
      <c r="AO49" s="39"/>
      <c r="AP49" s="40"/>
      <c r="AQ49" s="40"/>
      <c r="AR49" s="39"/>
      <c r="AS49" s="40"/>
      <c r="AU49" s="40"/>
      <c r="AV49" s="39"/>
      <c r="AW49" s="40"/>
      <c r="AX49" s="40"/>
      <c r="AY49" s="39"/>
      <c r="AZ49" s="121"/>
      <c r="BB49" s="149"/>
      <c r="BC49" s="152"/>
      <c r="BD49" s="153"/>
      <c r="BF49" s="86"/>
      <c r="BI49" s="41"/>
      <c r="BJ49" s="41"/>
    </row>
    <row r="50" spans="2:62" x14ac:dyDescent="0.25">
      <c r="B50" s="39"/>
      <c r="C50" s="39"/>
      <c r="D50" s="54"/>
      <c r="E50" s="39"/>
      <c r="F50" s="54"/>
      <c r="G50" s="39"/>
      <c r="H50" s="54"/>
      <c r="I50" s="54"/>
      <c r="J50" s="40"/>
      <c r="K50" s="40"/>
      <c r="L50" s="93"/>
      <c r="M50" s="93"/>
      <c r="O50" s="40"/>
      <c r="P50" s="40"/>
      <c r="Q50" s="40"/>
      <c r="R50" s="40"/>
      <c r="S50" s="41"/>
      <c r="T50" s="42"/>
      <c r="U50" s="135"/>
      <c r="V50" s="40"/>
      <c r="W50" s="42"/>
      <c r="X50" s="41"/>
      <c r="Y50" s="40"/>
      <c r="Z50" s="131"/>
      <c r="AA50" s="131"/>
      <c r="AB50" s="40"/>
      <c r="AC50" s="41"/>
      <c r="AD50" s="40"/>
      <c r="AE50" s="40"/>
      <c r="AF50" s="40"/>
      <c r="AG50" s="40"/>
      <c r="AH50" s="41"/>
      <c r="AI50" s="43"/>
      <c r="AJ50" s="40"/>
      <c r="AK50" s="40"/>
      <c r="AL50" s="44"/>
      <c r="AN50" s="40"/>
      <c r="AO50" s="39"/>
      <c r="AP50" s="40"/>
      <c r="AQ50" s="40"/>
      <c r="AR50" s="39"/>
      <c r="AS50" s="40"/>
      <c r="AU50" s="40"/>
      <c r="AV50" s="39"/>
      <c r="AW50" s="40"/>
      <c r="AX50" s="40"/>
      <c r="AY50" s="39"/>
      <c r="AZ50" s="121"/>
      <c r="BB50" s="149"/>
      <c r="BC50" s="152"/>
      <c r="BD50" s="153"/>
      <c r="BF50" s="86"/>
      <c r="BI50" s="41"/>
      <c r="BJ50" s="41"/>
    </row>
    <row r="51" spans="2:62" x14ac:dyDescent="0.25">
      <c r="B51" s="39"/>
      <c r="C51" s="39"/>
      <c r="D51" s="54"/>
      <c r="E51" s="39"/>
      <c r="F51" s="54"/>
      <c r="G51" s="39"/>
      <c r="H51" s="54"/>
      <c r="I51" s="54"/>
      <c r="J51" s="40"/>
      <c r="K51" s="40"/>
      <c r="L51" s="93"/>
      <c r="M51" s="93"/>
      <c r="O51" s="40"/>
      <c r="P51" s="40"/>
      <c r="Q51" s="40"/>
      <c r="R51" s="40"/>
      <c r="S51" s="41"/>
      <c r="T51" s="42"/>
      <c r="U51" s="135"/>
      <c r="V51" s="40"/>
      <c r="W51" s="42"/>
      <c r="X51" s="41"/>
      <c r="Y51" s="40"/>
      <c r="Z51" s="131"/>
      <c r="AA51" s="131"/>
      <c r="AB51" s="40"/>
      <c r="AC51" s="41"/>
      <c r="AD51" s="40"/>
      <c r="AE51" s="40"/>
      <c r="AF51" s="40"/>
      <c r="AG51" s="40"/>
      <c r="AH51" s="41"/>
      <c r="AI51" s="43"/>
      <c r="AJ51" s="40"/>
      <c r="AK51" s="40"/>
      <c r="AL51" s="44"/>
      <c r="AN51" s="40"/>
      <c r="AO51" s="39"/>
      <c r="AP51" s="40"/>
      <c r="AQ51" s="40"/>
      <c r="AR51" s="39"/>
      <c r="AS51" s="40"/>
      <c r="AU51" s="40"/>
      <c r="AV51" s="39"/>
      <c r="AW51" s="40"/>
      <c r="AX51" s="40"/>
      <c r="AY51" s="39"/>
      <c r="AZ51" s="121"/>
      <c r="BB51" s="149"/>
      <c r="BC51" s="152"/>
      <c r="BD51" s="153"/>
      <c r="BF51" s="86"/>
      <c r="BI51" s="41"/>
      <c r="BJ51" s="41"/>
    </row>
    <row r="52" spans="2:62" x14ac:dyDescent="0.25">
      <c r="B52" s="39"/>
      <c r="C52" s="39"/>
      <c r="D52" s="54"/>
      <c r="E52" s="39"/>
      <c r="F52" s="54"/>
      <c r="G52" s="39"/>
      <c r="H52" s="54"/>
      <c r="I52" s="54"/>
      <c r="J52" s="40"/>
      <c r="K52" s="40"/>
      <c r="L52" s="93"/>
      <c r="M52" s="93"/>
      <c r="O52" s="40"/>
      <c r="P52" s="40"/>
      <c r="Q52" s="40"/>
      <c r="R52" s="40"/>
      <c r="S52" s="41"/>
      <c r="T52" s="42"/>
      <c r="U52" s="135"/>
      <c r="V52" s="40"/>
      <c r="W52" s="42"/>
      <c r="X52" s="41"/>
      <c r="Y52" s="40"/>
      <c r="Z52" s="131"/>
      <c r="AA52" s="131"/>
      <c r="AB52" s="40"/>
      <c r="AC52" s="41"/>
      <c r="AD52" s="40"/>
      <c r="AE52" s="40"/>
      <c r="AF52" s="40"/>
      <c r="AG52" s="40"/>
      <c r="AH52" s="41"/>
      <c r="AI52" s="43"/>
      <c r="AJ52" s="40"/>
      <c r="AK52" s="40"/>
      <c r="AL52" s="44"/>
      <c r="AN52" s="40"/>
      <c r="AO52" s="39"/>
      <c r="AP52" s="40"/>
      <c r="AQ52" s="40"/>
      <c r="AR52" s="39"/>
      <c r="AS52" s="40"/>
      <c r="AU52" s="40"/>
      <c r="AV52" s="39"/>
      <c r="AW52" s="40"/>
      <c r="AX52" s="40"/>
      <c r="AY52" s="39"/>
      <c r="AZ52" s="121"/>
      <c r="BB52" s="149"/>
      <c r="BC52" s="152"/>
      <c r="BD52" s="153"/>
      <c r="BF52" s="86"/>
      <c r="BI52" s="41"/>
      <c r="BJ52" s="41"/>
    </row>
    <row r="53" spans="2:62" x14ac:dyDescent="0.25">
      <c r="B53" s="39"/>
      <c r="C53" s="39"/>
      <c r="D53" s="54"/>
      <c r="E53" s="39"/>
      <c r="F53" s="54"/>
      <c r="G53" s="39"/>
      <c r="H53" s="54"/>
      <c r="I53" s="54"/>
      <c r="J53" s="40"/>
      <c r="K53" s="40"/>
      <c r="L53" s="93"/>
      <c r="M53" s="93"/>
      <c r="O53" s="40"/>
      <c r="P53" s="40"/>
      <c r="Q53" s="40"/>
      <c r="R53" s="40"/>
      <c r="S53" s="41"/>
      <c r="T53" s="42"/>
      <c r="U53" s="135"/>
      <c r="V53" s="40"/>
      <c r="W53" s="42"/>
      <c r="X53" s="41"/>
      <c r="Y53" s="40"/>
      <c r="Z53" s="131"/>
      <c r="AA53" s="131"/>
      <c r="AB53" s="40"/>
      <c r="AC53" s="41"/>
      <c r="AD53" s="40"/>
      <c r="AE53" s="40"/>
      <c r="AF53" s="40"/>
      <c r="AG53" s="40"/>
      <c r="AH53" s="41"/>
      <c r="AI53" s="43"/>
      <c r="AJ53" s="40"/>
      <c r="AK53" s="40"/>
      <c r="AL53" s="44"/>
      <c r="AN53" s="40"/>
      <c r="AO53" s="39"/>
      <c r="AP53" s="40"/>
      <c r="AQ53" s="40"/>
      <c r="AR53" s="39"/>
      <c r="AS53" s="40"/>
      <c r="AU53" s="40"/>
      <c r="AV53" s="39"/>
      <c r="AW53" s="40"/>
      <c r="AX53" s="40"/>
      <c r="AY53" s="39"/>
      <c r="AZ53" s="121"/>
      <c r="BB53" s="149"/>
      <c r="BC53" s="152"/>
      <c r="BD53" s="153"/>
      <c r="BF53" s="158"/>
      <c r="BI53" s="41"/>
      <c r="BJ53" s="41"/>
    </row>
    <row r="54" spans="2:62" x14ac:dyDescent="0.25">
      <c r="B54" s="39"/>
      <c r="C54" s="39"/>
      <c r="D54" s="54"/>
      <c r="E54" s="39"/>
      <c r="F54" s="54"/>
      <c r="G54" s="39"/>
      <c r="H54" s="54"/>
      <c r="I54" s="54"/>
      <c r="J54" s="40"/>
      <c r="K54" s="40"/>
      <c r="L54" s="93"/>
      <c r="M54" s="93"/>
      <c r="O54" s="40"/>
      <c r="P54" s="40"/>
      <c r="Q54" s="40"/>
      <c r="R54" s="40"/>
      <c r="S54" s="41"/>
      <c r="T54" s="42"/>
      <c r="U54" s="135"/>
      <c r="V54" s="40"/>
      <c r="W54" s="42"/>
      <c r="X54" s="41"/>
      <c r="Y54" s="40"/>
      <c r="Z54" s="131"/>
      <c r="AA54" s="131"/>
      <c r="AB54" s="40"/>
      <c r="AC54" s="41"/>
      <c r="AD54" s="40"/>
      <c r="AE54" s="40"/>
      <c r="AF54" s="40"/>
      <c r="AG54" s="40"/>
      <c r="AH54" s="41"/>
      <c r="AI54" s="43"/>
      <c r="AJ54" s="40"/>
      <c r="AK54" s="40"/>
      <c r="AL54" s="44"/>
      <c r="AN54" s="40"/>
      <c r="AO54" s="39"/>
      <c r="AP54" s="40"/>
      <c r="AQ54" s="40"/>
      <c r="AR54" s="39"/>
      <c r="AS54" s="40"/>
      <c r="AU54" s="40"/>
      <c r="AV54" s="39"/>
      <c r="AW54" s="40"/>
      <c r="AX54" s="40"/>
      <c r="AY54" s="39"/>
      <c r="AZ54" s="121"/>
      <c r="BB54" s="149"/>
      <c r="BC54" s="152"/>
      <c r="BD54" s="153"/>
      <c r="BF54" s="86"/>
      <c r="BI54" s="41"/>
      <c r="BJ54" s="41"/>
    </row>
    <row r="55" spans="2:62" x14ac:dyDescent="0.25">
      <c r="B55" s="39"/>
      <c r="C55" s="39"/>
      <c r="D55" s="54"/>
      <c r="E55" s="39"/>
      <c r="F55" s="54"/>
      <c r="G55" s="39"/>
      <c r="H55" s="54"/>
      <c r="I55" s="54"/>
      <c r="J55" s="40"/>
      <c r="K55" s="40"/>
      <c r="L55" s="93"/>
      <c r="M55" s="93"/>
      <c r="O55" s="40"/>
      <c r="P55" s="40"/>
      <c r="Q55" s="40"/>
      <c r="R55" s="40"/>
      <c r="S55" s="41"/>
      <c r="T55" s="42"/>
      <c r="U55" s="135"/>
      <c r="V55" s="40"/>
      <c r="W55" s="42"/>
      <c r="X55" s="41"/>
      <c r="Y55" s="40"/>
      <c r="Z55" s="131"/>
      <c r="AA55" s="131"/>
      <c r="AB55" s="40"/>
      <c r="AC55" s="41"/>
      <c r="AD55" s="40"/>
      <c r="AE55" s="40"/>
      <c r="AF55" s="40"/>
      <c r="AG55" s="40"/>
      <c r="AH55" s="41"/>
      <c r="AI55" s="43"/>
      <c r="AJ55" s="40"/>
      <c r="AK55" s="40"/>
      <c r="AL55" s="44"/>
      <c r="AN55" s="40"/>
      <c r="AO55" s="39"/>
      <c r="AP55" s="40"/>
      <c r="AQ55" s="40"/>
      <c r="AR55" s="39"/>
      <c r="AS55" s="40"/>
      <c r="AU55" s="40"/>
      <c r="AV55" s="39"/>
      <c r="AW55" s="40"/>
      <c r="AX55" s="40"/>
      <c r="AY55" s="39"/>
      <c r="AZ55" s="121"/>
      <c r="BB55" s="149"/>
      <c r="BC55" s="152"/>
      <c r="BD55" s="153"/>
      <c r="BF55" s="86"/>
      <c r="BI55" s="41"/>
      <c r="BJ55" s="41"/>
    </row>
    <row r="56" spans="2:62" x14ac:dyDescent="0.25">
      <c r="B56" s="39"/>
      <c r="C56" s="39"/>
      <c r="D56" s="54"/>
      <c r="E56" s="39"/>
      <c r="F56" s="54"/>
      <c r="G56" s="39"/>
      <c r="H56" s="54"/>
      <c r="I56" s="54"/>
      <c r="J56" s="40"/>
      <c r="K56" s="40"/>
      <c r="L56" s="93"/>
      <c r="M56" s="93"/>
      <c r="O56" s="40"/>
      <c r="P56" s="40"/>
      <c r="Q56" s="40"/>
      <c r="R56" s="40"/>
      <c r="S56" s="41"/>
      <c r="T56" s="42"/>
      <c r="U56" s="135"/>
      <c r="V56" s="40"/>
      <c r="W56" s="42"/>
      <c r="X56" s="41"/>
      <c r="Y56" s="40"/>
      <c r="Z56" s="131"/>
      <c r="AA56" s="131"/>
      <c r="AB56" s="40"/>
      <c r="AC56" s="41"/>
      <c r="AD56" s="40"/>
      <c r="AE56" s="40"/>
      <c r="AF56" s="40"/>
      <c r="AG56" s="40"/>
      <c r="AH56" s="41"/>
      <c r="AI56" s="43"/>
      <c r="AJ56" s="40"/>
      <c r="AK56" s="40"/>
      <c r="AL56" s="44"/>
      <c r="AN56" s="40"/>
      <c r="AO56" s="39"/>
      <c r="AP56" s="40"/>
      <c r="AQ56" s="40"/>
      <c r="AR56" s="39"/>
      <c r="AS56" s="40"/>
      <c r="AU56" s="40"/>
      <c r="AV56" s="39"/>
      <c r="AW56" s="40"/>
      <c r="AX56" s="40"/>
      <c r="AY56" s="39"/>
      <c r="AZ56" s="121"/>
      <c r="BB56" s="149"/>
      <c r="BC56" s="152"/>
      <c r="BD56" s="153"/>
      <c r="BF56" s="86"/>
      <c r="BI56" s="41"/>
      <c r="BJ56" s="41"/>
    </row>
    <row r="57" spans="2:62" x14ac:dyDescent="0.25">
      <c r="B57" s="39"/>
      <c r="C57" s="39"/>
      <c r="D57" s="54"/>
      <c r="E57" s="39"/>
      <c r="F57" s="54"/>
      <c r="G57" s="39"/>
      <c r="H57" s="54"/>
      <c r="I57" s="54"/>
      <c r="J57" s="40"/>
      <c r="K57" s="40"/>
      <c r="L57" s="93"/>
      <c r="M57" s="93"/>
      <c r="O57" s="40"/>
      <c r="P57" s="40"/>
      <c r="Q57" s="40"/>
      <c r="R57" s="40"/>
      <c r="S57" s="41"/>
      <c r="T57" s="42"/>
      <c r="U57" s="135"/>
      <c r="V57" s="40"/>
      <c r="W57" s="42"/>
      <c r="X57" s="41"/>
      <c r="Y57" s="40"/>
      <c r="Z57" s="131"/>
      <c r="AA57" s="131"/>
      <c r="AB57" s="40"/>
      <c r="AC57" s="41"/>
      <c r="AD57" s="40"/>
      <c r="AE57" s="40"/>
      <c r="AF57" s="40"/>
      <c r="AG57" s="40"/>
      <c r="AH57" s="41"/>
      <c r="AI57" s="43"/>
      <c r="AJ57" s="40"/>
      <c r="AK57" s="40"/>
      <c r="AL57" s="44"/>
      <c r="AN57" s="40"/>
      <c r="AO57" s="39"/>
      <c r="AP57" s="40"/>
      <c r="AQ57" s="40"/>
      <c r="AR57" s="39"/>
      <c r="AS57" s="40"/>
      <c r="AU57" s="40"/>
      <c r="AV57" s="39"/>
      <c r="AW57" s="40"/>
      <c r="AX57" s="40"/>
      <c r="AY57" s="39"/>
      <c r="AZ57" s="121"/>
      <c r="BB57" s="149"/>
      <c r="BC57" s="152"/>
      <c r="BD57" s="153"/>
      <c r="BF57" s="86"/>
      <c r="BI57" s="41"/>
      <c r="BJ57" s="41"/>
    </row>
    <row r="58" spans="2:62" x14ac:dyDescent="0.25">
      <c r="B58" s="39"/>
      <c r="C58" s="39"/>
      <c r="D58" s="54"/>
      <c r="E58" s="39"/>
      <c r="F58" s="54"/>
      <c r="G58" s="39"/>
      <c r="H58" s="54"/>
      <c r="I58" s="54"/>
      <c r="J58" s="40"/>
      <c r="K58" s="40"/>
      <c r="L58" s="93"/>
      <c r="M58" s="93"/>
      <c r="O58" s="40"/>
      <c r="P58" s="40"/>
      <c r="Q58" s="40"/>
      <c r="R58" s="40"/>
      <c r="S58" s="41"/>
      <c r="T58" s="42"/>
      <c r="U58" s="135"/>
      <c r="V58" s="40"/>
      <c r="W58" s="42"/>
      <c r="X58" s="41"/>
      <c r="Y58" s="40"/>
      <c r="Z58" s="131"/>
      <c r="AA58" s="131"/>
      <c r="AB58" s="40"/>
      <c r="AC58" s="41"/>
      <c r="AD58" s="40"/>
      <c r="AE58" s="40"/>
      <c r="AF58" s="40"/>
      <c r="AG58" s="40"/>
      <c r="AH58" s="41"/>
      <c r="AI58" s="43"/>
      <c r="AJ58" s="40"/>
      <c r="AK58" s="40"/>
      <c r="AL58" s="44"/>
      <c r="AN58" s="40"/>
      <c r="AO58" s="39"/>
      <c r="AP58" s="40"/>
      <c r="AQ58" s="40"/>
      <c r="AR58" s="39"/>
      <c r="AS58" s="40"/>
      <c r="AU58" s="40"/>
      <c r="AV58" s="39"/>
      <c r="AW58" s="40"/>
      <c r="AX58" s="40"/>
      <c r="AY58" s="39"/>
      <c r="AZ58" s="121"/>
      <c r="BB58" s="149"/>
      <c r="BC58" s="152"/>
      <c r="BD58" s="153"/>
      <c r="BF58" s="86"/>
      <c r="BI58" s="41"/>
      <c r="BJ58" s="41"/>
    </row>
    <row r="59" spans="2:62" x14ac:dyDescent="0.25">
      <c r="B59" s="39"/>
      <c r="C59" s="39"/>
      <c r="D59" s="54"/>
      <c r="E59" s="39"/>
      <c r="F59" s="54"/>
      <c r="G59" s="39"/>
      <c r="H59" s="54"/>
      <c r="I59" s="54"/>
      <c r="J59" s="40"/>
      <c r="K59" s="40"/>
      <c r="L59" s="93"/>
      <c r="M59" s="93"/>
      <c r="O59" s="40"/>
      <c r="P59" s="40"/>
      <c r="Q59" s="40"/>
      <c r="R59" s="40"/>
      <c r="S59" s="41"/>
      <c r="T59" s="42"/>
      <c r="U59" s="135"/>
      <c r="V59" s="40"/>
      <c r="W59" s="42"/>
      <c r="X59" s="41"/>
      <c r="Y59" s="40"/>
      <c r="Z59" s="131"/>
      <c r="AA59" s="131"/>
      <c r="AB59" s="40"/>
      <c r="AC59" s="41"/>
      <c r="AD59" s="40"/>
      <c r="AE59" s="40"/>
      <c r="AF59" s="40"/>
      <c r="AG59" s="40"/>
      <c r="AH59" s="41"/>
      <c r="AI59" s="43"/>
      <c r="AJ59" s="40"/>
      <c r="AK59" s="40"/>
      <c r="AL59" s="44"/>
      <c r="AN59" s="40"/>
      <c r="AO59" s="39"/>
      <c r="AP59" s="40"/>
      <c r="AQ59" s="40"/>
      <c r="AR59" s="39"/>
      <c r="AS59" s="40"/>
      <c r="AU59" s="40"/>
      <c r="AV59" s="39"/>
      <c r="AW59" s="40"/>
      <c r="AX59" s="40"/>
      <c r="AY59" s="39"/>
      <c r="AZ59" s="121"/>
      <c r="BB59" s="149"/>
      <c r="BC59" s="152"/>
      <c r="BD59" s="153"/>
      <c r="BF59" s="86"/>
      <c r="BI59" s="41"/>
      <c r="BJ59" s="41"/>
    </row>
    <row r="60" spans="2:62" x14ac:dyDescent="0.25">
      <c r="B60" s="39"/>
      <c r="C60" s="39"/>
      <c r="D60" s="54"/>
      <c r="E60" s="39"/>
      <c r="F60" s="54"/>
      <c r="G60" s="39"/>
      <c r="H60" s="54"/>
      <c r="I60" s="54"/>
      <c r="J60" s="40"/>
      <c r="K60" s="40"/>
      <c r="L60" s="93"/>
      <c r="M60" s="93"/>
      <c r="O60" s="40"/>
      <c r="P60" s="40"/>
      <c r="Q60" s="40"/>
      <c r="R60" s="40"/>
      <c r="S60" s="41"/>
      <c r="T60" s="42"/>
      <c r="U60" s="135"/>
      <c r="V60" s="40"/>
      <c r="W60" s="42"/>
      <c r="X60" s="41"/>
      <c r="Y60" s="40"/>
      <c r="Z60" s="131"/>
      <c r="AA60" s="131"/>
      <c r="AB60" s="40"/>
      <c r="AC60" s="41"/>
      <c r="AD60" s="40"/>
      <c r="AE60" s="40"/>
      <c r="AF60" s="40"/>
      <c r="AG60" s="40"/>
      <c r="AH60" s="41"/>
      <c r="AI60" s="43"/>
      <c r="AJ60" s="40"/>
      <c r="AK60" s="40"/>
      <c r="AL60" s="44"/>
      <c r="AN60" s="40"/>
      <c r="AO60" s="39"/>
      <c r="AP60" s="40"/>
      <c r="AQ60" s="40"/>
      <c r="AR60" s="39"/>
      <c r="AS60" s="40"/>
      <c r="AU60" s="40"/>
      <c r="AV60" s="39"/>
      <c r="AW60" s="40"/>
      <c r="AX60" s="40"/>
      <c r="AY60" s="39"/>
      <c r="AZ60" s="121"/>
      <c r="BB60" s="149"/>
      <c r="BC60" s="152"/>
      <c r="BD60" s="153"/>
      <c r="BF60" s="86"/>
      <c r="BI60" s="41"/>
      <c r="BJ60" s="41"/>
    </row>
    <row r="61" spans="2:62" x14ac:dyDescent="0.25">
      <c r="B61" s="39"/>
      <c r="C61" s="39"/>
      <c r="D61" s="54"/>
      <c r="E61" s="39"/>
      <c r="F61" s="54"/>
      <c r="G61" s="39"/>
      <c r="H61" s="54"/>
      <c r="I61" s="54"/>
      <c r="J61" s="40"/>
      <c r="K61" s="40"/>
      <c r="L61" s="93"/>
      <c r="M61" s="93"/>
      <c r="O61" s="40"/>
      <c r="P61" s="40"/>
      <c r="Q61" s="40"/>
      <c r="R61" s="40"/>
      <c r="S61" s="41"/>
      <c r="T61" s="42"/>
      <c r="U61" s="135"/>
      <c r="V61" s="40"/>
      <c r="W61" s="42"/>
      <c r="X61" s="41"/>
      <c r="Y61" s="40"/>
      <c r="Z61" s="131"/>
      <c r="AA61" s="131"/>
      <c r="AB61" s="40"/>
      <c r="AC61" s="41"/>
      <c r="AD61" s="40"/>
      <c r="AE61" s="40"/>
      <c r="AF61" s="40"/>
      <c r="AG61" s="40"/>
      <c r="AH61" s="41"/>
      <c r="AI61" s="43"/>
      <c r="AJ61" s="40"/>
      <c r="AK61" s="40"/>
      <c r="AL61" s="44"/>
      <c r="AN61" s="40"/>
      <c r="AO61" s="39"/>
      <c r="AP61" s="40"/>
      <c r="AQ61" s="40"/>
      <c r="AR61" s="39"/>
      <c r="AS61" s="40"/>
      <c r="AU61" s="40"/>
      <c r="AV61" s="39"/>
      <c r="AW61" s="40"/>
      <c r="AX61" s="40"/>
      <c r="AY61" s="39"/>
      <c r="AZ61" s="121"/>
      <c r="BB61" s="149"/>
      <c r="BC61" s="152"/>
      <c r="BD61" s="153"/>
      <c r="BF61" s="86"/>
      <c r="BI61" s="41"/>
      <c r="BJ61" s="41"/>
    </row>
    <row r="62" spans="2:62" x14ac:dyDescent="0.25">
      <c r="B62" s="39"/>
      <c r="C62" s="39"/>
      <c r="D62" s="54"/>
      <c r="E62" s="39"/>
      <c r="F62" s="54"/>
      <c r="G62" s="39"/>
      <c r="H62" s="54"/>
      <c r="I62" s="54"/>
      <c r="J62" s="40"/>
      <c r="K62" s="40"/>
      <c r="L62" s="93"/>
      <c r="M62" s="93"/>
      <c r="O62" s="40"/>
      <c r="P62" s="40"/>
      <c r="Q62" s="40"/>
      <c r="R62" s="40"/>
      <c r="S62" s="41"/>
      <c r="T62" s="42"/>
      <c r="U62" s="135"/>
      <c r="V62" s="40"/>
      <c r="W62" s="42"/>
      <c r="X62" s="41"/>
      <c r="Y62" s="40"/>
      <c r="Z62" s="131"/>
      <c r="AA62" s="131"/>
      <c r="AB62" s="40"/>
      <c r="AC62" s="41"/>
      <c r="AD62" s="40"/>
      <c r="AE62" s="40"/>
      <c r="AF62" s="40"/>
      <c r="AG62" s="40"/>
      <c r="AH62" s="41"/>
      <c r="AI62" s="43"/>
      <c r="AJ62" s="40"/>
      <c r="AK62" s="40"/>
      <c r="AL62" s="44"/>
      <c r="AN62" s="40"/>
      <c r="AO62" s="39"/>
      <c r="AP62" s="40"/>
      <c r="AQ62" s="40"/>
      <c r="AR62" s="39"/>
      <c r="AS62" s="40"/>
      <c r="AU62" s="40"/>
      <c r="AV62" s="39"/>
      <c r="AW62" s="40"/>
      <c r="AX62" s="40"/>
      <c r="AY62" s="39"/>
      <c r="AZ62" s="121"/>
      <c r="BB62" s="149"/>
      <c r="BC62" s="152"/>
      <c r="BD62" s="153"/>
      <c r="BF62" s="86"/>
      <c r="BI62" s="41"/>
      <c r="BJ62" s="41"/>
    </row>
    <row r="63" spans="2:62" x14ac:dyDescent="0.25">
      <c r="B63" s="39"/>
      <c r="C63" s="39"/>
      <c r="D63" s="54"/>
      <c r="E63" s="39"/>
      <c r="F63" s="54"/>
      <c r="G63" s="39"/>
      <c r="H63" s="54"/>
      <c r="I63" s="54"/>
      <c r="J63" s="40"/>
      <c r="K63" s="40"/>
      <c r="L63" s="93"/>
      <c r="M63" s="93"/>
      <c r="O63" s="40"/>
      <c r="P63" s="40"/>
      <c r="Q63" s="40"/>
      <c r="R63" s="40"/>
      <c r="S63" s="41"/>
      <c r="T63" s="42"/>
      <c r="U63" s="135"/>
      <c r="V63" s="40"/>
      <c r="W63" s="42"/>
      <c r="X63" s="41"/>
      <c r="Y63" s="40"/>
      <c r="Z63" s="131"/>
      <c r="AA63" s="131"/>
      <c r="AB63" s="40"/>
      <c r="AC63" s="41"/>
      <c r="AD63" s="40"/>
      <c r="AE63" s="40"/>
      <c r="AF63" s="40"/>
      <c r="AG63" s="40"/>
      <c r="AH63" s="41"/>
      <c r="AI63" s="43"/>
      <c r="AJ63" s="40"/>
      <c r="AK63" s="40"/>
      <c r="AL63" s="44"/>
      <c r="AN63" s="40"/>
      <c r="AO63" s="39"/>
      <c r="AP63" s="40"/>
      <c r="AQ63" s="40"/>
      <c r="AR63" s="39"/>
      <c r="AS63" s="40"/>
      <c r="AU63" s="40"/>
      <c r="AV63" s="39"/>
      <c r="AW63" s="40"/>
      <c r="AX63" s="40"/>
      <c r="AY63" s="39"/>
      <c r="AZ63" s="121"/>
      <c r="BB63" s="149"/>
      <c r="BC63" s="152"/>
      <c r="BD63" s="153"/>
      <c r="BF63" s="86"/>
      <c r="BI63" s="41"/>
      <c r="BJ63" s="41"/>
    </row>
    <row r="64" spans="2:62" x14ac:dyDescent="0.25">
      <c r="B64" s="39"/>
      <c r="C64" s="39"/>
      <c r="D64" s="54"/>
      <c r="E64" s="39"/>
      <c r="F64" s="54"/>
      <c r="G64" s="39"/>
      <c r="H64" s="54"/>
      <c r="I64" s="54"/>
      <c r="J64" s="40"/>
      <c r="K64" s="40"/>
      <c r="L64" s="93"/>
      <c r="M64" s="93"/>
      <c r="O64" s="40"/>
      <c r="P64" s="40"/>
      <c r="Q64" s="40"/>
      <c r="R64" s="40"/>
      <c r="S64" s="41"/>
      <c r="T64" s="42"/>
      <c r="U64" s="135"/>
      <c r="V64" s="40"/>
      <c r="W64" s="42"/>
      <c r="X64" s="41"/>
      <c r="Y64" s="40"/>
      <c r="Z64" s="131"/>
      <c r="AA64" s="131"/>
      <c r="AB64" s="40"/>
      <c r="AC64" s="41"/>
      <c r="AD64" s="40"/>
      <c r="AE64" s="40"/>
      <c r="AF64" s="40"/>
      <c r="AG64" s="40"/>
      <c r="AH64" s="41"/>
      <c r="AI64" s="43"/>
      <c r="AJ64" s="40"/>
      <c r="AK64" s="40"/>
      <c r="AL64" s="44"/>
      <c r="AN64" s="40"/>
      <c r="AO64" s="39"/>
      <c r="AP64" s="40"/>
      <c r="AQ64" s="40"/>
      <c r="AR64" s="39"/>
      <c r="AS64" s="40"/>
      <c r="AU64" s="40"/>
      <c r="AV64" s="39"/>
      <c r="AW64" s="40"/>
      <c r="AX64" s="40"/>
      <c r="AY64" s="39"/>
      <c r="AZ64" s="121"/>
      <c r="BB64" s="149"/>
      <c r="BC64" s="152"/>
      <c r="BD64" s="153"/>
      <c r="BF64" s="86"/>
      <c r="BI64" s="41"/>
      <c r="BJ64" s="41"/>
    </row>
    <row r="65" spans="2:65" x14ac:dyDescent="0.25">
      <c r="B65" s="39"/>
      <c r="C65" s="39"/>
      <c r="D65" s="54"/>
      <c r="E65" s="39"/>
      <c r="F65" s="54"/>
      <c r="G65" s="39"/>
      <c r="H65" s="54"/>
      <c r="I65" s="54"/>
      <c r="J65" s="40"/>
      <c r="K65" s="40"/>
      <c r="L65" s="93"/>
      <c r="M65" s="93"/>
      <c r="O65" s="40"/>
      <c r="P65" s="40"/>
      <c r="Q65" s="40"/>
      <c r="R65" s="40"/>
      <c r="S65" s="41"/>
      <c r="T65" s="42"/>
      <c r="U65" s="135"/>
      <c r="V65" s="40"/>
      <c r="W65" s="42"/>
      <c r="X65" s="41"/>
      <c r="Y65" s="40"/>
      <c r="Z65" s="131"/>
      <c r="AA65" s="131"/>
      <c r="AB65" s="40"/>
      <c r="AC65" s="41"/>
      <c r="AD65" s="40"/>
      <c r="AE65" s="40"/>
      <c r="AF65" s="40"/>
      <c r="AG65" s="40"/>
      <c r="AH65" s="41"/>
      <c r="AI65" s="43"/>
      <c r="AJ65" s="40"/>
      <c r="AK65" s="40"/>
      <c r="AL65" s="44"/>
      <c r="AN65" s="40"/>
      <c r="AO65" s="39"/>
      <c r="AP65" s="40"/>
      <c r="AQ65" s="40"/>
      <c r="AR65" s="39"/>
      <c r="AS65" s="40"/>
      <c r="AU65" s="40"/>
      <c r="AV65" s="39"/>
      <c r="AW65" s="40"/>
      <c r="AX65" s="40"/>
      <c r="AY65" s="39"/>
      <c r="AZ65" s="121"/>
      <c r="BB65" s="149"/>
      <c r="BC65" s="152"/>
      <c r="BD65" s="153"/>
      <c r="BF65" s="86"/>
      <c r="BI65" s="41"/>
      <c r="BJ65" s="41"/>
    </row>
    <row r="66" spans="2:65" x14ac:dyDescent="0.25">
      <c r="B66" s="39"/>
      <c r="C66" s="39"/>
      <c r="D66" s="54"/>
      <c r="E66" s="39"/>
      <c r="F66" s="54"/>
      <c r="G66" s="39"/>
      <c r="H66" s="54"/>
      <c r="I66" s="54"/>
      <c r="J66" s="40"/>
      <c r="K66" s="40"/>
      <c r="L66" s="93"/>
      <c r="M66" s="93"/>
      <c r="O66" s="40"/>
      <c r="P66" s="40"/>
      <c r="Q66" s="40"/>
      <c r="R66" s="40"/>
      <c r="S66" s="41"/>
      <c r="T66" s="42"/>
      <c r="U66" s="135"/>
      <c r="V66" s="40"/>
      <c r="W66" s="42"/>
      <c r="X66" s="41"/>
      <c r="Y66" s="40"/>
      <c r="Z66" s="131"/>
      <c r="AA66" s="131"/>
      <c r="AB66" s="40"/>
      <c r="AC66" s="41"/>
      <c r="AD66" s="40"/>
      <c r="AE66" s="40"/>
      <c r="AF66" s="40"/>
      <c r="AG66" s="40"/>
      <c r="AH66" s="41"/>
      <c r="AI66" s="43"/>
      <c r="AJ66" s="40"/>
      <c r="AK66" s="40"/>
      <c r="AL66" s="44"/>
      <c r="AN66" s="40"/>
      <c r="AO66" s="39"/>
      <c r="AP66" s="40"/>
      <c r="AQ66" s="40"/>
      <c r="AR66" s="39"/>
      <c r="AS66" s="40"/>
      <c r="AU66" s="40"/>
      <c r="AV66" s="39"/>
      <c r="AW66" s="40"/>
      <c r="AX66" s="40"/>
      <c r="AY66" s="39"/>
      <c r="AZ66" s="121"/>
      <c r="BB66" s="149"/>
      <c r="BC66" s="152"/>
      <c r="BD66" s="153"/>
      <c r="BF66" s="86"/>
      <c r="BI66" s="41"/>
      <c r="BJ66" s="41"/>
      <c r="BK66" s="41"/>
      <c r="BL66" s="252"/>
      <c r="BM66" s="252"/>
    </row>
    <row r="67" spans="2:65" x14ac:dyDescent="0.25">
      <c r="B67" s="39"/>
      <c r="C67" s="39"/>
      <c r="D67" s="54"/>
      <c r="E67" s="39"/>
      <c r="F67" s="54"/>
      <c r="G67" s="39"/>
      <c r="H67" s="54"/>
      <c r="I67" s="54"/>
      <c r="J67" s="40"/>
      <c r="K67" s="40"/>
      <c r="L67" s="93"/>
      <c r="M67" s="93"/>
      <c r="O67" s="40"/>
      <c r="P67" s="40"/>
      <c r="Q67" s="40"/>
      <c r="R67" s="40"/>
      <c r="S67" s="41"/>
      <c r="T67" s="42"/>
      <c r="U67" s="135"/>
      <c r="V67" s="40"/>
      <c r="W67" s="42"/>
      <c r="X67" s="41"/>
      <c r="Y67" s="40"/>
      <c r="Z67" s="131"/>
      <c r="AA67" s="131"/>
      <c r="AB67" s="40"/>
      <c r="AC67" s="41"/>
      <c r="AD67" s="40"/>
      <c r="AE67" s="40"/>
      <c r="AF67" s="40"/>
      <c r="AG67" s="40"/>
      <c r="AH67" s="41"/>
      <c r="AI67" s="43"/>
      <c r="AJ67" s="40"/>
      <c r="AK67" s="40"/>
      <c r="AL67" s="44"/>
      <c r="AN67" s="40"/>
      <c r="AO67" s="39"/>
      <c r="AP67" s="40"/>
      <c r="AQ67" s="40"/>
      <c r="AR67" s="39"/>
      <c r="AS67" s="40"/>
      <c r="AU67" s="40"/>
      <c r="AV67" s="39"/>
      <c r="AW67" s="40"/>
      <c r="AX67" s="40"/>
      <c r="AY67" s="39"/>
      <c r="AZ67" s="121"/>
      <c r="BB67" s="149"/>
      <c r="BC67" s="152"/>
      <c r="BD67" s="153"/>
      <c r="BF67" s="158"/>
      <c r="BI67" s="41"/>
      <c r="BJ67" s="41"/>
    </row>
    <row r="68" spans="2:65" x14ac:dyDescent="0.25">
      <c r="B68" s="39"/>
      <c r="C68" s="39"/>
      <c r="D68" s="54"/>
      <c r="E68" s="39"/>
      <c r="F68" s="54"/>
      <c r="G68" s="39"/>
      <c r="H68" s="54"/>
      <c r="I68" s="54"/>
      <c r="J68" s="40"/>
      <c r="K68" s="40"/>
      <c r="L68" s="93"/>
      <c r="M68" s="93"/>
      <c r="O68" s="40"/>
      <c r="P68" s="40"/>
      <c r="Q68" s="40"/>
      <c r="R68" s="40"/>
      <c r="S68" s="41"/>
      <c r="T68" s="42"/>
      <c r="U68" s="135"/>
      <c r="V68" s="40"/>
      <c r="W68" s="42"/>
      <c r="X68" s="41"/>
      <c r="Y68" s="40"/>
      <c r="Z68" s="131"/>
      <c r="AA68" s="131"/>
      <c r="AB68" s="40"/>
      <c r="AC68" s="41"/>
      <c r="AD68" s="40"/>
      <c r="AE68" s="40"/>
      <c r="AF68" s="40"/>
      <c r="AG68" s="40"/>
      <c r="AH68" s="41"/>
      <c r="AI68" s="43"/>
      <c r="AJ68" s="40"/>
      <c r="AK68" s="40"/>
      <c r="AL68" s="44"/>
      <c r="AN68" s="40"/>
      <c r="AO68" s="39"/>
      <c r="AP68" s="40"/>
      <c r="AQ68" s="40"/>
      <c r="AR68" s="39"/>
      <c r="AS68" s="40"/>
      <c r="AU68" s="40"/>
      <c r="AV68" s="39"/>
      <c r="AW68" s="40"/>
      <c r="AX68" s="40"/>
      <c r="AY68" s="39"/>
      <c r="AZ68" s="121"/>
      <c r="BB68" s="149"/>
      <c r="BC68" s="152"/>
      <c r="BD68" s="153"/>
      <c r="BF68" s="86"/>
      <c r="BI68" s="41"/>
      <c r="BJ68" s="41"/>
    </row>
    <row r="69" spans="2:65" x14ac:dyDescent="0.25">
      <c r="B69" s="39"/>
      <c r="C69" s="39"/>
      <c r="D69" s="54"/>
      <c r="E69" s="39"/>
      <c r="F69" s="54"/>
      <c r="G69" s="39"/>
      <c r="H69" s="54"/>
      <c r="I69" s="54"/>
      <c r="J69" s="40"/>
      <c r="K69" s="40"/>
      <c r="L69" s="93"/>
      <c r="M69" s="93"/>
      <c r="O69" s="40"/>
      <c r="P69" s="40"/>
      <c r="Q69" s="40"/>
      <c r="R69" s="40"/>
      <c r="S69" s="41"/>
      <c r="T69" s="42"/>
      <c r="U69" s="135"/>
      <c r="V69" s="40"/>
      <c r="W69" s="42"/>
      <c r="X69" s="41"/>
      <c r="Y69" s="40"/>
      <c r="Z69" s="131"/>
      <c r="AA69" s="131"/>
      <c r="AB69" s="40"/>
      <c r="AC69" s="41"/>
      <c r="AD69" s="40"/>
      <c r="AE69" s="40"/>
      <c r="AF69" s="40"/>
      <c r="AG69" s="40"/>
      <c r="AH69" s="41"/>
      <c r="AI69" s="43"/>
      <c r="AJ69" s="40"/>
      <c r="AK69" s="40"/>
      <c r="AL69" s="44"/>
      <c r="AN69" s="40"/>
      <c r="AO69" s="39"/>
      <c r="AP69" s="40"/>
      <c r="AQ69" s="40"/>
      <c r="AR69" s="39"/>
      <c r="AS69" s="40"/>
      <c r="AU69" s="40"/>
      <c r="AV69" s="39"/>
      <c r="AW69" s="40"/>
      <c r="AX69" s="40"/>
      <c r="AY69" s="39"/>
      <c r="AZ69" s="121"/>
      <c r="BB69" s="149"/>
      <c r="BC69" s="152"/>
      <c r="BD69" s="153"/>
      <c r="BF69" s="86"/>
      <c r="BI69" s="41"/>
      <c r="BJ69" s="41"/>
    </row>
    <row r="70" spans="2:65" x14ac:dyDescent="0.25">
      <c r="B70" s="39"/>
      <c r="C70" s="39"/>
      <c r="D70" s="54"/>
      <c r="E70" s="39"/>
      <c r="F70" s="54"/>
      <c r="G70" s="39"/>
      <c r="H70" s="54"/>
      <c r="I70" s="54"/>
      <c r="J70" s="40"/>
      <c r="K70" s="40"/>
      <c r="L70" s="93"/>
      <c r="M70" s="93"/>
      <c r="O70" s="40"/>
      <c r="P70" s="40"/>
      <c r="Q70" s="40"/>
      <c r="R70" s="40"/>
      <c r="S70" s="41"/>
      <c r="T70" s="42"/>
      <c r="U70" s="135"/>
      <c r="V70" s="40"/>
      <c r="W70" s="42"/>
      <c r="X70" s="41"/>
      <c r="Y70" s="40"/>
      <c r="Z70" s="131"/>
      <c r="AA70" s="131"/>
      <c r="AB70" s="40"/>
      <c r="AC70" s="41"/>
      <c r="AD70" s="40"/>
      <c r="AE70" s="40"/>
      <c r="AF70" s="40"/>
      <c r="AG70" s="40"/>
      <c r="AH70" s="41"/>
      <c r="AI70" s="43"/>
      <c r="AJ70" s="40"/>
      <c r="AK70" s="40"/>
      <c r="AL70" s="44"/>
      <c r="AN70" s="40"/>
      <c r="AO70" s="39"/>
      <c r="AP70" s="40"/>
      <c r="AQ70" s="40"/>
      <c r="AR70" s="39"/>
      <c r="AS70" s="40"/>
      <c r="AU70" s="40"/>
      <c r="AV70" s="39"/>
      <c r="AW70" s="40"/>
      <c r="AX70" s="40"/>
      <c r="AY70" s="39"/>
      <c r="AZ70" s="121"/>
      <c r="BB70" s="149"/>
      <c r="BC70" s="152"/>
      <c r="BD70" s="153"/>
      <c r="BF70" s="86"/>
      <c r="BI70" s="41"/>
      <c r="BJ70" s="41"/>
    </row>
    <row r="71" spans="2:65" x14ac:dyDescent="0.25">
      <c r="B71" s="39"/>
      <c r="C71" s="39"/>
      <c r="D71" s="54"/>
      <c r="E71" s="39"/>
      <c r="F71" s="54"/>
      <c r="G71" s="39"/>
      <c r="H71" s="54"/>
      <c r="I71" s="54"/>
      <c r="J71" s="40"/>
      <c r="K71" s="40"/>
      <c r="L71" s="93"/>
      <c r="M71" s="93"/>
      <c r="O71" s="40"/>
      <c r="P71" s="40"/>
      <c r="Q71" s="40"/>
      <c r="R71" s="40"/>
      <c r="S71" s="41"/>
      <c r="T71" s="42"/>
      <c r="U71" s="135"/>
      <c r="V71" s="40"/>
      <c r="W71" s="42"/>
      <c r="X71" s="41"/>
      <c r="Y71" s="40"/>
      <c r="Z71" s="131"/>
      <c r="AA71" s="131"/>
      <c r="AB71" s="40"/>
      <c r="AC71" s="41"/>
      <c r="AD71" s="40"/>
      <c r="AE71" s="40"/>
      <c r="AF71" s="40"/>
      <c r="AG71" s="40"/>
      <c r="AH71" s="41"/>
      <c r="AI71" s="43"/>
      <c r="AJ71" s="40"/>
      <c r="AK71" s="40"/>
      <c r="AL71" s="44"/>
      <c r="AN71" s="40"/>
      <c r="AO71" s="39"/>
      <c r="AP71" s="40"/>
      <c r="AQ71" s="40"/>
      <c r="AR71" s="39"/>
      <c r="AS71" s="40"/>
      <c r="AU71" s="40"/>
      <c r="AV71" s="39"/>
      <c r="AW71" s="40"/>
      <c r="AX71" s="40"/>
      <c r="AY71" s="39"/>
      <c r="AZ71" s="121"/>
      <c r="BB71" s="149"/>
      <c r="BC71" s="152"/>
      <c r="BD71" s="153"/>
      <c r="BF71" s="86"/>
      <c r="BI71" s="41"/>
      <c r="BJ71" s="41"/>
    </row>
    <row r="72" spans="2:65" x14ac:dyDescent="0.25">
      <c r="B72" s="39"/>
      <c r="C72" s="39"/>
      <c r="D72" s="54"/>
      <c r="E72" s="39"/>
      <c r="F72" s="54"/>
      <c r="G72" s="39"/>
      <c r="H72" s="54"/>
      <c r="I72" s="54"/>
      <c r="J72" s="40"/>
      <c r="K72" s="40"/>
      <c r="L72" s="93"/>
      <c r="M72" s="93"/>
      <c r="O72" s="40"/>
      <c r="P72" s="40"/>
      <c r="Q72" s="40"/>
      <c r="R72" s="40"/>
      <c r="S72" s="41"/>
      <c r="T72" s="42"/>
      <c r="U72" s="135"/>
      <c r="V72" s="40"/>
      <c r="W72" s="42"/>
      <c r="X72" s="41"/>
      <c r="Y72" s="40"/>
      <c r="Z72" s="131"/>
      <c r="AA72" s="131"/>
      <c r="AB72" s="40"/>
      <c r="AC72" s="41"/>
      <c r="AD72" s="40"/>
      <c r="AE72" s="40"/>
      <c r="AF72" s="40"/>
      <c r="AG72" s="40"/>
      <c r="AH72" s="41"/>
      <c r="AI72" s="43"/>
      <c r="AJ72" s="40"/>
      <c r="AK72" s="40"/>
      <c r="AL72" s="44"/>
      <c r="AN72" s="40"/>
      <c r="AO72" s="39"/>
      <c r="AP72" s="40"/>
      <c r="AQ72" s="40"/>
      <c r="AR72" s="39"/>
      <c r="AS72" s="40"/>
      <c r="AU72" s="40"/>
      <c r="AV72" s="39"/>
      <c r="AW72" s="40"/>
      <c r="AX72" s="40"/>
      <c r="AY72" s="39"/>
      <c r="AZ72" s="121"/>
      <c r="BB72" s="149"/>
      <c r="BC72" s="152"/>
      <c r="BD72" s="153"/>
      <c r="BF72" s="86"/>
      <c r="BI72" s="41"/>
      <c r="BJ72" s="41"/>
    </row>
    <row r="73" spans="2:65" x14ac:dyDescent="0.25">
      <c r="B73" s="39"/>
      <c r="C73" s="39"/>
      <c r="D73" s="54"/>
      <c r="E73" s="39"/>
      <c r="F73" s="54"/>
      <c r="G73" s="39"/>
      <c r="H73" s="54"/>
      <c r="I73" s="54"/>
      <c r="J73" s="40"/>
      <c r="K73" s="40"/>
      <c r="L73" s="93"/>
      <c r="M73" s="93"/>
      <c r="O73" s="40"/>
      <c r="P73" s="40"/>
      <c r="Q73" s="40"/>
      <c r="R73" s="40"/>
      <c r="S73" s="41"/>
      <c r="T73" s="42"/>
      <c r="U73" s="135"/>
      <c r="V73" s="40"/>
      <c r="W73" s="42"/>
      <c r="X73" s="41"/>
      <c r="Y73" s="40"/>
      <c r="Z73" s="131"/>
      <c r="AA73" s="131"/>
      <c r="AB73" s="40"/>
      <c r="AC73" s="41"/>
      <c r="AD73" s="40"/>
      <c r="AE73" s="40"/>
      <c r="AF73" s="40"/>
      <c r="AG73" s="40"/>
      <c r="AH73" s="41"/>
      <c r="AI73" s="43"/>
      <c r="AJ73" s="40"/>
      <c r="AK73" s="40"/>
      <c r="AL73" s="44"/>
      <c r="AN73" s="40"/>
      <c r="AO73" s="39"/>
      <c r="AP73" s="40"/>
      <c r="AQ73" s="40"/>
      <c r="AR73" s="39"/>
      <c r="AS73" s="40"/>
      <c r="AU73" s="40"/>
      <c r="AV73" s="39"/>
      <c r="AW73" s="40"/>
      <c r="AX73" s="40"/>
      <c r="AY73" s="39"/>
      <c r="AZ73" s="121"/>
      <c r="BB73" s="149"/>
      <c r="BC73" s="152"/>
      <c r="BD73" s="153"/>
      <c r="BF73" s="86"/>
      <c r="BI73" s="41"/>
      <c r="BJ73" s="41"/>
    </row>
    <row r="74" spans="2:65" x14ac:dyDescent="0.25">
      <c r="B74" s="39"/>
      <c r="C74" s="39"/>
      <c r="D74" s="54"/>
      <c r="E74" s="39"/>
      <c r="F74" s="54"/>
      <c r="G74" s="39"/>
      <c r="H74" s="54"/>
      <c r="I74" s="54"/>
      <c r="J74" s="40"/>
      <c r="K74" s="40"/>
      <c r="L74" s="93"/>
      <c r="M74" s="93"/>
      <c r="O74" s="40"/>
      <c r="P74" s="40"/>
      <c r="Q74" s="40"/>
      <c r="R74" s="40"/>
      <c r="S74" s="41"/>
      <c r="T74" s="42"/>
      <c r="U74" s="135"/>
      <c r="V74" s="40"/>
      <c r="W74" s="42"/>
      <c r="X74" s="41"/>
      <c r="Y74" s="40"/>
      <c r="Z74" s="131"/>
      <c r="AA74" s="131"/>
      <c r="AB74" s="40"/>
      <c r="AC74" s="41"/>
      <c r="AD74" s="40"/>
      <c r="AE74" s="40"/>
      <c r="AF74" s="40"/>
      <c r="AG74" s="40"/>
      <c r="AH74" s="41"/>
      <c r="AI74" s="43"/>
      <c r="AJ74" s="40"/>
      <c r="AK74" s="40"/>
      <c r="AL74" s="44"/>
      <c r="AN74" s="40"/>
      <c r="AO74" s="39"/>
      <c r="AP74" s="40"/>
      <c r="AQ74" s="40"/>
      <c r="AR74" s="39"/>
      <c r="AS74" s="40"/>
      <c r="AU74" s="40"/>
      <c r="AV74" s="39"/>
      <c r="AW74" s="40"/>
      <c r="AX74" s="40"/>
      <c r="AY74" s="39"/>
      <c r="AZ74" s="121"/>
      <c r="BB74" s="149"/>
      <c r="BC74" s="152"/>
      <c r="BD74" s="153"/>
      <c r="BF74" s="158"/>
      <c r="BI74" s="41"/>
      <c r="BJ74" s="41"/>
    </row>
    <row r="75" spans="2:65" x14ac:dyDescent="0.25">
      <c r="B75" s="39"/>
      <c r="C75" s="39"/>
      <c r="D75" s="54"/>
      <c r="E75" s="39"/>
      <c r="F75" s="54"/>
      <c r="G75" s="39"/>
      <c r="H75" s="54"/>
      <c r="I75" s="54"/>
      <c r="J75" s="40"/>
      <c r="K75" s="40"/>
      <c r="L75" s="93"/>
      <c r="M75" s="93"/>
      <c r="O75" s="40"/>
      <c r="P75" s="40"/>
      <c r="Q75" s="40"/>
      <c r="R75" s="40"/>
      <c r="S75" s="41"/>
      <c r="T75" s="42"/>
      <c r="U75" s="135"/>
      <c r="V75" s="40"/>
      <c r="W75" s="42"/>
      <c r="X75" s="41"/>
      <c r="Y75" s="40"/>
      <c r="Z75" s="131"/>
      <c r="AA75" s="131"/>
      <c r="AB75" s="40"/>
      <c r="AC75" s="41"/>
      <c r="AD75" s="40"/>
      <c r="AE75" s="40"/>
      <c r="AF75" s="40"/>
      <c r="AG75" s="40"/>
      <c r="AH75" s="41"/>
      <c r="AI75" s="43"/>
      <c r="AJ75" s="40"/>
      <c r="AK75" s="40"/>
      <c r="AL75" s="44"/>
      <c r="AN75" s="40"/>
      <c r="AO75" s="39"/>
      <c r="AP75" s="40"/>
      <c r="AQ75" s="40"/>
      <c r="AR75" s="39"/>
      <c r="AS75" s="40"/>
      <c r="AU75" s="40"/>
      <c r="AV75" s="39"/>
      <c r="AW75" s="40"/>
      <c r="AX75" s="40"/>
      <c r="AY75" s="39"/>
      <c r="AZ75" s="121"/>
      <c r="BB75" s="149"/>
      <c r="BC75" s="152"/>
      <c r="BD75" s="153"/>
      <c r="BF75" s="86"/>
      <c r="BI75" s="41"/>
      <c r="BJ75" s="41"/>
    </row>
    <row r="76" spans="2:65" x14ac:dyDescent="0.25">
      <c r="B76" s="39"/>
      <c r="C76" s="39"/>
      <c r="D76" s="54"/>
      <c r="E76" s="39"/>
      <c r="F76" s="54"/>
      <c r="G76" s="39"/>
      <c r="H76" s="54"/>
      <c r="I76" s="54"/>
      <c r="J76" s="40"/>
      <c r="K76" s="40"/>
      <c r="L76" s="93"/>
      <c r="M76" s="93"/>
      <c r="O76" s="40"/>
      <c r="P76" s="40"/>
      <c r="Q76" s="40"/>
      <c r="R76" s="40"/>
      <c r="S76" s="41"/>
      <c r="T76" s="42"/>
      <c r="U76" s="135"/>
      <c r="V76" s="40"/>
      <c r="W76" s="42"/>
      <c r="X76" s="41"/>
      <c r="Y76" s="40"/>
      <c r="Z76" s="131"/>
      <c r="AA76" s="131"/>
      <c r="AB76" s="40"/>
      <c r="AC76" s="41"/>
      <c r="AD76" s="40"/>
      <c r="AE76" s="40"/>
      <c r="AF76" s="40"/>
      <c r="AG76" s="40"/>
      <c r="AH76" s="41"/>
      <c r="AI76" s="43"/>
      <c r="AJ76" s="40"/>
      <c r="AK76" s="40"/>
      <c r="AL76" s="44"/>
      <c r="AN76" s="40"/>
      <c r="AO76" s="39"/>
      <c r="AP76" s="40"/>
      <c r="AQ76" s="40"/>
      <c r="AR76" s="39"/>
      <c r="AS76" s="40"/>
      <c r="AU76" s="40"/>
      <c r="AV76" s="39"/>
      <c r="AW76" s="40"/>
      <c r="AX76" s="40"/>
      <c r="AY76" s="39"/>
      <c r="AZ76" s="121"/>
      <c r="BB76" s="149"/>
      <c r="BC76" s="152"/>
      <c r="BD76" s="153"/>
      <c r="BF76" s="86"/>
      <c r="BI76" s="41"/>
      <c r="BJ76" s="41"/>
    </row>
    <row r="77" spans="2:65" x14ac:dyDescent="0.25">
      <c r="B77" s="39"/>
      <c r="C77" s="39"/>
      <c r="D77" s="54"/>
      <c r="E77" s="39"/>
      <c r="F77" s="54"/>
      <c r="G77" s="39"/>
      <c r="H77" s="54"/>
      <c r="I77" s="54"/>
      <c r="J77" s="40"/>
      <c r="K77" s="40"/>
      <c r="L77" s="93"/>
      <c r="M77" s="93"/>
      <c r="O77" s="40"/>
      <c r="P77" s="40"/>
      <c r="Q77" s="40"/>
      <c r="R77" s="40"/>
      <c r="S77" s="41"/>
      <c r="T77" s="42"/>
      <c r="U77" s="135"/>
      <c r="V77" s="40"/>
      <c r="W77" s="42"/>
      <c r="X77" s="41"/>
      <c r="Y77" s="40"/>
      <c r="Z77" s="131"/>
      <c r="AA77" s="131"/>
      <c r="AB77" s="40"/>
      <c r="AC77" s="41"/>
      <c r="AD77" s="40"/>
      <c r="AE77" s="40"/>
      <c r="AF77" s="40"/>
      <c r="AG77" s="40"/>
      <c r="AH77" s="41"/>
      <c r="AI77" s="43"/>
      <c r="AJ77" s="40"/>
      <c r="AK77" s="40"/>
      <c r="AL77" s="44"/>
      <c r="AN77" s="40"/>
      <c r="AO77" s="39"/>
      <c r="AP77" s="40"/>
      <c r="AQ77" s="40"/>
      <c r="AR77" s="39"/>
      <c r="AS77" s="40"/>
      <c r="AU77" s="40"/>
      <c r="AV77" s="39"/>
      <c r="AW77" s="40"/>
      <c r="AX77" s="40"/>
      <c r="AY77" s="39"/>
      <c r="AZ77" s="121"/>
      <c r="BB77" s="149"/>
      <c r="BC77" s="152"/>
      <c r="BD77" s="153"/>
      <c r="BF77" s="86"/>
      <c r="BI77" s="41"/>
      <c r="BJ77" s="41"/>
    </row>
    <row r="78" spans="2:65" x14ac:dyDescent="0.25">
      <c r="B78" s="39"/>
      <c r="C78" s="39"/>
      <c r="D78" s="54"/>
      <c r="E78" s="39"/>
      <c r="F78" s="54"/>
      <c r="G78" s="39"/>
      <c r="H78" s="54"/>
      <c r="I78" s="54"/>
      <c r="J78" s="40"/>
      <c r="K78" s="40"/>
      <c r="L78" s="93"/>
      <c r="M78" s="93"/>
      <c r="O78" s="40"/>
      <c r="P78" s="40"/>
      <c r="Q78" s="40"/>
      <c r="R78" s="40"/>
      <c r="S78" s="41"/>
      <c r="T78" s="42"/>
      <c r="U78" s="135"/>
      <c r="V78" s="40"/>
      <c r="W78" s="42"/>
      <c r="X78" s="41"/>
      <c r="Y78" s="40"/>
      <c r="Z78" s="131"/>
      <c r="AA78" s="131"/>
      <c r="AB78" s="40"/>
      <c r="AC78" s="41"/>
      <c r="AD78" s="40"/>
      <c r="AE78" s="40"/>
      <c r="AF78" s="40"/>
      <c r="AG78" s="40"/>
      <c r="AH78" s="41"/>
      <c r="AI78" s="43"/>
      <c r="AJ78" s="40"/>
      <c r="AK78" s="40"/>
      <c r="AL78" s="44"/>
      <c r="AN78" s="40"/>
      <c r="AO78" s="39"/>
      <c r="AP78" s="40"/>
      <c r="AQ78" s="40"/>
      <c r="AR78" s="39"/>
      <c r="AS78" s="40"/>
      <c r="AU78" s="40"/>
      <c r="AV78" s="39"/>
      <c r="AW78" s="40"/>
      <c r="AX78" s="40"/>
      <c r="AY78" s="39"/>
      <c r="AZ78" s="121"/>
      <c r="BB78" s="149"/>
      <c r="BC78" s="152"/>
      <c r="BD78" s="153"/>
      <c r="BF78" s="86"/>
      <c r="BI78" s="41"/>
      <c r="BJ78" s="41"/>
    </row>
    <row r="79" spans="2:65" x14ac:dyDescent="0.25">
      <c r="B79" s="39"/>
      <c r="C79" s="39"/>
      <c r="D79" s="54"/>
      <c r="E79" s="39"/>
      <c r="F79" s="54"/>
      <c r="G79" s="39"/>
      <c r="H79" s="54"/>
      <c r="I79" s="54"/>
      <c r="J79" s="40"/>
      <c r="K79" s="40"/>
      <c r="L79" s="93"/>
      <c r="M79" s="93"/>
      <c r="O79" s="40"/>
      <c r="P79" s="40"/>
      <c r="Q79" s="40"/>
      <c r="R79" s="40"/>
      <c r="S79" s="41"/>
      <c r="T79" s="42"/>
      <c r="U79" s="135"/>
      <c r="V79" s="40"/>
      <c r="W79" s="42"/>
      <c r="X79" s="41"/>
      <c r="Y79" s="40"/>
      <c r="Z79" s="131"/>
      <c r="AA79" s="131"/>
      <c r="AB79" s="40"/>
      <c r="AC79" s="41"/>
      <c r="AD79" s="40"/>
      <c r="AE79" s="40"/>
      <c r="AF79" s="40"/>
      <c r="AG79" s="40"/>
      <c r="AH79" s="41"/>
      <c r="AI79" s="43"/>
      <c r="AJ79" s="40"/>
      <c r="AK79" s="40"/>
      <c r="AL79" s="44"/>
      <c r="AN79" s="40"/>
      <c r="AO79" s="39"/>
      <c r="AP79" s="40"/>
      <c r="AQ79" s="40"/>
      <c r="AR79" s="39"/>
      <c r="AS79" s="40"/>
      <c r="AU79" s="40"/>
      <c r="AV79" s="39"/>
      <c r="AW79" s="40"/>
      <c r="AX79" s="40"/>
      <c r="AY79" s="39"/>
      <c r="AZ79" s="121"/>
      <c r="BB79" s="149"/>
      <c r="BC79" s="152"/>
      <c r="BD79" s="153"/>
      <c r="BF79" s="86"/>
      <c r="BI79" s="41"/>
      <c r="BJ79" s="41"/>
    </row>
    <row r="80" spans="2:65" x14ac:dyDescent="0.25">
      <c r="B80" s="39"/>
      <c r="C80" s="39"/>
      <c r="D80" s="54"/>
      <c r="E80" s="39"/>
      <c r="F80" s="54"/>
      <c r="G80" s="39"/>
      <c r="H80" s="54"/>
      <c r="I80" s="54"/>
      <c r="J80" s="40"/>
      <c r="K80" s="40"/>
      <c r="L80" s="93"/>
      <c r="M80" s="93"/>
      <c r="O80" s="40"/>
      <c r="P80" s="40"/>
      <c r="Q80" s="40"/>
      <c r="R80" s="40"/>
      <c r="S80" s="41"/>
      <c r="T80" s="42"/>
      <c r="U80" s="135"/>
      <c r="V80" s="40"/>
      <c r="W80" s="42"/>
      <c r="X80" s="41"/>
      <c r="Y80" s="40"/>
      <c r="Z80" s="131"/>
      <c r="AA80" s="131"/>
      <c r="AB80" s="40"/>
      <c r="AC80" s="41"/>
      <c r="AD80" s="40"/>
      <c r="AE80" s="40"/>
      <c r="AF80" s="40"/>
      <c r="AG80" s="40"/>
      <c r="AH80" s="41"/>
      <c r="AI80" s="43"/>
      <c r="AJ80" s="40"/>
      <c r="AK80" s="40"/>
      <c r="AL80" s="44"/>
      <c r="AN80" s="40"/>
      <c r="AO80" s="39"/>
      <c r="AP80" s="40"/>
      <c r="AQ80" s="40"/>
      <c r="AR80" s="39"/>
      <c r="AS80" s="40"/>
      <c r="AU80" s="40"/>
      <c r="AV80" s="39"/>
      <c r="AW80" s="40"/>
      <c r="AX80" s="40"/>
      <c r="AY80" s="39"/>
      <c r="AZ80" s="121"/>
      <c r="BB80" s="149"/>
      <c r="BC80" s="152"/>
      <c r="BD80" s="153"/>
      <c r="BF80" s="86"/>
      <c r="BI80" s="41"/>
      <c r="BJ80" s="41"/>
    </row>
    <row r="81" spans="2:62" x14ac:dyDescent="0.25">
      <c r="B81" s="39"/>
      <c r="C81" s="39"/>
      <c r="D81" s="54"/>
      <c r="E81" s="39"/>
      <c r="F81" s="54"/>
      <c r="G81" s="39"/>
      <c r="H81" s="54"/>
      <c r="I81" s="54"/>
      <c r="J81" s="40"/>
      <c r="K81" s="40"/>
      <c r="L81" s="93"/>
      <c r="M81" s="93"/>
      <c r="O81" s="40"/>
      <c r="P81" s="40"/>
      <c r="Q81" s="40"/>
      <c r="R81" s="40"/>
      <c r="S81" s="41"/>
      <c r="T81" s="42"/>
      <c r="U81" s="135"/>
      <c r="V81" s="40"/>
      <c r="W81" s="42"/>
      <c r="X81" s="41"/>
      <c r="Y81" s="40"/>
      <c r="Z81" s="131"/>
      <c r="AA81" s="131"/>
      <c r="AB81" s="40"/>
      <c r="AC81" s="41"/>
      <c r="AD81" s="40"/>
      <c r="AE81" s="40"/>
      <c r="AF81" s="40"/>
      <c r="AG81" s="40"/>
      <c r="AH81" s="41"/>
      <c r="AI81" s="43"/>
      <c r="AJ81" s="40"/>
      <c r="AK81" s="40"/>
      <c r="AL81" s="44"/>
      <c r="AN81" s="40"/>
      <c r="AO81" s="39"/>
      <c r="AP81" s="40"/>
      <c r="AQ81" s="40"/>
      <c r="AR81" s="39"/>
      <c r="AS81" s="40"/>
      <c r="AU81" s="40"/>
      <c r="AV81" s="39"/>
      <c r="AW81" s="40"/>
      <c r="AX81" s="40"/>
      <c r="AY81" s="39"/>
      <c r="AZ81" s="121"/>
      <c r="BB81" s="149"/>
      <c r="BC81" s="152"/>
      <c r="BD81" s="153"/>
      <c r="BF81" s="86"/>
      <c r="BI81" s="41"/>
      <c r="BJ81" s="41"/>
    </row>
    <row r="82" spans="2:62" x14ac:dyDescent="0.25">
      <c r="B82" s="39"/>
      <c r="C82" s="39"/>
      <c r="D82" s="54"/>
      <c r="E82" s="39"/>
      <c r="F82" s="54"/>
      <c r="G82" s="39"/>
      <c r="H82" s="54"/>
      <c r="I82" s="54"/>
      <c r="J82" s="40"/>
      <c r="K82" s="40"/>
      <c r="L82" s="93"/>
      <c r="M82" s="93"/>
      <c r="O82" s="40"/>
      <c r="P82" s="40"/>
      <c r="Q82" s="40"/>
      <c r="R82" s="40"/>
      <c r="S82" s="41"/>
      <c r="T82" s="42"/>
      <c r="U82" s="135"/>
      <c r="V82" s="40"/>
      <c r="W82" s="42"/>
      <c r="X82" s="41"/>
      <c r="Y82" s="40"/>
      <c r="Z82" s="131"/>
      <c r="AA82" s="131"/>
      <c r="AB82" s="40"/>
      <c r="AC82" s="41"/>
      <c r="AD82" s="40"/>
      <c r="AE82" s="40"/>
      <c r="AF82" s="40"/>
      <c r="AG82" s="40"/>
      <c r="AH82" s="41"/>
      <c r="AI82" s="43"/>
      <c r="AJ82" s="40"/>
      <c r="AK82" s="40"/>
      <c r="AL82" s="44"/>
      <c r="AN82" s="40"/>
      <c r="AO82" s="39"/>
      <c r="AP82" s="40"/>
      <c r="AQ82" s="40"/>
      <c r="AR82" s="39"/>
      <c r="AS82" s="40"/>
      <c r="AU82" s="40"/>
      <c r="AV82" s="39"/>
      <c r="AW82" s="40"/>
      <c r="AX82" s="40"/>
      <c r="AY82" s="39"/>
      <c r="AZ82" s="121"/>
      <c r="BB82" s="149"/>
      <c r="BC82" s="152"/>
      <c r="BD82" s="153"/>
      <c r="BF82" s="86"/>
      <c r="BI82" s="41"/>
      <c r="BJ82" s="41"/>
    </row>
    <row r="83" spans="2:62" x14ac:dyDescent="0.25">
      <c r="B83" s="39"/>
      <c r="C83" s="39"/>
      <c r="D83" s="54"/>
      <c r="E83" s="39"/>
      <c r="F83" s="54"/>
      <c r="G83" s="39"/>
      <c r="H83" s="54"/>
      <c r="I83" s="54"/>
      <c r="J83" s="40"/>
      <c r="K83" s="40"/>
      <c r="L83" s="93"/>
      <c r="M83" s="93"/>
      <c r="O83" s="40"/>
      <c r="P83" s="40"/>
      <c r="Q83" s="40"/>
      <c r="R83" s="40"/>
      <c r="S83" s="41"/>
      <c r="T83" s="42"/>
      <c r="U83" s="135"/>
      <c r="V83" s="40"/>
      <c r="W83" s="42"/>
      <c r="X83" s="41"/>
      <c r="Y83" s="40"/>
      <c r="Z83" s="131"/>
      <c r="AA83" s="131"/>
      <c r="AB83" s="40"/>
      <c r="AC83" s="41"/>
      <c r="AD83" s="40"/>
      <c r="AE83" s="40"/>
      <c r="AF83" s="40"/>
      <c r="AG83" s="40"/>
      <c r="AH83" s="41"/>
      <c r="AI83" s="43"/>
      <c r="AJ83" s="40"/>
      <c r="AK83" s="40"/>
      <c r="AL83" s="44"/>
      <c r="AN83" s="40"/>
      <c r="AO83" s="39"/>
      <c r="AP83" s="40"/>
      <c r="AQ83" s="40"/>
      <c r="AR83" s="39"/>
      <c r="AS83" s="40"/>
      <c r="AU83" s="40"/>
      <c r="AV83" s="39"/>
      <c r="AW83" s="40"/>
      <c r="AX83" s="40"/>
      <c r="AY83" s="39"/>
      <c r="AZ83" s="121"/>
      <c r="BB83" s="149"/>
      <c r="BC83" s="152"/>
      <c r="BD83" s="153"/>
      <c r="BF83" s="86"/>
      <c r="BI83" s="41"/>
      <c r="BJ83" s="41"/>
    </row>
    <row r="84" spans="2:62" x14ac:dyDescent="0.25">
      <c r="B84" s="39"/>
      <c r="C84" s="39"/>
      <c r="D84" s="54"/>
      <c r="E84" s="39"/>
      <c r="F84" s="54"/>
      <c r="G84" s="39"/>
      <c r="H84" s="54"/>
      <c r="I84" s="54"/>
      <c r="J84" s="40"/>
      <c r="K84" s="40"/>
      <c r="L84" s="93"/>
      <c r="M84" s="93"/>
      <c r="O84" s="40"/>
      <c r="P84" s="40"/>
      <c r="Q84" s="40"/>
      <c r="R84" s="40"/>
      <c r="S84" s="41"/>
      <c r="T84" s="42"/>
      <c r="U84" s="135"/>
      <c r="V84" s="40"/>
      <c r="W84" s="42"/>
      <c r="X84" s="41"/>
      <c r="Y84" s="40"/>
      <c r="Z84" s="131"/>
      <c r="AA84" s="131"/>
      <c r="AB84" s="40"/>
      <c r="AC84" s="41"/>
      <c r="AD84" s="40"/>
      <c r="AE84" s="40"/>
      <c r="AF84" s="40"/>
      <c r="AG84" s="40"/>
      <c r="AH84" s="41"/>
      <c r="AI84" s="43"/>
      <c r="AJ84" s="40"/>
      <c r="AK84" s="40"/>
      <c r="AL84" s="44"/>
      <c r="AN84" s="40"/>
      <c r="AO84" s="39"/>
      <c r="AP84" s="40"/>
      <c r="AQ84" s="40"/>
      <c r="AR84" s="39"/>
      <c r="AS84" s="40"/>
      <c r="AU84" s="40"/>
      <c r="AV84" s="39"/>
      <c r="AW84" s="40"/>
      <c r="AX84" s="40"/>
      <c r="AY84" s="39"/>
      <c r="AZ84" s="121"/>
      <c r="BB84" s="149"/>
      <c r="BC84" s="152"/>
      <c r="BD84" s="153"/>
      <c r="BF84" s="86"/>
      <c r="BI84" s="41"/>
      <c r="BJ84" s="41"/>
    </row>
    <row r="85" spans="2:62" x14ac:dyDescent="0.25">
      <c r="B85" s="39"/>
      <c r="C85" s="39"/>
      <c r="D85" s="54"/>
      <c r="E85" s="39"/>
      <c r="F85" s="54"/>
      <c r="G85" s="39"/>
      <c r="H85" s="54"/>
      <c r="I85" s="54"/>
      <c r="J85" s="40"/>
      <c r="K85" s="40"/>
      <c r="L85" s="93"/>
      <c r="M85" s="93"/>
      <c r="O85" s="40"/>
      <c r="P85" s="40"/>
      <c r="Q85" s="40"/>
      <c r="R85" s="40"/>
      <c r="S85" s="41"/>
      <c r="T85" s="42"/>
      <c r="U85" s="135"/>
      <c r="V85" s="40"/>
      <c r="W85" s="42"/>
      <c r="X85" s="41"/>
      <c r="Y85" s="40"/>
      <c r="Z85" s="131"/>
      <c r="AA85" s="131"/>
      <c r="AB85" s="40"/>
      <c r="AC85" s="41"/>
      <c r="AD85" s="40"/>
      <c r="AE85" s="40"/>
      <c r="AF85" s="40"/>
      <c r="AG85" s="40"/>
      <c r="AH85" s="41"/>
      <c r="AI85" s="43"/>
      <c r="AJ85" s="40"/>
      <c r="AK85" s="40"/>
      <c r="AL85" s="44"/>
      <c r="AN85" s="40"/>
      <c r="AO85" s="39"/>
      <c r="AP85" s="40"/>
      <c r="AQ85" s="40"/>
      <c r="AR85" s="39"/>
      <c r="AS85" s="40"/>
      <c r="AU85" s="40"/>
      <c r="AV85" s="39"/>
      <c r="AW85" s="40"/>
      <c r="AX85" s="40"/>
      <c r="AY85" s="39"/>
      <c r="AZ85" s="121"/>
      <c r="BB85" s="149"/>
      <c r="BC85" s="152"/>
      <c r="BD85" s="153"/>
      <c r="BF85" s="157"/>
      <c r="BI85" s="41"/>
      <c r="BJ85" s="41"/>
    </row>
    <row r="86" spans="2:62" x14ac:dyDescent="0.25">
      <c r="B86" s="39"/>
      <c r="C86" s="39"/>
      <c r="D86" s="54"/>
      <c r="E86" s="39"/>
      <c r="F86" s="54"/>
      <c r="G86" s="39"/>
      <c r="H86" s="54"/>
      <c r="I86" s="54"/>
      <c r="J86" s="40"/>
      <c r="K86" s="40"/>
      <c r="L86" s="93"/>
      <c r="M86" s="93"/>
      <c r="O86" s="40"/>
      <c r="P86" s="40"/>
      <c r="Q86" s="40"/>
      <c r="R86" s="40"/>
      <c r="S86" s="41"/>
      <c r="T86" s="42"/>
      <c r="U86" s="135"/>
      <c r="V86" s="40"/>
      <c r="W86" s="42"/>
      <c r="X86" s="41"/>
      <c r="Y86" s="40"/>
      <c r="Z86" s="131"/>
      <c r="AA86" s="131"/>
      <c r="AB86" s="40"/>
      <c r="AC86" s="41"/>
      <c r="AD86" s="40"/>
      <c r="AE86" s="40"/>
      <c r="AF86" s="40"/>
      <c r="AG86" s="40"/>
      <c r="AH86" s="41"/>
      <c r="AI86" s="43"/>
      <c r="AJ86" s="40"/>
      <c r="AK86" s="40"/>
      <c r="AL86" s="44"/>
      <c r="AN86" s="40"/>
      <c r="AO86" s="39"/>
      <c r="AP86" s="40"/>
      <c r="AQ86" s="40"/>
      <c r="AR86" s="39"/>
      <c r="AS86" s="40"/>
      <c r="AU86" s="40"/>
      <c r="AV86" s="39"/>
      <c r="AW86" s="40"/>
      <c r="AX86" s="40"/>
      <c r="AY86" s="39"/>
      <c r="AZ86" s="121"/>
      <c r="BB86" s="149"/>
      <c r="BC86" s="152"/>
      <c r="BD86" s="153"/>
      <c r="BF86" s="157"/>
      <c r="BI86" s="41"/>
      <c r="BJ86" s="41"/>
    </row>
    <row r="87" spans="2:62" x14ac:dyDescent="0.25">
      <c r="B87" s="39"/>
      <c r="C87" s="39"/>
      <c r="D87" s="54"/>
      <c r="E87" s="39"/>
      <c r="F87" s="54"/>
      <c r="G87" s="39"/>
      <c r="H87" s="54"/>
      <c r="I87" s="54"/>
      <c r="J87" s="40"/>
      <c r="K87" s="40"/>
      <c r="L87" s="93"/>
      <c r="M87" s="93"/>
      <c r="O87" s="40"/>
      <c r="P87" s="40"/>
      <c r="Q87" s="40"/>
      <c r="R87" s="40"/>
      <c r="S87" s="41"/>
      <c r="T87" s="42"/>
      <c r="U87" s="135"/>
      <c r="V87" s="40"/>
      <c r="W87" s="42"/>
      <c r="X87" s="41"/>
      <c r="Y87" s="40"/>
      <c r="Z87" s="131"/>
      <c r="AA87" s="131"/>
      <c r="AB87" s="40"/>
      <c r="AC87" s="41"/>
      <c r="AD87" s="40"/>
      <c r="AE87" s="40"/>
      <c r="AF87" s="40"/>
      <c r="AG87" s="40"/>
      <c r="AH87" s="41"/>
      <c r="AI87" s="43"/>
      <c r="AJ87" s="40"/>
      <c r="AK87" s="40"/>
      <c r="AL87" s="44"/>
      <c r="AN87" s="40"/>
      <c r="AO87" s="39"/>
      <c r="AP87" s="40"/>
      <c r="AQ87" s="40"/>
      <c r="AR87" s="39"/>
      <c r="AS87" s="40"/>
      <c r="AU87" s="40"/>
      <c r="AV87" s="39"/>
      <c r="AW87" s="40"/>
      <c r="AX87" s="40"/>
      <c r="AY87" s="39"/>
      <c r="AZ87" s="121"/>
      <c r="BB87" s="149"/>
      <c r="BC87" s="152"/>
      <c r="BD87" s="153"/>
      <c r="BF87" s="158"/>
      <c r="BI87" s="41"/>
      <c r="BJ87" s="41"/>
    </row>
    <row r="88" spans="2:62" x14ac:dyDescent="0.25">
      <c r="B88" s="39"/>
      <c r="C88" s="39"/>
      <c r="D88" s="54"/>
      <c r="E88" s="39"/>
      <c r="F88" s="54"/>
      <c r="G88" s="39"/>
      <c r="H88" s="54"/>
      <c r="I88" s="54"/>
      <c r="J88" s="40"/>
      <c r="K88" s="40"/>
      <c r="L88" s="93"/>
      <c r="M88" s="93"/>
      <c r="O88" s="40"/>
      <c r="P88" s="40"/>
      <c r="Q88" s="40"/>
      <c r="R88" s="40"/>
      <c r="S88" s="41"/>
      <c r="T88" s="42"/>
      <c r="U88" s="135"/>
      <c r="V88" s="40"/>
      <c r="W88" s="42"/>
      <c r="X88" s="41"/>
      <c r="Y88" s="40"/>
      <c r="Z88" s="131"/>
      <c r="AA88" s="131"/>
      <c r="AB88" s="40"/>
      <c r="AC88" s="41"/>
      <c r="AD88" s="40"/>
      <c r="AE88" s="40"/>
      <c r="AF88" s="40"/>
      <c r="AG88" s="40"/>
      <c r="AH88" s="41"/>
      <c r="AI88" s="43"/>
      <c r="AJ88" s="40"/>
      <c r="AK88" s="40"/>
      <c r="AL88" s="44"/>
      <c r="AN88" s="40"/>
      <c r="AO88" s="39"/>
      <c r="AP88" s="40"/>
      <c r="AQ88" s="40"/>
      <c r="AR88" s="39"/>
      <c r="AS88" s="40"/>
      <c r="AU88" s="40"/>
      <c r="AV88" s="39"/>
      <c r="AW88" s="40"/>
      <c r="AX88" s="40"/>
      <c r="AY88" s="39"/>
      <c r="AZ88" s="121"/>
      <c r="BB88" s="149"/>
      <c r="BC88" s="152"/>
      <c r="BD88" s="153"/>
      <c r="BF88" s="86"/>
      <c r="BI88" s="41"/>
      <c r="BJ88" s="41"/>
    </row>
    <row r="89" spans="2:62" x14ac:dyDescent="0.25">
      <c r="B89" s="39"/>
      <c r="C89" s="39"/>
      <c r="D89" s="54"/>
      <c r="E89" s="39"/>
      <c r="F89" s="54"/>
      <c r="G89" s="39"/>
      <c r="H89" s="54"/>
      <c r="I89" s="54"/>
      <c r="J89" s="40"/>
      <c r="K89" s="40"/>
      <c r="L89" s="93"/>
      <c r="M89" s="93"/>
      <c r="O89" s="40"/>
      <c r="P89" s="40"/>
      <c r="Q89" s="40"/>
      <c r="R89" s="40"/>
      <c r="S89" s="41"/>
      <c r="T89" s="42"/>
      <c r="U89" s="135"/>
      <c r="V89" s="40"/>
      <c r="W89" s="42"/>
      <c r="X89" s="41"/>
      <c r="Y89" s="40"/>
      <c r="Z89" s="131"/>
      <c r="AA89" s="131"/>
      <c r="AB89" s="40"/>
      <c r="AC89" s="41"/>
      <c r="AD89" s="40"/>
      <c r="AE89" s="40"/>
      <c r="AF89" s="40"/>
      <c r="AG89" s="40"/>
      <c r="AH89" s="41"/>
      <c r="AI89" s="43"/>
      <c r="AJ89" s="40"/>
      <c r="AK89" s="40"/>
      <c r="AL89" s="44"/>
      <c r="AN89" s="40"/>
      <c r="AO89" s="39"/>
      <c r="AP89" s="40"/>
      <c r="AQ89" s="40"/>
      <c r="AR89" s="39"/>
      <c r="AS89" s="40"/>
      <c r="AU89" s="40"/>
      <c r="AV89" s="39"/>
      <c r="AW89" s="40"/>
      <c r="AX89" s="40"/>
      <c r="AY89" s="39"/>
      <c r="AZ89" s="121"/>
      <c r="BB89" s="149"/>
      <c r="BC89" s="152"/>
      <c r="BD89" s="153"/>
      <c r="BF89" s="86"/>
      <c r="BI89" s="41"/>
      <c r="BJ89" s="41"/>
    </row>
    <row r="90" spans="2:62" x14ac:dyDescent="0.25">
      <c r="B90" s="39"/>
      <c r="C90" s="39"/>
      <c r="D90" s="54"/>
      <c r="E90" s="39"/>
      <c r="F90" s="54"/>
      <c r="G90" s="39"/>
      <c r="H90" s="54"/>
      <c r="I90" s="54"/>
      <c r="J90" s="40"/>
      <c r="K90" s="40"/>
      <c r="L90" s="93"/>
      <c r="M90" s="93"/>
      <c r="O90" s="40"/>
      <c r="P90" s="40"/>
      <c r="Q90" s="40"/>
      <c r="R90" s="40"/>
      <c r="S90" s="41"/>
      <c r="T90" s="42"/>
      <c r="U90" s="135"/>
      <c r="V90" s="40"/>
      <c r="W90" s="42"/>
      <c r="X90" s="41"/>
      <c r="Y90" s="40"/>
      <c r="Z90" s="131"/>
      <c r="AA90" s="131"/>
      <c r="AB90" s="40"/>
      <c r="AC90" s="41"/>
      <c r="AD90" s="40"/>
      <c r="AE90" s="40"/>
      <c r="AF90" s="40"/>
      <c r="AG90" s="40"/>
      <c r="AH90" s="41"/>
      <c r="AI90" s="43"/>
      <c r="AJ90" s="40"/>
      <c r="AK90" s="40"/>
      <c r="AL90" s="44"/>
      <c r="AN90" s="40"/>
      <c r="AO90" s="39"/>
      <c r="AP90" s="40"/>
      <c r="AQ90" s="40"/>
      <c r="AR90" s="39"/>
      <c r="AS90" s="40"/>
      <c r="AU90" s="40"/>
      <c r="AV90" s="39"/>
      <c r="AW90" s="40"/>
      <c r="AX90" s="40"/>
      <c r="AY90" s="39"/>
      <c r="AZ90" s="121"/>
      <c r="BB90" s="149"/>
      <c r="BC90" s="152"/>
      <c r="BD90" s="153"/>
      <c r="BF90" s="86"/>
      <c r="BI90" s="41"/>
      <c r="BJ90" s="41"/>
    </row>
    <row r="91" spans="2:62" x14ac:dyDescent="0.25">
      <c r="B91" s="39"/>
      <c r="C91" s="39"/>
      <c r="D91" s="54"/>
      <c r="E91" s="39"/>
      <c r="F91" s="54"/>
      <c r="G91" s="39"/>
      <c r="H91" s="54"/>
      <c r="I91" s="54"/>
      <c r="J91" s="40"/>
      <c r="K91" s="40"/>
      <c r="L91" s="93"/>
      <c r="M91" s="93"/>
      <c r="O91" s="40"/>
      <c r="P91" s="40"/>
      <c r="Q91" s="40"/>
      <c r="R91" s="40"/>
      <c r="S91" s="41"/>
      <c r="T91" s="42"/>
      <c r="U91" s="135"/>
      <c r="V91" s="40"/>
      <c r="W91" s="42"/>
      <c r="X91" s="41"/>
      <c r="Y91" s="40"/>
      <c r="Z91" s="131"/>
      <c r="AA91" s="131"/>
      <c r="AB91" s="40"/>
      <c r="AC91" s="41"/>
      <c r="AD91" s="40"/>
      <c r="AE91" s="40"/>
      <c r="AF91" s="40"/>
      <c r="AG91" s="40"/>
      <c r="AH91" s="41"/>
      <c r="AI91" s="43"/>
      <c r="AJ91" s="40"/>
      <c r="AK91" s="40"/>
      <c r="AL91" s="44"/>
      <c r="AN91" s="40"/>
      <c r="AO91" s="39"/>
      <c r="AP91" s="40"/>
      <c r="AQ91" s="40"/>
      <c r="AR91" s="39"/>
      <c r="AS91" s="40"/>
      <c r="AU91" s="40"/>
      <c r="AV91" s="39"/>
      <c r="AW91" s="40"/>
      <c r="AX91" s="40"/>
      <c r="AY91" s="39"/>
      <c r="AZ91" s="121"/>
      <c r="BB91" s="149"/>
      <c r="BC91" s="152"/>
      <c r="BD91" s="153"/>
      <c r="BF91" s="86"/>
      <c r="BI91" s="41"/>
      <c r="BJ91" s="41"/>
    </row>
    <row r="92" spans="2:62" x14ac:dyDescent="0.25">
      <c r="B92" s="39"/>
      <c r="C92" s="39"/>
      <c r="D92" s="54"/>
      <c r="E92" s="39"/>
      <c r="F92" s="54"/>
      <c r="G92" s="39"/>
      <c r="H92" s="54"/>
      <c r="I92" s="54"/>
      <c r="J92" s="40"/>
      <c r="K92" s="40"/>
      <c r="L92" s="93"/>
      <c r="M92" s="93"/>
      <c r="O92" s="40"/>
      <c r="P92" s="40"/>
      <c r="Q92" s="40"/>
      <c r="R92" s="40"/>
      <c r="S92" s="41"/>
      <c r="T92" s="42"/>
      <c r="U92" s="135"/>
      <c r="V92" s="40"/>
      <c r="W92" s="42"/>
      <c r="X92" s="41"/>
      <c r="Y92" s="40"/>
      <c r="Z92" s="131"/>
      <c r="AA92" s="131"/>
      <c r="AB92" s="40"/>
      <c r="AC92" s="41"/>
      <c r="AD92" s="40"/>
      <c r="AE92" s="40"/>
      <c r="AF92" s="40"/>
      <c r="AG92" s="40"/>
      <c r="AH92" s="41"/>
      <c r="AI92" s="43"/>
      <c r="AJ92" s="40"/>
      <c r="AK92" s="40"/>
      <c r="AL92" s="44"/>
      <c r="AN92" s="40"/>
      <c r="AO92" s="39"/>
      <c r="AP92" s="40"/>
      <c r="AQ92" s="40"/>
      <c r="AR92" s="39"/>
      <c r="AS92" s="40"/>
      <c r="AU92" s="40"/>
      <c r="AV92" s="39"/>
      <c r="AW92" s="40"/>
      <c r="AX92" s="40"/>
      <c r="AY92" s="39"/>
      <c r="AZ92" s="121"/>
      <c r="BB92" s="149"/>
      <c r="BC92" s="152"/>
      <c r="BD92" s="153"/>
      <c r="BF92" s="86"/>
      <c r="BI92" s="41"/>
      <c r="BJ92" s="41"/>
    </row>
    <row r="93" spans="2:62" x14ac:dyDescent="0.25">
      <c r="B93" s="39"/>
      <c r="C93" s="39"/>
      <c r="D93" s="54"/>
      <c r="E93" s="39"/>
      <c r="F93" s="54"/>
      <c r="G93" s="39"/>
      <c r="H93" s="54"/>
      <c r="I93" s="54"/>
      <c r="J93" s="40"/>
      <c r="K93" s="40"/>
      <c r="L93" s="93"/>
      <c r="M93" s="93"/>
      <c r="O93" s="40"/>
      <c r="P93" s="40"/>
      <c r="Q93" s="40"/>
      <c r="R93" s="40"/>
      <c r="S93" s="41"/>
      <c r="T93" s="42"/>
      <c r="U93" s="135"/>
      <c r="V93" s="40"/>
      <c r="W93" s="42"/>
      <c r="X93" s="41"/>
      <c r="Y93" s="40"/>
      <c r="Z93" s="131"/>
      <c r="AA93" s="131"/>
      <c r="AB93" s="40"/>
      <c r="AC93" s="41"/>
      <c r="AD93" s="40"/>
      <c r="AE93" s="40"/>
      <c r="AF93" s="40"/>
      <c r="AG93" s="40"/>
      <c r="AH93" s="41"/>
      <c r="AI93" s="43"/>
      <c r="AJ93" s="40"/>
      <c r="AK93" s="40"/>
      <c r="AL93" s="44"/>
      <c r="AN93" s="40"/>
      <c r="AO93" s="39"/>
      <c r="AP93" s="40"/>
      <c r="AQ93" s="40"/>
      <c r="AR93" s="39"/>
      <c r="AS93" s="40"/>
      <c r="AU93" s="40"/>
      <c r="AV93" s="39"/>
      <c r="AW93" s="40"/>
      <c r="AX93" s="40"/>
      <c r="AY93" s="39"/>
      <c r="AZ93" s="121"/>
      <c r="BB93" s="149"/>
      <c r="BC93" s="152"/>
      <c r="BD93" s="153"/>
      <c r="BF93" s="86"/>
      <c r="BI93" s="41"/>
      <c r="BJ93" s="41"/>
    </row>
    <row r="94" spans="2:62" x14ac:dyDescent="0.25">
      <c r="B94" s="39"/>
      <c r="C94" s="39"/>
      <c r="D94" s="54"/>
      <c r="E94" s="39"/>
      <c r="F94" s="54"/>
      <c r="G94" s="39"/>
      <c r="H94" s="54"/>
      <c r="I94" s="54"/>
      <c r="J94" s="40"/>
      <c r="K94" s="40"/>
      <c r="L94" s="93"/>
      <c r="M94" s="93"/>
      <c r="O94" s="40"/>
      <c r="P94" s="40"/>
      <c r="Q94" s="40"/>
      <c r="R94" s="40"/>
      <c r="S94" s="41"/>
      <c r="T94" s="42"/>
      <c r="U94" s="135"/>
      <c r="V94" s="40"/>
      <c r="W94" s="42"/>
      <c r="X94" s="41"/>
      <c r="Y94" s="40"/>
      <c r="Z94" s="131"/>
      <c r="AA94" s="131"/>
      <c r="AB94" s="40"/>
      <c r="AC94" s="41"/>
      <c r="AD94" s="40"/>
      <c r="AE94" s="40"/>
      <c r="AF94" s="40"/>
      <c r="AG94" s="40"/>
      <c r="AH94" s="41"/>
      <c r="AI94" s="43"/>
      <c r="AJ94" s="40"/>
      <c r="AK94" s="40"/>
      <c r="AL94" s="44"/>
      <c r="AN94" s="40"/>
      <c r="AO94" s="39"/>
      <c r="AP94" s="40"/>
      <c r="AQ94" s="40"/>
      <c r="AR94" s="39"/>
      <c r="AS94" s="40"/>
      <c r="AU94" s="40"/>
      <c r="AV94" s="39"/>
      <c r="AW94" s="40"/>
      <c r="AX94" s="40"/>
      <c r="AY94" s="39"/>
      <c r="AZ94" s="121"/>
      <c r="BB94" s="149"/>
      <c r="BC94" s="152"/>
      <c r="BD94" s="153"/>
      <c r="BF94" s="86"/>
      <c r="BI94" s="41"/>
      <c r="BJ94" s="41"/>
    </row>
    <row r="95" spans="2:62" x14ac:dyDescent="0.25">
      <c r="B95" s="39"/>
      <c r="C95" s="39"/>
      <c r="D95" s="54"/>
      <c r="E95" s="39"/>
      <c r="F95" s="54"/>
      <c r="G95" s="39"/>
      <c r="H95" s="54"/>
      <c r="I95" s="54"/>
      <c r="J95" s="40"/>
      <c r="K95" s="40"/>
      <c r="L95" s="93"/>
      <c r="M95" s="93"/>
      <c r="O95" s="40"/>
      <c r="P95" s="40"/>
      <c r="Q95" s="40"/>
      <c r="R95" s="40"/>
      <c r="S95" s="41"/>
      <c r="T95" s="42"/>
      <c r="U95" s="135"/>
      <c r="V95" s="40"/>
      <c r="W95" s="42"/>
      <c r="X95" s="41"/>
      <c r="Y95" s="40"/>
      <c r="Z95" s="131"/>
      <c r="AA95" s="131"/>
      <c r="AB95" s="40"/>
      <c r="AC95" s="41"/>
      <c r="AD95" s="40"/>
      <c r="AE95" s="40"/>
      <c r="AF95" s="40"/>
      <c r="AG95" s="40"/>
      <c r="AH95" s="41"/>
      <c r="AI95" s="43"/>
      <c r="AJ95" s="40"/>
      <c r="AK95" s="40"/>
      <c r="AL95" s="44"/>
      <c r="AN95" s="40"/>
      <c r="AO95" s="39"/>
      <c r="AP95" s="40"/>
      <c r="AQ95" s="40"/>
      <c r="AR95" s="39"/>
      <c r="AS95" s="40"/>
      <c r="AU95" s="40"/>
      <c r="AV95" s="39"/>
      <c r="AW95" s="40"/>
      <c r="AX95" s="40"/>
      <c r="AY95" s="39"/>
      <c r="AZ95" s="121"/>
      <c r="BB95" s="149"/>
      <c r="BC95" s="152"/>
      <c r="BD95" s="153"/>
      <c r="BF95" s="86"/>
      <c r="BI95" s="41"/>
      <c r="BJ95" s="41"/>
    </row>
    <row r="96" spans="2:62" x14ac:dyDescent="0.25">
      <c r="B96" s="39"/>
      <c r="C96" s="39"/>
      <c r="D96" s="54"/>
      <c r="E96" s="39"/>
      <c r="F96" s="54"/>
      <c r="G96" s="39"/>
      <c r="H96" s="54"/>
      <c r="I96" s="54"/>
      <c r="J96" s="40"/>
      <c r="K96" s="40"/>
      <c r="L96" s="93"/>
      <c r="M96" s="93"/>
      <c r="O96" s="40"/>
      <c r="P96" s="40"/>
      <c r="Q96" s="40"/>
      <c r="R96" s="40"/>
      <c r="S96" s="41"/>
      <c r="T96" s="42"/>
      <c r="U96" s="135"/>
      <c r="V96" s="40"/>
      <c r="W96" s="42"/>
      <c r="X96" s="41"/>
      <c r="Y96" s="40"/>
      <c r="Z96" s="131"/>
      <c r="AA96" s="131"/>
      <c r="AB96" s="40"/>
      <c r="AC96" s="41"/>
      <c r="AD96" s="40"/>
      <c r="AE96" s="40"/>
      <c r="AF96" s="40"/>
      <c r="AG96" s="40"/>
      <c r="AH96" s="41"/>
      <c r="AI96" s="43"/>
      <c r="AJ96" s="40"/>
      <c r="AK96" s="40"/>
      <c r="AL96" s="44"/>
      <c r="AN96" s="40"/>
      <c r="AO96" s="39"/>
      <c r="AP96" s="40"/>
      <c r="AQ96" s="40"/>
      <c r="AR96" s="39"/>
      <c r="AS96" s="40"/>
      <c r="AU96" s="40"/>
      <c r="AV96" s="39"/>
      <c r="AW96" s="40"/>
      <c r="AX96" s="40"/>
      <c r="AY96" s="39"/>
      <c r="AZ96" s="121"/>
      <c r="BB96" s="149"/>
      <c r="BC96" s="152"/>
      <c r="BD96" s="153"/>
      <c r="BF96" s="86"/>
      <c r="BI96" s="41"/>
      <c r="BJ96" s="41"/>
    </row>
    <row r="97" spans="2:62" x14ac:dyDescent="0.25">
      <c r="B97" s="39"/>
      <c r="C97" s="39"/>
      <c r="D97" s="54"/>
      <c r="E97" s="39"/>
      <c r="F97" s="54"/>
      <c r="G97" s="39"/>
      <c r="H97" s="54"/>
      <c r="I97" s="54"/>
      <c r="J97" s="40"/>
      <c r="K97" s="40"/>
      <c r="L97" s="93"/>
      <c r="M97" s="93"/>
      <c r="O97" s="40"/>
      <c r="P97" s="40"/>
      <c r="Q97" s="40"/>
      <c r="R97" s="40"/>
      <c r="S97" s="41"/>
      <c r="T97" s="42"/>
      <c r="U97" s="135"/>
      <c r="V97" s="40"/>
      <c r="W97" s="42"/>
      <c r="X97" s="41"/>
      <c r="Y97" s="40"/>
      <c r="Z97" s="131"/>
      <c r="AA97" s="131"/>
      <c r="AB97" s="40"/>
      <c r="AC97" s="41"/>
      <c r="AD97" s="40"/>
      <c r="AE97" s="40"/>
      <c r="AF97" s="40"/>
      <c r="AG97" s="40"/>
      <c r="AH97" s="41"/>
      <c r="AI97" s="43"/>
      <c r="AJ97" s="40"/>
      <c r="AK97" s="40"/>
      <c r="AL97" s="44"/>
      <c r="AN97" s="40"/>
      <c r="AO97" s="39"/>
      <c r="AP97" s="40"/>
      <c r="AQ97" s="40"/>
      <c r="AR97" s="39"/>
      <c r="AS97" s="40"/>
      <c r="AU97" s="40"/>
      <c r="AV97" s="39"/>
      <c r="AW97" s="40"/>
      <c r="AX97" s="40"/>
      <c r="AY97" s="39"/>
      <c r="AZ97" s="121"/>
      <c r="BB97" s="149"/>
      <c r="BC97" s="152"/>
      <c r="BD97" s="153"/>
      <c r="BF97" s="86"/>
      <c r="BI97" s="41"/>
      <c r="BJ97" s="41"/>
    </row>
    <row r="98" spans="2:62" x14ac:dyDescent="0.25">
      <c r="B98" s="39"/>
      <c r="C98" s="39"/>
      <c r="D98" s="54"/>
      <c r="E98" s="39"/>
      <c r="F98" s="54"/>
      <c r="G98" s="39"/>
      <c r="H98" s="54"/>
      <c r="I98" s="54"/>
      <c r="J98" s="40"/>
      <c r="K98" s="40"/>
      <c r="L98" s="93"/>
      <c r="M98" s="93"/>
      <c r="O98" s="40"/>
      <c r="P98" s="40"/>
      <c r="Q98" s="40"/>
      <c r="R98" s="40"/>
      <c r="S98" s="41"/>
      <c r="T98" s="42"/>
      <c r="U98" s="135"/>
      <c r="V98" s="40"/>
      <c r="W98" s="42"/>
      <c r="X98" s="41"/>
      <c r="Y98" s="40"/>
      <c r="Z98" s="131"/>
      <c r="AA98" s="131"/>
      <c r="AB98" s="40"/>
      <c r="AC98" s="41"/>
      <c r="AD98" s="40"/>
      <c r="AE98" s="40"/>
      <c r="AF98" s="40"/>
      <c r="AG98" s="40"/>
      <c r="AH98" s="41"/>
      <c r="AI98" s="43"/>
      <c r="AJ98" s="40"/>
      <c r="AK98" s="40"/>
      <c r="AL98" s="44"/>
      <c r="AN98" s="40"/>
      <c r="AO98" s="39"/>
      <c r="AP98" s="40"/>
      <c r="AQ98" s="40"/>
      <c r="AR98" s="39"/>
      <c r="AS98" s="40"/>
      <c r="AU98" s="40"/>
      <c r="AV98" s="39"/>
      <c r="AW98" s="40"/>
      <c r="AX98" s="40"/>
      <c r="AY98" s="39"/>
      <c r="AZ98" s="121"/>
      <c r="BB98" s="149"/>
      <c r="BC98" s="152"/>
      <c r="BD98" s="153"/>
      <c r="BF98" s="86"/>
      <c r="BI98" s="41"/>
      <c r="BJ98" s="41"/>
    </row>
    <row r="99" spans="2:62" x14ac:dyDescent="0.25">
      <c r="B99" s="39"/>
      <c r="C99" s="39"/>
      <c r="D99" s="54"/>
      <c r="E99" s="39"/>
      <c r="F99" s="54"/>
      <c r="G99" s="39"/>
      <c r="H99" s="54"/>
      <c r="I99" s="54"/>
      <c r="J99" s="40"/>
      <c r="K99" s="40"/>
      <c r="L99" s="93"/>
      <c r="M99" s="93"/>
      <c r="O99" s="40"/>
      <c r="P99" s="40"/>
      <c r="Q99" s="40"/>
      <c r="R99" s="40"/>
      <c r="S99" s="41"/>
      <c r="T99" s="42"/>
      <c r="U99" s="135"/>
      <c r="V99" s="40"/>
      <c r="W99" s="42"/>
      <c r="X99" s="41"/>
      <c r="Y99" s="40"/>
      <c r="Z99" s="131"/>
      <c r="AA99" s="131"/>
      <c r="AB99" s="40"/>
      <c r="AC99" s="41"/>
      <c r="AD99" s="40"/>
      <c r="AE99" s="40"/>
      <c r="AF99" s="40"/>
      <c r="AG99" s="40"/>
      <c r="AH99" s="41"/>
      <c r="AI99" s="43"/>
      <c r="AJ99" s="40"/>
      <c r="AK99" s="40"/>
      <c r="AL99" s="44"/>
      <c r="AN99" s="40"/>
      <c r="AO99" s="39"/>
      <c r="AP99" s="40"/>
      <c r="AQ99" s="40"/>
      <c r="AR99" s="39"/>
      <c r="AS99" s="40"/>
      <c r="AU99" s="40"/>
      <c r="AV99" s="39"/>
      <c r="AW99" s="40"/>
      <c r="AX99" s="40"/>
      <c r="AY99" s="39"/>
      <c r="AZ99" s="121"/>
      <c r="BB99" s="149"/>
      <c r="BC99" s="152"/>
      <c r="BD99" s="153"/>
      <c r="BF99" s="86"/>
      <c r="BI99" s="41"/>
      <c r="BJ99" s="41"/>
    </row>
    <row r="100" spans="2:62" x14ac:dyDescent="0.25">
      <c r="B100" s="39"/>
      <c r="C100" s="39"/>
      <c r="D100" s="54"/>
      <c r="E100" s="39"/>
      <c r="F100" s="54"/>
      <c r="G100" s="39"/>
      <c r="H100" s="54"/>
      <c r="I100" s="54"/>
      <c r="J100" s="40"/>
      <c r="K100" s="40"/>
      <c r="L100" s="93"/>
      <c r="M100" s="93"/>
      <c r="O100" s="40"/>
      <c r="P100" s="40"/>
      <c r="Q100" s="40"/>
      <c r="R100" s="40"/>
      <c r="S100" s="41"/>
      <c r="T100" s="42"/>
      <c r="U100" s="135"/>
      <c r="V100" s="40"/>
      <c r="W100" s="42"/>
      <c r="X100" s="41"/>
      <c r="Y100" s="40"/>
      <c r="Z100" s="131"/>
      <c r="AA100" s="131"/>
      <c r="AB100" s="40"/>
      <c r="AC100" s="41"/>
      <c r="AD100" s="40"/>
      <c r="AE100" s="40"/>
      <c r="AF100" s="40"/>
      <c r="AG100" s="40"/>
      <c r="AH100" s="41"/>
      <c r="AI100" s="43"/>
      <c r="AJ100" s="40"/>
      <c r="AK100" s="40"/>
      <c r="AL100" s="44"/>
      <c r="AN100" s="40"/>
      <c r="AO100" s="39"/>
      <c r="AP100" s="40"/>
      <c r="AQ100" s="40"/>
      <c r="AR100" s="39"/>
      <c r="AS100" s="40"/>
      <c r="AU100" s="40"/>
      <c r="AV100" s="39"/>
      <c r="AW100" s="40"/>
      <c r="AX100" s="40"/>
      <c r="AY100" s="39"/>
      <c r="AZ100" s="121"/>
      <c r="BB100" s="149"/>
      <c r="BC100" s="152"/>
      <c r="BD100" s="153"/>
      <c r="BF100" s="86"/>
      <c r="BI100" s="41"/>
      <c r="BJ100" s="41"/>
    </row>
    <row r="101" spans="2:62" x14ac:dyDescent="0.25">
      <c r="B101" s="39"/>
      <c r="C101" s="39"/>
      <c r="D101" s="54"/>
      <c r="E101" s="39"/>
      <c r="F101" s="54"/>
      <c r="G101" s="39"/>
      <c r="H101" s="54"/>
      <c r="I101" s="54"/>
      <c r="J101" s="40"/>
      <c r="K101" s="40"/>
      <c r="L101" s="93"/>
      <c r="M101" s="93"/>
      <c r="O101" s="40"/>
      <c r="P101" s="40"/>
      <c r="Q101" s="40"/>
      <c r="R101" s="40"/>
      <c r="S101" s="41"/>
      <c r="T101" s="42"/>
      <c r="U101" s="135"/>
      <c r="V101" s="40"/>
      <c r="W101" s="42"/>
      <c r="X101" s="41"/>
      <c r="Y101" s="40"/>
      <c r="Z101" s="131"/>
      <c r="AA101" s="131"/>
      <c r="AB101" s="40"/>
      <c r="AC101" s="41"/>
      <c r="AD101" s="40"/>
      <c r="AE101" s="40"/>
      <c r="AF101" s="40"/>
      <c r="AG101" s="40"/>
      <c r="AH101" s="41"/>
      <c r="AI101" s="43"/>
      <c r="AJ101" s="40"/>
      <c r="AK101" s="40"/>
      <c r="AL101" s="44"/>
      <c r="AN101" s="40"/>
      <c r="AO101" s="39"/>
      <c r="AP101" s="40"/>
      <c r="AQ101" s="40"/>
      <c r="AR101" s="39"/>
      <c r="AS101" s="40"/>
      <c r="AU101" s="40"/>
      <c r="AV101" s="39"/>
      <c r="AW101" s="40"/>
      <c r="AX101" s="40"/>
      <c r="AY101" s="39"/>
      <c r="AZ101" s="121"/>
      <c r="BB101" s="149"/>
      <c r="BC101" s="152"/>
      <c r="BD101" s="153"/>
      <c r="BF101" s="86"/>
      <c r="BI101" s="41"/>
      <c r="BJ101" s="41"/>
    </row>
    <row r="102" spans="2:62" x14ac:dyDescent="0.25">
      <c r="B102" s="39"/>
      <c r="C102" s="39"/>
      <c r="D102" s="54"/>
      <c r="E102" s="39"/>
      <c r="F102" s="54"/>
      <c r="G102" s="39"/>
      <c r="H102" s="54"/>
      <c r="I102" s="54"/>
      <c r="J102" s="40"/>
      <c r="K102" s="40"/>
      <c r="L102" s="93"/>
      <c r="M102" s="93"/>
      <c r="O102" s="40"/>
      <c r="P102" s="40"/>
      <c r="Q102" s="40"/>
      <c r="R102" s="40"/>
      <c r="S102" s="41"/>
      <c r="T102" s="42"/>
      <c r="U102" s="135"/>
      <c r="V102" s="40"/>
      <c r="W102" s="42"/>
      <c r="X102" s="41"/>
      <c r="Y102" s="40"/>
      <c r="Z102" s="131"/>
      <c r="AA102" s="131"/>
      <c r="AB102" s="40"/>
      <c r="AC102" s="41"/>
      <c r="AD102" s="40"/>
      <c r="AE102" s="40"/>
      <c r="AF102" s="40"/>
      <c r="AG102" s="40"/>
      <c r="AH102" s="41"/>
      <c r="AI102" s="43"/>
      <c r="AJ102" s="40"/>
      <c r="AK102" s="40"/>
      <c r="AL102" s="44"/>
      <c r="AN102" s="40"/>
      <c r="AO102" s="39"/>
      <c r="AP102" s="40"/>
      <c r="AQ102" s="40"/>
      <c r="AR102" s="39"/>
      <c r="AS102" s="40"/>
      <c r="AU102" s="40"/>
      <c r="AV102" s="39"/>
      <c r="AW102" s="40"/>
      <c r="AX102" s="40"/>
      <c r="AY102" s="39"/>
      <c r="AZ102" s="121"/>
      <c r="BB102" s="149"/>
      <c r="BC102" s="152"/>
      <c r="BD102" s="153"/>
      <c r="BF102" s="86"/>
      <c r="BI102" s="41"/>
      <c r="BJ102" s="41"/>
    </row>
    <row r="103" spans="2:62" x14ac:dyDescent="0.25">
      <c r="B103" s="39"/>
      <c r="C103" s="39"/>
      <c r="D103" s="54"/>
      <c r="E103" s="39"/>
      <c r="F103" s="54"/>
      <c r="G103" s="39"/>
      <c r="H103" s="54"/>
      <c r="I103" s="54"/>
      <c r="J103" s="40"/>
      <c r="K103" s="40"/>
      <c r="L103" s="93"/>
      <c r="M103" s="93"/>
      <c r="O103" s="40"/>
      <c r="P103" s="40"/>
      <c r="Q103" s="40"/>
      <c r="R103" s="40"/>
      <c r="S103" s="41"/>
      <c r="T103" s="42"/>
      <c r="U103" s="135"/>
      <c r="V103" s="40"/>
      <c r="W103" s="42"/>
      <c r="X103" s="41"/>
      <c r="Y103" s="40"/>
      <c r="Z103" s="131"/>
      <c r="AA103" s="131"/>
      <c r="AB103" s="40"/>
      <c r="AC103" s="41"/>
      <c r="AD103" s="40"/>
      <c r="AE103" s="40"/>
      <c r="AF103" s="40"/>
      <c r="AG103" s="40"/>
      <c r="AH103" s="41"/>
      <c r="AI103" s="43"/>
      <c r="AJ103" s="40"/>
      <c r="AK103" s="40"/>
      <c r="AL103" s="44"/>
      <c r="AN103" s="40"/>
      <c r="AO103" s="39"/>
      <c r="AP103" s="40"/>
      <c r="AQ103" s="40"/>
      <c r="AR103" s="39"/>
      <c r="AS103" s="40"/>
      <c r="AU103" s="40"/>
      <c r="AV103" s="39"/>
      <c r="AW103" s="40"/>
      <c r="AX103" s="40"/>
      <c r="AY103" s="39"/>
      <c r="AZ103" s="121"/>
      <c r="BB103" s="149"/>
      <c r="BC103" s="152"/>
      <c r="BD103" s="153"/>
      <c r="BF103" s="86"/>
      <c r="BI103" s="41"/>
      <c r="BJ103" s="41"/>
    </row>
    <row r="104" spans="2:62" x14ac:dyDescent="0.25">
      <c r="B104" s="39"/>
      <c r="C104" s="39"/>
      <c r="D104" s="54"/>
      <c r="E104" s="39"/>
      <c r="F104" s="54"/>
      <c r="G104" s="39"/>
      <c r="H104" s="54"/>
      <c r="I104" s="54"/>
      <c r="J104" s="40"/>
      <c r="K104" s="40"/>
      <c r="L104" s="93"/>
      <c r="M104" s="93"/>
      <c r="O104" s="40"/>
      <c r="P104" s="40"/>
      <c r="Q104" s="40"/>
      <c r="R104" s="40"/>
      <c r="S104" s="41"/>
      <c r="T104" s="42"/>
      <c r="U104" s="135"/>
      <c r="V104" s="40"/>
      <c r="W104" s="42"/>
      <c r="X104" s="41"/>
      <c r="Y104" s="40"/>
      <c r="Z104" s="131"/>
      <c r="AA104" s="131"/>
      <c r="AB104" s="40"/>
      <c r="AC104" s="41"/>
      <c r="AD104" s="40"/>
      <c r="AE104" s="40"/>
      <c r="AF104" s="40"/>
      <c r="AG104" s="40"/>
      <c r="AH104" s="41"/>
      <c r="AI104" s="43"/>
      <c r="AJ104" s="40"/>
      <c r="AK104" s="40"/>
      <c r="AL104" s="44"/>
      <c r="AN104" s="40"/>
      <c r="AO104" s="39"/>
      <c r="AP104" s="40"/>
      <c r="AQ104" s="40"/>
      <c r="AR104" s="39"/>
      <c r="AS104" s="40"/>
      <c r="AU104" s="40"/>
      <c r="AV104" s="39"/>
      <c r="AW104" s="40"/>
      <c r="AX104" s="40"/>
      <c r="AY104" s="39"/>
      <c r="AZ104" s="121"/>
      <c r="BB104" s="149"/>
      <c r="BC104" s="152"/>
      <c r="BD104" s="153"/>
      <c r="BF104" s="86"/>
      <c r="BI104" s="41"/>
      <c r="BJ104" s="41"/>
    </row>
    <row r="105" spans="2:62" x14ac:dyDescent="0.25">
      <c r="B105" s="39"/>
      <c r="C105" s="39"/>
      <c r="D105" s="54"/>
      <c r="E105" s="39"/>
      <c r="F105" s="54"/>
      <c r="G105" s="39"/>
      <c r="H105" s="54"/>
      <c r="I105" s="54"/>
      <c r="J105" s="40"/>
      <c r="K105" s="40"/>
      <c r="L105" s="93"/>
      <c r="M105" s="93"/>
      <c r="O105" s="40"/>
      <c r="P105" s="40"/>
      <c r="Q105" s="40"/>
      <c r="R105" s="40"/>
      <c r="S105" s="41"/>
      <c r="T105" s="42"/>
      <c r="U105" s="135"/>
      <c r="V105" s="40"/>
      <c r="W105" s="42"/>
      <c r="X105" s="41"/>
      <c r="Y105" s="40"/>
      <c r="Z105" s="131"/>
      <c r="AA105" s="131"/>
      <c r="AB105" s="40"/>
      <c r="AC105" s="41"/>
      <c r="AD105" s="40"/>
      <c r="AE105" s="40"/>
      <c r="AF105" s="40"/>
      <c r="AG105" s="40"/>
      <c r="AH105" s="41"/>
      <c r="AI105" s="43"/>
      <c r="AJ105" s="40"/>
      <c r="AK105" s="40"/>
      <c r="AL105" s="44"/>
      <c r="AN105" s="40"/>
      <c r="AO105" s="39"/>
      <c r="AP105" s="40"/>
      <c r="AQ105" s="40"/>
      <c r="AR105" s="39"/>
      <c r="AS105" s="40"/>
      <c r="AU105" s="40"/>
      <c r="AV105" s="39"/>
      <c r="AW105" s="40"/>
      <c r="AX105" s="40"/>
      <c r="AY105" s="39"/>
      <c r="AZ105" s="121"/>
      <c r="BB105" s="149"/>
      <c r="BC105" s="152"/>
      <c r="BD105" s="153"/>
      <c r="BF105" s="86"/>
      <c r="BI105" s="41"/>
      <c r="BJ105" s="41"/>
    </row>
    <row r="106" spans="2:62" x14ac:dyDescent="0.25">
      <c r="B106" s="39"/>
      <c r="C106" s="39"/>
      <c r="D106" s="54"/>
      <c r="E106" s="39"/>
      <c r="F106" s="54"/>
      <c r="G106" s="39"/>
      <c r="H106" s="54"/>
      <c r="I106" s="54"/>
      <c r="J106" s="40"/>
      <c r="K106" s="40"/>
      <c r="L106" s="93"/>
      <c r="M106" s="93"/>
      <c r="O106" s="40"/>
      <c r="P106" s="40"/>
      <c r="Q106" s="40"/>
      <c r="R106" s="40"/>
      <c r="S106" s="41"/>
      <c r="T106" s="42"/>
      <c r="U106" s="135"/>
      <c r="V106" s="40"/>
      <c r="W106" s="42"/>
      <c r="X106" s="41"/>
      <c r="Y106" s="40"/>
      <c r="Z106" s="131"/>
      <c r="AA106" s="131"/>
      <c r="AB106" s="40"/>
      <c r="AC106" s="41"/>
      <c r="AD106" s="40"/>
      <c r="AE106" s="40"/>
      <c r="AF106" s="40"/>
      <c r="AG106" s="40"/>
      <c r="AH106" s="41"/>
      <c r="AI106" s="43"/>
      <c r="AJ106" s="40"/>
      <c r="AK106" s="40"/>
      <c r="AL106" s="44"/>
      <c r="AN106" s="40"/>
      <c r="AO106" s="39"/>
      <c r="AP106" s="40"/>
      <c r="AQ106" s="40"/>
      <c r="AR106" s="39"/>
      <c r="AS106" s="40"/>
      <c r="AU106" s="40"/>
      <c r="AV106" s="39"/>
      <c r="AW106" s="40"/>
      <c r="AX106" s="40"/>
      <c r="AY106" s="39"/>
      <c r="AZ106" s="121"/>
      <c r="BB106" s="149"/>
      <c r="BC106" s="152"/>
      <c r="BD106" s="153"/>
      <c r="BF106" s="86"/>
      <c r="BI106" s="41"/>
      <c r="BJ106" s="41"/>
    </row>
    <row r="107" spans="2:62" x14ac:dyDescent="0.25">
      <c r="B107" s="39"/>
      <c r="C107" s="39"/>
      <c r="D107" s="54"/>
      <c r="E107" s="39"/>
      <c r="F107" s="54"/>
      <c r="G107" s="39"/>
      <c r="H107" s="54"/>
      <c r="I107" s="54"/>
      <c r="J107" s="40"/>
      <c r="K107" s="40"/>
      <c r="L107" s="93"/>
      <c r="M107" s="93"/>
      <c r="O107" s="40"/>
      <c r="P107" s="40"/>
      <c r="Q107" s="40"/>
      <c r="R107" s="40"/>
      <c r="S107" s="41"/>
      <c r="T107" s="42"/>
      <c r="U107" s="135"/>
      <c r="V107" s="40"/>
      <c r="W107" s="42"/>
      <c r="X107" s="41"/>
      <c r="Y107" s="40"/>
      <c r="Z107" s="131"/>
      <c r="AA107" s="131"/>
      <c r="AB107" s="40"/>
      <c r="AC107" s="41"/>
      <c r="AD107" s="40"/>
      <c r="AE107" s="40"/>
      <c r="AF107" s="40"/>
      <c r="AG107" s="40"/>
      <c r="AH107" s="41"/>
      <c r="AI107" s="43"/>
      <c r="AJ107" s="40"/>
      <c r="AK107" s="40"/>
      <c r="AL107" s="44"/>
      <c r="AN107" s="40"/>
      <c r="AO107" s="39"/>
      <c r="AP107" s="40"/>
      <c r="AQ107" s="40"/>
      <c r="AR107" s="39"/>
      <c r="AS107" s="40"/>
      <c r="AU107" s="40"/>
      <c r="AV107" s="39"/>
      <c r="AW107" s="40"/>
      <c r="AX107" s="40"/>
      <c r="AY107" s="39"/>
      <c r="AZ107" s="121"/>
      <c r="BB107" s="149"/>
      <c r="BC107" s="154"/>
      <c r="BD107" s="153"/>
      <c r="BF107" s="86"/>
      <c r="BI107" s="41"/>
      <c r="BJ107" s="41"/>
    </row>
    <row r="108" spans="2:62" x14ac:dyDescent="0.25">
      <c r="B108" s="39"/>
      <c r="C108" s="39"/>
      <c r="D108" s="39"/>
      <c r="E108" s="39"/>
      <c r="F108" s="39"/>
      <c r="G108" s="39"/>
      <c r="H108" s="54"/>
      <c r="I108" s="39"/>
      <c r="J108" s="39"/>
      <c r="K108" s="39"/>
      <c r="L108" s="94"/>
      <c r="M108" s="94"/>
      <c r="O108" s="40"/>
      <c r="P108" s="40"/>
      <c r="Q108" s="40"/>
      <c r="R108" s="40"/>
      <c r="S108" s="41"/>
      <c r="T108" s="40"/>
      <c r="U108" s="40"/>
      <c r="V108" s="40"/>
      <c r="W108" s="42"/>
      <c r="X108" s="41"/>
      <c r="Y108" s="40"/>
      <c r="Z108" s="131"/>
      <c r="AA108" s="131"/>
      <c r="AB108" s="40"/>
      <c r="AC108" s="41"/>
      <c r="AD108" s="40"/>
      <c r="AE108" s="40"/>
      <c r="AF108" s="40"/>
      <c r="AG108" s="40"/>
      <c r="AH108" s="41"/>
      <c r="AI108" s="43"/>
      <c r="AJ108" s="40"/>
      <c r="AK108" s="40"/>
      <c r="AL108" s="44"/>
      <c r="AN108" s="40"/>
      <c r="AO108" s="39"/>
      <c r="AP108" s="40"/>
      <c r="AQ108" s="40"/>
      <c r="AR108" s="39"/>
      <c r="AS108" s="40"/>
      <c r="AU108" s="40"/>
      <c r="AV108" s="39"/>
      <c r="AW108" s="40"/>
      <c r="AX108" s="40"/>
      <c r="AY108" s="39"/>
      <c r="AZ108" s="121"/>
      <c r="BB108" s="86"/>
      <c r="BC108" s="86"/>
      <c r="BD108" s="153"/>
      <c r="BF108" s="86"/>
      <c r="BI108" s="41"/>
      <c r="BJ108" s="41"/>
    </row>
    <row r="109" spans="2:62" x14ac:dyDescent="0.25">
      <c r="B109" s="39"/>
      <c r="C109" s="39"/>
      <c r="D109" s="39"/>
      <c r="E109" s="39"/>
      <c r="F109" s="39"/>
      <c r="G109" s="39"/>
      <c r="H109" s="54"/>
      <c r="I109" s="39"/>
      <c r="J109" s="39"/>
      <c r="K109" s="39"/>
      <c r="L109" s="94"/>
      <c r="M109" s="94"/>
      <c r="O109" s="40"/>
      <c r="P109" s="40"/>
      <c r="Q109" s="40"/>
      <c r="R109" s="40"/>
      <c r="S109" s="41"/>
      <c r="T109" s="40"/>
      <c r="U109" s="40"/>
      <c r="V109" s="40"/>
      <c r="W109" s="42"/>
      <c r="X109" s="41"/>
      <c r="Y109" s="40"/>
      <c r="Z109" s="131"/>
      <c r="AA109" s="131"/>
      <c r="AB109" s="40"/>
      <c r="AC109" s="41"/>
      <c r="AD109" s="40"/>
      <c r="AE109" s="40"/>
      <c r="AF109" s="40"/>
      <c r="AG109" s="40"/>
      <c r="AH109" s="41"/>
      <c r="AI109" s="43"/>
      <c r="AJ109" s="40"/>
      <c r="AK109" s="40"/>
      <c r="AL109" s="44"/>
      <c r="AN109" s="40"/>
      <c r="AO109" s="39"/>
      <c r="AP109" s="40"/>
      <c r="AQ109" s="40"/>
      <c r="AR109" s="39"/>
      <c r="AS109" s="40"/>
      <c r="AU109" s="40"/>
      <c r="AV109" s="39"/>
      <c r="AW109" s="40"/>
      <c r="AX109" s="40"/>
      <c r="AY109" s="39"/>
      <c r="AZ109" s="121"/>
      <c r="BB109" s="86"/>
      <c r="BC109" s="86"/>
      <c r="BD109" s="153"/>
      <c r="BF109" s="86"/>
      <c r="BI109" s="41"/>
      <c r="BJ109" s="41"/>
    </row>
    <row r="110" spans="2:62" x14ac:dyDescent="0.25">
      <c r="B110" s="39"/>
      <c r="C110" s="39"/>
      <c r="D110" s="39"/>
      <c r="E110" s="39"/>
      <c r="F110" s="39"/>
      <c r="G110" s="39"/>
      <c r="H110" s="54"/>
      <c r="I110" s="39"/>
      <c r="J110" s="39"/>
      <c r="K110" s="39"/>
      <c r="L110" s="94"/>
      <c r="M110" s="94"/>
      <c r="O110" s="40"/>
      <c r="P110" s="40"/>
      <c r="Q110" s="40"/>
      <c r="R110" s="40"/>
      <c r="S110" s="41"/>
      <c r="T110" s="40"/>
      <c r="U110" s="40"/>
      <c r="V110" s="40"/>
      <c r="W110" s="42"/>
      <c r="X110" s="41"/>
      <c r="Y110" s="40"/>
      <c r="Z110" s="131"/>
      <c r="AA110" s="131"/>
      <c r="AB110" s="40"/>
      <c r="AC110" s="41"/>
      <c r="AD110" s="40"/>
      <c r="AE110" s="40"/>
      <c r="AF110" s="40"/>
      <c r="AG110" s="40"/>
      <c r="AH110" s="41"/>
      <c r="AI110" s="43"/>
      <c r="AJ110" s="40"/>
      <c r="AK110" s="40"/>
      <c r="AL110" s="44"/>
      <c r="AN110" s="40"/>
      <c r="AO110" s="39"/>
      <c r="AP110" s="40"/>
      <c r="AQ110" s="40"/>
      <c r="AR110" s="39"/>
      <c r="AS110" s="40"/>
      <c r="AU110" s="40"/>
      <c r="AV110" s="39"/>
      <c r="AW110" s="40"/>
      <c r="AX110" s="40"/>
      <c r="AY110" s="39"/>
      <c r="AZ110" s="121"/>
      <c r="BB110" s="86"/>
      <c r="BC110" s="86"/>
      <c r="BD110" s="153"/>
      <c r="BF110" s="86"/>
      <c r="BI110" s="41"/>
      <c r="BJ110" s="41"/>
    </row>
    <row r="111" spans="2:62" x14ac:dyDescent="0.25">
      <c r="B111" s="39"/>
      <c r="C111" s="39"/>
      <c r="D111" s="39"/>
      <c r="E111" s="39"/>
      <c r="F111" s="39"/>
      <c r="G111" s="39"/>
      <c r="H111" s="54"/>
      <c r="I111" s="39"/>
      <c r="J111" s="39"/>
      <c r="K111" s="39"/>
      <c r="L111" s="94"/>
      <c r="M111" s="94"/>
      <c r="O111" s="40"/>
      <c r="P111" s="40"/>
      <c r="Q111" s="40"/>
      <c r="R111" s="40"/>
      <c r="S111" s="41"/>
      <c r="T111" s="40"/>
      <c r="U111" s="40"/>
      <c r="V111" s="40"/>
      <c r="W111" s="42"/>
      <c r="X111" s="41"/>
      <c r="Y111" s="40"/>
      <c r="Z111" s="131"/>
      <c r="AA111" s="131"/>
      <c r="AB111" s="40"/>
      <c r="AC111" s="41"/>
      <c r="AD111" s="40"/>
      <c r="AE111" s="40"/>
      <c r="AF111" s="40"/>
      <c r="AG111" s="40"/>
      <c r="AH111" s="41"/>
      <c r="AI111" s="43"/>
      <c r="AJ111" s="40"/>
      <c r="AK111" s="40"/>
      <c r="AL111" s="44"/>
      <c r="AN111" s="40"/>
      <c r="AO111" s="39"/>
      <c r="AP111" s="40"/>
      <c r="AQ111" s="40"/>
      <c r="AR111" s="39"/>
      <c r="AS111" s="40"/>
      <c r="AU111" s="40"/>
      <c r="AV111" s="39"/>
      <c r="AW111" s="40"/>
      <c r="AX111" s="40"/>
      <c r="AY111" s="39"/>
      <c r="AZ111" s="121"/>
      <c r="BB111" s="86"/>
      <c r="BC111" s="86"/>
      <c r="BD111" s="153"/>
      <c r="BF111" s="86"/>
      <c r="BI111" s="41"/>
      <c r="BJ111" s="41"/>
    </row>
    <row r="112" spans="2:62" x14ac:dyDescent="0.25">
      <c r="B112" s="39"/>
      <c r="C112" s="39"/>
      <c r="D112" s="39"/>
      <c r="E112" s="39"/>
      <c r="F112" s="39"/>
      <c r="G112" s="39"/>
      <c r="H112" s="54"/>
      <c r="I112" s="39"/>
      <c r="J112" s="39"/>
      <c r="K112" s="39"/>
      <c r="L112" s="94"/>
      <c r="M112" s="94"/>
      <c r="O112" s="40"/>
      <c r="P112" s="40"/>
      <c r="Q112" s="40"/>
      <c r="R112" s="40"/>
      <c r="S112" s="41"/>
      <c r="T112" s="40"/>
      <c r="U112" s="40"/>
      <c r="V112" s="40"/>
      <c r="W112" s="42"/>
      <c r="X112" s="41"/>
      <c r="Y112" s="40"/>
      <c r="Z112" s="131"/>
      <c r="AA112" s="131"/>
      <c r="AB112" s="40"/>
      <c r="AC112" s="41"/>
      <c r="AD112" s="40"/>
      <c r="AE112" s="40"/>
      <c r="AF112" s="40"/>
      <c r="AG112" s="40"/>
      <c r="AH112" s="41"/>
      <c r="AI112" s="43"/>
      <c r="AJ112" s="40"/>
      <c r="AK112" s="40"/>
      <c r="AL112" s="44"/>
      <c r="AN112" s="40"/>
      <c r="AO112" s="39"/>
      <c r="AP112" s="40"/>
      <c r="AQ112" s="40"/>
      <c r="AR112" s="39"/>
      <c r="AS112" s="40"/>
      <c r="AU112" s="40"/>
      <c r="AV112" s="39"/>
      <c r="AW112" s="40"/>
      <c r="AX112" s="40"/>
      <c r="AY112" s="39"/>
      <c r="AZ112" s="121"/>
      <c r="BB112" s="86"/>
      <c r="BC112" s="86"/>
      <c r="BD112" s="153"/>
      <c r="BF112" s="86"/>
      <c r="BI112" s="41"/>
      <c r="BJ112" s="41"/>
    </row>
    <row r="113" spans="2:62" x14ac:dyDescent="0.25">
      <c r="B113" s="39"/>
      <c r="C113" s="39"/>
      <c r="D113" s="39"/>
      <c r="E113" s="39"/>
      <c r="F113" s="39"/>
      <c r="G113" s="39"/>
      <c r="H113" s="54"/>
      <c r="I113" s="39"/>
      <c r="J113" s="39"/>
      <c r="K113" s="39"/>
      <c r="L113" s="94"/>
      <c r="M113" s="94"/>
      <c r="O113" s="40"/>
      <c r="P113" s="40"/>
      <c r="Q113" s="40"/>
      <c r="R113" s="40"/>
      <c r="S113" s="41"/>
      <c r="T113" s="40"/>
      <c r="U113" s="40"/>
      <c r="V113" s="40"/>
      <c r="W113" s="42"/>
      <c r="X113" s="41"/>
      <c r="Y113" s="40"/>
      <c r="Z113" s="131"/>
      <c r="AA113" s="131"/>
      <c r="AB113" s="40"/>
      <c r="AC113" s="41"/>
      <c r="AD113" s="40"/>
      <c r="AE113" s="40"/>
      <c r="AF113" s="40"/>
      <c r="AG113" s="40"/>
      <c r="AH113" s="41"/>
      <c r="AI113" s="43"/>
      <c r="AJ113" s="40"/>
      <c r="AK113" s="40"/>
      <c r="AL113" s="44"/>
      <c r="AN113" s="40"/>
      <c r="AO113" s="39"/>
      <c r="AP113" s="40"/>
      <c r="AQ113" s="40"/>
      <c r="AR113" s="39"/>
      <c r="AS113" s="40"/>
      <c r="AU113" s="40"/>
      <c r="AV113" s="39"/>
      <c r="AW113" s="40"/>
      <c r="AX113" s="40"/>
      <c r="AY113" s="39"/>
      <c r="AZ113" s="121"/>
      <c r="BB113" s="86"/>
      <c r="BC113" s="86"/>
      <c r="BD113" s="153"/>
      <c r="BF113" s="86"/>
      <c r="BI113" s="41"/>
      <c r="BJ113" s="41"/>
    </row>
    <row r="114" spans="2:62" x14ac:dyDescent="0.25">
      <c r="B114" s="39"/>
      <c r="C114" s="39"/>
      <c r="D114" s="39"/>
      <c r="E114" s="39"/>
      <c r="F114" s="39"/>
      <c r="G114" s="39"/>
      <c r="H114" s="54"/>
      <c r="I114" s="39"/>
      <c r="J114" s="39"/>
      <c r="K114" s="39"/>
      <c r="L114" s="94"/>
      <c r="M114" s="94"/>
      <c r="O114" s="40"/>
      <c r="P114" s="40"/>
      <c r="Q114" s="40"/>
      <c r="R114" s="40"/>
      <c r="S114" s="41"/>
      <c r="T114" s="40"/>
      <c r="U114" s="40"/>
      <c r="V114" s="40"/>
      <c r="W114" s="42"/>
      <c r="X114" s="41"/>
      <c r="Y114" s="40"/>
      <c r="Z114" s="131"/>
      <c r="AA114" s="131"/>
      <c r="AB114" s="40"/>
      <c r="AC114" s="41"/>
      <c r="AD114" s="40"/>
      <c r="AE114" s="40"/>
      <c r="AF114" s="40"/>
      <c r="AG114" s="40"/>
      <c r="AH114" s="41"/>
      <c r="AI114" s="43"/>
      <c r="AJ114" s="40"/>
      <c r="AK114" s="40"/>
      <c r="AL114" s="44"/>
      <c r="AN114" s="40"/>
      <c r="AO114" s="39"/>
      <c r="AP114" s="40"/>
      <c r="AQ114" s="40"/>
      <c r="AR114" s="39"/>
      <c r="AS114" s="40"/>
      <c r="AU114" s="40"/>
      <c r="AV114" s="39"/>
      <c r="AW114" s="40"/>
      <c r="AX114" s="40"/>
      <c r="AY114" s="39"/>
      <c r="AZ114" s="121"/>
      <c r="BB114" s="86"/>
      <c r="BC114" s="86"/>
      <c r="BD114" s="153"/>
      <c r="BF114" s="86"/>
      <c r="BI114" s="41"/>
      <c r="BJ114" s="41"/>
    </row>
    <row r="115" spans="2:62" x14ac:dyDescent="0.25">
      <c r="B115" s="39"/>
      <c r="C115" s="39"/>
      <c r="D115" s="39"/>
      <c r="E115" s="39"/>
      <c r="F115" s="39"/>
      <c r="G115" s="39"/>
      <c r="H115" s="54"/>
      <c r="I115" s="39"/>
      <c r="J115" s="39"/>
      <c r="K115" s="39"/>
      <c r="L115" s="94"/>
      <c r="M115" s="94"/>
      <c r="O115" s="40"/>
      <c r="P115" s="40"/>
      <c r="Q115" s="40"/>
      <c r="R115" s="40"/>
      <c r="S115" s="41"/>
      <c r="T115" s="40"/>
      <c r="U115" s="40"/>
      <c r="V115" s="40"/>
      <c r="W115" s="42"/>
      <c r="X115" s="41"/>
      <c r="Y115" s="40"/>
      <c r="Z115" s="131"/>
      <c r="AA115" s="131"/>
      <c r="AB115" s="40"/>
      <c r="AC115" s="41"/>
      <c r="AD115" s="40"/>
      <c r="AE115" s="40"/>
      <c r="AF115" s="40"/>
      <c r="AG115" s="40"/>
      <c r="AH115" s="41"/>
      <c r="AI115" s="43"/>
      <c r="AJ115" s="40"/>
      <c r="AK115" s="40"/>
      <c r="AL115" s="44"/>
      <c r="AN115" s="40"/>
      <c r="AO115" s="39"/>
      <c r="AP115" s="40"/>
      <c r="AQ115" s="40"/>
      <c r="AR115" s="39"/>
      <c r="AS115" s="40"/>
      <c r="AU115" s="40"/>
      <c r="AV115" s="39"/>
      <c r="AW115" s="40"/>
      <c r="AX115" s="40"/>
      <c r="AY115" s="39"/>
      <c r="AZ115" s="121"/>
      <c r="BB115" s="86"/>
      <c r="BC115" s="86"/>
      <c r="BD115" s="153"/>
      <c r="BF115" s="86"/>
      <c r="BI115" s="41"/>
      <c r="BJ115" s="41"/>
    </row>
    <row r="116" spans="2:62" x14ac:dyDescent="0.25">
      <c r="B116" s="39"/>
      <c r="C116" s="39"/>
      <c r="D116" s="39"/>
      <c r="E116" s="39"/>
      <c r="F116" s="39"/>
      <c r="G116" s="39"/>
      <c r="H116" s="54"/>
      <c r="I116" s="39"/>
      <c r="J116" s="39"/>
      <c r="K116" s="39"/>
      <c r="L116" s="94"/>
      <c r="M116" s="94"/>
      <c r="O116" s="40"/>
      <c r="P116" s="40"/>
      <c r="Q116" s="40"/>
      <c r="R116" s="40"/>
      <c r="S116" s="41"/>
      <c r="T116" s="40"/>
      <c r="U116" s="40"/>
      <c r="V116" s="40"/>
      <c r="W116" s="42"/>
      <c r="X116" s="41"/>
      <c r="Y116" s="40"/>
      <c r="Z116" s="131"/>
      <c r="AA116" s="131"/>
      <c r="AB116" s="40"/>
      <c r="AC116" s="41"/>
      <c r="AD116" s="40"/>
      <c r="AE116" s="40"/>
      <c r="AF116" s="40"/>
      <c r="AG116" s="40"/>
      <c r="AH116" s="41"/>
      <c r="AI116" s="43"/>
      <c r="AJ116" s="40"/>
      <c r="AK116" s="40"/>
      <c r="AL116" s="44"/>
      <c r="AN116" s="40"/>
      <c r="AO116" s="39"/>
      <c r="AP116" s="40"/>
      <c r="AQ116" s="40"/>
      <c r="AR116" s="39"/>
      <c r="AS116" s="40"/>
      <c r="AU116" s="40"/>
      <c r="AV116" s="39"/>
      <c r="AW116" s="40"/>
      <c r="AX116" s="40"/>
      <c r="AY116" s="39"/>
      <c r="AZ116" s="121"/>
      <c r="BB116" s="86"/>
      <c r="BC116" s="86"/>
      <c r="BD116" s="153"/>
      <c r="BF116" s="86"/>
      <c r="BI116" s="41"/>
      <c r="BJ116" s="41"/>
    </row>
    <row r="117" spans="2:62" x14ac:dyDescent="0.25">
      <c r="B117" s="39"/>
      <c r="C117" s="39"/>
      <c r="D117" s="39"/>
      <c r="E117" s="39"/>
      <c r="F117" s="39"/>
      <c r="G117" s="39"/>
      <c r="H117" s="54"/>
      <c r="I117" s="39"/>
      <c r="J117" s="39"/>
      <c r="K117" s="39"/>
      <c r="L117" s="94"/>
      <c r="M117" s="94"/>
      <c r="O117" s="40"/>
      <c r="P117" s="40"/>
      <c r="Q117" s="40"/>
      <c r="R117" s="40"/>
      <c r="S117" s="41"/>
      <c r="T117" s="40"/>
      <c r="U117" s="40"/>
      <c r="V117" s="40"/>
      <c r="W117" s="42"/>
      <c r="X117" s="41"/>
      <c r="Y117" s="40"/>
      <c r="Z117" s="131"/>
      <c r="AA117" s="131"/>
      <c r="AB117" s="40"/>
      <c r="AC117" s="41"/>
      <c r="AD117" s="40"/>
      <c r="AE117" s="40"/>
      <c r="AF117" s="40"/>
      <c r="AG117" s="40"/>
      <c r="AH117" s="41"/>
      <c r="AI117" s="43"/>
      <c r="AJ117" s="40"/>
      <c r="AK117" s="40"/>
      <c r="AL117" s="44"/>
      <c r="AN117" s="40"/>
      <c r="AO117" s="39"/>
      <c r="AP117" s="40"/>
      <c r="AQ117" s="40"/>
      <c r="AR117" s="39"/>
      <c r="AS117" s="40"/>
      <c r="AU117" s="40"/>
      <c r="AV117" s="39"/>
      <c r="AW117" s="40"/>
      <c r="AX117" s="40"/>
      <c r="AY117" s="39"/>
      <c r="AZ117" s="121"/>
      <c r="BB117" s="86"/>
      <c r="BC117" s="86"/>
      <c r="BD117" s="153"/>
      <c r="BF117" s="86"/>
      <c r="BI117" s="41"/>
      <c r="BJ117" s="41"/>
    </row>
    <row r="118" spans="2:62" x14ac:dyDescent="0.25">
      <c r="B118" s="39"/>
      <c r="C118" s="39"/>
      <c r="D118" s="39"/>
      <c r="E118" s="39"/>
      <c r="F118" s="39"/>
      <c r="G118" s="39"/>
      <c r="H118" s="54"/>
      <c r="I118" s="39"/>
      <c r="J118" s="39"/>
      <c r="K118" s="39"/>
      <c r="L118" s="94"/>
      <c r="M118" s="94"/>
      <c r="O118" s="40"/>
      <c r="P118" s="40"/>
      <c r="Q118" s="40"/>
      <c r="R118" s="40"/>
      <c r="S118" s="41"/>
      <c r="T118" s="40"/>
      <c r="U118" s="40"/>
      <c r="V118" s="40"/>
      <c r="W118" s="42"/>
      <c r="X118" s="41"/>
      <c r="Y118" s="40"/>
      <c r="Z118" s="131"/>
      <c r="AA118" s="131"/>
      <c r="AB118" s="40"/>
      <c r="AC118" s="41"/>
      <c r="AD118" s="40"/>
      <c r="AE118" s="40"/>
      <c r="AF118" s="40"/>
      <c r="AG118" s="40"/>
      <c r="AH118" s="41"/>
      <c r="AI118" s="43"/>
      <c r="AJ118" s="40"/>
      <c r="AK118" s="40"/>
      <c r="AL118" s="44"/>
      <c r="AN118" s="40"/>
      <c r="AO118" s="39"/>
      <c r="AP118" s="40"/>
      <c r="AQ118" s="40"/>
      <c r="AR118" s="39"/>
      <c r="AS118" s="40"/>
      <c r="AU118" s="40"/>
      <c r="AV118" s="39"/>
      <c r="AW118" s="40"/>
      <c r="AX118" s="40"/>
      <c r="AY118" s="39"/>
      <c r="AZ118" s="121"/>
      <c r="BB118" s="86"/>
      <c r="BC118" s="86"/>
      <c r="BD118" s="153"/>
      <c r="BF118" s="86"/>
      <c r="BI118" s="41"/>
      <c r="BJ118" s="41"/>
    </row>
    <row r="119" spans="2:62" x14ac:dyDescent="0.25">
      <c r="B119" s="39"/>
      <c r="C119" s="39"/>
      <c r="D119" s="39"/>
      <c r="E119" s="39"/>
      <c r="F119" s="39"/>
      <c r="G119" s="39"/>
      <c r="H119" s="54"/>
      <c r="I119" s="39"/>
      <c r="J119" s="39"/>
      <c r="K119" s="39"/>
      <c r="L119" s="94"/>
      <c r="M119" s="94"/>
      <c r="O119" s="40"/>
      <c r="P119" s="40"/>
      <c r="Q119" s="40"/>
      <c r="R119" s="40"/>
      <c r="S119" s="41"/>
      <c r="T119" s="40"/>
      <c r="U119" s="40"/>
      <c r="V119" s="40"/>
      <c r="W119" s="42"/>
      <c r="X119" s="41"/>
      <c r="Y119" s="40"/>
      <c r="Z119" s="131"/>
      <c r="AA119" s="131"/>
      <c r="AB119" s="40"/>
      <c r="AC119" s="41"/>
      <c r="AD119" s="40"/>
      <c r="AE119" s="40"/>
      <c r="AF119" s="40"/>
      <c r="AG119" s="40"/>
      <c r="AH119" s="41"/>
      <c r="AI119" s="43"/>
      <c r="AJ119" s="40"/>
      <c r="AK119" s="40"/>
      <c r="AL119" s="44"/>
      <c r="AN119" s="40"/>
      <c r="AO119" s="39"/>
      <c r="AP119" s="40"/>
      <c r="AQ119" s="40"/>
      <c r="AR119" s="39"/>
      <c r="AS119" s="40"/>
      <c r="AU119" s="40"/>
      <c r="AV119" s="39"/>
      <c r="AW119" s="40"/>
      <c r="AX119" s="40"/>
      <c r="AY119" s="39"/>
      <c r="AZ119" s="121"/>
      <c r="BB119" s="86"/>
      <c r="BC119" s="86"/>
      <c r="BD119" s="153"/>
      <c r="BF119" s="86"/>
      <c r="BI119" s="41"/>
      <c r="BJ119" s="41"/>
    </row>
    <row r="120" spans="2:62" x14ac:dyDescent="0.25">
      <c r="B120" s="39"/>
      <c r="C120" s="39"/>
      <c r="D120" s="39"/>
      <c r="E120" s="39"/>
      <c r="F120" s="39"/>
      <c r="G120" s="39"/>
      <c r="H120" s="54"/>
      <c r="I120" s="39"/>
      <c r="J120" s="39"/>
      <c r="K120" s="39"/>
      <c r="L120" s="94"/>
      <c r="M120" s="94"/>
      <c r="O120" s="40"/>
      <c r="P120" s="40"/>
      <c r="Q120" s="40"/>
      <c r="R120" s="40"/>
      <c r="S120" s="41"/>
      <c r="T120" s="40"/>
      <c r="U120" s="40"/>
      <c r="V120" s="40"/>
      <c r="W120" s="42"/>
      <c r="X120" s="41"/>
      <c r="Y120" s="40"/>
      <c r="Z120" s="131"/>
      <c r="AA120" s="131"/>
      <c r="AB120" s="40"/>
      <c r="AC120" s="41"/>
      <c r="AD120" s="40"/>
      <c r="AE120" s="40"/>
      <c r="AF120" s="40"/>
      <c r="AG120" s="40"/>
      <c r="AH120" s="41"/>
      <c r="AI120" s="43"/>
      <c r="AJ120" s="40"/>
      <c r="AK120" s="40"/>
      <c r="AL120" s="44"/>
      <c r="AN120" s="40"/>
      <c r="AO120" s="39"/>
      <c r="AP120" s="40"/>
      <c r="AQ120" s="40"/>
      <c r="AR120" s="39"/>
      <c r="AS120" s="40"/>
      <c r="AU120" s="40"/>
      <c r="AV120" s="39"/>
      <c r="AW120" s="40"/>
      <c r="AX120" s="40"/>
      <c r="AY120" s="39"/>
      <c r="AZ120" s="121"/>
      <c r="BB120" s="86"/>
      <c r="BC120" s="86"/>
      <c r="BD120" s="153"/>
      <c r="BF120" s="86"/>
      <c r="BI120" s="41"/>
      <c r="BJ120" s="41"/>
    </row>
    <row r="121" spans="2:62" x14ac:dyDescent="0.25">
      <c r="B121" s="39"/>
      <c r="C121" s="39"/>
      <c r="D121" s="39"/>
      <c r="E121" s="39"/>
      <c r="F121" s="39"/>
      <c r="G121" s="39"/>
      <c r="H121" s="54"/>
      <c r="I121" s="39"/>
      <c r="J121" s="39"/>
      <c r="K121" s="39"/>
      <c r="L121" s="94"/>
      <c r="M121" s="94"/>
      <c r="O121" s="40"/>
      <c r="P121" s="40"/>
      <c r="Q121" s="40"/>
      <c r="R121" s="40"/>
      <c r="S121" s="41"/>
      <c r="T121" s="40"/>
      <c r="U121" s="40"/>
      <c r="V121" s="40"/>
      <c r="W121" s="42"/>
      <c r="X121" s="41"/>
      <c r="Y121" s="40"/>
      <c r="Z121" s="131"/>
      <c r="AA121" s="131"/>
      <c r="AB121" s="40"/>
      <c r="AC121" s="41"/>
      <c r="AD121" s="40"/>
      <c r="AE121" s="40"/>
      <c r="AF121" s="40"/>
      <c r="AG121" s="40"/>
      <c r="AH121" s="41"/>
      <c r="AI121" s="43"/>
      <c r="AJ121" s="40"/>
      <c r="AK121" s="40"/>
      <c r="AL121" s="44"/>
      <c r="AN121" s="40"/>
      <c r="AO121" s="39"/>
      <c r="AP121" s="40"/>
      <c r="AQ121" s="40"/>
      <c r="AR121" s="39"/>
      <c r="AS121" s="40"/>
      <c r="AU121" s="40"/>
      <c r="AV121" s="39"/>
      <c r="AW121" s="40"/>
      <c r="AX121" s="40"/>
      <c r="AY121" s="39"/>
      <c r="AZ121" s="121"/>
      <c r="BB121" s="86"/>
      <c r="BC121" s="86"/>
      <c r="BD121" s="153"/>
      <c r="BF121" s="86"/>
      <c r="BI121" s="41"/>
      <c r="BJ121" s="41"/>
    </row>
    <row r="122" spans="2:62" x14ac:dyDescent="0.25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94"/>
      <c r="M122" s="94"/>
      <c r="O122" s="40"/>
      <c r="P122" s="40"/>
      <c r="Q122" s="40"/>
      <c r="R122" s="40">
        <f t="shared" ref="R122:R135" si="27">SUM(O122:Q122)</f>
        <v>0</v>
      </c>
      <c r="S122" s="41"/>
      <c r="T122" s="40"/>
      <c r="U122" s="40"/>
      <c r="V122" s="40"/>
      <c r="W122" s="42">
        <f t="shared" ref="W122:W134" si="28">IFERROR($AL122/$R122,0)</f>
        <v>0</v>
      </c>
      <c r="X122" s="41"/>
      <c r="Y122" s="40"/>
      <c r="Z122" s="131"/>
      <c r="AA122" s="131"/>
      <c r="AB122" s="40"/>
      <c r="AC122" s="41"/>
      <c r="AD122" s="40">
        <f t="shared" ref="AD122:AD150" si="29">IFERROR(AI122/O122,0)</f>
        <v>0</v>
      </c>
      <c r="AE122" s="40">
        <f t="shared" ref="AE122:AE150" si="30">U122*Z122</f>
        <v>0</v>
      </c>
      <c r="AF122" s="40">
        <f t="shared" ref="AF122:AF150" si="31">V122*AA122</f>
        <v>0</v>
      </c>
      <c r="AG122" s="40"/>
      <c r="AH122" s="41"/>
      <c r="AI122" s="43">
        <f>-SUMIFS(Data_FAGLL03[Amount in local currency],Data_FAGLL03[SO],$H122,Data_FAGLL03[Material],$F122)</f>
        <v>0</v>
      </c>
      <c r="AJ122" s="40">
        <f t="shared" ref="AJ122:AJ142" si="32">P122*AE122</f>
        <v>0</v>
      </c>
      <c r="AK122" s="40">
        <f t="shared" ref="AK122:AK142" si="33">Q122*AF122</f>
        <v>0</v>
      </c>
      <c r="AL122" s="44">
        <f t="shared" ref="AL122:AL142" si="34">SUM(AI122:AK122)</f>
        <v>0</v>
      </c>
      <c r="AN122" s="40">
        <f t="shared" ref="AN122:AN143" si="35">BB122*EXR_FC05/10^3</f>
        <v>0</v>
      </c>
      <c r="AO122" s="39"/>
      <c r="AP122" s="40">
        <f t="shared" ref="AP122:AP136" si="36">$AN122*O122</f>
        <v>0</v>
      </c>
      <c r="AQ122" s="40">
        <f t="shared" ref="AQ122:AQ135" si="37">$AN122*P122</f>
        <v>0</v>
      </c>
      <c r="AR122" s="39"/>
      <c r="AS122" s="40">
        <f t="shared" ref="AS122:AS136" si="38">SUM(AP122:AR122)</f>
        <v>0</v>
      </c>
      <c r="AU122" s="40">
        <f t="shared" ref="AU122:AU136" si="39">BC122</f>
        <v>0</v>
      </c>
      <c r="AV122" s="39"/>
      <c r="AW122" s="40">
        <f t="shared" ref="AW122:AW136" si="40">$AU122*O122+$BF122*AI122</f>
        <v>0</v>
      </c>
      <c r="AX122" s="40">
        <f t="shared" ref="AX122:AX135" si="41">$AU122*P122+$BF122*AJ122</f>
        <v>0</v>
      </c>
      <c r="AY122" s="39"/>
      <c r="AZ122" s="121">
        <f t="shared" ref="AZ122:AZ136" si="42">SUM(AW122:AY122)</f>
        <v>0</v>
      </c>
      <c r="BB122" s="86"/>
      <c r="BC122" s="86"/>
      <c r="BF122" s="86"/>
      <c r="BI122" s="41">
        <f>SUMIFS('Nam-Kế hoạch'!$E$2:$E$100,'Nam-Kế hoạch'!$A$2:$A$100,$H122,'Nam-Kế hoạch'!$C$2:$C$100,$F122)</f>
        <v>0</v>
      </c>
      <c r="BJ122" s="41">
        <f t="shared" ref="BJ122:BJ136" si="43">P122-BI122</f>
        <v>0</v>
      </c>
    </row>
    <row r="123" spans="2:62" x14ac:dyDescent="0.25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94"/>
      <c r="M123" s="94"/>
      <c r="O123" s="40"/>
      <c r="P123" s="40"/>
      <c r="Q123" s="40"/>
      <c r="R123" s="40">
        <f t="shared" si="27"/>
        <v>0</v>
      </c>
      <c r="S123" s="41"/>
      <c r="T123" s="40"/>
      <c r="U123" s="40"/>
      <c r="V123" s="40"/>
      <c r="W123" s="42">
        <f t="shared" si="28"/>
        <v>0</v>
      </c>
      <c r="X123" s="41"/>
      <c r="Y123" s="40"/>
      <c r="Z123" s="131"/>
      <c r="AA123" s="131"/>
      <c r="AB123" s="40"/>
      <c r="AC123" s="41"/>
      <c r="AD123" s="40">
        <f t="shared" si="29"/>
        <v>0</v>
      </c>
      <c r="AE123" s="40">
        <f t="shared" si="30"/>
        <v>0</v>
      </c>
      <c r="AF123" s="40">
        <f t="shared" si="31"/>
        <v>0</v>
      </c>
      <c r="AG123" s="40"/>
      <c r="AH123" s="41"/>
      <c r="AI123" s="43">
        <f>-SUMIFS(Data_FAGLL03[Amount in local currency],Data_FAGLL03[SO],$H123,Data_FAGLL03[Material],$F123)</f>
        <v>0</v>
      </c>
      <c r="AJ123" s="40">
        <f t="shared" si="32"/>
        <v>0</v>
      </c>
      <c r="AK123" s="40">
        <f t="shared" si="33"/>
        <v>0</v>
      </c>
      <c r="AL123" s="44">
        <f t="shared" si="34"/>
        <v>0</v>
      </c>
      <c r="AN123" s="40">
        <f t="shared" si="35"/>
        <v>0</v>
      </c>
      <c r="AO123" s="39"/>
      <c r="AP123" s="40">
        <f t="shared" si="36"/>
        <v>0</v>
      </c>
      <c r="AQ123" s="40">
        <f t="shared" si="37"/>
        <v>0</v>
      </c>
      <c r="AR123" s="39"/>
      <c r="AS123" s="40">
        <f t="shared" si="38"/>
        <v>0</v>
      </c>
      <c r="AU123" s="40">
        <f t="shared" si="39"/>
        <v>0</v>
      </c>
      <c r="AV123" s="39"/>
      <c r="AW123" s="40">
        <f t="shared" si="40"/>
        <v>0</v>
      </c>
      <c r="AX123" s="40">
        <f t="shared" si="41"/>
        <v>0</v>
      </c>
      <c r="AY123" s="39"/>
      <c r="AZ123" s="121">
        <f t="shared" si="42"/>
        <v>0</v>
      </c>
      <c r="BB123" s="86"/>
      <c r="BC123" s="86"/>
      <c r="BF123" s="86"/>
      <c r="BI123" s="41">
        <f>SUMIFS('Nam-Kế hoạch'!$E$2:$E$100,'Nam-Kế hoạch'!$A$2:$A$100,$H123,'Nam-Kế hoạch'!$C$2:$C$100,$F123)</f>
        <v>0</v>
      </c>
      <c r="BJ123" s="41">
        <f t="shared" si="43"/>
        <v>0</v>
      </c>
    </row>
    <row r="124" spans="2:62" x14ac:dyDescent="0.25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94"/>
      <c r="M124" s="94"/>
      <c r="O124" s="40"/>
      <c r="P124" s="40"/>
      <c r="Q124" s="40"/>
      <c r="R124" s="40">
        <f t="shared" si="27"/>
        <v>0</v>
      </c>
      <c r="S124" s="41"/>
      <c r="T124" s="40"/>
      <c r="U124" s="40"/>
      <c r="V124" s="40"/>
      <c r="W124" s="42">
        <f t="shared" si="28"/>
        <v>0</v>
      </c>
      <c r="X124" s="41"/>
      <c r="Y124" s="40"/>
      <c r="Z124" s="131"/>
      <c r="AA124" s="131"/>
      <c r="AB124" s="40"/>
      <c r="AC124" s="41"/>
      <c r="AD124" s="40">
        <f t="shared" si="29"/>
        <v>0</v>
      </c>
      <c r="AE124" s="40">
        <f t="shared" si="30"/>
        <v>0</v>
      </c>
      <c r="AF124" s="40">
        <f t="shared" si="31"/>
        <v>0</v>
      </c>
      <c r="AG124" s="40"/>
      <c r="AH124" s="41"/>
      <c r="AI124" s="43">
        <f>-SUMIFS(Data_FAGLL03[Amount in local currency],Data_FAGLL03[SO],$H124,Data_FAGLL03[Material],$F124)</f>
        <v>0</v>
      </c>
      <c r="AJ124" s="40">
        <f t="shared" si="32"/>
        <v>0</v>
      </c>
      <c r="AK124" s="40">
        <f t="shared" si="33"/>
        <v>0</v>
      </c>
      <c r="AL124" s="44">
        <f t="shared" si="34"/>
        <v>0</v>
      </c>
      <c r="AN124" s="40">
        <f t="shared" si="35"/>
        <v>0</v>
      </c>
      <c r="AO124" s="39"/>
      <c r="AP124" s="40">
        <f t="shared" si="36"/>
        <v>0</v>
      </c>
      <c r="AQ124" s="40">
        <f t="shared" si="37"/>
        <v>0</v>
      </c>
      <c r="AR124" s="39"/>
      <c r="AS124" s="40">
        <f t="shared" si="38"/>
        <v>0</v>
      </c>
      <c r="AU124" s="40">
        <f t="shared" si="39"/>
        <v>0</v>
      </c>
      <c r="AV124" s="39"/>
      <c r="AW124" s="40">
        <f t="shared" si="40"/>
        <v>0</v>
      </c>
      <c r="AX124" s="40">
        <f t="shared" si="41"/>
        <v>0</v>
      </c>
      <c r="AY124" s="39"/>
      <c r="AZ124" s="121">
        <f t="shared" si="42"/>
        <v>0</v>
      </c>
      <c r="BB124" s="86"/>
      <c r="BC124" s="86"/>
      <c r="BF124" s="86"/>
      <c r="BI124" s="41">
        <f>SUMIFS('Nam-Kế hoạch'!$E$2:$E$100,'Nam-Kế hoạch'!$A$2:$A$100,$H124,'Nam-Kế hoạch'!$C$2:$C$100,$F124)</f>
        <v>0</v>
      </c>
      <c r="BJ124" s="41">
        <f t="shared" si="43"/>
        <v>0</v>
      </c>
    </row>
    <row r="125" spans="2:62" x14ac:dyDescent="0.25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94"/>
      <c r="M125" s="94"/>
      <c r="O125" s="40"/>
      <c r="P125" s="40"/>
      <c r="Q125" s="40"/>
      <c r="R125" s="40">
        <f t="shared" si="27"/>
        <v>0</v>
      </c>
      <c r="S125" s="41"/>
      <c r="T125" s="40"/>
      <c r="U125" s="40"/>
      <c r="V125" s="40"/>
      <c r="W125" s="42">
        <f t="shared" si="28"/>
        <v>0</v>
      </c>
      <c r="X125" s="41"/>
      <c r="Y125" s="40"/>
      <c r="Z125" s="131"/>
      <c r="AA125" s="131"/>
      <c r="AB125" s="40"/>
      <c r="AC125" s="41"/>
      <c r="AD125" s="40">
        <f t="shared" si="29"/>
        <v>0</v>
      </c>
      <c r="AE125" s="40">
        <f t="shared" si="30"/>
        <v>0</v>
      </c>
      <c r="AF125" s="40">
        <f t="shared" si="31"/>
        <v>0</v>
      </c>
      <c r="AG125" s="40"/>
      <c r="AH125" s="41"/>
      <c r="AI125" s="43">
        <f>-SUMIFS(Data_FAGLL03[Amount in local currency],Data_FAGLL03[SO],$H125,Data_FAGLL03[Material],$F125)</f>
        <v>0</v>
      </c>
      <c r="AJ125" s="40">
        <f t="shared" si="32"/>
        <v>0</v>
      </c>
      <c r="AK125" s="40">
        <f t="shared" si="33"/>
        <v>0</v>
      </c>
      <c r="AL125" s="44">
        <f t="shared" si="34"/>
        <v>0</v>
      </c>
      <c r="AN125" s="40">
        <f t="shared" si="35"/>
        <v>0</v>
      </c>
      <c r="AO125" s="39"/>
      <c r="AP125" s="40">
        <f t="shared" si="36"/>
        <v>0</v>
      </c>
      <c r="AQ125" s="40">
        <f t="shared" si="37"/>
        <v>0</v>
      </c>
      <c r="AR125" s="39"/>
      <c r="AS125" s="40">
        <f t="shared" si="38"/>
        <v>0</v>
      </c>
      <c r="AU125" s="40">
        <f t="shared" si="39"/>
        <v>0</v>
      </c>
      <c r="AV125" s="39"/>
      <c r="AW125" s="40">
        <f t="shared" si="40"/>
        <v>0</v>
      </c>
      <c r="AX125" s="40">
        <f t="shared" si="41"/>
        <v>0</v>
      </c>
      <c r="AY125" s="39"/>
      <c r="AZ125" s="121">
        <f t="shared" si="42"/>
        <v>0</v>
      </c>
      <c r="BB125" s="86"/>
      <c r="BC125" s="86"/>
      <c r="BF125" s="86"/>
      <c r="BI125" s="41">
        <f>SUMIFS('Nam-Kế hoạch'!$E$2:$E$100,'Nam-Kế hoạch'!$A$2:$A$100,$H125,'Nam-Kế hoạch'!$C$2:$C$100,$F125)</f>
        <v>0</v>
      </c>
      <c r="BJ125" s="41">
        <f t="shared" si="43"/>
        <v>0</v>
      </c>
    </row>
    <row r="126" spans="2:62" x14ac:dyDescent="0.25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94"/>
      <c r="M126" s="94"/>
      <c r="O126" s="40"/>
      <c r="P126" s="40"/>
      <c r="Q126" s="40"/>
      <c r="R126" s="40">
        <f t="shared" si="27"/>
        <v>0</v>
      </c>
      <c r="S126" s="41"/>
      <c r="T126" s="40"/>
      <c r="U126" s="40"/>
      <c r="V126" s="40"/>
      <c r="W126" s="42">
        <f t="shared" si="28"/>
        <v>0</v>
      </c>
      <c r="X126" s="41"/>
      <c r="Y126" s="40"/>
      <c r="Z126" s="131"/>
      <c r="AA126" s="131"/>
      <c r="AB126" s="40"/>
      <c r="AC126" s="41"/>
      <c r="AD126" s="40">
        <f t="shared" si="29"/>
        <v>0</v>
      </c>
      <c r="AE126" s="40">
        <f t="shared" si="30"/>
        <v>0</v>
      </c>
      <c r="AF126" s="40">
        <f t="shared" si="31"/>
        <v>0</v>
      </c>
      <c r="AG126" s="40"/>
      <c r="AH126" s="41"/>
      <c r="AI126" s="43">
        <f>-SUMIFS(Data_FAGLL03[Amount in local currency],Data_FAGLL03[SO],$H126,Data_FAGLL03[Material],$F126)</f>
        <v>0</v>
      </c>
      <c r="AJ126" s="40">
        <f t="shared" si="32"/>
        <v>0</v>
      </c>
      <c r="AK126" s="40">
        <f t="shared" si="33"/>
        <v>0</v>
      </c>
      <c r="AL126" s="44">
        <f t="shared" si="34"/>
        <v>0</v>
      </c>
      <c r="AN126" s="40">
        <f t="shared" si="35"/>
        <v>0</v>
      </c>
      <c r="AO126" s="39"/>
      <c r="AP126" s="40">
        <f t="shared" si="36"/>
        <v>0</v>
      </c>
      <c r="AQ126" s="40">
        <f t="shared" si="37"/>
        <v>0</v>
      </c>
      <c r="AR126" s="39"/>
      <c r="AS126" s="40">
        <f t="shared" si="38"/>
        <v>0</v>
      </c>
      <c r="AU126" s="40">
        <f t="shared" si="39"/>
        <v>0</v>
      </c>
      <c r="AV126" s="39"/>
      <c r="AW126" s="40">
        <f t="shared" si="40"/>
        <v>0</v>
      </c>
      <c r="AX126" s="40">
        <f t="shared" si="41"/>
        <v>0</v>
      </c>
      <c r="AY126" s="39"/>
      <c r="AZ126" s="121">
        <f t="shared" si="42"/>
        <v>0</v>
      </c>
      <c r="BB126" s="86"/>
      <c r="BC126" s="86"/>
      <c r="BF126" s="86"/>
      <c r="BI126" s="41">
        <f>SUMIFS('Nam-Kế hoạch'!$E$2:$E$100,'Nam-Kế hoạch'!$A$2:$A$100,$H126,'Nam-Kế hoạch'!$C$2:$C$100,$F126)</f>
        <v>0</v>
      </c>
      <c r="BJ126" s="41">
        <f t="shared" si="43"/>
        <v>0</v>
      </c>
    </row>
    <row r="127" spans="2:62" x14ac:dyDescent="0.25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94"/>
      <c r="M127" s="94"/>
      <c r="O127" s="40"/>
      <c r="P127" s="40"/>
      <c r="Q127" s="40"/>
      <c r="R127" s="40">
        <f t="shared" si="27"/>
        <v>0</v>
      </c>
      <c r="S127" s="41"/>
      <c r="T127" s="40"/>
      <c r="U127" s="40"/>
      <c r="V127" s="40"/>
      <c r="W127" s="42">
        <f t="shared" si="28"/>
        <v>0</v>
      </c>
      <c r="X127" s="41"/>
      <c r="Y127" s="40"/>
      <c r="Z127" s="131"/>
      <c r="AA127" s="131"/>
      <c r="AB127" s="40"/>
      <c r="AC127" s="41"/>
      <c r="AD127" s="40">
        <f t="shared" si="29"/>
        <v>0</v>
      </c>
      <c r="AE127" s="40">
        <f t="shared" si="30"/>
        <v>0</v>
      </c>
      <c r="AF127" s="40">
        <f t="shared" si="31"/>
        <v>0</v>
      </c>
      <c r="AG127" s="40"/>
      <c r="AH127" s="41"/>
      <c r="AI127" s="43">
        <f>-SUMIFS(Data_FAGLL03[Amount in local currency],Data_FAGLL03[SO],$H127,Data_FAGLL03[Material],$F127)</f>
        <v>0</v>
      </c>
      <c r="AJ127" s="40">
        <f t="shared" si="32"/>
        <v>0</v>
      </c>
      <c r="AK127" s="40">
        <f t="shared" si="33"/>
        <v>0</v>
      </c>
      <c r="AL127" s="44">
        <f t="shared" si="34"/>
        <v>0</v>
      </c>
      <c r="AN127" s="40">
        <f t="shared" si="35"/>
        <v>0</v>
      </c>
      <c r="AO127" s="39"/>
      <c r="AP127" s="40">
        <f t="shared" si="36"/>
        <v>0</v>
      </c>
      <c r="AQ127" s="40">
        <f t="shared" si="37"/>
        <v>0</v>
      </c>
      <c r="AR127" s="39"/>
      <c r="AS127" s="40">
        <f t="shared" si="38"/>
        <v>0</v>
      </c>
      <c r="AU127" s="40">
        <f t="shared" si="39"/>
        <v>0</v>
      </c>
      <c r="AV127" s="39"/>
      <c r="AW127" s="40">
        <f t="shared" si="40"/>
        <v>0</v>
      </c>
      <c r="AX127" s="40">
        <f t="shared" si="41"/>
        <v>0</v>
      </c>
      <c r="AY127" s="39"/>
      <c r="AZ127" s="121">
        <f t="shared" si="42"/>
        <v>0</v>
      </c>
      <c r="BB127" s="86"/>
      <c r="BC127" s="86"/>
      <c r="BF127" s="86"/>
      <c r="BI127" s="41">
        <f>SUMIFS('Nam-Kế hoạch'!$E$2:$E$100,'Nam-Kế hoạch'!$A$2:$A$100,$H127,'Nam-Kế hoạch'!$C$2:$C$100,$F127)</f>
        <v>0</v>
      </c>
      <c r="BJ127" s="41">
        <f t="shared" si="43"/>
        <v>0</v>
      </c>
    </row>
    <row r="128" spans="2:62" x14ac:dyDescent="0.25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94"/>
      <c r="M128" s="94"/>
      <c r="O128" s="40"/>
      <c r="P128" s="40"/>
      <c r="Q128" s="40"/>
      <c r="R128" s="40">
        <f t="shared" si="27"/>
        <v>0</v>
      </c>
      <c r="S128" s="41"/>
      <c r="T128" s="40"/>
      <c r="U128" s="40"/>
      <c r="V128" s="40"/>
      <c r="W128" s="42">
        <f t="shared" si="28"/>
        <v>0</v>
      </c>
      <c r="X128" s="41"/>
      <c r="Y128" s="40"/>
      <c r="Z128" s="131"/>
      <c r="AA128" s="131"/>
      <c r="AB128" s="40"/>
      <c r="AC128" s="41"/>
      <c r="AD128" s="40">
        <f t="shared" si="29"/>
        <v>0</v>
      </c>
      <c r="AE128" s="40">
        <f t="shared" si="30"/>
        <v>0</v>
      </c>
      <c r="AF128" s="40">
        <f t="shared" si="31"/>
        <v>0</v>
      </c>
      <c r="AG128" s="40"/>
      <c r="AH128" s="41"/>
      <c r="AI128" s="43">
        <f>-SUMIFS(Data_FAGLL03[Amount in local currency],Data_FAGLL03[SO],$H128,Data_FAGLL03[Material],$F128)</f>
        <v>0</v>
      </c>
      <c r="AJ128" s="40">
        <f t="shared" si="32"/>
        <v>0</v>
      </c>
      <c r="AK128" s="40">
        <f t="shared" si="33"/>
        <v>0</v>
      </c>
      <c r="AL128" s="44">
        <f t="shared" si="34"/>
        <v>0</v>
      </c>
      <c r="AN128" s="40">
        <f t="shared" si="35"/>
        <v>0</v>
      </c>
      <c r="AO128" s="39"/>
      <c r="AP128" s="40">
        <f t="shared" si="36"/>
        <v>0</v>
      </c>
      <c r="AQ128" s="40">
        <f t="shared" si="37"/>
        <v>0</v>
      </c>
      <c r="AR128" s="39"/>
      <c r="AS128" s="40">
        <f t="shared" si="38"/>
        <v>0</v>
      </c>
      <c r="AU128" s="40">
        <f t="shared" si="39"/>
        <v>0</v>
      </c>
      <c r="AV128" s="39"/>
      <c r="AW128" s="40">
        <f t="shared" si="40"/>
        <v>0</v>
      </c>
      <c r="AX128" s="40">
        <f t="shared" si="41"/>
        <v>0</v>
      </c>
      <c r="AY128" s="39"/>
      <c r="AZ128" s="121">
        <f t="shared" si="42"/>
        <v>0</v>
      </c>
      <c r="BB128" s="86"/>
      <c r="BC128" s="86"/>
      <c r="BF128" s="86"/>
      <c r="BI128" s="41">
        <f>SUMIFS('Nam-Kế hoạch'!$E$2:$E$100,'Nam-Kế hoạch'!$A$2:$A$100,$H128,'Nam-Kế hoạch'!$C$2:$C$100,$F128)</f>
        <v>0</v>
      </c>
      <c r="BJ128" s="41">
        <f t="shared" si="43"/>
        <v>0</v>
      </c>
    </row>
    <row r="129" spans="2:62" x14ac:dyDescent="0.25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94"/>
      <c r="M129" s="94"/>
      <c r="O129" s="40"/>
      <c r="P129" s="40"/>
      <c r="Q129" s="40"/>
      <c r="R129" s="40">
        <f t="shared" si="27"/>
        <v>0</v>
      </c>
      <c r="S129" s="41"/>
      <c r="T129" s="40"/>
      <c r="U129" s="40"/>
      <c r="V129" s="40"/>
      <c r="W129" s="42">
        <f t="shared" si="28"/>
        <v>0</v>
      </c>
      <c r="X129" s="41"/>
      <c r="Y129" s="40"/>
      <c r="Z129" s="131"/>
      <c r="AA129" s="131"/>
      <c r="AB129" s="40"/>
      <c r="AC129" s="41"/>
      <c r="AD129" s="40">
        <f t="shared" si="29"/>
        <v>0</v>
      </c>
      <c r="AE129" s="40">
        <f t="shared" si="30"/>
        <v>0</v>
      </c>
      <c r="AF129" s="40">
        <f t="shared" si="31"/>
        <v>0</v>
      </c>
      <c r="AG129" s="40"/>
      <c r="AH129" s="41"/>
      <c r="AI129" s="43">
        <f>-SUMIFS(Data_FAGLL03[Amount in local currency],Data_FAGLL03[SO],$H129,Data_FAGLL03[Material],$F129)</f>
        <v>0</v>
      </c>
      <c r="AJ129" s="40">
        <f t="shared" si="32"/>
        <v>0</v>
      </c>
      <c r="AK129" s="40">
        <f t="shared" si="33"/>
        <v>0</v>
      </c>
      <c r="AL129" s="44">
        <f t="shared" si="34"/>
        <v>0</v>
      </c>
      <c r="AN129" s="40">
        <f t="shared" si="35"/>
        <v>0</v>
      </c>
      <c r="AO129" s="39"/>
      <c r="AP129" s="40">
        <f t="shared" si="36"/>
        <v>0</v>
      </c>
      <c r="AQ129" s="40">
        <f t="shared" si="37"/>
        <v>0</v>
      </c>
      <c r="AR129" s="39"/>
      <c r="AS129" s="40">
        <f t="shared" si="38"/>
        <v>0</v>
      </c>
      <c r="AU129" s="40">
        <f t="shared" si="39"/>
        <v>0</v>
      </c>
      <c r="AV129" s="39"/>
      <c r="AW129" s="40">
        <f t="shared" si="40"/>
        <v>0</v>
      </c>
      <c r="AX129" s="40">
        <f t="shared" si="41"/>
        <v>0</v>
      </c>
      <c r="AY129" s="39"/>
      <c r="AZ129" s="121">
        <f t="shared" si="42"/>
        <v>0</v>
      </c>
      <c r="BB129" s="86"/>
      <c r="BC129" s="86"/>
      <c r="BF129" s="86"/>
      <c r="BI129" s="41">
        <f>SUMIFS('Nam-Kế hoạch'!$E$2:$E$100,'Nam-Kế hoạch'!$A$2:$A$100,$H129,'Nam-Kế hoạch'!$C$2:$C$100,$F129)</f>
        <v>0</v>
      </c>
      <c r="BJ129" s="41">
        <f t="shared" si="43"/>
        <v>0</v>
      </c>
    </row>
    <row r="130" spans="2:62" x14ac:dyDescent="0.25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94"/>
      <c r="M130" s="94"/>
      <c r="O130" s="40"/>
      <c r="P130" s="40"/>
      <c r="Q130" s="40"/>
      <c r="R130" s="40">
        <f t="shared" si="27"/>
        <v>0</v>
      </c>
      <c r="S130" s="41"/>
      <c r="T130" s="40"/>
      <c r="U130" s="40"/>
      <c r="V130" s="40"/>
      <c r="W130" s="42">
        <f t="shared" si="28"/>
        <v>0</v>
      </c>
      <c r="X130" s="41"/>
      <c r="Y130" s="40"/>
      <c r="Z130" s="131"/>
      <c r="AA130" s="131"/>
      <c r="AB130" s="40"/>
      <c r="AC130" s="41"/>
      <c r="AD130" s="40">
        <f t="shared" si="29"/>
        <v>0</v>
      </c>
      <c r="AE130" s="40">
        <f t="shared" si="30"/>
        <v>0</v>
      </c>
      <c r="AF130" s="40">
        <f t="shared" si="31"/>
        <v>0</v>
      </c>
      <c r="AG130" s="40"/>
      <c r="AH130" s="41"/>
      <c r="AI130" s="43">
        <f>-SUMIFS(Data_FAGLL03[Amount in local currency],Data_FAGLL03[SO],$H130,Data_FAGLL03[Material],$F130)</f>
        <v>0</v>
      </c>
      <c r="AJ130" s="40">
        <f t="shared" si="32"/>
        <v>0</v>
      </c>
      <c r="AK130" s="40">
        <f t="shared" si="33"/>
        <v>0</v>
      </c>
      <c r="AL130" s="44">
        <f t="shared" si="34"/>
        <v>0</v>
      </c>
      <c r="AN130" s="40">
        <f t="shared" si="35"/>
        <v>0</v>
      </c>
      <c r="AO130" s="39"/>
      <c r="AP130" s="40">
        <f t="shared" si="36"/>
        <v>0</v>
      </c>
      <c r="AQ130" s="40">
        <f t="shared" si="37"/>
        <v>0</v>
      </c>
      <c r="AR130" s="39"/>
      <c r="AS130" s="40">
        <f t="shared" si="38"/>
        <v>0</v>
      </c>
      <c r="AU130" s="40">
        <f t="shared" si="39"/>
        <v>0</v>
      </c>
      <c r="AV130" s="39"/>
      <c r="AW130" s="40">
        <f t="shared" si="40"/>
        <v>0</v>
      </c>
      <c r="AX130" s="40">
        <f t="shared" si="41"/>
        <v>0</v>
      </c>
      <c r="AY130" s="39"/>
      <c r="AZ130" s="121">
        <f t="shared" si="42"/>
        <v>0</v>
      </c>
      <c r="BB130" s="86"/>
      <c r="BC130" s="86"/>
      <c r="BF130" s="86"/>
      <c r="BI130" s="41">
        <f>SUMIFS('Nam-Kế hoạch'!$E$2:$E$100,'Nam-Kế hoạch'!$A$2:$A$100,$H130,'Nam-Kế hoạch'!$C$2:$C$100,$F130)</f>
        <v>0</v>
      </c>
      <c r="BJ130" s="41">
        <f t="shared" si="43"/>
        <v>0</v>
      </c>
    </row>
    <row r="131" spans="2:62" x14ac:dyDescent="0.25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94"/>
      <c r="M131" s="94"/>
      <c r="O131" s="40"/>
      <c r="P131" s="40"/>
      <c r="Q131" s="40"/>
      <c r="R131" s="40">
        <f t="shared" si="27"/>
        <v>0</v>
      </c>
      <c r="S131" s="41"/>
      <c r="T131" s="40"/>
      <c r="U131" s="40"/>
      <c r="V131" s="40"/>
      <c r="W131" s="42">
        <f t="shared" si="28"/>
        <v>0</v>
      </c>
      <c r="X131" s="41"/>
      <c r="Y131" s="40"/>
      <c r="Z131" s="131"/>
      <c r="AA131" s="131"/>
      <c r="AB131" s="40"/>
      <c r="AC131" s="41"/>
      <c r="AD131" s="40">
        <f t="shared" si="29"/>
        <v>0</v>
      </c>
      <c r="AE131" s="40">
        <f t="shared" si="30"/>
        <v>0</v>
      </c>
      <c r="AF131" s="40">
        <f t="shared" si="31"/>
        <v>0</v>
      </c>
      <c r="AG131" s="40"/>
      <c r="AH131" s="41"/>
      <c r="AI131" s="43">
        <f>-SUMIFS(Data_FAGLL03[Amount in local currency],Data_FAGLL03[SO],$H131,Data_FAGLL03[Material],$F131)</f>
        <v>0</v>
      </c>
      <c r="AJ131" s="40">
        <f t="shared" si="32"/>
        <v>0</v>
      </c>
      <c r="AK131" s="40">
        <f t="shared" si="33"/>
        <v>0</v>
      </c>
      <c r="AL131" s="44">
        <f t="shared" si="34"/>
        <v>0</v>
      </c>
      <c r="AN131" s="40">
        <f t="shared" si="35"/>
        <v>0</v>
      </c>
      <c r="AO131" s="39"/>
      <c r="AP131" s="40">
        <f t="shared" si="36"/>
        <v>0</v>
      </c>
      <c r="AQ131" s="40">
        <f t="shared" si="37"/>
        <v>0</v>
      </c>
      <c r="AR131" s="39"/>
      <c r="AS131" s="40">
        <f t="shared" si="38"/>
        <v>0</v>
      </c>
      <c r="AU131" s="40">
        <f t="shared" si="39"/>
        <v>0</v>
      </c>
      <c r="AV131" s="39"/>
      <c r="AW131" s="40">
        <f t="shared" si="40"/>
        <v>0</v>
      </c>
      <c r="AX131" s="40">
        <f t="shared" si="41"/>
        <v>0</v>
      </c>
      <c r="AY131" s="39"/>
      <c r="AZ131" s="121">
        <f t="shared" si="42"/>
        <v>0</v>
      </c>
      <c r="BB131" s="86"/>
      <c r="BC131" s="86"/>
      <c r="BF131" s="86"/>
      <c r="BI131" s="41">
        <f>SUMIFS('Nam-Kế hoạch'!$E$2:$E$100,'Nam-Kế hoạch'!$A$2:$A$100,$H131,'Nam-Kế hoạch'!$C$2:$C$100,$F131)</f>
        <v>0</v>
      </c>
      <c r="BJ131" s="41">
        <f t="shared" si="43"/>
        <v>0</v>
      </c>
    </row>
    <row r="132" spans="2:62" x14ac:dyDescent="0.25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94"/>
      <c r="M132" s="94"/>
      <c r="O132" s="40"/>
      <c r="P132" s="40"/>
      <c r="Q132" s="40"/>
      <c r="R132" s="40">
        <f t="shared" si="27"/>
        <v>0</v>
      </c>
      <c r="S132" s="41"/>
      <c r="T132" s="40"/>
      <c r="U132" s="40"/>
      <c r="V132" s="40"/>
      <c r="W132" s="42">
        <f t="shared" si="28"/>
        <v>0</v>
      </c>
      <c r="X132" s="41"/>
      <c r="Y132" s="40"/>
      <c r="Z132" s="131"/>
      <c r="AA132" s="131"/>
      <c r="AB132" s="40"/>
      <c r="AC132" s="41"/>
      <c r="AD132" s="40">
        <f t="shared" si="29"/>
        <v>0</v>
      </c>
      <c r="AE132" s="40">
        <f t="shared" si="30"/>
        <v>0</v>
      </c>
      <c r="AF132" s="40">
        <f t="shared" si="31"/>
        <v>0</v>
      </c>
      <c r="AG132" s="40"/>
      <c r="AH132" s="41"/>
      <c r="AI132" s="43">
        <f>-SUMIFS(Data_FAGLL03[Amount in local currency],Data_FAGLL03[SO],$H132,Data_FAGLL03[Material],$F132)</f>
        <v>0</v>
      </c>
      <c r="AJ132" s="40">
        <f t="shared" si="32"/>
        <v>0</v>
      </c>
      <c r="AK132" s="40">
        <f t="shared" si="33"/>
        <v>0</v>
      </c>
      <c r="AL132" s="44">
        <f t="shared" si="34"/>
        <v>0</v>
      </c>
      <c r="AN132" s="40">
        <f t="shared" si="35"/>
        <v>0</v>
      </c>
      <c r="AO132" s="39"/>
      <c r="AP132" s="40">
        <f t="shared" si="36"/>
        <v>0</v>
      </c>
      <c r="AQ132" s="40">
        <f t="shared" si="37"/>
        <v>0</v>
      </c>
      <c r="AR132" s="39"/>
      <c r="AS132" s="40">
        <f t="shared" si="38"/>
        <v>0</v>
      </c>
      <c r="AU132" s="40">
        <f t="shared" si="39"/>
        <v>0</v>
      </c>
      <c r="AV132" s="39"/>
      <c r="AW132" s="40">
        <f t="shared" si="40"/>
        <v>0</v>
      </c>
      <c r="AX132" s="40">
        <f t="shared" si="41"/>
        <v>0</v>
      </c>
      <c r="AY132" s="39"/>
      <c r="AZ132" s="121">
        <f t="shared" si="42"/>
        <v>0</v>
      </c>
      <c r="BB132" s="86"/>
      <c r="BC132" s="86"/>
      <c r="BF132" s="86"/>
      <c r="BI132" s="41">
        <f>SUMIFS('Nam-Kế hoạch'!$E$2:$E$100,'Nam-Kế hoạch'!$A$2:$A$100,$H132,'Nam-Kế hoạch'!$C$2:$C$100,$F132)</f>
        <v>0</v>
      </c>
      <c r="BJ132" s="41">
        <f t="shared" si="43"/>
        <v>0</v>
      </c>
    </row>
    <row r="133" spans="2:62" x14ac:dyDescent="0.25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94"/>
      <c r="M133" s="94"/>
      <c r="O133" s="40"/>
      <c r="P133" s="40"/>
      <c r="Q133" s="40"/>
      <c r="R133" s="40">
        <f t="shared" si="27"/>
        <v>0</v>
      </c>
      <c r="S133" s="41"/>
      <c r="T133" s="40"/>
      <c r="U133" s="40"/>
      <c r="V133" s="40"/>
      <c r="W133" s="42">
        <f t="shared" si="28"/>
        <v>0</v>
      </c>
      <c r="X133" s="41"/>
      <c r="Y133" s="40"/>
      <c r="Z133" s="131"/>
      <c r="AA133" s="131"/>
      <c r="AB133" s="40"/>
      <c r="AC133" s="41"/>
      <c r="AD133" s="40">
        <f t="shared" si="29"/>
        <v>0</v>
      </c>
      <c r="AE133" s="40">
        <f t="shared" si="30"/>
        <v>0</v>
      </c>
      <c r="AF133" s="40">
        <f t="shared" si="31"/>
        <v>0</v>
      </c>
      <c r="AG133" s="40"/>
      <c r="AH133" s="41"/>
      <c r="AI133" s="43">
        <f>-SUMIFS(Data_FAGLL03[Amount in local currency],Data_FAGLL03[SO],$H133,Data_FAGLL03[Material],$F133)</f>
        <v>0</v>
      </c>
      <c r="AJ133" s="40">
        <f t="shared" si="32"/>
        <v>0</v>
      </c>
      <c r="AK133" s="40">
        <f t="shared" si="33"/>
        <v>0</v>
      </c>
      <c r="AL133" s="44">
        <f t="shared" si="34"/>
        <v>0</v>
      </c>
      <c r="AN133" s="40">
        <f t="shared" si="35"/>
        <v>0</v>
      </c>
      <c r="AO133" s="39"/>
      <c r="AP133" s="40">
        <f t="shared" si="36"/>
        <v>0</v>
      </c>
      <c r="AQ133" s="40">
        <f t="shared" si="37"/>
        <v>0</v>
      </c>
      <c r="AR133" s="39"/>
      <c r="AS133" s="40">
        <f t="shared" si="38"/>
        <v>0</v>
      </c>
      <c r="AU133" s="40">
        <f t="shared" si="39"/>
        <v>0</v>
      </c>
      <c r="AV133" s="39"/>
      <c r="AW133" s="40">
        <f t="shared" si="40"/>
        <v>0</v>
      </c>
      <c r="AX133" s="40">
        <f t="shared" si="41"/>
        <v>0</v>
      </c>
      <c r="AY133" s="39"/>
      <c r="AZ133" s="121">
        <f t="shared" si="42"/>
        <v>0</v>
      </c>
      <c r="BB133" s="86"/>
      <c r="BC133" s="86"/>
      <c r="BF133" s="86"/>
      <c r="BI133" s="41">
        <f>SUMIFS('Nam-Kế hoạch'!$E$2:$E$100,'Nam-Kế hoạch'!$A$2:$A$100,$H133,'Nam-Kế hoạch'!$C$2:$C$100,$F133)</f>
        <v>0</v>
      </c>
      <c r="BJ133" s="41">
        <f t="shared" si="43"/>
        <v>0</v>
      </c>
    </row>
    <row r="134" spans="2:62" x14ac:dyDescent="0.25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94"/>
      <c r="M134" s="94"/>
      <c r="O134" s="40"/>
      <c r="P134" s="40"/>
      <c r="Q134" s="40"/>
      <c r="R134" s="40">
        <f t="shared" si="27"/>
        <v>0</v>
      </c>
      <c r="S134" s="41"/>
      <c r="T134" s="40"/>
      <c r="U134" s="40"/>
      <c r="V134" s="40"/>
      <c r="W134" s="42">
        <f t="shared" si="28"/>
        <v>0</v>
      </c>
      <c r="X134" s="41"/>
      <c r="Y134" s="40"/>
      <c r="Z134" s="131"/>
      <c r="AA134" s="131"/>
      <c r="AB134" s="40"/>
      <c r="AC134" s="41"/>
      <c r="AD134" s="40">
        <f t="shared" si="29"/>
        <v>0</v>
      </c>
      <c r="AE134" s="40">
        <f t="shared" si="30"/>
        <v>0</v>
      </c>
      <c r="AF134" s="40">
        <f t="shared" si="31"/>
        <v>0</v>
      </c>
      <c r="AG134" s="40"/>
      <c r="AH134" s="41"/>
      <c r="AI134" s="43">
        <f>-SUMIFS(Data_FAGLL03[Amount in local currency],Data_FAGLL03[SO],$H134,Data_FAGLL03[Material],$F134)</f>
        <v>0</v>
      </c>
      <c r="AJ134" s="40">
        <f t="shared" si="32"/>
        <v>0</v>
      </c>
      <c r="AK134" s="40">
        <f t="shared" si="33"/>
        <v>0</v>
      </c>
      <c r="AL134" s="44">
        <f t="shared" si="34"/>
        <v>0</v>
      </c>
      <c r="AN134" s="40">
        <f t="shared" si="35"/>
        <v>0</v>
      </c>
      <c r="AO134" s="39"/>
      <c r="AP134" s="40">
        <f t="shared" si="36"/>
        <v>0</v>
      </c>
      <c r="AQ134" s="40">
        <f t="shared" si="37"/>
        <v>0</v>
      </c>
      <c r="AR134" s="39"/>
      <c r="AS134" s="40">
        <f t="shared" si="38"/>
        <v>0</v>
      </c>
      <c r="AU134" s="40">
        <f t="shared" si="39"/>
        <v>0</v>
      </c>
      <c r="AV134" s="39"/>
      <c r="AW134" s="40">
        <f t="shared" si="40"/>
        <v>0</v>
      </c>
      <c r="AX134" s="40">
        <f t="shared" si="41"/>
        <v>0</v>
      </c>
      <c r="AY134" s="39"/>
      <c r="AZ134" s="121">
        <f t="shared" si="42"/>
        <v>0</v>
      </c>
      <c r="BB134" s="86"/>
      <c r="BC134" s="86"/>
      <c r="BF134" s="86"/>
      <c r="BI134" s="41">
        <f>SUMIFS('Nam-Kế hoạch'!$E$2:$E$100,'Nam-Kế hoạch'!$A$2:$A$100,$H134,'Nam-Kế hoạch'!$C$2:$C$100,$F134)</f>
        <v>0</v>
      </c>
      <c r="BJ134" s="41">
        <f t="shared" si="43"/>
        <v>0</v>
      </c>
    </row>
    <row r="135" spans="2:62" x14ac:dyDescent="0.25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94"/>
      <c r="M135" s="94"/>
      <c r="O135" s="40"/>
      <c r="P135" s="40"/>
      <c r="Q135" s="40"/>
      <c r="R135" s="40">
        <f t="shared" si="27"/>
        <v>0</v>
      </c>
      <c r="S135" s="41"/>
      <c r="T135" s="40"/>
      <c r="U135" s="40"/>
      <c r="V135" s="40"/>
      <c r="W135" s="42">
        <f t="shared" ref="W135:W150" si="44">IFERROR($AL135/$R135,0)</f>
        <v>0</v>
      </c>
      <c r="X135" s="41"/>
      <c r="Y135" s="40"/>
      <c r="Z135" s="131"/>
      <c r="AA135" s="131"/>
      <c r="AB135" s="40"/>
      <c r="AC135" s="41"/>
      <c r="AD135" s="40">
        <f t="shared" si="29"/>
        <v>0</v>
      </c>
      <c r="AE135" s="40">
        <f t="shared" si="30"/>
        <v>0</v>
      </c>
      <c r="AF135" s="40">
        <f t="shared" si="31"/>
        <v>0</v>
      </c>
      <c r="AG135" s="40"/>
      <c r="AH135" s="41"/>
      <c r="AI135" s="43">
        <f>-SUMIFS(Data_FAGLL03[Amount in local currency],Data_FAGLL03[SO],$H135,Data_FAGLL03[Material],$F135)</f>
        <v>0</v>
      </c>
      <c r="AJ135" s="40">
        <f t="shared" si="32"/>
        <v>0</v>
      </c>
      <c r="AK135" s="40">
        <f t="shared" si="33"/>
        <v>0</v>
      </c>
      <c r="AL135" s="44">
        <f t="shared" si="34"/>
        <v>0</v>
      </c>
      <c r="AN135" s="40">
        <f t="shared" si="35"/>
        <v>0</v>
      </c>
      <c r="AO135" s="39"/>
      <c r="AP135" s="40">
        <f t="shared" si="36"/>
        <v>0</v>
      </c>
      <c r="AQ135" s="40">
        <f t="shared" si="37"/>
        <v>0</v>
      </c>
      <c r="AR135" s="39"/>
      <c r="AS135" s="40">
        <f t="shared" si="38"/>
        <v>0</v>
      </c>
      <c r="AU135" s="40">
        <f t="shared" si="39"/>
        <v>0</v>
      </c>
      <c r="AV135" s="39"/>
      <c r="AW135" s="40">
        <f t="shared" si="40"/>
        <v>0</v>
      </c>
      <c r="AX135" s="40">
        <f t="shared" si="41"/>
        <v>0</v>
      </c>
      <c r="AY135" s="39"/>
      <c r="AZ135" s="121">
        <f t="shared" si="42"/>
        <v>0</v>
      </c>
      <c r="BB135" s="86"/>
      <c r="BC135" s="86"/>
      <c r="BF135" s="86"/>
      <c r="BI135" s="41">
        <f>SUMIFS('Nam-Kế hoạch'!$E$2:$E$100,'Nam-Kế hoạch'!$A$2:$A$100,$H135,'Nam-Kế hoạch'!$C$2:$C$100,$F135)</f>
        <v>0</v>
      </c>
      <c r="BJ135" s="41">
        <f t="shared" si="43"/>
        <v>0</v>
      </c>
    </row>
    <row r="136" spans="2:62" x14ac:dyDescent="0.25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94"/>
      <c r="M136" s="94"/>
      <c r="O136" s="40"/>
      <c r="P136" s="40"/>
      <c r="Q136" s="40"/>
      <c r="R136" s="40">
        <f t="shared" ref="R136:R150" si="45">SUM(O136:Q136)</f>
        <v>0</v>
      </c>
      <c r="S136" s="41"/>
      <c r="T136" s="40"/>
      <c r="U136" s="40"/>
      <c r="V136" s="40"/>
      <c r="W136" s="42">
        <f t="shared" si="44"/>
        <v>0</v>
      </c>
      <c r="X136" s="41"/>
      <c r="Y136" s="40"/>
      <c r="Z136" s="131"/>
      <c r="AA136" s="131"/>
      <c r="AB136" s="40"/>
      <c r="AC136" s="41"/>
      <c r="AD136" s="40">
        <f t="shared" si="29"/>
        <v>0</v>
      </c>
      <c r="AE136" s="40">
        <f t="shared" si="30"/>
        <v>0</v>
      </c>
      <c r="AF136" s="40">
        <f t="shared" si="31"/>
        <v>0</v>
      </c>
      <c r="AG136" s="40"/>
      <c r="AH136" s="41"/>
      <c r="AI136" s="43">
        <f>-SUMIFS(Data_FAGLL03[Amount in local currency],Data_FAGLL03[SO],$H136,Data_FAGLL03[Material],$F136)</f>
        <v>0</v>
      </c>
      <c r="AJ136" s="40">
        <f t="shared" si="32"/>
        <v>0</v>
      </c>
      <c r="AK136" s="40">
        <f t="shared" si="33"/>
        <v>0</v>
      </c>
      <c r="AL136" s="44">
        <f t="shared" si="34"/>
        <v>0</v>
      </c>
      <c r="AN136" s="40">
        <f t="shared" si="35"/>
        <v>0</v>
      </c>
      <c r="AO136" s="39"/>
      <c r="AP136" s="40">
        <f t="shared" si="36"/>
        <v>0</v>
      </c>
      <c r="AQ136" s="40">
        <f t="shared" ref="AQ136:AQ143" si="46">$AN136*P136</f>
        <v>0</v>
      </c>
      <c r="AR136" s="39"/>
      <c r="AS136" s="40">
        <f t="shared" si="38"/>
        <v>0</v>
      </c>
      <c r="AU136" s="40">
        <f t="shared" si="39"/>
        <v>0</v>
      </c>
      <c r="AV136" s="39"/>
      <c r="AW136" s="40">
        <f t="shared" si="40"/>
        <v>0</v>
      </c>
      <c r="AX136" s="40">
        <f t="shared" ref="AX136:AX150" si="47">$AU136*P136+$BF136*AJ136</f>
        <v>0</v>
      </c>
      <c r="AY136" s="39"/>
      <c r="AZ136" s="121">
        <f t="shared" si="42"/>
        <v>0</v>
      </c>
      <c r="BB136" s="86"/>
      <c r="BC136" s="86"/>
      <c r="BF136" s="86"/>
      <c r="BI136" s="41">
        <f>SUMIFS('Nam-Kế hoạch'!$E$2:$E$100,'Nam-Kế hoạch'!$A$2:$A$100,$H136,'Nam-Kế hoạch'!$C$2:$C$100,$F136)</f>
        <v>0</v>
      </c>
      <c r="BJ136" s="41">
        <f t="shared" si="43"/>
        <v>0</v>
      </c>
    </row>
    <row r="137" spans="2:62" x14ac:dyDescent="0.25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94"/>
      <c r="M137" s="94"/>
      <c r="O137" s="40"/>
      <c r="P137" s="40"/>
      <c r="Q137" s="40"/>
      <c r="R137" s="40">
        <f t="shared" si="45"/>
        <v>0</v>
      </c>
      <c r="S137" s="41"/>
      <c r="T137" s="40"/>
      <c r="U137" s="40"/>
      <c r="V137" s="40"/>
      <c r="W137" s="42">
        <f t="shared" si="44"/>
        <v>0</v>
      </c>
      <c r="X137" s="41"/>
      <c r="Y137" s="40"/>
      <c r="Z137" s="131"/>
      <c r="AA137" s="131"/>
      <c r="AB137" s="40"/>
      <c r="AC137" s="41"/>
      <c r="AD137" s="40">
        <f t="shared" si="29"/>
        <v>0</v>
      </c>
      <c r="AE137" s="40">
        <f t="shared" si="30"/>
        <v>0</v>
      </c>
      <c r="AF137" s="40">
        <f t="shared" si="31"/>
        <v>0</v>
      </c>
      <c r="AG137" s="40"/>
      <c r="AH137" s="41"/>
      <c r="AI137" s="43">
        <f>-SUMIFS(Data_FAGLL03[Amount in local currency],Data_FAGLL03[SO],$H137,Data_FAGLL03[Material],$F137)</f>
        <v>0</v>
      </c>
      <c r="AJ137" s="40">
        <f t="shared" si="32"/>
        <v>0</v>
      </c>
      <c r="AK137" s="40">
        <f t="shared" si="33"/>
        <v>0</v>
      </c>
      <c r="AL137" s="44">
        <f t="shared" si="34"/>
        <v>0</v>
      </c>
      <c r="AN137" s="40">
        <f t="shared" si="35"/>
        <v>0</v>
      </c>
      <c r="AO137" s="39"/>
      <c r="AP137" s="40">
        <f t="shared" ref="AP137:AP143" si="48">$AN137*O137</f>
        <v>0</v>
      </c>
      <c r="AQ137" s="40">
        <f t="shared" si="46"/>
        <v>0</v>
      </c>
      <c r="AR137" s="39"/>
      <c r="AS137" s="40">
        <f t="shared" ref="AS137:AS150" si="49">SUM(AP137:AR137)</f>
        <v>0</v>
      </c>
      <c r="AU137" s="40">
        <f t="shared" ref="AU137:AU150" si="50">BC137</f>
        <v>0</v>
      </c>
      <c r="AV137" s="39"/>
      <c r="AW137" s="40">
        <f t="shared" ref="AW137:AW150" si="51">$AU137*O137+$BF137*AI137</f>
        <v>0</v>
      </c>
      <c r="AX137" s="40">
        <f t="shared" si="47"/>
        <v>0</v>
      </c>
      <c r="AY137" s="39"/>
      <c r="AZ137" s="121">
        <f t="shared" ref="AZ137:AZ150" si="52">SUM(AW137:AY137)</f>
        <v>0</v>
      </c>
      <c r="BB137" s="86"/>
      <c r="BC137" s="86"/>
      <c r="BF137" s="86"/>
      <c r="BI137" s="41">
        <f>SUMIFS('Nam-Kế hoạch'!$E$2:$E$100,'Nam-Kế hoạch'!$A$2:$A$100,$H137,'Nam-Kế hoạch'!$C$2:$C$100,$F137)</f>
        <v>0</v>
      </c>
      <c r="BJ137" s="41">
        <f t="shared" ref="BJ137:BJ150" si="53">P137-BI137</f>
        <v>0</v>
      </c>
    </row>
    <row r="138" spans="2:62" x14ac:dyDescent="0.25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94"/>
      <c r="M138" s="94"/>
      <c r="O138" s="40"/>
      <c r="P138" s="40"/>
      <c r="Q138" s="40"/>
      <c r="R138" s="40">
        <f t="shared" si="45"/>
        <v>0</v>
      </c>
      <c r="S138" s="41"/>
      <c r="T138" s="40"/>
      <c r="U138" s="40"/>
      <c r="V138" s="40"/>
      <c r="W138" s="42">
        <f t="shared" si="44"/>
        <v>0</v>
      </c>
      <c r="X138" s="41"/>
      <c r="Y138" s="40"/>
      <c r="Z138" s="131"/>
      <c r="AA138" s="131"/>
      <c r="AB138" s="40"/>
      <c r="AC138" s="41"/>
      <c r="AD138" s="40">
        <f t="shared" si="29"/>
        <v>0</v>
      </c>
      <c r="AE138" s="40">
        <f t="shared" si="30"/>
        <v>0</v>
      </c>
      <c r="AF138" s="40">
        <f t="shared" si="31"/>
        <v>0</v>
      </c>
      <c r="AG138" s="40"/>
      <c r="AH138" s="41"/>
      <c r="AI138" s="43">
        <f>-SUMIFS(Data_FAGLL03[Amount in local currency],Data_FAGLL03[SO],$H138,Data_FAGLL03[Material],$F138)</f>
        <v>0</v>
      </c>
      <c r="AJ138" s="40">
        <f t="shared" si="32"/>
        <v>0</v>
      </c>
      <c r="AK138" s="40">
        <f t="shared" si="33"/>
        <v>0</v>
      </c>
      <c r="AL138" s="44">
        <f t="shared" si="34"/>
        <v>0</v>
      </c>
      <c r="AN138" s="40">
        <f t="shared" si="35"/>
        <v>0</v>
      </c>
      <c r="AO138" s="39"/>
      <c r="AP138" s="40">
        <f t="shared" si="48"/>
        <v>0</v>
      </c>
      <c r="AQ138" s="40">
        <f t="shared" si="46"/>
        <v>0</v>
      </c>
      <c r="AR138" s="39"/>
      <c r="AS138" s="40">
        <f t="shared" si="49"/>
        <v>0</v>
      </c>
      <c r="AU138" s="40">
        <f t="shared" si="50"/>
        <v>0</v>
      </c>
      <c r="AV138" s="39"/>
      <c r="AW138" s="40">
        <f t="shared" si="51"/>
        <v>0</v>
      </c>
      <c r="AX138" s="40">
        <f t="shared" si="47"/>
        <v>0</v>
      </c>
      <c r="AY138" s="39"/>
      <c r="AZ138" s="121">
        <f t="shared" si="52"/>
        <v>0</v>
      </c>
      <c r="BB138" s="86"/>
      <c r="BC138" s="86"/>
      <c r="BF138" s="86"/>
      <c r="BI138" s="41">
        <f>SUMIFS('Nam-Kế hoạch'!$E$2:$E$100,'Nam-Kế hoạch'!$A$2:$A$100,$H138,'Nam-Kế hoạch'!$C$2:$C$100,$F138)</f>
        <v>0</v>
      </c>
      <c r="BJ138" s="41">
        <f t="shared" si="53"/>
        <v>0</v>
      </c>
    </row>
    <row r="139" spans="2:62" x14ac:dyDescent="0.25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94"/>
      <c r="M139" s="94"/>
      <c r="O139" s="40"/>
      <c r="P139" s="40"/>
      <c r="Q139" s="40"/>
      <c r="R139" s="40">
        <f t="shared" si="45"/>
        <v>0</v>
      </c>
      <c r="S139" s="41"/>
      <c r="T139" s="40"/>
      <c r="U139" s="40"/>
      <c r="V139" s="40"/>
      <c r="W139" s="42">
        <f t="shared" si="44"/>
        <v>0</v>
      </c>
      <c r="X139" s="41"/>
      <c r="Y139" s="40"/>
      <c r="Z139" s="131"/>
      <c r="AA139" s="131"/>
      <c r="AB139" s="40"/>
      <c r="AC139" s="41"/>
      <c r="AD139" s="40">
        <f t="shared" si="29"/>
        <v>0</v>
      </c>
      <c r="AE139" s="40">
        <f t="shared" si="30"/>
        <v>0</v>
      </c>
      <c r="AF139" s="40">
        <f t="shared" si="31"/>
        <v>0</v>
      </c>
      <c r="AG139" s="40"/>
      <c r="AH139" s="41"/>
      <c r="AI139" s="43">
        <f>-SUMIFS(Data_FAGLL03[Amount in local currency],Data_FAGLL03[SO],$H139,Data_FAGLL03[Material],$F139)</f>
        <v>0</v>
      </c>
      <c r="AJ139" s="40">
        <f t="shared" si="32"/>
        <v>0</v>
      </c>
      <c r="AK139" s="40">
        <f t="shared" si="33"/>
        <v>0</v>
      </c>
      <c r="AL139" s="44">
        <f t="shared" si="34"/>
        <v>0</v>
      </c>
      <c r="AN139" s="40">
        <f t="shared" si="35"/>
        <v>0</v>
      </c>
      <c r="AO139" s="39"/>
      <c r="AP139" s="40">
        <f t="shared" si="48"/>
        <v>0</v>
      </c>
      <c r="AQ139" s="40">
        <f t="shared" si="46"/>
        <v>0</v>
      </c>
      <c r="AR139" s="39"/>
      <c r="AS139" s="40">
        <f t="shared" si="49"/>
        <v>0</v>
      </c>
      <c r="AU139" s="40">
        <f t="shared" si="50"/>
        <v>0</v>
      </c>
      <c r="AV139" s="39"/>
      <c r="AW139" s="40">
        <f t="shared" si="51"/>
        <v>0</v>
      </c>
      <c r="AX139" s="40">
        <f t="shared" si="47"/>
        <v>0</v>
      </c>
      <c r="AY139" s="39"/>
      <c r="AZ139" s="121">
        <f t="shared" si="52"/>
        <v>0</v>
      </c>
      <c r="BB139" s="86"/>
      <c r="BC139" s="86"/>
      <c r="BF139" s="86"/>
      <c r="BI139" s="41">
        <f>SUMIFS('Nam-Kế hoạch'!$E$2:$E$100,'Nam-Kế hoạch'!$A$2:$A$100,$H139,'Nam-Kế hoạch'!$C$2:$C$100,$F139)</f>
        <v>0</v>
      </c>
      <c r="BJ139" s="41">
        <f t="shared" si="53"/>
        <v>0</v>
      </c>
    </row>
    <row r="140" spans="2:62" x14ac:dyDescent="0.25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94"/>
      <c r="M140" s="94"/>
      <c r="O140" s="40"/>
      <c r="P140" s="40"/>
      <c r="Q140" s="40"/>
      <c r="R140" s="40">
        <f t="shared" si="45"/>
        <v>0</v>
      </c>
      <c r="S140" s="41"/>
      <c r="T140" s="40"/>
      <c r="U140" s="40"/>
      <c r="V140" s="40"/>
      <c r="W140" s="42">
        <f t="shared" si="44"/>
        <v>0</v>
      </c>
      <c r="X140" s="41"/>
      <c r="Y140" s="40"/>
      <c r="Z140" s="131"/>
      <c r="AA140" s="131"/>
      <c r="AB140" s="40"/>
      <c r="AC140" s="41"/>
      <c r="AD140" s="40">
        <f t="shared" si="29"/>
        <v>0</v>
      </c>
      <c r="AE140" s="40">
        <f t="shared" si="30"/>
        <v>0</v>
      </c>
      <c r="AF140" s="40">
        <f t="shared" si="31"/>
        <v>0</v>
      </c>
      <c r="AG140" s="40"/>
      <c r="AH140" s="41"/>
      <c r="AI140" s="43">
        <f>-SUMIFS(Data_FAGLL03[Amount in local currency],Data_FAGLL03[SO],$H140,Data_FAGLL03[Material],$F140)</f>
        <v>0</v>
      </c>
      <c r="AJ140" s="40">
        <f t="shared" si="32"/>
        <v>0</v>
      </c>
      <c r="AK140" s="40">
        <f t="shared" si="33"/>
        <v>0</v>
      </c>
      <c r="AL140" s="44">
        <f t="shared" si="34"/>
        <v>0</v>
      </c>
      <c r="AN140" s="40">
        <f t="shared" si="35"/>
        <v>0</v>
      </c>
      <c r="AO140" s="39"/>
      <c r="AP140" s="40">
        <f t="shared" si="48"/>
        <v>0</v>
      </c>
      <c r="AQ140" s="40">
        <f t="shared" si="46"/>
        <v>0</v>
      </c>
      <c r="AR140" s="39"/>
      <c r="AS140" s="40">
        <f t="shared" si="49"/>
        <v>0</v>
      </c>
      <c r="AU140" s="40">
        <f t="shared" si="50"/>
        <v>0</v>
      </c>
      <c r="AV140" s="39"/>
      <c r="AW140" s="40">
        <f t="shared" si="51"/>
        <v>0</v>
      </c>
      <c r="AX140" s="40">
        <f t="shared" si="47"/>
        <v>0</v>
      </c>
      <c r="AY140" s="39"/>
      <c r="AZ140" s="121">
        <f t="shared" si="52"/>
        <v>0</v>
      </c>
      <c r="BB140" s="86"/>
      <c r="BC140" s="86"/>
      <c r="BF140" s="86"/>
      <c r="BI140" s="41">
        <f>SUMIFS('Nam-Kế hoạch'!$E$2:$E$100,'Nam-Kế hoạch'!$A$2:$A$100,$H140,'Nam-Kế hoạch'!$C$2:$C$100,$F140)</f>
        <v>0</v>
      </c>
      <c r="BJ140" s="41">
        <f t="shared" si="53"/>
        <v>0</v>
      </c>
    </row>
    <row r="141" spans="2:62" x14ac:dyDescent="0.25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94"/>
      <c r="M141" s="94"/>
      <c r="O141" s="40"/>
      <c r="P141" s="40"/>
      <c r="Q141" s="40"/>
      <c r="R141" s="40">
        <f t="shared" si="45"/>
        <v>0</v>
      </c>
      <c r="S141" s="41"/>
      <c r="T141" s="40"/>
      <c r="U141" s="40"/>
      <c r="V141" s="40"/>
      <c r="W141" s="42">
        <f t="shared" si="44"/>
        <v>0</v>
      </c>
      <c r="X141" s="41"/>
      <c r="Y141" s="40"/>
      <c r="Z141" s="131"/>
      <c r="AA141" s="131"/>
      <c r="AB141" s="40"/>
      <c r="AC141" s="41"/>
      <c r="AD141" s="40">
        <f t="shared" si="29"/>
        <v>0</v>
      </c>
      <c r="AE141" s="40">
        <f t="shared" si="30"/>
        <v>0</v>
      </c>
      <c r="AF141" s="40">
        <f t="shared" si="31"/>
        <v>0</v>
      </c>
      <c r="AG141" s="40"/>
      <c r="AH141" s="41"/>
      <c r="AI141" s="43">
        <f>-SUMIFS(Data_FAGLL03[Amount in local currency],Data_FAGLL03[SO],$H141,Data_FAGLL03[Material],$F141)</f>
        <v>0</v>
      </c>
      <c r="AJ141" s="40">
        <f t="shared" si="32"/>
        <v>0</v>
      </c>
      <c r="AK141" s="40">
        <f t="shared" si="33"/>
        <v>0</v>
      </c>
      <c r="AL141" s="44">
        <f t="shared" si="34"/>
        <v>0</v>
      </c>
      <c r="AN141" s="40">
        <f t="shared" si="35"/>
        <v>0</v>
      </c>
      <c r="AO141" s="39"/>
      <c r="AP141" s="40">
        <f t="shared" si="48"/>
        <v>0</v>
      </c>
      <c r="AQ141" s="40">
        <f t="shared" si="46"/>
        <v>0</v>
      </c>
      <c r="AR141" s="39"/>
      <c r="AS141" s="40">
        <f t="shared" si="49"/>
        <v>0</v>
      </c>
      <c r="AU141" s="40">
        <f t="shared" si="50"/>
        <v>0</v>
      </c>
      <c r="AV141" s="39"/>
      <c r="AW141" s="40">
        <f t="shared" si="51"/>
        <v>0</v>
      </c>
      <c r="AX141" s="40">
        <f t="shared" si="47"/>
        <v>0</v>
      </c>
      <c r="AY141" s="39"/>
      <c r="AZ141" s="121">
        <f t="shared" si="52"/>
        <v>0</v>
      </c>
      <c r="BB141" s="86"/>
      <c r="BC141" s="86"/>
      <c r="BF141" s="86"/>
      <c r="BI141" s="41">
        <f>SUMIFS('Nam-Kế hoạch'!$E$2:$E$100,'Nam-Kế hoạch'!$A$2:$A$100,$H141,'Nam-Kế hoạch'!$C$2:$C$100,$F141)</f>
        <v>0</v>
      </c>
      <c r="BJ141" s="41">
        <f t="shared" si="53"/>
        <v>0</v>
      </c>
    </row>
    <row r="142" spans="2:62" x14ac:dyDescent="0.25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94"/>
      <c r="M142" s="94"/>
      <c r="O142" s="40"/>
      <c r="P142" s="40"/>
      <c r="Q142" s="40"/>
      <c r="R142" s="40">
        <f t="shared" si="45"/>
        <v>0</v>
      </c>
      <c r="S142" s="41"/>
      <c r="T142" s="40"/>
      <c r="U142" s="40"/>
      <c r="V142" s="40"/>
      <c r="W142" s="42">
        <f t="shared" si="44"/>
        <v>0</v>
      </c>
      <c r="X142" s="41"/>
      <c r="Y142" s="40"/>
      <c r="Z142" s="131"/>
      <c r="AA142" s="131"/>
      <c r="AB142" s="40"/>
      <c r="AC142" s="41"/>
      <c r="AD142" s="40">
        <f t="shared" si="29"/>
        <v>0</v>
      </c>
      <c r="AE142" s="40">
        <f t="shared" si="30"/>
        <v>0</v>
      </c>
      <c r="AF142" s="40">
        <f t="shared" si="31"/>
        <v>0</v>
      </c>
      <c r="AG142" s="40"/>
      <c r="AH142" s="41"/>
      <c r="AI142" s="43">
        <f>-SUMIFS(Data_FAGLL03[Amount in local currency],Data_FAGLL03[SO],$H142,Data_FAGLL03[Material],$F142)</f>
        <v>0</v>
      </c>
      <c r="AJ142" s="40">
        <f t="shared" si="32"/>
        <v>0</v>
      </c>
      <c r="AK142" s="40">
        <f t="shared" si="33"/>
        <v>0</v>
      </c>
      <c r="AL142" s="44">
        <f t="shared" si="34"/>
        <v>0</v>
      </c>
      <c r="AN142" s="40">
        <f t="shared" si="35"/>
        <v>0</v>
      </c>
      <c r="AO142" s="39"/>
      <c r="AP142" s="40">
        <f t="shared" si="48"/>
        <v>0</v>
      </c>
      <c r="AQ142" s="40">
        <f t="shared" si="46"/>
        <v>0</v>
      </c>
      <c r="AR142" s="39"/>
      <c r="AS142" s="40">
        <f t="shared" si="49"/>
        <v>0</v>
      </c>
      <c r="AU142" s="40">
        <f t="shared" si="50"/>
        <v>0</v>
      </c>
      <c r="AV142" s="39"/>
      <c r="AW142" s="40">
        <f t="shared" si="51"/>
        <v>0</v>
      </c>
      <c r="AX142" s="40">
        <f t="shared" si="47"/>
        <v>0</v>
      </c>
      <c r="AY142" s="39"/>
      <c r="AZ142" s="121">
        <f t="shared" si="52"/>
        <v>0</v>
      </c>
      <c r="BB142" s="86"/>
      <c r="BC142" s="86"/>
      <c r="BF142" s="86"/>
      <c r="BI142" s="41">
        <f>SUMIFS('Nam-Kế hoạch'!$E$2:$E$100,'Nam-Kế hoạch'!$A$2:$A$100,$H142,'Nam-Kế hoạch'!$C$2:$C$100,$F142)</f>
        <v>0</v>
      </c>
      <c r="BJ142" s="41">
        <f t="shared" si="53"/>
        <v>0</v>
      </c>
    </row>
    <row r="143" spans="2:62" x14ac:dyDescent="0.25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94"/>
      <c r="M143" s="94"/>
      <c r="O143" s="40"/>
      <c r="P143" s="40"/>
      <c r="Q143" s="40"/>
      <c r="R143" s="40">
        <f t="shared" si="45"/>
        <v>0</v>
      </c>
      <c r="S143" s="41"/>
      <c r="T143" s="40"/>
      <c r="U143" s="40"/>
      <c r="V143" s="40"/>
      <c r="W143" s="42">
        <f t="shared" si="44"/>
        <v>0</v>
      </c>
      <c r="X143" s="41"/>
      <c r="Y143" s="40"/>
      <c r="Z143" s="131"/>
      <c r="AA143" s="131"/>
      <c r="AB143" s="40"/>
      <c r="AC143" s="41"/>
      <c r="AD143" s="40">
        <f t="shared" si="29"/>
        <v>0</v>
      </c>
      <c r="AE143" s="40">
        <f t="shared" si="30"/>
        <v>0</v>
      </c>
      <c r="AF143" s="40">
        <f t="shared" si="31"/>
        <v>0</v>
      </c>
      <c r="AG143" s="40"/>
      <c r="AH143" s="41"/>
      <c r="AI143" s="43">
        <f>-SUMIFS(Data_FAGLL03[Amount in local currency],Data_FAGLL03[SO],$H143,Data_FAGLL03[Material],$F143)</f>
        <v>0</v>
      </c>
      <c r="AJ143" s="40">
        <f t="shared" ref="AJ143:AJ150" si="54">P143*AE143</f>
        <v>0</v>
      </c>
      <c r="AK143" s="40">
        <f t="shared" ref="AK143:AK150" si="55">Q143*AF143</f>
        <v>0</v>
      </c>
      <c r="AL143" s="44">
        <f t="shared" ref="AL143:AL150" si="56">SUM(AI143:AK143)</f>
        <v>0</v>
      </c>
      <c r="AN143" s="40">
        <f t="shared" si="35"/>
        <v>0</v>
      </c>
      <c r="AO143" s="39"/>
      <c r="AP143" s="40">
        <f t="shared" si="48"/>
        <v>0</v>
      </c>
      <c r="AQ143" s="40">
        <f t="shared" si="46"/>
        <v>0</v>
      </c>
      <c r="AR143" s="39"/>
      <c r="AS143" s="40">
        <f t="shared" si="49"/>
        <v>0</v>
      </c>
      <c r="AU143" s="40">
        <f t="shared" si="50"/>
        <v>0</v>
      </c>
      <c r="AV143" s="39"/>
      <c r="AW143" s="40">
        <f t="shared" si="51"/>
        <v>0</v>
      </c>
      <c r="AX143" s="40">
        <f t="shared" si="47"/>
        <v>0</v>
      </c>
      <c r="AY143" s="39"/>
      <c r="AZ143" s="121">
        <f t="shared" si="52"/>
        <v>0</v>
      </c>
      <c r="BB143" s="86"/>
      <c r="BC143" s="86"/>
      <c r="BF143" s="86"/>
      <c r="BI143" s="41">
        <f>SUMIFS('Nam-Kế hoạch'!$E$2:$E$100,'Nam-Kế hoạch'!$A$2:$A$100,$H143,'Nam-Kế hoạch'!$C$2:$C$100,$F143)</f>
        <v>0</v>
      </c>
      <c r="BJ143" s="41">
        <f t="shared" si="53"/>
        <v>0</v>
      </c>
    </row>
    <row r="144" spans="2:62" x14ac:dyDescent="0.25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94"/>
      <c r="M144" s="94"/>
      <c r="O144" s="40"/>
      <c r="P144" s="40"/>
      <c r="Q144" s="40"/>
      <c r="R144" s="40"/>
      <c r="S144" s="41"/>
      <c r="T144" s="40"/>
      <c r="U144" s="40"/>
      <c r="V144" s="40"/>
      <c r="W144" s="42"/>
      <c r="X144" s="41"/>
      <c r="Y144" s="40"/>
      <c r="Z144" s="131"/>
      <c r="AA144" s="131"/>
      <c r="AB144" s="40"/>
      <c r="AC144" s="41"/>
      <c r="AD144" s="40"/>
      <c r="AE144" s="40"/>
      <c r="AF144" s="40"/>
      <c r="AG144" s="40"/>
      <c r="AH144" s="41"/>
      <c r="AI144" s="43">
        <f>-SUMIFS(Data_FAGLL03[Amount in local currency],Data_FAGLL03[SO],$H144,Data_FAGLL03[Material],$F144)</f>
        <v>0</v>
      </c>
      <c r="AJ144" s="40">
        <f t="shared" si="54"/>
        <v>0</v>
      </c>
      <c r="AK144" s="40">
        <f t="shared" si="55"/>
        <v>0</v>
      </c>
      <c r="AL144" s="44">
        <f t="shared" si="56"/>
        <v>0</v>
      </c>
      <c r="AN144" s="39"/>
      <c r="AO144" s="39"/>
      <c r="AP144" s="39"/>
      <c r="AQ144" s="39"/>
      <c r="AR144" s="39"/>
      <c r="AS144" s="40">
        <f t="shared" si="49"/>
        <v>0</v>
      </c>
      <c r="AU144" s="40">
        <f t="shared" si="50"/>
        <v>0</v>
      </c>
      <c r="AV144" s="39"/>
      <c r="AW144" s="40">
        <f t="shared" si="51"/>
        <v>0</v>
      </c>
      <c r="AX144" s="40">
        <f t="shared" si="47"/>
        <v>0</v>
      </c>
      <c r="AY144" s="39"/>
      <c r="AZ144" s="121">
        <f t="shared" si="52"/>
        <v>0</v>
      </c>
      <c r="BB144" s="86"/>
      <c r="BC144" s="86"/>
      <c r="BF144" s="86"/>
      <c r="BI144" s="41">
        <f>SUMIFS('Nam-Kế hoạch'!$E$2:$E$100,'Nam-Kế hoạch'!$A$2:$A$100,$H144,'Nam-Kế hoạch'!$C$2:$C$100,$F144)</f>
        <v>0</v>
      </c>
      <c r="BJ144" s="41">
        <f t="shared" si="53"/>
        <v>0</v>
      </c>
    </row>
    <row r="145" spans="1:62" x14ac:dyDescent="0.25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94"/>
      <c r="M145" s="94"/>
      <c r="O145" s="40"/>
      <c r="P145" s="40"/>
      <c r="Q145" s="40"/>
      <c r="R145" s="40">
        <f t="shared" si="45"/>
        <v>0</v>
      </c>
      <c r="S145" s="41"/>
      <c r="T145" s="40"/>
      <c r="U145" s="40"/>
      <c r="V145" s="40"/>
      <c r="W145" s="42">
        <f t="shared" si="44"/>
        <v>0</v>
      </c>
      <c r="X145" s="41"/>
      <c r="Y145" s="40"/>
      <c r="Z145" s="131"/>
      <c r="AA145" s="131"/>
      <c r="AB145" s="40"/>
      <c r="AC145" s="41"/>
      <c r="AD145" s="40">
        <f t="shared" si="29"/>
        <v>0</v>
      </c>
      <c r="AE145" s="40">
        <f t="shared" si="30"/>
        <v>0</v>
      </c>
      <c r="AF145" s="40">
        <f t="shared" si="31"/>
        <v>0</v>
      </c>
      <c r="AG145" s="40"/>
      <c r="AH145" s="41"/>
      <c r="AI145" s="43">
        <f>-SUMIFS(Data_FAGLL03[Amount in local currency],Data_FAGLL03[SO],$H145,Data_FAGLL03[Material],$F145)</f>
        <v>0</v>
      </c>
      <c r="AJ145" s="40">
        <f t="shared" si="54"/>
        <v>0</v>
      </c>
      <c r="AK145" s="40">
        <f t="shared" si="55"/>
        <v>0</v>
      </c>
      <c r="AL145" s="44">
        <f t="shared" si="56"/>
        <v>0</v>
      </c>
      <c r="AN145" s="39"/>
      <c r="AO145" s="39"/>
      <c r="AP145" s="39"/>
      <c r="AQ145" s="39"/>
      <c r="AR145" s="39"/>
      <c r="AS145" s="40">
        <f t="shared" si="49"/>
        <v>0</v>
      </c>
      <c r="AU145" s="40">
        <f t="shared" si="50"/>
        <v>0</v>
      </c>
      <c r="AV145" s="39"/>
      <c r="AW145" s="40">
        <f t="shared" si="51"/>
        <v>0</v>
      </c>
      <c r="AX145" s="40">
        <f t="shared" si="47"/>
        <v>0</v>
      </c>
      <c r="AY145" s="39"/>
      <c r="AZ145" s="121">
        <f t="shared" si="52"/>
        <v>0</v>
      </c>
      <c r="BB145" s="86"/>
      <c r="BC145" s="86"/>
      <c r="BF145" s="86"/>
      <c r="BI145" s="41">
        <f>SUMIFS('Nam-Kế hoạch'!$E$2:$E$100,'Nam-Kế hoạch'!$A$2:$A$100,$H145,'Nam-Kế hoạch'!$C$2:$C$100,$F145)</f>
        <v>0</v>
      </c>
      <c r="BJ145" s="41">
        <f t="shared" si="53"/>
        <v>0</v>
      </c>
    </row>
    <row r="146" spans="1:62" x14ac:dyDescent="0.25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94"/>
      <c r="M146" s="94"/>
      <c r="O146" s="40"/>
      <c r="P146" s="40"/>
      <c r="Q146" s="40"/>
      <c r="R146" s="40">
        <f t="shared" si="45"/>
        <v>0</v>
      </c>
      <c r="S146" s="41"/>
      <c r="T146" s="40"/>
      <c r="U146" s="40"/>
      <c r="V146" s="40"/>
      <c r="W146" s="42">
        <f t="shared" si="44"/>
        <v>0</v>
      </c>
      <c r="X146" s="41"/>
      <c r="Y146" s="40"/>
      <c r="Z146" s="131"/>
      <c r="AA146" s="131"/>
      <c r="AB146" s="40"/>
      <c r="AC146" s="41"/>
      <c r="AD146" s="40">
        <f t="shared" si="29"/>
        <v>0</v>
      </c>
      <c r="AE146" s="40">
        <f t="shared" si="30"/>
        <v>0</v>
      </c>
      <c r="AF146" s="40">
        <f t="shared" si="31"/>
        <v>0</v>
      </c>
      <c r="AG146" s="40"/>
      <c r="AH146" s="41"/>
      <c r="AI146" s="43">
        <f>-SUMIFS(Data_FAGLL03[Amount in local currency],Data_FAGLL03[SO],$H146,Data_FAGLL03[Material],$F146)</f>
        <v>0</v>
      </c>
      <c r="AJ146" s="40">
        <f t="shared" si="54"/>
        <v>0</v>
      </c>
      <c r="AK146" s="40">
        <f t="shared" si="55"/>
        <v>0</v>
      </c>
      <c r="AL146" s="44">
        <f t="shared" si="56"/>
        <v>0</v>
      </c>
      <c r="AN146" s="39"/>
      <c r="AO146" s="39"/>
      <c r="AP146" s="39"/>
      <c r="AQ146" s="39"/>
      <c r="AR146" s="39"/>
      <c r="AS146" s="40">
        <f t="shared" si="49"/>
        <v>0</v>
      </c>
      <c r="AU146" s="40">
        <f t="shared" si="50"/>
        <v>0</v>
      </c>
      <c r="AV146" s="39"/>
      <c r="AW146" s="40">
        <f t="shared" si="51"/>
        <v>0</v>
      </c>
      <c r="AX146" s="40">
        <f t="shared" si="47"/>
        <v>0</v>
      </c>
      <c r="AY146" s="39"/>
      <c r="AZ146" s="121">
        <f t="shared" si="52"/>
        <v>0</v>
      </c>
      <c r="BB146" s="86"/>
      <c r="BC146" s="86"/>
      <c r="BF146" s="86"/>
      <c r="BI146" s="41">
        <f>SUMIFS('Nam-Kế hoạch'!$E$2:$E$100,'Nam-Kế hoạch'!$A$2:$A$100,$H146,'Nam-Kế hoạch'!$C$2:$C$100,$F146)</f>
        <v>0</v>
      </c>
      <c r="BJ146" s="41">
        <f t="shared" si="53"/>
        <v>0</v>
      </c>
    </row>
    <row r="147" spans="1:62" x14ac:dyDescent="0.25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94"/>
      <c r="M147" s="94"/>
      <c r="O147" s="40"/>
      <c r="P147" s="40"/>
      <c r="Q147" s="40"/>
      <c r="R147" s="40">
        <f t="shared" si="45"/>
        <v>0</v>
      </c>
      <c r="S147" s="41"/>
      <c r="T147" s="40"/>
      <c r="U147" s="40"/>
      <c r="V147" s="40"/>
      <c r="W147" s="42">
        <f t="shared" si="44"/>
        <v>0</v>
      </c>
      <c r="X147" s="41"/>
      <c r="Y147" s="40"/>
      <c r="Z147" s="131"/>
      <c r="AA147" s="131"/>
      <c r="AB147" s="40"/>
      <c r="AC147" s="41"/>
      <c r="AD147" s="40">
        <f t="shared" si="29"/>
        <v>0</v>
      </c>
      <c r="AE147" s="40">
        <f t="shared" si="30"/>
        <v>0</v>
      </c>
      <c r="AF147" s="40">
        <f t="shared" si="31"/>
        <v>0</v>
      </c>
      <c r="AG147" s="40"/>
      <c r="AH147" s="41"/>
      <c r="AI147" s="43">
        <f>-SUMIFS(Data_FAGLL03[Amount in local currency],Data_FAGLL03[SO],$H147,Data_FAGLL03[Material],$F147)</f>
        <v>0</v>
      </c>
      <c r="AJ147" s="40">
        <f t="shared" si="54"/>
        <v>0</v>
      </c>
      <c r="AK147" s="40">
        <f t="shared" si="55"/>
        <v>0</v>
      </c>
      <c r="AL147" s="44">
        <f t="shared" si="56"/>
        <v>0</v>
      </c>
      <c r="AN147" s="39"/>
      <c r="AO147" s="39"/>
      <c r="AP147" s="39"/>
      <c r="AQ147" s="39"/>
      <c r="AR147" s="39"/>
      <c r="AS147" s="40">
        <f t="shared" si="49"/>
        <v>0</v>
      </c>
      <c r="AU147" s="40">
        <f t="shared" si="50"/>
        <v>0</v>
      </c>
      <c r="AV147" s="39"/>
      <c r="AW147" s="40">
        <f t="shared" si="51"/>
        <v>0</v>
      </c>
      <c r="AX147" s="40">
        <f t="shared" si="47"/>
        <v>0</v>
      </c>
      <c r="AY147" s="39"/>
      <c r="AZ147" s="121">
        <f t="shared" si="52"/>
        <v>0</v>
      </c>
      <c r="BB147" s="86"/>
      <c r="BC147" s="86"/>
      <c r="BF147" s="86"/>
      <c r="BI147" s="41">
        <f>SUMIFS('Nam-Kế hoạch'!$E$2:$E$100,'Nam-Kế hoạch'!$A$2:$A$100,$H147,'Nam-Kế hoạch'!$C$2:$C$100,$F147)</f>
        <v>0</v>
      </c>
      <c r="BJ147" s="41">
        <f t="shared" si="53"/>
        <v>0</v>
      </c>
    </row>
    <row r="148" spans="1:62" x14ac:dyDescent="0.25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94"/>
      <c r="M148" s="94"/>
      <c r="O148" s="40"/>
      <c r="P148" s="40"/>
      <c r="Q148" s="40"/>
      <c r="R148" s="40">
        <f t="shared" si="45"/>
        <v>0</v>
      </c>
      <c r="S148" s="41"/>
      <c r="T148" s="40"/>
      <c r="U148" s="40"/>
      <c r="V148" s="40"/>
      <c r="W148" s="42">
        <f t="shared" si="44"/>
        <v>0</v>
      </c>
      <c r="X148" s="41"/>
      <c r="Y148" s="40"/>
      <c r="Z148" s="131"/>
      <c r="AA148" s="131"/>
      <c r="AB148" s="40"/>
      <c r="AC148" s="41"/>
      <c r="AD148" s="40">
        <f t="shared" si="29"/>
        <v>0</v>
      </c>
      <c r="AE148" s="40">
        <f t="shared" si="30"/>
        <v>0</v>
      </c>
      <c r="AF148" s="40">
        <f t="shared" si="31"/>
        <v>0</v>
      </c>
      <c r="AG148" s="40"/>
      <c r="AH148" s="41"/>
      <c r="AI148" s="43">
        <f>-SUMIFS(Data_FAGLL03[Amount in local currency],Data_FAGLL03[SO],$H148,Data_FAGLL03[Material],$F148)</f>
        <v>0</v>
      </c>
      <c r="AJ148" s="40">
        <f t="shared" si="54"/>
        <v>0</v>
      </c>
      <c r="AK148" s="40">
        <f t="shared" si="55"/>
        <v>0</v>
      </c>
      <c r="AL148" s="44">
        <f t="shared" si="56"/>
        <v>0</v>
      </c>
      <c r="AN148" s="39"/>
      <c r="AO148" s="39"/>
      <c r="AP148" s="39"/>
      <c r="AQ148" s="39"/>
      <c r="AR148" s="39"/>
      <c r="AS148" s="40">
        <f t="shared" si="49"/>
        <v>0</v>
      </c>
      <c r="AU148" s="40">
        <f t="shared" si="50"/>
        <v>0</v>
      </c>
      <c r="AV148" s="39"/>
      <c r="AW148" s="40">
        <f t="shared" si="51"/>
        <v>0</v>
      </c>
      <c r="AX148" s="40">
        <f t="shared" si="47"/>
        <v>0</v>
      </c>
      <c r="AY148" s="39"/>
      <c r="AZ148" s="121">
        <f t="shared" si="52"/>
        <v>0</v>
      </c>
      <c r="BB148" s="86"/>
      <c r="BC148" s="86"/>
      <c r="BF148" s="86"/>
      <c r="BI148" s="41">
        <f>SUMIFS('Nam-Kế hoạch'!$E$2:$E$100,'Nam-Kế hoạch'!$A$2:$A$100,$H148,'Nam-Kế hoạch'!$C$2:$C$100,$F148)</f>
        <v>0</v>
      </c>
      <c r="BJ148" s="41">
        <f t="shared" si="53"/>
        <v>0</v>
      </c>
    </row>
    <row r="149" spans="1:62" x14ac:dyDescent="0.25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94"/>
      <c r="M149" s="94"/>
      <c r="O149" s="40"/>
      <c r="P149" s="40"/>
      <c r="Q149" s="40"/>
      <c r="R149" s="40">
        <f t="shared" si="45"/>
        <v>0</v>
      </c>
      <c r="S149" s="41"/>
      <c r="T149" s="40"/>
      <c r="U149" s="40"/>
      <c r="V149" s="40"/>
      <c r="W149" s="42">
        <f t="shared" si="44"/>
        <v>0</v>
      </c>
      <c r="X149" s="41"/>
      <c r="Y149" s="40"/>
      <c r="Z149" s="131"/>
      <c r="AA149" s="131"/>
      <c r="AB149" s="40"/>
      <c r="AC149" s="41"/>
      <c r="AD149" s="40">
        <f t="shared" si="29"/>
        <v>0</v>
      </c>
      <c r="AE149" s="40">
        <f t="shared" si="30"/>
        <v>0</v>
      </c>
      <c r="AF149" s="40">
        <f t="shared" si="31"/>
        <v>0</v>
      </c>
      <c r="AG149" s="40"/>
      <c r="AH149" s="41"/>
      <c r="AI149" s="43">
        <f>-SUMIFS(Data_FAGLL03[Amount in local currency],Data_FAGLL03[SO],$H149,Data_FAGLL03[Material],$F149)</f>
        <v>0</v>
      </c>
      <c r="AJ149" s="40">
        <f t="shared" si="54"/>
        <v>0</v>
      </c>
      <c r="AK149" s="40">
        <f t="shared" si="55"/>
        <v>0</v>
      </c>
      <c r="AL149" s="44">
        <f t="shared" si="56"/>
        <v>0</v>
      </c>
      <c r="AN149" s="39"/>
      <c r="AO149" s="39"/>
      <c r="AP149" s="39"/>
      <c r="AQ149" s="39"/>
      <c r="AR149" s="39"/>
      <c r="AS149" s="40">
        <f t="shared" si="49"/>
        <v>0</v>
      </c>
      <c r="AU149" s="40">
        <f t="shared" si="50"/>
        <v>0</v>
      </c>
      <c r="AV149" s="39"/>
      <c r="AW149" s="40">
        <f t="shared" si="51"/>
        <v>0</v>
      </c>
      <c r="AX149" s="40">
        <f t="shared" si="47"/>
        <v>0</v>
      </c>
      <c r="AY149" s="39"/>
      <c r="AZ149" s="121">
        <f t="shared" si="52"/>
        <v>0</v>
      </c>
      <c r="BB149" s="86"/>
      <c r="BC149" s="86"/>
      <c r="BF149" s="86"/>
      <c r="BI149" s="41">
        <f>SUMIFS('Nam-Kế hoạch'!$E$2:$E$100,'Nam-Kế hoạch'!$A$2:$A$100,$H149,'Nam-Kế hoạch'!$C$2:$C$100,$F149)</f>
        <v>0</v>
      </c>
      <c r="BJ149" s="41">
        <f t="shared" si="53"/>
        <v>0</v>
      </c>
    </row>
    <row r="150" spans="1:62" s="46" customFormat="1" ht="13.8" thickBot="1" x14ac:dyDescent="0.3">
      <c r="A150" s="139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95"/>
      <c r="M150" s="95"/>
      <c r="O150" s="47"/>
      <c r="P150" s="47"/>
      <c r="Q150" s="47"/>
      <c r="R150" s="47">
        <f t="shared" si="45"/>
        <v>0</v>
      </c>
      <c r="S150" s="48"/>
      <c r="T150" s="47"/>
      <c r="U150" s="47"/>
      <c r="V150" s="47"/>
      <c r="W150" s="49">
        <f t="shared" si="44"/>
        <v>0</v>
      </c>
      <c r="X150" s="48"/>
      <c r="Y150" s="47"/>
      <c r="Z150" s="132"/>
      <c r="AA150" s="132"/>
      <c r="AB150" s="47"/>
      <c r="AC150" s="48"/>
      <c r="AD150" s="47">
        <f t="shared" si="29"/>
        <v>0</v>
      </c>
      <c r="AE150" s="47">
        <f t="shared" si="30"/>
        <v>0</v>
      </c>
      <c r="AF150" s="47">
        <f t="shared" si="31"/>
        <v>0</v>
      </c>
      <c r="AG150" s="47"/>
      <c r="AH150" s="48"/>
      <c r="AI150" s="50">
        <f>-SUMIFS(Data_FAGLL03[Amount in local currency],Data_FAGLL03[SO],$H150,Data_FAGLL03[Material],$F150)</f>
        <v>0</v>
      </c>
      <c r="AJ150" s="51">
        <f t="shared" si="54"/>
        <v>0</v>
      </c>
      <c r="AK150" s="51">
        <f t="shared" si="55"/>
        <v>0</v>
      </c>
      <c r="AL150" s="52">
        <f t="shared" si="56"/>
        <v>0</v>
      </c>
      <c r="AN150" s="45"/>
      <c r="AO150" s="45"/>
      <c r="AP150" s="45"/>
      <c r="AQ150" s="45"/>
      <c r="AR150" s="45"/>
      <c r="AS150" s="47">
        <f t="shared" si="49"/>
        <v>0</v>
      </c>
      <c r="AU150" s="47">
        <f t="shared" si="50"/>
        <v>0</v>
      </c>
      <c r="AV150" s="45"/>
      <c r="AW150" s="47">
        <f t="shared" si="51"/>
        <v>0</v>
      </c>
      <c r="AX150" s="47">
        <f t="shared" si="47"/>
        <v>0</v>
      </c>
      <c r="AY150" s="45"/>
      <c r="AZ150" s="146">
        <f t="shared" si="52"/>
        <v>0</v>
      </c>
      <c r="BB150" s="150"/>
      <c r="BC150" s="150"/>
      <c r="BF150" s="150"/>
      <c r="BI150" s="48">
        <f>SUMIFS('Nam-Kế hoạch'!$E$2:$E$100,'Nam-Kế hoạch'!$A$2:$A$100,$H150,'Nam-Kế hoạch'!$C$2:$C$100,$F150)</f>
        <v>0</v>
      </c>
      <c r="BJ150" s="48">
        <f t="shared" si="53"/>
        <v>0</v>
      </c>
    </row>
  </sheetData>
  <autoFilter ref="A7:BM46" xr:uid="{C8325D1F-37CE-45AB-AAE6-73A7AE271D4C}"/>
  <mergeCells count="13">
    <mergeCell ref="BL4:BL6"/>
    <mergeCell ref="M4:M6"/>
    <mergeCell ref="B4:B6"/>
    <mergeCell ref="I4:I6"/>
    <mergeCell ref="H4:H6"/>
    <mergeCell ref="C4:C6"/>
    <mergeCell ref="L4:L6"/>
    <mergeCell ref="J4:J6"/>
    <mergeCell ref="K4:K6"/>
    <mergeCell ref="D4:D6"/>
    <mergeCell ref="E4:E6"/>
    <mergeCell ref="F4:F6"/>
    <mergeCell ref="G4:G6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2785-C347-4E91-8662-043388709C09}">
  <dimension ref="A1:I10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34" sqref="E34"/>
    </sheetView>
  </sheetViews>
  <sheetFormatPr defaultRowHeight="13.2" zeroHeight="1" x14ac:dyDescent="0.25"/>
  <cols>
    <col min="1" max="1" width="9" bestFit="1" customWidth="1"/>
    <col min="2" max="2" width="36.88671875" bestFit="1" customWidth="1"/>
    <col min="3" max="3" width="10.5546875" bestFit="1" customWidth="1"/>
    <col min="4" max="4" width="32.44140625" bestFit="1" customWidth="1"/>
    <col min="5" max="5" width="20.6640625" bestFit="1" customWidth="1"/>
    <col min="7" max="7" width="7" bestFit="1" customWidth="1"/>
    <col min="8" max="8" width="26.33203125" bestFit="1" customWidth="1"/>
  </cols>
  <sheetData>
    <row r="1" spans="1:9" x14ac:dyDescent="0.25">
      <c r="E1" t="s">
        <v>3039</v>
      </c>
    </row>
    <row r="2" spans="1:9" x14ac:dyDescent="0.25">
      <c r="A2" t="s">
        <v>2534</v>
      </c>
      <c r="B2" t="s">
        <v>35</v>
      </c>
      <c r="C2" t="s">
        <v>38</v>
      </c>
      <c r="D2" t="s">
        <v>288</v>
      </c>
      <c r="E2" s="18">
        <v>22000</v>
      </c>
      <c r="G2" t="s">
        <v>34</v>
      </c>
      <c r="H2" t="s">
        <v>35</v>
      </c>
      <c r="I2" t="b" cm="1">
        <f t="array" ref="I2">OR($A2='Working-T05-B1'!$H$8:$H$150)</f>
        <v>0</v>
      </c>
    </row>
    <row r="3" spans="1:9" x14ac:dyDescent="0.25">
      <c r="A3" t="s">
        <v>2557</v>
      </c>
      <c r="B3" t="s">
        <v>35</v>
      </c>
      <c r="C3" t="s">
        <v>38</v>
      </c>
      <c r="D3" t="s">
        <v>288</v>
      </c>
      <c r="E3" s="18">
        <v>88000</v>
      </c>
      <c r="G3" t="s">
        <v>34</v>
      </c>
      <c r="H3" t="s">
        <v>35</v>
      </c>
      <c r="I3" t="b" cm="1">
        <f t="array" ref="I3">OR($A3='Working-T05-B1'!$H$8:$H$150)</f>
        <v>0</v>
      </c>
    </row>
    <row r="4" spans="1:9" x14ac:dyDescent="0.25">
      <c r="A4" t="s">
        <v>2561</v>
      </c>
      <c r="B4" t="s">
        <v>2429</v>
      </c>
      <c r="C4" t="s">
        <v>44</v>
      </c>
      <c r="D4" t="s">
        <v>305</v>
      </c>
      <c r="E4" s="18">
        <v>5500</v>
      </c>
      <c r="G4" t="s">
        <v>8</v>
      </c>
      <c r="H4" t="s">
        <v>2616</v>
      </c>
      <c r="I4" t="b" cm="1">
        <f t="array" ref="I4">OR($A4='Working-T05-B1'!$H$8:$H$150)</f>
        <v>1</v>
      </c>
    </row>
    <row r="5" spans="1:9" x14ac:dyDescent="0.25">
      <c r="A5" t="s">
        <v>2561</v>
      </c>
      <c r="B5" t="s">
        <v>2429</v>
      </c>
      <c r="C5" t="s">
        <v>263</v>
      </c>
      <c r="D5" t="s">
        <v>315</v>
      </c>
      <c r="E5" s="18">
        <v>5500</v>
      </c>
      <c r="G5" t="s">
        <v>8</v>
      </c>
      <c r="H5" t="s">
        <v>2616</v>
      </c>
      <c r="I5" t="b" cm="1">
        <f t="array" ref="I5">OR($A5='Working-T05-B1'!$H$8:$H$150)</f>
        <v>1</v>
      </c>
    </row>
    <row r="6" spans="1:9" x14ac:dyDescent="0.25">
      <c r="A6" t="s">
        <v>2562</v>
      </c>
      <c r="B6" t="s">
        <v>49</v>
      </c>
      <c r="C6" t="s">
        <v>50</v>
      </c>
      <c r="D6" t="s">
        <v>704</v>
      </c>
      <c r="E6" s="18">
        <v>33000</v>
      </c>
      <c r="G6" t="s">
        <v>48</v>
      </c>
      <c r="H6" t="s">
        <v>49</v>
      </c>
      <c r="I6" t="b" cm="1">
        <f t="array" ref="I6">OR($A6='Working-T05-B1'!$H$8:$H$150)</f>
        <v>0</v>
      </c>
    </row>
    <row r="7" spans="1:9" x14ac:dyDescent="0.25">
      <c r="A7" t="s">
        <v>2597</v>
      </c>
      <c r="B7" t="s">
        <v>35</v>
      </c>
      <c r="C7" t="s">
        <v>38</v>
      </c>
      <c r="D7" t="s">
        <v>288</v>
      </c>
      <c r="E7" s="18">
        <v>33000</v>
      </c>
      <c r="G7" t="s">
        <v>2354</v>
      </c>
      <c r="H7" t="s">
        <v>2355</v>
      </c>
      <c r="I7" t="b" cm="1">
        <f t="array" ref="I7">OR($A7='Working-T05-B1'!$H$8:$H$150)</f>
        <v>1</v>
      </c>
    </row>
    <row r="8" spans="1:9" x14ac:dyDescent="0.25">
      <c r="A8" t="s">
        <v>2533</v>
      </c>
      <c r="B8" t="s">
        <v>2610</v>
      </c>
      <c r="C8" t="s">
        <v>799</v>
      </c>
      <c r="D8" t="s">
        <v>800</v>
      </c>
      <c r="E8" s="18">
        <v>4000</v>
      </c>
      <c r="G8" t="s">
        <v>2626</v>
      </c>
      <c r="H8" t="s">
        <v>2610</v>
      </c>
      <c r="I8" t="b" cm="1">
        <f t="array" ref="I8">OR($A8='Working-T05-B1'!$H$8:$H$150)</f>
        <v>0</v>
      </c>
    </row>
    <row r="9" spans="1:9" x14ac:dyDescent="0.25">
      <c r="A9" t="s">
        <v>2533</v>
      </c>
      <c r="B9" t="s">
        <v>2610</v>
      </c>
      <c r="C9" t="s">
        <v>796</v>
      </c>
      <c r="D9" t="s">
        <v>797</v>
      </c>
      <c r="E9" s="18">
        <v>20000</v>
      </c>
      <c r="G9" t="s">
        <v>2626</v>
      </c>
      <c r="H9" t="s">
        <v>2610</v>
      </c>
      <c r="I9" t="b" cm="1">
        <f t="array" ref="I9">OR($A9='Working-T05-B1'!$H$8:$H$150)</f>
        <v>0</v>
      </c>
    </row>
    <row r="10" spans="1:9" x14ac:dyDescent="0.25">
      <c r="A10" t="s">
        <v>2587</v>
      </c>
      <c r="B10" t="s">
        <v>35</v>
      </c>
      <c r="C10" t="s">
        <v>36</v>
      </c>
      <c r="D10" t="s">
        <v>412</v>
      </c>
      <c r="E10" s="18">
        <v>11000</v>
      </c>
      <c r="G10" t="s">
        <v>2354</v>
      </c>
      <c r="H10" t="s">
        <v>2355</v>
      </c>
      <c r="I10" t="b" cm="1">
        <f t="array" ref="I10">OR($A10='Working-T05-B1'!$H$8:$H$150)</f>
        <v>1</v>
      </c>
    </row>
    <row r="11" spans="1:9" x14ac:dyDescent="0.25">
      <c r="A11" t="s">
        <v>2586</v>
      </c>
      <c r="B11" t="s">
        <v>56</v>
      </c>
      <c r="C11" t="s">
        <v>257</v>
      </c>
      <c r="D11" t="s">
        <v>3030</v>
      </c>
      <c r="E11" s="18">
        <v>18000</v>
      </c>
      <c r="G11" t="s">
        <v>55</v>
      </c>
      <c r="H11" t="s">
        <v>56</v>
      </c>
      <c r="I11" t="b" cm="1">
        <f t="array" ref="I11">OR($A11='Working-T05-B1'!$H$8:$H$150)</f>
        <v>1</v>
      </c>
    </row>
    <row r="12" spans="1:9" x14ac:dyDescent="0.25">
      <c r="A12" t="s">
        <v>2599</v>
      </c>
      <c r="B12" t="s">
        <v>35</v>
      </c>
      <c r="C12" t="s">
        <v>261</v>
      </c>
      <c r="D12" t="s">
        <v>805</v>
      </c>
      <c r="E12" s="18">
        <v>22000</v>
      </c>
      <c r="G12" t="s">
        <v>34</v>
      </c>
      <c r="H12" t="s">
        <v>35</v>
      </c>
      <c r="I12" t="b" cm="1">
        <f t="array" ref="I12">OR($A12='Working-T05-B1'!$H$8:$H$150)</f>
        <v>0</v>
      </c>
    </row>
    <row r="13" spans="1:9" x14ac:dyDescent="0.25">
      <c r="A13" t="s">
        <v>2588</v>
      </c>
      <c r="B13" t="s">
        <v>2429</v>
      </c>
      <c r="C13" t="s">
        <v>309</v>
      </c>
      <c r="D13" t="s">
        <v>310</v>
      </c>
      <c r="E13" s="18">
        <v>5500</v>
      </c>
      <c r="G13" t="s">
        <v>34</v>
      </c>
      <c r="H13" t="s">
        <v>35</v>
      </c>
      <c r="I13" t="b" cm="1">
        <f t="array" ref="I13">OR($A13='Working-T05-B1'!$H$8:$H$150)</f>
        <v>1</v>
      </c>
    </row>
    <row r="14" spans="1:9" x14ac:dyDescent="0.25">
      <c r="A14" t="s">
        <v>2600</v>
      </c>
      <c r="B14" t="s">
        <v>2623</v>
      </c>
      <c r="C14" t="s">
        <v>799</v>
      </c>
      <c r="D14" t="s">
        <v>800</v>
      </c>
      <c r="E14" s="18">
        <v>400</v>
      </c>
      <c r="G14" t="s">
        <v>2635</v>
      </c>
      <c r="H14" t="s">
        <v>2623</v>
      </c>
      <c r="I14" t="b" cm="1">
        <f t="array" ref="I14">OR($A14='Working-T05-B1'!$H$8:$H$150)</f>
        <v>1</v>
      </c>
    </row>
    <row r="15" spans="1:9" x14ac:dyDescent="0.25">
      <c r="A15" t="s">
        <v>3031</v>
      </c>
      <c r="B15" t="s">
        <v>2623</v>
      </c>
      <c r="C15" t="s">
        <v>1044</v>
      </c>
      <c r="D15" t="s">
        <v>1045</v>
      </c>
      <c r="E15" s="18">
        <v>25</v>
      </c>
      <c r="G15" t="s">
        <v>2635</v>
      </c>
      <c r="H15" t="s">
        <v>2623</v>
      </c>
      <c r="I15" t="b" cm="1">
        <f t="array" ref="I15">OR($A15='Working-T05-B1'!$H$8:$H$150)</f>
        <v>0</v>
      </c>
    </row>
    <row r="16" spans="1:9" x14ac:dyDescent="0.25">
      <c r="A16" t="s">
        <v>2531</v>
      </c>
      <c r="B16" t="s">
        <v>2480</v>
      </c>
      <c r="C16" t="s">
        <v>273</v>
      </c>
      <c r="D16" t="s">
        <v>3032</v>
      </c>
      <c r="E16" s="18">
        <v>11000</v>
      </c>
      <c r="G16" t="s">
        <v>2479</v>
      </c>
      <c r="H16" t="s">
        <v>2480</v>
      </c>
      <c r="I16" t="b" cm="1">
        <f t="array" ref="I16">OR($A16='Working-T05-B1'!$H$8:$H$150)</f>
        <v>1</v>
      </c>
    </row>
    <row r="17" spans="1:9" x14ac:dyDescent="0.25">
      <c r="A17" t="s">
        <v>2545</v>
      </c>
      <c r="B17" t="s">
        <v>35</v>
      </c>
      <c r="C17" t="s">
        <v>33</v>
      </c>
      <c r="D17" t="s">
        <v>296</v>
      </c>
      <c r="E17" s="18">
        <v>22000</v>
      </c>
      <c r="G17" t="s">
        <v>34</v>
      </c>
      <c r="H17" t="s">
        <v>35</v>
      </c>
      <c r="I17" t="b" cm="1">
        <f t="array" ref="I17">OR($A17='Working-T05-B1'!$H$8:$H$150)</f>
        <v>0</v>
      </c>
    </row>
    <row r="18" spans="1:9" x14ac:dyDescent="0.25">
      <c r="A18" t="s">
        <v>2552</v>
      </c>
      <c r="B18" t="s">
        <v>3033</v>
      </c>
      <c r="C18" t="s">
        <v>700</v>
      </c>
      <c r="D18" t="s">
        <v>701</v>
      </c>
      <c r="E18" s="18">
        <v>30750</v>
      </c>
      <c r="G18" t="s">
        <v>2032</v>
      </c>
      <c r="H18" t="s">
        <v>2615</v>
      </c>
      <c r="I18" t="b" cm="1">
        <f t="array" ref="I18">OR($A18='Working-T05-B1'!$H$8:$H$150)</f>
        <v>0</v>
      </c>
    </row>
    <row r="19" spans="1:9" x14ac:dyDescent="0.25">
      <c r="A19" t="s">
        <v>2550</v>
      </c>
      <c r="B19" t="s">
        <v>46</v>
      </c>
      <c r="C19" t="s">
        <v>33</v>
      </c>
      <c r="D19" t="s">
        <v>296</v>
      </c>
      <c r="E19" s="18">
        <v>11000</v>
      </c>
      <c r="G19" t="s">
        <v>45</v>
      </c>
      <c r="H19" t="s">
        <v>46</v>
      </c>
      <c r="I19" t="b" cm="1">
        <f t="array" ref="I19">OR($A19='Working-T05-B1'!$H$8:$H$150)</f>
        <v>0</v>
      </c>
    </row>
    <row r="20" spans="1:9" x14ac:dyDescent="0.25">
      <c r="A20" t="s">
        <v>2569</v>
      </c>
      <c r="B20" t="s">
        <v>259</v>
      </c>
      <c r="C20" t="s">
        <v>32</v>
      </c>
      <c r="D20" t="s">
        <v>279</v>
      </c>
      <c r="E20" s="18">
        <v>22000</v>
      </c>
      <c r="G20" t="s">
        <v>258</v>
      </c>
      <c r="H20" t="s">
        <v>259</v>
      </c>
      <c r="I20" t="b" cm="1">
        <f t="array" ref="I20">OR($A20='Working-T05-B1'!$H$8:$H$150)</f>
        <v>0</v>
      </c>
    </row>
    <row r="21" spans="1:9" x14ac:dyDescent="0.25">
      <c r="A21" t="s">
        <v>2570</v>
      </c>
      <c r="B21" t="s">
        <v>2869</v>
      </c>
      <c r="C21" t="s">
        <v>32</v>
      </c>
      <c r="D21" t="s">
        <v>279</v>
      </c>
      <c r="E21" s="18">
        <v>66000</v>
      </c>
      <c r="G21" t="s">
        <v>2625</v>
      </c>
      <c r="H21" t="s">
        <v>2607</v>
      </c>
      <c r="I21" t="b" cm="1">
        <f t="array" ref="I21">OR($A21='Working-T05-B1'!$H$8:$H$150)</f>
        <v>0</v>
      </c>
    </row>
    <row r="22" spans="1:9" x14ac:dyDescent="0.25">
      <c r="A22" t="s">
        <v>2542</v>
      </c>
      <c r="B22" t="s">
        <v>2611</v>
      </c>
      <c r="C22" t="s">
        <v>33</v>
      </c>
      <c r="D22" t="s">
        <v>296</v>
      </c>
      <c r="E22" s="18">
        <v>44000</v>
      </c>
      <c r="G22" t="s">
        <v>2627</v>
      </c>
      <c r="H22" t="s">
        <v>2611</v>
      </c>
      <c r="I22" t="b" cm="1">
        <f t="array" ref="I22">OR($A22='Working-T05-B1'!$H$8:$H$150)</f>
        <v>0</v>
      </c>
    </row>
    <row r="23" spans="1:9" x14ac:dyDescent="0.25">
      <c r="A23" t="s">
        <v>2568</v>
      </c>
      <c r="B23" t="s">
        <v>2048</v>
      </c>
      <c r="C23" t="s">
        <v>301</v>
      </c>
      <c r="D23" t="s">
        <v>302</v>
      </c>
      <c r="E23" s="18">
        <v>237600</v>
      </c>
      <c r="G23" t="s">
        <v>2047</v>
      </c>
      <c r="H23" t="s">
        <v>2614</v>
      </c>
      <c r="I23" t="b" cm="1">
        <f t="array" ref="I23">OR($A23='Working-T05-B1'!$H$8:$H$150)</f>
        <v>1</v>
      </c>
    </row>
    <row r="24" spans="1:9" x14ac:dyDescent="0.25">
      <c r="A24" t="s">
        <v>2578</v>
      </c>
      <c r="B24" t="s">
        <v>43</v>
      </c>
      <c r="C24" t="s">
        <v>33</v>
      </c>
      <c r="D24" t="s">
        <v>296</v>
      </c>
      <c r="E24" s="18">
        <v>132000</v>
      </c>
      <c r="G24" t="s">
        <v>42</v>
      </c>
      <c r="H24" t="s">
        <v>43</v>
      </c>
      <c r="I24" t="b" cm="1">
        <f t="array" ref="I24">OR($A24='Working-T05-B1'!$H$8:$H$150)</f>
        <v>0</v>
      </c>
    </row>
    <row r="25" spans="1:9" x14ac:dyDescent="0.25">
      <c r="A25" t="s">
        <v>2584</v>
      </c>
      <c r="B25" t="s">
        <v>2621</v>
      </c>
      <c r="C25" t="s">
        <v>33</v>
      </c>
      <c r="D25" t="s">
        <v>296</v>
      </c>
      <c r="E25" s="18">
        <v>110000</v>
      </c>
      <c r="G25" t="s">
        <v>2633</v>
      </c>
      <c r="H25" t="s">
        <v>2621</v>
      </c>
      <c r="I25" t="b" cm="1">
        <f t="array" ref="I25">OR($A25='Working-T05-B1'!$H$8:$H$150)</f>
        <v>0</v>
      </c>
    </row>
    <row r="26" spans="1:9" x14ac:dyDescent="0.25">
      <c r="A26" t="s">
        <v>2585</v>
      </c>
      <c r="B26" t="s">
        <v>259</v>
      </c>
      <c r="C26" t="s">
        <v>32</v>
      </c>
      <c r="D26" t="s">
        <v>279</v>
      </c>
      <c r="E26" s="18">
        <v>264000</v>
      </c>
      <c r="G26" t="s">
        <v>258</v>
      </c>
      <c r="H26" t="s">
        <v>259</v>
      </c>
      <c r="I26" t="b" cm="1">
        <f t="array" ref="I26">OR($A26='Working-T05-B1'!$H$8:$H$150)</f>
        <v>0</v>
      </c>
    </row>
    <row r="27" spans="1:9" x14ac:dyDescent="0.25">
      <c r="A27" t="s">
        <v>2594</v>
      </c>
      <c r="B27" t="s">
        <v>46</v>
      </c>
      <c r="C27" t="s">
        <v>33</v>
      </c>
      <c r="D27" t="s">
        <v>296</v>
      </c>
      <c r="E27" s="18">
        <v>33000</v>
      </c>
      <c r="G27" t="s">
        <v>45</v>
      </c>
      <c r="H27" t="s">
        <v>46</v>
      </c>
      <c r="I27" t="b" cm="1">
        <f t="array" ref="I27">OR($A27='Working-T05-B1'!$H$8:$H$150)</f>
        <v>0</v>
      </c>
    </row>
    <row r="28" spans="1:9" x14ac:dyDescent="0.25">
      <c r="A28" t="s">
        <v>2529</v>
      </c>
      <c r="B28" t="s">
        <v>2011</v>
      </c>
      <c r="C28" t="s">
        <v>1898</v>
      </c>
      <c r="D28" t="s">
        <v>2878</v>
      </c>
      <c r="E28" s="18">
        <v>20000</v>
      </c>
      <c r="G28" t="s">
        <v>2010</v>
      </c>
      <c r="H28" t="s">
        <v>2609</v>
      </c>
      <c r="I28" t="b" cm="1">
        <f t="array" ref="I28">OR($A28='Working-T05-B1'!$H$8:$H$150)</f>
        <v>1</v>
      </c>
    </row>
    <row r="29" spans="1:9" x14ac:dyDescent="0.25">
      <c r="A29" t="s">
        <v>2566</v>
      </c>
      <c r="B29" t="s">
        <v>2061</v>
      </c>
      <c r="C29" t="s">
        <v>1836</v>
      </c>
      <c r="D29" t="s">
        <v>1837</v>
      </c>
      <c r="E29" s="18">
        <v>16000</v>
      </c>
      <c r="G29" t="s">
        <v>2060</v>
      </c>
      <c r="H29" t="s">
        <v>2061</v>
      </c>
      <c r="I29" t="b" cm="1">
        <f t="array" ref="I29">OR($A29='Working-T05-B1'!$H$8:$H$150)</f>
        <v>1</v>
      </c>
    </row>
    <row r="30" spans="1:9" x14ac:dyDescent="0.25">
      <c r="A30" t="s">
        <v>2565</v>
      </c>
      <c r="B30" t="s">
        <v>2014</v>
      </c>
      <c r="C30" t="s">
        <v>2057</v>
      </c>
      <c r="D30" t="s">
        <v>2062</v>
      </c>
      <c r="E30" s="18">
        <v>78000</v>
      </c>
      <c r="G30" t="s">
        <v>2013</v>
      </c>
      <c r="H30" t="s">
        <v>2014</v>
      </c>
      <c r="I30" t="b" cm="1">
        <f t="array" ref="I30">OR($A30='Working-T05-B1'!$H$8:$H$150)</f>
        <v>1</v>
      </c>
    </row>
    <row r="31" spans="1:9" x14ac:dyDescent="0.25">
      <c r="A31" t="s">
        <v>2650</v>
      </c>
      <c r="B31" t="s">
        <v>3034</v>
      </c>
      <c r="C31" t="s">
        <v>2493</v>
      </c>
      <c r="D31" t="s">
        <v>2867</v>
      </c>
      <c r="E31" s="18">
        <v>800</v>
      </c>
      <c r="G31" t="s">
        <v>3035</v>
      </c>
      <c r="H31" t="s">
        <v>3036</v>
      </c>
      <c r="I31" t="b" cm="1">
        <f t="array" ref="I31">OR($A31='Working-T05-B1'!$H$8:$H$150)</f>
        <v>0</v>
      </c>
    </row>
    <row r="32" spans="1:9" x14ac:dyDescent="0.25">
      <c r="A32" t="s">
        <v>2589</v>
      </c>
      <c r="B32" t="s">
        <v>2009</v>
      </c>
      <c r="C32" t="s">
        <v>33</v>
      </c>
      <c r="D32" t="s">
        <v>296</v>
      </c>
      <c r="E32" s="18">
        <v>88000</v>
      </c>
      <c r="G32" t="s">
        <v>2008</v>
      </c>
      <c r="H32" t="s">
        <v>2009</v>
      </c>
      <c r="I32" t="b" cm="1">
        <f t="array" ref="I32">OR($A32='Working-T05-B1'!$H$8:$H$150)</f>
        <v>1</v>
      </c>
    </row>
    <row r="33" spans="1:9" x14ac:dyDescent="0.25">
      <c r="A33" t="s">
        <v>2576</v>
      </c>
      <c r="B33" t="s">
        <v>2023</v>
      </c>
      <c r="C33" t="s">
        <v>32</v>
      </c>
      <c r="D33" t="s">
        <v>279</v>
      </c>
      <c r="E33" s="18">
        <v>44000</v>
      </c>
      <c r="G33" t="s">
        <v>2022</v>
      </c>
      <c r="H33" t="s">
        <v>2023</v>
      </c>
      <c r="I33" t="b" cm="1">
        <f t="array" ref="I33">OR($A33='Working-T05-B1'!$H$8:$H$150)</f>
        <v>1</v>
      </c>
    </row>
    <row r="34" spans="1:9" x14ac:dyDescent="0.25">
      <c r="A34" t="s">
        <v>2601</v>
      </c>
      <c r="B34" t="s">
        <v>3037</v>
      </c>
      <c r="C34" t="s">
        <v>32</v>
      </c>
      <c r="D34" t="s">
        <v>279</v>
      </c>
      <c r="E34" s="18">
        <v>22000</v>
      </c>
      <c r="G34" t="s">
        <v>2636</v>
      </c>
      <c r="H34" t="s">
        <v>2624</v>
      </c>
      <c r="I34" t="b" cm="1">
        <f t="array" ref="I34">OR($A34='Working-T05-B1'!$H$8:$H$150)</f>
        <v>0</v>
      </c>
    </row>
    <row r="35" spans="1:9" x14ac:dyDescent="0.25">
      <c r="A35" t="s">
        <v>3038</v>
      </c>
      <c r="B35" t="s">
        <v>46</v>
      </c>
      <c r="C35" t="s">
        <v>273</v>
      </c>
      <c r="D35" t="s">
        <v>3032</v>
      </c>
      <c r="E35" s="18">
        <v>5500</v>
      </c>
      <c r="G35" t="s">
        <v>45</v>
      </c>
      <c r="H35" t="s">
        <v>46</v>
      </c>
      <c r="I35" t="b" cm="1">
        <f t="array" ref="I35">OR($A35='Working-T05-B1'!$H$8:$H$150)</f>
        <v>0</v>
      </c>
    </row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s="249" customFormat="1" ht="13.8" hidden="1" thickTop="1" x14ac:dyDescent="0.25"/>
  </sheetData>
  <autoFilter ref="A1:I35" xr:uid="{9E302785-C347-4E91-8662-043388709C0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AA80-986E-4E9B-A04C-C5A9A5CECE26}">
  <sheetPr>
    <tabColor theme="1"/>
  </sheetPr>
  <dimension ref="A1"/>
  <sheetViews>
    <sheetView workbookViewId="0">
      <selection activeCell="O26" sqref="O26"/>
    </sheetView>
  </sheetViews>
  <sheetFormatPr defaultRowHeight="13.2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0365-4D1C-4F9C-8F85-FC165A44B7FE}">
  <dimension ref="A3:O111"/>
  <sheetViews>
    <sheetView showGridLines="0" zoomScale="85" zoomScaleNormal="85" workbookViewId="0">
      <pane xSplit="5" ySplit="4" topLeftCell="F65" activePane="bottomRight" state="frozen"/>
      <selection activeCell="O26" sqref="O26"/>
      <selection pane="topRight" activeCell="O26" sqref="O26"/>
      <selection pane="bottomLeft" activeCell="O26" sqref="O26"/>
      <selection pane="bottomRight" activeCell="O26" sqref="O26"/>
    </sheetView>
  </sheetViews>
  <sheetFormatPr defaultRowHeight="13.2" x14ac:dyDescent="0.25"/>
  <cols>
    <col min="1" max="1" width="9.33203125" customWidth="1"/>
    <col min="2" max="2" width="7.6640625" customWidth="1"/>
    <col min="3" max="3" width="12.88671875" bestFit="1" customWidth="1"/>
    <col min="4" max="4" width="33.88671875" bestFit="1" customWidth="1"/>
    <col min="5" max="5" width="33.33203125" bestFit="1" customWidth="1"/>
    <col min="6" max="14" width="15" bestFit="1" customWidth="1"/>
    <col min="15" max="32" width="16" bestFit="1" customWidth="1"/>
    <col min="33" max="33" width="17" bestFit="1" customWidth="1"/>
  </cols>
  <sheetData>
    <row r="3" spans="1:15" x14ac:dyDescent="0.25">
      <c r="A3" s="11" t="s">
        <v>250</v>
      </c>
      <c r="F3" s="11" t="s">
        <v>2018</v>
      </c>
    </row>
    <row r="4" spans="1:15" x14ac:dyDescent="0.25">
      <c r="A4" s="11" t="s">
        <v>251</v>
      </c>
      <c r="B4" s="11" t="s">
        <v>270</v>
      </c>
      <c r="C4" s="11" t="s">
        <v>271</v>
      </c>
      <c r="D4" s="11" t="s">
        <v>73</v>
      </c>
      <c r="E4" s="11" t="s">
        <v>266</v>
      </c>
      <c r="F4" s="22" t="s">
        <v>2369</v>
      </c>
      <c r="G4" s="22" t="s">
        <v>2370</v>
      </c>
      <c r="H4" s="22" t="s">
        <v>2371</v>
      </c>
      <c r="I4" s="22" t="s">
        <v>2372</v>
      </c>
      <c r="J4" s="22" t="s">
        <v>2373</v>
      </c>
      <c r="K4" s="22" t="s">
        <v>2374</v>
      </c>
      <c r="L4" s="22" t="s">
        <v>2375</v>
      </c>
      <c r="M4" s="22" t="s">
        <v>2503</v>
      </c>
      <c r="N4" s="22" t="s">
        <v>2504</v>
      </c>
      <c r="O4" s="22" t="s">
        <v>249</v>
      </c>
    </row>
    <row r="5" spans="1:15" x14ac:dyDescent="0.25">
      <c r="A5" t="s">
        <v>253</v>
      </c>
      <c r="F5" s="12"/>
      <c r="G5" s="12"/>
      <c r="H5" s="12"/>
      <c r="I5" s="12"/>
      <c r="J5" s="12">
        <v>-710487360</v>
      </c>
      <c r="K5" s="12"/>
      <c r="L5" s="12"/>
      <c r="M5" s="12">
        <v>-2194834400</v>
      </c>
      <c r="N5" s="12">
        <v>-3179859375</v>
      </c>
      <c r="O5" s="12">
        <v>-6085181135</v>
      </c>
    </row>
    <row r="6" spans="1:15" x14ac:dyDescent="0.25">
      <c r="B6" t="s">
        <v>276</v>
      </c>
      <c r="F6" s="12"/>
      <c r="G6" s="12"/>
      <c r="H6" s="12"/>
      <c r="I6" s="12"/>
      <c r="J6" s="12">
        <v>-710487360</v>
      </c>
      <c r="K6" s="12"/>
      <c r="L6" s="12"/>
      <c r="M6" s="12">
        <v>-2194834400</v>
      </c>
      <c r="N6" s="12">
        <v>-3179859375</v>
      </c>
      <c r="O6" s="12">
        <v>-6085181135</v>
      </c>
    </row>
    <row r="7" spans="1:15" x14ac:dyDescent="0.25">
      <c r="C7" t="s">
        <v>277</v>
      </c>
      <c r="F7" s="12"/>
      <c r="G7" s="12"/>
      <c r="H7" s="12"/>
      <c r="I7" s="12"/>
      <c r="J7" s="12">
        <v>-710487360</v>
      </c>
      <c r="K7" s="12"/>
      <c r="L7" s="12"/>
      <c r="M7" s="12"/>
      <c r="N7" s="12">
        <v>-3179859375</v>
      </c>
      <c r="O7" s="12">
        <v>-3890346735</v>
      </c>
    </row>
    <row r="8" spans="1:15" x14ac:dyDescent="0.25">
      <c r="D8" t="s">
        <v>2459</v>
      </c>
      <c r="F8" s="12"/>
      <c r="G8" s="12"/>
      <c r="H8" s="12"/>
      <c r="I8" s="12"/>
      <c r="J8" s="12"/>
      <c r="K8" s="12"/>
      <c r="L8" s="12"/>
      <c r="M8" s="12"/>
      <c r="N8" s="12">
        <v>-3179859375</v>
      </c>
      <c r="O8" s="12">
        <v>-3179859375</v>
      </c>
    </row>
    <row r="9" spans="1:15" x14ac:dyDescent="0.25">
      <c r="E9" t="s">
        <v>296</v>
      </c>
      <c r="F9" s="12"/>
      <c r="G9" s="12"/>
      <c r="H9" s="12"/>
      <c r="I9" s="12"/>
      <c r="J9" s="12"/>
      <c r="K9" s="12"/>
      <c r="L9" s="12"/>
      <c r="M9" s="12"/>
      <c r="N9" s="12">
        <v>-3179859375</v>
      </c>
      <c r="O9" s="12">
        <v>-3179859375</v>
      </c>
    </row>
    <row r="10" spans="1:15" x14ac:dyDescent="0.25">
      <c r="D10" t="s">
        <v>2054</v>
      </c>
      <c r="F10" s="12"/>
      <c r="G10" s="12"/>
      <c r="H10" s="12"/>
      <c r="I10" s="12"/>
      <c r="J10" s="12">
        <v>-710487360</v>
      </c>
      <c r="K10" s="12"/>
      <c r="L10" s="12"/>
      <c r="M10" s="12"/>
      <c r="N10" s="12"/>
      <c r="O10" s="12">
        <v>-710487360</v>
      </c>
    </row>
    <row r="11" spans="1:15" x14ac:dyDescent="0.25">
      <c r="E11" t="s">
        <v>296</v>
      </c>
      <c r="F11" s="12"/>
      <c r="G11" s="12"/>
      <c r="H11" s="12"/>
      <c r="I11" s="12"/>
      <c r="J11" s="12">
        <v>-710487360</v>
      </c>
      <c r="K11" s="12"/>
      <c r="L11" s="12"/>
      <c r="M11" s="12"/>
      <c r="N11" s="12"/>
      <c r="O11" s="12">
        <v>-710487360</v>
      </c>
    </row>
    <row r="12" spans="1:15" x14ac:dyDescent="0.25">
      <c r="C12" t="s">
        <v>443</v>
      </c>
      <c r="F12" s="12"/>
      <c r="G12" s="12"/>
      <c r="H12" s="12"/>
      <c r="I12" s="12"/>
      <c r="J12" s="12"/>
      <c r="K12" s="12"/>
      <c r="L12" s="12"/>
      <c r="M12" s="12">
        <v>-2194834400</v>
      </c>
      <c r="N12" s="12"/>
      <c r="O12" s="12">
        <v>-2194834400</v>
      </c>
    </row>
    <row r="13" spans="1:15" x14ac:dyDescent="0.25">
      <c r="D13" t="s">
        <v>2393</v>
      </c>
      <c r="F13" s="12"/>
      <c r="G13" s="12"/>
      <c r="H13" s="12"/>
      <c r="I13" s="12"/>
      <c r="J13" s="12"/>
      <c r="K13" s="12"/>
      <c r="L13" s="12"/>
      <c r="M13" s="12">
        <v>-2194834400</v>
      </c>
      <c r="N13" s="12"/>
      <c r="O13" s="12">
        <v>-2194834400</v>
      </c>
    </row>
    <row r="14" spans="1:15" x14ac:dyDescent="0.25">
      <c r="E14" t="s">
        <v>1843</v>
      </c>
      <c r="F14" s="12"/>
      <c r="G14" s="12"/>
      <c r="H14" s="12"/>
      <c r="I14" s="12"/>
      <c r="J14" s="12"/>
      <c r="K14" s="12"/>
      <c r="L14" s="12"/>
      <c r="M14" s="12">
        <v>-2194834400</v>
      </c>
      <c r="N14" s="12"/>
      <c r="O14" s="12">
        <v>-2194834400</v>
      </c>
    </row>
    <row r="15" spans="1:15" x14ac:dyDescent="0.25">
      <c r="A15" t="s">
        <v>252</v>
      </c>
      <c r="F15" s="12">
        <v>-3463855036</v>
      </c>
      <c r="G15" s="12">
        <v>-3609905795</v>
      </c>
      <c r="H15" s="12">
        <v>-7401321385</v>
      </c>
      <c r="I15" s="12">
        <v>-7670498416</v>
      </c>
      <c r="J15" s="12">
        <v>-4888724410</v>
      </c>
      <c r="K15" s="12">
        <v>-2449781024</v>
      </c>
      <c r="L15" s="12">
        <v>-4832783555</v>
      </c>
      <c r="M15" s="12">
        <v>-2147019680</v>
      </c>
      <c r="N15" s="12">
        <v>-5633632793</v>
      </c>
      <c r="O15" s="12">
        <v>-42097522094</v>
      </c>
    </row>
    <row r="16" spans="1:15" x14ac:dyDescent="0.25">
      <c r="B16" t="s">
        <v>276</v>
      </c>
      <c r="F16" s="12">
        <v>-2123902000</v>
      </c>
      <c r="G16" s="12">
        <v>-2467245000</v>
      </c>
      <c r="H16" s="12">
        <v>-6862423964</v>
      </c>
      <c r="I16" s="12">
        <v>-6915123100</v>
      </c>
      <c r="J16" s="12">
        <v>-4030215400</v>
      </c>
      <c r="K16" s="12">
        <v>-1317043580</v>
      </c>
      <c r="L16" s="12">
        <v>-3058897600</v>
      </c>
      <c r="M16" s="12">
        <v>-1322319680</v>
      </c>
      <c r="N16" s="12">
        <v>-4671846880</v>
      </c>
      <c r="O16" s="12">
        <v>-32769017204</v>
      </c>
    </row>
    <row r="17" spans="3:15" x14ac:dyDescent="0.25">
      <c r="C17" t="s">
        <v>277</v>
      </c>
      <c r="F17" s="12">
        <v>-2123902000</v>
      </c>
      <c r="G17" s="12">
        <v>-2467245000</v>
      </c>
      <c r="H17" s="12">
        <v>-6862423964</v>
      </c>
      <c r="I17" s="12">
        <v>-6915123100</v>
      </c>
      <c r="J17" s="12">
        <v>-3945891400</v>
      </c>
      <c r="K17" s="12">
        <v>-1216003580</v>
      </c>
      <c r="L17" s="12">
        <v>-3058897600</v>
      </c>
      <c r="M17" s="12">
        <v>-1322319680</v>
      </c>
      <c r="N17" s="12">
        <v>-4671846880</v>
      </c>
      <c r="O17" s="12">
        <v>-32583653204</v>
      </c>
    </row>
    <row r="18" spans="3:15" x14ac:dyDescent="0.25">
      <c r="D18" t="s">
        <v>2048</v>
      </c>
      <c r="F18" s="12"/>
      <c r="G18" s="12"/>
      <c r="H18" s="12">
        <v>-4608433500</v>
      </c>
      <c r="I18" s="12">
        <v>-4608433500</v>
      </c>
      <c r="J18" s="12">
        <v>-1843373400</v>
      </c>
      <c r="K18" s="12"/>
      <c r="L18" s="12">
        <v>-1652679600</v>
      </c>
      <c r="M18" s="12"/>
      <c r="N18" s="12">
        <v>-2892149700</v>
      </c>
      <c r="O18" s="12">
        <v>-15605069700</v>
      </c>
    </row>
    <row r="19" spans="3:15" x14ac:dyDescent="0.25">
      <c r="E19" t="s">
        <v>302</v>
      </c>
      <c r="F19" s="12"/>
      <c r="G19" s="12"/>
      <c r="H19" s="12">
        <v>-4608433500</v>
      </c>
      <c r="I19" s="12">
        <v>-4608433500</v>
      </c>
      <c r="J19" s="12">
        <v>-1843373400</v>
      </c>
      <c r="K19" s="12"/>
      <c r="L19" s="12">
        <v>-1652679600</v>
      </c>
      <c r="M19" s="12"/>
      <c r="N19" s="12">
        <v>-2892149700</v>
      </c>
      <c r="O19" s="12">
        <v>-15605069700</v>
      </c>
    </row>
    <row r="20" spans="3:15" x14ac:dyDescent="0.25">
      <c r="D20" t="s">
        <v>259</v>
      </c>
      <c r="F20" s="12"/>
      <c r="G20" s="12">
        <v>-1418560000</v>
      </c>
      <c r="H20" s="12">
        <v>-709280000</v>
      </c>
      <c r="I20" s="12">
        <v>-709280000</v>
      </c>
      <c r="J20" s="12">
        <v>-709280000</v>
      </c>
      <c r="K20" s="12">
        <v>-709280000</v>
      </c>
      <c r="L20" s="12">
        <v>-709280000</v>
      </c>
      <c r="M20" s="12">
        <v>-709280000</v>
      </c>
      <c r="N20" s="12">
        <v>-709280000</v>
      </c>
      <c r="O20" s="12">
        <v>-6383520000</v>
      </c>
    </row>
    <row r="21" spans="3:15" x14ac:dyDescent="0.25">
      <c r="E21" t="s">
        <v>279</v>
      </c>
      <c r="F21" s="12"/>
      <c r="G21" s="12">
        <v>-1418560000</v>
      </c>
      <c r="H21" s="12">
        <v>-709280000</v>
      </c>
      <c r="I21" s="12">
        <v>-709280000</v>
      </c>
      <c r="J21" s="12">
        <v>-709280000</v>
      </c>
      <c r="K21" s="12">
        <v>-709280000</v>
      </c>
      <c r="L21" s="12">
        <v>-709280000</v>
      </c>
      <c r="M21" s="12">
        <v>-709280000</v>
      </c>
      <c r="N21" s="12">
        <v>-709280000</v>
      </c>
      <c r="O21" s="12">
        <v>-6383520000</v>
      </c>
    </row>
    <row r="22" spans="3:15" x14ac:dyDescent="0.25">
      <c r="D22" t="s">
        <v>43</v>
      </c>
      <c r="F22" s="12">
        <v>-731302000</v>
      </c>
      <c r="G22" s="12"/>
      <c r="H22" s="12">
        <v>-696938000</v>
      </c>
      <c r="I22" s="12"/>
      <c r="J22" s="12">
        <v>-696938000</v>
      </c>
      <c r="K22" s="12"/>
      <c r="L22" s="12">
        <v>-696938000</v>
      </c>
      <c r="M22" s="12"/>
      <c r="N22" s="12">
        <v>-696938000</v>
      </c>
      <c r="O22" s="12">
        <v>-3519054000</v>
      </c>
    </row>
    <row r="23" spans="3:15" x14ac:dyDescent="0.25">
      <c r="E23" t="s">
        <v>296</v>
      </c>
      <c r="F23" s="12">
        <v>-731302000</v>
      </c>
      <c r="G23" s="12"/>
      <c r="H23" s="12">
        <v>-696938000</v>
      </c>
      <c r="I23" s="12"/>
      <c r="J23" s="12">
        <v>-696938000</v>
      </c>
      <c r="K23" s="12"/>
      <c r="L23" s="12">
        <v>-696938000</v>
      </c>
      <c r="M23" s="12"/>
      <c r="N23" s="12">
        <v>-696938000</v>
      </c>
      <c r="O23" s="12">
        <v>-3519054000</v>
      </c>
    </row>
    <row r="24" spans="3:15" x14ac:dyDescent="0.25">
      <c r="D24" t="s">
        <v>2023</v>
      </c>
      <c r="F24" s="12">
        <v>-1392600000</v>
      </c>
      <c r="G24" s="12"/>
      <c r="H24" s="12">
        <v>-696300000</v>
      </c>
      <c r="I24" s="12"/>
      <c r="J24" s="12">
        <v>-696300000</v>
      </c>
      <c r="K24" s="12"/>
      <c r="L24" s="12"/>
      <c r="M24" s="12"/>
      <c r="N24" s="12"/>
      <c r="O24" s="12">
        <v>-2785200000</v>
      </c>
    </row>
    <row r="25" spans="3:15" x14ac:dyDescent="0.25">
      <c r="E25" t="s">
        <v>279</v>
      </c>
      <c r="F25" s="12">
        <v>-1392600000</v>
      </c>
      <c r="G25" s="12"/>
      <c r="H25" s="12">
        <v>-696300000</v>
      </c>
      <c r="I25" s="12"/>
      <c r="J25" s="12">
        <v>-696300000</v>
      </c>
      <c r="K25" s="12"/>
      <c r="L25" s="12"/>
      <c r="M25" s="12"/>
      <c r="N25" s="12"/>
      <c r="O25" s="12">
        <v>-2785200000</v>
      </c>
    </row>
    <row r="26" spans="3:15" x14ac:dyDescent="0.25">
      <c r="D26" t="s">
        <v>2009</v>
      </c>
      <c r="F26" s="12"/>
      <c r="G26" s="12">
        <v>-731302000</v>
      </c>
      <c r="H26" s="12"/>
      <c r="I26" s="12">
        <v>-731302000</v>
      </c>
      <c r="J26" s="12"/>
      <c r="K26" s="12"/>
      <c r="L26" s="12"/>
      <c r="M26" s="12"/>
      <c r="N26" s="12"/>
      <c r="O26" s="12">
        <v>-1462604000</v>
      </c>
    </row>
    <row r="27" spans="3:15" x14ac:dyDescent="0.25">
      <c r="E27" t="s">
        <v>296</v>
      </c>
      <c r="F27" s="12"/>
      <c r="G27" s="12">
        <v>-731302000</v>
      </c>
      <c r="H27" s="12"/>
      <c r="I27" s="12">
        <v>-731302000</v>
      </c>
      <c r="J27" s="12"/>
      <c r="K27" s="12"/>
      <c r="L27" s="12"/>
      <c r="M27" s="12"/>
      <c r="N27" s="12"/>
      <c r="O27" s="12">
        <v>-1462604000</v>
      </c>
    </row>
    <row r="28" spans="3:15" x14ac:dyDescent="0.25">
      <c r="D28" t="s">
        <v>46</v>
      </c>
      <c r="F28" s="12"/>
      <c r="G28" s="12">
        <v>-317383000</v>
      </c>
      <c r="H28" s="12"/>
      <c r="I28" s="12"/>
      <c r="J28" s="12"/>
      <c r="K28" s="12">
        <v>-317383000</v>
      </c>
      <c r="L28" s="12"/>
      <c r="M28" s="12">
        <v>-317383000</v>
      </c>
      <c r="N28" s="12"/>
      <c r="O28" s="12">
        <v>-952149000</v>
      </c>
    </row>
    <row r="29" spans="3:15" x14ac:dyDescent="0.25">
      <c r="E29" t="s">
        <v>296</v>
      </c>
      <c r="F29" s="12"/>
      <c r="G29" s="12">
        <v>-317383000</v>
      </c>
      <c r="H29" s="12"/>
      <c r="I29" s="12"/>
      <c r="J29" s="12"/>
      <c r="K29" s="12">
        <v>-317383000</v>
      </c>
      <c r="L29" s="12"/>
      <c r="M29" s="12">
        <v>-317383000</v>
      </c>
      <c r="N29" s="12"/>
      <c r="O29" s="12">
        <v>-952149000</v>
      </c>
    </row>
    <row r="30" spans="3:15" x14ac:dyDescent="0.25">
      <c r="D30" t="s">
        <v>2059</v>
      </c>
      <c r="F30" s="12"/>
      <c r="G30" s="12"/>
      <c r="H30" s="12"/>
      <c r="I30" s="12">
        <v>-700590000</v>
      </c>
      <c r="J30" s="12"/>
      <c r="K30" s="12"/>
      <c r="L30" s="12"/>
      <c r="M30" s="12"/>
      <c r="N30" s="12"/>
      <c r="O30" s="12">
        <v>-700590000</v>
      </c>
    </row>
    <row r="31" spans="3:15" x14ac:dyDescent="0.25">
      <c r="E31" t="s">
        <v>279</v>
      </c>
      <c r="F31" s="12"/>
      <c r="G31" s="12"/>
      <c r="H31" s="12"/>
      <c r="I31" s="12">
        <v>-700590000</v>
      </c>
      <c r="J31" s="12"/>
      <c r="K31" s="12"/>
      <c r="L31" s="12"/>
      <c r="M31" s="12"/>
      <c r="N31" s="12"/>
      <c r="O31" s="12">
        <v>-700590000</v>
      </c>
    </row>
    <row r="32" spans="3:15" x14ac:dyDescent="0.25">
      <c r="D32" t="s">
        <v>2035</v>
      </c>
      <c r="F32" s="12"/>
      <c r="G32" s="12"/>
      <c r="H32" s="12">
        <v>-151472464</v>
      </c>
      <c r="I32" s="12"/>
      <c r="J32" s="12"/>
      <c r="K32" s="12">
        <v>-189340580</v>
      </c>
      <c r="L32" s="12"/>
      <c r="M32" s="12">
        <v>-189340580</v>
      </c>
      <c r="N32" s="12"/>
      <c r="O32" s="12">
        <v>-530153624</v>
      </c>
    </row>
    <row r="33" spans="2:15" x14ac:dyDescent="0.25">
      <c r="E33" t="s">
        <v>298</v>
      </c>
      <c r="F33" s="12"/>
      <c r="G33" s="12"/>
      <c r="H33" s="12">
        <v>-151472464</v>
      </c>
      <c r="I33" s="12"/>
      <c r="J33" s="12"/>
      <c r="K33" s="12">
        <v>-189340580</v>
      </c>
      <c r="L33" s="12"/>
      <c r="M33" s="12">
        <v>-189340580</v>
      </c>
      <c r="N33" s="12"/>
      <c r="O33" s="12">
        <v>-530153624</v>
      </c>
    </row>
    <row r="34" spans="2:15" x14ac:dyDescent="0.25">
      <c r="D34" t="s">
        <v>2480</v>
      </c>
      <c r="F34" s="12"/>
      <c r="G34" s="12"/>
      <c r="H34" s="12"/>
      <c r="I34" s="12"/>
      <c r="J34" s="12"/>
      <c r="K34" s="12"/>
      <c r="L34" s="12"/>
      <c r="M34" s="12"/>
      <c r="N34" s="12">
        <v>-372161130</v>
      </c>
      <c r="O34" s="12">
        <v>-372161130</v>
      </c>
    </row>
    <row r="35" spans="2:15" x14ac:dyDescent="0.25">
      <c r="E35" t="s">
        <v>274</v>
      </c>
      <c r="F35" s="12"/>
      <c r="G35" s="12"/>
      <c r="H35" s="12"/>
      <c r="I35" s="12"/>
      <c r="J35" s="12"/>
      <c r="K35" s="12"/>
      <c r="L35" s="12"/>
      <c r="M35" s="12"/>
      <c r="N35" s="12">
        <v>-372161130</v>
      </c>
      <c r="O35" s="12">
        <v>-372161130</v>
      </c>
    </row>
    <row r="36" spans="2:15" x14ac:dyDescent="0.25">
      <c r="D36" t="s">
        <v>2025</v>
      </c>
      <c r="F36" s="12"/>
      <c r="G36" s="12"/>
      <c r="H36" s="12"/>
      <c r="I36" s="12">
        <v>-159170000</v>
      </c>
      <c r="J36" s="12"/>
      <c r="K36" s="12"/>
      <c r="L36" s="12"/>
      <c r="M36" s="12"/>
      <c r="N36" s="12"/>
      <c r="O36" s="12">
        <v>-159170000</v>
      </c>
    </row>
    <row r="37" spans="2:15" x14ac:dyDescent="0.25">
      <c r="E37" t="s">
        <v>296</v>
      </c>
      <c r="F37" s="12"/>
      <c r="G37" s="12"/>
      <c r="H37" s="12"/>
      <c r="I37" s="12">
        <v>-159170000</v>
      </c>
      <c r="J37" s="12"/>
      <c r="K37" s="12"/>
      <c r="L37" s="12"/>
      <c r="M37" s="12"/>
      <c r="N37" s="12"/>
      <c r="O37" s="12">
        <v>-159170000</v>
      </c>
    </row>
    <row r="38" spans="2:15" x14ac:dyDescent="0.25">
      <c r="D38" t="s">
        <v>2434</v>
      </c>
      <c r="F38" s="12"/>
      <c r="G38" s="12"/>
      <c r="H38" s="12"/>
      <c r="I38" s="12"/>
      <c r="J38" s="12"/>
      <c r="K38" s="12"/>
      <c r="L38" s="12"/>
      <c r="M38" s="12">
        <v>-106316100</v>
      </c>
      <c r="N38" s="12"/>
      <c r="O38" s="12">
        <v>-106316100</v>
      </c>
    </row>
    <row r="39" spans="2:15" x14ac:dyDescent="0.25">
      <c r="E39" t="s">
        <v>302</v>
      </c>
      <c r="F39" s="12"/>
      <c r="G39" s="12"/>
      <c r="H39" s="12"/>
      <c r="I39" s="12"/>
      <c r="J39" s="12"/>
      <c r="K39" s="12"/>
      <c r="L39" s="12"/>
      <c r="M39" s="12">
        <v>-106316100</v>
      </c>
      <c r="N39" s="12"/>
      <c r="O39" s="12">
        <v>-106316100</v>
      </c>
    </row>
    <row r="40" spans="2:15" x14ac:dyDescent="0.25">
      <c r="D40" t="s">
        <v>2031</v>
      </c>
      <c r="F40" s="12"/>
      <c r="G40" s="12"/>
      <c r="H40" s="12"/>
      <c r="I40" s="12">
        <v>-6347600</v>
      </c>
      <c r="J40" s="12"/>
      <c r="K40" s="12"/>
      <c r="L40" s="12"/>
      <c r="M40" s="12"/>
      <c r="N40" s="12"/>
      <c r="O40" s="12">
        <v>-6347600</v>
      </c>
    </row>
    <row r="41" spans="2:15" x14ac:dyDescent="0.25">
      <c r="E41" t="s">
        <v>296</v>
      </c>
      <c r="F41" s="12"/>
      <c r="G41" s="12"/>
      <c r="H41" s="12"/>
      <c r="I41" s="12">
        <v>-6347600</v>
      </c>
      <c r="J41" s="12"/>
      <c r="K41" s="12"/>
      <c r="L41" s="12"/>
      <c r="M41" s="12"/>
      <c r="N41" s="12"/>
      <c r="O41" s="12">
        <v>-6347600</v>
      </c>
    </row>
    <row r="42" spans="2:15" x14ac:dyDescent="0.25">
      <c r="D42" t="s">
        <v>2491</v>
      </c>
      <c r="F42" s="12"/>
      <c r="G42" s="12"/>
      <c r="H42" s="12"/>
      <c r="I42" s="12"/>
      <c r="J42" s="12"/>
      <c r="K42" s="12"/>
      <c r="L42" s="12"/>
      <c r="M42" s="12"/>
      <c r="N42" s="12">
        <v>-1318050</v>
      </c>
      <c r="O42" s="12">
        <v>-1318050</v>
      </c>
    </row>
    <row r="43" spans="2:15" x14ac:dyDescent="0.25">
      <c r="E43" t="s">
        <v>2505</v>
      </c>
      <c r="F43" s="12"/>
      <c r="G43" s="12"/>
      <c r="H43" s="12"/>
      <c r="I43" s="12"/>
      <c r="J43" s="12"/>
      <c r="K43" s="12"/>
      <c r="L43" s="12"/>
      <c r="M43" s="12"/>
      <c r="N43" s="12">
        <v>-1318050</v>
      </c>
      <c r="O43" s="12">
        <v>-1318050</v>
      </c>
    </row>
    <row r="44" spans="2:15" x14ac:dyDescent="0.25">
      <c r="C44" t="s">
        <v>443</v>
      </c>
      <c r="F44" s="12"/>
      <c r="G44" s="12"/>
      <c r="H44" s="12"/>
      <c r="I44" s="12"/>
      <c r="J44" s="12">
        <v>-84324000</v>
      </c>
      <c r="K44" s="12">
        <v>-101040000</v>
      </c>
      <c r="L44" s="12"/>
      <c r="M44" s="12"/>
      <c r="N44" s="12"/>
      <c r="O44" s="12">
        <v>-185364000</v>
      </c>
    </row>
    <row r="45" spans="2:15" x14ac:dyDescent="0.25">
      <c r="D45" t="s">
        <v>2011</v>
      </c>
      <c r="F45" s="12"/>
      <c r="G45" s="12"/>
      <c r="H45" s="12"/>
      <c r="I45" s="12"/>
      <c r="J45" s="12">
        <v>-84324000</v>
      </c>
      <c r="K45" s="12">
        <v>-101040000</v>
      </c>
      <c r="L45" s="12"/>
      <c r="M45" s="12"/>
      <c r="N45" s="12"/>
      <c r="O45" s="12">
        <v>-185364000</v>
      </c>
    </row>
    <row r="46" spans="2:15" x14ac:dyDescent="0.25">
      <c r="E46" t="s">
        <v>1899</v>
      </c>
      <c r="F46" s="12"/>
      <c r="G46" s="12"/>
      <c r="H46" s="12"/>
      <c r="I46" s="12"/>
      <c r="J46" s="12">
        <v>-84324000</v>
      </c>
      <c r="K46" s="12">
        <v>-101040000</v>
      </c>
      <c r="L46" s="12"/>
      <c r="M46" s="12"/>
      <c r="N46" s="12"/>
      <c r="O46" s="12">
        <v>-185364000</v>
      </c>
    </row>
    <row r="47" spans="2:15" x14ac:dyDescent="0.25">
      <c r="B47" t="s">
        <v>286</v>
      </c>
      <c r="F47" s="12">
        <v>-824811370</v>
      </c>
      <c r="G47" s="12">
        <v>-478179370</v>
      </c>
      <c r="H47" s="12"/>
      <c r="I47" s="12">
        <v>-389059000</v>
      </c>
      <c r="J47" s="12">
        <v>-389059000</v>
      </c>
      <c r="K47" s="12">
        <v>-778118000</v>
      </c>
      <c r="L47" s="12">
        <v>-718973750</v>
      </c>
      <c r="M47" s="12">
        <v>-389059000</v>
      </c>
      <c r="N47" s="12">
        <v>-441608269</v>
      </c>
      <c r="O47" s="12">
        <v>-4408867759</v>
      </c>
    </row>
    <row r="48" spans="2:15" x14ac:dyDescent="0.25">
      <c r="C48" t="s">
        <v>287</v>
      </c>
      <c r="F48" s="12">
        <v>-824811370</v>
      </c>
      <c r="G48" s="12">
        <v>-478179370</v>
      </c>
      <c r="H48" s="12"/>
      <c r="I48" s="12">
        <v>-389059000</v>
      </c>
      <c r="J48" s="12">
        <v>-389059000</v>
      </c>
      <c r="K48" s="12">
        <v>-778118000</v>
      </c>
      <c r="L48" s="12">
        <v>-718973750</v>
      </c>
      <c r="M48" s="12">
        <v>-389059000</v>
      </c>
      <c r="N48" s="12">
        <v>-441608269</v>
      </c>
      <c r="O48" s="12">
        <v>-4408867759</v>
      </c>
    </row>
    <row r="49" spans="2:15" x14ac:dyDescent="0.25">
      <c r="D49" t="s">
        <v>35</v>
      </c>
      <c r="F49" s="12">
        <v>-389059000</v>
      </c>
      <c r="G49" s="12">
        <v>-389059000</v>
      </c>
      <c r="H49" s="12"/>
      <c r="I49" s="12">
        <v>-389059000</v>
      </c>
      <c r="J49" s="12">
        <v>-389059000</v>
      </c>
      <c r="K49" s="12">
        <v>-778118000</v>
      </c>
      <c r="L49" s="12"/>
      <c r="M49" s="12">
        <v>-389059000</v>
      </c>
      <c r="N49" s="12">
        <v>-389059000</v>
      </c>
      <c r="O49" s="12">
        <v>-3112472000</v>
      </c>
    </row>
    <row r="50" spans="2:15" x14ac:dyDescent="0.25">
      <c r="E50" t="s">
        <v>288</v>
      </c>
      <c r="F50" s="12"/>
      <c r="G50" s="12">
        <v>-389059000</v>
      </c>
      <c r="H50" s="12"/>
      <c r="I50" s="12">
        <v>-389059000</v>
      </c>
      <c r="J50" s="12"/>
      <c r="K50" s="12">
        <v>-778118000</v>
      </c>
      <c r="L50" s="12"/>
      <c r="M50" s="12">
        <v>-389059000</v>
      </c>
      <c r="N50" s="12"/>
      <c r="O50" s="12">
        <v>-1945295000</v>
      </c>
    </row>
    <row r="51" spans="2:15" x14ac:dyDescent="0.25">
      <c r="E51" t="s">
        <v>805</v>
      </c>
      <c r="F51" s="12">
        <v>-389059000</v>
      </c>
      <c r="G51" s="12"/>
      <c r="H51" s="12"/>
      <c r="I51" s="12"/>
      <c r="J51" s="12">
        <v>-389059000</v>
      </c>
      <c r="K51" s="12"/>
      <c r="L51" s="12"/>
      <c r="M51" s="12"/>
      <c r="N51" s="12">
        <v>-389059000</v>
      </c>
      <c r="O51" s="12">
        <v>-1167177000</v>
      </c>
    </row>
    <row r="52" spans="2:15" x14ac:dyDescent="0.25">
      <c r="D52" t="s">
        <v>49</v>
      </c>
      <c r="F52" s="12">
        <v>-346632000</v>
      </c>
      <c r="G52" s="12"/>
      <c r="H52" s="12"/>
      <c r="I52" s="12"/>
      <c r="J52" s="12"/>
      <c r="K52" s="12"/>
      <c r="L52" s="12">
        <v>-346632000</v>
      </c>
      <c r="M52" s="12"/>
      <c r="N52" s="12"/>
      <c r="O52" s="12">
        <v>-693264000</v>
      </c>
    </row>
    <row r="53" spans="2:15" x14ac:dyDescent="0.25">
      <c r="E53" t="s">
        <v>704</v>
      </c>
      <c r="F53" s="12">
        <v>-346632000</v>
      </c>
      <c r="G53" s="12"/>
      <c r="H53" s="12"/>
      <c r="I53" s="12"/>
      <c r="J53" s="12"/>
      <c r="K53" s="12"/>
      <c r="L53" s="12">
        <v>-346632000</v>
      </c>
      <c r="M53" s="12"/>
      <c r="N53" s="12"/>
      <c r="O53" s="12">
        <v>-693264000</v>
      </c>
    </row>
    <row r="54" spans="2:15" x14ac:dyDescent="0.25">
      <c r="D54" t="s">
        <v>2355</v>
      </c>
      <c r="F54" s="12"/>
      <c r="G54" s="12"/>
      <c r="H54" s="12"/>
      <c r="I54" s="12"/>
      <c r="J54" s="12"/>
      <c r="K54" s="12"/>
      <c r="L54" s="12">
        <v>-370337000</v>
      </c>
      <c r="M54" s="12"/>
      <c r="N54" s="12"/>
      <c r="O54" s="12">
        <v>-370337000</v>
      </c>
    </row>
    <row r="55" spans="2:15" x14ac:dyDescent="0.25">
      <c r="E55" t="s">
        <v>412</v>
      </c>
      <c r="F55" s="12"/>
      <c r="G55" s="12"/>
      <c r="H55" s="12"/>
      <c r="I55" s="12"/>
      <c r="J55" s="12"/>
      <c r="K55" s="12"/>
      <c r="L55" s="12">
        <v>-370337000</v>
      </c>
      <c r="M55" s="12"/>
      <c r="N55" s="12"/>
      <c r="O55" s="12">
        <v>-370337000</v>
      </c>
    </row>
    <row r="56" spans="2:15" x14ac:dyDescent="0.25">
      <c r="D56" t="s">
        <v>52</v>
      </c>
      <c r="F56" s="12">
        <v>-89120370</v>
      </c>
      <c r="G56" s="12">
        <v>-89120370</v>
      </c>
      <c r="H56" s="12"/>
      <c r="I56" s="12"/>
      <c r="J56" s="12"/>
      <c r="K56" s="12"/>
      <c r="L56" s="12"/>
      <c r="M56" s="12"/>
      <c r="N56" s="12"/>
      <c r="O56" s="12">
        <v>-178240740</v>
      </c>
    </row>
    <row r="57" spans="2:15" x14ac:dyDescent="0.25">
      <c r="E57" t="s">
        <v>831</v>
      </c>
      <c r="F57" s="12">
        <v>-89120370</v>
      </c>
      <c r="G57" s="12">
        <v>-89120370</v>
      </c>
      <c r="H57" s="12"/>
      <c r="I57" s="12"/>
      <c r="J57" s="12"/>
      <c r="K57" s="12"/>
      <c r="L57" s="12"/>
      <c r="M57" s="12"/>
      <c r="N57" s="12"/>
      <c r="O57" s="12">
        <v>-178240740</v>
      </c>
    </row>
    <row r="58" spans="2:15" x14ac:dyDescent="0.25">
      <c r="D58" t="s">
        <v>2439</v>
      </c>
      <c r="F58" s="12"/>
      <c r="G58" s="12"/>
      <c r="H58" s="12"/>
      <c r="I58" s="12"/>
      <c r="J58" s="12"/>
      <c r="K58" s="12"/>
      <c r="L58" s="12"/>
      <c r="M58" s="12"/>
      <c r="N58" s="12">
        <v>-52549269</v>
      </c>
      <c r="O58" s="12">
        <v>-52549269</v>
      </c>
    </row>
    <row r="59" spans="2:15" x14ac:dyDescent="0.25">
      <c r="E59" t="s">
        <v>704</v>
      </c>
      <c r="F59" s="12"/>
      <c r="G59" s="12"/>
      <c r="H59" s="12"/>
      <c r="I59" s="12"/>
      <c r="J59" s="12"/>
      <c r="K59" s="12"/>
      <c r="L59" s="12"/>
      <c r="M59" s="12"/>
      <c r="N59" s="12">
        <v>-52549269</v>
      </c>
      <c r="O59" s="12">
        <v>-52549269</v>
      </c>
    </row>
    <row r="60" spans="2:15" x14ac:dyDescent="0.25">
      <c r="D60" t="s">
        <v>2027</v>
      </c>
      <c r="F60" s="12"/>
      <c r="G60" s="12"/>
      <c r="H60" s="12"/>
      <c r="I60" s="12"/>
      <c r="J60" s="12"/>
      <c r="K60" s="12"/>
      <c r="L60" s="12">
        <v>-2004750</v>
      </c>
      <c r="M60" s="12"/>
      <c r="N60" s="12"/>
      <c r="O60" s="12">
        <v>-2004750</v>
      </c>
    </row>
    <row r="61" spans="2:15" x14ac:dyDescent="0.25">
      <c r="E61" t="s">
        <v>288</v>
      </c>
      <c r="F61" s="12"/>
      <c r="G61" s="12"/>
      <c r="H61" s="12"/>
      <c r="I61" s="12"/>
      <c r="J61" s="12"/>
      <c r="K61" s="12"/>
      <c r="L61" s="12">
        <v>-2004750</v>
      </c>
      <c r="M61" s="12"/>
      <c r="N61" s="12"/>
      <c r="O61" s="12">
        <v>-2004750</v>
      </c>
    </row>
    <row r="62" spans="2:15" x14ac:dyDescent="0.25">
      <c r="B62" t="s">
        <v>348</v>
      </c>
      <c r="F62" s="12">
        <v>-263150000</v>
      </c>
      <c r="G62" s="12">
        <v>-263150000</v>
      </c>
      <c r="H62" s="12">
        <v>-263150000</v>
      </c>
      <c r="I62" s="12"/>
      <c r="J62" s="12">
        <v>-263150000</v>
      </c>
      <c r="K62" s="12">
        <v>-263150000</v>
      </c>
      <c r="L62" s="12">
        <v>-263150000</v>
      </c>
      <c r="M62" s="12">
        <v>-263150000</v>
      </c>
      <c r="N62" s="12">
        <v>-263150000</v>
      </c>
      <c r="O62" s="12">
        <v>-2105200000</v>
      </c>
    </row>
    <row r="63" spans="2:15" x14ac:dyDescent="0.25">
      <c r="C63" t="s">
        <v>349</v>
      </c>
      <c r="F63" s="12">
        <v>-263150000</v>
      </c>
      <c r="G63" s="12">
        <v>-263150000</v>
      </c>
      <c r="H63" s="12">
        <v>-263150000</v>
      </c>
      <c r="I63" s="12"/>
      <c r="J63" s="12">
        <v>-263150000</v>
      </c>
      <c r="K63" s="12">
        <v>-263150000</v>
      </c>
      <c r="L63" s="12">
        <v>-263150000</v>
      </c>
      <c r="M63" s="12">
        <v>-263150000</v>
      </c>
      <c r="N63" s="12">
        <v>-263150000</v>
      </c>
      <c r="O63" s="12">
        <v>-2105200000</v>
      </c>
    </row>
    <row r="64" spans="2:15" x14ac:dyDescent="0.25">
      <c r="D64" t="s">
        <v>2033</v>
      </c>
      <c r="F64" s="12">
        <v>-263150000</v>
      </c>
      <c r="G64" s="12">
        <v>-263150000</v>
      </c>
      <c r="H64" s="12">
        <v>-263150000</v>
      </c>
      <c r="I64" s="12"/>
      <c r="J64" s="12">
        <v>-263150000</v>
      </c>
      <c r="K64" s="12">
        <v>-263150000</v>
      </c>
      <c r="L64" s="12">
        <v>-263150000</v>
      </c>
      <c r="M64" s="12">
        <v>-263150000</v>
      </c>
      <c r="N64" s="12">
        <v>-263150000</v>
      </c>
      <c r="O64" s="12">
        <v>-2105200000</v>
      </c>
    </row>
    <row r="65" spans="2:15" x14ac:dyDescent="0.25">
      <c r="E65" t="s">
        <v>701</v>
      </c>
      <c r="F65" s="12">
        <v>-263150000</v>
      </c>
      <c r="G65" s="12">
        <v>-263150000</v>
      </c>
      <c r="H65" s="12">
        <v>-263150000</v>
      </c>
      <c r="I65" s="12"/>
      <c r="J65" s="12">
        <v>-263150000</v>
      </c>
      <c r="K65" s="12">
        <v>-263150000</v>
      </c>
      <c r="L65" s="12">
        <v>-263150000</v>
      </c>
      <c r="M65" s="12">
        <v>-263150000</v>
      </c>
      <c r="N65" s="12">
        <v>-263150000</v>
      </c>
      <c r="O65" s="12">
        <v>-2105200000</v>
      </c>
    </row>
    <row r="66" spans="2:15" x14ac:dyDescent="0.25">
      <c r="B66" t="s">
        <v>447</v>
      </c>
      <c r="F66" s="12">
        <v>-32541666</v>
      </c>
      <c r="G66" s="12">
        <v>-287481425</v>
      </c>
      <c r="H66" s="12">
        <v>-57875001</v>
      </c>
      <c r="I66" s="12">
        <v>-31166666</v>
      </c>
      <c r="J66" s="12">
        <v>-206150000</v>
      </c>
      <c r="K66" s="12">
        <v>-89469444</v>
      </c>
      <c r="L66" s="12">
        <v>-791659333</v>
      </c>
      <c r="M66" s="12"/>
      <c r="N66" s="12">
        <v>-253218944</v>
      </c>
      <c r="O66" s="12">
        <v>-1749562479</v>
      </c>
    </row>
    <row r="67" spans="2:15" x14ac:dyDescent="0.25">
      <c r="C67" t="s">
        <v>447</v>
      </c>
      <c r="F67" s="12">
        <v>-32541666</v>
      </c>
      <c r="G67" s="12">
        <v>-287481425</v>
      </c>
      <c r="H67" s="12">
        <v>-57875001</v>
      </c>
      <c r="I67" s="12">
        <v>-31166666</v>
      </c>
      <c r="J67" s="12">
        <v>-206150000</v>
      </c>
      <c r="K67" s="12">
        <v>-89469444</v>
      </c>
      <c r="L67" s="12">
        <v>-791659333</v>
      </c>
      <c r="M67" s="12"/>
      <c r="N67" s="12">
        <v>-253218944</v>
      </c>
      <c r="O67" s="12">
        <v>-1749562479</v>
      </c>
    </row>
    <row r="68" spans="2:15" x14ac:dyDescent="0.25">
      <c r="D68" t="s">
        <v>2014</v>
      </c>
      <c r="F68" s="12"/>
      <c r="G68" s="12">
        <v>-249555500</v>
      </c>
      <c r="H68" s="12"/>
      <c r="I68" s="12"/>
      <c r="J68" s="12"/>
      <c r="K68" s="12"/>
      <c r="L68" s="12">
        <v>-504526000</v>
      </c>
      <c r="M68" s="12"/>
      <c r="N68" s="12"/>
      <c r="O68" s="12">
        <v>-754081500</v>
      </c>
    </row>
    <row r="69" spans="2:15" x14ac:dyDescent="0.25">
      <c r="E69" t="s">
        <v>2062</v>
      </c>
      <c r="F69" s="12"/>
      <c r="G69" s="12">
        <v>-249555500</v>
      </c>
      <c r="H69" s="12"/>
      <c r="I69" s="12"/>
      <c r="J69" s="12"/>
      <c r="K69" s="12"/>
      <c r="L69" s="12">
        <v>-504526000</v>
      </c>
      <c r="M69" s="12"/>
      <c r="N69" s="12"/>
      <c r="O69" s="12">
        <v>-754081500</v>
      </c>
    </row>
    <row r="70" spans="2:15" x14ac:dyDescent="0.25">
      <c r="D70" t="s">
        <v>2061</v>
      </c>
      <c r="F70" s="12"/>
      <c r="G70" s="12"/>
      <c r="H70" s="12"/>
      <c r="I70" s="12"/>
      <c r="J70" s="12">
        <v>-184622222</v>
      </c>
      <c r="K70" s="12"/>
      <c r="L70" s="12">
        <v>-201022222</v>
      </c>
      <c r="M70" s="12"/>
      <c r="N70" s="12">
        <v>-169774500</v>
      </c>
      <c r="O70" s="12">
        <v>-555418944</v>
      </c>
    </row>
    <row r="71" spans="2:15" x14ac:dyDescent="0.25">
      <c r="E71" t="s">
        <v>1837</v>
      </c>
      <c r="F71" s="12"/>
      <c r="G71" s="12"/>
      <c r="H71" s="12"/>
      <c r="I71" s="12"/>
      <c r="J71" s="12">
        <v>-184622222</v>
      </c>
      <c r="K71" s="12"/>
      <c r="L71" s="12">
        <v>-201022222</v>
      </c>
      <c r="M71" s="12"/>
      <c r="N71" s="12"/>
      <c r="O71" s="12">
        <v>-385644444</v>
      </c>
    </row>
    <row r="72" spans="2:15" x14ac:dyDescent="0.25">
      <c r="E72" t="s">
        <v>2062</v>
      </c>
      <c r="F72" s="12"/>
      <c r="G72" s="12"/>
      <c r="H72" s="12"/>
      <c r="I72" s="12"/>
      <c r="J72" s="12"/>
      <c r="K72" s="12"/>
      <c r="L72" s="12"/>
      <c r="M72" s="12"/>
      <c r="N72" s="12">
        <v>-169774500</v>
      </c>
      <c r="O72" s="12">
        <v>-169774500</v>
      </c>
    </row>
    <row r="73" spans="2:15" x14ac:dyDescent="0.25">
      <c r="D73" t="s">
        <v>56</v>
      </c>
      <c r="F73" s="12"/>
      <c r="G73" s="12">
        <v>-7175926</v>
      </c>
      <c r="H73" s="12"/>
      <c r="I73" s="12"/>
      <c r="J73" s="12">
        <v>-21527778</v>
      </c>
      <c r="K73" s="12">
        <v>-89469444</v>
      </c>
      <c r="L73" s="12">
        <v>-86111111</v>
      </c>
      <c r="M73" s="12"/>
      <c r="N73" s="12"/>
      <c r="O73" s="12">
        <v>-204284259</v>
      </c>
    </row>
    <row r="74" spans="2:15" x14ac:dyDescent="0.25">
      <c r="E74" t="s">
        <v>1643</v>
      </c>
      <c r="F74" s="12"/>
      <c r="G74" s="12">
        <v>-7175926</v>
      </c>
      <c r="H74" s="12"/>
      <c r="I74" s="12"/>
      <c r="J74" s="12">
        <v>-21527778</v>
      </c>
      <c r="K74" s="12">
        <v>-89469444</v>
      </c>
      <c r="L74" s="12">
        <v>-86111111</v>
      </c>
      <c r="M74" s="12"/>
      <c r="N74" s="12"/>
      <c r="O74" s="12">
        <v>-204284259</v>
      </c>
    </row>
    <row r="75" spans="2:15" x14ac:dyDescent="0.25">
      <c r="D75" t="s">
        <v>2037</v>
      </c>
      <c r="F75" s="12">
        <v>-32541666</v>
      </c>
      <c r="G75" s="12">
        <v>-30749999</v>
      </c>
      <c r="H75" s="12">
        <v>-57875001</v>
      </c>
      <c r="I75" s="12">
        <v>-31166666</v>
      </c>
      <c r="J75" s="12"/>
      <c r="K75" s="12"/>
      <c r="L75" s="12"/>
      <c r="M75" s="12"/>
      <c r="N75" s="12"/>
      <c r="O75" s="12">
        <v>-152333332</v>
      </c>
    </row>
    <row r="76" spans="2:15" x14ac:dyDescent="0.25">
      <c r="E76" t="s">
        <v>784</v>
      </c>
      <c r="F76" s="12">
        <v>-9708333</v>
      </c>
      <c r="G76" s="12">
        <v>-9833333</v>
      </c>
      <c r="H76" s="12">
        <v>-18708334</v>
      </c>
      <c r="I76" s="12">
        <v>-15083333</v>
      </c>
      <c r="J76" s="12"/>
      <c r="K76" s="12"/>
      <c r="L76" s="12"/>
      <c r="M76" s="12"/>
      <c r="N76" s="12"/>
      <c r="O76" s="12">
        <v>-53333333</v>
      </c>
    </row>
    <row r="77" spans="2:15" x14ac:dyDescent="0.25">
      <c r="E77" t="s">
        <v>786</v>
      </c>
      <c r="F77" s="12">
        <v>-10625000</v>
      </c>
      <c r="G77" s="12">
        <v>-11083333</v>
      </c>
      <c r="H77" s="12">
        <v>-18291667</v>
      </c>
      <c r="I77" s="12">
        <v>-16083333</v>
      </c>
      <c r="J77" s="12"/>
      <c r="K77" s="12"/>
      <c r="L77" s="12"/>
      <c r="M77" s="12"/>
      <c r="N77" s="12"/>
      <c r="O77" s="12">
        <v>-56083333</v>
      </c>
    </row>
    <row r="78" spans="2:15" x14ac:dyDescent="0.25">
      <c r="E78" t="s">
        <v>791</v>
      </c>
      <c r="F78" s="12">
        <v>-12208333</v>
      </c>
      <c r="G78" s="12">
        <v>-9833333</v>
      </c>
      <c r="H78" s="12">
        <v>-20875000</v>
      </c>
      <c r="I78" s="12"/>
      <c r="J78" s="12"/>
      <c r="K78" s="12"/>
      <c r="L78" s="12"/>
      <c r="M78" s="12"/>
      <c r="N78" s="12"/>
      <c r="O78" s="12">
        <v>-42916666</v>
      </c>
    </row>
    <row r="79" spans="2:15" x14ac:dyDescent="0.25">
      <c r="D79" t="s">
        <v>2497</v>
      </c>
      <c r="F79" s="12"/>
      <c r="G79" s="12"/>
      <c r="H79" s="12"/>
      <c r="I79" s="12"/>
      <c r="J79" s="12"/>
      <c r="K79" s="12"/>
      <c r="L79" s="12"/>
      <c r="M79" s="12"/>
      <c r="N79" s="12">
        <v>-83444444</v>
      </c>
      <c r="O79" s="12">
        <v>-83444444</v>
      </c>
    </row>
    <row r="80" spans="2:15" x14ac:dyDescent="0.25">
      <c r="E80" t="s">
        <v>1643</v>
      </c>
      <c r="F80" s="12"/>
      <c r="G80" s="12"/>
      <c r="H80" s="12"/>
      <c r="I80" s="12"/>
      <c r="J80" s="12"/>
      <c r="K80" s="12"/>
      <c r="L80" s="12"/>
      <c r="M80" s="12"/>
      <c r="N80" s="12">
        <v>-41736111</v>
      </c>
      <c r="O80" s="12">
        <v>-41736111</v>
      </c>
    </row>
    <row r="81" spans="2:15" x14ac:dyDescent="0.25">
      <c r="E81" t="s">
        <v>1925</v>
      </c>
      <c r="F81" s="12"/>
      <c r="G81" s="12"/>
      <c r="H81" s="12"/>
      <c r="I81" s="12"/>
      <c r="J81" s="12"/>
      <c r="K81" s="12"/>
      <c r="L81" s="12"/>
      <c r="M81" s="12"/>
      <c r="N81" s="12">
        <v>-41708333</v>
      </c>
      <c r="O81" s="12">
        <v>-41708333</v>
      </c>
    </row>
    <row r="82" spans="2:15" x14ac:dyDescent="0.25">
      <c r="B82" t="s">
        <v>307</v>
      </c>
      <c r="F82" s="12">
        <v>-219450000</v>
      </c>
      <c r="G82" s="12">
        <v>-113850000</v>
      </c>
      <c r="H82" s="12">
        <v>-105600000</v>
      </c>
      <c r="I82" s="12"/>
      <c r="J82" s="12"/>
      <c r="K82" s="12"/>
      <c r="L82" s="12"/>
      <c r="M82" s="12">
        <v>-172491000</v>
      </c>
      <c r="N82" s="12"/>
      <c r="O82" s="12">
        <v>-611391000</v>
      </c>
    </row>
    <row r="83" spans="2:15" x14ac:dyDescent="0.25">
      <c r="C83" t="s">
        <v>308</v>
      </c>
      <c r="F83" s="12">
        <v>-219450000</v>
      </c>
      <c r="G83" s="12">
        <v>-113850000</v>
      </c>
      <c r="H83" s="12">
        <v>-105600000</v>
      </c>
      <c r="I83" s="12"/>
      <c r="J83" s="12"/>
      <c r="K83" s="12"/>
      <c r="L83" s="12"/>
      <c r="M83" s="12">
        <v>-172491000</v>
      </c>
      <c r="N83" s="12"/>
      <c r="O83" s="12">
        <v>-611391000</v>
      </c>
    </row>
    <row r="84" spans="2:15" x14ac:dyDescent="0.25">
      <c r="D84" t="s">
        <v>58</v>
      </c>
      <c r="F84" s="12">
        <v>-219450000</v>
      </c>
      <c r="G84" s="12">
        <v>-113850000</v>
      </c>
      <c r="H84" s="12">
        <v>-105600000</v>
      </c>
      <c r="I84" s="12"/>
      <c r="J84" s="12"/>
      <c r="K84" s="12"/>
      <c r="L84" s="12"/>
      <c r="M84" s="12"/>
      <c r="N84" s="12"/>
      <c r="O84" s="12">
        <v>-438900000</v>
      </c>
    </row>
    <row r="85" spans="2:15" x14ac:dyDescent="0.25">
      <c r="E85" t="s">
        <v>320</v>
      </c>
      <c r="F85" s="12">
        <v>-113850000</v>
      </c>
      <c r="G85" s="12">
        <v>-113850000</v>
      </c>
      <c r="H85" s="12"/>
      <c r="I85" s="12"/>
      <c r="J85" s="12"/>
      <c r="K85" s="12"/>
      <c r="L85" s="12"/>
      <c r="M85" s="12"/>
      <c r="N85" s="12"/>
      <c r="O85" s="12">
        <v>-227700000</v>
      </c>
    </row>
    <row r="86" spans="2:15" x14ac:dyDescent="0.25">
      <c r="E86" t="s">
        <v>310</v>
      </c>
      <c r="F86" s="12">
        <v>-105600000</v>
      </c>
      <c r="G86" s="12"/>
      <c r="H86" s="12">
        <v>-105600000</v>
      </c>
      <c r="I86" s="12"/>
      <c r="J86" s="12"/>
      <c r="K86" s="12"/>
      <c r="L86" s="12"/>
      <c r="M86" s="12"/>
      <c r="N86" s="12"/>
      <c r="O86" s="12">
        <v>-211200000</v>
      </c>
    </row>
    <row r="87" spans="2:15" x14ac:dyDescent="0.25">
      <c r="D87" t="s">
        <v>2429</v>
      </c>
      <c r="F87" s="12"/>
      <c r="G87" s="12"/>
      <c r="H87" s="12"/>
      <c r="I87" s="12"/>
      <c r="J87" s="12"/>
      <c r="K87" s="12"/>
      <c r="L87" s="12"/>
      <c r="M87" s="12">
        <v>-172491000</v>
      </c>
      <c r="N87" s="12"/>
      <c r="O87" s="12">
        <v>-172491000</v>
      </c>
    </row>
    <row r="88" spans="2:15" x14ac:dyDescent="0.25">
      <c r="E88" t="s">
        <v>310</v>
      </c>
      <c r="F88" s="12"/>
      <c r="G88" s="12"/>
      <c r="H88" s="12"/>
      <c r="I88" s="12"/>
      <c r="J88" s="12"/>
      <c r="K88" s="12"/>
      <c r="L88" s="12"/>
      <c r="M88" s="12">
        <v>-172491000</v>
      </c>
      <c r="N88" s="12"/>
      <c r="O88" s="12">
        <v>-172491000</v>
      </c>
    </row>
    <row r="89" spans="2:15" x14ac:dyDescent="0.25">
      <c r="B89" t="s">
        <v>325</v>
      </c>
      <c r="F89" s="12"/>
      <c r="G89" s="12"/>
      <c r="H89" s="12">
        <v>-1568420</v>
      </c>
      <c r="I89" s="12">
        <v>-324228000</v>
      </c>
      <c r="J89" s="12"/>
      <c r="K89" s="12">
        <v>-2000000</v>
      </c>
      <c r="L89" s="12"/>
      <c r="M89" s="12"/>
      <c r="N89" s="12"/>
      <c r="O89" s="12">
        <v>-327796420</v>
      </c>
    </row>
    <row r="90" spans="2:15" x14ac:dyDescent="0.25">
      <c r="C90" t="s">
        <v>326</v>
      </c>
      <c r="F90" s="12"/>
      <c r="G90" s="12"/>
      <c r="H90" s="12">
        <v>-1568420</v>
      </c>
      <c r="I90" s="12">
        <v>-324228000</v>
      </c>
      <c r="J90" s="12"/>
      <c r="K90" s="12">
        <v>-2000000</v>
      </c>
      <c r="L90" s="12"/>
      <c r="M90" s="12"/>
      <c r="N90" s="12"/>
      <c r="O90" s="12">
        <v>-327796420</v>
      </c>
    </row>
    <row r="91" spans="2:15" x14ac:dyDescent="0.25">
      <c r="D91" t="s">
        <v>2029</v>
      </c>
      <c r="F91" s="12"/>
      <c r="G91" s="12"/>
      <c r="H91" s="12"/>
      <c r="I91" s="12">
        <v>-324228000</v>
      </c>
      <c r="J91" s="12"/>
      <c r="K91" s="12"/>
      <c r="L91" s="12"/>
      <c r="M91" s="12"/>
      <c r="N91" s="12"/>
      <c r="O91" s="12">
        <v>-324228000</v>
      </c>
    </row>
    <row r="92" spans="2:15" x14ac:dyDescent="0.25">
      <c r="E92" t="s">
        <v>1002</v>
      </c>
      <c r="F92" s="12"/>
      <c r="G92" s="12"/>
      <c r="H92" s="12"/>
      <c r="I92" s="12">
        <v>-324228000</v>
      </c>
      <c r="J92" s="12"/>
      <c r="K92" s="12"/>
      <c r="L92" s="12"/>
      <c r="M92" s="12"/>
      <c r="N92" s="12"/>
      <c r="O92" s="12">
        <v>-324228000</v>
      </c>
    </row>
    <row r="93" spans="2:15" x14ac:dyDescent="0.25">
      <c r="D93" t="s">
        <v>2310</v>
      </c>
      <c r="F93" s="12"/>
      <c r="G93" s="12"/>
      <c r="H93" s="12"/>
      <c r="I93" s="12"/>
      <c r="J93" s="12"/>
      <c r="K93" s="12">
        <v>-2000000</v>
      </c>
      <c r="L93" s="12"/>
      <c r="M93" s="12"/>
      <c r="N93" s="12"/>
      <c r="O93" s="12">
        <v>-2000000</v>
      </c>
    </row>
    <row r="94" spans="2:15" x14ac:dyDescent="0.25">
      <c r="E94" t="s">
        <v>707</v>
      </c>
      <c r="F94" s="12"/>
      <c r="G94" s="12"/>
      <c r="H94" s="12"/>
      <c r="I94" s="12"/>
      <c r="J94" s="12"/>
      <c r="K94" s="12">
        <v>-2000000</v>
      </c>
      <c r="L94" s="12"/>
      <c r="M94" s="12"/>
      <c r="N94" s="12"/>
      <c r="O94" s="12">
        <v>-2000000</v>
      </c>
    </row>
    <row r="95" spans="2:15" x14ac:dyDescent="0.25">
      <c r="D95" t="s">
        <v>2202</v>
      </c>
      <c r="F95" s="12"/>
      <c r="G95" s="12"/>
      <c r="H95" s="12">
        <v>-1568420</v>
      </c>
      <c r="I95" s="12"/>
      <c r="J95" s="12"/>
      <c r="K95" s="12"/>
      <c r="L95" s="12"/>
      <c r="M95" s="12"/>
      <c r="N95" s="12"/>
      <c r="O95" s="12">
        <v>-1568420</v>
      </c>
    </row>
    <row r="96" spans="2:15" x14ac:dyDescent="0.25">
      <c r="E96" t="s">
        <v>917</v>
      </c>
      <c r="F96" s="12"/>
      <c r="G96" s="12"/>
      <c r="H96" s="12">
        <v>-784210</v>
      </c>
      <c r="I96" s="12"/>
      <c r="J96" s="12"/>
      <c r="K96" s="12"/>
      <c r="L96" s="12"/>
      <c r="M96" s="12"/>
      <c r="N96" s="12"/>
      <c r="O96" s="12">
        <v>-784210</v>
      </c>
    </row>
    <row r="97" spans="1:15" x14ac:dyDescent="0.25">
      <c r="E97" t="s">
        <v>707</v>
      </c>
      <c r="F97" s="12"/>
      <c r="G97" s="12"/>
      <c r="H97" s="12">
        <v>-784210</v>
      </c>
      <c r="I97" s="12"/>
      <c r="J97" s="12"/>
      <c r="K97" s="12"/>
      <c r="L97" s="12"/>
      <c r="M97" s="12"/>
      <c r="N97" s="12"/>
      <c r="O97" s="12">
        <v>-784210</v>
      </c>
    </row>
    <row r="98" spans="1:15" x14ac:dyDescent="0.25">
      <c r="B98" t="s">
        <v>1</v>
      </c>
      <c r="F98" s="12"/>
      <c r="G98" s="12"/>
      <c r="H98" s="12">
        <v>-110704000</v>
      </c>
      <c r="I98" s="12">
        <v>-10921650</v>
      </c>
      <c r="J98" s="12">
        <v>-150010</v>
      </c>
      <c r="K98" s="12"/>
      <c r="L98" s="12">
        <v>-102872</v>
      </c>
      <c r="M98" s="12"/>
      <c r="N98" s="12">
        <v>-3808700</v>
      </c>
      <c r="O98" s="12">
        <v>-125687232</v>
      </c>
    </row>
    <row r="99" spans="1:15" x14ac:dyDescent="0.25">
      <c r="C99" t="s">
        <v>1</v>
      </c>
      <c r="F99" s="12"/>
      <c r="G99" s="12"/>
      <c r="H99" s="12">
        <v>-110704000</v>
      </c>
      <c r="I99" s="12">
        <v>-10921650</v>
      </c>
      <c r="J99" s="12">
        <v>-150010</v>
      </c>
      <c r="K99" s="12"/>
      <c r="L99" s="12">
        <v>-102872</v>
      </c>
      <c r="M99" s="12"/>
      <c r="N99" s="12">
        <v>-3808700</v>
      </c>
      <c r="O99" s="12">
        <v>-125687232</v>
      </c>
    </row>
    <row r="100" spans="1:15" x14ac:dyDescent="0.25">
      <c r="D100" t="s">
        <v>2009</v>
      </c>
      <c r="F100" s="12"/>
      <c r="G100" s="12"/>
      <c r="H100" s="12">
        <v>-110704000</v>
      </c>
      <c r="I100" s="12"/>
      <c r="J100" s="12"/>
      <c r="K100" s="12"/>
      <c r="L100" s="12"/>
      <c r="M100" s="12"/>
      <c r="N100" s="12"/>
      <c r="O100" s="12">
        <v>-110704000</v>
      </c>
    </row>
    <row r="101" spans="1:15" x14ac:dyDescent="0.25">
      <c r="F101" s="12"/>
      <c r="G101" s="12"/>
      <c r="H101" s="12">
        <v>-110704000</v>
      </c>
      <c r="I101" s="12"/>
      <c r="J101" s="12"/>
      <c r="K101" s="12"/>
      <c r="L101" s="12"/>
      <c r="M101" s="12"/>
      <c r="N101" s="12"/>
      <c r="O101" s="12">
        <v>-110704000</v>
      </c>
    </row>
    <row r="102" spans="1:15" x14ac:dyDescent="0.25">
      <c r="D102" t="s">
        <v>19</v>
      </c>
      <c r="F102" s="12"/>
      <c r="G102" s="12"/>
      <c r="H102" s="12"/>
      <c r="I102" s="12">
        <v>-10921650</v>
      </c>
      <c r="J102" s="12">
        <v>-150010</v>
      </c>
      <c r="K102" s="12"/>
      <c r="L102" s="12">
        <v>-102872</v>
      </c>
      <c r="M102" s="12"/>
      <c r="N102" s="12">
        <v>-8700</v>
      </c>
      <c r="O102" s="12">
        <v>-11183232</v>
      </c>
    </row>
    <row r="103" spans="1:15" x14ac:dyDescent="0.25">
      <c r="F103" s="12"/>
      <c r="G103" s="12"/>
      <c r="H103" s="12"/>
      <c r="I103" s="12">
        <v>-10921650</v>
      </c>
      <c r="J103" s="12">
        <v>-150010</v>
      </c>
      <c r="K103" s="12"/>
      <c r="L103" s="12">
        <v>-102872</v>
      </c>
      <c r="M103" s="12"/>
      <c r="N103" s="12">
        <v>-8700</v>
      </c>
      <c r="O103" s="12">
        <v>-11183232</v>
      </c>
    </row>
    <row r="104" spans="1:15" x14ac:dyDescent="0.25">
      <c r="D104" t="s">
        <v>2379</v>
      </c>
      <c r="F104" s="12"/>
      <c r="G104" s="12"/>
      <c r="H104" s="12"/>
      <c r="I104" s="12"/>
      <c r="J104" s="12"/>
      <c r="K104" s="12"/>
      <c r="L104" s="12"/>
      <c r="M104" s="12"/>
      <c r="N104" s="12">
        <v>-3800000</v>
      </c>
      <c r="O104" s="12">
        <v>-3800000</v>
      </c>
    </row>
    <row r="105" spans="1:15" x14ac:dyDescent="0.25">
      <c r="F105" s="12"/>
      <c r="G105" s="12"/>
      <c r="H105" s="12"/>
      <c r="I105" s="12"/>
      <c r="J105" s="12"/>
      <c r="K105" s="12"/>
      <c r="L105" s="12"/>
      <c r="M105" s="12"/>
      <c r="N105" s="12">
        <v>-3800000</v>
      </c>
      <c r="O105" s="12">
        <v>-3800000</v>
      </c>
    </row>
    <row r="106" spans="1:15" x14ac:dyDescent="0.25">
      <c r="A106" t="s">
        <v>373</v>
      </c>
      <c r="F106" s="12"/>
      <c r="G106" s="12"/>
      <c r="H106" s="12">
        <v>110704000</v>
      </c>
      <c r="I106" s="12"/>
      <c r="J106" s="12"/>
      <c r="K106" s="12"/>
      <c r="L106" s="12"/>
      <c r="M106" s="12"/>
      <c r="N106" s="12"/>
      <c r="O106" s="12">
        <v>110704000</v>
      </c>
    </row>
    <row r="107" spans="1:15" x14ac:dyDescent="0.25">
      <c r="B107" t="s">
        <v>1</v>
      </c>
      <c r="F107" s="12"/>
      <c r="G107" s="12"/>
      <c r="H107" s="12">
        <v>110704000</v>
      </c>
      <c r="I107" s="12"/>
      <c r="J107" s="12"/>
      <c r="K107" s="12"/>
      <c r="L107" s="12"/>
      <c r="M107" s="12"/>
      <c r="N107" s="12"/>
      <c r="O107" s="12">
        <v>110704000</v>
      </c>
    </row>
    <row r="108" spans="1:15" x14ac:dyDescent="0.25">
      <c r="C108" t="s">
        <v>1</v>
      </c>
      <c r="F108" s="12"/>
      <c r="G108" s="12"/>
      <c r="H108" s="12">
        <v>110704000</v>
      </c>
      <c r="I108" s="12"/>
      <c r="J108" s="12"/>
      <c r="K108" s="12"/>
      <c r="L108" s="12"/>
      <c r="M108" s="12"/>
      <c r="N108" s="12"/>
      <c r="O108" s="12">
        <v>110704000</v>
      </c>
    </row>
    <row r="109" spans="1:15" x14ac:dyDescent="0.25">
      <c r="D109" t="s">
        <v>2041</v>
      </c>
      <c r="F109" s="12"/>
      <c r="G109" s="12"/>
      <c r="H109" s="12">
        <v>110704000</v>
      </c>
      <c r="I109" s="12"/>
      <c r="J109" s="12"/>
      <c r="K109" s="12"/>
      <c r="L109" s="12"/>
      <c r="M109" s="12"/>
      <c r="N109" s="12"/>
      <c r="O109" s="12">
        <v>110704000</v>
      </c>
    </row>
    <row r="110" spans="1:15" x14ac:dyDescent="0.25">
      <c r="F110" s="12"/>
      <c r="G110" s="12"/>
      <c r="H110" s="12">
        <v>110704000</v>
      </c>
      <c r="I110" s="12"/>
      <c r="J110" s="12"/>
      <c r="K110" s="12"/>
      <c r="L110" s="12"/>
      <c r="M110" s="12"/>
      <c r="N110" s="12"/>
      <c r="O110" s="12">
        <v>110704000</v>
      </c>
    </row>
    <row r="111" spans="1:15" x14ac:dyDescent="0.25">
      <c r="A111" t="s">
        <v>249</v>
      </c>
      <c r="F111" s="12">
        <v>-3463855036</v>
      </c>
      <c r="G111" s="12">
        <v>-3609905795</v>
      </c>
      <c r="H111" s="12">
        <v>-7290617385</v>
      </c>
      <c r="I111" s="12">
        <v>-7670498416</v>
      </c>
      <c r="J111" s="12">
        <v>-5599211770</v>
      </c>
      <c r="K111" s="12">
        <v>-2449781024</v>
      </c>
      <c r="L111" s="12">
        <v>-4832783555</v>
      </c>
      <c r="M111" s="12">
        <v>-4341854080</v>
      </c>
      <c r="N111" s="12">
        <v>-8813492168</v>
      </c>
      <c r="O111" s="12">
        <v>-48071999229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5911-C707-4A3E-B2F9-14191423913A}">
  <dimension ref="A3:N57"/>
  <sheetViews>
    <sheetView showGridLines="0" zoomScale="85" zoomScaleNormal="85" workbookViewId="0">
      <pane xSplit="4" ySplit="4" topLeftCell="E5" activePane="bottomRight" state="frozen"/>
      <selection activeCell="O26" sqref="O26"/>
      <selection pane="topRight" activeCell="O26" sqref="O26"/>
      <selection pane="bottomLeft" activeCell="O26" sqref="O26"/>
      <selection pane="bottomRight" activeCell="O26" sqref="O26"/>
    </sheetView>
  </sheetViews>
  <sheetFormatPr defaultRowHeight="13.2" x14ac:dyDescent="0.25"/>
  <cols>
    <col min="1" max="1" width="6.6640625" customWidth="1"/>
    <col min="2" max="2" width="7.6640625" customWidth="1"/>
    <col min="3" max="3" width="10" customWidth="1"/>
    <col min="4" max="4" width="33.33203125" bestFit="1" customWidth="1"/>
    <col min="5" max="13" width="15" bestFit="1" customWidth="1"/>
    <col min="14" max="31" width="16" bestFit="1" customWidth="1"/>
    <col min="32" max="32" width="17" bestFit="1" customWidth="1"/>
    <col min="33" max="50" width="28.5546875" bestFit="1" customWidth="1"/>
    <col min="51" max="51" width="33.33203125" bestFit="1" customWidth="1"/>
    <col min="52" max="52" width="26.33203125" bestFit="1" customWidth="1"/>
  </cols>
  <sheetData>
    <row r="3" spans="1:14" x14ac:dyDescent="0.25">
      <c r="A3" s="11" t="s">
        <v>250</v>
      </c>
      <c r="E3" s="11" t="s">
        <v>243</v>
      </c>
    </row>
    <row r="4" spans="1:14" x14ac:dyDescent="0.25">
      <c r="A4" s="11" t="s">
        <v>251</v>
      </c>
      <c r="B4" s="11" t="s">
        <v>270</v>
      </c>
      <c r="C4" s="11" t="s">
        <v>271</v>
      </c>
      <c r="D4" s="11" t="s">
        <v>266</v>
      </c>
      <c r="E4">
        <v>1</v>
      </c>
      <c r="F4">
        <v>2</v>
      </c>
      <c r="G4">
        <v>3</v>
      </c>
      <c r="H4">
        <v>4</v>
      </c>
      <c r="I4">
        <v>6</v>
      </c>
      <c r="J4">
        <v>7</v>
      </c>
      <c r="K4">
        <v>8</v>
      </c>
      <c r="L4">
        <v>9</v>
      </c>
      <c r="M4">
        <v>10</v>
      </c>
      <c r="N4" t="s">
        <v>249</v>
      </c>
    </row>
    <row r="5" spans="1:14" x14ac:dyDescent="0.25">
      <c r="A5" t="s">
        <v>253</v>
      </c>
      <c r="E5" s="12"/>
      <c r="F5" s="12"/>
      <c r="G5" s="12"/>
      <c r="H5" s="12"/>
      <c r="I5" s="12">
        <v>-710487360</v>
      </c>
      <c r="J5" s="12"/>
      <c r="K5" s="12"/>
      <c r="L5" s="12">
        <v>-2194834400</v>
      </c>
      <c r="M5" s="12">
        <v>-3179859375</v>
      </c>
      <c r="N5" s="12">
        <v>-6085181135</v>
      </c>
    </row>
    <row r="6" spans="1:14" x14ac:dyDescent="0.25">
      <c r="B6" t="s">
        <v>276</v>
      </c>
      <c r="E6" s="12"/>
      <c r="F6" s="12"/>
      <c r="G6" s="12"/>
      <c r="H6" s="12"/>
      <c r="I6" s="12">
        <v>-710487360</v>
      </c>
      <c r="J6" s="12"/>
      <c r="K6" s="12"/>
      <c r="L6" s="12">
        <v>-2194834400</v>
      </c>
      <c r="M6" s="12">
        <v>-3179859375</v>
      </c>
      <c r="N6" s="12">
        <v>-6085181135</v>
      </c>
    </row>
    <row r="7" spans="1:14" x14ac:dyDescent="0.25">
      <c r="C7" t="s">
        <v>277</v>
      </c>
      <c r="E7" s="12"/>
      <c r="F7" s="12"/>
      <c r="G7" s="12"/>
      <c r="H7" s="12"/>
      <c r="I7" s="12">
        <v>-710487360</v>
      </c>
      <c r="J7" s="12"/>
      <c r="K7" s="12"/>
      <c r="L7" s="12"/>
      <c r="M7" s="12">
        <v>-3179859375</v>
      </c>
      <c r="N7" s="12">
        <v>-3890346735</v>
      </c>
    </row>
    <row r="8" spans="1:14" x14ac:dyDescent="0.25">
      <c r="D8" t="s">
        <v>296</v>
      </c>
      <c r="E8" s="12"/>
      <c r="F8" s="12"/>
      <c r="G8" s="12"/>
      <c r="H8" s="12"/>
      <c r="I8" s="12">
        <v>-710487360</v>
      </c>
      <c r="J8" s="12"/>
      <c r="K8" s="12"/>
      <c r="L8" s="12"/>
      <c r="M8" s="12">
        <v>-3179859375</v>
      </c>
      <c r="N8" s="12">
        <v>-3890346735</v>
      </c>
    </row>
    <row r="9" spans="1:14" x14ac:dyDescent="0.25">
      <c r="C9" t="s">
        <v>443</v>
      </c>
      <c r="E9" s="12"/>
      <c r="F9" s="12"/>
      <c r="G9" s="12"/>
      <c r="H9" s="12"/>
      <c r="I9" s="12"/>
      <c r="J9" s="12"/>
      <c r="K9" s="12"/>
      <c r="L9" s="12">
        <v>-2194834400</v>
      </c>
      <c r="M9" s="12"/>
      <c r="N9" s="12">
        <v>-2194834400</v>
      </c>
    </row>
    <row r="10" spans="1:14" x14ac:dyDescent="0.25">
      <c r="D10" t="s">
        <v>1843</v>
      </c>
      <c r="E10" s="12"/>
      <c r="F10" s="12"/>
      <c r="G10" s="12"/>
      <c r="H10" s="12"/>
      <c r="I10" s="12"/>
      <c r="J10" s="12"/>
      <c r="K10" s="12"/>
      <c r="L10" s="12">
        <v>-2194834400</v>
      </c>
      <c r="M10" s="12"/>
      <c r="N10" s="12">
        <v>-2194834400</v>
      </c>
    </row>
    <row r="11" spans="1:14" x14ac:dyDescent="0.25">
      <c r="A11" t="s">
        <v>252</v>
      </c>
      <c r="E11" s="12">
        <v>-3463855036</v>
      </c>
      <c r="F11" s="12">
        <v>-3609905795</v>
      </c>
      <c r="G11" s="12">
        <v>-7401321385</v>
      </c>
      <c r="H11" s="12">
        <v>-7670498416</v>
      </c>
      <c r="I11" s="12">
        <v>-4888724410</v>
      </c>
      <c r="J11" s="12">
        <v>-2449781024</v>
      </c>
      <c r="K11" s="12">
        <v>-4832783555</v>
      </c>
      <c r="L11" s="12">
        <v>-2147019680</v>
      </c>
      <c r="M11" s="12">
        <v>-5633632793</v>
      </c>
      <c r="N11" s="12">
        <v>-42097522094</v>
      </c>
    </row>
    <row r="12" spans="1:14" x14ac:dyDescent="0.25">
      <c r="B12" t="s">
        <v>276</v>
      </c>
      <c r="E12" s="12">
        <v>-2123902000</v>
      </c>
      <c r="F12" s="12">
        <v>-2467245000</v>
      </c>
      <c r="G12" s="12">
        <v>-6862423964</v>
      </c>
      <c r="H12" s="12">
        <v>-6915123100</v>
      </c>
      <c r="I12" s="12">
        <v>-4030215400</v>
      </c>
      <c r="J12" s="12">
        <v>-1317043580</v>
      </c>
      <c r="K12" s="12">
        <v>-3058897600</v>
      </c>
      <c r="L12" s="12">
        <v>-1322319680</v>
      </c>
      <c r="M12" s="12">
        <v>-4671846880</v>
      </c>
      <c r="N12" s="12">
        <v>-32769017204</v>
      </c>
    </row>
    <row r="13" spans="1:14" x14ac:dyDescent="0.25">
      <c r="C13" t="s">
        <v>277</v>
      </c>
      <c r="E13" s="12">
        <v>-2123902000</v>
      </c>
      <c r="F13" s="12">
        <v>-2467245000</v>
      </c>
      <c r="G13" s="12">
        <v>-6862423964</v>
      </c>
      <c r="H13" s="12">
        <v>-6915123100</v>
      </c>
      <c r="I13" s="12">
        <v>-3945891400</v>
      </c>
      <c r="J13" s="12">
        <v>-1216003580</v>
      </c>
      <c r="K13" s="12">
        <v>-3058897600</v>
      </c>
      <c r="L13" s="12">
        <v>-1322319680</v>
      </c>
      <c r="M13" s="12">
        <v>-4671846880</v>
      </c>
      <c r="N13" s="12">
        <v>-32583653204</v>
      </c>
    </row>
    <row r="14" spans="1:14" x14ac:dyDescent="0.25">
      <c r="D14" t="s">
        <v>279</v>
      </c>
      <c r="E14" s="12">
        <v>-1392600000</v>
      </c>
      <c r="F14" s="12">
        <v>-1418560000</v>
      </c>
      <c r="G14" s="12">
        <v>-1405580000</v>
      </c>
      <c r="H14" s="12">
        <v>-1409870000</v>
      </c>
      <c r="I14" s="12">
        <v>-1405580000</v>
      </c>
      <c r="J14" s="12">
        <v>-709280000</v>
      </c>
      <c r="K14" s="12">
        <v>-709280000</v>
      </c>
      <c r="L14" s="12">
        <v>-709280000</v>
      </c>
      <c r="M14" s="12">
        <v>-709280000</v>
      </c>
      <c r="N14" s="12">
        <v>-9869310000</v>
      </c>
    </row>
    <row r="15" spans="1:14" x14ac:dyDescent="0.25">
      <c r="D15" t="s">
        <v>298</v>
      </c>
      <c r="E15" s="12"/>
      <c r="F15" s="12"/>
      <c r="G15" s="12">
        <v>-151472464</v>
      </c>
      <c r="H15" s="12"/>
      <c r="I15" s="12"/>
      <c r="J15" s="12">
        <v>-189340580</v>
      </c>
      <c r="K15" s="12"/>
      <c r="L15" s="12">
        <v>-189340580</v>
      </c>
      <c r="M15" s="12"/>
      <c r="N15" s="12">
        <v>-530153624</v>
      </c>
    </row>
    <row r="16" spans="1:14" x14ac:dyDescent="0.25">
      <c r="D16" t="s">
        <v>296</v>
      </c>
      <c r="E16" s="12">
        <v>-731302000</v>
      </c>
      <c r="F16" s="12">
        <v>-1048685000</v>
      </c>
      <c r="G16" s="12">
        <v>-696938000</v>
      </c>
      <c r="H16" s="12">
        <v>-896819600</v>
      </c>
      <c r="I16" s="12">
        <v>-696938000</v>
      </c>
      <c r="J16" s="12">
        <v>-317383000</v>
      </c>
      <c r="K16" s="12">
        <v>-696938000</v>
      </c>
      <c r="L16" s="12">
        <v>-317383000</v>
      </c>
      <c r="M16" s="12">
        <v>-696938000</v>
      </c>
      <c r="N16" s="12">
        <v>-6099324600</v>
      </c>
    </row>
    <row r="17" spans="2:14" x14ac:dyDescent="0.25">
      <c r="D17" t="s">
        <v>302</v>
      </c>
      <c r="E17" s="12"/>
      <c r="F17" s="12"/>
      <c r="G17" s="12">
        <v>-4608433500</v>
      </c>
      <c r="H17" s="12">
        <v>-4608433500</v>
      </c>
      <c r="I17" s="12">
        <v>-1843373400</v>
      </c>
      <c r="J17" s="12"/>
      <c r="K17" s="12">
        <v>-1652679600</v>
      </c>
      <c r="L17" s="12">
        <v>-106316100</v>
      </c>
      <c r="M17" s="12">
        <v>-2892149700</v>
      </c>
      <c r="N17" s="12">
        <v>-15711385800</v>
      </c>
    </row>
    <row r="18" spans="2:14" x14ac:dyDescent="0.25">
      <c r="D18" t="s">
        <v>274</v>
      </c>
      <c r="E18" s="12"/>
      <c r="F18" s="12"/>
      <c r="G18" s="12"/>
      <c r="H18" s="12"/>
      <c r="I18" s="12"/>
      <c r="J18" s="12"/>
      <c r="K18" s="12"/>
      <c r="L18" s="12"/>
      <c r="M18" s="12">
        <v>-372161130</v>
      </c>
      <c r="N18" s="12">
        <v>-372161130</v>
      </c>
    </row>
    <row r="19" spans="2:14" x14ac:dyDescent="0.25">
      <c r="D19" t="s">
        <v>2505</v>
      </c>
      <c r="E19" s="12"/>
      <c r="F19" s="12"/>
      <c r="G19" s="12"/>
      <c r="H19" s="12"/>
      <c r="I19" s="12"/>
      <c r="J19" s="12"/>
      <c r="K19" s="12"/>
      <c r="L19" s="12"/>
      <c r="M19" s="12">
        <v>-1318050</v>
      </c>
      <c r="N19" s="12">
        <v>-1318050</v>
      </c>
    </row>
    <row r="20" spans="2:14" x14ac:dyDescent="0.25">
      <c r="C20" t="s">
        <v>443</v>
      </c>
      <c r="E20" s="12"/>
      <c r="F20" s="12"/>
      <c r="G20" s="12"/>
      <c r="H20" s="12"/>
      <c r="I20" s="12">
        <v>-84324000</v>
      </c>
      <c r="J20" s="12">
        <v>-101040000</v>
      </c>
      <c r="K20" s="12"/>
      <c r="L20" s="12"/>
      <c r="M20" s="12"/>
      <c r="N20" s="12">
        <v>-185364000</v>
      </c>
    </row>
    <row r="21" spans="2:14" x14ac:dyDescent="0.25">
      <c r="D21" t="s">
        <v>1899</v>
      </c>
      <c r="E21" s="12"/>
      <c r="F21" s="12"/>
      <c r="G21" s="12"/>
      <c r="H21" s="12"/>
      <c r="I21" s="12">
        <v>-84324000</v>
      </c>
      <c r="J21" s="12">
        <v>-101040000</v>
      </c>
      <c r="K21" s="12"/>
      <c r="L21" s="12"/>
      <c r="M21" s="12"/>
      <c r="N21" s="12">
        <v>-185364000</v>
      </c>
    </row>
    <row r="22" spans="2:14" x14ac:dyDescent="0.25">
      <c r="B22" t="s">
        <v>286</v>
      </c>
      <c r="E22" s="12">
        <v>-824811370</v>
      </c>
      <c r="F22" s="12">
        <v>-478179370</v>
      </c>
      <c r="G22" s="12"/>
      <c r="H22" s="12">
        <v>-389059000</v>
      </c>
      <c r="I22" s="12">
        <v>-389059000</v>
      </c>
      <c r="J22" s="12">
        <v>-778118000</v>
      </c>
      <c r="K22" s="12">
        <v>-718973750</v>
      </c>
      <c r="L22" s="12">
        <v>-389059000</v>
      </c>
      <c r="M22" s="12">
        <v>-441608269</v>
      </c>
      <c r="N22" s="12">
        <v>-4408867759</v>
      </c>
    </row>
    <row r="23" spans="2:14" x14ac:dyDescent="0.25">
      <c r="C23" t="s">
        <v>287</v>
      </c>
      <c r="E23" s="12">
        <v>-824811370</v>
      </c>
      <c r="F23" s="12">
        <v>-478179370</v>
      </c>
      <c r="G23" s="12"/>
      <c r="H23" s="12">
        <v>-389059000</v>
      </c>
      <c r="I23" s="12">
        <v>-389059000</v>
      </c>
      <c r="J23" s="12">
        <v>-778118000</v>
      </c>
      <c r="K23" s="12">
        <v>-718973750</v>
      </c>
      <c r="L23" s="12">
        <v>-389059000</v>
      </c>
      <c r="M23" s="12">
        <v>-441608269</v>
      </c>
      <c r="N23" s="12">
        <v>-4408867759</v>
      </c>
    </row>
    <row r="24" spans="2:14" x14ac:dyDescent="0.25">
      <c r="D24" t="s">
        <v>412</v>
      </c>
      <c r="E24" s="12"/>
      <c r="F24" s="12"/>
      <c r="G24" s="12"/>
      <c r="H24" s="12"/>
      <c r="I24" s="12"/>
      <c r="J24" s="12"/>
      <c r="K24" s="12">
        <v>-370337000</v>
      </c>
      <c r="L24" s="12"/>
      <c r="M24" s="12"/>
      <c r="N24" s="12">
        <v>-370337000</v>
      </c>
    </row>
    <row r="25" spans="2:14" x14ac:dyDescent="0.25">
      <c r="D25" t="s">
        <v>704</v>
      </c>
      <c r="E25" s="12">
        <v>-346632000</v>
      </c>
      <c r="F25" s="12"/>
      <c r="G25" s="12"/>
      <c r="H25" s="12"/>
      <c r="I25" s="12"/>
      <c r="J25" s="12"/>
      <c r="K25" s="12">
        <v>-346632000</v>
      </c>
      <c r="L25" s="12"/>
      <c r="M25" s="12">
        <v>-52549269</v>
      </c>
      <c r="N25" s="12">
        <v>-745813269</v>
      </c>
    </row>
    <row r="26" spans="2:14" x14ac:dyDescent="0.25">
      <c r="D26" t="s">
        <v>831</v>
      </c>
      <c r="E26" s="12">
        <v>-89120370</v>
      </c>
      <c r="F26" s="12">
        <v>-89120370</v>
      </c>
      <c r="G26" s="12"/>
      <c r="H26" s="12"/>
      <c r="I26" s="12"/>
      <c r="J26" s="12"/>
      <c r="K26" s="12"/>
      <c r="L26" s="12"/>
      <c r="M26" s="12"/>
      <c r="N26" s="12">
        <v>-178240740</v>
      </c>
    </row>
    <row r="27" spans="2:14" x14ac:dyDescent="0.25">
      <c r="D27" t="s">
        <v>288</v>
      </c>
      <c r="E27" s="12"/>
      <c r="F27" s="12">
        <v>-389059000</v>
      </c>
      <c r="G27" s="12"/>
      <c r="H27" s="12">
        <v>-389059000</v>
      </c>
      <c r="I27" s="12"/>
      <c r="J27" s="12">
        <v>-778118000</v>
      </c>
      <c r="K27" s="12">
        <v>-2004750</v>
      </c>
      <c r="L27" s="12">
        <v>-389059000</v>
      </c>
      <c r="M27" s="12"/>
      <c r="N27" s="12">
        <v>-1947299750</v>
      </c>
    </row>
    <row r="28" spans="2:14" x14ac:dyDescent="0.25">
      <c r="D28" t="s">
        <v>805</v>
      </c>
      <c r="E28" s="12">
        <v>-389059000</v>
      </c>
      <c r="F28" s="12"/>
      <c r="G28" s="12"/>
      <c r="H28" s="12"/>
      <c r="I28" s="12">
        <v>-389059000</v>
      </c>
      <c r="J28" s="12"/>
      <c r="K28" s="12"/>
      <c r="L28" s="12"/>
      <c r="M28" s="12">
        <v>-389059000</v>
      </c>
      <c r="N28" s="12">
        <v>-1167177000</v>
      </c>
    </row>
    <row r="29" spans="2:14" x14ac:dyDescent="0.25">
      <c r="B29" t="s">
        <v>348</v>
      </c>
      <c r="E29" s="12">
        <v>-263150000</v>
      </c>
      <c r="F29" s="12">
        <v>-263150000</v>
      </c>
      <c r="G29" s="12">
        <v>-263150000</v>
      </c>
      <c r="H29" s="12"/>
      <c r="I29" s="12">
        <v>-263150000</v>
      </c>
      <c r="J29" s="12">
        <v>-263150000</v>
      </c>
      <c r="K29" s="12">
        <v>-263150000</v>
      </c>
      <c r="L29" s="12">
        <v>-263150000</v>
      </c>
      <c r="M29" s="12">
        <v>-263150000</v>
      </c>
      <c r="N29" s="12">
        <v>-2105200000</v>
      </c>
    </row>
    <row r="30" spans="2:14" x14ac:dyDescent="0.25">
      <c r="C30" t="s">
        <v>349</v>
      </c>
      <c r="E30" s="12">
        <v>-263150000</v>
      </c>
      <c r="F30" s="12">
        <v>-263150000</v>
      </c>
      <c r="G30" s="12">
        <v>-263150000</v>
      </c>
      <c r="H30" s="12"/>
      <c r="I30" s="12">
        <v>-263150000</v>
      </c>
      <c r="J30" s="12">
        <v>-263150000</v>
      </c>
      <c r="K30" s="12">
        <v>-263150000</v>
      </c>
      <c r="L30" s="12">
        <v>-263150000</v>
      </c>
      <c r="M30" s="12">
        <v>-263150000</v>
      </c>
      <c r="N30" s="12">
        <v>-2105200000</v>
      </c>
    </row>
    <row r="31" spans="2:14" x14ac:dyDescent="0.25">
      <c r="D31" t="s">
        <v>701</v>
      </c>
      <c r="E31" s="12">
        <v>-263150000</v>
      </c>
      <c r="F31" s="12">
        <v>-263150000</v>
      </c>
      <c r="G31" s="12">
        <v>-263150000</v>
      </c>
      <c r="H31" s="12"/>
      <c r="I31" s="12">
        <v>-263150000</v>
      </c>
      <c r="J31" s="12">
        <v>-263150000</v>
      </c>
      <c r="K31" s="12">
        <v>-263150000</v>
      </c>
      <c r="L31" s="12">
        <v>-263150000</v>
      </c>
      <c r="M31" s="12">
        <v>-263150000</v>
      </c>
      <c r="N31" s="12">
        <v>-2105200000</v>
      </c>
    </row>
    <row r="32" spans="2:14" x14ac:dyDescent="0.25">
      <c r="B32" t="s">
        <v>447</v>
      </c>
      <c r="E32" s="12">
        <v>-32541666</v>
      </c>
      <c r="F32" s="12">
        <v>-287481425</v>
      </c>
      <c r="G32" s="12">
        <v>-57875001</v>
      </c>
      <c r="H32" s="12">
        <v>-31166666</v>
      </c>
      <c r="I32" s="12">
        <v>-206150000</v>
      </c>
      <c r="J32" s="12">
        <v>-89469444</v>
      </c>
      <c r="K32" s="12">
        <v>-791659333</v>
      </c>
      <c r="L32" s="12"/>
      <c r="M32" s="12">
        <v>-253218944</v>
      </c>
      <c r="N32" s="12">
        <v>-1749562479</v>
      </c>
    </row>
    <row r="33" spans="2:14" x14ac:dyDescent="0.25">
      <c r="C33" t="s">
        <v>447</v>
      </c>
      <c r="E33" s="12">
        <v>-32541666</v>
      </c>
      <c r="F33" s="12">
        <v>-287481425</v>
      </c>
      <c r="G33" s="12">
        <v>-57875001</v>
      </c>
      <c r="H33" s="12">
        <v>-31166666</v>
      </c>
      <c r="I33" s="12">
        <v>-206150000</v>
      </c>
      <c r="J33" s="12">
        <v>-89469444</v>
      </c>
      <c r="K33" s="12">
        <v>-791659333</v>
      </c>
      <c r="L33" s="12"/>
      <c r="M33" s="12">
        <v>-253218944</v>
      </c>
      <c r="N33" s="12">
        <v>-1749562479</v>
      </c>
    </row>
    <row r="34" spans="2:14" x14ac:dyDescent="0.25">
      <c r="D34" t="s">
        <v>1643</v>
      </c>
      <c r="E34" s="12"/>
      <c r="F34" s="12">
        <v>-7175926</v>
      </c>
      <c r="G34" s="12"/>
      <c r="H34" s="12"/>
      <c r="I34" s="12">
        <v>-21527778</v>
      </c>
      <c r="J34" s="12">
        <v>-89469444</v>
      </c>
      <c r="K34" s="12">
        <v>-86111111</v>
      </c>
      <c r="L34" s="12"/>
      <c r="M34" s="12">
        <v>-41736111</v>
      </c>
      <c r="N34" s="12">
        <v>-246020370</v>
      </c>
    </row>
    <row r="35" spans="2:14" x14ac:dyDescent="0.25">
      <c r="D35" t="s">
        <v>784</v>
      </c>
      <c r="E35" s="12">
        <v>-9708333</v>
      </c>
      <c r="F35" s="12">
        <v>-9833333</v>
      </c>
      <c r="G35" s="12">
        <v>-18708334</v>
      </c>
      <c r="H35" s="12">
        <v>-15083333</v>
      </c>
      <c r="I35" s="12"/>
      <c r="J35" s="12"/>
      <c r="K35" s="12"/>
      <c r="L35" s="12"/>
      <c r="M35" s="12"/>
      <c r="N35" s="12">
        <v>-53333333</v>
      </c>
    </row>
    <row r="36" spans="2:14" x14ac:dyDescent="0.25">
      <c r="D36" t="s">
        <v>786</v>
      </c>
      <c r="E36" s="12">
        <v>-10625000</v>
      </c>
      <c r="F36" s="12">
        <v>-11083333</v>
      </c>
      <c r="G36" s="12">
        <v>-18291667</v>
      </c>
      <c r="H36" s="12">
        <v>-16083333</v>
      </c>
      <c r="I36" s="12"/>
      <c r="J36" s="12"/>
      <c r="K36" s="12"/>
      <c r="L36" s="12"/>
      <c r="M36" s="12"/>
      <c r="N36" s="12">
        <v>-56083333</v>
      </c>
    </row>
    <row r="37" spans="2:14" x14ac:dyDescent="0.25">
      <c r="D37" t="s">
        <v>791</v>
      </c>
      <c r="E37" s="12">
        <v>-12208333</v>
      </c>
      <c r="F37" s="12">
        <v>-9833333</v>
      </c>
      <c r="G37" s="12">
        <v>-20875000</v>
      </c>
      <c r="H37" s="12"/>
      <c r="I37" s="12"/>
      <c r="J37" s="12"/>
      <c r="K37" s="12"/>
      <c r="L37" s="12"/>
      <c r="M37" s="12"/>
      <c r="N37" s="12">
        <v>-42916666</v>
      </c>
    </row>
    <row r="38" spans="2:14" x14ac:dyDescent="0.25">
      <c r="D38" t="s">
        <v>1925</v>
      </c>
      <c r="E38" s="12"/>
      <c r="F38" s="12"/>
      <c r="G38" s="12"/>
      <c r="H38" s="12"/>
      <c r="I38" s="12"/>
      <c r="J38" s="12"/>
      <c r="K38" s="12"/>
      <c r="L38" s="12"/>
      <c r="M38" s="12">
        <v>-41708333</v>
      </c>
      <c r="N38" s="12">
        <v>-41708333</v>
      </c>
    </row>
    <row r="39" spans="2:14" x14ac:dyDescent="0.25">
      <c r="D39" t="s">
        <v>1837</v>
      </c>
      <c r="E39" s="12"/>
      <c r="F39" s="12"/>
      <c r="G39" s="12"/>
      <c r="H39" s="12"/>
      <c r="I39" s="12">
        <v>-184622222</v>
      </c>
      <c r="J39" s="12"/>
      <c r="K39" s="12">
        <v>-201022222</v>
      </c>
      <c r="L39" s="12"/>
      <c r="M39" s="12"/>
      <c r="N39" s="12">
        <v>-385644444</v>
      </c>
    </row>
    <row r="40" spans="2:14" x14ac:dyDescent="0.25">
      <c r="D40" t="s">
        <v>2062</v>
      </c>
      <c r="E40" s="12"/>
      <c r="F40" s="12">
        <v>-249555500</v>
      </c>
      <c r="G40" s="12"/>
      <c r="H40" s="12"/>
      <c r="I40" s="12"/>
      <c r="J40" s="12"/>
      <c r="K40" s="12">
        <v>-504526000</v>
      </c>
      <c r="L40" s="12"/>
      <c r="M40" s="12">
        <v>-169774500</v>
      </c>
      <c r="N40" s="12">
        <v>-923856000</v>
      </c>
    </row>
    <row r="41" spans="2:14" x14ac:dyDescent="0.25">
      <c r="B41" t="s">
        <v>307</v>
      </c>
      <c r="E41" s="12">
        <v>-219450000</v>
      </c>
      <c r="F41" s="12">
        <v>-113850000</v>
      </c>
      <c r="G41" s="12">
        <v>-105600000</v>
      </c>
      <c r="H41" s="12"/>
      <c r="I41" s="12"/>
      <c r="J41" s="12"/>
      <c r="K41" s="12"/>
      <c r="L41" s="12">
        <v>-172491000</v>
      </c>
      <c r="M41" s="12"/>
      <c r="N41" s="12">
        <v>-611391000</v>
      </c>
    </row>
    <row r="42" spans="2:14" x14ac:dyDescent="0.25">
      <c r="C42" t="s">
        <v>308</v>
      </c>
      <c r="E42" s="12">
        <v>-219450000</v>
      </c>
      <c r="F42" s="12">
        <v>-113850000</v>
      </c>
      <c r="G42" s="12">
        <v>-105600000</v>
      </c>
      <c r="H42" s="12"/>
      <c r="I42" s="12"/>
      <c r="J42" s="12"/>
      <c r="K42" s="12"/>
      <c r="L42" s="12">
        <v>-172491000</v>
      </c>
      <c r="M42" s="12"/>
      <c r="N42" s="12">
        <v>-611391000</v>
      </c>
    </row>
    <row r="43" spans="2:14" x14ac:dyDescent="0.25">
      <c r="D43" t="s">
        <v>320</v>
      </c>
      <c r="E43" s="12">
        <v>-113850000</v>
      </c>
      <c r="F43" s="12">
        <v>-113850000</v>
      </c>
      <c r="G43" s="12"/>
      <c r="H43" s="12"/>
      <c r="I43" s="12"/>
      <c r="J43" s="12"/>
      <c r="K43" s="12"/>
      <c r="L43" s="12"/>
      <c r="M43" s="12"/>
      <c r="N43" s="12">
        <v>-227700000</v>
      </c>
    </row>
    <row r="44" spans="2:14" x14ac:dyDescent="0.25">
      <c r="D44" t="s">
        <v>310</v>
      </c>
      <c r="E44" s="12">
        <v>-105600000</v>
      </c>
      <c r="F44" s="12"/>
      <c r="G44" s="12">
        <v>-105600000</v>
      </c>
      <c r="H44" s="12"/>
      <c r="I44" s="12"/>
      <c r="J44" s="12"/>
      <c r="K44" s="12"/>
      <c r="L44" s="12">
        <v>-172491000</v>
      </c>
      <c r="M44" s="12"/>
      <c r="N44" s="12">
        <v>-383691000</v>
      </c>
    </row>
    <row r="45" spans="2:14" x14ac:dyDescent="0.25">
      <c r="B45" t="s">
        <v>325</v>
      </c>
      <c r="E45" s="12"/>
      <c r="F45" s="12"/>
      <c r="G45" s="12">
        <v>-1568420</v>
      </c>
      <c r="H45" s="12">
        <v>-324228000</v>
      </c>
      <c r="I45" s="12"/>
      <c r="J45" s="12">
        <v>-2000000</v>
      </c>
      <c r="K45" s="12"/>
      <c r="L45" s="12"/>
      <c r="M45" s="12"/>
      <c r="N45" s="12">
        <v>-327796420</v>
      </c>
    </row>
    <row r="46" spans="2:14" x14ac:dyDescent="0.25">
      <c r="C46" t="s">
        <v>326</v>
      </c>
      <c r="E46" s="12"/>
      <c r="F46" s="12"/>
      <c r="G46" s="12">
        <v>-1568420</v>
      </c>
      <c r="H46" s="12">
        <v>-324228000</v>
      </c>
      <c r="I46" s="12"/>
      <c r="J46" s="12">
        <v>-2000000</v>
      </c>
      <c r="K46" s="12"/>
      <c r="L46" s="12"/>
      <c r="M46" s="12"/>
      <c r="N46" s="12">
        <v>-327796420</v>
      </c>
    </row>
    <row r="47" spans="2:14" x14ac:dyDescent="0.25">
      <c r="D47" t="s">
        <v>917</v>
      </c>
      <c r="E47" s="12"/>
      <c r="F47" s="12"/>
      <c r="G47" s="12">
        <v>-784210</v>
      </c>
      <c r="H47" s="12"/>
      <c r="I47" s="12"/>
      <c r="J47" s="12"/>
      <c r="K47" s="12"/>
      <c r="L47" s="12"/>
      <c r="M47" s="12"/>
      <c r="N47" s="12">
        <v>-784210</v>
      </c>
    </row>
    <row r="48" spans="2:14" x14ac:dyDescent="0.25">
      <c r="D48" t="s">
        <v>1002</v>
      </c>
      <c r="E48" s="12"/>
      <c r="F48" s="12"/>
      <c r="G48" s="12"/>
      <c r="H48" s="12">
        <v>-324228000</v>
      </c>
      <c r="I48" s="12"/>
      <c r="J48" s="12"/>
      <c r="K48" s="12"/>
      <c r="L48" s="12"/>
      <c r="M48" s="12"/>
      <c r="N48" s="12">
        <v>-324228000</v>
      </c>
    </row>
    <row r="49" spans="1:14" x14ac:dyDescent="0.25">
      <c r="D49" t="s">
        <v>707</v>
      </c>
      <c r="E49" s="12"/>
      <c r="F49" s="12"/>
      <c r="G49" s="12">
        <v>-784210</v>
      </c>
      <c r="H49" s="12"/>
      <c r="I49" s="12"/>
      <c r="J49" s="12">
        <v>-2000000</v>
      </c>
      <c r="K49" s="12"/>
      <c r="L49" s="12"/>
      <c r="M49" s="12"/>
      <c r="N49" s="12">
        <v>-2784210</v>
      </c>
    </row>
    <row r="50" spans="1:14" x14ac:dyDescent="0.25">
      <c r="B50" t="s">
        <v>1</v>
      </c>
      <c r="E50" s="12"/>
      <c r="F50" s="12"/>
      <c r="G50" s="12">
        <v>-110704000</v>
      </c>
      <c r="H50" s="12">
        <v>-10921650</v>
      </c>
      <c r="I50" s="12">
        <v>-150010</v>
      </c>
      <c r="J50" s="12"/>
      <c r="K50" s="12">
        <v>-102872</v>
      </c>
      <c r="L50" s="12"/>
      <c r="M50" s="12">
        <v>-3808700</v>
      </c>
      <c r="N50" s="12">
        <v>-125687232</v>
      </c>
    </row>
    <row r="51" spans="1:14" x14ac:dyDescent="0.25">
      <c r="C51" t="s">
        <v>1</v>
      </c>
      <c r="E51" s="12"/>
      <c r="F51" s="12"/>
      <c r="G51" s="12">
        <v>-110704000</v>
      </c>
      <c r="H51" s="12">
        <v>-10921650</v>
      </c>
      <c r="I51" s="12">
        <v>-150010</v>
      </c>
      <c r="J51" s="12"/>
      <c r="K51" s="12">
        <v>-102872</v>
      </c>
      <c r="L51" s="12"/>
      <c r="M51" s="12">
        <v>-3808700</v>
      </c>
      <c r="N51" s="12">
        <v>-125687232</v>
      </c>
    </row>
    <row r="52" spans="1:14" x14ac:dyDescent="0.25">
      <c r="E52" s="12"/>
      <c r="F52" s="12"/>
      <c r="G52" s="12">
        <v>-110704000</v>
      </c>
      <c r="H52" s="12">
        <v>-10921650</v>
      </c>
      <c r="I52" s="12">
        <v>-150010</v>
      </c>
      <c r="J52" s="12"/>
      <c r="K52" s="12">
        <v>-102872</v>
      </c>
      <c r="L52" s="12"/>
      <c r="M52" s="12">
        <v>-3808700</v>
      </c>
      <c r="N52" s="12">
        <v>-125687232</v>
      </c>
    </row>
    <row r="53" spans="1:14" x14ac:dyDescent="0.25">
      <c r="A53" t="s">
        <v>373</v>
      </c>
      <c r="E53" s="12"/>
      <c r="F53" s="12"/>
      <c r="G53" s="12">
        <v>110704000</v>
      </c>
      <c r="H53" s="12"/>
      <c r="I53" s="12"/>
      <c r="J53" s="12"/>
      <c r="K53" s="12"/>
      <c r="L53" s="12"/>
      <c r="M53" s="12"/>
      <c r="N53" s="12">
        <v>110704000</v>
      </c>
    </row>
    <row r="54" spans="1:14" x14ac:dyDescent="0.25">
      <c r="B54" t="s">
        <v>1</v>
      </c>
      <c r="E54" s="12"/>
      <c r="F54" s="12"/>
      <c r="G54" s="12">
        <v>110704000</v>
      </c>
      <c r="H54" s="12"/>
      <c r="I54" s="12"/>
      <c r="J54" s="12"/>
      <c r="K54" s="12"/>
      <c r="L54" s="12"/>
      <c r="M54" s="12"/>
      <c r="N54" s="12">
        <v>110704000</v>
      </c>
    </row>
    <row r="55" spans="1:14" x14ac:dyDescent="0.25">
      <c r="C55" t="s">
        <v>1</v>
      </c>
      <c r="E55" s="12"/>
      <c r="F55" s="12"/>
      <c r="G55" s="12">
        <v>110704000</v>
      </c>
      <c r="H55" s="12"/>
      <c r="I55" s="12"/>
      <c r="J55" s="12"/>
      <c r="K55" s="12"/>
      <c r="L55" s="12"/>
      <c r="M55" s="12"/>
      <c r="N55" s="12">
        <v>110704000</v>
      </c>
    </row>
    <row r="56" spans="1:14" x14ac:dyDescent="0.25">
      <c r="E56" s="12"/>
      <c r="F56" s="12"/>
      <c r="G56" s="12">
        <v>110704000</v>
      </c>
      <c r="H56" s="12"/>
      <c r="I56" s="12"/>
      <c r="J56" s="12"/>
      <c r="K56" s="12"/>
      <c r="L56" s="12"/>
      <c r="M56" s="12"/>
      <c r="N56" s="12">
        <v>110704000</v>
      </c>
    </row>
    <row r="57" spans="1:14" x14ac:dyDescent="0.25">
      <c r="A57" t="s">
        <v>249</v>
      </c>
      <c r="E57" s="12">
        <v>-3463855036</v>
      </c>
      <c r="F57" s="12">
        <v>-3609905795</v>
      </c>
      <c r="G57" s="12">
        <v>-7290617385</v>
      </c>
      <c r="H57" s="12">
        <v>-7670498416</v>
      </c>
      <c r="I57" s="12">
        <v>-5599211770</v>
      </c>
      <c r="J57" s="12">
        <v>-2449781024</v>
      </c>
      <c r="K57" s="12">
        <v>-4832783555</v>
      </c>
      <c r="L57" s="12">
        <v>-4341854080</v>
      </c>
      <c r="M57" s="12">
        <v>-8813492168</v>
      </c>
      <c r="N57" s="12">
        <v>-48071999229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A27-5C6B-4B04-BA71-94381AC79805}">
  <dimension ref="A3:J101"/>
  <sheetViews>
    <sheetView showGridLines="0" zoomScaleNormal="100" workbookViewId="0">
      <pane xSplit="5" ySplit="3" topLeftCell="F64" activePane="bottomRight" state="frozen"/>
      <selection activeCell="O26" sqref="O26"/>
      <selection pane="topRight" activeCell="O26" sqref="O26"/>
      <selection pane="bottomLeft" activeCell="O26" sqref="O26"/>
      <selection pane="bottomRight" activeCell="O26" sqref="O26"/>
    </sheetView>
  </sheetViews>
  <sheetFormatPr defaultRowHeight="13.2" x14ac:dyDescent="0.25"/>
  <cols>
    <col min="1" max="1" width="6.6640625" customWidth="1"/>
    <col min="2" max="2" width="7.6640625" customWidth="1"/>
    <col min="3" max="3" width="10" customWidth="1"/>
    <col min="4" max="4" width="31.5546875" bestFit="1" customWidth="1"/>
    <col min="5" max="5" width="35.88671875" bestFit="1" customWidth="1"/>
    <col min="6" max="6" width="21" bestFit="1" customWidth="1"/>
    <col min="7" max="7" width="17" bestFit="1" customWidth="1"/>
    <col min="8" max="8" width="21.5546875" bestFit="1" customWidth="1"/>
    <col min="9" max="9" width="18.44140625" bestFit="1" customWidth="1"/>
    <col min="10" max="10" width="20.88671875" bestFit="1" customWidth="1"/>
    <col min="11" max="27" width="16" bestFit="1" customWidth="1"/>
    <col min="28" max="28" width="17" bestFit="1" customWidth="1"/>
    <col min="29" max="50" width="28.5546875" bestFit="1" customWidth="1"/>
    <col min="51" max="51" width="33.33203125" bestFit="1" customWidth="1"/>
    <col min="52" max="52" width="26.33203125" bestFit="1" customWidth="1"/>
  </cols>
  <sheetData>
    <row r="3" spans="1:10" x14ac:dyDescent="0.25">
      <c r="A3" s="11" t="s">
        <v>251</v>
      </c>
      <c r="B3" s="11" t="s">
        <v>270</v>
      </c>
      <c r="C3" s="11" t="s">
        <v>271</v>
      </c>
      <c r="D3" s="11" t="s">
        <v>266</v>
      </c>
      <c r="E3" s="11" t="s">
        <v>73</v>
      </c>
      <c r="F3" t="s">
        <v>2056</v>
      </c>
      <c r="G3" t="s">
        <v>2021</v>
      </c>
      <c r="H3" t="s">
        <v>2020</v>
      </c>
      <c r="I3" t="s">
        <v>2051</v>
      </c>
      <c r="J3" t="s">
        <v>2376</v>
      </c>
    </row>
    <row r="4" spans="1:10" x14ac:dyDescent="0.25">
      <c r="A4" t="s">
        <v>253</v>
      </c>
      <c r="F4" s="12">
        <v>-242000</v>
      </c>
      <c r="G4" s="12">
        <v>-231797.5</v>
      </c>
      <c r="H4" s="12">
        <v>957.84090909090912</v>
      </c>
      <c r="I4" s="12">
        <v>26252.143077470639</v>
      </c>
      <c r="J4" s="12">
        <v>25145.376590909091</v>
      </c>
    </row>
    <row r="5" spans="1:10" x14ac:dyDescent="0.25">
      <c r="B5" t="s">
        <v>276</v>
      </c>
      <c r="F5" s="12">
        <v>-242000</v>
      </c>
      <c r="G5" s="12">
        <v>-231797.5</v>
      </c>
      <c r="H5" s="12">
        <v>957.84090909090912</v>
      </c>
      <c r="I5" s="12">
        <v>26252.143077470639</v>
      </c>
      <c r="J5" s="12">
        <v>25145.376590909091</v>
      </c>
    </row>
    <row r="6" spans="1:10" x14ac:dyDescent="0.25">
      <c r="C6" t="s">
        <v>277</v>
      </c>
      <c r="F6" s="12">
        <v>-132000</v>
      </c>
      <c r="G6" s="12">
        <v>-148197.5</v>
      </c>
      <c r="H6" s="12">
        <v>1122.7083333333335</v>
      </c>
      <c r="I6" s="12">
        <v>26251.095565039897</v>
      </c>
      <c r="J6" s="12">
        <v>29472.32375</v>
      </c>
    </row>
    <row r="7" spans="1:10" x14ac:dyDescent="0.25">
      <c r="D7" t="s">
        <v>296</v>
      </c>
      <c r="F7" s="12">
        <v>-132000</v>
      </c>
      <c r="G7" s="12">
        <v>-148197.5</v>
      </c>
      <c r="H7" s="12">
        <v>1122.7083333333335</v>
      </c>
      <c r="I7" s="12">
        <v>26251.095565039897</v>
      </c>
      <c r="J7" s="12">
        <v>29472.32375</v>
      </c>
    </row>
    <row r="8" spans="1:10" x14ac:dyDescent="0.25">
      <c r="E8" t="s">
        <v>2459</v>
      </c>
      <c r="F8" s="12">
        <v>-110000</v>
      </c>
      <c r="G8" s="12">
        <v>-121137.5</v>
      </c>
      <c r="H8" s="12">
        <v>1101.25</v>
      </c>
      <c r="I8" s="12">
        <v>26250</v>
      </c>
      <c r="J8" s="12">
        <v>28907.8125</v>
      </c>
    </row>
    <row r="9" spans="1:10" x14ac:dyDescent="0.25">
      <c r="E9" t="s">
        <v>2054</v>
      </c>
      <c r="F9" s="12">
        <v>-22000</v>
      </c>
      <c r="G9" s="12">
        <v>-27060</v>
      </c>
      <c r="H9" s="12">
        <v>1230</v>
      </c>
      <c r="I9" s="12">
        <v>26256</v>
      </c>
      <c r="J9" s="12">
        <v>32294.880000000001</v>
      </c>
    </row>
    <row r="10" spans="1:10" x14ac:dyDescent="0.25">
      <c r="C10" t="s">
        <v>443</v>
      </c>
      <c r="F10" s="12">
        <v>-110000</v>
      </c>
      <c r="G10" s="12">
        <v>-83600</v>
      </c>
      <c r="H10" s="12">
        <v>760</v>
      </c>
      <c r="I10" s="12">
        <v>26254</v>
      </c>
      <c r="J10" s="12">
        <v>19953.04</v>
      </c>
    </row>
    <row r="11" spans="1:10" x14ac:dyDescent="0.25">
      <c r="D11" t="s">
        <v>1843</v>
      </c>
      <c r="F11" s="12">
        <v>-110000</v>
      </c>
      <c r="G11" s="12">
        <v>-83600</v>
      </c>
      <c r="H11" s="12">
        <v>760</v>
      </c>
      <c r="I11" s="12">
        <v>26254</v>
      </c>
      <c r="J11" s="12">
        <v>19953.04</v>
      </c>
    </row>
    <row r="12" spans="1:10" x14ac:dyDescent="0.25">
      <c r="E12" t="s">
        <v>2393</v>
      </c>
      <c r="F12" s="12">
        <v>-110000</v>
      </c>
      <c r="G12" s="12">
        <v>-83600</v>
      </c>
      <c r="H12" s="12">
        <v>760</v>
      </c>
      <c r="I12" s="12">
        <v>26254</v>
      </c>
      <c r="J12" s="12">
        <v>19953.04</v>
      </c>
    </row>
    <row r="13" spans="1:10" x14ac:dyDescent="0.25">
      <c r="A13" t="s">
        <v>252</v>
      </c>
      <c r="F13" s="12">
        <v>-1557180</v>
      </c>
      <c r="G13" s="12">
        <v>-1603584.2090974937</v>
      </c>
      <c r="H13" s="12">
        <v>1029.8001573983049</v>
      </c>
      <c r="I13" s="12">
        <v>26252.143077470661</v>
      </c>
      <c r="J13" s="12">
        <v>27034.461073222108</v>
      </c>
    </row>
    <row r="14" spans="1:10" x14ac:dyDescent="0.25">
      <c r="B14" t="s">
        <v>276</v>
      </c>
      <c r="F14" s="12">
        <v>-1081597</v>
      </c>
      <c r="G14" s="12">
        <v>-1248241.6047824332</v>
      </c>
      <c r="H14" s="12">
        <v>1154.0727320641913</v>
      </c>
      <c r="I14" s="12">
        <v>26252.143077470646</v>
      </c>
      <c r="J14" s="12">
        <v>30296.882483956593</v>
      </c>
    </row>
    <row r="15" spans="1:10" x14ac:dyDescent="0.25">
      <c r="C15" t="s">
        <v>277</v>
      </c>
      <c r="F15" s="12">
        <v>-1066150</v>
      </c>
      <c r="G15" s="12">
        <v>-1241180.6955281682</v>
      </c>
      <c r="H15" s="12">
        <v>1164.1707972875938</v>
      </c>
      <c r="I15" s="12">
        <v>26252.143077470642</v>
      </c>
      <c r="J15" s="12">
        <v>30561.978337006989</v>
      </c>
    </row>
    <row r="16" spans="1:10" x14ac:dyDescent="0.25">
      <c r="D16" t="s">
        <v>279</v>
      </c>
      <c r="F16" s="12">
        <v>-308000</v>
      </c>
      <c r="G16" s="12">
        <v>-375943.02190398145</v>
      </c>
      <c r="H16" s="12">
        <v>1220.5942269609789</v>
      </c>
      <c r="I16" s="12">
        <v>26252.143077470639</v>
      </c>
      <c r="J16" s="12">
        <v>32043.214285714286</v>
      </c>
    </row>
    <row r="17" spans="4:10" x14ac:dyDescent="0.25">
      <c r="E17" t="s">
        <v>259</v>
      </c>
      <c r="F17" s="12">
        <v>-198000</v>
      </c>
      <c r="G17" s="12">
        <v>-243161.86229680732</v>
      </c>
      <c r="H17" s="12">
        <v>1228.090213620239</v>
      </c>
      <c r="I17" s="12">
        <v>26252.143077470642</v>
      </c>
      <c r="J17" s="12">
        <v>32240</v>
      </c>
    </row>
    <row r="18" spans="4:10" x14ac:dyDescent="0.25">
      <c r="E18" t="s">
        <v>2023</v>
      </c>
      <c r="F18" s="12">
        <v>-88000</v>
      </c>
      <c r="G18" s="12">
        <v>-106094.19550170875</v>
      </c>
      <c r="H18" s="12">
        <v>1205.6158579739631</v>
      </c>
      <c r="I18" s="12">
        <v>26252.143077470639</v>
      </c>
      <c r="J18" s="12">
        <v>31650</v>
      </c>
    </row>
    <row r="19" spans="4:10" x14ac:dyDescent="0.25">
      <c r="E19" t="s">
        <v>2059</v>
      </c>
      <c r="F19" s="12">
        <v>-22000</v>
      </c>
      <c r="G19" s="12">
        <v>-26686.964105465366</v>
      </c>
      <c r="H19" s="12">
        <v>1213.0438229756983</v>
      </c>
      <c r="I19" s="12">
        <v>26252.143077470639</v>
      </c>
      <c r="J19" s="12">
        <v>31845</v>
      </c>
    </row>
    <row r="20" spans="4:10" x14ac:dyDescent="0.25">
      <c r="D20" t="s">
        <v>298</v>
      </c>
      <c r="F20" s="12">
        <v>-15400</v>
      </c>
      <c r="G20" s="12">
        <v>-20194.679818539207</v>
      </c>
      <c r="H20" s="12">
        <v>1311.3428453596887</v>
      </c>
      <c r="I20" s="12">
        <v>26252.143077470635</v>
      </c>
      <c r="J20" s="12">
        <v>34425.56</v>
      </c>
    </row>
    <row r="21" spans="4:10" x14ac:dyDescent="0.25">
      <c r="E21" t="s">
        <v>2035</v>
      </c>
      <c r="F21" s="12">
        <v>-15400</v>
      </c>
      <c r="G21" s="12">
        <v>-20194.679818539207</v>
      </c>
      <c r="H21" s="12">
        <v>1311.3428453596887</v>
      </c>
      <c r="I21" s="12">
        <v>26252.143077470635</v>
      </c>
      <c r="J21" s="12">
        <v>34425.56</v>
      </c>
    </row>
    <row r="22" spans="4:10" x14ac:dyDescent="0.25">
      <c r="D22" t="s">
        <v>296</v>
      </c>
      <c r="F22" s="12">
        <v>-192700</v>
      </c>
      <c r="G22" s="12">
        <v>-232336.25468217058</v>
      </c>
      <c r="H22" s="12">
        <v>1205.6889189526235</v>
      </c>
      <c r="I22" s="12">
        <v>26252.143077470642</v>
      </c>
      <c r="J22" s="12">
        <v>31651.91800726518</v>
      </c>
    </row>
    <row r="23" spans="4:10" x14ac:dyDescent="0.25">
      <c r="E23" t="s">
        <v>43</v>
      </c>
      <c r="F23" s="12">
        <v>-110000</v>
      </c>
      <c r="G23" s="12">
        <v>-134048.25616008553</v>
      </c>
      <c r="H23" s="12">
        <v>1218.620510546232</v>
      </c>
      <c r="I23" s="12">
        <v>26252.143077470639</v>
      </c>
      <c r="J23" s="12">
        <v>31991.4</v>
      </c>
    </row>
    <row r="24" spans="4:10" x14ac:dyDescent="0.25">
      <c r="E24" t="s">
        <v>2009</v>
      </c>
      <c r="F24" s="12">
        <v>-44000</v>
      </c>
      <c r="G24" s="12">
        <v>-55713.69909434914</v>
      </c>
      <c r="H24" s="12">
        <v>1266.2204339624805</v>
      </c>
      <c r="I24" s="12">
        <v>26252.143077470639</v>
      </c>
      <c r="J24" s="12">
        <v>33241</v>
      </c>
    </row>
    <row r="25" spans="4:10" x14ac:dyDescent="0.25">
      <c r="E25" t="s">
        <v>46</v>
      </c>
      <c r="F25" s="12">
        <v>-33000</v>
      </c>
      <c r="G25" s="12">
        <v>-36269.381786857848</v>
      </c>
      <c r="H25" s="12">
        <v>1099.0721753593286</v>
      </c>
      <c r="I25" s="12">
        <v>26252.143077470642</v>
      </c>
      <c r="J25" s="12">
        <v>28853</v>
      </c>
    </row>
    <row r="26" spans="4:10" x14ac:dyDescent="0.25">
      <c r="E26" t="s">
        <v>2025</v>
      </c>
      <c r="F26" s="12">
        <v>-5500</v>
      </c>
      <c r="G26" s="12">
        <v>-6063.1240478267209</v>
      </c>
      <c r="H26" s="12">
        <v>1102.3861905139493</v>
      </c>
      <c r="I26" s="12">
        <v>26252.143077470639</v>
      </c>
      <c r="J26" s="12">
        <v>28940</v>
      </c>
    </row>
    <row r="27" spans="4:10" x14ac:dyDescent="0.25">
      <c r="E27" t="s">
        <v>2031</v>
      </c>
      <c r="F27" s="12">
        <v>-200</v>
      </c>
      <c r="G27" s="12">
        <v>-241.79359305135949</v>
      </c>
      <c r="H27" s="12">
        <v>1208.9679652567975</v>
      </c>
      <c r="I27" s="12">
        <v>26252.143077470639</v>
      </c>
      <c r="J27" s="12">
        <v>31738</v>
      </c>
    </row>
    <row r="28" spans="4:10" x14ac:dyDescent="0.25">
      <c r="D28" t="s">
        <v>302</v>
      </c>
      <c r="F28" s="12">
        <v>-539000</v>
      </c>
      <c r="G28" s="12">
        <v>-598480.1223136473</v>
      </c>
      <c r="H28" s="12">
        <v>1110.3527315652084</v>
      </c>
      <c r="I28" s="12">
        <v>26252.143077470642</v>
      </c>
      <c r="J28" s="12">
        <v>29149.138775510204</v>
      </c>
    </row>
    <row r="29" spans="4:10" x14ac:dyDescent="0.25">
      <c r="E29" t="s">
        <v>2048</v>
      </c>
      <c r="F29" s="12">
        <v>-535700</v>
      </c>
      <c r="G29" s="12">
        <v>-594430.31580123201</v>
      </c>
      <c r="H29" s="12">
        <v>1109.6328463715363</v>
      </c>
      <c r="I29" s="12">
        <v>26252.143077470642</v>
      </c>
      <c r="J29" s="12">
        <v>29130.240246406571</v>
      </c>
    </row>
    <row r="30" spans="4:10" x14ac:dyDescent="0.25">
      <c r="E30" t="s">
        <v>2434</v>
      </c>
      <c r="F30" s="12">
        <v>-3300</v>
      </c>
      <c r="G30" s="12">
        <v>-4049.8065124153445</v>
      </c>
      <c r="H30" s="12">
        <v>1227.2140946713166</v>
      </c>
      <c r="I30" s="12">
        <v>26252.143077470639</v>
      </c>
      <c r="J30" s="12">
        <v>32217</v>
      </c>
    </row>
    <row r="31" spans="4:10" x14ac:dyDescent="0.25">
      <c r="D31" t="s">
        <v>274</v>
      </c>
      <c r="F31" s="12">
        <v>-11000</v>
      </c>
      <c r="G31" s="12">
        <v>-14176.409480237271</v>
      </c>
      <c r="H31" s="12">
        <v>1288.7644982033883</v>
      </c>
      <c r="I31" s="12">
        <v>26252.143077470639</v>
      </c>
      <c r="J31" s="12">
        <v>33832.83</v>
      </c>
    </row>
    <row r="32" spans="4:10" x14ac:dyDescent="0.25">
      <c r="E32" t="s">
        <v>2480</v>
      </c>
      <c r="F32" s="12">
        <v>-11000</v>
      </c>
      <c r="G32" s="12">
        <v>-14176.409480237271</v>
      </c>
      <c r="H32" s="12">
        <v>1288.7644982033883</v>
      </c>
      <c r="I32" s="12">
        <v>26252.143077470639</v>
      </c>
      <c r="J32" s="12">
        <v>33832.83</v>
      </c>
    </row>
    <row r="33" spans="2:10" x14ac:dyDescent="0.25">
      <c r="D33" t="s">
        <v>2505</v>
      </c>
      <c r="F33" s="12">
        <v>-50</v>
      </c>
      <c r="G33" s="12">
        <v>-50.207329592498645</v>
      </c>
      <c r="H33" s="12">
        <v>1004.146591849973</v>
      </c>
      <c r="I33" s="12">
        <v>26252.143077470639</v>
      </c>
      <c r="J33" s="12">
        <v>26361</v>
      </c>
    </row>
    <row r="34" spans="2:10" x14ac:dyDescent="0.25">
      <c r="E34" t="s">
        <v>2491</v>
      </c>
      <c r="F34" s="12">
        <v>-50</v>
      </c>
      <c r="G34" s="12">
        <v>-50.207329592498645</v>
      </c>
      <c r="H34" s="12">
        <v>1004.146591849973</v>
      </c>
      <c r="I34" s="12">
        <v>26252.143077470639</v>
      </c>
      <c r="J34" s="12">
        <v>26361</v>
      </c>
    </row>
    <row r="35" spans="2:10" x14ac:dyDescent="0.25">
      <c r="C35" t="s">
        <v>443</v>
      </c>
      <c r="F35" s="12">
        <v>-15447</v>
      </c>
      <c r="G35" s="12">
        <v>-7060.9092542649505</v>
      </c>
      <c r="H35" s="12">
        <v>457.10553856832718</v>
      </c>
      <c r="I35" s="12">
        <v>26252.143077470639</v>
      </c>
      <c r="J35" s="12">
        <v>12000</v>
      </c>
    </row>
    <row r="36" spans="2:10" x14ac:dyDescent="0.25">
      <c r="D36" t="s">
        <v>1899</v>
      </c>
      <c r="F36" s="12">
        <v>-15447</v>
      </c>
      <c r="G36" s="12">
        <v>-7060.9092542649505</v>
      </c>
      <c r="H36" s="12">
        <v>457.10553856832718</v>
      </c>
      <c r="I36" s="12">
        <v>26252.143077470639</v>
      </c>
      <c r="J36" s="12">
        <v>12000</v>
      </c>
    </row>
    <row r="37" spans="2:10" x14ac:dyDescent="0.25">
      <c r="E37" t="s">
        <v>2011</v>
      </c>
      <c r="F37" s="12">
        <v>-15447</v>
      </c>
      <c r="G37" s="12">
        <v>-7060.9092542649505</v>
      </c>
      <c r="H37" s="12">
        <v>457.10553856832718</v>
      </c>
      <c r="I37" s="12">
        <v>26252.143077470639</v>
      </c>
      <c r="J37" s="12">
        <v>12000</v>
      </c>
    </row>
    <row r="38" spans="2:10" x14ac:dyDescent="0.25">
      <c r="B38" t="s">
        <v>286</v>
      </c>
      <c r="F38" s="12">
        <v>-133375</v>
      </c>
      <c r="G38" s="12">
        <v>-167943.15595451908</v>
      </c>
      <c r="H38" s="12">
        <v>1259.1801758539389</v>
      </c>
      <c r="I38" s="12">
        <v>26252.143077470635</v>
      </c>
      <c r="J38" s="12">
        <v>33056.178136832241</v>
      </c>
    </row>
    <row r="39" spans="2:10" x14ac:dyDescent="0.25">
      <c r="C39" t="s">
        <v>287</v>
      </c>
      <c r="F39" s="12">
        <v>-133375</v>
      </c>
      <c r="G39" s="12">
        <v>-167943.15595451908</v>
      </c>
      <c r="H39" s="12">
        <v>1259.1801758539389</v>
      </c>
      <c r="I39" s="12">
        <v>26252.143077470635</v>
      </c>
      <c r="J39" s="12">
        <v>33056.178136832241</v>
      </c>
    </row>
    <row r="40" spans="2:10" x14ac:dyDescent="0.25">
      <c r="D40" t="s">
        <v>412</v>
      </c>
      <c r="F40" s="12">
        <v>-11000</v>
      </c>
      <c r="G40" s="12">
        <v>-14106.924486398217</v>
      </c>
      <c r="H40" s="12">
        <v>1282.447680581656</v>
      </c>
      <c r="I40" s="12">
        <v>26252.143077470639</v>
      </c>
      <c r="J40" s="12">
        <v>33667</v>
      </c>
    </row>
    <row r="41" spans="2:10" x14ac:dyDescent="0.25">
      <c r="E41" t="s">
        <v>2355</v>
      </c>
      <c r="F41" s="12">
        <v>-11000</v>
      </c>
      <c r="G41" s="12">
        <v>-14106.924486398217</v>
      </c>
      <c r="H41" s="12">
        <v>1282.447680581656</v>
      </c>
      <c r="I41" s="12">
        <v>26252.143077470639</v>
      </c>
      <c r="J41" s="12">
        <v>33667</v>
      </c>
    </row>
    <row r="42" spans="2:10" x14ac:dyDescent="0.25">
      <c r="D42" t="s">
        <v>704</v>
      </c>
      <c r="F42" s="12">
        <v>-23375</v>
      </c>
      <c r="G42" s="12">
        <v>-28409.61466647081</v>
      </c>
      <c r="H42" s="12">
        <v>1215.3845846618528</v>
      </c>
      <c r="I42" s="12">
        <v>26252.143077470639</v>
      </c>
      <c r="J42" s="12">
        <v>31906.450010695185</v>
      </c>
    </row>
    <row r="43" spans="2:10" x14ac:dyDescent="0.25">
      <c r="E43" t="s">
        <v>49</v>
      </c>
      <c r="F43" s="12">
        <v>-22000</v>
      </c>
      <c r="G43" s="12">
        <v>-26407.901174169401</v>
      </c>
      <c r="H43" s="12">
        <v>1200.3591442804272</v>
      </c>
      <c r="I43" s="12">
        <v>26252.143077470639</v>
      </c>
      <c r="J43" s="12">
        <v>31512</v>
      </c>
    </row>
    <row r="44" spans="2:10" x14ac:dyDescent="0.25">
      <c r="E44" t="s">
        <v>2439</v>
      </c>
      <c r="F44" s="12">
        <v>-1375</v>
      </c>
      <c r="G44" s="12">
        <v>-2001.7134923014087</v>
      </c>
      <c r="H44" s="12">
        <v>1455.7916307646608</v>
      </c>
      <c r="I44" s="12">
        <v>26252.143077470639</v>
      </c>
      <c r="J44" s="12">
        <v>38217.650181818179</v>
      </c>
    </row>
    <row r="45" spans="2:10" x14ac:dyDescent="0.25">
      <c r="D45" t="s">
        <v>831</v>
      </c>
      <c r="F45" s="12">
        <v>-11000</v>
      </c>
      <c r="G45" s="12">
        <v>-6789.5691210430987</v>
      </c>
      <c r="H45" s="12">
        <v>617.23355645846357</v>
      </c>
      <c r="I45" s="12">
        <v>26252.143077470639</v>
      </c>
      <c r="J45" s="12">
        <v>16203.703636363636</v>
      </c>
    </row>
    <row r="46" spans="2:10" x14ac:dyDescent="0.25">
      <c r="E46" t="s">
        <v>52</v>
      </c>
      <c r="F46" s="12">
        <v>-11000</v>
      </c>
      <c r="G46" s="12">
        <v>-6789.5691210430987</v>
      </c>
      <c r="H46" s="12">
        <v>617.23355645846357</v>
      </c>
      <c r="I46" s="12">
        <v>26252.143077470639</v>
      </c>
      <c r="J46" s="12">
        <v>16203.703636363636</v>
      </c>
    </row>
    <row r="47" spans="2:10" x14ac:dyDescent="0.25">
      <c r="D47" t="s">
        <v>288</v>
      </c>
      <c r="F47" s="12">
        <v>-55000</v>
      </c>
      <c r="G47" s="12">
        <v>-74176.791748143267</v>
      </c>
      <c r="H47" s="12">
        <v>1348.6689408753318</v>
      </c>
      <c r="I47" s="12">
        <v>26252.143077470639</v>
      </c>
      <c r="J47" s="12">
        <v>35405.449999999997</v>
      </c>
    </row>
    <row r="48" spans="2:10" x14ac:dyDescent="0.25">
      <c r="E48" t="s">
        <v>35</v>
      </c>
      <c r="F48" s="12">
        <v>-55000</v>
      </c>
      <c r="G48" s="12">
        <v>-74100.42655410619</v>
      </c>
      <c r="H48" s="12">
        <v>1347.2804828019307</v>
      </c>
      <c r="I48" s="12">
        <v>26252.143077470635</v>
      </c>
      <c r="J48" s="12">
        <v>35369</v>
      </c>
    </row>
    <row r="49" spans="2:10" x14ac:dyDescent="0.25">
      <c r="E49" t="s">
        <v>2027</v>
      </c>
      <c r="F49" s="12">
        <v>0</v>
      </c>
      <c r="G49" s="12">
        <v>-76.365194037071163</v>
      </c>
      <c r="H49" s="12">
        <v>0</v>
      </c>
      <c r="I49" s="12">
        <v>26252.143077470642</v>
      </c>
      <c r="J49" s="12">
        <v>0</v>
      </c>
    </row>
    <row r="50" spans="2:10" x14ac:dyDescent="0.25">
      <c r="D50" t="s">
        <v>805</v>
      </c>
      <c r="F50" s="12">
        <v>-33000</v>
      </c>
      <c r="G50" s="12">
        <v>-44460.255932463704</v>
      </c>
      <c r="H50" s="12">
        <v>1347.2804828019305</v>
      </c>
      <c r="I50" s="12">
        <v>26252.143077470639</v>
      </c>
      <c r="J50" s="12">
        <v>35369</v>
      </c>
    </row>
    <row r="51" spans="2:10" x14ac:dyDescent="0.25">
      <c r="E51" t="s">
        <v>35</v>
      </c>
      <c r="F51" s="12">
        <v>-33000</v>
      </c>
      <c r="G51" s="12">
        <v>-44460.255932463704</v>
      </c>
      <c r="H51" s="12">
        <v>1347.2804828019305</v>
      </c>
      <c r="I51" s="12">
        <v>26252.143077470639</v>
      </c>
      <c r="J51" s="12">
        <v>35369</v>
      </c>
    </row>
    <row r="52" spans="2:10" x14ac:dyDescent="0.25">
      <c r="B52" t="s">
        <v>348</v>
      </c>
      <c r="F52" s="12">
        <v>-110800</v>
      </c>
      <c r="G52" s="12">
        <v>-80191.548316170214</v>
      </c>
      <c r="H52" s="12">
        <v>723.7504360665182</v>
      </c>
      <c r="I52" s="12">
        <v>26252.143077470639</v>
      </c>
      <c r="J52" s="12">
        <v>19000</v>
      </c>
    </row>
    <row r="53" spans="2:10" x14ac:dyDescent="0.25">
      <c r="C53" t="s">
        <v>349</v>
      </c>
      <c r="F53" s="12">
        <v>-110800</v>
      </c>
      <c r="G53" s="12">
        <v>-80191.548316170214</v>
      </c>
      <c r="H53" s="12">
        <v>723.7504360665182</v>
      </c>
      <c r="I53" s="12">
        <v>26252.143077470639</v>
      </c>
      <c r="J53" s="12">
        <v>19000</v>
      </c>
    </row>
    <row r="54" spans="2:10" x14ac:dyDescent="0.25">
      <c r="D54" t="s">
        <v>701</v>
      </c>
      <c r="F54" s="12">
        <v>-110800</v>
      </c>
      <c r="G54" s="12">
        <v>-80191.548316170214</v>
      </c>
      <c r="H54" s="12">
        <v>723.7504360665182</v>
      </c>
      <c r="I54" s="12">
        <v>26252.143077470639</v>
      </c>
      <c r="J54" s="12">
        <v>19000</v>
      </c>
    </row>
    <row r="55" spans="2:10" x14ac:dyDescent="0.25">
      <c r="E55" t="s">
        <v>2033</v>
      </c>
      <c r="F55" s="12">
        <v>-110800</v>
      </c>
      <c r="G55" s="12">
        <v>-80191.548316170214</v>
      </c>
      <c r="H55" s="12">
        <v>723.7504360665182</v>
      </c>
      <c r="I55" s="12">
        <v>26252.143077470639</v>
      </c>
      <c r="J55" s="12">
        <v>19000</v>
      </c>
    </row>
    <row r="56" spans="2:10" x14ac:dyDescent="0.25">
      <c r="B56" t="s">
        <v>447</v>
      </c>
      <c r="F56" s="12">
        <v>-188758</v>
      </c>
      <c r="G56" s="12">
        <v>-66644.558268519395</v>
      </c>
      <c r="H56" s="12">
        <v>353.06878791107869</v>
      </c>
      <c r="I56" s="12">
        <v>26252.143077470639</v>
      </c>
      <c r="J56" s="12">
        <v>9268.8123364307739</v>
      </c>
    </row>
    <row r="57" spans="2:10" x14ac:dyDescent="0.25">
      <c r="C57" t="s">
        <v>447</v>
      </c>
      <c r="F57" s="12">
        <v>-188758</v>
      </c>
      <c r="G57" s="12">
        <v>-66644.558268519395</v>
      </c>
      <c r="H57" s="12">
        <v>353.06878791107869</v>
      </c>
      <c r="I57" s="12">
        <v>26252.143077470639</v>
      </c>
      <c r="J57" s="12">
        <v>9268.8123364307739</v>
      </c>
    </row>
    <row r="58" spans="2:10" x14ac:dyDescent="0.25">
      <c r="D58" t="s">
        <v>1643</v>
      </c>
      <c r="F58" s="12">
        <v>-17239</v>
      </c>
      <c r="G58" s="12">
        <v>-9371.4394773024269</v>
      </c>
      <c r="H58" s="12">
        <v>543.61850903778793</v>
      </c>
      <c r="I58" s="12">
        <v>26252.143077470642</v>
      </c>
      <c r="J58" s="12">
        <v>14271.150878821278</v>
      </c>
    </row>
    <row r="59" spans="2:10" x14ac:dyDescent="0.25">
      <c r="E59" t="s">
        <v>56</v>
      </c>
      <c r="F59" s="12">
        <v>-14234</v>
      </c>
      <c r="G59" s="12">
        <v>-7781.6221859355537</v>
      </c>
      <c r="H59" s="12">
        <v>546.69258015565231</v>
      </c>
      <c r="I59" s="12">
        <v>26252.143077470642</v>
      </c>
      <c r="J59" s="12">
        <v>14351.851833637769</v>
      </c>
    </row>
    <row r="60" spans="2:10" x14ac:dyDescent="0.25">
      <c r="E60" t="s">
        <v>2497</v>
      </c>
      <c r="F60" s="12">
        <v>-3005</v>
      </c>
      <c r="G60" s="12">
        <v>-1589.8172913668739</v>
      </c>
      <c r="H60" s="12">
        <v>529.05733489746217</v>
      </c>
      <c r="I60" s="12">
        <v>26252.143077470639</v>
      </c>
      <c r="J60" s="12">
        <v>13888.888851913478</v>
      </c>
    </row>
    <row r="61" spans="2:10" x14ac:dyDescent="0.25">
      <c r="D61" t="s">
        <v>784</v>
      </c>
      <c r="F61" s="12">
        <v>-12800</v>
      </c>
      <c r="G61" s="12">
        <v>-2031.5801587174119</v>
      </c>
      <c r="H61" s="12">
        <v>158.71719989979781</v>
      </c>
      <c r="I61" s="12">
        <v>26252.143077470635</v>
      </c>
      <c r="J61" s="12">
        <v>4166.6666406249997</v>
      </c>
    </row>
    <row r="62" spans="2:10" x14ac:dyDescent="0.25">
      <c r="E62" t="s">
        <v>2037</v>
      </c>
      <c r="F62" s="12">
        <v>-12800</v>
      </c>
      <c r="G62" s="12">
        <v>-2031.5801587174119</v>
      </c>
      <c r="H62" s="12">
        <v>158.71719989979781</v>
      </c>
      <c r="I62" s="12">
        <v>26252.143077470635</v>
      </c>
      <c r="J62" s="12">
        <v>4166.6666406249997</v>
      </c>
    </row>
    <row r="63" spans="2:10" x14ac:dyDescent="0.25">
      <c r="D63" t="s">
        <v>786</v>
      </c>
      <c r="F63" s="12">
        <v>-13460</v>
      </c>
      <c r="G63" s="12">
        <v>-2136.3335113059866</v>
      </c>
      <c r="H63" s="12">
        <v>158.71719994843883</v>
      </c>
      <c r="I63" s="12">
        <v>26252.143077470639</v>
      </c>
      <c r="J63" s="12">
        <v>4166.6666419019321</v>
      </c>
    </row>
    <row r="64" spans="2:10" x14ac:dyDescent="0.25">
      <c r="E64" t="s">
        <v>2037</v>
      </c>
      <c r="F64" s="12">
        <v>-13460</v>
      </c>
      <c r="G64" s="12">
        <v>-2136.3335113059866</v>
      </c>
      <c r="H64" s="12">
        <v>158.71719994843883</v>
      </c>
      <c r="I64" s="12">
        <v>26252.143077470639</v>
      </c>
      <c r="J64" s="12">
        <v>4166.6666419019321</v>
      </c>
    </row>
    <row r="65" spans="2:10" x14ac:dyDescent="0.25">
      <c r="D65" t="s">
        <v>791</v>
      </c>
      <c r="F65" s="12">
        <v>-10300</v>
      </c>
      <c r="G65" s="12">
        <v>-1634.7871437905849</v>
      </c>
      <c r="H65" s="12">
        <v>158.71719842627039</v>
      </c>
      <c r="I65" s="12">
        <v>26252.143077470639</v>
      </c>
      <c r="J65" s="12">
        <v>4166.666601941748</v>
      </c>
    </row>
    <row r="66" spans="2:10" x14ac:dyDescent="0.25">
      <c r="E66" t="s">
        <v>2037</v>
      </c>
      <c r="F66" s="12">
        <v>-10300</v>
      </c>
      <c r="G66" s="12">
        <v>-1634.7871437905849</v>
      </c>
      <c r="H66" s="12">
        <v>158.71719842627039</v>
      </c>
      <c r="I66" s="12">
        <v>26252.143077470639</v>
      </c>
      <c r="J66" s="12">
        <v>4166.666601941748</v>
      </c>
    </row>
    <row r="67" spans="2:10" x14ac:dyDescent="0.25">
      <c r="D67" t="s">
        <v>1925</v>
      </c>
      <c r="F67" s="12">
        <v>-3003</v>
      </c>
      <c r="G67" s="12">
        <v>-1588.7591682293446</v>
      </c>
      <c r="H67" s="12">
        <v>529.05733207770379</v>
      </c>
      <c r="I67" s="12">
        <v>26252.143077470639</v>
      </c>
      <c r="J67" s="12">
        <v>13888.888777888778</v>
      </c>
    </row>
    <row r="68" spans="2:10" x14ac:dyDescent="0.25">
      <c r="E68" t="s">
        <v>2497</v>
      </c>
      <c r="F68" s="12">
        <v>-3003</v>
      </c>
      <c r="G68" s="12">
        <v>-1588.7591682293446</v>
      </c>
      <c r="H68" s="12">
        <v>529.05733207770379</v>
      </c>
      <c r="I68" s="12">
        <v>26252.143077470639</v>
      </c>
      <c r="J68" s="12">
        <v>13888.888777888778</v>
      </c>
    </row>
    <row r="69" spans="2:10" x14ac:dyDescent="0.25">
      <c r="D69" t="s">
        <v>1837</v>
      </c>
      <c r="F69" s="12">
        <v>-34708</v>
      </c>
      <c r="G69" s="12">
        <v>-14690.017605875259</v>
      </c>
      <c r="H69" s="12">
        <v>423.24586855696839</v>
      </c>
      <c r="I69" s="12">
        <v>26252.143077470639</v>
      </c>
      <c r="J69" s="12">
        <v>11111.111098305866</v>
      </c>
    </row>
    <row r="70" spans="2:10" x14ac:dyDescent="0.25">
      <c r="E70" t="s">
        <v>2061</v>
      </c>
      <c r="F70" s="12">
        <v>-34708</v>
      </c>
      <c r="G70" s="12">
        <v>-14690.017605875259</v>
      </c>
      <c r="H70" s="12">
        <v>423.24586855696839</v>
      </c>
      <c r="I70" s="12">
        <v>26252.143077470639</v>
      </c>
      <c r="J70" s="12">
        <v>11111.111098305866</v>
      </c>
    </row>
    <row r="71" spans="2:10" x14ac:dyDescent="0.25">
      <c r="D71" t="s">
        <v>2062</v>
      </c>
      <c r="F71" s="12">
        <v>-97248</v>
      </c>
      <c r="G71" s="12">
        <v>-35191.641203298372</v>
      </c>
      <c r="H71" s="12">
        <v>361.87521803325899</v>
      </c>
      <c r="I71" s="12">
        <v>26252.143077470642</v>
      </c>
      <c r="J71" s="12">
        <v>9500</v>
      </c>
    </row>
    <row r="72" spans="2:10" x14ac:dyDescent="0.25">
      <c r="E72" t="s">
        <v>2014</v>
      </c>
      <c r="F72" s="12">
        <v>-79377</v>
      </c>
      <c r="G72" s="12">
        <v>-28724.569181826002</v>
      </c>
      <c r="H72" s="12">
        <v>361.87521803325899</v>
      </c>
      <c r="I72" s="12">
        <v>26252.143077470642</v>
      </c>
      <c r="J72" s="12">
        <v>9500</v>
      </c>
    </row>
    <row r="73" spans="2:10" x14ac:dyDescent="0.25">
      <c r="E73" t="s">
        <v>2061</v>
      </c>
      <c r="F73" s="12">
        <v>-17871</v>
      </c>
      <c r="G73" s="12">
        <v>-6467.0720214723724</v>
      </c>
      <c r="H73" s="12">
        <v>361.87521803325905</v>
      </c>
      <c r="I73" s="12">
        <v>26252.143077470639</v>
      </c>
      <c r="J73" s="12">
        <v>9500</v>
      </c>
    </row>
    <row r="74" spans="2:10" x14ac:dyDescent="0.25">
      <c r="B74" t="s">
        <v>307</v>
      </c>
      <c r="F74" s="12">
        <v>-27500</v>
      </c>
      <c r="G74" s="12">
        <v>-23289.184360902345</v>
      </c>
      <c r="H74" s="12">
        <v>846.87943130554004</v>
      </c>
      <c r="I74" s="12">
        <v>26252.143077470635</v>
      </c>
      <c r="J74" s="12">
        <v>22232.400000000001</v>
      </c>
    </row>
    <row r="75" spans="2:10" x14ac:dyDescent="0.25">
      <c r="C75" t="s">
        <v>308</v>
      </c>
      <c r="F75" s="12">
        <v>-27500</v>
      </c>
      <c r="G75" s="12">
        <v>-23289.184360902345</v>
      </c>
      <c r="H75" s="12">
        <v>846.87943130554004</v>
      </c>
      <c r="I75" s="12">
        <v>26252.143077470635</v>
      </c>
      <c r="J75" s="12">
        <v>22232.400000000001</v>
      </c>
    </row>
    <row r="76" spans="2:10" x14ac:dyDescent="0.25">
      <c r="D76" t="s">
        <v>320</v>
      </c>
      <c r="F76" s="12">
        <v>-11000</v>
      </c>
      <c r="G76" s="12">
        <v>-8673.5775943340086</v>
      </c>
      <c r="H76" s="12">
        <v>788.50705403036443</v>
      </c>
      <c r="I76" s="12">
        <v>26252.143077470642</v>
      </c>
      <c r="J76" s="12">
        <v>20700</v>
      </c>
    </row>
    <row r="77" spans="2:10" x14ac:dyDescent="0.25">
      <c r="E77" t="s">
        <v>58</v>
      </c>
      <c r="F77" s="12">
        <v>-11000</v>
      </c>
      <c r="G77" s="12">
        <v>-8673.5775943340086</v>
      </c>
      <c r="H77" s="12">
        <v>788.50705403036443</v>
      </c>
      <c r="I77" s="12">
        <v>26252.143077470642</v>
      </c>
      <c r="J77" s="12">
        <v>20700</v>
      </c>
    </row>
    <row r="78" spans="2:10" x14ac:dyDescent="0.25">
      <c r="D78" t="s">
        <v>310</v>
      </c>
      <c r="F78" s="12">
        <v>-16500</v>
      </c>
      <c r="G78" s="12">
        <v>-14615.606766568337</v>
      </c>
      <c r="H78" s="12">
        <v>885.79434948899006</v>
      </c>
      <c r="I78" s="12">
        <v>26252.143077470639</v>
      </c>
      <c r="J78" s="12">
        <v>23254</v>
      </c>
    </row>
    <row r="79" spans="2:10" x14ac:dyDescent="0.25">
      <c r="E79" t="s">
        <v>58</v>
      </c>
      <c r="F79" s="12">
        <v>-11000</v>
      </c>
      <c r="G79" s="12">
        <v>-8045.0574788025597</v>
      </c>
      <c r="H79" s="12">
        <v>731.3688617093236</v>
      </c>
      <c r="I79" s="12">
        <v>26252.143077470639</v>
      </c>
      <c r="J79" s="12">
        <v>19200</v>
      </c>
    </row>
    <row r="80" spans="2:10" x14ac:dyDescent="0.25">
      <c r="E80" t="s">
        <v>2429</v>
      </c>
      <c r="F80" s="12">
        <v>-5500</v>
      </c>
      <c r="G80" s="12">
        <v>-6570.549287765778</v>
      </c>
      <c r="H80" s="12">
        <v>1194.6453250483232</v>
      </c>
      <c r="I80" s="12">
        <v>26252.143077470639</v>
      </c>
      <c r="J80" s="12">
        <v>31362</v>
      </c>
    </row>
    <row r="81" spans="1:10" x14ac:dyDescent="0.25">
      <c r="B81" t="s">
        <v>325</v>
      </c>
      <c r="F81" s="12">
        <v>-15150</v>
      </c>
      <c r="G81" s="12">
        <v>-12486.463258739133</v>
      </c>
      <c r="H81" s="12">
        <v>824.18899397618043</v>
      </c>
      <c r="I81" s="12">
        <v>26252.143077470639</v>
      </c>
      <c r="J81" s="12">
        <v>21636.727392739274</v>
      </c>
    </row>
    <row r="82" spans="1:10" x14ac:dyDescent="0.25">
      <c r="C82" t="s">
        <v>326</v>
      </c>
      <c r="F82" s="12">
        <v>-15150</v>
      </c>
      <c r="G82" s="12">
        <v>-12486.463258739133</v>
      </c>
      <c r="H82" s="12">
        <v>824.18899397618043</v>
      </c>
      <c r="I82" s="12">
        <v>26252.143077470639</v>
      </c>
      <c r="J82" s="12">
        <v>21636.727392739274</v>
      </c>
    </row>
    <row r="83" spans="1:10" x14ac:dyDescent="0.25">
      <c r="D83" t="s">
        <v>917</v>
      </c>
      <c r="F83" s="12">
        <v>-25</v>
      </c>
      <c r="G83" s="12">
        <v>-29.872227866722326</v>
      </c>
      <c r="H83" s="12">
        <v>1194.8891146688932</v>
      </c>
      <c r="I83" s="12">
        <v>26252.143077470639</v>
      </c>
      <c r="J83" s="12">
        <v>31368.400000000001</v>
      </c>
    </row>
    <row r="84" spans="1:10" x14ac:dyDescent="0.25">
      <c r="E84" t="s">
        <v>2202</v>
      </c>
      <c r="F84" s="12">
        <v>-25</v>
      </c>
      <c r="G84" s="12">
        <v>-29.872227866722326</v>
      </c>
      <c r="H84" s="12">
        <v>1194.8891146688932</v>
      </c>
      <c r="I84" s="12">
        <v>26252.143077470639</v>
      </c>
      <c r="J84" s="12">
        <v>31368.400000000001</v>
      </c>
    </row>
    <row r="85" spans="1:10" x14ac:dyDescent="0.25">
      <c r="D85" t="s">
        <v>1002</v>
      </c>
      <c r="F85" s="12">
        <v>-15000</v>
      </c>
      <c r="G85" s="12">
        <v>-12350.534546577634</v>
      </c>
      <c r="H85" s="12">
        <v>823.36896977184222</v>
      </c>
      <c r="I85" s="12">
        <v>26252.143077470639</v>
      </c>
      <c r="J85" s="12">
        <v>21615.200000000001</v>
      </c>
    </row>
    <row r="86" spans="1:10" x14ac:dyDescent="0.25">
      <c r="E86" t="s">
        <v>2029</v>
      </c>
      <c r="F86" s="12">
        <v>-15000</v>
      </c>
      <c r="G86" s="12">
        <v>-12350.534546577634</v>
      </c>
      <c r="H86" s="12">
        <v>823.36896977184222</v>
      </c>
      <c r="I86" s="12">
        <v>26252.143077470639</v>
      </c>
      <c r="J86" s="12">
        <v>21615.200000000001</v>
      </c>
    </row>
    <row r="87" spans="1:10" x14ac:dyDescent="0.25">
      <c r="D87" t="s">
        <v>707</v>
      </c>
      <c r="F87" s="12">
        <v>-125</v>
      </c>
      <c r="G87" s="12">
        <v>-106.05648429477687</v>
      </c>
      <c r="H87" s="12">
        <v>848.45187435821492</v>
      </c>
      <c r="I87" s="12">
        <v>26252.143077470639</v>
      </c>
      <c r="J87" s="12">
        <v>22273.68</v>
      </c>
    </row>
    <row r="88" spans="1:10" x14ac:dyDescent="0.25">
      <c r="E88" t="s">
        <v>2310</v>
      </c>
      <c r="F88" s="12">
        <v>-100</v>
      </c>
      <c r="G88" s="12">
        <v>-76.184256428054539</v>
      </c>
      <c r="H88" s="12">
        <v>761.84256428054539</v>
      </c>
      <c r="I88" s="12">
        <v>26252.143077470639</v>
      </c>
      <c r="J88" s="12">
        <v>20000</v>
      </c>
    </row>
    <row r="89" spans="1:10" x14ac:dyDescent="0.25">
      <c r="E89" t="s">
        <v>2202</v>
      </c>
      <c r="F89" s="12">
        <v>-25</v>
      </c>
      <c r="G89" s="12">
        <v>-29.872227866722326</v>
      </c>
      <c r="H89" s="12">
        <v>1194.8891146688932</v>
      </c>
      <c r="I89" s="12">
        <v>26252.143077470639</v>
      </c>
      <c r="J89" s="12">
        <v>31368.400000000001</v>
      </c>
    </row>
    <row r="90" spans="1:10" x14ac:dyDescent="0.25">
      <c r="B90" t="s">
        <v>1</v>
      </c>
      <c r="F90" s="12">
        <v>0</v>
      </c>
      <c r="G90" s="12">
        <v>-4787.6941562101911</v>
      </c>
      <c r="H90" s="12">
        <v>0</v>
      </c>
      <c r="I90" s="12">
        <v>26252.143077470639</v>
      </c>
      <c r="J90" s="12">
        <v>0</v>
      </c>
    </row>
    <row r="91" spans="1:10" x14ac:dyDescent="0.25">
      <c r="C91" t="s">
        <v>1</v>
      </c>
      <c r="F91" s="12">
        <v>0</v>
      </c>
      <c r="G91" s="12">
        <v>-4787.6941562101911</v>
      </c>
      <c r="H91" s="12">
        <v>0</v>
      </c>
      <c r="I91" s="12">
        <v>26252.143077470639</v>
      </c>
      <c r="J91" s="12">
        <v>0</v>
      </c>
    </row>
    <row r="92" spans="1:10" x14ac:dyDescent="0.25">
      <c r="D92" t="s">
        <v>1</v>
      </c>
      <c r="F92" s="12">
        <v>0</v>
      </c>
      <c r="G92" s="12">
        <v>-4787.6941562101911</v>
      </c>
      <c r="H92" s="12">
        <v>0</v>
      </c>
      <c r="I92" s="12">
        <v>26252.143077470639</v>
      </c>
      <c r="J92" s="12">
        <v>0</v>
      </c>
    </row>
    <row r="93" spans="1:10" x14ac:dyDescent="0.25">
      <c r="E93" t="s">
        <v>2009</v>
      </c>
      <c r="F93" s="12">
        <v>0</v>
      </c>
      <c r="G93" s="12">
        <v>-4216.9509618056745</v>
      </c>
      <c r="H93" s="12">
        <v>0</v>
      </c>
      <c r="I93" s="12">
        <v>26252.143077470642</v>
      </c>
      <c r="J93" s="12">
        <v>0</v>
      </c>
    </row>
    <row r="94" spans="1:10" x14ac:dyDescent="0.25">
      <c r="E94" t="s">
        <v>19</v>
      </c>
      <c r="F94" s="12">
        <v>0</v>
      </c>
      <c r="G94" s="12">
        <v>-425.99310719121269</v>
      </c>
      <c r="H94" s="12">
        <v>0</v>
      </c>
      <c r="I94" s="12">
        <v>26252.143077470635</v>
      </c>
      <c r="J94" s="12">
        <v>0</v>
      </c>
    </row>
    <row r="95" spans="1:10" x14ac:dyDescent="0.25">
      <c r="E95" t="s">
        <v>2379</v>
      </c>
      <c r="F95" s="12">
        <v>0</v>
      </c>
      <c r="G95" s="12">
        <v>-144.75008721330363</v>
      </c>
      <c r="H95" s="12">
        <v>0</v>
      </c>
      <c r="I95" s="12">
        <v>26252.143077470639</v>
      </c>
      <c r="J95" s="12">
        <v>0</v>
      </c>
    </row>
    <row r="96" spans="1:10" x14ac:dyDescent="0.25">
      <c r="A96" t="s">
        <v>373</v>
      </c>
      <c r="F96" s="12">
        <v>0</v>
      </c>
      <c r="G96" s="12">
        <v>4216.9509618056745</v>
      </c>
      <c r="H96" s="12">
        <v>0</v>
      </c>
      <c r="I96" s="12">
        <v>26252.143077470642</v>
      </c>
      <c r="J96" s="12">
        <v>0</v>
      </c>
    </row>
    <row r="97" spans="1:10" x14ac:dyDescent="0.25">
      <c r="B97" t="s">
        <v>1</v>
      </c>
      <c r="F97" s="12">
        <v>0</v>
      </c>
      <c r="G97" s="12">
        <v>4216.9509618056745</v>
      </c>
      <c r="H97" s="12">
        <v>0</v>
      </c>
      <c r="I97" s="12">
        <v>26252.143077470642</v>
      </c>
      <c r="J97" s="12">
        <v>0</v>
      </c>
    </row>
    <row r="98" spans="1:10" x14ac:dyDescent="0.25">
      <c r="C98" t="s">
        <v>1</v>
      </c>
      <c r="F98" s="12">
        <v>0</v>
      </c>
      <c r="G98" s="12">
        <v>4216.9509618056745</v>
      </c>
      <c r="H98" s="12">
        <v>0</v>
      </c>
      <c r="I98" s="12">
        <v>26252.143077470642</v>
      </c>
      <c r="J98" s="12">
        <v>0</v>
      </c>
    </row>
    <row r="99" spans="1:10" x14ac:dyDescent="0.25">
      <c r="D99" t="s">
        <v>1</v>
      </c>
      <c r="F99" s="12">
        <v>0</v>
      </c>
      <c r="G99" s="12">
        <v>4216.9509618056745</v>
      </c>
      <c r="H99" s="12">
        <v>0</v>
      </c>
      <c r="I99" s="12">
        <v>26252.143077470642</v>
      </c>
      <c r="J99" s="12">
        <v>0</v>
      </c>
    </row>
    <row r="100" spans="1:10" x14ac:dyDescent="0.25">
      <c r="E100" t="s">
        <v>2041</v>
      </c>
      <c r="F100" s="12">
        <v>0</v>
      </c>
      <c r="G100" s="12">
        <v>4216.9509618056745</v>
      </c>
      <c r="H100" s="12">
        <v>0</v>
      </c>
      <c r="I100" s="12">
        <v>26252.143077470642</v>
      </c>
      <c r="J100" s="12">
        <v>0</v>
      </c>
    </row>
    <row r="101" spans="1:10" x14ac:dyDescent="0.25">
      <c r="A101" t="s">
        <v>249</v>
      </c>
      <c r="F101" s="12">
        <v>-1799180</v>
      </c>
      <c r="G101" s="12">
        <v>-1831164.758135688</v>
      </c>
      <c r="H101" s="12">
        <v>1017.7774086726661</v>
      </c>
      <c r="I101" s="12">
        <v>26252.14307747065</v>
      </c>
      <c r="J101" s="12">
        <v>26718.838153492146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D218-EF91-422D-9250-8A1AEFE71817}">
  <dimension ref="A2:M7"/>
  <sheetViews>
    <sheetView showGridLines="0" workbookViewId="0">
      <selection activeCell="G25" sqref="G25"/>
    </sheetView>
  </sheetViews>
  <sheetFormatPr defaultRowHeight="13.2" x14ac:dyDescent="0.25"/>
  <cols>
    <col min="1" max="1" width="11.33203125" bestFit="1" customWidth="1"/>
    <col min="2" max="2" width="18.33203125" bestFit="1" customWidth="1"/>
    <col min="3" max="3" width="15" bestFit="1" customWidth="1"/>
    <col min="4" max="5" width="10.33203125" bestFit="1" customWidth="1"/>
    <col min="6" max="6" width="10.44140625" bestFit="1" customWidth="1"/>
    <col min="7" max="13" width="10.33203125" bestFit="1" customWidth="1"/>
  </cols>
  <sheetData>
    <row r="2" spans="1:13" x14ac:dyDescent="0.25">
      <c r="E2" t="s">
        <v>2368</v>
      </c>
    </row>
    <row r="3" spans="1:13" x14ac:dyDescent="0.25">
      <c r="A3" t="s">
        <v>2016</v>
      </c>
      <c r="B3" s="18">
        <f>-SUMIFS(Data_FAGLL03[Amount in local currency],Data_FAGLL03[Document currency],"&lt;&gt;"&amp;"vnd")</f>
        <v>6085181135</v>
      </c>
      <c r="C3" s="18">
        <f>-SUMIFS(Data_FAGLL03[Amount in doc. curr.],Data_FAGLL03[Document currency],"&lt;&gt;"&amp;"vnd")</f>
        <v>231797.5</v>
      </c>
      <c r="D3" s="21">
        <f>B3/C3</f>
        <v>26252.143077470639</v>
      </c>
      <c r="E3" s="18">
        <v>26208.461356079893</v>
      </c>
      <c r="F3" s="12">
        <f>EXR-E3</f>
        <v>43.681721390745224</v>
      </c>
    </row>
    <row r="6" spans="1:13" x14ac:dyDescent="0.25">
      <c r="A6" s="106"/>
      <c r="B6" s="106">
        <v>1</v>
      </c>
      <c r="C6" s="106">
        <v>2</v>
      </c>
      <c r="D6" s="106">
        <v>3</v>
      </c>
      <c r="E6" s="106">
        <v>4</v>
      </c>
      <c r="F6" s="106">
        <v>5</v>
      </c>
      <c r="G6" s="106">
        <v>6</v>
      </c>
      <c r="H6" s="106">
        <v>7</v>
      </c>
      <c r="I6" s="106">
        <v>8</v>
      </c>
      <c r="J6" s="106">
        <v>9</v>
      </c>
      <c r="K6" s="106">
        <v>10</v>
      </c>
      <c r="L6" s="106">
        <v>11</v>
      </c>
      <c r="M6" s="106">
        <v>12</v>
      </c>
    </row>
    <row r="7" spans="1:13" x14ac:dyDescent="0.25">
      <c r="A7" s="107" t="s">
        <v>2893</v>
      </c>
      <c r="B7" s="106"/>
      <c r="C7" s="106"/>
      <c r="D7" s="106"/>
      <c r="E7" s="122">
        <v>26250</v>
      </c>
      <c r="F7" s="268">
        <f>E7+50</f>
        <v>26300</v>
      </c>
      <c r="G7" s="122">
        <f t="shared" ref="G7:M7" si="0">F7+50</f>
        <v>26350</v>
      </c>
      <c r="H7" s="122">
        <f t="shared" si="0"/>
        <v>26400</v>
      </c>
      <c r="I7" s="122">
        <f t="shared" si="0"/>
        <v>26450</v>
      </c>
      <c r="J7" s="122">
        <f t="shared" si="0"/>
        <v>26500</v>
      </c>
      <c r="K7" s="122">
        <f t="shared" si="0"/>
        <v>26550</v>
      </c>
      <c r="L7" s="122">
        <f t="shared" si="0"/>
        <v>26600</v>
      </c>
      <c r="M7" s="122">
        <f t="shared" si="0"/>
        <v>26650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41"/>
  <sheetViews>
    <sheetView showGridLines="0" topLeftCell="O1" zoomScale="85" zoomScaleNormal="85" workbookViewId="0">
      <pane ySplit="3" topLeftCell="A4" activePane="bottomLeft" state="frozen"/>
      <selection activeCell="O26" sqref="O26"/>
      <selection pane="bottomLeft" activeCell="O26" sqref="O26"/>
    </sheetView>
  </sheetViews>
  <sheetFormatPr defaultRowHeight="13.2" x14ac:dyDescent="0.25"/>
  <cols>
    <col min="1" max="1" width="17.33203125" customWidth="1"/>
    <col min="2" max="2" width="14.88671875" customWidth="1"/>
    <col min="3" max="3" width="20.5546875" customWidth="1"/>
    <col min="4" max="4" width="16.5546875" customWidth="1"/>
    <col min="5" max="5" width="14.44140625" customWidth="1"/>
    <col min="6" max="6" width="14.33203125" customWidth="1"/>
    <col min="7" max="7" width="15.5546875" customWidth="1"/>
    <col min="8" max="8" width="21" bestFit="1" customWidth="1"/>
    <col min="9" max="9" width="26.33203125" customWidth="1"/>
    <col min="10" max="10" width="32" bestFit="1" customWidth="1"/>
    <col min="11" max="11" width="52" bestFit="1" customWidth="1"/>
    <col min="12" max="12" width="13.33203125" customWidth="1"/>
    <col min="13" max="13" width="16.88671875" hidden="1" customWidth="1"/>
    <col min="14" max="14" width="13.109375" hidden="1" customWidth="1"/>
    <col min="15" max="16" width="18" bestFit="1" customWidth="1"/>
    <col min="17" max="17" width="12" hidden="1" customWidth="1"/>
    <col min="18" max="18" width="15.88671875" hidden="1" customWidth="1"/>
    <col min="19" max="19" width="22" hidden="1" customWidth="1"/>
    <col min="20" max="20" width="13" hidden="1" customWidth="1"/>
    <col min="21" max="21" width="22" hidden="1" customWidth="1"/>
    <col min="22" max="22" width="15.88671875" hidden="1" customWidth="1"/>
    <col min="23" max="23" width="22" hidden="1" customWidth="1"/>
    <col min="24" max="24" width="18.88671875" hidden="1" customWidth="1"/>
    <col min="25" max="25" width="26.5546875" hidden="1" customWidth="1"/>
    <col min="26" max="26" width="27.44140625" hidden="1" customWidth="1"/>
    <col min="27" max="27" width="23.6640625" hidden="1" customWidth="1"/>
    <col min="28" max="28" width="8.6640625" hidden="1" customWidth="1"/>
    <col min="29" max="29" width="22.88671875" hidden="1" customWidth="1"/>
    <col min="30" max="30" width="23.109375" hidden="1" customWidth="1"/>
    <col min="31" max="31" width="21.33203125" hidden="1" customWidth="1"/>
    <col min="32" max="32" width="18.6640625" hidden="1" customWidth="1"/>
    <col min="33" max="33" width="17.33203125" hidden="1" customWidth="1"/>
    <col min="34" max="34" width="16.88671875" hidden="1" customWidth="1"/>
    <col min="35" max="35" width="17.33203125" hidden="1" customWidth="1"/>
    <col min="36" max="36" width="23.44140625" hidden="1" customWidth="1"/>
    <col min="37" max="37" width="19.88671875" hidden="1" customWidth="1"/>
    <col min="38" max="38" width="17.88671875" hidden="1" customWidth="1"/>
    <col min="39" max="39" width="28.88671875" hidden="1" customWidth="1"/>
    <col min="40" max="40" width="29.88671875" hidden="1" customWidth="1"/>
    <col min="41" max="41" width="15.44140625" hidden="1" customWidth="1"/>
    <col min="42" max="42" width="20.88671875" hidden="1" customWidth="1"/>
    <col min="43" max="43" width="21.33203125" hidden="1" customWidth="1"/>
    <col min="44" max="44" width="15.5546875" hidden="1" customWidth="1"/>
    <col min="45" max="45" width="35.5546875" hidden="1" customWidth="1"/>
    <col min="46" max="46" width="19.33203125" hidden="1" customWidth="1"/>
    <col min="47" max="47" width="19" hidden="1" customWidth="1"/>
    <col min="48" max="48" width="16.109375" hidden="1" customWidth="1"/>
    <col min="49" max="49" width="18.33203125" hidden="1" customWidth="1"/>
    <col min="50" max="50" width="21.109375" hidden="1" customWidth="1"/>
    <col min="51" max="51" width="29.33203125" hidden="1" customWidth="1"/>
    <col min="52" max="52" width="27.6640625" hidden="1" customWidth="1"/>
    <col min="53" max="53" width="12.5546875" hidden="1" customWidth="1"/>
    <col min="54" max="55" width="9.109375" hidden="1" customWidth="1"/>
    <col min="56" max="56" width="11.109375" hidden="1" customWidth="1"/>
    <col min="57" max="57" width="18" hidden="1" customWidth="1"/>
    <col min="58" max="58" width="28.6640625" hidden="1" customWidth="1"/>
    <col min="59" max="59" width="18.88671875" hidden="1" customWidth="1"/>
    <col min="60" max="60" width="23.88671875" hidden="1" customWidth="1"/>
    <col min="61" max="62" width="20.5546875" hidden="1" customWidth="1"/>
    <col min="63" max="63" width="16.109375" hidden="1" customWidth="1"/>
    <col min="64" max="64" width="13" hidden="1" customWidth="1"/>
    <col min="65" max="65" width="21" hidden="1" customWidth="1"/>
    <col min="66" max="66" width="21.33203125" hidden="1" customWidth="1"/>
    <col min="67" max="67" width="17.109375" hidden="1" customWidth="1"/>
    <col min="68" max="68" width="29" hidden="1" customWidth="1"/>
    <col min="69" max="69" width="24" hidden="1" customWidth="1"/>
    <col min="70" max="70" width="17.6640625" hidden="1" customWidth="1"/>
    <col min="71" max="71" width="10.33203125" hidden="1" customWidth="1"/>
    <col min="72" max="72" width="15.5546875" hidden="1" customWidth="1"/>
    <col min="73" max="73" width="16.33203125" hidden="1" customWidth="1"/>
    <col min="74" max="74" width="14.5546875" hidden="1" customWidth="1"/>
    <col min="75" max="75" width="16.33203125" hidden="1" customWidth="1"/>
    <col min="76" max="76" width="19.109375" customWidth="1"/>
    <col min="77" max="78" width="15" hidden="1" customWidth="1"/>
    <col min="79" max="79" width="8" hidden="1" customWidth="1"/>
    <col min="80" max="80" width="12.5546875" hidden="1" customWidth="1"/>
    <col min="81" max="81" width="10.6640625" hidden="1" customWidth="1"/>
    <col min="82" max="82" width="20.6640625" hidden="1" customWidth="1"/>
    <col min="83" max="83" width="17.44140625" hidden="1" customWidth="1"/>
    <col min="84" max="84" width="18.44140625" hidden="1" customWidth="1"/>
    <col min="85" max="85" width="7.6640625" hidden="1" customWidth="1"/>
    <col min="86" max="86" width="15.33203125" hidden="1" customWidth="1"/>
    <col min="87" max="87" width="17" hidden="1" customWidth="1"/>
    <col min="88" max="88" width="24.5546875" hidden="1" customWidth="1"/>
    <col min="89" max="89" width="25.6640625" hidden="1" customWidth="1"/>
    <col min="90" max="90" width="22.33203125" hidden="1" customWidth="1"/>
    <col min="91" max="91" width="8.33203125" hidden="1" customWidth="1"/>
    <col min="92" max="92" width="17.88671875" hidden="1" customWidth="1"/>
    <col min="93" max="96" width="18.6640625" hidden="1" customWidth="1"/>
    <col min="97" max="97" width="20" hidden="1" customWidth="1"/>
    <col min="98" max="98" width="19.44140625" hidden="1" customWidth="1"/>
    <col min="99" max="99" width="7.44140625" hidden="1" customWidth="1"/>
    <col min="100" max="100" width="15.88671875" hidden="1" customWidth="1"/>
    <col min="101" max="101" width="15" hidden="1" customWidth="1"/>
    <col min="102" max="102" width="9.88671875" hidden="1" customWidth="1"/>
    <col min="103" max="103" width="16.109375" hidden="1" customWidth="1"/>
    <col min="104" max="104" width="12" hidden="1" customWidth="1"/>
    <col min="105" max="105" width="14.109375" hidden="1" customWidth="1"/>
    <col min="106" max="106" width="17.109375" hidden="1" customWidth="1"/>
    <col min="107" max="108" width="18.33203125" hidden="1" customWidth="1"/>
    <col min="109" max="109" width="17.33203125" hidden="1" customWidth="1"/>
    <col min="110" max="110" width="12" hidden="1" customWidth="1"/>
    <col min="111" max="111" width="13" bestFit="1" customWidth="1"/>
    <col min="112" max="112" width="18.6640625" hidden="1" customWidth="1"/>
    <col min="113" max="113" width="15" hidden="1" customWidth="1"/>
    <col min="114" max="114" width="22.109375" hidden="1" customWidth="1"/>
    <col min="115" max="115" width="21.88671875" hidden="1" customWidth="1"/>
    <col min="116" max="116" width="25.44140625" hidden="1" customWidth="1"/>
    <col min="117" max="117" width="23.6640625" hidden="1" customWidth="1"/>
    <col min="118" max="118" width="8.5546875" customWidth="1"/>
    <col min="119" max="119" width="21.109375" hidden="1" customWidth="1"/>
    <col min="120" max="120" width="20.33203125" hidden="1" customWidth="1"/>
    <col min="121" max="121" width="15.109375" hidden="1" customWidth="1"/>
    <col min="122" max="122" width="15.5546875" hidden="1" customWidth="1"/>
    <col min="123" max="124" width="19" hidden="1" customWidth="1"/>
    <col min="125" max="125" width="16.88671875" hidden="1" customWidth="1"/>
    <col min="126" max="126" width="15.88671875" hidden="1" customWidth="1"/>
    <col min="127" max="127" width="18.88671875" hidden="1" customWidth="1"/>
    <col min="128" max="128" width="17" hidden="1" customWidth="1"/>
    <col min="129" max="129" width="21" customWidth="1"/>
    <col min="130" max="130" width="16" hidden="1" customWidth="1"/>
    <col min="131" max="131" width="13.6640625" hidden="1" customWidth="1"/>
    <col min="132" max="132" width="8" hidden="1" customWidth="1"/>
    <col min="133" max="133" width="21.109375" hidden="1" customWidth="1"/>
    <col min="134" max="134" width="16.88671875" hidden="1" customWidth="1"/>
    <col min="135" max="135" width="24.5546875" hidden="1" customWidth="1"/>
    <col min="136" max="136" width="14.109375" hidden="1" customWidth="1"/>
    <col min="137" max="137" width="17.88671875" hidden="1" customWidth="1"/>
    <col min="138" max="138" width="15.109375" hidden="1" customWidth="1"/>
    <col min="139" max="139" width="23.5546875" hidden="1" customWidth="1"/>
    <col min="140" max="140" width="14" bestFit="1" customWidth="1"/>
    <col min="141" max="141" width="17.109375" hidden="1" customWidth="1"/>
    <col min="142" max="142" width="15.109375" hidden="1" customWidth="1"/>
    <col min="143" max="143" width="20.33203125" hidden="1" customWidth="1"/>
    <col min="144" max="144" width="20" hidden="1" customWidth="1"/>
    <col min="145" max="145" width="17.33203125" hidden="1" customWidth="1"/>
    <col min="146" max="146" width="22" hidden="1" customWidth="1"/>
    <col min="147" max="149" width="18.109375" hidden="1" customWidth="1"/>
    <col min="150" max="150" width="21.88671875" hidden="1" customWidth="1"/>
    <col min="151" max="151" width="18.88671875" hidden="1" customWidth="1"/>
    <col min="152" max="152" width="18.109375" hidden="1" customWidth="1"/>
    <col min="153" max="153" width="22.88671875" hidden="1" customWidth="1"/>
    <col min="154" max="154" width="24.109375" hidden="1" customWidth="1"/>
    <col min="155" max="155" width="15.44140625" hidden="1" customWidth="1"/>
    <col min="156" max="156" width="11.5546875" hidden="1" customWidth="1"/>
    <col min="157" max="157" width="17.109375" hidden="1" customWidth="1"/>
    <col min="158" max="158" width="10.88671875" hidden="1" customWidth="1"/>
    <col min="159" max="159" width="19" hidden="1" customWidth="1"/>
    <col min="160" max="160" width="17.109375" hidden="1" customWidth="1"/>
    <col min="161" max="161" width="14.109375" hidden="1" customWidth="1"/>
    <col min="162" max="162" width="11.44140625" hidden="1" customWidth="1"/>
    <col min="163" max="163" width="10.88671875" hidden="1" customWidth="1"/>
    <col min="164" max="164" width="20.33203125" hidden="1" customWidth="1"/>
    <col min="165" max="165" width="9.44140625" hidden="1" customWidth="1"/>
    <col min="166" max="166" width="13.44140625" hidden="1" customWidth="1"/>
    <col min="167" max="167" width="19" hidden="1" customWidth="1"/>
    <col min="168" max="168" width="17.44140625" hidden="1" customWidth="1"/>
    <col min="169" max="169" width="17.6640625" hidden="1" customWidth="1"/>
    <col min="170" max="170" width="19.109375" hidden="1" customWidth="1"/>
    <col min="171" max="171" width="18.88671875" hidden="1" customWidth="1"/>
    <col min="172" max="172" width="25.44140625" hidden="1" customWidth="1"/>
    <col min="173" max="173" width="24.44140625" hidden="1" customWidth="1"/>
    <col min="174" max="174" width="21.88671875" hidden="1" customWidth="1"/>
    <col min="175" max="176" width="23.44140625" hidden="1" customWidth="1"/>
    <col min="177" max="177" width="15" hidden="1" customWidth="1"/>
    <col min="178" max="178" width="10.109375" hidden="1" customWidth="1"/>
    <col min="179" max="179" width="23.109375" hidden="1" customWidth="1"/>
    <col min="180" max="180" width="15.44140625" hidden="1" customWidth="1"/>
    <col min="181" max="181" width="16.33203125" hidden="1" customWidth="1"/>
    <col min="182" max="182" width="27" hidden="1" customWidth="1"/>
    <col min="183" max="183" width="22.5546875" hidden="1" customWidth="1"/>
    <col min="184" max="184" width="14" hidden="1" customWidth="1"/>
    <col min="185" max="187" width="14" customWidth="1"/>
    <col min="188" max="188" width="14.6640625" bestFit="1" customWidth="1"/>
    <col min="189" max="189" width="17.6640625" bestFit="1" customWidth="1"/>
    <col min="190" max="190" width="17.6640625" customWidth="1"/>
    <col min="191" max="191" width="17.88671875" customWidth="1"/>
    <col min="192" max="192" width="8.33203125" bestFit="1" customWidth="1"/>
    <col min="193" max="193" width="8" bestFit="1" customWidth="1"/>
    <col min="194" max="195" width="14.88671875" customWidth="1"/>
    <col min="196" max="196" width="19.6640625" bestFit="1" customWidth="1"/>
    <col min="197" max="197" width="8.88671875" customWidth="1"/>
    <col min="198" max="198" width="31.5546875" bestFit="1" customWidth="1"/>
    <col min="199" max="201" width="12.88671875" bestFit="1" customWidth="1"/>
    <col min="202" max="202" width="13.88671875" bestFit="1" customWidth="1"/>
  </cols>
  <sheetData>
    <row r="1" spans="1:202" x14ac:dyDescent="0.25">
      <c r="GD1" s="75" t="s">
        <v>2855</v>
      </c>
      <c r="GP1" s="75" t="s">
        <v>2855</v>
      </c>
    </row>
    <row r="2" spans="1:202" x14ac:dyDescent="0.25">
      <c r="GM2" s="66">
        <f>SUBTOTAL(9,Data_FAGLL03[Quantity_Edited])</f>
        <v>-1799180</v>
      </c>
      <c r="GN2" s="66"/>
    </row>
    <row r="3" spans="1:202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8" t="s">
        <v>72</v>
      </c>
      <c r="J3" s="1" t="s">
        <v>73</v>
      </c>
      <c r="K3" s="1" t="s">
        <v>74</v>
      </c>
      <c r="L3" s="1" t="s">
        <v>75</v>
      </c>
      <c r="M3" s="8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8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8" t="s">
        <v>87</v>
      </c>
      <c r="Y3" s="8" t="s">
        <v>88</v>
      </c>
      <c r="Z3" s="8" t="s">
        <v>89</v>
      </c>
      <c r="AA3" s="8" t="s">
        <v>90</v>
      </c>
      <c r="AB3" s="1" t="s">
        <v>91</v>
      </c>
      <c r="AC3" s="8" t="s">
        <v>92</v>
      </c>
      <c r="AD3" s="1" t="s">
        <v>93</v>
      </c>
      <c r="AE3" s="1" t="s">
        <v>94</v>
      </c>
      <c r="AF3" s="1" t="s">
        <v>95</v>
      </c>
      <c r="AG3" s="1" t="s">
        <v>96</v>
      </c>
      <c r="AH3" s="1" t="s">
        <v>97</v>
      </c>
      <c r="AI3" s="1" t="s">
        <v>98</v>
      </c>
      <c r="AJ3" s="8" t="s">
        <v>99</v>
      </c>
      <c r="AK3" s="8" t="s">
        <v>100</v>
      </c>
      <c r="AL3" s="1" t="s">
        <v>101</v>
      </c>
      <c r="AM3" s="8" t="s">
        <v>102</v>
      </c>
      <c r="AN3" s="8" t="s">
        <v>244</v>
      </c>
      <c r="AO3" s="1" t="s">
        <v>103</v>
      </c>
      <c r="AP3" s="8" t="s">
        <v>104</v>
      </c>
      <c r="AQ3" s="8" t="s">
        <v>105</v>
      </c>
      <c r="AR3" s="8" t="s">
        <v>106</v>
      </c>
      <c r="AS3" s="8" t="s">
        <v>107</v>
      </c>
      <c r="AT3" s="8" t="s">
        <v>108</v>
      </c>
      <c r="AU3" s="8" t="s">
        <v>109</v>
      </c>
      <c r="AV3" s="8" t="s">
        <v>110</v>
      </c>
      <c r="AW3" s="8" t="s">
        <v>111</v>
      </c>
      <c r="AX3" s="8" t="s">
        <v>112</v>
      </c>
      <c r="AY3" s="8" t="s">
        <v>113</v>
      </c>
      <c r="AZ3" s="8" t="s">
        <v>114</v>
      </c>
      <c r="BA3" s="1" t="s">
        <v>115</v>
      </c>
      <c r="BB3" s="1" t="s">
        <v>116</v>
      </c>
      <c r="BC3" s="1" t="s">
        <v>117</v>
      </c>
      <c r="BD3" s="1" t="s">
        <v>118</v>
      </c>
      <c r="BE3" s="8" t="s">
        <v>119</v>
      </c>
      <c r="BF3" s="8" t="s">
        <v>120</v>
      </c>
      <c r="BG3" s="1" t="s">
        <v>121</v>
      </c>
      <c r="BH3" s="8" t="s">
        <v>122</v>
      </c>
      <c r="BI3" s="8" t="s">
        <v>123</v>
      </c>
      <c r="BJ3" s="8" t="s">
        <v>124</v>
      </c>
      <c r="BK3" s="8" t="s">
        <v>125</v>
      </c>
      <c r="BL3" s="1" t="s">
        <v>126</v>
      </c>
      <c r="BM3" s="8" t="s">
        <v>127</v>
      </c>
      <c r="BN3" s="8" t="s">
        <v>128</v>
      </c>
      <c r="BO3" s="1" t="s">
        <v>129</v>
      </c>
      <c r="BP3" s="1" t="s">
        <v>130</v>
      </c>
      <c r="BQ3" s="1" t="s">
        <v>131</v>
      </c>
      <c r="BR3" s="1" t="s">
        <v>132</v>
      </c>
      <c r="BS3" s="1" t="s">
        <v>133</v>
      </c>
      <c r="BT3" s="8" t="s">
        <v>134</v>
      </c>
      <c r="BU3" s="8" t="s">
        <v>135</v>
      </c>
      <c r="BV3" s="1" t="s">
        <v>136</v>
      </c>
      <c r="BW3" s="8" t="s">
        <v>137</v>
      </c>
      <c r="BX3" s="9" t="s">
        <v>138</v>
      </c>
      <c r="BY3" s="1" t="s">
        <v>139</v>
      </c>
      <c r="BZ3" s="8" t="s">
        <v>140</v>
      </c>
      <c r="CA3" s="1" t="s">
        <v>141</v>
      </c>
      <c r="CB3" s="1" t="s">
        <v>142</v>
      </c>
      <c r="CC3" s="1" t="s">
        <v>143</v>
      </c>
      <c r="CD3" s="8" t="s">
        <v>144</v>
      </c>
      <c r="CE3" s="8" t="s">
        <v>145</v>
      </c>
      <c r="CF3" s="8" t="s">
        <v>245</v>
      </c>
      <c r="CG3" s="1" t="s">
        <v>146</v>
      </c>
      <c r="CH3" s="1" t="s">
        <v>246</v>
      </c>
      <c r="CI3" s="1" t="s">
        <v>147</v>
      </c>
      <c r="CJ3" s="1" t="s">
        <v>148</v>
      </c>
      <c r="CK3" s="8" t="s">
        <v>149</v>
      </c>
      <c r="CL3" s="8" t="s">
        <v>150</v>
      </c>
      <c r="CM3" s="1" t="s">
        <v>151</v>
      </c>
      <c r="CN3" s="1" t="s">
        <v>152</v>
      </c>
      <c r="CO3" s="8" t="s">
        <v>153</v>
      </c>
      <c r="CP3" s="8" t="s">
        <v>154</v>
      </c>
      <c r="CQ3" s="8" t="s">
        <v>155</v>
      </c>
      <c r="CR3" s="8" t="s">
        <v>156</v>
      </c>
      <c r="CS3" s="8" t="s">
        <v>157</v>
      </c>
      <c r="CT3" s="1" t="s">
        <v>158</v>
      </c>
      <c r="CU3" s="1" t="s">
        <v>159</v>
      </c>
      <c r="CV3" s="8" t="s">
        <v>160</v>
      </c>
      <c r="CW3" s="1" t="s">
        <v>161</v>
      </c>
      <c r="CX3" s="1" t="s">
        <v>162</v>
      </c>
      <c r="CY3" s="8" t="s">
        <v>163</v>
      </c>
      <c r="CZ3" s="1" t="s">
        <v>164</v>
      </c>
      <c r="DA3" s="8" t="s">
        <v>165</v>
      </c>
      <c r="DB3" s="1" t="s">
        <v>166</v>
      </c>
      <c r="DC3" s="8" t="s">
        <v>167</v>
      </c>
      <c r="DD3" s="8" t="s">
        <v>168</v>
      </c>
      <c r="DE3" s="8" t="s">
        <v>169</v>
      </c>
      <c r="DF3" s="1" t="s">
        <v>170</v>
      </c>
      <c r="DG3" s="9" t="s">
        <v>171</v>
      </c>
      <c r="DH3" s="8" t="s">
        <v>172</v>
      </c>
      <c r="DI3" s="1" t="s">
        <v>173</v>
      </c>
      <c r="DJ3" s="8" t="s">
        <v>174</v>
      </c>
      <c r="DK3" s="8" t="s">
        <v>175</v>
      </c>
      <c r="DL3" s="8" t="s">
        <v>176</v>
      </c>
      <c r="DM3" s="8" t="s">
        <v>177</v>
      </c>
      <c r="DN3" s="9" t="s">
        <v>178</v>
      </c>
      <c r="DO3" s="8" t="s">
        <v>179</v>
      </c>
      <c r="DP3" s="8" t="s">
        <v>180</v>
      </c>
      <c r="DQ3" s="8" t="s">
        <v>181</v>
      </c>
      <c r="DR3" s="8" t="s">
        <v>182</v>
      </c>
      <c r="DS3" s="8" t="s">
        <v>183</v>
      </c>
      <c r="DT3" s="8" t="s">
        <v>184</v>
      </c>
      <c r="DU3" s="8" t="s">
        <v>185</v>
      </c>
      <c r="DV3" s="1" t="s">
        <v>186</v>
      </c>
      <c r="DW3" s="8" t="s">
        <v>187</v>
      </c>
      <c r="DX3" s="8" t="s">
        <v>188</v>
      </c>
      <c r="DY3" s="9" t="s">
        <v>189</v>
      </c>
      <c r="DZ3" s="8" t="s">
        <v>190</v>
      </c>
      <c r="EA3" s="1" t="s">
        <v>191</v>
      </c>
      <c r="EB3" s="1" t="s">
        <v>192</v>
      </c>
      <c r="EC3" s="8" t="s">
        <v>193</v>
      </c>
      <c r="ED3" s="8" t="s">
        <v>194</v>
      </c>
      <c r="EE3" s="8" t="s">
        <v>195</v>
      </c>
      <c r="EF3" s="1" t="s">
        <v>196</v>
      </c>
      <c r="EG3" s="8" t="s">
        <v>247</v>
      </c>
      <c r="EH3" s="1" t="s">
        <v>197</v>
      </c>
      <c r="EI3" s="8" t="s">
        <v>198</v>
      </c>
      <c r="EJ3" s="23" t="s">
        <v>2050</v>
      </c>
      <c r="EK3" s="8" t="s">
        <v>199</v>
      </c>
      <c r="EL3" s="1" t="s">
        <v>200</v>
      </c>
      <c r="EM3" s="8" t="s">
        <v>201</v>
      </c>
      <c r="EN3" s="8" t="s">
        <v>202</v>
      </c>
      <c r="EO3" s="1" t="s">
        <v>203</v>
      </c>
      <c r="EP3" s="1" t="s">
        <v>204</v>
      </c>
      <c r="EQ3" s="8" t="s">
        <v>205</v>
      </c>
      <c r="ER3" s="8" t="s">
        <v>206</v>
      </c>
      <c r="ES3" s="8" t="s">
        <v>207</v>
      </c>
      <c r="ET3" s="8" t="s">
        <v>208</v>
      </c>
      <c r="EU3" s="8" t="s">
        <v>209</v>
      </c>
      <c r="EV3" s="8" t="s">
        <v>210</v>
      </c>
      <c r="EW3" s="8" t="s">
        <v>211</v>
      </c>
      <c r="EX3" s="8" t="s">
        <v>212</v>
      </c>
      <c r="EY3" s="8" t="s">
        <v>213</v>
      </c>
      <c r="EZ3" s="1" t="s">
        <v>214</v>
      </c>
      <c r="FA3" s="8" t="s">
        <v>215</v>
      </c>
      <c r="FB3" s="1" t="s">
        <v>216</v>
      </c>
      <c r="FC3" s="8" t="s">
        <v>217</v>
      </c>
      <c r="FD3" s="8" t="s">
        <v>218</v>
      </c>
      <c r="FE3" s="1" t="s">
        <v>219</v>
      </c>
      <c r="FF3" s="1" t="s">
        <v>220</v>
      </c>
      <c r="FG3" s="1" t="s">
        <v>221</v>
      </c>
      <c r="FH3" s="8" t="s">
        <v>222</v>
      </c>
      <c r="FI3" s="1" t="s">
        <v>223</v>
      </c>
      <c r="FJ3" s="1" t="s">
        <v>224</v>
      </c>
      <c r="FK3" s="1" t="s">
        <v>225</v>
      </c>
      <c r="FL3" s="8" t="s">
        <v>226</v>
      </c>
      <c r="FM3" s="8" t="s">
        <v>227</v>
      </c>
      <c r="FN3" s="8" t="s">
        <v>228</v>
      </c>
      <c r="FO3" s="1" t="s">
        <v>229</v>
      </c>
      <c r="FP3" s="8" t="s">
        <v>230</v>
      </c>
      <c r="FQ3" s="8" t="s">
        <v>231</v>
      </c>
      <c r="FR3" s="8" t="s">
        <v>232</v>
      </c>
      <c r="FS3" s="8" t="s">
        <v>233</v>
      </c>
      <c r="FT3" s="8" t="s">
        <v>234</v>
      </c>
      <c r="FU3" s="1" t="s">
        <v>235</v>
      </c>
      <c r="FV3" s="1" t="s">
        <v>236</v>
      </c>
      <c r="FW3" s="8" t="s">
        <v>237</v>
      </c>
      <c r="FX3" s="1" t="s">
        <v>238</v>
      </c>
      <c r="FY3" s="1" t="s">
        <v>248</v>
      </c>
      <c r="FZ3" s="8" t="s">
        <v>239</v>
      </c>
      <c r="GA3" s="8" t="s">
        <v>240</v>
      </c>
      <c r="GB3" s="1" t="s">
        <v>241</v>
      </c>
      <c r="GC3" s="16" t="s">
        <v>2602</v>
      </c>
      <c r="GD3" s="16" t="s">
        <v>2522</v>
      </c>
      <c r="GE3" s="16" t="s">
        <v>2016</v>
      </c>
      <c r="GF3" s="16" t="s">
        <v>2012</v>
      </c>
      <c r="GG3" s="16" t="s">
        <v>2015</v>
      </c>
      <c r="GH3" s="16" t="s">
        <v>2019</v>
      </c>
      <c r="GI3" s="67" t="s">
        <v>242</v>
      </c>
      <c r="GJ3" s="67" t="s">
        <v>2017</v>
      </c>
      <c r="GK3" s="67" t="s">
        <v>243</v>
      </c>
      <c r="GL3" s="68" t="s">
        <v>2018</v>
      </c>
      <c r="GM3" s="16" t="s">
        <v>2049</v>
      </c>
      <c r="GN3" s="69" t="s">
        <v>2846</v>
      </c>
      <c r="GO3" s="69" t="s">
        <v>251</v>
      </c>
      <c r="GP3" s="69" t="s">
        <v>266</v>
      </c>
      <c r="GQ3" s="69" t="s">
        <v>268</v>
      </c>
      <c r="GR3" s="69" t="s">
        <v>269</v>
      </c>
      <c r="GS3" s="69" t="s">
        <v>270</v>
      </c>
      <c r="GT3" s="69" t="s">
        <v>271</v>
      </c>
    </row>
    <row r="4" spans="1:202" x14ac:dyDescent="0.25">
      <c r="A4" t="s">
        <v>0</v>
      </c>
      <c r="B4" s="2">
        <v>46114</v>
      </c>
      <c r="C4" t="s">
        <v>2064</v>
      </c>
      <c r="D4" t="s">
        <v>1</v>
      </c>
      <c r="E4" t="s">
        <v>1</v>
      </c>
      <c r="F4" t="s">
        <v>2</v>
      </c>
      <c r="G4" t="s">
        <v>2</v>
      </c>
      <c r="H4" t="s">
        <v>2008</v>
      </c>
      <c r="I4" s="19">
        <v>-110704000</v>
      </c>
      <c r="J4" t="s">
        <v>2009</v>
      </c>
      <c r="K4" t="s">
        <v>2065</v>
      </c>
      <c r="L4" t="s">
        <v>3</v>
      </c>
      <c r="M4" t="s">
        <v>41</v>
      </c>
      <c r="N4" t="s">
        <v>254</v>
      </c>
      <c r="O4" t="s">
        <v>2066</v>
      </c>
      <c r="P4" t="s">
        <v>2067</v>
      </c>
      <c r="Q4" t="s">
        <v>2</v>
      </c>
      <c r="R4" t="s">
        <v>5</v>
      </c>
      <c r="S4" t="s">
        <v>1</v>
      </c>
      <c r="T4" s="3">
        <v>-110704000</v>
      </c>
      <c r="U4" s="19">
        <v>-110704000</v>
      </c>
      <c r="V4" s="3">
        <v>-110704000</v>
      </c>
      <c r="W4" s="3">
        <v>-110704000</v>
      </c>
      <c r="X4" s="4">
        <v>0</v>
      </c>
      <c r="Y4" s="4">
        <v>0</v>
      </c>
      <c r="Z4" s="3">
        <v>0</v>
      </c>
      <c r="AA4" s="3">
        <v>0</v>
      </c>
      <c r="AB4" t="s">
        <v>1</v>
      </c>
      <c r="AC4" t="s">
        <v>1</v>
      </c>
      <c r="AD4" s="2"/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6</v>
      </c>
      <c r="AK4" s="4">
        <v>0</v>
      </c>
      <c r="AL4" t="s">
        <v>1</v>
      </c>
      <c r="AM4" s="5" t="s">
        <v>1</v>
      </c>
      <c r="AN4" t="s">
        <v>1</v>
      </c>
      <c r="AO4" s="2"/>
      <c r="AP4" t="s">
        <v>1</v>
      </c>
      <c r="AQ4" t="s">
        <v>1</v>
      </c>
      <c r="AR4" s="3">
        <v>0</v>
      </c>
      <c r="AS4" t="s">
        <v>1</v>
      </c>
      <c r="AT4" t="s">
        <v>7</v>
      </c>
      <c r="AU4" t="s">
        <v>1</v>
      </c>
      <c r="AV4" t="s">
        <v>1</v>
      </c>
      <c r="AW4" t="s">
        <v>8</v>
      </c>
      <c r="AX4" t="s">
        <v>8</v>
      </c>
      <c r="AY4" t="s">
        <v>1</v>
      </c>
      <c r="AZ4" s="4">
        <v>0</v>
      </c>
      <c r="BA4" t="s">
        <v>1</v>
      </c>
      <c r="BB4" s="3">
        <v>0</v>
      </c>
      <c r="BC4" s="3">
        <v>0</v>
      </c>
      <c r="BD4" s="3">
        <v>0</v>
      </c>
      <c r="BE4" t="s">
        <v>20</v>
      </c>
      <c r="BF4" t="s">
        <v>1</v>
      </c>
      <c r="BG4" s="4">
        <v>0</v>
      </c>
      <c r="BH4" s="4">
        <v>0</v>
      </c>
      <c r="BI4" s="6">
        <v>0</v>
      </c>
      <c r="BJ4" s="6">
        <v>0</v>
      </c>
      <c r="BK4" t="s">
        <v>1</v>
      </c>
      <c r="BL4" t="s">
        <v>1</v>
      </c>
      <c r="BM4" t="s">
        <v>1</v>
      </c>
      <c r="BN4" t="s">
        <v>9</v>
      </c>
      <c r="BO4" s="2">
        <v>46114</v>
      </c>
      <c r="BP4" t="s">
        <v>2068</v>
      </c>
      <c r="BQ4" t="s">
        <v>2064</v>
      </c>
      <c r="BR4" t="s">
        <v>21</v>
      </c>
      <c r="BS4" t="s">
        <v>1</v>
      </c>
      <c r="BT4" t="s">
        <v>1</v>
      </c>
      <c r="BU4" t="s">
        <v>1</v>
      </c>
      <c r="BV4" t="s">
        <v>1</v>
      </c>
      <c r="BW4" t="s">
        <v>7</v>
      </c>
      <c r="BX4" t="s">
        <v>10</v>
      </c>
      <c r="BY4" s="2"/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254</v>
      </c>
      <c r="CJ4" s="3">
        <v>-110704000</v>
      </c>
      <c r="CK4" t="s">
        <v>9</v>
      </c>
      <c r="CL4" t="s">
        <v>11</v>
      </c>
      <c r="CM4" t="s">
        <v>1</v>
      </c>
      <c r="CN4" s="4">
        <v>0</v>
      </c>
      <c r="CO4" t="s">
        <v>7</v>
      </c>
      <c r="CP4" t="s">
        <v>7</v>
      </c>
      <c r="CQ4" t="s">
        <v>7</v>
      </c>
      <c r="CR4" t="s">
        <v>7</v>
      </c>
      <c r="CS4" s="4">
        <v>0</v>
      </c>
      <c r="CT4" t="s">
        <v>2064</v>
      </c>
      <c r="CU4" t="s">
        <v>7</v>
      </c>
      <c r="CV4" t="s">
        <v>1</v>
      </c>
      <c r="CW4" s="2"/>
      <c r="CX4" t="s">
        <v>12</v>
      </c>
      <c r="CY4" t="s">
        <v>1</v>
      </c>
      <c r="CZ4" t="s">
        <v>13</v>
      </c>
      <c r="DA4" t="s">
        <v>1</v>
      </c>
      <c r="DB4" t="s">
        <v>9</v>
      </c>
      <c r="DC4" t="s">
        <v>9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s="2"/>
      <c r="DJ4" t="s">
        <v>1</v>
      </c>
      <c r="DK4" t="s">
        <v>14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s="2"/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7</v>
      </c>
      <c r="ED4" t="s">
        <v>1</v>
      </c>
      <c r="EE4" t="s">
        <v>1</v>
      </c>
      <c r="EF4" t="s">
        <v>22</v>
      </c>
      <c r="EG4" t="s">
        <v>41</v>
      </c>
      <c r="EH4" t="s">
        <v>15</v>
      </c>
      <c r="EI4" t="s">
        <v>1</v>
      </c>
      <c r="EJ4" s="6">
        <v>0</v>
      </c>
      <c r="EK4" t="s">
        <v>1</v>
      </c>
      <c r="EL4" t="s">
        <v>1</v>
      </c>
      <c r="EM4" t="s">
        <v>1</v>
      </c>
      <c r="EN4" t="s">
        <v>1</v>
      </c>
      <c r="EO4" s="2"/>
      <c r="EP4" t="s">
        <v>2069</v>
      </c>
      <c r="EQ4" t="s">
        <v>1</v>
      </c>
      <c r="ER4" t="s">
        <v>1</v>
      </c>
      <c r="ES4" t="s">
        <v>1</v>
      </c>
      <c r="ET4" t="s">
        <v>16</v>
      </c>
      <c r="EU4" t="s">
        <v>1</v>
      </c>
      <c r="EV4" t="s">
        <v>1</v>
      </c>
      <c r="EW4" t="s">
        <v>7</v>
      </c>
      <c r="EX4" t="s">
        <v>7</v>
      </c>
      <c r="EY4" t="s">
        <v>1</v>
      </c>
      <c r="EZ4" t="s">
        <v>1</v>
      </c>
      <c r="FA4" t="s">
        <v>1</v>
      </c>
      <c r="FB4" s="3">
        <v>50</v>
      </c>
      <c r="FC4" t="s">
        <v>1</v>
      </c>
      <c r="FD4" t="s">
        <v>1</v>
      </c>
      <c r="FE4" t="s">
        <v>1</v>
      </c>
      <c r="FF4" t="s">
        <v>17</v>
      </c>
      <c r="FG4" t="s">
        <v>1</v>
      </c>
      <c r="FH4" t="s">
        <v>1</v>
      </c>
      <c r="FI4" t="s">
        <v>1</v>
      </c>
      <c r="FJ4" t="s">
        <v>1</v>
      </c>
      <c r="FK4" s="7">
        <v>46115.093668981484</v>
      </c>
      <c r="FL4" t="s">
        <v>1</v>
      </c>
      <c r="FM4" t="s">
        <v>1</v>
      </c>
      <c r="FN4" t="s">
        <v>1</v>
      </c>
      <c r="FO4" s="19">
        <v>-110704000</v>
      </c>
      <c r="FP4" s="4">
        <v>0</v>
      </c>
      <c r="FQ4" s="19">
        <v>-110704000</v>
      </c>
      <c r="FR4" s="4">
        <v>0</v>
      </c>
      <c r="FS4" s="4">
        <v>0</v>
      </c>
      <c r="FT4" s="4">
        <v>0</v>
      </c>
      <c r="FU4" s="2">
        <v>46115</v>
      </c>
      <c r="FV4" t="s">
        <v>1</v>
      </c>
      <c r="FW4" s="4">
        <v>0</v>
      </c>
      <c r="FX4" t="s">
        <v>1</v>
      </c>
      <c r="FY4" t="s">
        <v>1</v>
      </c>
      <c r="FZ4" s="4">
        <v>0</v>
      </c>
      <c r="GA4" s="4">
        <v>0</v>
      </c>
      <c r="GB4" t="s">
        <v>2070</v>
      </c>
      <c r="GC4" t="str">
        <f>RIGHT(Data_FAGLL03[[#This Row],[Payment reference]],8)</f>
        <v/>
      </c>
      <c r="GD4" t="str">
        <f>IF(Data_FAGLL03[[#This Row],[Billing]]&lt;&gt;"",_xlfn.XLOOKUP(Data_FAGLL03[[#This Row],[Billing]],MD_BILLING_SO[BILIING],MD_BILLING_SO[SO-EDITED]),"")</f>
        <v/>
      </c>
      <c r="GE4" s="18">
        <f>IF(SUBSTITUTE(Data_FAGLL03[[#This Row],[Eff.exchange rate]],",","")/100000=1,1,SUBSTITUTE(Data_FAGLL03[[#This Row],[Eff.exchange rate]],",","")/100)</f>
        <v>1</v>
      </c>
      <c r="GF4" s="17">
        <f>IF(Data_FAGLL03[[#This Row],[Material]]&lt;&gt;"",IFERROR(Data_FAGLL03[[#This Row],[Amount in local currency]]/Data_FAGLL03[[#This Row],[Quantity_Original]],0),0)</f>
        <v>0</v>
      </c>
      <c r="GG4" s="18">
        <f>IF(Data_FAGLL03[[#This Row],[XK/NĐ]]="XK",Data_FAGLL03[[#This Row],[GB trung bình]]/Data_FAGLL03[[#This Row],[EXR]],0)*1000</f>
        <v>0</v>
      </c>
      <c r="GH4" s="18" cm="1">
        <f t="array" ref="GH4">IF(Data_FAGLL03[[#This Row],[Document currency]]&lt;&gt;"VND",Data_FAGLL03[[#This Row],[Amount in doc. curr.]],Data_FAGLL03[[#This Row],[Amount in local currency]]/EXR)</f>
        <v>-4216.9509618056745</v>
      </c>
      <c r="GI4" s="10">
        <f>Data_FAGLL03[[#This Row],[Time Stamp]]+TIME(7,0,0)</f>
        <v>46115.385335648149</v>
      </c>
      <c r="GJ4" s="18">
        <f>MONTH(Data_FAGLL03[[#This Row],[Time Stamp_VN]])</f>
        <v>4</v>
      </c>
      <c r="GK4">
        <f>DAY(Data_FAGLL03[[#This Row],[Time Stamp_VN]])</f>
        <v>3</v>
      </c>
      <c r="GL4" t="str">
        <f>TEXT(Data_FAGLL03[[#This Row],[Tháng]],"00")&amp;" | "&amp;TEXT(Data_FAGLL03[[#This Row],[Ngày]],"00")</f>
        <v>04 | 03</v>
      </c>
      <c r="GM4" s="18">
        <f>IF(Data_FAGLL03[[#This Row],[Text]]="",Data_FAGLL03[[#This Row],[Quantity_Original]],0)</f>
        <v>0</v>
      </c>
      <c r="GN4" s="18" t="str">
        <f>IF(Data_FAGLL03[[#This Row],[Quantity_Edited]]&lt;&gt;0,Data_FAGLL03[[#This Row],[Offsetting acct no.]]&amp;" | "&amp;Data_FAGLL03[[#This Row],[Material]],"")</f>
        <v/>
      </c>
      <c r="GO4" t="str">
        <f>IF(LEFT(Data_FAGLL03[[#This Row],[Offsetting acct no.]],1)="1","NĐ",IF(LEFT(Data_FAGLL03[[#This Row],[Offsetting acct no.]],1)="2","XK","Khác"))</f>
        <v>NĐ</v>
      </c>
      <c r="GP4" t="str">
        <f>IF(Data_FAGLL03[[#This Row],[Material]]&lt;&gt;"",_xlfn.XLOOKUP(Data_FAGLL03[[#This Row],[Material]],MD_SKU[Mã SKU],MD_SKU[Tên SKU]),"")</f>
        <v/>
      </c>
      <c r="GQ4" t="str">
        <f>IF(Data_FAGLL03[[#This Row],[Material]]&lt;&gt;"",_xlfn.XLOOKUP(Data_FAGLL03[[#This Row],[Material]],MD_SKU[Mã SKU],MD_SKU[Nhóm SP 1]),"")</f>
        <v/>
      </c>
      <c r="GR4" t="str">
        <f>IF(Data_FAGLL03[[#This Row],[Material]]&lt;&gt;"",_xlfn.XLOOKUP(Data_FAGLL03[[#This Row],[Material]],MD_SKU[Mã SKU],MD_SKU[Nhóm SP 2]),"")</f>
        <v/>
      </c>
      <c r="GS4" t="str">
        <f>IF(Data_FAGLL03[[#This Row],[Material]]&lt;&gt;"",_xlfn.XLOOKUP(Data_FAGLL03[[#This Row],[Material]],MD_SKU[Mã SKU],MD_SKU[Nhóm SP 3]),"")</f>
        <v/>
      </c>
      <c r="GT4" t="str">
        <f>IF(Data_FAGLL03[[#This Row],[Material]]&lt;&gt;"",_xlfn.XLOOKUP(Data_FAGLL03[[#This Row],[Material]],MD_SKU[Mã SKU],MD_SKU[Nhóm SP 4]),"")</f>
        <v/>
      </c>
    </row>
    <row r="5" spans="1:202" x14ac:dyDescent="0.25">
      <c r="A5" t="s">
        <v>0</v>
      </c>
      <c r="B5" s="2">
        <v>46115</v>
      </c>
      <c r="C5" t="s">
        <v>2071</v>
      </c>
      <c r="D5" t="s">
        <v>1</v>
      </c>
      <c r="E5" t="s">
        <v>1</v>
      </c>
      <c r="F5" t="s">
        <v>2</v>
      </c>
      <c r="G5" t="s">
        <v>2</v>
      </c>
      <c r="H5" t="s">
        <v>18</v>
      </c>
      <c r="I5" s="19">
        <v>-1124550</v>
      </c>
      <c r="J5" t="s">
        <v>19</v>
      </c>
      <c r="K5" t="s">
        <v>2072</v>
      </c>
      <c r="L5" t="s">
        <v>3</v>
      </c>
      <c r="M5" t="s">
        <v>41</v>
      </c>
      <c r="N5" t="s">
        <v>254</v>
      </c>
      <c r="O5" t="s">
        <v>2073</v>
      </c>
      <c r="P5" t="s">
        <v>2074</v>
      </c>
      <c r="Q5" t="s">
        <v>2</v>
      </c>
      <c r="R5" t="s">
        <v>5</v>
      </c>
      <c r="S5" t="s">
        <v>1</v>
      </c>
      <c r="T5" s="3">
        <v>-1124550</v>
      </c>
      <c r="U5" s="19">
        <v>-1124550</v>
      </c>
      <c r="V5" s="3">
        <v>-1124550</v>
      </c>
      <c r="W5" s="3">
        <v>-1124550</v>
      </c>
      <c r="X5" s="4">
        <v>0</v>
      </c>
      <c r="Y5" s="4">
        <v>0</v>
      </c>
      <c r="Z5" s="3">
        <v>0</v>
      </c>
      <c r="AA5" s="3">
        <v>0</v>
      </c>
      <c r="AB5" t="s">
        <v>1</v>
      </c>
      <c r="AC5" t="s">
        <v>1</v>
      </c>
      <c r="AD5" s="2"/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6</v>
      </c>
      <c r="AK5" s="4">
        <v>0</v>
      </c>
      <c r="AL5" t="s">
        <v>1</v>
      </c>
      <c r="AM5" s="5" t="s">
        <v>1</v>
      </c>
      <c r="AN5" t="s">
        <v>1</v>
      </c>
      <c r="AO5" s="2"/>
      <c r="AP5" t="s">
        <v>1</v>
      </c>
      <c r="AQ5" t="s">
        <v>1</v>
      </c>
      <c r="AR5" s="3">
        <v>0</v>
      </c>
      <c r="AS5" t="s">
        <v>1</v>
      </c>
      <c r="AT5" t="s">
        <v>7</v>
      </c>
      <c r="AU5" t="s">
        <v>1</v>
      </c>
      <c r="AV5" t="s">
        <v>1</v>
      </c>
      <c r="AW5" t="s">
        <v>8</v>
      </c>
      <c r="AX5" t="s">
        <v>8</v>
      </c>
      <c r="AY5" t="s">
        <v>1</v>
      </c>
      <c r="AZ5" s="4">
        <v>0</v>
      </c>
      <c r="BA5" t="s">
        <v>1</v>
      </c>
      <c r="BB5" s="3">
        <v>0</v>
      </c>
      <c r="BC5" s="3">
        <v>0</v>
      </c>
      <c r="BD5" s="3">
        <v>0</v>
      </c>
      <c r="BE5" t="s">
        <v>20</v>
      </c>
      <c r="BF5" t="s">
        <v>1</v>
      </c>
      <c r="BG5" s="4">
        <v>0</v>
      </c>
      <c r="BH5" s="4">
        <v>0</v>
      </c>
      <c r="BI5" s="6">
        <v>0</v>
      </c>
      <c r="BJ5" s="6">
        <v>0</v>
      </c>
      <c r="BK5" t="s">
        <v>1</v>
      </c>
      <c r="BL5" t="s">
        <v>1</v>
      </c>
      <c r="BM5" t="s">
        <v>1</v>
      </c>
      <c r="BN5" t="s">
        <v>9</v>
      </c>
      <c r="BO5" s="2">
        <v>46115</v>
      </c>
      <c r="BP5" t="s">
        <v>2075</v>
      </c>
      <c r="BQ5" t="s">
        <v>2071</v>
      </c>
      <c r="BR5" t="s">
        <v>21</v>
      </c>
      <c r="BS5" t="s">
        <v>1</v>
      </c>
      <c r="BT5" t="s">
        <v>1</v>
      </c>
      <c r="BU5" t="s">
        <v>1</v>
      </c>
      <c r="BV5" t="s">
        <v>1</v>
      </c>
      <c r="BW5" t="s">
        <v>7</v>
      </c>
      <c r="BX5" t="s">
        <v>10</v>
      </c>
      <c r="BY5" s="2"/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254</v>
      </c>
      <c r="CJ5" s="3">
        <v>-1124550</v>
      </c>
      <c r="CK5" t="s">
        <v>9</v>
      </c>
      <c r="CL5" t="s">
        <v>11</v>
      </c>
      <c r="CM5" t="s">
        <v>1</v>
      </c>
      <c r="CN5" s="4">
        <v>0</v>
      </c>
      <c r="CO5" t="s">
        <v>7</v>
      </c>
      <c r="CP5" t="s">
        <v>7</v>
      </c>
      <c r="CQ5" t="s">
        <v>7</v>
      </c>
      <c r="CR5" t="s">
        <v>7</v>
      </c>
      <c r="CS5" s="4">
        <v>0</v>
      </c>
      <c r="CT5" t="s">
        <v>2071</v>
      </c>
      <c r="CU5" t="s">
        <v>7</v>
      </c>
      <c r="CV5" t="s">
        <v>1</v>
      </c>
      <c r="CW5" s="2"/>
      <c r="CX5" t="s">
        <v>12</v>
      </c>
      <c r="CY5" t="s">
        <v>1</v>
      </c>
      <c r="CZ5" t="s">
        <v>13</v>
      </c>
      <c r="DA5" t="s">
        <v>1</v>
      </c>
      <c r="DB5" t="s">
        <v>9</v>
      </c>
      <c r="DC5" t="s">
        <v>9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s="2"/>
      <c r="DJ5" t="s">
        <v>1</v>
      </c>
      <c r="DK5" t="s">
        <v>14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s="2"/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7</v>
      </c>
      <c r="ED5" t="s">
        <v>1</v>
      </c>
      <c r="EE5" t="s">
        <v>1</v>
      </c>
      <c r="EF5" t="s">
        <v>22</v>
      </c>
      <c r="EG5" t="s">
        <v>41</v>
      </c>
      <c r="EH5" t="s">
        <v>15</v>
      </c>
      <c r="EI5" t="s">
        <v>1</v>
      </c>
      <c r="EJ5" s="6">
        <v>0</v>
      </c>
      <c r="EK5" t="s">
        <v>1</v>
      </c>
      <c r="EL5" t="s">
        <v>1</v>
      </c>
      <c r="EM5" t="s">
        <v>1</v>
      </c>
      <c r="EN5" t="s">
        <v>1</v>
      </c>
      <c r="EO5" s="2"/>
      <c r="EP5" t="s">
        <v>2076</v>
      </c>
      <c r="EQ5" t="s">
        <v>1</v>
      </c>
      <c r="ER5" t="s">
        <v>1</v>
      </c>
      <c r="ES5" t="s">
        <v>1</v>
      </c>
      <c r="ET5" t="s">
        <v>16</v>
      </c>
      <c r="EU5" t="s">
        <v>1</v>
      </c>
      <c r="EV5" t="s">
        <v>1</v>
      </c>
      <c r="EW5" t="s">
        <v>7</v>
      </c>
      <c r="EX5" t="s">
        <v>7</v>
      </c>
      <c r="EY5" t="s">
        <v>1</v>
      </c>
      <c r="EZ5" t="s">
        <v>1</v>
      </c>
      <c r="FA5" t="s">
        <v>1</v>
      </c>
      <c r="FB5" s="3">
        <v>50</v>
      </c>
      <c r="FC5" t="s">
        <v>1</v>
      </c>
      <c r="FD5" t="s">
        <v>1</v>
      </c>
      <c r="FE5" t="s">
        <v>1</v>
      </c>
      <c r="FF5" t="s">
        <v>17</v>
      </c>
      <c r="FG5" t="s">
        <v>1</v>
      </c>
      <c r="FH5" t="s">
        <v>1</v>
      </c>
      <c r="FI5" t="s">
        <v>1</v>
      </c>
      <c r="FJ5" t="s">
        <v>1</v>
      </c>
      <c r="FK5" s="7">
        <v>46116.127337962964</v>
      </c>
      <c r="FL5" t="s">
        <v>1</v>
      </c>
      <c r="FM5" t="s">
        <v>1</v>
      </c>
      <c r="FN5" t="s">
        <v>1</v>
      </c>
      <c r="FO5" s="19">
        <v>-1124550</v>
      </c>
      <c r="FP5" s="4">
        <v>0</v>
      </c>
      <c r="FQ5" s="19">
        <v>-1124550</v>
      </c>
      <c r="FR5" s="4">
        <v>0</v>
      </c>
      <c r="FS5" s="4">
        <v>0</v>
      </c>
      <c r="FT5" s="4">
        <v>0</v>
      </c>
      <c r="FU5" s="2">
        <v>46116</v>
      </c>
      <c r="FV5" t="s">
        <v>1</v>
      </c>
      <c r="FW5" s="4">
        <v>0</v>
      </c>
      <c r="FX5" t="s">
        <v>1</v>
      </c>
      <c r="FY5" t="s">
        <v>1</v>
      </c>
      <c r="FZ5" s="4">
        <v>0</v>
      </c>
      <c r="GA5" s="4">
        <v>0</v>
      </c>
      <c r="GB5" t="s">
        <v>2070</v>
      </c>
      <c r="GC5" t="str">
        <f>RIGHT(Data_FAGLL03[[#This Row],[Payment reference]],8)</f>
        <v/>
      </c>
      <c r="GD5" t="str">
        <f>IF(Data_FAGLL03[[#This Row],[Billing]]&lt;&gt;"",_xlfn.XLOOKUP(Data_FAGLL03[[#This Row],[Billing]],MD_BILLING_SO[BILIING],MD_BILLING_SO[SO-EDITED]),"")</f>
        <v/>
      </c>
      <c r="GE5" s="18">
        <f>IF(SUBSTITUTE(Data_FAGLL03[[#This Row],[Eff.exchange rate]],",","")/100000=1,1,SUBSTITUTE(Data_FAGLL03[[#This Row],[Eff.exchange rate]],",","")/100)</f>
        <v>1</v>
      </c>
      <c r="GF5" s="17">
        <f>IF(Data_FAGLL03[[#This Row],[Material]]&lt;&gt;"",IFERROR(Data_FAGLL03[[#This Row],[Amount in local currency]]/Data_FAGLL03[[#This Row],[Quantity_Original]],0),0)</f>
        <v>0</v>
      </c>
      <c r="GG5" s="18">
        <f>IF(Data_FAGLL03[[#This Row],[XK/NĐ]]="XK",Data_FAGLL03[[#This Row],[GB trung bình]]/Data_FAGLL03[[#This Row],[EXR]],0)*1000</f>
        <v>0</v>
      </c>
      <c r="GH5" s="18" cm="1">
        <f t="array" ref="GH5">IF(Data_FAGLL03[[#This Row],[Document currency]]&lt;&gt;"VND",Data_FAGLL03[[#This Row],[Amount in doc. curr.]],Data_FAGLL03[[#This Row],[Amount in local currency]]/EXR)</f>
        <v>-42.836502783084363</v>
      </c>
      <c r="GI5" s="10">
        <f>Data_FAGLL03[[#This Row],[Time Stamp]]+TIME(7,0,0)</f>
        <v>46116.419004629628</v>
      </c>
      <c r="GJ5" s="18">
        <f>MONTH(Data_FAGLL03[[#This Row],[Time Stamp_VN]])</f>
        <v>4</v>
      </c>
      <c r="GK5">
        <f>DAY(Data_FAGLL03[[#This Row],[Time Stamp_VN]])</f>
        <v>4</v>
      </c>
      <c r="GL5" t="str">
        <f>TEXT(Data_FAGLL03[[#This Row],[Tháng]],"00")&amp;" | "&amp;TEXT(Data_FAGLL03[[#This Row],[Ngày]],"00")</f>
        <v>04 | 04</v>
      </c>
      <c r="GM5" s="18">
        <f>IF(Data_FAGLL03[[#This Row],[Text]]="",Data_FAGLL03[[#This Row],[Quantity_Original]],0)</f>
        <v>0</v>
      </c>
      <c r="GN5" s="18" t="str">
        <f>IF(Data_FAGLL03[[#This Row],[Quantity_Edited]]&lt;&gt;0,Data_FAGLL03[[#This Row],[Offsetting acct no.]]&amp;" | "&amp;Data_FAGLL03[[#This Row],[Material]],"")</f>
        <v/>
      </c>
      <c r="GO5" t="str">
        <f>IF(LEFT(Data_FAGLL03[[#This Row],[Offsetting acct no.]],1)="1","NĐ",IF(LEFT(Data_FAGLL03[[#This Row],[Offsetting acct no.]],1)="2","XK","Khác"))</f>
        <v>NĐ</v>
      </c>
      <c r="GP5" t="str">
        <f>IF(Data_FAGLL03[[#This Row],[Material]]&lt;&gt;"",_xlfn.XLOOKUP(Data_FAGLL03[[#This Row],[Material]],MD_SKU[Mã SKU],MD_SKU[Tên SKU]),"")</f>
        <v/>
      </c>
      <c r="GQ5" t="str">
        <f>IF(Data_FAGLL03[[#This Row],[Material]]&lt;&gt;"",_xlfn.XLOOKUP(Data_FAGLL03[[#This Row],[Material]],MD_SKU[Mã SKU],MD_SKU[Nhóm SP 1]),"")</f>
        <v/>
      </c>
      <c r="GR5" t="str">
        <f>IF(Data_FAGLL03[[#This Row],[Material]]&lt;&gt;"",_xlfn.XLOOKUP(Data_FAGLL03[[#This Row],[Material]],MD_SKU[Mã SKU],MD_SKU[Nhóm SP 2]),"")</f>
        <v/>
      </c>
      <c r="GS5" t="str">
        <f>IF(Data_FAGLL03[[#This Row],[Material]]&lt;&gt;"",_xlfn.XLOOKUP(Data_FAGLL03[[#This Row],[Material]],MD_SKU[Mã SKU],MD_SKU[Nhóm SP 3]),"")</f>
        <v/>
      </c>
      <c r="GT5" t="str">
        <f>IF(Data_FAGLL03[[#This Row],[Material]]&lt;&gt;"",_xlfn.XLOOKUP(Data_FAGLL03[[#This Row],[Material]],MD_SKU[Mã SKU],MD_SKU[Nhóm SP 4]),"")</f>
        <v/>
      </c>
    </row>
    <row r="6" spans="1:202" x14ac:dyDescent="0.25">
      <c r="A6" t="s">
        <v>0</v>
      </c>
      <c r="B6" s="2">
        <v>46115</v>
      </c>
      <c r="C6" t="s">
        <v>2077</v>
      </c>
      <c r="D6" t="s">
        <v>1</v>
      </c>
      <c r="E6" t="s">
        <v>1</v>
      </c>
      <c r="F6" t="s">
        <v>2</v>
      </c>
      <c r="G6" t="s">
        <v>2</v>
      </c>
      <c r="H6" t="s">
        <v>18</v>
      </c>
      <c r="I6" s="19">
        <v>-2249100</v>
      </c>
      <c r="J6" t="s">
        <v>19</v>
      </c>
      <c r="K6" t="s">
        <v>2078</v>
      </c>
      <c r="L6" t="s">
        <v>3</v>
      </c>
      <c r="M6" t="s">
        <v>41</v>
      </c>
      <c r="N6" t="s">
        <v>254</v>
      </c>
      <c r="O6" t="s">
        <v>2079</v>
      </c>
      <c r="P6" t="s">
        <v>2080</v>
      </c>
      <c r="Q6" t="s">
        <v>2</v>
      </c>
      <c r="R6" t="s">
        <v>5</v>
      </c>
      <c r="S6" t="s">
        <v>1</v>
      </c>
      <c r="T6" s="3">
        <v>-2249100</v>
      </c>
      <c r="U6" s="19">
        <v>-2249100</v>
      </c>
      <c r="V6" s="3">
        <v>-2249100</v>
      </c>
      <c r="W6" s="3">
        <v>-2249100</v>
      </c>
      <c r="X6" s="4">
        <v>0</v>
      </c>
      <c r="Y6" s="4">
        <v>0</v>
      </c>
      <c r="Z6" s="3">
        <v>0</v>
      </c>
      <c r="AA6" s="3">
        <v>0</v>
      </c>
      <c r="AB6" t="s">
        <v>1</v>
      </c>
      <c r="AC6" t="s">
        <v>1</v>
      </c>
      <c r="AD6" s="2"/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6</v>
      </c>
      <c r="AK6" s="4">
        <v>0</v>
      </c>
      <c r="AL6" t="s">
        <v>1</v>
      </c>
      <c r="AM6" s="5" t="s">
        <v>1</v>
      </c>
      <c r="AN6" t="s">
        <v>1</v>
      </c>
      <c r="AO6" s="2"/>
      <c r="AP6" t="s">
        <v>1</v>
      </c>
      <c r="AQ6" t="s">
        <v>1</v>
      </c>
      <c r="AR6" s="3">
        <v>0</v>
      </c>
      <c r="AS6" t="s">
        <v>1</v>
      </c>
      <c r="AT6" t="s">
        <v>7</v>
      </c>
      <c r="AU6" t="s">
        <v>1</v>
      </c>
      <c r="AV6" t="s">
        <v>1</v>
      </c>
      <c r="AW6" t="s">
        <v>8</v>
      </c>
      <c r="AX6" t="s">
        <v>8</v>
      </c>
      <c r="AY6" t="s">
        <v>1</v>
      </c>
      <c r="AZ6" s="4">
        <v>0</v>
      </c>
      <c r="BA6" t="s">
        <v>1</v>
      </c>
      <c r="BB6" s="3">
        <v>0</v>
      </c>
      <c r="BC6" s="3">
        <v>0</v>
      </c>
      <c r="BD6" s="3">
        <v>0</v>
      </c>
      <c r="BE6" t="s">
        <v>20</v>
      </c>
      <c r="BF6" t="s">
        <v>1</v>
      </c>
      <c r="BG6" s="4">
        <v>0</v>
      </c>
      <c r="BH6" s="4">
        <v>0</v>
      </c>
      <c r="BI6" s="6">
        <v>0</v>
      </c>
      <c r="BJ6" s="6">
        <v>0</v>
      </c>
      <c r="BK6" t="s">
        <v>1</v>
      </c>
      <c r="BL6" t="s">
        <v>1</v>
      </c>
      <c r="BM6" t="s">
        <v>1</v>
      </c>
      <c r="BN6" t="s">
        <v>9</v>
      </c>
      <c r="BO6" s="2">
        <v>46115</v>
      </c>
      <c r="BP6" t="s">
        <v>2081</v>
      </c>
      <c r="BQ6" t="s">
        <v>2077</v>
      </c>
      <c r="BR6" t="s">
        <v>21</v>
      </c>
      <c r="BS6" t="s">
        <v>1</v>
      </c>
      <c r="BT6" t="s">
        <v>1</v>
      </c>
      <c r="BU6" t="s">
        <v>1</v>
      </c>
      <c r="BV6" t="s">
        <v>1</v>
      </c>
      <c r="BW6" t="s">
        <v>7</v>
      </c>
      <c r="BX6" t="s">
        <v>10</v>
      </c>
      <c r="BY6" s="2"/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254</v>
      </c>
      <c r="CJ6" s="3">
        <v>-2249100</v>
      </c>
      <c r="CK6" t="s">
        <v>9</v>
      </c>
      <c r="CL6" t="s">
        <v>11</v>
      </c>
      <c r="CM6" t="s">
        <v>1</v>
      </c>
      <c r="CN6" s="4">
        <v>0</v>
      </c>
      <c r="CO6" t="s">
        <v>7</v>
      </c>
      <c r="CP6" t="s">
        <v>7</v>
      </c>
      <c r="CQ6" t="s">
        <v>7</v>
      </c>
      <c r="CR6" t="s">
        <v>7</v>
      </c>
      <c r="CS6" s="4">
        <v>0</v>
      </c>
      <c r="CT6" t="s">
        <v>2077</v>
      </c>
      <c r="CU6" t="s">
        <v>7</v>
      </c>
      <c r="CV6" t="s">
        <v>1</v>
      </c>
      <c r="CW6" s="2"/>
      <c r="CX6" t="s">
        <v>12</v>
      </c>
      <c r="CY6" t="s">
        <v>1</v>
      </c>
      <c r="CZ6" t="s">
        <v>13</v>
      </c>
      <c r="DA6" t="s">
        <v>1</v>
      </c>
      <c r="DB6" t="s">
        <v>9</v>
      </c>
      <c r="DC6" t="s">
        <v>9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s="2"/>
      <c r="DJ6" t="s">
        <v>1</v>
      </c>
      <c r="DK6" t="s">
        <v>14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s="2"/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7</v>
      </c>
      <c r="ED6" t="s">
        <v>1</v>
      </c>
      <c r="EE6" t="s">
        <v>1</v>
      </c>
      <c r="EF6" t="s">
        <v>22</v>
      </c>
      <c r="EG6" t="s">
        <v>41</v>
      </c>
      <c r="EH6" t="s">
        <v>15</v>
      </c>
      <c r="EI6" t="s">
        <v>1</v>
      </c>
      <c r="EJ6" s="6">
        <v>0</v>
      </c>
      <c r="EK6" t="s">
        <v>1</v>
      </c>
      <c r="EL6" t="s">
        <v>1</v>
      </c>
      <c r="EM6" t="s">
        <v>1</v>
      </c>
      <c r="EN6" t="s">
        <v>1</v>
      </c>
      <c r="EO6" s="2"/>
      <c r="EP6" t="s">
        <v>2082</v>
      </c>
      <c r="EQ6" t="s">
        <v>1</v>
      </c>
      <c r="ER6" t="s">
        <v>1</v>
      </c>
      <c r="ES6" t="s">
        <v>1</v>
      </c>
      <c r="ET6" t="s">
        <v>16</v>
      </c>
      <c r="EU6" t="s">
        <v>1</v>
      </c>
      <c r="EV6" t="s">
        <v>1</v>
      </c>
      <c r="EW6" t="s">
        <v>7</v>
      </c>
      <c r="EX6" t="s">
        <v>7</v>
      </c>
      <c r="EY6" t="s">
        <v>1</v>
      </c>
      <c r="EZ6" t="s">
        <v>1</v>
      </c>
      <c r="FA6" t="s">
        <v>1</v>
      </c>
      <c r="FB6" s="3">
        <v>50</v>
      </c>
      <c r="FC6" t="s">
        <v>1</v>
      </c>
      <c r="FD6" t="s">
        <v>1</v>
      </c>
      <c r="FE6" t="s">
        <v>1</v>
      </c>
      <c r="FF6" t="s">
        <v>17</v>
      </c>
      <c r="FG6" t="s">
        <v>1</v>
      </c>
      <c r="FH6" t="s">
        <v>1</v>
      </c>
      <c r="FI6" t="s">
        <v>1</v>
      </c>
      <c r="FJ6" t="s">
        <v>1</v>
      </c>
      <c r="FK6" s="7">
        <v>46116.191944444443</v>
      </c>
      <c r="FL6" t="s">
        <v>1</v>
      </c>
      <c r="FM6" t="s">
        <v>1</v>
      </c>
      <c r="FN6" t="s">
        <v>1</v>
      </c>
      <c r="FO6" s="19">
        <v>-2249100</v>
      </c>
      <c r="FP6" s="4">
        <v>0</v>
      </c>
      <c r="FQ6" s="19">
        <v>-2249100</v>
      </c>
      <c r="FR6" s="4">
        <v>0</v>
      </c>
      <c r="FS6" s="4">
        <v>0</v>
      </c>
      <c r="FT6" s="4">
        <v>0</v>
      </c>
      <c r="FU6" s="2">
        <v>46116</v>
      </c>
      <c r="FV6" t="s">
        <v>1</v>
      </c>
      <c r="FW6" s="4">
        <v>0</v>
      </c>
      <c r="FX6" t="s">
        <v>1</v>
      </c>
      <c r="FY6" t="s">
        <v>1</v>
      </c>
      <c r="FZ6" s="4">
        <v>0</v>
      </c>
      <c r="GA6" s="4">
        <v>0</v>
      </c>
      <c r="GB6" t="s">
        <v>2070</v>
      </c>
      <c r="GC6" t="str">
        <f>RIGHT(Data_FAGLL03[[#This Row],[Payment reference]],8)</f>
        <v/>
      </c>
      <c r="GD6" t="str">
        <f>IF(Data_FAGLL03[[#This Row],[Billing]]&lt;&gt;"",_xlfn.XLOOKUP(Data_FAGLL03[[#This Row],[Billing]],MD_BILLING_SO[BILIING],MD_BILLING_SO[SO-EDITED]),"")</f>
        <v/>
      </c>
      <c r="GE6" s="18">
        <f>IF(SUBSTITUTE(Data_FAGLL03[[#This Row],[Eff.exchange rate]],",","")/100000=1,1,SUBSTITUTE(Data_FAGLL03[[#This Row],[Eff.exchange rate]],",","")/100)</f>
        <v>1</v>
      </c>
      <c r="GF6" s="17">
        <f>IF(Data_FAGLL03[[#This Row],[Material]]&lt;&gt;"",IFERROR(Data_FAGLL03[[#This Row],[Amount in local currency]]/Data_FAGLL03[[#This Row],[Quantity_Original]],0),0)</f>
        <v>0</v>
      </c>
      <c r="GG6" s="18">
        <f>IF(Data_FAGLL03[[#This Row],[XK/NĐ]]="XK",Data_FAGLL03[[#This Row],[GB trung bình]]/Data_FAGLL03[[#This Row],[EXR]],0)*1000</f>
        <v>0</v>
      </c>
      <c r="GH6" s="18" cm="1">
        <f t="array" ref="GH6">IF(Data_FAGLL03[[#This Row],[Document currency]]&lt;&gt;"VND",Data_FAGLL03[[#This Row],[Amount in doc. curr.]],Data_FAGLL03[[#This Row],[Amount in local currency]]/EXR)</f>
        <v>-85.673005566168726</v>
      </c>
      <c r="GI6" s="10">
        <f>Data_FAGLL03[[#This Row],[Time Stamp]]+TIME(7,0,0)</f>
        <v>46116.483611111107</v>
      </c>
      <c r="GJ6" s="18">
        <f>MONTH(Data_FAGLL03[[#This Row],[Time Stamp_VN]])</f>
        <v>4</v>
      </c>
      <c r="GK6">
        <f>DAY(Data_FAGLL03[[#This Row],[Time Stamp_VN]])</f>
        <v>4</v>
      </c>
      <c r="GL6" t="str">
        <f>TEXT(Data_FAGLL03[[#This Row],[Tháng]],"00")&amp;" | "&amp;TEXT(Data_FAGLL03[[#This Row],[Ngày]],"00")</f>
        <v>04 | 04</v>
      </c>
      <c r="GM6" s="18">
        <f>IF(Data_FAGLL03[[#This Row],[Text]]="",Data_FAGLL03[[#This Row],[Quantity_Original]],0)</f>
        <v>0</v>
      </c>
      <c r="GN6" s="18" t="str">
        <f>IF(Data_FAGLL03[[#This Row],[Quantity_Edited]]&lt;&gt;0,Data_FAGLL03[[#This Row],[Offsetting acct no.]]&amp;" | "&amp;Data_FAGLL03[[#This Row],[Material]],"")</f>
        <v/>
      </c>
      <c r="GO6" t="str">
        <f>IF(LEFT(Data_FAGLL03[[#This Row],[Offsetting acct no.]],1)="1","NĐ",IF(LEFT(Data_FAGLL03[[#This Row],[Offsetting acct no.]],1)="2","XK","Khác"))</f>
        <v>NĐ</v>
      </c>
      <c r="GP6" t="str">
        <f>IF(Data_FAGLL03[[#This Row],[Material]]&lt;&gt;"",_xlfn.XLOOKUP(Data_FAGLL03[[#This Row],[Material]],MD_SKU[Mã SKU],MD_SKU[Tên SKU]),"")</f>
        <v/>
      </c>
      <c r="GQ6" t="str">
        <f>IF(Data_FAGLL03[[#This Row],[Material]]&lt;&gt;"",_xlfn.XLOOKUP(Data_FAGLL03[[#This Row],[Material]],MD_SKU[Mã SKU],MD_SKU[Nhóm SP 1]),"")</f>
        <v/>
      </c>
      <c r="GR6" t="str">
        <f>IF(Data_FAGLL03[[#This Row],[Material]]&lt;&gt;"",_xlfn.XLOOKUP(Data_FAGLL03[[#This Row],[Material]],MD_SKU[Mã SKU],MD_SKU[Nhóm SP 2]),"")</f>
        <v/>
      </c>
      <c r="GS6" t="str">
        <f>IF(Data_FAGLL03[[#This Row],[Material]]&lt;&gt;"",_xlfn.XLOOKUP(Data_FAGLL03[[#This Row],[Material]],MD_SKU[Mã SKU],MD_SKU[Nhóm SP 3]),"")</f>
        <v/>
      </c>
      <c r="GT6" t="str">
        <f>IF(Data_FAGLL03[[#This Row],[Material]]&lt;&gt;"",_xlfn.XLOOKUP(Data_FAGLL03[[#This Row],[Material]],MD_SKU[Mã SKU],MD_SKU[Nhóm SP 4]),"")</f>
        <v/>
      </c>
    </row>
    <row r="7" spans="1:202" x14ac:dyDescent="0.25">
      <c r="A7" t="s">
        <v>0</v>
      </c>
      <c r="B7" s="2">
        <v>46116</v>
      </c>
      <c r="C7" t="s">
        <v>2083</v>
      </c>
      <c r="D7" t="s">
        <v>1</v>
      </c>
      <c r="E7" t="s">
        <v>1</v>
      </c>
      <c r="F7" t="s">
        <v>2</v>
      </c>
      <c r="G7" t="s">
        <v>2</v>
      </c>
      <c r="H7" t="s">
        <v>18</v>
      </c>
      <c r="I7" s="19">
        <v>-7548000</v>
      </c>
      <c r="J7" t="s">
        <v>19</v>
      </c>
      <c r="K7" t="s">
        <v>2084</v>
      </c>
      <c r="L7" t="s">
        <v>3</v>
      </c>
      <c r="M7" t="s">
        <v>41</v>
      </c>
      <c r="N7" t="s">
        <v>254</v>
      </c>
      <c r="O7" t="s">
        <v>2085</v>
      </c>
      <c r="P7" t="s">
        <v>2086</v>
      </c>
      <c r="Q7" t="s">
        <v>2</v>
      </c>
      <c r="R7" t="s">
        <v>5</v>
      </c>
      <c r="S7" t="s">
        <v>1</v>
      </c>
      <c r="T7" s="3">
        <v>-7548000</v>
      </c>
      <c r="U7" s="19">
        <v>-7548000</v>
      </c>
      <c r="V7" s="3">
        <v>-7548000</v>
      </c>
      <c r="W7" s="3">
        <v>-7548000</v>
      </c>
      <c r="X7" s="4">
        <v>0</v>
      </c>
      <c r="Y7" s="4">
        <v>0</v>
      </c>
      <c r="Z7" s="3">
        <v>0</v>
      </c>
      <c r="AA7" s="3">
        <v>0</v>
      </c>
      <c r="AB7" t="s">
        <v>1</v>
      </c>
      <c r="AC7" t="s">
        <v>1</v>
      </c>
      <c r="AD7" s="2"/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6</v>
      </c>
      <c r="AK7" s="4">
        <v>0</v>
      </c>
      <c r="AL7" t="s">
        <v>1</v>
      </c>
      <c r="AM7" s="5" t="s">
        <v>1</v>
      </c>
      <c r="AN7" t="s">
        <v>1</v>
      </c>
      <c r="AO7" s="2"/>
      <c r="AP7" t="s">
        <v>1</v>
      </c>
      <c r="AQ7" t="s">
        <v>1</v>
      </c>
      <c r="AR7" s="3">
        <v>0</v>
      </c>
      <c r="AS7" t="s">
        <v>1</v>
      </c>
      <c r="AT7" t="s">
        <v>7</v>
      </c>
      <c r="AU7" t="s">
        <v>1</v>
      </c>
      <c r="AV7" t="s">
        <v>1</v>
      </c>
      <c r="AW7" t="s">
        <v>8</v>
      </c>
      <c r="AX7" t="s">
        <v>8</v>
      </c>
      <c r="AY7" t="s">
        <v>1</v>
      </c>
      <c r="AZ7" s="4">
        <v>0</v>
      </c>
      <c r="BA7" t="s">
        <v>1</v>
      </c>
      <c r="BB7" s="3">
        <v>0</v>
      </c>
      <c r="BC7" s="3">
        <v>0</v>
      </c>
      <c r="BD7" s="3">
        <v>0</v>
      </c>
      <c r="BE7" t="s">
        <v>20</v>
      </c>
      <c r="BF7" t="s">
        <v>1</v>
      </c>
      <c r="BG7" s="4">
        <v>0</v>
      </c>
      <c r="BH7" s="4">
        <v>0</v>
      </c>
      <c r="BI7" s="6">
        <v>0</v>
      </c>
      <c r="BJ7" s="6">
        <v>0</v>
      </c>
      <c r="BK7" t="s">
        <v>1</v>
      </c>
      <c r="BL7" t="s">
        <v>1</v>
      </c>
      <c r="BM7" t="s">
        <v>1</v>
      </c>
      <c r="BN7" t="s">
        <v>9</v>
      </c>
      <c r="BO7" s="2">
        <v>46116</v>
      </c>
      <c r="BP7" t="s">
        <v>2087</v>
      </c>
      <c r="BQ7" t="s">
        <v>2083</v>
      </c>
      <c r="BR7" t="s">
        <v>21</v>
      </c>
      <c r="BS7" t="s">
        <v>1</v>
      </c>
      <c r="BT7" t="s">
        <v>1</v>
      </c>
      <c r="BU7" t="s">
        <v>1</v>
      </c>
      <c r="BV7" t="s">
        <v>1</v>
      </c>
      <c r="BW7" t="s">
        <v>7</v>
      </c>
      <c r="BX7" t="s">
        <v>10</v>
      </c>
      <c r="BY7" s="2"/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254</v>
      </c>
      <c r="CJ7" s="3">
        <v>-7548000</v>
      </c>
      <c r="CK7" t="s">
        <v>9</v>
      </c>
      <c r="CL7" t="s">
        <v>11</v>
      </c>
      <c r="CM7" t="s">
        <v>1</v>
      </c>
      <c r="CN7" s="4">
        <v>0</v>
      </c>
      <c r="CO7" t="s">
        <v>7</v>
      </c>
      <c r="CP7" t="s">
        <v>7</v>
      </c>
      <c r="CQ7" t="s">
        <v>7</v>
      </c>
      <c r="CR7" t="s">
        <v>7</v>
      </c>
      <c r="CS7" s="4">
        <v>0</v>
      </c>
      <c r="CT7" t="s">
        <v>2083</v>
      </c>
      <c r="CU7" t="s">
        <v>7</v>
      </c>
      <c r="CV7" t="s">
        <v>1</v>
      </c>
      <c r="CW7" s="2"/>
      <c r="CX7" t="s">
        <v>12</v>
      </c>
      <c r="CY7" t="s">
        <v>1</v>
      </c>
      <c r="CZ7" t="s">
        <v>13</v>
      </c>
      <c r="DA7" t="s">
        <v>1</v>
      </c>
      <c r="DB7" t="s">
        <v>9</v>
      </c>
      <c r="DC7" t="s">
        <v>9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s="2"/>
      <c r="DJ7" t="s">
        <v>1</v>
      </c>
      <c r="DK7" t="s">
        <v>14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s="2"/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7</v>
      </c>
      <c r="ED7" t="s">
        <v>1</v>
      </c>
      <c r="EE7" t="s">
        <v>1</v>
      </c>
      <c r="EF7" t="s">
        <v>22</v>
      </c>
      <c r="EG7" t="s">
        <v>41</v>
      </c>
      <c r="EH7" t="s">
        <v>15</v>
      </c>
      <c r="EI7" t="s">
        <v>1</v>
      </c>
      <c r="EJ7" s="6">
        <v>0</v>
      </c>
      <c r="EK7" t="s">
        <v>1</v>
      </c>
      <c r="EL7" t="s">
        <v>1</v>
      </c>
      <c r="EM7" t="s">
        <v>1</v>
      </c>
      <c r="EN7" t="s">
        <v>1</v>
      </c>
      <c r="EO7" s="2"/>
      <c r="EP7" t="s">
        <v>2088</v>
      </c>
      <c r="EQ7" t="s">
        <v>1</v>
      </c>
      <c r="ER7" t="s">
        <v>1</v>
      </c>
      <c r="ES7" t="s">
        <v>1</v>
      </c>
      <c r="ET7" t="s">
        <v>16</v>
      </c>
      <c r="EU7" t="s">
        <v>1</v>
      </c>
      <c r="EV7" t="s">
        <v>1</v>
      </c>
      <c r="EW7" t="s">
        <v>7</v>
      </c>
      <c r="EX7" t="s">
        <v>7</v>
      </c>
      <c r="EY7" t="s">
        <v>1</v>
      </c>
      <c r="EZ7" t="s">
        <v>1</v>
      </c>
      <c r="FA7" t="s">
        <v>1</v>
      </c>
      <c r="FB7" s="3">
        <v>50</v>
      </c>
      <c r="FC7" t="s">
        <v>1</v>
      </c>
      <c r="FD7" t="s">
        <v>1</v>
      </c>
      <c r="FE7" t="s">
        <v>1</v>
      </c>
      <c r="FF7" t="s">
        <v>17</v>
      </c>
      <c r="FG7" t="s">
        <v>1</v>
      </c>
      <c r="FH7" t="s">
        <v>1</v>
      </c>
      <c r="FI7" t="s">
        <v>1</v>
      </c>
      <c r="FJ7" t="s">
        <v>1</v>
      </c>
      <c r="FK7" s="7">
        <v>46116.38826388889</v>
      </c>
      <c r="FL7" t="s">
        <v>1</v>
      </c>
      <c r="FM7" t="s">
        <v>1</v>
      </c>
      <c r="FN7" t="s">
        <v>1</v>
      </c>
      <c r="FO7" s="19">
        <v>-7548000</v>
      </c>
      <c r="FP7" s="4">
        <v>0</v>
      </c>
      <c r="FQ7" s="19">
        <v>-7548000</v>
      </c>
      <c r="FR7" s="4">
        <v>0</v>
      </c>
      <c r="FS7" s="4">
        <v>0</v>
      </c>
      <c r="FT7" s="4">
        <v>0</v>
      </c>
      <c r="FU7" s="2">
        <v>46116</v>
      </c>
      <c r="FV7" t="s">
        <v>1</v>
      </c>
      <c r="FW7" s="4">
        <v>0</v>
      </c>
      <c r="FX7" t="s">
        <v>1</v>
      </c>
      <c r="FY7" t="s">
        <v>1</v>
      </c>
      <c r="FZ7" s="4">
        <v>0</v>
      </c>
      <c r="GA7" s="4">
        <v>0</v>
      </c>
      <c r="GB7" t="s">
        <v>2070</v>
      </c>
      <c r="GC7" t="str">
        <f>RIGHT(Data_FAGLL03[[#This Row],[Payment reference]],8)</f>
        <v/>
      </c>
      <c r="GD7" t="str">
        <f>IF(Data_FAGLL03[[#This Row],[Billing]]&lt;&gt;"",_xlfn.XLOOKUP(Data_FAGLL03[[#This Row],[Billing]],MD_BILLING_SO[BILIING],MD_BILLING_SO[SO-EDITED]),"")</f>
        <v/>
      </c>
      <c r="GE7" s="18">
        <f>IF(SUBSTITUTE(Data_FAGLL03[[#This Row],[Eff.exchange rate]],",","")/100000=1,1,SUBSTITUTE(Data_FAGLL03[[#This Row],[Eff.exchange rate]],",","")/100)</f>
        <v>1</v>
      </c>
      <c r="GF7" s="17">
        <f>IF(Data_FAGLL03[[#This Row],[Material]]&lt;&gt;"",IFERROR(Data_FAGLL03[[#This Row],[Amount in local currency]]/Data_FAGLL03[[#This Row],[Quantity_Original]],0),0)</f>
        <v>0</v>
      </c>
      <c r="GG7" s="18">
        <f>IF(Data_FAGLL03[[#This Row],[XK/NĐ]]="XK",Data_FAGLL03[[#This Row],[GB trung bình]]/Data_FAGLL03[[#This Row],[EXR]],0)*1000</f>
        <v>0</v>
      </c>
      <c r="GH7" s="18" cm="1">
        <f t="array" ref="GH7">IF(Data_FAGLL03[[#This Row],[Document currency]]&lt;&gt;"VND",Data_FAGLL03[[#This Row],[Amount in doc. curr.]],Data_FAGLL03[[#This Row],[Amount in local currency]]/EXR)</f>
        <v>-287.51938375947782</v>
      </c>
      <c r="GI7" s="10">
        <f>Data_FAGLL03[[#This Row],[Time Stamp]]+TIME(7,0,0)</f>
        <v>46116.679930555554</v>
      </c>
      <c r="GJ7" s="18">
        <f>MONTH(Data_FAGLL03[[#This Row],[Time Stamp_VN]])</f>
        <v>4</v>
      </c>
      <c r="GK7">
        <f>DAY(Data_FAGLL03[[#This Row],[Time Stamp_VN]])</f>
        <v>4</v>
      </c>
      <c r="GL7" t="str">
        <f>TEXT(Data_FAGLL03[[#This Row],[Tháng]],"00")&amp;" | "&amp;TEXT(Data_FAGLL03[[#This Row],[Ngày]],"00")</f>
        <v>04 | 04</v>
      </c>
      <c r="GM7" s="18">
        <f>IF(Data_FAGLL03[[#This Row],[Text]]="",Data_FAGLL03[[#This Row],[Quantity_Original]],0)</f>
        <v>0</v>
      </c>
      <c r="GN7" s="18" t="str">
        <f>IF(Data_FAGLL03[[#This Row],[Quantity_Edited]]&lt;&gt;0,Data_FAGLL03[[#This Row],[Offsetting acct no.]]&amp;" | "&amp;Data_FAGLL03[[#This Row],[Material]],"")</f>
        <v/>
      </c>
      <c r="GO7" t="str">
        <f>IF(LEFT(Data_FAGLL03[[#This Row],[Offsetting acct no.]],1)="1","NĐ",IF(LEFT(Data_FAGLL03[[#This Row],[Offsetting acct no.]],1)="2","XK","Khác"))</f>
        <v>NĐ</v>
      </c>
      <c r="GP7" t="str">
        <f>IF(Data_FAGLL03[[#This Row],[Material]]&lt;&gt;"",_xlfn.XLOOKUP(Data_FAGLL03[[#This Row],[Material]],MD_SKU[Mã SKU],MD_SKU[Tên SKU]),"")</f>
        <v/>
      </c>
      <c r="GQ7" t="str">
        <f>IF(Data_FAGLL03[[#This Row],[Material]]&lt;&gt;"",_xlfn.XLOOKUP(Data_FAGLL03[[#This Row],[Material]],MD_SKU[Mã SKU],MD_SKU[Nhóm SP 1]),"")</f>
        <v/>
      </c>
      <c r="GR7" t="str">
        <f>IF(Data_FAGLL03[[#This Row],[Material]]&lt;&gt;"",_xlfn.XLOOKUP(Data_FAGLL03[[#This Row],[Material]],MD_SKU[Mã SKU],MD_SKU[Nhóm SP 2]),"")</f>
        <v/>
      </c>
      <c r="GS7" t="str">
        <f>IF(Data_FAGLL03[[#This Row],[Material]]&lt;&gt;"",_xlfn.XLOOKUP(Data_FAGLL03[[#This Row],[Material]],MD_SKU[Mã SKU],MD_SKU[Nhóm SP 3]),"")</f>
        <v/>
      </c>
      <c r="GT7" t="str">
        <f>IF(Data_FAGLL03[[#This Row],[Material]]&lt;&gt;"",_xlfn.XLOOKUP(Data_FAGLL03[[#This Row],[Material]],MD_SKU[Mã SKU],MD_SKU[Nhóm SP 4]),"")</f>
        <v/>
      </c>
    </row>
    <row r="8" spans="1:202" x14ac:dyDescent="0.25">
      <c r="A8" t="s">
        <v>0</v>
      </c>
      <c r="B8" s="2">
        <v>46118</v>
      </c>
      <c r="C8" t="s">
        <v>2089</v>
      </c>
      <c r="D8" t="s">
        <v>1</v>
      </c>
      <c r="E8" t="s">
        <v>1</v>
      </c>
      <c r="F8" t="s">
        <v>2</v>
      </c>
      <c r="G8" t="s">
        <v>2</v>
      </c>
      <c r="H8" t="s">
        <v>18</v>
      </c>
      <c r="I8" s="19">
        <v>-54686</v>
      </c>
      <c r="J8" t="s">
        <v>19</v>
      </c>
      <c r="K8" t="s">
        <v>2090</v>
      </c>
      <c r="L8" t="s">
        <v>3</v>
      </c>
      <c r="M8" t="s">
        <v>41</v>
      </c>
      <c r="N8" t="s">
        <v>254</v>
      </c>
      <c r="O8" t="s">
        <v>2091</v>
      </c>
      <c r="P8" t="s">
        <v>2092</v>
      </c>
      <c r="Q8" t="s">
        <v>2</v>
      </c>
      <c r="R8" t="s">
        <v>5</v>
      </c>
      <c r="S8" t="s">
        <v>1</v>
      </c>
      <c r="T8" s="3">
        <v>-54686</v>
      </c>
      <c r="U8" s="19">
        <v>-54686</v>
      </c>
      <c r="V8" s="3">
        <v>-54686</v>
      </c>
      <c r="W8" s="3">
        <v>-54686</v>
      </c>
      <c r="X8" s="4">
        <v>0</v>
      </c>
      <c r="Y8" s="4">
        <v>0</v>
      </c>
      <c r="Z8" s="3">
        <v>0</v>
      </c>
      <c r="AA8" s="3">
        <v>0</v>
      </c>
      <c r="AB8" t="s">
        <v>1</v>
      </c>
      <c r="AC8" t="s">
        <v>1</v>
      </c>
      <c r="AD8" s="2"/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6</v>
      </c>
      <c r="AK8" s="4">
        <v>0</v>
      </c>
      <c r="AL8" t="s">
        <v>1</v>
      </c>
      <c r="AM8" s="5" t="s">
        <v>1</v>
      </c>
      <c r="AN8" t="s">
        <v>1</v>
      </c>
      <c r="AO8" s="2"/>
      <c r="AP8" t="s">
        <v>1</v>
      </c>
      <c r="AQ8" t="s">
        <v>1</v>
      </c>
      <c r="AR8" s="3">
        <v>0</v>
      </c>
      <c r="AS8" t="s">
        <v>1</v>
      </c>
      <c r="AT8" t="s">
        <v>7</v>
      </c>
      <c r="AU8" t="s">
        <v>1</v>
      </c>
      <c r="AV8" t="s">
        <v>1</v>
      </c>
      <c r="AW8" t="s">
        <v>8</v>
      </c>
      <c r="AX8" t="s">
        <v>8</v>
      </c>
      <c r="AY8" t="s">
        <v>1</v>
      </c>
      <c r="AZ8" s="4">
        <v>0</v>
      </c>
      <c r="BA8" t="s">
        <v>1</v>
      </c>
      <c r="BB8" s="3">
        <v>0</v>
      </c>
      <c r="BC8" s="3">
        <v>0</v>
      </c>
      <c r="BD8" s="3">
        <v>0</v>
      </c>
      <c r="BE8" t="s">
        <v>20</v>
      </c>
      <c r="BF8" t="s">
        <v>1</v>
      </c>
      <c r="BG8" s="4">
        <v>0</v>
      </c>
      <c r="BH8" s="4">
        <v>0</v>
      </c>
      <c r="BI8" s="6">
        <v>0</v>
      </c>
      <c r="BJ8" s="6">
        <v>0</v>
      </c>
      <c r="BK8" t="s">
        <v>1</v>
      </c>
      <c r="BL8" t="s">
        <v>1</v>
      </c>
      <c r="BM8" t="s">
        <v>1</v>
      </c>
      <c r="BN8" t="s">
        <v>9</v>
      </c>
      <c r="BO8" s="2">
        <v>46118</v>
      </c>
      <c r="BP8" t="s">
        <v>2093</v>
      </c>
      <c r="BQ8" t="s">
        <v>2089</v>
      </c>
      <c r="BR8" t="s">
        <v>21</v>
      </c>
      <c r="BS8" t="s">
        <v>1</v>
      </c>
      <c r="BT8" t="s">
        <v>1</v>
      </c>
      <c r="BU8" t="s">
        <v>1</v>
      </c>
      <c r="BV8" t="s">
        <v>1</v>
      </c>
      <c r="BW8" t="s">
        <v>7</v>
      </c>
      <c r="BX8" t="s">
        <v>10</v>
      </c>
      <c r="BY8" s="2"/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254</v>
      </c>
      <c r="CJ8" s="3">
        <v>-54686</v>
      </c>
      <c r="CK8" t="s">
        <v>9</v>
      </c>
      <c r="CL8" t="s">
        <v>11</v>
      </c>
      <c r="CM8" t="s">
        <v>1</v>
      </c>
      <c r="CN8" s="4">
        <v>0</v>
      </c>
      <c r="CO8" t="s">
        <v>7</v>
      </c>
      <c r="CP8" t="s">
        <v>7</v>
      </c>
      <c r="CQ8" t="s">
        <v>7</v>
      </c>
      <c r="CR8" t="s">
        <v>7</v>
      </c>
      <c r="CS8" s="4">
        <v>0</v>
      </c>
      <c r="CT8" t="s">
        <v>2089</v>
      </c>
      <c r="CU8" t="s">
        <v>7</v>
      </c>
      <c r="CV8" t="s">
        <v>1</v>
      </c>
      <c r="CW8" s="2"/>
      <c r="CX8" t="s">
        <v>12</v>
      </c>
      <c r="CY8" t="s">
        <v>1</v>
      </c>
      <c r="CZ8" t="s">
        <v>13</v>
      </c>
      <c r="DA8" t="s">
        <v>1</v>
      </c>
      <c r="DB8" t="s">
        <v>9</v>
      </c>
      <c r="DC8" t="s">
        <v>9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s="2"/>
      <c r="DJ8" t="s">
        <v>1</v>
      </c>
      <c r="DK8" t="s">
        <v>14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s="2"/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7</v>
      </c>
      <c r="ED8" t="s">
        <v>1</v>
      </c>
      <c r="EE8" t="s">
        <v>1</v>
      </c>
      <c r="EF8" t="s">
        <v>22</v>
      </c>
      <c r="EG8" t="s">
        <v>41</v>
      </c>
      <c r="EH8" t="s">
        <v>15</v>
      </c>
      <c r="EI8" t="s">
        <v>1</v>
      </c>
      <c r="EJ8" s="6">
        <v>0</v>
      </c>
      <c r="EK8" t="s">
        <v>1</v>
      </c>
      <c r="EL8" t="s">
        <v>1</v>
      </c>
      <c r="EM8" t="s">
        <v>1</v>
      </c>
      <c r="EN8" t="s">
        <v>1</v>
      </c>
      <c r="EO8" s="2"/>
      <c r="EP8" t="s">
        <v>2094</v>
      </c>
      <c r="EQ8" t="s">
        <v>1</v>
      </c>
      <c r="ER8" t="s">
        <v>1</v>
      </c>
      <c r="ES8" t="s">
        <v>1</v>
      </c>
      <c r="ET8" t="s">
        <v>16</v>
      </c>
      <c r="EU8" t="s">
        <v>1</v>
      </c>
      <c r="EV8" t="s">
        <v>1</v>
      </c>
      <c r="EW8" t="s">
        <v>7</v>
      </c>
      <c r="EX8" t="s">
        <v>7</v>
      </c>
      <c r="EY8" t="s">
        <v>1</v>
      </c>
      <c r="EZ8" t="s">
        <v>1</v>
      </c>
      <c r="FA8" t="s">
        <v>1</v>
      </c>
      <c r="FB8" s="3">
        <v>50</v>
      </c>
      <c r="FC8" t="s">
        <v>1</v>
      </c>
      <c r="FD8" t="s">
        <v>1</v>
      </c>
      <c r="FE8" t="s">
        <v>1</v>
      </c>
      <c r="FF8" t="s">
        <v>17</v>
      </c>
      <c r="FG8" t="s">
        <v>1</v>
      </c>
      <c r="FH8" t="s">
        <v>1</v>
      </c>
      <c r="FI8" t="s">
        <v>1</v>
      </c>
      <c r="FJ8" t="s">
        <v>1</v>
      </c>
      <c r="FK8" s="7">
        <v>46118.514340277776</v>
      </c>
      <c r="FL8" t="s">
        <v>1</v>
      </c>
      <c r="FM8" t="s">
        <v>1</v>
      </c>
      <c r="FN8" t="s">
        <v>1</v>
      </c>
      <c r="FO8" s="19">
        <v>-54686</v>
      </c>
      <c r="FP8" s="4">
        <v>0</v>
      </c>
      <c r="FQ8" s="19">
        <v>-54686</v>
      </c>
      <c r="FR8" s="4">
        <v>0</v>
      </c>
      <c r="FS8" s="4">
        <v>0</v>
      </c>
      <c r="FT8" s="4">
        <v>0</v>
      </c>
      <c r="FU8" s="2">
        <v>46118</v>
      </c>
      <c r="FV8" t="s">
        <v>1</v>
      </c>
      <c r="FW8" s="4">
        <v>0</v>
      </c>
      <c r="FX8" t="s">
        <v>1</v>
      </c>
      <c r="FY8" t="s">
        <v>1</v>
      </c>
      <c r="FZ8" s="4">
        <v>0</v>
      </c>
      <c r="GA8" s="4">
        <v>0</v>
      </c>
      <c r="GB8" t="s">
        <v>2070</v>
      </c>
      <c r="GC8" t="str">
        <f>RIGHT(Data_FAGLL03[[#This Row],[Payment reference]],8)</f>
        <v/>
      </c>
      <c r="GD8" t="str">
        <f>IF(Data_FAGLL03[[#This Row],[Billing]]&lt;&gt;"",_xlfn.XLOOKUP(Data_FAGLL03[[#This Row],[Billing]],MD_BILLING_SO[BILIING],MD_BILLING_SO[SO-EDITED]),"")</f>
        <v/>
      </c>
      <c r="GE8" s="18">
        <f>IF(SUBSTITUTE(Data_FAGLL03[[#This Row],[Eff.exchange rate]],",","")/100000=1,1,SUBSTITUTE(Data_FAGLL03[[#This Row],[Eff.exchange rate]],",","")/100)</f>
        <v>1</v>
      </c>
      <c r="GF8" s="17">
        <f>IF(Data_FAGLL03[[#This Row],[Material]]&lt;&gt;"",IFERROR(Data_FAGLL03[[#This Row],[Amount in local currency]]/Data_FAGLL03[[#This Row],[Quantity_Original]],0),0)</f>
        <v>0</v>
      </c>
      <c r="GG8" s="18">
        <f>IF(Data_FAGLL03[[#This Row],[XK/NĐ]]="XK",Data_FAGLL03[[#This Row],[GB trung bình]]/Data_FAGLL03[[#This Row],[EXR]],0)*1000</f>
        <v>0</v>
      </c>
      <c r="GH8" s="18" cm="1">
        <f t="array" ref="GH8">IF(Data_FAGLL03[[#This Row],[Document currency]]&lt;&gt;"VND",Data_FAGLL03[[#This Row],[Amount in doc. curr.]],Data_FAGLL03[[#This Row],[Amount in local currency]]/EXR)</f>
        <v>-2.0831061235122954</v>
      </c>
      <c r="GI8" s="10">
        <f>Data_FAGLL03[[#This Row],[Time Stamp]]+TIME(7,0,0)</f>
        <v>46118.80600694444</v>
      </c>
      <c r="GJ8" s="18">
        <f>MONTH(Data_FAGLL03[[#This Row],[Time Stamp_VN]])</f>
        <v>4</v>
      </c>
      <c r="GK8">
        <f>DAY(Data_FAGLL03[[#This Row],[Time Stamp_VN]])</f>
        <v>6</v>
      </c>
      <c r="GL8" t="str">
        <f>TEXT(Data_FAGLL03[[#This Row],[Tháng]],"00")&amp;" | "&amp;TEXT(Data_FAGLL03[[#This Row],[Ngày]],"00")</f>
        <v>04 | 06</v>
      </c>
      <c r="GM8" s="18">
        <f>IF(Data_FAGLL03[[#This Row],[Text]]="",Data_FAGLL03[[#This Row],[Quantity_Original]],0)</f>
        <v>0</v>
      </c>
      <c r="GN8" s="18" t="str">
        <f>IF(Data_FAGLL03[[#This Row],[Quantity_Edited]]&lt;&gt;0,Data_FAGLL03[[#This Row],[Offsetting acct no.]]&amp;" | "&amp;Data_FAGLL03[[#This Row],[Material]],"")</f>
        <v/>
      </c>
      <c r="GO8" t="str">
        <f>IF(LEFT(Data_FAGLL03[[#This Row],[Offsetting acct no.]],1)="1","NĐ",IF(LEFT(Data_FAGLL03[[#This Row],[Offsetting acct no.]],1)="2","XK","Khác"))</f>
        <v>NĐ</v>
      </c>
      <c r="GP8" t="str">
        <f>IF(Data_FAGLL03[[#This Row],[Material]]&lt;&gt;"",_xlfn.XLOOKUP(Data_FAGLL03[[#This Row],[Material]],MD_SKU[Mã SKU],MD_SKU[Tên SKU]),"")</f>
        <v/>
      </c>
      <c r="GQ8" t="str">
        <f>IF(Data_FAGLL03[[#This Row],[Material]]&lt;&gt;"",_xlfn.XLOOKUP(Data_FAGLL03[[#This Row],[Material]],MD_SKU[Mã SKU],MD_SKU[Nhóm SP 1]),"")</f>
        <v/>
      </c>
      <c r="GR8" t="str">
        <f>IF(Data_FAGLL03[[#This Row],[Material]]&lt;&gt;"",_xlfn.XLOOKUP(Data_FAGLL03[[#This Row],[Material]],MD_SKU[Mã SKU],MD_SKU[Nhóm SP 2]),"")</f>
        <v/>
      </c>
      <c r="GS8" t="str">
        <f>IF(Data_FAGLL03[[#This Row],[Material]]&lt;&gt;"",_xlfn.XLOOKUP(Data_FAGLL03[[#This Row],[Material]],MD_SKU[Mã SKU],MD_SKU[Nhóm SP 3]),"")</f>
        <v/>
      </c>
      <c r="GT8" t="str">
        <f>IF(Data_FAGLL03[[#This Row],[Material]]&lt;&gt;"",_xlfn.XLOOKUP(Data_FAGLL03[[#This Row],[Material]],MD_SKU[Mã SKU],MD_SKU[Nhóm SP 4]),"")</f>
        <v/>
      </c>
    </row>
    <row r="9" spans="1:202" x14ac:dyDescent="0.25">
      <c r="A9" t="s">
        <v>0</v>
      </c>
      <c r="B9" s="2">
        <v>46118</v>
      </c>
      <c r="C9" t="s">
        <v>2089</v>
      </c>
      <c r="D9" t="s">
        <v>1</v>
      </c>
      <c r="E9" t="s">
        <v>1</v>
      </c>
      <c r="F9" t="s">
        <v>2</v>
      </c>
      <c r="G9" t="s">
        <v>2</v>
      </c>
      <c r="H9" t="s">
        <v>18</v>
      </c>
      <c r="I9" s="19">
        <v>-95324</v>
      </c>
      <c r="J9" t="s">
        <v>19</v>
      </c>
      <c r="K9" t="s">
        <v>2095</v>
      </c>
      <c r="L9" t="s">
        <v>3</v>
      </c>
      <c r="M9" t="s">
        <v>41</v>
      </c>
      <c r="N9" t="s">
        <v>254</v>
      </c>
      <c r="O9" t="s">
        <v>2091</v>
      </c>
      <c r="P9" t="s">
        <v>2092</v>
      </c>
      <c r="Q9" t="s">
        <v>2</v>
      </c>
      <c r="R9" t="s">
        <v>5</v>
      </c>
      <c r="S9" t="s">
        <v>1</v>
      </c>
      <c r="T9" s="3">
        <v>-95324</v>
      </c>
      <c r="U9" s="19">
        <v>-95324</v>
      </c>
      <c r="V9" s="3">
        <v>-95324</v>
      </c>
      <c r="W9" s="3">
        <v>-95324</v>
      </c>
      <c r="X9" s="4">
        <v>0</v>
      </c>
      <c r="Y9" s="4">
        <v>0</v>
      </c>
      <c r="Z9" s="3">
        <v>0</v>
      </c>
      <c r="AA9" s="3">
        <v>0</v>
      </c>
      <c r="AB9" t="s">
        <v>1</v>
      </c>
      <c r="AC9" t="s">
        <v>1</v>
      </c>
      <c r="AD9" s="2"/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6</v>
      </c>
      <c r="AK9" s="4">
        <v>0</v>
      </c>
      <c r="AL9" t="s">
        <v>1</v>
      </c>
      <c r="AM9" s="5" t="s">
        <v>1</v>
      </c>
      <c r="AN9" t="s">
        <v>1</v>
      </c>
      <c r="AO9" s="2"/>
      <c r="AP9" t="s">
        <v>1</v>
      </c>
      <c r="AQ9" t="s">
        <v>1</v>
      </c>
      <c r="AR9" s="3">
        <v>0</v>
      </c>
      <c r="AS9" t="s">
        <v>1</v>
      </c>
      <c r="AT9" t="s">
        <v>7</v>
      </c>
      <c r="AU9" t="s">
        <v>1</v>
      </c>
      <c r="AV9" t="s">
        <v>1</v>
      </c>
      <c r="AW9" t="s">
        <v>8</v>
      </c>
      <c r="AX9" t="s">
        <v>8</v>
      </c>
      <c r="AY9" t="s">
        <v>1</v>
      </c>
      <c r="AZ9" s="4">
        <v>0</v>
      </c>
      <c r="BA9" t="s">
        <v>1</v>
      </c>
      <c r="BB9" s="3">
        <v>0</v>
      </c>
      <c r="BC9" s="3">
        <v>0</v>
      </c>
      <c r="BD9" s="3">
        <v>0</v>
      </c>
      <c r="BE9" t="s">
        <v>20</v>
      </c>
      <c r="BF9" t="s">
        <v>1</v>
      </c>
      <c r="BG9" s="4">
        <v>0</v>
      </c>
      <c r="BH9" s="4">
        <v>0</v>
      </c>
      <c r="BI9" s="6">
        <v>0</v>
      </c>
      <c r="BJ9" s="6">
        <v>0</v>
      </c>
      <c r="BK9" t="s">
        <v>1</v>
      </c>
      <c r="BL9" t="s">
        <v>1</v>
      </c>
      <c r="BM9" t="s">
        <v>1</v>
      </c>
      <c r="BN9" t="s">
        <v>9</v>
      </c>
      <c r="BO9" s="2">
        <v>46118</v>
      </c>
      <c r="BP9" t="s">
        <v>2093</v>
      </c>
      <c r="BQ9" t="s">
        <v>2089</v>
      </c>
      <c r="BR9" t="s">
        <v>21</v>
      </c>
      <c r="BS9" t="s">
        <v>1</v>
      </c>
      <c r="BT9" t="s">
        <v>1</v>
      </c>
      <c r="BU9" t="s">
        <v>1</v>
      </c>
      <c r="BV9" t="s">
        <v>1</v>
      </c>
      <c r="BW9" t="s">
        <v>7</v>
      </c>
      <c r="BX9" t="s">
        <v>10</v>
      </c>
      <c r="BY9" s="2"/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254</v>
      </c>
      <c r="CJ9" s="3">
        <v>-95324</v>
      </c>
      <c r="CK9" t="s">
        <v>9</v>
      </c>
      <c r="CL9" t="s">
        <v>2052</v>
      </c>
      <c r="CM9" t="s">
        <v>1</v>
      </c>
      <c r="CN9" s="4">
        <v>0</v>
      </c>
      <c r="CO9" t="s">
        <v>7</v>
      </c>
      <c r="CP9" t="s">
        <v>7</v>
      </c>
      <c r="CQ9" t="s">
        <v>7</v>
      </c>
      <c r="CR9" t="s">
        <v>7</v>
      </c>
      <c r="CS9" s="4">
        <v>0</v>
      </c>
      <c r="CT9" t="s">
        <v>2089</v>
      </c>
      <c r="CU9" t="s">
        <v>7</v>
      </c>
      <c r="CV9" t="s">
        <v>1</v>
      </c>
      <c r="CW9" s="2"/>
      <c r="CX9" t="s">
        <v>12</v>
      </c>
      <c r="CY9" t="s">
        <v>1</v>
      </c>
      <c r="CZ9" t="s">
        <v>256</v>
      </c>
      <c r="DA9" t="s">
        <v>1</v>
      </c>
      <c r="DB9" t="s">
        <v>9</v>
      </c>
      <c r="DC9" t="s">
        <v>9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s="2"/>
      <c r="DJ9" t="s">
        <v>1</v>
      </c>
      <c r="DK9" t="s">
        <v>14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s="2"/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7</v>
      </c>
      <c r="ED9" t="s">
        <v>1</v>
      </c>
      <c r="EE9" t="s">
        <v>1</v>
      </c>
      <c r="EF9" t="s">
        <v>22</v>
      </c>
      <c r="EG9" t="s">
        <v>41</v>
      </c>
      <c r="EH9" t="s">
        <v>15</v>
      </c>
      <c r="EI9" t="s">
        <v>1</v>
      </c>
      <c r="EJ9" s="6">
        <v>0</v>
      </c>
      <c r="EK9" t="s">
        <v>1</v>
      </c>
      <c r="EL9" t="s">
        <v>1</v>
      </c>
      <c r="EM9" t="s">
        <v>1</v>
      </c>
      <c r="EN9" t="s">
        <v>1</v>
      </c>
      <c r="EO9" s="2"/>
      <c r="EP9" t="s">
        <v>2094</v>
      </c>
      <c r="EQ9" t="s">
        <v>1</v>
      </c>
      <c r="ER9" t="s">
        <v>1</v>
      </c>
      <c r="ES9" t="s">
        <v>1</v>
      </c>
      <c r="ET9" t="s">
        <v>16</v>
      </c>
      <c r="EU9" t="s">
        <v>1</v>
      </c>
      <c r="EV9" t="s">
        <v>1</v>
      </c>
      <c r="EW9" t="s">
        <v>7</v>
      </c>
      <c r="EX9" t="s">
        <v>7</v>
      </c>
      <c r="EY9" t="s">
        <v>1</v>
      </c>
      <c r="EZ9" t="s">
        <v>1</v>
      </c>
      <c r="FA9" t="s">
        <v>1</v>
      </c>
      <c r="FB9" s="3">
        <v>50</v>
      </c>
      <c r="FC9" t="s">
        <v>1</v>
      </c>
      <c r="FD9" t="s">
        <v>1</v>
      </c>
      <c r="FE9" t="s">
        <v>1</v>
      </c>
      <c r="FF9" t="s">
        <v>17</v>
      </c>
      <c r="FG9" t="s">
        <v>1</v>
      </c>
      <c r="FH9" t="s">
        <v>1</v>
      </c>
      <c r="FI9" t="s">
        <v>1</v>
      </c>
      <c r="FJ9" t="s">
        <v>1</v>
      </c>
      <c r="FK9" s="7">
        <v>46118.514340277776</v>
      </c>
      <c r="FL9" t="s">
        <v>1</v>
      </c>
      <c r="FM9" t="s">
        <v>1</v>
      </c>
      <c r="FN9" t="s">
        <v>1</v>
      </c>
      <c r="FO9" s="19">
        <v>-95324</v>
      </c>
      <c r="FP9" s="4">
        <v>0</v>
      </c>
      <c r="FQ9" s="19">
        <v>-95324</v>
      </c>
      <c r="FR9" s="4">
        <v>0</v>
      </c>
      <c r="FS9" s="4">
        <v>0</v>
      </c>
      <c r="FT9" s="4">
        <v>0</v>
      </c>
      <c r="FU9" s="2">
        <v>46118</v>
      </c>
      <c r="FV9" t="s">
        <v>1</v>
      </c>
      <c r="FW9" s="4">
        <v>0</v>
      </c>
      <c r="FX9" t="s">
        <v>1</v>
      </c>
      <c r="FY9" t="s">
        <v>1</v>
      </c>
      <c r="FZ9" s="4">
        <v>0</v>
      </c>
      <c r="GA9" s="4">
        <v>0</v>
      </c>
      <c r="GB9" t="s">
        <v>2070</v>
      </c>
      <c r="GC9" t="str">
        <f>RIGHT(Data_FAGLL03[[#This Row],[Payment reference]],8)</f>
        <v/>
      </c>
      <c r="GD9" t="str">
        <f>IF(Data_FAGLL03[[#This Row],[Billing]]&lt;&gt;"",_xlfn.XLOOKUP(Data_FAGLL03[[#This Row],[Billing]],MD_BILLING_SO[BILIING],MD_BILLING_SO[SO-EDITED]),"")</f>
        <v/>
      </c>
      <c r="GE9" s="18">
        <f>IF(SUBSTITUTE(Data_FAGLL03[[#This Row],[Eff.exchange rate]],",","")/100000=1,1,SUBSTITUTE(Data_FAGLL03[[#This Row],[Eff.exchange rate]],",","")/100)</f>
        <v>1</v>
      </c>
      <c r="GF9" s="17">
        <f>IF(Data_FAGLL03[[#This Row],[Material]]&lt;&gt;"",IFERROR(Data_FAGLL03[[#This Row],[Amount in local currency]]/Data_FAGLL03[[#This Row],[Quantity_Original]],0),0)</f>
        <v>0</v>
      </c>
      <c r="GG9" s="18">
        <f>IF(Data_FAGLL03[[#This Row],[XK/NĐ]]="XK",Data_FAGLL03[[#This Row],[GB trung bình]]/Data_FAGLL03[[#This Row],[EXR]],0)*1000</f>
        <v>0</v>
      </c>
      <c r="GH9" s="18" cm="1">
        <f t="array" ref="GH9">IF(Data_FAGLL03[[#This Row],[Document currency]]&lt;&gt;"VND",Data_FAGLL03[[#This Row],[Amount in doc. curr.]],Data_FAGLL03[[#This Row],[Amount in local currency]]/EXR)</f>
        <v>-3.6310940298739354</v>
      </c>
      <c r="GI9" s="10">
        <f>Data_FAGLL03[[#This Row],[Time Stamp]]+TIME(7,0,0)</f>
        <v>46118.80600694444</v>
      </c>
      <c r="GJ9" s="18">
        <f>MONTH(Data_FAGLL03[[#This Row],[Time Stamp_VN]])</f>
        <v>4</v>
      </c>
      <c r="GK9">
        <f>DAY(Data_FAGLL03[[#This Row],[Time Stamp_VN]])</f>
        <v>6</v>
      </c>
      <c r="GL9" t="str">
        <f>TEXT(Data_FAGLL03[[#This Row],[Tháng]],"00")&amp;" | "&amp;TEXT(Data_FAGLL03[[#This Row],[Ngày]],"00")</f>
        <v>04 | 06</v>
      </c>
      <c r="GM9" s="18">
        <f>IF(Data_FAGLL03[[#This Row],[Text]]="",Data_FAGLL03[[#This Row],[Quantity_Original]],0)</f>
        <v>0</v>
      </c>
      <c r="GN9" s="18" t="str">
        <f>IF(Data_FAGLL03[[#This Row],[Quantity_Edited]]&lt;&gt;0,Data_FAGLL03[[#This Row],[Offsetting acct no.]]&amp;" | "&amp;Data_FAGLL03[[#This Row],[Material]],"")</f>
        <v/>
      </c>
      <c r="GO9" t="str">
        <f>IF(LEFT(Data_FAGLL03[[#This Row],[Offsetting acct no.]],1)="1","NĐ",IF(LEFT(Data_FAGLL03[[#This Row],[Offsetting acct no.]],1)="2","XK","Khác"))</f>
        <v>NĐ</v>
      </c>
      <c r="GP9" t="str">
        <f>IF(Data_FAGLL03[[#This Row],[Material]]&lt;&gt;"",_xlfn.XLOOKUP(Data_FAGLL03[[#This Row],[Material]],MD_SKU[Mã SKU],MD_SKU[Tên SKU]),"")</f>
        <v/>
      </c>
      <c r="GQ9" t="str">
        <f>IF(Data_FAGLL03[[#This Row],[Material]]&lt;&gt;"",_xlfn.XLOOKUP(Data_FAGLL03[[#This Row],[Material]],MD_SKU[Mã SKU],MD_SKU[Nhóm SP 1]),"")</f>
        <v/>
      </c>
      <c r="GR9" t="str">
        <f>IF(Data_FAGLL03[[#This Row],[Material]]&lt;&gt;"",_xlfn.XLOOKUP(Data_FAGLL03[[#This Row],[Material]],MD_SKU[Mã SKU],MD_SKU[Nhóm SP 2]),"")</f>
        <v/>
      </c>
      <c r="GS9" t="str">
        <f>IF(Data_FAGLL03[[#This Row],[Material]]&lt;&gt;"",_xlfn.XLOOKUP(Data_FAGLL03[[#This Row],[Material]],MD_SKU[Mã SKU],MD_SKU[Nhóm SP 3]),"")</f>
        <v/>
      </c>
      <c r="GT9" t="str">
        <f>IF(Data_FAGLL03[[#This Row],[Material]]&lt;&gt;"",_xlfn.XLOOKUP(Data_FAGLL03[[#This Row],[Material]],MD_SKU[Mã SKU],MD_SKU[Nhóm SP 4]),"")</f>
        <v/>
      </c>
    </row>
    <row r="10" spans="1:202" x14ac:dyDescent="0.25">
      <c r="A10" t="s">
        <v>0</v>
      </c>
      <c r="B10" s="2">
        <v>46120</v>
      </c>
      <c r="C10" t="s">
        <v>2096</v>
      </c>
      <c r="D10" t="s">
        <v>1</v>
      </c>
      <c r="E10" t="s">
        <v>1</v>
      </c>
      <c r="F10" t="s">
        <v>2</v>
      </c>
      <c r="G10" t="s">
        <v>2</v>
      </c>
      <c r="H10" t="s">
        <v>18</v>
      </c>
      <c r="I10" s="19">
        <v>-102872</v>
      </c>
      <c r="J10" t="s">
        <v>19</v>
      </c>
      <c r="K10" t="s">
        <v>2097</v>
      </c>
      <c r="L10" t="s">
        <v>3</v>
      </c>
      <c r="M10" t="s">
        <v>41</v>
      </c>
      <c r="N10" t="s">
        <v>254</v>
      </c>
      <c r="O10" t="s">
        <v>2098</v>
      </c>
      <c r="P10" t="s">
        <v>2099</v>
      </c>
      <c r="Q10" t="s">
        <v>2</v>
      </c>
      <c r="R10" t="s">
        <v>5</v>
      </c>
      <c r="S10" t="s">
        <v>1</v>
      </c>
      <c r="T10" s="3">
        <v>-102872</v>
      </c>
      <c r="U10" s="19">
        <v>-102872</v>
      </c>
      <c r="V10" s="3">
        <v>-102872</v>
      </c>
      <c r="W10" s="3">
        <v>-102872</v>
      </c>
      <c r="X10" s="4">
        <v>0</v>
      </c>
      <c r="Y10" s="4">
        <v>0</v>
      </c>
      <c r="Z10" s="3">
        <v>0</v>
      </c>
      <c r="AA10" s="3">
        <v>0</v>
      </c>
      <c r="AB10" t="s">
        <v>1</v>
      </c>
      <c r="AC10" t="s">
        <v>1</v>
      </c>
      <c r="AD10" s="2"/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6</v>
      </c>
      <c r="AK10" s="4">
        <v>0</v>
      </c>
      <c r="AL10" t="s">
        <v>1</v>
      </c>
      <c r="AM10" s="5" t="s">
        <v>1</v>
      </c>
      <c r="AN10" t="s">
        <v>1</v>
      </c>
      <c r="AO10" s="2"/>
      <c r="AP10" t="s">
        <v>1</v>
      </c>
      <c r="AQ10" t="s">
        <v>1</v>
      </c>
      <c r="AR10" s="3">
        <v>0</v>
      </c>
      <c r="AS10" t="s">
        <v>1</v>
      </c>
      <c r="AT10" t="s">
        <v>7</v>
      </c>
      <c r="AU10" t="s">
        <v>1</v>
      </c>
      <c r="AV10" t="s">
        <v>1</v>
      </c>
      <c r="AW10" t="s">
        <v>8</v>
      </c>
      <c r="AX10" t="s">
        <v>8</v>
      </c>
      <c r="AY10" t="s">
        <v>1</v>
      </c>
      <c r="AZ10" s="4">
        <v>0</v>
      </c>
      <c r="BA10" t="s">
        <v>1</v>
      </c>
      <c r="BB10" s="3">
        <v>0</v>
      </c>
      <c r="BC10" s="3">
        <v>0</v>
      </c>
      <c r="BD10" s="3">
        <v>0</v>
      </c>
      <c r="BE10" t="s">
        <v>20</v>
      </c>
      <c r="BF10" t="s">
        <v>1</v>
      </c>
      <c r="BG10" s="4">
        <v>0</v>
      </c>
      <c r="BH10" s="4">
        <v>0</v>
      </c>
      <c r="BI10" s="6">
        <v>0</v>
      </c>
      <c r="BJ10" s="6">
        <v>0</v>
      </c>
      <c r="BK10" t="s">
        <v>1</v>
      </c>
      <c r="BL10" t="s">
        <v>1</v>
      </c>
      <c r="BM10" t="s">
        <v>1</v>
      </c>
      <c r="BN10" t="s">
        <v>9</v>
      </c>
      <c r="BO10" s="2">
        <v>46120</v>
      </c>
      <c r="BP10" t="s">
        <v>2100</v>
      </c>
      <c r="BQ10" t="s">
        <v>2096</v>
      </c>
      <c r="BR10" t="s">
        <v>21</v>
      </c>
      <c r="BS10" t="s">
        <v>1</v>
      </c>
      <c r="BT10" t="s">
        <v>1</v>
      </c>
      <c r="BU10" t="s">
        <v>1</v>
      </c>
      <c r="BV10" t="s">
        <v>1</v>
      </c>
      <c r="BW10" t="s">
        <v>7</v>
      </c>
      <c r="BX10" t="s">
        <v>10</v>
      </c>
      <c r="BY10" s="2"/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254</v>
      </c>
      <c r="CJ10" s="3">
        <v>-102872</v>
      </c>
      <c r="CK10" t="s">
        <v>9</v>
      </c>
      <c r="CL10" t="s">
        <v>11</v>
      </c>
      <c r="CM10" t="s">
        <v>1</v>
      </c>
      <c r="CN10" s="4">
        <v>0</v>
      </c>
      <c r="CO10" t="s">
        <v>7</v>
      </c>
      <c r="CP10" t="s">
        <v>7</v>
      </c>
      <c r="CQ10" t="s">
        <v>7</v>
      </c>
      <c r="CR10" t="s">
        <v>7</v>
      </c>
      <c r="CS10" s="4">
        <v>0</v>
      </c>
      <c r="CT10" t="s">
        <v>2096</v>
      </c>
      <c r="CU10" t="s">
        <v>7</v>
      </c>
      <c r="CV10" t="s">
        <v>1</v>
      </c>
      <c r="CW10" s="2"/>
      <c r="CX10" t="s">
        <v>12</v>
      </c>
      <c r="CY10" t="s">
        <v>1</v>
      </c>
      <c r="CZ10" t="s">
        <v>13</v>
      </c>
      <c r="DA10" t="s">
        <v>1</v>
      </c>
      <c r="DB10" t="s">
        <v>9</v>
      </c>
      <c r="DC10" t="s">
        <v>9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s="2"/>
      <c r="DJ10" t="s">
        <v>1</v>
      </c>
      <c r="DK10" t="s">
        <v>14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s="2"/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7</v>
      </c>
      <c r="ED10" t="s">
        <v>1</v>
      </c>
      <c r="EE10" t="s">
        <v>1</v>
      </c>
      <c r="EF10" t="s">
        <v>22</v>
      </c>
      <c r="EG10" t="s">
        <v>41</v>
      </c>
      <c r="EH10" t="s">
        <v>15</v>
      </c>
      <c r="EI10" t="s">
        <v>1</v>
      </c>
      <c r="EJ10" s="6">
        <v>0</v>
      </c>
      <c r="EK10" t="s">
        <v>1</v>
      </c>
      <c r="EL10" t="s">
        <v>1</v>
      </c>
      <c r="EM10" t="s">
        <v>1</v>
      </c>
      <c r="EN10" t="s">
        <v>1</v>
      </c>
      <c r="EO10" s="2"/>
      <c r="EP10" t="s">
        <v>2101</v>
      </c>
      <c r="EQ10" t="s">
        <v>1</v>
      </c>
      <c r="ER10" t="s">
        <v>1</v>
      </c>
      <c r="ES10" t="s">
        <v>1</v>
      </c>
      <c r="ET10" t="s">
        <v>16</v>
      </c>
      <c r="EU10" t="s">
        <v>1</v>
      </c>
      <c r="EV10" t="s">
        <v>1</v>
      </c>
      <c r="EW10" t="s">
        <v>7</v>
      </c>
      <c r="EX10" t="s">
        <v>7</v>
      </c>
      <c r="EY10" t="s">
        <v>1</v>
      </c>
      <c r="EZ10" t="s">
        <v>1</v>
      </c>
      <c r="FA10" t="s">
        <v>1</v>
      </c>
      <c r="FB10" s="3">
        <v>50</v>
      </c>
      <c r="FC10" t="s">
        <v>1</v>
      </c>
      <c r="FD10" t="s">
        <v>1</v>
      </c>
      <c r="FE10" t="s">
        <v>1</v>
      </c>
      <c r="FF10" t="s">
        <v>17</v>
      </c>
      <c r="FG10" t="s">
        <v>1</v>
      </c>
      <c r="FH10" t="s">
        <v>1</v>
      </c>
      <c r="FI10" t="s">
        <v>1</v>
      </c>
      <c r="FJ10" t="s">
        <v>1</v>
      </c>
      <c r="FK10" s="7">
        <v>46120.541759259257</v>
      </c>
      <c r="FL10" t="s">
        <v>1</v>
      </c>
      <c r="FM10" t="s">
        <v>1</v>
      </c>
      <c r="FN10" t="s">
        <v>1</v>
      </c>
      <c r="FO10" s="19">
        <v>-102872</v>
      </c>
      <c r="FP10" s="4">
        <v>0</v>
      </c>
      <c r="FQ10" s="19">
        <v>-102872</v>
      </c>
      <c r="FR10" s="4">
        <v>0</v>
      </c>
      <c r="FS10" s="4">
        <v>0</v>
      </c>
      <c r="FT10" s="4">
        <v>0</v>
      </c>
      <c r="FU10" s="2">
        <v>46120</v>
      </c>
      <c r="FV10" t="s">
        <v>1</v>
      </c>
      <c r="FW10" s="4">
        <v>0</v>
      </c>
      <c r="FX10" t="s">
        <v>1</v>
      </c>
      <c r="FY10" t="s">
        <v>1</v>
      </c>
      <c r="FZ10" s="4">
        <v>0</v>
      </c>
      <c r="GA10" s="4">
        <v>0</v>
      </c>
      <c r="GB10" t="s">
        <v>2070</v>
      </c>
      <c r="GC10" t="str">
        <f>RIGHT(Data_FAGLL03[[#This Row],[Payment reference]],8)</f>
        <v/>
      </c>
      <c r="GD10" t="str">
        <f>IF(Data_FAGLL03[[#This Row],[Billing]]&lt;&gt;"",_xlfn.XLOOKUP(Data_FAGLL03[[#This Row],[Billing]],MD_BILLING_SO[BILIING],MD_BILLING_SO[SO-EDITED]),"")</f>
        <v/>
      </c>
      <c r="GE10" s="18">
        <f>IF(SUBSTITUTE(Data_FAGLL03[[#This Row],[Eff.exchange rate]],",","")/100000=1,1,SUBSTITUTE(Data_FAGLL03[[#This Row],[Eff.exchange rate]],",","")/100)</f>
        <v>1</v>
      </c>
      <c r="GF10" s="17">
        <f>IF(Data_FAGLL03[[#This Row],[Material]]&lt;&gt;"",IFERROR(Data_FAGLL03[[#This Row],[Amount in local currency]]/Data_FAGLL03[[#This Row],[Quantity_Original]],0),0)</f>
        <v>0</v>
      </c>
      <c r="GG10" s="18">
        <f>IF(Data_FAGLL03[[#This Row],[XK/NĐ]]="XK",Data_FAGLL03[[#This Row],[GB trung bình]]/Data_FAGLL03[[#This Row],[EXR]],0)*1000</f>
        <v>0</v>
      </c>
      <c r="GH10" s="18" cm="1">
        <f t="array" ref="GH10">IF(Data_FAGLL03[[#This Row],[Document currency]]&lt;&gt;"VND",Data_FAGLL03[[#This Row],[Amount in doc. curr.]],Data_FAGLL03[[#This Row],[Amount in local currency]]/EXR)</f>
        <v>-3.9186134136334134</v>
      </c>
      <c r="GI10" s="10">
        <f>Data_FAGLL03[[#This Row],[Time Stamp]]+TIME(7,0,0)</f>
        <v>46120.833425925921</v>
      </c>
      <c r="GJ10" s="18">
        <f>MONTH(Data_FAGLL03[[#This Row],[Time Stamp_VN]])</f>
        <v>4</v>
      </c>
      <c r="GK10">
        <f>DAY(Data_FAGLL03[[#This Row],[Time Stamp_VN]])</f>
        <v>8</v>
      </c>
      <c r="GL10" t="str">
        <f>TEXT(Data_FAGLL03[[#This Row],[Tháng]],"00")&amp;" | "&amp;TEXT(Data_FAGLL03[[#This Row],[Ngày]],"00")</f>
        <v>04 | 08</v>
      </c>
      <c r="GM10" s="18">
        <f>IF(Data_FAGLL03[[#This Row],[Text]]="",Data_FAGLL03[[#This Row],[Quantity_Original]],0)</f>
        <v>0</v>
      </c>
      <c r="GN10" s="18" t="str">
        <f>IF(Data_FAGLL03[[#This Row],[Quantity_Edited]]&lt;&gt;0,Data_FAGLL03[[#This Row],[Offsetting acct no.]]&amp;" | "&amp;Data_FAGLL03[[#This Row],[Material]],"")</f>
        <v/>
      </c>
      <c r="GO10" t="str">
        <f>IF(LEFT(Data_FAGLL03[[#This Row],[Offsetting acct no.]],1)="1","NĐ",IF(LEFT(Data_FAGLL03[[#This Row],[Offsetting acct no.]],1)="2","XK","Khác"))</f>
        <v>NĐ</v>
      </c>
      <c r="GP10" t="str">
        <f>IF(Data_FAGLL03[[#This Row],[Material]]&lt;&gt;"",_xlfn.XLOOKUP(Data_FAGLL03[[#This Row],[Material]],MD_SKU[Mã SKU],MD_SKU[Tên SKU]),"")</f>
        <v/>
      </c>
      <c r="GQ10" t="str">
        <f>IF(Data_FAGLL03[[#This Row],[Material]]&lt;&gt;"",_xlfn.XLOOKUP(Data_FAGLL03[[#This Row],[Material]],MD_SKU[Mã SKU],MD_SKU[Nhóm SP 1]),"")</f>
        <v/>
      </c>
      <c r="GR10" t="str">
        <f>IF(Data_FAGLL03[[#This Row],[Material]]&lt;&gt;"",_xlfn.XLOOKUP(Data_FAGLL03[[#This Row],[Material]],MD_SKU[Mã SKU],MD_SKU[Nhóm SP 2]),"")</f>
        <v/>
      </c>
      <c r="GS10" t="str">
        <f>IF(Data_FAGLL03[[#This Row],[Material]]&lt;&gt;"",_xlfn.XLOOKUP(Data_FAGLL03[[#This Row],[Material]],MD_SKU[Mã SKU],MD_SKU[Nhóm SP 3]),"")</f>
        <v/>
      </c>
      <c r="GT10" t="str">
        <f>IF(Data_FAGLL03[[#This Row],[Material]]&lt;&gt;"",_xlfn.XLOOKUP(Data_FAGLL03[[#This Row],[Material]],MD_SKU[Mã SKU],MD_SKU[Nhóm SP 4]),"")</f>
        <v/>
      </c>
    </row>
    <row r="11" spans="1:202" x14ac:dyDescent="0.25">
      <c r="A11" t="s">
        <v>0</v>
      </c>
      <c r="B11" s="2">
        <v>46122</v>
      </c>
      <c r="C11" t="s">
        <v>2377</v>
      </c>
      <c r="D11" t="s">
        <v>1</v>
      </c>
      <c r="E11" t="s">
        <v>1</v>
      </c>
      <c r="F11" t="s">
        <v>2</v>
      </c>
      <c r="G11" t="s">
        <v>2</v>
      </c>
      <c r="H11" t="s">
        <v>2378</v>
      </c>
      <c r="I11" s="19">
        <v>-3800000</v>
      </c>
      <c r="J11" t="s">
        <v>2379</v>
      </c>
      <c r="K11" t="s">
        <v>2380</v>
      </c>
      <c r="L11" t="s">
        <v>3</v>
      </c>
      <c r="M11" t="s">
        <v>41</v>
      </c>
      <c r="N11" t="s">
        <v>254</v>
      </c>
      <c r="O11" t="s">
        <v>2381</v>
      </c>
      <c r="P11" t="s">
        <v>2382</v>
      </c>
      <c r="Q11" t="s">
        <v>2</v>
      </c>
      <c r="R11" t="s">
        <v>5</v>
      </c>
      <c r="S11" t="s">
        <v>1</v>
      </c>
      <c r="T11" s="3">
        <v>-3800000</v>
      </c>
      <c r="U11" s="19">
        <v>-3800000</v>
      </c>
      <c r="V11" s="3">
        <v>-3800000</v>
      </c>
      <c r="W11" s="3">
        <v>-3800000</v>
      </c>
      <c r="X11" s="4">
        <v>0</v>
      </c>
      <c r="Y11" s="4">
        <v>0</v>
      </c>
      <c r="Z11" s="3">
        <v>0</v>
      </c>
      <c r="AA11" s="3">
        <v>0</v>
      </c>
      <c r="AB11" t="s">
        <v>1</v>
      </c>
      <c r="AC11" t="s">
        <v>1</v>
      </c>
      <c r="AD11" s="2"/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6</v>
      </c>
      <c r="AK11" s="4">
        <v>0</v>
      </c>
      <c r="AL11" t="s">
        <v>1</v>
      </c>
      <c r="AM11" s="5" t="s">
        <v>1</v>
      </c>
      <c r="AN11" t="s">
        <v>1</v>
      </c>
      <c r="AO11" s="2"/>
      <c r="AP11" t="s">
        <v>1</v>
      </c>
      <c r="AQ11" t="s">
        <v>1</v>
      </c>
      <c r="AR11" s="3">
        <v>0</v>
      </c>
      <c r="AS11" t="s">
        <v>1</v>
      </c>
      <c r="AT11" t="s">
        <v>7</v>
      </c>
      <c r="AU11" t="s">
        <v>1</v>
      </c>
      <c r="AV11" t="s">
        <v>1</v>
      </c>
      <c r="AW11" t="s">
        <v>8</v>
      </c>
      <c r="AX11" t="s">
        <v>8</v>
      </c>
      <c r="AY11" t="s">
        <v>1</v>
      </c>
      <c r="AZ11" s="4">
        <v>0</v>
      </c>
      <c r="BA11" t="s">
        <v>1</v>
      </c>
      <c r="BB11" s="3">
        <v>0</v>
      </c>
      <c r="BC11" s="3">
        <v>0</v>
      </c>
      <c r="BD11" s="3">
        <v>0</v>
      </c>
      <c r="BE11" t="s">
        <v>20</v>
      </c>
      <c r="BF11" t="s">
        <v>1</v>
      </c>
      <c r="BG11" s="4">
        <v>0</v>
      </c>
      <c r="BH11" s="4">
        <v>0</v>
      </c>
      <c r="BI11" s="6">
        <v>0</v>
      </c>
      <c r="BJ11" s="6">
        <v>0</v>
      </c>
      <c r="BK11" t="s">
        <v>1</v>
      </c>
      <c r="BL11" t="s">
        <v>1</v>
      </c>
      <c r="BM11" t="s">
        <v>1</v>
      </c>
      <c r="BN11" t="s">
        <v>9</v>
      </c>
      <c r="BO11" s="2">
        <v>46122</v>
      </c>
      <c r="BP11" t="s">
        <v>2383</v>
      </c>
      <c r="BQ11" t="s">
        <v>2377</v>
      </c>
      <c r="BR11" t="s">
        <v>21</v>
      </c>
      <c r="BS11" t="s">
        <v>1</v>
      </c>
      <c r="BT11" t="s">
        <v>1</v>
      </c>
      <c r="BU11" t="s">
        <v>1</v>
      </c>
      <c r="BV11" t="s">
        <v>1</v>
      </c>
      <c r="BW11" t="s">
        <v>7</v>
      </c>
      <c r="BX11" t="s">
        <v>10</v>
      </c>
      <c r="BY11" s="2"/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254</v>
      </c>
      <c r="CJ11" s="3">
        <v>-3800000</v>
      </c>
      <c r="CK11" t="s">
        <v>9</v>
      </c>
      <c r="CL11" t="s">
        <v>11</v>
      </c>
      <c r="CM11" t="s">
        <v>1</v>
      </c>
      <c r="CN11" s="4">
        <v>0</v>
      </c>
      <c r="CO11" t="s">
        <v>7</v>
      </c>
      <c r="CP11" t="s">
        <v>7</v>
      </c>
      <c r="CQ11" t="s">
        <v>7</v>
      </c>
      <c r="CR11" t="s">
        <v>7</v>
      </c>
      <c r="CS11" s="4">
        <v>0</v>
      </c>
      <c r="CT11" t="s">
        <v>2377</v>
      </c>
      <c r="CU11" t="s">
        <v>7</v>
      </c>
      <c r="CV11" t="s">
        <v>1</v>
      </c>
      <c r="CW11" s="2"/>
      <c r="CX11" t="s">
        <v>12</v>
      </c>
      <c r="CY11" t="s">
        <v>1</v>
      </c>
      <c r="CZ11" t="s">
        <v>13</v>
      </c>
      <c r="DA11" t="s">
        <v>1</v>
      </c>
      <c r="DB11" t="s">
        <v>9</v>
      </c>
      <c r="DC11" t="s">
        <v>9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s="2"/>
      <c r="DJ11" t="s">
        <v>1</v>
      </c>
      <c r="DK11" t="s">
        <v>14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s="2"/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7</v>
      </c>
      <c r="ED11" t="s">
        <v>1</v>
      </c>
      <c r="EE11" t="s">
        <v>1</v>
      </c>
      <c r="EF11" t="s">
        <v>22</v>
      </c>
      <c r="EG11" t="s">
        <v>41</v>
      </c>
      <c r="EH11" t="s">
        <v>15</v>
      </c>
      <c r="EI11" t="s">
        <v>1</v>
      </c>
      <c r="EJ11" s="6">
        <v>0</v>
      </c>
      <c r="EK11" t="s">
        <v>1</v>
      </c>
      <c r="EL11" t="s">
        <v>1</v>
      </c>
      <c r="EM11" t="s">
        <v>1</v>
      </c>
      <c r="EN11" t="s">
        <v>1</v>
      </c>
      <c r="EO11" s="2"/>
      <c r="EP11" t="s">
        <v>2384</v>
      </c>
      <c r="EQ11" t="s">
        <v>1</v>
      </c>
      <c r="ER11" t="s">
        <v>1</v>
      </c>
      <c r="ES11" t="s">
        <v>1</v>
      </c>
      <c r="ET11" t="s">
        <v>16</v>
      </c>
      <c r="EU11" t="s">
        <v>1</v>
      </c>
      <c r="EV11" t="s">
        <v>1</v>
      </c>
      <c r="EW11" t="s">
        <v>7</v>
      </c>
      <c r="EX11" t="s">
        <v>7</v>
      </c>
      <c r="EY11" t="s">
        <v>1</v>
      </c>
      <c r="EZ11" t="s">
        <v>1</v>
      </c>
      <c r="FA11" t="s">
        <v>1</v>
      </c>
      <c r="FB11" s="3">
        <v>50</v>
      </c>
      <c r="FC11" t="s">
        <v>1</v>
      </c>
      <c r="FD11" t="s">
        <v>1</v>
      </c>
      <c r="FE11" t="s">
        <v>1</v>
      </c>
      <c r="FF11" t="s">
        <v>17</v>
      </c>
      <c r="FG11" t="s">
        <v>1</v>
      </c>
      <c r="FH11" t="s">
        <v>1</v>
      </c>
      <c r="FI11" t="s">
        <v>1</v>
      </c>
      <c r="FJ11" t="s">
        <v>1</v>
      </c>
      <c r="FK11" s="7">
        <v>46122.517534722225</v>
      </c>
      <c r="FL11" t="s">
        <v>1</v>
      </c>
      <c r="FM11" t="s">
        <v>1</v>
      </c>
      <c r="FN11" t="s">
        <v>1</v>
      </c>
      <c r="FO11" s="19">
        <v>-3800000</v>
      </c>
      <c r="FP11" s="4">
        <v>0</v>
      </c>
      <c r="FQ11" s="19">
        <v>-3800000</v>
      </c>
      <c r="FR11" s="4">
        <v>0</v>
      </c>
      <c r="FS11" s="4">
        <v>0</v>
      </c>
      <c r="FT11" s="4">
        <v>0</v>
      </c>
      <c r="FU11" s="2">
        <v>46122</v>
      </c>
      <c r="FV11" t="s">
        <v>1</v>
      </c>
      <c r="FW11" s="4">
        <v>0</v>
      </c>
      <c r="FX11" t="s">
        <v>1</v>
      </c>
      <c r="FY11" t="s">
        <v>1</v>
      </c>
      <c r="FZ11" s="4">
        <v>0</v>
      </c>
      <c r="GA11" s="4">
        <v>0</v>
      </c>
      <c r="GB11" t="s">
        <v>2070</v>
      </c>
      <c r="GC11" t="str">
        <f>RIGHT(Data_FAGLL03[[#This Row],[Payment reference]],8)</f>
        <v/>
      </c>
      <c r="GD11" t="str">
        <f>IF(Data_FAGLL03[[#This Row],[Billing]]&lt;&gt;"",_xlfn.XLOOKUP(Data_FAGLL03[[#This Row],[Billing]],MD_BILLING_SO[BILIING],MD_BILLING_SO[SO-EDITED]),"")</f>
        <v/>
      </c>
      <c r="GE11" s="18">
        <f>IF(SUBSTITUTE(Data_FAGLL03[[#This Row],[Eff.exchange rate]],",","")/100000=1,1,SUBSTITUTE(Data_FAGLL03[[#This Row],[Eff.exchange rate]],",","")/100)</f>
        <v>1</v>
      </c>
      <c r="GF11" s="17">
        <f>IF(Data_FAGLL03[[#This Row],[Material]]&lt;&gt;"",IFERROR(Data_FAGLL03[[#This Row],[Amount in local currency]]/Data_FAGLL03[[#This Row],[Quantity_Original]],0),0)</f>
        <v>0</v>
      </c>
      <c r="GG11" s="18">
        <f>IF(Data_FAGLL03[[#This Row],[XK/NĐ]]="XK",Data_FAGLL03[[#This Row],[GB trung bình]]/Data_FAGLL03[[#This Row],[EXR]],0)*1000</f>
        <v>0</v>
      </c>
      <c r="GH11" s="18" cm="1">
        <f t="array" ref="GH11">IF(Data_FAGLL03[[#This Row],[Document currency]]&lt;&gt;"VND",Data_FAGLL03[[#This Row],[Amount in doc. curr.]],Data_FAGLL03[[#This Row],[Amount in local currency]]/EXR)</f>
        <v>-144.75008721330363</v>
      </c>
      <c r="GI11" s="10">
        <f>Data_FAGLL03[[#This Row],[Time Stamp]]+TIME(7,0,0)</f>
        <v>46122.809201388889</v>
      </c>
      <c r="GJ11" s="18">
        <f>MONTH(Data_FAGLL03[[#This Row],[Time Stamp_VN]])</f>
        <v>4</v>
      </c>
      <c r="GK11">
        <f>DAY(Data_FAGLL03[[#This Row],[Time Stamp_VN]])</f>
        <v>10</v>
      </c>
      <c r="GL11" t="str">
        <f>TEXT(Data_FAGLL03[[#This Row],[Tháng]],"00")&amp;" | "&amp;TEXT(Data_FAGLL03[[#This Row],[Ngày]],"00")</f>
        <v>04 | 10</v>
      </c>
      <c r="GM11" s="18">
        <f>IF(Data_FAGLL03[[#This Row],[Text]]="",Data_FAGLL03[[#This Row],[Quantity_Original]],0)</f>
        <v>0</v>
      </c>
      <c r="GN11" s="18" t="str">
        <f>IF(Data_FAGLL03[[#This Row],[Quantity_Edited]]&lt;&gt;0,Data_FAGLL03[[#This Row],[Offsetting acct no.]]&amp;" | "&amp;Data_FAGLL03[[#This Row],[Material]],"")</f>
        <v/>
      </c>
      <c r="GO11" t="str">
        <f>IF(LEFT(Data_FAGLL03[[#This Row],[Offsetting acct no.]],1)="1","NĐ",IF(LEFT(Data_FAGLL03[[#This Row],[Offsetting acct no.]],1)="2","XK","Khác"))</f>
        <v>NĐ</v>
      </c>
      <c r="GP11" t="str">
        <f>IF(Data_FAGLL03[[#This Row],[Material]]&lt;&gt;"",_xlfn.XLOOKUP(Data_FAGLL03[[#This Row],[Material]],MD_SKU[Mã SKU],MD_SKU[Tên SKU]),"")</f>
        <v/>
      </c>
      <c r="GQ11" t="str">
        <f>IF(Data_FAGLL03[[#This Row],[Material]]&lt;&gt;"",_xlfn.XLOOKUP(Data_FAGLL03[[#This Row],[Material]],MD_SKU[Mã SKU],MD_SKU[Nhóm SP 1]),"")</f>
        <v/>
      </c>
      <c r="GR11" t="str">
        <f>IF(Data_FAGLL03[[#This Row],[Material]]&lt;&gt;"",_xlfn.XLOOKUP(Data_FAGLL03[[#This Row],[Material]],MD_SKU[Mã SKU],MD_SKU[Nhóm SP 2]),"")</f>
        <v/>
      </c>
      <c r="GS11" t="str">
        <f>IF(Data_FAGLL03[[#This Row],[Material]]&lt;&gt;"",_xlfn.XLOOKUP(Data_FAGLL03[[#This Row],[Material]],MD_SKU[Mã SKU],MD_SKU[Nhóm SP 3]),"")</f>
        <v/>
      </c>
      <c r="GT11" t="str">
        <f>IF(Data_FAGLL03[[#This Row],[Material]]&lt;&gt;"",_xlfn.XLOOKUP(Data_FAGLL03[[#This Row],[Material]],MD_SKU[Mã SKU],MD_SKU[Nhóm SP 4]),"")</f>
        <v/>
      </c>
    </row>
    <row r="12" spans="1:202" x14ac:dyDescent="0.25">
      <c r="A12" t="s">
        <v>0</v>
      </c>
      <c r="B12" s="2">
        <v>46122</v>
      </c>
      <c r="C12" t="s">
        <v>2385</v>
      </c>
      <c r="D12" t="s">
        <v>1</v>
      </c>
      <c r="E12" t="s">
        <v>1</v>
      </c>
      <c r="F12" t="s">
        <v>2</v>
      </c>
      <c r="G12" t="s">
        <v>2</v>
      </c>
      <c r="H12" t="s">
        <v>18</v>
      </c>
      <c r="I12" s="19">
        <v>-8700</v>
      </c>
      <c r="J12" t="s">
        <v>19</v>
      </c>
      <c r="K12" t="s">
        <v>2386</v>
      </c>
      <c r="L12" t="s">
        <v>3</v>
      </c>
      <c r="M12" t="s">
        <v>41</v>
      </c>
      <c r="N12" t="s">
        <v>254</v>
      </c>
      <c r="O12" t="s">
        <v>2387</v>
      </c>
      <c r="P12" t="s">
        <v>2388</v>
      </c>
      <c r="Q12" t="s">
        <v>2</v>
      </c>
      <c r="R12" t="s">
        <v>5</v>
      </c>
      <c r="S12" t="s">
        <v>1</v>
      </c>
      <c r="T12" s="3">
        <v>-8700</v>
      </c>
      <c r="U12" s="19">
        <v>-8700</v>
      </c>
      <c r="V12" s="3">
        <v>-8700</v>
      </c>
      <c r="W12" s="3">
        <v>-8700</v>
      </c>
      <c r="X12" s="4">
        <v>0</v>
      </c>
      <c r="Y12" s="4">
        <v>0</v>
      </c>
      <c r="Z12" s="3">
        <v>0</v>
      </c>
      <c r="AA12" s="3">
        <v>0</v>
      </c>
      <c r="AB12" t="s">
        <v>1</v>
      </c>
      <c r="AC12" t="s">
        <v>1</v>
      </c>
      <c r="AD12" s="2"/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6</v>
      </c>
      <c r="AK12" s="4">
        <v>0</v>
      </c>
      <c r="AL12" t="s">
        <v>1</v>
      </c>
      <c r="AM12" s="5" t="s">
        <v>1</v>
      </c>
      <c r="AN12" t="s">
        <v>1</v>
      </c>
      <c r="AO12" s="2"/>
      <c r="AP12" t="s">
        <v>1</v>
      </c>
      <c r="AQ12" t="s">
        <v>1</v>
      </c>
      <c r="AR12" s="3">
        <v>0</v>
      </c>
      <c r="AS12" t="s">
        <v>1</v>
      </c>
      <c r="AT12" t="s">
        <v>7</v>
      </c>
      <c r="AU12" t="s">
        <v>1</v>
      </c>
      <c r="AV12" t="s">
        <v>1</v>
      </c>
      <c r="AW12" t="s">
        <v>8</v>
      </c>
      <c r="AX12" t="s">
        <v>8</v>
      </c>
      <c r="AY12" t="s">
        <v>1</v>
      </c>
      <c r="AZ12" s="4">
        <v>0</v>
      </c>
      <c r="BA12" t="s">
        <v>1</v>
      </c>
      <c r="BB12" s="3">
        <v>0</v>
      </c>
      <c r="BC12" s="3">
        <v>0</v>
      </c>
      <c r="BD12" s="3">
        <v>0</v>
      </c>
      <c r="BE12" t="s">
        <v>20</v>
      </c>
      <c r="BF12" t="s">
        <v>1</v>
      </c>
      <c r="BG12" s="4">
        <v>0</v>
      </c>
      <c r="BH12" s="4">
        <v>0</v>
      </c>
      <c r="BI12" s="6">
        <v>0</v>
      </c>
      <c r="BJ12" s="6">
        <v>0</v>
      </c>
      <c r="BK12" t="s">
        <v>1</v>
      </c>
      <c r="BL12" t="s">
        <v>1</v>
      </c>
      <c r="BM12" t="s">
        <v>1</v>
      </c>
      <c r="BN12" t="s">
        <v>9</v>
      </c>
      <c r="BO12" s="2">
        <v>46122</v>
      </c>
      <c r="BP12" t="s">
        <v>2389</v>
      </c>
      <c r="BQ12" t="s">
        <v>2385</v>
      </c>
      <c r="BR12" t="s">
        <v>21</v>
      </c>
      <c r="BS12" t="s">
        <v>1</v>
      </c>
      <c r="BT12" t="s">
        <v>1</v>
      </c>
      <c r="BU12" t="s">
        <v>1</v>
      </c>
      <c r="BV12" t="s">
        <v>1</v>
      </c>
      <c r="BW12" t="s">
        <v>7</v>
      </c>
      <c r="BX12" t="s">
        <v>10</v>
      </c>
      <c r="BY12" s="2"/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254</v>
      </c>
      <c r="CJ12" s="3">
        <v>-8700</v>
      </c>
      <c r="CK12" t="s">
        <v>9</v>
      </c>
      <c r="CL12" t="s">
        <v>11</v>
      </c>
      <c r="CM12" t="s">
        <v>1</v>
      </c>
      <c r="CN12" s="4">
        <v>0</v>
      </c>
      <c r="CO12" t="s">
        <v>7</v>
      </c>
      <c r="CP12" t="s">
        <v>7</v>
      </c>
      <c r="CQ12" t="s">
        <v>7</v>
      </c>
      <c r="CR12" t="s">
        <v>7</v>
      </c>
      <c r="CS12" s="4">
        <v>0</v>
      </c>
      <c r="CT12" t="s">
        <v>2385</v>
      </c>
      <c r="CU12" t="s">
        <v>7</v>
      </c>
      <c r="CV12" t="s">
        <v>1</v>
      </c>
      <c r="CW12" s="2"/>
      <c r="CX12" t="s">
        <v>12</v>
      </c>
      <c r="CY12" t="s">
        <v>1</v>
      </c>
      <c r="CZ12" t="s">
        <v>13</v>
      </c>
      <c r="DA12" t="s">
        <v>1</v>
      </c>
      <c r="DB12" t="s">
        <v>9</v>
      </c>
      <c r="DC12" t="s">
        <v>9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s="2"/>
      <c r="DJ12" t="s">
        <v>1</v>
      </c>
      <c r="DK12" t="s">
        <v>14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s="2"/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7</v>
      </c>
      <c r="ED12" t="s">
        <v>1</v>
      </c>
      <c r="EE12" t="s">
        <v>1</v>
      </c>
      <c r="EF12" t="s">
        <v>22</v>
      </c>
      <c r="EG12" t="s">
        <v>41</v>
      </c>
      <c r="EH12" t="s">
        <v>15</v>
      </c>
      <c r="EI12" t="s">
        <v>1</v>
      </c>
      <c r="EJ12" s="6">
        <v>0</v>
      </c>
      <c r="EK12" t="s">
        <v>1</v>
      </c>
      <c r="EL12" t="s">
        <v>1</v>
      </c>
      <c r="EM12" t="s">
        <v>1</v>
      </c>
      <c r="EN12" t="s">
        <v>1</v>
      </c>
      <c r="EO12" s="2"/>
      <c r="EP12" t="s">
        <v>2390</v>
      </c>
      <c r="EQ12" t="s">
        <v>1</v>
      </c>
      <c r="ER12" t="s">
        <v>1</v>
      </c>
      <c r="ES12" t="s">
        <v>1</v>
      </c>
      <c r="ET12" t="s">
        <v>16</v>
      </c>
      <c r="EU12" t="s">
        <v>1</v>
      </c>
      <c r="EV12" t="s">
        <v>1</v>
      </c>
      <c r="EW12" t="s">
        <v>7</v>
      </c>
      <c r="EX12" t="s">
        <v>7</v>
      </c>
      <c r="EY12" t="s">
        <v>1</v>
      </c>
      <c r="EZ12" t="s">
        <v>1</v>
      </c>
      <c r="FA12" t="s">
        <v>1</v>
      </c>
      <c r="FB12" s="3">
        <v>50</v>
      </c>
      <c r="FC12" t="s">
        <v>1</v>
      </c>
      <c r="FD12" t="s">
        <v>1</v>
      </c>
      <c r="FE12" t="s">
        <v>1</v>
      </c>
      <c r="FF12" t="s">
        <v>17</v>
      </c>
      <c r="FG12" t="s">
        <v>1</v>
      </c>
      <c r="FH12" t="s">
        <v>1</v>
      </c>
      <c r="FI12" t="s">
        <v>1</v>
      </c>
      <c r="FJ12" t="s">
        <v>1</v>
      </c>
      <c r="FK12" s="7">
        <v>46122.520532407405</v>
      </c>
      <c r="FL12" t="s">
        <v>1</v>
      </c>
      <c r="FM12" t="s">
        <v>1</v>
      </c>
      <c r="FN12" t="s">
        <v>1</v>
      </c>
      <c r="FO12" s="19">
        <v>-8700</v>
      </c>
      <c r="FP12" s="4">
        <v>0</v>
      </c>
      <c r="FQ12" s="19">
        <v>-8700</v>
      </c>
      <c r="FR12" s="4">
        <v>0</v>
      </c>
      <c r="FS12" s="4">
        <v>0</v>
      </c>
      <c r="FT12" s="4">
        <v>0</v>
      </c>
      <c r="FU12" s="2">
        <v>46122</v>
      </c>
      <c r="FV12" t="s">
        <v>1</v>
      </c>
      <c r="FW12" s="4">
        <v>0</v>
      </c>
      <c r="FX12" t="s">
        <v>1</v>
      </c>
      <c r="FY12" t="s">
        <v>1</v>
      </c>
      <c r="FZ12" s="4">
        <v>0</v>
      </c>
      <c r="GA12" s="4">
        <v>0</v>
      </c>
      <c r="GB12" t="s">
        <v>2070</v>
      </c>
      <c r="GC12" t="str">
        <f>RIGHT(Data_FAGLL03[[#This Row],[Payment reference]],8)</f>
        <v/>
      </c>
      <c r="GD12" t="str">
        <f>IF(Data_FAGLL03[[#This Row],[Billing]]&lt;&gt;"",_xlfn.XLOOKUP(Data_FAGLL03[[#This Row],[Billing]],MD_BILLING_SO[BILIING],MD_BILLING_SO[SO-EDITED]),"")</f>
        <v/>
      </c>
      <c r="GE12" s="18">
        <f>IF(SUBSTITUTE(Data_FAGLL03[[#This Row],[Eff.exchange rate]],",","")/100000=1,1,SUBSTITUTE(Data_FAGLL03[[#This Row],[Eff.exchange rate]],",","")/100)</f>
        <v>1</v>
      </c>
      <c r="GF12" s="17">
        <f>IF(Data_FAGLL03[[#This Row],[Material]]&lt;&gt;"",IFERROR(Data_FAGLL03[[#This Row],[Amount in local currency]]/Data_FAGLL03[[#This Row],[Quantity_Original]],0),0)</f>
        <v>0</v>
      </c>
      <c r="GG12" s="18">
        <f>IF(Data_FAGLL03[[#This Row],[XK/NĐ]]="XK",Data_FAGLL03[[#This Row],[GB trung bình]]/Data_FAGLL03[[#This Row],[EXR]],0)*1000</f>
        <v>0</v>
      </c>
      <c r="GH12" s="18" cm="1">
        <f t="array" ref="GH12">IF(Data_FAGLL03[[#This Row],[Document currency]]&lt;&gt;"VND",Data_FAGLL03[[#This Row],[Amount in doc. curr.]],Data_FAGLL03[[#This Row],[Amount in local currency]]/EXR)</f>
        <v>-0.33140151546203722</v>
      </c>
      <c r="GI12" s="10">
        <f>Data_FAGLL03[[#This Row],[Time Stamp]]+TIME(7,0,0)</f>
        <v>46122.812199074069</v>
      </c>
      <c r="GJ12" s="18">
        <f>MONTH(Data_FAGLL03[[#This Row],[Time Stamp_VN]])</f>
        <v>4</v>
      </c>
      <c r="GK12">
        <f>DAY(Data_FAGLL03[[#This Row],[Time Stamp_VN]])</f>
        <v>10</v>
      </c>
      <c r="GL12" t="str">
        <f>TEXT(Data_FAGLL03[[#This Row],[Tháng]],"00")&amp;" | "&amp;TEXT(Data_FAGLL03[[#This Row],[Ngày]],"00")</f>
        <v>04 | 10</v>
      </c>
      <c r="GM12" s="18">
        <f>IF(Data_FAGLL03[[#This Row],[Text]]="",Data_FAGLL03[[#This Row],[Quantity_Original]],0)</f>
        <v>0</v>
      </c>
      <c r="GN12" s="18" t="str">
        <f>IF(Data_FAGLL03[[#This Row],[Quantity_Edited]]&lt;&gt;0,Data_FAGLL03[[#This Row],[Offsetting acct no.]]&amp;" | "&amp;Data_FAGLL03[[#This Row],[Material]],"")</f>
        <v/>
      </c>
      <c r="GO12" t="str">
        <f>IF(LEFT(Data_FAGLL03[[#This Row],[Offsetting acct no.]],1)="1","NĐ",IF(LEFT(Data_FAGLL03[[#This Row],[Offsetting acct no.]],1)="2","XK","Khác"))</f>
        <v>NĐ</v>
      </c>
      <c r="GP12" t="str">
        <f>IF(Data_FAGLL03[[#This Row],[Material]]&lt;&gt;"",_xlfn.XLOOKUP(Data_FAGLL03[[#This Row],[Material]],MD_SKU[Mã SKU],MD_SKU[Tên SKU]),"")</f>
        <v/>
      </c>
      <c r="GQ12" t="str">
        <f>IF(Data_FAGLL03[[#This Row],[Material]]&lt;&gt;"",_xlfn.XLOOKUP(Data_FAGLL03[[#This Row],[Material]],MD_SKU[Mã SKU],MD_SKU[Nhóm SP 1]),"")</f>
        <v/>
      </c>
      <c r="GR12" t="str">
        <f>IF(Data_FAGLL03[[#This Row],[Material]]&lt;&gt;"",_xlfn.XLOOKUP(Data_FAGLL03[[#This Row],[Material]],MD_SKU[Mã SKU],MD_SKU[Nhóm SP 2]),"")</f>
        <v/>
      </c>
      <c r="GS12" t="str">
        <f>IF(Data_FAGLL03[[#This Row],[Material]]&lt;&gt;"",_xlfn.XLOOKUP(Data_FAGLL03[[#This Row],[Material]],MD_SKU[Mã SKU],MD_SKU[Nhóm SP 3]),"")</f>
        <v/>
      </c>
      <c r="GT12" t="str">
        <f>IF(Data_FAGLL03[[#This Row],[Material]]&lt;&gt;"",_xlfn.XLOOKUP(Data_FAGLL03[[#This Row],[Material]],MD_SKU[Mã SKU],MD_SKU[Nhóm SP 4]),"")</f>
        <v/>
      </c>
    </row>
    <row r="13" spans="1:202" x14ac:dyDescent="0.25">
      <c r="A13" t="s">
        <v>0</v>
      </c>
      <c r="B13" s="2">
        <v>46113</v>
      </c>
      <c r="C13" t="s">
        <v>2102</v>
      </c>
      <c r="D13" t="s">
        <v>1</v>
      </c>
      <c r="E13" t="s">
        <v>1</v>
      </c>
      <c r="F13" t="s">
        <v>31</v>
      </c>
      <c r="G13" t="s">
        <v>31</v>
      </c>
      <c r="H13" t="s">
        <v>2022</v>
      </c>
      <c r="I13" s="19">
        <v>-696300000</v>
      </c>
      <c r="J13" t="s">
        <v>2023</v>
      </c>
      <c r="K13" t="s">
        <v>1</v>
      </c>
      <c r="L13" t="s">
        <v>39</v>
      </c>
      <c r="M13" t="s">
        <v>41</v>
      </c>
      <c r="N13" t="s">
        <v>254</v>
      </c>
      <c r="O13" t="s">
        <v>4</v>
      </c>
      <c r="P13" t="s">
        <v>2103</v>
      </c>
      <c r="Q13" t="s">
        <v>31</v>
      </c>
      <c r="R13" t="s">
        <v>5</v>
      </c>
      <c r="S13" t="s">
        <v>1</v>
      </c>
      <c r="T13" s="3">
        <v>-696300000</v>
      </c>
      <c r="U13" s="19">
        <v>-696300000</v>
      </c>
      <c r="V13" s="3">
        <v>-696300000</v>
      </c>
      <c r="W13" s="3">
        <v>-696300000</v>
      </c>
      <c r="X13" s="4">
        <v>0</v>
      </c>
      <c r="Y13" s="4">
        <v>0</v>
      </c>
      <c r="Z13" s="3">
        <v>0</v>
      </c>
      <c r="AA13" s="3">
        <v>0</v>
      </c>
      <c r="AB13" t="s">
        <v>1</v>
      </c>
      <c r="AC13" t="s">
        <v>24</v>
      </c>
      <c r="AD13" s="2"/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25</v>
      </c>
      <c r="AK13" s="4">
        <v>0</v>
      </c>
      <c r="AL13" t="s">
        <v>1</v>
      </c>
      <c r="AM13" s="5" t="s">
        <v>1</v>
      </c>
      <c r="AN13" t="s">
        <v>1</v>
      </c>
      <c r="AO13" s="2"/>
      <c r="AP13" t="s">
        <v>1</v>
      </c>
      <c r="AQ13" t="s">
        <v>1</v>
      </c>
      <c r="AR13" s="3">
        <v>0</v>
      </c>
      <c r="AS13" t="s">
        <v>1</v>
      </c>
      <c r="AT13" t="s">
        <v>7</v>
      </c>
      <c r="AU13" t="s">
        <v>1</v>
      </c>
      <c r="AV13" t="s">
        <v>1</v>
      </c>
      <c r="AW13" t="s">
        <v>8</v>
      </c>
      <c r="AX13" t="s">
        <v>8</v>
      </c>
      <c r="AY13" t="s">
        <v>1</v>
      </c>
      <c r="AZ13" s="4">
        <v>0</v>
      </c>
      <c r="BA13" t="s">
        <v>1</v>
      </c>
      <c r="BB13" s="3">
        <v>0</v>
      </c>
      <c r="BC13" s="3">
        <v>0</v>
      </c>
      <c r="BD13" s="3">
        <v>0</v>
      </c>
      <c r="BE13" t="s">
        <v>20</v>
      </c>
      <c r="BF13" t="s">
        <v>1</v>
      </c>
      <c r="BG13" s="4">
        <v>0</v>
      </c>
      <c r="BH13" s="4">
        <v>0</v>
      </c>
      <c r="BI13" s="6">
        <v>0</v>
      </c>
      <c r="BJ13" s="6">
        <v>0</v>
      </c>
      <c r="BK13" t="s">
        <v>1</v>
      </c>
      <c r="BL13" t="s">
        <v>1</v>
      </c>
      <c r="BM13" t="s">
        <v>1</v>
      </c>
      <c r="BN13" t="s">
        <v>9</v>
      </c>
      <c r="BO13" s="2">
        <v>46113</v>
      </c>
      <c r="BP13" t="s">
        <v>1</v>
      </c>
      <c r="BQ13" t="s">
        <v>2102</v>
      </c>
      <c r="BR13" t="s">
        <v>27</v>
      </c>
      <c r="BS13" t="s">
        <v>1</v>
      </c>
      <c r="BT13" t="s">
        <v>1</v>
      </c>
      <c r="BU13" t="s">
        <v>1</v>
      </c>
      <c r="BV13" t="s">
        <v>1</v>
      </c>
      <c r="BW13" t="s">
        <v>7</v>
      </c>
      <c r="BX13" t="s">
        <v>10</v>
      </c>
      <c r="BY13" s="2"/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254</v>
      </c>
      <c r="CJ13" s="3">
        <v>-696300000</v>
      </c>
      <c r="CK13" t="s">
        <v>9</v>
      </c>
      <c r="CL13" t="s">
        <v>11</v>
      </c>
      <c r="CM13" t="s">
        <v>1</v>
      </c>
      <c r="CN13" s="4">
        <v>0</v>
      </c>
      <c r="CO13" t="s">
        <v>7</v>
      </c>
      <c r="CP13" t="s">
        <v>7</v>
      </c>
      <c r="CQ13" t="s">
        <v>7</v>
      </c>
      <c r="CR13" t="s">
        <v>7</v>
      </c>
      <c r="CS13" s="4">
        <v>0</v>
      </c>
      <c r="CT13" t="s">
        <v>2102</v>
      </c>
      <c r="CU13" t="s">
        <v>7</v>
      </c>
      <c r="CV13" t="s">
        <v>1</v>
      </c>
      <c r="CW13" s="2"/>
      <c r="CX13" t="s">
        <v>12</v>
      </c>
      <c r="CY13" t="s">
        <v>1</v>
      </c>
      <c r="CZ13" t="s">
        <v>13</v>
      </c>
      <c r="DA13" t="s">
        <v>1</v>
      </c>
      <c r="DB13" t="s">
        <v>9</v>
      </c>
      <c r="DC13" t="s">
        <v>9</v>
      </c>
      <c r="DD13" t="s">
        <v>1</v>
      </c>
      <c r="DE13" t="s">
        <v>1</v>
      </c>
      <c r="DF13" t="s">
        <v>1</v>
      </c>
      <c r="DG13" t="s">
        <v>32</v>
      </c>
      <c r="DH13" t="s">
        <v>1</v>
      </c>
      <c r="DI13" s="2"/>
      <c r="DJ13" t="s">
        <v>1</v>
      </c>
      <c r="DK13" t="s">
        <v>14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s="2"/>
      <c r="DW13" t="s">
        <v>1</v>
      </c>
      <c r="DX13" t="s">
        <v>1</v>
      </c>
      <c r="DY13" t="s">
        <v>2104</v>
      </c>
      <c r="DZ13" t="s">
        <v>1</v>
      </c>
      <c r="EA13" t="s">
        <v>1</v>
      </c>
      <c r="EB13" t="s">
        <v>28</v>
      </c>
      <c r="EC13" t="s">
        <v>7</v>
      </c>
      <c r="ED13" t="s">
        <v>1</v>
      </c>
      <c r="EE13" t="s">
        <v>1</v>
      </c>
      <c r="EF13" t="s">
        <v>22</v>
      </c>
      <c r="EG13" t="s">
        <v>41</v>
      </c>
      <c r="EH13" t="s">
        <v>15</v>
      </c>
      <c r="EI13" t="s">
        <v>1</v>
      </c>
      <c r="EJ13" s="6">
        <v>-22000</v>
      </c>
      <c r="EK13" t="s">
        <v>1</v>
      </c>
      <c r="EL13" t="s">
        <v>1</v>
      </c>
      <c r="EM13" t="s">
        <v>1</v>
      </c>
      <c r="EN13" t="s">
        <v>1</v>
      </c>
      <c r="EO13" s="2"/>
      <c r="EP13" t="s">
        <v>2104</v>
      </c>
      <c r="EQ13" t="s">
        <v>1</v>
      </c>
      <c r="ER13" t="s">
        <v>1</v>
      </c>
      <c r="ES13" t="s">
        <v>1</v>
      </c>
      <c r="ET13" t="s">
        <v>29</v>
      </c>
      <c r="EU13" t="s">
        <v>1</v>
      </c>
      <c r="EV13" t="s">
        <v>1</v>
      </c>
      <c r="EW13" t="s">
        <v>7</v>
      </c>
      <c r="EX13" t="s">
        <v>7</v>
      </c>
      <c r="EY13" t="s">
        <v>1</v>
      </c>
      <c r="EZ13" t="s">
        <v>1</v>
      </c>
      <c r="FA13" t="s">
        <v>1</v>
      </c>
      <c r="FB13" s="3">
        <v>50</v>
      </c>
      <c r="FC13" t="s">
        <v>1</v>
      </c>
      <c r="FD13" t="s">
        <v>1</v>
      </c>
      <c r="FE13" t="s">
        <v>1</v>
      </c>
      <c r="FF13" t="s">
        <v>17</v>
      </c>
      <c r="FG13" t="s">
        <v>1</v>
      </c>
      <c r="FH13" t="s">
        <v>1</v>
      </c>
      <c r="FI13" t="s">
        <v>1</v>
      </c>
      <c r="FJ13" t="s">
        <v>1</v>
      </c>
      <c r="FK13" s="7">
        <v>46113.155173611114</v>
      </c>
      <c r="FL13" t="s">
        <v>1</v>
      </c>
      <c r="FM13" t="s">
        <v>1</v>
      </c>
      <c r="FN13" t="s">
        <v>1</v>
      </c>
      <c r="FO13" s="19">
        <v>-696300000</v>
      </c>
      <c r="FP13" s="4">
        <v>0</v>
      </c>
      <c r="FQ13" s="19">
        <v>-696300000</v>
      </c>
      <c r="FR13" s="4">
        <v>0</v>
      </c>
      <c r="FS13" s="4">
        <v>0</v>
      </c>
      <c r="FT13" s="4">
        <v>0</v>
      </c>
      <c r="FU13" s="2">
        <v>46113</v>
      </c>
      <c r="FV13" t="s">
        <v>1</v>
      </c>
      <c r="FW13" s="4">
        <v>0</v>
      </c>
      <c r="FX13" t="s">
        <v>1</v>
      </c>
      <c r="FY13" t="s">
        <v>1</v>
      </c>
      <c r="FZ13" s="4">
        <v>0</v>
      </c>
      <c r="GA13" s="4">
        <v>0</v>
      </c>
      <c r="GB13" t="s">
        <v>2070</v>
      </c>
      <c r="GC13" t="str">
        <f>RIGHT(Data_FAGLL03[[#This Row],[Payment reference]],8)</f>
        <v>91172511</v>
      </c>
      <c r="GD13" t="str">
        <f>IF(Data_FAGLL03[[#This Row],[Billing]]&lt;&gt;"",_xlfn.XLOOKUP(Data_FAGLL03[[#This Row],[Billing]],MD_BILLING_SO[BILIING],MD_BILLING_SO[SO-EDITED]),"")</f>
        <v>30030681</v>
      </c>
      <c r="GE13" s="18">
        <f>IF(SUBSTITUTE(Data_FAGLL03[[#This Row],[Eff.exchange rate]],",","")/100000=1,1,SUBSTITUTE(Data_FAGLL03[[#This Row],[Eff.exchange rate]],",","")/100)</f>
        <v>1</v>
      </c>
      <c r="GF13" s="17">
        <f>IF(Data_FAGLL03[[#This Row],[Material]]&lt;&gt;"",IFERROR(Data_FAGLL03[[#This Row],[Amount in local currency]]/Data_FAGLL03[[#This Row],[Quantity_Original]],0),0)</f>
        <v>31650</v>
      </c>
      <c r="GG13" s="18">
        <f>IF(Data_FAGLL03[[#This Row],[XK/NĐ]]="XK",Data_FAGLL03[[#This Row],[GB trung bình]]/Data_FAGLL03[[#This Row],[EXR]],0)*1000</f>
        <v>0</v>
      </c>
      <c r="GH13" s="18" cm="1">
        <f t="array" ref="GH13">IF(Data_FAGLL03[[#This Row],[Document currency]]&lt;&gt;"VND",Data_FAGLL03[[#This Row],[Amount in doc. curr.]],Data_FAGLL03[[#This Row],[Amount in local currency]]/EXR)</f>
        <v>-26523.548875427186</v>
      </c>
      <c r="GI13" s="10">
        <f>Data_FAGLL03[[#This Row],[Time Stamp]]+TIME(7,0,0)</f>
        <v>46113.446840277778</v>
      </c>
      <c r="GJ13" s="18">
        <f>MONTH(Data_FAGLL03[[#This Row],[Time Stamp_VN]])</f>
        <v>4</v>
      </c>
      <c r="GK13">
        <f>DAY(Data_FAGLL03[[#This Row],[Time Stamp_VN]])</f>
        <v>1</v>
      </c>
      <c r="GL13" t="str">
        <f>TEXT(Data_FAGLL03[[#This Row],[Tháng]],"00")&amp;" | "&amp;TEXT(Data_FAGLL03[[#This Row],[Ngày]],"00")</f>
        <v>04 | 01</v>
      </c>
      <c r="GM13" s="18">
        <f>IF(Data_FAGLL03[[#This Row],[Text]]="",Data_FAGLL03[[#This Row],[Quantity_Original]],0)</f>
        <v>-22000</v>
      </c>
      <c r="GN13" s="18" t="str">
        <f>IF(Data_FAGLL03[[#This Row],[Quantity_Edited]]&lt;&gt;0,Data_FAGLL03[[#This Row],[Offsetting acct no.]]&amp;" | "&amp;Data_FAGLL03[[#This Row],[Material]],"")</f>
        <v>105271 | 110000332</v>
      </c>
      <c r="GO13" t="str">
        <f>IF(LEFT(Data_FAGLL03[[#This Row],[Offsetting acct no.]],1)="1","NĐ",IF(LEFT(Data_FAGLL03[[#This Row],[Offsetting acct no.]],1)="2","XK","Khác"))</f>
        <v>NĐ</v>
      </c>
      <c r="GP13" t="str">
        <f>IF(Data_FAGLL03[[#This Row],[Material]]&lt;&gt;"",_xlfn.XLOOKUP(Data_FAGLL03[[#This Row],[Material]],MD_SKU[Mã SKU],MD_SKU[Tên SKU]),"")</f>
        <v>Hạt nhựa rPET iSS01084G</v>
      </c>
      <c r="GQ13" t="str">
        <f>IF(Data_FAGLL03[[#This Row],[Material]]&lt;&gt;"",_xlfn.XLOOKUP(Data_FAGLL03[[#This Row],[Material]],MD_SKU[Mã SKU],MD_SKU[Nhóm SP 1]),"")</f>
        <v>rPET</v>
      </c>
      <c r="GR13" t="str">
        <f>IF(Data_FAGLL03[[#This Row],[Material]]&lt;&gt;"",_xlfn.XLOOKUP(Data_FAGLL03[[#This Row],[Material]],MD_SKU[Mã SKU],MD_SKU[Nhóm SP 2]),"")</f>
        <v>rPET</v>
      </c>
      <c r="GS13" t="str">
        <f>IF(Data_FAGLL03[[#This Row],[Material]]&lt;&gt;"",_xlfn.XLOOKUP(Data_FAGLL03[[#This Row],[Material]],MD_SKU[Mã SKU],MD_SKU[Nhóm SP 3]),"")</f>
        <v>rPET</v>
      </c>
      <c r="GT13" t="str">
        <f>IF(Data_FAGLL03[[#This Row],[Material]]&lt;&gt;"",_xlfn.XLOOKUP(Data_FAGLL03[[#This Row],[Material]],MD_SKU[Mã SKU],MD_SKU[Nhóm SP 4]),"")</f>
        <v>Hạt rPET</v>
      </c>
    </row>
    <row r="14" spans="1:202" x14ac:dyDescent="0.25">
      <c r="A14" t="s">
        <v>0</v>
      </c>
      <c r="B14" s="2">
        <v>46113</v>
      </c>
      <c r="C14" t="s">
        <v>2105</v>
      </c>
      <c r="D14" t="s">
        <v>1</v>
      </c>
      <c r="E14" t="s">
        <v>1</v>
      </c>
      <c r="F14" t="s">
        <v>31</v>
      </c>
      <c r="G14" t="s">
        <v>31</v>
      </c>
      <c r="H14" t="s">
        <v>42</v>
      </c>
      <c r="I14" s="19">
        <v>-731302000</v>
      </c>
      <c r="J14" t="s">
        <v>43</v>
      </c>
      <c r="K14" t="s">
        <v>1</v>
      </c>
      <c r="L14" t="s">
        <v>39</v>
      </c>
      <c r="M14" t="s">
        <v>41</v>
      </c>
      <c r="N14" t="s">
        <v>254</v>
      </c>
      <c r="O14" t="s">
        <v>4</v>
      </c>
      <c r="P14" t="s">
        <v>2106</v>
      </c>
      <c r="Q14" t="s">
        <v>31</v>
      </c>
      <c r="R14" t="s">
        <v>5</v>
      </c>
      <c r="S14" t="s">
        <v>1</v>
      </c>
      <c r="T14" s="3">
        <v>-731302000</v>
      </c>
      <c r="U14" s="19">
        <v>-731302000</v>
      </c>
      <c r="V14" s="3">
        <v>-731302000</v>
      </c>
      <c r="W14" s="3">
        <v>-731302000</v>
      </c>
      <c r="X14" s="4">
        <v>0</v>
      </c>
      <c r="Y14" s="4">
        <v>0</v>
      </c>
      <c r="Z14" s="3">
        <v>0</v>
      </c>
      <c r="AA14" s="3">
        <v>0</v>
      </c>
      <c r="AB14" t="s">
        <v>1</v>
      </c>
      <c r="AC14" t="s">
        <v>24</v>
      </c>
      <c r="AD14" s="2"/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25</v>
      </c>
      <c r="AK14" s="4">
        <v>0</v>
      </c>
      <c r="AL14" t="s">
        <v>1</v>
      </c>
      <c r="AM14" s="5" t="s">
        <v>1</v>
      </c>
      <c r="AN14" t="s">
        <v>1</v>
      </c>
      <c r="AO14" s="2"/>
      <c r="AP14" t="s">
        <v>1</v>
      </c>
      <c r="AQ14" t="s">
        <v>1</v>
      </c>
      <c r="AR14" s="3">
        <v>0</v>
      </c>
      <c r="AS14" t="s">
        <v>1</v>
      </c>
      <c r="AT14" t="s">
        <v>7</v>
      </c>
      <c r="AU14" t="s">
        <v>1</v>
      </c>
      <c r="AV14" t="s">
        <v>1</v>
      </c>
      <c r="AW14" t="s">
        <v>8</v>
      </c>
      <c r="AX14" t="s">
        <v>8</v>
      </c>
      <c r="AY14" t="s">
        <v>1</v>
      </c>
      <c r="AZ14" s="4">
        <v>0</v>
      </c>
      <c r="BA14" t="s">
        <v>1</v>
      </c>
      <c r="BB14" s="3">
        <v>0</v>
      </c>
      <c r="BC14" s="3">
        <v>0</v>
      </c>
      <c r="BD14" s="3">
        <v>0</v>
      </c>
      <c r="BE14" t="s">
        <v>20</v>
      </c>
      <c r="BF14" t="s">
        <v>1</v>
      </c>
      <c r="BG14" s="4">
        <v>0</v>
      </c>
      <c r="BH14" s="4">
        <v>0</v>
      </c>
      <c r="BI14" s="6">
        <v>0</v>
      </c>
      <c r="BJ14" s="6">
        <v>0</v>
      </c>
      <c r="BK14" t="s">
        <v>1</v>
      </c>
      <c r="BL14" t="s">
        <v>1</v>
      </c>
      <c r="BM14" t="s">
        <v>1</v>
      </c>
      <c r="BN14" t="s">
        <v>9</v>
      </c>
      <c r="BO14" s="2">
        <v>46113</v>
      </c>
      <c r="BP14" t="s">
        <v>1</v>
      </c>
      <c r="BQ14" t="s">
        <v>2105</v>
      </c>
      <c r="BR14" t="s">
        <v>27</v>
      </c>
      <c r="BS14" t="s">
        <v>1</v>
      </c>
      <c r="BT14" t="s">
        <v>1</v>
      </c>
      <c r="BU14" t="s">
        <v>1</v>
      </c>
      <c r="BV14" t="s">
        <v>1</v>
      </c>
      <c r="BW14" t="s">
        <v>7</v>
      </c>
      <c r="BX14" t="s">
        <v>10</v>
      </c>
      <c r="BY14" s="2"/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254</v>
      </c>
      <c r="CJ14" s="3">
        <v>-731302000</v>
      </c>
      <c r="CK14" t="s">
        <v>9</v>
      </c>
      <c r="CL14" t="s">
        <v>11</v>
      </c>
      <c r="CM14" t="s">
        <v>1</v>
      </c>
      <c r="CN14" s="4">
        <v>0</v>
      </c>
      <c r="CO14" t="s">
        <v>7</v>
      </c>
      <c r="CP14" t="s">
        <v>7</v>
      </c>
      <c r="CQ14" t="s">
        <v>7</v>
      </c>
      <c r="CR14" t="s">
        <v>7</v>
      </c>
      <c r="CS14" s="4">
        <v>0</v>
      </c>
      <c r="CT14" t="s">
        <v>2105</v>
      </c>
      <c r="CU14" t="s">
        <v>7</v>
      </c>
      <c r="CV14" t="s">
        <v>1</v>
      </c>
      <c r="CW14" s="2"/>
      <c r="CX14" t="s">
        <v>12</v>
      </c>
      <c r="CY14" t="s">
        <v>1</v>
      </c>
      <c r="CZ14" t="s">
        <v>13</v>
      </c>
      <c r="DA14" t="s">
        <v>1</v>
      </c>
      <c r="DB14" t="s">
        <v>9</v>
      </c>
      <c r="DC14" t="s">
        <v>9</v>
      </c>
      <c r="DD14" t="s">
        <v>1</v>
      </c>
      <c r="DE14" t="s">
        <v>1</v>
      </c>
      <c r="DF14" t="s">
        <v>1</v>
      </c>
      <c r="DG14" t="s">
        <v>33</v>
      </c>
      <c r="DH14" t="s">
        <v>1</v>
      </c>
      <c r="DI14" s="2"/>
      <c r="DJ14" t="s">
        <v>1</v>
      </c>
      <c r="DK14" t="s">
        <v>14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s="2"/>
      <c r="DW14" t="s">
        <v>1</v>
      </c>
      <c r="DX14" t="s">
        <v>1</v>
      </c>
      <c r="DY14" t="s">
        <v>2107</v>
      </c>
      <c r="DZ14" t="s">
        <v>1</v>
      </c>
      <c r="EA14" t="s">
        <v>1</v>
      </c>
      <c r="EB14" t="s">
        <v>28</v>
      </c>
      <c r="EC14" t="s">
        <v>7</v>
      </c>
      <c r="ED14" t="s">
        <v>1</v>
      </c>
      <c r="EE14" t="s">
        <v>1</v>
      </c>
      <c r="EF14" t="s">
        <v>22</v>
      </c>
      <c r="EG14" t="s">
        <v>41</v>
      </c>
      <c r="EH14" t="s">
        <v>15</v>
      </c>
      <c r="EI14" t="s">
        <v>1</v>
      </c>
      <c r="EJ14" s="6">
        <v>-22000</v>
      </c>
      <c r="EK14" t="s">
        <v>1</v>
      </c>
      <c r="EL14" t="s">
        <v>1</v>
      </c>
      <c r="EM14" t="s">
        <v>1</v>
      </c>
      <c r="EN14" t="s">
        <v>1</v>
      </c>
      <c r="EO14" s="2"/>
      <c r="EP14" t="s">
        <v>2107</v>
      </c>
      <c r="EQ14" t="s">
        <v>1</v>
      </c>
      <c r="ER14" t="s">
        <v>1</v>
      </c>
      <c r="ES14" t="s">
        <v>1</v>
      </c>
      <c r="ET14" t="s">
        <v>29</v>
      </c>
      <c r="EU14" t="s">
        <v>1</v>
      </c>
      <c r="EV14" t="s">
        <v>1</v>
      </c>
      <c r="EW14" t="s">
        <v>7</v>
      </c>
      <c r="EX14" t="s">
        <v>7</v>
      </c>
      <c r="EY14" t="s">
        <v>1</v>
      </c>
      <c r="EZ14" t="s">
        <v>1</v>
      </c>
      <c r="FA14" t="s">
        <v>1</v>
      </c>
      <c r="FB14" s="3">
        <v>50</v>
      </c>
      <c r="FC14" t="s">
        <v>1</v>
      </c>
      <c r="FD14" t="s">
        <v>1</v>
      </c>
      <c r="FE14" t="s">
        <v>1</v>
      </c>
      <c r="FF14" t="s">
        <v>17</v>
      </c>
      <c r="FG14" t="s">
        <v>1</v>
      </c>
      <c r="FH14" t="s">
        <v>1</v>
      </c>
      <c r="FI14" t="s">
        <v>1</v>
      </c>
      <c r="FJ14" t="s">
        <v>1</v>
      </c>
      <c r="FK14" s="7">
        <v>46113.381909722222</v>
      </c>
      <c r="FL14" t="s">
        <v>1</v>
      </c>
      <c r="FM14" t="s">
        <v>1</v>
      </c>
      <c r="FN14" t="s">
        <v>1</v>
      </c>
      <c r="FO14" s="19">
        <v>-731302000</v>
      </c>
      <c r="FP14" s="4">
        <v>0</v>
      </c>
      <c r="FQ14" s="19">
        <v>-731302000</v>
      </c>
      <c r="FR14" s="4">
        <v>0</v>
      </c>
      <c r="FS14" s="4">
        <v>0</v>
      </c>
      <c r="FT14" s="4">
        <v>0</v>
      </c>
      <c r="FU14" s="2">
        <v>46113</v>
      </c>
      <c r="FV14" t="s">
        <v>1</v>
      </c>
      <c r="FW14" s="4">
        <v>0</v>
      </c>
      <c r="FX14" t="s">
        <v>1</v>
      </c>
      <c r="FY14" t="s">
        <v>1</v>
      </c>
      <c r="FZ14" s="4">
        <v>0</v>
      </c>
      <c r="GA14" s="4">
        <v>0</v>
      </c>
      <c r="GB14" t="s">
        <v>2070</v>
      </c>
      <c r="GC14" t="str">
        <f>RIGHT(Data_FAGLL03[[#This Row],[Payment reference]],8)</f>
        <v>91172512</v>
      </c>
      <c r="GD14" t="str">
        <f>IF(Data_FAGLL03[[#This Row],[Billing]]&lt;&gt;"",_xlfn.XLOOKUP(Data_FAGLL03[[#This Row],[Billing]],MD_BILLING_SO[BILIING],MD_BILLING_SO[SO-EDITED]),"")</f>
        <v>30030593</v>
      </c>
      <c r="GE14" s="18">
        <f>IF(SUBSTITUTE(Data_FAGLL03[[#This Row],[Eff.exchange rate]],",","")/100000=1,1,SUBSTITUTE(Data_FAGLL03[[#This Row],[Eff.exchange rate]],",","")/100)</f>
        <v>1</v>
      </c>
      <c r="GF14" s="17">
        <f>IF(Data_FAGLL03[[#This Row],[Material]]&lt;&gt;"",IFERROR(Data_FAGLL03[[#This Row],[Amount in local currency]]/Data_FAGLL03[[#This Row],[Quantity_Original]],0),0)</f>
        <v>33241</v>
      </c>
      <c r="GG14" s="18">
        <f>IF(Data_FAGLL03[[#This Row],[XK/NĐ]]="XK",Data_FAGLL03[[#This Row],[GB trung bình]]/Data_FAGLL03[[#This Row],[EXR]],0)*1000</f>
        <v>0</v>
      </c>
      <c r="GH14" s="18" cm="1">
        <f t="array" ref="GH14">IF(Data_FAGLL03[[#This Row],[Document currency]]&lt;&gt;"VND",Data_FAGLL03[[#This Row],[Amount in doc. curr.]],Data_FAGLL03[[#This Row],[Amount in local currency]]/EXR)</f>
        <v>-27856.84954717457</v>
      </c>
      <c r="GI14" s="10">
        <f>Data_FAGLL03[[#This Row],[Time Stamp]]+TIME(7,0,0)</f>
        <v>46113.673576388886</v>
      </c>
      <c r="GJ14" s="18">
        <f>MONTH(Data_FAGLL03[[#This Row],[Time Stamp_VN]])</f>
        <v>4</v>
      </c>
      <c r="GK14">
        <f>DAY(Data_FAGLL03[[#This Row],[Time Stamp_VN]])</f>
        <v>1</v>
      </c>
      <c r="GL14" t="str">
        <f>TEXT(Data_FAGLL03[[#This Row],[Tháng]],"00")&amp;" | "&amp;TEXT(Data_FAGLL03[[#This Row],[Ngày]],"00")</f>
        <v>04 | 01</v>
      </c>
      <c r="GM14" s="18">
        <f>IF(Data_FAGLL03[[#This Row],[Text]]="",Data_FAGLL03[[#This Row],[Quantity_Original]],0)</f>
        <v>-22000</v>
      </c>
      <c r="GN14" s="18" t="str">
        <f>IF(Data_FAGLL03[[#This Row],[Quantity_Edited]]&lt;&gt;0,Data_FAGLL03[[#This Row],[Offsetting acct no.]]&amp;" | "&amp;Data_FAGLL03[[#This Row],[Material]],"")</f>
        <v>104894 | 110000354</v>
      </c>
      <c r="GO14" t="str">
        <f>IF(LEFT(Data_FAGLL03[[#This Row],[Offsetting acct no.]],1)="1","NĐ",IF(LEFT(Data_FAGLL03[[#This Row],[Offsetting acct no.]],1)="2","XK","Khác"))</f>
        <v>NĐ</v>
      </c>
      <c r="GP14" t="str">
        <f>IF(Data_FAGLL03[[#This Row],[Material]]&lt;&gt;"",_xlfn.XLOOKUP(Data_FAGLL03[[#This Row],[Material]],MD_SKU[Mã SKU],MD_SKU[Tên SKU]),"")</f>
        <v>Hạt nhựa rPET WSS01G 1</v>
      </c>
      <c r="GQ14" t="str">
        <f>IF(Data_FAGLL03[[#This Row],[Material]]&lt;&gt;"",_xlfn.XLOOKUP(Data_FAGLL03[[#This Row],[Material]],MD_SKU[Mã SKU],MD_SKU[Nhóm SP 1]),"")</f>
        <v>rPET</v>
      </c>
      <c r="GR14" t="str">
        <f>IF(Data_FAGLL03[[#This Row],[Material]]&lt;&gt;"",_xlfn.XLOOKUP(Data_FAGLL03[[#This Row],[Material]],MD_SKU[Mã SKU],MD_SKU[Nhóm SP 2]),"")</f>
        <v>rPET</v>
      </c>
      <c r="GS14" t="str">
        <f>IF(Data_FAGLL03[[#This Row],[Material]]&lt;&gt;"",_xlfn.XLOOKUP(Data_FAGLL03[[#This Row],[Material]],MD_SKU[Mã SKU],MD_SKU[Nhóm SP 3]),"")</f>
        <v>rPET</v>
      </c>
      <c r="GT14" t="str">
        <f>IF(Data_FAGLL03[[#This Row],[Material]]&lt;&gt;"",_xlfn.XLOOKUP(Data_FAGLL03[[#This Row],[Material]],MD_SKU[Mã SKU],MD_SKU[Nhóm SP 4]),"")</f>
        <v>Hạt rPET</v>
      </c>
    </row>
    <row r="15" spans="1:202" x14ac:dyDescent="0.25">
      <c r="A15" t="s">
        <v>0</v>
      </c>
      <c r="B15" s="2">
        <v>46113</v>
      </c>
      <c r="C15" t="s">
        <v>2108</v>
      </c>
      <c r="D15" t="s">
        <v>1</v>
      </c>
      <c r="E15" t="s">
        <v>1</v>
      </c>
      <c r="F15" t="s">
        <v>31</v>
      </c>
      <c r="G15" t="s">
        <v>31</v>
      </c>
      <c r="H15" t="s">
        <v>2022</v>
      </c>
      <c r="I15" s="19">
        <v>-696300000</v>
      </c>
      <c r="J15" t="s">
        <v>2023</v>
      </c>
      <c r="K15" t="s">
        <v>1</v>
      </c>
      <c r="L15" t="s">
        <v>39</v>
      </c>
      <c r="M15" t="s">
        <v>41</v>
      </c>
      <c r="N15" t="s">
        <v>254</v>
      </c>
      <c r="O15" t="s">
        <v>4</v>
      </c>
      <c r="P15" t="s">
        <v>2109</v>
      </c>
      <c r="Q15" t="s">
        <v>31</v>
      </c>
      <c r="R15" t="s">
        <v>5</v>
      </c>
      <c r="S15" t="s">
        <v>1</v>
      </c>
      <c r="T15" s="3">
        <v>-696300000</v>
      </c>
      <c r="U15" s="19">
        <v>-696300000</v>
      </c>
      <c r="V15" s="3">
        <v>-696300000</v>
      </c>
      <c r="W15" s="3">
        <v>-696300000</v>
      </c>
      <c r="X15" s="4">
        <v>0</v>
      </c>
      <c r="Y15" s="4">
        <v>0</v>
      </c>
      <c r="Z15" s="3">
        <v>0</v>
      </c>
      <c r="AA15" s="3">
        <v>0</v>
      </c>
      <c r="AB15" t="s">
        <v>1</v>
      </c>
      <c r="AC15" t="s">
        <v>24</v>
      </c>
      <c r="AD15" s="2"/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25</v>
      </c>
      <c r="AK15" s="4">
        <v>0</v>
      </c>
      <c r="AL15" t="s">
        <v>1</v>
      </c>
      <c r="AM15" s="5" t="s">
        <v>1</v>
      </c>
      <c r="AN15" t="s">
        <v>1</v>
      </c>
      <c r="AO15" s="2"/>
      <c r="AP15" t="s">
        <v>1</v>
      </c>
      <c r="AQ15" t="s">
        <v>1</v>
      </c>
      <c r="AR15" s="3">
        <v>0</v>
      </c>
      <c r="AS15" t="s">
        <v>1</v>
      </c>
      <c r="AT15" t="s">
        <v>7</v>
      </c>
      <c r="AU15" t="s">
        <v>1</v>
      </c>
      <c r="AV15" t="s">
        <v>1</v>
      </c>
      <c r="AW15" t="s">
        <v>8</v>
      </c>
      <c r="AX15" t="s">
        <v>8</v>
      </c>
      <c r="AY15" t="s">
        <v>1</v>
      </c>
      <c r="AZ15" s="4">
        <v>0</v>
      </c>
      <c r="BA15" t="s">
        <v>1</v>
      </c>
      <c r="BB15" s="3">
        <v>0</v>
      </c>
      <c r="BC15" s="3">
        <v>0</v>
      </c>
      <c r="BD15" s="3">
        <v>0</v>
      </c>
      <c r="BE15" t="s">
        <v>20</v>
      </c>
      <c r="BF15" t="s">
        <v>1</v>
      </c>
      <c r="BG15" s="4">
        <v>0</v>
      </c>
      <c r="BH15" s="4">
        <v>0</v>
      </c>
      <c r="BI15" s="6">
        <v>0</v>
      </c>
      <c r="BJ15" s="6">
        <v>0</v>
      </c>
      <c r="BK15" t="s">
        <v>1</v>
      </c>
      <c r="BL15" t="s">
        <v>1</v>
      </c>
      <c r="BM15" t="s">
        <v>1</v>
      </c>
      <c r="BN15" t="s">
        <v>9</v>
      </c>
      <c r="BO15" s="2">
        <v>46113</v>
      </c>
      <c r="BP15" t="s">
        <v>1</v>
      </c>
      <c r="BQ15" t="s">
        <v>2108</v>
      </c>
      <c r="BR15" t="s">
        <v>27</v>
      </c>
      <c r="BS15" t="s">
        <v>1</v>
      </c>
      <c r="BT15" t="s">
        <v>1</v>
      </c>
      <c r="BU15" t="s">
        <v>1</v>
      </c>
      <c r="BV15" t="s">
        <v>1</v>
      </c>
      <c r="BW15" t="s">
        <v>7</v>
      </c>
      <c r="BX15" t="s">
        <v>10</v>
      </c>
      <c r="BY15" s="2"/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254</v>
      </c>
      <c r="CJ15" s="3">
        <v>-696300000</v>
      </c>
      <c r="CK15" t="s">
        <v>9</v>
      </c>
      <c r="CL15" t="s">
        <v>11</v>
      </c>
      <c r="CM15" t="s">
        <v>1</v>
      </c>
      <c r="CN15" s="4">
        <v>0</v>
      </c>
      <c r="CO15" t="s">
        <v>7</v>
      </c>
      <c r="CP15" t="s">
        <v>7</v>
      </c>
      <c r="CQ15" t="s">
        <v>7</v>
      </c>
      <c r="CR15" t="s">
        <v>7</v>
      </c>
      <c r="CS15" s="4">
        <v>0</v>
      </c>
      <c r="CT15" t="s">
        <v>2108</v>
      </c>
      <c r="CU15" t="s">
        <v>7</v>
      </c>
      <c r="CV15" t="s">
        <v>1</v>
      </c>
      <c r="CW15" s="2"/>
      <c r="CX15" t="s">
        <v>12</v>
      </c>
      <c r="CY15" t="s">
        <v>1</v>
      </c>
      <c r="CZ15" t="s">
        <v>13</v>
      </c>
      <c r="DA15" t="s">
        <v>1</v>
      </c>
      <c r="DB15" t="s">
        <v>9</v>
      </c>
      <c r="DC15" t="s">
        <v>9</v>
      </c>
      <c r="DD15" t="s">
        <v>1</v>
      </c>
      <c r="DE15" t="s">
        <v>1</v>
      </c>
      <c r="DF15" t="s">
        <v>1</v>
      </c>
      <c r="DG15" t="s">
        <v>32</v>
      </c>
      <c r="DH15" t="s">
        <v>1</v>
      </c>
      <c r="DI15" s="2"/>
      <c r="DJ15" t="s">
        <v>1</v>
      </c>
      <c r="DK15" t="s">
        <v>14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s="2"/>
      <c r="DW15" t="s">
        <v>1</v>
      </c>
      <c r="DX15" t="s">
        <v>1</v>
      </c>
      <c r="DY15" t="s">
        <v>2110</v>
      </c>
      <c r="DZ15" t="s">
        <v>1</v>
      </c>
      <c r="EA15" t="s">
        <v>1</v>
      </c>
      <c r="EB15" t="s">
        <v>28</v>
      </c>
      <c r="EC15" t="s">
        <v>7</v>
      </c>
      <c r="ED15" t="s">
        <v>1</v>
      </c>
      <c r="EE15" t="s">
        <v>1</v>
      </c>
      <c r="EF15" t="s">
        <v>22</v>
      </c>
      <c r="EG15" t="s">
        <v>41</v>
      </c>
      <c r="EH15" t="s">
        <v>15</v>
      </c>
      <c r="EI15" t="s">
        <v>1</v>
      </c>
      <c r="EJ15" s="6">
        <v>-22000</v>
      </c>
      <c r="EK15" t="s">
        <v>1</v>
      </c>
      <c r="EL15" t="s">
        <v>1</v>
      </c>
      <c r="EM15" t="s">
        <v>1</v>
      </c>
      <c r="EN15" t="s">
        <v>1</v>
      </c>
      <c r="EO15" s="2"/>
      <c r="EP15" t="s">
        <v>2110</v>
      </c>
      <c r="EQ15" t="s">
        <v>1</v>
      </c>
      <c r="ER15" t="s">
        <v>1</v>
      </c>
      <c r="ES15" t="s">
        <v>1</v>
      </c>
      <c r="ET15" t="s">
        <v>29</v>
      </c>
      <c r="EU15" t="s">
        <v>1</v>
      </c>
      <c r="EV15" t="s">
        <v>1</v>
      </c>
      <c r="EW15" t="s">
        <v>7</v>
      </c>
      <c r="EX15" t="s">
        <v>7</v>
      </c>
      <c r="EY15" t="s">
        <v>1</v>
      </c>
      <c r="EZ15" t="s">
        <v>1</v>
      </c>
      <c r="FA15" t="s">
        <v>1</v>
      </c>
      <c r="FB15" s="3">
        <v>50</v>
      </c>
      <c r="FC15" t="s">
        <v>1</v>
      </c>
      <c r="FD15" t="s">
        <v>1</v>
      </c>
      <c r="FE15" t="s">
        <v>1</v>
      </c>
      <c r="FF15" t="s">
        <v>17</v>
      </c>
      <c r="FG15" t="s">
        <v>1</v>
      </c>
      <c r="FH15" t="s">
        <v>1</v>
      </c>
      <c r="FI15" t="s">
        <v>1</v>
      </c>
      <c r="FJ15" t="s">
        <v>1</v>
      </c>
      <c r="FK15" s="7">
        <v>46113.382719907408</v>
      </c>
      <c r="FL15" t="s">
        <v>1</v>
      </c>
      <c r="FM15" t="s">
        <v>1</v>
      </c>
      <c r="FN15" t="s">
        <v>1</v>
      </c>
      <c r="FO15" s="19">
        <v>-696300000</v>
      </c>
      <c r="FP15" s="4">
        <v>0</v>
      </c>
      <c r="FQ15" s="19">
        <v>-696300000</v>
      </c>
      <c r="FR15" s="4">
        <v>0</v>
      </c>
      <c r="FS15" s="4">
        <v>0</v>
      </c>
      <c r="FT15" s="4">
        <v>0</v>
      </c>
      <c r="FU15" s="2">
        <v>46113</v>
      </c>
      <c r="FV15" t="s">
        <v>1</v>
      </c>
      <c r="FW15" s="4">
        <v>0</v>
      </c>
      <c r="FX15" t="s">
        <v>1</v>
      </c>
      <c r="FY15" t="s">
        <v>1</v>
      </c>
      <c r="FZ15" s="4">
        <v>0</v>
      </c>
      <c r="GA15" s="4">
        <v>0</v>
      </c>
      <c r="GB15" t="s">
        <v>2070</v>
      </c>
      <c r="GC15" t="str">
        <f>RIGHT(Data_FAGLL03[[#This Row],[Payment reference]],8)</f>
        <v>91172513</v>
      </c>
      <c r="GD15" t="str">
        <f>IF(Data_FAGLL03[[#This Row],[Billing]]&lt;&gt;"",_xlfn.XLOOKUP(Data_FAGLL03[[#This Row],[Billing]],MD_BILLING_SO[BILIING],MD_BILLING_SO[SO-EDITED]),"")</f>
        <v>30030681</v>
      </c>
      <c r="GE15" s="18">
        <f>IF(SUBSTITUTE(Data_FAGLL03[[#This Row],[Eff.exchange rate]],",","")/100000=1,1,SUBSTITUTE(Data_FAGLL03[[#This Row],[Eff.exchange rate]],",","")/100)</f>
        <v>1</v>
      </c>
      <c r="GF15" s="17">
        <f>IF(Data_FAGLL03[[#This Row],[Material]]&lt;&gt;"",IFERROR(Data_FAGLL03[[#This Row],[Amount in local currency]]/Data_FAGLL03[[#This Row],[Quantity_Original]],0),0)</f>
        <v>31650</v>
      </c>
      <c r="GG15" s="18">
        <f>IF(Data_FAGLL03[[#This Row],[XK/NĐ]]="XK",Data_FAGLL03[[#This Row],[GB trung bình]]/Data_FAGLL03[[#This Row],[EXR]],0)*1000</f>
        <v>0</v>
      </c>
      <c r="GH15" s="18" cm="1">
        <f t="array" ref="GH15">IF(Data_FAGLL03[[#This Row],[Document currency]]&lt;&gt;"VND",Data_FAGLL03[[#This Row],[Amount in doc. curr.]],Data_FAGLL03[[#This Row],[Amount in local currency]]/EXR)</f>
        <v>-26523.548875427186</v>
      </c>
      <c r="GI15" s="10">
        <f>Data_FAGLL03[[#This Row],[Time Stamp]]+TIME(7,0,0)</f>
        <v>46113.674386574072</v>
      </c>
      <c r="GJ15" s="18">
        <f>MONTH(Data_FAGLL03[[#This Row],[Time Stamp_VN]])</f>
        <v>4</v>
      </c>
      <c r="GK15">
        <f>DAY(Data_FAGLL03[[#This Row],[Time Stamp_VN]])</f>
        <v>1</v>
      </c>
      <c r="GL15" t="str">
        <f>TEXT(Data_FAGLL03[[#This Row],[Tháng]],"00")&amp;" | "&amp;TEXT(Data_FAGLL03[[#This Row],[Ngày]],"00")</f>
        <v>04 | 01</v>
      </c>
      <c r="GM15" s="18">
        <f>IF(Data_FAGLL03[[#This Row],[Text]]="",Data_FAGLL03[[#This Row],[Quantity_Original]],0)</f>
        <v>-22000</v>
      </c>
      <c r="GN15" s="18" t="str">
        <f>IF(Data_FAGLL03[[#This Row],[Quantity_Edited]]&lt;&gt;0,Data_FAGLL03[[#This Row],[Offsetting acct no.]]&amp;" | "&amp;Data_FAGLL03[[#This Row],[Material]],"")</f>
        <v>105271 | 110000332</v>
      </c>
      <c r="GO15" t="str">
        <f>IF(LEFT(Data_FAGLL03[[#This Row],[Offsetting acct no.]],1)="1","NĐ",IF(LEFT(Data_FAGLL03[[#This Row],[Offsetting acct no.]],1)="2","XK","Khác"))</f>
        <v>NĐ</v>
      </c>
      <c r="GP15" t="str">
        <f>IF(Data_FAGLL03[[#This Row],[Material]]&lt;&gt;"",_xlfn.XLOOKUP(Data_FAGLL03[[#This Row],[Material]],MD_SKU[Mã SKU],MD_SKU[Tên SKU]),"")</f>
        <v>Hạt nhựa rPET iSS01084G</v>
      </c>
      <c r="GQ15" t="str">
        <f>IF(Data_FAGLL03[[#This Row],[Material]]&lt;&gt;"",_xlfn.XLOOKUP(Data_FAGLL03[[#This Row],[Material]],MD_SKU[Mã SKU],MD_SKU[Nhóm SP 1]),"")</f>
        <v>rPET</v>
      </c>
      <c r="GR15" t="str">
        <f>IF(Data_FAGLL03[[#This Row],[Material]]&lt;&gt;"",_xlfn.XLOOKUP(Data_FAGLL03[[#This Row],[Material]],MD_SKU[Mã SKU],MD_SKU[Nhóm SP 2]),"")</f>
        <v>rPET</v>
      </c>
      <c r="GS15" t="str">
        <f>IF(Data_FAGLL03[[#This Row],[Material]]&lt;&gt;"",_xlfn.XLOOKUP(Data_FAGLL03[[#This Row],[Material]],MD_SKU[Mã SKU],MD_SKU[Nhóm SP 3]),"")</f>
        <v>rPET</v>
      </c>
      <c r="GT15" t="str">
        <f>IF(Data_FAGLL03[[#This Row],[Material]]&lt;&gt;"",_xlfn.XLOOKUP(Data_FAGLL03[[#This Row],[Material]],MD_SKU[Mã SKU],MD_SKU[Nhóm SP 4]),"")</f>
        <v>Hạt rPET</v>
      </c>
    </row>
    <row r="16" spans="1:202" x14ac:dyDescent="0.25">
      <c r="A16" t="s">
        <v>0</v>
      </c>
      <c r="B16" s="2">
        <v>46113</v>
      </c>
      <c r="C16" t="s">
        <v>2111</v>
      </c>
      <c r="D16" t="s">
        <v>1</v>
      </c>
      <c r="E16" t="s">
        <v>1</v>
      </c>
      <c r="F16" t="s">
        <v>31</v>
      </c>
      <c r="G16" t="s">
        <v>31</v>
      </c>
      <c r="H16" t="s">
        <v>2032</v>
      </c>
      <c r="I16" s="19">
        <v>-263150000</v>
      </c>
      <c r="J16" t="s">
        <v>2033</v>
      </c>
      <c r="K16" t="s">
        <v>1</v>
      </c>
      <c r="L16" t="s">
        <v>39</v>
      </c>
      <c r="M16" t="s">
        <v>41</v>
      </c>
      <c r="N16" t="s">
        <v>254</v>
      </c>
      <c r="O16" t="s">
        <v>4</v>
      </c>
      <c r="P16" t="s">
        <v>2112</v>
      </c>
      <c r="Q16" t="s">
        <v>31</v>
      </c>
      <c r="R16" t="s">
        <v>5</v>
      </c>
      <c r="S16" t="s">
        <v>1</v>
      </c>
      <c r="T16" s="3">
        <v>-263150000</v>
      </c>
      <c r="U16" s="19">
        <v>-263150000</v>
      </c>
      <c r="V16" s="3">
        <v>-263150000</v>
      </c>
      <c r="W16" s="3">
        <v>-263150000</v>
      </c>
      <c r="X16" s="4">
        <v>0</v>
      </c>
      <c r="Y16" s="4">
        <v>0</v>
      </c>
      <c r="Z16" s="3">
        <v>0</v>
      </c>
      <c r="AA16" s="3">
        <v>0</v>
      </c>
      <c r="AB16" t="s">
        <v>1</v>
      </c>
      <c r="AC16" t="s">
        <v>24</v>
      </c>
      <c r="AD16" s="2"/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25</v>
      </c>
      <c r="AK16" s="4">
        <v>0</v>
      </c>
      <c r="AL16" t="s">
        <v>1</v>
      </c>
      <c r="AM16" s="5" t="s">
        <v>1</v>
      </c>
      <c r="AN16" t="s">
        <v>1</v>
      </c>
      <c r="AO16" s="2"/>
      <c r="AP16" t="s">
        <v>1</v>
      </c>
      <c r="AQ16" t="s">
        <v>1</v>
      </c>
      <c r="AR16" s="3">
        <v>0</v>
      </c>
      <c r="AS16" t="s">
        <v>1</v>
      </c>
      <c r="AT16" t="s">
        <v>7</v>
      </c>
      <c r="AU16" t="s">
        <v>1</v>
      </c>
      <c r="AV16" t="s">
        <v>1</v>
      </c>
      <c r="AW16" t="s">
        <v>8</v>
      </c>
      <c r="AX16" t="s">
        <v>8</v>
      </c>
      <c r="AY16" t="s">
        <v>1</v>
      </c>
      <c r="AZ16" s="4">
        <v>0</v>
      </c>
      <c r="BA16" t="s">
        <v>1</v>
      </c>
      <c r="BB16" s="3">
        <v>0</v>
      </c>
      <c r="BC16" s="3">
        <v>0</v>
      </c>
      <c r="BD16" s="3">
        <v>0</v>
      </c>
      <c r="BE16" t="s">
        <v>20</v>
      </c>
      <c r="BF16" t="s">
        <v>1</v>
      </c>
      <c r="BG16" s="4">
        <v>0</v>
      </c>
      <c r="BH16" s="4">
        <v>0</v>
      </c>
      <c r="BI16" s="6">
        <v>0</v>
      </c>
      <c r="BJ16" s="6">
        <v>0</v>
      </c>
      <c r="BK16" t="s">
        <v>1</v>
      </c>
      <c r="BL16" t="s">
        <v>1</v>
      </c>
      <c r="BM16" t="s">
        <v>1</v>
      </c>
      <c r="BN16" t="s">
        <v>9</v>
      </c>
      <c r="BO16" s="2">
        <v>46113</v>
      </c>
      <c r="BP16" t="s">
        <v>1</v>
      </c>
      <c r="BQ16" t="s">
        <v>2111</v>
      </c>
      <c r="BR16" t="s">
        <v>27</v>
      </c>
      <c r="BS16" t="s">
        <v>1</v>
      </c>
      <c r="BT16" t="s">
        <v>1</v>
      </c>
      <c r="BU16" t="s">
        <v>1</v>
      </c>
      <c r="BV16" t="s">
        <v>1</v>
      </c>
      <c r="BW16" t="s">
        <v>7</v>
      </c>
      <c r="BX16" t="s">
        <v>10</v>
      </c>
      <c r="BY16" s="2"/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254</v>
      </c>
      <c r="CJ16" s="3">
        <v>-263150000</v>
      </c>
      <c r="CK16" t="s">
        <v>9</v>
      </c>
      <c r="CL16" t="s">
        <v>11</v>
      </c>
      <c r="CM16" t="s">
        <v>1</v>
      </c>
      <c r="CN16" s="4">
        <v>0</v>
      </c>
      <c r="CO16" t="s">
        <v>7</v>
      </c>
      <c r="CP16" t="s">
        <v>7</v>
      </c>
      <c r="CQ16" t="s">
        <v>7</v>
      </c>
      <c r="CR16" t="s">
        <v>7</v>
      </c>
      <c r="CS16" s="4">
        <v>0</v>
      </c>
      <c r="CT16" t="s">
        <v>2111</v>
      </c>
      <c r="CU16" t="s">
        <v>7</v>
      </c>
      <c r="CV16" t="s">
        <v>1</v>
      </c>
      <c r="CW16" s="2"/>
      <c r="CX16" t="s">
        <v>12</v>
      </c>
      <c r="CY16" t="s">
        <v>1</v>
      </c>
      <c r="CZ16" t="s">
        <v>13</v>
      </c>
      <c r="DA16" t="s">
        <v>1</v>
      </c>
      <c r="DB16" t="s">
        <v>9</v>
      </c>
      <c r="DC16" t="s">
        <v>9</v>
      </c>
      <c r="DD16" t="s">
        <v>1</v>
      </c>
      <c r="DE16" t="s">
        <v>1</v>
      </c>
      <c r="DF16" t="s">
        <v>1</v>
      </c>
      <c r="DG16" t="s">
        <v>700</v>
      </c>
      <c r="DH16" t="s">
        <v>1</v>
      </c>
      <c r="DI16" s="2"/>
      <c r="DJ16" t="s">
        <v>1</v>
      </c>
      <c r="DK16" t="s">
        <v>14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s="2"/>
      <c r="DW16" t="s">
        <v>1</v>
      </c>
      <c r="DX16" t="s">
        <v>1</v>
      </c>
      <c r="DY16" t="s">
        <v>2113</v>
      </c>
      <c r="DZ16" t="s">
        <v>1</v>
      </c>
      <c r="EA16" t="s">
        <v>1</v>
      </c>
      <c r="EB16" t="s">
        <v>28</v>
      </c>
      <c r="EC16" t="s">
        <v>7</v>
      </c>
      <c r="ED16" t="s">
        <v>1</v>
      </c>
      <c r="EE16" t="s">
        <v>1</v>
      </c>
      <c r="EF16" t="s">
        <v>22</v>
      </c>
      <c r="EG16" t="s">
        <v>41</v>
      </c>
      <c r="EH16" t="s">
        <v>15</v>
      </c>
      <c r="EI16" t="s">
        <v>1</v>
      </c>
      <c r="EJ16" s="6">
        <v>-13850</v>
      </c>
      <c r="EK16" t="s">
        <v>1</v>
      </c>
      <c r="EL16" t="s">
        <v>1</v>
      </c>
      <c r="EM16" t="s">
        <v>1</v>
      </c>
      <c r="EN16" t="s">
        <v>1</v>
      </c>
      <c r="EO16" s="2"/>
      <c r="EP16" t="s">
        <v>2113</v>
      </c>
      <c r="EQ16" t="s">
        <v>1</v>
      </c>
      <c r="ER16" t="s">
        <v>1</v>
      </c>
      <c r="ES16" t="s">
        <v>1</v>
      </c>
      <c r="ET16" t="s">
        <v>29</v>
      </c>
      <c r="EU16" t="s">
        <v>1</v>
      </c>
      <c r="EV16" t="s">
        <v>1</v>
      </c>
      <c r="EW16" t="s">
        <v>7</v>
      </c>
      <c r="EX16" t="s">
        <v>7</v>
      </c>
      <c r="EY16" t="s">
        <v>1</v>
      </c>
      <c r="EZ16" t="s">
        <v>1</v>
      </c>
      <c r="FA16" t="s">
        <v>1</v>
      </c>
      <c r="FB16" s="3">
        <v>50</v>
      </c>
      <c r="FC16" t="s">
        <v>1</v>
      </c>
      <c r="FD16" t="s">
        <v>1</v>
      </c>
      <c r="FE16" t="s">
        <v>1</v>
      </c>
      <c r="FF16" t="s">
        <v>17</v>
      </c>
      <c r="FG16" t="s">
        <v>1</v>
      </c>
      <c r="FH16" t="s">
        <v>1</v>
      </c>
      <c r="FI16" t="s">
        <v>1</v>
      </c>
      <c r="FJ16" t="s">
        <v>1</v>
      </c>
      <c r="FK16" s="7">
        <v>46113.383784722224</v>
      </c>
      <c r="FL16" t="s">
        <v>1</v>
      </c>
      <c r="FM16" t="s">
        <v>1</v>
      </c>
      <c r="FN16" t="s">
        <v>1</v>
      </c>
      <c r="FO16" s="19">
        <v>-263150000</v>
      </c>
      <c r="FP16" s="4">
        <v>0</v>
      </c>
      <c r="FQ16" s="19">
        <v>-263150000</v>
      </c>
      <c r="FR16" s="4">
        <v>0</v>
      </c>
      <c r="FS16" s="4">
        <v>0</v>
      </c>
      <c r="FT16" s="4">
        <v>0</v>
      </c>
      <c r="FU16" s="2">
        <v>46113</v>
      </c>
      <c r="FV16" t="s">
        <v>1</v>
      </c>
      <c r="FW16" s="4">
        <v>0</v>
      </c>
      <c r="FX16" t="s">
        <v>1</v>
      </c>
      <c r="FY16" t="s">
        <v>1</v>
      </c>
      <c r="FZ16" s="4">
        <v>0</v>
      </c>
      <c r="GA16" s="4">
        <v>0</v>
      </c>
      <c r="GB16" t="s">
        <v>2070</v>
      </c>
      <c r="GC16" t="str">
        <f>RIGHT(Data_FAGLL03[[#This Row],[Payment reference]],8)</f>
        <v>91172514</v>
      </c>
      <c r="GD16" t="str">
        <f>IF(Data_FAGLL03[[#This Row],[Billing]]&lt;&gt;"",_xlfn.XLOOKUP(Data_FAGLL03[[#This Row],[Billing]],MD_BILLING_SO[BILIING],MD_BILLING_SO[SO-EDITED]),"")</f>
        <v>30030646</v>
      </c>
      <c r="GE16" s="18">
        <f>IF(SUBSTITUTE(Data_FAGLL03[[#This Row],[Eff.exchange rate]],",","")/100000=1,1,SUBSTITUTE(Data_FAGLL03[[#This Row],[Eff.exchange rate]],",","")/100)</f>
        <v>1</v>
      </c>
      <c r="GF16" s="17">
        <f>IF(Data_FAGLL03[[#This Row],[Material]]&lt;&gt;"",IFERROR(Data_FAGLL03[[#This Row],[Amount in local currency]]/Data_FAGLL03[[#This Row],[Quantity_Original]],0),0)</f>
        <v>19000</v>
      </c>
      <c r="GG16" s="18">
        <f>IF(Data_FAGLL03[[#This Row],[XK/NĐ]]="XK",Data_FAGLL03[[#This Row],[GB trung bình]]/Data_FAGLL03[[#This Row],[EXR]],0)*1000</f>
        <v>0</v>
      </c>
      <c r="GH16" s="18" cm="1">
        <f t="array" ref="GH16">IF(Data_FAGLL03[[#This Row],[Document currency]]&lt;&gt;"VND",Data_FAGLL03[[#This Row],[Amount in doc. curr.]],Data_FAGLL03[[#This Row],[Amount in local currency]]/EXR)</f>
        <v>-10023.943539521277</v>
      </c>
      <c r="GI16" s="10">
        <f>Data_FAGLL03[[#This Row],[Time Stamp]]+TIME(7,0,0)</f>
        <v>46113.675451388888</v>
      </c>
      <c r="GJ16" s="18">
        <f>MONTH(Data_FAGLL03[[#This Row],[Time Stamp_VN]])</f>
        <v>4</v>
      </c>
      <c r="GK16">
        <f>DAY(Data_FAGLL03[[#This Row],[Time Stamp_VN]])</f>
        <v>1</v>
      </c>
      <c r="GL16" t="str">
        <f>TEXT(Data_FAGLL03[[#This Row],[Tháng]],"00")&amp;" | "&amp;TEXT(Data_FAGLL03[[#This Row],[Ngày]],"00")</f>
        <v>04 | 01</v>
      </c>
      <c r="GM16" s="18">
        <f>IF(Data_FAGLL03[[#This Row],[Text]]="",Data_FAGLL03[[#This Row],[Quantity_Original]],0)</f>
        <v>-13850</v>
      </c>
      <c r="GN16" s="18" t="str">
        <f>IF(Data_FAGLL03[[#This Row],[Quantity_Edited]]&lt;&gt;0,Data_FAGLL03[[#This Row],[Offsetting acct no.]]&amp;" | "&amp;Data_FAGLL03[[#This Row],[Material]],"")</f>
        <v>105323 | 110000436</v>
      </c>
      <c r="GO16" t="str">
        <f>IF(LEFT(Data_FAGLL03[[#This Row],[Offsetting acct no.]],1)="1","NĐ",IF(LEFT(Data_FAGLL03[[#This Row],[Offsetting acct no.]],1)="2","XK","Khác"))</f>
        <v>NĐ</v>
      </c>
      <c r="GP16" t="str">
        <f>IF(Data_FAGLL03[[#This Row],[Material]]&lt;&gt;"",_xlfn.XLOOKUP(Data_FAGLL03[[#This Row],[Material]],MD_SKU[Mã SKU],MD_SKU[Tên SKU]),"")</f>
        <v>Hạt nhựa rPET WSS05SB</v>
      </c>
      <c r="GQ16" t="str">
        <f>IF(Data_FAGLL03[[#This Row],[Material]]&lt;&gt;"",_xlfn.XLOOKUP(Data_FAGLL03[[#This Row],[Material]],MD_SKU[Mã SKU],MD_SKU[Nhóm SP 1]),"")</f>
        <v>Xơ sợi</v>
      </c>
      <c r="GR16" t="str">
        <f>IF(Data_FAGLL03[[#This Row],[Material]]&lt;&gt;"",_xlfn.XLOOKUP(Data_FAGLL03[[#This Row],[Material]],MD_SKU[Mã SKU],MD_SKU[Nhóm SP 2]),"")</f>
        <v>Xơ sợi</v>
      </c>
      <c r="GS16" t="str">
        <f>IF(Data_FAGLL03[[#This Row],[Material]]&lt;&gt;"",_xlfn.XLOOKUP(Data_FAGLL03[[#This Row],[Material]],MD_SKU[Mã SKU],MD_SKU[Nhóm SP 3]),"")</f>
        <v>Xơ sợi</v>
      </c>
      <c r="GT16" t="str">
        <f>IF(Data_FAGLL03[[#This Row],[Material]]&lt;&gt;"",_xlfn.XLOOKUP(Data_FAGLL03[[#This Row],[Material]],MD_SKU[Mã SKU],MD_SKU[Nhóm SP 4]),"")</f>
        <v>Hạt Xơ sợi</v>
      </c>
    </row>
    <row r="17" spans="1:202" x14ac:dyDescent="0.25">
      <c r="A17" t="s">
        <v>0</v>
      </c>
      <c r="B17" s="2">
        <v>46113</v>
      </c>
      <c r="C17" t="s">
        <v>2114</v>
      </c>
      <c r="D17" t="s">
        <v>1</v>
      </c>
      <c r="E17" t="s">
        <v>1</v>
      </c>
      <c r="F17" t="s">
        <v>31</v>
      </c>
      <c r="G17" t="s">
        <v>31</v>
      </c>
      <c r="H17" t="s">
        <v>48</v>
      </c>
      <c r="I17" s="19">
        <v>-346632000</v>
      </c>
      <c r="J17" t="s">
        <v>49</v>
      </c>
      <c r="K17" t="s">
        <v>1</v>
      </c>
      <c r="L17" t="s">
        <v>39</v>
      </c>
      <c r="M17" t="s">
        <v>41</v>
      </c>
      <c r="N17" t="s">
        <v>254</v>
      </c>
      <c r="O17" t="s">
        <v>4</v>
      </c>
      <c r="P17" t="s">
        <v>2115</v>
      </c>
      <c r="Q17" t="s">
        <v>31</v>
      </c>
      <c r="R17" t="s">
        <v>5</v>
      </c>
      <c r="S17" t="s">
        <v>1</v>
      </c>
      <c r="T17" s="3">
        <v>-346632000</v>
      </c>
      <c r="U17" s="19">
        <v>-346632000</v>
      </c>
      <c r="V17" s="3">
        <v>-346632000</v>
      </c>
      <c r="W17" s="3">
        <v>-346632000</v>
      </c>
      <c r="X17" s="4">
        <v>0</v>
      </c>
      <c r="Y17" s="4">
        <v>0</v>
      </c>
      <c r="Z17" s="3">
        <v>0</v>
      </c>
      <c r="AA17" s="3">
        <v>0</v>
      </c>
      <c r="AB17" t="s">
        <v>1</v>
      </c>
      <c r="AC17" t="s">
        <v>24</v>
      </c>
      <c r="AD17" s="2"/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25</v>
      </c>
      <c r="AK17" s="4">
        <v>0</v>
      </c>
      <c r="AL17" t="s">
        <v>1</v>
      </c>
      <c r="AM17" s="5" t="s">
        <v>1</v>
      </c>
      <c r="AN17" t="s">
        <v>1</v>
      </c>
      <c r="AO17" s="2"/>
      <c r="AP17" t="s">
        <v>1</v>
      </c>
      <c r="AQ17" t="s">
        <v>1</v>
      </c>
      <c r="AR17" s="3">
        <v>0</v>
      </c>
      <c r="AS17" t="s">
        <v>1</v>
      </c>
      <c r="AT17" t="s">
        <v>7</v>
      </c>
      <c r="AU17" t="s">
        <v>1</v>
      </c>
      <c r="AV17" t="s">
        <v>1</v>
      </c>
      <c r="AW17" t="s">
        <v>8</v>
      </c>
      <c r="AX17" t="s">
        <v>8</v>
      </c>
      <c r="AY17" t="s">
        <v>1</v>
      </c>
      <c r="AZ17" s="4">
        <v>0</v>
      </c>
      <c r="BA17" t="s">
        <v>1</v>
      </c>
      <c r="BB17" s="3">
        <v>0</v>
      </c>
      <c r="BC17" s="3">
        <v>0</v>
      </c>
      <c r="BD17" s="3">
        <v>0</v>
      </c>
      <c r="BE17" t="s">
        <v>20</v>
      </c>
      <c r="BF17" t="s">
        <v>1</v>
      </c>
      <c r="BG17" s="4">
        <v>0</v>
      </c>
      <c r="BH17" s="4">
        <v>0</v>
      </c>
      <c r="BI17" s="6">
        <v>0</v>
      </c>
      <c r="BJ17" s="6">
        <v>0</v>
      </c>
      <c r="BK17" t="s">
        <v>1</v>
      </c>
      <c r="BL17" t="s">
        <v>1</v>
      </c>
      <c r="BM17" t="s">
        <v>1</v>
      </c>
      <c r="BN17" t="s">
        <v>9</v>
      </c>
      <c r="BO17" s="2">
        <v>46113</v>
      </c>
      <c r="BP17" t="s">
        <v>1</v>
      </c>
      <c r="BQ17" t="s">
        <v>2114</v>
      </c>
      <c r="BR17" t="s">
        <v>27</v>
      </c>
      <c r="BS17" t="s">
        <v>1</v>
      </c>
      <c r="BT17" t="s">
        <v>1</v>
      </c>
      <c r="BU17" t="s">
        <v>1</v>
      </c>
      <c r="BV17" t="s">
        <v>1</v>
      </c>
      <c r="BW17" t="s">
        <v>7</v>
      </c>
      <c r="BX17" t="s">
        <v>10</v>
      </c>
      <c r="BY17" s="2"/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254</v>
      </c>
      <c r="CJ17" s="3">
        <v>-346632000</v>
      </c>
      <c r="CK17" t="s">
        <v>9</v>
      </c>
      <c r="CL17" t="s">
        <v>11</v>
      </c>
      <c r="CM17" t="s">
        <v>1</v>
      </c>
      <c r="CN17" s="4">
        <v>0</v>
      </c>
      <c r="CO17" t="s">
        <v>7</v>
      </c>
      <c r="CP17" t="s">
        <v>7</v>
      </c>
      <c r="CQ17" t="s">
        <v>7</v>
      </c>
      <c r="CR17" t="s">
        <v>7</v>
      </c>
      <c r="CS17" s="4">
        <v>0</v>
      </c>
      <c r="CT17" t="s">
        <v>2114</v>
      </c>
      <c r="CU17" t="s">
        <v>7</v>
      </c>
      <c r="CV17" t="s">
        <v>1</v>
      </c>
      <c r="CW17" s="2"/>
      <c r="CX17" t="s">
        <v>12</v>
      </c>
      <c r="CY17" t="s">
        <v>1</v>
      </c>
      <c r="CZ17" t="s">
        <v>13</v>
      </c>
      <c r="DA17" t="s">
        <v>1</v>
      </c>
      <c r="DB17" t="s">
        <v>9</v>
      </c>
      <c r="DC17" t="s">
        <v>9</v>
      </c>
      <c r="DD17" t="s">
        <v>1</v>
      </c>
      <c r="DE17" t="s">
        <v>1</v>
      </c>
      <c r="DF17" t="s">
        <v>1</v>
      </c>
      <c r="DG17" t="s">
        <v>50</v>
      </c>
      <c r="DH17" t="s">
        <v>1</v>
      </c>
      <c r="DI17" s="2"/>
      <c r="DJ17" t="s">
        <v>1</v>
      </c>
      <c r="DK17" t="s">
        <v>14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s="2"/>
      <c r="DW17" t="s">
        <v>1</v>
      </c>
      <c r="DX17" t="s">
        <v>1</v>
      </c>
      <c r="DY17" t="s">
        <v>2116</v>
      </c>
      <c r="DZ17" t="s">
        <v>1</v>
      </c>
      <c r="EA17" t="s">
        <v>1</v>
      </c>
      <c r="EB17" t="s">
        <v>28</v>
      </c>
      <c r="EC17" t="s">
        <v>7</v>
      </c>
      <c r="ED17" t="s">
        <v>1</v>
      </c>
      <c r="EE17" t="s">
        <v>1</v>
      </c>
      <c r="EF17" t="s">
        <v>22</v>
      </c>
      <c r="EG17" t="s">
        <v>41</v>
      </c>
      <c r="EH17" t="s">
        <v>15</v>
      </c>
      <c r="EI17" t="s">
        <v>1</v>
      </c>
      <c r="EJ17" s="6">
        <v>-11000</v>
      </c>
      <c r="EK17" t="s">
        <v>1</v>
      </c>
      <c r="EL17" t="s">
        <v>1</v>
      </c>
      <c r="EM17" t="s">
        <v>1</v>
      </c>
      <c r="EN17" t="s">
        <v>1</v>
      </c>
      <c r="EO17" s="2"/>
      <c r="EP17" t="s">
        <v>2116</v>
      </c>
      <c r="EQ17" t="s">
        <v>1</v>
      </c>
      <c r="ER17" t="s">
        <v>1</v>
      </c>
      <c r="ES17" t="s">
        <v>1</v>
      </c>
      <c r="ET17" t="s">
        <v>29</v>
      </c>
      <c r="EU17" t="s">
        <v>1</v>
      </c>
      <c r="EV17" t="s">
        <v>1</v>
      </c>
      <c r="EW17" t="s">
        <v>7</v>
      </c>
      <c r="EX17" t="s">
        <v>7</v>
      </c>
      <c r="EY17" t="s">
        <v>1</v>
      </c>
      <c r="EZ17" t="s">
        <v>1</v>
      </c>
      <c r="FA17" t="s">
        <v>1</v>
      </c>
      <c r="FB17" s="3">
        <v>50</v>
      </c>
      <c r="FC17" t="s">
        <v>1</v>
      </c>
      <c r="FD17" t="s">
        <v>1</v>
      </c>
      <c r="FE17" t="s">
        <v>1</v>
      </c>
      <c r="FF17" t="s">
        <v>17</v>
      </c>
      <c r="FG17" t="s">
        <v>1</v>
      </c>
      <c r="FH17" t="s">
        <v>1</v>
      </c>
      <c r="FI17" t="s">
        <v>1</v>
      </c>
      <c r="FJ17" t="s">
        <v>1</v>
      </c>
      <c r="FK17" s="7">
        <v>46113.386631944442</v>
      </c>
      <c r="FL17" t="s">
        <v>1</v>
      </c>
      <c r="FM17" t="s">
        <v>1</v>
      </c>
      <c r="FN17" t="s">
        <v>1</v>
      </c>
      <c r="FO17" s="19">
        <v>-346632000</v>
      </c>
      <c r="FP17" s="4">
        <v>0</v>
      </c>
      <c r="FQ17" s="19">
        <v>-346632000</v>
      </c>
      <c r="FR17" s="4">
        <v>0</v>
      </c>
      <c r="FS17" s="4">
        <v>0</v>
      </c>
      <c r="FT17" s="4">
        <v>0</v>
      </c>
      <c r="FU17" s="2">
        <v>46113</v>
      </c>
      <c r="FV17" t="s">
        <v>1</v>
      </c>
      <c r="FW17" s="4">
        <v>0</v>
      </c>
      <c r="FX17" t="s">
        <v>1</v>
      </c>
      <c r="FY17" t="s">
        <v>1</v>
      </c>
      <c r="FZ17" s="4">
        <v>0</v>
      </c>
      <c r="GA17" s="4">
        <v>0</v>
      </c>
      <c r="GB17" t="s">
        <v>2070</v>
      </c>
      <c r="GC17" t="str">
        <f>RIGHT(Data_FAGLL03[[#This Row],[Payment reference]],8)</f>
        <v>91172515</v>
      </c>
      <c r="GD17" t="str">
        <f>IF(Data_FAGLL03[[#This Row],[Billing]]&lt;&gt;"",_xlfn.XLOOKUP(Data_FAGLL03[[#This Row],[Billing]],MD_BILLING_SO[BILIING],MD_BILLING_SO[SO-EDITED]),"")</f>
        <v>30030548</v>
      </c>
      <c r="GE17" s="18">
        <f>IF(SUBSTITUTE(Data_FAGLL03[[#This Row],[Eff.exchange rate]],",","")/100000=1,1,SUBSTITUTE(Data_FAGLL03[[#This Row],[Eff.exchange rate]],",","")/100)</f>
        <v>1</v>
      </c>
      <c r="GF17" s="17">
        <f>IF(Data_FAGLL03[[#This Row],[Material]]&lt;&gt;"",IFERROR(Data_FAGLL03[[#This Row],[Amount in local currency]]/Data_FAGLL03[[#This Row],[Quantity_Original]],0),0)</f>
        <v>31512</v>
      </c>
      <c r="GG17" s="18">
        <f>IF(Data_FAGLL03[[#This Row],[XK/NĐ]]="XK",Data_FAGLL03[[#This Row],[GB trung bình]]/Data_FAGLL03[[#This Row],[EXR]],0)*1000</f>
        <v>0</v>
      </c>
      <c r="GH17" s="18" cm="1">
        <f t="array" ref="GH17">IF(Data_FAGLL03[[#This Row],[Document currency]]&lt;&gt;"VND",Data_FAGLL03[[#This Row],[Amount in doc. curr.]],Data_FAGLL03[[#This Row],[Amount in local currency]]/EXR)</f>
        <v>-13203.950587084701</v>
      </c>
      <c r="GI17" s="10">
        <f>Data_FAGLL03[[#This Row],[Time Stamp]]+TIME(7,0,0)</f>
        <v>46113.678298611107</v>
      </c>
      <c r="GJ17" s="18">
        <f>MONTH(Data_FAGLL03[[#This Row],[Time Stamp_VN]])</f>
        <v>4</v>
      </c>
      <c r="GK17">
        <f>DAY(Data_FAGLL03[[#This Row],[Time Stamp_VN]])</f>
        <v>1</v>
      </c>
      <c r="GL17" t="str">
        <f>TEXT(Data_FAGLL03[[#This Row],[Tháng]],"00")&amp;" | "&amp;TEXT(Data_FAGLL03[[#This Row],[Ngày]],"00")</f>
        <v>04 | 01</v>
      </c>
      <c r="GM17" s="18">
        <f>IF(Data_FAGLL03[[#This Row],[Text]]="",Data_FAGLL03[[#This Row],[Quantity_Original]],0)</f>
        <v>-11000</v>
      </c>
      <c r="GN17" s="18" t="str">
        <f>IF(Data_FAGLL03[[#This Row],[Quantity_Edited]]&lt;&gt;0,Data_FAGLL03[[#This Row],[Offsetting acct no.]]&amp;" | "&amp;Data_FAGLL03[[#This Row],[Material]],"")</f>
        <v>105314 | 110000374</v>
      </c>
      <c r="GO17" t="str">
        <f>IF(LEFT(Data_FAGLL03[[#This Row],[Offsetting acct no.]],1)="1","NĐ",IF(LEFT(Data_FAGLL03[[#This Row],[Offsetting acct no.]],1)="2","XK","Khác"))</f>
        <v>NĐ</v>
      </c>
      <c r="GP17" t="str">
        <f>IF(Data_FAGLL03[[#This Row],[Material]]&lt;&gt;"",_xlfn.XLOOKUP(Data_FAGLL03[[#This Row],[Material]],MD_SKU[Mã SKU],MD_SKU[Tên SKU]),"")</f>
        <v>Hạt Nhựa rHDB03N02</v>
      </c>
      <c r="GQ17" t="str">
        <f>IF(Data_FAGLL03[[#This Row],[Material]]&lt;&gt;"",_xlfn.XLOOKUP(Data_FAGLL03[[#This Row],[Material]],MD_SKU[Mã SKU],MD_SKU[Nhóm SP 1]),"")</f>
        <v>rHDPE</v>
      </c>
      <c r="GR17" t="str">
        <f>IF(Data_FAGLL03[[#This Row],[Material]]&lt;&gt;"",_xlfn.XLOOKUP(Data_FAGLL03[[#This Row],[Material]],MD_SKU[Mã SKU],MD_SKU[Nhóm SP 2]),"")</f>
        <v>rHDPE thổi</v>
      </c>
      <c r="GS17" t="str">
        <f>IF(Data_FAGLL03[[#This Row],[Material]]&lt;&gt;"",_xlfn.XLOOKUP(Data_FAGLL03[[#This Row],[Material]],MD_SKU[Mã SKU],MD_SKU[Nhóm SP 3]),"")</f>
        <v>rHDPE thổi</v>
      </c>
      <c r="GT17" t="str">
        <f>IF(Data_FAGLL03[[#This Row],[Material]]&lt;&gt;"",_xlfn.XLOOKUP(Data_FAGLL03[[#This Row],[Material]],MD_SKU[Mã SKU],MD_SKU[Nhóm SP 4]),"")</f>
        <v>Hạt rHDPE thổi</v>
      </c>
    </row>
    <row r="18" spans="1:202" x14ac:dyDescent="0.25">
      <c r="A18" t="s">
        <v>0</v>
      </c>
      <c r="B18" s="2">
        <v>46113</v>
      </c>
      <c r="C18" t="s">
        <v>2117</v>
      </c>
      <c r="D18" t="s">
        <v>1</v>
      </c>
      <c r="E18" t="s">
        <v>1</v>
      </c>
      <c r="F18" t="s">
        <v>31</v>
      </c>
      <c r="G18" t="s">
        <v>31</v>
      </c>
      <c r="H18" t="s">
        <v>57</v>
      </c>
      <c r="I18" s="19">
        <v>-105600000</v>
      </c>
      <c r="J18" t="s">
        <v>58</v>
      </c>
      <c r="K18" t="s">
        <v>1</v>
      </c>
      <c r="L18" t="s">
        <v>39</v>
      </c>
      <c r="M18" t="s">
        <v>41</v>
      </c>
      <c r="N18" t="s">
        <v>254</v>
      </c>
      <c r="O18" t="s">
        <v>4</v>
      </c>
      <c r="P18" t="s">
        <v>2118</v>
      </c>
      <c r="Q18" t="s">
        <v>31</v>
      </c>
      <c r="R18" t="s">
        <v>5</v>
      </c>
      <c r="S18" t="s">
        <v>1</v>
      </c>
      <c r="T18" s="3">
        <v>-105600000</v>
      </c>
      <c r="U18" s="19">
        <v>-105600000</v>
      </c>
      <c r="V18" s="3">
        <v>-105600000</v>
      </c>
      <c r="W18" s="3">
        <v>-105600000</v>
      </c>
      <c r="X18" s="4">
        <v>0</v>
      </c>
      <c r="Y18" s="4">
        <v>0</v>
      </c>
      <c r="Z18" s="3">
        <v>0</v>
      </c>
      <c r="AA18" s="3">
        <v>0</v>
      </c>
      <c r="AB18" t="s">
        <v>1</v>
      </c>
      <c r="AC18" t="s">
        <v>24</v>
      </c>
      <c r="AD18" s="2"/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25</v>
      </c>
      <c r="AK18" s="4">
        <v>0</v>
      </c>
      <c r="AL18" t="s">
        <v>1</v>
      </c>
      <c r="AM18" s="5" t="s">
        <v>1</v>
      </c>
      <c r="AN18" t="s">
        <v>1</v>
      </c>
      <c r="AO18" s="2"/>
      <c r="AP18" t="s">
        <v>1</v>
      </c>
      <c r="AQ18" t="s">
        <v>1</v>
      </c>
      <c r="AR18" s="3">
        <v>0</v>
      </c>
      <c r="AS18" t="s">
        <v>1</v>
      </c>
      <c r="AT18" t="s">
        <v>7</v>
      </c>
      <c r="AU18" t="s">
        <v>1</v>
      </c>
      <c r="AV18" t="s">
        <v>1</v>
      </c>
      <c r="AW18" t="s">
        <v>8</v>
      </c>
      <c r="AX18" t="s">
        <v>8</v>
      </c>
      <c r="AY18" t="s">
        <v>1</v>
      </c>
      <c r="AZ18" s="4">
        <v>0</v>
      </c>
      <c r="BA18" t="s">
        <v>1</v>
      </c>
      <c r="BB18" s="3">
        <v>0</v>
      </c>
      <c r="BC18" s="3">
        <v>0</v>
      </c>
      <c r="BD18" s="3">
        <v>0</v>
      </c>
      <c r="BE18" t="s">
        <v>20</v>
      </c>
      <c r="BF18" t="s">
        <v>1</v>
      </c>
      <c r="BG18" s="4">
        <v>0</v>
      </c>
      <c r="BH18" s="4">
        <v>0</v>
      </c>
      <c r="BI18" s="6">
        <v>0</v>
      </c>
      <c r="BJ18" s="6">
        <v>0</v>
      </c>
      <c r="BK18" t="s">
        <v>1</v>
      </c>
      <c r="BL18" t="s">
        <v>1</v>
      </c>
      <c r="BM18" t="s">
        <v>1</v>
      </c>
      <c r="BN18" t="s">
        <v>9</v>
      </c>
      <c r="BO18" s="2">
        <v>46113</v>
      </c>
      <c r="BP18" t="s">
        <v>1</v>
      </c>
      <c r="BQ18" t="s">
        <v>2117</v>
      </c>
      <c r="BR18" t="s">
        <v>27</v>
      </c>
      <c r="BS18" t="s">
        <v>1</v>
      </c>
      <c r="BT18" t="s">
        <v>1</v>
      </c>
      <c r="BU18" t="s">
        <v>1</v>
      </c>
      <c r="BV18" t="s">
        <v>1</v>
      </c>
      <c r="BW18" t="s">
        <v>7</v>
      </c>
      <c r="BX18" t="s">
        <v>10</v>
      </c>
      <c r="BY18" s="2"/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254</v>
      </c>
      <c r="CJ18" s="3">
        <v>-105600000</v>
      </c>
      <c r="CK18" t="s">
        <v>9</v>
      </c>
      <c r="CL18" t="s">
        <v>11</v>
      </c>
      <c r="CM18" t="s">
        <v>1</v>
      </c>
      <c r="CN18" s="4">
        <v>0</v>
      </c>
      <c r="CO18" t="s">
        <v>7</v>
      </c>
      <c r="CP18" t="s">
        <v>7</v>
      </c>
      <c r="CQ18" t="s">
        <v>7</v>
      </c>
      <c r="CR18" t="s">
        <v>7</v>
      </c>
      <c r="CS18" s="4">
        <v>0</v>
      </c>
      <c r="CT18" t="s">
        <v>2117</v>
      </c>
      <c r="CU18" t="s">
        <v>7</v>
      </c>
      <c r="CV18" t="s">
        <v>1</v>
      </c>
      <c r="CW18" s="2"/>
      <c r="CX18" t="s">
        <v>12</v>
      </c>
      <c r="CY18" t="s">
        <v>1</v>
      </c>
      <c r="CZ18" t="s">
        <v>13</v>
      </c>
      <c r="DA18" t="s">
        <v>1</v>
      </c>
      <c r="DB18" t="s">
        <v>9</v>
      </c>
      <c r="DC18" t="s">
        <v>9</v>
      </c>
      <c r="DD18" t="s">
        <v>1</v>
      </c>
      <c r="DE18" t="s">
        <v>1</v>
      </c>
      <c r="DF18" t="s">
        <v>1</v>
      </c>
      <c r="DG18" t="s">
        <v>309</v>
      </c>
      <c r="DH18" t="s">
        <v>1</v>
      </c>
      <c r="DI18" s="2"/>
      <c r="DJ18" t="s">
        <v>1</v>
      </c>
      <c r="DK18" t="s">
        <v>14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s="2"/>
      <c r="DW18" t="s">
        <v>1</v>
      </c>
      <c r="DX18" t="s">
        <v>1</v>
      </c>
      <c r="DY18" t="s">
        <v>2119</v>
      </c>
      <c r="DZ18" t="s">
        <v>1</v>
      </c>
      <c r="EA18" t="s">
        <v>1</v>
      </c>
      <c r="EB18" t="s">
        <v>28</v>
      </c>
      <c r="EC18" t="s">
        <v>7</v>
      </c>
      <c r="ED18" t="s">
        <v>1</v>
      </c>
      <c r="EE18" t="s">
        <v>1</v>
      </c>
      <c r="EF18" t="s">
        <v>22</v>
      </c>
      <c r="EG18" t="s">
        <v>41</v>
      </c>
      <c r="EH18" t="s">
        <v>15</v>
      </c>
      <c r="EI18" t="s">
        <v>1</v>
      </c>
      <c r="EJ18" s="6">
        <v>-5500</v>
      </c>
      <c r="EK18" t="s">
        <v>1</v>
      </c>
      <c r="EL18" t="s">
        <v>1</v>
      </c>
      <c r="EM18" t="s">
        <v>1</v>
      </c>
      <c r="EN18" t="s">
        <v>1</v>
      </c>
      <c r="EO18" s="2"/>
      <c r="EP18" t="s">
        <v>2119</v>
      </c>
      <c r="EQ18" t="s">
        <v>1</v>
      </c>
      <c r="ER18" t="s">
        <v>1</v>
      </c>
      <c r="ES18" t="s">
        <v>1</v>
      </c>
      <c r="ET18" t="s">
        <v>29</v>
      </c>
      <c r="EU18" t="s">
        <v>1</v>
      </c>
      <c r="EV18" t="s">
        <v>1</v>
      </c>
      <c r="EW18" t="s">
        <v>7</v>
      </c>
      <c r="EX18" t="s">
        <v>7</v>
      </c>
      <c r="EY18" t="s">
        <v>1</v>
      </c>
      <c r="EZ18" t="s">
        <v>1</v>
      </c>
      <c r="FA18" t="s">
        <v>1</v>
      </c>
      <c r="FB18" s="3">
        <v>50</v>
      </c>
      <c r="FC18" t="s">
        <v>1</v>
      </c>
      <c r="FD18" t="s">
        <v>1</v>
      </c>
      <c r="FE18" t="s">
        <v>1</v>
      </c>
      <c r="FF18" t="s">
        <v>17</v>
      </c>
      <c r="FG18" t="s">
        <v>1</v>
      </c>
      <c r="FH18" t="s">
        <v>1</v>
      </c>
      <c r="FI18" t="s">
        <v>1</v>
      </c>
      <c r="FJ18" t="s">
        <v>1</v>
      </c>
      <c r="FK18" s="7">
        <v>46113.399062500001</v>
      </c>
      <c r="FL18" t="s">
        <v>1</v>
      </c>
      <c r="FM18" t="s">
        <v>1</v>
      </c>
      <c r="FN18" t="s">
        <v>1</v>
      </c>
      <c r="FO18" s="19">
        <v>-105600000</v>
      </c>
      <c r="FP18" s="4">
        <v>0</v>
      </c>
      <c r="FQ18" s="19">
        <v>-105600000</v>
      </c>
      <c r="FR18" s="4">
        <v>0</v>
      </c>
      <c r="FS18" s="4">
        <v>0</v>
      </c>
      <c r="FT18" s="4">
        <v>0</v>
      </c>
      <c r="FU18" s="2">
        <v>46113</v>
      </c>
      <c r="FV18" t="s">
        <v>1</v>
      </c>
      <c r="FW18" s="4">
        <v>0</v>
      </c>
      <c r="FX18" t="s">
        <v>1</v>
      </c>
      <c r="FY18" t="s">
        <v>1</v>
      </c>
      <c r="FZ18" s="4">
        <v>0</v>
      </c>
      <c r="GA18" s="4">
        <v>0</v>
      </c>
      <c r="GB18" t="s">
        <v>2070</v>
      </c>
      <c r="GC18" t="str">
        <f>RIGHT(Data_FAGLL03[[#This Row],[Payment reference]],8)</f>
        <v>91172516</v>
      </c>
      <c r="GD18" t="str">
        <f>IF(Data_FAGLL03[[#This Row],[Billing]]&lt;&gt;"",_xlfn.XLOOKUP(Data_FAGLL03[[#This Row],[Billing]],MD_BILLING_SO[BILIING],MD_BILLING_SO[SO-EDITED]),"")</f>
        <v>30030465</v>
      </c>
      <c r="GE18" s="18">
        <f>IF(SUBSTITUTE(Data_FAGLL03[[#This Row],[Eff.exchange rate]],",","")/100000=1,1,SUBSTITUTE(Data_FAGLL03[[#This Row],[Eff.exchange rate]],",","")/100)</f>
        <v>1</v>
      </c>
      <c r="GF18" s="17">
        <f>IF(Data_FAGLL03[[#This Row],[Material]]&lt;&gt;"",IFERROR(Data_FAGLL03[[#This Row],[Amount in local currency]]/Data_FAGLL03[[#This Row],[Quantity_Original]],0),0)</f>
        <v>19200</v>
      </c>
      <c r="GG18" s="18">
        <f>IF(Data_FAGLL03[[#This Row],[XK/NĐ]]="XK",Data_FAGLL03[[#This Row],[GB trung bình]]/Data_FAGLL03[[#This Row],[EXR]],0)*1000</f>
        <v>0</v>
      </c>
      <c r="GH18" s="18" cm="1">
        <f t="array" ref="GH18">IF(Data_FAGLL03[[#This Row],[Document currency]]&lt;&gt;"VND",Data_FAGLL03[[#This Row],[Amount in doc. curr.]],Data_FAGLL03[[#This Row],[Amount in local currency]]/EXR)</f>
        <v>-4022.5287394012798</v>
      </c>
      <c r="GI18" s="10">
        <f>Data_FAGLL03[[#This Row],[Time Stamp]]+TIME(7,0,0)</f>
        <v>46113.690729166665</v>
      </c>
      <c r="GJ18" s="18">
        <f>MONTH(Data_FAGLL03[[#This Row],[Time Stamp_VN]])</f>
        <v>4</v>
      </c>
      <c r="GK18">
        <f>DAY(Data_FAGLL03[[#This Row],[Time Stamp_VN]])</f>
        <v>1</v>
      </c>
      <c r="GL18" t="str">
        <f>TEXT(Data_FAGLL03[[#This Row],[Tháng]],"00")&amp;" | "&amp;TEXT(Data_FAGLL03[[#This Row],[Ngày]],"00")</f>
        <v>04 | 01</v>
      </c>
      <c r="GM18" s="18">
        <f>IF(Data_FAGLL03[[#This Row],[Text]]="",Data_FAGLL03[[#This Row],[Quantity_Original]],0)</f>
        <v>-5500</v>
      </c>
      <c r="GN18" s="18" t="str">
        <f>IF(Data_FAGLL03[[#This Row],[Quantity_Edited]]&lt;&gt;0,Data_FAGLL03[[#This Row],[Offsetting acct no.]]&amp;" | "&amp;Data_FAGLL03[[#This Row],[Material]],"")</f>
        <v>105339 | 110000361</v>
      </c>
      <c r="GO18" t="str">
        <f>IF(LEFT(Data_FAGLL03[[#This Row],[Offsetting acct no.]],1)="1","NĐ",IF(LEFT(Data_FAGLL03[[#This Row],[Offsetting acct no.]],1)="2","XK","Khác"))</f>
        <v>NĐ</v>
      </c>
      <c r="GP18" t="str">
        <f>IF(Data_FAGLL03[[#This Row],[Material]]&lt;&gt;"",_xlfn.XLOOKUP(Data_FAGLL03[[#This Row],[Material]],MD_SKU[Mã SKU],MD_SKU[Tên SKU]),"")</f>
        <v>Hạt nhựa rHDI3R01</v>
      </c>
      <c r="GQ18" t="str">
        <f>IF(Data_FAGLL03[[#This Row],[Material]]&lt;&gt;"",_xlfn.XLOOKUP(Data_FAGLL03[[#This Row],[Material]],MD_SKU[Mã SKU],MD_SKU[Nhóm SP 1]),"")</f>
        <v>rHDPE</v>
      </c>
      <c r="GR18" t="str">
        <f>IF(Data_FAGLL03[[#This Row],[Material]]&lt;&gt;"",_xlfn.XLOOKUP(Data_FAGLL03[[#This Row],[Material]],MD_SKU[Mã SKU],MD_SKU[Nhóm SP 2]),"")</f>
        <v>rHDPE ép</v>
      </c>
      <c r="GS18" t="str">
        <f>IF(Data_FAGLL03[[#This Row],[Material]]&lt;&gt;"",_xlfn.XLOOKUP(Data_FAGLL03[[#This Row],[Material]],MD_SKU[Mã SKU],MD_SKU[Nhóm SP 3]),"")</f>
        <v>rHDPE ép</v>
      </c>
      <c r="GT18" t="str">
        <f>IF(Data_FAGLL03[[#This Row],[Material]]&lt;&gt;"",_xlfn.XLOOKUP(Data_FAGLL03[[#This Row],[Material]],MD_SKU[Mã SKU],MD_SKU[Nhóm SP 4]),"")</f>
        <v>Hạt rHDPE ép</v>
      </c>
    </row>
    <row r="19" spans="1:202" x14ac:dyDescent="0.25">
      <c r="A19" t="s">
        <v>0</v>
      </c>
      <c r="B19" s="2">
        <v>46113</v>
      </c>
      <c r="C19" t="s">
        <v>2120</v>
      </c>
      <c r="D19" t="s">
        <v>1</v>
      </c>
      <c r="E19" t="s">
        <v>1</v>
      </c>
      <c r="F19" t="s">
        <v>31</v>
      </c>
      <c r="G19" t="s">
        <v>31</v>
      </c>
      <c r="H19" t="s">
        <v>34</v>
      </c>
      <c r="I19" s="19">
        <v>-389059000</v>
      </c>
      <c r="J19" t="s">
        <v>35</v>
      </c>
      <c r="K19" t="s">
        <v>1</v>
      </c>
      <c r="L19" t="s">
        <v>39</v>
      </c>
      <c r="M19" t="s">
        <v>41</v>
      </c>
      <c r="N19" t="s">
        <v>254</v>
      </c>
      <c r="O19" t="s">
        <v>4</v>
      </c>
      <c r="P19" t="s">
        <v>2121</v>
      </c>
      <c r="Q19" t="s">
        <v>31</v>
      </c>
      <c r="R19" t="s">
        <v>5</v>
      </c>
      <c r="S19" t="s">
        <v>1</v>
      </c>
      <c r="T19" s="3">
        <v>-389059000</v>
      </c>
      <c r="U19" s="19">
        <v>-389059000</v>
      </c>
      <c r="V19" s="3">
        <v>-389059000</v>
      </c>
      <c r="W19" s="3">
        <v>-389059000</v>
      </c>
      <c r="X19" s="4">
        <v>0</v>
      </c>
      <c r="Y19" s="4">
        <v>0</v>
      </c>
      <c r="Z19" s="3">
        <v>0</v>
      </c>
      <c r="AA19" s="3">
        <v>0</v>
      </c>
      <c r="AB19" t="s">
        <v>1</v>
      </c>
      <c r="AC19" t="s">
        <v>24</v>
      </c>
      <c r="AD19" s="2"/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25</v>
      </c>
      <c r="AK19" s="4">
        <v>0</v>
      </c>
      <c r="AL19" t="s">
        <v>1</v>
      </c>
      <c r="AM19" s="5" t="s">
        <v>1</v>
      </c>
      <c r="AN19" t="s">
        <v>1</v>
      </c>
      <c r="AO19" s="2"/>
      <c r="AP19" t="s">
        <v>1</v>
      </c>
      <c r="AQ19" t="s">
        <v>1</v>
      </c>
      <c r="AR19" s="3">
        <v>0</v>
      </c>
      <c r="AS19" t="s">
        <v>1</v>
      </c>
      <c r="AT19" t="s">
        <v>7</v>
      </c>
      <c r="AU19" t="s">
        <v>1</v>
      </c>
      <c r="AV19" t="s">
        <v>1</v>
      </c>
      <c r="AW19" t="s">
        <v>8</v>
      </c>
      <c r="AX19" t="s">
        <v>8</v>
      </c>
      <c r="AY19" t="s">
        <v>1</v>
      </c>
      <c r="AZ19" s="4">
        <v>0</v>
      </c>
      <c r="BA19" t="s">
        <v>1</v>
      </c>
      <c r="BB19" s="3">
        <v>0</v>
      </c>
      <c r="BC19" s="3">
        <v>0</v>
      </c>
      <c r="BD19" s="3">
        <v>0</v>
      </c>
      <c r="BE19" t="s">
        <v>20</v>
      </c>
      <c r="BF19" t="s">
        <v>1</v>
      </c>
      <c r="BG19" s="4">
        <v>0</v>
      </c>
      <c r="BH19" s="4">
        <v>0</v>
      </c>
      <c r="BI19" s="6">
        <v>0</v>
      </c>
      <c r="BJ19" s="6">
        <v>0</v>
      </c>
      <c r="BK19" t="s">
        <v>1</v>
      </c>
      <c r="BL19" t="s">
        <v>1</v>
      </c>
      <c r="BM19" t="s">
        <v>1</v>
      </c>
      <c r="BN19" t="s">
        <v>9</v>
      </c>
      <c r="BO19" s="2">
        <v>46113</v>
      </c>
      <c r="BP19" t="s">
        <v>1</v>
      </c>
      <c r="BQ19" t="s">
        <v>2120</v>
      </c>
      <c r="BR19" t="s">
        <v>27</v>
      </c>
      <c r="BS19" t="s">
        <v>1</v>
      </c>
      <c r="BT19" t="s">
        <v>1</v>
      </c>
      <c r="BU19" t="s">
        <v>1</v>
      </c>
      <c r="BV19" t="s">
        <v>1</v>
      </c>
      <c r="BW19" t="s">
        <v>7</v>
      </c>
      <c r="BX19" t="s">
        <v>10</v>
      </c>
      <c r="BY19" s="2"/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254</v>
      </c>
      <c r="CJ19" s="3">
        <v>-389059000</v>
      </c>
      <c r="CK19" t="s">
        <v>9</v>
      </c>
      <c r="CL19" t="s">
        <v>11</v>
      </c>
      <c r="CM19" t="s">
        <v>1</v>
      </c>
      <c r="CN19" s="4">
        <v>0</v>
      </c>
      <c r="CO19" t="s">
        <v>7</v>
      </c>
      <c r="CP19" t="s">
        <v>7</v>
      </c>
      <c r="CQ19" t="s">
        <v>7</v>
      </c>
      <c r="CR19" t="s">
        <v>7</v>
      </c>
      <c r="CS19" s="4">
        <v>0</v>
      </c>
      <c r="CT19" t="s">
        <v>2120</v>
      </c>
      <c r="CU19" t="s">
        <v>7</v>
      </c>
      <c r="CV19" t="s">
        <v>1</v>
      </c>
      <c r="CW19" s="2"/>
      <c r="CX19" t="s">
        <v>12</v>
      </c>
      <c r="CY19" t="s">
        <v>1</v>
      </c>
      <c r="CZ19" t="s">
        <v>13</v>
      </c>
      <c r="DA19" t="s">
        <v>1</v>
      </c>
      <c r="DB19" t="s">
        <v>9</v>
      </c>
      <c r="DC19" t="s">
        <v>9</v>
      </c>
      <c r="DD19" t="s">
        <v>1</v>
      </c>
      <c r="DE19" t="s">
        <v>1</v>
      </c>
      <c r="DF19" t="s">
        <v>1</v>
      </c>
      <c r="DG19" t="s">
        <v>261</v>
      </c>
      <c r="DH19" t="s">
        <v>1</v>
      </c>
      <c r="DI19" s="2"/>
      <c r="DJ19" t="s">
        <v>1</v>
      </c>
      <c r="DK19" t="s">
        <v>14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s="2"/>
      <c r="DW19" t="s">
        <v>1</v>
      </c>
      <c r="DX19" t="s">
        <v>1</v>
      </c>
      <c r="DY19" t="s">
        <v>2122</v>
      </c>
      <c r="DZ19" t="s">
        <v>1</v>
      </c>
      <c r="EA19" t="s">
        <v>1</v>
      </c>
      <c r="EB19" t="s">
        <v>28</v>
      </c>
      <c r="EC19" t="s">
        <v>7</v>
      </c>
      <c r="ED19" t="s">
        <v>1</v>
      </c>
      <c r="EE19" t="s">
        <v>1</v>
      </c>
      <c r="EF19" t="s">
        <v>22</v>
      </c>
      <c r="EG19" t="s">
        <v>41</v>
      </c>
      <c r="EH19" t="s">
        <v>15</v>
      </c>
      <c r="EI19" t="s">
        <v>1</v>
      </c>
      <c r="EJ19" s="6">
        <v>-11000</v>
      </c>
      <c r="EK19" t="s">
        <v>1</v>
      </c>
      <c r="EL19" t="s">
        <v>1</v>
      </c>
      <c r="EM19" t="s">
        <v>1</v>
      </c>
      <c r="EN19" t="s">
        <v>1</v>
      </c>
      <c r="EO19" s="2"/>
      <c r="EP19" t="s">
        <v>2122</v>
      </c>
      <c r="EQ19" t="s">
        <v>1</v>
      </c>
      <c r="ER19" t="s">
        <v>1</v>
      </c>
      <c r="ES19" t="s">
        <v>1</v>
      </c>
      <c r="ET19" t="s">
        <v>29</v>
      </c>
      <c r="EU19" t="s">
        <v>1</v>
      </c>
      <c r="EV19" t="s">
        <v>1</v>
      </c>
      <c r="EW19" t="s">
        <v>7</v>
      </c>
      <c r="EX19" t="s">
        <v>7</v>
      </c>
      <c r="EY19" t="s">
        <v>1</v>
      </c>
      <c r="EZ19" t="s">
        <v>1</v>
      </c>
      <c r="FA19" t="s">
        <v>1</v>
      </c>
      <c r="FB19" s="3">
        <v>50</v>
      </c>
      <c r="FC19" t="s">
        <v>1</v>
      </c>
      <c r="FD19" t="s">
        <v>1</v>
      </c>
      <c r="FE19" t="s">
        <v>1</v>
      </c>
      <c r="FF19" t="s">
        <v>17</v>
      </c>
      <c r="FG19" t="s">
        <v>1</v>
      </c>
      <c r="FH19" t="s">
        <v>1</v>
      </c>
      <c r="FI19" t="s">
        <v>1</v>
      </c>
      <c r="FJ19" t="s">
        <v>1</v>
      </c>
      <c r="FK19" s="7">
        <v>46113.447141203702</v>
      </c>
      <c r="FL19" t="s">
        <v>1</v>
      </c>
      <c r="FM19" t="s">
        <v>1</v>
      </c>
      <c r="FN19" t="s">
        <v>1</v>
      </c>
      <c r="FO19" s="19">
        <v>-389059000</v>
      </c>
      <c r="FP19" s="4">
        <v>0</v>
      </c>
      <c r="FQ19" s="19">
        <v>-389059000</v>
      </c>
      <c r="FR19" s="4">
        <v>0</v>
      </c>
      <c r="FS19" s="4">
        <v>0</v>
      </c>
      <c r="FT19" s="4">
        <v>0</v>
      </c>
      <c r="FU19" s="2">
        <v>46113</v>
      </c>
      <c r="FV19" t="s">
        <v>1</v>
      </c>
      <c r="FW19" s="4">
        <v>0</v>
      </c>
      <c r="FX19" t="s">
        <v>1</v>
      </c>
      <c r="FY19" t="s">
        <v>1</v>
      </c>
      <c r="FZ19" s="4">
        <v>0</v>
      </c>
      <c r="GA19" s="4">
        <v>0</v>
      </c>
      <c r="GB19" t="s">
        <v>2070</v>
      </c>
      <c r="GC19" t="str">
        <f>RIGHT(Data_FAGLL03[[#This Row],[Payment reference]],8)</f>
        <v>91172517</v>
      </c>
      <c r="GD19" t="str">
        <f>IF(Data_FAGLL03[[#This Row],[Billing]]&lt;&gt;"",_xlfn.XLOOKUP(Data_FAGLL03[[#This Row],[Billing]],MD_BILLING_SO[BILIING],MD_BILLING_SO[SO-EDITED]),"")</f>
        <v>30030655</v>
      </c>
      <c r="GE19" s="18">
        <f>IF(SUBSTITUTE(Data_FAGLL03[[#This Row],[Eff.exchange rate]],",","")/100000=1,1,SUBSTITUTE(Data_FAGLL03[[#This Row],[Eff.exchange rate]],",","")/100)</f>
        <v>1</v>
      </c>
      <c r="GF19" s="17">
        <f>IF(Data_FAGLL03[[#This Row],[Material]]&lt;&gt;"",IFERROR(Data_FAGLL03[[#This Row],[Amount in local currency]]/Data_FAGLL03[[#This Row],[Quantity_Original]],0),0)</f>
        <v>35369</v>
      </c>
      <c r="GG19" s="18">
        <f>IF(Data_FAGLL03[[#This Row],[XK/NĐ]]="XK",Data_FAGLL03[[#This Row],[GB trung bình]]/Data_FAGLL03[[#This Row],[EXR]],0)*1000</f>
        <v>0</v>
      </c>
      <c r="GH19" s="18" cm="1">
        <f t="array" ref="GH19">IF(Data_FAGLL03[[#This Row],[Document currency]]&lt;&gt;"VND",Data_FAGLL03[[#This Row],[Amount in doc. curr.]],Data_FAGLL03[[#This Row],[Amount in local currency]]/EXR)</f>
        <v>-14820.085310821236</v>
      </c>
      <c r="GI19" s="10">
        <f>Data_FAGLL03[[#This Row],[Time Stamp]]+TIME(7,0,0)</f>
        <v>46113.738807870366</v>
      </c>
      <c r="GJ19" s="18">
        <f>MONTH(Data_FAGLL03[[#This Row],[Time Stamp_VN]])</f>
        <v>4</v>
      </c>
      <c r="GK19">
        <f>DAY(Data_FAGLL03[[#This Row],[Time Stamp_VN]])</f>
        <v>1</v>
      </c>
      <c r="GL19" t="str">
        <f>TEXT(Data_FAGLL03[[#This Row],[Tháng]],"00")&amp;" | "&amp;TEXT(Data_FAGLL03[[#This Row],[Ngày]],"00")</f>
        <v>04 | 01</v>
      </c>
      <c r="GM19" s="18">
        <f>IF(Data_FAGLL03[[#This Row],[Text]]="",Data_FAGLL03[[#This Row],[Quantity_Original]],0)</f>
        <v>-11000</v>
      </c>
      <c r="GN19" s="18" t="str">
        <f>IF(Data_FAGLL03[[#This Row],[Quantity_Edited]]&lt;&gt;0,Data_FAGLL03[[#This Row],[Offsetting acct no.]]&amp;" | "&amp;Data_FAGLL03[[#This Row],[Material]],"")</f>
        <v>105263 | 110000481</v>
      </c>
      <c r="GO19" t="str">
        <f>IF(LEFT(Data_FAGLL03[[#This Row],[Offsetting acct no.]],1)="1","NĐ",IF(LEFT(Data_FAGLL03[[#This Row],[Offsetting acct no.]],1)="2","XK","Khác"))</f>
        <v>NĐ</v>
      </c>
      <c r="GP19" t="str">
        <f>IF(Data_FAGLL03[[#This Row],[Material]]&lt;&gt;"",_xlfn.XLOOKUP(Data_FAGLL03[[#This Row],[Material]],MD_SKU[Mã SKU],MD_SKU[Tên SKU]),"")</f>
        <v>Hạt Nhựa rHDPE PCF01</v>
      </c>
      <c r="GQ19" t="str">
        <f>IF(Data_FAGLL03[[#This Row],[Material]]&lt;&gt;"",_xlfn.XLOOKUP(Data_FAGLL03[[#This Row],[Material]],MD_SKU[Mã SKU],MD_SKU[Nhóm SP 1]),"")</f>
        <v>rHDPE</v>
      </c>
      <c r="GR19" t="str">
        <f>IF(Data_FAGLL03[[#This Row],[Material]]&lt;&gt;"",_xlfn.XLOOKUP(Data_FAGLL03[[#This Row],[Material]],MD_SKU[Mã SKU],MD_SKU[Nhóm SP 2]),"")</f>
        <v>rHDPE thổi</v>
      </c>
      <c r="GS19" t="str">
        <f>IF(Data_FAGLL03[[#This Row],[Material]]&lt;&gt;"",_xlfn.XLOOKUP(Data_FAGLL03[[#This Row],[Material]],MD_SKU[Mã SKU],MD_SKU[Nhóm SP 3]),"")</f>
        <v>rHDPE thổi</v>
      </c>
      <c r="GT19" t="str">
        <f>IF(Data_FAGLL03[[#This Row],[Material]]&lt;&gt;"",_xlfn.XLOOKUP(Data_FAGLL03[[#This Row],[Material]],MD_SKU[Mã SKU],MD_SKU[Nhóm SP 4]),"")</f>
        <v>Hạt rHDPE thổi</v>
      </c>
    </row>
    <row r="20" spans="1:202" x14ac:dyDescent="0.25">
      <c r="A20" t="s">
        <v>0</v>
      </c>
      <c r="B20" s="2">
        <v>46113</v>
      </c>
      <c r="C20" t="s">
        <v>2123</v>
      </c>
      <c r="D20" t="s">
        <v>1</v>
      </c>
      <c r="E20" t="s">
        <v>1</v>
      </c>
      <c r="F20" t="s">
        <v>31</v>
      </c>
      <c r="G20" t="s">
        <v>31</v>
      </c>
      <c r="H20" t="s">
        <v>51</v>
      </c>
      <c r="I20" s="19">
        <v>-89120370</v>
      </c>
      <c r="J20" t="s">
        <v>52</v>
      </c>
      <c r="K20" t="s">
        <v>1</v>
      </c>
      <c r="L20" t="s">
        <v>39</v>
      </c>
      <c r="M20" t="s">
        <v>41</v>
      </c>
      <c r="N20" t="s">
        <v>254</v>
      </c>
      <c r="O20" t="s">
        <v>4</v>
      </c>
      <c r="P20" t="s">
        <v>2124</v>
      </c>
      <c r="Q20" t="s">
        <v>31</v>
      </c>
      <c r="R20" t="s">
        <v>5</v>
      </c>
      <c r="S20" t="s">
        <v>1</v>
      </c>
      <c r="T20" s="3">
        <v>-89120370</v>
      </c>
      <c r="U20" s="19">
        <v>-89120370</v>
      </c>
      <c r="V20" s="3">
        <v>-89120370</v>
      </c>
      <c r="W20" s="3">
        <v>-89120370</v>
      </c>
      <c r="X20" s="4">
        <v>0</v>
      </c>
      <c r="Y20" s="4">
        <v>0</v>
      </c>
      <c r="Z20" s="3">
        <v>0</v>
      </c>
      <c r="AA20" s="3">
        <v>0</v>
      </c>
      <c r="AB20" t="s">
        <v>1</v>
      </c>
      <c r="AC20" t="s">
        <v>24</v>
      </c>
      <c r="AD20" s="2"/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25</v>
      </c>
      <c r="AK20" s="4">
        <v>0</v>
      </c>
      <c r="AL20" t="s">
        <v>1</v>
      </c>
      <c r="AM20" s="5" t="s">
        <v>1</v>
      </c>
      <c r="AN20" t="s">
        <v>1</v>
      </c>
      <c r="AO20" s="2"/>
      <c r="AP20" t="s">
        <v>1</v>
      </c>
      <c r="AQ20" t="s">
        <v>1</v>
      </c>
      <c r="AR20" s="3">
        <v>0</v>
      </c>
      <c r="AS20" t="s">
        <v>1</v>
      </c>
      <c r="AT20" t="s">
        <v>7</v>
      </c>
      <c r="AU20" t="s">
        <v>1</v>
      </c>
      <c r="AV20" t="s">
        <v>1</v>
      </c>
      <c r="AW20" t="s">
        <v>8</v>
      </c>
      <c r="AX20" t="s">
        <v>8</v>
      </c>
      <c r="AY20" t="s">
        <v>1</v>
      </c>
      <c r="AZ20" s="4">
        <v>0</v>
      </c>
      <c r="BA20" t="s">
        <v>1</v>
      </c>
      <c r="BB20" s="3">
        <v>0</v>
      </c>
      <c r="BC20" s="3">
        <v>0</v>
      </c>
      <c r="BD20" s="3">
        <v>0</v>
      </c>
      <c r="BE20" t="s">
        <v>20</v>
      </c>
      <c r="BF20" t="s">
        <v>1</v>
      </c>
      <c r="BG20" s="4">
        <v>0</v>
      </c>
      <c r="BH20" s="4">
        <v>0</v>
      </c>
      <c r="BI20" s="6">
        <v>0</v>
      </c>
      <c r="BJ20" s="6">
        <v>0</v>
      </c>
      <c r="BK20" t="s">
        <v>1</v>
      </c>
      <c r="BL20" t="s">
        <v>1</v>
      </c>
      <c r="BM20" t="s">
        <v>1</v>
      </c>
      <c r="BN20" t="s">
        <v>9</v>
      </c>
      <c r="BO20" s="2">
        <v>46113</v>
      </c>
      <c r="BP20" t="s">
        <v>1</v>
      </c>
      <c r="BQ20" t="s">
        <v>2123</v>
      </c>
      <c r="BR20" t="s">
        <v>27</v>
      </c>
      <c r="BS20" t="s">
        <v>1</v>
      </c>
      <c r="BT20" t="s">
        <v>1</v>
      </c>
      <c r="BU20" t="s">
        <v>1</v>
      </c>
      <c r="BV20" t="s">
        <v>1</v>
      </c>
      <c r="BW20" t="s">
        <v>7</v>
      </c>
      <c r="BX20" t="s">
        <v>10</v>
      </c>
      <c r="BY20" s="2"/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254</v>
      </c>
      <c r="CJ20" s="3">
        <v>-89120370</v>
      </c>
      <c r="CK20" t="s">
        <v>9</v>
      </c>
      <c r="CL20" t="s">
        <v>11</v>
      </c>
      <c r="CM20" t="s">
        <v>1</v>
      </c>
      <c r="CN20" s="4">
        <v>0</v>
      </c>
      <c r="CO20" t="s">
        <v>7</v>
      </c>
      <c r="CP20" t="s">
        <v>7</v>
      </c>
      <c r="CQ20" t="s">
        <v>7</v>
      </c>
      <c r="CR20" t="s">
        <v>7</v>
      </c>
      <c r="CS20" s="4">
        <v>0</v>
      </c>
      <c r="CT20" t="s">
        <v>2123</v>
      </c>
      <c r="CU20" t="s">
        <v>7</v>
      </c>
      <c r="CV20" t="s">
        <v>1</v>
      </c>
      <c r="CW20" s="2"/>
      <c r="CX20" t="s">
        <v>12</v>
      </c>
      <c r="CY20" t="s">
        <v>1</v>
      </c>
      <c r="CZ20" t="s">
        <v>13</v>
      </c>
      <c r="DA20" t="s">
        <v>1</v>
      </c>
      <c r="DB20" t="s">
        <v>9</v>
      </c>
      <c r="DC20" t="s">
        <v>9</v>
      </c>
      <c r="DD20" t="s">
        <v>1</v>
      </c>
      <c r="DE20" t="s">
        <v>1</v>
      </c>
      <c r="DF20" t="s">
        <v>1</v>
      </c>
      <c r="DG20" t="s">
        <v>53</v>
      </c>
      <c r="DH20" t="s">
        <v>1</v>
      </c>
      <c r="DI20" s="2"/>
      <c r="DJ20" t="s">
        <v>1</v>
      </c>
      <c r="DK20" t="s">
        <v>14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s="2"/>
      <c r="DW20" t="s">
        <v>1</v>
      </c>
      <c r="DX20" t="s">
        <v>1</v>
      </c>
      <c r="DY20" t="s">
        <v>2125</v>
      </c>
      <c r="DZ20" t="s">
        <v>1</v>
      </c>
      <c r="EA20" t="s">
        <v>1</v>
      </c>
      <c r="EB20" t="s">
        <v>28</v>
      </c>
      <c r="EC20" t="s">
        <v>7</v>
      </c>
      <c r="ED20" t="s">
        <v>1</v>
      </c>
      <c r="EE20" t="s">
        <v>1</v>
      </c>
      <c r="EF20" t="s">
        <v>22</v>
      </c>
      <c r="EG20" t="s">
        <v>41</v>
      </c>
      <c r="EH20" t="s">
        <v>15</v>
      </c>
      <c r="EI20" t="s">
        <v>1</v>
      </c>
      <c r="EJ20" s="6">
        <v>-5500</v>
      </c>
      <c r="EK20" t="s">
        <v>1</v>
      </c>
      <c r="EL20" t="s">
        <v>1</v>
      </c>
      <c r="EM20" t="s">
        <v>1</v>
      </c>
      <c r="EN20" t="s">
        <v>1</v>
      </c>
      <c r="EO20" s="2"/>
      <c r="EP20" t="s">
        <v>2125</v>
      </c>
      <c r="EQ20" t="s">
        <v>1</v>
      </c>
      <c r="ER20" t="s">
        <v>1</v>
      </c>
      <c r="ES20" t="s">
        <v>1</v>
      </c>
      <c r="ET20" t="s">
        <v>29</v>
      </c>
      <c r="EU20" t="s">
        <v>1</v>
      </c>
      <c r="EV20" t="s">
        <v>1</v>
      </c>
      <c r="EW20" t="s">
        <v>7</v>
      </c>
      <c r="EX20" t="s">
        <v>7</v>
      </c>
      <c r="EY20" t="s">
        <v>1</v>
      </c>
      <c r="EZ20" t="s">
        <v>1</v>
      </c>
      <c r="FA20" t="s">
        <v>1</v>
      </c>
      <c r="FB20" s="3">
        <v>50</v>
      </c>
      <c r="FC20" t="s">
        <v>1</v>
      </c>
      <c r="FD20" t="s">
        <v>1</v>
      </c>
      <c r="FE20" t="s">
        <v>1</v>
      </c>
      <c r="FF20" t="s">
        <v>17</v>
      </c>
      <c r="FG20" t="s">
        <v>1</v>
      </c>
      <c r="FH20" t="s">
        <v>1</v>
      </c>
      <c r="FI20" t="s">
        <v>1</v>
      </c>
      <c r="FJ20" t="s">
        <v>1</v>
      </c>
      <c r="FK20" s="7">
        <v>46113.456111111111</v>
      </c>
      <c r="FL20" t="s">
        <v>1</v>
      </c>
      <c r="FM20" t="s">
        <v>1</v>
      </c>
      <c r="FN20" t="s">
        <v>1</v>
      </c>
      <c r="FO20" s="19">
        <v>-89120370</v>
      </c>
      <c r="FP20" s="4">
        <v>0</v>
      </c>
      <c r="FQ20" s="19">
        <v>-89120370</v>
      </c>
      <c r="FR20" s="4">
        <v>0</v>
      </c>
      <c r="FS20" s="4">
        <v>0</v>
      </c>
      <c r="FT20" s="4">
        <v>0</v>
      </c>
      <c r="FU20" s="2">
        <v>46113</v>
      </c>
      <c r="FV20" t="s">
        <v>1</v>
      </c>
      <c r="FW20" s="4">
        <v>0</v>
      </c>
      <c r="FX20" t="s">
        <v>1</v>
      </c>
      <c r="FY20" t="s">
        <v>1</v>
      </c>
      <c r="FZ20" s="4">
        <v>0</v>
      </c>
      <c r="GA20" s="4">
        <v>0</v>
      </c>
      <c r="GB20" t="s">
        <v>2070</v>
      </c>
      <c r="GC20" t="str">
        <f>RIGHT(Data_FAGLL03[[#This Row],[Payment reference]],8)</f>
        <v>91172518</v>
      </c>
      <c r="GD20" t="str">
        <f>IF(Data_FAGLL03[[#This Row],[Billing]]&lt;&gt;"",_xlfn.XLOOKUP(Data_FAGLL03[[#This Row],[Billing]],MD_BILLING_SO[BILIING],MD_BILLING_SO[SO-EDITED]),"")</f>
        <v>30030667</v>
      </c>
      <c r="GE20" s="18">
        <f>IF(SUBSTITUTE(Data_FAGLL03[[#This Row],[Eff.exchange rate]],",","")/100000=1,1,SUBSTITUTE(Data_FAGLL03[[#This Row],[Eff.exchange rate]],",","")/100)</f>
        <v>1</v>
      </c>
      <c r="GF20" s="17">
        <f>IF(Data_FAGLL03[[#This Row],[Material]]&lt;&gt;"",IFERROR(Data_FAGLL03[[#This Row],[Amount in local currency]]/Data_FAGLL03[[#This Row],[Quantity_Original]],0),0)</f>
        <v>16203.703636363636</v>
      </c>
      <c r="GG20" s="18">
        <f>IF(Data_FAGLL03[[#This Row],[XK/NĐ]]="XK",Data_FAGLL03[[#This Row],[GB trung bình]]/Data_FAGLL03[[#This Row],[EXR]],0)*1000</f>
        <v>0</v>
      </c>
      <c r="GH20" s="18" cm="1">
        <f t="array" ref="GH20">IF(Data_FAGLL03[[#This Row],[Document currency]]&lt;&gt;"VND",Data_FAGLL03[[#This Row],[Amount in doc. curr.]],Data_FAGLL03[[#This Row],[Amount in local currency]]/EXR)</f>
        <v>-3394.7845605215493</v>
      </c>
      <c r="GI20" s="10">
        <f>Data_FAGLL03[[#This Row],[Time Stamp]]+TIME(7,0,0)</f>
        <v>46113.747777777775</v>
      </c>
      <c r="GJ20" s="18">
        <f>MONTH(Data_FAGLL03[[#This Row],[Time Stamp_VN]])</f>
        <v>4</v>
      </c>
      <c r="GK20">
        <f>DAY(Data_FAGLL03[[#This Row],[Time Stamp_VN]])</f>
        <v>1</v>
      </c>
      <c r="GL20" t="str">
        <f>TEXT(Data_FAGLL03[[#This Row],[Tháng]],"00")&amp;" | "&amp;TEXT(Data_FAGLL03[[#This Row],[Ngày]],"00")</f>
        <v>04 | 01</v>
      </c>
      <c r="GM20" s="18">
        <f>IF(Data_FAGLL03[[#This Row],[Text]]="",Data_FAGLL03[[#This Row],[Quantity_Original]],0)</f>
        <v>-5500</v>
      </c>
      <c r="GN20" s="18" t="str">
        <f>IF(Data_FAGLL03[[#This Row],[Quantity_Edited]]&lt;&gt;0,Data_FAGLL03[[#This Row],[Offsetting acct no.]]&amp;" | "&amp;Data_FAGLL03[[#This Row],[Material]],"")</f>
        <v>105349 | 110000341</v>
      </c>
      <c r="GO20" t="str">
        <f>IF(LEFT(Data_FAGLL03[[#This Row],[Offsetting acct no.]],1)="1","NĐ",IF(LEFT(Data_FAGLL03[[#This Row],[Offsetting acct no.]],1)="2","XK","Khác"))</f>
        <v>NĐ</v>
      </c>
      <c r="GP20" t="str">
        <f>IF(Data_FAGLL03[[#This Row],[Material]]&lt;&gt;"",_xlfn.XLOOKUP(Data_FAGLL03[[#This Row],[Material]],MD_SKU[Mã SKU],MD_SKU[Tên SKU]),"")</f>
        <v>Hạt nhựa rHDB04B01</v>
      </c>
      <c r="GQ20" t="str">
        <f>IF(Data_FAGLL03[[#This Row],[Material]]&lt;&gt;"",_xlfn.XLOOKUP(Data_FAGLL03[[#This Row],[Material]],MD_SKU[Mã SKU],MD_SKU[Nhóm SP 1]),"")</f>
        <v>rHDPE</v>
      </c>
      <c r="GR20" t="str">
        <f>IF(Data_FAGLL03[[#This Row],[Material]]&lt;&gt;"",_xlfn.XLOOKUP(Data_FAGLL03[[#This Row],[Material]],MD_SKU[Mã SKU],MD_SKU[Nhóm SP 2]),"")</f>
        <v>rHDPE thổi</v>
      </c>
      <c r="GS20" t="str">
        <f>IF(Data_FAGLL03[[#This Row],[Material]]&lt;&gt;"",_xlfn.XLOOKUP(Data_FAGLL03[[#This Row],[Material]],MD_SKU[Mã SKU],MD_SKU[Nhóm SP 3]),"")</f>
        <v>rHDPE thổi</v>
      </c>
      <c r="GT20" t="str">
        <f>IF(Data_FAGLL03[[#This Row],[Material]]&lt;&gt;"",_xlfn.XLOOKUP(Data_FAGLL03[[#This Row],[Material]],MD_SKU[Mã SKU],MD_SKU[Nhóm SP 4]),"")</f>
        <v>Hạt rHDPE thổi</v>
      </c>
    </row>
    <row r="21" spans="1:202" x14ac:dyDescent="0.25">
      <c r="A21" t="s">
        <v>0</v>
      </c>
      <c r="B21" s="2">
        <v>46113</v>
      </c>
      <c r="C21" t="s">
        <v>2126</v>
      </c>
      <c r="D21" t="s">
        <v>1</v>
      </c>
      <c r="E21" t="s">
        <v>1</v>
      </c>
      <c r="F21" t="s">
        <v>31</v>
      </c>
      <c r="G21" t="s">
        <v>31</v>
      </c>
      <c r="H21" t="s">
        <v>57</v>
      </c>
      <c r="I21" s="19">
        <v>-113850000</v>
      </c>
      <c r="J21" t="s">
        <v>58</v>
      </c>
      <c r="K21" t="s">
        <v>1</v>
      </c>
      <c r="L21" t="s">
        <v>39</v>
      </c>
      <c r="M21" t="s">
        <v>41</v>
      </c>
      <c r="N21" t="s">
        <v>254</v>
      </c>
      <c r="O21" t="s">
        <v>4</v>
      </c>
      <c r="P21" t="s">
        <v>2127</v>
      </c>
      <c r="Q21" t="s">
        <v>31</v>
      </c>
      <c r="R21" t="s">
        <v>5</v>
      </c>
      <c r="S21" t="s">
        <v>1</v>
      </c>
      <c r="T21" s="3">
        <v>-113850000</v>
      </c>
      <c r="U21" s="19">
        <v>-113850000</v>
      </c>
      <c r="V21" s="3">
        <v>-113850000</v>
      </c>
      <c r="W21" s="3">
        <v>-113850000</v>
      </c>
      <c r="X21" s="4">
        <v>0</v>
      </c>
      <c r="Y21" s="4">
        <v>0</v>
      </c>
      <c r="Z21" s="3">
        <v>0</v>
      </c>
      <c r="AA21" s="3">
        <v>0</v>
      </c>
      <c r="AB21" t="s">
        <v>1</v>
      </c>
      <c r="AC21" t="s">
        <v>24</v>
      </c>
      <c r="AD21" s="2"/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25</v>
      </c>
      <c r="AK21" s="4">
        <v>0</v>
      </c>
      <c r="AL21" t="s">
        <v>1</v>
      </c>
      <c r="AM21" s="5" t="s">
        <v>1</v>
      </c>
      <c r="AN21" t="s">
        <v>1</v>
      </c>
      <c r="AO21" s="2"/>
      <c r="AP21" t="s">
        <v>1</v>
      </c>
      <c r="AQ21" t="s">
        <v>1</v>
      </c>
      <c r="AR21" s="3">
        <v>0</v>
      </c>
      <c r="AS21" t="s">
        <v>1</v>
      </c>
      <c r="AT21" t="s">
        <v>7</v>
      </c>
      <c r="AU21" t="s">
        <v>1</v>
      </c>
      <c r="AV21" t="s">
        <v>1</v>
      </c>
      <c r="AW21" t="s">
        <v>8</v>
      </c>
      <c r="AX21" t="s">
        <v>8</v>
      </c>
      <c r="AY21" t="s">
        <v>1</v>
      </c>
      <c r="AZ21" s="4">
        <v>0</v>
      </c>
      <c r="BA21" t="s">
        <v>1</v>
      </c>
      <c r="BB21" s="3">
        <v>0</v>
      </c>
      <c r="BC21" s="3">
        <v>0</v>
      </c>
      <c r="BD21" s="3">
        <v>0</v>
      </c>
      <c r="BE21" t="s">
        <v>20</v>
      </c>
      <c r="BF21" t="s">
        <v>1</v>
      </c>
      <c r="BG21" s="4">
        <v>0</v>
      </c>
      <c r="BH21" s="4">
        <v>0</v>
      </c>
      <c r="BI21" s="6">
        <v>0</v>
      </c>
      <c r="BJ21" s="6">
        <v>0</v>
      </c>
      <c r="BK21" t="s">
        <v>1</v>
      </c>
      <c r="BL21" t="s">
        <v>1</v>
      </c>
      <c r="BM21" t="s">
        <v>1</v>
      </c>
      <c r="BN21" t="s">
        <v>9</v>
      </c>
      <c r="BO21" s="2">
        <v>46113</v>
      </c>
      <c r="BP21" t="s">
        <v>1</v>
      </c>
      <c r="BQ21" t="s">
        <v>2126</v>
      </c>
      <c r="BR21" t="s">
        <v>27</v>
      </c>
      <c r="BS21" t="s">
        <v>1</v>
      </c>
      <c r="BT21" t="s">
        <v>1</v>
      </c>
      <c r="BU21" t="s">
        <v>1</v>
      </c>
      <c r="BV21" t="s">
        <v>1</v>
      </c>
      <c r="BW21" t="s">
        <v>7</v>
      </c>
      <c r="BX21" t="s">
        <v>10</v>
      </c>
      <c r="BY21" s="2"/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254</v>
      </c>
      <c r="CJ21" s="3">
        <v>-113850000</v>
      </c>
      <c r="CK21" t="s">
        <v>9</v>
      </c>
      <c r="CL21" t="s">
        <v>11</v>
      </c>
      <c r="CM21" t="s">
        <v>1</v>
      </c>
      <c r="CN21" s="4">
        <v>0</v>
      </c>
      <c r="CO21" t="s">
        <v>7</v>
      </c>
      <c r="CP21" t="s">
        <v>7</v>
      </c>
      <c r="CQ21" t="s">
        <v>7</v>
      </c>
      <c r="CR21" t="s">
        <v>7</v>
      </c>
      <c r="CS21" s="4">
        <v>0</v>
      </c>
      <c r="CT21" t="s">
        <v>2126</v>
      </c>
      <c r="CU21" t="s">
        <v>7</v>
      </c>
      <c r="CV21" t="s">
        <v>1</v>
      </c>
      <c r="CW21" s="2"/>
      <c r="CX21" t="s">
        <v>12</v>
      </c>
      <c r="CY21" t="s">
        <v>1</v>
      </c>
      <c r="CZ21" t="s">
        <v>13</v>
      </c>
      <c r="DA21" t="s">
        <v>1</v>
      </c>
      <c r="DB21" t="s">
        <v>9</v>
      </c>
      <c r="DC21" t="s">
        <v>9</v>
      </c>
      <c r="DD21" t="s">
        <v>1</v>
      </c>
      <c r="DE21" t="s">
        <v>1</v>
      </c>
      <c r="DF21" t="s">
        <v>1</v>
      </c>
      <c r="DG21" t="s">
        <v>47</v>
      </c>
      <c r="DH21" t="s">
        <v>1</v>
      </c>
      <c r="DI21" s="2"/>
      <c r="DJ21" t="s">
        <v>1</v>
      </c>
      <c r="DK21" t="s">
        <v>14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s="2"/>
      <c r="DW21" t="s">
        <v>1</v>
      </c>
      <c r="DX21" t="s">
        <v>1</v>
      </c>
      <c r="DY21" t="s">
        <v>2128</v>
      </c>
      <c r="DZ21" t="s">
        <v>1</v>
      </c>
      <c r="EA21" t="s">
        <v>1</v>
      </c>
      <c r="EB21" t="s">
        <v>28</v>
      </c>
      <c r="EC21" t="s">
        <v>7</v>
      </c>
      <c r="ED21" t="s">
        <v>1</v>
      </c>
      <c r="EE21" t="s">
        <v>1</v>
      </c>
      <c r="EF21" t="s">
        <v>22</v>
      </c>
      <c r="EG21" t="s">
        <v>41</v>
      </c>
      <c r="EH21" t="s">
        <v>15</v>
      </c>
      <c r="EI21" t="s">
        <v>1</v>
      </c>
      <c r="EJ21" s="6">
        <v>-5500</v>
      </c>
      <c r="EK21" t="s">
        <v>1</v>
      </c>
      <c r="EL21" t="s">
        <v>1</v>
      </c>
      <c r="EM21" t="s">
        <v>1</v>
      </c>
      <c r="EN21" t="s">
        <v>1</v>
      </c>
      <c r="EO21" s="2"/>
      <c r="EP21" t="s">
        <v>2128</v>
      </c>
      <c r="EQ21" t="s">
        <v>1</v>
      </c>
      <c r="ER21" t="s">
        <v>1</v>
      </c>
      <c r="ES21" t="s">
        <v>1</v>
      </c>
      <c r="ET21" t="s">
        <v>29</v>
      </c>
      <c r="EU21" t="s">
        <v>1</v>
      </c>
      <c r="EV21" t="s">
        <v>1</v>
      </c>
      <c r="EW21" t="s">
        <v>7</v>
      </c>
      <c r="EX21" t="s">
        <v>7</v>
      </c>
      <c r="EY21" t="s">
        <v>1</v>
      </c>
      <c r="EZ21" t="s">
        <v>1</v>
      </c>
      <c r="FA21" t="s">
        <v>1</v>
      </c>
      <c r="FB21" s="3">
        <v>50</v>
      </c>
      <c r="FC21" t="s">
        <v>1</v>
      </c>
      <c r="FD21" t="s">
        <v>1</v>
      </c>
      <c r="FE21" t="s">
        <v>1</v>
      </c>
      <c r="FF21" t="s">
        <v>17</v>
      </c>
      <c r="FG21" t="s">
        <v>1</v>
      </c>
      <c r="FH21" t="s">
        <v>1</v>
      </c>
      <c r="FI21" t="s">
        <v>1</v>
      </c>
      <c r="FJ21" t="s">
        <v>1</v>
      </c>
      <c r="FK21" s="7">
        <v>46113.456331018519</v>
      </c>
      <c r="FL21" t="s">
        <v>1</v>
      </c>
      <c r="FM21" t="s">
        <v>1</v>
      </c>
      <c r="FN21" t="s">
        <v>1</v>
      </c>
      <c r="FO21" s="19">
        <v>-113850000</v>
      </c>
      <c r="FP21" s="4">
        <v>0</v>
      </c>
      <c r="FQ21" s="19">
        <v>-113850000</v>
      </c>
      <c r="FR21" s="4">
        <v>0</v>
      </c>
      <c r="FS21" s="4">
        <v>0</v>
      </c>
      <c r="FT21" s="4">
        <v>0</v>
      </c>
      <c r="FU21" s="2">
        <v>46113</v>
      </c>
      <c r="FV21" t="s">
        <v>1</v>
      </c>
      <c r="FW21" s="4">
        <v>0</v>
      </c>
      <c r="FX21" t="s">
        <v>1</v>
      </c>
      <c r="FY21" t="s">
        <v>1</v>
      </c>
      <c r="FZ21" s="4">
        <v>0</v>
      </c>
      <c r="GA21" s="4">
        <v>0</v>
      </c>
      <c r="GB21" t="s">
        <v>2070</v>
      </c>
      <c r="GC21" t="str">
        <f>RIGHT(Data_FAGLL03[[#This Row],[Payment reference]],8)</f>
        <v>91172519</v>
      </c>
      <c r="GD21" t="str">
        <f>IF(Data_FAGLL03[[#This Row],[Billing]]&lt;&gt;"",_xlfn.XLOOKUP(Data_FAGLL03[[#This Row],[Billing]],MD_BILLING_SO[BILIING],MD_BILLING_SO[SO-EDITED]),"")</f>
        <v>30030638</v>
      </c>
      <c r="GE21" s="18">
        <f>IF(SUBSTITUTE(Data_FAGLL03[[#This Row],[Eff.exchange rate]],",","")/100000=1,1,SUBSTITUTE(Data_FAGLL03[[#This Row],[Eff.exchange rate]],",","")/100)</f>
        <v>1</v>
      </c>
      <c r="GF21" s="17">
        <f>IF(Data_FAGLL03[[#This Row],[Material]]&lt;&gt;"",IFERROR(Data_FAGLL03[[#This Row],[Amount in local currency]]/Data_FAGLL03[[#This Row],[Quantity_Original]],0),0)</f>
        <v>20700</v>
      </c>
      <c r="GG21" s="18">
        <f>IF(Data_FAGLL03[[#This Row],[XK/NĐ]]="XK",Data_FAGLL03[[#This Row],[GB trung bình]]/Data_FAGLL03[[#This Row],[EXR]],0)*1000</f>
        <v>0</v>
      </c>
      <c r="GH21" s="18" cm="1">
        <f t="array" ref="GH21">IF(Data_FAGLL03[[#This Row],[Document currency]]&lt;&gt;"VND",Data_FAGLL03[[#This Row],[Amount in doc. curr.]],Data_FAGLL03[[#This Row],[Amount in local currency]]/EXR)</f>
        <v>-4336.7887971670043</v>
      </c>
      <c r="GI21" s="10">
        <f>Data_FAGLL03[[#This Row],[Time Stamp]]+TIME(7,0,0)</f>
        <v>46113.747997685183</v>
      </c>
      <c r="GJ21" s="18">
        <f>MONTH(Data_FAGLL03[[#This Row],[Time Stamp_VN]])</f>
        <v>4</v>
      </c>
      <c r="GK21">
        <f>DAY(Data_FAGLL03[[#This Row],[Time Stamp_VN]])</f>
        <v>1</v>
      </c>
      <c r="GL21" t="str">
        <f>TEXT(Data_FAGLL03[[#This Row],[Tháng]],"00")&amp;" | "&amp;TEXT(Data_FAGLL03[[#This Row],[Ngày]],"00")</f>
        <v>04 | 01</v>
      </c>
      <c r="GM21" s="18">
        <f>IF(Data_FAGLL03[[#This Row],[Text]]="",Data_FAGLL03[[#This Row],[Quantity_Original]],0)</f>
        <v>-5500</v>
      </c>
      <c r="GN21" s="18" t="str">
        <f>IF(Data_FAGLL03[[#This Row],[Quantity_Edited]]&lt;&gt;0,Data_FAGLL03[[#This Row],[Offsetting acct no.]]&amp;" | "&amp;Data_FAGLL03[[#This Row],[Material]],"")</f>
        <v>105339 | 110000366</v>
      </c>
      <c r="GO21" t="str">
        <f>IF(LEFT(Data_FAGLL03[[#This Row],[Offsetting acct no.]],1)="1","NĐ",IF(LEFT(Data_FAGLL03[[#This Row],[Offsetting acct no.]],1)="2","XK","Khác"))</f>
        <v>NĐ</v>
      </c>
      <c r="GP21" t="str">
        <f>IF(Data_FAGLL03[[#This Row],[Material]]&lt;&gt;"",_xlfn.XLOOKUP(Data_FAGLL03[[#This Row],[Material]],MD_SKU[Mã SKU],MD_SKU[Tên SKU]),"")</f>
        <v>Hạt nhựa rHDI3G01</v>
      </c>
      <c r="GQ21" t="str">
        <f>IF(Data_FAGLL03[[#This Row],[Material]]&lt;&gt;"",_xlfn.XLOOKUP(Data_FAGLL03[[#This Row],[Material]],MD_SKU[Mã SKU],MD_SKU[Nhóm SP 1]),"")</f>
        <v>rHDPE</v>
      </c>
      <c r="GR21" t="str">
        <f>IF(Data_FAGLL03[[#This Row],[Material]]&lt;&gt;"",_xlfn.XLOOKUP(Data_FAGLL03[[#This Row],[Material]],MD_SKU[Mã SKU],MD_SKU[Nhóm SP 2]),"")</f>
        <v>rHDPE ép</v>
      </c>
      <c r="GS21" t="str">
        <f>IF(Data_FAGLL03[[#This Row],[Material]]&lt;&gt;"",_xlfn.XLOOKUP(Data_FAGLL03[[#This Row],[Material]],MD_SKU[Mã SKU],MD_SKU[Nhóm SP 3]),"")</f>
        <v>rHDPE ép</v>
      </c>
      <c r="GT21" t="str">
        <f>IF(Data_FAGLL03[[#This Row],[Material]]&lt;&gt;"",_xlfn.XLOOKUP(Data_FAGLL03[[#This Row],[Material]],MD_SKU[Mã SKU],MD_SKU[Nhóm SP 4]),"")</f>
        <v>Hạt rHDPE ép</v>
      </c>
    </row>
    <row r="22" spans="1:202" x14ac:dyDescent="0.25">
      <c r="A22" t="s">
        <v>0</v>
      </c>
      <c r="B22" s="2">
        <v>46113</v>
      </c>
      <c r="C22" t="s">
        <v>2129</v>
      </c>
      <c r="D22" t="s">
        <v>1</v>
      </c>
      <c r="E22" t="s">
        <v>1</v>
      </c>
      <c r="F22" t="s">
        <v>31</v>
      </c>
      <c r="G22" t="s">
        <v>31</v>
      </c>
      <c r="H22" t="s">
        <v>2036</v>
      </c>
      <c r="I22" s="19">
        <v>-9708333</v>
      </c>
      <c r="J22" t="s">
        <v>2037</v>
      </c>
      <c r="K22" t="s">
        <v>1</v>
      </c>
      <c r="L22" t="s">
        <v>3</v>
      </c>
      <c r="M22" t="s">
        <v>41</v>
      </c>
      <c r="N22" t="s">
        <v>254</v>
      </c>
      <c r="O22" t="s">
        <v>4</v>
      </c>
      <c r="P22" t="s">
        <v>2130</v>
      </c>
      <c r="Q22" t="s">
        <v>31</v>
      </c>
      <c r="R22" t="s">
        <v>5</v>
      </c>
      <c r="S22" t="s">
        <v>1</v>
      </c>
      <c r="T22" s="3">
        <v>-9708333</v>
      </c>
      <c r="U22" s="19">
        <v>-9708333</v>
      </c>
      <c r="V22" s="3">
        <v>-9708333</v>
      </c>
      <c r="W22" s="3">
        <v>-9708333</v>
      </c>
      <c r="X22" s="4">
        <v>0</v>
      </c>
      <c r="Y22" s="4">
        <v>0</v>
      </c>
      <c r="Z22" s="3">
        <v>0</v>
      </c>
      <c r="AA22" s="3">
        <v>0</v>
      </c>
      <c r="AB22" t="s">
        <v>1</v>
      </c>
      <c r="AC22" t="s">
        <v>24</v>
      </c>
      <c r="AD22" s="2"/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25</v>
      </c>
      <c r="AK22" s="4">
        <v>0</v>
      </c>
      <c r="AL22" t="s">
        <v>1</v>
      </c>
      <c r="AM22" s="5" t="s">
        <v>1</v>
      </c>
      <c r="AN22" t="s">
        <v>1</v>
      </c>
      <c r="AO22" s="2"/>
      <c r="AP22" t="s">
        <v>1</v>
      </c>
      <c r="AQ22" t="s">
        <v>1</v>
      </c>
      <c r="AR22" s="3">
        <v>0</v>
      </c>
      <c r="AS22" t="s">
        <v>1</v>
      </c>
      <c r="AT22" t="s">
        <v>7</v>
      </c>
      <c r="AU22" t="s">
        <v>1</v>
      </c>
      <c r="AV22" t="s">
        <v>1</v>
      </c>
      <c r="AW22" t="s">
        <v>8</v>
      </c>
      <c r="AX22" t="s">
        <v>8</v>
      </c>
      <c r="AY22" t="s">
        <v>1</v>
      </c>
      <c r="AZ22" s="4">
        <v>0</v>
      </c>
      <c r="BA22" t="s">
        <v>1</v>
      </c>
      <c r="BB22" s="3">
        <v>0</v>
      </c>
      <c r="BC22" s="3">
        <v>0</v>
      </c>
      <c r="BD22" s="3">
        <v>0</v>
      </c>
      <c r="BE22" t="s">
        <v>20</v>
      </c>
      <c r="BF22" t="s">
        <v>1</v>
      </c>
      <c r="BG22" s="4">
        <v>0</v>
      </c>
      <c r="BH22" s="4">
        <v>0</v>
      </c>
      <c r="BI22" s="6">
        <v>0</v>
      </c>
      <c r="BJ22" s="6">
        <v>0</v>
      </c>
      <c r="BK22" t="s">
        <v>1</v>
      </c>
      <c r="BL22" t="s">
        <v>1</v>
      </c>
      <c r="BM22" t="s">
        <v>1</v>
      </c>
      <c r="BN22" t="s">
        <v>9</v>
      </c>
      <c r="BO22" s="2">
        <v>46113</v>
      </c>
      <c r="BP22" t="s">
        <v>1</v>
      </c>
      <c r="BQ22" t="s">
        <v>2129</v>
      </c>
      <c r="BR22" t="s">
        <v>27</v>
      </c>
      <c r="BS22" t="s">
        <v>1</v>
      </c>
      <c r="BT22" t="s">
        <v>1</v>
      </c>
      <c r="BU22" t="s">
        <v>1</v>
      </c>
      <c r="BV22" t="s">
        <v>1</v>
      </c>
      <c r="BW22" t="s">
        <v>7</v>
      </c>
      <c r="BX22" t="s">
        <v>10</v>
      </c>
      <c r="BY22" s="2"/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254</v>
      </c>
      <c r="CJ22" s="3">
        <v>-9708333</v>
      </c>
      <c r="CK22" t="s">
        <v>9</v>
      </c>
      <c r="CL22" t="s">
        <v>11</v>
      </c>
      <c r="CM22" t="s">
        <v>1</v>
      </c>
      <c r="CN22" s="4">
        <v>0</v>
      </c>
      <c r="CO22" t="s">
        <v>7</v>
      </c>
      <c r="CP22" t="s">
        <v>7</v>
      </c>
      <c r="CQ22" t="s">
        <v>7</v>
      </c>
      <c r="CR22" t="s">
        <v>7</v>
      </c>
      <c r="CS22" s="4">
        <v>0</v>
      </c>
      <c r="CT22" t="s">
        <v>2129</v>
      </c>
      <c r="CU22" t="s">
        <v>7</v>
      </c>
      <c r="CV22" t="s">
        <v>1</v>
      </c>
      <c r="CW22" s="2"/>
      <c r="CX22" t="s">
        <v>12</v>
      </c>
      <c r="CY22" t="s">
        <v>1</v>
      </c>
      <c r="CZ22" t="s">
        <v>13</v>
      </c>
      <c r="DA22" t="s">
        <v>1</v>
      </c>
      <c r="DB22" t="s">
        <v>9</v>
      </c>
      <c r="DC22" t="s">
        <v>9</v>
      </c>
      <c r="DD22" t="s">
        <v>1</v>
      </c>
      <c r="DE22" t="s">
        <v>1</v>
      </c>
      <c r="DF22" t="s">
        <v>1</v>
      </c>
      <c r="DG22" t="s">
        <v>61</v>
      </c>
      <c r="DH22" t="s">
        <v>1</v>
      </c>
      <c r="DI22" s="2"/>
      <c r="DJ22" t="s">
        <v>1</v>
      </c>
      <c r="DK22" t="s">
        <v>14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s="2"/>
      <c r="DW22" t="s">
        <v>1</v>
      </c>
      <c r="DX22" t="s">
        <v>1</v>
      </c>
      <c r="DY22" t="s">
        <v>2131</v>
      </c>
      <c r="DZ22" t="s">
        <v>1</v>
      </c>
      <c r="EA22" t="s">
        <v>1</v>
      </c>
      <c r="EB22" t="s">
        <v>28</v>
      </c>
      <c r="EC22" t="s">
        <v>7</v>
      </c>
      <c r="ED22" t="s">
        <v>1</v>
      </c>
      <c r="EE22" t="s">
        <v>1</v>
      </c>
      <c r="EF22" t="s">
        <v>22</v>
      </c>
      <c r="EG22" t="s">
        <v>41</v>
      </c>
      <c r="EH22" t="s">
        <v>15</v>
      </c>
      <c r="EI22" t="s">
        <v>1</v>
      </c>
      <c r="EJ22" s="6">
        <v>-2330</v>
      </c>
      <c r="EK22" t="s">
        <v>1</v>
      </c>
      <c r="EL22" t="s">
        <v>1</v>
      </c>
      <c r="EM22" t="s">
        <v>1</v>
      </c>
      <c r="EN22" t="s">
        <v>1</v>
      </c>
      <c r="EO22" s="2"/>
      <c r="EP22" t="s">
        <v>2131</v>
      </c>
      <c r="EQ22" t="s">
        <v>1</v>
      </c>
      <c r="ER22" t="s">
        <v>1</v>
      </c>
      <c r="ES22" t="s">
        <v>1</v>
      </c>
      <c r="ET22" t="s">
        <v>29</v>
      </c>
      <c r="EU22" t="s">
        <v>1</v>
      </c>
      <c r="EV22" t="s">
        <v>1</v>
      </c>
      <c r="EW22" t="s">
        <v>7</v>
      </c>
      <c r="EX22" t="s">
        <v>7</v>
      </c>
      <c r="EY22" t="s">
        <v>1</v>
      </c>
      <c r="EZ22" t="s">
        <v>1</v>
      </c>
      <c r="FA22" t="s">
        <v>1</v>
      </c>
      <c r="FB22" s="3">
        <v>50</v>
      </c>
      <c r="FC22" t="s">
        <v>1</v>
      </c>
      <c r="FD22" t="s">
        <v>1</v>
      </c>
      <c r="FE22" t="s">
        <v>1</v>
      </c>
      <c r="FF22" t="s">
        <v>17</v>
      </c>
      <c r="FG22" t="s">
        <v>1</v>
      </c>
      <c r="FH22" t="s">
        <v>1</v>
      </c>
      <c r="FI22" t="s">
        <v>1</v>
      </c>
      <c r="FJ22" t="s">
        <v>1</v>
      </c>
      <c r="FK22" s="7">
        <v>46113.570960648147</v>
      </c>
      <c r="FL22" t="s">
        <v>1</v>
      </c>
      <c r="FM22" t="s">
        <v>1</v>
      </c>
      <c r="FN22" t="s">
        <v>1</v>
      </c>
      <c r="FO22" s="19">
        <v>-9708333</v>
      </c>
      <c r="FP22" s="4">
        <v>0</v>
      </c>
      <c r="FQ22" s="19">
        <v>-9708333</v>
      </c>
      <c r="FR22" s="4">
        <v>0</v>
      </c>
      <c r="FS22" s="4">
        <v>0</v>
      </c>
      <c r="FT22" s="4">
        <v>0</v>
      </c>
      <c r="FU22" s="2">
        <v>46113</v>
      </c>
      <c r="FV22" t="s">
        <v>1</v>
      </c>
      <c r="FW22" s="4">
        <v>0</v>
      </c>
      <c r="FX22" t="s">
        <v>1</v>
      </c>
      <c r="FY22" t="s">
        <v>1</v>
      </c>
      <c r="FZ22" s="4">
        <v>0</v>
      </c>
      <c r="GA22" s="4">
        <v>0</v>
      </c>
      <c r="GB22" t="s">
        <v>2070</v>
      </c>
      <c r="GC22" t="str">
        <f>RIGHT(Data_FAGLL03[[#This Row],[Payment reference]],8)</f>
        <v>91172520</v>
      </c>
      <c r="GD22" t="str">
        <f>IF(Data_FAGLL03[[#This Row],[Billing]]&lt;&gt;"",_xlfn.XLOOKUP(Data_FAGLL03[[#This Row],[Billing]],MD_BILLING_SO[BILIING],MD_BILLING_SO[SO-EDITED]),"")</f>
        <v>30030710</v>
      </c>
      <c r="GE22" s="18">
        <f>IF(SUBSTITUTE(Data_FAGLL03[[#This Row],[Eff.exchange rate]],",","")/100000=1,1,SUBSTITUTE(Data_FAGLL03[[#This Row],[Eff.exchange rate]],",","")/100)</f>
        <v>1</v>
      </c>
      <c r="GF22" s="17">
        <f>IF(Data_FAGLL03[[#This Row],[Material]]&lt;&gt;"",IFERROR(Data_FAGLL03[[#This Row],[Amount in local currency]]/Data_FAGLL03[[#This Row],[Quantity_Original]],0),0)</f>
        <v>4166.6665236051504</v>
      </c>
      <c r="GG22" s="18">
        <f>IF(Data_FAGLL03[[#This Row],[XK/NĐ]]="XK",Data_FAGLL03[[#This Row],[GB trung bình]]/Data_FAGLL03[[#This Row],[EXR]],0)*1000</f>
        <v>0</v>
      </c>
      <c r="GH22" s="18" cm="1">
        <f t="array" ref="GH22">IF(Data_FAGLL03[[#This Row],[Document currency]]&lt;&gt;"VND",Data_FAGLL03[[#This Row],[Amount in doc. curr.]],Data_FAGLL03[[#This Row],[Amount in local currency]]/EXR)</f>
        <v>-369.81106538047203</v>
      </c>
      <c r="GI22" s="10">
        <f>Data_FAGLL03[[#This Row],[Time Stamp]]+TIME(7,0,0)</f>
        <v>46113.862627314811</v>
      </c>
      <c r="GJ22" s="18">
        <f>MONTH(Data_FAGLL03[[#This Row],[Time Stamp_VN]])</f>
        <v>4</v>
      </c>
      <c r="GK22">
        <f>DAY(Data_FAGLL03[[#This Row],[Time Stamp_VN]])</f>
        <v>1</v>
      </c>
      <c r="GL22" t="str">
        <f>TEXT(Data_FAGLL03[[#This Row],[Tháng]],"00")&amp;" | "&amp;TEXT(Data_FAGLL03[[#This Row],[Ngày]],"00")</f>
        <v>04 | 01</v>
      </c>
      <c r="GM22" s="18">
        <f>IF(Data_FAGLL03[[#This Row],[Text]]="",Data_FAGLL03[[#This Row],[Quantity_Original]],0)</f>
        <v>-2330</v>
      </c>
      <c r="GN22" s="18" t="str">
        <f>IF(Data_FAGLL03[[#This Row],[Quantity_Edited]]&lt;&gt;0,Data_FAGLL03[[#This Row],[Offsetting acct no.]]&amp;" | "&amp;Data_FAGLL03[[#This Row],[Material]],"")</f>
        <v>105290 | 160012726</v>
      </c>
      <c r="GO22" t="str">
        <f>IF(LEFT(Data_FAGLL03[[#This Row],[Offsetting acct no.]],1)="1","NĐ",IF(LEFT(Data_FAGLL03[[#This Row],[Offsetting acct no.]],1)="2","XK","Khác"))</f>
        <v>NĐ</v>
      </c>
      <c r="GP22" t="str">
        <f>IF(Data_FAGLL03[[#This Row],[Material]]&lt;&gt;"",_xlfn.XLOOKUP(Data_FAGLL03[[#This Row],[Material]],MD_SKU[Mã SKU],MD_SKU[Tên SKU]),"")</f>
        <v>Phó Sản PET Bụi Tank A</v>
      </c>
      <c r="GQ22" t="str">
        <f>IF(Data_FAGLL03[[#This Row],[Material]]&lt;&gt;"",_xlfn.XLOOKUP(Data_FAGLL03[[#This Row],[Material]],MD_SKU[Mã SKU],MD_SKU[Nhóm SP 1]),"")</f>
        <v>Khác</v>
      </c>
      <c r="GR22" t="str">
        <f>IF(Data_FAGLL03[[#This Row],[Material]]&lt;&gt;"",_xlfn.XLOOKUP(Data_FAGLL03[[#This Row],[Material]],MD_SKU[Mã SKU],MD_SKU[Nhóm SP 2]),"")</f>
        <v>Phó sản</v>
      </c>
      <c r="GS22" t="str">
        <f>IF(Data_FAGLL03[[#This Row],[Material]]&lt;&gt;"",_xlfn.XLOOKUP(Data_FAGLL03[[#This Row],[Material]],MD_SKU[Mã SKU],MD_SKU[Nhóm SP 3]),"")</f>
        <v>Phó sản</v>
      </c>
      <c r="GT22" t="str">
        <f>IF(Data_FAGLL03[[#This Row],[Material]]&lt;&gt;"",_xlfn.XLOOKUP(Data_FAGLL03[[#This Row],[Material]],MD_SKU[Mã SKU],MD_SKU[Nhóm SP 4]),"")</f>
        <v>Phó sản</v>
      </c>
    </row>
    <row r="23" spans="1:202" x14ac:dyDescent="0.25">
      <c r="A23" t="s">
        <v>0</v>
      </c>
      <c r="B23" s="2">
        <v>46113</v>
      </c>
      <c r="C23" t="s">
        <v>2129</v>
      </c>
      <c r="D23" t="s">
        <v>1</v>
      </c>
      <c r="E23" t="s">
        <v>1</v>
      </c>
      <c r="F23" t="s">
        <v>31</v>
      </c>
      <c r="G23" t="s">
        <v>31</v>
      </c>
      <c r="H23" t="s">
        <v>2036</v>
      </c>
      <c r="I23" s="19">
        <v>-10625000</v>
      </c>
      <c r="J23" t="s">
        <v>2037</v>
      </c>
      <c r="K23" t="s">
        <v>1</v>
      </c>
      <c r="L23" t="s">
        <v>3</v>
      </c>
      <c r="M23" t="s">
        <v>41</v>
      </c>
      <c r="N23" t="s">
        <v>254</v>
      </c>
      <c r="O23" t="s">
        <v>4</v>
      </c>
      <c r="P23" t="s">
        <v>2130</v>
      </c>
      <c r="Q23" t="s">
        <v>31</v>
      </c>
      <c r="R23" t="s">
        <v>5</v>
      </c>
      <c r="S23" t="s">
        <v>1</v>
      </c>
      <c r="T23" s="3">
        <v>-10625000</v>
      </c>
      <c r="U23" s="19">
        <v>-10625000</v>
      </c>
      <c r="V23" s="3">
        <v>-10625000</v>
      </c>
      <c r="W23" s="3">
        <v>-10625000</v>
      </c>
      <c r="X23" s="4">
        <v>0</v>
      </c>
      <c r="Y23" s="4">
        <v>0</v>
      </c>
      <c r="Z23" s="3">
        <v>0</v>
      </c>
      <c r="AA23" s="3">
        <v>0</v>
      </c>
      <c r="AB23" t="s">
        <v>1</v>
      </c>
      <c r="AC23" t="s">
        <v>24</v>
      </c>
      <c r="AD23" s="2"/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25</v>
      </c>
      <c r="AK23" s="4">
        <v>0</v>
      </c>
      <c r="AL23" t="s">
        <v>1</v>
      </c>
      <c r="AM23" s="5" t="s">
        <v>1</v>
      </c>
      <c r="AN23" t="s">
        <v>1</v>
      </c>
      <c r="AO23" s="2"/>
      <c r="AP23" t="s">
        <v>1</v>
      </c>
      <c r="AQ23" t="s">
        <v>1</v>
      </c>
      <c r="AR23" s="3">
        <v>0</v>
      </c>
      <c r="AS23" t="s">
        <v>1</v>
      </c>
      <c r="AT23" t="s">
        <v>7</v>
      </c>
      <c r="AU23" t="s">
        <v>1</v>
      </c>
      <c r="AV23" t="s">
        <v>1</v>
      </c>
      <c r="AW23" t="s">
        <v>8</v>
      </c>
      <c r="AX23" t="s">
        <v>8</v>
      </c>
      <c r="AY23" t="s">
        <v>1</v>
      </c>
      <c r="AZ23" s="4">
        <v>0</v>
      </c>
      <c r="BA23" t="s">
        <v>1</v>
      </c>
      <c r="BB23" s="3">
        <v>0</v>
      </c>
      <c r="BC23" s="3">
        <v>0</v>
      </c>
      <c r="BD23" s="3">
        <v>0</v>
      </c>
      <c r="BE23" t="s">
        <v>20</v>
      </c>
      <c r="BF23" t="s">
        <v>1</v>
      </c>
      <c r="BG23" s="4">
        <v>0</v>
      </c>
      <c r="BH23" s="4">
        <v>0</v>
      </c>
      <c r="BI23" s="6">
        <v>0</v>
      </c>
      <c r="BJ23" s="6">
        <v>0</v>
      </c>
      <c r="BK23" t="s">
        <v>1</v>
      </c>
      <c r="BL23" t="s">
        <v>1</v>
      </c>
      <c r="BM23" t="s">
        <v>1</v>
      </c>
      <c r="BN23" t="s">
        <v>9</v>
      </c>
      <c r="BO23" s="2">
        <v>46113</v>
      </c>
      <c r="BP23" t="s">
        <v>1</v>
      </c>
      <c r="BQ23" t="s">
        <v>2129</v>
      </c>
      <c r="BR23" t="s">
        <v>27</v>
      </c>
      <c r="BS23" t="s">
        <v>1</v>
      </c>
      <c r="BT23" t="s">
        <v>1</v>
      </c>
      <c r="BU23" t="s">
        <v>1</v>
      </c>
      <c r="BV23" t="s">
        <v>1</v>
      </c>
      <c r="BW23" t="s">
        <v>7</v>
      </c>
      <c r="BX23" t="s">
        <v>10</v>
      </c>
      <c r="BY23" s="2"/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254</v>
      </c>
      <c r="CJ23" s="3">
        <v>-10625000</v>
      </c>
      <c r="CK23" t="s">
        <v>9</v>
      </c>
      <c r="CL23" t="s">
        <v>40</v>
      </c>
      <c r="CM23" t="s">
        <v>1</v>
      </c>
      <c r="CN23" s="4">
        <v>0</v>
      </c>
      <c r="CO23" t="s">
        <v>7</v>
      </c>
      <c r="CP23" t="s">
        <v>7</v>
      </c>
      <c r="CQ23" t="s">
        <v>7</v>
      </c>
      <c r="CR23" t="s">
        <v>7</v>
      </c>
      <c r="CS23" s="4">
        <v>0</v>
      </c>
      <c r="CT23" t="s">
        <v>2129</v>
      </c>
      <c r="CU23" t="s">
        <v>7</v>
      </c>
      <c r="CV23" t="s">
        <v>1</v>
      </c>
      <c r="CW23" s="2"/>
      <c r="CX23" t="s">
        <v>12</v>
      </c>
      <c r="CY23" t="s">
        <v>1</v>
      </c>
      <c r="CZ23" t="s">
        <v>41</v>
      </c>
      <c r="DA23" t="s">
        <v>1</v>
      </c>
      <c r="DB23" t="s">
        <v>9</v>
      </c>
      <c r="DC23" t="s">
        <v>9</v>
      </c>
      <c r="DD23" t="s">
        <v>1</v>
      </c>
      <c r="DE23" t="s">
        <v>1</v>
      </c>
      <c r="DF23" t="s">
        <v>1</v>
      </c>
      <c r="DG23" t="s">
        <v>62</v>
      </c>
      <c r="DH23" t="s">
        <v>1</v>
      </c>
      <c r="DI23" s="2"/>
      <c r="DJ23" t="s">
        <v>1</v>
      </c>
      <c r="DK23" t="s">
        <v>14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s="2"/>
      <c r="DW23" t="s">
        <v>1</v>
      </c>
      <c r="DX23" t="s">
        <v>1</v>
      </c>
      <c r="DY23" t="s">
        <v>2131</v>
      </c>
      <c r="DZ23" t="s">
        <v>1</v>
      </c>
      <c r="EA23" t="s">
        <v>1</v>
      </c>
      <c r="EB23" t="s">
        <v>28</v>
      </c>
      <c r="EC23" t="s">
        <v>7</v>
      </c>
      <c r="ED23" t="s">
        <v>1</v>
      </c>
      <c r="EE23" t="s">
        <v>1</v>
      </c>
      <c r="EF23" t="s">
        <v>22</v>
      </c>
      <c r="EG23" t="s">
        <v>41</v>
      </c>
      <c r="EH23" t="s">
        <v>15</v>
      </c>
      <c r="EI23" t="s">
        <v>1</v>
      </c>
      <c r="EJ23" s="6">
        <v>-2550</v>
      </c>
      <c r="EK23" t="s">
        <v>1</v>
      </c>
      <c r="EL23" t="s">
        <v>1</v>
      </c>
      <c r="EM23" t="s">
        <v>1</v>
      </c>
      <c r="EN23" t="s">
        <v>1</v>
      </c>
      <c r="EO23" s="2"/>
      <c r="EP23" t="s">
        <v>2131</v>
      </c>
      <c r="EQ23" t="s">
        <v>1</v>
      </c>
      <c r="ER23" t="s">
        <v>1</v>
      </c>
      <c r="ES23" t="s">
        <v>1</v>
      </c>
      <c r="ET23" t="s">
        <v>29</v>
      </c>
      <c r="EU23" t="s">
        <v>1</v>
      </c>
      <c r="EV23" t="s">
        <v>1</v>
      </c>
      <c r="EW23" t="s">
        <v>7</v>
      </c>
      <c r="EX23" t="s">
        <v>7</v>
      </c>
      <c r="EY23" t="s">
        <v>1</v>
      </c>
      <c r="EZ23" t="s">
        <v>1</v>
      </c>
      <c r="FA23" t="s">
        <v>1</v>
      </c>
      <c r="FB23" s="3">
        <v>50</v>
      </c>
      <c r="FC23" t="s">
        <v>1</v>
      </c>
      <c r="FD23" t="s">
        <v>1</v>
      </c>
      <c r="FE23" t="s">
        <v>1</v>
      </c>
      <c r="FF23" t="s">
        <v>17</v>
      </c>
      <c r="FG23" t="s">
        <v>1</v>
      </c>
      <c r="FH23" t="s">
        <v>1</v>
      </c>
      <c r="FI23" t="s">
        <v>1</v>
      </c>
      <c r="FJ23" t="s">
        <v>1</v>
      </c>
      <c r="FK23" s="7">
        <v>46113.570960648147</v>
      </c>
      <c r="FL23" t="s">
        <v>1</v>
      </c>
      <c r="FM23" t="s">
        <v>1</v>
      </c>
      <c r="FN23" t="s">
        <v>1</v>
      </c>
      <c r="FO23" s="19">
        <v>-10625000</v>
      </c>
      <c r="FP23" s="4">
        <v>0</v>
      </c>
      <c r="FQ23" s="19">
        <v>-10625000</v>
      </c>
      <c r="FR23" s="4">
        <v>0</v>
      </c>
      <c r="FS23" s="4">
        <v>0</v>
      </c>
      <c r="FT23" s="4">
        <v>0</v>
      </c>
      <c r="FU23" s="2">
        <v>46113</v>
      </c>
      <c r="FV23" t="s">
        <v>1</v>
      </c>
      <c r="FW23" s="4">
        <v>0</v>
      </c>
      <c r="FX23" t="s">
        <v>1</v>
      </c>
      <c r="FY23" t="s">
        <v>1</v>
      </c>
      <c r="FZ23" s="4">
        <v>0</v>
      </c>
      <c r="GA23" s="4">
        <v>0</v>
      </c>
      <c r="GB23" t="s">
        <v>2070</v>
      </c>
      <c r="GC23" t="str">
        <f>RIGHT(Data_FAGLL03[[#This Row],[Payment reference]],8)</f>
        <v>91172520</v>
      </c>
      <c r="GD23" t="str">
        <f>IF(Data_FAGLL03[[#This Row],[Billing]]&lt;&gt;"",_xlfn.XLOOKUP(Data_FAGLL03[[#This Row],[Billing]],MD_BILLING_SO[BILIING],MD_BILLING_SO[SO-EDITED]),"")</f>
        <v>30030710</v>
      </c>
      <c r="GE23" s="18">
        <f>IF(SUBSTITUTE(Data_FAGLL03[[#This Row],[Eff.exchange rate]],",","")/100000=1,1,SUBSTITUTE(Data_FAGLL03[[#This Row],[Eff.exchange rate]],",","")/100)</f>
        <v>1</v>
      </c>
      <c r="GF23" s="17">
        <f>IF(Data_FAGLL03[[#This Row],[Material]]&lt;&gt;"",IFERROR(Data_FAGLL03[[#This Row],[Amount in local currency]]/Data_FAGLL03[[#This Row],[Quantity_Original]],0),0)</f>
        <v>4166.666666666667</v>
      </c>
      <c r="GG23" s="18">
        <f>IF(Data_FAGLL03[[#This Row],[XK/NĐ]]="XK",Data_FAGLL03[[#This Row],[GB trung bình]]/Data_FAGLL03[[#This Row],[EXR]],0)*1000</f>
        <v>0</v>
      </c>
      <c r="GH23" s="18" cm="1">
        <f t="array" ref="GH23">IF(Data_FAGLL03[[#This Row],[Document currency]]&lt;&gt;"VND",Data_FAGLL03[[#This Row],[Amount in doc. curr.]],Data_FAGLL03[[#This Row],[Amount in local currency]]/EXR)</f>
        <v>-404.72886227403973</v>
      </c>
      <c r="GI23" s="10">
        <f>Data_FAGLL03[[#This Row],[Time Stamp]]+TIME(7,0,0)</f>
        <v>46113.862627314811</v>
      </c>
      <c r="GJ23" s="18">
        <f>MONTH(Data_FAGLL03[[#This Row],[Time Stamp_VN]])</f>
        <v>4</v>
      </c>
      <c r="GK23">
        <f>DAY(Data_FAGLL03[[#This Row],[Time Stamp_VN]])</f>
        <v>1</v>
      </c>
      <c r="GL23" t="str">
        <f>TEXT(Data_FAGLL03[[#This Row],[Tháng]],"00")&amp;" | "&amp;TEXT(Data_FAGLL03[[#This Row],[Ngày]],"00")</f>
        <v>04 | 01</v>
      </c>
      <c r="GM23" s="18">
        <f>IF(Data_FAGLL03[[#This Row],[Text]]="",Data_FAGLL03[[#This Row],[Quantity_Original]],0)</f>
        <v>-2550</v>
      </c>
      <c r="GN23" s="18" t="str">
        <f>IF(Data_FAGLL03[[#This Row],[Quantity_Edited]]&lt;&gt;0,Data_FAGLL03[[#This Row],[Offsetting acct no.]]&amp;" | "&amp;Data_FAGLL03[[#This Row],[Material]],"")</f>
        <v>105290 | 160012727</v>
      </c>
      <c r="GO23" t="str">
        <f>IF(LEFT(Data_FAGLL03[[#This Row],[Offsetting acct no.]],1)="1","NĐ",IF(LEFT(Data_FAGLL03[[#This Row],[Offsetting acct no.]],1)="2","XK","Khác"))</f>
        <v>NĐ</v>
      </c>
      <c r="GP23" t="str">
        <f>IF(Data_FAGLL03[[#This Row],[Material]]&lt;&gt;"",_xlfn.XLOOKUP(Data_FAGLL03[[#This Row],[Material]],MD_SKU[Mã SKU],MD_SKU[Tên SKU]),"")</f>
        <v>Phó Sản PET Bụi Tank B</v>
      </c>
      <c r="GQ23" t="str">
        <f>IF(Data_FAGLL03[[#This Row],[Material]]&lt;&gt;"",_xlfn.XLOOKUP(Data_FAGLL03[[#This Row],[Material]],MD_SKU[Mã SKU],MD_SKU[Nhóm SP 1]),"")</f>
        <v>Khác</v>
      </c>
      <c r="GR23" t="str">
        <f>IF(Data_FAGLL03[[#This Row],[Material]]&lt;&gt;"",_xlfn.XLOOKUP(Data_FAGLL03[[#This Row],[Material]],MD_SKU[Mã SKU],MD_SKU[Nhóm SP 2]),"")</f>
        <v>Phó sản</v>
      </c>
      <c r="GS23" t="str">
        <f>IF(Data_FAGLL03[[#This Row],[Material]]&lt;&gt;"",_xlfn.XLOOKUP(Data_FAGLL03[[#This Row],[Material]],MD_SKU[Mã SKU],MD_SKU[Nhóm SP 3]),"")</f>
        <v>Phó sản</v>
      </c>
      <c r="GT23" t="str">
        <f>IF(Data_FAGLL03[[#This Row],[Material]]&lt;&gt;"",_xlfn.XLOOKUP(Data_FAGLL03[[#This Row],[Material]],MD_SKU[Mã SKU],MD_SKU[Nhóm SP 4]),"")</f>
        <v>Phó sản</v>
      </c>
    </row>
    <row r="24" spans="1:202" x14ac:dyDescent="0.25">
      <c r="A24" t="s">
        <v>0</v>
      </c>
      <c r="B24" s="2">
        <v>46113</v>
      </c>
      <c r="C24" t="s">
        <v>2129</v>
      </c>
      <c r="D24" t="s">
        <v>1</v>
      </c>
      <c r="E24" t="s">
        <v>1</v>
      </c>
      <c r="F24" t="s">
        <v>31</v>
      </c>
      <c r="G24" t="s">
        <v>31</v>
      </c>
      <c r="H24" t="s">
        <v>2036</v>
      </c>
      <c r="I24" s="19">
        <v>-12208333</v>
      </c>
      <c r="J24" t="s">
        <v>2037</v>
      </c>
      <c r="K24" t="s">
        <v>1</v>
      </c>
      <c r="L24" t="s">
        <v>3</v>
      </c>
      <c r="M24" t="s">
        <v>41</v>
      </c>
      <c r="N24" t="s">
        <v>254</v>
      </c>
      <c r="O24" t="s">
        <v>4</v>
      </c>
      <c r="P24" t="s">
        <v>2130</v>
      </c>
      <c r="Q24" t="s">
        <v>31</v>
      </c>
      <c r="R24" t="s">
        <v>5</v>
      </c>
      <c r="S24" t="s">
        <v>1</v>
      </c>
      <c r="T24" s="3">
        <v>-12208333</v>
      </c>
      <c r="U24" s="19">
        <v>-12208333</v>
      </c>
      <c r="V24" s="3">
        <v>-12208333</v>
      </c>
      <c r="W24" s="3">
        <v>-12208333</v>
      </c>
      <c r="X24" s="4">
        <v>0</v>
      </c>
      <c r="Y24" s="4">
        <v>0</v>
      </c>
      <c r="Z24" s="3">
        <v>0</v>
      </c>
      <c r="AA24" s="3">
        <v>0</v>
      </c>
      <c r="AB24" t="s">
        <v>1</v>
      </c>
      <c r="AC24" t="s">
        <v>24</v>
      </c>
      <c r="AD24" s="2"/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25</v>
      </c>
      <c r="AK24" s="4">
        <v>0</v>
      </c>
      <c r="AL24" t="s">
        <v>1</v>
      </c>
      <c r="AM24" s="5" t="s">
        <v>1</v>
      </c>
      <c r="AN24" t="s">
        <v>1</v>
      </c>
      <c r="AO24" s="2"/>
      <c r="AP24" t="s">
        <v>1</v>
      </c>
      <c r="AQ24" t="s">
        <v>1</v>
      </c>
      <c r="AR24" s="3">
        <v>0</v>
      </c>
      <c r="AS24" t="s">
        <v>1</v>
      </c>
      <c r="AT24" t="s">
        <v>7</v>
      </c>
      <c r="AU24" t="s">
        <v>1</v>
      </c>
      <c r="AV24" t="s">
        <v>1</v>
      </c>
      <c r="AW24" t="s">
        <v>8</v>
      </c>
      <c r="AX24" t="s">
        <v>8</v>
      </c>
      <c r="AY24" t="s">
        <v>1</v>
      </c>
      <c r="AZ24" s="4">
        <v>0</v>
      </c>
      <c r="BA24" t="s">
        <v>1</v>
      </c>
      <c r="BB24" s="3">
        <v>0</v>
      </c>
      <c r="BC24" s="3">
        <v>0</v>
      </c>
      <c r="BD24" s="3">
        <v>0</v>
      </c>
      <c r="BE24" t="s">
        <v>20</v>
      </c>
      <c r="BF24" t="s">
        <v>1</v>
      </c>
      <c r="BG24" s="4">
        <v>0</v>
      </c>
      <c r="BH24" s="4">
        <v>0</v>
      </c>
      <c r="BI24" s="6">
        <v>0</v>
      </c>
      <c r="BJ24" s="6">
        <v>0</v>
      </c>
      <c r="BK24" t="s">
        <v>1</v>
      </c>
      <c r="BL24" t="s">
        <v>1</v>
      </c>
      <c r="BM24" t="s">
        <v>1</v>
      </c>
      <c r="BN24" t="s">
        <v>9</v>
      </c>
      <c r="BO24" s="2">
        <v>46113</v>
      </c>
      <c r="BP24" t="s">
        <v>1</v>
      </c>
      <c r="BQ24" t="s">
        <v>2129</v>
      </c>
      <c r="BR24" t="s">
        <v>27</v>
      </c>
      <c r="BS24" t="s">
        <v>1</v>
      </c>
      <c r="BT24" t="s">
        <v>1</v>
      </c>
      <c r="BU24" t="s">
        <v>1</v>
      </c>
      <c r="BV24" t="s">
        <v>1</v>
      </c>
      <c r="BW24" t="s">
        <v>7</v>
      </c>
      <c r="BX24" t="s">
        <v>10</v>
      </c>
      <c r="BY24" s="2"/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254</v>
      </c>
      <c r="CJ24" s="3">
        <v>-12208333</v>
      </c>
      <c r="CK24" t="s">
        <v>9</v>
      </c>
      <c r="CL24" t="s">
        <v>2038</v>
      </c>
      <c r="CM24" t="s">
        <v>1</v>
      </c>
      <c r="CN24" s="4">
        <v>0</v>
      </c>
      <c r="CO24" t="s">
        <v>7</v>
      </c>
      <c r="CP24" t="s">
        <v>7</v>
      </c>
      <c r="CQ24" t="s">
        <v>7</v>
      </c>
      <c r="CR24" t="s">
        <v>7</v>
      </c>
      <c r="CS24" s="4">
        <v>0</v>
      </c>
      <c r="CT24" t="s">
        <v>2129</v>
      </c>
      <c r="CU24" t="s">
        <v>7</v>
      </c>
      <c r="CV24" t="s">
        <v>1</v>
      </c>
      <c r="CW24" s="2"/>
      <c r="CX24" t="s">
        <v>12</v>
      </c>
      <c r="CY24" t="s">
        <v>1</v>
      </c>
      <c r="CZ24" t="s">
        <v>2039</v>
      </c>
      <c r="DA24" t="s">
        <v>1</v>
      </c>
      <c r="DB24" t="s">
        <v>9</v>
      </c>
      <c r="DC24" t="s">
        <v>9</v>
      </c>
      <c r="DD24" t="s">
        <v>1</v>
      </c>
      <c r="DE24" t="s">
        <v>1</v>
      </c>
      <c r="DF24" t="s">
        <v>1</v>
      </c>
      <c r="DG24" t="s">
        <v>63</v>
      </c>
      <c r="DH24" t="s">
        <v>1</v>
      </c>
      <c r="DI24" s="2"/>
      <c r="DJ24" t="s">
        <v>1</v>
      </c>
      <c r="DK24" t="s">
        <v>14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s="2"/>
      <c r="DW24" t="s">
        <v>1</v>
      </c>
      <c r="DX24" t="s">
        <v>1</v>
      </c>
      <c r="DY24" t="s">
        <v>2131</v>
      </c>
      <c r="DZ24" t="s">
        <v>1</v>
      </c>
      <c r="EA24" t="s">
        <v>1</v>
      </c>
      <c r="EB24" t="s">
        <v>28</v>
      </c>
      <c r="EC24" t="s">
        <v>7</v>
      </c>
      <c r="ED24" t="s">
        <v>1</v>
      </c>
      <c r="EE24" t="s">
        <v>1</v>
      </c>
      <c r="EF24" t="s">
        <v>22</v>
      </c>
      <c r="EG24" t="s">
        <v>41</v>
      </c>
      <c r="EH24" t="s">
        <v>15</v>
      </c>
      <c r="EI24" t="s">
        <v>1</v>
      </c>
      <c r="EJ24" s="6">
        <v>-2930</v>
      </c>
      <c r="EK24" t="s">
        <v>1</v>
      </c>
      <c r="EL24" t="s">
        <v>1</v>
      </c>
      <c r="EM24" t="s">
        <v>1</v>
      </c>
      <c r="EN24" t="s">
        <v>1</v>
      </c>
      <c r="EO24" s="2"/>
      <c r="EP24" t="s">
        <v>2131</v>
      </c>
      <c r="EQ24" t="s">
        <v>1</v>
      </c>
      <c r="ER24" t="s">
        <v>1</v>
      </c>
      <c r="ES24" t="s">
        <v>1</v>
      </c>
      <c r="ET24" t="s">
        <v>29</v>
      </c>
      <c r="EU24" t="s">
        <v>1</v>
      </c>
      <c r="EV24" t="s">
        <v>1</v>
      </c>
      <c r="EW24" t="s">
        <v>7</v>
      </c>
      <c r="EX24" t="s">
        <v>7</v>
      </c>
      <c r="EY24" t="s">
        <v>1</v>
      </c>
      <c r="EZ24" t="s">
        <v>1</v>
      </c>
      <c r="FA24" t="s">
        <v>1</v>
      </c>
      <c r="FB24" s="3">
        <v>50</v>
      </c>
      <c r="FC24" t="s">
        <v>1</v>
      </c>
      <c r="FD24" t="s">
        <v>1</v>
      </c>
      <c r="FE24" t="s">
        <v>1</v>
      </c>
      <c r="FF24" t="s">
        <v>17</v>
      </c>
      <c r="FG24" t="s">
        <v>1</v>
      </c>
      <c r="FH24" t="s">
        <v>1</v>
      </c>
      <c r="FI24" t="s">
        <v>1</v>
      </c>
      <c r="FJ24" t="s">
        <v>1</v>
      </c>
      <c r="FK24" s="7">
        <v>46113.570960648147</v>
      </c>
      <c r="FL24" t="s">
        <v>1</v>
      </c>
      <c r="FM24" t="s">
        <v>1</v>
      </c>
      <c r="FN24" t="s">
        <v>1</v>
      </c>
      <c r="FO24" s="19">
        <v>-12208333</v>
      </c>
      <c r="FP24" s="4">
        <v>0</v>
      </c>
      <c r="FQ24" s="19">
        <v>-12208333</v>
      </c>
      <c r="FR24" s="4">
        <v>0</v>
      </c>
      <c r="FS24" s="4">
        <v>0</v>
      </c>
      <c r="FT24" s="4">
        <v>0</v>
      </c>
      <c r="FU24" s="2">
        <v>46113</v>
      </c>
      <c r="FV24" t="s">
        <v>1</v>
      </c>
      <c r="FW24" s="4">
        <v>0</v>
      </c>
      <c r="FX24" t="s">
        <v>1</v>
      </c>
      <c r="FY24" t="s">
        <v>1</v>
      </c>
      <c r="FZ24" s="4">
        <v>0</v>
      </c>
      <c r="GA24" s="4">
        <v>0</v>
      </c>
      <c r="GB24" t="s">
        <v>2070</v>
      </c>
      <c r="GC24" t="str">
        <f>RIGHT(Data_FAGLL03[[#This Row],[Payment reference]],8)</f>
        <v>91172520</v>
      </c>
      <c r="GD24" t="str">
        <f>IF(Data_FAGLL03[[#This Row],[Billing]]&lt;&gt;"",_xlfn.XLOOKUP(Data_FAGLL03[[#This Row],[Billing]],MD_BILLING_SO[BILIING],MD_BILLING_SO[SO-EDITED]),"")</f>
        <v>30030710</v>
      </c>
      <c r="GE24" s="18">
        <f>IF(SUBSTITUTE(Data_FAGLL03[[#This Row],[Eff.exchange rate]],",","")/100000=1,1,SUBSTITUTE(Data_FAGLL03[[#This Row],[Eff.exchange rate]],",","")/100)</f>
        <v>1</v>
      </c>
      <c r="GF24" s="17">
        <f>IF(Data_FAGLL03[[#This Row],[Material]]&lt;&gt;"",IFERROR(Data_FAGLL03[[#This Row],[Amount in local currency]]/Data_FAGLL03[[#This Row],[Quantity_Original]],0),0)</f>
        <v>4166.6665529010243</v>
      </c>
      <c r="GG24" s="18">
        <f>IF(Data_FAGLL03[[#This Row],[XK/NĐ]]="XK",Data_FAGLL03[[#This Row],[GB trung bình]]/Data_FAGLL03[[#This Row],[EXR]],0)*1000</f>
        <v>0</v>
      </c>
      <c r="GH24" s="18" cm="1">
        <f t="array" ref="GH24">IF(Data_FAGLL03[[#This Row],[Document currency]]&lt;&gt;"VND",Data_FAGLL03[[#This Row],[Amount in doc. curr.]],Data_FAGLL03[[#This Row],[Amount in local currency]]/EXR)</f>
        <v>-465.04138591554016</v>
      </c>
      <c r="GI24" s="10">
        <f>Data_FAGLL03[[#This Row],[Time Stamp]]+TIME(7,0,0)</f>
        <v>46113.862627314811</v>
      </c>
      <c r="GJ24" s="18">
        <f>MONTH(Data_FAGLL03[[#This Row],[Time Stamp_VN]])</f>
        <v>4</v>
      </c>
      <c r="GK24">
        <f>DAY(Data_FAGLL03[[#This Row],[Time Stamp_VN]])</f>
        <v>1</v>
      </c>
      <c r="GL24" t="str">
        <f>TEXT(Data_FAGLL03[[#This Row],[Tháng]],"00")&amp;" | "&amp;TEXT(Data_FAGLL03[[#This Row],[Ngày]],"00")</f>
        <v>04 | 01</v>
      </c>
      <c r="GM24" s="18">
        <f>IF(Data_FAGLL03[[#This Row],[Text]]="",Data_FAGLL03[[#This Row],[Quantity_Original]],0)</f>
        <v>-2930</v>
      </c>
      <c r="GN24" s="18" t="str">
        <f>IF(Data_FAGLL03[[#This Row],[Quantity_Edited]]&lt;&gt;0,Data_FAGLL03[[#This Row],[Offsetting acct no.]]&amp;" | "&amp;Data_FAGLL03[[#This Row],[Material]],"")</f>
        <v>105290 | 160012729</v>
      </c>
      <c r="GO24" t="str">
        <f>IF(LEFT(Data_FAGLL03[[#This Row],[Offsetting acct no.]],1)="1","NĐ",IF(LEFT(Data_FAGLL03[[#This Row],[Offsetting acct no.]],1)="2","XK","Khác"))</f>
        <v>NĐ</v>
      </c>
      <c r="GP24" t="str">
        <f>IF(Data_FAGLL03[[#This Row],[Material]]&lt;&gt;"",_xlfn.XLOOKUP(Data_FAGLL03[[#This Row],[Material]],MD_SKU[Mã SKU],MD_SKU[Tên SKU]),"")</f>
        <v>Phó Sản PET Bụi Tank D</v>
      </c>
      <c r="GQ24" t="str">
        <f>IF(Data_FAGLL03[[#This Row],[Material]]&lt;&gt;"",_xlfn.XLOOKUP(Data_FAGLL03[[#This Row],[Material]],MD_SKU[Mã SKU],MD_SKU[Nhóm SP 1]),"")</f>
        <v>Khác</v>
      </c>
      <c r="GR24" t="str">
        <f>IF(Data_FAGLL03[[#This Row],[Material]]&lt;&gt;"",_xlfn.XLOOKUP(Data_FAGLL03[[#This Row],[Material]],MD_SKU[Mã SKU],MD_SKU[Nhóm SP 2]),"")</f>
        <v>Phó sản</v>
      </c>
      <c r="GS24" t="str">
        <f>IF(Data_FAGLL03[[#This Row],[Material]]&lt;&gt;"",_xlfn.XLOOKUP(Data_FAGLL03[[#This Row],[Material]],MD_SKU[Mã SKU],MD_SKU[Nhóm SP 3]),"")</f>
        <v>Phó sản</v>
      </c>
      <c r="GT24" t="str">
        <f>IF(Data_FAGLL03[[#This Row],[Material]]&lt;&gt;"",_xlfn.XLOOKUP(Data_FAGLL03[[#This Row],[Material]],MD_SKU[Mã SKU],MD_SKU[Nhóm SP 4]),"")</f>
        <v>Phó sản</v>
      </c>
    </row>
    <row r="25" spans="1:202" x14ac:dyDescent="0.25">
      <c r="A25" t="s">
        <v>0</v>
      </c>
      <c r="B25" s="2">
        <v>46114</v>
      </c>
      <c r="C25" t="s">
        <v>2132</v>
      </c>
      <c r="D25" t="s">
        <v>1</v>
      </c>
      <c r="E25" t="s">
        <v>1</v>
      </c>
      <c r="F25" t="s">
        <v>31</v>
      </c>
      <c r="G25" t="s">
        <v>31</v>
      </c>
      <c r="H25" t="s">
        <v>2013</v>
      </c>
      <c r="I25" s="19">
        <v>-249555500</v>
      </c>
      <c r="J25" t="s">
        <v>2014</v>
      </c>
      <c r="K25" t="s">
        <v>1</v>
      </c>
      <c r="L25" t="s">
        <v>39</v>
      </c>
      <c r="M25" t="s">
        <v>41</v>
      </c>
      <c r="N25" t="s">
        <v>254</v>
      </c>
      <c r="O25" t="s">
        <v>4</v>
      </c>
      <c r="P25" t="s">
        <v>2133</v>
      </c>
      <c r="Q25" t="s">
        <v>31</v>
      </c>
      <c r="R25" t="s">
        <v>5</v>
      </c>
      <c r="S25" t="s">
        <v>1</v>
      </c>
      <c r="T25" s="3">
        <v>-249555500</v>
      </c>
      <c r="U25" s="19">
        <v>-249555500</v>
      </c>
      <c r="V25" s="3">
        <v>-249555500</v>
      </c>
      <c r="W25" s="3">
        <v>-249555500</v>
      </c>
      <c r="X25" s="4">
        <v>0</v>
      </c>
      <c r="Y25" s="4">
        <v>0</v>
      </c>
      <c r="Z25" s="3">
        <v>0</v>
      </c>
      <c r="AA25" s="3">
        <v>0</v>
      </c>
      <c r="AB25" t="s">
        <v>1</v>
      </c>
      <c r="AC25" t="s">
        <v>24</v>
      </c>
      <c r="AD25" s="2"/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25</v>
      </c>
      <c r="AK25" s="4">
        <v>0</v>
      </c>
      <c r="AL25" t="s">
        <v>1</v>
      </c>
      <c r="AM25" s="5" t="s">
        <v>1</v>
      </c>
      <c r="AN25" t="s">
        <v>1</v>
      </c>
      <c r="AO25" s="2"/>
      <c r="AP25" t="s">
        <v>1</v>
      </c>
      <c r="AQ25" t="s">
        <v>1</v>
      </c>
      <c r="AR25" s="3">
        <v>0</v>
      </c>
      <c r="AS25" t="s">
        <v>1</v>
      </c>
      <c r="AT25" t="s">
        <v>7</v>
      </c>
      <c r="AU25" t="s">
        <v>1</v>
      </c>
      <c r="AV25" t="s">
        <v>1</v>
      </c>
      <c r="AW25" t="s">
        <v>8</v>
      </c>
      <c r="AX25" t="s">
        <v>8</v>
      </c>
      <c r="AY25" t="s">
        <v>1</v>
      </c>
      <c r="AZ25" s="4">
        <v>0</v>
      </c>
      <c r="BA25" t="s">
        <v>1</v>
      </c>
      <c r="BB25" s="3">
        <v>0</v>
      </c>
      <c r="BC25" s="3">
        <v>0</v>
      </c>
      <c r="BD25" s="3">
        <v>0</v>
      </c>
      <c r="BE25" t="s">
        <v>20</v>
      </c>
      <c r="BF25" t="s">
        <v>1</v>
      </c>
      <c r="BG25" s="4">
        <v>0</v>
      </c>
      <c r="BH25" s="4">
        <v>0</v>
      </c>
      <c r="BI25" s="6">
        <v>0</v>
      </c>
      <c r="BJ25" s="6">
        <v>0</v>
      </c>
      <c r="BK25" t="s">
        <v>1</v>
      </c>
      <c r="BL25" t="s">
        <v>1</v>
      </c>
      <c r="BM25" t="s">
        <v>1</v>
      </c>
      <c r="BN25" t="s">
        <v>9</v>
      </c>
      <c r="BO25" s="2">
        <v>46114</v>
      </c>
      <c r="BP25" t="s">
        <v>1</v>
      </c>
      <c r="BQ25" t="s">
        <v>2132</v>
      </c>
      <c r="BR25" t="s">
        <v>27</v>
      </c>
      <c r="BS25" t="s">
        <v>1</v>
      </c>
      <c r="BT25" t="s">
        <v>1</v>
      </c>
      <c r="BU25" t="s">
        <v>1</v>
      </c>
      <c r="BV25" t="s">
        <v>1</v>
      </c>
      <c r="BW25" t="s">
        <v>7</v>
      </c>
      <c r="BX25" t="s">
        <v>10</v>
      </c>
      <c r="BY25" s="2"/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254</v>
      </c>
      <c r="CJ25" s="3">
        <v>-249555500</v>
      </c>
      <c r="CK25" t="s">
        <v>9</v>
      </c>
      <c r="CL25" t="s">
        <v>11</v>
      </c>
      <c r="CM25" t="s">
        <v>1</v>
      </c>
      <c r="CN25" s="4">
        <v>0</v>
      </c>
      <c r="CO25" t="s">
        <v>7</v>
      </c>
      <c r="CP25" t="s">
        <v>7</v>
      </c>
      <c r="CQ25" t="s">
        <v>7</v>
      </c>
      <c r="CR25" t="s">
        <v>7</v>
      </c>
      <c r="CS25" s="4">
        <v>0</v>
      </c>
      <c r="CT25" t="s">
        <v>2132</v>
      </c>
      <c r="CU25" t="s">
        <v>7</v>
      </c>
      <c r="CV25" t="s">
        <v>1</v>
      </c>
      <c r="CW25" s="2"/>
      <c r="CX25" t="s">
        <v>12</v>
      </c>
      <c r="CY25" t="s">
        <v>1</v>
      </c>
      <c r="CZ25" t="s">
        <v>13</v>
      </c>
      <c r="DA25" t="s">
        <v>1</v>
      </c>
      <c r="DB25" t="s">
        <v>9</v>
      </c>
      <c r="DC25" t="s">
        <v>9</v>
      </c>
      <c r="DD25" t="s">
        <v>1</v>
      </c>
      <c r="DE25" t="s">
        <v>1</v>
      </c>
      <c r="DF25" t="s">
        <v>1</v>
      </c>
      <c r="DG25" t="s">
        <v>2057</v>
      </c>
      <c r="DH25" t="s">
        <v>1</v>
      </c>
      <c r="DI25" s="2"/>
      <c r="DJ25" t="s">
        <v>1</v>
      </c>
      <c r="DK25" t="s">
        <v>14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s="2"/>
      <c r="DW25" t="s">
        <v>1</v>
      </c>
      <c r="DX25" t="s">
        <v>1</v>
      </c>
      <c r="DY25" t="s">
        <v>2134</v>
      </c>
      <c r="DZ25" t="s">
        <v>1</v>
      </c>
      <c r="EA25" t="s">
        <v>1</v>
      </c>
      <c r="EB25" t="s">
        <v>28</v>
      </c>
      <c r="EC25" t="s">
        <v>7</v>
      </c>
      <c r="ED25" t="s">
        <v>1</v>
      </c>
      <c r="EE25" t="s">
        <v>1</v>
      </c>
      <c r="EF25" t="s">
        <v>22</v>
      </c>
      <c r="EG25" t="s">
        <v>41</v>
      </c>
      <c r="EH25" t="s">
        <v>15</v>
      </c>
      <c r="EI25" t="s">
        <v>1</v>
      </c>
      <c r="EJ25" s="6">
        <v>-26269</v>
      </c>
      <c r="EK25" t="s">
        <v>1</v>
      </c>
      <c r="EL25" t="s">
        <v>1</v>
      </c>
      <c r="EM25" t="s">
        <v>1</v>
      </c>
      <c r="EN25" t="s">
        <v>1</v>
      </c>
      <c r="EO25" s="2"/>
      <c r="EP25" t="s">
        <v>2134</v>
      </c>
      <c r="EQ25" t="s">
        <v>1</v>
      </c>
      <c r="ER25" t="s">
        <v>1</v>
      </c>
      <c r="ES25" t="s">
        <v>1</v>
      </c>
      <c r="ET25" t="s">
        <v>29</v>
      </c>
      <c r="EU25" t="s">
        <v>1</v>
      </c>
      <c r="EV25" t="s">
        <v>1</v>
      </c>
      <c r="EW25" t="s">
        <v>7</v>
      </c>
      <c r="EX25" t="s">
        <v>7</v>
      </c>
      <c r="EY25" t="s">
        <v>1</v>
      </c>
      <c r="EZ25" t="s">
        <v>1</v>
      </c>
      <c r="FA25" t="s">
        <v>1</v>
      </c>
      <c r="FB25" s="3">
        <v>50</v>
      </c>
      <c r="FC25" t="s">
        <v>1</v>
      </c>
      <c r="FD25" t="s">
        <v>1</v>
      </c>
      <c r="FE25" t="s">
        <v>1</v>
      </c>
      <c r="FF25" t="s">
        <v>17</v>
      </c>
      <c r="FG25" t="s">
        <v>1</v>
      </c>
      <c r="FH25" t="s">
        <v>1</v>
      </c>
      <c r="FI25" t="s">
        <v>1</v>
      </c>
      <c r="FJ25" t="s">
        <v>1</v>
      </c>
      <c r="FK25" s="7">
        <v>46114.275543981479</v>
      </c>
      <c r="FL25" t="s">
        <v>1</v>
      </c>
      <c r="FM25" t="s">
        <v>1</v>
      </c>
      <c r="FN25" t="s">
        <v>1</v>
      </c>
      <c r="FO25" s="19">
        <v>-249555500</v>
      </c>
      <c r="FP25" s="4">
        <v>0</v>
      </c>
      <c r="FQ25" s="19">
        <v>-249555500</v>
      </c>
      <c r="FR25" s="4">
        <v>0</v>
      </c>
      <c r="FS25" s="4">
        <v>0</v>
      </c>
      <c r="FT25" s="4">
        <v>0</v>
      </c>
      <c r="FU25" s="2">
        <v>46114</v>
      </c>
      <c r="FV25" t="s">
        <v>1</v>
      </c>
      <c r="FW25" s="4">
        <v>0</v>
      </c>
      <c r="FX25" t="s">
        <v>1</v>
      </c>
      <c r="FY25" t="s">
        <v>1</v>
      </c>
      <c r="FZ25" s="4">
        <v>0</v>
      </c>
      <c r="GA25" s="4">
        <v>0</v>
      </c>
      <c r="GB25" t="s">
        <v>2070</v>
      </c>
      <c r="GC25" t="str">
        <f>RIGHT(Data_FAGLL03[[#This Row],[Payment reference]],8)</f>
        <v>91172521</v>
      </c>
      <c r="GD25" t="str">
        <f>IF(Data_FAGLL03[[#This Row],[Billing]]&lt;&gt;"",_xlfn.XLOOKUP(Data_FAGLL03[[#This Row],[Billing]],MD_BILLING_SO[BILIING],MD_BILLING_SO[SO-EDITED]),"")</f>
        <v>30030690</v>
      </c>
      <c r="GE25" s="18">
        <f>IF(SUBSTITUTE(Data_FAGLL03[[#This Row],[Eff.exchange rate]],",","")/100000=1,1,SUBSTITUTE(Data_FAGLL03[[#This Row],[Eff.exchange rate]],",","")/100)</f>
        <v>1</v>
      </c>
      <c r="GF25" s="17">
        <f>IF(Data_FAGLL03[[#This Row],[Material]]&lt;&gt;"",IFERROR(Data_FAGLL03[[#This Row],[Amount in local currency]]/Data_FAGLL03[[#This Row],[Quantity_Original]],0),0)</f>
        <v>9500</v>
      </c>
      <c r="GG25" s="18">
        <f>IF(Data_FAGLL03[[#This Row],[XK/NĐ]]="XK",Data_FAGLL03[[#This Row],[GB trung bình]]/Data_FAGLL03[[#This Row],[EXR]],0)*1000</f>
        <v>0</v>
      </c>
      <c r="GH25" s="18" cm="1">
        <f t="array" ref="GH25">IF(Data_FAGLL03[[#This Row],[Document currency]]&lt;&gt;"VND",Data_FAGLL03[[#This Row],[Amount in doc. curr.]],Data_FAGLL03[[#This Row],[Amount in local currency]]/EXR)</f>
        <v>-9506.100102515682</v>
      </c>
      <c r="GI25" s="10">
        <f>Data_FAGLL03[[#This Row],[Time Stamp]]+TIME(7,0,0)</f>
        <v>46114.567210648143</v>
      </c>
      <c r="GJ25" s="18">
        <f>MONTH(Data_FAGLL03[[#This Row],[Time Stamp_VN]])</f>
        <v>4</v>
      </c>
      <c r="GK25">
        <f>DAY(Data_FAGLL03[[#This Row],[Time Stamp_VN]])</f>
        <v>2</v>
      </c>
      <c r="GL25" t="str">
        <f>TEXT(Data_FAGLL03[[#This Row],[Tháng]],"00")&amp;" | "&amp;TEXT(Data_FAGLL03[[#This Row],[Ngày]],"00")</f>
        <v>04 | 02</v>
      </c>
      <c r="GM25" s="18">
        <f>IF(Data_FAGLL03[[#This Row],[Text]]="",Data_FAGLL03[[#This Row],[Quantity_Original]],0)</f>
        <v>-26269</v>
      </c>
      <c r="GN25" s="18" t="str">
        <f>IF(Data_FAGLL03[[#This Row],[Quantity_Edited]]&lt;&gt;0,Data_FAGLL03[[#This Row],[Offsetting acct no.]]&amp;" | "&amp;Data_FAGLL03[[#This Row],[Material]],"")</f>
        <v>105371 | 160012334</v>
      </c>
      <c r="GO25" t="str">
        <f>IF(LEFT(Data_FAGLL03[[#This Row],[Offsetting acct no.]],1)="1","NĐ",IF(LEFT(Data_FAGLL03[[#This Row],[Offsetting acct no.]],1)="2","XK","Khác"))</f>
        <v>NĐ</v>
      </c>
      <c r="GP25" t="str">
        <f>IF(Data_FAGLL03[[#This Row],[Material]]&lt;&gt;"",_xlfn.XLOOKUP(Data_FAGLL03[[#This Row],[Material]],MD_SKU[Mã SKU],MD_SKU[Tên SKU]),"")</f>
        <v>Phó Sản PET Bụi Cám Sau Sàn Rung</v>
      </c>
      <c r="GQ25" t="str">
        <f>IF(Data_FAGLL03[[#This Row],[Material]]&lt;&gt;"",_xlfn.XLOOKUP(Data_FAGLL03[[#This Row],[Material]],MD_SKU[Mã SKU],MD_SKU[Nhóm SP 1]),"")</f>
        <v>Khác</v>
      </c>
      <c r="GR25" t="str">
        <f>IF(Data_FAGLL03[[#This Row],[Material]]&lt;&gt;"",_xlfn.XLOOKUP(Data_FAGLL03[[#This Row],[Material]],MD_SKU[Mã SKU],MD_SKU[Nhóm SP 2]),"")</f>
        <v>Phó sản</v>
      </c>
      <c r="GS25" t="str">
        <f>IF(Data_FAGLL03[[#This Row],[Material]]&lt;&gt;"",_xlfn.XLOOKUP(Data_FAGLL03[[#This Row],[Material]],MD_SKU[Mã SKU],MD_SKU[Nhóm SP 3]),"")</f>
        <v>Phó sản</v>
      </c>
      <c r="GT25" t="str">
        <f>IF(Data_FAGLL03[[#This Row],[Material]]&lt;&gt;"",_xlfn.XLOOKUP(Data_FAGLL03[[#This Row],[Material]],MD_SKU[Mã SKU],MD_SKU[Nhóm SP 4]),"")</f>
        <v>Phó sản</v>
      </c>
    </row>
    <row r="26" spans="1:202" x14ac:dyDescent="0.25">
      <c r="A26" t="s">
        <v>0</v>
      </c>
      <c r="B26" s="2">
        <v>46114</v>
      </c>
      <c r="C26" t="s">
        <v>2135</v>
      </c>
      <c r="D26" t="s">
        <v>1</v>
      </c>
      <c r="E26" t="s">
        <v>1</v>
      </c>
      <c r="F26" t="s">
        <v>31</v>
      </c>
      <c r="G26" t="s">
        <v>31</v>
      </c>
      <c r="H26" t="s">
        <v>51</v>
      </c>
      <c r="I26" s="19">
        <v>-89120370</v>
      </c>
      <c r="J26" t="s">
        <v>52</v>
      </c>
      <c r="K26" t="s">
        <v>1</v>
      </c>
      <c r="L26" t="s">
        <v>39</v>
      </c>
      <c r="M26" t="s">
        <v>41</v>
      </c>
      <c r="N26" t="s">
        <v>254</v>
      </c>
      <c r="O26" t="s">
        <v>4</v>
      </c>
      <c r="P26" t="s">
        <v>4</v>
      </c>
      <c r="Q26" t="s">
        <v>31</v>
      </c>
      <c r="R26" t="s">
        <v>5</v>
      </c>
      <c r="S26" t="s">
        <v>1</v>
      </c>
      <c r="T26" s="3">
        <v>-89120370</v>
      </c>
      <c r="U26" s="19">
        <v>-89120370</v>
      </c>
      <c r="V26" s="3">
        <v>-89120370</v>
      </c>
      <c r="W26" s="3">
        <v>-89120370</v>
      </c>
      <c r="X26" s="4">
        <v>0</v>
      </c>
      <c r="Y26" s="4">
        <v>0</v>
      </c>
      <c r="Z26" s="3">
        <v>0</v>
      </c>
      <c r="AA26" s="3">
        <v>0</v>
      </c>
      <c r="AB26" t="s">
        <v>1</v>
      </c>
      <c r="AC26" t="s">
        <v>24</v>
      </c>
      <c r="AD26" s="2"/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25</v>
      </c>
      <c r="AK26" s="4">
        <v>0</v>
      </c>
      <c r="AL26" t="s">
        <v>1</v>
      </c>
      <c r="AM26" s="5" t="s">
        <v>1</v>
      </c>
      <c r="AN26" t="s">
        <v>1</v>
      </c>
      <c r="AO26" s="2"/>
      <c r="AP26" t="s">
        <v>1</v>
      </c>
      <c r="AQ26" t="s">
        <v>1</v>
      </c>
      <c r="AR26" s="3">
        <v>0</v>
      </c>
      <c r="AS26" t="s">
        <v>1</v>
      </c>
      <c r="AT26" t="s">
        <v>7</v>
      </c>
      <c r="AU26" t="s">
        <v>1</v>
      </c>
      <c r="AV26" t="s">
        <v>1</v>
      </c>
      <c r="AW26" t="s">
        <v>8</v>
      </c>
      <c r="AX26" t="s">
        <v>8</v>
      </c>
      <c r="AY26" t="s">
        <v>1</v>
      </c>
      <c r="AZ26" s="4">
        <v>0</v>
      </c>
      <c r="BA26" t="s">
        <v>1</v>
      </c>
      <c r="BB26" s="3">
        <v>0</v>
      </c>
      <c r="BC26" s="3">
        <v>0</v>
      </c>
      <c r="BD26" s="3">
        <v>0</v>
      </c>
      <c r="BE26" t="s">
        <v>20</v>
      </c>
      <c r="BF26" t="s">
        <v>1</v>
      </c>
      <c r="BG26" s="4">
        <v>0</v>
      </c>
      <c r="BH26" s="4">
        <v>0</v>
      </c>
      <c r="BI26" s="6">
        <v>0</v>
      </c>
      <c r="BJ26" s="6">
        <v>0</v>
      </c>
      <c r="BK26" t="s">
        <v>1</v>
      </c>
      <c r="BL26" t="s">
        <v>1</v>
      </c>
      <c r="BM26" t="s">
        <v>1</v>
      </c>
      <c r="BN26" t="s">
        <v>9</v>
      </c>
      <c r="BO26" s="2">
        <v>46114</v>
      </c>
      <c r="BP26" t="s">
        <v>1</v>
      </c>
      <c r="BQ26" t="s">
        <v>2135</v>
      </c>
      <c r="BR26" t="s">
        <v>27</v>
      </c>
      <c r="BS26" t="s">
        <v>1</v>
      </c>
      <c r="BT26" t="s">
        <v>1</v>
      </c>
      <c r="BU26" t="s">
        <v>1</v>
      </c>
      <c r="BV26" t="s">
        <v>1</v>
      </c>
      <c r="BW26" t="s">
        <v>7</v>
      </c>
      <c r="BX26" t="s">
        <v>10</v>
      </c>
      <c r="BY26" s="2"/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254</v>
      </c>
      <c r="CJ26" s="3">
        <v>-89120370</v>
      </c>
      <c r="CK26" t="s">
        <v>9</v>
      </c>
      <c r="CL26" t="s">
        <v>11</v>
      </c>
      <c r="CM26" t="s">
        <v>1</v>
      </c>
      <c r="CN26" s="4">
        <v>0</v>
      </c>
      <c r="CO26" t="s">
        <v>7</v>
      </c>
      <c r="CP26" t="s">
        <v>7</v>
      </c>
      <c r="CQ26" t="s">
        <v>7</v>
      </c>
      <c r="CR26" t="s">
        <v>7</v>
      </c>
      <c r="CS26" s="4">
        <v>0</v>
      </c>
      <c r="CT26" t="s">
        <v>2135</v>
      </c>
      <c r="CU26" t="s">
        <v>7</v>
      </c>
      <c r="CV26" t="s">
        <v>1</v>
      </c>
      <c r="CW26" s="2"/>
      <c r="CX26" t="s">
        <v>12</v>
      </c>
      <c r="CY26" t="s">
        <v>1</v>
      </c>
      <c r="CZ26" t="s">
        <v>13</v>
      </c>
      <c r="DA26" t="s">
        <v>1</v>
      </c>
      <c r="DB26" t="s">
        <v>9</v>
      </c>
      <c r="DC26" t="s">
        <v>9</v>
      </c>
      <c r="DD26" t="s">
        <v>1</v>
      </c>
      <c r="DE26" t="s">
        <v>1</v>
      </c>
      <c r="DF26" t="s">
        <v>1</v>
      </c>
      <c r="DG26" t="s">
        <v>53</v>
      </c>
      <c r="DH26" t="s">
        <v>1</v>
      </c>
      <c r="DI26" s="2"/>
      <c r="DJ26" t="s">
        <v>1</v>
      </c>
      <c r="DK26" t="s">
        <v>14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s="2"/>
      <c r="DW26" t="s">
        <v>1</v>
      </c>
      <c r="DX26" t="s">
        <v>1</v>
      </c>
      <c r="DY26" t="s">
        <v>2136</v>
      </c>
      <c r="DZ26" t="s">
        <v>1</v>
      </c>
      <c r="EA26" t="s">
        <v>1</v>
      </c>
      <c r="EB26" t="s">
        <v>28</v>
      </c>
      <c r="EC26" t="s">
        <v>7</v>
      </c>
      <c r="ED26" t="s">
        <v>1</v>
      </c>
      <c r="EE26" t="s">
        <v>1</v>
      </c>
      <c r="EF26" t="s">
        <v>22</v>
      </c>
      <c r="EG26" t="s">
        <v>41</v>
      </c>
      <c r="EH26" t="s">
        <v>15</v>
      </c>
      <c r="EI26" t="s">
        <v>1</v>
      </c>
      <c r="EJ26" s="6">
        <v>-5500</v>
      </c>
      <c r="EK26" t="s">
        <v>1</v>
      </c>
      <c r="EL26" t="s">
        <v>1</v>
      </c>
      <c r="EM26" t="s">
        <v>1</v>
      </c>
      <c r="EN26" t="s">
        <v>1</v>
      </c>
      <c r="EO26" s="2"/>
      <c r="EP26" t="s">
        <v>2136</v>
      </c>
      <c r="EQ26" t="s">
        <v>1</v>
      </c>
      <c r="ER26" t="s">
        <v>1</v>
      </c>
      <c r="ES26" t="s">
        <v>1</v>
      </c>
      <c r="ET26" t="s">
        <v>29</v>
      </c>
      <c r="EU26" t="s">
        <v>1</v>
      </c>
      <c r="EV26" t="s">
        <v>1</v>
      </c>
      <c r="EW26" t="s">
        <v>7</v>
      </c>
      <c r="EX26" t="s">
        <v>7</v>
      </c>
      <c r="EY26" t="s">
        <v>1</v>
      </c>
      <c r="EZ26" t="s">
        <v>1</v>
      </c>
      <c r="FA26" t="s">
        <v>1</v>
      </c>
      <c r="FB26" s="3">
        <v>50</v>
      </c>
      <c r="FC26" t="s">
        <v>1</v>
      </c>
      <c r="FD26" t="s">
        <v>1</v>
      </c>
      <c r="FE26" t="s">
        <v>1</v>
      </c>
      <c r="FF26" t="s">
        <v>17</v>
      </c>
      <c r="FG26" t="s">
        <v>1</v>
      </c>
      <c r="FH26" t="s">
        <v>1</v>
      </c>
      <c r="FI26" t="s">
        <v>1</v>
      </c>
      <c r="FJ26" t="s">
        <v>1</v>
      </c>
      <c r="FK26" s="7">
        <v>46114.365277777775</v>
      </c>
      <c r="FL26" t="s">
        <v>1</v>
      </c>
      <c r="FM26" t="s">
        <v>1</v>
      </c>
      <c r="FN26" t="s">
        <v>1</v>
      </c>
      <c r="FO26" s="19">
        <v>-89120370</v>
      </c>
      <c r="FP26" s="4">
        <v>0</v>
      </c>
      <c r="FQ26" s="19">
        <v>-89120370</v>
      </c>
      <c r="FR26" s="4">
        <v>0</v>
      </c>
      <c r="FS26" s="4">
        <v>0</v>
      </c>
      <c r="FT26" s="4">
        <v>0</v>
      </c>
      <c r="FU26" s="2">
        <v>46114</v>
      </c>
      <c r="FV26" t="s">
        <v>1</v>
      </c>
      <c r="FW26" s="4">
        <v>0</v>
      </c>
      <c r="FX26" t="s">
        <v>1</v>
      </c>
      <c r="FY26" t="s">
        <v>1</v>
      </c>
      <c r="FZ26" s="4">
        <v>0</v>
      </c>
      <c r="GA26" s="4">
        <v>0</v>
      </c>
      <c r="GB26" t="s">
        <v>2070</v>
      </c>
      <c r="GC26" t="str">
        <f>RIGHT(Data_FAGLL03[[#This Row],[Payment reference]],8)</f>
        <v>91172523</v>
      </c>
      <c r="GD26" t="str">
        <f>IF(Data_FAGLL03[[#This Row],[Billing]]&lt;&gt;"",_xlfn.XLOOKUP(Data_FAGLL03[[#This Row],[Billing]],MD_BILLING_SO[BILIING],MD_BILLING_SO[SO-EDITED]),"")</f>
        <v>30030667</v>
      </c>
      <c r="GE26" s="18">
        <f>IF(SUBSTITUTE(Data_FAGLL03[[#This Row],[Eff.exchange rate]],",","")/100000=1,1,SUBSTITUTE(Data_FAGLL03[[#This Row],[Eff.exchange rate]],",","")/100)</f>
        <v>1</v>
      </c>
      <c r="GF26" s="17">
        <f>IF(Data_FAGLL03[[#This Row],[Material]]&lt;&gt;"",IFERROR(Data_FAGLL03[[#This Row],[Amount in local currency]]/Data_FAGLL03[[#This Row],[Quantity_Original]],0),0)</f>
        <v>16203.703636363636</v>
      </c>
      <c r="GG26" s="18">
        <f>IF(Data_FAGLL03[[#This Row],[XK/NĐ]]="XK",Data_FAGLL03[[#This Row],[GB trung bình]]/Data_FAGLL03[[#This Row],[EXR]],0)*1000</f>
        <v>0</v>
      </c>
      <c r="GH26" s="18" cm="1">
        <f t="array" ref="GH26">IF(Data_FAGLL03[[#This Row],[Document currency]]&lt;&gt;"VND",Data_FAGLL03[[#This Row],[Amount in doc. curr.]],Data_FAGLL03[[#This Row],[Amount in local currency]]/EXR)</f>
        <v>-3394.7845605215493</v>
      </c>
      <c r="GI26" s="10">
        <f>Data_FAGLL03[[#This Row],[Time Stamp]]+TIME(7,0,0)</f>
        <v>46114.656944444439</v>
      </c>
      <c r="GJ26" s="18">
        <f>MONTH(Data_FAGLL03[[#This Row],[Time Stamp_VN]])</f>
        <v>4</v>
      </c>
      <c r="GK26">
        <f>DAY(Data_FAGLL03[[#This Row],[Time Stamp_VN]])</f>
        <v>2</v>
      </c>
      <c r="GL26" t="str">
        <f>TEXT(Data_FAGLL03[[#This Row],[Tháng]],"00")&amp;" | "&amp;TEXT(Data_FAGLL03[[#This Row],[Ngày]],"00")</f>
        <v>04 | 02</v>
      </c>
      <c r="GM26" s="18">
        <f>IF(Data_FAGLL03[[#This Row],[Text]]="",Data_FAGLL03[[#This Row],[Quantity_Original]],0)</f>
        <v>-5500</v>
      </c>
      <c r="GN26" s="18" t="str">
        <f>IF(Data_FAGLL03[[#This Row],[Quantity_Edited]]&lt;&gt;0,Data_FAGLL03[[#This Row],[Offsetting acct no.]]&amp;" | "&amp;Data_FAGLL03[[#This Row],[Material]],"")</f>
        <v>105349 | 110000341</v>
      </c>
      <c r="GO26" t="str">
        <f>IF(LEFT(Data_FAGLL03[[#This Row],[Offsetting acct no.]],1)="1","NĐ",IF(LEFT(Data_FAGLL03[[#This Row],[Offsetting acct no.]],1)="2","XK","Khác"))</f>
        <v>NĐ</v>
      </c>
      <c r="GP26" t="str">
        <f>IF(Data_FAGLL03[[#This Row],[Material]]&lt;&gt;"",_xlfn.XLOOKUP(Data_FAGLL03[[#This Row],[Material]],MD_SKU[Mã SKU],MD_SKU[Tên SKU]),"")</f>
        <v>Hạt nhựa rHDB04B01</v>
      </c>
      <c r="GQ26" t="str">
        <f>IF(Data_FAGLL03[[#This Row],[Material]]&lt;&gt;"",_xlfn.XLOOKUP(Data_FAGLL03[[#This Row],[Material]],MD_SKU[Mã SKU],MD_SKU[Nhóm SP 1]),"")</f>
        <v>rHDPE</v>
      </c>
      <c r="GR26" t="str">
        <f>IF(Data_FAGLL03[[#This Row],[Material]]&lt;&gt;"",_xlfn.XLOOKUP(Data_FAGLL03[[#This Row],[Material]],MD_SKU[Mã SKU],MD_SKU[Nhóm SP 2]),"")</f>
        <v>rHDPE thổi</v>
      </c>
      <c r="GS26" t="str">
        <f>IF(Data_FAGLL03[[#This Row],[Material]]&lt;&gt;"",_xlfn.XLOOKUP(Data_FAGLL03[[#This Row],[Material]],MD_SKU[Mã SKU],MD_SKU[Nhóm SP 3]),"")</f>
        <v>rHDPE thổi</v>
      </c>
      <c r="GT26" t="str">
        <f>IF(Data_FAGLL03[[#This Row],[Material]]&lt;&gt;"",_xlfn.XLOOKUP(Data_FAGLL03[[#This Row],[Material]],MD_SKU[Mã SKU],MD_SKU[Nhóm SP 4]),"")</f>
        <v>Hạt rHDPE thổi</v>
      </c>
    </row>
    <row r="27" spans="1:202" x14ac:dyDescent="0.25">
      <c r="A27" t="s">
        <v>0</v>
      </c>
      <c r="B27" s="2">
        <v>46114</v>
      </c>
      <c r="C27" t="s">
        <v>2137</v>
      </c>
      <c r="D27" t="s">
        <v>1</v>
      </c>
      <c r="E27" t="s">
        <v>1</v>
      </c>
      <c r="F27" t="s">
        <v>31</v>
      </c>
      <c r="G27" t="s">
        <v>31</v>
      </c>
      <c r="H27" t="s">
        <v>258</v>
      </c>
      <c r="I27" s="19">
        <v>-709280000</v>
      </c>
      <c r="J27" t="s">
        <v>259</v>
      </c>
      <c r="K27" t="s">
        <v>1</v>
      </c>
      <c r="L27" t="s">
        <v>39</v>
      </c>
      <c r="M27" t="s">
        <v>41</v>
      </c>
      <c r="N27" t="s">
        <v>254</v>
      </c>
      <c r="O27" t="s">
        <v>4</v>
      </c>
      <c r="P27" t="s">
        <v>2138</v>
      </c>
      <c r="Q27" t="s">
        <v>31</v>
      </c>
      <c r="R27" t="s">
        <v>5</v>
      </c>
      <c r="S27" t="s">
        <v>1</v>
      </c>
      <c r="T27" s="3">
        <v>-709280000</v>
      </c>
      <c r="U27" s="19">
        <v>-709280000</v>
      </c>
      <c r="V27" s="3">
        <v>-709280000</v>
      </c>
      <c r="W27" s="3">
        <v>-709280000</v>
      </c>
      <c r="X27" s="4">
        <v>0</v>
      </c>
      <c r="Y27" s="4">
        <v>0</v>
      </c>
      <c r="Z27" s="3">
        <v>0</v>
      </c>
      <c r="AA27" s="3">
        <v>0</v>
      </c>
      <c r="AB27" t="s">
        <v>1</v>
      </c>
      <c r="AC27" t="s">
        <v>24</v>
      </c>
      <c r="AD27" s="2"/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25</v>
      </c>
      <c r="AK27" s="4">
        <v>0</v>
      </c>
      <c r="AL27" t="s">
        <v>1</v>
      </c>
      <c r="AM27" s="5" t="s">
        <v>1</v>
      </c>
      <c r="AN27" t="s">
        <v>1</v>
      </c>
      <c r="AO27" s="2"/>
      <c r="AP27" t="s">
        <v>1</v>
      </c>
      <c r="AQ27" t="s">
        <v>1</v>
      </c>
      <c r="AR27" s="3">
        <v>0</v>
      </c>
      <c r="AS27" t="s">
        <v>1</v>
      </c>
      <c r="AT27" t="s">
        <v>7</v>
      </c>
      <c r="AU27" t="s">
        <v>1</v>
      </c>
      <c r="AV27" t="s">
        <v>1</v>
      </c>
      <c r="AW27" t="s">
        <v>8</v>
      </c>
      <c r="AX27" t="s">
        <v>8</v>
      </c>
      <c r="AY27" t="s">
        <v>1</v>
      </c>
      <c r="AZ27" s="4">
        <v>0</v>
      </c>
      <c r="BA27" t="s">
        <v>1</v>
      </c>
      <c r="BB27" s="3">
        <v>0</v>
      </c>
      <c r="BC27" s="3">
        <v>0</v>
      </c>
      <c r="BD27" s="3">
        <v>0</v>
      </c>
      <c r="BE27" t="s">
        <v>20</v>
      </c>
      <c r="BF27" t="s">
        <v>1</v>
      </c>
      <c r="BG27" s="4">
        <v>0</v>
      </c>
      <c r="BH27" s="4">
        <v>0</v>
      </c>
      <c r="BI27" s="6">
        <v>0</v>
      </c>
      <c r="BJ27" s="6">
        <v>0</v>
      </c>
      <c r="BK27" t="s">
        <v>1</v>
      </c>
      <c r="BL27" t="s">
        <v>1</v>
      </c>
      <c r="BM27" t="s">
        <v>1</v>
      </c>
      <c r="BN27" t="s">
        <v>9</v>
      </c>
      <c r="BO27" s="2">
        <v>46114</v>
      </c>
      <c r="BP27" t="s">
        <v>1</v>
      </c>
      <c r="BQ27" t="s">
        <v>2137</v>
      </c>
      <c r="BR27" t="s">
        <v>27</v>
      </c>
      <c r="BS27" t="s">
        <v>1</v>
      </c>
      <c r="BT27" t="s">
        <v>1</v>
      </c>
      <c r="BU27" t="s">
        <v>1</v>
      </c>
      <c r="BV27" t="s">
        <v>1</v>
      </c>
      <c r="BW27" t="s">
        <v>7</v>
      </c>
      <c r="BX27" t="s">
        <v>10</v>
      </c>
      <c r="BY27" s="2"/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254</v>
      </c>
      <c r="CJ27" s="3">
        <v>-709280000</v>
      </c>
      <c r="CK27" t="s">
        <v>9</v>
      </c>
      <c r="CL27" t="s">
        <v>11</v>
      </c>
      <c r="CM27" t="s">
        <v>1</v>
      </c>
      <c r="CN27" s="4">
        <v>0</v>
      </c>
      <c r="CO27" t="s">
        <v>7</v>
      </c>
      <c r="CP27" t="s">
        <v>7</v>
      </c>
      <c r="CQ27" t="s">
        <v>7</v>
      </c>
      <c r="CR27" t="s">
        <v>7</v>
      </c>
      <c r="CS27" s="4">
        <v>0</v>
      </c>
      <c r="CT27" t="s">
        <v>2137</v>
      </c>
      <c r="CU27" t="s">
        <v>7</v>
      </c>
      <c r="CV27" t="s">
        <v>1</v>
      </c>
      <c r="CW27" s="2"/>
      <c r="CX27" t="s">
        <v>12</v>
      </c>
      <c r="CY27" t="s">
        <v>1</v>
      </c>
      <c r="CZ27" t="s">
        <v>13</v>
      </c>
      <c r="DA27" t="s">
        <v>1</v>
      </c>
      <c r="DB27" t="s">
        <v>9</v>
      </c>
      <c r="DC27" t="s">
        <v>9</v>
      </c>
      <c r="DD27" t="s">
        <v>1</v>
      </c>
      <c r="DE27" t="s">
        <v>1</v>
      </c>
      <c r="DF27" t="s">
        <v>1</v>
      </c>
      <c r="DG27" t="s">
        <v>32</v>
      </c>
      <c r="DH27" t="s">
        <v>1</v>
      </c>
      <c r="DI27" s="2"/>
      <c r="DJ27" t="s">
        <v>1</v>
      </c>
      <c r="DK27" t="s">
        <v>14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s="2"/>
      <c r="DW27" t="s">
        <v>1</v>
      </c>
      <c r="DX27" t="s">
        <v>1</v>
      </c>
      <c r="DY27" t="s">
        <v>2139</v>
      </c>
      <c r="DZ27" t="s">
        <v>1</v>
      </c>
      <c r="EA27" t="s">
        <v>1</v>
      </c>
      <c r="EB27" t="s">
        <v>28</v>
      </c>
      <c r="EC27" t="s">
        <v>7</v>
      </c>
      <c r="ED27" t="s">
        <v>1</v>
      </c>
      <c r="EE27" t="s">
        <v>1</v>
      </c>
      <c r="EF27" t="s">
        <v>22</v>
      </c>
      <c r="EG27" t="s">
        <v>41</v>
      </c>
      <c r="EH27" t="s">
        <v>15</v>
      </c>
      <c r="EI27" t="s">
        <v>1</v>
      </c>
      <c r="EJ27" s="6">
        <v>-22000</v>
      </c>
      <c r="EK27" t="s">
        <v>1</v>
      </c>
      <c r="EL27" t="s">
        <v>1</v>
      </c>
      <c r="EM27" t="s">
        <v>1</v>
      </c>
      <c r="EN27" t="s">
        <v>1</v>
      </c>
      <c r="EO27" s="2"/>
      <c r="EP27" t="s">
        <v>2139</v>
      </c>
      <c r="EQ27" t="s">
        <v>1</v>
      </c>
      <c r="ER27" t="s">
        <v>1</v>
      </c>
      <c r="ES27" t="s">
        <v>1</v>
      </c>
      <c r="ET27" t="s">
        <v>29</v>
      </c>
      <c r="EU27" t="s">
        <v>1</v>
      </c>
      <c r="EV27" t="s">
        <v>1</v>
      </c>
      <c r="EW27" t="s">
        <v>7</v>
      </c>
      <c r="EX27" t="s">
        <v>7</v>
      </c>
      <c r="EY27" t="s">
        <v>1</v>
      </c>
      <c r="EZ27" t="s">
        <v>1</v>
      </c>
      <c r="FA27" t="s">
        <v>1</v>
      </c>
      <c r="FB27" s="3">
        <v>50</v>
      </c>
      <c r="FC27" t="s">
        <v>1</v>
      </c>
      <c r="FD27" t="s">
        <v>1</v>
      </c>
      <c r="FE27" t="s">
        <v>1</v>
      </c>
      <c r="FF27" t="s">
        <v>17</v>
      </c>
      <c r="FG27" t="s">
        <v>1</v>
      </c>
      <c r="FH27" t="s">
        <v>1</v>
      </c>
      <c r="FI27" t="s">
        <v>1</v>
      </c>
      <c r="FJ27" t="s">
        <v>1</v>
      </c>
      <c r="FK27" s="7">
        <v>46114.380740740744</v>
      </c>
      <c r="FL27" t="s">
        <v>1</v>
      </c>
      <c r="FM27" t="s">
        <v>1</v>
      </c>
      <c r="FN27" t="s">
        <v>1</v>
      </c>
      <c r="FO27" s="19">
        <v>-709280000</v>
      </c>
      <c r="FP27" s="4">
        <v>0</v>
      </c>
      <c r="FQ27" s="19">
        <v>-709280000</v>
      </c>
      <c r="FR27" s="4">
        <v>0</v>
      </c>
      <c r="FS27" s="4">
        <v>0</v>
      </c>
      <c r="FT27" s="4">
        <v>0</v>
      </c>
      <c r="FU27" s="2">
        <v>46114</v>
      </c>
      <c r="FV27" t="s">
        <v>1</v>
      </c>
      <c r="FW27" s="4">
        <v>0</v>
      </c>
      <c r="FX27" t="s">
        <v>1</v>
      </c>
      <c r="FY27" t="s">
        <v>1</v>
      </c>
      <c r="FZ27" s="4">
        <v>0</v>
      </c>
      <c r="GA27" s="4">
        <v>0</v>
      </c>
      <c r="GB27" t="s">
        <v>2070</v>
      </c>
      <c r="GC27" t="str">
        <f>RIGHT(Data_FAGLL03[[#This Row],[Payment reference]],8)</f>
        <v>91172524</v>
      </c>
      <c r="GD27" t="str">
        <f>IF(Data_FAGLL03[[#This Row],[Billing]]&lt;&gt;"",_xlfn.XLOOKUP(Data_FAGLL03[[#This Row],[Billing]],MD_BILLING_SO[BILIING],MD_BILLING_SO[SO-EDITED]),"")</f>
        <v>30030652</v>
      </c>
      <c r="GE27" s="18">
        <f>IF(SUBSTITUTE(Data_FAGLL03[[#This Row],[Eff.exchange rate]],",","")/100000=1,1,SUBSTITUTE(Data_FAGLL03[[#This Row],[Eff.exchange rate]],",","")/100)</f>
        <v>1</v>
      </c>
      <c r="GF27" s="17">
        <f>IF(Data_FAGLL03[[#This Row],[Material]]&lt;&gt;"",IFERROR(Data_FAGLL03[[#This Row],[Amount in local currency]]/Data_FAGLL03[[#This Row],[Quantity_Original]],0),0)</f>
        <v>32240</v>
      </c>
      <c r="GG27" s="18">
        <f>IF(Data_FAGLL03[[#This Row],[XK/NĐ]]="XK",Data_FAGLL03[[#This Row],[GB trung bình]]/Data_FAGLL03[[#This Row],[EXR]],0)*1000</f>
        <v>0</v>
      </c>
      <c r="GH27" s="18" cm="1">
        <f t="array" ref="GH27">IF(Data_FAGLL03[[#This Row],[Document currency]]&lt;&gt;"VND",Data_FAGLL03[[#This Row],[Amount in doc. curr.]],Data_FAGLL03[[#This Row],[Amount in local currency]]/EXR)</f>
        <v>-27017.984699645262</v>
      </c>
      <c r="GI27" s="10">
        <f>Data_FAGLL03[[#This Row],[Time Stamp]]+TIME(7,0,0)</f>
        <v>46114.672407407408</v>
      </c>
      <c r="GJ27" s="18">
        <f>MONTH(Data_FAGLL03[[#This Row],[Time Stamp_VN]])</f>
        <v>4</v>
      </c>
      <c r="GK27">
        <f>DAY(Data_FAGLL03[[#This Row],[Time Stamp_VN]])</f>
        <v>2</v>
      </c>
      <c r="GL27" t="str">
        <f>TEXT(Data_FAGLL03[[#This Row],[Tháng]],"00")&amp;" | "&amp;TEXT(Data_FAGLL03[[#This Row],[Ngày]],"00")</f>
        <v>04 | 02</v>
      </c>
      <c r="GM27" s="18">
        <f>IF(Data_FAGLL03[[#This Row],[Text]]="",Data_FAGLL03[[#This Row],[Quantity_Original]],0)</f>
        <v>-22000</v>
      </c>
      <c r="GN27" s="18" t="str">
        <f>IF(Data_FAGLL03[[#This Row],[Quantity_Edited]]&lt;&gt;0,Data_FAGLL03[[#This Row],[Offsetting acct no.]]&amp;" | "&amp;Data_FAGLL03[[#This Row],[Material]],"")</f>
        <v>105194 | 110000332</v>
      </c>
      <c r="GO27" t="str">
        <f>IF(LEFT(Data_FAGLL03[[#This Row],[Offsetting acct no.]],1)="1","NĐ",IF(LEFT(Data_FAGLL03[[#This Row],[Offsetting acct no.]],1)="2","XK","Khác"))</f>
        <v>NĐ</v>
      </c>
      <c r="GP27" t="str">
        <f>IF(Data_FAGLL03[[#This Row],[Material]]&lt;&gt;"",_xlfn.XLOOKUP(Data_FAGLL03[[#This Row],[Material]],MD_SKU[Mã SKU],MD_SKU[Tên SKU]),"")</f>
        <v>Hạt nhựa rPET iSS01084G</v>
      </c>
      <c r="GQ27" t="str">
        <f>IF(Data_FAGLL03[[#This Row],[Material]]&lt;&gt;"",_xlfn.XLOOKUP(Data_FAGLL03[[#This Row],[Material]],MD_SKU[Mã SKU],MD_SKU[Nhóm SP 1]),"")</f>
        <v>rPET</v>
      </c>
      <c r="GR27" t="str">
        <f>IF(Data_FAGLL03[[#This Row],[Material]]&lt;&gt;"",_xlfn.XLOOKUP(Data_FAGLL03[[#This Row],[Material]],MD_SKU[Mã SKU],MD_SKU[Nhóm SP 2]),"")</f>
        <v>rPET</v>
      </c>
      <c r="GS27" t="str">
        <f>IF(Data_FAGLL03[[#This Row],[Material]]&lt;&gt;"",_xlfn.XLOOKUP(Data_FAGLL03[[#This Row],[Material]],MD_SKU[Mã SKU],MD_SKU[Nhóm SP 3]),"")</f>
        <v>rPET</v>
      </c>
      <c r="GT27" t="str">
        <f>IF(Data_FAGLL03[[#This Row],[Material]]&lt;&gt;"",_xlfn.XLOOKUP(Data_FAGLL03[[#This Row],[Material]],MD_SKU[Mã SKU],MD_SKU[Nhóm SP 4]),"")</f>
        <v>Hạt rPET</v>
      </c>
    </row>
    <row r="28" spans="1:202" x14ac:dyDescent="0.25">
      <c r="A28" t="s">
        <v>0</v>
      </c>
      <c r="B28" s="2">
        <v>46114</v>
      </c>
      <c r="C28" t="s">
        <v>2140</v>
      </c>
      <c r="D28" t="s">
        <v>1</v>
      </c>
      <c r="E28" t="s">
        <v>1</v>
      </c>
      <c r="F28" t="s">
        <v>31</v>
      </c>
      <c r="G28" t="s">
        <v>31</v>
      </c>
      <c r="H28" t="s">
        <v>258</v>
      </c>
      <c r="I28" s="19">
        <v>-709280000</v>
      </c>
      <c r="J28" t="s">
        <v>259</v>
      </c>
      <c r="K28" t="s">
        <v>1</v>
      </c>
      <c r="L28" t="s">
        <v>39</v>
      </c>
      <c r="M28" t="s">
        <v>41</v>
      </c>
      <c r="N28" t="s">
        <v>254</v>
      </c>
      <c r="O28" t="s">
        <v>4</v>
      </c>
      <c r="P28" t="s">
        <v>2141</v>
      </c>
      <c r="Q28" t="s">
        <v>31</v>
      </c>
      <c r="R28" t="s">
        <v>5</v>
      </c>
      <c r="S28" t="s">
        <v>1</v>
      </c>
      <c r="T28" s="3">
        <v>-709280000</v>
      </c>
      <c r="U28" s="19">
        <v>-709280000</v>
      </c>
      <c r="V28" s="3">
        <v>-709280000</v>
      </c>
      <c r="W28" s="3">
        <v>-709280000</v>
      </c>
      <c r="X28" s="4">
        <v>0</v>
      </c>
      <c r="Y28" s="4">
        <v>0</v>
      </c>
      <c r="Z28" s="3">
        <v>0</v>
      </c>
      <c r="AA28" s="3">
        <v>0</v>
      </c>
      <c r="AB28" t="s">
        <v>1</v>
      </c>
      <c r="AC28" t="s">
        <v>24</v>
      </c>
      <c r="AD28" s="2"/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25</v>
      </c>
      <c r="AK28" s="4">
        <v>0</v>
      </c>
      <c r="AL28" t="s">
        <v>1</v>
      </c>
      <c r="AM28" s="5" t="s">
        <v>1</v>
      </c>
      <c r="AN28" t="s">
        <v>1</v>
      </c>
      <c r="AO28" s="2"/>
      <c r="AP28" t="s">
        <v>1</v>
      </c>
      <c r="AQ28" t="s">
        <v>1</v>
      </c>
      <c r="AR28" s="3">
        <v>0</v>
      </c>
      <c r="AS28" t="s">
        <v>1</v>
      </c>
      <c r="AT28" t="s">
        <v>7</v>
      </c>
      <c r="AU28" t="s">
        <v>1</v>
      </c>
      <c r="AV28" t="s">
        <v>1</v>
      </c>
      <c r="AW28" t="s">
        <v>8</v>
      </c>
      <c r="AX28" t="s">
        <v>8</v>
      </c>
      <c r="AY28" t="s">
        <v>1</v>
      </c>
      <c r="AZ28" s="4">
        <v>0</v>
      </c>
      <c r="BA28" t="s">
        <v>1</v>
      </c>
      <c r="BB28" s="3">
        <v>0</v>
      </c>
      <c r="BC28" s="3">
        <v>0</v>
      </c>
      <c r="BD28" s="3">
        <v>0</v>
      </c>
      <c r="BE28" t="s">
        <v>20</v>
      </c>
      <c r="BF28" t="s">
        <v>1</v>
      </c>
      <c r="BG28" s="4">
        <v>0</v>
      </c>
      <c r="BH28" s="4">
        <v>0</v>
      </c>
      <c r="BI28" s="6">
        <v>0</v>
      </c>
      <c r="BJ28" s="6">
        <v>0</v>
      </c>
      <c r="BK28" t="s">
        <v>1</v>
      </c>
      <c r="BL28" t="s">
        <v>1</v>
      </c>
      <c r="BM28" t="s">
        <v>1</v>
      </c>
      <c r="BN28" t="s">
        <v>9</v>
      </c>
      <c r="BO28" s="2">
        <v>46114</v>
      </c>
      <c r="BP28" t="s">
        <v>1</v>
      </c>
      <c r="BQ28" t="s">
        <v>2140</v>
      </c>
      <c r="BR28" t="s">
        <v>27</v>
      </c>
      <c r="BS28" t="s">
        <v>1</v>
      </c>
      <c r="BT28" t="s">
        <v>1</v>
      </c>
      <c r="BU28" t="s">
        <v>1</v>
      </c>
      <c r="BV28" t="s">
        <v>1</v>
      </c>
      <c r="BW28" t="s">
        <v>7</v>
      </c>
      <c r="BX28" t="s">
        <v>10</v>
      </c>
      <c r="BY28" s="2"/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254</v>
      </c>
      <c r="CJ28" s="3">
        <v>-709280000</v>
      </c>
      <c r="CK28" t="s">
        <v>9</v>
      </c>
      <c r="CL28" t="s">
        <v>11</v>
      </c>
      <c r="CM28" t="s">
        <v>1</v>
      </c>
      <c r="CN28" s="4">
        <v>0</v>
      </c>
      <c r="CO28" t="s">
        <v>7</v>
      </c>
      <c r="CP28" t="s">
        <v>7</v>
      </c>
      <c r="CQ28" t="s">
        <v>7</v>
      </c>
      <c r="CR28" t="s">
        <v>7</v>
      </c>
      <c r="CS28" s="4">
        <v>0</v>
      </c>
      <c r="CT28" t="s">
        <v>2140</v>
      </c>
      <c r="CU28" t="s">
        <v>7</v>
      </c>
      <c r="CV28" t="s">
        <v>1</v>
      </c>
      <c r="CW28" s="2"/>
      <c r="CX28" t="s">
        <v>12</v>
      </c>
      <c r="CY28" t="s">
        <v>1</v>
      </c>
      <c r="CZ28" t="s">
        <v>13</v>
      </c>
      <c r="DA28" t="s">
        <v>1</v>
      </c>
      <c r="DB28" t="s">
        <v>9</v>
      </c>
      <c r="DC28" t="s">
        <v>9</v>
      </c>
      <c r="DD28" t="s">
        <v>1</v>
      </c>
      <c r="DE28" t="s">
        <v>1</v>
      </c>
      <c r="DF28" t="s">
        <v>1</v>
      </c>
      <c r="DG28" t="s">
        <v>32</v>
      </c>
      <c r="DH28" t="s">
        <v>1</v>
      </c>
      <c r="DI28" s="2"/>
      <c r="DJ28" t="s">
        <v>1</v>
      </c>
      <c r="DK28" t="s">
        <v>14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s="2"/>
      <c r="DW28" t="s">
        <v>1</v>
      </c>
      <c r="DX28" t="s">
        <v>1</v>
      </c>
      <c r="DY28" t="s">
        <v>2142</v>
      </c>
      <c r="DZ28" t="s">
        <v>1</v>
      </c>
      <c r="EA28" t="s">
        <v>1</v>
      </c>
      <c r="EB28" t="s">
        <v>28</v>
      </c>
      <c r="EC28" t="s">
        <v>7</v>
      </c>
      <c r="ED28" t="s">
        <v>1</v>
      </c>
      <c r="EE28" t="s">
        <v>1</v>
      </c>
      <c r="EF28" t="s">
        <v>22</v>
      </c>
      <c r="EG28" t="s">
        <v>41</v>
      </c>
      <c r="EH28" t="s">
        <v>15</v>
      </c>
      <c r="EI28" t="s">
        <v>1</v>
      </c>
      <c r="EJ28" s="6">
        <v>-22000</v>
      </c>
      <c r="EK28" t="s">
        <v>1</v>
      </c>
      <c r="EL28" t="s">
        <v>1</v>
      </c>
      <c r="EM28" t="s">
        <v>1</v>
      </c>
      <c r="EN28" t="s">
        <v>1</v>
      </c>
      <c r="EO28" s="2"/>
      <c r="EP28" t="s">
        <v>2142</v>
      </c>
      <c r="EQ28" t="s">
        <v>1</v>
      </c>
      <c r="ER28" t="s">
        <v>1</v>
      </c>
      <c r="ES28" t="s">
        <v>1</v>
      </c>
      <c r="ET28" t="s">
        <v>29</v>
      </c>
      <c r="EU28" t="s">
        <v>1</v>
      </c>
      <c r="EV28" t="s">
        <v>1</v>
      </c>
      <c r="EW28" t="s">
        <v>7</v>
      </c>
      <c r="EX28" t="s">
        <v>7</v>
      </c>
      <c r="EY28" t="s">
        <v>1</v>
      </c>
      <c r="EZ28" t="s">
        <v>1</v>
      </c>
      <c r="FA28" t="s">
        <v>1</v>
      </c>
      <c r="FB28" s="3">
        <v>50</v>
      </c>
      <c r="FC28" t="s">
        <v>1</v>
      </c>
      <c r="FD28" t="s">
        <v>1</v>
      </c>
      <c r="FE28" t="s">
        <v>1</v>
      </c>
      <c r="FF28" t="s">
        <v>17</v>
      </c>
      <c r="FG28" t="s">
        <v>1</v>
      </c>
      <c r="FH28" t="s">
        <v>1</v>
      </c>
      <c r="FI28" t="s">
        <v>1</v>
      </c>
      <c r="FJ28" t="s">
        <v>1</v>
      </c>
      <c r="FK28" s="7">
        <v>46114.414513888885</v>
      </c>
      <c r="FL28" t="s">
        <v>1</v>
      </c>
      <c r="FM28" t="s">
        <v>1</v>
      </c>
      <c r="FN28" t="s">
        <v>1</v>
      </c>
      <c r="FO28" s="19">
        <v>-709280000</v>
      </c>
      <c r="FP28" s="4">
        <v>0</v>
      </c>
      <c r="FQ28" s="19">
        <v>-709280000</v>
      </c>
      <c r="FR28" s="4">
        <v>0</v>
      </c>
      <c r="FS28" s="4">
        <v>0</v>
      </c>
      <c r="FT28" s="4">
        <v>0</v>
      </c>
      <c r="FU28" s="2">
        <v>46114</v>
      </c>
      <c r="FV28" t="s">
        <v>1</v>
      </c>
      <c r="FW28" s="4">
        <v>0</v>
      </c>
      <c r="FX28" t="s">
        <v>1</v>
      </c>
      <c r="FY28" t="s">
        <v>1</v>
      </c>
      <c r="FZ28" s="4">
        <v>0</v>
      </c>
      <c r="GA28" s="4">
        <v>0</v>
      </c>
      <c r="GB28" t="s">
        <v>2070</v>
      </c>
      <c r="GC28" t="str">
        <f>RIGHT(Data_FAGLL03[[#This Row],[Payment reference]],8)</f>
        <v>91172525</v>
      </c>
      <c r="GD28" t="str">
        <f>IF(Data_FAGLL03[[#This Row],[Billing]]&lt;&gt;"",_xlfn.XLOOKUP(Data_FAGLL03[[#This Row],[Billing]],MD_BILLING_SO[BILIING],MD_BILLING_SO[SO-EDITED]),"")</f>
        <v>30030652</v>
      </c>
      <c r="GE28" s="18">
        <f>IF(SUBSTITUTE(Data_FAGLL03[[#This Row],[Eff.exchange rate]],",","")/100000=1,1,SUBSTITUTE(Data_FAGLL03[[#This Row],[Eff.exchange rate]],",","")/100)</f>
        <v>1</v>
      </c>
      <c r="GF28" s="17">
        <f>IF(Data_FAGLL03[[#This Row],[Material]]&lt;&gt;"",IFERROR(Data_FAGLL03[[#This Row],[Amount in local currency]]/Data_FAGLL03[[#This Row],[Quantity_Original]],0),0)</f>
        <v>32240</v>
      </c>
      <c r="GG28" s="18">
        <f>IF(Data_FAGLL03[[#This Row],[XK/NĐ]]="XK",Data_FAGLL03[[#This Row],[GB trung bình]]/Data_FAGLL03[[#This Row],[EXR]],0)*1000</f>
        <v>0</v>
      </c>
      <c r="GH28" s="18" cm="1">
        <f t="array" ref="GH28">IF(Data_FAGLL03[[#This Row],[Document currency]]&lt;&gt;"VND",Data_FAGLL03[[#This Row],[Amount in doc. curr.]],Data_FAGLL03[[#This Row],[Amount in local currency]]/EXR)</f>
        <v>-27017.984699645262</v>
      </c>
      <c r="GI28" s="10">
        <f>Data_FAGLL03[[#This Row],[Time Stamp]]+TIME(7,0,0)</f>
        <v>46114.70618055555</v>
      </c>
      <c r="GJ28" s="18">
        <f>MONTH(Data_FAGLL03[[#This Row],[Time Stamp_VN]])</f>
        <v>4</v>
      </c>
      <c r="GK28">
        <f>DAY(Data_FAGLL03[[#This Row],[Time Stamp_VN]])</f>
        <v>2</v>
      </c>
      <c r="GL28" t="str">
        <f>TEXT(Data_FAGLL03[[#This Row],[Tháng]],"00")&amp;" | "&amp;TEXT(Data_FAGLL03[[#This Row],[Ngày]],"00")</f>
        <v>04 | 02</v>
      </c>
      <c r="GM28" s="18">
        <f>IF(Data_FAGLL03[[#This Row],[Text]]="",Data_FAGLL03[[#This Row],[Quantity_Original]],0)</f>
        <v>-22000</v>
      </c>
      <c r="GN28" s="18" t="str">
        <f>IF(Data_FAGLL03[[#This Row],[Quantity_Edited]]&lt;&gt;0,Data_FAGLL03[[#This Row],[Offsetting acct no.]]&amp;" | "&amp;Data_FAGLL03[[#This Row],[Material]],"")</f>
        <v>105194 | 110000332</v>
      </c>
      <c r="GO28" t="str">
        <f>IF(LEFT(Data_FAGLL03[[#This Row],[Offsetting acct no.]],1)="1","NĐ",IF(LEFT(Data_FAGLL03[[#This Row],[Offsetting acct no.]],1)="2","XK","Khác"))</f>
        <v>NĐ</v>
      </c>
      <c r="GP28" t="str">
        <f>IF(Data_FAGLL03[[#This Row],[Material]]&lt;&gt;"",_xlfn.XLOOKUP(Data_FAGLL03[[#This Row],[Material]],MD_SKU[Mã SKU],MD_SKU[Tên SKU]),"")</f>
        <v>Hạt nhựa rPET iSS01084G</v>
      </c>
      <c r="GQ28" t="str">
        <f>IF(Data_FAGLL03[[#This Row],[Material]]&lt;&gt;"",_xlfn.XLOOKUP(Data_FAGLL03[[#This Row],[Material]],MD_SKU[Mã SKU],MD_SKU[Nhóm SP 1]),"")</f>
        <v>rPET</v>
      </c>
      <c r="GR28" t="str">
        <f>IF(Data_FAGLL03[[#This Row],[Material]]&lt;&gt;"",_xlfn.XLOOKUP(Data_FAGLL03[[#This Row],[Material]],MD_SKU[Mã SKU],MD_SKU[Nhóm SP 2]),"")</f>
        <v>rPET</v>
      </c>
      <c r="GS28" t="str">
        <f>IF(Data_FAGLL03[[#This Row],[Material]]&lt;&gt;"",_xlfn.XLOOKUP(Data_FAGLL03[[#This Row],[Material]],MD_SKU[Mã SKU],MD_SKU[Nhóm SP 3]),"")</f>
        <v>rPET</v>
      </c>
      <c r="GT28" t="str">
        <f>IF(Data_FAGLL03[[#This Row],[Material]]&lt;&gt;"",_xlfn.XLOOKUP(Data_FAGLL03[[#This Row],[Material]],MD_SKU[Mã SKU],MD_SKU[Nhóm SP 4]),"")</f>
        <v>Hạt rPET</v>
      </c>
    </row>
    <row r="29" spans="1:202" x14ac:dyDescent="0.25">
      <c r="A29" t="s">
        <v>0</v>
      </c>
      <c r="B29" s="2">
        <v>46114</v>
      </c>
      <c r="C29" t="s">
        <v>2143</v>
      </c>
      <c r="D29" t="s">
        <v>1</v>
      </c>
      <c r="E29" t="s">
        <v>1</v>
      </c>
      <c r="F29" t="s">
        <v>31</v>
      </c>
      <c r="G29" t="s">
        <v>31</v>
      </c>
      <c r="H29" t="s">
        <v>2008</v>
      </c>
      <c r="I29" s="19">
        <v>-731302000</v>
      </c>
      <c r="J29" t="s">
        <v>2009</v>
      </c>
      <c r="K29" t="s">
        <v>1</v>
      </c>
      <c r="L29" t="s">
        <v>39</v>
      </c>
      <c r="M29" t="s">
        <v>41</v>
      </c>
      <c r="N29" t="s">
        <v>254</v>
      </c>
      <c r="O29" t="s">
        <v>4</v>
      </c>
      <c r="P29" t="s">
        <v>2144</v>
      </c>
      <c r="Q29" t="s">
        <v>31</v>
      </c>
      <c r="R29" t="s">
        <v>5</v>
      </c>
      <c r="S29" t="s">
        <v>1</v>
      </c>
      <c r="T29" s="3">
        <v>-731302000</v>
      </c>
      <c r="U29" s="19">
        <v>-731302000</v>
      </c>
      <c r="V29" s="3">
        <v>-731302000</v>
      </c>
      <c r="W29" s="3">
        <v>-731302000</v>
      </c>
      <c r="X29" s="4">
        <v>0</v>
      </c>
      <c r="Y29" s="4">
        <v>0</v>
      </c>
      <c r="Z29" s="3">
        <v>0</v>
      </c>
      <c r="AA29" s="3">
        <v>0</v>
      </c>
      <c r="AB29" t="s">
        <v>1</v>
      </c>
      <c r="AC29" t="s">
        <v>24</v>
      </c>
      <c r="AD29" s="2"/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25</v>
      </c>
      <c r="AK29" s="4">
        <v>0</v>
      </c>
      <c r="AL29" t="s">
        <v>1</v>
      </c>
      <c r="AM29" s="5" t="s">
        <v>1</v>
      </c>
      <c r="AN29" t="s">
        <v>1</v>
      </c>
      <c r="AO29" s="2"/>
      <c r="AP29" t="s">
        <v>1</v>
      </c>
      <c r="AQ29" t="s">
        <v>1</v>
      </c>
      <c r="AR29" s="3">
        <v>0</v>
      </c>
      <c r="AS29" t="s">
        <v>1</v>
      </c>
      <c r="AT29" t="s">
        <v>7</v>
      </c>
      <c r="AU29" t="s">
        <v>1</v>
      </c>
      <c r="AV29" t="s">
        <v>1</v>
      </c>
      <c r="AW29" t="s">
        <v>8</v>
      </c>
      <c r="AX29" t="s">
        <v>8</v>
      </c>
      <c r="AY29" t="s">
        <v>1</v>
      </c>
      <c r="AZ29" s="4">
        <v>0</v>
      </c>
      <c r="BA29" t="s">
        <v>1</v>
      </c>
      <c r="BB29" s="3">
        <v>0</v>
      </c>
      <c r="BC29" s="3">
        <v>0</v>
      </c>
      <c r="BD29" s="3">
        <v>0</v>
      </c>
      <c r="BE29" t="s">
        <v>20</v>
      </c>
      <c r="BF29" t="s">
        <v>1</v>
      </c>
      <c r="BG29" s="4">
        <v>0</v>
      </c>
      <c r="BH29" s="4">
        <v>0</v>
      </c>
      <c r="BI29" s="6">
        <v>0</v>
      </c>
      <c r="BJ29" s="6">
        <v>0</v>
      </c>
      <c r="BK29" t="s">
        <v>1</v>
      </c>
      <c r="BL29" t="s">
        <v>1</v>
      </c>
      <c r="BM29" t="s">
        <v>1</v>
      </c>
      <c r="BN29" t="s">
        <v>9</v>
      </c>
      <c r="BO29" s="2">
        <v>46114</v>
      </c>
      <c r="BP29" t="s">
        <v>1</v>
      </c>
      <c r="BQ29" t="s">
        <v>2143</v>
      </c>
      <c r="BR29" t="s">
        <v>27</v>
      </c>
      <c r="BS29" t="s">
        <v>1</v>
      </c>
      <c r="BT29" t="s">
        <v>1</v>
      </c>
      <c r="BU29" t="s">
        <v>1</v>
      </c>
      <c r="BV29" t="s">
        <v>1</v>
      </c>
      <c r="BW29" t="s">
        <v>7</v>
      </c>
      <c r="BX29" t="s">
        <v>10</v>
      </c>
      <c r="BY29" s="2"/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254</v>
      </c>
      <c r="CJ29" s="3">
        <v>-731302000</v>
      </c>
      <c r="CK29" t="s">
        <v>9</v>
      </c>
      <c r="CL29" t="s">
        <v>11</v>
      </c>
      <c r="CM29" t="s">
        <v>1</v>
      </c>
      <c r="CN29" s="4">
        <v>0</v>
      </c>
      <c r="CO29" t="s">
        <v>7</v>
      </c>
      <c r="CP29" t="s">
        <v>7</v>
      </c>
      <c r="CQ29" t="s">
        <v>7</v>
      </c>
      <c r="CR29" t="s">
        <v>7</v>
      </c>
      <c r="CS29" s="4">
        <v>0</v>
      </c>
      <c r="CT29" t="s">
        <v>2143</v>
      </c>
      <c r="CU29" t="s">
        <v>7</v>
      </c>
      <c r="CV29" t="s">
        <v>1</v>
      </c>
      <c r="CW29" s="2"/>
      <c r="CX29" t="s">
        <v>12</v>
      </c>
      <c r="CY29" t="s">
        <v>1</v>
      </c>
      <c r="CZ29" t="s">
        <v>13</v>
      </c>
      <c r="DA29" t="s">
        <v>1</v>
      </c>
      <c r="DB29" t="s">
        <v>9</v>
      </c>
      <c r="DC29" t="s">
        <v>9</v>
      </c>
      <c r="DD29" t="s">
        <v>1</v>
      </c>
      <c r="DE29" t="s">
        <v>1</v>
      </c>
      <c r="DF29" t="s">
        <v>1</v>
      </c>
      <c r="DG29" t="s">
        <v>33</v>
      </c>
      <c r="DH29" t="s">
        <v>1</v>
      </c>
      <c r="DI29" s="2"/>
      <c r="DJ29" t="s">
        <v>1</v>
      </c>
      <c r="DK29" t="s">
        <v>14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s="2"/>
      <c r="DW29" t="s">
        <v>1</v>
      </c>
      <c r="DX29" t="s">
        <v>1</v>
      </c>
      <c r="DY29" t="s">
        <v>2145</v>
      </c>
      <c r="DZ29" t="s">
        <v>1</v>
      </c>
      <c r="EA29" t="s">
        <v>1</v>
      </c>
      <c r="EB29" t="s">
        <v>28</v>
      </c>
      <c r="EC29" t="s">
        <v>7</v>
      </c>
      <c r="ED29" t="s">
        <v>1</v>
      </c>
      <c r="EE29" t="s">
        <v>1</v>
      </c>
      <c r="EF29" t="s">
        <v>22</v>
      </c>
      <c r="EG29" t="s">
        <v>41</v>
      </c>
      <c r="EH29" t="s">
        <v>15</v>
      </c>
      <c r="EI29" t="s">
        <v>1</v>
      </c>
      <c r="EJ29" s="6">
        <v>-22000</v>
      </c>
      <c r="EK29" t="s">
        <v>1</v>
      </c>
      <c r="EL29" t="s">
        <v>1</v>
      </c>
      <c r="EM29" t="s">
        <v>1</v>
      </c>
      <c r="EN29" t="s">
        <v>1</v>
      </c>
      <c r="EO29" s="2"/>
      <c r="EP29" t="s">
        <v>2145</v>
      </c>
      <c r="EQ29" t="s">
        <v>1</v>
      </c>
      <c r="ER29" t="s">
        <v>1</v>
      </c>
      <c r="ES29" t="s">
        <v>1</v>
      </c>
      <c r="ET29" t="s">
        <v>29</v>
      </c>
      <c r="EU29" t="s">
        <v>1</v>
      </c>
      <c r="EV29" t="s">
        <v>1</v>
      </c>
      <c r="EW29" t="s">
        <v>7</v>
      </c>
      <c r="EX29" t="s">
        <v>7</v>
      </c>
      <c r="EY29" t="s">
        <v>1</v>
      </c>
      <c r="EZ29" t="s">
        <v>1</v>
      </c>
      <c r="FA29" t="s">
        <v>1</v>
      </c>
      <c r="FB29" s="3">
        <v>50</v>
      </c>
      <c r="FC29" t="s">
        <v>1</v>
      </c>
      <c r="FD29" t="s">
        <v>1</v>
      </c>
      <c r="FE29" t="s">
        <v>1</v>
      </c>
      <c r="FF29" t="s">
        <v>17</v>
      </c>
      <c r="FG29" t="s">
        <v>1</v>
      </c>
      <c r="FH29" t="s">
        <v>1</v>
      </c>
      <c r="FI29" t="s">
        <v>1</v>
      </c>
      <c r="FJ29" t="s">
        <v>1</v>
      </c>
      <c r="FK29" s="7">
        <v>46114.414942129632</v>
      </c>
      <c r="FL29" t="s">
        <v>1</v>
      </c>
      <c r="FM29" t="s">
        <v>1</v>
      </c>
      <c r="FN29" t="s">
        <v>1</v>
      </c>
      <c r="FO29" s="19">
        <v>-731302000</v>
      </c>
      <c r="FP29" s="4">
        <v>0</v>
      </c>
      <c r="FQ29" s="19">
        <v>-731302000</v>
      </c>
      <c r="FR29" s="4">
        <v>0</v>
      </c>
      <c r="FS29" s="4">
        <v>0</v>
      </c>
      <c r="FT29" s="4">
        <v>0</v>
      </c>
      <c r="FU29" s="2">
        <v>46114</v>
      </c>
      <c r="FV29" t="s">
        <v>1</v>
      </c>
      <c r="FW29" s="4">
        <v>0</v>
      </c>
      <c r="FX29" t="s">
        <v>1</v>
      </c>
      <c r="FY29" t="s">
        <v>1</v>
      </c>
      <c r="FZ29" s="4">
        <v>0</v>
      </c>
      <c r="GA29" s="4">
        <v>0</v>
      </c>
      <c r="GB29" t="s">
        <v>2070</v>
      </c>
      <c r="GC29" t="str">
        <f>RIGHT(Data_FAGLL03[[#This Row],[Payment reference]],8)</f>
        <v>91172526</v>
      </c>
      <c r="GD29" t="str">
        <f>IF(Data_FAGLL03[[#This Row],[Billing]]&lt;&gt;"",_xlfn.XLOOKUP(Data_FAGLL03[[#This Row],[Billing]],MD_BILLING_SO[BILIING],MD_BILLING_SO[SO-EDITED]),"")</f>
        <v>30030627</v>
      </c>
      <c r="GE29" s="18">
        <f>IF(SUBSTITUTE(Data_FAGLL03[[#This Row],[Eff.exchange rate]],",","")/100000=1,1,SUBSTITUTE(Data_FAGLL03[[#This Row],[Eff.exchange rate]],",","")/100)</f>
        <v>1</v>
      </c>
      <c r="GF29" s="17">
        <f>IF(Data_FAGLL03[[#This Row],[Material]]&lt;&gt;"",IFERROR(Data_FAGLL03[[#This Row],[Amount in local currency]]/Data_FAGLL03[[#This Row],[Quantity_Original]],0),0)</f>
        <v>33241</v>
      </c>
      <c r="GG29" s="18">
        <f>IF(Data_FAGLL03[[#This Row],[XK/NĐ]]="XK",Data_FAGLL03[[#This Row],[GB trung bình]]/Data_FAGLL03[[#This Row],[EXR]],0)*1000</f>
        <v>0</v>
      </c>
      <c r="GH29" s="18" cm="1">
        <f t="array" ref="GH29">IF(Data_FAGLL03[[#This Row],[Document currency]]&lt;&gt;"VND",Data_FAGLL03[[#This Row],[Amount in doc. curr.]],Data_FAGLL03[[#This Row],[Amount in local currency]]/EXR)</f>
        <v>-27856.84954717457</v>
      </c>
      <c r="GI29" s="10">
        <f>Data_FAGLL03[[#This Row],[Time Stamp]]+TIME(7,0,0)</f>
        <v>46114.706608796296</v>
      </c>
      <c r="GJ29" s="18">
        <f>MONTH(Data_FAGLL03[[#This Row],[Time Stamp_VN]])</f>
        <v>4</v>
      </c>
      <c r="GK29">
        <f>DAY(Data_FAGLL03[[#This Row],[Time Stamp_VN]])</f>
        <v>2</v>
      </c>
      <c r="GL29" t="str">
        <f>TEXT(Data_FAGLL03[[#This Row],[Tháng]],"00")&amp;" | "&amp;TEXT(Data_FAGLL03[[#This Row],[Ngày]],"00")</f>
        <v>04 | 02</v>
      </c>
      <c r="GM29" s="18">
        <f>IF(Data_FAGLL03[[#This Row],[Text]]="",Data_FAGLL03[[#This Row],[Quantity_Original]],0)</f>
        <v>-22000</v>
      </c>
      <c r="GN29" s="18" t="str">
        <f>IF(Data_FAGLL03[[#This Row],[Quantity_Edited]]&lt;&gt;0,Data_FAGLL03[[#This Row],[Offsetting acct no.]]&amp;" | "&amp;Data_FAGLL03[[#This Row],[Material]],"")</f>
        <v>105354 | 110000354</v>
      </c>
      <c r="GO29" t="str">
        <f>IF(LEFT(Data_FAGLL03[[#This Row],[Offsetting acct no.]],1)="1","NĐ",IF(LEFT(Data_FAGLL03[[#This Row],[Offsetting acct no.]],1)="2","XK","Khác"))</f>
        <v>NĐ</v>
      </c>
      <c r="GP29" t="str">
        <f>IF(Data_FAGLL03[[#This Row],[Material]]&lt;&gt;"",_xlfn.XLOOKUP(Data_FAGLL03[[#This Row],[Material]],MD_SKU[Mã SKU],MD_SKU[Tên SKU]),"")</f>
        <v>Hạt nhựa rPET WSS01G 1</v>
      </c>
      <c r="GQ29" t="str">
        <f>IF(Data_FAGLL03[[#This Row],[Material]]&lt;&gt;"",_xlfn.XLOOKUP(Data_FAGLL03[[#This Row],[Material]],MD_SKU[Mã SKU],MD_SKU[Nhóm SP 1]),"")</f>
        <v>rPET</v>
      </c>
      <c r="GR29" t="str">
        <f>IF(Data_FAGLL03[[#This Row],[Material]]&lt;&gt;"",_xlfn.XLOOKUP(Data_FAGLL03[[#This Row],[Material]],MD_SKU[Mã SKU],MD_SKU[Nhóm SP 2]),"")</f>
        <v>rPET</v>
      </c>
      <c r="GS29" t="str">
        <f>IF(Data_FAGLL03[[#This Row],[Material]]&lt;&gt;"",_xlfn.XLOOKUP(Data_FAGLL03[[#This Row],[Material]],MD_SKU[Mã SKU],MD_SKU[Nhóm SP 3]),"")</f>
        <v>rPET</v>
      </c>
      <c r="GT29" t="str">
        <f>IF(Data_FAGLL03[[#This Row],[Material]]&lt;&gt;"",_xlfn.XLOOKUP(Data_FAGLL03[[#This Row],[Material]],MD_SKU[Mã SKU],MD_SKU[Nhóm SP 4]),"")</f>
        <v>Hạt rPET</v>
      </c>
    </row>
    <row r="30" spans="1:202" x14ac:dyDescent="0.25">
      <c r="A30" t="s">
        <v>0</v>
      </c>
      <c r="B30" s="2">
        <v>46114</v>
      </c>
      <c r="C30" t="s">
        <v>2146</v>
      </c>
      <c r="D30" t="s">
        <v>1</v>
      </c>
      <c r="E30" t="s">
        <v>1</v>
      </c>
      <c r="F30" t="s">
        <v>31</v>
      </c>
      <c r="G30" t="s">
        <v>31</v>
      </c>
      <c r="H30" t="s">
        <v>45</v>
      </c>
      <c r="I30" s="19">
        <v>-317383000</v>
      </c>
      <c r="J30" t="s">
        <v>46</v>
      </c>
      <c r="K30" t="s">
        <v>1</v>
      </c>
      <c r="L30" t="s">
        <v>39</v>
      </c>
      <c r="M30" t="s">
        <v>41</v>
      </c>
      <c r="N30" t="s">
        <v>254</v>
      </c>
      <c r="O30" t="s">
        <v>4</v>
      </c>
      <c r="P30" t="s">
        <v>2147</v>
      </c>
      <c r="Q30" t="s">
        <v>31</v>
      </c>
      <c r="R30" t="s">
        <v>5</v>
      </c>
      <c r="S30" t="s">
        <v>1</v>
      </c>
      <c r="T30" s="3">
        <v>-317383000</v>
      </c>
      <c r="U30" s="19">
        <v>-317383000</v>
      </c>
      <c r="V30" s="3">
        <v>-317383000</v>
      </c>
      <c r="W30" s="3">
        <v>-317383000</v>
      </c>
      <c r="X30" s="4">
        <v>0</v>
      </c>
      <c r="Y30" s="4">
        <v>0</v>
      </c>
      <c r="Z30" s="3">
        <v>0</v>
      </c>
      <c r="AA30" s="3">
        <v>0</v>
      </c>
      <c r="AB30" t="s">
        <v>1</v>
      </c>
      <c r="AC30" t="s">
        <v>24</v>
      </c>
      <c r="AD30" s="2"/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25</v>
      </c>
      <c r="AK30" s="4">
        <v>0</v>
      </c>
      <c r="AL30" t="s">
        <v>1</v>
      </c>
      <c r="AM30" s="5" t="s">
        <v>1</v>
      </c>
      <c r="AN30" t="s">
        <v>1</v>
      </c>
      <c r="AO30" s="2"/>
      <c r="AP30" t="s">
        <v>1</v>
      </c>
      <c r="AQ30" t="s">
        <v>1</v>
      </c>
      <c r="AR30" s="3">
        <v>0</v>
      </c>
      <c r="AS30" t="s">
        <v>1</v>
      </c>
      <c r="AT30" t="s">
        <v>7</v>
      </c>
      <c r="AU30" t="s">
        <v>1</v>
      </c>
      <c r="AV30" t="s">
        <v>1</v>
      </c>
      <c r="AW30" t="s">
        <v>8</v>
      </c>
      <c r="AX30" t="s">
        <v>8</v>
      </c>
      <c r="AY30" t="s">
        <v>1</v>
      </c>
      <c r="AZ30" s="4">
        <v>0</v>
      </c>
      <c r="BA30" t="s">
        <v>1</v>
      </c>
      <c r="BB30" s="3">
        <v>0</v>
      </c>
      <c r="BC30" s="3">
        <v>0</v>
      </c>
      <c r="BD30" s="3">
        <v>0</v>
      </c>
      <c r="BE30" t="s">
        <v>20</v>
      </c>
      <c r="BF30" t="s">
        <v>1</v>
      </c>
      <c r="BG30" s="4">
        <v>0</v>
      </c>
      <c r="BH30" s="4">
        <v>0</v>
      </c>
      <c r="BI30" s="6">
        <v>0</v>
      </c>
      <c r="BJ30" s="6">
        <v>0</v>
      </c>
      <c r="BK30" t="s">
        <v>1</v>
      </c>
      <c r="BL30" t="s">
        <v>1</v>
      </c>
      <c r="BM30" t="s">
        <v>1</v>
      </c>
      <c r="BN30" t="s">
        <v>9</v>
      </c>
      <c r="BO30" s="2">
        <v>46114</v>
      </c>
      <c r="BP30" t="s">
        <v>1</v>
      </c>
      <c r="BQ30" t="s">
        <v>2146</v>
      </c>
      <c r="BR30" t="s">
        <v>27</v>
      </c>
      <c r="BS30" t="s">
        <v>1</v>
      </c>
      <c r="BT30" t="s">
        <v>1</v>
      </c>
      <c r="BU30" t="s">
        <v>1</v>
      </c>
      <c r="BV30" t="s">
        <v>1</v>
      </c>
      <c r="BW30" t="s">
        <v>7</v>
      </c>
      <c r="BX30" t="s">
        <v>10</v>
      </c>
      <c r="BY30" s="2"/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254</v>
      </c>
      <c r="CJ30" s="3">
        <v>-317383000</v>
      </c>
      <c r="CK30" t="s">
        <v>9</v>
      </c>
      <c r="CL30" t="s">
        <v>11</v>
      </c>
      <c r="CM30" t="s">
        <v>1</v>
      </c>
      <c r="CN30" s="4">
        <v>0</v>
      </c>
      <c r="CO30" t="s">
        <v>7</v>
      </c>
      <c r="CP30" t="s">
        <v>7</v>
      </c>
      <c r="CQ30" t="s">
        <v>7</v>
      </c>
      <c r="CR30" t="s">
        <v>7</v>
      </c>
      <c r="CS30" s="4">
        <v>0</v>
      </c>
      <c r="CT30" t="s">
        <v>2146</v>
      </c>
      <c r="CU30" t="s">
        <v>7</v>
      </c>
      <c r="CV30" t="s">
        <v>1</v>
      </c>
      <c r="CW30" s="2"/>
      <c r="CX30" t="s">
        <v>12</v>
      </c>
      <c r="CY30" t="s">
        <v>1</v>
      </c>
      <c r="CZ30" t="s">
        <v>13</v>
      </c>
      <c r="DA30" t="s">
        <v>1</v>
      </c>
      <c r="DB30" t="s">
        <v>9</v>
      </c>
      <c r="DC30" t="s">
        <v>9</v>
      </c>
      <c r="DD30" t="s">
        <v>1</v>
      </c>
      <c r="DE30" t="s">
        <v>1</v>
      </c>
      <c r="DF30" t="s">
        <v>1</v>
      </c>
      <c r="DG30" t="s">
        <v>33</v>
      </c>
      <c r="DH30" t="s">
        <v>1</v>
      </c>
      <c r="DI30" s="2"/>
      <c r="DJ30" t="s">
        <v>1</v>
      </c>
      <c r="DK30" t="s">
        <v>14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s="2"/>
      <c r="DW30" t="s">
        <v>1</v>
      </c>
      <c r="DX30" t="s">
        <v>1</v>
      </c>
      <c r="DY30" t="s">
        <v>2148</v>
      </c>
      <c r="DZ30" t="s">
        <v>1</v>
      </c>
      <c r="EA30" t="s">
        <v>1</v>
      </c>
      <c r="EB30" t="s">
        <v>28</v>
      </c>
      <c r="EC30" t="s">
        <v>7</v>
      </c>
      <c r="ED30" t="s">
        <v>1</v>
      </c>
      <c r="EE30" t="s">
        <v>1</v>
      </c>
      <c r="EF30" t="s">
        <v>22</v>
      </c>
      <c r="EG30" t="s">
        <v>41</v>
      </c>
      <c r="EH30" t="s">
        <v>15</v>
      </c>
      <c r="EI30" t="s">
        <v>1</v>
      </c>
      <c r="EJ30" s="6">
        <v>-11000</v>
      </c>
      <c r="EK30" t="s">
        <v>1</v>
      </c>
      <c r="EL30" t="s">
        <v>1</v>
      </c>
      <c r="EM30" t="s">
        <v>1</v>
      </c>
      <c r="EN30" t="s">
        <v>1</v>
      </c>
      <c r="EO30" s="2"/>
      <c r="EP30" t="s">
        <v>2148</v>
      </c>
      <c r="EQ30" t="s">
        <v>1</v>
      </c>
      <c r="ER30" t="s">
        <v>1</v>
      </c>
      <c r="ES30" t="s">
        <v>1</v>
      </c>
      <c r="ET30" t="s">
        <v>29</v>
      </c>
      <c r="EU30" t="s">
        <v>1</v>
      </c>
      <c r="EV30" t="s">
        <v>1</v>
      </c>
      <c r="EW30" t="s">
        <v>7</v>
      </c>
      <c r="EX30" t="s">
        <v>7</v>
      </c>
      <c r="EY30" t="s">
        <v>1</v>
      </c>
      <c r="EZ30" t="s">
        <v>1</v>
      </c>
      <c r="FA30" t="s">
        <v>1</v>
      </c>
      <c r="FB30" s="3">
        <v>50</v>
      </c>
      <c r="FC30" t="s">
        <v>1</v>
      </c>
      <c r="FD30" t="s">
        <v>1</v>
      </c>
      <c r="FE30" t="s">
        <v>1</v>
      </c>
      <c r="FF30" t="s">
        <v>17</v>
      </c>
      <c r="FG30" t="s">
        <v>1</v>
      </c>
      <c r="FH30" t="s">
        <v>1</v>
      </c>
      <c r="FI30" t="s">
        <v>1</v>
      </c>
      <c r="FJ30" t="s">
        <v>1</v>
      </c>
      <c r="FK30" s="7">
        <v>46114.44190972222</v>
      </c>
      <c r="FL30" t="s">
        <v>1</v>
      </c>
      <c r="FM30" t="s">
        <v>1</v>
      </c>
      <c r="FN30" t="s">
        <v>1</v>
      </c>
      <c r="FO30" s="19">
        <v>-317383000</v>
      </c>
      <c r="FP30" s="4">
        <v>0</v>
      </c>
      <c r="FQ30" s="19">
        <v>-317383000</v>
      </c>
      <c r="FR30" s="4">
        <v>0</v>
      </c>
      <c r="FS30" s="4">
        <v>0</v>
      </c>
      <c r="FT30" s="4">
        <v>0</v>
      </c>
      <c r="FU30" s="2">
        <v>46114</v>
      </c>
      <c r="FV30" t="s">
        <v>1</v>
      </c>
      <c r="FW30" s="4">
        <v>0</v>
      </c>
      <c r="FX30" t="s">
        <v>1</v>
      </c>
      <c r="FY30" t="s">
        <v>1</v>
      </c>
      <c r="FZ30" s="4">
        <v>0</v>
      </c>
      <c r="GA30" s="4">
        <v>0</v>
      </c>
      <c r="GB30" t="s">
        <v>2070</v>
      </c>
      <c r="GC30" t="str">
        <f>RIGHT(Data_FAGLL03[[#This Row],[Payment reference]],8)</f>
        <v>91172527</v>
      </c>
      <c r="GD30" t="str">
        <f>IF(Data_FAGLL03[[#This Row],[Billing]]&lt;&gt;"",_xlfn.XLOOKUP(Data_FAGLL03[[#This Row],[Billing]],MD_BILLING_SO[BILIING],MD_BILLING_SO[SO-EDITED]),"")</f>
        <v>30030649</v>
      </c>
      <c r="GE30" s="18">
        <f>IF(SUBSTITUTE(Data_FAGLL03[[#This Row],[Eff.exchange rate]],",","")/100000=1,1,SUBSTITUTE(Data_FAGLL03[[#This Row],[Eff.exchange rate]],",","")/100)</f>
        <v>1</v>
      </c>
      <c r="GF30" s="17">
        <f>IF(Data_FAGLL03[[#This Row],[Material]]&lt;&gt;"",IFERROR(Data_FAGLL03[[#This Row],[Amount in local currency]]/Data_FAGLL03[[#This Row],[Quantity_Original]],0),0)</f>
        <v>28853</v>
      </c>
      <c r="GG30" s="18">
        <f>IF(Data_FAGLL03[[#This Row],[XK/NĐ]]="XK",Data_FAGLL03[[#This Row],[GB trung bình]]/Data_FAGLL03[[#This Row],[EXR]],0)*1000</f>
        <v>0</v>
      </c>
      <c r="GH30" s="18" cm="1">
        <f t="array" ref="GH30">IF(Data_FAGLL03[[#This Row],[Document currency]]&lt;&gt;"VND",Data_FAGLL03[[#This Row],[Amount in doc. curr.]],Data_FAGLL03[[#This Row],[Amount in local currency]]/EXR)</f>
        <v>-12089.793928952617</v>
      </c>
      <c r="GI30" s="10">
        <f>Data_FAGLL03[[#This Row],[Time Stamp]]+TIME(7,0,0)</f>
        <v>46114.733576388884</v>
      </c>
      <c r="GJ30" s="18">
        <f>MONTH(Data_FAGLL03[[#This Row],[Time Stamp_VN]])</f>
        <v>4</v>
      </c>
      <c r="GK30">
        <f>DAY(Data_FAGLL03[[#This Row],[Time Stamp_VN]])</f>
        <v>2</v>
      </c>
      <c r="GL30" t="str">
        <f>TEXT(Data_FAGLL03[[#This Row],[Tháng]],"00")&amp;" | "&amp;TEXT(Data_FAGLL03[[#This Row],[Ngày]],"00")</f>
        <v>04 | 02</v>
      </c>
      <c r="GM30" s="18">
        <f>IF(Data_FAGLL03[[#This Row],[Text]]="",Data_FAGLL03[[#This Row],[Quantity_Original]],0)</f>
        <v>-11000</v>
      </c>
      <c r="GN30" s="18" t="str">
        <f>IF(Data_FAGLL03[[#This Row],[Quantity_Edited]]&lt;&gt;0,Data_FAGLL03[[#This Row],[Offsetting acct no.]]&amp;" | "&amp;Data_FAGLL03[[#This Row],[Material]],"")</f>
        <v>105281 | 110000354</v>
      </c>
      <c r="GO30" t="str">
        <f>IF(LEFT(Data_FAGLL03[[#This Row],[Offsetting acct no.]],1)="1","NĐ",IF(LEFT(Data_FAGLL03[[#This Row],[Offsetting acct no.]],1)="2","XK","Khác"))</f>
        <v>NĐ</v>
      </c>
      <c r="GP30" t="str">
        <f>IF(Data_FAGLL03[[#This Row],[Material]]&lt;&gt;"",_xlfn.XLOOKUP(Data_FAGLL03[[#This Row],[Material]],MD_SKU[Mã SKU],MD_SKU[Tên SKU]),"")</f>
        <v>Hạt nhựa rPET WSS01G 1</v>
      </c>
      <c r="GQ30" t="str">
        <f>IF(Data_FAGLL03[[#This Row],[Material]]&lt;&gt;"",_xlfn.XLOOKUP(Data_FAGLL03[[#This Row],[Material]],MD_SKU[Mã SKU],MD_SKU[Nhóm SP 1]),"")</f>
        <v>rPET</v>
      </c>
      <c r="GR30" t="str">
        <f>IF(Data_FAGLL03[[#This Row],[Material]]&lt;&gt;"",_xlfn.XLOOKUP(Data_FAGLL03[[#This Row],[Material]],MD_SKU[Mã SKU],MD_SKU[Nhóm SP 2]),"")</f>
        <v>rPET</v>
      </c>
      <c r="GS30" t="str">
        <f>IF(Data_FAGLL03[[#This Row],[Material]]&lt;&gt;"",_xlfn.XLOOKUP(Data_FAGLL03[[#This Row],[Material]],MD_SKU[Mã SKU],MD_SKU[Nhóm SP 3]),"")</f>
        <v>rPET</v>
      </c>
      <c r="GT30" t="str">
        <f>IF(Data_FAGLL03[[#This Row],[Material]]&lt;&gt;"",_xlfn.XLOOKUP(Data_FAGLL03[[#This Row],[Material]],MD_SKU[Mã SKU],MD_SKU[Nhóm SP 4]),"")</f>
        <v>Hạt rPET</v>
      </c>
    </row>
    <row r="31" spans="1:202" x14ac:dyDescent="0.25">
      <c r="A31" t="s">
        <v>0</v>
      </c>
      <c r="B31" s="2">
        <v>46114</v>
      </c>
      <c r="C31" t="s">
        <v>2149</v>
      </c>
      <c r="D31" t="s">
        <v>1</v>
      </c>
      <c r="E31" t="s">
        <v>1</v>
      </c>
      <c r="F31" t="s">
        <v>31</v>
      </c>
      <c r="G31" t="s">
        <v>31</v>
      </c>
      <c r="H31" t="s">
        <v>34</v>
      </c>
      <c r="I31" s="19">
        <v>-389059000</v>
      </c>
      <c r="J31" t="s">
        <v>35</v>
      </c>
      <c r="K31" t="s">
        <v>1</v>
      </c>
      <c r="L31" t="s">
        <v>39</v>
      </c>
      <c r="M31" t="s">
        <v>41</v>
      </c>
      <c r="N31" t="s">
        <v>254</v>
      </c>
      <c r="O31" t="s">
        <v>4</v>
      </c>
      <c r="P31" t="s">
        <v>2150</v>
      </c>
      <c r="Q31" t="s">
        <v>31</v>
      </c>
      <c r="R31" t="s">
        <v>5</v>
      </c>
      <c r="S31" t="s">
        <v>1</v>
      </c>
      <c r="T31" s="3">
        <v>-389059000</v>
      </c>
      <c r="U31" s="19">
        <v>-389059000</v>
      </c>
      <c r="V31" s="3">
        <v>-389059000</v>
      </c>
      <c r="W31" s="3">
        <v>-389059000</v>
      </c>
      <c r="X31" s="4">
        <v>0</v>
      </c>
      <c r="Y31" s="4">
        <v>0</v>
      </c>
      <c r="Z31" s="3">
        <v>0</v>
      </c>
      <c r="AA31" s="3">
        <v>0</v>
      </c>
      <c r="AB31" t="s">
        <v>1</v>
      </c>
      <c r="AC31" t="s">
        <v>24</v>
      </c>
      <c r="AD31" s="2"/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25</v>
      </c>
      <c r="AK31" s="4">
        <v>0</v>
      </c>
      <c r="AL31" t="s">
        <v>1</v>
      </c>
      <c r="AM31" s="5" t="s">
        <v>1</v>
      </c>
      <c r="AN31" t="s">
        <v>1</v>
      </c>
      <c r="AO31" s="2"/>
      <c r="AP31" t="s">
        <v>1</v>
      </c>
      <c r="AQ31" t="s">
        <v>1</v>
      </c>
      <c r="AR31" s="3">
        <v>0</v>
      </c>
      <c r="AS31" t="s">
        <v>1</v>
      </c>
      <c r="AT31" t="s">
        <v>7</v>
      </c>
      <c r="AU31" t="s">
        <v>1</v>
      </c>
      <c r="AV31" t="s">
        <v>1</v>
      </c>
      <c r="AW31" t="s">
        <v>8</v>
      </c>
      <c r="AX31" t="s">
        <v>8</v>
      </c>
      <c r="AY31" t="s">
        <v>1</v>
      </c>
      <c r="AZ31" s="4">
        <v>0</v>
      </c>
      <c r="BA31" t="s">
        <v>1</v>
      </c>
      <c r="BB31" s="3">
        <v>0</v>
      </c>
      <c r="BC31" s="3">
        <v>0</v>
      </c>
      <c r="BD31" s="3">
        <v>0</v>
      </c>
      <c r="BE31" t="s">
        <v>20</v>
      </c>
      <c r="BF31" t="s">
        <v>1</v>
      </c>
      <c r="BG31" s="4">
        <v>0</v>
      </c>
      <c r="BH31" s="4">
        <v>0</v>
      </c>
      <c r="BI31" s="6">
        <v>0</v>
      </c>
      <c r="BJ31" s="6">
        <v>0</v>
      </c>
      <c r="BK31" t="s">
        <v>1</v>
      </c>
      <c r="BL31" t="s">
        <v>1</v>
      </c>
      <c r="BM31" t="s">
        <v>1</v>
      </c>
      <c r="BN31" t="s">
        <v>9</v>
      </c>
      <c r="BO31" s="2">
        <v>46114</v>
      </c>
      <c r="BP31" t="s">
        <v>1</v>
      </c>
      <c r="BQ31" t="s">
        <v>2149</v>
      </c>
      <c r="BR31" t="s">
        <v>27</v>
      </c>
      <c r="BS31" t="s">
        <v>1</v>
      </c>
      <c r="BT31" t="s">
        <v>1</v>
      </c>
      <c r="BU31" t="s">
        <v>1</v>
      </c>
      <c r="BV31" t="s">
        <v>1</v>
      </c>
      <c r="BW31" t="s">
        <v>7</v>
      </c>
      <c r="BX31" t="s">
        <v>10</v>
      </c>
      <c r="BY31" s="2"/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254</v>
      </c>
      <c r="CJ31" s="3">
        <v>-389059000</v>
      </c>
      <c r="CK31" t="s">
        <v>9</v>
      </c>
      <c r="CL31" t="s">
        <v>11</v>
      </c>
      <c r="CM31" t="s">
        <v>1</v>
      </c>
      <c r="CN31" s="4">
        <v>0</v>
      </c>
      <c r="CO31" t="s">
        <v>7</v>
      </c>
      <c r="CP31" t="s">
        <v>7</v>
      </c>
      <c r="CQ31" t="s">
        <v>7</v>
      </c>
      <c r="CR31" t="s">
        <v>7</v>
      </c>
      <c r="CS31" s="4">
        <v>0</v>
      </c>
      <c r="CT31" t="s">
        <v>2149</v>
      </c>
      <c r="CU31" t="s">
        <v>7</v>
      </c>
      <c r="CV31" t="s">
        <v>1</v>
      </c>
      <c r="CW31" s="2"/>
      <c r="CX31" t="s">
        <v>12</v>
      </c>
      <c r="CY31" t="s">
        <v>1</v>
      </c>
      <c r="CZ31" t="s">
        <v>13</v>
      </c>
      <c r="DA31" t="s">
        <v>1</v>
      </c>
      <c r="DB31" t="s">
        <v>9</v>
      </c>
      <c r="DC31" t="s">
        <v>9</v>
      </c>
      <c r="DD31" t="s">
        <v>1</v>
      </c>
      <c r="DE31" t="s">
        <v>1</v>
      </c>
      <c r="DF31" t="s">
        <v>1</v>
      </c>
      <c r="DG31" t="s">
        <v>38</v>
      </c>
      <c r="DH31" t="s">
        <v>1</v>
      </c>
      <c r="DI31" s="2"/>
      <c r="DJ31" t="s">
        <v>1</v>
      </c>
      <c r="DK31" t="s">
        <v>14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s="2"/>
      <c r="DW31" t="s">
        <v>1</v>
      </c>
      <c r="DX31" t="s">
        <v>1</v>
      </c>
      <c r="DY31" t="s">
        <v>2151</v>
      </c>
      <c r="DZ31" t="s">
        <v>1</v>
      </c>
      <c r="EA31" t="s">
        <v>1</v>
      </c>
      <c r="EB31" t="s">
        <v>28</v>
      </c>
      <c r="EC31" t="s">
        <v>7</v>
      </c>
      <c r="ED31" t="s">
        <v>1</v>
      </c>
      <c r="EE31" t="s">
        <v>1</v>
      </c>
      <c r="EF31" t="s">
        <v>22</v>
      </c>
      <c r="EG31" t="s">
        <v>41</v>
      </c>
      <c r="EH31" t="s">
        <v>15</v>
      </c>
      <c r="EI31" t="s">
        <v>1</v>
      </c>
      <c r="EJ31" s="6">
        <v>-11000</v>
      </c>
      <c r="EK31" t="s">
        <v>1</v>
      </c>
      <c r="EL31" t="s">
        <v>1</v>
      </c>
      <c r="EM31" t="s">
        <v>1</v>
      </c>
      <c r="EN31" t="s">
        <v>1</v>
      </c>
      <c r="EO31" s="2"/>
      <c r="EP31" t="s">
        <v>2151</v>
      </c>
      <c r="EQ31" t="s">
        <v>1</v>
      </c>
      <c r="ER31" t="s">
        <v>1</v>
      </c>
      <c r="ES31" t="s">
        <v>1</v>
      </c>
      <c r="ET31" t="s">
        <v>29</v>
      </c>
      <c r="EU31" t="s">
        <v>1</v>
      </c>
      <c r="EV31" t="s">
        <v>1</v>
      </c>
      <c r="EW31" t="s">
        <v>7</v>
      </c>
      <c r="EX31" t="s">
        <v>7</v>
      </c>
      <c r="EY31" t="s">
        <v>1</v>
      </c>
      <c r="EZ31" t="s">
        <v>1</v>
      </c>
      <c r="FA31" t="s">
        <v>1</v>
      </c>
      <c r="FB31" s="3">
        <v>50</v>
      </c>
      <c r="FC31" t="s">
        <v>1</v>
      </c>
      <c r="FD31" t="s">
        <v>1</v>
      </c>
      <c r="FE31" t="s">
        <v>1</v>
      </c>
      <c r="FF31" t="s">
        <v>17</v>
      </c>
      <c r="FG31" t="s">
        <v>1</v>
      </c>
      <c r="FH31" t="s">
        <v>1</v>
      </c>
      <c r="FI31" t="s">
        <v>1</v>
      </c>
      <c r="FJ31" t="s">
        <v>1</v>
      </c>
      <c r="FK31" s="7">
        <v>46114.442141203705</v>
      </c>
      <c r="FL31" t="s">
        <v>1</v>
      </c>
      <c r="FM31" t="s">
        <v>1</v>
      </c>
      <c r="FN31" t="s">
        <v>1</v>
      </c>
      <c r="FO31" s="19">
        <v>-389059000</v>
      </c>
      <c r="FP31" s="4">
        <v>0</v>
      </c>
      <c r="FQ31" s="19">
        <v>-389059000</v>
      </c>
      <c r="FR31" s="4">
        <v>0</v>
      </c>
      <c r="FS31" s="4">
        <v>0</v>
      </c>
      <c r="FT31" s="4">
        <v>0</v>
      </c>
      <c r="FU31" s="2">
        <v>46114</v>
      </c>
      <c r="FV31" t="s">
        <v>1</v>
      </c>
      <c r="FW31" s="4">
        <v>0</v>
      </c>
      <c r="FX31" t="s">
        <v>1</v>
      </c>
      <c r="FY31" t="s">
        <v>1</v>
      </c>
      <c r="FZ31" s="4">
        <v>0</v>
      </c>
      <c r="GA31" s="4">
        <v>0</v>
      </c>
      <c r="GB31" t="s">
        <v>2070</v>
      </c>
      <c r="GC31" t="str">
        <f>RIGHT(Data_FAGLL03[[#This Row],[Payment reference]],8)</f>
        <v>91172528</v>
      </c>
      <c r="GD31" t="str">
        <f>IF(Data_FAGLL03[[#This Row],[Billing]]&lt;&gt;"",_xlfn.XLOOKUP(Data_FAGLL03[[#This Row],[Billing]],MD_BILLING_SO[BILIING],MD_BILLING_SO[SO-EDITED]),"")</f>
        <v>30030658</v>
      </c>
      <c r="GE31" s="18">
        <f>IF(SUBSTITUTE(Data_FAGLL03[[#This Row],[Eff.exchange rate]],",","")/100000=1,1,SUBSTITUTE(Data_FAGLL03[[#This Row],[Eff.exchange rate]],",","")/100)</f>
        <v>1</v>
      </c>
      <c r="GF31" s="17">
        <f>IF(Data_FAGLL03[[#This Row],[Material]]&lt;&gt;"",IFERROR(Data_FAGLL03[[#This Row],[Amount in local currency]]/Data_FAGLL03[[#This Row],[Quantity_Original]],0),0)</f>
        <v>35369</v>
      </c>
      <c r="GG31" s="18">
        <f>IF(Data_FAGLL03[[#This Row],[XK/NĐ]]="XK",Data_FAGLL03[[#This Row],[GB trung bình]]/Data_FAGLL03[[#This Row],[EXR]],0)*1000</f>
        <v>0</v>
      </c>
      <c r="GH31" s="18" cm="1">
        <f t="array" ref="GH31">IF(Data_FAGLL03[[#This Row],[Document currency]]&lt;&gt;"VND",Data_FAGLL03[[#This Row],[Amount in doc. curr.]],Data_FAGLL03[[#This Row],[Amount in local currency]]/EXR)</f>
        <v>-14820.085310821236</v>
      </c>
      <c r="GI31" s="10">
        <f>Data_FAGLL03[[#This Row],[Time Stamp]]+TIME(7,0,0)</f>
        <v>46114.733807870369</v>
      </c>
      <c r="GJ31" s="18">
        <f>MONTH(Data_FAGLL03[[#This Row],[Time Stamp_VN]])</f>
        <v>4</v>
      </c>
      <c r="GK31">
        <f>DAY(Data_FAGLL03[[#This Row],[Time Stamp_VN]])</f>
        <v>2</v>
      </c>
      <c r="GL31" t="str">
        <f>TEXT(Data_FAGLL03[[#This Row],[Tháng]],"00")&amp;" | "&amp;TEXT(Data_FAGLL03[[#This Row],[Ngày]],"00")</f>
        <v>04 | 02</v>
      </c>
      <c r="GM31" s="18">
        <f>IF(Data_FAGLL03[[#This Row],[Text]]="",Data_FAGLL03[[#This Row],[Quantity_Original]],0)</f>
        <v>-11000</v>
      </c>
      <c r="GN31" s="18" t="str">
        <f>IF(Data_FAGLL03[[#This Row],[Quantity_Edited]]&lt;&gt;0,Data_FAGLL03[[#This Row],[Offsetting acct no.]]&amp;" | "&amp;Data_FAGLL03[[#This Row],[Material]],"")</f>
        <v>105263 | 110000339</v>
      </c>
      <c r="GO31" t="str">
        <f>IF(LEFT(Data_FAGLL03[[#This Row],[Offsetting acct no.]],1)="1","NĐ",IF(LEFT(Data_FAGLL03[[#This Row],[Offsetting acct no.]],1)="2","XK","Khác"))</f>
        <v>NĐ</v>
      </c>
      <c r="GP31" t="str">
        <f>IF(Data_FAGLL03[[#This Row],[Material]]&lt;&gt;"",_xlfn.XLOOKUP(Data_FAGLL03[[#This Row],[Material]],MD_SKU[Mã SKU],MD_SKU[Tên SKU]),"")</f>
        <v>Hạt Nhựa rHDPE MBF01</v>
      </c>
      <c r="GQ31" t="str">
        <f>IF(Data_FAGLL03[[#This Row],[Material]]&lt;&gt;"",_xlfn.XLOOKUP(Data_FAGLL03[[#This Row],[Material]],MD_SKU[Mã SKU],MD_SKU[Nhóm SP 1]),"")</f>
        <v>rHDPE</v>
      </c>
      <c r="GR31" t="str">
        <f>IF(Data_FAGLL03[[#This Row],[Material]]&lt;&gt;"",_xlfn.XLOOKUP(Data_FAGLL03[[#This Row],[Material]],MD_SKU[Mã SKU],MD_SKU[Nhóm SP 2]),"")</f>
        <v>rHDPE thổi</v>
      </c>
      <c r="GS31" t="str">
        <f>IF(Data_FAGLL03[[#This Row],[Material]]&lt;&gt;"",_xlfn.XLOOKUP(Data_FAGLL03[[#This Row],[Material]],MD_SKU[Mã SKU],MD_SKU[Nhóm SP 3]),"")</f>
        <v>rHDPE thổi</v>
      </c>
      <c r="GT31" t="str">
        <f>IF(Data_FAGLL03[[#This Row],[Material]]&lt;&gt;"",_xlfn.XLOOKUP(Data_FAGLL03[[#This Row],[Material]],MD_SKU[Mã SKU],MD_SKU[Nhóm SP 4]),"")</f>
        <v>Hạt rHDPE thổi</v>
      </c>
    </row>
    <row r="32" spans="1:202" x14ac:dyDescent="0.25">
      <c r="A32" t="s">
        <v>0</v>
      </c>
      <c r="B32" s="2">
        <v>46114</v>
      </c>
      <c r="C32" t="s">
        <v>2152</v>
      </c>
      <c r="D32" t="s">
        <v>1</v>
      </c>
      <c r="E32" t="s">
        <v>1</v>
      </c>
      <c r="F32" t="s">
        <v>31</v>
      </c>
      <c r="G32" t="s">
        <v>31</v>
      </c>
      <c r="H32" t="s">
        <v>57</v>
      </c>
      <c r="I32" s="19">
        <v>-113850000</v>
      </c>
      <c r="J32" t="s">
        <v>58</v>
      </c>
      <c r="K32" t="s">
        <v>1</v>
      </c>
      <c r="L32" t="s">
        <v>39</v>
      </c>
      <c r="M32" t="s">
        <v>41</v>
      </c>
      <c r="N32" t="s">
        <v>254</v>
      </c>
      <c r="O32" t="s">
        <v>4</v>
      </c>
      <c r="P32" t="s">
        <v>2153</v>
      </c>
      <c r="Q32" t="s">
        <v>31</v>
      </c>
      <c r="R32" t="s">
        <v>5</v>
      </c>
      <c r="S32" t="s">
        <v>1</v>
      </c>
      <c r="T32" s="3">
        <v>-113850000</v>
      </c>
      <c r="U32" s="19">
        <v>-113850000</v>
      </c>
      <c r="V32" s="3">
        <v>-113850000</v>
      </c>
      <c r="W32" s="3">
        <v>-113850000</v>
      </c>
      <c r="X32" s="4">
        <v>0</v>
      </c>
      <c r="Y32" s="4">
        <v>0</v>
      </c>
      <c r="Z32" s="3">
        <v>0</v>
      </c>
      <c r="AA32" s="3">
        <v>0</v>
      </c>
      <c r="AB32" t="s">
        <v>1</v>
      </c>
      <c r="AC32" t="s">
        <v>24</v>
      </c>
      <c r="AD32" s="2"/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25</v>
      </c>
      <c r="AK32" s="4">
        <v>0</v>
      </c>
      <c r="AL32" t="s">
        <v>1</v>
      </c>
      <c r="AM32" s="5" t="s">
        <v>1</v>
      </c>
      <c r="AN32" t="s">
        <v>1</v>
      </c>
      <c r="AO32" s="2"/>
      <c r="AP32" t="s">
        <v>1</v>
      </c>
      <c r="AQ32" t="s">
        <v>1</v>
      </c>
      <c r="AR32" s="3">
        <v>0</v>
      </c>
      <c r="AS32" t="s">
        <v>1</v>
      </c>
      <c r="AT32" t="s">
        <v>7</v>
      </c>
      <c r="AU32" t="s">
        <v>1</v>
      </c>
      <c r="AV32" t="s">
        <v>1</v>
      </c>
      <c r="AW32" t="s">
        <v>8</v>
      </c>
      <c r="AX32" t="s">
        <v>8</v>
      </c>
      <c r="AY32" t="s">
        <v>1</v>
      </c>
      <c r="AZ32" s="4">
        <v>0</v>
      </c>
      <c r="BA32" t="s">
        <v>1</v>
      </c>
      <c r="BB32" s="3">
        <v>0</v>
      </c>
      <c r="BC32" s="3">
        <v>0</v>
      </c>
      <c r="BD32" s="3">
        <v>0</v>
      </c>
      <c r="BE32" t="s">
        <v>20</v>
      </c>
      <c r="BF32" t="s">
        <v>1</v>
      </c>
      <c r="BG32" s="4">
        <v>0</v>
      </c>
      <c r="BH32" s="4">
        <v>0</v>
      </c>
      <c r="BI32" s="6">
        <v>0</v>
      </c>
      <c r="BJ32" s="6">
        <v>0</v>
      </c>
      <c r="BK32" t="s">
        <v>1</v>
      </c>
      <c r="BL32" t="s">
        <v>1</v>
      </c>
      <c r="BM32" t="s">
        <v>1</v>
      </c>
      <c r="BN32" t="s">
        <v>9</v>
      </c>
      <c r="BO32" s="2">
        <v>46114</v>
      </c>
      <c r="BP32" t="s">
        <v>1</v>
      </c>
      <c r="BQ32" t="s">
        <v>2152</v>
      </c>
      <c r="BR32" t="s">
        <v>27</v>
      </c>
      <c r="BS32" t="s">
        <v>1</v>
      </c>
      <c r="BT32" t="s">
        <v>1</v>
      </c>
      <c r="BU32" t="s">
        <v>1</v>
      </c>
      <c r="BV32" t="s">
        <v>1</v>
      </c>
      <c r="BW32" t="s">
        <v>7</v>
      </c>
      <c r="BX32" t="s">
        <v>10</v>
      </c>
      <c r="BY32" s="2"/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254</v>
      </c>
      <c r="CJ32" s="3">
        <v>-113850000</v>
      </c>
      <c r="CK32" t="s">
        <v>9</v>
      </c>
      <c r="CL32" t="s">
        <v>11</v>
      </c>
      <c r="CM32" t="s">
        <v>1</v>
      </c>
      <c r="CN32" s="4">
        <v>0</v>
      </c>
      <c r="CO32" t="s">
        <v>7</v>
      </c>
      <c r="CP32" t="s">
        <v>7</v>
      </c>
      <c r="CQ32" t="s">
        <v>7</v>
      </c>
      <c r="CR32" t="s">
        <v>7</v>
      </c>
      <c r="CS32" s="4">
        <v>0</v>
      </c>
      <c r="CT32" t="s">
        <v>2152</v>
      </c>
      <c r="CU32" t="s">
        <v>7</v>
      </c>
      <c r="CV32" t="s">
        <v>1</v>
      </c>
      <c r="CW32" s="2"/>
      <c r="CX32" t="s">
        <v>12</v>
      </c>
      <c r="CY32" t="s">
        <v>1</v>
      </c>
      <c r="CZ32" t="s">
        <v>13</v>
      </c>
      <c r="DA32" t="s">
        <v>1</v>
      </c>
      <c r="DB32" t="s">
        <v>9</v>
      </c>
      <c r="DC32" t="s">
        <v>9</v>
      </c>
      <c r="DD32" t="s">
        <v>1</v>
      </c>
      <c r="DE32" t="s">
        <v>1</v>
      </c>
      <c r="DF32" t="s">
        <v>1</v>
      </c>
      <c r="DG32" t="s">
        <v>47</v>
      </c>
      <c r="DH32" t="s">
        <v>1</v>
      </c>
      <c r="DI32" s="2"/>
      <c r="DJ32" t="s">
        <v>1</v>
      </c>
      <c r="DK32" t="s">
        <v>14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s="2"/>
      <c r="DW32" t="s">
        <v>1</v>
      </c>
      <c r="DX32" t="s">
        <v>1</v>
      </c>
      <c r="DY32" t="s">
        <v>2154</v>
      </c>
      <c r="DZ32" t="s">
        <v>1</v>
      </c>
      <c r="EA32" t="s">
        <v>1</v>
      </c>
      <c r="EB32" t="s">
        <v>28</v>
      </c>
      <c r="EC32" t="s">
        <v>7</v>
      </c>
      <c r="ED32" t="s">
        <v>1</v>
      </c>
      <c r="EE32" t="s">
        <v>1</v>
      </c>
      <c r="EF32" t="s">
        <v>22</v>
      </c>
      <c r="EG32" t="s">
        <v>41</v>
      </c>
      <c r="EH32" t="s">
        <v>15</v>
      </c>
      <c r="EI32" t="s">
        <v>1</v>
      </c>
      <c r="EJ32" s="6">
        <v>-5500</v>
      </c>
      <c r="EK32" t="s">
        <v>1</v>
      </c>
      <c r="EL32" t="s">
        <v>1</v>
      </c>
      <c r="EM32" t="s">
        <v>1</v>
      </c>
      <c r="EN32" t="s">
        <v>1</v>
      </c>
      <c r="EO32" s="2"/>
      <c r="EP32" t="s">
        <v>2154</v>
      </c>
      <c r="EQ32" t="s">
        <v>1</v>
      </c>
      <c r="ER32" t="s">
        <v>1</v>
      </c>
      <c r="ES32" t="s">
        <v>1</v>
      </c>
      <c r="ET32" t="s">
        <v>29</v>
      </c>
      <c r="EU32" t="s">
        <v>1</v>
      </c>
      <c r="EV32" t="s">
        <v>1</v>
      </c>
      <c r="EW32" t="s">
        <v>7</v>
      </c>
      <c r="EX32" t="s">
        <v>7</v>
      </c>
      <c r="EY32" t="s">
        <v>1</v>
      </c>
      <c r="EZ32" t="s">
        <v>1</v>
      </c>
      <c r="FA32" t="s">
        <v>1</v>
      </c>
      <c r="FB32" s="3">
        <v>50</v>
      </c>
      <c r="FC32" t="s">
        <v>1</v>
      </c>
      <c r="FD32" t="s">
        <v>1</v>
      </c>
      <c r="FE32" t="s">
        <v>1</v>
      </c>
      <c r="FF32" t="s">
        <v>17</v>
      </c>
      <c r="FG32" t="s">
        <v>1</v>
      </c>
      <c r="FH32" t="s">
        <v>1</v>
      </c>
      <c r="FI32" t="s">
        <v>1</v>
      </c>
      <c r="FJ32" t="s">
        <v>1</v>
      </c>
      <c r="FK32" s="7">
        <v>46114.444351851853</v>
      </c>
      <c r="FL32" t="s">
        <v>1</v>
      </c>
      <c r="FM32" t="s">
        <v>1</v>
      </c>
      <c r="FN32" t="s">
        <v>1</v>
      </c>
      <c r="FO32" s="19">
        <v>-113850000</v>
      </c>
      <c r="FP32" s="4">
        <v>0</v>
      </c>
      <c r="FQ32" s="19">
        <v>-113850000</v>
      </c>
      <c r="FR32" s="4">
        <v>0</v>
      </c>
      <c r="FS32" s="4">
        <v>0</v>
      </c>
      <c r="FT32" s="4">
        <v>0</v>
      </c>
      <c r="FU32" s="2">
        <v>46114</v>
      </c>
      <c r="FV32" t="s">
        <v>1</v>
      </c>
      <c r="FW32" s="4">
        <v>0</v>
      </c>
      <c r="FX32" t="s">
        <v>1</v>
      </c>
      <c r="FY32" t="s">
        <v>1</v>
      </c>
      <c r="FZ32" s="4">
        <v>0</v>
      </c>
      <c r="GA32" s="4">
        <v>0</v>
      </c>
      <c r="GB32" t="s">
        <v>2070</v>
      </c>
      <c r="GC32" t="str">
        <f>RIGHT(Data_FAGLL03[[#This Row],[Payment reference]],8)</f>
        <v>91172529</v>
      </c>
      <c r="GD32" t="str">
        <f>IF(Data_FAGLL03[[#This Row],[Billing]]&lt;&gt;"",_xlfn.XLOOKUP(Data_FAGLL03[[#This Row],[Billing]],MD_BILLING_SO[BILIING],MD_BILLING_SO[SO-EDITED]),"")</f>
        <v>30030638</v>
      </c>
      <c r="GE32" s="18">
        <f>IF(SUBSTITUTE(Data_FAGLL03[[#This Row],[Eff.exchange rate]],",","")/100000=1,1,SUBSTITUTE(Data_FAGLL03[[#This Row],[Eff.exchange rate]],",","")/100)</f>
        <v>1</v>
      </c>
      <c r="GF32" s="17">
        <f>IF(Data_FAGLL03[[#This Row],[Material]]&lt;&gt;"",IFERROR(Data_FAGLL03[[#This Row],[Amount in local currency]]/Data_FAGLL03[[#This Row],[Quantity_Original]],0),0)</f>
        <v>20700</v>
      </c>
      <c r="GG32" s="18">
        <f>IF(Data_FAGLL03[[#This Row],[XK/NĐ]]="XK",Data_FAGLL03[[#This Row],[GB trung bình]]/Data_FAGLL03[[#This Row],[EXR]],0)*1000</f>
        <v>0</v>
      </c>
      <c r="GH32" s="18" cm="1">
        <f t="array" ref="GH32">IF(Data_FAGLL03[[#This Row],[Document currency]]&lt;&gt;"VND",Data_FAGLL03[[#This Row],[Amount in doc. curr.]],Data_FAGLL03[[#This Row],[Amount in local currency]]/EXR)</f>
        <v>-4336.7887971670043</v>
      </c>
      <c r="GI32" s="10">
        <f>Data_FAGLL03[[#This Row],[Time Stamp]]+TIME(7,0,0)</f>
        <v>46114.736018518517</v>
      </c>
      <c r="GJ32" s="18">
        <f>MONTH(Data_FAGLL03[[#This Row],[Time Stamp_VN]])</f>
        <v>4</v>
      </c>
      <c r="GK32">
        <f>DAY(Data_FAGLL03[[#This Row],[Time Stamp_VN]])</f>
        <v>2</v>
      </c>
      <c r="GL32" t="str">
        <f>TEXT(Data_FAGLL03[[#This Row],[Tháng]],"00")&amp;" | "&amp;TEXT(Data_FAGLL03[[#This Row],[Ngày]],"00")</f>
        <v>04 | 02</v>
      </c>
      <c r="GM32" s="18">
        <f>IF(Data_FAGLL03[[#This Row],[Text]]="",Data_FAGLL03[[#This Row],[Quantity_Original]],0)</f>
        <v>-5500</v>
      </c>
      <c r="GN32" s="18" t="str">
        <f>IF(Data_FAGLL03[[#This Row],[Quantity_Edited]]&lt;&gt;0,Data_FAGLL03[[#This Row],[Offsetting acct no.]]&amp;" | "&amp;Data_FAGLL03[[#This Row],[Material]],"")</f>
        <v>105339 | 110000366</v>
      </c>
      <c r="GO32" t="str">
        <f>IF(LEFT(Data_FAGLL03[[#This Row],[Offsetting acct no.]],1)="1","NĐ",IF(LEFT(Data_FAGLL03[[#This Row],[Offsetting acct no.]],1)="2","XK","Khác"))</f>
        <v>NĐ</v>
      </c>
      <c r="GP32" t="str">
        <f>IF(Data_FAGLL03[[#This Row],[Material]]&lt;&gt;"",_xlfn.XLOOKUP(Data_FAGLL03[[#This Row],[Material]],MD_SKU[Mã SKU],MD_SKU[Tên SKU]),"")</f>
        <v>Hạt nhựa rHDI3G01</v>
      </c>
      <c r="GQ32" t="str">
        <f>IF(Data_FAGLL03[[#This Row],[Material]]&lt;&gt;"",_xlfn.XLOOKUP(Data_FAGLL03[[#This Row],[Material]],MD_SKU[Mã SKU],MD_SKU[Nhóm SP 1]),"")</f>
        <v>rHDPE</v>
      </c>
      <c r="GR32" t="str">
        <f>IF(Data_FAGLL03[[#This Row],[Material]]&lt;&gt;"",_xlfn.XLOOKUP(Data_FAGLL03[[#This Row],[Material]],MD_SKU[Mã SKU],MD_SKU[Nhóm SP 2]),"")</f>
        <v>rHDPE ép</v>
      </c>
      <c r="GS32" t="str">
        <f>IF(Data_FAGLL03[[#This Row],[Material]]&lt;&gt;"",_xlfn.XLOOKUP(Data_FAGLL03[[#This Row],[Material]],MD_SKU[Mã SKU],MD_SKU[Nhóm SP 3]),"")</f>
        <v>rHDPE ép</v>
      </c>
      <c r="GT32" t="str">
        <f>IF(Data_FAGLL03[[#This Row],[Material]]&lt;&gt;"",_xlfn.XLOOKUP(Data_FAGLL03[[#This Row],[Material]],MD_SKU[Mã SKU],MD_SKU[Nhóm SP 4]),"")</f>
        <v>Hạt rHDPE ép</v>
      </c>
    </row>
    <row r="33" spans="1:202" x14ac:dyDescent="0.25">
      <c r="A33" t="s">
        <v>0</v>
      </c>
      <c r="B33" s="2">
        <v>46114</v>
      </c>
      <c r="C33" t="s">
        <v>2155</v>
      </c>
      <c r="D33" t="s">
        <v>1</v>
      </c>
      <c r="E33" t="s">
        <v>1</v>
      </c>
      <c r="F33" t="s">
        <v>31</v>
      </c>
      <c r="G33" t="s">
        <v>31</v>
      </c>
      <c r="H33" t="s">
        <v>55</v>
      </c>
      <c r="I33" s="19">
        <v>-7175926</v>
      </c>
      <c r="J33" t="s">
        <v>56</v>
      </c>
      <c r="K33" t="s">
        <v>1</v>
      </c>
      <c r="L33" t="s">
        <v>39</v>
      </c>
      <c r="M33" t="s">
        <v>41</v>
      </c>
      <c r="N33" t="s">
        <v>254</v>
      </c>
      <c r="O33" t="s">
        <v>4</v>
      </c>
      <c r="P33" t="s">
        <v>2156</v>
      </c>
      <c r="Q33" t="s">
        <v>31</v>
      </c>
      <c r="R33" t="s">
        <v>5</v>
      </c>
      <c r="S33" t="s">
        <v>1</v>
      </c>
      <c r="T33" s="3">
        <v>-7175926</v>
      </c>
      <c r="U33" s="19">
        <v>-7175926</v>
      </c>
      <c r="V33" s="3">
        <v>-7175926</v>
      </c>
      <c r="W33" s="3">
        <v>-7175926</v>
      </c>
      <c r="X33" s="4">
        <v>0</v>
      </c>
      <c r="Y33" s="4">
        <v>0</v>
      </c>
      <c r="Z33" s="3">
        <v>0</v>
      </c>
      <c r="AA33" s="3">
        <v>0</v>
      </c>
      <c r="AB33" t="s">
        <v>1</v>
      </c>
      <c r="AC33" t="s">
        <v>24</v>
      </c>
      <c r="AD33" s="2"/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25</v>
      </c>
      <c r="AK33" s="4">
        <v>0</v>
      </c>
      <c r="AL33" t="s">
        <v>1</v>
      </c>
      <c r="AM33" s="5" t="s">
        <v>1</v>
      </c>
      <c r="AN33" t="s">
        <v>1</v>
      </c>
      <c r="AO33" s="2"/>
      <c r="AP33" t="s">
        <v>1</v>
      </c>
      <c r="AQ33" t="s">
        <v>1</v>
      </c>
      <c r="AR33" s="3">
        <v>0</v>
      </c>
      <c r="AS33" t="s">
        <v>1</v>
      </c>
      <c r="AT33" t="s">
        <v>7</v>
      </c>
      <c r="AU33" t="s">
        <v>1</v>
      </c>
      <c r="AV33" t="s">
        <v>1</v>
      </c>
      <c r="AW33" t="s">
        <v>8</v>
      </c>
      <c r="AX33" t="s">
        <v>8</v>
      </c>
      <c r="AY33" t="s">
        <v>1</v>
      </c>
      <c r="AZ33" s="4">
        <v>0</v>
      </c>
      <c r="BA33" t="s">
        <v>1</v>
      </c>
      <c r="BB33" s="3">
        <v>0</v>
      </c>
      <c r="BC33" s="3">
        <v>0</v>
      </c>
      <c r="BD33" s="3">
        <v>0</v>
      </c>
      <c r="BE33" t="s">
        <v>20</v>
      </c>
      <c r="BF33" t="s">
        <v>1</v>
      </c>
      <c r="BG33" s="4">
        <v>0</v>
      </c>
      <c r="BH33" s="4">
        <v>0</v>
      </c>
      <c r="BI33" s="6">
        <v>0</v>
      </c>
      <c r="BJ33" s="6">
        <v>0</v>
      </c>
      <c r="BK33" t="s">
        <v>1</v>
      </c>
      <c r="BL33" t="s">
        <v>1</v>
      </c>
      <c r="BM33" t="s">
        <v>1</v>
      </c>
      <c r="BN33" t="s">
        <v>9</v>
      </c>
      <c r="BO33" s="2">
        <v>46114</v>
      </c>
      <c r="BP33" t="s">
        <v>1</v>
      </c>
      <c r="BQ33" t="s">
        <v>2155</v>
      </c>
      <c r="BR33" t="s">
        <v>27</v>
      </c>
      <c r="BS33" t="s">
        <v>1</v>
      </c>
      <c r="BT33" t="s">
        <v>1</v>
      </c>
      <c r="BU33" t="s">
        <v>1</v>
      </c>
      <c r="BV33" t="s">
        <v>1</v>
      </c>
      <c r="BW33" t="s">
        <v>7</v>
      </c>
      <c r="BX33" t="s">
        <v>10</v>
      </c>
      <c r="BY33" s="2"/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254</v>
      </c>
      <c r="CJ33" s="3">
        <v>-7175926</v>
      </c>
      <c r="CK33" t="s">
        <v>9</v>
      </c>
      <c r="CL33" t="s">
        <v>11</v>
      </c>
      <c r="CM33" t="s">
        <v>1</v>
      </c>
      <c r="CN33" s="4">
        <v>0</v>
      </c>
      <c r="CO33" t="s">
        <v>7</v>
      </c>
      <c r="CP33" t="s">
        <v>7</v>
      </c>
      <c r="CQ33" t="s">
        <v>7</v>
      </c>
      <c r="CR33" t="s">
        <v>7</v>
      </c>
      <c r="CS33" s="4">
        <v>0</v>
      </c>
      <c r="CT33" t="s">
        <v>2155</v>
      </c>
      <c r="CU33" t="s">
        <v>7</v>
      </c>
      <c r="CV33" t="s">
        <v>1</v>
      </c>
      <c r="CW33" s="2"/>
      <c r="CX33" t="s">
        <v>12</v>
      </c>
      <c r="CY33" t="s">
        <v>1</v>
      </c>
      <c r="CZ33" t="s">
        <v>13</v>
      </c>
      <c r="DA33" t="s">
        <v>1</v>
      </c>
      <c r="DB33" t="s">
        <v>9</v>
      </c>
      <c r="DC33" t="s">
        <v>9</v>
      </c>
      <c r="DD33" t="s">
        <v>1</v>
      </c>
      <c r="DE33" t="s">
        <v>1</v>
      </c>
      <c r="DF33" t="s">
        <v>1</v>
      </c>
      <c r="DG33" t="s">
        <v>262</v>
      </c>
      <c r="DH33" t="s">
        <v>1</v>
      </c>
      <c r="DI33" s="2"/>
      <c r="DJ33" t="s">
        <v>1</v>
      </c>
      <c r="DK33" t="s">
        <v>14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s="2"/>
      <c r="DW33" t="s">
        <v>1</v>
      </c>
      <c r="DX33" t="s">
        <v>1</v>
      </c>
      <c r="DY33" t="s">
        <v>2157</v>
      </c>
      <c r="DZ33" t="s">
        <v>1</v>
      </c>
      <c r="EA33" t="s">
        <v>1</v>
      </c>
      <c r="EB33" t="s">
        <v>28</v>
      </c>
      <c r="EC33" t="s">
        <v>7</v>
      </c>
      <c r="ED33" t="s">
        <v>1</v>
      </c>
      <c r="EE33" t="s">
        <v>1</v>
      </c>
      <c r="EF33" t="s">
        <v>22</v>
      </c>
      <c r="EG33" t="s">
        <v>41</v>
      </c>
      <c r="EH33" t="s">
        <v>15</v>
      </c>
      <c r="EI33" t="s">
        <v>1</v>
      </c>
      <c r="EJ33" s="6">
        <v>-500</v>
      </c>
      <c r="EK33" t="s">
        <v>1</v>
      </c>
      <c r="EL33" t="s">
        <v>1</v>
      </c>
      <c r="EM33" t="s">
        <v>1</v>
      </c>
      <c r="EN33" t="s">
        <v>1</v>
      </c>
      <c r="EO33" s="2"/>
      <c r="EP33" t="s">
        <v>2157</v>
      </c>
      <c r="EQ33" t="s">
        <v>1</v>
      </c>
      <c r="ER33" t="s">
        <v>1</v>
      </c>
      <c r="ES33" t="s">
        <v>1</v>
      </c>
      <c r="ET33" t="s">
        <v>29</v>
      </c>
      <c r="EU33" t="s">
        <v>1</v>
      </c>
      <c r="EV33" t="s">
        <v>1</v>
      </c>
      <c r="EW33" t="s">
        <v>7</v>
      </c>
      <c r="EX33" t="s">
        <v>7</v>
      </c>
      <c r="EY33" t="s">
        <v>1</v>
      </c>
      <c r="EZ33" t="s">
        <v>1</v>
      </c>
      <c r="FA33" t="s">
        <v>1</v>
      </c>
      <c r="FB33" s="3">
        <v>50</v>
      </c>
      <c r="FC33" t="s">
        <v>1</v>
      </c>
      <c r="FD33" t="s">
        <v>1</v>
      </c>
      <c r="FE33" t="s">
        <v>1</v>
      </c>
      <c r="FF33" t="s">
        <v>17</v>
      </c>
      <c r="FG33" t="s">
        <v>1</v>
      </c>
      <c r="FH33" t="s">
        <v>1</v>
      </c>
      <c r="FI33" t="s">
        <v>1</v>
      </c>
      <c r="FJ33" t="s">
        <v>1</v>
      </c>
      <c r="FK33" s="7">
        <v>46114.444803240738</v>
      </c>
      <c r="FL33" t="s">
        <v>1</v>
      </c>
      <c r="FM33" t="s">
        <v>1</v>
      </c>
      <c r="FN33" t="s">
        <v>1</v>
      </c>
      <c r="FO33" s="19">
        <v>-7175926</v>
      </c>
      <c r="FP33" s="4">
        <v>0</v>
      </c>
      <c r="FQ33" s="19">
        <v>-7175926</v>
      </c>
      <c r="FR33" s="4">
        <v>0</v>
      </c>
      <c r="FS33" s="4">
        <v>0</v>
      </c>
      <c r="FT33" s="4">
        <v>0</v>
      </c>
      <c r="FU33" s="2">
        <v>46114</v>
      </c>
      <c r="FV33" t="s">
        <v>1</v>
      </c>
      <c r="FW33" s="4">
        <v>0</v>
      </c>
      <c r="FX33" t="s">
        <v>1</v>
      </c>
      <c r="FY33" t="s">
        <v>1</v>
      </c>
      <c r="FZ33" s="4">
        <v>0</v>
      </c>
      <c r="GA33" s="4">
        <v>0</v>
      </c>
      <c r="GB33" t="s">
        <v>2070</v>
      </c>
      <c r="GC33" t="str">
        <f>RIGHT(Data_FAGLL03[[#This Row],[Payment reference]],8)</f>
        <v>91172530</v>
      </c>
      <c r="GD33" t="str">
        <f>IF(Data_FAGLL03[[#This Row],[Billing]]&lt;&gt;"",_xlfn.XLOOKUP(Data_FAGLL03[[#This Row],[Billing]],MD_BILLING_SO[BILIING],MD_BILLING_SO[SO-EDITED]),"")</f>
        <v>30030709</v>
      </c>
      <c r="GE33" s="18">
        <f>IF(SUBSTITUTE(Data_FAGLL03[[#This Row],[Eff.exchange rate]],",","")/100000=1,1,SUBSTITUTE(Data_FAGLL03[[#This Row],[Eff.exchange rate]],",","")/100)</f>
        <v>1</v>
      </c>
      <c r="GF33" s="17">
        <f>IF(Data_FAGLL03[[#This Row],[Material]]&lt;&gt;"",IFERROR(Data_FAGLL03[[#This Row],[Amount in local currency]]/Data_FAGLL03[[#This Row],[Quantity_Original]],0),0)</f>
        <v>14351.852000000001</v>
      </c>
      <c r="GG33" s="18">
        <f>IF(Data_FAGLL03[[#This Row],[XK/NĐ]]="XK",Data_FAGLL03[[#This Row],[GB trung bình]]/Data_FAGLL03[[#This Row],[EXR]],0)*1000</f>
        <v>0</v>
      </c>
      <c r="GH33" s="18" cm="1">
        <f t="array" ref="GH33">IF(Data_FAGLL03[[#This Row],[Document currency]]&lt;&gt;"VND",Data_FAGLL03[[#This Row],[Amount in doc. curr.]],Data_FAGLL03[[#This Row],[Amount in local currency]]/EXR)</f>
        <v>-273.34629324637183</v>
      </c>
      <c r="GI33" s="10">
        <f>Data_FAGLL03[[#This Row],[Time Stamp]]+TIME(7,0,0)</f>
        <v>46114.736469907402</v>
      </c>
      <c r="GJ33" s="18">
        <f>MONTH(Data_FAGLL03[[#This Row],[Time Stamp_VN]])</f>
        <v>4</v>
      </c>
      <c r="GK33">
        <f>DAY(Data_FAGLL03[[#This Row],[Time Stamp_VN]])</f>
        <v>2</v>
      </c>
      <c r="GL33" t="str">
        <f>TEXT(Data_FAGLL03[[#This Row],[Tháng]],"00")&amp;" | "&amp;TEXT(Data_FAGLL03[[#This Row],[Ngày]],"00")</f>
        <v>04 | 02</v>
      </c>
      <c r="GM33" s="18">
        <f>IF(Data_FAGLL03[[#This Row],[Text]]="",Data_FAGLL03[[#This Row],[Quantity_Original]],0)</f>
        <v>-500</v>
      </c>
      <c r="GN33" s="18" t="str">
        <f>IF(Data_FAGLL03[[#This Row],[Quantity_Edited]]&lt;&gt;0,Data_FAGLL03[[#This Row],[Offsetting acct no.]]&amp;" | "&amp;Data_FAGLL03[[#This Row],[Material]],"")</f>
        <v>105324 | 160012951</v>
      </c>
      <c r="GO33" t="str">
        <f>IF(LEFT(Data_FAGLL03[[#This Row],[Offsetting acct no.]],1)="1","NĐ",IF(LEFT(Data_FAGLL03[[#This Row],[Offsetting acct no.]],1)="2","XK","Khác"))</f>
        <v>NĐ</v>
      </c>
      <c r="GP33" t="str">
        <f>IF(Data_FAGLL03[[#This Row],[Material]]&lt;&gt;"",_xlfn.XLOOKUP(Data_FAGLL03[[#This Row],[Material]],MD_SKU[Mã SKU],MD_SKU[Tên SKU]),"")</f>
        <v>Phó Sản HD Ép Hỗn Hợp Cuối SSR</v>
      </c>
      <c r="GQ33" t="str">
        <f>IF(Data_FAGLL03[[#This Row],[Material]]&lt;&gt;"",_xlfn.XLOOKUP(Data_FAGLL03[[#This Row],[Material]],MD_SKU[Mã SKU],MD_SKU[Nhóm SP 1]),"")</f>
        <v>Khác</v>
      </c>
      <c r="GR33" t="str">
        <f>IF(Data_FAGLL03[[#This Row],[Material]]&lt;&gt;"",_xlfn.XLOOKUP(Data_FAGLL03[[#This Row],[Material]],MD_SKU[Mã SKU],MD_SKU[Nhóm SP 2]),"")</f>
        <v>Phó sản</v>
      </c>
      <c r="GS33" t="str">
        <f>IF(Data_FAGLL03[[#This Row],[Material]]&lt;&gt;"",_xlfn.XLOOKUP(Data_FAGLL03[[#This Row],[Material]],MD_SKU[Mã SKU],MD_SKU[Nhóm SP 3]),"")</f>
        <v>Phó sản</v>
      </c>
      <c r="GT33" t="str">
        <f>IF(Data_FAGLL03[[#This Row],[Material]]&lt;&gt;"",_xlfn.XLOOKUP(Data_FAGLL03[[#This Row],[Material]],MD_SKU[Mã SKU],MD_SKU[Nhóm SP 4]),"")</f>
        <v>Phó sản</v>
      </c>
    </row>
    <row r="34" spans="1:202" x14ac:dyDescent="0.25">
      <c r="A34" t="s">
        <v>0</v>
      </c>
      <c r="B34" s="2">
        <v>46114</v>
      </c>
      <c r="C34" t="s">
        <v>2158</v>
      </c>
      <c r="D34" t="s">
        <v>1</v>
      </c>
      <c r="E34" t="s">
        <v>1</v>
      </c>
      <c r="F34" t="s">
        <v>31</v>
      </c>
      <c r="G34" t="s">
        <v>31</v>
      </c>
      <c r="H34" t="s">
        <v>2032</v>
      </c>
      <c r="I34" s="19">
        <v>-263150000</v>
      </c>
      <c r="J34" t="s">
        <v>2033</v>
      </c>
      <c r="K34" t="s">
        <v>1</v>
      </c>
      <c r="L34" t="s">
        <v>39</v>
      </c>
      <c r="M34" t="s">
        <v>41</v>
      </c>
      <c r="N34" t="s">
        <v>254</v>
      </c>
      <c r="O34" t="s">
        <v>4</v>
      </c>
      <c r="P34" t="s">
        <v>2159</v>
      </c>
      <c r="Q34" t="s">
        <v>31</v>
      </c>
      <c r="R34" t="s">
        <v>5</v>
      </c>
      <c r="S34" t="s">
        <v>1</v>
      </c>
      <c r="T34" s="3">
        <v>-263150000</v>
      </c>
      <c r="U34" s="19">
        <v>-263150000</v>
      </c>
      <c r="V34" s="3">
        <v>-263150000</v>
      </c>
      <c r="W34" s="3">
        <v>-263150000</v>
      </c>
      <c r="X34" s="4">
        <v>0</v>
      </c>
      <c r="Y34" s="4">
        <v>0</v>
      </c>
      <c r="Z34" s="3">
        <v>0</v>
      </c>
      <c r="AA34" s="3">
        <v>0</v>
      </c>
      <c r="AB34" t="s">
        <v>1</v>
      </c>
      <c r="AC34" t="s">
        <v>24</v>
      </c>
      <c r="AD34" s="2"/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25</v>
      </c>
      <c r="AK34" s="4">
        <v>0</v>
      </c>
      <c r="AL34" t="s">
        <v>1</v>
      </c>
      <c r="AM34" s="5" t="s">
        <v>1</v>
      </c>
      <c r="AN34" t="s">
        <v>1</v>
      </c>
      <c r="AO34" s="2"/>
      <c r="AP34" t="s">
        <v>1</v>
      </c>
      <c r="AQ34" t="s">
        <v>1</v>
      </c>
      <c r="AR34" s="3">
        <v>0</v>
      </c>
      <c r="AS34" t="s">
        <v>1</v>
      </c>
      <c r="AT34" t="s">
        <v>7</v>
      </c>
      <c r="AU34" t="s">
        <v>1</v>
      </c>
      <c r="AV34" t="s">
        <v>1</v>
      </c>
      <c r="AW34" t="s">
        <v>8</v>
      </c>
      <c r="AX34" t="s">
        <v>8</v>
      </c>
      <c r="AY34" t="s">
        <v>1</v>
      </c>
      <c r="AZ34" s="4">
        <v>0</v>
      </c>
      <c r="BA34" t="s">
        <v>1</v>
      </c>
      <c r="BB34" s="3">
        <v>0</v>
      </c>
      <c r="BC34" s="3">
        <v>0</v>
      </c>
      <c r="BD34" s="3">
        <v>0</v>
      </c>
      <c r="BE34" t="s">
        <v>20</v>
      </c>
      <c r="BF34" t="s">
        <v>1</v>
      </c>
      <c r="BG34" s="4">
        <v>0</v>
      </c>
      <c r="BH34" s="4">
        <v>0</v>
      </c>
      <c r="BI34" s="6">
        <v>0</v>
      </c>
      <c r="BJ34" s="6">
        <v>0</v>
      </c>
      <c r="BK34" t="s">
        <v>1</v>
      </c>
      <c r="BL34" t="s">
        <v>1</v>
      </c>
      <c r="BM34" t="s">
        <v>1</v>
      </c>
      <c r="BN34" t="s">
        <v>9</v>
      </c>
      <c r="BO34" s="2">
        <v>46114</v>
      </c>
      <c r="BP34" t="s">
        <v>1</v>
      </c>
      <c r="BQ34" t="s">
        <v>2158</v>
      </c>
      <c r="BR34" t="s">
        <v>27</v>
      </c>
      <c r="BS34" t="s">
        <v>1</v>
      </c>
      <c r="BT34" t="s">
        <v>1</v>
      </c>
      <c r="BU34" t="s">
        <v>1</v>
      </c>
      <c r="BV34" t="s">
        <v>1</v>
      </c>
      <c r="BW34" t="s">
        <v>7</v>
      </c>
      <c r="BX34" t="s">
        <v>10</v>
      </c>
      <c r="BY34" s="2"/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254</v>
      </c>
      <c r="CJ34" s="3">
        <v>-263150000</v>
      </c>
      <c r="CK34" t="s">
        <v>9</v>
      </c>
      <c r="CL34" t="s">
        <v>11</v>
      </c>
      <c r="CM34" t="s">
        <v>1</v>
      </c>
      <c r="CN34" s="4">
        <v>0</v>
      </c>
      <c r="CO34" t="s">
        <v>7</v>
      </c>
      <c r="CP34" t="s">
        <v>7</v>
      </c>
      <c r="CQ34" t="s">
        <v>7</v>
      </c>
      <c r="CR34" t="s">
        <v>7</v>
      </c>
      <c r="CS34" s="4">
        <v>0</v>
      </c>
      <c r="CT34" t="s">
        <v>2158</v>
      </c>
      <c r="CU34" t="s">
        <v>7</v>
      </c>
      <c r="CV34" t="s">
        <v>1</v>
      </c>
      <c r="CW34" s="2"/>
      <c r="CX34" t="s">
        <v>12</v>
      </c>
      <c r="CY34" t="s">
        <v>1</v>
      </c>
      <c r="CZ34" t="s">
        <v>13</v>
      </c>
      <c r="DA34" t="s">
        <v>1</v>
      </c>
      <c r="DB34" t="s">
        <v>9</v>
      </c>
      <c r="DC34" t="s">
        <v>9</v>
      </c>
      <c r="DD34" t="s">
        <v>1</v>
      </c>
      <c r="DE34" t="s">
        <v>1</v>
      </c>
      <c r="DF34" t="s">
        <v>1</v>
      </c>
      <c r="DG34" t="s">
        <v>700</v>
      </c>
      <c r="DH34" t="s">
        <v>1</v>
      </c>
      <c r="DI34" s="2"/>
      <c r="DJ34" t="s">
        <v>1</v>
      </c>
      <c r="DK34" t="s">
        <v>14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s="2"/>
      <c r="DW34" t="s">
        <v>1</v>
      </c>
      <c r="DX34" t="s">
        <v>1</v>
      </c>
      <c r="DY34" t="s">
        <v>2160</v>
      </c>
      <c r="DZ34" t="s">
        <v>1</v>
      </c>
      <c r="EA34" t="s">
        <v>1</v>
      </c>
      <c r="EB34" t="s">
        <v>28</v>
      </c>
      <c r="EC34" t="s">
        <v>7</v>
      </c>
      <c r="ED34" t="s">
        <v>1</v>
      </c>
      <c r="EE34" t="s">
        <v>1</v>
      </c>
      <c r="EF34" t="s">
        <v>22</v>
      </c>
      <c r="EG34" t="s">
        <v>41</v>
      </c>
      <c r="EH34" t="s">
        <v>15</v>
      </c>
      <c r="EI34" t="s">
        <v>1</v>
      </c>
      <c r="EJ34" s="6">
        <v>-13850</v>
      </c>
      <c r="EK34" t="s">
        <v>1</v>
      </c>
      <c r="EL34" t="s">
        <v>1</v>
      </c>
      <c r="EM34" t="s">
        <v>1</v>
      </c>
      <c r="EN34" t="s">
        <v>1</v>
      </c>
      <c r="EO34" s="2"/>
      <c r="EP34" t="s">
        <v>2160</v>
      </c>
      <c r="EQ34" t="s">
        <v>1</v>
      </c>
      <c r="ER34" t="s">
        <v>1</v>
      </c>
      <c r="ES34" t="s">
        <v>1</v>
      </c>
      <c r="ET34" t="s">
        <v>29</v>
      </c>
      <c r="EU34" t="s">
        <v>1</v>
      </c>
      <c r="EV34" t="s">
        <v>1</v>
      </c>
      <c r="EW34" t="s">
        <v>7</v>
      </c>
      <c r="EX34" t="s">
        <v>7</v>
      </c>
      <c r="EY34" t="s">
        <v>1</v>
      </c>
      <c r="EZ34" t="s">
        <v>1</v>
      </c>
      <c r="FA34" t="s">
        <v>1</v>
      </c>
      <c r="FB34" s="3">
        <v>50</v>
      </c>
      <c r="FC34" t="s">
        <v>1</v>
      </c>
      <c r="FD34" t="s">
        <v>1</v>
      </c>
      <c r="FE34" t="s">
        <v>1</v>
      </c>
      <c r="FF34" t="s">
        <v>17</v>
      </c>
      <c r="FG34" t="s">
        <v>1</v>
      </c>
      <c r="FH34" t="s">
        <v>1</v>
      </c>
      <c r="FI34" t="s">
        <v>1</v>
      </c>
      <c r="FJ34" t="s">
        <v>1</v>
      </c>
      <c r="FK34" s="7">
        <v>46114.446342592593</v>
      </c>
      <c r="FL34" t="s">
        <v>1</v>
      </c>
      <c r="FM34" t="s">
        <v>1</v>
      </c>
      <c r="FN34" t="s">
        <v>1</v>
      </c>
      <c r="FO34" s="19">
        <v>-263150000</v>
      </c>
      <c r="FP34" s="4">
        <v>0</v>
      </c>
      <c r="FQ34" s="19">
        <v>-263150000</v>
      </c>
      <c r="FR34" s="4">
        <v>0</v>
      </c>
      <c r="FS34" s="4">
        <v>0</v>
      </c>
      <c r="FT34" s="4">
        <v>0</v>
      </c>
      <c r="FU34" s="2">
        <v>46114</v>
      </c>
      <c r="FV34" t="s">
        <v>1</v>
      </c>
      <c r="FW34" s="4">
        <v>0</v>
      </c>
      <c r="FX34" t="s">
        <v>1</v>
      </c>
      <c r="FY34" t="s">
        <v>1</v>
      </c>
      <c r="FZ34" s="4">
        <v>0</v>
      </c>
      <c r="GA34" s="4">
        <v>0</v>
      </c>
      <c r="GB34" t="s">
        <v>2070</v>
      </c>
      <c r="GC34" t="str">
        <f>RIGHT(Data_FAGLL03[[#This Row],[Payment reference]],8)</f>
        <v>91172531</v>
      </c>
      <c r="GD34" t="str">
        <f>IF(Data_FAGLL03[[#This Row],[Billing]]&lt;&gt;"",_xlfn.XLOOKUP(Data_FAGLL03[[#This Row],[Billing]],MD_BILLING_SO[BILIING],MD_BILLING_SO[SO-EDITED]),"")</f>
        <v>30030646</v>
      </c>
      <c r="GE34" s="18">
        <f>IF(SUBSTITUTE(Data_FAGLL03[[#This Row],[Eff.exchange rate]],",","")/100000=1,1,SUBSTITUTE(Data_FAGLL03[[#This Row],[Eff.exchange rate]],",","")/100)</f>
        <v>1</v>
      </c>
      <c r="GF34" s="17">
        <f>IF(Data_FAGLL03[[#This Row],[Material]]&lt;&gt;"",IFERROR(Data_FAGLL03[[#This Row],[Amount in local currency]]/Data_FAGLL03[[#This Row],[Quantity_Original]],0),0)</f>
        <v>19000</v>
      </c>
      <c r="GG34" s="18">
        <f>IF(Data_FAGLL03[[#This Row],[XK/NĐ]]="XK",Data_FAGLL03[[#This Row],[GB trung bình]]/Data_FAGLL03[[#This Row],[EXR]],0)*1000</f>
        <v>0</v>
      </c>
      <c r="GH34" s="18" cm="1">
        <f t="array" ref="GH34">IF(Data_FAGLL03[[#This Row],[Document currency]]&lt;&gt;"VND",Data_FAGLL03[[#This Row],[Amount in doc. curr.]],Data_FAGLL03[[#This Row],[Amount in local currency]]/EXR)</f>
        <v>-10023.943539521277</v>
      </c>
      <c r="GI34" s="10">
        <f>Data_FAGLL03[[#This Row],[Time Stamp]]+TIME(7,0,0)</f>
        <v>46114.738009259258</v>
      </c>
      <c r="GJ34" s="18">
        <f>MONTH(Data_FAGLL03[[#This Row],[Time Stamp_VN]])</f>
        <v>4</v>
      </c>
      <c r="GK34">
        <f>DAY(Data_FAGLL03[[#This Row],[Time Stamp_VN]])</f>
        <v>2</v>
      </c>
      <c r="GL34" t="str">
        <f>TEXT(Data_FAGLL03[[#This Row],[Tháng]],"00")&amp;" | "&amp;TEXT(Data_FAGLL03[[#This Row],[Ngày]],"00")</f>
        <v>04 | 02</v>
      </c>
      <c r="GM34" s="18">
        <f>IF(Data_FAGLL03[[#This Row],[Text]]="",Data_FAGLL03[[#This Row],[Quantity_Original]],0)</f>
        <v>-13850</v>
      </c>
      <c r="GN34" s="18" t="str">
        <f>IF(Data_FAGLL03[[#This Row],[Quantity_Edited]]&lt;&gt;0,Data_FAGLL03[[#This Row],[Offsetting acct no.]]&amp;" | "&amp;Data_FAGLL03[[#This Row],[Material]],"")</f>
        <v>105323 | 110000436</v>
      </c>
      <c r="GO34" t="str">
        <f>IF(LEFT(Data_FAGLL03[[#This Row],[Offsetting acct no.]],1)="1","NĐ",IF(LEFT(Data_FAGLL03[[#This Row],[Offsetting acct no.]],1)="2","XK","Khác"))</f>
        <v>NĐ</v>
      </c>
      <c r="GP34" t="str">
        <f>IF(Data_FAGLL03[[#This Row],[Material]]&lt;&gt;"",_xlfn.XLOOKUP(Data_FAGLL03[[#This Row],[Material]],MD_SKU[Mã SKU],MD_SKU[Tên SKU]),"")</f>
        <v>Hạt nhựa rPET WSS05SB</v>
      </c>
      <c r="GQ34" t="str">
        <f>IF(Data_FAGLL03[[#This Row],[Material]]&lt;&gt;"",_xlfn.XLOOKUP(Data_FAGLL03[[#This Row],[Material]],MD_SKU[Mã SKU],MD_SKU[Nhóm SP 1]),"")</f>
        <v>Xơ sợi</v>
      </c>
      <c r="GR34" t="str">
        <f>IF(Data_FAGLL03[[#This Row],[Material]]&lt;&gt;"",_xlfn.XLOOKUP(Data_FAGLL03[[#This Row],[Material]],MD_SKU[Mã SKU],MD_SKU[Nhóm SP 2]),"")</f>
        <v>Xơ sợi</v>
      </c>
      <c r="GS34" t="str">
        <f>IF(Data_FAGLL03[[#This Row],[Material]]&lt;&gt;"",_xlfn.XLOOKUP(Data_FAGLL03[[#This Row],[Material]],MD_SKU[Mã SKU],MD_SKU[Nhóm SP 3]),"")</f>
        <v>Xơ sợi</v>
      </c>
      <c r="GT34" t="str">
        <f>IF(Data_FAGLL03[[#This Row],[Material]]&lt;&gt;"",_xlfn.XLOOKUP(Data_FAGLL03[[#This Row],[Material]],MD_SKU[Mã SKU],MD_SKU[Nhóm SP 4]),"")</f>
        <v>Hạt Xơ sợi</v>
      </c>
    </row>
    <row r="35" spans="1:202" x14ac:dyDescent="0.25">
      <c r="A35" t="s">
        <v>0</v>
      </c>
      <c r="B35" s="2">
        <v>46114</v>
      </c>
      <c r="C35" t="s">
        <v>2161</v>
      </c>
      <c r="D35" t="s">
        <v>1</v>
      </c>
      <c r="E35" t="s">
        <v>1</v>
      </c>
      <c r="F35" t="s">
        <v>31</v>
      </c>
      <c r="G35" t="s">
        <v>31</v>
      </c>
      <c r="H35" t="s">
        <v>2036</v>
      </c>
      <c r="I35" s="19">
        <v>-9833333</v>
      </c>
      <c r="J35" t="s">
        <v>2037</v>
      </c>
      <c r="K35" t="s">
        <v>1</v>
      </c>
      <c r="L35" t="s">
        <v>3</v>
      </c>
      <c r="M35" t="s">
        <v>41</v>
      </c>
      <c r="N35" t="s">
        <v>254</v>
      </c>
      <c r="O35" t="s">
        <v>4</v>
      </c>
      <c r="P35" t="s">
        <v>2162</v>
      </c>
      <c r="Q35" t="s">
        <v>31</v>
      </c>
      <c r="R35" t="s">
        <v>5</v>
      </c>
      <c r="S35" t="s">
        <v>1</v>
      </c>
      <c r="T35" s="3">
        <v>-9833333</v>
      </c>
      <c r="U35" s="19">
        <v>-9833333</v>
      </c>
      <c r="V35" s="3">
        <v>-9833333</v>
      </c>
      <c r="W35" s="3">
        <v>-9833333</v>
      </c>
      <c r="X35" s="4">
        <v>0</v>
      </c>
      <c r="Y35" s="4">
        <v>0</v>
      </c>
      <c r="Z35" s="3">
        <v>0</v>
      </c>
      <c r="AA35" s="3">
        <v>0</v>
      </c>
      <c r="AB35" t="s">
        <v>1</v>
      </c>
      <c r="AC35" t="s">
        <v>24</v>
      </c>
      <c r="AD35" s="2"/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25</v>
      </c>
      <c r="AK35" s="4">
        <v>0</v>
      </c>
      <c r="AL35" t="s">
        <v>1</v>
      </c>
      <c r="AM35" s="5" t="s">
        <v>1</v>
      </c>
      <c r="AN35" t="s">
        <v>1</v>
      </c>
      <c r="AO35" s="2"/>
      <c r="AP35" t="s">
        <v>1</v>
      </c>
      <c r="AQ35" t="s">
        <v>1</v>
      </c>
      <c r="AR35" s="3">
        <v>0</v>
      </c>
      <c r="AS35" t="s">
        <v>1</v>
      </c>
      <c r="AT35" t="s">
        <v>7</v>
      </c>
      <c r="AU35" t="s">
        <v>1</v>
      </c>
      <c r="AV35" t="s">
        <v>1</v>
      </c>
      <c r="AW35" t="s">
        <v>8</v>
      </c>
      <c r="AX35" t="s">
        <v>8</v>
      </c>
      <c r="AY35" t="s">
        <v>1</v>
      </c>
      <c r="AZ35" s="4">
        <v>0</v>
      </c>
      <c r="BA35" t="s">
        <v>1</v>
      </c>
      <c r="BB35" s="3">
        <v>0</v>
      </c>
      <c r="BC35" s="3">
        <v>0</v>
      </c>
      <c r="BD35" s="3">
        <v>0</v>
      </c>
      <c r="BE35" t="s">
        <v>20</v>
      </c>
      <c r="BF35" t="s">
        <v>1</v>
      </c>
      <c r="BG35" s="4">
        <v>0</v>
      </c>
      <c r="BH35" s="4">
        <v>0</v>
      </c>
      <c r="BI35" s="6">
        <v>0</v>
      </c>
      <c r="BJ35" s="6">
        <v>0</v>
      </c>
      <c r="BK35" t="s">
        <v>1</v>
      </c>
      <c r="BL35" t="s">
        <v>1</v>
      </c>
      <c r="BM35" t="s">
        <v>1</v>
      </c>
      <c r="BN35" t="s">
        <v>9</v>
      </c>
      <c r="BO35" s="2">
        <v>46114</v>
      </c>
      <c r="BP35" t="s">
        <v>1</v>
      </c>
      <c r="BQ35" t="s">
        <v>2161</v>
      </c>
      <c r="BR35" t="s">
        <v>27</v>
      </c>
      <c r="BS35" t="s">
        <v>1</v>
      </c>
      <c r="BT35" t="s">
        <v>1</v>
      </c>
      <c r="BU35" t="s">
        <v>1</v>
      </c>
      <c r="BV35" t="s">
        <v>1</v>
      </c>
      <c r="BW35" t="s">
        <v>7</v>
      </c>
      <c r="BX35" t="s">
        <v>10</v>
      </c>
      <c r="BY35" s="2"/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254</v>
      </c>
      <c r="CJ35" s="3">
        <v>-9833333</v>
      </c>
      <c r="CK35" t="s">
        <v>9</v>
      </c>
      <c r="CL35" t="s">
        <v>11</v>
      </c>
      <c r="CM35" t="s">
        <v>1</v>
      </c>
      <c r="CN35" s="4">
        <v>0</v>
      </c>
      <c r="CO35" t="s">
        <v>7</v>
      </c>
      <c r="CP35" t="s">
        <v>7</v>
      </c>
      <c r="CQ35" t="s">
        <v>7</v>
      </c>
      <c r="CR35" t="s">
        <v>7</v>
      </c>
      <c r="CS35" s="4">
        <v>0</v>
      </c>
      <c r="CT35" t="s">
        <v>2161</v>
      </c>
      <c r="CU35" t="s">
        <v>7</v>
      </c>
      <c r="CV35" t="s">
        <v>1</v>
      </c>
      <c r="CW35" s="2"/>
      <c r="CX35" t="s">
        <v>12</v>
      </c>
      <c r="CY35" t="s">
        <v>1</v>
      </c>
      <c r="CZ35" t="s">
        <v>13</v>
      </c>
      <c r="DA35" t="s">
        <v>1</v>
      </c>
      <c r="DB35" t="s">
        <v>9</v>
      </c>
      <c r="DC35" t="s">
        <v>9</v>
      </c>
      <c r="DD35" t="s">
        <v>1</v>
      </c>
      <c r="DE35" t="s">
        <v>1</v>
      </c>
      <c r="DF35" t="s">
        <v>1</v>
      </c>
      <c r="DG35" t="s">
        <v>61</v>
      </c>
      <c r="DH35" t="s">
        <v>1</v>
      </c>
      <c r="DI35" s="2"/>
      <c r="DJ35" t="s">
        <v>1</v>
      </c>
      <c r="DK35" t="s">
        <v>14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s="2"/>
      <c r="DW35" t="s">
        <v>1</v>
      </c>
      <c r="DX35" t="s">
        <v>1</v>
      </c>
      <c r="DY35" t="s">
        <v>2163</v>
      </c>
      <c r="DZ35" t="s">
        <v>1</v>
      </c>
      <c r="EA35" t="s">
        <v>1</v>
      </c>
      <c r="EB35" t="s">
        <v>28</v>
      </c>
      <c r="EC35" t="s">
        <v>7</v>
      </c>
      <c r="ED35" t="s">
        <v>1</v>
      </c>
      <c r="EE35" t="s">
        <v>1</v>
      </c>
      <c r="EF35" t="s">
        <v>22</v>
      </c>
      <c r="EG35" t="s">
        <v>41</v>
      </c>
      <c r="EH35" t="s">
        <v>15</v>
      </c>
      <c r="EI35" t="s">
        <v>1</v>
      </c>
      <c r="EJ35" s="6">
        <v>-2360</v>
      </c>
      <c r="EK35" t="s">
        <v>1</v>
      </c>
      <c r="EL35" t="s">
        <v>1</v>
      </c>
      <c r="EM35" t="s">
        <v>1</v>
      </c>
      <c r="EN35" t="s">
        <v>1</v>
      </c>
      <c r="EO35" s="2"/>
      <c r="EP35" t="s">
        <v>2163</v>
      </c>
      <c r="EQ35" t="s">
        <v>1</v>
      </c>
      <c r="ER35" t="s">
        <v>1</v>
      </c>
      <c r="ES35" t="s">
        <v>1</v>
      </c>
      <c r="ET35" t="s">
        <v>29</v>
      </c>
      <c r="EU35" t="s">
        <v>1</v>
      </c>
      <c r="EV35" t="s">
        <v>1</v>
      </c>
      <c r="EW35" t="s">
        <v>7</v>
      </c>
      <c r="EX35" t="s">
        <v>7</v>
      </c>
      <c r="EY35" t="s">
        <v>1</v>
      </c>
      <c r="EZ35" t="s">
        <v>1</v>
      </c>
      <c r="FA35" t="s">
        <v>1</v>
      </c>
      <c r="FB35" s="3">
        <v>50</v>
      </c>
      <c r="FC35" t="s">
        <v>1</v>
      </c>
      <c r="FD35" t="s">
        <v>1</v>
      </c>
      <c r="FE35" t="s">
        <v>1</v>
      </c>
      <c r="FF35" t="s">
        <v>17</v>
      </c>
      <c r="FG35" t="s">
        <v>1</v>
      </c>
      <c r="FH35" t="s">
        <v>1</v>
      </c>
      <c r="FI35" t="s">
        <v>1</v>
      </c>
      <c r="FJ35" t="s">
        <v>1</v>
      </c>
      <c r="FK35" s="7">
        <v>46114.566678240742</v>
      </c>
      <c r="FL35" t="s">
        <v>1</v>
      </c>
      <c r="FM35" t="s">
        <v>1</v>
      </c>
      <c r="FN35" t="s">
        <v>1</v>
      </c>
      <c r="FO35" s="19">
        <v>-9833333</v>
      </c>
      <c r="FP35" s="4">
        <v>0</v>
      </c>
      <c r="FQ35" s="19">
        <v>-9833333</v>
      </c>
      <c r="FR35" s="4">
        <v>0</v>
      </c>
      <c r="FS35" s="4">
        <v>0</v>
      </c>
      <c r="FT35" s="4">
        <v>0</v>
      </c>
      <c r="FU35" s="2">
        <v>46114</v>
      </c>
      <c r="FV35" t="s">
        <v>1</v>
      </c>
      <c r="FW35" s="4">
        <v>0</v>
      </c>
      <c r="FX35" t="s">
        <v>1</v>
      </c>
      <c r="FY35" t="s">
        <v>1</v>
      </c>
      <c r="FZ35" s="4">
        <v>0</v>
      </c>
      <c r="GA35" s="4">
        <v>0</v>
      </c>
      <c r="GB35" t="s">
        <v>2070</v>
      </c>
      <c r="GC35" t="str">
        <f>RIGHT(Data_FAGLL03[[#This Row],[Payment reference]],8)</f>
        <v>91172532</v>
      </c>
      <c r="GD35" t="str">
        <f>IF(Data_FAGLL03[[#This Row],[Billing]]&lt;&gt;"",_xlfn.XLOOKUP(Data_FAGLL03[[#This Row],[Billing]],MD_BILLING_SO[BILIING],MD_BILLING_SO[SO-EDITED]),"")</f>
        <v>30030716</v>
      </c>
      <c r="GE35" s="18">
        <f>IF(SUBSTITUTE(Data_FAGLL03[[#This Row],[Eff.exchange rate]],",","")/100000=1,1,SUBSTITUTE(Data_FAGLL03[[#This Row],[Eff.exchange rate]],",","")/100)</f>
        <v>1</v>
      </c>
      <c r="GF35" s="17">
        <f>IF(Data_FAGLL03[[#This Row],[Material]]&lt;&gt;"",IFERROR(Data_FAGLL03[[#This Row],[Amount in local currency]]/Data_FAGLL03[[#This Row],[Quantity_Original]],0),0)</f>
        <v>4166.6665254237287</v>
      </c>
      <c r="GG35" s="18">
        <f>IF(Data_FAGLL03[[#This Row],[XK/NĐ]]="XK",Data_FAGLL03[[#This Row],[GB trung bình]]/Data_FAGLL03[[#This Row],[EXR]],0)*1000</f>
        <v>0</v>
      </c>
      <c r="GH35" s="18" cm="1">
        <f t="array" ref="GH35">IF(Data_FAGLL03[[#This Row],[Document currency]]&lt;&gt;"VND",Data_FAGLL03[[#This Row],[Amount in doc. curr.]],Data_FAGLL03[[#This Row],[Amount in local currency]]/EXR)</f>
        <v>-374.57258140722541</v>
      </c>
      <c r="GI35" s="10">
        <f>Data_FAGLL03[[#This Row],[Time Stamp]]+TIME(7,0,0)</f>
        <v>46114.858344907407</v>
      </c>
      <c r="GJ35" s="18">
        <f>MONTH(Data_FAGLL03[[#This Row],[Time Stamp_VN]])</f>
        <v>4</v>
      </c>
      <c r="GK35">
        <f>DAY(Data_FAGLL03[[#This Row],[Time Stamp_VN]])</f>
        <v>2</v>
      </c>
      <c r="GL35" t="str">
        <f>TEXT(Data_FAGLL03[[#This Row],[Tháng]],"00")&amp;" | "&amp;TEXT(Data_FAGLL03[[#This Row],[Ngày]],"00")</f>
        <v>04 | 02</v>
      </c>
      <c r="GM35" s="18">
        <f>IF(Data_FAGLL03[[#This Row],[Text]]="",Data_FAGLL03[[#This Row],[Quantity_Original]],0)</f>
        <v>-2360</v>
      </c>
      <c r="GN35" s="18" t="str">
        <f>IF(Data_FAGLL03[[#This Row],[Quantity_Edited]]&lt;&gt;0,Data_FAGLL03[[#This Row],[Offsetting acct no.]]&amp;" | "&amp;Data_FAGLL03[[#This Row],[Material]],"")</f>
        <v>105290 | 160012726</v>
      </c>
      <c r="GO35" t="str">
        <f>IF(LEFT(Data_FAGLL03[[#This Row],[Offsetting acct no.]],1)="1","NĐ",IF(LEFT(Data_FAGLL03[[#This Row],[Offsetting acct no.]],1)="2","XK","Khác"))</f>
        <v>NĐ</v>
      </c>
      <c r="GP35" t="str">
        <f>IF(Data_FAGLL03[[#This Row],[Material]]&lt;&gt;"",_xlfn.XLOOKUP(Data_FAGLL03[[#This Row],[Material]],MD_SKU[Mã SKU],MD_SKU[Tên SKU]),"")</f>
        <v>Phó Sản PET Bụi Tank A</v>
      </c>
      <c r="GQ35" t="str">
        <f>IF(Data_FAGLL03[[#This Row],[Material]]&lt;&gt;"",_xlfn.XLOOKUP(Data_FAGLL03[[#This Row],[Material]],MD_SKU[Mã SKU],MD_SKU[Nhóm SP 1]),"")</f>
        <v>Khác</v>
      </c>
      <c r="GR35" t="str">
        <f>IF(Data_FAGLL03[[#This Row],[Material]]&lt;&gt;"",_xlfn.XLOOKUP(Data_FAGLL03[[#This Row],[Material]],MD_SKU[Mã SKU],MD_SKU[Nhóm SP 2]),"")</f>
        <v>Phó sản</v>
      </c>
      <c r="GS35" t="str">
        <f>IF(Data_FAGLL03[[#This Row],[Material]]&lt;&gt;"",_xlfn.XLOOKUP(Data_FAGLL03[[#This Row],[Material]],MD_SKU[Mã SKU],MD_SKU[Nhóm SP 3]),"")</f>
        <v>Phó sản</v>
      </c>
      <c r="GT35" t="str">
        <f>IF(Data_FAGLL03[[#This Row],[Material]]&lt;&gt;"",_xlfn.XLOOKUP(Data_FAGLL03[[#This Row],[Material]],MD_SKU[Mã SKU],MD_SKU[Nhóm SP 4]),"")</f>
        <v>Phó sản</v>
      </c>
    </row>
    <row r="36" spans="1:202" x14ac:dyDescent="0.25">
      <c r="A36" t="s">
        <v>0</v>
      </c>
      <c r="B36" s="2">
        <v>46114</v>
      </c>
      <c r="C36" t="s">
        <v>2161</v>
      </c>
      <c r="D36" t="s">
        <v>1</v>
      </c>
      <c r="E36" t="s">
        <v>1</v>
      </c>
      <c r="F36" t="s">
        <v>31</v>
      </c>
      <c r="G36" t="s">
        <v>31</v>
      </c>
      <c r="H36" t="s">
        <v>2036</v>
      </c>
      <c r="I36" s="19">
        <v>-11083333</v>
      </c>
      <c r="J36" t="s">
        <v>2037</v>
      </c>
      <c r="K36" t="s">
        <v>1</v>
      </c>
      <c r="L36" t="s">
        <v>3</v>
      </c>
      <c r="M36" t="s">
        <v>41</v>
      </c>
      <c r="N36" t="s">
        <v>254</v>
      </c>
      <c r="O36" t="s">
        <v>4</v>
      </c>
      <c r="P36" t="s">
        <v>2162</v>
      </c>
      <c r="Q36" t="s">
        <v>31</v>
      </c>
      <c r="R36" t="s">
        <v>5</v>
      </c>
      <c r="S36" t="s">
        <v>1</v>
      </c>
      <c r="T36" s="3">
        <v>-11083333</v>
      </c>
      <c r="U36" s="19">
        <v>-11083333</v>
      </c>
      <c r="V36" s="3">
        <v>-11083333</v>
      </c>
      <c r="W36" s="3">
        <v>-11083333</v>
      </c>
      <c r="X36" s="4">
        <v>0</v>
      </c>
      <c r="Y36" s="4">
        <v>0</v>
      </c>
      <c r="Z36" s="3">
        <v>0</v>
      </c>
      <c r="AA36" s="3">
        <v>0</v>
      </c>
      <c r="AB36" t="s">
        <v>1</v>
      </c>
      <c r="AC36" t="s">
        <v>24</v>
      </c>
      <c r="AD36" s="2"/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25</v>
      </c>
      <c r="AK36" s="4">
        <v>0</v>
      </c>
      <c r="AL36" t="s">
        <v>1</v>
      </c>
      <c r="AM36" s="5" t="s">
        <v>1</v>
      </c>
      <c r="AN36" t="s">
        <v>1</v>
      </c>
      <c r="AO36" s="2"/>
      <c r="AP36" t="s">
        <v>1</v>
      </c>
      <c r="AQ36" t="s">
        <v>1</v>
      </c>
      <c r="AR36" s="3">
        <v>0</v>
      </c>
      <c r="AS36" t="s">
        <v>1</v>
      </c>
      <c r="AT36" t="s">
        <v>7</v>
      </c>
      <c r="AU36" t="s">
        <v>1</v>
      </c>
      <c r="AV36" t="s">
        <v>1</v>
      </c>
      <c r="AW36" t="s">
        <v>8</v>
      </c>
      <c r="AX36" t="s">
        <v>8</v>
      </c>
      <c r="AY36" t="s">
        <v>1</v>
      </c>
      <c r="AZ36" s="4">
        <v>0</v>
      </c>
      <c r="BA36" t="s">
        <v>1</v>
      </c>
      <c r="BB36" s="3">
        <v>0</v>
      </c>
      <c r="BC36" s="3">
        <v>0</v>
      </c>
      <c r="BD36" s="3">
        <v>0</v>
      </c>
      <c r="BE36" t="s">
        <v>20</v>
      </c>
      <c r="BF36" t="s">
        <v>1</v>
      </c>
      <c r="BG36" s="4">
        <v>0</v>
      </c>
      <c r="BH36" s="4">
        <v>0</v>
      </c>
      <c r="BI36" s="6">
        <v>0</v>
      </c>
      <c r="BJ36" s="6">
        <v>0</v>
      </c>
      <c r="BK36" t="s">
        <v>1</v>
      </c>
      <c r="BL36" t="s">
        <v>1</v>
      </c>
      <c r="BM36" t="s">
        <v>1</v>
      </c>
      <c r="BN36" t="s">
        <v>9</v>
      </c>
      <c r="BO36" s="2">
        <v>46114</v>
      </c>
      <c r="BP36" t="s">
        <v>1</v>
      </c>
      <c r="BQ36" t="s">
        <v>2161</v>
      </c>
      <c r="BR36" t="s">
        <v>27</v>
      </c>
      <c r="BS36" t="s">
        <v>1</v>
      </c>
      <c r="BT36" t="s">
        <v>1</v>
      </c>
      <c r="BU36" t="s">
        <v>1</v>
      </c>
      <c r="BV36" t="s">
        <v>1</v>
      </c>
      <c r="BW36" t="s">
        <v>7</v>
      </c>
      <c r="BX36" t="s">
        <v>10</v>
      </c>
      <c r="BY36" s="2"/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254</v>
      </c>
      <c r="CJ36" s="3">
        <v>-11083333</v>
      </c>
      <c r="CK36" t="s">
        <v>9</v>
      </c>
      <c r="CL36" t="s">
        <v>40</v>
      </c>
      <c r="CM36" t="s">
        <v>1</v>
      </c>
      <c r="CN36" s="4">
        <v>0</v>
      </c>
      <c r="CO36" t="s">
        <v>7</v>
      </c>
      <c r="CP36" t="s">
        <v>7</v>
      </c>
      <c r="CQ36" t="s">
        <v>7</v>
      </c>
      <c r="CR36" t="s">
        <v>7</v>
      </c>
      <c r="CS36" s="4">
        <v>0</v>
      </c>
      <c r="CT36" t="s">
        <v>2161</v>
      </c>
      <c r="CU36" t="s">
        <v>7</v>
      </c>
      <c r="CV36" t="s">
        <v>1</v>
      </c>
      <c r="CW36" s="2"/>
      <c r="CX36" t="s">
        <v>12</v>
      </c>
      <c r="CY36" t="s">
        <v>1</v>
      </c>
      <c r="CZ36" t="s">
        <v>41</v>
      </c>
      <c r="DA36" t="s">
        <v>1</v>
      </c>
      <c r="DB36" t="s">
        <v>9</v>
      </c>
      <c r="DC36" t="s">
        <v>9</v>
      </c>
      <c r="DD36" t="s">
        <v>1</v>
      </c>
      <c r="DE36" t="s">
        <v>1</v>
      </c>
      <c r="DF36" t="s">
        <v>1</v>
      </c>
      <c r="DG36" t="s">
        <v>62</v>
      </c>
      <c r="DH36" t="s">
        <v>1</v>
      </c>
      <c r="DI36" s="2"/>
      <c r="DJ36" t="s">
        <v>1</v>
      </c>
      <c r="DK36" t="s">
        <v>14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s="2"/>
      <c r="DW36" t="s">
        <v>1</v>
      </c>
      <c r="DX36" t="s">
        <v>1</v>
      </c>
      <c r="DY36" t="s">
        <v>2163</v>
      </c>
      <c r="DZ36" t="s">
        <v>1</v>
      </c>
      <c r="EA36" t="s">
        <v>1</v>
      </c>
      <c r="EB36" t="s">
        <v>28</v>
      </c>
      <c r="EC36" t="s">
        <v>7</v>
      </c>
      <c r="ED36" t="s">
        <v>1</v>
      </c>
      <c r="EE36" t="s">
        <v>1</v>
      </c>
      <c r="EF36" t="s">
        <v>22</v>
      </c>
      <c r="EG36" t="s">
        <v>41</v>
      </c>
      <c r="EH36" t="s">
        <v>15</v>
      </c>
      <c r="EI36" t="s">
        <v>1</v>
      </c>
      <c r="EJ36" s="6">
        <v>-2660</v>
      </c>
      <c r="EK36" t="s">
        <v>1</v>
      </c>
      <c r="EL36" t="s">
        <v>1</v>
      </c>
      <c r="EM36" t="s">
        <v>1</v>
      </c>
      <c r="EN36" t="s">
        <v>1</v>
      </c>
      <c r="EO36" s="2"/>
      <c r="EP36" t="s">
        <v>2163</v>
      </c>
      <c r="EQ36" t="s">
        <v>1</v>
      </c>
      <c r="ER36" t="s">
        <v>1</v>
      </c>
      <c r="ES36" t="s">
        <v>1</v>
      </c>
      <c r="ET36" t="s">
        <v>29</v>
      </c>
      <c r="EU36" t="s">
        <v>1</v>
      </c>
      <c r="EV36" t="s">
        <v>1</v>
      </c>
      <c r="EW36" t="s">
        <v>7</v>
      </c>
      <c r="EX36" t="s">
        <v>7</v>
      </c>
      <c r="EY36" t="s">
        <v>1</v>
      </c>
      <c r="EZ36" t="s">
        <v>1</v>
      </c>
      <c r="FA36" t="s">
        <v>1</v>
      </c>
      <c r="FB36" s="3">
        <v>50</v>
      </c>
      <c r="FC36" t="s">
        <v>1</v>
      </c>
      <c r="FD36" t="s">
        <v>1</v>
      </c>
      <c r="FE36" t="s">
        <v>1</v>
      </c>
      <c r="FF36" t="s">
        <v>17</v>
      </c>
      <c r="FG36" t="s">
        <v>1</v>
      </c>
      <c r="FH36" t="s">
        <v>1</v>
      </c>
      <c r="FI36" t="s">
        <v>1</v>
      </c>
      <c r="FJ36" t="s">
        <v>1</v>
      </c>
      <c r="FK36" s="7">
        <v>46114.566678240742</v>
      </c>
      <c r="FL36" t="s">
        <v>1</v>
      </c>
      <c r="FM36" t="s">
        <v>1</v>
      </c>
      <c r="FN36" t="s">
        <v>1</v>
      </c>
      <c r="FO36" s="19">
        <v>-11083333</v>
      </c>
      <c r="FP36" s="4">
        <v>0</v>
      </c>
      <c r="FQ36" s="19">
        <v>-11083333</v>
      </c>
      <c r="FR36" s="4">
        <v>0</v>
      </c>
      <c r="FS36" s="4">
        <v>0</v>
      </c>
      <c r="FT36" s="4">
        <v>0</v>
      </c>
      <c r="FU36" s="2">
        <v>46114</v>
      </c>
      <c r="FV36" t="s">
        <v>1</v>
      </c>
      <c r="FW36" s="4">
        <v>0</v>
      </c>
      <c r="FX36" t="s">
        <v>1</v>
      </c>
      <c r="FY36" t="s">
        <v>1</v>
      </c>
      <c r="FZ36" s="4">
        <v>0</v>
      </c>
      <c r="GA36" s="4">
        <v>0</v>
      </c>
      <c r="GB36" t="s">
        <v>2070</v>
      </c>
      <c r="GC36" t="str">
        <f>RIGHT(Data_FAGLL03[[#This Row],[Payment reference]],8)</f>
        <v>91172532</v>
      </c>
      <c r="GD36" t="str">
        <f>IF(Data_FAGLL03[[#This Row],[Billing]]&lt;&gt;"",_xlfn.XLOOKUP(Data_FAGLL03[[#This Row],[Billing]],MD_BILLING_SO[BILIING],MD_BILLING_SO[SO-EDITED]),"")</f>
        <v>30030716</v>
      </c>
      <c r="GE36" s="18">
        <f>IF(SUBSTITUTE(Data_FAGLL03[[#This Row],[Eff.exchange rate]],",","")/100000=1,1,SUBSTITUTE(Data_FAGLL03[[#This Row],[Eff.exchange rate]],",","")/100)</f>
        <v>1</v>
      </c>
      <c r="GF36" s="17">
        <f>IF(Data_FAGLL03[[#This Row],[Material]]&lt;&gt;"",IFERROR(Data_FAGLL03[[#This Row],[Amount in local currency]]/Data_FAGLL03[[#This Row],[Quantity_Original]],0),0)</f>
        <v>4166.6665413533838</v>
      </c>
      <c r="GG36" s="18">
        <f>IF(Data_FAGLL03[[#This Row],[XK/NĐ]]="XK",Data_FAGLL03[[#This Row],[GB trung bình]]/Data_FAGLL03[[#This Row],[EXR]],0)*1000</f>
        <v>0</v>
      </c>
      <c r="GH36" s="18" cm="1">
        <f t="array" ref="GH36">IF(Data_FAGLL03[[#This Row],[Document currency]]&lt;&gt;"VND",Data_FAGLL03[[#This Row],[Amount in doc. curr.]],Data_FAGLL03[[#This Row],[Amount in local currency]]/EXR)</f>
        <v>-422.18774167475948</v>
      </c>
      <c r="GI36" s="10">
        <f>Data_FAGLL03[[#This Row],[Time Stamp]]+TIME(7,0,0)</f>
        <v>46114.858344907407</v>
      </c>
      <c r="GJ36" s="18">
        <f>MONTH(Data_FAGLL03[[#This Row],[Time Stamp_VN]])</f>
        <v>4</v>
      </c>
      <c r="GK36">
        <f>DAY(Data_FAGLL03[[#This Row],[Time Stamp_VN]])</f>
        <v>2</v>
      </c>
      <c r="GL36" t="str">
        <f>TEXT(Data_FAGLL03[[#This Row],[Tháng]],"00")&amp;" | "&amp;TEXT(Data_FAGLL03[[#This Row],[Ngày]],"00")</f>
        <v>04 | 02</v>
      </c>
      <c r="GM36" s="18">
        <f>IF(Data_FAGLL03[[#This Row],[Text]]="",Data_FAGLL03[[#This Row],[Quantity_Original]],0)</f>
        <v>-2660</v>
      </c>
      <c r="GN36" s="18" t="str">
        <f>IF(Data_FAGLL03[[#This Row],[Quantity_Edited]]&lt;&gt;0,Data_FAGLL03[[#This Row],[Offsetting acct no.]]&amp;" | "&amp;Data_FAGLL03[[#This Row],[Material]],"")</f>
        <v>105290 | 160012727</v>
      </c>
      <c r="GO36" t="str">
        <f>IF(LEFT(Data_FAGLL03[[#This Row],[Offsetting acct no.]],1)="1","NĐ",IF(LEFT(Data_FAGLL03[[#This Row],[Offsetting acct no.]],1)="2","XK","Khác"))</f>
        <v>NĐ</v>
      </c>
      <c r="GP36" t="str">
        <f>IF(Data_FAGLL03[[#This Row],[Material]]&lt;&gt;"",_xlfn.XLOOKUP(Data_FAGLL03[[#This Row],[Material]],MD_SKU[Mã SKU],MD_SKU[Tên SKU]),"")</f>
        <v>Phó Sản PET Bụi Tank B</v>
      </c>
      <c r="GQ36" t="str">
        <f>IF(Data_FAGLL03[[#This Row],[Material]]&lt;&gt;"",_xlfn.XLOOKUP(Data_FAGLL03[[#This Row],[Material]],MD_SKU[Mã SKU],MD_SKU[Nhóm SP 1]),"")</f>
        <v>Khác</v>
      </c>
      <c r="GR36" t="str">
        <f>IF(Data_FAGLL03[[#This Row],[Material]]&lt;&gt;"",_xlfn.XLOOKUP(Data_FAGLL03[[#This Row],[Material]],MD_SKU[Mã SKU],MD_SKU[Nhóm SP 2]),"")</f>
        <v>Phó sản</v>
      </c>
      <c r="GS36" t="str">
        <f>IF(Data_FAGLL03[[#This Row],[Material]]&lt;&gt;"",_xlfn.XLOOKUP(Data_FAGLL03[[#This Row],[Material]],MD_SKU[Mã SKU],MD_SKU[Nhóm SP 3]),"")</f>
        <v>Phó sản</v>
      </c>
      <c r="GT36" t="str">
        <f>IF(Data_FAGLL03[[#This Row],[Material]]&lt;&gt;"",_xlfn.XLOOKUP(Data_FAGLL03[[#This Row],[Material]],MD_SKU[Mã SKU],MD_SKU[Nhóm SP 4]),"")</f>
        <v>Phó sản</v>
      </c>
    </row>
    <row r="37" spans="1:202" x14ac:dyDescent="0.25">
      <c r="A37" t="s">
        <v>0</v>
      </c>
      <c r="B37" s="2">
        <v>46114</v>
      </c>
      <c r="C37" t="s">
        <v>2161</v>
      </c>
      <c r="D37" t="s">
        <v>1</v>
      </c>
      <c r="E37" t="s">
        <v>1</v>
      </c>
      <c r="F37" t="s">
        <v>31</v>
      </c>
      <c r="G37" t="s">
        <v>31</v>
      </c>
      <c r="H37" t="s">
        <v>2036</v>
      </c>
      <c r="I37" s="19">
        <v>-9833333</v>
      </c>
      <c r="J37" t="s">
        <v>2037</v>
      </c>
      <c r="K37" t="s">
        <v>1</v>
      </c>
      <c r="L37" t="s">
        <v>3</v>
      </c>
      <c r="M37" t="s">
        <v>41</v>
      </c>
      <c r="N37" t="s">
        <v>254</v>
      </c>
      <c r="O37" t="s">
        <v>4</v>
      </c>
      <c r="P37" t="s">
        <v>2162</v>
      </c>
      <c r="Q37" t="s">
        <v>31</v>
      </c>
      <c r="R37" t="s">
        <v>5</v>
      </c>
      <c r="S37" t="s">
        <v>1</v>
      </c>
      <c r="T37" s="4">
        <v>-9833333</v>
      </c>
      <c r="U37" s="19">
        <v>-9833333</v>
      </c>
      <c r="V37" s="3">
        <v>-9833333</v>
      </c>
      <c r="W37" s="3">
        <v>-9833333</v>
      </c>
      <c r="X37" s="4">
        <v>0</v>
      </c>
      <c r="Y37" s="4">
        <v>0</v>
      </c>
      <c r="Z37" s="3">
        <v>0</v>
      </c>
      <c r="AA37" s="3">
        <v>0</v>
      </c>
      <c r="AB37" t="s">
        <v>1</v>
      </c>
      <c r="AC37" t="s">
        <v>24</v>
      </c>
      <c r="AD37" s="2"/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25</v>
      </c>
      <c r="AK37" s="4">
        <v>0</v>
      </c>
      <c r="AL37" t="s">
        <v>1</v>
      </c>
      <c r="AM37" s="5" t="s">
        <v>1</v>
      </c>
      <c r="AN37" t="s">
        <v>1</v>
      </c>
      <c r="AO37" s="2"/>
      <c r="AP37" t="s">
        <v>1</v>
      </c>
      <c r="AQ37" t="s">
        <v>1</v>
      </c>
      <c r="AR37" s="3">
        <v>0</v>
      </c>
      <c r="AS37" t="s">
        <v>1</v>
      </c>
      <c r="AT37" t="s">
        <v>7</v>
      </c>
      <c r="AU37" t="s">
        <v>1</v>
      </c>
      <c r="AV37" t="s">
        <v>1</v>
      </c>
      <c r="AW37" t="s">
        <v>8</v>
      </c>
      <c r="AX37" t="s">
        <v>8</v>
      </c>
      <c r="AY37" t="s">
        <v>1</v>
      </c>
      <c r="AZ37" s="4">
        <v>0</v>
      </c>
      <c r="BA37" t="s">
        <v>1</v>
      </c>
      <c r="BB37" s="3">
        <v>0</v>
      </c>
      <c r="BC37" s="3">
        <v>0</v>
      </c>
      <c r="BD37" s="3">
        <v>0</v>
      </c>
      <c r="BE37" t="s">
        <v>20</v>
      </c>
      <c r="BF37" t="s">
        <v>1</v>
      </c>
      <c r="BG37" s="4">
        <v>0</v>
      </c>
      <c r="BH37" s="4">
        <v>0</v>
      </c>
      <c r="BI37" s="6">
        <v>0</v>
      </c>
      <c r="BJ37" s="6">
        <v>0</v>
      </c>
      <c r="BK37" t="s">
        <v>1</v>
      </c>
      <c r="BL37" t="s">
        <v>1</v>
      </c>
      <c r="BM37" t="s">
        <v>1</v>
      </c>
      <c r="BN37" t="s">
        <v>9</v>
      </c>
      <c r="BO37" s="2">
        <v>46114</v>
      </c>
      <c r="BP37" t="s">
        <v>1</v>
      </c>
      <c r="BQ37" t="s">
        <v>2161</v>
      </c>
      <c r="BR37" t="s">
        <v>27</v>
      </c>
      <c r="BS37" t="s">
        <v>1</v>
      </c>
      <c r="BT37" t="s">
        <v>1</v>
      </c>
      <c r="BU37" t="s">
        <v>1</v>
      </c>
      <c r="BV37" t="s">
        <v>1</v>
      </c>
      <c r="BW37" t="s">
        <v>7</v>
      </c>
      <c r="BX37" t="s">
        <v>10</v>
      </c>
      <c r="BY37" s="2"/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254</v>
      </c>
      <c r="CJ37" s="3">
        <v>-9833333</v>
      </c>
      <c r="CK37" t="s">
        <v>9</v>
      </c>
      <c r="CL37" t="s">
        <v>2038</v>
      </c>
      <c r="CM37" t="s">
        <v>1</v>
      </c>
      <c r="CN37" s="4">
        <v>0</v>
      </c>
      <c r="CO37" t="s">
        <v>7</v>
      </c>
      <c r="CP37" t="s">
        <v>7</v>
      </c>
      <c r="CQ37" t="s">
        <v>7</v>
      </c>
      <c r="CR37" t="s">
        <v>7</v>
      </c>
      <c r="CS37" s="4">
        <v>0</v>
      </c>
      <c r="CT37" t="s">
        <v>2161</v>
      </c>
      <c r="CU37" t="s">
        <v>7</v>
      </c>
      <c r="CV37" t="s">
        <v>1</v>
      </c>
      <c r="CW37" s="2"/>
      <c r="CX37" t="s">
        <v>12</v>
      </c>
      <c r="CY37" t="s">
        <v>1</v>
      </c>
      <c r="CZ37" t="s">
        <v>2039</v>
      </c>
      <c r="DA37" t="s">
        <v>1</v>
      </c>
      <c r="DB37" t="s">
        <v>9</v>
      </c>
      <c r="DC37" t="s">
        <v>9</v>
      </c>
      <c r="DD37" t="s">
        <v>1</v>
      </c>
      <c r="DE37" t="s">
        <v>1</v>
      </c>
      <c r="DF37" t="s">
        <v>1</v>
      </c>
      <c r="DG37" t="s">
        <v>63</v>
      </c>
      <c r="DH37" t="s">
        <v>1</v>
      </c>
      <c r="DI37" s="2"/>
      <c r="DJ37" t="s">
        <v>1</v>
      </c>
      <c r="DK37" t="s">
        <v>14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s="2"/>
      <c r="DW37" t="s">
        <v>1</v>
      </c>
      <c r="DX37" t="s">
        <v>1</v>
      </c>
      <c r="DY37" t="s">
        <v>2163</v>
      </c>
      <c r="DZ37" t="s">
        <v>1</v>
      </c>
      <c r="EA37" t="s">
        <v>1</v>
      </c>
      <c r="EB37" t="s">
        <v>28</v>
      </c>
      <c r="EC37" t="s">
        <v>7</v>
      </c>
      <c r="ED37" t="s">
        <v>1</v>
      </c>
      <c r="EE37" t="s">
        <v>1</v>
      </c>
      <c r="EF37" t="s">
        <v>22</v>
      </c>
      <c r="EG37" t="s">
        <v>41</v>
      </c>
      <c r="EH37" t="s">
        <v>15</v>
      </c>
      <c r="EI37" t="s">
        <v>1</v>
      </c>
      <c r="EJ37" s="4">
        <v>-2360</v>
      </c>
      <c r="EK37" t="s">
        <v>1</v>
      </c>
      <c r="EL37" t="s">
        <v>1</v>
      </c>
      <c r="EM37" t="s">
        <v>1</v>
      </c>
      <c r="EN37" t="s">
        <v>1</v>
      </c>
      <c r="EO37" s="2"/>
      <c r="EP37" t="s">
        <v>2163</v>
      </c>
      <c r="EQ37" t="s">
        <v>1</v>
      </c>
      <c r="ER37" t="s">
        <v>1</v>
      </c>
      <c r="ES37" t="s">
        <v>1</v>
      </c>
      <c r="ET37" t="s">
        <v>29</v>
      </c>
      <c r="EU37" t="s">
        <v>1</v>
      </c>
      <c r="EV37" t="s">
        <v>1</v>
      </c>
      <c r="EW37" t="s">
        <v>7</v>
      </c>
      <c r="EX37" t="s">
        <v>7</v>
      </c>
      <c r="EY37" t="s">
        <v>1</v>
      </c>
      <c r="EZ37" t="s">
        <v>1</v>
      </c>
      <c r="FA37" t="s">
        <v>1</v>
      </c>
      <c r="FB37" s="3">
        <v>50</v>
      </c>
      <c r="FC37" t="s">
        <v>1</v>
      </c>
      <c r="FD37" t="s">
        <v>1</v>
      </c>
      <c r="FE37" t="s">
        <v>1</v>
      </c>
      <c r="FF37" t="s">
        <v>17</v>
      </c>
      <c r="FG37" t="s">
        <v>1</v>
      </c>
      <c r="FH37" t="s">
        <v>1</v>
      </c>
      <c r="FI37" t="s">
        <v>1</v>
      </c>
      <c r="FJ37" t="s">
        <v>1</v>
      </c>
      <c r="FK37" s="7">
        <v>46114.566678240742</v>
      </c>
      <c r="FL37" t="s">
        <v>1</v>
      </c>
      <c r="FM37" t="s">
        <v>1</v>
      </c>
      <c r="FN37" t="s">
        <v>1</v>
      </c>
      <c r="FO37" s="19">
        <v>-9833333</v>
      </c>
      <c r="FP37" s="4">
        <v>0</v>
      </c>
      <c r="FQ37" s="19">
        <v>-9833333</v>
      </c>
      <c r="FR37" s="4">
        <v>0</v>
      </c>
      <c r="FS37" s="4">
        <v>0</v>
      </c>
      <c r="FT37" s="4">
        <v>0</v>
      </c>
      <c r="FU37" s="2">
        <v>46114</v>
      </c>
      <c r="FV37" t="s">
        <v>1</v>
      </c>
      <c r="FW37" s="4">
        <v>0</v>
      </c>
      <c r="FX37" t="s">
        <v>1</v>
      </c>
      <c r="FY37" t="s">
        <v>1</v>
      </c>
      <c r="FZ37" s="4">
        <v>0</v>
      </c>
      <c r="GA37" s="4">
        <v>0</v>
      </c>
      <c r="GB37" t="s">
        <v>2070</v>
      </c>
      <c r="GC37" t="str">
        <f>RIGHT(Data_FAGLL03[[#This Row],[Payment reference]],8)</f>
        <v>91172532</v>
      </c>
      <c r="GD37" t="str">
        <f>IF(Data_FAGLL03[[#This Row],[Billing]]&lt;&gt;"",_xlfn.XLOOKUP(Data_FAGLL03[[#This Row],[Billing]],MD_BILLING_SO[BILIING],MD_BILLING_SO[SO-EDITED]),"")</f>
        <v>30030716</v>
      </c>
      <c r="GE37" s="18">
        <f>IF(SUBSTITUTE(Data_FAGLL03[[#This Row],[Eff.exchange rate]],",","")/100000=1,1,SUBSTITUTE(Data_FAGLL03[[#This Row],[Eff.exchange rate]],",","")/100)</f>
        <v>1</v>
      </c>
      <c r="GF37" s="17">
        <f>IF(Data_FAGLL03[[#This Row],[Material]]&lt;&gt;"",IFERROR(Data_FAGLL03[[#This Row],[Amount in local currency]]/Data_FAGLL03[[#This Row],[Quantity_Original]],0),0)</f>
        <v>4166.6665254237287</v>
      </c>
      <c r="GG37" s="18">
        <f>IF(Data_FAGLL03[[#This Row],[XK/NĐ]]="XK",Data_FAGLL03[[#This Row],[GB trung bình]]/Data_FAGLL03[[#This Row],[EXR]],0)*1000</f>
        <v>0</v>
      </c>
      <c r="GH37" s="18" cm="1">
        <f t="array" ref="GH37">IF(Data_FAGLL03[[#This Row],[Document currency]]&lt;&gt;"VND",Data_FAGLL03[[#This Row],[Amount in doc. curr.]],Data_FAGLL03[[#This Row],[Amount in local currency]]/EXR)</f>
        <v>-374.57258140722541</v>
      </c>
      <c r="GI37" s="10">
        <f>Data_FAGLL03[[#This Row],[Time Stamp]]+TIME(7,0,0)</f>
        <v>46114.858344907407</v>
      </c>
      <c r="GJ37" s="18">
        <f>MONTH(Data_FAGLL03[[#This Row],[Time Stamp_VN]])</f>
        <v>4</v>
      </c>
      <c r="GK37">
        <f>DAY(Data_FAGLL03[[#This Row],[Time Stamp_VN]])</f>
        <v>2</v>
      </c>
      <c r="GL37" t="str">
        <f>TEXT(Data_FAGLL03[[#This Row],[Tháng]],"00")&amp;" | "&amp;TEXT(Data_FAGLL03[[#This Row],[Ngày]],"00")</f>
        <v>04 | 02</v>
      </c>
      <c r="GM37" s="18">
        <f>IF(Data_FAGLL03[[#This Row],[Text]]="",Data_FAGLL03[[#This Row],[Quantity_Original]],0)</f>
        <v>-2360</v>
      </c>
      <c r="GN37" s="18" t="str">
        <f>IF(Data_FAGLL03[[#This Row],[Quantity_Edited]]&lt;&gt;0,Data_FAGLL03[[#This Row],[Offsetting acct no.]]&amp;" | "&amp;Data_FAGLL03[[#This Row],[Material]],"")</f>
        <v>105290 | 160012729</v>
      </c>
      <c r="GO37" t="str">
        <f>IF(LEFT(Data_FAGLL03[[#This Row],[Offsetting acct no.]],1)="1","NĐ",IF(LEFT(Data_FAGLL03[[#This Row],[Offsetting acct no.]],1)="2","XK","Khác"))</f>
        <v>NĐ</v>
      </c>
      <c r="GP37" t="str">
        <f>IF(Data_FAGLL03[[#This Row],[Material]]&lt;&gt;"",_xlfn.XLOOKUP(Data_FAGLL03[[#This Row],[Material]],MD_SKU[Mã SKU],MD_SKU[Tên SKU]),"")</f>
        <v>Phó Sản PET Bụi Tank D</v>
      </c>
      <c r="GQ37" t="str">
        <f>IF(Data_FAGLL03[[#This Row],[Material]]&lt;&gt;"",_xlfn.XLOOKUP(Data_FAGLL03[[#This Row],[Material]],MD_SKU[Mã SKU],MD_SKU[Nhóm SP 1]),"")</f>
        <v>Khác</v>
      </c>
      <c r="GR37" t="str">
        <f>IF(Data_FAGLL03[[#This Row],[Material]]&lt;&gt;"",_xlfn.XLOOKUP(Data_FAGLL03[[#This Row],[Material]],MD_SKU[Mã SKU],MD_SKU[Nhóm SP 2]),"")</f>
        <v>Phó sản</v>
      </c>
      <c r="GS37" t="str">
        <f>IF(Data_FAGLL03[[#This Row],[Material]]&lt;&gt;"",_xlfn.XLOOKUP(Data_FAGLL03[[#This Row],[Material]],MD_SKU[Mã SKU],MD_SKU[Nhóm SP 3]),"")</f>
        <v>Phó sản</v>
      </c>
      <c r="GT37" t="str">
        <f>IF(Data_FAGLL03[[#This Row],[Material]]&lt;&gt;"",_xlfn.XLOOKUP(Data_FAGLL03[[#This Row],[Material]],MD_SKU[Mã SKU],MD_SKU[Nhóm SP 4]),"")</f>
        <v>Phó sản</v>
      </c>
    </row>
    <row r="38" spans="1:202" x14ac:dyDescent="0.25">
      <c r="A38" t="s">
        <v>0</v>
      </c>
      <c r="B38" s="2">
        <v>46115</v>
      </c>
      <c r="C38" t="s">
        <v>2164</v>
      </c>
      <c r="D38" t="s">
        <v>1</v>
      </c>
      <c r="E38" t="s">
        <v>1</v>
      </c>
      <c r="F38" t="s">
        <v>31</v>
      </c>
      <c r="G38" t="s">
        <v>31</v>
      </c>
      <c r="H38" t="s">
        <v>2036</v>
      </c>
      <c r="I38" s="19">
        <v>-9166667</v>
      </c>
      <c r="J38" t="s">
        <v>2037</v>
      </c>
      <c r="K38" t="s">
        <v>1</v>
      </c>
      <c r="L38" t="s">
        <v>3</v>
      </c>
      <c r="M38" t="s">
        <v>41</v>
      </c>
      <c r="N38" t="s">
        <v>254</v>
      </c>
      <c r="O38" t="s">
        <v>4</v>
      </c>
      <c r="P38" t="s">
        <v>2165</v>
      </c>
      <c r="Q38" t="s">
        <v>31</v>
      </c>
      <c r="R38" t="s">
        <v>5</v>
      </c>
      <c r="S38" t="s">
        <v>1</v>
      </c>
      <c r="T38" s="3">
        <v>-9166667</v>
      </c>
      <c r="U38" s="19">
        <v>-9166667</v>
      </c>
      <c r="V38" s="3">
        <v>-9166667</v>
      </c>
      <c r="W38" s="3">
        <v>-9166667</v>
      </c>
      <c r="X38" s="4">
        <v>0</v>
      </c>
      <c r="Y38" s="4">
        <v>0</v>
      </c>
      <c r="Z38" s="3">
        <v>0</v>
      </c>
      <c r="AA38" s="3">
        <v>0</v>
      </c>
      <c r="AB38" t="s">
        <v>1</v>
      </c>
      <c r="AC38" t="s">
        <v>24</v>
      </c>
      <c r="AD38" s="2"/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25</v>
      </c>
      <c r="AK38" s="4">
        <v>0</v>
      </c>
      <c r="AL38" t="s">
        <v>1</v>
      </c>
      <c r="AM38" s="5" t="s">
        <v>1</v>
      </c>
      <c r="AN38" t="s">
        <v>1</v>
      </c>
      <c r="AO38" s="2"/>
      <c r="AP38" t="s">
        <v>1</v>
      </c>
      <c r="AQ38" t="s">
        <v>1</v>
      </c>
      <c r="AR38" s="3">
        <v>0</v>
      </c>
      <c r="AS38" t="s">
        <v>1</v>
      </c>
      <c r="AT38" t="s">
        <v>7</v>
      </c>
      <c r="AU38" t="s">
        <v>1</v>
      </c>
      <c r="AV38" t="s">
        <v>1</v>
      </c>
      <c r="AW38" t="s">
        <v>8</v>
      </c>
      <c r="AX38" t="s">
        <v>8</v>
      </c>
      <c r="AY38" t="s">
        <v>1</v>
      </c>
      <c r="AZ38" s="4">
        <v>0</v>
      </c>
      <c r="BA38" t="s">
        <v>1</v>
      </c>
      <c r="BB38" s="3">
        <v>0</v>
      </c>
      <c r="BC38" s="3">
        <v>0</v>
      </c>
      <c r="BD38" s="3">
        <v>0</v>
      </c>
      <c r="BE38" t="s">
        <v>20</v>
      </c>
      <c r="BF38" t="s">
        <v>1</v>
      </c>
      <c r="BG38" s="4">
        <v>0</v>
      </c>
      <c r="BH38" s="4">
        <v>0</v>
      </c>
      <c r="BI38" s="6">
        <v>0</v>
      </c>
      <c r="BJ38" s="6">
        <v>0</v>
      </c>
      <c r="BK38" t="s">
        <v>1</v>
      </c>
      <c r="BL38" t="s">
        <v>1</v>
      </c>
      <c r="BM38" t="s">
        <v>1</v>
      </c>
      <c r="BN38" t="s">
        <v>9</v>
      </c>
      <c r="BO38" s="2">
        <v>46115</v>
      </c>
      <c r="BP38" t="s">
        <v>1</v>
      </c>
      <c r="BQ38" t="s">
        <v>2164</v>
      </c>
      <c r="BR38" t="s">
        <v>27</v>
      </c>
      <c r="BS38" t="s">
        <v>1</v>
      </c>
      <c r="BT38" t="s">
        <v>1</v>
      </c>
      <c r="BU38" t="s">
        <v>1</v>
      </c>
      <c r="BV38" t="s">
        <v>1</v>
      </c>
      <c r="BW38" t="s">
        <v>7</v>
      </c>
      <c r="BX38" t="s">
        <v>10</v>
      </c>
      <c r="BY38" s="2"/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254</v>
      </c>
      <c r="CJ38" s="3">
        <v>-9166667</v>
      </c>
      <c r="CK38" t="s">
        <v>9</v>
      </c>
      <c r="CL38" t="s">
        <v>11</v>
      </c>
      <c r="CM38" t="s">
        <v>1</v>
      </c>
      <c r="CN38" s="4">
        <v>0</v>
      </c>
      <c r="CO38" t="s">
        <v>7</v>
      </c>
      <c r="CP38" t="s">
        <v>7</v>
      </c>
      <c r="CQ38" t="s">
        <v>7</v>
      </c>
      <c r="CR38" t="s">
        <v>7</v>
      </c>
      <c r="CS38" s="4">
        <v>0</v>
      </c>
      <c r="CT38" t="s">
        <v>2164</v>
      </c>
      <c r="CU38" t="s">
        <v>7</v>
      </c>
      <c r="CV38" t="s">
        <v>1</v>
      </c>
      <c r="CW38" s="2"/>
      <c r="CX38" t="s">
        <v>12</v>
      </c>
      <c r="CY38" t="s">
        <v>1</v>
      </c>
      <c r="CZ38" t="s">
        <v>13</v>
      </c>
      <c r="DA38" t="s">
        <v>1</v>
      </c>
      <c r="DB38" t="s">
        <v>9</v>
      </c>
      <c r="DC38" t="s">
        <v>9</v>
      </c>
      <c r="DD38" t="s">
        <v>1</v>
      </c>
      <c r="DE38" t="s">
        <v>1</v>
      </c>
      <c r="DF38" t="s">
        <v>1</v>
      </c>
      <c r="DG38" t="s">
        <v>61</v>
      </c>
      <c r="DH38" t="s">
        <v>1</v>
      </c>
      <c r="DI38" s="2"/>
      <c r="DJ38" t="s">
        <v>1</v>
      </c>
      <c r="DK38" t="s">
        <v>14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s="2"/>
      <c r="DW38" t="s">
        <v>1</v>
      </c>
      <c r="DX38" t="s">
        <v>1</v>
      </c>
      <c r="DY38" t="s">
        <v>2166</v>
      </c>
      <c r="DZ38" t="s">
        <v>1</v>
      </c>
      <c r="EA38" t="s">
        <v>1</v>
      </c>
      <c r="EB38" t="s">
        <v>28</v>
      </c>
      <c r="EC38" t="s">
        <v>7</v>
      </c>
      <c r="ED38" t="s">
        <v>1</v>
      </c>
      <c r="EE38" t="s">
        <v>1</v>
      </c>
      <c r="EF38" t="s">
        <v>22</v>
      </c>
      <c r="EG38" t="s">
        <v>41</v>
      </c>
      <c r="EH38" t="s">
        <v>15</v>
      </c>
      <c r="EI38" t="s">
        <v>1</v>
      </c>
      <c r="EJ38" s="4">
        <v>-2200</v>
      </c>
      <c r="EK38" t="s">
        <v>1</v>
      </c>
      <c r="EL38" t="s">
        <v>1</v>
      </c>
      <c r="EM38" t="s">
        <v>1</v>
      </c>
      <c r="EN38" t="s">
        <v>1</v>
      </c>
      <c r="EO38" s="2"/>
      <c r="EP38" t="s">
        <v>2166</v>
      </c>
      <c r="EQ38" t="s">
        <v>1</v>
      </c>
      <c r="ER38" t="s">
        <v>1</v>
      </c>
      <c r="ES38" t="s">
        <v>1</v>
      </c>
      <c r="ET38" t="s">
        <v>29</v>
      </c>
      <c r="EU38" t="s">
        <v>1</v>
      </c>
      <c r="EV38" t="s">
        <v>1</v>
      </c>
      <c r="EW38" t="s">
        <v>7</v>
      </c>
      <c r="EX38" t="s">
        <v>7</v>
      </c>
      <c r="EY38" t="s">
        <v>1</v>
      </c>
      <c r="EZ38" t="s">
        <v>1</v>
      </c>
      <c r="FA38" t="s">
        <v>1</v>
      </c>
      <c r="FB38" s="3">
        <v>50</v>
      </c>
      <c r="FC38" t="s">
        <v>1</v>
      </c>
      <c r="FD38" t="s">
        <v>1</v>
      </c>
      <c r="FE38" t="s">
        <v>1</v>
      </c>
      <c r="FF38" t="s">
        <v>17</v>
      </c>
      <c r="FG38" t="s">
        <v>1</v>
      </c>
      <c r="FH38" t="s">
        <v>1</v>
      </c>
      <c r="FI38" t="s">
        <v>1</v>
      </c>
      <c r="FJ38" t="s">
        <v>1</v>
      </c>
      <c r="FK38" s="7">
        <v>46115.39984953704</v>
      </c>
      <c r="FL38" t="s">
        <v>1</v>
      </c>
      <c r="FM38" t="s">
        <v>1</v>
      </c>
      <c r="FN38" t="s">
        <v>1</v>
      </c>
      <c r="FO38" s="19">
        <v>-9166667</v>
      </c>
      <c r="FP38" s="4">
        <v>0</v>
      </c>
      <c r="FQ38" s="19">
        <v>-9166667</v>
      </c>
      <c r="FR38" s="4">
        <v>0</v>
      </c>
      <c r="FS38" s="4">
        <v>0</v>
      </c>
      <c r="FT38" s="4">
        <v>0</v>
      </c>
      <c r="FU38" s="2">
        <v>46115</v>
      </c>
      <c r="FV38" t="s">
        <v>1</v>
      </c>
      <c r="FW38" s="4">
        <v>0</v>
      </c>
      <c r="FX38" t="s">
        <v>1</v>
      </c>
      <c r="FY38" t="s">
        <v>1</v>
      </c>
      <c r="FZ38" s="4">
        <v>0</v>
      </c>
      <c r="GA38" s="4">
        <v>0</v>
      </c>
      <c r="GB38" t="s">
        <v>2070</v>
      </c>
      <c r="GC38" t="str">
        <f>RIGHT(Data_FAGLL03[[#This Row],[Payment reference]],8)</f>
        <v>91172539</v>
      </c>
      <c r="GD38" t="str">
        <f>IF(Data_FAGLL03[[#This Row],[Billing]]&lt;&gt;"",_xlfn.XLOOKUP(Data_FAGLL03[[#This Row],[Billing]],MD_BILLING_SO[BILIING],MD_BILLING_SO[SO-EDITED]),"")</f>
        <v>30030720</v>
      </c>
      <c r="GE38" s="18">
        <f>IF(SUBSTITUTE(Data_FAGLL03[[#This Row],[Eff.exchange rate]],",","")/100000=1,1,SUBSTITUTE(Data_FAGLL03[[#This Row],[Eff.exchange rate]],",","")/100)</f>
        <v>1</v>
      </c>
      <c r="GF38" s="17">
        <f>IF(Data_FAGLL03[[#This Row],[Material]]&lt;&gt;"",IFERROR(Data_FAGLL03[[#This Row],[Amount in local currency]]/Data_FAGLL03[[#This Row],[Quantity_Original]],0),0)</f>
        <v>4166.6668181818186</v>
      </c>
      <c r="GG38" s="18">
        <f>IF(Data_FAGLL03[[#This Row],[XK/NĐ]]="XK",Data_FAGLL03[[#This Row],[GB trung bình]]/Data_FAGLL03[[#This Row],[EXR]],0)*1000</f>
        <v>0</v>
      </c>
      <c r="GH38" s="18" cm="1">
        <f t="array" ref="GH38">IF(Data_FAGLL03[[#This Row],[Document currency]]&lt;&gt;"VND",Data_FAGLL03[[#This Row],[Amount in doc. curr.]],Data_FAGLL03[[#This Row],[Amount in local currency]]/EXR)</f>
        <v>-349.17785465929273</v>
      </c>
      <c r="GI38" s="10">
        <f>Data_FAGLL03[[#This Row],[Time Stamp]]+TIME(7,0,0)</f>
        <v>46115.691516203704</v>
      </c>
      <c r="GJ38" s="18">
        <f>MONTH(Data_FAGLL03[[#This Row],[Time Stamp_VN]])</f>
        <v>4</v>
      </c>
      <c r="GK38">
        <f>DAY(Data_FAGLL03[[#This Row],[Time Stamp_VN]])</f>
        <v>3</v>
      </c>
      <c r="GL38" t="str">
        <f>TEXT(Data_FAGLL03[[#This Row],[Tháng]],"00")&amp;" | "&amp;TEXT(Data_FAGLL03[[#This Row],[Ngày]],"00")</f>
        <v>04 | 03</v>
      </c>
      <c r="GM38" s="18">
        <f>IF(Data_FAGLL03[[#This Row],[Text]]="",Data_FAGLL03[[#This Row],[Quantity_Original]],0)</f>
        <v>-2200</v>
      </c>
      <c r="GN38" s="18" t="str">
        <f>IF(Data_FAGLL03[[#This Row],[Quantity_Edited]]&lt;&gt;0,Data_FAGLL03[[#This Row],[Offsetting acct no.]]&amp;" | "&amp;Data_FAGLL03[[#This Row],[Material]],"")</f>
        <v>105290 | 160012726</v>
      </c>
      <c r="GO38" t="str">
        <f>IF(LEFT(Data_FAGLL03[[#This Row],[Offsetting acct no.]],1)="1","NĐ",IF(LEFT(Data_FAGLL03[[#This Row],[Offsetting acct no.]],1)="2","XK","Khác"))</f>
        <v>NĐ</v>
      </c>
      <c r="GP38" t="str">
        <f>IF(Data_FAGLL03[[#This Row],[Material]]&lt;&gt;"",_xlfn.XLOOKUP(Data_FAGLL03[[#This Row],[Material]],MD_SKU[Mã SKU],MD_SKU[Tên SKU]),"")</f>
        <v>Phó Sản PET Bụi Tank A</v>
      </c>
      <c r="GQ38" t="str">
        <f>IF(Data_FAGLL03[[#This Row],[Material]]&lt;&gt;"",_xlfn.XLOOKUP(Data_FAGLL03[[#This Row],[Material]],MD_SKU[Mã SKU],MD_SKU[Nhóm SP 1]),"")</f>
        <v>Khác</v>
      </c>
      <c r="GR38" t="str">
        <f>IF(Data_FAGLL03[[#This Row],[Material]]&lt;&gt;"",_xlfn.XLOOKUP(Data_FAGLL03[[#This Row],[Material]],MD_SKU[Mã SKU],MD_SKU[Nhóm SP 2]),"")</f>
        <v>Phó sản</v>
      </c>
      <c r="GS38" t="str">
        <f>IF(Data_FAGLL03[[#This Row],[Material]]&lt;&gt;"",_xlfn.XLOOKUP(Data_FAGLL03[[#This Row],[Material]],MD_SKU[Mã SKU],MD_SKU[Nhóm SP 3]),"")</f>
        <v>Phó sản</v>
      </c>
      <c r="GT38" t="str">
        <f>IF(Data_FAGLL03[[#This Row],[Material]]&lt;&gt;"",_xlfn.XLOOKUP(Data_FAGLL03[[#This Row],[Material]],MD_SKU[Mã SKU],MD_SKU[Nhóm SP 4]),"")</f>
        <v>Phó sản</v>
      </c>
    </row>
    <row r="39" spans="1:202" x14ac:dyDescent="0.25">
      <c r="A39" t="s">
        <v>0</v>
      </c>
      <c r="B39" s="2">
        <v>46115</v>
      </c>
      <c r="C39" t="s">
        <v>2164</v>
      </c>
      <c r="D39" t="s">
        <v>1</v>
      </c>
      <c r="E39" t="s">
        <v>1</v>
      </c>
      <c r="F39" t="s">
        <v>31</v>
      </c>
      <c r="G39" t="s">
        <v>31</v>
      </c>
      <c r="H39" t="s">
        <v>2036</v>
      </c>
      <c r="I39" s="19">
        <v>-9125000</v>
      </c>
      <c r="J39" t="s">
        <v>2037</v>
      </c>
      <c r="K39" t="s">
        <v>1</v>
      </c>
      <c r="L39" t="s">
        <v>3</v>
      </c>
      <c r="M39" t="s">
        <v>41</v>
      </c>
      <c r="N39" t="s">
        <v>254</v>
      </c>
      <c r="O39" t="s">
        <v>4</v>
      </c>
      <c r="P39" t="s">
        <v>2165</v>
      </c>
      <c r="Q39" t="s">
        <v>31</v>
      </c>
      <c r="R39" t="s">
        <v>5</v>
      </c>
      <c r="S39" t="s">
        <v>1</v>
      </c>
      <c r="T39" s="3">
        <v>-9125000</v>
      </c>
      <c r="U39" s="19">
        <v>-9125000</v>
      </c>
      <c r="V39" s="3">
        <v>-9125000</v>
      </c>
      <c r="W39" s="3">
        <v>-9125000</v>
      </c>
      <c r="X39" s="4">
        <v>0</v>
      </c>
      <c r="Y39" s="4">
        <v>0</v>
      </c>
      <c r="Z39" s="3">
        <v>0</v>
      </c>
      <c r="AA39" s="3">
        <v>0</v>
      </c>
      <c r="AB39" t="s">
        <v>1</v>
      </c>
      <c r="AC39" t="s">
        <v>24</v>
      </c>
      <c r="AD39" s="2"/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25</v>
      </c>
      <c r="AK39" s="4">
        <v>0</v>
      </c>
      <c r="AL39" t="s">
        <v>1</v>
      </c>
      <c r="AM39" s="5" t="s">
        <v>1</v>
      </c>
      <c r="AN39" t="s">
        <v>1</v>
      </c>
      <c r="AO39" s="2"/>
      <c r="AP39" t="s">
        <v>1</v>
      </c>
      <c r="AQ39" t="s">
        <v>1</v>
      </c>
      <c r="AR39" s="3">
        <v>0</v>
      </c>
      <c r="AS39" t="s">
        <v>1</v>
      </c>
      <c r="AT39" t="s">
        <v>7</v>
      </c>
      <c r="AU39" t="s">
        <v>1</v>
      </c>
      <c r="AV39" t="s">
        <v>1</v>
      </c>
      <c r="AW39" t="s">
        <v>8</v>
      </c>
      <c r="AX39" t="s">
        <v>8</v>
      </c>
      <c r="AY39" t="s">
        <v>1</v>
      </c>
      <c r="AZ39" s="4">
        <v>0</v>
      </c>
      <c r="BA39" t="s">
        <v>1</v>
      </c>
      <c r="BB39" s="3">
        <v>0</v>
      </c>
      <c r="BC39" s="3">
        <v>0</v>
      </c>
      <c r="BD39" s="3">
        <v>0</v>
      </c>
      <c r="BE39" t="s">
        <v>20</v>
      </c>
      <c r="BF39" t="s">
        <v>1</v>
      </c>
      <c r="BG39" s="4">
        <v>0</v>
      </c>
      <c r="BH39" s="4">
        <v>0</v>
      </c>
      <c r="BI39" s="6">
        <v>0</v>
      </c>
      <c r="BJ39" s="6">
        <v>0</v>
      </c>
      <c r="BK39" t="s">
        <v>1</v>
      </c>
      <c r="BL39" t="s">
        <v>1</v>
      </c>
      <c r="BM39" t="s">
        <v>1</v>
      </c>
      <c r="BN39" t="s">
        <v>9</v>
      </c>
      <c r="BO39" s="2">
        <v>46115</v>
      </c>
      <c r="BP39" t="s">
        <v>1</v>
      </c>
      <c r="BQ39" t="s">
        <v>2164</v>
      </c>
      <c r="BR39" t="s">
        <v>27</v>
      </c>
      <c r="BS39" t="s">
        <v>1</v>
      </c>
      <c r="BT39" t="s">
        <v>1</v>
      </c>
      <c r="BU39" t="s">
        <v>1</v>
      </c>
      <c r="BV39" t="s">
        <v>1</v>
      </c>
      <c r="BW39" t="s">
        <v>7</v>
      </c>
      <c r="BX39" t="s">
        <v>10</v>
      </c>
      <c r="BY39" s="2"/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254</v>
      </c>
      <c r="CJ39" s="3">
        <v>-9125000</v>
      </c>
      <c r="CK39" t="s">
        <v>9</v>
      </c>
      <c r="CL39" t="s">
        <v>40</v>
      </c>
      <c r="CM39" t="s">
        <v>1</v>
      </c>
      <c r="CN39" s="4">
        <v>0</v>
      </c>
      <c r="CO39" t="s">
        <v>7</v>
      </c>
      <c r="CP39" t="s">
        <v>7</v>
      </c>
      <c r="CQ39" t="s">
        <v>7</v>
      </c>
      <c r="CR39" t="s">
        <v>7</v>
      </c>
      <c r="CS39" s="4">
        <v>0</v>
      </c>
      <c r="CT39" t="s">
        <v>2164</v>
      </c>
      <c r="CU39" t="s">
        <v>7</v>
      </c>
      <c r="CV39" t="s">
        <v>1</v>
      </c>
      <c r="CW39" s="2"/>
      <c r="CX39" t="s">
        <v>12</v>
      </c>
      <c r="CY39" t="s">
        <v>1</v>
      </c>
      <c r="CZ39" t="s">
        <v>41</v>
      </c>
      <c r="DA39" t="s">
        <v>1</v>
      </c>
      <c r="DB39" t="s">
        <v>9</v>
      </c>
      <c r="DC39" t="s">
        <v>9</v>
      </c>
      <c r="DD39" t="s">
        <v>1</v>
      </c>
      <c r="DE39" t="s">
        <v>1</v>
      </c>
      <c r="DF39" t="s">
        <v>1</v>
      </c>
      <c r="DG39" t="s">
        <v>62</v>
      </c>
      <c r="DH39" t="s">
        <v>1</v>
      </c>
      <c r="DI39" s="2"/>
      <c r="DJ39" t="s">
        <v>1</v>
      </c>
      <c r="DK39" t="s">
        <v>14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s="2"/>
      <c r="DW39" t="s">
        <v>1</v>
      </c>
      <c r="DX39" t="s">
        <v>1</v>
      </c>
      <c r="DY39" t="s">
        <v>2166</v>
      </c>
      <c r="DZ39" t="s">
        <v>1</v>
      </c>
      <c r="EA39" t="s">
        <v>1</v>
      </c>
      <c r="EB39" t="s">
        <v>28</v>
      </c>
      <c r="EC39" t="s">
        <v>7</v>
      </c>
      <c r="ED39" t="s">
        <v>1</v>
      </c>
      <c r="EE39" t="s">
        <v>1</v>
      </c>
      <c r="EF39" t="s">
        <v>22</v>
      </c>
      <c r="EG39" t="s">
        <v>41</v>
      </c>
      <c r="EH39" t="s">
        <v>15</v>
      </c>
      <c r="EI39" t="s">
        <v>1</v>
      </c>
      <c r="EJ39" s="4">
        <v>-2190</v>
      </c>
      <c r="EK39" t="s">
        <v>1</v>
      </c>
      <c r="EL39" t="s">
        <v>1</v>
      </c>
      <c r="EM39" t="s">
        <v>1</v>
      </c>
      <c r="EN39" t="s">
        <v>1</v>
      </c>
      <c r="EO39" s="2"/>
      <c r="EP39" t="s">
        <v>2166</v>
      </c>
      <c r="EQ39" t="s">
        <v>1</v>
      </c>
      <c r="ER39" t="s">
        <v>1</v>
      </c>
      <c r="ES39" t="s">
        <v>1</v>
      </c>
      <c r="ET39" t="s">
        <v>29</v>
      </c>
      <c r="EU39" t="s">
        <v>1</v>
      </c>
      <c r="EV39" t="s">
        <v>1</v>
      </c>
      <c r="EW39" t="s">
        <v>7</v>
      </c>
      <c r="EX39" t="s">
        <v>7</v>
      </c>
      <c r="EY39" t="s">
        <v>1</v>
      </c>
      <c r="EZ39" t="s">
        <v>1</v>
      </c>
      <c r="FA39" t="s">
        <v>1</v>
      </c>
      <c r="FB39" s="3">
        <v>50</v>
      </c>
      <c r="FC39" t="s">
        <v>1</v>
      </c>
      <c r="FD39" t="s">
        <v>1</v>
      </c>
      <c r="FE39" t="s">
        <v>1</v>
      </c>
      <c r="FF39" t="s">
        <v>17</v>
      </c>
      <c r="FG39" t="s">
        <v>1</v>
      </c>
      <c r="FH39" t="s">
        <v>1</v>
      </c>
      <c r="FI39" t="s">
        <v>1</v>
      </c>
      <c r="FJ39" t="s">
        <v>1</v>
      </c>
      <c r="FK39" s="7">
        <v>46115.39984953704</v>
      </c>
      <c r="FL39" t="s">
        <v>1</v>
      </c>
      <c r="FM39" t="s">
        <v>1</v>
      </c>
      <c r="FN39" t="s">
        <v>1</v>
      </c>
      <c r="FO39" s="19">
        <v>-9125000</v>
      </c>
      <c r="FP39" s="4">
        <v>0</v>
      </c>
      <c r="FQ39" s="19">
        <v>-9125000</v>
      </c>
      <c r="FR39" s="4">
        <v>0</v>
      </c>
      <c r="FS39" s="4">
        <v>0</v>
      </c>
      <c r="FT39" s="4">
        <v>0</v>
      </c>
      <c r="FU39" s="2">
        <v>46115</v>
      </c>
      <c r="FV39" t="s">
        <v>1</v>
      </c>
      <c r="FW39" s="4">
        <v>0</v>
      </c>
      <c r="FX39" t="s">
        <v>1</v>
      </c>
      <c r="FY39" t="s">
        <v>1</v>
      </c>
      <c r="FZ39" s="4">
        <v>0</v>
      </c>
      <c r="GA39" s="4">
        <v>0</v>
      </c>
      <c r="GB39" t="s">
        <v>2070</v>
      </c>
      <c r="GC39" t="str">
        <f>RIGHT(Data_FAGLL03[[#This Row],[Payment reference]],8)</f>
        <v>91172539</v>
      </c>
      <c r="GD39" t="str">
        <f>IF(Data_FAGLL03[[#This Row],[Billing]]&lt;&gt;"",_xlfn.XLOOKUP(Data_FAGLL03[[#This Row],[Billing]],MD_BILLING_SO[BILIING],MD_BILLING_SO[SO-EDITED]),"")</f>
        <v>30030720</v>
      </c>
      <c r="GE39" s="18">
        <f>IF(SUBSTITUTE(Data_FAGLL03[[#This Row],[Eff.exchange rate]],",","")/100000=1,1,SUBSTITUTE(Data_FAGLL03[[#This Row],[Eff.exchange rate]],",","")/100)</f>
        <v>1</v>
      </c>
      <c r="GF39" s="17">
        <f>IF(Data_FAGLL03[[#This Row],[Material]]&lt;&gt;"",IFERROR(Data_FAGLL03[[#This Row],[Amount in local currency]]/Data_FAGLL03[[#This Row],[Quantity_Original]],0),0)</f>
        <v>4166.666666666667</v>
      </c>
      <c r="GG39" s="18">
        <f>IF(Data_FAGLL03[[#This Row],[XK/NĐ]]="XK",Data_FAGLL03[[#This Row],[GB trung bình]]/Data_FAGLL03[[#This Row],[EXR]],0)*1000</f>
        <v>0</v>
      </c>
      <c r="GH39" s="18" cm="1">
        <f t="array" ref="GH39">IF(Data_FAGLL03[[#This Row],[Document currency]]&lt;&gt;"VND",Data_FAGLL03[[#This Row],[Amount in doc. curr.]],Data_FAGLL03[[#This Row],[Amount in local currency]]/EXR)</f>
        <v>-347.59066995299884</v>
      </c>
      <c r="GI39" s="10">
        <f>Data_FAGLL03[[#This Row],[Time Stamp]]+TIME(7,0,0)</f>
        <v>46115.691516203704</v>
      </c>
      <c r="GJ39" s="18">
        <f>MONTH(Data_FAGLL03[[#This Row],[Time Stamp_VN]])</f>
        <v>4</v>
      </c>
      <c r="GK39">
        <f>DAY(Data_FAGLL03[[#This Row],[Time Stamp_VN]])</f>
        <v>3</v>
      </c>
      <c r="GL39" t="str">
        <f>TEXT(Data_FAGLL03[[#This Row],[Tháng]],"00")&amp;" | "&amp;TEXT(Data_FAGLL03[[#This Row],[Ngày]],"00")</f>
        <v>04 | 03</v>
      </c>
      <c r="GM39" s="18">
        <f>IF(Data_FAGLL03[[#This Row],[Text]]="",Data_FAGLL03[[#This Row],[Quantity_Original]],0)</f>
        <v>-2190</v>
      </c>
      <c r="GN39" s="18" t="str">
        <f>IF(Data_FAGLL03[[#This Row],[Quantity_Edited]]&lt;&gt;0,Data_FAGLL03[[#This Row],[Offsetting acct no.]]&amp;" | "&amp;Data_FAGLL03[[#This Row],[Material]],"")</f>
        <v>105290 | 160012727</v>
      </c>
      <c r="GO39" t="str">
        <f>IF(LEFT(Data_FAGLL03[[#This Row],[Offsetting acct no.]],1)="1","NĐ",IF(LEFT(Data_FAGLL03[[#This Row],[Offsetting acct no.]],1)="2","XK","Khác"))</f>
        <v>NĐ</v>
      </c>
      <c r="GP39" t="str">
        <f>IF(Data_FAGLL03[[#This Row],[Material]]&lt;&gt;"",_xlfn.XLOOKUP(Data_FAGLL03[[#This Row],[Material]],MD_SKU[Mã SKU],MD_SKU[Tên SKU]),"")</f>
        <v>Phó Sản PET Bụi Tank B</v>
      </c>
      <c r="GQ39" t="str">
        <f>IF(Data_FAGLL03[[#This Row],[Material]]&lt;&gt;"",_xlfn.XLOOKUP(Data_FAGLL03[[#This Row],[Material]],MD_SKU[Mã SKU],MD_SKU[Nhóm SP 1]),"")</f>
        <v>Khác</v>
      </c>
      <c r="GR39" t="str">
        <f>IF(Data_FAGLL03[[#This Row],[Material]]&lt;&gt;"",_xlfn.XLOOKUP(Data_FAGLL03[[#This Row],[Material]],MD_SKU[Mã SKU],MD_SKU[Nhóm SP 2]),"")</f>
        <v>Phó sản</v>
      </c>
      <c r="GS39" t="str">
        <f>IF(Data_FAGLL03[[#This Row],[Material]]&lt;&gt;"",_xlfn.XLOOKUP(Data_FAGLL03[[#This Row],[Material]],MD_SKU[Mã SKU],MD_SKU[Nhóm SP 3]),"")</f>
        <v>Phó sản</v>
      </c>
      <c r="GT39" t="str">
        <f>IF(Data_FAGLL03[[#This Row],[Material]]&lt;&gt;"",_xlfn.XLOOKUP(Data_FAGLL03[[#This Row],[Material]],MD_SKU[Mã SKU],MD_SKU[Nhóm SP 4]),"")</f>
        <v>Phó sản</v>
      </c>
    </row>
    <row r="40" spans="1:202" x14ac:dyDescent="0.25">
      <c r="A40" t="s">
        <v>0</v>
      </c>
      <c r="B40" s="2">
        <v>46115</v>
      </c>
      <c r="C40" t="s">
        <v>2164</v>
      </c>
      <c r="D40" t="s">
        <v>1</v>
      </c>
      <c r="E40" t="s">
        <v>1</v>
      </c>
      <c r="F40" t="s">
        <v>31</v>
      </c>
      <c r="G40" t="s">
        <v>31</v>
      </c>
      <c r="H40" t="s">
        <v>2036</v>
      </c>
      <c r="I40" s="19">
        <v>-11041667</v>
      </c>
      <c r="J40" t="s">
        <v>2037</v>
      </c>
      <c r="K40" t="s">
        <v>1</v>
      </c>
      <c r="L40" t="s">
        <v>3</v>
      </c>
      <c r="M40" t="s">
        <v>41</v>
      </c>
      <c r="N40" t="s">
        <v>254</v>
      </c>
      <c r="O40" t="s">
        <v>4</v>
      </c>
      <c r="P40" t="s">
        <v>2165</v>
      </c>
      <c r="Q40" t="s">
        <v>31</v>
      </c>
      <c r="R40" t="s">
        <v>5</v>
      </c>
      <c r="S40" t="s">
        <v>1</v>
      </c>
      <c r="T40" s="3">
        <v>-11041667</v>
      </c>
      <c r="U40" s="19">
        <v>-11041667</v>
      </c>
      <c r="V40" s="3">
        <v>-11041667</v>
      </c>
      <c r="W40" s="3">
        <v>-11041667</v>
      </c>
      <c r="X40" s="4">
        <v>0</v>
      </c>
      <c r="Y40" s="4">
        <v>0</v>
      </c>
      <c r="Z40" s="3">
        <v>0</v>
      </c>
      <c r="AA40" s="3">
        <v>0</v>
      </c>
      <c r="AB40" t="s">
        <v>1</v>
      </c>
      <c r="AC40" t="s">
        <v>24</v>
      </c>
      <c r="AD40" s="2"/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25</v>
      </c>
      <c r="AK40" s="4">
        <v>0</v>
      </c>
      <c r="AL40" t="s">
        <v>1</v>
      </c>
      <c r="AM40" s="5" t="s">
        <v>1</v>
      </c>
      <c r="AN40" t="s">
        <v>1</v>
      </c>
      <c r="AO40" s="2"/>
      <c r="AP40" t="s">
        <v>1</v>
      </c>
      <c r="AQ40" t="s">
        <v>1</v>
      </c>
      <c r="AR40" s="3">
        <v>0</v>
      </c>
      <c r="AS40" t="s">
        <v>1</v>
      </c>
      <c r="AT40" t="s">
        <v>7</v>
      </c>
      <c r="AU40" t="s">
        <v>1</v>
      </c>
      <c r="AV40" t="s">
        <v>1</v>
      </c>
      <c r="AW40" t="s">
        <v>8</v>
      </c>
      <c r="AX40" t="s">
        <v>8</v>
      </c>
      <c r="AY40" t="s">
        <v>1</v>
      </c>
      <c r="AZ40" s="4">
        <v>0</v>
      </c>
      <c r="BA40" t="s">
        <v>1</v>
      </c>
      <c r="BB40" s="3">
        <v>0</v>
      </c>
      <c r="BC40" s="3">
        <v>0</v>
      </c>
      <c r="BD40" s="3">
        <v>0</v>
      </c>
      <c r="BE40" t="s">
        <v>20</v>
      </c>
      <c r="BF40" t="s">
        <v>1</v>
      </c>
      <c r="BG40" s="4">
        <v>0</v>
      </c>
      <c r="BH40" s="4">
        <v>0</v>
      </c>
      <c r="BI40" s="6">
        <v>0</v>
      </c>
      <c r="BJ40" s="6">
        <v>0</v>
      </c>
      <c r="BK40" t="s">
        <v>1</v>
      </c>
      <c r="BL40" t="s">
        <v>1</v>
      </c>
      <c r="BM40" t="s">
        <v>1</v>
      </c>
      <c r="BN40" t="s">
        <v>9</v>
      </c>
      <c r="BO40" s="2">
        <v>46115</v>
      </c>
      <c r="BP40" t="s">
        <v>1</v>
      </c>
      <c r="BQ40" t="s">
        <v>2164</v>
      </c>
      <c r="BR40" t="s">
        <v>27</v>
      </c>
      <c r="BS40" t="s">
        <v>1</v>
      </c>
      <c r="BT40" t="s">
        <v>1</v>
      </c>
      <c r="BU40" t="s">
        <v>1</v>
      </c>
      <c r="BV40" t="s">
        <v>1</v>
      </c>
      <c r="BW40" t="s">
        <v>7</v>
      </c>
      <c r="BX40" t="s">
        <v>10</v>
      </c>
      <c r="BY40" s="2"/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254</v>
      </c>
      <c r="CJ40" s="3">
        <v>-11041667</v>
      </c>
      <c r="CK40" t="s">
        <v>9</v>
      </c>
      <c r="CL40" t="s">
        <v>2038</v>
      </c>
      <c r="CM40" t="s">
        <v>1</v>
      </c>
      <c r="CN40" s="4">
        <v>0</v>
      </c>
      <c r="CO40" t="s">
        <v>7</v>
      </c>
      <c r="CP40" t="s">
        <v>7</v>
      </c>
      <c r="CQ40" t="s">
        <v>7</v>
      </c>
      <c r="CR40" t="s">
        <v>7</v>
      </c>
      <c r="CS40" s="4">
        <v>0</v>
      </c>
      <c r="CT40" t="s">
        <v>2164</v>
      </c>
      <c r="CU40" t="s">
        <v>7</v>
      </c>
      <c r="CV40" t="s">
        <v>1</v>
      </c>
      <c r="CW40" s="2"/>
      <c r="CX40" t="s">
        <v>12</v>
      </c>
      <c r="CY40" t="s">
        <v>1</v>
      </c>
      <c r="CZ40" t="s">
        <v>2039</v>
      </c>
      <c r="DA40" t="s">
        <v>1</v>
      </c>
      <c r="DB40" t="s">
        <v>9</v>
      </c>
      <c r="DC40" t="s">
        <v>9</v>
      </c>
      <c r="DD40" t="s">
        <v>1</v>
      </c>
      <c r="DE40" t="s">
        <v>1</v>
      </c>
      <c r="DF40" t="s">
        <v>1</v>
      </c>
      <c r="DG40" t="s">
        <v>63</v>
      </c>
      <c r="DH40" t="s">
        <v>1</v>
      </c>
      <c r="DI40" s="2"/>
      <c r="DJ40" t="s">
        <v>1</v>
      </c>
      <c r="DK40" t="s">
        <v>14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s="2"/>
      <c r="DW40" t="s">
        <v>1</v>
      </c>
      <c r="DX40" t="s">
        <v>1</v>
      </c>
      <c r="DY40" t="s">
        <v>2166</v>
      </c>
      <c r="DZ40" t="s">
        <v>1</v>
      </c>
      <c r="EA40" t="s">
        <v>1</v>
      </c>
      <c r="EB40" t="s">
        <v>28</v>
      </c>
      <c r="EC40" t="s">
        <v>7</v>
      </c>
      <c r="ED40" t="s">
        <v>1</v>
      </c>
      <c r="EE40" t="s">
        <v>1</v>
      </c>
      <c r="EF40" t="s">
        <v>22</v>
      </c>
      <c r="EG40" t="s">
        <v>41</v>
      </c>
      <c r="EH40" t="s">
        <v>15</v>
      </c>
      <c r="EI40" t="s">
        <v>1</v>
      </c>
      <c r="EJ40" s="4">
        <v>-2650</v>
      </c>
      <c r="EK40" t="s">
        <v>1</v>
      </c>
      <c r="EL40" t="s">
        <v>1</v>
      </c>
      <c r="EM40" t="s">
        <v>1</v>
      </c>
      <c r="EN40" t="s">
        <v>1</v>
      </c>
      <c r="EO40" s="2"/>
      <c r="EP40" t="s">
        <v>2166</v>
      </c>
      <c r="EQ40" t="s">
        <v>1</v>
      </c>
      <c r="ER40" t="s">
        <v>1</v>
      </c>
      <c r="ES40" t="s">
        <v>1</v>
      </c>
      <c r="ET40" t="s">
        <v>29</v>
      </c>
      <c r="EU40" t="s">
        <v>1</v>
      </c>
      <c r="EV40" t="s">
        <v>1</v>
      </c>
      <c r="EW40" t="s">
        <v>7</v>
      </c>
      <c r="EX40" t="s">
        <v>7</v>
      </c>
      <c r="EY40" t="s">
        <v>1</v>
      </c>
      <c r="EZ40" t="s">
        <v>1</v>
      </c>
      <c r="FA40" t="s">
        <v>1</v>
      </c>
      <c r="FB40" s="3">
        <v>50</v>
      </c>
      <c r="FC40" t="s">
        <v>1</v>
      </c>
      <c r="FD40" t="s">
        <v>1</v>
      </c>
      <c r="FE40" t="s">
        <v>1</v>
      </c>
      <c r="FF40" t="s">
        <v>17</v>
      </c>
      <c r="FG40" t="s">
        <v>1</v>
      </c>
      <c r="FH40" t="s">
        <v>1</v>
      </c>
      <c r="FI40" t="s">
        <v>1</v>
      </c>
      <c r="FJ40" t="s">
        <v>1</v>
      </c>
      <c r="FK40" s="7">
        <v>46115.39984953704</v>
      </c>
      <c r="FL40" t="s">
        <v>1</v>
      </c>
      <c r="FM40" t="s">
        <v>1</v>
      </c>
      <c r="FN40" t="s">
        <v>1</v>
      </c>
      <c r="FO40" s="19">
        <v>-11041667</v>
      </c>
      <c r="FP40" s="4">
        <v>0</v>
      </c>
      <c r="FQ40" s="19">
        <v>-11041667</v>
      </c>
      <c r="FR40" s="4">
        <v>0</v>
      </c>
      <c r="FS40" s="4">
        <v>0</v>
      </c>
      <c r="FT40" s="4">
        <v>0</v>
      </c>
      <c r="FU40" s="2">
        <v>46115</v>
      </c>
      <c r="FV40" t="s">
        <v>1</v>
      </c>
      <c r="FW40" s="4">
        <v>0</v>
      </c>
      <c r="FX40" t="s">
        <v>1</v>
      </c>
      <c r="FY40" t="s">
        <v>1</v>
      </c>
      <c r="FZ40" s="4">
        <v>0</v>
      </c>
      <c r="GA40" s="4">
        <v>0</v>
      </c>
      <c r="GB40" t="s">
        <v>2070</v>
      </c>
      <c r="GC40" t="str">
        <f>RIGHT(Data_FAGLL03[[#This Row],[Payment reference]],8)</f>
        <v>91172539</v>
      </c>
      <c r="GD40" t="str">
        <f>IF(Data_FAGLL03[[#This Row],[Billing]]&lt;&gt;"",_xlfn.XLOOKUP(Data_FAGLL03[[#This Row],[Billing]],MD_BILLING_SO[BILIING],MD_BILLING_SO[SO-EDITED]),"")</f>
        <v>30030720</v>
      </c>
      <c r="GE40" s="18">
        <f>IF(SUBSTITUTE(Data_FAGLL03[[#This Row],[Eff.exchange rate]],",","")/100000=1,1,SUBSTITUTE(Data_FAGLL03[[#This Row],[Eff.exchange rate]],",","")/100)</f>
        <v>1</v>
      </c>
      <c r="GF40" s="17">
        <f>IF(Data_FAGLL03[[#This Row],[Material]]&lt;&gt;"",IFERROR(Data_FAGLL03[[#This Row],[Amount in local currency]]/Data_FAGLL03[[#This Row],[Quantity_Original]],0),0)</f>
        <v>4166.6667924528301</v>
      </c>
      <c r="GG40" s="18">
        <f>IF(Data_FAGLL03[[#This Row],[XK/NĐ]]="XK",Data_FAGLL03[[#This Row],[GB trung bình]]/Data_FAGLL03[[#This Row],[EXR]],0)*1000</f>
        <v>0</v>
      </c>
      <c r="GH40" s="18" cm="1">
        <f t="array" ref="GH40">IF(Data_FAGLL03[[#This Row],[Document currency]]&lt;&gt;"VND",Data_FAGLL03[[#This Row],[Amount in doc. curr.]],Data_FAGLL03[[#This Row],[Amount in local currency]]/EXR)</f>
        <v>-420.60059506059383</v>
      </c>
      <c r="GI40" s="10">
        <f>Data_FAGLL03[[#This Row],[Time Stamp]]+TIME(7,0,0)</f>
        <v>46115.691516203704</v>
      </c>
      <c r="GJ40" s="18">
        <f>MONTH(Data_FAGLL03[[#This Row],[Time Stamp_VN]])</f>
        <v>4</v>
      </c>
      <c r="GK40">
        <f>DAY(Data_FAGLL03[[#This Row],[Time Stamp_VN]])</f>
        <v>3</v>
      </c>
      <c r="GL40" t="str">
        <f>TEXT(Data_FAGLL03[[#This Row],[Tháng]],"00")&amp;" | "&amp;TEXT(Data_FAGLL03[[#This Row],[Ngày]],"00")</f>
        <v>04 | 03</v>
      </c>
      <c r="GM40" s="18">
        <f>IF(Data_FAGLL03[[#This Row],[Text]]="",Data_FAGLL03[[#This Row],[Quantity_Original]],0)</f>
        <v>-2650</v>
      </c>
      <c r="GN40" s="18" t="str">
        <f>IF(Data_FAGLL03[[#This Row],[Quantity_Edited]]&lt;&gt;0,Data_FAGLL03[[#This Row],[Offsetting acct no.]]&amp;" | "&amp;Data_FAGLL03[[#This Row],[Material]],"")</f>
        <v>105290 | 160012729</v>
      </c>
      <c r="GO40" t="str">
        <f>IF(LEFT(Data_FAGLL03[[#This Row],[Offsetting acct no.]],1)="1","NĐ",IF(LEFT(Data_FAGLL03[[#This Row],[Offsetting acct no.]],1)="2","XK","Khác"))</f>
        <v>NĐ</v>
      </c>
      <c r="GP40" t="str">
        <f>IF(Data_FAGLL03[[#This Row],[Material]]&lt;&gt;"",_xlfn.XLOOKUP(Data_FAGLL03[[#This Row],[Material]],MD_SKU[Mã SKU],MD_SKU[Tên SKU]),"")</f>
        <v>Phó Sản PET Bụi Tank D</v>
      </c>
      <c r="GQ40" t="str">
        <f>IF(Data_FAGLL03[[#This Row],[Material]]&lt;&gt;"",_xlfn.XLOOKUP(Data_FAGLL03[[#This Row],[Material]],MD_SKU[Mã SKU],MD_SKU[Nhóm SP 1]),"")</f>
        <v>Khác</v>
      </c>
      <c r="GR40" t="str">
        <f>IF(Data_FAGLL03[[#This Row],[Material]]&lt;&gt;"",_xlfn.XLOOKUP(Data_FAGLL03[[#This Row],[Material]],MD_SKU[Mã SKU],MD_SKU[Nhóm SP 2]),"")</f>
        <v>Phó sản</v>
      </c>
      <c r="GS40" t="str">
        <f>IF(Data_FAGLL03[[#This Row],[Material]]&lt;&gt;"",_xlfn.XLOOKUP(Data_FAGLL03[[#This Row],[Material]],MD_SKU[Mã SKU],MD_SKU[Nhóm SP 3]),"")</f>
        <v>Phó sản</v>
      </c>
      <c r="GT40" t="str">
        <f>IF(Data_FAGLL03[[#This Row],[Material]]&lt;&gt;"",_xlfn.XLOOKUP(Data_FAGLL03[[#This Row],[Material]],MD_SKU[Mã SKU],MD_SKU[Nhóm SP 4]),"")</f>
        <v>Phó sản</v>
      </c>
    </row>
    <row r="41" spans="1:202" x14ac:dyDescent="0.25">
      <c r="A41" t="s">
        <v>0</v>
      </c>
      <c r="B41" s="2">
        <v>46115</v>
      </c>
      <c r="C41" t="s">
        <v>2167</v>
      </c>
      <c r="D41" t="s">
        <v>1</v>
      </c>
      <c r="E41" t="s">
        <v>1</v>
      </c>
      <c r="F41" t="s">
        <v>31</v>
      </c>
      <c r="G41" t="s">
        <v>31</v>
      </c>
      <c r="H41" t="s">
        <v>2022</v>
      </c>
      <c r="I41" s="19">
        <v>-696300000</v>
      </c>
      <c r="J41" t="s">
        <v>2023</v>
      </c>
      <c r="K41" t="s">
        <v>1</v>
      </c>
      <c r="L41" t="s">
        <v>39</v>
      </c>
      <c r="M41" t="s">
        <v>41</v>
      </c>
      <c r="N41" t="s">
        <v>254</v>
      </c>
      <c r="O41" t="s">
        <v>4</v>
      </c>
      <c r="P41" t="s">
        <v>2168</v>
      </c>
      <c r="Q41" t="s">
        <v>31</v>
      </c>
      <c r="R41" t="s">
        <v>5</v>
      </c>
      <c r="S41" t="s">
        <v>1</v>
      </c>
      <c r="T41" s="3">
        <v>-696300000</v>
      </c>
      <c r="U41" s="19">
        <v>-696300000</v>
      </c>
      <c r="V41" s="3">
        <v>-696300000</v>
      </c>
      <c r="W41" s="3">
        <v>-696300000</v>
      </c>
      <c r="X41" s="4">
        <v>0</v>
      </c>
      <c r="Y41" s="4">
        <v>0</v>
      </c>
      <c r="Z41" s="3">
        <v>0</v>
      </c>
      <c r="AA41" s="3">
        <v>0</v>
      </c>
      <c r="AB41" t="s">
        <v>1</v>
      </c>
      <c r="AC41" t="s">
        <v>24</v>
      </c>
      <c r="AD41" s="2"/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25</v>
      </c>
      <c r="AK41" s="4">
        <v>0</v>
      </c>
      <c r="AL41" t="s">
        <v>1</v>
      </c>
      <c r="AM41" s="5" t="s">
        <v>1</v>
      </c>
      <c r="AN41" t="s">
        <v>1</v>
      </c>
      <c r="AO41" s="2"/>
      <c r="AP41" t="s">
        <v>1</v>
      </c>
      <c r="AQ41" t="s">
        <v>1</v>
      </c>
      <c r="AR41" s="3">
        <v>0</v>
      </c>
      <c r="AS41" t="s">
        <v>1</v>
      </c>
      <c r="AT41" t="s">
        <v>7</v>
      </c>
      <c r="AU41" t="s">
        <v>1</v>
      </c>
      <c r="AV41" t="s">
        <v>1</v>
      </c>
      <c r="AW41" t="s">
        <v>8</v>
      </c>
      <c r="AX41" t="s">
        <v>8</v>
      </c>
      <c r="AY41" t="s">
        <v>1</v>
      </c>
      <c r="AZ41" s="4">
        <v>0</v>
      </c>
      <c r="BA41" t="s">
        <v>1</v>
      </c>
      <c r="BB41" s="3">
        <v>0</v>
      </c>
      <c r="BC41" s="3">
        <v>0</v>
      </c>
      <c r="BD41" s="3">
        <v>0</v>
      </c>
      <c r="BE41" t="s">
        <v>20</v>
      </c>
      <c r="BF41" t="s">
        <v>1</v>
      </c>
      <c r="BG41" s="4">
        <v>0</v>
      </c>
      <c r="BH41" s="4">
        <v>0</v>
      </c>
      <c r="BI41" s="6">
        <v>0</v>
      </c>
      <c r="BJ41" s="6">
        <v>0</v>
      </c>
      <c r="BK41" t="s">
        <v>1</v>
      </c>
      <c r="BL41" t="s">
        <v>1</v>
      </c>
      <c r="BM41" t="s">
        <v>1</v>
      </c>
      <c r="BN41" t="s">
        <v>9</v>
      </c>
      <c r="BO41" s="2">
        <v>46115</v>
      </c>
      <c r="BP41" t="s">
        <v>1</v>
      </c>
      <c r="BQ41" t="s">
        <v>2167</v>
      </c>
      <c r="BR41" t="s">
        <v>27</v>
      </c>
      <c r="BS41" t="s">
        <v>1</v>
      </c>
      <c r="BT41" t="s">
        <v>1</v>
      </c>
      <c r="BU41" t="s">
        <v>1</v>
      </c>
      <c r="BV41" t="s">
        <v>1</v>
      </c>
      <c r="BW41" t="s">
        <v>7</v>
      </c>
      <c r="BX41" t="s">
        <v>10</v>
      </c>
      <c r="BY41" s="2"/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254</v>
      </c>
      <c r="CJ41" s="3">
        <v>-696300000</v>
      </c>
      <c r="CK41" t="s">
        <v>9</v>
      </c>
      <c r="CL41" t="s">
        <v>11</v>
      </c>
      <c r="CM41" t="s">
        <v>1</v>
      </c>
      <c r="CN41" s="4">
        <v>0</v>
      </c>
      <c r="CO41" t="s">
        <v>7</v>
      </c>
      <c r="CP41" t="s">
        <v>7</v>
      </c>
      <c r="CQ41" t="s">
        <v>7</v>
      </c>
      <c r="CR41" t="s">
        <v>7</v>
      </c>
      <c r="CS41" s="4">
        <v>0</v>
      </c>
      <c r="CT41" t="s">
        <v>2167</v>
      </c>
      <c r="CU41" t="s">
        <v>7</v>
      </c>
      <c r="CV41" t="s">
        <v>1</v>
      </c>
      <c r="CW41" s="2"/>
      <c r="CX41" t="s">
        <v>12</v>
      </c>
      <c r="CY41" t="s">
        <v>1</v>
      </c>
      <c r="CZ41" t="s">
        <v>13</v>
      </c>
      <c r="DA41" t="s">
        <v>1</v>
      </c>
      <c r="DB41" t="s">
        <v>9</v>
      </c>
      <c r="DC41" t="s">
        <v>9</v>
      </c>
      <c r="DD41" t="s">
        <v>1</v>
      </c>
      <c r="DE41" t="s">
        <v>1</v>
      </c>
      <c r="DF41" t="s">
        <v>1</v>
      </c>
      <c r="DG41" t="s">
        <v>32</v>
      </c>
      <c r="DH41" t="s">
        <v>1</v>
      </c>
      <c r="DI41" s="2"/>
      <c r="DJ41" t="s">
        <v>1</v>
      </c>
      <c r="DK41" t="s">
        <v>14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s="2"/>
      <c r="DW41" t="s">
        <v>1</v>
      </c>
      <c r="DX41" t="s">
        <v>1</v>
      </c>
      <c r="DY41" t="s">
        <v>2169</v>
      </c>
      <c r="DZ41" t="s">
        <v>1</v>
      </c>
      <c r="EA41" t="s">
        <v>1</v>
      </c>
      <c r="EB41" t="s">
        <v>28</v>
      </c>
      <c r="EC41" t="s">
        <v>7</v>
      </c>
      <c r="ED41" t="s">
        <v>1</v>
      </c>
      <c r="EE41" t="s">
        <v>1</v>
      </c>
      <c r="EF41" t="s">
        <v>22</v>
      </c>
      <c r="EG41" t="s">
        <v>41</v>
      </c>
      <c r="EH41" t="s">
        <v>15</v>
      </c>
      <c r="EI41" t="s">
        <v>1</v>
      </c>
      <c r="EJ41" s="4">
        <v>-22000</v>
      </c>
      <c r="EK41" t="s">
        <v>1</v>
      </c>
      <c r="EL41" t="s">
        <v>1</v>
      </c>
      <c r="EM41" t="s">
        <v>1</v>
      </c>
      <c r="EN41" t="s">
        <v>1</v>
      </c>
      <c r="EO41" s="2"/>
      <c r="EP41" t="s">
        <v>2169</v>
      </c>
      <c r="EQ41" t="s">
        <v>1</v>
      </c>
      <c r="ER41" t="s">
        <v>1</v>
      </c>
      <c r="ES41" t="s">
        <v>1</v>
      </c>
      <c r="ET41" t="s">
        <v>29</v>
      </c>
      <c r="EU41" t="s">
        <v>1</v>
      </c>
      <c r="EV41" t="s">
        <v>1</v>
      </c>
      <c r="EW41" t="s">
        <v>7</v>
      </c>
      <c r="EX41" t="s">
        <v>7</v>
      </c>
      <c r="EY41" t="s">
        <v>1</v>
      </c>
      <c r="EZ41" t="s">
        <v>1</v>
      </c>
      <c r="FA41" t="s">
        <v>1</v>
      </c>
      <c r="FB41" s="3">
        <v>50</v>
      </c>
      <c r="FC41" t="s">
        <v>1</v>
      </c>
      <c r="FD41" t="s">
        <v>1</v>
      </c>
      <c r="FE41" t="s">
        <v>1</v>
      </c>
      <c r="FF41" t="s">
        <v>17</v>
      </c>
      <c r="FG41" t="s">
        <v>1</v>
      </c>
      <c r="FH41" t="s">
        <v>1</v>
      </c>
      <c r="FI41" t="s">
        <v>1</v>
      </c>
      <c r="FJ41" t="s">
        <v>1</v>
      </c>
      <c r="FK41" s="7">
        <v>46115.482951388891</v>
      </c>
      <c r="FL41" t="s">
        <v>1</v>
      </c>
      <c r="FM41" t="s">
        <v>1</v>
      </c>
      <c r="FN41" t="s">
        <v>1</v>
      </c>
      <c r="FO41" s="19">
        <v>-696300000</v>
      </c>
      <c r="FP41" s="4">
        <v>0</v>
      </c>
      <c r="FQ41" s="19">
        <v>-696300000</v>
      </c>
      <c r="FR41" s="4">
        <v>0</v>
      </c>
      <c r="FS41" s="4">
        <v>0</v>
      </c>
      <c r="FT41" s="4">
        <v>0</v>
      </c>
      <c r="FU41" s="2">
        <v>46115</v>
      </c>
      <c r="FV41" t="s">
        <v>1</v>
      </c>
      <c r="FW41" s="4">
        <v>0</v>
      </c>
      <c r="FX41" t="s">
        <v>1</v>
      </c>
      <c r="FY41" t="s">
        <v>1</v>
      </c>
      <c r="FZ41" s="4">
        <v>0</v>
      </c>
      <c r="GA41" s="4">
        <v>0</v>
      </c>
      <c r="GB41" t="s">
        <v>2070</v>
      </c>
      <c r="GC41" t="str">
        <f>RIGHT(Data_FAGLL03[[#This Row],[Payment reference]],8)</f>
        <v>91172544</v>
      </c>
      <c r="GD41" t="str">
        <f>IF(Data_FAGLL03[[#This Row],[Billing]]&lt;&gt;"",_xlfn.XLOOKUP(Data_FAGLL03[[#This Row],[Billing]],MD_BILLING_SO[BILIING],MD_BILLING_SO[SO-EDITED]),"")</f>
        <v>30030681</v>
      </c>
      <c r="GE41" s="18">
        <f>IF(SUBSTITUTE(Data_FAGLL03[[#This Row],[Eff.exchange rate]],",","")/100000=1,1,SUBSTITUTE(Data_FAGLL03[[#This Row],[Eff.exchange rate]],",","")/100)</f>
        <v>1</v>
      </c>
      <c r="GF41" s="17">
        <f>IF(Data_FAGLL03[[#This Row],[Material]]&lt;&gt;"",IFERROR(Data_FAGLL03[[#This Row],[Amount in local currency]]/Data_FAGLL03[[#This Row],[Quantity_Original]],0),0)</f>
        <v>31650</v>
      </c>
      <c r="GG41" s="18">
        <f>IF(Data_FAGLL03[[#This Row],[XK/NĐ]]="XK",Data_FAGLL03[[#This Row],[GB trung bình]]/Data_FAGLL03[[#This Row],[EXR]],0)*1000</f>
        <v>0</v>
      </c>
      <c r="GH41" s="18" cm="1">
        <f t="array" ref="GH41">IF(Data_FAGLL03[[#This Row],[Document currency]]&lt;&gt;"VND",Data_FAGLL03[[#This Row],[Amount in doc. curr.]],Data_FAGLL03[[#This Row],[Amount in local currency]]/EXR)</f>
        <v>-26523.548875427186</v>
      </c>
      <c r="GI41" s="10">
        <f>Data_FAGLL03[[#This Row],[Time Stamp]]+TIME(7,0,0)</f>
        <v>46115.774618055555</v>
      </c>
      <c r="GJ41" s="18">
        <f>MONTH(Data_FAGLL03[[#This Row],[Time Stamp_VN]])</f>
        <v>4</v>
      </c>
      <c r="GK41">
        <f>DAY(Data_FAGLL03[[#This Row],[Time Stamp_VN]])</f>
        <v>3</v>
      </c>
      <c r="GL41" t="str">
        <f>TEXT(Data_FAGLL03[[#This Row],[Tháng]],"00")&amp;" | "&amp;TEXT(Data_FAGLL03[[#This Row],[Ngày]],"00")</f>
        <v>04 | 03</v>
      </c>
      <c r="GM41" s="18">
        <f>IF(Data_FAGLL03[[#This Row],[Text]]="",Data_FAGLL03[[#This Row],[Quantity_Original]],0)</f>
        <v>-22000</v>
      </c>
      <c r="GN41" s="18" t="str">
        <f>IF(Data_FAGLL03[[#This Row],[Quantity_Edited]]&lt;&gt;0,Data_FAGLL03[[#This Row],[Offsetting acct no.]]&amp;" | "&amp;Data_FAGLL03[[#This Row],[Material]],"")</f>
        <v>105271 | 110000332</v>
      </c>
      <c r="GO41" t="str">
        <f>IF(LEFT(Data_FAGLL03[[#This Row],[Offsetting acct no.]],1)="1","NĐ",IF(LEFT(Data_FAGLL03[[#This Row],[Offsetting acct no.]],1)="2","XK","Khác"))</f>
        <v>NĐ</v>
      </c>
      <c r="GP41" t="str">
        <f>IF(Data_FAGLL03[[#This Row],[Material]]&lt;&gt;"",_xlfn.XLOOKUP(Data_FAGLL03[[#This Row],[Material]],MD_SKU[Mã SKU],MD_SKU[Tên SKU]),"")</f>
        <v>Hạt nhựa rPET iSS01084G</v>
      </c>
      <c r="GQ41" t="str">
        <f>IF(Data_FAGLL03[[#This Row],[Material]]&lt;&gt;"",_xlfn.XLOOKUP(Data_FAGLL03[[#This Row],[Material]],MD_SKU[Mã SKU],MD_SKU[Nhóm SP 1]),"")</f>
        <v>rPET</v>
      </c>
      <c r="GR41" t="str">
        <f>IF(Data_FAGLL03[[#This Row],[Material]]&lt;&gt;"",_xlfn.XLOOKUP(Data_FAGLL03[[#This Row],[Material]],MD_SKU[Mã SKU],MD_SKU[Nhóm SP 2]),"")</f>
        <v>rPET</v>
      </c>
      <c r="GS41" t="str">
        <f>IF(Data_FAGLL03[[#This Row],[Material]]&lt;&gt;"",_xlfn.XLOOKUP(Data_FAGLL03[[#This Row],[Material]],MD_SKU[Mã SKU],MD_SKU[Nhóm SP 3]),"")</f>
        <v>rPET</v>
      </c>
      <c r="GT41" t="str">
        <f>IF(Data_FAGLL03[[#This Row],[Material]]&lt;&gt;"",_xlfn.XLOOKUP(Data_FAGLL03[[#This Row],[Material]],MD_SKU[Mã SKU],MD_SKU[Nhóm SP 4]),"")</f>
        <v>Hạt rPET</v>
      </c>
    </row>
    <row r="42" spans="1:202" x14ac:dyDescent="0.25">
      <c r="A42" t="s">
        <v>0</v>
      </c>
      <c r="B42" s="2">
        <v>46115</v>
      </c>
      <c r="C42" t="s">
        <v>2170</v>
      </c>
      <c r="D42" t="s">
        <v>1</v>
      </c>
      <c r="E42" t="s">
        <v>1</v>
      </c>
      <c r="F42" t="s">
        <v>31</v>
      </c>
      <c r="G42" t="s">
        <v>31</v>
      </c>
      <c r="H42" t="s">
        <v>2047</v>
      </c>
      <c r="I42" s="19">
        <v>-921686700</v>
      </c>
      <c r="J42" t="s">
        <v>2048</v>
      </c>
      <c r="K42" t="s">
        <v>1</v>
      </c>
      <c r="L42" t="s">
        <v>39</v>
      </c>
      <c r="M42" t="s">
        <v>41</v>
      </c>
      <c r="N42" t="s">
        <v>254</v>
      </c>
      <c r="O42" t="s">
        <v>4</v>
      </c>
      <c r="P42" t="s">
        <v>2171</v>
      </c>
      <c r="Q42" t="s">
        <v>31</v>
      </c>
      <c r="R42" t="s">
        <v>5</v>
      </c>
      <c r="S42" t="s">
        <v>1</v>
      </c>
      <c r="T42" s="3">
        <v>-921686700</v>
      </c>
      <c r="U42" s="19">
        <v>-921686700</v>
      </c>
      <c r="V42" s="3">
        <v>-921686700</v>
      </c>
      <c r="W42" s="3">
        <v>-921686700</v>
      </c>
      <c r="X42" s="4">
        <v>0</v>
      </c>
      <c r="Y42" s="4">
        <v>0</v>
      </c>
      <c r="Z42" s="3">
        <v>0</v>
      </c>
      <c r="AA42" s="3">
        <v>0</v>
      </c>
      <c r="AB42" t="s">
        <v>1</v>
      </c>
      <c r="AC42" t="s">
        <v>24</v>
      </c>
      <c r="AD42" s="2"/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25</v>
      </c>
      <c r="AK42" s="4">
        <v>0</v>
      </c>
      <c r="AL42" t="s">
        <v>1</v>
      </c>
      <c r="AM42" s="5" t="s">
        <v>1</v>
      </c>
      <c r="AN42" t="s">
        <v>1</v>
      </c>
      <c r="AO42" s="2"/>
      <c r="AP42" t="s">
        <v>1</v>
      </c>
      <c r="AQ42" t="s">
        <v>1</v>
      </c>
      <c r="AR42" s="3">
        <v>0</v>
      </c>
      <c r="AS42" t="s">
        <v>1</v>
      </c>
      <c r="AT42" t="s">
        <v>7</v>
      </c>
      <c r="AU42" t="s">
        <v>1</v>
      </c>
      <c r="AV42" t="s">
        <v>1</v>
      </c>
      <c r="AW42" t="s">
        <v>8</v>
      </c>
      <c r="AX42" t="s">
        <v>8</v>
      </c>
      <c r="AY42" t="s">
        <v>1</v>
      </c>
      <c r="AZ42" s="4">
        <v>0</v>
      </c>
      <c r="BA42" t="s">
        <v>1</v>
      </c>
      <c r="BB42" s="3">
        <v>0</v>
      </c>
      <c r="BC42" s="3">
        <v>0</v>
      </c>
      <c r="BD42" s="3">
        <v>0</v>
      </c>
      <c r="BE42" t="s">
        <v>20</v>
      </c>
      <c r="BF42" t="s">
        <v>1</v>
      </c>
      <c r="BG42" s="4">
        <v>0</v>
      </c>
      <c r="BH42" s="4">
        <v>0</v>
      </c>
      <c r="BI42" s="6">
        <v>0</v>
      </c>
      <c r="BJ42" s="6">
        <v>0</v>
      </c>
      <c r="BK42" t="s">
        <v>1</v>
      </c>
      <c r="BL42" t="s">
        <v>1</v>
      </c>
      <c r="BM42" t="s">
        <v>1</v>
      </c>
      <c r="BN42" t="s">
        <v>9</v>
      </c>
      <c r="BO42" s="2">
        <v>46115</v>
      </c>
      <c r="BP42" t="s">
        <v>1</v>
      </c>
      <c r="BQ42" t="s">
        <v>2170</v>
      </c>
      <c r="BR42" t="s">
        <v>27</v>
      </c>
      <c r="BS42" t="s">
        <v>1</v>
      </c>
      <c r="BT42" t="s">
        <v>1</v>
      </c>
      <c r="BU42" t="s">
        <v>1</v>
      </c>
      <c r="BV42" t="s">
        <v>1</v>
      </c>
      <c r="BW42" t="s">
        <v>7</v>
      </c>
      <c r="BX42" t="s">
        <v>10</v>
      </c>
      <c r="BY42" s="2"/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254</v>
      </c>
      <c r="CJ42" s="3">
        <v>-921686700</v>
      </c>
      <c r="CK42" t="s">
        <v>9</v>
      </c>
      <c r="CL42" t="s">
        <v>11</v>
      </c>
      <c r="CM42" t="s">
        <v>1</v>
      </c>
      <c r="CN42" s="4">
        <v>0</v>
      </c>
      <c r="CO42" t="s">
        <v>7</v>
      </c>
      <c r="CP42" t="s">
        <v>7</v>
      </c>
      <c r="CQ42" t="s">
        <v>7</v>
      </c>
      <c r="CR42" t="s">
        <v>7</v>
      </c>
      <c r="CS42" s="4">
        <v>0</v>
      </c>
      <c r="CT42" t="s">
        <v>2170</v>
      </c>
      <c r="CU42" t="s">
        <v>7</v>
      </c>
      <c r="CV42" t="s">
        <v>1</v>
      </c>
      <c r="CW42" s="2"/>
      <c r="CX42" t="s">
        <v>12</v>
      </c>
      <c r="CY42" t="s">
        <v>1</v>
      </c>
      <c r="CZ42" t="s">
        <v>13</v>
      </c>
      <c r="DA42" t="s">
        <v>1</v>
      </c>
      <c r="DB42" t="s">
        <v>9</v>
      </c>
      <c r="DC42" t="s">
        <v>9</v>
      </c>
      <c r="DD42" t="s">
        <v>1</v>
      </c>
      <c r="DE42" t="s">
        <v>1</v>
      </c>
      <c r="DF42" t="s">
        <v>1</v>
      </c>
      <c r="DG42" t="s">
        <v>301</v>
      </c>
      <c r="DH42" t="s">
        <v>1</v>
      </c>
      <c r="DI42" s="2"/>
      <c r="DJ42" t="s">
        <v>1</v>
      </c>
      <c r="DK42" t="s">
        <v>14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s="2"/>
      <c r="DW42" t="s">
        <v>1</v>
      </c>
      <c r="DX42" t="s">
        <v>1</v>
      </c>
      <c r="DY42" t="s">
        <v>2172</v>
      </c>
      <c r="DZ42" t="s">
        <v>1</v>
      </c>
      <c r="EA42" t="s">
        <v>1</v>
      </c>
      <c r="EB42" t="s">
        <v>28</v>
      </c>
      <c r="EC42" t="s">
        <v>7</v>
      </c>
      <c r="ED42" t="s">
        <v>1</v>
      </c>
      <c r="EE42" t="s">
        <v>1</v>
      </c>
      <c r="EF42" t="s">
        <v>22</v>
      </c>
      <c r="EG42" t="s">
        <v>41</v>
      </c>
      <c r="EH42" t="s">
        <v>15</v>
      </c>
      <c r="EI42" t="s">
        <v>1</v>
      </c>
      <c r="EJ42" s="4">
        <v>-31900</v>
      </c>
      <c r="EK42" t="s">
        <v>1</v>
      </c>
      <c r="EL42" t="s">
        <v>1</v>
      </c>
      <c r="EM42" t="s">
        <v>1</v>
      </c>
      <c r="EN42" t="s">
        <v>1</v>
      </c>
      <c r="EO42" s="2"/>
      <c r="EP42" t="s">
        <v>2172</v>
      </c>
      <c r="EQ42" t="s">
        <v>1</v>
      </c>
      <c r="ER42" t="s">
        <v>1</v>
      </c>
      <c r="ES42" t="s">
        <v>1</v>
      </c>
      <c r="ET42" t="s">
        <v>29</v>
      </c>
      <c r="EU42" t="s">
        <v>1</v>
      </c>
      <c r="EV42" t="s">
        <v>1</v>
      </c>
      <c r="EW42" t="s">
        <v>7</v>
      </c>
      <c r="EX42" t="s">
        <v>7</v>
      </c>
      <c r="EY42" t="s">
        <v>1</v>
      </c>
      <c r="EZ42" t="s">
        <v>1</v>
      </c>
      <c r="FA42" t="s">
        <v>1</v>
      </c>
      <c r="FB42" s="3">
        <v>50</v>
      </c>
      <c r="FC42" t="s">
        <v>1</v>
      </c>
      <c r="FD42" t="s">
        <v>1</v>
      </c>
      <c r="FE42" t="s">
        <v>1</v>
      </c>
      <c r="FF42" t="s">
        <v>17</v>
      </c>
      <c r="FG42" t="s">
        <v>1</v>
      </c>
      <c r="FH42" t="s">
        <v>1</v>
      </c>
      <c r="FI42" t="s">
        <v>1</v>
      </c>
      <c r="FJ42" t="s">
        <v>1</v>
      </c>
      <c r="FK42" s="7">
        <v>46115.483148148145</v>
      </c>
      <c r="FL42" t="s">
        <v>1</v>
      </c>
      <c r="FM42" t="s">
        <v>1</v>
      </c>
      <c r="FN42" t="s">
        <v>1</v>
      </c>
      <c r="FO42" s="19">
        <v>-921686700</v>
      </c>
      <c r="FP42" s="4">
        <v>0</v>
      </c>
      <c r="FQ42" s="19">
        <v>-921686700</v>
      </c>
      <c r="FR42" s="4">
        <v>0</v>
      </c>
      <c r="FS42" s="4">
        <v>0</v>
      </c>
      <c r="FT42" s="4">
        <v>0</v>
      </c>
      <c r="FU42" s="2">
        <v>46115</v>
      </c>
      <c r="FV42" t="s">
        <v>1</v>
      </c>
      <c r="FW42" s="4">
        <v>0</v>
      </c>
      <c r="FX42" t="s">
        <v>1</v>
      </c>
      <c r="FY42" t="s">
        <v>1</v>
      </c>
      <c r="FZ42" s="4">
        <v>0</v>
      </c>
      <c r="GA42" s="4">
        <v>0</v>
      </c>
      <c r="GB42" t="s">
        <v>2070</v>
      </c>
      <c r="GC42" t="str">
        <f>RIGHT(Data_FAGLL03[[#This Row],[Payment reference]],8)</f>
        <v>91172545</v>
      </c>
      <c r="GD42" t="str">
        <f>IF(Data_FAGLL03[[#This Row],[Billing]]&lt;&gt;"",_xlfn.XLOOKUP(Data_FAGLL03[[#This Row],[Billing]],MD_BILLING_SO[BILIING],MD_BILLING_SO[SO-EDITED]),"")</f>
        <v>30030651</v>
      </c>
      <c r="GE42" s="18">
        <f>IF(SUBSTITUTE(Data_FAGLL03[[#This Row],[Eff.exchange rate]],",","")/100000=1,1,SUBSTITUTE(Data_FAGLL03[[#This Row],[Eff.exchange rate]],",","")/100)</f>
        <v>1</v>
      </c>
      <c r="GF42" s="17">
        <f>IF(Data_FAGLL03[[#This Row],[Material]]&lt;&gt;"",IFERROR(Data_FAGLL03[[#This Row],[Amount in local currency]]/Data_FAGLL03[[#This Row],[Quantity_Original]],0),0)</f>
        <v>28893</v>
      </c>
      <c r="GG42" s="18">
        <f>IF(Data_FAGLL03[[#This Row],[XK/NĐ]]="XK",Data_FAGLL03[[#This Row],[GB trung bình]]/Data_FAGLL03[[#This Row],[EXR]],0)*1000</f>
        <v>0</v>
      </c>
      <c r="GH42" s="18" cm="1">
        <f t="array" ref="GH42">IF(Data_FAGLL03[[#This Row],[Document currency]]&lt;&gt;"VND",Data_FAGLL03[[#This Row],[Amount in doc. curr.]],Data_FAGLL03[[#This Row],[Amount in local currency]]/EXR)</f>
        <v>-35109.007949563689</v>
      </c>
      <c r="GI42" s="10">
        <f>Data_FAGLL03[[#This Row],[Time Stamp]]+TIME(7,0,0)</f>
        <v>46115.774814814809</v>
      </c>
      <c r="GJ42" s="18">
        <f>MONTH(Data_FAGLL03[[#This Row],[Time Stamp_VN]])</f>
        <v>4</v>
      </c>
      <c r="GK42">
        <f>DAY(Data_FAGLL03[[#This Row],[Time Stamp_VN]])</f>
        <v>3</v>
      </c>
      <c r="GL42" t="str">
        <f>TEXT(Data_FAGLL03[[#This Row],[Tháng]],"00")&amp;" | "&amp;TEXT(Data_FAGLL03[[#This Row],[Ngày]],"00")</f>
        <v>04 | 03</v>
      </c>
      <c r="GM42" s="18">
        <f>IF(Data_FAGLL03[[#This Row],[Text]]="",Data_FAGLL03[[#This Row],[Quantity_Original]],0)</f>
        <v>-31900</v>
      </c>
      <c r="GN42" s="18" t="str">
        <f>IF(Data_FAGLL03[[#This Row],[Quantity_Edited]]&lt;&gt;0,Data_FAGLL03[[#This Row],[Offsetting acct no.]]&amp;" | "&amp;Data_FAGLL03[[#This Row],[Material]],"")</f>
        <v>104877 | 110000359</v>
      </c>
      <c r="GO42" t="str">
        <f>IF(LEFT(Data_FAGLL03[[#This Row],[Offsetting acct no.]],1)="1","NĐ",IF(LEFT(Data_FAGLL03[[#This Row],[Offsetting acct no.]],1)="2","XK","Khác"))</f>
        <v>NĐ</v>
      </c>
      <c r="GP42" t="str">
        <f>IF(Data_FAGLL03[[#This Row],[Material]]&lt;&gt;"",_xlfn.XLOOKUP(Data_FAGLL03[[#This Row],[Material]],MD_SKU[Mã SKU],MD_SKU[Tên SKU]),"")</f>
        <v>Hạt nhựa rPET WSS03G</v>
      </c>
      <c r="GQ42" t="str">
        <f>IF(Data_FAGLL03[[#This Row],[Material]]&lt;&gt;"",_xlfn.XLOOKUP(Data_FAGLL03[[#This Row],[Material]],MD_SKU[Mã SKU],MD_SKU[Nhóm SP 1]),"")</f>
        <v>rPET</v>
      </c>
      <c r="GR42" t="str">
        <f>IF(Data_FAGLL03[[#This Row],[Material]]&lt;&gt;"",_xlfn.XLOOKUP(Data_FAGLL03[[#This Row],[Material]],MD_SKU[Mã SKU],MD_SKU[Nhóm SP 2]),"")</f>
        <v>rPET</v>
      </c>
      <c r="GS42" t="str">
        <f>IF(Data_FAGLL03[[#This Row],[Material]]&lt;&gt;"",_xlfn.XLOOKUP(Data_FAGLL03[[#This Row],[Material]],MD_SKU[Mã SKU],MD_SKU[Nhóm SP 3]),"")</f>
        <v>rPET</v>
      </c>
      <c r="GT42" t="str">
        <f>IF(Data_FAGLL03[[#This Row],[Material]]&lt;&gt;"",_xlfn.XLOOKUP(Data_FAGLL03[[#This Row],[Material]],MD_SKU[Mã SKU],MD_SKU[Nhóm SP 4]),"")</f>
        <v>Hạt rPET</v>
      </c>
    </row>
    <row r="43" spans="1:202" x14ac:dyDescent="0.25">
      <c r="A43" t="s">
        <v>0</v>
      </c>
      <c r="B43" s="2">
        <v>46115</v>
      </c>
      <c r="C43" t="s">
        <v>2173</v>
      </c>
      <c r="D43" t="s">
        <v>1</v>
      </c>
      <c r="E43" t="s">
        <v>1</v>
      </c>
      <c r="F43" t="s">
        <v>31</v>
      </c>
      <c r="G43" t="s">
        <v>31</v>
      </c>
      <c r="H43" t="s">
        <v>2047</v>
      </c>
      <c r="I43" s="19">
        <v>-921686700</v>
      </c>
      <c r="J43" t="s">
        <v>2048</v>
      </c>
      <c r="K43" t="s">
        <v>1</v>
      </c>
      <c r="L43" t="s">
        <v>39</v>
      </c>
      <c r="M43" t="s">
        <v>41</v>
      </c>
      <c r="N43" t="s">
        <v>254</v>
      </c>
      <c r="O43" t="s">
        <v>4</v>
      </c>
      <c r="P43" t="s">
        <v>2174</v>
      </c>
      <c r="Q43" t="s">
        <v>31</v>
      </c>
      <c r="R43" t="s">
        <v>5</v>
      </c>
      <c r="S43" t="s">
        <v>1</v>
      </c>
      <c r="T43" s="3">
        <v>-921686700</v>
      </c>
      <c r="U43" s="19">
        <v>-921686700</v>
      </c>
      <c r="V43" s="3">
        <v>-921686700</v>
      </c>
      <c r="W43" s="3">
        <v>-921686700</v>
      </c>
      <c r="X43" s="4">
        <v>0</v>
      </c>
      <c r="Y43" s="4">
        <v>0</v>
      </c>
      <c r="Z43" s="3">
        <v>0</v>
      </c>
      <c r="AA43" s="3">
        <v>0</v>
      </c>
      <c r="AB43" t="s">
        <v>1</v>
      </c>
      <c r="AC43" t="s">
        <v>24</v>
      </c>
      <c r="AD43" s="2"/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25</v>
      </c>
      <c r="AK43" s="4">
        <v>0</v>
      </c>
      <c r="AL43" t="s">
        <v>1</v>
      </c>
      <c r="AM43" s="5" t="s">
        <v>1</v>
      </c>
      <c r="AN43" t="s">
        <v>1</v>
      </c>
      <c r="AO43" s="2"/>
      <c r="AP43" t="s">
        <v>1</v>
      </c>
      <c r="AQ43" t="s">
        <v>1</v>
      </c>
      <c r="AR43" s="3">
        <v>0</v>
      </c>
      <c r="AS43" t="s">
        <v>1</v>
      </c>
      <c r="AT43" t="s">
        <v>7</v>
      </c>
      <c r="AU43" t="s">
        <v>1</v>
      </c>
      <c r="AV43" t="s">
        <v>1</v>
      </c>
      <c r="AW43" t="s">
        <v>8</v>
      </c>
      <c r="AX43" t="s">
        <v>8</v>
      </c>
      <c r="AY43" t="s">
        <v>1</v>
      </c>
      <c r="AZ43" s="4">
        <v>0</v>
      </c>
      <c r="BA43" t="s">
        <v>1</v>
      </c>
      <c r="BB43" s="3">
        <v>0</v>
      </c>
      <c r="BC43" s="3">
        <v>0</v>
      </c>
      <c r="BD43" s="3">
        <v>0</v>
      </c>
      <c r="BE43" t="s">
        <v>20</v>
      </c>
      <c r="BF43" t="s">
        <v>1</v>
      </c>
      <c r="BG43" s="4">
        <v>0</v>
      </c>
      <c r="BH43" s="4">
        <v>0</v>
      </c>
      <c r="BI43" s="6">
        <v>0</v>
      </c>
      <c r="BJ43" s="6">
        <v>0</v>
      </c>
      <c r="BK43" t="s">
        <v>1</v>
      </c>
      <c r="BL43" t="s">
        <v>1</v>
      </c>
      <c r="BM43" t="s">
        <v>1</v>
      </c>
      <c r="BN43" t="s">
        <v>9</v>
      </c>
      <c r="BO43" s="2">
        <v>46115</v>
      </c>
      <c r="BP43" t="s">
        <v>1</v>
      </c>
      <c r="BQ43" t="s">
        <v>2173</v>
      </c>
      <c r="BR43" t="s">
        <v>27</v>
      </c>
      <c r="BS43" t="s">
        <v>1</v>
      </c>
      <c r="BT43" t="s">
        <v>1</v>
      </c>
      <c r="BU43" t="s">
        <v>1</v>
      </c>
      <c r="BV43" t="s">
        <v>1</v>
      </c>
      <c r="BW43" t="s">
        <v>7</v>
      </c>
      <c r="BX43" t="s">
        <v>10</v>
      </c>
      <c r="BY43" s="2"/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254</v>
      </c>
      <c r="CJ43" s="3">
        <v>-921686700</v>
      </c>
      <c r="CK43" t="s">
        <v>9</v>
      </c>
      <c r="CL43" t="s">
        <v>11</v>
      </c>
      <c r="CM43" t="s">
        <v>1</v>
      </c>
      <c r="CN43" s="4">
        <v>0</v>
      </c>
      <c r="CO43" t="s">
        <v>7</v>
      </c>
      <c r="CP43" t="s">
        <v>7</v>
      </c>
      <c r="CQ43" t="s">
        <v>7</v>
      </c>
      <c r="CR43" t="s">
        <v>7</v>
      </c>
      <c r="CS43" s="4">
        <v>0</v>
      </c>
      <c r="CT43" t="s">
        <v>2173</v>
      </c>
      <c r="CU43" t="s">
        <v>7</v>
      </c>
      <c r="CV43" t="s">
        <v>1</v>
      </c>
      <c r="CW43" s="2"/>
      <c r="CX43" t="s">
        <v>12</v>
      </c>
      <c r="CY43" t="s">
        <v>1</v>
      </c>
      <c r="CZ43" t="s">
        <v>13</v>
      </c>
      <c r="DA43" t="s">
        <v>1</v>
      </c>
      <c r="DB43" t="s">
        <v>9</v>
      </c>
      <c r="DC43" t="s">
        <v>9</v>
      </c>
      <c r="DD43" t="s">
        <v>1</v>
      </c>
      <c r="DE43" t="s">
        <v>1</v>
      </c>
      <c r="DF43" t="s">
        <v>1</v>
      </c>
      <c r="DG43" t="s">
        <v>301</v>
      </c>
      <c r="DH43" t="s">
        <v>1</v>
      </c>
      <c r="DI43" s="2"/>
      <c r="DJ43" t="s">
        <v>1</v>
      </c>
      <c r="DK43" t="s">
        <v>14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s="2"/>
      <c r="DW43" t="s">
        <v>1</v>
      </c>
      <c r="DX43" t="s">
        <v>1</v>
      </c>
      <c r="DY43" t="s">
        <v>2175</v>
      </c>
      <c r="DZ43" t="s">
        <v>1</v>
      </c>
      <c r="EA43" t="s">
        <v>1</v>
      </c>
      <c r="EB43" t="s">
        <v>28</v>
      </c>
      <c r="EC43" t="s">
        <v>7</v>
      </c>
      <c r="ED43" t="s">
        <v>1</v>
      </c>
      <c r="EE43" t="s">
        <v>1</v>
      </c>
      <c r="EF43" t="s">
        <v>22</v>
      </c>
      <c r="EG43" t="s">
        <v>41</v>
      </c>
      <c r="EH43" t="s">
        <v>15</v>
      </c>
      <c r="EI43" t="s">
        <v>1</v>
      </c>
      <c r="EJ43" s="4">
        <v>-31900</v>
      </c>
      <c r="EK43" t="s">
        <v>1</v>
      </c>
      <c r="EL43" t="s">
        <v>1</v>
      </c>
      <c r="EM43" t="s">
        <v>1</v>
      </c>
      <c r="EN43" t="s">
        <v>1</v>
      </c>
      <c r="EO43" s="2"/>
      <c r="EP43" t="s">
        <v>2175</v>
      </c>
      <c r="EQ43" t="s">
        <v>1</v>
      </c>
      <c r="ER43" t="s">
        <v>1</v>
      </c>
      <c r="ES43" t="s">
        <v>1</v>
      </c>
      <c r="ET43" t="s">
        <v>29</v>
      </c>
      <c r="EU43" t="s">
        <v>1</v>
      </c>
      <c r="EV43" t="s">
        <v>1</v>
      </c>
      <c r="EW43" t="s">
        <v>7</v>
      </c>
      <c r="EX43" t="s">
        <v>7</v>
      </c>
      <c r="EY43" t="s">
        <v>1</v>
      </c>
      <c r="EZ43" t="s">
        <v>1</v>
      </c>
      <c r="FA43" t="s">
        <v>1</v>
      </c>
      <c r="FB43" s="3">
        <v>50</v>
      </c>
      <c r="FC43" t="s">
        <v>1</v>
      </c>
      <c r="FD43" t="s">
        <v>1</v>
      </c>
      <c r="FE43" t="s">
        <v>1</v>
      </c>
      <c r="FF43" t="s">
        <v>17</v>
      </c>
      <c r="FG43" t="s">
        <v>1</v>
      </c>
      <c r="FH43" t="s">
        <v>1</v>
      </c>
      <c r="FI43" t="s">
        <v>1</v>
      </c>
      <c r="FJ43" t="s">
        <v>1</v>
      </c>
      <c r="FK43" s="7">
        <v>46115.483206018522</v>
      </c>
      <c r="FL43" t="s">
        <v>1</v>
      </c>
      <c r="FM43" t="s">
        <v>1</v>
      </c>
      <c r="FN43" t="s">
        <v>1</v>
      </c>
      <c r="FO43" s="19">
        <v>-921686700</v>
      </c>
      <c r="FP43" s="4">
        <v>0</v>
      </c>
      <c r="FQ43" s="19">
        <v>-921686700</v>
      </c>
      <c r="FR43" s="4">
        <v>0</v>
      </c>
      <c r="FS43" s="4">
        <v>0</v>
      </c>
      <c r="FT43" s="4">
        <v>0</v>
      </c>
      <c r="FU43" s="2">
        <v>46115</v>
      </c>
      <c r="FV43" t="s">
        <v>1</v>
      </c>
      <c r="FW43" s="4">
        <v>0</v>
      </c>
      <c r="FX43" t="s">
        <v>1</v>
      </c>
      <c r="FY43" t="s">
        <v>1</v>
      </c>
      <c r="FZ43" s="4">
        <v>0</v>
      </c>
      <c r="GA43" s="4">
        <v>0</v>
      </c>
      <c r="GB43" t="s">
        <v>2070</v>
      </c>
      <c r="GC43" t="str">
        <f>RIGHT(Data_FAGLL03[[#This Row],[Payment reference]],8)</f>
        <v>91172546</v>
      </c>
      <c r="GD43" t="str">
        <f>IF(Data_FAGLL03[[#This Row],[Billing]]&lt;&gt;"",_xlfn.XLOOKUP(Data_FAGLL03[[#This Row],[Billing]],MD_BILLING_SO[BILIING],MD_BILLING_SO[SO-EDITED]),"")</f>
        <v>30030651</v>
      </c>
      <c r="GE43" s="18">
        <f>IF(SUBSTITUTE(Data_FAGLL03[[#This Row],[Eff.exchange rate]],",","")/100000=1,1,SUBSTITUTE(Data_FAGLL03[[#This Row],[Eff.exchange rate]],",","")/100)</f>
        <v>1</v>
      </c>
      <c r="GF43" s="17">
        <f>IF(Data_FAGLL03[[#This Row],[Material]]&lt;&gt;"",IFERROR(Data_FAGLL03[[#This Row],[Amount in local currency]]/Data_FAGLL03[[#This Row],[Quantity_Original]],0),0)</f>
        <v>28893</v>
      </c>
      <c r="GG43" s="18">
        <f>IF(Data_FAGLL03[[#This Row],[XK/NĐ]]="XK",Data_FAGLL03[[#This Row],[GB trung bình]]/Data_FAGLL03[[#This Row],[EXR]],0)*1000</f>
        <v>0</v>
      </c>
      <c r="GH43" s="18" cm="1">
        <f t="array" ref="GH43">IF(Data_FAGLL03[[#This Row],[Document currency]]&lt;&gt;"VND",Data_FAGLL03[[#This Row],[Amount in doc. curr.]],Data_FAGLL03[[#This Row],[Amount in local currency]]/EXR)</f>
        <v>-35109.007949563689</v>
      </c>
      <c r="GI43" s="10">
        <f>Data_FAGLL03[[#This Row],[Time Stamp]]+TIME(7,0,0)</f>
        <v>46115.774872685186</v>
      </c>
      <c r="GJ43" s="18">
        <f>MONTH(Data_FAGLL03[[#This Row],[Time Stamp_VN]])</f>
        <v>4</v>
      </c>
      <c r="GK43">
        <f>DAY(Data_FAGLL03[[#This Row],[Time Stamp_VN]])</f>
        <v>3</v>
      </c>
      <c r="GL43" t="str">
        <f>TEXT(Data_FAGLL03[[#This Row],[Tháng]],"00")&amp;" | "&amp;TEXT(Data_FAGLL03[[#This Row],[Ngày]],"00")</f>
        <v>04 | 03</v>
      </c>
      <c r="GM43" s="18">
        <f>IF(Data_FAGLL03[[#This Row],[Text]]="",Data_FAGLL03[[#This Row],[Quantity_Original]],0)</f>
        <v>-31900</v>
      </c>
      <c r="GN43" s="18" t="str">
        <f>IF(Data_FAGLL03[[#This Row],[Quantity_Edited]]&lt;&gt;0,Data_FAGLL03[[#This Row],[Offsetting acct no.]]&amp;" | "&amp;Data_FAGLL03[[#This Row],[Material]],"")</f>
        <v>104877 | 110000359</v>
      </c>
      <c r="GO43" t="str">
        <f>IF(LEFT(Data_FAGLL03[[#This Row],[Offsetting acct no.]],1)="1","NĐ",IF(LEFT(Data_FAGLL03[[#This Row],[Offsetting acct no.]],1)="2","XK","Khác"))</f>
        <v>NĐ</v>
      </c>
      <c r="GP43" t="str">
        <f>IF(Data_FAGLL03[[#This Row],[Material]]&lt;&gt;"",_xlfn.XLOOKUP(Data_FAGLL03[[#This Row],[Material]],MD_SKU[Mã SKU],MD_SKU[Tên SKU]),"")</f>
        <v>Hạt nhựa rPET WSS03G</v>
      </c>
      <c r="GQ43" t="str">
        <f>IF(Data_FAGLL03[[#This Row],[Material]]&lt;&gt;"",_xlfn.XLOOKUP(Data_FAGLL03[[#This Row],[Material]],MD_SKU[Mã SKU],MD_SKU[Nhóm SP 1]),"")</f>
        <v>rPET</v>
      </c>
      <c r="GR43" t="str">
        <f>IF(Data_FAGLL03[[#This Row],[Material]]&lt;&gt;"",_xlfn.XLOOKUP(Data_FAGLL03[[#This Row],[Material]],MD_SKU[Mã SKU],MD_SKU[Nhóm SP 2]),"")</f>
        <v>rPET</v>
      </c>
      <c r="GS43" t="str">
        <f>IF(Data_FAGLL03[[#This Row],[Material]]&lt;&gt;"",_xlfn.XLOOKUP(Data_FAGLL03[[#This Row],[Material]],MD_SKU[Mã SKU],MD_SKU[Nhóm SP 3]),"")</f>
        <v>rPET</v>
      </c>
      <c r="GT43" t="str">
        <f>IF(Data_FAGLL03[[#This Row],[Material]]&lt;&gt;"",_xlfn.XLOOKUP(Data_FAGLL03[[#This Row],[Material]],MD_SKU[Mã SKU],MD_SKU[Nhóm SP 4]),"")</f>
        <v>Hạt rPET</v>
      </c>
    </row>
    <row r="44" spans="1:202" x14ac:dyDescent="0.25">
      <c r="A44" t="s">
        <v>0</v>
      </c>
      <c r="B44" s="2">
        <v>46115</v>
      </c>
      <c r="C44" t="s">
        <v>2176</v>
      </c>
      <c r="D44" t="s">
        <v>1</v>
      </c>
      <c r="E44" t="s">
        <v>1</v>
      </c>
      <c r="F44" t="s">
        <v>31</v>
      </c>
      <c r="G44" t="s">
        <v>31</v>
      </c>
      <c r="H44" t="s">
        <v>2047</v>
      </c>
      <c r="I44" s="19">
        <v>-921686700</v>
      </c>
      <c r="J44" t="s">
        <v>2048</v>
      </c>
      <c r="K44" t="s">
        <v>1</v>
      </c>
      <c r="L44" t="s">
        <v>39</v>
      </c>
      <c r="M44" t="s">
        <v>41</v>
      </c>
      <c r="N44" t="s">
        <v>254</v>
      </c>
      <c r="O44" t="s">
        <v>4</v>
      </c>
      <c r="P44" t="s">
        <v>2177</v>
      </c>
      <c r="Q44" t="s">
        <v>31</v>
      </c>
      <c r="R44" t="s">
        <v>5</v>
      </c>
      <c r="S44" t="s">
        <v>1</v>
      </c>
      <c r="T44" s="3">
        <v>-921686700</v>
      </c>
      <c r="U44" s="19">
        <v>-921686700</v>
      </c>
      <c r="V44" s="3">
        <v>-921686700</v>
      </c>
      <c r="W44" s="3">
        <v>-921686700</v>
      </c>
      <c r="X44" s="4">
        <v>0</v>
      </c>
      <c r="Y44" s="4">
        <v>0</v>
      </c>
      <c r="Z44" s="3">
        <v>0</v>
      </c>
      <c r="AA44" s="3">
        <v>0</v>
      </c>
      <c r="AB44" t="s">
        <v>1</v>
      </c>
      <c r="AC44" t="s">
        <v>24</v>
      </c>
      <c r="AD44" s="2"/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25</v>
      </c>
      <c r="AK44" s="4">
        <v>0</v>
      </c>
      <c r="AL44" t="s">
        <v>1</v>
      </c>
      <c r="AM44" s="5" t="s">
        <v>1</v>
      </c>
      <c r="AN44" t="s">
        <v>1</v>
      </c>
      <c r="AO44" s="2"/>
      <c r="AP44" t="s">
        <v>1</v>
      </c>
      <c r="AQ44" t="s">
        <v>1</v>
      </c>
      <c r="AR44" s="3">
        <v>0</v>
      </c>
      <c r="AS44" t="s">
        <v>1</v>
      </c>
      <c r="AT44" t="s">
        <v>7</v>
      </c>
      <c r="AU44" t="s">
        <v>1</v>
      </c>
      <c r="AV44" t="s">
        <v>1</v>
      </c>
      <c r="AW44" t="s">
        <v>8</v>
      </c>
      <c r="AX44" t="s">
        <v>8</v>
      </c>
      <c r="AY44" t="s">
        <v>1</v>
      </c>
      <c r="AZ44" s="4">
        <v>0</v>
      </c>
      <c r="BA44" t="s">
        <v>1</v>
      </c>
      <c r="BB44" s="3">
        <v>0</v>
      </c>
      <c r="BC44" s="3">
        <v>0</v>
      </c>
      <c r="BD44" s="3">
        <v>0</v>
      </c>
      <c r="BE44" t="s">
        <v>20</v>
      </c>
      <c r="BF44" t="s">
        <v>1</v>
      </c>
      <c r="BG44" s="4">
        <v>0</v>
      </c>
      <c r="BH44" s="4">
        <v>0</v>
      </c>
      <c r="BI44" s="6">
        <v>0</v>
      </c>
      <c r="BJ44" s="6">
        <v>0</v>
      </c>
      <c r="BK44" t="s">
        <v>1</v>
      </c>
      <c r="BL44" t="s">
        <v>1</v>
      </c>
      <c r="BM44" t="s">
        <v>1</v>
      </c>
      <c r="BN44" t="s">
        <v>9</v>
      </c>
      <c r="BO44" s="2">
        <v>46115</v>
      </c>
      <c r="BP44" t="s">
        <v>1</v>
      </c>
      <c r="BQ44" t="s">
        <v>2176</v>
      </c>
      <c r="BR44" t="s">
        <v>27</v>
      </c>
      <c r="BS44" t="s">
        <v>1</v>
      </c>
      <c r="BT44" t="s">
        <v>1</v>
      </c>
      <c r="BU44" t="s">
        <v>1</v>
      </c>
      <c r="BV44" t="s">
        <v>1</v>
      </c>
      <c r="BW44" t="s">
        <v>7</v>
      </c>
      <c r="BX44" t="s">
        <v>10</v>
      </c>
      <c r="BY44" s="2"/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254</v>
      </c>
      <c r="CJ44" s="3">
        <v>-921686700</v>
      </c>
      <c r="CK44" t="s">
        <v>9</v>
      </c>
      <c r="CL44" t="s">
        <v>11</v>
      </c>
      <c r="CM44" t="s">
        <v>1</v>
      </c>
      <c r="CN44" s="4">
        <v>0</v>
      </c>
      <c r="CO44" t="s">
        <v>7</v>
      </c>
      <c r="CP44" t="s">
        <v>7</v>
      </c>
      <c r="CQ44" t="s">
        <v>7</v>
      </c>
      <c r="CR44" t="s">
        <v>7</v>
      </c>
      <c r="CS44" s="4">
        <v>0</v>
      </c>
      <c r="CT44" t="s">
        <v>2176</v>
      </c>
      <c r="CU44" t="s">
        <v>7</v>
      </c>
      <c r="CV44" t="s">
        <v>1</v>
      </c>
      <c r="CW44" s="2"/>
      <c r="CX44" t="s">
        <v>12</v>
      </c>
      <c r="CY44" t="s">
        <v>1</v>
      </c>
      <c r="CZ44" t="s">
        <v>13</v>
      </c>
      <c r="DA44" t="s">
        <v>1</v>
      </c>
      <c r="DB44" t="s">
        <v>9</v>
      </c>
      <c r="DC44" t="s">
        <v>9</v>
      </c>
      <c r="DD44" t="s">
        <v>1</v>
      </c>
      <c r="DE44" t="s">
        <v>1</v>
      </c>
      <c r="DF44" t="s">
        <v>1</v>
      </c>
      <c r="DG44" t="s">
        <v>301</v>
      </c>
      <c r="DH44" t="s">
        <v>1</v>
      </c>
      <c r="DI44" s="2"/>
      <c r="DJ44" t="s">
        <v>1</v>
      </c>
      <c r="DK44" t="s">
        <v>14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s="2"/>
      <c r="DW44" t="s">
        <v>1</v>
      </c>
      <c r="DX44" t="s">
        <v>1</v>
      </c>
      <c r="DY44" t="s">
        <v>2178</v>
      </c>
      <c r="DZ44" t="s">
        <v>1</v>
      </c>
      <c r="EA44" t="s">
        <v>1</v>
      </c>
      <c r="EB44" t="s">
        <v>28</v>
      </c>
      <c r="EC44" t="s">
        <v>7</v>
      </c>
      <c r="ED44" t="s">
        <v>1</v>
      </c>
      <c r="EE44" t="s">
        <v>1</v>
      </c>
      <c r="EF44" t="s">
        <v>22</v>
      </c>
      <c r="EG44" t="s">
        <v>41</v>
      </c>
      <c r="EH44" t="s">
        <v>15</v>
      </c>
      <c r="EI44" t="s">
        <v>1</v>
      </c>
      <c r="EJ44" s="4">
        <v>-31900</v>
      </c>
      <c r="EK44" t="s">
        <v>1</v>
      </c>
      <c r="EL44" t="s">
        <v>1</v>
      </c>
      <c r="EM44" t="s">
        <v>1</v>
      </c>
      <c r="EN44" t="s">
        <v>1</v>
      </c>
      <c r="EO44" s="2"/>
      <c r="EP44" t="s">
        <v>2178</v>
      </c>
      <c r="EQ44" t="s">
        <v>1</v>
      </c>
      <c r="ER44" t="s">
        <v>1</v>
      </c>
      <c r="ES44" t="s">
        <v>1</v>
      </c>
      <c r="ET44" t="s">
        <v>29</v>
      </c>
      <c r="EU44" t="s">
        <v>1</v>
      </c>
      <c r="EV44" t="s">
        <v>1</v>
      </c>
      <c r="EW44" t="s">
        <v>7</v>
      </c>
      <c r="EX44" t="s">
        <v>7</v>
      </c>
      <c r="EY44" t="s">
        <v>1</v>
      </c>
      <c r="EZ44" t="s">
        <v>1</v>
      </c>
      <c r="FA44" t="s">
        <v>1</v>
      </c>
      <c r="FB44" s="3">
        <v>50</v>
      </c>
      <c r="FC44" t="s">
        <v>1</v>
      </c>
      <c r="FD44" t="s">
        <v>1</v>
      </c>
      <c r="FE44" t="s">
        <v>1</v>
      </c>
      <c r="FF44" t="s">
        <v>17</v>
      </c>
      <c r="FG44" t="s">
        <v>1</v>
      </c>
      <c r="FH44" t="s">
        <v>1</v>
      </c>
      <c r="FI44" t="s">
        <v>1</v>
      </c>
      <c r="FJ44" t="s">
        <v>1</v>
      </c>
      <c r="FK44" s="7">
        <v>46115.483252314814</v>
      </c>
      <c r="FL44" t="s">
        <v>1</v>
      </c>
      <c r="FM44" t="s">
        <v>1</v>
      </c>
      <c r="FN44" t="s">
        <v>1</v>
      </c>
      <c r="FO44" s="19">
        <v>-921686700</v>
      </c>
      <c r="FP44" s="4">
        <v>0</v>
      </c>
      <c r="FQ44" s="19">
        <v>-921686700</v>
      </c>
      <c r="FR44" s="4">
        <v>0</v>
      </c>
      <c r="FS44" s="4">
        <v>0</v>
      </c>
      <c r="FT44" s="4">
        <v>0</v>
      </c>
      <c r="FU44" s="2">
        <v>46115</v>
      </c>
      <c r="FV44" t="s">
        <v>1</v>
      </c>
      <c r="FW44" s="4">
        <v>0</v>
      </c>
      <c r="FX44" t="s">
        <v>1</v>
      </c>
      <c r="FY44" t="s">
        <v>1</v>
      </c>
      <c r="FZ44" s="4">
        <v>0</v>
      </c>
      <c r="GA44" s="4">
        <v>0</v>
      </c>
      <c r="GB44" t="s">
        <v>2070</v>
      </c>
      <c r="GC44" t="str">
        <f>RIGHT(Data_FAGLL03[[#This Row],[Payment reference]],8)</f>
        <v>91172547</v>
      </c>
      <c r="GD44" t="str">
        <f>IF(Data_FAGLL03[[#This Row],[Billing]]&lt;&gt;"",_xlfn.XLOOKUP(Data_FAGLL03[[#This Row],[Billing]],MD_BILLING_SO[BILIING],MD_BILLING_SO[SO-EDITED]),"")</f>
        <v>30030651</v>
      </c>
      <c r="GE44" s="18">
        <f>IF(SUBSTITUTE(Data_FAGLL03[[#This Row],[Eff.exchange rate]],",","")/100000=1,1,SUBSTITUTE(Data_FAGLL03[[#This Row],[Eff.exchange rate]],",","")/100)</f>
        <v>1</v>
      </c>
      <c r="GF44" s="17">
        <f>IF(Data_FAGLL03[[#This Row],[Material]]&lt;&gt;"",IFERROR(Data_FAGLL03[[#This Row],[Amount in local currency]]/Data_FAGLL03[[#This Row],[Quantity_Original]],0),0)</f>
        <v>28893</v>
      </c>
      <c r="GG44" s="18">
        <f>IF(Data_FAGLL03[[#This Row],[XK/NĐ]]="XK",Data_FAGLL03[[#This Row],[GB trung bình]]/Data_FAGLL03[[#This Row],[EXR]],0)*1000</f>
        <v>0</v>
      </c>
      <c r="GH44" s="18" cm="1">
        <f t="array" ref="GH44">IF(Data_FAGLL03[[#This Row],[Document currency]]&lt;&gt;"VND",Data_FAGLL03[[#This Row],[Amount in doc. curr.]],Data_FAGLL03[[#This Row],[Amount in local currency]]/EXR)</f>
        <v>-35109.007949563689</v>
      </c>
      <c r="GI44" s="10">
        <f>Data_FAGLL03[[#This Row],[Time Stamp]]+TIME(7,0,0)</f>
        <v>46115.774918981479</v>
      </c>
      <c r="GJ44" s="18">
        <f>MONTH(Data_FAGLL03[[#This Row],[Time Stamp_VN]])</f>
        <v>4</v>
      </c>
      <c r="GK44">
        <f>DAY(Data_FAGLL03[[#This Row],[Time Stamp_VN]])</f>
        <v>3</v>
      </c>
      <c r="GL44" t="str">
        <f>TEXT(Data_FAGLL03[[#This Row],[Tháng]],"00")&amp;" | "&amp;TEXT(Data_FAGLL03[[#This Row],[Ngày]],"00")</f>
        <v>04 | 03</v>
      </c>
      <c r="GM44" s="18">
        <f>IF(Data_FAGLL03[[#This Row],[Text]]="",Data_FAGLL03[[#This Row],[Quantity_Original]],0)</f>
        <v>-31900</v>
      </c>
      <c r="GN44" s="18" t="str">
        <f>IF(Data_FAGLL03[[#This Row],[Quantity_Edited]]&lt;&gt;0,Data_FAGLL03[[#This Row],[Offsetting acct no.]]&amp;" | "&amp;Data_FAGLL03[[#This Row],[Material]],"")</f>
        <v>104877 | 110000359</v>
      </c>
      <c r="GO44" t="str">
        <f>IF(LEFT(Data_FAGLL03[[#This Row],[Offsetting acct no.]],1)="1","NĐ",IF(LEFT(Data_FAGLL03[[#This Row],[Offsetting acct no.]],1)="2","XK","Khác"))</f>
        <v>NĐ</v>
      </c>
      <c r="GP44" t="str">
        <f>IF(Data_FAGLL03[[#This Row],[Material]]&lt;&gt;"",_xlfn.XLOOKUP(Data_FAGLL03[[#This Row],[Material]],MD_SKU[Mã SKU],MD_SKU[Tên SKU]),"")</f>
        <v>Hạt nhựa rPET WSS03G</v>
      </c>
      <c r="GQ44" t="str">
        <f>IF(Data_FAGLL03[[#This Row],[Material]]&lt;&gt;"",_xlfn.XLOOKUP(Data_FAGLL03[[#This Row],[Material]],MD_SKU[Mã SKU],MD_SKU[Nhóm SP 1]),"")</f>
        <v>rPET</v>
      </c>
      <c r="GR44" t="str">
        <f>IF(Data_FAGLL03[[#This Row],[Material]]&lt;&gt;"",_xlfn.XLOOKUP(Data_FAGLL03[[#This Row],[Material]],MD_SKU[Mã SKU],MD_SKU[Nhóm SP 2]),"")</f>
        <v>rPET</v>
      </c>
      <c r="GS44" t="str">
        <f>IF(Data_FAGLL03[[#This Row],[Material]]&lt;&gt;"",_xlfn.XLOOKUP(Data_FAGLL03[[#This Row],[Material]],MD_SKU[Mã SKU],MD_SKU[Nhóm SP 3]),"")</f>
        <v>rPET</v>
      </c>
      <c r="GT44" t="str">
        <f>IF(Data_FAGLL03[[#This Row],[Material]]&lt;&gt;"",_xlfn.XLOOKUP(Data_FAGLL03[[#This Row],[Material]],MD_SKU[Mã SKU],MD_SKU[Nhóm SP 4]),"")</f>
        <v>Hạt rPET</v>
      </c>
    </row>
    <row r="45" spans="1:202" x14ac:dyDescent="0.25">
      <c r="A45" t="s">
        <v>0</v>
      </c>
      <c r="B45" s="2">
        <v>46115</v>
      </c>
      <c r="C45" t="s">
        <v>2179</v>
      </c>
      <c r="D45" t="s">
        <v>1</v>
      </c>
      <c r="E45" t="s">
        <v>1</v>
      </c>
      <c r="F45" t="s">
        <v>31</v>
      </c>
      <c r="G45" t="s">
        <v>31</v>
      </c>
      <c r="H45" t="s">
        <v>2047</v>
      </c>
      <c r="I45" s="19">
        <v>-921686700</v>
      </c>
      <c r="J45" t="s">
        <v>2048</v>
      </c>
      <c r="K45" t="s">
        <v>1</v>
      </c>
      <c r="L45" t="s">
        <v>39</v>
      </c>
      <c r="M45" t="s">
        <v>41</v>
      </c>
      <c r="N45" t="s">
        <v>254</v>
      </c>
      <c r="O45" t="s">
        <v>4</v>
      </c>
      <c r="P45" t="s">
        <v>2180</v>
      </c>
      <c r="Q45" t="s">
        <v>31</v>
      </c>
      <c r="R45" t="s">
        <v>5</v>
      </c>
      <c r="S45" t="s">
        <v>1</v>
      </c>
      <c r="T45" s="3">
        <v>-921686700</v>
      </c>
      <c r="U45" s="19">
        <v>-921686700</v>
      </c>
      <c r="V45" s="3">
        <v>-921686700</v>
      </c>
      <c r="W45" s="3">
        <v>-921686700</v>
      </c>
      <c r="X45" s="4">
        <v>0</v>
      </c>
      <c r="Y45" s="4">
        <v>0</v>
      </c>
      <c r="Z45" s="3">
        <v>0</v>
      </c>
      <c r="AA45" s="3">
        <v>0</v>
      </c>
      <c r="AB45" t="s">
        <v>1</v>
      </c>
      <c r="AC45" t="s">
        <v>24</v>
      </c>
      <c r="AD45" s="2"/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25</v>
      </c>
      <c r="AK45" s="4">
        <v>0</v>
      </c>
      <c r="AL45" t="s">
        <v>1</v>
      </c>
      <c r="AM45" s="5" t="s">
        <v>1</v>
      </c>
      <c r="AN45" t="s">
        <v>1</v>
      </c>
      <c r="AO45" s="2"/>
      <c r="AP45" t="s">
        <v>1</v>
      </c>
      <c r="AQ45" t="s">
        <v>1</v>
      </c>
      <c r="AR45" s="3">
        <v>0</v>
      </c>
      <c r="AS45" t="s">
        <v>1</v>
      </c>
      <c r="AT45" t="s">
        <v>7</v>
      </c>
      <c r="AU45" t="s">
        <v>1</v>
      </c>
      <c r="AV45" t="s">
        <v>1</v>
      </c>
      <c r="AW45" t="s">
        <v>8</v>
      </c>
      <c r="AX45" t="s">
        <v>8</v>
      </c>
      <c r="AY45" t="s">
        <v>1</v>
      </c>
      <c r="AZ45" s="4">
        <v>0</v>
      </c>
      <c r="BA45" t="s">
        <v>1</v>
      </c>
      <c r="BB45" s="3">
        <v>0</v>
      </c>
      <c r="BC45" s="3">
        <v>0</v>
      </c>
      <c r="BD45" s="3">
        <v>0</v>
      </c>
      <c r="BE45" t="s">
        <v>20</v>
      </c>
      <c r="BF45" t="s">
        <v>1</v>
      </c>
      <c r="BG45" s="4">
        <v>0</v>
      </c>
      <c r="BH45" s="4">
        <v>0</v>
      </c>
      <c r="BI45" s="6">
        <v>0</v>
      </c>
      <c r="BJ45" s="6">
        <v>0</v>
      </c>
      <c r="BK45" t="s">
        <v>1</v>
      </c>
      <c r="BL45" t="s">
        <v>1</v>
      </c>
      <c r="BM45" t="s">
        <v>1</v>
      </c>
      <c r="BN45" t="s">
        <v>9</v>
      </c>
      <c r="BO45" s="2">
        <v>46115</v>
      </c>
      <c r="BP45" t="s">
        <v>1</v>
      </c>
      <c r="BQ45" t="s">
        <v>2179</v>
      </c>
      <c r="BR45" t="s">
        <v>27</v>
      </c>
      <c r="BS45" t="s">
        <v>1</v>
      </c>
      <c r="BT45" t="s">
        <v>1</v>
      </c>
      <c r="BU45" t="s">
        <v>1</v>
      </c>
      <c r="BV45" t="s">
        <v>1</v>
      </c>
      <c r="BW45" t="s">
        <v>7</v>
      </c>
      <c r="BX45" t="s">
        <v>10</v>
      </c>
      <c r="BY45" s="2"/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254</v>
      </c>
      <c r="CJ45" s="3">
        <v>-921686700</v>
      </c>
      <c r="CK45" t="s">
        <v>9</v>
      </c>
      <c r="CL45" t="s">
        <v>11</v>
      </c>
      <c r="CM45" t="s">
        <v>1</v>
      </c>
      <c r="CN45" s="4">
        <v>0</v>
      </c>
      <c r="CO45" t="s">
        <v>7</v>
      </c>
      <c r="CP45" t="s">
        <v>7</v>
      </c>
      <c r="CQ45" t="s">
        <v>7</v>
      </c>
      <c r="CR45" t="s">
        <v>7</v>
      </c>
      <c r="CS45" s="4">
        <v>0</v>
      </c>
      <c r="CT45" t="s">
        <v>2179</v>
      </c>
      <c r="CU45" t="s">
        <v>7</v>
      </c>
      <c r="CV45" t="s">
        <v>1</v>
      </c>
      <c r="CW45" s="2"/>
      <c r="CX45" t="s">
        <v>12</v>
      </c>
      <c r="CY45" t="s">
        <v>1</v>
      </c>
      <c r="CZ45" t="s">
        <v>13</v>
      </c>
      <c r="DA45" t="s">
        <v>1</v>
      </c>
      <c r="DB45" t="s">
        <v>9</v>
      </c>
      <c r="DC45" t="s">
        <v>9</v>
      </c>
      <c r="DD45" t="s">
        <v>1</v>
      </c>
      <c r="DE45" t="s">
        <v>1</v>
      </c>
      <c r="DF45" t="s">
        <v>1</v>
      </c>
      <c r="DG45" t="s">
        <v>301</v>
      </c>
      <c r="DH45" t="s">
        <v>1</v>
      </c>
      <c r="DI45" s="2"/>
      <c r="DJ45" t="s">
        <v>1</v>
      </c>
      <c r="DK45" t="s">
        <v>14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s="2"/>
      <c r="DW45" t="s">
        <v>1</v>
      </c>
      <c r="DX45" t="s">
        <v>1</v>
      </c>
      <c r="DY45" t="s">
        <v>2181</v>
      </c>
      <c r="DZ45" t="s">
        <v>1</v>
      </c>
      <c r="EA45" t="s">
        <v>1</v>
      </c>
      <c r="EB45" t="s">
        <v>28</v>
      </c>
      <c r="EC45" t="s">
        <v>7</v>
      </c>
      <c r="ED45" t="s">
        <v>1</v>
      </c>
      <c r="EE45" t="s">
        <v>1</v>
      </c>
      <c r="EF45" t="s">
        <v>22</v>
      </c>
      <c r="EG45" t="s">
        <v>41</v>
      </c>
      <c r="EH45" t="s">
        <v>15</v>
      </c>
      <c r="EI45" t="s">
        <v>1</v>
      </c>
      <c r="EJ45" s="4">
        <v>-31900</v>
      </c>
      <c r="EK45" t="s">
        <v>1</v>
      </c>
      <c r="EL45" t="s">
        <v>1</v>
      </c>
      <c r="EM45" t="s">
        <v>1</v>
      </c>
      <c r="EN45" t="s">
        <v>1</v>
      </c>
      <c r="EO45" s="2"/>
      <c r="EP45" t="s">
        <v>2181</v>
      </c>
      <c r="EQ45" t="s">
        <v>1</v>
      </c>
      <c r="ER45" t="s">
        <v>1</v>
      </c>
      <c r="ES45" t="s">
        <v>1</v>
      </c>
      <c r="ET45" t="s">
        <v>29</v>
      </c>
      <c r="EU45" t="s">
        <v>1</v>
      </c>
      <c r="EV45" t="s">
        <v>1</v>
      </c>
      <c r="EW45" t="s">
        <v>7</v>
      </c>
      <c r="EX45" t="s">
        <v>7</v>
      </c>
      <c r="EY45" t="s">
        <v>1</v>
      </c>
      <c r="EZ45" t="s">
        <v>1</v>
      </c>
      <c r="FA45" t="s">
        <v>1</v>
      </c>
      <c r="FB45" s="3">
        <v>50</v>
      </c>
      <c r="FC45" t="s">
        <v>1</v>
      </c>
      <c r="FD45" t="s">
        <v>1</v>
      </c>
      <c r="FE45" t="s">
        <v>1</v>
      </c>
      <c r="FF45" t="s">
        <v>17</v>
      </c>
      <c r="FG45" t="s">
        <v>1</v>
      </c>
      <c r="FH45" t="s">
        <v>1</v>
      </c>
      <c r="FI45" t="s">
        <v>1</v>
      </c>
      <c r="FJ45" t="s">
        <v>1</v>
      </c>
      <c r="FK45" s="7">
        <v>46115.483356481483</v>
      </c>
      <c r="FL45" t="s">
        <v>1</v>
      </c>
      <c r="FM45" t="s">
        <v>1</v>
      </c>
      <c r="FN45" t="s">
        <v>1</v>
      </c>
      <c r="FO45" s="19">
        <v>-921686700</v>
      </c>
      <c r="FP45" s="4">
        <v>0</v>
      </c>
      <c r="FQ45" s="19">
        <v>-921686700</v>
      </c>
      <c r="FR45" s="4">
        <v>0</v>
      </c>
      <c r="FS45" s="4">
        <v>0</v>
      </c>
      <c r="FT45" s="4">
        <v>0</v>
      </c>
      <c r="FU45" s="2">
        <v>46115</v>
      </c>
      <c r="FV45" t="s">
        <v>1</v>
      </c>
      <c r="FW45" s="4">
        <v>0</v>
      </c>
      <c r="FX45" t="s">
        <v>1</v>
      </c>
      <c r="FY45" t="s">
        <v>1</v>
      </c>
      <c r="FZ45" s="4">
        <v>0</v>
      </c>
      <c r="GA45" s="4">
        <v>0</v>
      </c>
      <c r="GB45" t="s">
        <v>2070</v>
      </c>
      <c r="GC45" t="str">
        <f>RIGHT(Data_FAGLL03[[#This Row],[Payment reference]],8)</f>
        <v>91172548</v>
      </c>
      <c r="GD45" t="str">
        <f>IF(Data_FAGLL03[[#This Row],[Billing]]&lt;&gt;"",_xlfn.XLOOKUP(Data_FAGLL03[[#This Row],[Billing]],MD_BILLING_SO[BILIING],MD_BILLING_SO[SO-EDITED]),"")</f>
        <v>30030651</v>
      </c>
      <c r="GE45" s="18">
        <f>IF(SUBSTITUTE(Data_FAGLL03[[#This Row],[Eff.exchange rate]],",","")/100000=1,1,SUBSTITUTE(Data_FAGLL03[[#This Row],[Eff.exchange rate]],",","")/100)</f>
        <v>1</v>
      </c>
      <c r="GF45" s="17">
        <f>IF(Data_FAGLL03[[#This Row],[Material]]&lt;&gt;"",IFERROR(Data_FAGLL03[[#This Row],[Amount in local currency]]/Data_FAGLL03[[#This Row],[Quantity_Original]],0),0)</f>
        <v>28893</v>
      </c>
      <c r="GG45" s="18">
        <f>IF(Data_FAGLL03[[#This Row],[XK/NĐ]]="XK",Data_FAGLL03[[#This Row],[GB trung bình]]/Data_FAGLL03[[#This Row],[EXR]],0)*1000</f>
        <v>0</v>
      </c>
      <c r="GH45" s="18" cm="1">
        <f t="array" ref="GH45">IF(Data_FAGLL03[[#This Row],[Document currency]]&lt;&gt;"VND",Data_FAGLL03[[#This Row],[Amount in doc. curr.]],Data_FAGLL03[[#This Row],[Amount in local currency]]/EXR)</f>
        <v>-35109.007949563689</v>
      </c>
      <c r="GI45" s="10">
        <f>Data_FAGLL03[[#This Row],[Time Stamp]]+TIME(7,0,0)</f>
        <v>46115.775023148148</v>
      </c>
      <c r="GJ45" s="18">
        <f>MONTH(Data_FAGLL03[[#This Row],[Time Stamp_VN]])</f>
        <v>4</v>
      </c>
      <c r="GK45">
        <f>DAY(Data_FAGLL03[[#This Row],[Time Stamp_VN]])</f>
        <v>3</v>
      </c>
      <c r="GL45" t="str">
        <f>TEXT(Data_FAGLL03[[#This Row],[Tháng]],"00")&amp;" | "&amp;TEXT(Data_FAGLL03[[#This Row],[Ngày]],"00")</f>
        <v>04 | 03</v>
      </c>
      <c r="GM45" s="18">
        <f>IF(Data_FAGLL03[[#This Row],[Text]]="",Data_FAGLL03[[#This Row],[Quantity_Original]],0)</f>
        <v>-31900</v>
      </c>
      <c r="GN45" s="18" t="str">
        <f>IF(Data_FAGLL03[[#This Row],[Quantity_Edited]]&lt;&gt;0,Data_FAGLL03[[#This Row],[Offsetting acct no.]]&amp;" | "&amp;Data_FAGLL03[[#This Row],[Material]],"")</f>
        <v>104877 | 110000359</v>
      </c>
      <c r="GO45" t="str">
        <f>IF(LEFT(Data_FAGLL03[[#This Row],[Offsetting acct no.]],1)="1","NĐ",IF(LEFT(Data_FAGLL03[[#This Row],[Offsetting acct no.]],1)="2","XK","Khác"))</f>
        <v>NĐ</v>
      </c>
      <c r="GP45" t="str">
        <f>IF(Data_FAGLL03[[#This Row],[Material]]&lt;&gt;"",_xlfn.XLOOKUP(Data_FAGLL03[[#This Row],[Material]],MD_SKU[Mã SKU],MD_SKU[Tên SKU]),"")</f>
        <v>Hạt nhựa rPET WSS03G</v>
      </c>
      <c r="GQ45" t="str">
        <f>IF(Data_FAGLL03[[#This Row],[Material]]&lt;&gt;"",_xlfn.XLOOKUP(Data_FAGLL03[[#This Row],[Material]],MD_SKU[Mã SKU],MD_SKU[Nhóm SP 1]),"")</f>
        <v>rPET</v>
      </c>
      <c r="GR45" t="str">
        <f>IF(Data_FAGLL03[[#This Row],[Material]]&lt;&gt;"",_xlfn.XLOOKUP(Data_FAGLL03[[#This Row],[Material]],MD_SKU[Mã SKU],MD_SKU[Nhóm SP 2]),"")</f>
        <v>rPET</v>
      </c>
      <c r="GS45" t="str">
        <f>IF(Data_FAGLL03[[#This Row],[Material]]&lt;&gt;"",_xlfn.XLOOKUP(Data_FAGLL03[[#This Row],[Material]],MD_SKU[Mã SKU],MD_SKU[Nhóm SP 3]),"")</f>
        <v>rPET</v>
      </c>
      <c r="GT45" t="str">
        <f>IF(Data_FAGLL03[[#This Row],[Material]]&lt;&gt;"",_xlfn.XLOOKUP(Data_FAGLL03[[#This Row],[Material]],MD_SKU[Mã SKU],MD_SKU[Nhóm SP 4]),"")</f>
        <v>Hạt rPET</v>
      </c>
    </row>
    <row r="46" spans="1:202" x14ac:dyDescent="0.25">
      <c r="A46" t="s">
        <v>0</v>
      </c>
      <c r="B46" s="2">
        <v>46115</v>
      </c>
      <c r="C46" t="s">
        <v>2182</v>
      </c>
      <c r="D46" t="s">
        <v>1</v>
      </c>
      <c r="E46" t="s">
        <v>1</v>
      </c>
      <c r="F46" t="s">
        <v>31</v>
      </c>
      <c r="G46" t="s">
        <v>31</v>
      </c>
      <c r="H46" t="s">
        <v>2047</v>
      </c>
      <c r="I46" s="19">
        <v>-921686700</v>
      </c>
      <c r="J46" t="s">
        <v>2048</v>
      </c>
      <c r="K46" t="s">
        <v>1</v>
      </c>
      <c r="L46" t="s">
        <v>39</v>
      </c>
      <c r="M46" t="s">
        <v>41</v>
      </c>
      <c r="N46" t="s">
        <v>254</v>
      </c>
      <c r="O46" t="s">
        <v>4</v>
      </c>
      <c r="P46" t="s">
        <v>2183</v>
      </c>
      <c r="Q46" t="s">
        <v>31</v>
      </c>
      <c r="R46" t="s">
        <v>5</v>
      </c>
      <c r="S46" t="s">
        <v>1</v>
      </c>
      <c r="T46" s="3">
        <v>-921686700</v>
      </c>
      <c r="U46" s="19">
        <v>-921686700</v>
      </c>
      <c r="V46" s="3">
        <v>-921686700</v>
      </c>
      <c r="W46" s="3">
        <v>-921686700</v>
      </c>
      <c r="X46" s="4">
        <v>0</v>
      </c>
      <c r="Y46" s="4">
        <v>0</v>
      </c>
      <c r="Z46" s="3">
        <v>0</v>
      </c>
      <c r="AA46" s="3">
        <v>0</v>
      </c>
      <c r="AB46" t="s">
        <v>1</v>
      </c>
      <c r="AC46" t="s">
        <v>24</v>
      </c>
      <c r="AD46" s="2"/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25</v>
      </c>
      <c r="AK46" s="4">
        <v>0</v>
      </c>
      <c r="AL46" t="s">
        <v>1</v>
      </c>
      <c r="AM46" s="5" t="s">
        <v>1</v>
      </c>
      <c r="AN46" t="s">
        <v>1</v>
      </c>
      <c r="AO46" s="2"/>
      <c r="AP46" t="s">
        <v>1</v>
      </c>
      <c r="AQ46" t="s">
        <v>1</v>
      </c>
      <c r="AR46" s="3">
        <v>0</v>
      </c>
      <c r="AS46" t="s">
        <v>1</v>
      </c>
      <c r="AT46" t="s">
        <v>7</v>
      </c>
      <c r="AU46" t="s">
        <v>1</v>
      </c>
      <c r="AV46" t="s">
        <v>1</v>
      </c>
      <c r="AW46" t="s">
        <v>8</v>
      </c>
      <c r="AX46" t="s">
        <v>8</v>
      </c>
      <c r="AY46" t="s">
        <v>1</v>
      </c>
      <c r="AZ46" s="4">
        <v>0</v>
      </c>
      <c r="BA46" t="s">
        <v>1</v>
      </c>
      <c r="BB46" s="3">
        <v>0</v>
      </c>
      <c r="BC46" s="3">
        <v>0</v>
      </c>
      <c r="BD46" s="3">
        <v>0</v>
      </c>
      <c r="BE46" t="s">
        <v>20</v>
      </c>
      <c r="BF46" t="s">
        <v>1</v>
      </c>
      <c r="BG46" s="4">
        <v>0</v>
      </c>
      <c r="BH46" s="4">
        <v>0</v>
      </c>
      <c r="BI46" s="6">
        <v>0</v>
      </c>
      <c r="BJ46" s="6">
        <v>0</v>
      </c>
      <c r="BK46" t="s">
        <v>1</v>
      </c>
      <c r="BL46" t="s">
        <v>1</v>
      </c>
      <c r="BM46" t="s">
        <v>1</v>
      </c>
      <c r="BN46" t="s">
        <v>9</v>
      </c>
      <c r="BO46" s="2">
        <v>46115</v>
      </c>
      <c r="BP46" t="s">
        <v>1</v>
      </c>
      <c r="BQ46" t="s">
        <v>2182</v>
      </c>
      <c r="BR46" t="s">
        <v>27</v>
      </c>
      <c r="BS46" t="s">
        <v>1</v>
      </c>
      <c r="BT46" t="s">
        <v>1</v>
      </c>
      <c r="BU46" t="s">
        <v>1</v>
      </c>
      <c r="BV46" t="s">
        <v>1</v>
      </c>
      <c r="BW46" t="s">
        <v>7</v>
      </c>
      <c r="BX46" t="s">
        <v>10</v>
      </c>
      <c r="BY46" s="2"/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254</v>
      </c>
      <c r="CJ46" s="3">
        <v>-921686700</v>
      </c>
      <c r="CK46" t="s">
        <v>9</v>
      </c>
      <c r="CL46" t="s">
        <v>11</v>
      </c>
      <c r="CM46" t="s">
        <v>1</v>
      </c>
      <c r="CN46" s="4">
        <v>0</v>
      </c>
      <c r="CO46" t="s">
        <v>7</v>
      </c>
      <c r="CP46" t="s">
        <v>7</v>
      </c>
      <c r="CQ46" t="s">
        <v>7</v>
      </c>
      <c r="CR46" t="s">
        <v>7</v>
      </c>
      <c r="CS46" s="4">
        <v>0</v>
      </c>
      <c r="CT46" t="s">
        <v>2182</v>
      </c>
      <c r="CU46" t="s">
        <v>7</v>
      </c>
      <c r="CV46" t="s">
        <v>1</v>
      </c>
      <c r="CW46" s="2"/>
      <c r="CX46" t="s">
        <v>12</v>
      </c>
      <c r="CY46" t="s">
        <v>1</v>
      </c>
      <c r="CZ46" t="s">
        <v>13</v>
      </c>
      <c r="DA46" t="s">
        <v>1</v>
      </c>
      <c r="DB46" t="s">
        <v>9</v>
      </c>
      <c r="DC46" t="s">
        <v>9</v>
      </c>
      <c r="DD46" t="s">
        <v>1</v>
      </c>
      <c r="DE46" t="s">
        <v>1</v>
      </c>
      <c r="DF46" t="s">
        <v>1</v>
      </c>
      <c r="DG46" t="s">
        <v>301</v>
      </c>
      <c r="DH46" t="s">
        <v>1</v>
      </c>
      <c r="DI46" s="2"/>
      <c r="DJ46" t="s">
        <v>1</v>
      </c>
      <c r="DK46" t="s">
        <v>14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s="2"/>
      <c r="DW46" t="s">
        <v>1</v>
      </c>
      <c r="DX46" t="s">
        <v>1</v>
      </c>
      <c r="DY46" t="s">
        <v>2184</v>
      </c>
      <c r="DZ46" t="s">
        <v>1</v>
      </c>
      <c r="EA46" t="s">
        <v>1</v>
      </c>
      <c r="EB46" t="s">
        <v>28</v>
      </c>
      <c r="EC46" t="s">
        <v>7</v>
      </c>
      <c r="ED46" t="s">
        <v>1</v>
      </c>
      <c r="EE46" t="s">
        <v>1</v>
      </c>
      <c r="EF46" t="s">
        <v>22</v>
      </c>
      <c r="EG46" t="s">
        <v>41</v>
      </c>
      <c r="EH46" t="s">
        <v>15</v>
      </c>
      <c r="EI46" t="s">
        <v>1</v>
      </c>
      <c r="EJ46" s="4">
        <v>-31900</v>
      </c>
      <c r="EK46" t="s">
        <v>1</v>
      </c>
      <c r="EL46" t="s">
        <v>1</v>
      </c>
      <c r="EM46" t="s">
        <v>1</v>
      </c>
      <c r="EN46" t="s">
        <v>1</v>
      </c>
      <c r="EO46" s="2"/>
      <c r="EP46" t="s">
        <v>2184</v>
      </c>
      <c r="EQ46" t="s">
        <v>1</v>
      </c>
      <c r="ER46" t="s">
        <v>1</v>
      </c>
      <c r="ES46" t="s">
        <v>1</v>
      </c>
      <c r="ET46" t="s">
        <v>29</v>
      </c>
      <c r="EU46" t="s">
        <v>1</v>
      </c>
      <c r="EV46" t="s">
        <v>1</v>
      </c>
      <c r="EW46" t="s">
        <v>7</v>
      </c>
      <c r="EX46" t="s">
        <v>7</v>
      </c>
      <c r="EY46" t="s">
        <v>1</v>
      </c>
      <c r="EZ46" t="s">
        <v>1</v>
      </c>
      <c r="FA46" t="s">
        <v>1</v>
      </c>
      <c r="FB46" s="3">
        <v>50</v>
      </c>
      <c r="FC46" t="s">
        <v>1</v>
      </c>
      <c r="FD46" t="s">
        <v>1</v>
      </c>
      <c r="FE46" t="s">
        <v>1</v>
      </c>
      <c r="FF46" t="s">
        <v>17</v>
      </c>
      <c r="FG46" t="s">
        <v>1</v>
      </c>
      <c r="FH46" t="s">
        <v>1</v>
      </c>
      <c r="FI46" t="s">
        <v>1</v>
      </c>
      <c r="FJ46" t="s">
        <v>1</v>
      </c>
      <c r="FK46" s="7">
        <v>46115.483495370368</v>
      </c>
      <c r="FL46" t="s">
        <v>1</v>
      </c>
      <c r="FM46" t="s">
        <v>1</v>
      </c>
      <c r="FN46" t="s">
        <v>1</v>
      </c>
      <c r="FO46" s="19">
        <v>-921686700</v>
      </c>
      <c r="FP46" s="4">
        <v>0</v>
      </c>
      <c r="FQ46" s="19">
        <v>-921686700</v>
      </c>
      <c r="FR46" s="4">
        <v>0</v>
      </c>
      <c r="FS46" s="4">
        <v>0</v>
      </c>
      <c r="FT46" s="4">
        <v>0</v>
      </c>
      <c r="FU46" s="2">
        <v>46115</v>
      </c>
      <c r="FV46" t="s">
        <v>1</v>
      </c>
      <c r="FW46" s="4">
        <v>0</v>
      </c>
      <c r="FX46" t="s">
        <v>1</v>
      </c>
      <c r="FY46" t="s">
        <v>1</v>
      </c>
      <c r="FZ46" s="4">
        <v>0</v>
      </c>
      <c r="GA46" s="4">
        <v>0</v>
      </c>
      <c r="GB46" t="s">
        <v>2070</v>
      </c>
      <c r="GC46" t="str">
        <f>RIGHT(Data_FAGLL03[[#This Row],[Payment reference]],8)</f>
        <v>91172549</v>
      </c>
      <c r="GD46" t="str">
        <f>IF(Data_FAGLL03[[#This Row],[Billing]]&lt;&gt;"",_xlfn.XLOOKUP(Data_FAGLL03[[#This Row],[Billing]],MD_BILLING_SO[BILIING],MD_BILLING_SO[SO-EDITED]),"")</f>
        <v>30030651</v>
      </c>
      <c r="GE46" s="18">
        <f>IF(SUBSTITUTE(Data_FAGLL03[[#This Row],[Eff.exchange rate]],",","")/100000=1,1,SUBSTITUTE(Data_FAGLL03[[#This Row],[Eff.exchange rate]],",","")/100)</f>
        <v>1</v>
      </c>
      <c r="GF46" s="17">
        <f>IF(Data_FAGLL03[[#This Row],[Material]]&lt;&gt;"",IFERROR(Data_FAGLL03[[#This Row],[Amount in local currency]]/Data_FAGLL03[[#This Row],[Quantity_Original]],0),0)</f>
        <v>28893</v>
      </c>
      <c r="GG46" s="18">
        <f>IF(Data_FAGLL03[[#This Row],[XK/NĐ]]="XK",Data_FAGLL03[[#This Row],[GB trung bình]]/Data_FAGLL03[[#This Row],[EXR]],0)*1000</f>
        <v>0</v>
      </c>
      <c r="GH46" s="18" cm="1">
        <f t="array" ref="GH46">IF(Data_FAGLL03[[#This Row],[Document currency]]&lt;&gt;"VND",Data_FAGLL03[[#This Row],[Amount in doc. curr.]],Data_FAGLL03[[#This Row],[Amount in local currency]]/EXR)</f>
        <v>-35109.007949563689</v>
      </c>
      <c r="GI46" s="10">
        <f>Data_FAGLL03[[#This Row],[Time Stamp]]+TIME(7,0,0)</f>
        <v>46115.775162037033</v>
      </c>
      <c r="GJ46" s="18">
        <f>MONTH(Data_FAGLL03[[#This Row],[Time Stamp_VN]])</f>
        <v>4</v>
      </c>
      <c r="GK46">
        <f>DAY(Data_FAGLL03[[#This Row],[Time Stamp_VN]])</f>
        <v>3</v>
      </c>
      <c r="GL46" t="str">
        <f>TEXT(Data_FAGLL03[[#This Row],[Tháng]],"00")&amp;" | "&amp;TEXT(Data_FAGLL03[[#This Row],[Ngày]],"00")</f>
        <v>04 | 03</v>
      </c>
      <c r="GM46" s="18">
        <f>IF(Data_FAGLL03[[#This Row],[Text]]="",Data_FAGLL03[[#This Row],[Quantity_Original]],0)</f>
        <v>-31900</v>
      </c>
      <c r="GN46" s="18" t="str">
        <f>IF(Data_FAGLL03[[#This Row],[Quantity_Edited]]&lt;&gt;0,Data_FAGLL03[[#This Row],[Offsetting acct no.]]&amp;" | "&amp;Data_FAGLL03[[#This Row],[Material]],"")</f>
        <v>104877 | 110000359</v>
      </c>
      <c r="GO46" t="str">
        <f>IF(LEFT(Data_FAGLL03[[#This Row],[Offsetting acct no.]],1)="1","NĐ",IF(LEFT(Data_FAGLL03[[#This Row],[Offsetting acct no.]],1)="2","XK","Khác"))</f>
        <v>NĐ</v>
      </c>
      <c r="GP46" t="str">
        <f>IF(Data_FAGLL03[[#This Row],[Material]]&lt;&gt;"",_xlfn.XLOOKUP(Data_FAGLL03[[#This Row],[Material]],MD_SKU[Mã SKU],MD_SKU[Tên SKU]),"")</f>
        <v>Hạt nhựa rPET WSS03G</v>
      </c>
      <c r="GQ46" t="str">
        <f>IF(Data_FAGLL03[[#This Row],[Material]]&lt;&gt;"",_xlfn.XLOOKUP(Data_FAGLL03[[#This Row],[Material]],MD_SKU[Mã SKU],MD_SKU[Nhóm SP 1]),"")</f>
        <v>rPET</v>
      </c>
      <c r="GR46" t="str">
        <f>IF(Data_FAGLL03[[#This Row],[Material]]&lt;&gt;"",_xlfn.XLOOKUP(Data_FAGLL03[[#This Row],[Material]],MD_SKU[Mã SKU],MD_SKU[Nhóm SP 2]),"")</f>
        <v>rPET</v>
      </c>
      <c r="GS46" t="str">
        <f>IF(Data_FAGLL03[[#This Row],[Material]]&lt;&gt;"",_xlfn.XLOOKUP(Data_FAGLL03[[#This Row],[Material]],MD_SKU[Mã SKU],MD_SKU[Nhóm SP 3]),"")</f>
        <v>rPET</v>
      </c>
      <c r="GT46" t="str">
        <f>IF(Data_FAGLL03[[#This Row],[Material]]&lt;&gt;"",_xlfn.XLOOKUP(Data_FAGLL03[[#This Row],[Material]],MD_SKU[Mã SKU],MD_SKU[Nhóm SP 4]),"")</f>
        <v>Hạt rPET</v>
      </c>
    </row>
    <row r="47" spans="1:202" x14ac:dyDescent="0.25">
      <c r="A47" t="s">
        <v>0</v>
      </c>
      <c r="B47" s="2">
        <v>46115</v>
      </c>
      <c r="C47" t="s">
        <v>2185</v>
      </c>
      <c r="D47" t="s">
        <v>1</v>
      </c>
      <c r="E47" t="s">
        <v>1</v>
      </c>
      <c r="F47" t="s">
        <v>31</v>
      </c>
      <c r="G47" t="s">
        <v>31</v>
      </c>
      <c r="H47" t="s">
        <v>258</v>
      </c>
      <c r="I47" s="19">
        <v>-709280000</v>
      </c>
      <c r="J47" t="s">
        <v>259</v>
      </c>
      <c r="K47" t="s">
        <v>1</v>
      </c>
      <c r="L47" t="s">
        <v>39</v>
      </c>
      <c r="M47" t="s">
        <v>41</v>
      </c>
      <c r="N47" t="s">
        <v>254</v>
      </c>
      <c r="O47" t="s">
        <v>4</v>
      </c>
      <c r="P47" t="s">
        <v>2186</v>
      </c>
      <c r="Q47" t="s">
        <v>31</v>
      </c>
      <c r="R47" t="s">
        <v>5</v>
      </c>
      <c r="S47" t="s">
        <v>1</v>
      </c>
      <c r="T47" s="3">
        <v>-709280000</v>
      </c>
      <c r="U47" s="19">
        <v>-709280000</v>
      </c>
      <c r="V47" s="3">
        <v>-709280000</v>
      </c>
      <c r="W47" s="3">
        <v>-709280000</v>
      </c>
      <c r="X47" s="4">
        <v>0</v>
      </c>
      <c r="Y47" s="4">
        <v>0</v>
      </c>
      <c r="Z47" s="3">
        <v>0</v>
      </c>
      <c r="AA47" s="3">
        <v>0</v>
      </c>
      <c r="AB47" t="s">
        <v>1</v>
      </c>
      <c r="AC47" t="s">
        <v>24</v>
      </c>
      <c r="AD47" s="2"/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25</v>
      </c>
      <c r="AK47" s="4">
        <v>0</v>
      </c>
      <c r="AL47" t="s">
        <v>1</v>
      </c>
      <c r="AM47" s="5" t="s">
        <v>1</v>
      </c>
      <c r="AN47" t="s">
        <v>1</v>
      </c>
      <c r="AO47" s="2"/>
      <c r="AP47" t="s">
        <v>1</v>
      </c>
      <c r="AQ47" t="s">
        <v>1</v>
      </c>
      <c r="AR47" s="3">
        <v>0</v>
      </c>
      <c r="AS47" t="s">
        <v>1</v>
      </c>
      <c r="AT47" t="s">
        <v>7</v>
      </c>
      <c r="AU47" t="s">
        <v>1</v>
      </c>
      <c r="AV47" t="s">
        <v>1</v>
      </c>
      <c r="AW47" t="s">
        <v>8</v>
      </c>
      <c r="AX47" t="s">
        <v>8</v>
      </c>
      <c r="AY47" t="s">
        <v>1</v>
      </c>
      <c r="AZ47" s="4">
        <v>0</v>
      </c>
      <c r="BA47" t="s">
        <v>1</v>
      </c>
      <c r="BB47" s="3">
        <v>0</v>
      </c>
      <c r="BC47" s="3">
        <v>0</v>
      </c>
      <c r="BD47" s="3">
        <v>0</v>
      </c>
      <c r="BE47" t="s">
        <v>20</v>
      </c>
      <c r="BF47" t="s">
        <v>1</v>
      </c>
      <c r="BG47" s="4">
        <v>0</v>
      </c>
      <c r="BH47" s="4">
        <v>0</v>
      </c>
      <c r="BI47" s="6">
        <v>0</v>
      </c>
      <c r="BJ47" s="6">
        <v>0</v>
      </c>
      <c r="BK47" t="s">
        <v>1</v>
      </c>
      <c r="BL47" t="s">
        <v>1</v>
      </c>
      <c r="BM47" t="s">
        <v>1</v>
      </c>
      <c r="BN47" t="s">
        <v>9</v>
      </c>
      <c r="BO47" s="2">
        <v>46115</v>
      </c>
      <c r="BP47" t="s">
        <v>1</v>
      </c>
      <c r="BQ47" t="s">
        <v>2185</v>
      </c>
      <c r="BR47" t="s">
        <v>27</v>
      </c>
      <c r="BS47" t="s">
        <v>1</v>
      </c>
      <c r="BT47" t="s">
        <v>1</v>
      </c>
      <c r="BU47" t="s">
        <v>1</v>
      </c>
      <c r="BV47" t="s">
        <v>1</v>
      </c>
      <c r="BW47" t="s">
        <v>7</v>
      </c>
      <c r="BX47" t="s">
        <v>10</v>
      </c>
      <c r="BY47" s="2"/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254</v>
      </c>
      <c r="CJ47" s="3">
        <v>-709280000</v>
      </c>
      <c r="CK47" t="s">
        <v>9</v>
      </c>
      <c r="CL47" t="s">
        <v>11</v>
      </c>
      <c r="CM47" t="s">
        <v>1</v>
      </c>
      <c r="CN47" s="4">
        <v>0</v>
      </c>
      <c r="CO47" t="s">
        <v>7</v>
      </c>
      <c r="CP47" t="s">
        <v>7</v>
      </c>
      <c r="CQ47" t="s">
        <v>7</v>
      </c>
      <c r="CR47" t="s">
        <v>7</v>
      </c>
      <c r="CS47" s="4">
        <v>0</v>
      </c>
      <c r="CT47" t="s">
        <v>2185</v>
      </c>
      <c r="CU47" t="s">
        <v>7</v>
      </c>
      <c r="CV47" t="s">
        <v>1</v>
      </c>
      <c r="CW47" s="2"/>
      <c r="CX47" t="s">
        <v>12</v>
      </c>
      <c r="CY47" t="s">
        <v>1</v>
      </c>
      <c r="CZ47" t="s">
        <v>13</v>
      </c>
      <c r="DA47" t="s">
        <v>1</v>
      </c>
      <c r="DB47" t="s">
        <v>9</v>
      </c>
      <c r="DC47" t="s">
        <v>9</v>
      </c>
      <c r="DD47" t="s">
        <v>1</v>
      </c>
      <c r="DE47" t="s">
        <v>1</v>
      </c>
      <c r="DF47" t="s">
        <v>1</v>
      </c>
      <c r="DG47" t="s">
        <v>32</v>
      </c>
      <c r="DH47" t="s">
        <v>1</v>
      </c>
      <c r="DI47" s="2"/>
      <c r="DJ47" t="s">
        <v>1</v>
      </c>
      <c r="DK47" t="s">
        <v>14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s="2"/>
      <c r="DW47" t="s">
        <v>1</v>
      </c>
      <c r="DX47" t="s">
        <v>1</v>
      </c>
      <c r="DY47" t="s">
        <v>2187</v>
      </c>
      <c r="DZ47" t="s">
        <v>1</v>
      </c>
      <c r="EA47" t="s">
        <v>1</v>
      </c>
      <c r="EB47" t="s">
        <v>28</v>
      </c>
      <c r="EC47" t="s">
        <v>7</v>
      </c>
      <c r="ED47" t="s">
        <v>1</v>
      </c>
      <c r="EE47" t="s">
        <v>1</v>
      </c>
      <c r="EF47" t="s">
        <v>22</v>
      </c>
      <c r="EG47" t="s">
        <v>41</v>
      </c>
      <c r="EH47" t="s">
        <v>15</v>
      </c>
      <c r="EI47" t="s">
        <v>1</v>
      </c>
      <c r="EJ47" s="4">
        <v>-22000</v>
      </c>
      <c r="EK47" t="s">
        <v>1</v>
      </c>
      <c r="EL47" t="s">
        <v>1</v>
      </c>
      <c r="EM47" t="s">
        <v>1</v>
      </c>
      <c r="EN47" t="s">
        <v>1</v>
      </c>
      <c r="EO47" s="2"/>
      <c r="EP47" t="s">
        <v>2187</v>
      </c>
      <c r="EQ47" t="s">
        <v>1</v>
      </c>
      <c r="ER47" t="s">
        <v>1</v>
      </c>
      <c r="ES47" t="s">
        <v>1</v>
      </c>
      <c r="ET47" t="s">
        <v>29</v>
      </c>
      <c r="EU47" t="s">
        <v>1</v>
      </c>
      <c r="EV47" t="s">
        <v>1</v>
      </c>
      <c r="EW47" t="s">
        <v>7</v>
      </c>
      <c r="EX47" t="s">
        <v>7</v>
      </c>
      <c r="EY47" t="s">
        <v>1</v>
      </c>
      <c r="EZ47" t="s">
        <v>1</v>
      </c>
      <c r="FA47" t="s">
        <v>1</v>
      </c>
      <c r="FB47" s="3">
        <v>50</v>
      </c>
      <c r="FC47" t="s">
        <v>1</v>
      </c>
      <c r="FD47" t="s">
        <v>1</v>
      </c>
      <c r="FE47" t="s">
        <v>1</v>
      </c>
      <c r="FF47" t="s">
        <v>17</v>
      </c>
      <c r="FG47" t="s">
        <v>1</v>
      </c>
      <c r="FH47" t="s">
        <v>1</v>
      </c>
      <c r="FI47" t="s">
        <v>1</v>
      </c>
      <c r="FJ47" t="s">
        <v>1</v>
      </c>
      <c r="FK47" s="7">
        <v>46115.484224537038</v>
      </c>
      <c r="FL47" t="s">
        <v>1</v>
      </c>
      <c r="FM47" t="s">
        <v>1</v>
      </c>
      <c r="FN47" t="s">
        <v>1</v>
      </c>
      <c r="FO47" s="19">
        <v>-709280000</v>
      </c>
      <c r="FP47" s="4">
        <v>0</v>
      </c>
      <c r="FQ47" s="19">
        <v>-709280000</v>
      </c>
      <c r="FR47" s="4">
        <v>0</v>
      </c>
      <c r="FS47" s="4">
        <v>0</v>
      </c>
      <c r="FT47" s="4">
        <v>0</v>
      </c>
      <c r="FU47" s="2">
        <v>46115</v>
      </c>
      <c r="FV47" t="s">
        <v>1</v>
      </c>
      <c r="FW47" s="4">
        <v>0</v>
      </c>
      <c r="FX47" t="s">
        <v>1</v>
      </c>
      <c r="FY47" t="s">
        <v>1</v>
      </c>
      <c r="FZ47" s="4">
        <v>0</v>
      </c>
      <c r="GA47" s="4">
        <v>0</v>
      </c>
      <c r="GB47" t="s">
        <v>2070</v>
      </c>
      <c r="GC47" t="str">
        <f>RIGHT(Data_FAGLL03[[#This Row],[Payment reference]],8)</f>
        <v>91172550</v>
      </c>
      <c r="GD47" t="str">
        <f>IF(Data_FAGLL03[[#This Row],[Billing]]&lt;&gt;"",_xlfn.XLOOKUP(Data_FAGLL03[[#This Row],[Billing]],MD_BILLING_SO[BILIING],MD_BILLING_SO[SO-EDITED]),"")</f>
        <v>30030652</v>
      </c>
      <c r="GE47" s="18">
        <f>IF(SUBSTITUTE(Data_FAGLL03[[#This Row],[Eff.exchange rate]],",","")/100000=1,1,SUBSTITUTE(Data_FAGLL03[[#This Row],[Eff.exchange rate]],",","")/100)</f>
        <v>1</v>
      </c>
      <c r="GF47" s="17">
        <f>IF(Data_FAGLL03[[#This Row],[Material]]&lt;&gt;"",IFERROR(Data_FAGLL03[[#This Row],[Amount in local currency]]/Data_FAGLL03[[#This Row],[Quantity_Original]],0),0)</f>
        <v>32240</v>
      </c>
      <c r="GG47" s="18">
        <f>IF(Data_FAGLL03[[#This Row],[XK/NĐ]]="XK",Data_FAGLL03[[#This Row],[GB trung bình]]/Data_FAGLL03[[#This Row],[EXR]],0)*1000</f>
        <v>0</v>
      </c>
      <c r="GH47" s="18" cm="1">
        <f t="array" ref="GH47">IF(Data_FAGLL03[[#This Row],[Document currency]]&lt;&gt;"VND",Data_FAGLL03[[#This Row],[Amount in doc. curr.]],Data_FAGLL03[[#This Row],[Amount in local currency]]/EXR)</f>
        <v>-27017.984699645262</v>
      </c>
      <c r="GI47" s="10">
        <f>Data_FAGLL03[[#This Row],[Time Stamp]]+TIME(7,0,0)</f>
        <v>46115.775891203702</v>
      </c>
      <c r="GJ47" s="18">
        <f>MONTH(Data_FAGLL03[[#This Row],[Time Stamp_VN]])</f>
        <v>4</v>
      </c>
      <c r="GK47">
        <f>DAY(Data_FAGLL03[[#This Row],[Time Stamp_VN]])</f>
        <v>3</v>
      </c>
      <c r="GL47" t="str">
        <f>TEXT(Data_FAGLL03[[#This Row],[Tháng]],"00")&amp;" | "&amp;TEXT(Data_FAGLL03[[#This Row],[Ngày]],"00")</f>
        <v>04 | 03</v>
      </c>
      <c r="GM47" s="18">
        <f>IF(Data_FAGLL03[[#This Row],[Text]]="",Data_FAGLL03[[#This Row],[Quantity_Original]],0)</f>
        <v>-22000</v>
      </c>
      <c r="GN47" s="18" t="str">
        <f>IF(Data_FAGLL03[[#This Row],[Quantity_Edited]]&lt;&gt;0,Data_FAGLL03[[#This Row],[Offsetting acct no.]]&amp;" | "&amp;Data_FAGLL03[[#This Row],[Material]],"")</f>
        <v>105194 | 110000332</v>
      </c>
      <c r="GO47" t="str">
        <f>IF(LEFT(Data_FAGLL03[[#This Row],[Offsetting acct no.]],1)="1","NĐ",IF(LEFT(Data_FAGLL03[[#This Row],[Offsetting acct no.]],1)="2","XK","Khác"))</f>
        <v>NĐ</v>
      </c>
      <c r="GP47" t="str">
        <f>IF(Data_FAGLL03[[#This Row],[Material]]&lt;&gt;"",_xlfn.XLOOKUP(Data_FAGLL03[[#This Row],[Material]],MD_SKU[Mã SKU],MD_SKU[Tên SKU]),"")</f>
        <v>Hạt nhựa rPET iSS01084G</v>
      </c>
      <c r="GQ47" t="str">
        <f>IF(Data_FAGLL03[[#This Row],[Material]]&lt;&gt;"",_xlfn.XLOOKUP(Data_FAGLL03[[#This Row],[Material]],MD_SKU[Mã SKU],MD_SKU[Nhóm SP 1]),"")</f>
        <v>rPET</v>
      </c>
      <c r="GR47" t="str">
        <f>IF(Data_FAGLL03[[#This Row],[Material]]&lt;&gt;"",_xlfn.XLOOKUP(Data_FAGLL03[[#This Row],[Material]],MD_SKU[Mã SKU],MD_SKU[Nhóm SP 2]),"")</f>
        <v>rPET</v>
      </c>
      <c r="GS47" t="str">
        <f>IF(Data_FAGLL03[[#This Row],[Material]]&lt;&gt;"",_xlfn.XLOOKUP(Data_FAGLL03[[#This Row],[Material]],MD_SKU[Mã SKU],MD_SKU[Nhóm SP 3]),"")</f>
        <v>rPET</v>
      </c>
      <c r="GT47" t="str">
        <f>IF(Data_FAGLL03[[#This Row],[Material]]&lt;&gt;"",_xlfn.XLOOKUP(Data_FAGLL03[[#This Row],[Material]],MD_SKU[Mã SKU],MD_SKU[Nhóm SP 4]),"")</f>
        <v>Hạt rPET</v>
      </c>
    </row>
    <row r="48" spans="1:202" x14ac:dyDescent="0.25">
      <c r="A48" t="s">
        <v>0</v>
      </c>
      <c r="B48" s="2">
        <v>46115</v>
      </c>
      <c r="C48" t="s">
        <v>2188</v>
      </c>
      <c r="D48" t="s">
        <v>1</v>
      </c>
      <c r="E48" t="s">
        <v>1</v>
      </c>
      <c r="F48" t="s">
        <v>31</v>
      </c>
      <c r="G48" t="s">
        <v>31</v>
      </c>
      <c r="H48" t="s">
        <v>42</v>
      </c>
      <c r="I48" s="19">
        <v>-696938000</v>
      </c>
      <c r="J48" t="s">
        <v>43</v>
      </c>
      <c r="K48" t="s">
        <v>1</v>
      </c>
      <c r="L48" t="s">
        <v>39</v>
      </c>
      <c r="M48" t="s">
        <v>41</v>
      </c>
      <c r="N48" t="s">
        <v>254</v>
      </c>
      <c r="O48" t="s">
        <v>4</v>
      </c>
      <c r="P48" t="s">
        <v>2189</v>
      </c>
      <c r="Q48" t="s">
        <v>31</v>
      </c>
      <c r="R48" t="s">
        <v>5</v>
      </c>
      <c r="S48" t="s">
        <v>1</v>
      </c>
      <c r="T48" s="3">
        <v>-696938000</v>
      </c>
      <c r="U48" s="19">
        <v>-696938000</v>
      </c>
      <c r="V48" s="3">
        <v>-696938000</v>
      </c>
      <c r="W48" s="3">
        <v>-696938000</v>
      </c>
      <c r="X48" s="4">
        <v>0</v>
      </c>
      <c r="Y48" s="4">
        <v>0</v>
      </c>
      <c r="Z48" s="3">
        <v>0</v>
      </c>
      <c r="AA48" s="3">
        <v>0</v>
      </c>
      <c r="AB48" t="s">
        <v>1</v>
      </c>
      <c r="AC48" t="s">
        <v>24</v>
      </c>
      <c r="AD48" s="2"/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25</v>
      </c>
      <c r="AK48" s="4">
        <v>0</v>
      </c>
      <c r="AL48" t="s">
        <v>1</v>
      </c>
      <c r="AM48" s="5" t="s">
        <v>1</v>
      </c>
      <c r="AN48" t="s">
        <v>1</v>
      </c>
      <c r="AO48" s="2"/>
      <c r="AP48" t="s">
        <v>1</v>
      </c>
      <c r="AQ48" t="s">
        <v>1</v>
      </c>
      <c r="AR48" s="3">
        <v>0</v>
      </c>
      <c r="AS48" t="s">
        <v>1</v>
      </c>
      <c r="AT48" t="s">
        <v>7</v>
      </c>
      <c r="AU48" t="s">
        <v>1</v>
      </c>
      <c r="AV48" t="s">
        <v>1</v>
      </c>
      <c r="AW48" t="s">
        <v>8</v>
      </c>
      <c r="AX48" t="s">
        <v>8</v>
      </c>
      <c r="AY48" t="s">
        <v>1</v>
      </c>
      <c r="AZ48" s="4">
        <v>0</v>
      </c>
      <c r="BA48" t="s">
        <v>1</v>
      </c>
      <c r="BB48" s="3">
        <v>0</v>
      </c>
      <c r="BC48" s="3">
        <v>0</v>
      </c>
      <c r="BD48" s="3">
        <v>0</v>
      </c>
      <c r="BE48" t="s">
        <v>20</v>
      </c>
      <c r="BF48" t="s">
        <v>1</v>
      </c>
      <c r="BG48" s="4">
        <v>0</v>
      </c>
      <c r="BH48" s="4">
        <v>0</v>
      </c>
      <c r="BI48" s="6">
        <v>0</v>
      </c>
      <c r="BJ48" s="6">
        <v>0</v>
      </c>
      <c r="BK48" t="s">
        <v>1</v>
      </c>
      <c r="BL48" t="s">
        <v>1</v>
      </c>
      <c r="BM48" t="s">
        <v>1</v>
      </c>
      <c r="BN48" t="s">
        <v>9</v>
      </c>
      <c r="BO48" s="2">
        <v>46115</v>
      </c>
      <c r="BP48" t="s">
        <v>1</v>
      </c>
      <c r="BQ48" t="s">
        <v>2188</v>
      </c>
      <c r="BR48" t="s">
        <v>27</v>
      </c>
      <c r="BS48" t="s">
        <v>1</v>
      </c>
      <c r="BT48" t="s">
        <v>1</v>
      </c>
      <c r="BU48" t="s">
        <v>1</v>
      </c>
      <c r="BV48" t="s">
        <v>1</v>
      </c>
      <c r="BW48" t="s">
        <v>7</v>
      </c>
      <c r="BX48" t="s">
        <v>10</v>
      </c>
      <c r="BY48" s="2"/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254</v>
      </c>
      <c r="CJ48" s="3">
        <v>-696938000</v>
      </c>
      <c r="CK48" t="s">
        <v>9</v>
      </c>
      <c r="CL48" t="s">
        <v>11</v>
      </c>
      <c r="CM48" t="s">
        <v>1</v>
      </c>
      <c r="CN48" s="4">
        <v>0</v>
      </c>
      <c r="CO48" t="s">
        <v>7</v>
      </c>
      <c r="CP48" t="s">
        <v>7</v>
      </c>
      <c r="CQ48" t="s">
        <v>7</v>
      </c>
      <c r="CR48" t="s">
        <v>7</v>
      </c>
      <c r="CS48" s="4">
        <v>0</v>
      </c>
      <c r="CT48" t="s">
        <v>2188</v>
      </c>
      <c r="CU48" t="s">
        <v>7</v>
      </c>
      <c r="CV48" t="s">
        <v>1</v>
      </c>
      <c r="CW48" s="2"/>
      <c r="CX48" t="s">
        <v>12</v>
      </c>
      <c r="CY48" t="s">
        <v>1</v>
      </c>
      <c r="CZ48" t="s">
        <v>13</v>
      </c>
      <c r="DA48" t="s">
        <v>1</v>
      </c>
      <c r="DB48" t="s">
        <v>9</v>
      </c>
      <c r="DC48" t="s">
        <v>9</v>
      </c>
      <c r="DD48" t="s">
        <v>1</v>
      </c>
      <c r="DE48" t="s">
        <v>1</v>
      </c>
      <c r="DF48" t="s">
        <v>1</v>
      </c>
      <c r="DG48" t="s">
        <v>33</v>
      </c>
      <c r="DH48" t="s">
        <v>1</v>
      </c>
      <c r="DI48" s="2"/>
      <c r="DJ48" t="s">
        <v>1</v>
      </c>
      <c r="DK48" t="s">
        <v>14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s="2"/>
      <c r="DW48" t="s">
        <v>1</v>
      </c>
      <c r="DX48" t="s">
        <v>1</v>
      </c>
      <c r="DY48" t="s">
        <v>2190</v>
      </c>
      <c r="DZ48" t="s">
        <v>1</v>
      </c>
      <c r="EA48" t="s">
        <v>1</v>
      </c>
      <c r="EB48" t="s">
        <v>28</v>
      </c>
      <c r="EC48" t="s">
        <v>7</v>
      </c>
      <c r="ED48" t="s">
        <v>1</v>
      </c>
      <c r="EE48" t="s">
        <v>1</v>
      </c>
      <c r="EF48" t="s">
        <v>22</v>
      </c>
      <c r="EG48" t="s">
        <v>41</v>
      </c>
      <c r="EH48" t="s">
        <v>15</v>
      </c>
      <c r="EI48" t="s">
        <v>1</v>
      </c>
      <c r="EJ48" s="4">
        <v>-22000</v>
      </c>
      <c r="EK48" t="s">
        <v>1</v>
      </c>
      <c r="EL48" t="s">
        <v>1</v>
      </c>
      <c r="EM48" t="s">
        <v>1</v>
      </c>
      <c r="EN48" t="s">
        <v>1</v>
      </c>
      <c r="EO48" s="2"/>
      <c r="EP48" t="s">
        <v>2190</v>
      </c>
      <c r="EQ48" t="s">
        <v>1</v>
      </c>
      <c r="ER48" t="s">
        <v>1</v>
      </c>
      <c r="ES48" t="s">
        <v>1</v>
      </c>
      <c r="ET48" t="s">
        <v>29</v>
      </c>
      <c r="EU48" t="s">
        <v>1</v>
      </c>
      <c r="EV48" t="s">
        <v>1</v>
      </c>
      <c r="EW48" t="s">
        <v>7</v>
      </c>
      <c r="EX48" t="s">
        <v>7</v>
      </c>
      <c r="EY48" t="s">
        <v>1</v>
      </c>
      <c r="EZ48" t="s">
        <v>1</v>
      </c>
      <c r="FA48" t="s">
        <v>1</v>
      </c>
      <c r="FB48" s="3">
        <v>50</v>
      </c>
      <c r="FC48" t="s">
        <v>1</v>
      </c>
      <c r="FD48" t="s">
        <v>1</v>
      </c>
      <c r="FE48" t="s">
        <v>1</v>
      </c>
      <c r="FF48" t="s">
        <v>17</v>
      </c>
      <c r="FG48" t="s">
        <v>1</v>
      </c>
      <c r="FH48" t="s">
        <v>1</v>
      </c>
      <c r="FI48" t="s">
        <v>1</v>
      </c>
      <c r="FJ48" t="s">
        <v>1</v>
      </c>
      <c r="FK48" s="7">
        <v>46115.484340277777</v>
      </c>
      <c r="FL48" t="s">
        <v>1</v>
      </c>
      <c r="FM48" t="s">
        <v>1</v>
      </c>
      <c r="FN48" t="s">
        <v>1</v>
      </c>
      <c r="FO48" s="19">
        <v>-696938000</v>
      </c>
      <c r="FP48" s="4">
        <v>0</v>
      </c>
      <c r="FQ48" s="19">
        <v>-696938000</v>
      </c>
      <c r="FR48" s="4">
        <v>0</v>
      </c>
      <c r="FS48" s="4">
        <v>0</v>
      </c>
      <c r="FT48" s="4">
        <v>0</v>
      </c>
      <c r="FU48" s="2">
        <v>46115</v>
      </c>
      <c r="FV48" t="s">
        <v>1</v>
      </c>
      <c r="FW48" s="4">
        <v>0</v>
      </c>
      <c r="FX48" t="s">
        <v>1</v>
      </c>
      <c r="FY48" t="s">
        <v>1</v>
      </c>
      <c r="FZ48" s="4">
        <v>0</v>
      </c>
      <c r="GA48" s="4">
        <v>0</v>
      </c>
      <c r="GB48" t="s">
        <v>2070</v>
      </c>
      <c r="GC48" t="str">
        <f>RIGHT(Data_FAGLL03[[#This Row],[Payment reference]],8)</f>
        <v>91172551</v>
      </c>
      <c r="GD48" t="str">
        <f>IF(Data_FAGLL03[[#This Row],[Billing]]&lt;&gt;"",_xlfn.XLOOKUP(Data_FAGLL03[[#This Row],[Billing]],MD_BILLING_SO[BILIING],MD_BILLING_SO[SO-EDITED]),"")</f>
        <v>30030677</v>
      </c>
      <c r="GE48" s="18">
        <f>IF(SUBSTITUTE(Data_FAGLL03[[#This Row],[Eff.exchange rate]],",","")/100000=1,1,SUBSTITUTE(Data_FAGLL03[[#This Row],[Eff.exchange rate]],",","")/100)</f>
        <v>1</v>
      </c>
      <c r="GF48" s="17">
        <f>IF(Data_FAGLL03[[#This Row],[Material]]&lt;&gt;"",IFERROR(Data_FAGLL03[[#This Row],[Amount in local currency]]/Data_FAGLL03[[#This Row],[Quantity_Original]],0),0)</f>
        <v>31679</v>
      </c>
      <c r="GG48" s="18">
        <f>IF(Data_FAGLL03[[#This Row],[XK/NĐ]]="XK",Data_FAGLL03[[#This Row],[GB trung bình]]/Data_FAGLL03[[#This Row],[EXR]],0)*1000</f>
        <v>0</v>
      </c>
      <c r="GH48" s="18" cm="1">
        <f t="array" ref="GH48">IF(Data_FAGLL03[[#This Row],[Document currency]]&lt;&gt;"VND",Data_FAGLL03[[#This Row],[Amount in doc. curr.]],Data_FAGLL03[[#This Row],[Amount in local currency]]/EXR)</f>
        <v>-26547.851653227739</v>
      </c>
      <c r="GI48" s="10">
        <f>Data_FAGLL03[[#This Row],[Time Stamp]]+TIME(7,0,0)</f>
        <v>46115.776006944441</v>
      </c>
      <c r="GJ48" s="18">
        <f>MONTH(Data_FAGLL03[[#This Row],[Time Stamp_VN]])</f>
        <v>4</v>
      </c>
      <c r="GK48">
        <f>DAY(Data_FAGLL03[[#This Row],[Time Stamp_VN]])</f>
        <v>3</v>
      </c>
      <c r="GL48" t="str">
        <f>TEXT(Data_FAGLL03[[#This Row],[Tháng]],"00")&amp;" | "&amp;TEXT(Data_FAGLL03[[#This Row],[Ngày]],"00")</f>
        <v>04 | 03</v>
      </c>
      <c r="GM48" s="18">
        <f>IF(Data_FAGLL03[[#This Row],[Text]]="",Data_FAGLL03[[#This Row],[Quantity_Original]],0)</f>
        <v>-22000</v>
      </c>
      <c r="GN48" s="18" t="str">
        <f>IF(Data_FAGLL03[[#This Row],[Quantity_Edited]]&lt;&gt;0,Data_FAGLL03[[#This Row],[Offsetting acct no.]]&amp;" | "&amp;Data_FAGLL03[[#This Row],[Material]],"")</f>
        <v>104894 | 110000354</v>
      </c>
      <c r="GO48" t="str">
        <f>IF(LEFT(Data_FAGLL03[[#This Row],[Offsetting acct no.]],1)="1","NĐ",IF(LEFT(Data_FAGLL03[[#This Row],[Offsetting acct no.]],1)="2","XK","Khác"))</f>
        <v>NĐ</v>
      </c>
      <c r="GP48" t="str">
        <f>IF(Data_FAGLL03[[#This Row],[Material]]&lt;&gt;"",_xlfn.XLOOKUP(Data_FAGLL03[[#This Row],[Material]],MD_SKU[Mã SKU],MD_SKU[Tên SKU]),"")</f>
        <v>Hạt nhựa rPET WSS01G 1</v>
      </c>
      <c r="GQ48" t="str">
        <f>IF(Data_FAGLL03[[#This Row],[Material]]&lt;&gt;"",_xlfn.XLOOKUP(Data_FAGLL03[[#This Row],[Material]],MD_SKU[Mã SKU],MD_SKU[Nhóm SP 1]),"")</f>
        <v>rPET</v>
      </c>
      <c r="GR48" t="str">
        <f>IF(Data_FAGLL03[[#This Row],[Material]]&lt;&gt;"",_xlfn.XLOOKUP(Data_FAGLL03[[#This Row],[Material]],MD_SKU[Mã SKU],MD_SKU[Nhóm SP 2]),"")</f>
        <v>rPET</v>
      </c>
      <c r="GS48" t="str">
        <f>IF(Data_FAGLL03[[#This Row],[Material]]&lt;&gt;"",_xlfn.XLOOKUP(Data_FAGLL03[[#This Row],[Material]],MD_SKU[Mã SKU],MD_SKU[Nhóm SP 3]),"")</f>
        <v>rPET</v>
      </c>
      <c r="GT48" t="str">
        <f>IF(Data_FAGLL03[[#This Row],[Material]]&lt;&gt;"",_xlfn.XLOOKUP(Data_FAGLL03[[#This Row],[Material]],MD_SKU[Mã SKU],MD_SKU[Nhóm SP 4]),"")</f>
        <v>Hạt rPET</v>
      </c>
    </row>
    <row r="49" spans="1:202" x14ac:dyDescent="0.25">
      <c r="A49" t="s">
        <v>0</v>
      </c>
      <c r="B49" s="2">
        <v>46115</v>
      </c>
      <c r="C49" t="s">
        <v>2191</v>
      </c>
      <c r="D49" t="s">
        <v>1</v>
      </c>
      <c r="E49" t="s">
        <v>1</v>
      </c>
      <c r="F49" t="s">
        <v>31</v>
      </c>
      <c r="G49" t="s">
        <v>31</v>
      </c>
      <c r="H49" t="s">
        <v>2032</v>
      </c>
      <c r="I49" s="19">
        <v>-263150000</v>
      </c>
      <c r="J49" t="s">
        <v>2033</v>
      </c>
      <c r="K49" t="s">
        <v>1</v>
      </c>
      <c r="L49" t="s">
        <v>39</v>
      </c>
      <c r="M49" t="s">
        <v>41</v>
      </c>
      <c r="N49" t="s">
        <v>254</v>
      </c>
      <c r="O49" t="s">
        <v>4</v>
      </c>
      <c r="P49" t="s">
        <v>2192</v>
      </c>
      <c r="Q49" t="s">
        <v>31</v>
      </c>
      <c r="R49" t="s">
        <v>5</v>
      </c>
      <c r="S49" t="s">
        <v>1</v>
      </c>
      <c r="T49" s="3">
        <v>-263150000</v>
      </c>
      <c r="U49" s="19">
        <v>-263150000</v>
      </c>
      <c r="V49" s="3">
        <v>-263150000</v>
      </c>
      <c r="W49" s="3">
        <v>-263150000</v>
      </c>
      <c r="X49" s="4">
        <v>0</v>
      </c>
      <c r="Y49" s="4">
        <v>0</v>
      </c>
      <c r="Z49" s="3">
        <v>0</v>
      </c>
      <c r="AA49" s="3">
        <v>0</v>
      </c>
      <c r="AB49" t="s">
        <v>1</v>
      </c>
      <c r="AC49" t="s">
        <v>24</v>
      </c>
      <c r="AD49" s="2"/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25</v>
      </c>
      <c r="AK49" s="4">
        <v>0</v>
      </c>
      <c r="AL49" t="s">
        <v>1</v>
      </c>
      <c r="AM49" s="5" t="s">
        <v>1</v>
      </c>
      <c r="AN49" t="s">
        <v>1</v>
      </c>
      <c r="AO49" s="2"/>
      <c r="AP49" t="s">
        <v>1</v>
      </c>
      <c r="AQ49" t="s">
        <v>1</v>
      </c>
      <c r="AR49" s="3">
        <v>0</v>
      </c>
      <c r="AS49" t="s">
        <v>1</v>
      </c>
      <c r="AT49" t="s">
        <v>7</v>
      </c>
      <c r="AU49" t="s">
        <v>1</v>
      </c>
      <c r="AV49" t="s">
        <v>1</v>
      </c>
      <c r="AW49" t="s">
        <v>8</v>
      </c>
      <c r="AX49" t="s">
        <v>8</v>
      </c>
      <c r="AY49" t="s">
        <v>1</v>
      </c>
      <c r="AZ49" s="4">
        <v>0</v>
      </c>
      <c r="BA49" t="s">
        <v>1</v>
      </c>
      <c r="BB49" s="3">
        <v>0</v>
      </c>
      <c r="BC49" s="3">
        <v>0</v>
      </c>
      <c r="BD49" s="3">
        <v>0</v>
      </c>
      <c r="BE49" t="s">
        <v>20</v>
      </c>
      <c r="BF49" t="s">
        <v>1</v>
      </c>
      <c r="BG49" s="4">
        <v>0</v>
      </c>
      <c r="BH49" s="4">
        <v>0</v>
      </c>
      <c r="BI49" s="6">
        <v>0</v>
      </c>
      <c r="BJ49" s="6">
        <v>0</v>
      </c>
      <c r="BK49" t="s">
        <v>1</v>
      </c>
      <c r="BL49" t="s">
        <v>1</v>
      </c>
      <c r="BM49" t="s">
        <v>1</v>
      </c>
      <c r="BN49" t="s">
        <v>9</v>
      </c>
      <c r="BO49" s="2">
        <v>46115</v>
      </c>
      <c r="BP49" t="s">
        <v>1</v>
      </c>
      <c r="BQ49" t="s">
        <v>2191</v>
      </c>
      <c r="BR49" t="s">
        <v>27</v>
      </c>
      <c r="BS49" t="s">
        <v>1</v>
      </c>
      <c r="BT49" t="s">
        <v>1</v>
      </c>
      <c r="BU49" t="s">
        <v>1</v>
      </c>
      <c r="BV49" t="s">
        <v>1</v>
      </c>
      <c r="BW49" t="s">
        <v>7</v>
      </c>
      <c r="BX49" t="s">
        <v>10</v>
      </c>
      <c r="BY49" s="2"/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254</v>
      </c>
      <c r="CJ49" s="3">
        <v>-263150000</v>
      </c>
      <c r="CK49" t="s">
        <v>9</v>
      </c>
      <c r="CL49" t="s">
        <v>11</v>
      </c>
      <c r="CM49" t="s">
        <v>1</v>
      </c>
      <c r="CN49" s="4">
        <v>0</v>
      </c>
      <c r="CO49" t="s">
        <v>7</v>
      </c>
      <c r="CP49" t="s">
        <v>7</v>
      </c>
      <c r="CQ49" t="s">
        <v>7</v>
      </c>
      <c r="CR49" t="s">
        <v>7</v>
      </c>
      <c r="CS49" s="4">
        <v>0</v>
      </c>
      <c r="CT49" t="s">
        <v>2191</v>
      </c>
      <c r="CU49" t="s">
        <v>7</v>
      </c>
      <c r="CV49" t="s">
        <v>1</v>
      </c>
      <c r="CW49" s="2"/>
      <c r="CX49" t="s">
        <v>12</v>
      </c>
      <c r="CY49" t="s">
        <v>1</v>
      </c>
      <c r="CZ49" t="s">
        <v>13</v>
      </c>
      <c r="DA49" t="s">
        <v>1</v>
      </c>
      <c r="DB49" t="s">
        <v>9</v>
      </c>
      <c r="DC49" t="s">
        <v>9</v>
      </c>
      <c r="DD49" t="s">
        <v>1</v>
      </c>
      <c r="DE49" t="s">
        <v>1</v>
      </c>
      <c r="DF49" t="s">
        <v>1</v>
      </c>
      <c r="DG49" t="s">
        <v>700</v>
      </c>
      <c r="DH49" t="s">
        <v>1</v>
      </c>
      <c r="DI49" s="2"/>
      <c r="DJ49" t="s">
        <v>1</v>
      </c>
      <c r="DK49" t="s">
        <v>14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s="2"/>
      <c r="DW49" t="s">
        <v>1</v>
      </c>
      <c r="DX49" t="s">
        <v>1</v>
      </c>
      <c r="DY49" t="s">
        <v>2193</v>
      </c>
      <c r="DZ49" t="s">
        <v>1</v>
      </c>
      <c r="EA49" t="s">
        <v>1</v>
      </c>
      <c r="EB49" t="s">
        <v>28</v>
      </c>
      <c r="EC49" t="s">
        <v>7</v>
      </c>
      <c r="ED49" t="s">
        <v>1</v>
      </c>
      <c r="EE49" t="s">
        <v>1</v>
      </c>
      <c r="EF49" t="s">
        <v>22</v>
      </c>
      <c r="EG49" t="s">
        <v>41</v>
      </c>
      <c r="EH49" t="s">
        <v>15</v>
      </c>
      <c r="EI49" t="s">
        <v>1</v>
      </c>
      <c r="EJ49" s="4">
        <v>-13850</v>
      </c>
      <c r="EK49" t="s">
        <v>1</v>
      </c>
      <c r="EL49" t="s">
        <v>1</v>
      </c>
      <c r="EM49" t="s">
        <v>1</v>
      </c>
      <c r="EN49" t="s">
        <v>1</v>
      </c>
      <c r="EO49" s="2"/>
      <c r="EP49" t="s">
        <v>2193</v>
      </c>
      <c r="EQ49" t="s">
        <v>1</v>
      </c>
      <c r="ER49" t="s">
        <v>1</v>
      </c>
      <c r="ES49" t="s">
        <v>1</v>
      </c>
      <c r="ET49" t="s">
        <v>29</v>
      </c>
      <c r="EU49" t="s">
        <v>1</v>
      </c>
      <c r="EV49" t="s">
        <v>1</v>
      </c>
      <c r="EW49" t="s">
        <v>7</v>
      </c>
      <c r="EX49" t="s">
        <v>7</v>
      </c>
      <c r="EY49" t="s">
        <v>1</v>
      </c>
      <c r="EZ49" t="s">
        <v>1</v>
      </c>
      <c r="FA49" t="s">
        <v>1</v>
      </c>
      <c r="FB49" s="3">
        <v>50</v>
      </c>
      <c r="FC49" t="s">
        <v>1</v>
      </c>
      <c r="FD49" t="s">
        <v>1</v>
      </c>
      <c r="FE49" t="s">
        <v>1</v>
      </c>
      <c r="FF49" t="s">
        <v>17</v>
      </c>
      <c r="FG49" t="s">
        <v>1</v>
      </c>
      <c r="FH49" t="s">
        <v>1</v>
      </c>
      <c r="FI49" t="s">
        <v>1</v>
      </c>
      <c r="FJ49" t="s">
        <v>1</v>
      </c>
      <c r="FK49" s="7">
        <v>46115.48474537037</v>
      </c>
      <c r="FL49" t="s">
        <v>1</v>
      </c>
      <c r="FM49" t="s">
        <v>1</v>
      </c>
      <c r="FN49" t="s">
        <v>1</v>
      </c>
      <c r="FO49" s="19">
        <v>-263150000</v>
      </c>
      <c r="FP49" s="4">
        <v>0</v>
      </c>
      <c r="FQ49" s="19">
        <v>-263150000</v>
      </c>
      <c r="FR49" s="4">
        <v>0</v>
      </c>
      <c r="FS49" s="4">
        <v>0</v>
      </c>
      <c r="FT49" s="4">
        <v>0</v>
      </c>
      <c r="FU49" s="2">
        <v>46115</v>
      </c>
      <c r="FV49" t="s">
        <v>1</v>
      </c>
      <c r="FW49" s="4">
        <v>0</v>
      </c>
      <c r="FX49" t="s">
        <v>1</v>
      </c>
      <c r="FY49" t="s">
        <v>1</v>
      </c>
      <c r="FZ49" s="4">
        <v>0</v>
      </c>
      <c r="GA49" s="4">
        <v>0</v>
      </c>
      <c r="GB49" t="s">
        <v>2070</v>
      </c>
      <c r="GC49" t="str">
        <f>RIGHT(Data_FAGLL03[[#This Row],[Payment reference]],8)</f>
        <v>91172552</v>
      </c>
      <c r="GD49" t="str">
        <f>IF(Data_FAGLL03[[#This Row],[Billing]]&lt;&gt;"",_xlfn.XLOOKUP(Data_FAGLL03[[#This Row],[Billing]],MD_BILLING_SO[BILIING],MD_BILLING_SO[SO-EDITED]),"")</f>
        <v>30030646</v>
      </c>
      <c r="GE49" s="18">
        <f>IF(SUBSTITUTE(Data_FAGLL03[[#This Row],[Eff.exchange rate]],",","")/100000=1,1,SUBSTITUTE(Data_FAGLL03[[#This Row],[Eff.exchange rate]],",","")/100)</f>
        <v>1</v>
      </c>
      <c r="GF49" s="17">
        <f>IF(Data_FAGLL03[[#This Row],[Material]]&lt;&gt;"",IFERROR(Data_FAGLL03[[#This Row],[Amount in local currency]]/Data_FAGLL03[[#This Row],[Quantity_Original]],0),0)</f>
        <v>19000</v>
      </c>
      <c r="GG49" s="18">
        <f>IF(Data_FAGLL03[[#This Row],[XK/NĐ]]="XK",Data_FAGLL03[[#This Row],[GB trung bình]]/Data_FAGLL03[[#This Row],[EXR]],0)*1000</f>
        <v>0</v>
      </c>
      <c r="GH49" s="18" cm="1">
        <f t="array" ref="GH49">IF(Data_FAGLL03[[#This Row],[Document currency]]&lt;&gt;"VND",Data_FAGLL03[[#This Row],[Amount in doc. curr.]],Data_FAGLL03[[#This Row],[Amount in local currency]]/EXR)</f>
        <v>-10023.943539521277</v>
      </c>
      <c r="GI49" s="10">
        <f>Data_FAGLL03[[#This Row],[Time Stamp]]+TIME(7,0,0)</f>
        <v>46115.776412037034</v>
      </c>
      <c r="GJ49" s="18">
        <f>MONTH(Data_FAGLL03[[#This Row],[Time Stamp_VN]])</f>
        <v>4</v>
      </c>
      <c r="GK49">
        <f>DAY(Data_FAGLL03[[#This Row],[Time Stamp_VN]])</f>
        <v>3</v>
      </c>
      <c r="GL49" t="str">
        <f>TEXT(Data_FAGLL03[[#This Row],[Tháng]],"00")&amp;" | "&amp;TEXT(Data_FAGLL03[[#This Row],[Ngày]],"00")</f>
        <v>04 | 03</v>
      </c>
      <c r="GM49" s="18">
        <f>IF(Data_FAGLL03[[#This Row],[Text]]="",Data_FAGLL03[[#This Row],[Quantity_Original]],0)</f>
        <v>-13850</v>
      </c>
      <c r="GN49" s="18" t="str">
        <f>IF(Data_FAGLL03[[#This Row],[Quantity_Edited]]&lt;&gt;0,Data_FAGLL03[[#This Row],[Offsetting acct no.]]&amp;" | "&amp;Data_FAGLL03[[#This Row],[Material]],"")</f>
        <v>105323 | 110000436</v>
      </c>
      <c r="GO49" t="str">
        <f>IF(LEFT(Data_FAGLL03[[#This Row],[Offsetting acct no.]],1)="1","NĐ",IF(LEFT(Data_FAGLL03[[#This Row],[Offsetting acct no.]],1)="2","XK","Khác"))</f>
        <v>NĐ</v>
      </c>
      <c r="GP49" t="str">
        <f>IF(Data_FAGLL03[[#This Row],[Material]]&lt;&gt;"",_xlfn.XLOOKUP(Data_FAGLL03[[#This Row],[Material]],MD_SKU[Mã SKU],MD_SKU[Tên SKU]),"")</f>
        <v>Hạt nhựa rPET WSS05SB</v>
      </c>
      <c r="GQ49" t="str">
        <f>IF(Data_FAGLL03[[#This Row],[Material]]&lt;&gt;"",_xlfn.XLOOKUP(Data_FAGLL03[[#This Row],[Material]],MD_SKU[Mã SKU],MD_SKU[Nhóm SP 1]),"")</f>
        <v>Xơ sợi</v>
      </c>
      <c r="GR49" t="str">
        <f>IF(Data_FAGLL03[[#This Row],[Material]]&lt;&gt;"",_xlfn.XLOOKUP(Data_FAGLL03[[#This Row],[Material]],MD_SKU[Mã SKU],MD_SKU[Nhóm SP 2]),"")</f>
        <v>Xơ sợi</v>
      </c>
      <c r="GS49" t="str">
        <f>IF(Data_FAGLL03[[#This Row],[Material]]&lt;&gt;"",_xlfn.XLOOKUP(Data_FAGLL03[[#This Row],[Material]],MD_SKU[Mã SKU],MD_SKU[Nhóm SP 3]),"")</f>
        <v>Xơ sợi</v>
      </c>
      <c r="GT49" t="str">
        <f>IF(Data_FAGLL03[[#This Row],[Material]]&lt;&gt;"",_xlfn.XLOOKUP(Data_FAGLL03[[#This Row],[Material]],MD_SKU[Mã SKU],MD_SKU[Nhóm SP 4]),"")</f>
        <v>Hạt Xơ sợi</v>
      </c>
    </row>
    <row r="50" spans="1:202" x14ac:dyDescent="0.25">
      <c r="A50" t="s">
        <v>0</v>
      </c>
      <c r="B50" s="2">
        <v>46115</v>
      </c>
      <c r="C50" t="s">
        <v>2194</v>
      </c>
      <c r="D50" t="s">
        <v>1</v>
      </c>
      <c r="E50" t="s">
        <v>1</v>
      </c>
      <c r="F50" t="s">
        <v>31</v>
      </c>
      <c r="G50" t="s">
        <v>31</v>
      </c>
      <c r="H50" t="s">
        <v>57</v>
      </c>
      <c r="I50" s="19">
        <v>-105600000</v>
      </c>
      <c r="J50" t="s">
        <v>58</v>
      </c>
      <c r="K50" t="s">
        <v>1</v>
      </c>
      <c r="L50" t="s">
        <v>39</v>
      </c>
      <c r="M50" t="s">
        <v>41</v>
      </c>
      <c r="N50" t="s">
        <v>254</v>
      </c>
      <c r="O50" t="s">
        <v>4</v>
      </c>
      <c r="P50" t="s">
        <v>2195</v>
      </c>
      <c r="Q50" t="s">
        <v>31</v>
      </c>
      <c r="R50" t="s">
        <v>5</v>
      </c>
      <c r="S50" t="s">
        <v>1</v>
      </c>
      <c r="T50" s="4">
        <v>-105600000</v>
      </c>
      <c r="U50" s="19">
        <v>-105600000</v>
      </c>
      <c r="V50" s="3">
        <v>-105600000</v>
      </c>
      <c r="W50" s="3">
        <v>-105600000</v>
      </c>
      <c r="X50" s="4">
        <v>0</v>
      </c>
      <c r="Y50" s="4">
        <v>0</v>
      </c>
      <c r="Z50" s="3">
        <v>0</v>
      </c>
      <c r="AA50" s="3">
        <v>0</v>
      </c>
      <c r="AB50" t="s">
        <v>1</v>
      </c>
      <c r="AC50" t="s">
        <v>24</v>
      </c>
      <c r="AD50" s="2"/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25</v>
      </c>
      <c r="AK50" s="4">
        <v>0</v>
      </c>
      <c r="AL50" t="s">
        <v>1</v>
      </c>
      <c r="AM50" s="5" t="s">
        <v>1</v>
      </c>
      <c r="AN50" t="s">
        <v>1</v>
      </c>
      <c r="AO50" s="2"/>
      <c r="AP50" t="s">
        <v>1</v>
      </c>
      <c r="AQ50" t="s">
        <v>1</v>
      </c>
      <c r="AR50" s="3">
        <v>0</v>
      </c>
      <c r="AS50" t="s">
        <v>1</v>
      </c>
      <c r="AT50" t="s">
        <v>7</v>
      </c>
      <c r="AU50" t="s">
        <v>1</v>
      </c>
      <c r="AV50" t="s">
        <v>1</v>
      </c>
      <c r="AW50" t="s">
        <v>8</v>
      </c>
      <c r="AX50" t="s">
        <v>8</v>
      </c>
      <c r="AY50" t="s">
        <v>1</v>
      </c>
      <c r="AZ50" s="4">
        <v>0</v>
      </c>
      <c r="BA50" t="s">
        <v>1</v>
      </c>
      <c r="BB50" s="3">
        <v>0</v>
      </c>
      <c r="BC50" s="3">
        <v>0</v>
      </c>
      <c r="BD50" s="3">
        <v>0</v>
      </c>
      <c r="BE50" t="s">
        <v>20</v>
      </c>
      <c r="BF50" t="s">
        <v>1</v>
      </c>
      <c r="BG50" s="4">
        <v>0</v>
      </c>
      <c r="BH50" s="4">
        <v>0</v>
      </c>
      <c r="BI50" s="6">
        <v>0</v>
      </c>
      <c r="BJ50" s="6">
        <v>0</v>
      </c>
      <c r="BK50" t="s">
        <v>1</v>
      </c>
      <c r="BL50" t="s">
        <v>1</v>
      </c>
      <c r="BM50" t="s">
        <v>1</v>
      </c>
      <c r="BN50" t="s">
        <v>9</v>
      </c>
      <c r="BO50" s="2">
        <v>46115</v>
      </c>
      <c r="BP50" t="s">
        <v>1</v>
      </c>
      <c r="BQ50" t="s">
        <v>2194</v>
      </c>
      <c r="BR50" t="s">
        <v>27</v>
      </c>
      <c r="BS50" t="s">
        <v>1</v>
      </c>
      <c r="BT50" t="s">
        <v>1</v>
      </c>
      <c r="BU50" t="s">
        <v>1</v>
      </c>
      <c r="BV50" t="s">
        <v>1</v>
      </c>
      <c r="BW50" t="s">
        <v>7</v>
      </c>
      <c r="BX50" t="s">
        <v>10</v>
      </c>
      <c r="BY50" s="2"/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254</v>
      </c>
      <c r="CJ50" s="3">
        <v>-105600000</v>
      </c>
      <c r="CK50" t="s">
        <v>9</v>
      </c>
      <c r="CL50" t="s">
        <v>11</v>
      </c>
      <c r="CM50" t="s">
        <v>1</v>
      </c>
      <c r="CN50" s="4">
        <v>0</v>
      </c>
      <c r="CO50" t="s">
        <v>7</v>
      </c>
      <c r="CP50" t="s">
        <v>7</v>
      </c>
      <c r="CQ50" t="s">
        <v>7</v>
      </c>
      <c r="CR50" t="s">
        <v>7</v>
      </c>
      <c r="CS50" s="4">
        <v>0</v>
      </c>
      <c r="CT50" t="s">
        <v>2194</v>
      </c>
      <c r="CU50" t="s">
        <v>7</v>
      </c>
      <c r="CV50" t="s">
        <v>1</v>
      </c>
      <c r="CW50" s="2"/>
      <c r="CX50" t="s">
        <v>12</v>
      </c>
      <c r="CY50" t="s">
        <v>1</v>
      </c>
      <c r="CZ50" t="s">
        <v>13</v>
      </c>
      <c r="DA50" t="s">
        <v>1</v>
      </c>
      <c r="DB50" t="s">
        <v>9</v>
      </c>
      <c r="DC50" t="s">
        <v>9</v>
      </c>
      <c r="DD50" t="s">
        <v>1</v>
      </c>
      <c r="DE50" t="s">
        <v>1</v>
      </c>
      <c r="DF50" t="s">
        <v>1</v>
      </c>
      <c r="DG50" t="s">
        <v>309</v>
      </c>
      <c r="DH50" t="s">
        <v>1</v>
      </c>
      <c r="DI50" s="2"/>
      <c r="DJ50" t="s">
        <v>1</v>
      </c>
      <c r="DK50" t="s">
        <v>14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s="2"/>
      <c r="DW50" t="s">
        <v>1</v>
      </c>
      <c r="DX50" t="s">
        <v>1</v>
      </c>
      <c r="DY50" t="s">
        <v>2196</v>
      </c>
      <c r="DZ50" t="s">
        <v>1</v>
      </c>
      <c r="EA50" t="s">
        <v>1</v>
      </c>
      <c r="EB50" t="s">
        <v>28</v>
      </c>
      <c r="EC50" t="s">
        <v>7</v>
      </c>
      <c r="ED50" t="s">
        <v>1</v>
      </c>
      <c r="EE50" t="s">
        <v>1</v>
      </c>
      <c r="EF50" t="s">
        <v>22</v>
      </c>
      <c r="EG50" t="s">
        <v>41</v>
      </c>
      <c r="EH50" t="s">
        <v>15</v>
      </c>
      <c r="EI50" t="s">
        <v>1</v>
      </c>
      <c r="EJ50" s="4">
        <v>-5500</v>
      </c>
      <c r="EK50" t="s">
        <v>1</v>
      </c>
      <c r="EL50" t="s">
        <v>1</v>
      </c>
      <c r="EM50" t="s">
        <v>1</v>
      </c>
      <c r="EN50" t="s">
        <v>1</v>
      </c>
      <c r="EO50" s="2"/>
      <c r="EP50" t="s">
        <v>2196</v>
      </c>
      <c r="EQ50" t="s">
        <v>1</v>
      </c>
      <c r="ER50" t="s">
        <v>1</v>
      </c>
      <c r="ES50" t="s">
        <v>1</v>
      </c>
      <c r="ET50" t="s">
        <v>29</v>
      </c>
      <c r="EU50" t="s">
        <v>1</v>
      </c>
      <c r="EV50" t="s">
        <v>1</v>
      </c>
      <c r="EW50" t="s">
        <v>7</v>
      </c>
      <c r="EX50" t="s">
        <v>7</v>
      </c>
      <c r="EY50" t="s">
        <v>1</v>
      </c>
      <c r="EZ50" t="s">
        <v>1</v>
      </c>
      <c r="FA50" t="s">
        <v>1</v>
      </c>
      <c r="FB50" s="3">
        <v>50</v>
      </c>
      <c r="FC50" t="s">
        <v>1</v>
      </c>
      <c r="FD50" t="s">
        <v>1</v>
      </c>
      <c r="FE50" t="s">
        <v>1</v>
      </c>
      <c r="FF50" t="s">
        <v>17</v>
      </c>
      <c r="FG50" t="s">
        <v>1</v>
      </c>
      <c r="FH50" t="s">
        <v>1</v>
      </c>
      <c r="FI50" t="s">
        <v>1</v>
      </c>
      <c r="FJ50" t="s">
        <v>1</v>
      </c>
      <c r="FK50" s="7">
        <v>46115.485150462962</v>
      </c>
      <c r="FL50" t="s">
        <v>1</v>
      </c>
      <c r="FM50" t="s">
        <v>1</v>
      </c>
      <c r="FN50" t="s">
        <v>1</v>
      </c>
      <c r="FO50" s="19">
        <v>-105600000</v>
      </c>
      <c r="FP50" s="4">
        <v>0</v>
      </c>
      <c r="FQ50" s="19">
        <v>-105600000</v>
      </c>
      <c r="FR50" s="4">
        <v>0</v>
      </c>
      <c r="FS50" s="4">
        <v>0</v>
      </c>
      <c r="FT50" s="4">
        <v>0</v>
      </c>
      <c r="FU50" s="2">
        <v>46115</v>
      </c>
      <c r="FV50" t="s">
        <v>1</v>
      </c>
      <c r="FW50" s="4">
        <v>0</v>
      </c>
      <c r="FX50" t="s">
        <v>1</v>
      </c>
      <c r="FY50" t="s">
        <v>1</v>
      </c>
      <c r="FZ50" s="4">
        <v>0</v>
      </c>
      <c r="GA50" s="4">
        <v>0</v>
      </c>
      <c r="GB50" t="s">
        <v>2070</v>
      </c>
      <c r="GC50" t="str">
        <f>RIGHT(Data_FAGLL03[[#This Row],[Payment reference]],8)</f>
        <v>91172553</v>
      </c>
      <c r="GD50" t="str">
        <f>IF(Data_FAGLL03[[#This Row],[Billing]]&lt;&gt;"",_xlfn.XLOOKUP(Data_FAGLL03[[#This Row],[Billing]],MD_BILLING_SO[BILIING],MD_BILLING_SO[SO-EDITED]),"")</f>
        <v>30030465</v>
      </c>
      <c r="GE50" s="18">
        <f>IF(SUBSTITUTE(Data_FAGLL03[[#This Row],[Eff.exchange rate]],",","")/100000=1,1,SUBSTITUTE(Data_FAGLL03[[#This Row],[Eff.exchange rate]],",","")/100)</f>
        <v>1</v>
      </c>
      <c r="GF50" s="17">
        <f>IF(Data_FAGLL03[[#This Row],[Material]]&lt;&gt;"",IFERROR(Data_FAGLL03[[#This Row],[Amount in local currency]]/Data_FAGLL03[[#This Row],[Quantity_Original]],0),0)</f>
        <v>19200</v>
      </c>
      <c r="GG50" s="18">
        <f>IF(Data_FAGLL03[[#This Row],[XK/NĐ]]="XK",Data_FAGLL03[[#This Row],[GB trung bình]]/Data_FAGLL03[[#This Row],[EXR]],0)*1000</f>
        <v>0</v>
      </c>
      <c r="GH50" s="18" cm="1">
        <f t="array" ref="GH50">IF(Data_FAGLL03[[#This Row],[Document currency]]&lt;&gt;"VND",Data_FAGLL03[[#This Row],[Amount in doc. curr.]],Data_FAGLL03[[#This Row],[Amount in local currency]]/EXR)</f>
        <v>-4022.5287394012798</v>
      </c>
      <c r="GI50" s="10">
        <f>Data_FAGLL03[[#This Row],[Time Stamp]]+TIME(7,0,0)</f>
        <v>46115.776817129627</v>
      </c>
      <c r="GJ50" s="18">
        <f>MONTH(Data_FAGLL03[[#This Row],[Time Stamp_VN]])</f>
        <v>4</v>
      </c>
      <c r="GK50">
        <f>DAY(Data_FAGLL03[[#This Row],[Time Stamp_VN]])</f>
        <v>3</v>
      </c>
      <c r="GL50" t="str">
        <f>TEXT(Data_FAGLL03[[#This Row],[Tháng]],"00")&amp;" | "&amp;TEXT(Data_FAGLL03[[#This Row],[Ngày]],"00")</f>
        <v>04 | 03</v>
      </c>
      <c r="GM50" s="18">
        <f>IF(Data_FAGLL03[[#This Row],[Text]]="",Data_FAGLL03[[#This Row],[Quantity_Original]],0)</f>
        <v>-5500</v>
      </c>
      <c r="GN50" s="18" t="str">
        <f>IF(Data_FAGLL03[[#This Row],[Quantity_Edited]]&lt;&gt;0,Data_FAGLL03[[#This Row],[Offsetting acct no.]]&amp;" | "&amp;Data_FAGLL03[[#This Row],[Material]],"")</f>
        <v>105339 | 110000361</v>
      </c>
      <c r="GO50" t="str">
        <f>IF(LEFT(Data_FAGLL03[[#This Row],[Offsetting acct no.]],1)="1","NĐ",IF(LEFT(Data_FAGLL03[[#This Row],[Offsetting acct no.]],1)="2","XK","Khác"))</f>
        <v>NĐ</v>
      </c>
      <c r="GP50" t="str">
        <f>IF(Data_FAGLL03[[#This Row],[Material]]&lt;&gt;"",_xlfn.XLOOKUP(Data_FAGLL03[[#This Row],[Material]],MD_SKU[Mã SKU],MD_SKU[Tên SKU]),"")</f>
        <v>Hạt nhựa rHDI3R01</v>
      </c>
      <c r="GQ50" t="str">
        <f>IF(Data_FAGLL03[[#This Row],[Material]]&lt;&gt;"",_xlfn.XLOOKUP(Data_FAGLL03[[#This Row],[Material]],MD_SKU[Mã SKU],MD_SKU[Nhóm SP 1]),"")</f>
        <v>rHDPE</v>
      </c>
      <c r="GR50" t="str">
        <f>IF(Data_FAGLL03[[#This Row],[Material]]&lt;&gt;"",_xlfn.XLOOKUP(Data_FAGLL03[[#This Row],[Material]],MD_SKU[Mã SKU],MD_SKU[Nhóm SP 2]),"")</f>
        <v>rHDPE ép</v>
      </c>
      <c r="GS50" t="str">
        <f>IF(Data_FAGLL03[[#This Row],[Material]]&lt;&gt;"",_xlfn.XLOOKUP(Data_FAGLL03[[#This Row],[Material]],MD_SKU[Mã SKU],MD_SKU[Nhóm SP 3]),"")</f>
        <v>rHDPE ép</v>
      </c>
      <c r="GT50" t="str">
        <f>IF(Data_FAGLL03[[#This Row],[Material]]&lt;&gt;"",_xlfn.XLOOKUP(Data_FAGLL03[[#This Row],[Material]],MD_SKU[Mã SKU],MD_SKU[Nhóm SP 4]),"")</f>
        <v>Hạt rHDPE ép</v>
      </c>
    </row>
    <row r="51" spans="1:202" x14ac:dyDescent="0.25">
      <c r="A51" t="s">
        <v>0</v>
      </c>
      <c r="B51" s="2">
        <v>46115</v>
      </c>
      <c r="C51" t="s">
        <v>2197</v>
      </c>
      <c r="D51" t="s">
        <v>1</v>
      </c>
      <c r="E51" t="s">
        <v>1</v>
      </c>
      <c r="F51" t="s">
        <v>31</v>
      </c>
      <c r="G51" t="s">
        <v>31</v>
      </c>
      <c r="H51" t="s">
        <v>2034</v>
      </c>
      <c r="I51" s="19">
        <v>-151472464</v>
      </c>
      <c r="J51" t="s">
        <v>2035</v>
      </c>
      <c r="K51" t="s">
        <v>1</v>
      </c>
      <c r="L51" t="s">
        <v>39</v>
      </c>
      <c r="M51" t="s">
        <v>41</v>
      </c>
      <c r="N51" t="s">
        <v>254</v>
      </c>
      <c r="O51" t="s">
        <v>4</v>
      </c>
      <c r="P51" t="s">
        <v>2198</v>
      </c>
      <c r="Q51" t="s">
        <v>31</v>
      </c>
      <c r="R51" t="s">
        <v>5</v>
      </c>
      <c r="S51" t="s">
        <v>1</v>
      </c>
      <c r="T51" s="4">
        <v>-151472464</v>
      </c>
      <c r="U51" s="19">
        <v>-151472464</v>
      </c>
      <c r="V51" s="3">
        <v>-151472464</v>
      </c>
      <c r="W51" s="3">
        <v>-151472464</v>
      </c>
      <c r="X51" s="4">
        <v>0</v>
      </c>
      <c r="Y51" s="4">
        <v>0</v>
      </c>
      <c r="Z51" s="3">
        <v>0</v>
      </c>
      <c r="AA51" s="3">
        <v>0</v>
      </c>
      <c r="AB51" t="s">
        <v>1</v>
      </c>
      <c r="AC51" t="s">
        <v>24</v>
      </c>
      <c r="AD51" s="2"/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25</v>
      </c>
      <c r="AK51" s="4">
        <v>0</v>
      </c>
      <c r="AL51" t="s">
        <v>1</v>
      </c>
      <c r="AM51" s="5" t="s">
        <v>1</v>
      </c>
      <c r="AN51" t="s">
        <v>1</v>
      </c>
      <c r="AO51" s="2"/>
      <c r="AP51" t="s">
        <v>1</v>
      </c>
      <c r="AQ51" t="s">
        <v>1</v>
      </c>
      <c r="AR51" s="3">
        <v>0</v>
      </c>
      <c r="AS51" t="s">
        <v>1</v>
      </c>
      <c r="AT51" t="s">
        <v>7</v>
      </c>
      <c r="AU51" t="s">
        <v>1</v>
      </c>
      <c r="AV51" t="s">
        <v>1</v>
      </c>
      <c r="AW51" t="s">
        <v>8</v>
      </c>
      <c r="AX51" t="s">
        <v>8</v>
      </c>
      <c r="AY51" t="s">
        <v>1</v>
      </c>
      <c r="AZ51" s="4">
        <v>0</v>
      </c>
      <c r="BA51" t="s">
        <v>1</v>
      </c>
      <c r="BB51" s="3">
        <v>0</v>
      </c>
      <c r="BC51" s="3">
        <v>0</v>
      </c>
      <c r="BD51" s="3">
        <v>0</v>
      </c>
      <c r="BE51" t="s">
        <v>20</v>
      </c>
      <c r="BF51" t="s">
        <v>1</v>
      </c>
      <c r="BG51" s="4">
        <v>0</v>
      </c>
      <c r="BH51" s="4">
        <v>0</v>
      </c>
      <c r="BI51" s="6">
        <v>0</v>
      </c>
      <c r="BJ51" s="6">
        <v>0</v>
      </c>
      <c r="BK51" t="s">
        <v>1</v>
      </c>
      <c r="BL51" t="s">
        <v>1</v>
      </c>
      <c r="BM51" t="s">
        <v>1</v>
      </c>
      <c r="BN51" t="s">
        <v>9</v>
      </c>
      <c r="BO51" s="2">
        <v>46115</v>
      </c>
      <c r="BP51" t="s">
        <v>1</v>
      </c>
      <c r="BQ51" t="s">
        <v>2197</v>
      </c>
      <c r="BR51" t="s">
        <v>27</v>
      </c>
      <c r="BS51" t="s">
        <v>1</v>
      </c>
      <c r="BT51" t="s">
        <v>1</v>
      </c>
      <c r="BU51" t="s">
        <v>1</v>
      </c>
      <c r="BV51" t="s">
        <v>1</v>
      </c>
      <c r="BW51" t="s">
        <v>7</v>
      </c>
      <c r="BX51" t="s">
        <v>10</v>
      </c>
      <c r="BY51" s="2"/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254</v>
      </c>
      <c r="CJ51" s="3">
        <v>-151472464</v>
      </c>
      <c r="CK51" t="s">
        <v>9</v>
      </c>
      <c r="CL51" t="s">
        <v>11</v>
      </c>
      <c r="CM51" t="s">
        <v>1</v>
      </c>
      <c r="CN51" s="4">
        <v>0</v>
      </c>
      <c r="CO51" t="s">
        <v>7</v>
      </c>
      <c r="CP51" t="s">
        <v>7</v>
      </c>
      <c r="CQ51" t="s">
        <v>7</v>
      </c>
      <c r="CR51" t="s">
        <v>7</v>
      </c>
      <c r="CS51" s="4">
        <v>0</v>
      </c>
      <c r="CT51" t="s">
        <v>2197</v>
      </c>
      <c r="CU51" t="s">
        <v>7</v>
      </c>
      <c r="CV51" t="s">
        <v>1</v>
      </c>
      <c r="CW51" s="2"/>
      <c r="CX51" t="s">
        <v>12</v>
      </c>
      <c r="CY51" t="s">
        <v>1</v>
      </c>
      <c r="CZ51" t="s">
        <v>13</v>
      </c>
      <c r="DA51" t="s">
        <v>1</v>
      </c>
      <c r="DB51" t="s">
        <v>9</v>
      </c>
      <c r="DC51" t="s">
        <v>9</v>
      </c>
      <c r="DD51" t="s">
        <v>1</v>
      </c>
      <c r="DE51" t="s">
        <v>1</v>
      </c>
      <c r="DF51" t="s">
        <v>1</v>
      </c>
      <c r="DG51" t="s">
        <v>37</v>
      </c>
      <c r="DH51" t="s">
        <v>1</v>
      </c>
      <c r="DI51" s="2"/>
      <c r="DJ51" t="s">
        <v>1</v>
      </c>
      <c r="DK51" t="s">
        <v>14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s="2"/>
      <c r="DW51" t="s">
        <v>1</v>
      </c>
      <c r="DX51" t="s">
        <v>1</v>
      </c>
      <c r="DY51" t="s">
        <v>2199</v>
      </c>
      <c r="DZ51" t="s">
        <v>1</v>
      </c>
      <c r="EA51" t="s">
        <v>1</v>
      </c>
      <c r="EB51" t="s">
        <v>28</v>
      </c>
      <c r="EC51" t="s">
        <v>7</v>
      </c>
      <c r="ED51" t="s">
        <v>1</v>
      </c>
      <c r="EE51" t="s">
        <v>1</v>
      </c>
      <c r="EF51" t="s">
        <v>22</v>
      </c>
      <c r="EG51" t="s">
        <v>41</v>
      </c>
      <c r="EH51" t="s">
        <v>15</v>
      </c>
      <c r="EI51" t="s">
        <v>1</v>
      </c>
      <c r="EJ51" s="4">
        <v>-4400</v>
      </c>
      <c r="EK51" t="s">
        <v>1</v>
      </c>
      <c r="EL51" t="s">
        <v>1</v>
      </c>
      <c r="EM51" t="s">
        <v>1</v>
      </c>
      <c r="EN51" t="s">
        <v>1</v>
      </c>
      <c r="EO51" s="2"/>
      <c r="EP51" t="s">
        <v>2199</v>
      </c>
      <c r="EQ51" t="s">
        <v>1</v>
      </c>
      <c r="ER51" t="s">
        <v>1</v>
      </c>
      <c r="ES51" t="s">
        <v>1</v>
      </c>
      <c r="ET51" t="s">
        <v>29</v>
      </c>
      <c r="EU51" t="s">
        <v>1</v>
      </c>
      <c r="EV51" t="s">
        <v>1</v>
      </c>
      <c r="EW51" t="s">
        <v>7</v>
      </c>
      <c r="EX51" t="s">
        <v>7</v>
      </c>
      <c r="EY51" t="s">
        <v>1</v>
      </c>
      <c r="EZ51" t="s">
        <v>1</v>
      </c>
      <c r="FA51" t="s">
        <v>1</v>
      </c>
      <c r="FB51" s="3">
        <v>50</v>
      </c>
      <c r="FC51" t="s">
        <v>1</v>
      </c>
      <c r="FD51" t="s">
        <v>1</v>
      </c>
      <c r="FE51" t="s">
        <v>1</v>
      </c>
      <c r="FF51" t="s">
        <v>17</v>
      </c>
      <c r="FG51" t="s">
        <v>1</v>
      </c>
      <c r="FH51" t="s">
        <v>1</v>
      </c>
      <c r="FI51" t="s">
        <v>1</v>
      </c>
      <c r="FJ51" t="s">
        <v>1</v>
      </c>
      <c r="FK51" s="7">
        <v>46115.485393518517</v>
      </c>
      <c r="FL51" t="s">
        <v>1</v>
      </c>
      <c r="FM51" t="s">
        <v>1</v>
      </c>
      <c r="FN51" t="s">
        <v>1</v>
      </c>
      <c r="FO51" s="19">
        <v>-151472464</v>
      </c>
      <c r="FP51" s="4">
        <v>0</v>
      </c>
      <c r="FQ51" s="19">
        <v>-151472464</v>
      </c>
      <c r="FR51" s="4">
        <v>0</v>
      </c>
      <c r="FS51" s="4">
        <v>0</v>
      </c>
      <c r="FT51" s="4">
        <v>0</v>
      </c>
      <c r="FU51" s="2">
        <v>46115</v>
      </c>
      <c r="FV51" t="s">
        <v>1</v>
      </c>
      <c r="FW51" s="4">
        <v>0</v>
      </c>
      <c r="FX51" t="s">
        <v>1</v>
      </c>
      <c r="FY51" t="s">
        <v>1</v>
      </c>
      <c r="FZ51" s="4">
        <v>0</v>
      </c>
      <c r="GA51" s="4">
        <v>0</v>
      </c>
      <c r="GB51" t="s">
        <v>2070</v>
      </c>
      <c r="GC51" t="str">
        <f>RIGHT(Data_FAGLL03[[#This Row],[Payment reference]],8)</f>
        <v>91172554</v>
      </c>
      <c r="GD51" t="str">
        <f>IF(Data_FAGLL03[[#This Row],[Billing]]&lt;&gt;"",_xlfn.XLOOKUP(Data_FAGLL03[[#This Row],[Billing]],MD_BILLING_SO[BILIING],MD_BILLING_SO[SO-EDITED]),"")</f>
        <v>30030625</v>
      </c>
      <c r="GE51" s="18">
        <f>IF(SUBSTITUTE(Data_FAGLL03[[#This Row],[Eff.exchange rate]],",","")/100000=1,1,SUBSTITUTE(Data_FAGLL03[[#This Row],[Eff.exchange rate]],",","")/100)</f>
        <v>1</v>
      </c>
      <c r="GF51" s="17">
        <f>IF(Data_FAGLL03[[#This Row],[Material]]&lt;&gt;"",IFERROR(Data_FAGLL03[[#This Row],[Amount in local currency]]/Data_FAGLL03[[#This Row],[Quantity_Original]],0),0)</f>
        <v>34425.56</v>
      </c>
      <c r="GG51" s="18">
        <f>IF(Data_FAGLL03[[#This Row],[XK/NĐ]]="XK",Data_FAGLL03[[#This Row],[GB trung bình]]/Data_FAGLL03[[#This Row],[EXR]],0)*1000</f>
        <v>0</v>
      </c>
      <c r="GH51" s="18" cm="1">
        <f t="array" ref="GH51">IF(Data_FAGLL03[[#This Row],[Document currency]]&lt;&gt;"VND",Data_FAGLL03[[#This Row],[Amount in doc. curr.]],Data_FAGLL03[[#This Row],[Amount in local currency]]/EXR)</f>
        <v>-5769.9085195826301</v>
      </c>
      <c r="GI51" s="10">
        <f>Data_FAGLL03[[#This Row],[Time Stamp]]+TIME(7,0,0)</f>
        <v>46115.777060185181</v>
      </c>
      <c r="GJ51" s="18">
        <f>MONTH(Data_FAGLL03[[#This Row],[Time Stamp_VN]])</f>
        <v>4</v>
      </c>
      <c r="GK51">
        <f>DAY(Data_FAGLL03[[#This Row],[Time Stamp_VN]])</f>
        <v>3</v>
      </c>
      <c r="GL51" t="str">
        <f>TEXT(Data_FAGLL03[[#This Row],[Tháng]],"00")&amp;" | "&amp;TEXT(Data_FAGLL03[[#This Row],[Ngày]],"00")</f>
        <v>04 | 03</v>
      </c>
      <c r="GM51" s="18">
        <f>IF(Data_FAGLL03[[#This Row],[Text]]="",Data_FAGLL03[[#This Row],[Quantity_Original]],0)</f>
        <v>-4400</v>
      </c>
      <c r="GN51" s="18" t="str">
        <f>IF(Data_FAGLL03[[#This Row],[Quantity_Edited]]&lt;&gt;0,Data_FAGLL03[[#This Row],[Offsetting acct no.]]&amp;" | "&amp;Data_FAGLL03[[#This Row],[Material]],"")</f>
        <v>105286 | 110000355</v>
      </c>
      <c r="GO51" t="str">
        <f>IF(LEFT(Data_FAGLL03[[#This Row],[Offsetting acct no.]],1)="1","NĐ",IF(LEFT(Data_FAGLL03[[#This Row],[Offsetting acct no.]],1)="2","XK","Khác"))</f>
        <v>NĐ</v>
      </c>
      <c r="GP51" t="str">
        <f>IF(Data_FAGLL03[[#This Row],[Material]]&lt;&gt;"",_xlfn.XLOOKUP(Data_FAGLL03[[#This Row],[Material]],MD_SKU[Mã SKU],MD_SKU[Tên SKU]),"")</f>
        <v>Hạt nhựa rPET iSS01G 1</v>
      </c>
      <c r="GQ51" t="str">
        <f>IF(Data_FAGLL03[[#This Row],[Material]]&lt;&gt;"",_xlfn.XLOOKUP(Data_FAGLL03[[#This Row],[Material]],MD_SKU[Mã SKU],MD_SKU[Nhóm SP 1]),"")</f>
        <v>rPET</v>
      </c>
      <c r="GR51" t="str">
        <f>IF(Data_FAGLL03[[#This Row],[Material]]&lt;&gt;"",_xlfn.XLOOKUP(Data_FAGLL03[[#This Row],[Material]],MD_SKU[Mã SKU],MD_SKU[Nhóm SP 2]),"")</f>
        <v>rPET</v>
      </c>
      <c r="GS51" t="str">
        <f>IF(Data_FAGLL03[[#This Row],[Material]]&lt;&gt;"",_xlfn.XLOOKUP(Data_FAGLL03[[#This Row],[Material]],MD_SKU[Mã SKU],MD_SKU[Nhóm SP 3]),"")</f>
        <v>rPET</v>
      </c>
      <c r="GT51" t="str">
        <f>IF(Data_FAGLL03[[#This Row],[Material]]&lt;&gt;"",_xlfn.XLOOKUP(Data_FAGLL03[[#This Row],[Material]],MD_SKU[Mã SKU],MD_SKU[Nhóm SP 4]),"")</f>
        <v>Hạt rPET</v>
      </c>
    </row>
    <row r="52" spans="1:202" x14ac:dyDescent="0.25">
      <c r="A52" t="s">
        <v>0</v>
      </c>
      <c r="B52" s="2">
        <v>46115</v>
      </c>
      <c r="C52" t="s">
        <v>2200</v>
      </c>
      <c r="D52" t="s">
        <v>1</v>
      </c>
      <c r="E52" t="s">
        <v>1</v>
      </c>
      <c r="F52" t="s">
        <v>31</v>
      </c>
      <c r="G52" t="s">
        <v>31</v>
      </c>
      <c r="H52" t="s">
        <v>2201</v>
      </c>
      <c r="I52" s="19">
        <v>-784210</v>
      </c>
      <c r="J52" t="s">
        <v>2202</v>
      </c>
      <c r="K52" t="s">
        <v>1</v>
      </c>
      <c r="L52" t="s">
        <v>39</v>
      </c>
      <c r="M52" t="s">
        <v>41</v>
      </c>
      <c r="N52" t="s">
        <v>254</v>
      </c>
      <c r="O52" t="s">
        <v>4</v>
      </c>
      <c r="P52" t="s">
        <v>2203</v>
      </c>
      <c r="Q52" t="s">
        <v>31</v>
      </c>
      <c r="R52" t="s">
        <v>5</v>
      </c>
      <c r="S52" t="s">
        <v>1</v>
      </c>
      <c r="T52" s="4">
        <v>-784210</v>
      </c>
      <c r="U52" s="19">
        <v>-784210</v>
      </c>
      <c r="V52" s="3">
        <v>-784210</v>
      </c>
      <c r="W52" s="3">
        <v>-784210</v>
      </c>
      <c r="X52" s="4">
        <v>0</v>
      </c>
      <c r="Y52" s="4">
        <v>0</v>
      </c>
      <c r="Z52" s="3">
        <v>0</v>
      </c>
      <c r="AA52" s="3">
        <v>0</v>
      </c>
      <c r="AB52" t="s">
        <v>1</v>
      </c>
      <c r="AC52" t="s">
        <v>24</v>
      </c>
      <c r="AD52" s="2"/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25</v>
      </c>
      <c r="AK52" s="4">
        <v>0</v>
      </c>
      <c r="AL52" t="s">
        <v>1</v>
      </c>
      <c r="AM52" s="5" t="s">
        <v>1</v>
      </c>
      <c r="AN52" t="s">
        <v>1</v>
      </c>
      <c r="AO52" s="2"/>
      <c r="AP52" t="s">
        <v>1</v>
      </c>
      <c r="AQ52" t="s">
        <v>1</v>
      </c>
      <c r="AR52" s="3">
        <v>0</v>
      </c>
      <c r="AS52" t="s">
        <v>1</v>
      </c>
      <c r="AT52" t="s">
        <v>7</v>
      </c>
      <c r="AU52" t="s">
        <v>1</v>
      </c>
      <c r="AV52" t="s">
        <v>1</v>
      </c>
      <c r="AW52" t="s">
        <v>8</v>
      </c>
      <c r="AX52" t="s">
        <v>8</v>
      </c>
      <c r="AY52" t="s">
        <v>1</v>
      </c>
      <c r="AZ52" s="4">
        <v>0</v>
      </c>
      <c r="BA52" t="s">
        <v>1</v>
      </c>
      <c r="BB52" s="3">
        <v>0</v>
      </c>
      <c r="BC52" s="3">
        <v>0</v>
      </c>
      <c r="BD52" s="3">
        <v>0</v>
      </c>
      <c r="BE52" t="s">
        <v>20</v>
      </c>
      <c r="BF52" t="s">
        <v>1</v>
      </c>
      <c r="BG52" s="4">
        <v>0</v>
      </c>
      <c r="BH52" s="4">
        <v>0</v>
      </c>
      <c r="BI52" s="6">
        <v>0</v>
      </c>
      <c r="BJ52" s="6">
        <v>0</v>
      </c>
      <c r="BK52" t="s">
        <v>1</v>
      </c>
      <c r="BL52" t="s">
        <v>1</v>
      </c>
      <c r="BM52" t="s">
        <v>1</v>
      </c>
      <c r="BN52" t="s">
        <v>9</v>
      </c>
      <c r="BO52" s="2">
        <v>46115</v>
      </c>
      <c r="BP52" t="s">
        <v>1</v>
      </c>
      <c r="BQ52" t="s">
        <v>2200</v>
      </c>
      <c r="BR52" t="s">
        <v>27</v>
      </c>
      <c r="BS52" t="s">
        <v>1</v>
      </c>
      <c r="BT52" t="s">
        <v>1</v>
      </c>
      <c r="BU52" t="s">
        <v>1</v>
      </c>
      <c r="BV52" t="s">
        <v>1</v>
      </c>
      <c r="BW52" t="s">
        <v>7</v>
      </c>
      <c r="BX52" t="s">
        <v>10</v>
      </c>
      <c r="BY52" s="2"/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254</v>
      </c>
      <c r="CJ52" s="3">
        <v>-784210</v>
      </c>
      <c r="CK52" t="s">
        <v>9</v>
      </c>
      <c r="CL52" t="s">
        <v>11</v>
      </c>
      <c r="CM52" t="s">
        <v>1</v>
      </c>
      <c r="CN52" s="4">
        <v>0</v>
      </c>
      <c r="CO52" t="s">
        <v>7</v>
      </c>
      <c r="CP52" t="s">
        <v>7</v>
      </c>
      <c r="CQ52" t="s">
        <v>7</v>
      </c>
      <c r="CR52" t="s">
        <v>7</v>
      </c>
      <c r="CS52" s="4">
        <v>0</v>
      </c>
      <c r="CT52" t="s">
        <v>2200</v>
      </c>
      <c r="CU52" t="s">
        <v>7</v>
      </c>
      <c r="CV52" t="s">
        <v>1</v>
      </c>
      <c r="CW52" s="2"/>
      <c r="CX52" t="s">
        <v>12</v>
      </c>
      <c r="CY52" t="s">
        <v>1</v>
      </c>
      <c r="CZ52" t="s">
        <v>13</v>
      </c>
      <c r="DA52" t="s">
        <v>1</v>
      </c>
      <c r="DB52" t="s">
        <v>9</v>
      </c>
      <c r="DC52" t="s">
        <v>9</v>
      </c>
      <c r="DD52" t="s">
        <v>1</v>
      </c>
      <c r="DE52" t="s">
        <v>1</v>
      </c>
      <c r="DF52" t="s">
        <v>1</v>
      </c>
      <c r="DG52" t="s">
        <v>916</v>
      </c>
      <c r="DH52" t="s">
        <v>1</v>
      </c>
      <c r="DI52" s="2"/>
      <c r="DJ52" t="s">
        <v>1</v>
      </c>
      <c r="DK52" t="s">
        <v>14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s="2"/>
      <c r="DW52" t="s">
        <v>1</v>
      </c>
      <c r="DX52" t="s">
        <v>1</v>
      </c>
      <c r="DY52" t="s">
        <v>2204</v>
      </c>
      <c r="DZ52" t="s">
        <v>1</v>
      </c>
      <c r="EA52" t="s">
        <v>1</v>
      </c>
      <c r="EB52" t="s">
        <v>28</v>
      </c>
      <c r="EC52" t="s">
        <v>7</v>
      </c>
      <c r="ED52" t="s">
        <v>1</v>
      </c>
      <c r="EE52" t="s">
        <v>1</v>
      </c>
      <c r="EF52" t="s">
        <v>22</v>
      </c>
      <c r="EG52" t="s">
        <v>41</v>
      </c>
      <c r="EH52" t="s">
        <v>15</v>
      </c>
      <c r="EI52" t="s">
        <v>1</v>
      </c>
      <c r="EJ52" s="4">
        <v>-25</v>
      </c>
      <c r="EK52" t="s">
        <v>1</v>
      </c>
      <c r="EL52" t="s">
        <v>1</v>
      </c>
      <c r="EM52" t="s">
        <v>1</v>
      </c>
      <c r="EN52" t="s">
        <v>1</v>
      </c>
      <c r="EO52" s="2"/>
      <c r="EP52" t="s">
        <v>2204</v>
      </c>
      <c r="EQ52" t="s">
        <v>1</v>
      </c>
      <c r="ER52" t="s">
        <v>1</v>
      </c>
      <c r="ES52" t="s">
        <v>1</v>
      </c>
      <c r="ET52" t="s">
        <v>29</v>
      </c>
      <c r="EU52" t="s">
        <v>1</v>
      </c>
      <c r="EV52" t="s">
        <v>1</v>
      </c>
      <c r="EW52" t="s">
        <v>7</v>
      </c>
      <c r="EX52" t="s">
        <v>7</v>
      </c>
      <c r="EY52" t="s">
        <v>1</v>
      </c>
      <c r="EZ52" t="s">
        <v>1</v>
      </c>
      <c r="FA52" t="s">
        <v>1</v>
      </c>
      <c r="FB52" s="3">
        <v>50</v>
      </c>
      <c r="FC52" t="s">
        <v>1</v>
      </c>
      <c r="FD52" t="s">
        <v>1</v>
      </c>
      <c r="FE52" t="s">
        <v>1</v>
      </c>
      <c r="FF52" t="s">
        <v>17</v>
      </c>
      <c r="FG52" t="s">
        <v>1</v>
      </c>
      <c r="FH52" t="s">
        <v>1</v>
      </c>
      <c r="FI52" t="s">
        <v>1</v>
      </c>
      <c r="FJ52" t="s">
        <v>1</v>
      </c>
      <c r="FK52" s="7">
        <v>46115.485717592594</v>
      </c>
      <c r="FL52" t="s">
        <v>1</v>
      </c>
      <c r="FM52" t="s">
        <v>1</v>
      </c>
      <c r="FN52" t="s">
        <v>1</v>
      </c>
      <c r="FO52" s="19">
        <v>-784210</v>
      </c>
      <c r="FP52" s="4">
        <v>0</v>
      </c>
      <c r="FQ52" s="19">
        <v>-784210</v>
      </c>
      <c r="FR52" s="4">
        <v>0</v>
      </c>
      <c r="FS52" s="4">
        <v>0</v>
      </c>
      <c r="FT52" s="4">
        <v>0</v>
      </c>
      <c r="FU52" s="2">
        <v>46115</v>
      </c>
      <c r="FV52" t="s">
        <v>1</v>
      </c>
      <c r="FW52" s="4">
        <v>0</v>
      </c>
      <c r="FX52" t="s">
        <v>1</v>
      </c>
      <c r="FY52" t="s">
        <v>1</v>
      </c>
      <c r="FZ52" s="4">
        <v>0</v>
      </c>
      <c r="GA52" s="4">
        <v>0</v>
      </c>
      <c r="GB52" t="s">
        <v>2070</v>
      </c>
      <c r="GC52" t="str">
        <f>RIGHT(Data_FAGLL03[[#This Row],[Payment reference]],8)</f>
        <v>91172555</v>
      </c>
      <c r="GD52" t="str">
        <f>IF(Data_FAGLL03[[#This Row],[Billing]]&lt;&gt;"",_xlfn.XLOOKUP(Data_FAGLL03[[#This Row],[Billing]],MD_BILLING_SO[BILIING],MD_BILLING_SO[SO-EDITED]),"")</f>
        <v>30030718</v>
      </c>
      <c r="GE52" s="18">
        <f>IF(SUBSTITUTE(Data_FAGLL03[[#This Row],[Eff.exchange rate]],",","")/100000=1,1,SUBSTITUTE(Data_FAGLL03[[#This Row],[Eff.exchange rate]],",","")/100)</f>
        <v>1</v>
      </c>
      <c r="GF52" s="17">
        <f>IF(Data_FAGLL03[[#This Row],[Material]]&lt;&gt;"",IFERROR(Data_FAGLL03[[#This Row],[Amount in local currency]]/Data_FAGLL03[[#This Row],[Quantity_Original]],0),0)</f>
        <v>31368.400000000001</v>
      </c>
      <c r="GG52" s="18">
        <f>IF(Data_FAGLL03[[#This Row],[XK/NĐ]]="XK",Data_FAGLL03[[#This Row],[GB trung bình]]/Data_FAGLL03[[#This Row],[EXR]],0)*1000</f>
        <v>0</v>
      </c>
      <c r="GH52" s="18" cm="1">
        <f t="array" ref="GH52">IF(Data_FAGLL03[[#This Row],[Document currency]]&lt;&gt;"VND",Data_FAGLL03[[#This Row],[Amount in doc. curr.]],Data_FAGLL03[[#This Row],[Amount in local currency]]/EXR)</f>
        <v>-29.872227866722326</v>
      </c>
      <c r="GI52" s="10">
        <f>Data_FAGLL03[[#This Row],[Time Stamp]]+TIME(7,0,0)</f>
        <v>46115.777384259258</v>
      </c>
      <c r="GJ52" s="18">
        <f>MONTH(Data_FAGLL03[[#This Row],[Time Stamp_VN]])</f>
        <v>4</v>
      </c>
      <c r="GK52">
        <f>DAY(Data_FAGLL03[[#This Row],[Time Stamp_VN]])</f>
        <v>3</v>
      </c>
      <c r="GL52" t="str">
        <f>TEXT(Data_FAGLL03[[#This Row],[Tháng]],"00")&amp;" | "&amp;TEXT(Data_FAGLL03[[#This Row],[Ngày]],"00")</f>
        <v>04 | 03</v>
      </c>
      <c r="GM52" s="18">
        <f>IF(Data_FAGLL03[[#This Row],[Text]]="",Data_FAGLL03[[#This Row],[Quantity_Original]],0)</f>
        <v>-25</v>
      </c>
      <c r="GN52" s="18" t="str">
        <f>IF(Data_FAGLL03[[#This Row],[Quantity_Edited]]&lt;&gt;0,Data_FAGLL03[[#This Row],[Offsetting acct no.]]&amp;" | "&amp;Data_FAGLL03[[#This Row],[Material]],"")</f>
        <v>105420 | 110000482</v>
      </c>
      <c r="GO52" t="str">
        <f>IF(LEFT(Data_FAGLL03[[#This Row],[Offsetting acct no.]],1)="1","NĐ",IF(LEFT(Data_FAGLL03[[#This Row],[Offsetting acct no.]],1)="2","XK","Khác"))</f>
        <v>NĐ</v>
      </c>
      <c r="GP52" t="str">
        <f>IF(Data_FAGLL03[[#This Row],[Material]]&lt;&gt;"",_xlfn.XLOOKUP(Data_FAGLL03[[#This Row],[Material]],MD_SKU[Mã SKU],MD_SKU[Tên SKU]),"")</f>
        <v>Hạt Nhựa rPP20W01</v>
      </c>
      <c r="GQ52" t="str">
        <f>IF(Data_FAGLL03[[#This Row],[Material]]&lt;&gt;"",_xlfn.XLOOKUP(Data_FAGLL03[[#This Row],[Material]],MD_SKU[Mã SKU],MD_SKU[Nhóm SP 1]),"")</f>
        <v>rPP</v>
      </c>
      <c r="GR52" t="str">
        <f>IF(Data_FAGLL03[[#This Row],[Material]]&lt;&gt;"",_xlfn.XLOOKUP(Data_FAGLL03[[#This Row],[Material]],MD_SKU[Mã SKU],MD_SKU[Nhóm SP 2]),"")</f>
        <v>rPP</v>
      </c>
      <c r="GS52" t="str">
        <f>IF(Data_FAGLL03[[#This Row],[Material]]&lt;&gt;"",_xlfn.XLOOKUP(Data_FAGLL03[[#This Row],[Material]],MD_SKU[Mã SKU],MD_SKU[Nhóm SP 3]),"")</f>
        <v>rPP</v>
      </c>
      <c r="GT52" t="str">
        <f>IF(Data_FAGLL03[[#This Row],[Material]]&lt;&gt;"",_xlfn.XLOOKUP(Data_FAGLL03[[#This Row],[Material]],MD_SKU[Mã SKU],MD_SKU[Nhóm SP 4]),"")</f>
        <v>Hạt rPP</v>
      </c>
    </row>
    <row r="53" spans="1:202" x14ac:dyDescent="0.25">
      <c r="A53" t="s">
        <v>0</v>
      </c>
      <c r="B53" s="2">
        <v>46115</v>
      </c>
      <c r="C53" t="s">
        <v>2200</v>
      </c>
      <c r="D53" t="s">
        <v>1</v>
      </c>
      <c r="E53" t="s">
        <v>1</v>
      </c>
      <c r="F53" t="s">
        <v>31</v>
      </c>
      <c r="G53" t="s">
        <v>31</v>
      </c>
      <c r="H53" t="s">
        <v>2201</v>
      </c>
      <c r="I53" s="19">
        <v>-784210</v>
      </c>
      <c r="J53" t="s">
        <v>2202</v>
      </c>
      <c r="K53" t="s">
        <v>1</v>
      </c>
      <c r="L53" t="s">
        <v>39</v>
      </c>
      <c r="M53" t="s">
        <v>41</v>
      </c>
      <c r="N53" t="s">
        <v>254</v>
      </c>
      <c r="O53" t="s">
        <v>4</v>
      </c>
      <c r="P53" t="s">
        <v>2203</v>
      </c>
      <c r="Q53" t="s">
        <v>31</v>
      </c>
      <c r="R53" t="s">
        <v>5</v>
      </c>
      <c r="S53" t="s">
        <v>1</v>
      </c>
      <c r="T53" s="4">
        <v>-784210</v>
      </c>
      <c r="U53" s="19">
        <v>-784210</v>
      </c>
      <c r="V53" s="3">
        <v>-784210</v>
      </c>
      <c r="W53" s="3">
        <v>-784210</v>
      </c>
      <c r="X53" s="4">
        <v>0</v>
      </c>
      <c r="Y53" s="4">
        <v>0</v>
      </c>
      <c r="Z53" s="3">
        <v>0</v>
      </c>
      <c r="AA53" s="3">
        <v>0</v>
      </c>
      <c r="AB53" t="s">
        <v>1</v>
      </c>
      <c r="AC53" t="s">
        <v>24</v>
      </c>
      <c r="AD53" s="2"/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25</v>
      </c>
      <c r="AK53" s="4">
        <v>0</v>
      </c>
      <c r="AL53" t="s">
        <v>1</v>
      </c>
      <c r="AM53" s="5" t="s">
        <v>1</v>
      </c>
      <c r="AN53" t="s">
        <v>1</v>
      </c>
      <c r="AO53" s="2"/>
      <c r="AP53" t="s">
        <v>1</v>
      </c>
      <c r="AQ53" t="s">
        <v>1</v>
      </c>
      <c r="AR53" s="3">
        <v>0</v>
      </c>
      <c r="AS53" t="s">
        <v>1</v>
      </c>
      <c r="AT53" t="s">
        <v>7</v>
      </c>
      <c r="AU53" t="s">
        <v>1</v>
      </c>
      <c r="AV53" t="s">
        <v>1</v>
      </c>
      <c r="AW53" t="s">
        <v>8</v>
      </c>
      <c r="AX53" t="s">
        <v>8</v>
      </c>
      <c r="AY53" t="s">
        <v>1</v>
      </c>
      <c r="AZ53" s="4">
        <v>0</v>
      </c>
      <c r="BA53" t="s">
        <v>1</v>
      </c>
      <c r="BB53" s="3">
        <v>0</v>
      </c>
      <c r="BC53" s="3">
        <v>0</v>
      </c>
      <c r="BD53" s="3">
        <v>0</v>
      </c>
      <c r="BE53" t="s">
        <v>20</v>
      </c>
      <c r="BF53" t="s">
        <v>1</v>
      </c>
      <c r="BG53" s="4">
        <v>0</v>
      </c>
      <c r="BH53" s="4">
        <v>0</v>
      </c>
      <c r="BI53" s="6">
        <v>0</v>
      </c>
      <c r="BJ53" s="6">
        <v>0</v>
      </c>
      <c r="BK53" t="s">
        <v>1</v>
      </c>
      <c r="BL53" t="s">
        <v>1</v>
      </c>
      <c r="BM53" t="s">
        <v>1</v>
      </c>
      <c r="BN53" t="s">
        <v>9</v>
      </c>
      <c r="BO53" s="2">
        <v>46115</v>
      </c>
      <c r="BP53" t="s">
        <v>1</v>
      </c>
      <c r="BQ53" t="s">
        <v>2200</v>
      </c>
      <c r="BR53" t="s">
        <v>27</v>
      </c>
      <c r="BS53" t="s">
        <v>1</v>
      </c>
      <c r="BT53" t="s">
        <v>1</v>
      </c>
      <c r="BU53" t="s">
        <v>1</v>
      </c>
      <c r="BV53" t="s">
        <v>1</v>
      </c>
      <c r="BW53" t="s">
        <v>7</v>
      </c>
      <c r="BX53" t="s">
        <v>10</v>
      </c>
      <c r="BY53" s="2"/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254</v>
      </c>
      <c r="CJ53" s="3">
        <v>-784210</v>
      </c>
      <c r="CK53" t="s">
        <v>9</v>
      </c>
      <c r="CL53" t="s">
        <v>40</v>
      </c>
      <c r="CM53" t="s">
        <v>1</v>
      </c>
      <c r="CN53" s="4">
        <v>0</v>
      </c>
      <c r="CO53" t="s">
        <v>7</v>
      </c>
      <c r="CP53" t="s">
        <v>7</v>
      </c>
      <c r="CQ53" t="s">
        <v>7</v>
      </c>
      <c r="CR53" t="s">
        <v>7</v>
      </c>
      <c r="CS53" s="4">
        <v>0</v>
      </c>
      <c r="CT53" t="s">
        <v>2200</v>
      </c>
      <c r="CU53" t="s">
        <v>7</v>
      </c>
      <c r="CV53" t="s">
        <v>1</v>
      </c>
      <c r="CW53" s="2"/>
      <c r="CX53" t="s">
        <v>12</v>
      </c>
      <c r="CY53" t="s">
        <v>1</v>
      </c>
      <c r="CZ53" t="s">
        <v>41</v>
      </c>
      <c r="DA53" t="s">
        <v>1</v>
      </c>
      <c r="DB53" t="s">
        <v>9</v>
      </c>
      <c r="DC53" t="s">
        <v>9</v>
      </c>
      <c r="DD53" t="s">
        <v>1</v>
      </c>
      <c r="DE53" t="s">
        <v>1</v>
      </c>
      <c r="DF53" t="s">
        <v>1</v>
      </c>
      <c r="DG53" t="s">
        <v>706</v>
      </c>
      <c r="DH53" t="s">
        <v>1</v>
      </c>
      <c r="DI53" s="2"/>
      <c r="DJ53" t="s">
        <v>1</v>
      </c>
      <c r="DK53" t="s">
        <v>14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s="2"/>
      <c r="DW53" t="s">
        <v>1</v>
      </c>
      <c r="DX53" t="s">
        <v>1</v>
      </c>
      <c r="DY53" t="s">
        <v>2204</v>
      </c>
      <c r="DZ53" t="s">
        <v>1</v>
      </c>
      <c r="EA53" t="s">
        <v>1</v>
      </c>
      <c r="EB53" t="s">
        <v>28</v>
      </c>
      <c r="EC53" t="s">
        <v>7</v>
      </c>
      <c r="ED53" t="s">
        <v>1</v>
      </c>
      <c r="EE53" t="s">
        <v>1</v>
      </c>
      <c r="EF53" t="s">
        <v>22</v>
      </c>
      <c r="EG53" t="s">
        <v>41</v>
      </c>
      <c r="EH53" t="s">
        <v>15</v>
      </c>
      <c r="EI53" t="s">
        <v>1</v>
      </c>
      <c r="EJ53" s="4">
        <v>-25</v>
      </c>
      <c r="EK53" t="s">
        <v>1</v>
      </c>
      <c r="EL53" t="s">
        <v>1</v>
      </c>
      <c r="EM53" t="s">
        <v>1</v>
      </c>
      <c r="EN53" t="s">
        <v>1</v>
      </c>
      <c r="EO53" s="2"/>
      <c r="EP53" t="s">
        <v>2204</v>
      </c>
      <c r="EQ53" t="s">
        <v>1</v>
      </c>
      <c r="ER53" t="s">
        <v>1</v>
      </c>
      <c r="ES53" t="s">
        <v>1</v>
      </c>
      <c r="ET53" t="s">
        <v>29</v>
      </c>
      <c r="EU53" t="s">
        <v>1</v>
      </c>
      <c r="EV53" t="s">
        <v>1</v>
      </c>
      <c r="EW53" t="s">
        <v>7</v>
      </c>
      <c r="EX53" t="s">
        <v>7</v>
      </c>
      <c r="EY53" t="s">
        <v>1</v>
      </c>
      <c r="EZ53" t="s">
        <v>1</v>
      </c>
      <c r="FA53" t="s">
        <v>1</v>
      </c>
      <c r="FB53" s="3">
        <v>50</v>
      </c>
      <c r="FC53" t="s">
        <v>1</v>
      </c>
      <c r="FD53" t="s">
        <v>1</v>
      </c>
      <c r="FE53" t="s">
        <v>1</v>
      </c>
      <c r="FF53" t="s">
        <v>17</v>
      </c>
      <c r="FG53" t="s">
        <v>1</v>
      </c>
      <c r="FH53" t="s">
        <v>1</v>
      </c>
      <c r="FI53" t="s">
        <v>1</v>
      </c>
      <c r="FJ53" t="s">
        <v>1</v>
      </c>
      <c r="FK53" s="7">
        <v>46115.485717592594</v>
      </c>
      <c r="FL53" t="s">
        <v>1</v>
      </c>
      <c r="FM53" t="s">
        <v>1</v>
      </c>
      <c r="FN53" t="s">
        <v>1</v>
      </c>
      <c r="FO53" s="19">
        <v>-784210</v>
      </c>
      <c r="FP53" s="4">
        <v>0</v>
      </c>
      <c r="FQ53" s="19">
        <v>-784210</v>
      </c>
      <c r="FR53" s="4">
        <v>0</v>
      </c>
      <c r="FS53" s="4">
        <v>0</v>
      </c>
      <c r="FT53" s="4">
        <v>0</v>
      </c>
      <c r="FU53" s="2">
        <v>46115</v>
      </c>
      <c r="FV53" t="s">
        <v>1</v>
      </c>
      <c r="FW53" s="4">
        <v>0</v>
      </c>
      <c r="FX53" t="s">
        <v>1</v>
      </c>
      <c r="FY53" t="s">
        <v>1</v>
      </c>
      <c r="FZ53" s="4">
        <v>0</v>
      </c>
      <c r="GA53" s="4">
        <v>0</v>
      </c>
      <c r="GB53" t="s">
        <v>2070</v>
      </c>
      <c r="GC53" t="str">
        <f>RIGHT(Data_FAGLL03[[#This Row],[Payment reference]],8)</f>
        <v>91172555</v>
      </c>
      <c r="GD53" t="str">
        <f>IF(Data_FAGLL03[[#This Row],[Billing]]&lt;&gt;"",_xlfn.XLOOKUP(Data_FAGLL03[[#This Row],[Billing]],MD_BILLING_SO[BILIING],MD_BILLING_SO[SO-EDITED]),"")</f>
        <v>30030718</v>
      </c>
      <c r="GE53" s="18">
        <f>IF(SUBSTITUTE(Data_FAGLL03[[#This Row],[Eff.exchange rate]],",","")/100000=1,1,SUBSTITUTE(Data_FAGLL03[[#This Row],[Eff.exchange rate]],",","")/100)</f>
        <v>1</v>
      </c>
      <c r="GF53" s="17">
        <f>IF(Data_FAGLL03[[#This Row],[Material]]&lt;&gt;"",IFERROR(Data_FAGLL03[[#This Row],[Amount in local currency]]/Data_FAGLL03[[#This Row],[Quantity_Original]],0),0)</f>
        <v>31368.400000000001</v>
      </c>
      <c r="GG53" s="18">
        <f>IF(Data_FAGLL03[[#This Row],[XK/NĐ]]="XK",Data_FAGLL03[[#This Row],[GB trung bình]]/Data_FAGLL03[[#This Row],[EXR]],0)*1000</f>
        <v>0</v>
      </c>
      <c r="GH53" s="18" cm="1">
        <f t="array" ref="GH53">IF(Data_FAGLL03[[#This Row],[Document currency]]&lt;&gt;"VND",Data_FAGLL03[[#This Row],[Amount in doc. curr.]],Data_FAGLL03[[#This Row],[Amount in local currency]]/EXR)</f>
        <v>-29.872227866722326</v>
      </c>
      <c r="GI53" s="10">
        <f>Data_FAGLL03[[#This Row],[Time Stamp]]+TIME(7,0,0)</f>
        <v>46115.777384259258</v>
      </c>
      <c r="GJ53" s="18">
        <f>MONTH(Data_FAGLL03[[#This Row],[Time Stamp_VN]])</f>
        <v>4</v>
      </c>
      <c r="GK53">
        <f>DAY(Data_FAGLL03[[#This Row],[Time Stamp_VN]])</f>
        <v>3</v>
      </c>
      <c r="GL53" t="str">
        <f>TEXT(Data_FAGLL03[[#This Row],[Tháng]],"00")&amp;" | "&amp;TEXT(Data_FAGLL03[[#This Row],[Ngày]],"00")</f>
        <v>04 | 03</v>
      </c>
      <c r="GM53" s="18">
        <f>IF(Data_FAGLL03[[#This Row],[Text]]="",Data_FAGLL03[[#This Row],[Quantity_Original]],0)</f>
        <v>-25</v>
      </c>
      <c r="GN53" s="18" t="str">
        <f>IF(Data_FAGLL03[[#This Row],[Quantity_Edited]]&lt;&gt;0,Data_FAGLL03[[#This Row],[Offsetting acct no.]]&amp;" | "&amp;Data_FAGLL03[[#This Row],[Material]],"")</f>
        <v>105420 | 110000392</v>
      </c>
      <c r="GO53" t="str">
        <f>IF(LEFT(Data_FAGLL03[[#This Row],[Offsetting acct no.]],1)="1","NĐ",IF(LEFT(Data_FAGLL03[[#This Row],[Offsetting acct no.]],1)="2","XK","Khác"))</f>
        <v>NĐ</v>
      </c>
      <c r="GP53" t="str">
        <f>IF(Data_FAGLL03[[#This Row],[Material]]&lt;&gt;"",_xlfn.XLOOKUP(Data_FAGLL03[[#This Row],[Material]],MD_SKU[Mã SKU],MD_SKU[Tên SKU]),"")</f>
        <v>Hạt nhựa rPP20B01</v>
      </c>
      <c r="GQ53" t="str">
        <f>IF(Data_FAGLL03[[#This Row],[Material]]&lt;&gt;"",_xlfn.XLOOKUP(Data_FAGLL03[[#This Row],[Material]],MD_SKU[Mã SKU],MD_SKU[Nhóm SP 1]),"")</f>
        <v>rPP</v>
      </c>
      <c r="GR53" t="str">
        <f>IF(Data_FAGLL03[[#This Row],[Material]]&lt;&gt;"",_xlfn.XLOOKUP(Data_FAGLL03[[#This Row],[Material]],MD_SKU[Mã SKU],MD_SKU[Nhóm SP 2]),"")</f>
        <v>rPP</v>
      </c>
      <c r="GS53" t="str">
        <f>IF(Data_FAGLL03[[#This Row],[Material]]&lt;&gt;"",_xlfn.XLOOKUP(Data_FAGLL03[[#This Row],[Material]],MD_SKU[Mã SKU],MD_SKU[Nhóm SP 3]),"")</f>
        <v>rPP</v>
      </c>
      <c r="GT53" t="str">
        <f>IF(Data_FAGLL03[[#This Row],[Material]]&lt;&gt;"",_xlfn.XLOOKUP(Data_FAGLL03[[#This Row],[Material]],MD_SKU[Mã SKU],MD_SKU[Nhóm SP 4]),"")</f>
        <v>Hạt rPP</v>
      </c>
    </row>
    <row r="54" spans="1:202" x14ac:dyDescent="0.25">
      <c r="A54" t="s">
        <v>0</v>
      </c>
      <c r="B54" s="2">
        <v>46115</v>
      </c>
      <c r="C54" t="s">
        <v>2205</v>
      </c>
      <c r="D54" t="s">
        <v>1</v>
      </c>
      <c r="E54" t="s">
        <v>1</v>
      </c>
      <c r="F54" t="s">
        <v>31</v>
      </c>
      <c r="G54" t="s">
        <v>31</v>
      </c>
      <c r="H54" t="s">
        <v>2036</v>
      </c>
      <c r="I54" s="19">
        <v>-9541667</v>
      </c>
      <c r="J54" t="s">
        <v>2037</v>
      </c>
      <c r="K54" t="s">
        <v>1</v>
      </c>
      <c r="L54" t="s">
        <v>3</v>
      </c>
      <c r="M54" t="s">
        <v>41</v>
      </c>
      <c r="N54" t="s">
        <v>254</v>
      </c>
      <c r="O54" t="s">
        <v>4</v>
      </c>
      <c r="P54" t="s">
        <v>2206</v>
      </c>
      <c r="Q54" t="s">
        <v>31</v>
      </c>
      <c r="R54" t="s">
        <v>5</v>
      </c>
      <c r="S54" t="s">
        <v>1</v>
      </c>
      <c r="T54" s="4">
        <v>-9541667</v>
      </c>
      <c r="U54" s="19">
        <v>-9541667</v>
      </c>
      <c r="V54" s="3">
        <v>-9541667</v>
      </c>
      <c r="W54" s="3">
        <v>-9541667</v>
      </c>
      <c r="X54" s="4">
        <v>0</v>
      </c>
      <c r="Y54" s="4">
        <v>0</v>
      </c>
      <c r="Z54" s="3">
        <v>0</v>
      </c>
      <c r="AA54" s="3">
        <v>0</v>
      </c>
      <c r="AB54" t="s">
        <v>1</v>
      </c>
      <c r="AC54" t="s">
        <v>24</v>
      </c>
      <c r="AD54" s="2"/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25</v>
      </c>
      <c r="AK54" s="4">
        <v>0</v>
      </c>
      <c r="AL54" t="s">
        <v>1</v>
      </c>
      <c r="AM54" s="5" t="s">
        <v>1</v>
      </c>
      <c r="AN54" t="s">
        <v>1</v>
      </c>
      <c r="AO54" s="2"/>
      <c r="AP54" t="s">
        <v>1</v>
      </c>
      <c r="AQ54" t="s">
        <v>1</v>
      </c>
      <c r="AR54" s="3">
        <v>0</v>
      </c>
      <c r="AS54" t="s">
        <v>1</v>
      </c>
      <c r="AT54" t="s">
        <v>7</v>
      </c>
      <c r="AU54" t="s">
        <v>1</v>
      </c>
      <c r="AV54" t="s">
        <v>1</v>
      </c>
      <c r="AW54" t="s">
        <v>8</v>
      </c>
      <c r="AX54" t="s">
        <v>8</v>
      </c>
      <c r="AY54" t="s">
        <v>1</v>
      </c>
      <c r="AZ54" s="4">
        <v>0</v>
      </c>
      <c r="BA54" t="s">
        <v>1</v>
      </c>
      <c r="BB54" s="3">
        <v>0</v>
      </c>
      <c r="BC54" s="3">
        <v>0</v>
      </c>
      <c r="BD54" s="3">
        <v>0</v>
      </c>
      <c r="BE54" t="s">
        <v>20</v>
      </c>
      <c r="BF54" t="s">
        <v>1</v>
      </c>
      <c r="BG54" s="4">
        <v>0</v>
      </c>
      <c r="BH54" s="4">
        <v>0</v>
      </c>
      <c r="BI54" s="6">
        <v>0</v>
      </c>
      <c r="BJ54" s="6">
        <v>0</v>
      </c>
      <c r="BK54" t="s">
        <v>1</v>
      </c>
      <c r="BL54" t="s">
        <v>1</v>
      </c>
      <c r="BM54" t="s">
        <v>1</v>
      </c>
      <c r="BN54" t="s">
        <v>9</v>
      </c>
      <c r="BO54" s="2">
        <v>46115</v>
      </c>
      <c r="BP54" t="s">
        <v>1</v>
      </c>
      <c r="BQ54" t="s">
        <v>2205</v>
      </c>
      <c r="BR54" t="s">
        <v>27</v>
      </c>
      <c r="BS54" t="s">
        <v>1</v>
      </c>
      <c r="BT54" t="s">
        <v>1</v>
      </c>
      <c r="BU54" t="s">
        <v>1</v>
      </c>
      <c r="BV54" t="s">
        <v>1</v>
      </c>
      <c r="BW54" t="s">
        <v>7</v>
      </c>
      <c r="BX54" t="s">
        <v>10</v>
      </c>
      <c r="BY54" s="2"/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254</v>
      </c>
      <c r="CJ54" s="3">
        <v>-9541667</v>
      </c>
      <c r="CK54" t="s">
        <v>9</v>
      </c>
      <c r="CL54" t="s">
        <v>11</v>
      </c>
      <c r="CM54" t="s">
        <v>1</v>
      </c>
      <c r="CN54" s="4">
        <v>0</v>
      </c>
      <c r="CO54" t="s">
        <v>7</v>
      </c>
      <c r="CP54" t="s">
        <v>7</v>
      </c>
      <c r="CQ54" t="s">
        <v>7</v>
      </c>
      <c r="CR54" t="s">
        <v>7</v>
      </c>
      <c r="CS54" s="4">
        <v>0</v>
      </c>
      <c r="CT54" t="s">
        <v>2205</v>
      </c>
      <c r="CU54" t="s">
        <v>7</v>
      </c>
      <c r="CV54" t="s">
        <v>1</v>
      </c>
      <c r="CW54" s="2"/>
      <c r="CX54" t="s">
        <v>12</v>
      </c>
      <c r="CY54" t="s">
        <v>1</v>
      </c>
      <c r="CZ54" t="s">
        <v>13</v>
      </c>
      <c r="DA54" t="s">
        <v>1</v>
      </c>
      <c r="DB54" t="s">
        <v>9</v>
      </c>
      <c r="DC54" t="s">
        <v>9</v>
      </c>
      <c r="DD54" t="s">
        <v>1</v>
      </c>
      <c r="DE54" t="s">
        <v>1</v>
      </c>
      <c r="DF54" t="s">
        <v>1</v>
      </c>
      <c r="DG54" t="s">
        <v>61</v>
      </c>
      <c r="DH54" t="s">
        <v>1</v>
      </c>
      <c r="DI54" s="2"/>
      <c r="DJ54" t="s">
        <v>1</v>
      </c>
      <c r="DK54" t="s">
        <v>14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s="2"/>
      <c r="DW54" t="s">
        <v>1</v>
      </c>
      <c r="DX54" t="s">
        <v>1</v>
      </c>
      <c r="DY54" t="s">
        <v>2207</v>
      </c>
      <c r="DZ54" t="s">
        <v>1</v>
      </c>
      <c r="EA54" t="s">
        <v>1</v>
      </c>
      <c r="EB54" t="s">
        <v>28</v>
      </c>
      <c r="EC54" t="s">
        <v>7</v>
      </c>
      <c r="ED54" t="s">
        <v>1</v>
      </c>
      <c r="EE54" t="s">
        <v>1</v>
      </c>
      <c r="EF54" t="s">
        <v>22</v>
      </c>
      <c r="EG54" t="s">
        <v>41</v>
      </c>
      <c r="EH54" t="s">
        <v>15</v>
      </c>
      <c r="EI54" t="s">
        <v>1</v>
      </c>
      <c r="EJ54" s="4">
        <v>-2290</v>
      </c>
      <c r="EK54" t="s">
        <v>1</v>
      </c>
      <c r="EL54" t="s">
        <v>1</v>
      </c>
      <c r="EM54" t="s">
        <v>1</v>
      </c>
      <c r="EN54" t="s">
        <v>1</v>
      </c>
      <c r="EO54" s="2"/>
      <c r="EP54" t="s">
        <v>2207</v>
      </c>
      <c r="EQ54" t="s">
        <v>1</v>
      </c>
      <c r="ER54" t="s">
        <v>1</v>
      </c>
      <c r="ES54" t="s">
        <v>1</v>
      </c>
      <c r="ET54" t="s">
        <v>29</v>
      </c>
      <c r="EU54" t="s">
        <v>1</v>
      </c>
      <c r="EV54" t="s">
        <v>1</v>
      </c>
      <c r="EW54" t="s">
        <v>7</v>
      </c>
      <c r="EX54" t="s">
        <v>7</v>
      </c>
      <c r="EY54" t="s">
        <v>1</v>
      </c>
      <c r="EZ54" t="s">
        <v>1</v>
      </c>
      <c r="FA54" t="s">
        <v>1</v>
      </c>
      <c r="FB54" s="3">
        <v>50</v>
      </c>
      <c r="FC54" t="s">
        <v>1</v>
      </c>
      <c r="FD54" t="s">
        <v>1</v>
      </c>
      <c r="FE54" t="s">
        <v>1</v>
      </c>
      <c r="FF54" t="s">
        <v>17</v>
      </c>
      <c r="FG54" t="s">
        <v>1</v>
      </c>
      <c r="FH54" t="s">
        <v>1</v>
      </c>
      <c r="FI54" t="s">
        <v>1</v>
      </c>
      <c r="FJ54" t="s">
        <v>1</v>
      </c>
      <c r="FK54" s="7">
        <v>46115.526759259257</v>
      </c>
      <c r="FL54" t="s">
        <v>1</v>
      </c>
      <c r="FM54" t="s">
        <v>1</v>
      </c>
      <c r="FN54" t="s">
        <v>1</v>
      </c>
      <c r="FO54" s="19">
        <v>-9541667</v>
      </c>
      <c r="FP54" s="4">
        <v>0</v>
      </c>
      <c r="FQ54" s="19">
        <v>-9541667</v>
      </c>
      <c r="FR54" s="4">
        <v>0</v>
      </c>
      <c r="FS54" s="4">
        <v>0</v>
      </c>
      <c r="FT54" s="4">
        <v>0</v>
      </c>
      <c r="FU54" s="2">
        <v>46115</v>
      </c>
      <c r="FV54" t="s">
        <v>1</v>
      </c>
      <c r="FW54" s="4">
        <v>0</v>
      </c>
      <c r="FX54" t="s">
        <v>1</v>
      </c>
      <c r="FY54" t="s">
        <v>1</v>
      </c>
      <c r="FZ54" s="4">
        <v>0</v>
      </c>
      <c r="GA54" s="4">
        <v>0</v>
      </c>
      <c r="GB54" t="s">
        <v>2070</v>
      </c>
      <c r="GC54" t="str">
        <f>RIGHT(Data_FAGLL03[[#This Row],[Payment reference]],8)</f>
        <v>91172556</v>
      </c>
      <c r="GD54" t="str">
        <f>IF(Data_FAGLL03[[#This Row],[Billing]]&lt;&gt;"",_xlfn.XLOOKUP(Data_FAGLL03[[#This Row],[Billing]],MD_BILLING_SO[BILIING],MD_BILLING_SO[SO-EDITED]),"")</f>
        <v>30030724</v>
      </c>
      <c r="GE54" s="18">
        <f>IF(SUBSTITUTE(Data_FAGLL03[[#This Row],[Eff.exchange rate]],",","")/100000=1,1,SUBSTITUTE(Data_FAGLL03[[#This Row],[Eff.exchange rate]],",","")/100)</f>
        <v>1</v>
      </c>
      <c r="GF54" s="17">
        <f>IF(Data_FAGLL03[[#This Row],[Material]]&lt;&gt;"",IFERROR(Data_FAGLL03[[#This Row],[Amount in local currency]]/Data_FAGLL03[[#This Row],[Quantity_Original]],0),0)</f>
        <v>4166.6668122270739</v>
      </c>
      <c r="GG54" s="18">
        <f>IF(Data_FAGLL03[[#This Row],[XK/NĐ]]="XK",Data_FAGLL03[[#This Row],[GB trung bình]]/Data_FAGLL03[[#This Row],[EXR]],0)*1000</f>
        <v>0</v>
      </c>
      <c r="GH54" s="18" cm="1">
        <f t="array" ref="GH54">IF(Data_FAGLL03[[#This Row],[Document currency]]&lt;&gt;"VND",Data_FAGLL03[[#This Row],[Amount in doc. curr.]],Data_FAGLL03[[#This Row],[Amount in local currency]]/EXR)</f>
        <v>-363.46240273955294</v>
      </c>
      <c r="GI54" s="10">
        <f>Data_FAGLL03[[#This Row],[Time Stamp]]+TIME(7,0,0)</f>
        <v>46115.818425925921</v>
      </c>
      <c r="GJ54" s="18">
        <f>MONTH(Data_FAGLL03[[#This Row],[Time Stamp_VN]])</f>
        <v>4</v>
      </c>
      <c r="GK54">
        <f>DAY(Data_FAGLL03[[#This Row],[Time Stamp_VN]])</f>
        <v>3</v>
      </c>
      <c r="GL54" t="str">
        <f>TEXT(Data_FAGLL03[[#This Row],[Tháng]],"00")&amp;" | "&amp;TEXT(Data_FAGLL03[[#This Row],[Ngày]],"00")</f>
        <v>04 | 03</v>
      </c>
      <c r="GM54" s="18">
        <f>IF(Data_FAGLL03[[#This Row],[Text]]="",Data_FAGLL03[[#This Row],[Quantity_Original]],0)</f>
        <v>-2290</v>
      </c>
      <c r="GN54" s="18" t="str">
        <f>IF(Data_FAGLL03[[#This Row],[Quantity_Edited]]&lt;&gt;0,Data_FAGLL03[[#This Row],[Offsetting acct no.]]&amp;" | "&amp;Data_FAGLL03[[#This Row],[Material]],"")</f>
        <v>105290 | 160012726</v>
      </c>
      <c r="GO54" t="str">
        <f>IF(LEFT(Data_FAGLL03[[#This Row],[Offsetting acct no.]],1)="1","NĐ",IF(LEFT(Data_FAGLL03[[#This Row],[Offsetting acct no.]],1)="2","XK","Khác"))</f>
        <v>NĐ</v>
      </c>
      <c r="GP54" t="str">
        <f>IF(Data_FAGLL03[[#This Row],[Material]]&lt;&gt;"",_xlfn.XLOOKUP(Data_FAGLL03[[#This Row],[Material]],MD_SKU[Mã SKU],MD_SKU[Tên SKU]),"")</f>
        <v>Phó Sản PET Bụi Tank A</v>
      </c>
      <c r="GQ54" t="str">
        <f>IF(Data_FAGLL03[[#This Row],[Material]]&lt;&gt;"",_xlfn.XLOOKUP(Data_FAGLL03[[#This Row],[Material]],MD_SKU[Mã SKU],MD_SKU[Nhóm SP 1]),"")</f>
        <v>Khác</v>
      </c>
      <c r="GR54" t="str">
        <f>IF(Data_FAGLL03[[#This Row],[Material]]&lt;&gt;"",_xlfn.XLOOKUP(Data_FAGLL03[[#This Row],[Material]],MD_SKU[Mã SKU],MD_SKU[Nhóm SP 2]),"")</f>
        <v>Phó sản</v>
      </c>
      <c r="GS54" t="str">
        <f>IF(Data_FAGLL03[[#This Row],[Material]]&lt;&gt;"",_xlfn.XLOOKUP(Data_FAGLL03[[#This Row],[Material]],MD_SKU[Mã SKU],MD_SKU[Nhóm SP 3]),"")</f>
        <v>Phó sản</v>
      </c>
      <c r="GT54" t="str">
        <f>IF(Data_FAGLL03[[#This Row],[Material]]&lt;&gt;"",_xlfn.XLOOKUP(Data_FAGLL03[[#This Row],[Material]],MD_SKU[Mã SKU],MD_SKU[Nhóm SP 4]),"")</f>
        <v>Phó sản</v>
      </c>
    </row>
    <row r="55" spans="1:202" x14ac:dyDescent="0.25">
      <c r="A55" t="s">
        <v>0</v>
      </c>
      <c r="B55" s="2">
        <v>46115</v>
      </c>
      <c r="C55" t="s">
        <v>2205</v>
      </c>
      <c r="D55" t="s">
        <v>1</v>
      </c>
      <c r="E55" t="s">
        <v>1</v>
      </c>
      <c r="F55" t="s">
        <v>31</v>
      </c>
      <c r="G55" t="s">
        <v>31</v>
      </c>
      <c r="H55" t="s">
        <v>2036</v>
      </c>
      <c r="I55" s="19">
        <v>-9166667</v>
      </c>
      <c r="J55" t="s">
        <v>2037</v>
      </c>
      <c r="K55" t="s">
        <v>1</v>
      </c>
      <c r="L55" t="s">
        <v>3</v>
      </c>
      <c r="M55" t="s">
        <v>41</v>
      </c>
      <c r="N55" t="s">
        <v>254</v>
      </c>
      <c r="O55" t="s">
        <v>4</v>
      </c>
      <c r="P55" t="s">
        <v>2206</v>
      </c>
      <c r="Q55" t="s">
        <v>31</v>
      </c>
      <c r="R55" t="s">
        <v>5</v>
      </c>
      <c r="S55" t="s">
        <v>1</v>
      </c>
      <c r="T55" s="3">
        <v>-9166667</v>
      </c>
      <c r="U55" s="19">
        <v>-9166667</v>
      </c>
      <c r="V55" s="3">
        <v>-9166667</v>
      </c>
      <c r="W55" s="3">
        <v>-9166667</v>
      </c>
      <c r="X55" s="4">
        <v>0</v>
      </c>
      <c r="Y55" s="4">
        <v>0</v>
      </c>
      <c r="Z55" s="3">
        <v>0</v>
      </c>
      <c r="AA55" s="3">
        <v>0</v>
      </c>
      <c r="AB55" t="s">
        <v>1</v>
      </c>
      <c r="AC55" t="s">
        <v>24</v>
      </c>
      <c r="AD55" s="2"/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25</v>
      </c>
      <c r="AK55" s="4">
        <v>0</v>
      </c>
      <c r="AL55" t="s">
        <v>1</v>
      </c>
      <c r="AM55" s="5" t="s">
        <v>1</v>
      </c>
      <c r="AN55" t="s">
        <v>1</v>
      </c>
      <c r="AO55" s="2"/>
      <c r="AP55" t="s">
        <v>1</v>
      </c>
      <c r="AQ55" t="s">
        <v>1</v>
      </c>
      <c r="AR55" s="3">
        <v>0</v>
      </c>
      <c r="AS55" t="s">
        <v>1</v>
      </c>
      <c r="AT55" t="s">
        <v>7</v>
      </c>
      <c r="AU55" t="s">
        <v>1</v>
      </c>
      <c r="AV55" t="s">
        <v>1</v>
      </c>
      <c r="AW55" t="s">
        <v>8</v>
      </c>
      <c r="AX55" t="s">
        <v>8</v>
      </c>
      <c r="AY55" t="s">
        <v>1</v>
      </c>
      <c r="AZ55" s="4">
        <v>0</v>
      </c>
      <c r="BA55" t="s">
        <v>1</v>
      </c>
      <c r="BB55" s="3">
        <v>0</v>
      </c>
      <c r="BC55" s="3">
        <v>0</v>
      </c>
      <c r="BD55" s="3">
        <v>0</v>
      </c>
      <c r="BE55" t="s">
        <v>20</v>
      </c>
      <c r="BF55" t="s">
        <v>1</v>
      </c>
      <c r="BG55" s="4">
        <v>0</v>
      </c>
      <c r="BH55" s="4">
        <v>0</v>
      </c>
      <c r="BI55" s="6">
        <v>0</v>
      </c>
      <c r="BJ55" s="6">
        <v>0</v>
      </c>
      <c r="BK55" t="s">
        <v>1</v>
      </c>
      <c r="BL55" t="s">
        <v>1</v>
      </c>
      <c r="BM55" t="s">
        <v>1</v>
      </c>
      <c r="BN55" t="s">
        <v>9</v>
      </c>
      <c r="BO55" s="2">
        <v>46115</v>
      </c>
      <c r="BP55" t="s">
        <v>1</v>
      </c>
      <c r="BQ55" t="s">
        <v>2205</v>
      </c>
      <c r="BR55" t="s">
        <v>27</v>
      </c>
      <c r="BS55" t="s">
        <v>1</v>
      </c>
      <c r="BT55" t="s">
        <v>1</v>
      </c>
      <c r="BU55" t="s">
        <v>1</v>
      </c>
      <c r="BV55" t="s">
        <v>1</v>
      </c>
      <c r="BW55" t="s">
        <v>7</v>
      </c>
      <c r="BX55" t="s">
        <v>10</v>
      </c>
      <c r="BY55" s="2"/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254</v>
      </c>
      <c r="CJ55" s="3">
        <v>-9166667</v>
      </c>
      <c r="CK55" t="s">
        <v>9</v>
      </c>
      <c r="CL55" t="s">
        <v>40</v>
      </c>
      <c r="CM55" t="s">
        <v>1</v>
      </c>
      <c r="CN55" s="4">
        <v>0</v>
      </c>
      <c r="CO55" t="s">
        <v>7</v>
      </c>
      <c r="CP55" t="s">
        <v>7</v>
      </c>
      <c r="CQ55" t="s">
        <v>7</v>
      </c>
      <c r="CR55" t="s">
        <v>7</v>
      </c>
      <c r="CS55" s="4">
        <v>0</v>
      </c>
      <c r="CT55" t="s">
        <v>2205</v>
      </c>
      <c r="CU55" t="s">
        <v>7</v>
      </c>
      <c r="CV55" t="s">
        <v>1</v>
      </c>
      <c r="CW55" s="2"/>
      <c r="CX55" t="s">
        <v>12</v>
      </c>
      <c r="CY55" t="s">
        <v>1</v>
      </c>
      <c r="CZ55" t="s">
        <v>41</v>
      </c>
      <c r="DA55" t="s">
        <v>1</v>
      </c>
      <c r="DB55" t="s">
        <v>9</v>
      </c>
      <c r="DC55" t="s">
        <v>9</v>
      </c>
      <c r="DD55" t="s">
        <v>1</v>
      </c>
      <c r="DE55" t="s">
        <v>1</v>
      </c>
      <c r="DF55" t="s">
        <v>1</v>
      </c>
      <c r="DG55" t="s">
        <v>62</v>
      </c>
      <c r="DH55" t="s">
        <v>1</v>
      </c>
      <c r="DI55" s="2"/>
      <c r="DJ55" t="s">
        <v>1</v>
      </c>
      <c r="DK55" t="s">
        <v>14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s="2"/>
      <c r="DW55" t="s">
        <v>1</v>
      </c>
      <c r="DX55" t="s">
        <v>1</v>
      </c>
      <c r="DY55" t="s">
        <v>2207</v>
      </c>
      <c r="DZ55" t="s">
        <v>1</v>
      </c>
      <c r="EA55" t="s">
        <v>1</v>
      </c>
      <c r="EB55" t="s">
        <v>28</v>
      </c>
      <c r="EC55" t="s">
        <v>7</v>
      </c>
      <c r="ED55" t="s">
        <v>1</v>
      </c>
      <c r="EE55" t="s">
        <v>1</v>
      </c>
      <c r="EF55" t="s">
        <v>22</v>
      </c>
      <c r="EG55" t="s">
        <v>41</v>
      </c>
      <c r="EH55" t="s">
        <v>15</v>
      </c>
      <c r="EI55" t="s">
        <v>1</v>
      </c>
      <c r="EJ55" s="4">
        <v>-2200</v>
      </c>
      <c r="EK55" t="s">
        <v>1</v>
      </c>
      <c r="EL55" t="s">
        <v>1</v>
      </c>
      <c r="EM55" t="s">
        <v>1</v>
      </c>
      <c r="EN55" t="s">
        <v>1</v>
      </c>
      <c r="EO55" s="2"/>
      <c r="EP55" t="s">
        <v>2207</v>
      </c>
      <c r="EQ55" t="s">
        <v>1</v>
      </c>
      <c r="ER55" t="s">
        <v>1</v>
      </c>
      <c r="ES55" t="s">
        <v>1</v>
      </c>
      <c r="ET55" t="s">
        <v>29</v>
      </c>
      <c r="EU55" t="s">
        <v>1</v>
      </c>
      <c r="EV55" t="s">
        <v>1</v>
      </c>
      <c r="EW55" t="s">
        <v>7</v>
      </c>
      <c r="EX55" t="s">
        <v>7</v>
      </c>
      <c r="EY55" t="s">
        <v>1</v>
      </c>
      <c r="EZ55" t="s">
        <v>1</v>
      </c>
      <c r="FA55" t="s">
        <v>1</v>
      </c>
      <c r="FB55" s="3">
        <v>50</v>
      </c>
      <c r="FC55" t="s">
        <v>1</v>
      </c>
      <c r="FD55" t="s">
        <v>1</v>
      </c>
      <c r="FE55" t="s">
        <v>1</v>
      </c>
      <c r="FF55" t="s">
        <v>17</v>
      </c>
      <c r="FG55" t="s">
        <v>1</v>
      </c>
      <c r="FH55" t="s">
        <v>1</v>
      </c>
      <c r="FI55" t="s">
        <v>1</v>
      </c>
      <c r="FJ55" t="s">
        <v>1</v>
      </c>
      <c r="FK55" s="7">
        <v>46115.526759259257</v>
      </c>
      <c r="FL55" t="s">
        <v>1</v>
      </c>
      <c r="FM55" t="s">
        <v>1</v>
      </c>
      <c r="FN55" t="s">
        <v>1</v>
      </c>
      <c r="FO55" s="19">
        <v>-9166667</v>
      </c>
      <c r="FP55" s="4">
        <v>0</v>
      </c>
      <c r="FQ55" s="19">
        <v>-9166667</v>
      </c>
      <c r="FR55" s="4">
        <v>0</v>
      </c>
      <c r="FS55" s="4">
        <v>0</v>
      </c>
      <c r="FT55" s="4">
        <v>0</v>
      </c>
      <c r="FU55" s="2">
        <v>46115</v>
      </c>
      <c r="FV55" t="s">
        <v>1</v>
      </c>
      <c r="FW55" s="4">
        <v>0</v>
      </c>
      <c r="FX55" t="s">
        <v>1</v>
      </c>
      <c r="FY55" t="s">
        <v>1</v>
      </c>
      <c r="FZ55" s="4">
        <v>0</v>
      </c>
      <c r="GA55" s="4">
        <v>0</v>
      </c>
      <c r="GB55" t="s">
        <v>2070</v>
      </c>
      <c r="GC55" t="str">
        <f>RIGHT(Data_FAGLL03[[#This Row],[Payment reference]],8)</f>
        <v>91172556</v>
      </c>
      <c r="GD55" t="str">
        <f>IF(Data_FAGLL03[[#This Row],[Billing]]&lt;&gt;"",_xlfn.XLOOKUP(Data_FAGLL03[[#This Row],[Billing]],MD_BILLING_SO[BILIING],MD_BILLING_SO[SO-EDITED]),"")</f>
        <v>30030724</v>
      </c>
      <c r="GE55" s="18">
        <f>IF(SUBSTITUTE(Data_FAGLL03[[#This Row],[Eff.exchange rate]],",","")/100000=1,1,SUBSTITUTE(Data_FAGLL03[[#This Row],[Eff.exchange rate]],",","")/100)</f>
        <v>1</v>
      </c>
      <c r="GF55" s="17">
        <f>IF(Data_FAGLL03[[#This Row],[Material]]&lt;&gt;"",IFERROR(Data_FAGLL03[[#This Row],[Amount in local currency]]/Data_FAGLL03[[#This Row],[Quantity_Original]],0),0)</f>
        <v>4166.6668181818186</v>
      </c>
      <c r="GG55" s="18">
        <f>IF(Data_FAGLL03[[#This Row],[XK/NĐ]]="XK",Data_FAGLL03[[#This Row],[GB trung bình]]/Data_FAGLL03[[#This Row],[EXR]],0)*1000</f>
        <v>0</v>
      </c>
      <c r="GH55" s="18" cm="1">
        <f t="array" ref="GH55">IF(Data_FAGLL03[[#This Row],[Document currency]]&lt;&gt;"VND",Data_FAGLL03[[#This Row],[Amount in doc. curr.]],Data_FAGLL03[[#This Row],[Amount in local currency]]/EXR)</f>
        <v>-349.17785465929273</v>
      </c>
      <c r="GI55" s="10">
        <f>Data_FAGLL03[[#This Row],[Time Stamp]]+TIME(7,0,0)</f>
        <v>46115.818425925921</v>
      </c>
      <c r="GJ55" s="18">
        <f>MONTH(Data_FAGLL03[[#This Row],[Time Stamp_VN]])</f>
        <v>4</v>
      </c>
      <c r="GK55">
        <f>DAY(Data_FAGLL03[[#This Row],[Time Stamp_VN]])</f>
        <v>3</v>
      </c>
      <c r="GL55" t="str">
        <f>TEXT(Data_FAGLL03[[#This Row],[Tháng]],"00")&amp;" | "&amp;TEXT(Data_FAGLL03[[#This Row],[Ngày]],"00")</f>
        <v>04 | 03</v>
      </c>
      <c r="GM55" s="18">
        <f>IF(Data_FAGLL03[[#This Row],[Text]]="",Data_FAGLL03[[#This Row],[Quantity_Original]],0)</f>
        <v>-2200</v>
      </c>
      <c r="GN55" s="18" t="str">
        <f>IF(Data_FAGLL03[[#This Row],[Quantity_Edited]]&lt;&gt;0,Data_FAGLL03[[#This Row],[Offsetting acct no.]]&amp;" | "&amp;Data_FAGLL03[[#This Row],[Material]],"")</f>
        <v>105290 | 160012727</v>
      </c>
      <c r="GO55" t="str">
        <f>IF(LEFT(Data_FAGLL03[[#This Row],[Offsetting acct no.]],1)="1","NĐ",IF(LEFT(Data_FAGLL03[[#This Row],[Offsetting acct no.]],1)="2","XK","Khác"))</f>
        <v>NĐ</v>
      </c>
      <c r="GP55" t="str">
        <f>IF(Data_FAGLL03[[#This Row],[Material]]&lt;&gt;"",_xlfn.XLOOKUP(Data_FAGLL03[[#This Row],[Material]],MD_SKU[Mã SKU],MD_SKU[Tên SKU]),"")</f>
        <v>Phó Sản PET Bụi Tank B</v>
      </c>
      <c r="GQ55" t="str">
        <f>IF(Data_FAGLL03[[#This Row],[Material]]&lt;&gt;"",_xlfn.XLOOKUP(Data_FAGLL03[[#This Row],[Material]],MD_SKU[Mã SKU],MD_SKU[Nhóm SP 1]),"")</f>
        <v>Khác</v>
      </c>
      <c r="GR55" t="str">
        <f>IF(Data_FAGLL03[[#This Row],[Material]]&lt;&gt;"",_xlfn.XLOOKUP(Data_FAGLL03[[#This Row],[Material]],MD_SKU[Mã SKU],MD_SKU[Nhóm SP 2]),"")</f>
        <v>Phó sản</v>
      </c>
      <c r="GS55" t="str">
        <f>IF(Data_FAGLL03[[#This Row],[Material]]&lt;&gt;"",_xlfn.XLOOKUP(Data_FAGLL03[[#This Row],[Material]],MD_SKU[Mã SKU],MD_SKU[Nhóm SP 3]),"")</f>
        <v>Phó sản</v>
      </c>
      <c r="GT55" t="str">
        <f>IF(Data_FAGLL03[[#This Row],[Material]]&lt;&gt;"",_xlfn.XLOOKUP(Data_FAGLL03[[#This Row],[Material]],MD_SKU[Mã SKU],MD_SKU[Nhóm SP 4]),"")</f>
        <v>Phó sản</v>
      </c>
    </row>
    <row r="56" spans="1:202" x14ac:dyDescent="0.25">
      <c r="A56" t="s">
        <v>0</v>
      </c>
      <c r="B56" s="2">
        <v>46115</v>
      </c>
      <c r="C56" t="s">
        <v>2205</v>
      </c>
      <c r="D56" t="s">
        <v>1</v>
      </c>
      <c r="E56" t="s">
        <v>1</v>
      </c>
      <c r="F56" t="s">
        <v>31</v>
      </c>
      <c r="G56" t="s">
        <v>31</v>
      </c>
      <c r="H56" t="s">
        <v>2036</v>
      </c>
      <c r="I56" s="19">
        <v>-9833333</v>
      </c>
      <c r="J56" t="s">
        <v>2037</v>
      </c>
      <c r="K56" t="s">
        <v>1</v>
      </c>
      <c r="L56" t="s">
        <v>3</v>
      </c>
      <c r="M56" t="s">
        <v>41</v>
      </c>
      <c r="N56" t="s">
        <v>254</v>
      </c>
      <c r="O56" t="s">
        <v>4</v>
      </c>
      <c r="P56" t="s">
        <v>2206</v>
      </c>
      <c r="Q56" t="s">
        <v>31</v>
      </c>
      <c r="R56" t="s">
        <v>5</v>
      </c>
      <c r="S56" t="s">
        <v>1</v>
      </c>
      <c r="T56" s="3">
        <v>-9833333</v>
      </c>
      <c r="U56" s="19">
        <v>-9833333</v>
      </c>
      <c r="V56" s="3">
        <v>-9833333</v>
      </c>
      <c r="W56" s="3">
        <v>-9833333</v>
      </c>
      <c r="X56" s="4">
        <v>0</v>
      </c>
      <c r="Y56" s="4">
        <v>0</v>
      </c>
      <c r="Z56" s="3">
        <v>0</v>
      </c>
      <c r="AA56" s="3">
        <v>0</v>
      </c>
      <c r="AB56" t="s">
        <v>1</v>
      </c>
      <c r="AC56" t="s">
        <v>24</v>
      </c>
      <c r="AD56" s="2"/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25</v>
      </c>
      <c r="AK56" s="4">
        <v>0</v>
      </c>
      <c r="AL56" t="s">
        <v>1</v>
      </c>
      <c r="AM56" s="5" t="s">
        <v>1</v>
      </c>
      <c r="AN56" t="s">
        <v>1</v>
      </c>
      <c r="AO56" s="2"/>
      <c r="AP56" t="s">
        <v>1</v>
      </c>
      <c r="AQ56" t="s">
        <v>1</v>
      </c>
      <c r="AR56" s="3">
        <v>0</v>
      </c>
      <c r="AS56" t="s">
        <v>1</v>
      </c>
      <c r="AT56" t="s">
        <v>7</v>
      </c>
      <c r="AU56" t="s">
        <v>1</v>
      </c>
      <c r="AV56" t="s">
        <v>1</v>
      </c>
      <c r="AW56" t="s">
        <v>8</v>
      </c>
      <c r="AX56" t="s">
        <v>8</v>
      </c>
      <c r="AY56" t="s">
        <v>1</v>
      </c>
      <c r="AZ56" s="4">
        <v>0</v>
      </c>
      <c r="BA56" t="s">
        <v>1</v>
      </c>
      <c r="BB56" s="3">
        <v>0</v>
      </c>
      <c r="BC56" s="3">
        <v>0</v>
      </c>
      <c r="BD56" s="3">
        <v>0</v>
      </c>
      <c r="BE56" t="s">
        <v>20</v>
      </c>
      <c r="BF56" t="s">
        <v>1</v>
      </c>
      <c r="BG56" s="4">
        <v>0</v>
      </c>
      <c r="BH56" s="4">
        <v>0</v>
      </c>
      <c r="BI56" s="6">
        <v>0</v>
      </c>
      <c r="BJ56" s="6">
        <v>0</v>
      </c>
      <c r="BK56" t="s">
        <v>1</v>
      </c>
      <c r="BL56" t="s">
        <v>1</v>
      </c>
      <c r="BM56" t="s">
        <v>1</v>
      </c>
      <c r="BN56" t="s">
        <v>9</v>
      </c>
      <c r="BO56" s="2">
        <v>46115</v>
      </c>
      <c r="BP56" t="s">
        <v>1</v>
      </c>
      <c r="BQ56" t="s">
        <v>2205</v>
      </c>
      <c r="BR56" t="s">
        <v>27</v>
      </c>
      <c r="BS56" t="s">
        <v>1</v>
      </c>
      <c r="BT56" t="s">
        <v>1</v>
      </c>
      <c r="BU56" t="s">
        <v>1</v>
      </c>
      <c r="BV56" t="s">
        <v>1</v>
      </c>
      <c r="BW56" t="s">
        <v>7</v>
      </c>
      <c r="BX56" t="s">
        <v>10</v>
      </c>
      <c r="BY56" s="2"/>
      <c r="BZ56" t="s">
        <v>1</v>
      </c>
      <c r="CA56" t="s">
        <v>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254</v>
      </c>
      <c r="CJ56" s="3">
        <v>-9833333</v>
      </c>
      <c r="CK56" t="s">
        <v>9</v>
      </c>
      <c r="CL56" t="s">
        <v>2038</v>
      </c>
      <c r="CM56" t="s">
        <v>1</v>
      </c>
      <c r="CN56" s="4">
        <v>0</v>
      </c>
      <c r="CO56" t="s">
        <v>7</v>
      </c>
      <c r="CP56" t="s">
        <v>7</v>
      </c>
      <c r="CQ56" t="s">
        <v>7</v>
      </c>
      <c r="CR56" t="s">
        <v>7</v>
      </c>
      <c r="CS56" s="4">
        <v>0</v>
      </c>
      <c r="CT56" t="s">
        <v>2205</v>
      </c>
      <c r="CU56" t="s">
        <v>7</v>
      </c>
      <c r="CV56" t="s">
        <v>1</v>
      </c>
      <c r="CW56" s="2"/>
      <c r="CX56" t="s">
        <v>12</v>
      </c>
      <c r="CY56" t="s">
        <v>1</v>
      </c>
      <c r="CZ56" t="s">
        <v>2039</v>
      </c>
      <c r="DA56" t="s">
        <v>1</v>
      </c>
      <c r="DB56" t="s">
        <v>9</v>
      </c>
      <c r="DC56" t="s">
        <v>9</v>
      </c>
      <c r="DD56" t="s">
        <v>1</v>
      </c>
      <c r="DE56" t="s">
        <v>1</v>
      </c>
      <c r="DF56" t="s">
        <v>1</v>
      </c>
      <c r="DG56" t="s">
        <v>63</v>
      </c>
      <c r="DH56" t="s">
        <v>1</v>
      </c>
      <c r="DI56" s="2"/>
      <c r="DJ56" t="s">
        <v>1</v>
      </c>
      <c r="DK56" t="s">
        <v>14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s="2"/>
      <c r="DW56" t="s">
        <v>1</v>
      </c>
      <c r="DX56" t="s">
        <v>1</v>
      </c>
      <c r="DY56" t="s">
        <v>2207</v>
      </c>
      <c r="DZ56" t="s">
        <v>1</v>
      </c>
      <c r="EA56" t="s">
        <v>1</v>
      </c>
      <c r="EB56" t="s">
        <v>28</v>
      </c>
      <c r="EC56" t="s">
        <v>7</v>
      </c>
      <c r="ED56" t="s">
        <v>1</v>
      </c>
      <c r="EE56" t="s">
        <v>1</v>
      </c>
      <c r="EF56" t="s">
        <v>22</v>
      </c>
      <c r="EG56" t="s">
        <v>41</v>
      </c>
      <c r="EH56" t="s">
        <v>15</v>
      </c>
      <c r="EI56" t="s">
        <v>1</v>
      </c>
      <c r="EJ56" s="4">
        <v>-2360</v>
      </c>
      <c r="EK56" t="s">
        <v>1</v>
      </c>
      <c r="EL56" t="s">
        <v>1</v>
      </c>
      <c r="EM56" t="s">
        <v>1</v>
      </c>
      <c r="EN56" t="s">
        <v>1</v>
      </c>
      <c r="EO56" s="2"/>
      <c r="EP56" t="s">
        <v>2207</v>
      </c>
      <c r="EQ56" t="s">
        <v>1</v>
      </c>
      <c r="ER56" t="s">
        <v>1</v>
      </c>
      <c r="ES56" t="s">
        <v>1</v>
      </c>
      <c r="ET56" t="s">
        <v>29</v>
      </c>
      <c r="EU56" t="s">
        <v>1</v>
      </c>
      <c r="EV56" t="s">
        <v>1</v>
      </c>
      <c r="EW56" t="s">
        <v>7</v>
      </c>
      <c r="EX56" t="s">
        <v>7</v>
      </c>
      <c r="EY56" t="s">
        <v>1</v>
      </c>
      <c r="EZ56" t="s">
        <v>1</v>
      </c>
      <c r="FA56" t="s">
        <v>1</v>
      </c>
      <c r="FB56" s="3">
        <v>50</v>
      </c>
      <c r="FC56" t="s">
        <v>1</v>
      </c>
      <c r="FD56" t="s">
        <v>1</v>
      </c>
      <c r="FE56" t="s">
        <v>1</v>
      </c>
      <c r="FF56" t="s">
        <v>17</v>
      </c>
      <c r="FG56" t="s">
        <v>1</v>
      </c>
      <c r="FH56" t="s">
        <v>1</v>
      </c>
      <c r="FI56" t="s">
        <v>1</v>
      </c>
      <c r="FJ56" t="s">
        <v>1</v>
      </c>
      <c r="FK56" s="7">
        <v>46115.526759259257</v>
      </c>
      <c r="FL56" t="s">
        <v>1</v>
      </c>
      <c r="FM56" t="s">
        <v>1</v>
      </c>
      <c r="FN56" t="s">
        <v>1</v>
      </c>
      <c r="FO56" s="19">
        <v>-9833333</v>
      </c>
      <c r="FP56" s="4">
        <v>0</v>
      </c>
      <c r="FQ56" s="19">
        <v>-9833333</v>
      </c>
      <c r="FR56" s="4">
        <v>0</v>
      </c>
      <c r="FS56" s="4">
        <v>0</v>
      </c>
      <c r="FT56" s="4">
        <v>0</v>
      </c>
      <c r="FU56" s="2">
        <v>46115</v>
      </c>
      <c r="FV56" t="s">
        <v>1</v>
      </c>
      <c r="FW56" s="4">
        <v>0</v>
      </c>
      <c r="FX56" t="s">
        <v>1</v>
      </c>
      <c r="FY56" t="s">
        <v>1</v>
      </c>
      <c r="FZ56" s="4">
        <v>0</v>
      </c>
      <c r="GA56" s="4">
        <v>0</v>
      </c>
      <c r="GB56" t="s">
        <v>2070</v>
      </c>
      <c r="GC56" t="str">
        <f>RIGHT(Data_FAGLL03[[#This Row],[Payment reference]],8)</f>
        <v>91172556</v>
      </c>
      <c r="GD56" t="str">
        <f>IF(Data_FAGLL03[[#This Row],[Billing]]&lt;&gt;"",_xlfn.XLOOKUP(Data_FAGLL03[[#This Row],[Billing]],MD_BILLING_SO[BILIING],MD_BILLING_SO[SO-EDITED]),"")</f>
        <v>30030724</v>
      </c>
      <c r="GE56" s="18">
        <f>IF(SUBSTITUTE(Data_FAGLL03[[#This Row],[Eff.exchange rate]],",","")/100000=1,1,SUBSTITUTE(Data_FAGLL03[[#This Row],[Eff.exchange rate]],",","")/100)</f>
        <v>1</v>
      </c>
      <c r="GF56" s="17">
        <f>IF(Data_FAGLL03[[#This Row],[Material]]&lt;&gt;"",IFERROR(Data_FAGLL03[[#This Row],[Amount in local currency]]/Data_FAGLL03[[#This Row],[Quantity_Original]],0),0)</f>
        <v>4166.6665254237287</v>
      </c>
      <c r="GG56" s="18">
        <f>IF(Data_FAGLL03[[#This Row],[XK/NĐ]]="XK",Data_FAGLL03[[#This Row],[GB trung bình]]/Data_FAGLL03[[#This Row],[EXR]],0)*1000</f>
        <v>0</v>
      </c>
      <c r="GH56" s="18" cm="1">
        <f t="array" ref="GH56">IF(Data_FAGLL03[[#This Row],[Document currency]]&lt;&gt;"VND",Data_FAGLL03[[#This Row],[Amount in doc. curr.]],Data_FAGLL03[[#This Row],[Amount in local currency]]/EXR)</f>
        <v>-374.57258140722541</v>
      </c>
      <c r="GI56" s="10">
        <f>Data_FAGLL03[[#This Row],[Time Stamp]]+TIME(7,0,0)</f>
        <v>46115.818425925921</v>
      </c>
      <c r="GJ56" s="18">
        <f>MONTH(Data_FAGLL03[[#This Row],[Time Stamp_VN]])</f>
        <v>4</v>
      </c>
      <c r="GK56">
        <f>DAY(Data_FAGLL03[[#This Row],[Time Stamp_VN]])</f>
        <v>3</v>
      </c>
      <c r="GL56" t="str">
        <f>TEXT(Data_FAGLL03[[#This Row],[Tháng]],"00")&amp;" | "&amp;TEXT(Data_FAGLL03[[#This Row],[Ngày]],"00")</f>
        <v>04 | 03</v>
      </c>
      <c r="GM56" s="18">
        <f>IF(Data_FAGLL03[[#This Row],[Text]]="",Data_FAGLL03[[#This Row],[Quantity_Original]],0)</f>
        <v>-2360</v>
      </c>
      <c r="GN56" s="18" t="str">
        <f>IF(Data_FAGLL03[[#This Row],[Quantity_Edited]]&lt;&gt;0,Data_FAGLL03[[#This Row],[Offsetting acct no.]]&amp;" | "&amp;Data_FAGLL03[[#This Row],[Material]],"")</f>
        <v>105290 | 160012729</v>
      </c>
      <c r="GO56" t="str">
        <f>IF(LEFT(Data_FAGLL03[[#This Row],[Offsetting acct no.]],1)="1","NĐ",IF(LEFT(Data_FAGLL03[[#This Row],[Offsetting acct no.]],1)="2","XK","Khác"))</f>
        <v>NĐ</v>
      </c>
      <c r="GP56" t="str">
        <f>IF(Data_FAGLL03[[#This Row],[Material]]&lt;&gt;"",_xlfn.XLOOKUP(Data_FAGLL03[[#This Row],[Material]],MD_SKU[Mã SKU],MD_SKU[Tên SKU]),"")</f>
        <v>Phó Sản PET Bụi Tank D</v>
      </c>
      <c r="GQ56" t="str">
        <f>IF(Data_FAGLL03[[#This Row],[Material]]&lt;&gt;"",_xlfn.XLOOKUP(Data_FAGLL03[[#This Row],[Material]],MD_SKU[Mã SKU],MD_SKU[Nhóm SP 1]),"")</f>
        <v>Khác</v>
      </c>
      <c r="GR56" t="str">
        <f>IF(Data_FAGLL03[[#This Row],[Material]]&lt;&gt;"",_xlfn.XLOOKUP(Data_FAGLL03[[#This Row],[Material]],MD_SKU[Mã SKU],MD_SKU[Nhóm SP 2]),"")</f>
        <v>Phó sản</v>
      </c>
      <c r="GS56" t="str">
        <f>IF(Data_FAGLL03[[#This Row],[Material]]&lt;&gt;"",_xlfn.XLOOKUP(Data_FAGLL03[[#This Row],[Material]],MD_SKU[Mã SKU],MD_SKU[Nhóm SP 3]),"")</f>
        <v>Phó sản</v>
      </c>
      <c r="GT56" t="str">
        <f>IF(Data_FAGLL03[[#This Row],[Material]]&lt;&gt;"",_xlfn.XLOOKUP(Data_FAGLL03[[#This Row],[Material]],MD_SKU[Mã SKU],MD_SKU[Nhóm SP 4]),"")</f>
        <v>Phó sản</v>
      </c>
    </row>
    <row r="57" spans="1:202" x14ac:dyDescent="0.25">
      <c r="A57" t="s">
        <v>0</v>
      </c>
      <c r="B57" s="2">
        <v>46116</v>
      </c>
      <c r="C57" t="s">
        <v>2208</v>
      </c>
      <c r="D57" t="s">
        <v>1</v>
      </c>
      <c r="E57" t="s">
        <v>1</v>
      </c>
      <c r="F57" t="s">
        <v>31</v>
      </c>
      <c r="G57" t="s">
        <v>31</v>
      </c>
      <c r="H57" t="s">
        <v>2036</v>
      </c>
      <c r="I57" s="19">
        <v>-15083333</v>
      </c>
      <c r="J57" t="s">
        <v>2037</v>
      </c>
      <c r="K57" t="s">
        <v>1</v>
      </c>
      <c r="L57" t="s">
        <v>3</v>
      </c>
      <c r="M57" t="s">
        <v>41</v>
      </c>
      <c r="N57" t="s">
        <v>254</v>
      </c>
      <c r="O57" t="s">
        <v>4</v>
      </c>
      <c r="P57" t="s">
        <v>2209</v>
      </c>
      <c r="Q57" t="s">
        <v>31</v>
      </c>
      <c r="R57" t="s">
        <v>5</v>
      </c>
      <c r="S57" t="s">
        <v>1</v>
      </c>
      <c r="T57" s="3">
        <v>-15083333</v>
      </c>
      <c r="U57" s="19">
        <v>-15083333</v>
      </c>
      <c r="V57" s="3">
        <v>-15083333</v>
      </c>
      <c r="W57" s="3">
        <v>-15083333</v>
      </c>
      <c r="X57" s="4">
        <v>0</v>
      </c>
      <c r="Y57" s="4">
        <v>0</v>
      </c>
      <c r="Z57" s="3">
        <v>0</v>
      </c>
      <c r="AA57" s="3">
        <v>0</v>
      </c>
      <c r="AB57" t="s">
        <v>1</v>
      </c>
      <c r="AC57" t="s">
        <v>24</v>
      </c>
      <c r="AD57" s="2"/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25</v>
      </c>
      <c r="AK57" s="4">
        <v>0</v>
      </c>
      <c r="AL57" t="s">
        <v>1</v>
      </c>
      <c r="AM57" s="5" t="s">
        <v>1</v>
      </c>
      <c r="AN57" t="s">
        <v>1</v>
      </c>
      <c r="AO57" s="2"/>
      <c r="AP57" t="s">
        <v>1</v>
      </c>
      <c r="AQ57" t="s">
        <v>1</v>
      </c>
      <c r="AR57" s="3">
        <v>0</v>
      </c>
      <c r="AS57" t="s">
        <v>1</v>
      </c>
      <c r="AT57" t="s">
        <v>7</v>
      </c>
      <c r="AU57" t="s">
        <v>1</v>
      </c>
      <c r="AV57" t="s">
        <v>1</v>
      </c>
      <c r="AW57" t="s">
        <v>8</v>
      </c>
      <c r="AX57" t="s">
        <v>8</v>
      </c>
      <c r="AY57" t="s">
        <v>1</v>
      </c>
      <c r="AZ57" s="4">
        <v>0</v>
      </c>
      <c r="BA57" t="s">
        <v>1</v>
      </c>
      <c r="BB57" s="3">
        <v>0</v>
      </c>
      <c r="BC57" s="3">
        <v>0</v>
      </c>
      <c r="BD57" s="3">
        <v>0</v>
      </c>
      <c r="BE57" t="s">
        <v>20</v>
      </c>
      <c r="BF57" t="s">
        <v>1</v>
      </c>
      <c r="BG57" s="4">
        <v>0</v>
      </c>
      <c r="BH57" s="4">
        <v>0</v>
      </c>
      <c r="BI57" s="6">
        <v>0</v>
      </c>
      <c r="BJ57" s="6">
        <v>0</v>
      </c>
      <c r="BK57" t="s">
        <v>1</v>
      </c>
      <c r="BL57" t="s">
        <v>1</v>
      </c>
      <c r="BM57" t="s">
        <v>1</v>
      </c>
      <c r="BN57" t="s">
        <v>9</v>
      </c>
      <c r="BO57" s="2">
        <v>46116</v>
      </c>
      <c r="BP57" t="s">
        <v>1</v>
      </c>
      <c r="BQ57" t="s">
        <v>2208</v>
      </c>
      <c r="BR57" t="s">
        <v>27</v>
      </c>
      <c r="BS57" t="s">
        <v>1</v>
      </c>
      <c r="BT57" t="s">
        <v>1</v>
      </c>
      <c r="BU57" t="s">
        <v>1</v>
      </c>
      <c r="BV57" t="s">
        <v>1</v>
      </c>
      <c r="BW57" t="s">
        <v>7</v>
      </c>
      <c r="BX57" t="s">
        <v>10</v>
      </c>
      <c r="BY57" s="2"/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254</v>
      </c>
      <c r="CJ57" s="3">
        <v>-15083333</v>
      </c>
      <c r="CK57" t="s">
        <v>9</v>
      </c>
      <c r="CL57" t="s">
        <v>11</v>
      </c>
      <c r="CM57" t="s">
        <v>1</v>
      </c>
      <c r="CN57" s="4">
        <v>0</v>
      </c>
      <c r="CO57" t="s">
        <v>7</v>
      </c>
      <c r="CP57" t="s">
        <v>7</v>
      </c>
      <c r="CQ57" t="s">
        <v>7</v>
      </c>
      <c r="CR57" t="s">
        <v>7</v>
      </c>
      <c r="CS57" s="4">
        <v>0</v>
      </c>
      <c r="CT57" t="s">
        <v>2208</v>
      </c>
      <c r="CU57" t="s">
        <v>7</v>
      </c>
      <c r="CV57" t="s">
        <v>1</v>
      </c>
      <c r="CW57" s="2"/>
      <c r="CX57" t="s">
        <v>12</v>
      </c>
      <c r="CY57" t="s">
        <v>1</v>
      </c>
      <c r="CZ57" t="s">
        <v>13</v>
      </c>
      <c r="DA57" t="s">
        <v>1</v>
      </c>
      <c r="DB57" t="s">
        <v>9</v>
      </c>
      <c r="DC57" t="s">
        <v>9</v>
      </c>
      <c r="DD57" t="s">
        <v>1</v>
      </c>
      <c r="DE57" t="s">
        <v>1</v>
      </c>
      <c r="DF57" t="s">
        <v>1</v>
      </c>
      <c r="DG57" t="s">
        <v>61</v>
      </c>
      <c r="DH57" t="s">
        <v>1</v>
      </c>
      <c r="DI57" s="2"/>
      <c r="DJ57" t="s">
        <v>1</v>
      </c>
      <c r="DK57" t="s">
        <v>14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s="2"/>
      <c r="DW57" t="s">
        <v>1</v>
      </c>
      <c r="DX57" t="s">
        <v>1</v>
      </c>
      <c r="DY57" t="s">
        <v>2210</v>
      </c>
      <c r="DZ57" t="s">
        <v>1</v>
      </c>
      <c r="EA57" t="s">
        <v>1</v>
      </c>
      <c r="EB57" t="s">
        <v>28</v>
      </c>
      <c r="EC57" t="s">
        <v>7</v>
      </c>
      <c r="ED57" t="s">
        <v>1</v>
      </c>
      <c r="EE57" t="s">
        <v>1</v>
      </c>
      <c r="EF57" t="s">
        <v>22</v>
      </c>
      <c r="EG57" t="s">
        <v>41</v>
      </c>
      <c r="EH57" t="s">
        <v>15</v>
      </c>
      <c r="EI57" t="s">
        <v>1</v>
      </c>
      <c r="EJ57" s="4">
        <v>-3620</v>
      </c>
      <c r="EK57" t="s">
        <v>1</v>
      </c>
      <c r="EL57" t="s">
        <v>1</v>
      </c>
      <c r="EM57" t="s">
        <v>1</v>
      </c>
      <c r="EN57" t="s">
        <v>1</v>
      </c>
      <c r="EO57" s="2"/>
      <c r="EP57" t="s">
        <v>2210</v>
      </c>
      <c r="EQ57" t="s">
        <v>1</v>
      </c>
      <c r="ER57" t="s">
        <v>1</v>
      </c>
      <c r="ES57" t="s">
        <v>1</v>
      </c>
      <c r="ET57" t="s">
        <v>29</v>
      </c>
      <c r="EU57" t="s">
        <v>1</v>
      </c>
      <c r="EV57" t="s">
        <v>1</v>
      </c>
      <c r="EW57" t="s">
        <v>7</v>
      </c>
      <c r="EX57" t="s">
        <v>7</v>
      </c>
      <c r="EY57" t="s">
        <v>1</v>
      </c>
      <c r="EZ57" t="s">
        <v>1</v>
      </c>
      <c r="FA57" t="s">
        <v>1</v>
      </c>
      <c r="FB57" s="3">
        <v>50</v>
      </c>
      <c r="FC57" t="s">
        <v>1</v>
      </c>
      <c r="FD57" t="s">
        <v>1</v>
      </c>
      <c r="FE57" t="s">
        <v>1</v>
      </c>
      <c r="FF57" t="s">
        <v>17</v>
      </c>
      <c r="FG57" t="s">
        <v>1</v>
      </c>
      <c r="FH57" t="s">
        <v>1</v>
      </c>
      <c r="FI57" t="s">
        <v>1</v>
      </c>
      <c r="FJ57" t="s">
        <v>1</v>
      </c>
      <c r="FK57" s="7">
        <v>46116.371886574074</v>
      </c>
      <c r="FL57" t="s">
        <v>1</v>
      </c>
      <c r="FM57" t="s">
        <v>1</v>
      </c>
      <c r="FN57" t="s">
        <v>1</v>
      </c>
      <c r="FO57" s="19">
        <v>-15083333</v>
      </c>
      <c r="FP57" s="4">
        <v>0</v>
      </c>
      <c r="FQ57" s="19">
        <v>-15083333</v>
      </c>
      <c r="FR57" s="4">
        <v>0</v>
      </c>
      <c r="FS57" s="4">
        <v>0</v>
      </c>
      <c r="FT57" s="4">
        <v>0</v>
      </c>
      <c r="FU57" s="2">
        <v>46116</v>
      </c>
      <c r="FV57" t="s">
        <v>1</v>
      </c>
      <c r="FW57" s="4">
        <v>0</v>
      </c>
      <c r="FX57" t="s">
        <v>1</v>
      </c>
      <c r="FY57" t="s">
        <v>1</v>
      </c>
      <c r="FZ57" s="4">
        <v>0</v>
      </c>
      <c r="GA57" s="4">
        <v>0</v>
      </c>
      <c r="GB57" t="s">
        <v>2070</v>
      </c>
      <c r="GC57" t="str">
        <f>RIGHT(Data_FAGLL03[[#This Row],[Payment reference]],8)</f>
        <v>91172568</v>
      </c>
      <c r="GD57" t="str">
        <f>IF(Data_FAGLL03[[#This Row],[Billing]]&lt;&gt;"",_xlfn.XLOOKUP(Data_FAGLL03[[#This Row],[Billing]],MD_BILLING_SO[BILIING],MD_BILLING_SO[SO-EDITED]),"")</f>
        <v>30030727</v>
      </c>
      <c r="GE57" s="18">
        <f>IF(SUBSTITUTE(Data_FAGLL03[[#This Row],[Eff.exchange rate]],",","")/100000=1,1,SUBSTITUTE(Data_FAGLL03[[#This Row],[Eff.exchange rate]],",","")/100)</f>
        <v>1</v>
      </c>
      <c r="GF57" s="17">
        <f>IF(Data_FAGLL03[[#This Row],[Material]]&lt;&gt;"",IFERROR(Data_FAGLL03[[#This Row],[Amount in local currency]]/Data_FAGLL03[[#This Row],[Quantity_Original]],0),0)</f>
        <v>4166.6665745856353</v>
      </c>
      <c r="GG57" s="18">
        <f>IF(Data_FAGLL03[[#This Row],[XK/NĐ]]="XK",Data_FAGLL03[[#This Row],[GB trung bình]]/Data_FAGLL03[[#This Row],[EXR]],0)*1000</f>
        <v>0</v>
      </c>
      <c r="GH57" s="18" cm="1">
        <f t="array" ref="GH57">IF(Data_FAGLL03[[#This Row],[Document currency]]&lt;&gt;"VND",Data_FAGLL03[[#This Row],[Amount in doc. curr.]],Data_FAGLL03[[#This Row],[Amount in local currency]]/EXR)</f>
        <v>-574.55625453086861</v>
      </c>
      <c r="GI57" s="10">
        <f>Data_FAGLL03[[#This Row],[Time Stamp]]+TIME(7,0,0)</f>
        <v>46116.663553240738</v>
      </c>
      <c r="GJ57" s="18">
        <f>MONTH(Data_FAGLL03[[#This Row],[Time Stamp_VN]])</f>
        <v>4</v>
      </c>
      <c r="GK57">
        <f>DAY(Data_FAGLL03[[#This Row],[Time Stamp_VN]])</f>
        <v>4</v>
      </c>
      <c r="GL57" t="str">
        <f>TEXT(Data_FAGLL03[[#This Row],[Tháng]],"00")&amp;" | "&amp;TEXT(Data_FAGLL03[[#This Row],[Ngày]],"00")</f>
        <v>04 | 04</v>
      </c>
      <c r="GM57" s="18">
        <f>IF(Data_FAGLL03[[#This Row],[Text]]="",Data_FAGLL03[[#This Row],[Quantity_Original]],0)</f>
        <v>-3620</v>
      </c>
      <c r="GN57" s="18" t="str">
        <f>IF(Data_FAGLL03[[#This Row],[Quantity_Edited]]&lt;&gt;0,Data_FAGLL03[[#This Row],[Offsetting acct no.]]&amp;" | "&amp;Data_FAGLL03[[#This Row],[Material]],"")</f>
        <v>105290 | 160012726</v>
      </c>
      <c r="GO57" t="str">
        <f>IF(LEFT(Data_FAGLL03[[#This Row],[Offsetting acct no.]],1)="1","NĐ",IF(LEFT(Data_FAGLL03[[#This Row],[Offsetting acct no.]],1)="2","XK","Khác"))</f>
        <v>NĐ</v>
      </c>
      <c r="GP57" t="str">
        <f>IF(Data_FAGLL03[[#This Row],[Material]]&lt;&gt;"",_xlfn.XLOOKUP(Data_FAGLL03[[#This Row],[Material]],MD_SKU[Mã SKU],MD_SKU[Tên SKU]),"")</f>
        <v>Phó Sản PET Bụi Tank A</v>
      </c>
      <c r="GQ57" t="str">
        <f>IF(Data_FAGLL03[[#This Row],[Material]]&lt;&gt;"",_xlfn.XLOOKUP(Data_FAGLL03[[#This Row],[Material]],MD_SKU[Mã SKU],MD_SKU[Nhóm SP 1]),"")</f>
        <v>Khác</v>
      </c>
      <c r="GR57" t="str">
        <f>IF(Data_FAGLL03[[#This Row],[Material]]&lt;&gt;"",_xlfn.XLOOKUP(Data_FAGLL03[[#This Row],[Material]],MD_SKU[Mã SKU],MD_SKU[Nhóm SP 2]),"")</f>
        <v>Phó sản</v>
      </c>
      <c r="GS57" t="str">
        <f>IF(Data_FAGLL03[[#This Row],[Material]]&lt;&gt;"",_xlfn.XLOOKUP(Data_FAGLL03[[#This Row],[Material]],MD_SKU[Mã SKU],MD_SKU[Nhóm SP 3]),"")</f>
        <v>Phó sản</v>
      </c>
      <c r="GT57" t="str">
        <f>IF(Data_FAGLL03[[#This Row],[Material]]&lt;&gt;"",_xlfn.XLOOKUP(Data_FAGLL03[[#This Row],[Material]],MD_SKU[Mã SKU],MD_SKU[Nhóm SP 4]),"")</f>
        <v>Phó sản</v>
      </c>
    </row>
    <row r="58" spans="1:202" x14ac:dyDescent="0.25">
      <c r="A58" t="s">
        <v>0</v>
      </c>
      <c r="B58" s="2">
        <v>46116</v>
      </c>
      <c r="C58" t="s">
        <v>2208</v>
      </c>
      <c r="D58" t="s">
        <v>1</v>
      </c>
      <c r="E58" t="s">
        <v>1</v>
      </c>
      <c r="F58" t="s">
        <v>31</v>
      </c>
      <c r="G58" t="s">
        <v>31</v>
      </c>
      <c r="H58" t="s">
        <v>2036</v>
      </c>
      <c r="I58" s="19">
        <v>-16083333</v>
      </c>
      <c r="J58" t="s">
        <v>2037</v>
      </c>
      <c r="K58" t="s">
        <v>1</v>
      </c>
      <c r="L58" t="s">
        <v>3</v>
      </c>
      <c r="M58" t="s">
        <v>41</v>
      </c>
      <c r="N58" t="s">
        <v>254</v>
      </c>
      <c r="O58" t="s">
        <v>4</v>
      </c>
      <c r="P58" t="s">
        <v>2209</v>
      </c>
      <c r="Q58" t="s">
        <v>31</v>
      </c>
      <c r="R58" t="s">
        <v>5</v>
      </c>
      <c r="S58" t="s">
        <v>1</v>
      </c>
      <c r="T58" s="3">
        <v>-16083333</v>
      </c>
      <c r="U58" s="19">
        <v>-16083333</v>
      </c>
      <c r="V58" s="3">
        <v>-16083333</v>
      </c>
      <c r="W58" s="3">
        <v>-16083333</v>
      </c>
      <c r="X58" s="4">
        <v>0</v>
      </c>
      <c r="Y58" s="4">
        <v>0</v>
      </c>
      <c r="Z58" s="3">
        <v>0</v>
      </c>
      <c r="AA58" s="3">
        <v>0</v>
      </c>
      <c r="AB58" t="s">
        <v>1</v>
      </c>
      <c r="AC58" t="s">
        <v>24</v>
      </c>
      <c r="AD58" s="2"/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25</v>
      </c>
      <c r="AK58" s="4">
        <v>0</v>
      </c>
      <c r="AL58" t="s">
        <v>1</v>
      </c>
      <c r="AM58" s="5" t="s">
        <v>1</v>
      </c>
      <c r="AN58" t="s">
        <v>1</v>
      </c>
      <c r="AO58" s="2"/>
      <c r="AP58" t="s">
        <v>1</v>
      </c>
      <c r="AQ58" t="s">
        <v>1</v>
      </c>
      <c r="AR58" s="3">
        <v>0</v>
      </c>
      <c r="AS58" t="s">
        <v>1</v>
      </c>
      <c r="AT58" t="s">
        <v>7</v>
      </c>
      <c r="AU58" t="s">
        <v>1</v>
      </c>
      <c r="AV58" t="s">
        <v>1</v>
      </c>
      <c r="AW58" t="s">
        <v>8</v>
      </c>
      <c r="AX58" t="s">
        <v>8</v>
      </c>
      <c r="AY58" t="s">
        <v>1</v>
      </c>
      <c r="AZ58" s="4">
        <v>0</v>
      </c>
      <c r="BA58" t="s">
        <v>1</v>
      </c>
      <c r="BB58" s="3">
        <v>0</v>
      </c>
      <c r="BC58" s="3">
        <v>0</v>
      </c>
      <c r="BD58" s="3">
        <v>0</v>
      </c>
      <c r="BE58" t="s">
        <v>20</v>
      </c>
      <c r="BF58" t="s">
        <v>1</v>
      </c>
      <c r="BG58" s="4">
        <v>0</v>
      </c>
      <c r="BH58" s="4">
        <v>0</v>
      </c>
      <c r="BI58" s="6">
        <v>0</v>
      </c>
      <c r="BJ58" s="6">
        <v>0</v>
      </c>
      <c r="BK58" t="s">
        <v>1</v>
      </c>
      <c r="BL58" t="s">
        <v>1</v>
      </c>
      <c r="BM58" t="s">
        <v>1</v>
      </c>
      <c r="BN58" t="s">
        <v>9</v>
      </c>
      <c r="BO58" s="2">
        <v>46116</v>
      </c>
      <c r="BP58" t="s">
        <v>1</v>
      </c>
      <c r="BQ58" t="s">
        <v>2208</v>
      </c>
      <c r="BR58" t="s">
        <v>27</v>
      </c>
      <c r="BS58" t="s">
        <v>1</v>
      </c>
      <c r="BT58" t="s">
        <v>1</v>
      </c>
      <c r="BU58" t="s">
        <v>1</v>
      </c>
      <c r="BV58" t="s">
        <v>1</v>
      </c>
      <c r="BW58" t="s">
        <v>7</v>
      </c>
      <c r="BX58" t="s">
        <v>10</v>
      </c>
      <c r="BY58" s="2"/>
      <c r="BZ58" t="s">
        <v>1</v>
      </c>
      <c r="CA58" t="s">
        <v>1</v>
      </c>
      <c r="CB58" t="s">
        <v>1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254</v>
      </c>
      <c r="CJ58" s="3">
        <v>-16083333</v>
      </c>
      <c r="CK58" t="s">
        <v>9</v>
      </c>
      <c r="CL58" t="s">
        <v>40</v>
      </c>
      <c r="CM58" t="s">
        <v>1</v>
      </c>
      <c r="CN58" s="4">
        <v>0</v>
      </c>
      <c r="CO58" t="s">
        <v>7</v>
      </c>
      <c r="CP58" t="s">
        <v>7</v>
      </c>
      <c r="CQ58" t="s">
        <v>7</v>
      </c>
      <c r="CR58" t="s">
        <v>7</v>
      </c>
      <c r="CS58" s="4">
        <v>0</v>
      </c>
      <c r="CT58" t="s">
        <v>2208</v>
      </c>
      <c r="CU58" t="s">
        <v>7</v>
      </c>
      <c r="CV58" t="s">
        <v>1</v>
      </c>
      <c r="CW58" s="2"/>
      <c r="CX58" t="s">
        <v>12</v>
      </c>
      <c r="CY58" t="s">
        <v>1</v>
      </c>
      <c r="CZ58" t="s">
        <v>41</v>
      </c>
      <c r="DA58" t="s">
        <v>1</v>
      </c>
      <c r="DB58" t="s">
        <v>9</v>
      </c>
      <c r="DC58" t="s">
        <v>9</v>
      </c>
      <c r="DD58" t="s">
        <v>1</v>
      </c>
      <c r="DE58" t="s">
        <v>1</v>
      </c>
      <c r="DF58" t="s">
        <v>1</v>
      </c>
      <c r="DG58" t="s">
        <v>62</v>
      </c>
      <c r="DH58" t="s">
        <v>1</v>
      </c>
      <c r="DI58" s="2"/>
      <c r="DJ58" t="s">
        <v>1</v>
      </c>
      <c r="DK58" t="s">
        <v>14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s="2"/>
      <c r="DW58" t="s">
        <v>1</v>
      </c>
      <c r="DX58" t="s">
        <v>1</v>
      </c>
      <c r="DY58" t="s">
        <v>2210</v>
      </c>
      <c r="DZ58" t="s">
        <v>1</v>
      </c>
      <c r="EA58" t="s">
        <v>1</v>
      </c>
      <c r="EB58" t="s">
        <v>28</v>
      </c>
      <c r="EC58" t="s">
        <v>7</v>
      </c>
      <c r="ED58" t="s">
        <v>1</v>
      </c>
      <c r="EE58" t="s">
        <v>1</v>
      </c>
      <c r="EF58" t="s">
        <v>22</v>
      </c>
      <c r="EG58" t="s">
        <v>41</v>
      </c>
      <c r="EH58" t="s">
        <v>15</v>
      </c>
      <c r="EI58" t="s">
        <v>1</v>
      </c>
      <c r="EJ58" s="4">
        <v>-3860</v>
      </c>
      <c r="EK58" t="s">
        <v>1</v>
      </c>
      <c r="EL58" t="s">
        <v>1</v>
      </c>
      <c r="EM58" t="s">
        <v>1</v>
      </c>
      <c r="EN58" t="s">
        <v>1</v>
      </c>
      <c r="EO58" s="2"/>
      <c r="EP58" t="s">
        <v>2210</v>
      </c>
      <c r="EQ58" t="s">
        <v>1</v>
      </c>
      <c r="ER58" t="s">
        <v>1</v>
      </c>
      <c r="ES58" t="s">
        <v>1</v>
      </c>
      <c r="ET58" t="s">
        <v>29</v>
      </c>
      <c r="EU58" t="s">
        <v>1</v>
      </c>
      <c r="EV58" t="s">
        <v>1</v>
      </c>
      <c r="EW58" t="s">
        <v>7</v>
      </c>
      <c r="EX58" t="s">
        <v>7</v>
      </c>
      <c r="EY58" t="s">
        <v>1</v>
      </c>
      <c r="EZ58" t="s">
        <v>1</v>
      </c>
      <c r="FA58" t="s">
        <v>1</v>
      </c>
      <c r="FB58" s="3">
        <v>50</v>
      </c>
      <c r="FC58" t="s">
        <v>1</v>
      </c>
      <c r="FD58" t="s">
        <v>1</v>
      </c>
      <c r="FE58" t="s">
        <v>1</v>
      </c>
      <c r="FF58" t="s">
        <v>17</v>
      </c>
      <c r="FG58" t="s">
        <v>1</v>
      </c>
      <c r="FH58" t="s">
        <v>1</v>
      </c>
      <c r="FI58" t="s">
        <v>1</v>
      </c>
      <c r="FJ58" t="s">
        <v>1</v>
      </c>
      <c r="FK58" s="7">
        <v>46116.371886574074</v>
      </c>
      <c r="FL58" t="s">
        <v>1</v>
      </c>
      <c r="FM58" t="s">
        <v>1</v>
      </c>
      <c r="FN58" t="s">
        <v>1</v>
      </c>
      <c r="FO58" s="19">
        <v>-16083333</v>
      </c>
      <c r="FP58" s="4">
        <v>0</v>
      </c>
      <c r="FQ58" s="19">
        <v>-16083333</v>
      </c>
      <c r="FR58" s="4">
        <v>0</v>
      </c>
      <c r="FS58" s="4">
        <v>0</v>
      </c>
      <c r="FT58" s="4">
        <v>0</v>
      </c>
      <c r="FU58" s="2">
        <v>46116</v>
      </c>
      <c r="FV58" t="s">
        <v>1</v>
      </c>
      <c r="FW58" s="4">
        <v>0</v>
      </c>
      <c r="FX58" t="s">
        <v>1</v>
      </c>
      <c r="FY58" t="s">
        <v>1</v>
      </c>
      <c r="FZ58" s="4">
        <v>0</v>
      </c>
      <c r="GA58" s="4">
        <v>0</v>
      </c>
      <c r="GB58" t="s">
        <v>2070</v>
      </c>
      <c r="GC58" t="str">
        <f>RIGHT(Data_FAGLL03[[#This Row],[Payment reference]],8)</f>
        <v>91172568</v>
      </c>
      <c r="GD58" t="str">
        <f>IF(Data_FAGLL03[[#This Row],[Billing]]&lt;&gt;"",_xlfn.XLOOKUP(Data_FAGLL03[[#This Row],[Billing]],MD_BILLING_SO[BILIING],MD_BILLING_SO[SO-EDITED]),"")</f>
        <v>30030727</v>
      </c>
      <c r="GE58" s="18">
        <f>IF(SUBSTITUTE(Data_FAGLL03[[#This Row],[Eff.exchange rate]],",","")/100000=1,1,SUBSTITUTE(Data_FAGLL03[[#This Row],[Eff.exchange rate]],",","")/100)</f>
        <v>1</v>
      </c>
      <c r="GF58" s="17">
        <f>IF(Data_FAGLL03[[#This Row],[Material]]&lt;&gt;"",IFERROR(Data_FAGLL03[[#This Row],[Amount in local currency]]/Data_FAGLL03[[#This Row],[Quantity_Original]],0),0)</f>
        <v>4166.6665803108808</v>
      </c>
      <c r="GG58" s="18">
        <f>IF(Data_FAGLL03[[#This Row],[XK/NĐ]]="XK",Data_FAGLL03[[#This Row],[GB trung bình]]/Data_FAGLL03[[#This Row],[EXR]],0)*1000</f>
        <v>0</v>
      </c>
      <c r="GH58" s="18" cm="1">
        <f t="array" ref="GH58">IF(Data_FAGLL03[[#This Row],[Document currency]]&lt;&gt;"VND",Data_FAGLL03[[#This Row],[Amount in doc. curr.]],Data_FAGLL03[[#This Row],[Amount in local currency]]/EXR)</f>
        <v>-612.64838274489591</v>
      </c>
      <c r="GI58" s="10">
        <f>Data_FAGLL03[[#This Row],[Time Stamp]]+TIME(7,0,0)</f>
        <v>46116.663553240738</v>
      </c>
      <c r="GJ58" s="18">
        <f>MONTH(Data_FAGLL03[[#This Row],[Time Stamp_VN]])</f>
        <v>4</v>
      </c>
      <c r="GK58">
        <f>DAY(Data_FAGLL03[[#This Row],[Time Stamp_VN]])</f>
        <v>4</v>
      </c>
      <c r="GL58" t="str">
        <f>TEXT(Data_FAGLL03[[#This Row],[Tháng]],"00")&amp;" | "&amp;TEXT(Data_FAGLL03[[#This Row],[Ngày]],"00")</f>
        <v>04 | 04</v>
      </c>
      <c r="GM58" s="18">
        <f>IF(Data_FAGLL03[[#This Row],[Text]]="",Data_FAGLL03[[#This Row],[Quantity_Original]],0)</f>
        <v>-3860</v>
      </c>
      <c r="GN58" s="18" t="str">
        <f>IF(Data_FAGLL03[[#This Row],[Quantity_Edited]]&lt;&gt;0,Data_FAGLL03[[#This Row],[Offsetting acct no.]]&amp;" | "&amp;Data_FAGLL03[[#This Row],[Material]],"")</f>
        <v>105290 | 160012727</v>
      </c>
      <c r="GO58" t="str">
        <f>IF(LEFT(Data_FAGLL03[[#This Row],[Offsetting acct no.]],1)="1","NĐ",IF(LEFT(Data_FAGLL03[[#This Row],[Offsetting acct no.]],1)="2","XK","Khác"))</f>
        <v>NĐ</v>
      </c>
      <c r="GP58" t="str">
        <f>IF(Data_FAGLL03[[#This Row],[Material]]&lt;&gt;"",_xlfn.XLOOKUP(Data_FAGLL03[[#This Row],[Material]],MD_SKU[Mã SKU],MD_SKU[Tên SKU]),"")</f>
        <v>Phó Sản PET Bụi Tank B</v>
      </c>
      <c r="GQ58" t="str">
        <f>IF(Data_FAGLL03[[#This Row],[Material]]&lt;&gt;"",_xlfn.XLOOKUP(Data_FAGLL03[[#This Row],[Material]],MD_SKU[Mã SKU],MD_SKU[Nhóm SP 1]),"")</f>
        <v>Khác</v>
      </c>
      <c r="GR58" t="str">
        <f>IF(Data_FAGLL03[[#This Row],[Material]]&lt;&gt;"",_xlfn.XLOOKUP(Data_FAGLL03[[#This Row],[Material]],MD_SKU[Mã SKU],MD_SKU[Nhóm SP 2]),"")</f>
        <v>Phó sản</v>
      </c>
      <c r="GS58" t="str">
        <f>IF(Data_FAGLL03[[#This Row],[Material]]&lt;&gt;"",_xlfn.XLOOKUP(Data_FAGLL03[[#This Row],[Material]],MD_SKU[Mã SKU],MD_SKU[Nhóm SP 3]),"")</f>
        <v>Phó sản</v>
      </c>
      <c r="GT58" t="str">
        <f>IF(Data_FAGLL03[[#This Row],[Material]]&lt;&gt;"",_xlfn.XLOOKUP(Data_FAGLL03[[#This Row],[Material]],MD_SKU[Mã SKU],MD_SKU[Nhóm SP 4]),"")</f>
        <v>Phó sản</v>
      </c>
    </row>
    <row r="59" spans="1:202" x14ac:dyDescent="0.25">
      <c r="A59" t="s">
        <v>0</v>
      </c>
      <c r="B59" s="2">
        <v>46116</v>
      </c>
      <c r="C59" t="s">
        <v>2211</v>
      </c>
      <c r="D59" t="s">
        <v>1</v>
      </c>
      <c r="E59" t="s">
        <v>1</v>
      </c>
      <c r="F59" t="s">
        <v>31</v>
      </c>
      <c r="G59" t="s">
        <v>31</v>
      </c>
      <c r="H59" t="s">
        <v>2047</v>
      </c>
      <c r="I59" s="19">
        <v>-921686700</v>
      </c>
      <c r="J59" t="s">
        <v>2048</v>
      </c>
      <c r="K59" t="s">
        <v>1</v>
      </c>
      <c r="L59" t="s">
        <v>39</v>
      </c>
      <c r="M59" t="s">
        <v>41</v>
      </c>
      <c r="N59" t="s">
        <v>254</v>
      </c>
      <c r="O59" t="s">
        <v>4</v>
      </c>
      <c r="P59" t="s">
        <v>2212</v>
      </c>
      <c r="Q59" t="s">
        <v>31</v>
      </c>
      <c r="R59" t="s">
        <v>5</v>
      </c>
      <c r="S59" t="s">
        <v>1</v>
      </c>
      <c r="T59" s="3">
        <v>-921686700</v>
      </c>
      <c r="U59" s="19">
        <v>-921686700</v>
      </c>
      <c r="V59" s="3">
        <v>-921686700</v>
      </c>
      <c r="W59" s="3">
        <v>-921686700</v>
      </c>
      <c r="X59" s="4">
        <v>0</v>
      </c>
      <c r="Y59" s="4">
        <v>0</v>
      </c>
      <c r="Z59" s="3">
        <v>0</v>
      </c>
      <c r="AA59" s="3">
        <v>0</v>
      </c>
      <c r="AB59" t="s">
        <v>1</v>
      </c>
      <c r="AC59" t="s">
        <v>24</v>
      </c>
      <c r="AD59" s="2"/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25</v>
      </c>
      <c r="AK59" s="4">
        <v>0</v>
      </c>
      <c r="AL59" t="s">
        <v>1</v>
      </c>
      <c r="AM59" s="5" t="s">
        <v>1</v>
      </c>
      <c r="AN59" t="s">
        <v>1</v>
      </c>
      <c r="AO59" s="2"/>
      <c r="AP59" t="s">
        <v>1</v>
      </c>
      <c r="AQ59" t="s">
        <v>1</v>
      </c>
      <c r="AR59" s="3">
        <v>0</v>
      </c>
      <c r="AS59" t="s">
        <v>1</v>
      </c>
      <c r="AT59" t="s">
        <v>7</v>
      </c>
      <c r="AU59" t="s">
        <v>1</v>
      </c>
      <c r="AV59" t="s">
        <v>1</v>
      </c>
      <c r="AW59" t="s">
        <v>8</v>
      </c>
      <c r="AX59" t="s">
        <v>8</v>
      </c>
      <c r="AY59" t="s">
        <v>1</v>
      </c>
      <c r="AZ59" s="4">
        <v>0</v>
      </c>
      <c r="BA59" t="s">
        <v>1</v>
      </c>
      <c r="BB59" s="3">
        <v>0</v>
      </c>
      <c r="BC59" s="3">
        <v>0</v>
      </c>
      <c r="BD59" s="3">
        <v>0</v>
      </c>
      <c r="BE59" t="s">
        <v>20</v>
      </c>
      <c r="BF59" t="s">
        <v>1</v>
      </c>
      <c r="BG59" s="4">
        <v>0</v>
      </c>
      <c r="BH59" s="4">
        <v>0</v>
      </c>
      <c r="BI59" s="6">
        <v>0</v>
      </c>
      <c r="BJ59" s="6">
        <v>0</v>
      </c>
      <c r="BK59" t="s">
        <v>1</v>
      </c>
      <c r="BL59" t="s">
        <v>1</v>
      </c>
      <c r="BM59" t="s">
        <v>1</v>
      </c>
      <c r="BN59" t="s">
        <v>9</v>
      </c>
      <c r="BO59" s="2">
        <v>46116</v>
      </c>
      <c r="BP59" t="s">
        <v>1</v>
      </c>
      <c r="BQ59" t="s">
        <v>2211</v>
      </c>
      <c r="BR59" t="s">
        <v>27</v>
      </c>
      <c r="BS59" t="s">
        <v>1</v>
      </c>
      <c r="BT59" t="s">
        <v>1</v>
      </c>
      <c r="BU59" t="s">
        <v>1</v>
      </c>
      <c r="BV59" t="s">
        <v>1</v>
      </c>
      <c r="BW59" t="s">
        <v>7</v>
      </c>
      <c r="BX59" t="s">
        <v>10</v>
      </c>
      <c r="BY59" s="2"/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254</v>
      </c>
      <c r="CJ59" s="3">
        <v>-921686700</v>
      </c>
      <c r="CK59" t="s">
        <v>9</v>
      </c>
      <c r="CL59" t="s">
        <v>11</v>
      </c>
      <c r="CM59" t="s">
        <v>1</v>
      </c>
      <c r="CN59" s="4">
        <v>0</v>
      </c>
      <c r="CO59" t="s">
        <v>7</v>
      </c>
      <c r="CP59" t="s">
        <v>7</v>
      </c>
      <c r="CQ59" t="s">
        <v>7</v>
      </c>
      <c r="CR59" t="s">
        <v>7</v>
      </c>
      <c r="CS59" s="4">
        <v>0</v>
      </c>
      <c r="CT59" t="s">
        <v>2211</v>
      </c>
      <c r="CU59" t="s">
        <v>7</v>
      </c>
      <c r="CV59" t="s">
        <v>1</v>
      </c>
      <c r="CW59" s="2"/>
      <c r="CX59" t="s">
        <v>12</v>
      </c>
      <c r="CY59" t="s">
        <v>1</v>
      </c>
      <c r="CZ59" t="s">
        <v>13</v>
      </c>
      <c r="DA59" t="s">
        <v>1</v>
      </c>
      <c r="DB59" t="s">
        <v>9</v>
      </c>
      <c r="DC59" t="s">
        <v>9</v>
      </c>
      <c r="DD59" t="s">
        <v>1</v>
      </c>
      <c r="DE59" t="s">
        <v>1</v>
      </c>
      <c r="DF59" t="s">
        <v>1</v>
      </c>
      <c r="DG59" t="s">
        <v>301</v>
      </c>
      <c r="DH59" t="s">
        <v>1</v>
      </c>
      <c r="DI59" s="2"/>
      <c r="DJ59" t="s">
        <v>1</v>
      </c>
      <c r="DK59" t="s">
        <v>14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s="2"/>
      <c r="DW59" t="s">
        <v>1</v>
      </c>
      <c r="DX59" t="s">
        <v>1</v>
      </c>
      <c r="DY59" t="s">
        <v>2213</v>
      </c>
      <c r="DZ59" t="s">
        <v>1</v>
      </c>
      <c r="EA59" t="s">
        <v>1</v>
      </c>
      <c r="EB59" t="s">
        <v>28</v>
      </c>
      <c r="EC59" t="s">
        <v>7</v>
      </c>
      <c r="ED59" t="s">
        <v>1</v>
      </c>
      <c r="EE59" t="s">
        <v>1</v>
      </c>
      <c r="EF59" t="s">
        <v>22</v>
      </c>
      <c r="EG59" t="s">
        <v>41</v>
      </c>
      <c r="EH59" t="s">
        <v>15</v>
      </c>
      <c r="EI59" t="s">
        <v>1</v>
      </c>
      <c r="EJ59" s="4">
        <v>-31900</v>
      </c>
      <c r="EK59" t="s">
        <v>1</v>
      </c>
      <c r="EL59" t="s">
        <v>1</v>
      </c>
      <c r="EM59" t="s">
        <v>1</v>
      </c>
      <c r="EN59" t="s">
        <v>1</v>
      </c>
      <c r="EO59" s="2"/>
      <c r="EP59" t="s">
        <v>2213</v>
      </c>
      <c r="EQ59" t="s">
        <v>1</v>
      </c>
      <c r="ER59" t="s">
        <v>1</v>
      </c>
      <c r="ES59" t="s">
        <v>1</v>
      </c>
      <c r="ET59" t="s">
        <v>29</v>
      </c>
      <c r="EU59" t="s">
        <v>1</v>
      </c>
      <c r="EV59" t="s">
        <v>1</v>
      </c>
      <c r="EW59" t="s">
        <v>7</v>
      </c>
      <c r="EX59" t="s">
        <v>7</v>
      </c>
      <c r="EY59" t="s">
        <v>1</v>
      </c>
      <c r="EZ59" t="s">
        <v>1</v>
      </c>
      <c r="FA59" t="s">
        <v>1</v>
      </c>
      <c r="FB59" s="3">
        <v>50</v>
      </c>
      <c r="FC59" t="s">
        <v>1</v>
      </c>
      <c r="FD59" t="s">
        <v>1</v>
      </c>
      <c r="FE59" t="s">
        <v>1</v>
      </c>
      <c r="FF59" t="s">
        <v>17</v>
      </c>
      <c r="FG59" t="s">
        <v>1</v>
      </c>
      <c r="FH59" t="s">
        <v>1</v>
      </c>
      <c r="FI59" t="s">
        <v>1</v>
      </c>
      <c r="FJ59" t="s">
        <v>1</v>
      </c>
      <c r="FK59" s="7">
        <v>46116.382453703707</v>
      </c>
      <c r="FL59" t="s">
        <v>1</v>
      </c>
      <c r="FM59" t="s">
        <v>1</v>
      </c>
      <c r="FN59" t="s">
        <v>1</v>
      </c>
      <c r="FO59" s="19">
        <v>-921686700</v>
      </c>
      <c r="FP59" s="4">
        <v>0</v>
      </c>
      <c r="FQ59" s="19">
        <v>-921686700</v>
      </c>
      <c r="FR59" s="4">
        <v>0</v>
      </c>
      <c r="FS59" s="4">
        <v>0</v>
      </c>
      <c r="FT59" s="4">
        <v>0</v>
      </c>
      <c r="FU59" s="2">
        <v>46116</v>
      </c>
      <c r="FV59" t="s">
        <v>1</v>
      </c>
      <c r="FW59" s="4">
        <v>0</v>
      </c>
      <c r="FX59" t="s">
        <v>1</v>
      </c>
      <c r="FY59" t="s">
        <v>1</v>
      </c>
      <c r="FZ59" s="4">
        <v>0</v>
      </c>
      <c r="GA59" s="4">
        <v>0</v>
      </c>
      <c r="GB59" t="s">
        <v>2070</v>
      </c>
      <c r="GC59" t="str">
        <f>RIGHT(Data_FAGLL03[[#This Row],[Payment reference]],8)</f>
        <v>91172570</v>
      </c>
      <c r="GD59" t="str">
        <f>IF(Data_FAGLL03[[#This Row],[Billing]]&lt;&gt;"",_xlfn.XLOOKUP(Data_FAGLL03[[#This Row],[Billing]],MD_BILLING_SO[BILIING],MD_BILLING_SO[SO-EDITED]),"")</f>
        <v>30030651</v>
      </c>
      <c r="GE59" s="18">
        <f>IF(SUBSTITUTE(Data_FAGLL03[[#This Row],[Eff.exchange rate]],",","")/100000=1,1,SUBSTITUTE(Data_FAGLL03[[#This Row],[Eff.exchange rate]],",","")/100)</f>
        <v>1</v>
      </c>
      <c r="GF59" s="17">
        <f>IF(Data_FAGLL03[[#This Row],[Material]]&lt;&gt;"",IFERROR(Data_FAGLL03[[#This Row],[Amount in local currency]]/Data_FAGLL03[[#This Row],[Quantity_Original]],0),0)</f>
        <v>28893</v>
      </c>
      <c r="GG59" s="18">
        <f>IF(Data_FAGLL03[[#This Row],[XK/NĐ]]="XK",Data_FAGLL03[[#This Row],[GB trung bình]]/Data_FAGLL03[[#This Row],[EXR]],0)*1000</f>
        <v>0</v>
      </c>
      <c r="GH59" s="18" cm="1">
        <f t="array" ref="GH59">IF(Data_FAGLL03[[#This Row],[Document currency]]&lt;&gt;"VND",Data_FAGLL03[[#This Row],[Amount in doc. curr.]],Data_FAGLL03[[#This Row],[Amount in local currency]]/EXR)</f>
        <v>-35109.007949563689</v>
      </c>
      <c r="GI59" s="10">
        <f>Data_FAGLL03[[#This Row],[Time Stamp]]+TIME(7,0,0)</f>
        <v>46116.674120370371</v>
      </c>
      <c r="GJ59" s="18">
        <f>MONTH(Data_FAGLL03[[#This Row],[Time Stamp_VN]])</f>
        <v>4</v>
      </c>
      <c r="GK59">
        <f>DAY(Data_FAGLL03[[#This Row],[Time Stamp_VN]])</f>
        <v>4</v>
      </c>
      <c r="GL59" t="str">
        <f>TEXT(Data_FAGLL03[[#This Row],[Tháng]],"00")&amp;" | "&amp;TEXT(Data_FAGLL03[[#This Row],[Ngày]],"00")</f>
        <v>04 | 04</v>
      </c>
      <c r="GM59" s="18">
        <f>IF(Data_FAGLL03[[#This Row],[Text]]="",Data_FAGLL03[[#This Row],[Quantity_Original]],0)</f>
        <v>-31900</v>
      </c>
      <c r="GN59" s="18" t="str">
        <f>IF(Data_FAGLL03[[#This Row],[Quantity_Edited]]&lt;&gt;0,Data_FAGLL03[[#This Row],[Offsetting acct no.]]&amp;" | "&amp;Data_FAGLL03[[#This Row],[Material]],"")</f>
        <v>104877 | 110000359</v>
      </c>
      <c r="GO59" t="str">
        <f>IF(LEFT(Data_FAGLL03[[#This Row],[Offsetting acct no.]],1)="1","NĐ",IF(LEFT(Data_FAGLL03[[#This Row],[Offsetting acct no.]],1)="2","XK","Khác"))</f>
        <v>NĐ</v>
      </c>
      <c r="GP59" t="str">
        <f>IF(Data_FAGLL03[[#This Row],[Material]]&lt;&gt;"",_xlfn.XLOOKUP(Data_FAGLL03[[#This Row],[Material]],MD_SKU[Mã SKU],MD_SKU[Tên SKU]),"")</f>
        <v>Hạt nhựa rPET WSS03G</v>
      </c>
      <c r="GQ59" t="str">
        <f>IF(Data_FAGLL03[[#This Row],[Material]]&lt;&gt;"",_xlfn.XLOOKUP(Data_FAGLL03[[#This Row],[Material]],MD_SKU[Mã SKU],MD_SKU[Nhóm SP 1]),"")</f>
        <v>rPET</v>
      </c>
      <c r="GR59" t="str">
        <f>IF(Data_FAGLL03[[#This Row],[Material]]&lt;&gt;"",_xlfn.XLOOKUP(Data_FAGLL03[[#This Row],[Material]],MD_SKU[Mã SKU],MD_SKU[Nhóm SP 2]),"")</f>
        <v>rPET</v>
      </c>
      <c r="GS59" t="str">
        <f>IF(Data_FAGLL03[[#This Row],[Material]]&lt;&gt;"",_xlfn.XLOOKUP(Data_FAGLL03[[#This Row],[Material]],MD_SKU[Mã SKU],MD_SKU[Nhóm SP 3]),"")</f>
        <v>rPET</v>
      </c>
      <c r="GT59" t="str">
        <f>IF(Data_FAGLL03[[#This Row],[Material]]&lt;&gt;"",_xlfn.XLOOKUP(Data_FAGLL03[[#This Row],[Material]],MD_SKU[Mã SKU],MD_SKU[Nhóm SP 4]),"")</f>
        <v>Hạt rPET</v>
      </c>
    </row>
    <row r="60" spans="1:202" x14ac:dyDescent="0.25">
      <c r="A60" t="s">
        <v>0</v>
      </c>
      <c r="B60" s="2">
        <v>46116</v>
      </c>
      <c r="C60" t="s">
        <v>2214</v>
      </c>
      <c r="D60" t="s">
        <v>1</v>
      </c>
      <c r="E60" t="s">
        <v>1</v>
      </c>
      <c r="F60" t="s">
        <v>31</v>
      </c>
      <c r="G60" t="s">
        <v>31</v>
      </c>
      <c r="H60" t="s">
        <v>2047</v>
      </c>
      <c r="I60" s="19">
        <v>-921686700</v>
      </c>
      <c r="J60" t="s">
        <v>2048</v>
      </c>
      <c r="K60" t="s">
        <v>1</v>
      </c>
      <c r="L60" t="s">
        <v>39</v>
      </c>
      <c r="M60" t="s">
        <v>41</v>
      </c>
      <c r="N60" t="s">
        <v>254</v>
      </c>
      <c r="O60" t="s">
        <v>4</v>
      </c>
      <c r="P60" t="s">
        <v>2215</v>
      </c>
      <c r="Q60" t="s">
        <v>31</v>
      </c>
      <c r="R60" t="s">
        <v>5</v>
      </c>
      <c r="S60" t="s">
        <v>1</v>
      </c>
      <c r="T60" s="3">
        <v>-921686700</v>
      </c>
      <c r="U60" s="19">
        <v>-921686700</v>
      </c>
      <c r="V60" s="3">
        <v>-921686700</v>
      </c>
      <c r="W60" s="3">
        <v>-921686700</v>
      </c>
      <c r="X60" s="4">
        <v>0</v>
      </c>
      <c r="Y60" s="4">
        <v>0</v>
      </c>
      <c r="Z60" s="3">
        <v>0</v>
      </c>
      <c r="AA60" s="3">
        <v>0</v>
      </c>
      <c r="AB60" t="s">
        <v>1</v>
      </c>
      <c r="AC60" t="s">
        <v>24</v>
      </c>
      <c r="AD60" s="2"/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25</v>
      </c>
      <c r="AK60" s="4">
        <v>0</v>
      </c>
      <c r="AL60" t="s">
        <v>1</v>
      </c>
      <c r="AM60" s="5" t="s">
        <v>1</v>
      </c>
      <c r="AN60" t="s">
        <v>1</v>
      </c>
      <c r="AO60" s="2"/>
      <c r="AP60" t="s">
        <v>1</v>
      </c>
      <c r="AQ60" t="s">
        <v>1</v>
      </c>
      <c r="AR60" s="3">
        <v>0</v>
      </c>
      <c r="AS60" t="s">
        <v>1</v>
      </c>
      <c r="AT60" t="s">
        <v>7</v>
      </c>
      <c r="AU60" t="s">
        <v>1</v>
      </c>
      <c r="AV60" t="s">
        <v>1</v>
      </c>
      <c r="AW60" t="s">
        <v>8</v>
      </c>
      <c r="AX60" t="s">
        <v>8</v>
      </c>
      <c r="AY60" t="s">
        <v>1</v>
      </c>
      <c r="AZ60" s="4">
        <v>0</v>
      </c>
      <c r="BA60" t="s">
        <v>1</v>
      </c>
      <c r="BB60" s="3">
        <v>0</v>
      </c>
      <c r="BC60" s="3">
        <v>0</v>
      </c>
      <c r="BD60" s="3">
        <v>0</v>
      </c>
      <c r="BE60" t="s">
        <v>20</v>
      </c>
      <c r="BF60" t="s">
        <v>1</v>
      </c>
      <c r="BG60" s="4">
        <v>0</v>
      </c>
      <c r="BH60" s="4">
        <v>0</v>
      </c>
      <c r="BI60" s="6">
        <v>0</v>
      </c>
      <c r="BJ60" s="6">
        <v>0</v>
      </c>
      <c r="BK60" t="s">
        <v>1</v>
      </c>
      <c r="BL60" t="s">
        <v>1</v>
      </c>
      <c r="BM60" t="s">
        <v>1</v>
      </c>
      <c r="BN60" t="s">
        <v>9</v>
      </c>
      <c r="BO60" s="2">
        <v>46116</v>
      </c>
      <c r="BP60" t="s">
        <v>1</v>
      </c>
      <c r="BQ60" t="s">
        <v>2214</v>
      </c>
      <c r="BR60" t="s">
        <v>27</v>
      </c>
      <c r="BS60" t="s">
        <v>1</v>
      </c>
      <c r="BT60" t="s">
        <v>1</v>
      </c>
      <c r="BU60" t="s">
        <v>1</v>
      </c>
      <c r="BV60" t="s">
        <v>1</v>
      </c>
      <c r="BW60" t="s">
        <v>7</v>
      </c>
      <c r="BX60" t="s">
        <v>10</v>
      </c>
      <c r="BY60" s="2"/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254</v>
      </c>
      <c r="CJ60" s="3">
        <v>-921686700</v>
      </c>
      <c r="CK60" t="s">
        <v>9</v>
      </c>
      <c r="CL60" t="s">
        <v>11</v>
      </c>
      <c r="CM60" t="s">
        <v>1</v>
      </c>
      <c r="CN60" s="4">
        <v>0</v>
      </c>
      <c r="CO60" t="s">
        <v>7</v>
      </c>
      <c r="CP60" t="s">
        <v>7</v>
      </c>
      <c r="CQ60" t="s">
        <v>7</v>
      </c>
      <c r="CR60" t="s">
        <v>7</v>
      </c>
      <c r="CS60" s="4">
        <v>0</v>
      </c>
      <c r="CT60" t="s">
        <v>2214</v>
      </c>
      <c r="CU60" t="s">
        <v>7</v>
      </c>
      <c r="CV60" t="s">
        <v>1</v>
      </c>
      <c r="CW60" s="2"/>
      <c r="CX60" t="s">
        <v>12</v>
      </c>
      <c r="CY60" t="s">
        <v>1</v>
      </c>
      <c r="CZ60" t="s">
        <v>13</v>
      </c>
      <c r="DA60" t="s">
        <v>1</v>
      </c>
      <c r="DB60" t="s">
        <v>9</v>
      </c>
      <c r="DC60" t="s">
        <v>9</v>
      </c>
      <c r="DD60" t="s">
        <v>1</v>
      </c>
      <c r="DE60" t="s">
        <v>1</v>
      </c>
      <c r="DF60" t="s">
        <v>1</v>
      </c>
      <c r="DG60" t="s">
        <v>301</v>
      </c>
      <c r="DH60" t="s">
        <v>1</v>
      </c>
      <c r="DI60" s="2"/>
      <c r="DJ60" t="s">
        <v>1</v>
      </c>
      <c r="DK60" t="s">
        <v>14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s="2"/>
      <c r="DW60" t="s">
        <v>1</v>
      </c>
      <c r="DX60" t="s">
        <v>1</v>
      </c>
      <c r="DY60" t="s">
        <v>2216</v>
      </c>
      <c r="DZ60" t="s">
        <v>1</v>
      </c>
      <c r="EA60" t="s">
        <v>1</v>
      </c>
      <c r="EB60" t="s">
        <v>28</v>
      </c>
      <c r="EC60" t="s">
        <v>7</v>
      </c>
      <c r="ED60" t="s">
        <v>1</v>
      </c>
      <c r="EE60" t="s">
        <v>1</v>
      </c>
      <c r="EF60" t="s">
        <v>22</v>
      </c>
      <c r="EG60" t="s">
        <v>41</v>
      </c>
      <c r="EH60" t="s">
        <v>15</v>
      </c>
      <c r="EI60" t="s">
        <v>1</v>
      </c>
      <c r="EJ60" s="4">
        <v>-31900</v>
      </c>
      <c r="EK60" t="s">
        <v>1</v>
      </c>
      <c r="EL60" t="s">
        <v>1</v>
      </c>
      <c r="EM60" t="s">
        <v>1</v>
      </c>
      <c r="EN60" t="s">
        <v>1</v>
      </c>
      <c r="EO60" s="2"/>
      <c r="EP60" t="s">
        <v>2216</v>
      </c>
      <c r="EQ60" t="s">
        <v>1</v>
      </c>
      <c r="ER60" t="s">
        <v>1</v>
      </c>
      <c r="ES60" t="s">
        <v>1</v>
      </c>
      <c r="ET60" t="s">
        <v>29</v>
      </c>
      <c r="EU60" t="s">
        <v>1</v>
      </c>
      <c r="EV60" t="s">
        <v>1</v>
      </c>
      <c r="EW60" t="s">
        <v>7</v>
      </c>
      <c r="EX60" t="s">
        <v>7</v>
      </c>
      <c r="EY60" t="s">
        <v>1</v>
      </c>
      <c r="EZ60" t="s">
        <v>1</v>
      </c>
      <c r="FA60" t="s">
        <v>1</v>
      </c>
      <c r="FB60" s="3">
        <v>50</v>
      </c>
      <c r="FC60" t="s">
        <v>1</v>
      </c>
      <c r="FD60" t="s">
        <v>1</v>
      </c>
      <c r="FE60" t="s">
        <v>1</v>
      </c>
      <c r="FF60" t="s">
        <v>17</v>
      </c>
      <c r="FG60" t="s">
        <v>1</v>
      </c>
      <c r="FH60" t="s">
        <v>1</v>
      </c>
      <c r="FI60" t="s">
        <v>1</v>
      </c>
      <c r="FJ60" t="s">
        <v>1</v>
      </c>
      <c r="FK60" s="7">
        <v>46116.382708333331</v>
      </c>
      <c r="FL60" t="s">
        <v>1</v>
      </c>
      <c r="FM60" t="s">
        <v>1</v>
      </c>
      <c r="FN60" t="s">
        <v>1</v>
      </c>
      <c r="FO60" s="19">
        <v>-921686700</v>
      </c>
      <c r="FP60" s="4">
        <v>0</v>
      </c>
      <c r="FQ60" s="19">
        <v>-921686700</v>
      </c>
      <c r="FR60" s="4">
        <v>0</v>
      </c>
      <c r="FS60" s="4">
        <v>0</v>
      </c>
      <c r="FT60" s="4">
        <v>0</v>
      </c>
      <c r="FU60" s="2">
        <v>46116</v>
      </c>
      <c r="FV60" t="s">
        <v>1</v>
      </c>
      <c r="FW60" s="4">
        <v>0</v>
      </c>
      <c r="FX60" t="s">
        <v>1</v>
      </c>
      <c r="FY60" t="s">
        <v>1</v>
      </c>
      <c r="FZ60" s="4">
        <v>0</v>
      </c>
      <c r="GA60" s="4">
        <v>0</v>
      </c>
      <c r="GB60" t="s">
        <v>2070</v>
      </c>
      <c r="GC60" t="str">
        <f>RIGHT(Data_FAGLL03[[#This Row],[Payment reference]],8)</f>
        <v>91172571</v>
      </c>
      <c r="GD60" t="str">
        <f>IF(Data_FAGLL03[[#This Row],[Billing]]&lt;&gt;"",_xlfn.XLOOKUP(Data_FAGLL03[[#This Row],[Billing]],MD_BILLING_SO[BILIING],MD_BILLING_SO[SO-EDITED]),"")</f>
        <v>30030651</v>
      </c>
      <c r="GE60" s="18">
        <f>IF(SUBSTITUTE(Data_FAGLL03[[#This Row],[Eff.exchange rate]],",","")/100000=1,1,SUBSTITUTE(Data_FAGLL03[[#This Row],[Eff.exchange rate]],",","")/100)</f>
        <v>1</v>
      </c>
      <c r="GF60" s="17">
        <f>IF(Data_FAGLL03[[#This Row],[Material]]&lt;&gt;"",IFERROR(Data_FAGLL03[[#This Row],[Amount in local currency]]/Data_FAGLL03[[#This Row],[Quantity_Original]],0),0)</f>
        <v>28893</v>
      </c>
      <c r="GG60" s="18">
        <f>IF(Data_FAGLL03[[#This Row],[XK/NĐ]]="XK",Data_FAGLL03[[#This Row],[GB trung bình]]/Data_FAGLL03[[#This Row],[EXR]],0)*1000</f>
        <v>0</v>
      </c>
      <c r="GH60" s="18" cm="1">
        <f t="array" ref="GH60">IF(Data_FAGLL03[[#This Row],[Document currency]]&lt;&gt;"VND",Data_FAGLL03[[#This Row],[Amount in doc. curr.]],Data_FAGLL03[[#This Row],[Amount in local currency]]/EXR)</f>
        <v>-35109.007949563689</v>
      </c>
      <c r="GI60" s="10">
        <f>Data_FAGLL03[[#This Row],[Time Stamp]]+TIME(7,0,0)</f>
        <v>46116.674374999995</v>
      </c>
      <c r="GJ60" s="18">
        <f>MONTH(Data_FAGLL03[[#This Row],[Time Stamp_VN]])</f>
        <v>4</v>
      </c>
      <c r="GK60">
        <f>DAY(Data_FAGLL03[[#This Row],[Time Stamp_VN]])</f>
        <v>4</v>
      </c>
      <c r="GL60" t="str">
        <f>TEXT(Data_FAGLL03[[#This Row],[Tháng]],"00")&amp;" | "&amp;TEXT(Data_FAGLL03[[#This Row],[Ngày]],"00")</f>
        <v>04 | 04</v>
      </c>
      <c r="GM60" s="18">
        <f>IF(Data_FAGLL03[[#This Row],[Text]]="",Data_FAGLL03[[#This Row],[Quantity_Original]],0)</f>
        <v>-31900</v>
      </c>
      <c r="GN60" s="18" t="str">
        <f>IF(Data_FAGLL03[[#This Row],[Quantity_Edited]]&lt;&gt;0,Data_FAGLL03[[#This Row],[Offsetting acct no.]]&amp;" | "&amp;Data_FAGLL03[[#This Row],[Material]],"")</f>
        <v>104877 | 110000359</v>
      </c>
      <c r="GO60" t="str">
        <f>IF(LEFT(Data_FAGLL03[[#This Row],[Offsetting acct no.]],1)="1","NĐ",IF(LEFT(Data_FAGLL03[[#This Row],[Offsetting acct no.]],1)="2","XK","Khác"))</f>
        <v>NĐ</v>
      </c>
      <c r="GP60" t="str">
        <f>IF(Data_FAGLL03[[#This Row],[Material]]&lt;&gt;"",_xlfn.XLOOKUP(Data_FAGLL03[[#This Row],[Material]],MD_SKU[Mã SKU],MD_SKU[Tên SKU]),"")</f>
        <v>Hạt nhựa rPET WSS03G</v>
      </c>
      <c r="GQ60" t="str">
        <f>IF(Data_FAGLL03[[#This Row],[Material]]&lt;&gt;"",_xlfn.XLOOKUP(Data_FAGLL03[[#This Row],[Material]],MD_SKU[Mã SKU],MD_SKU[Nhóm SP 1]),"")</f>
        <v>rPET</v>
      </c>
      <c r="GR60" t="str">
        <f>IF(Data_FAGLL03[[#This Row],[Material]]&lt;&gt;"",_xlfn.XLOOKUP(Data_FAGLL03[[#This Row],[Material]],MD_SKU[Mã SKU],MD_SKU[Nhóm SP 2]),"")</f>
        <v>rPET</v>
      </c>
      <c r="GS60" t="str">
        <f>IF(Data_FAGLL03[[#This Row],[Material]]&lt;&gt;"",_xlfn.XLOOKUP(Data_FAGLL03[[#This Row],[Material]],MD_SKU[Mã SKU],MD_SKU[Nhóm SP 3]),"")</f>
        <v>rPET</v>
      </c>
      <c r="GT60" t="str">
        <f>IF(Data_FAGLL03[[#This Row],[Material]]&lt;&gt;"",_xlfn.XLOOKUP(Data_FAGLL03[[#This Row],[Material]],MD_SKU[Mã SKU],MD_SKU[Nhóm SP 4]),"")</f>
        <v>Hạt rPET</v>
      </c>
    </row>
    <row r="61" spans="1:202" x14ac:dyDescent="0.25">
      <c r="A61" t="s">
        <v>0</v>
      </c>
      <c r="B61" s="2">
        <v>46116</v>
      </c>
      <c r="C61" t="s">
        <v>2217</v>
      </c>
      <c r="D61" t="s">
        <v>1</v>
      </c>
      <c r="E61" t="s">
        <v>1</v>
      </c>
      <c r="F61" t="s">
        <v>31</v>
      </c>
      <c r="G61" t="s">
        <v>31</v>
      </c>
      <c r="H61" t="s">
        <v>2047</v>
      </c>
      <c r="I61" s="19">
        <v>-921686700</v>
      </c>
      <c r="J61" t="s">
        <v>2048</v>
      </c>
      <c r="K61" t="s">
        <v>1</v>
      </c>
      <c r="L61" t="s">
        <v>39</v>
      </c>
      <c r="M61" t="s">
        <v>41</v>
      </c>
      <c r="N61" t="s">
        <v>254</v>
      </c>
      <c r="O61" t="s">
        <v>4</v>
      </c>
      <c r="P61" t="s">
        <v>2218</v>
      </c>
      <c r="Q61" t="s">
        <v>31</v>
      </c>
      <c r="R61" t="s">
        <v>5</v>
      </c>
      <c r="S61" t="s">
        <v>1</v>
      </c>
      <c r="T61" s="3">
        <v>-921686700</v>
      </c>
      <c r="U61" s="19">
        <v>-921686700</v>
      </c>
      <c r="V61" s="3">
        <v>-921686700</v>
      </c>
      <c r="W61" s="3">
        <v>-921686700</v>
      </c>
      <c r="X61" s="4">
        <v>0</v>
      </c>
      <c r="Y61" s="4">
        <v>0</v>
      </c>
      <c r="Z61" s="3">
        <v>0</v>
      </c>
      <c r="AA61" s="3">
        <v>0</v>
      </c>
      <c r="AB61" t="s">
        <v>1</v>
      </c>
      <c r="AC61" t="s">
        <v>24</v>
      </c>
      <c r="AD61" s="2"/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25</v>
      </c>
      <c r="AK61" s="4">
        <v>0</v>
      </c>
      <c r="AL61" t="s">
        <v>1</v>
      </c>
      <c r="AM61" s="5" t="s">
        <v>1</v>
      </c>
      <c r="AN61" t="s">
        <v>1</v>
      </c>
      <c r="AO61" s="2"/>
      <c r="AP61" t="s">
        <v>1</v>
      </c>
      <c r="AQ61" t="s">
        <v>1</v>
      </c>
      <c r="AR61" s="3">
        <v>0</v>
      </c>
      <c r="AS61" t="s">
        <v>1</v>
      </c>
      <c r="AT61" t="s">
        <v>7</v>
      </c>
      <c r="AU61" t="s">
        <v>1</v>
      </c>
      <c r="AV61" t="s">
        <v>1</v>
      </c>
      <c r="AW61" t="s">
        <v>8</v>
      </c>
      <c r="AX61" t="s">
        <v>8</v>
      </c>
      <c r="AY61" t="s">
        <v>1</v>
      </c>
      <c r="AZ61" s="4">
        <v>0</v>
      </c>
      <c r="BA61" t="s">
        <v>1</v>
      </c>
      <c r="BB61" s="3">
        <v>0</v>
      </c>
      <c r="BC61" s="3">
        <v>0</v>
      </c>
      <c r="BD61" s="3">
        <v>0</v>
      </c>
      <c r="BE61" t="s">
        <v>20</v>
      </c>
      <c r="BF61" t="s">
        <v>1</v>
      </c>
      <c r="BG61" s="4">
        <v>0</v>
      </c>
      <c r="BH61" s="4">
        <v>0</v>
      </c>
      <c r="BI61" s="6">
        <v>0</v>
      </c>
      <c r="BJ61" s="6">
        <v>0</v>
      </c>
      <c r="BK61" t="s">
        <v>1</v>
      </c>
      <c r="BL61" t="s">
        <v>1</v>
      </c>
      <c r="BM61" t="s">
        <v>1</v>
      </c>
      <c r="BN61" t="s">
        <v>9</v>
      </c>
      <c r="BO61" s="2">
        <v>46116</v>
      </c>
      <c r="BP61" t="s">
        <v>1</v>
      </c>
      <c r="BQ61" t="s">
        <v>2217</v>
      </c>
      <c r="BR61" t="s">
        <v>27</v>
      </c>
      <c r="BS61" t="s">
        <v>1</v>
      </c>
      <c r="BT61" t="s">
        <v>1</v>
      </c>
      <c r="BU61" t="s">
        <v>1</v>
      </c>
      <c r="BV61" t="s">
        <v>1</v>
      </c>
      <c r="BW61" t="s">
        <v>7</v>
      </c>
      <c r="BX61" t="s">
        <v>10</v>
      </c>
      <c r="BY61" s="2"/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254</v>
      </c>
      <c r="CJ61" s="3">
        <v>-921686700</v>
      </c>
      <c r="CK61" t="s">
        <v>9</v>
      </c>
      <c r="CL61" t="s">
        <v>11</v>
      </c>
      <c r="CM61" t="s">
        <v>1</v>
      </c>
      <c r="CN61" s="4">
        <v>0</v>
      </c>
      <c r="CO61" t="s">
        <v>7</v>
      </c>
      <c r="CP61" t="s">
        <v>7</v>
      </c>
      <c r="CQ61" t="s">
        <v>7</v>
      </c>
      <c r="CR61" t="s">
        <v>7</v>
      </c>
      <c r="CS61" s="4">
        <v>0</v>
      </c>
      <c r="CT61" t="s">
        <v>2217</v>
      </c>
      <c r="CU61" t="s">
        <v>7</v>
      </c>
      <c r="CV61" t="s">
        <v>1</v>
      </c>
      <c r="CW61" s="2"/>
      <c r="CX61" t="s">
        <v>12</v>
      </c>
      <c r="CY61" t="s">
        <v>1</v>
      </c>
      <c r="CZ61" t="s">
        <v>13</v>
      </c>
      <c r="DA61" t="s">
        <v>1</v>
      </c>
      <c r="DB61" t="s">
        <v>9</v>
      </c>
      <c r="DC61" t="s">
        <v>9</v>
      </c>
      <c r="DD61" t="s">
        <v>1</v>
      </c>
      <c r="DE61" t="s">
        <v>1</v>
      </c>
      <c r="DF61" t="s">
        <v>1</v>
      </c>
      <c r="DG61" t="s">
        <v>301</v>
      </c>
      <c r="DH61" t="s">
        <v>1</v>
      </c>
      <c r="DI61" s="2"/>
      <c r="DJ61" t="s">
        <v>1</v>
      </c>
      <c r="DK61" t="s">
        <v>14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s="2"/>
      <c r="DW61" t="s">
        <v>1</v>
      </c>
      <c r="DX61" t="s">
        <v>1</v>
      </c>
      <c r="DY61" t="s">
        <v>2219</v>
      </c>
      <c r="DZ61" t="s">
        <v>1</v>
      </c>
      <c r="EA61" t="s">
        <v>1</v>
      </c>
      <c r="EB61" t="s">
        <v>28</v>
      </c>
      <c r="EC61" t="s">
        <v>7</v>
      </c>
      <c r="ED61" t="s">
        <v>1</v>
      </c>
      <c r="EE61" t="s">
        <v>1</v>
      </c>
      <c r="EF61" t="s">
        <v>22</v>
      </c>
      <c r="EG61" t="s">
        <v>41</v>
      </c>
      <c r="EH61" t="s">
        <v>15</v>
      </c>
      <c r="EI61" t="s">
        <v>1</v>
      </c>
      <c r="EJ61" s="4">
        <v>-31900</v>
      </c>
      <c r="EK61" t="s">
        <v>1</v>
      </c>
      <c r="EL61" t="s">
        <v>1</v>
      </c>
      <c r="EM61" t="s">
        <v>1</v>
      </c>
      <c r="EN61" t="s">
        <v>1</v>
      </c>
      <c r="EO61" s="2"/>
      <c r="EP61" t="s">
        <v>2219</v>
      </c>
      <c r="EQ61" t="s">
        <v>1</v>
      </c>
      <c r="ER61" t="s">
        <v>1</v>
      </c>
      <c r="ES61" t="s">
        <v>1</v>
      </c>
      <c r="ET61" t="s">
        <v>29</v>
      </c>
      <c r="EU61" t="s">
        <v>1</v>
      </c>
      <c r="EV61" t="s">
        <v>1</v>
      </c>
      <c r="EW61" t="s">
        <v>7</v>
      </c>
      <c r="EX61" t="s">
        <v>7</v>
      </c>
      <c r="EY61" t="s">
        <v>1</v>
      </c>
      <c r="EZ61" t="s">
        <v>1</v>
      </c>
      <c r="FA61" t="s">
        <v>1</v>
      </c>
      <c r="FB61" s="3">
        <v>50</v>
      </c>
      <c r="FC61" t="s">
        <v>1</v>
      </c>
      <c r="FD61" t="s">
        <v>1</v>
      </c>
      <c r="FE61" t="s">
        <v>1</v>
      </c>
      <c r="FF61" t="s">
        <v>17</v>
      </c>
      <c r="FG61" t="s">
        <v>1</v>
      </c>
      <c r="FH61" t="s">
        <v>1</v>
      </c>
      <c r="FI61" t="s">
        <v>1</v>
      </c>
      <c r="FJ61" t="s">
        <v>1</v>
      </c>
      <c r="FK61" s="7">
        <v>46116.382743055554</v>
      </c>
      <c r="FL61" t="s">
        <v>1</v>
      </c>
      <c r="FM61" t="s">
        <v>1</v>
      </c>
      <c r="FN61" t="s">
        <v>1</v>
      </c>
      <c r="FO61" s="19">
        <v>-921686700</v>
      </c>
      <c r="FP61" s="4">
        <v>0</v>
      </c>
      <c r="FQ61" s="19">
        <v>-921686700</v>
      </c>
      <c r="FR61" s="4">
        <v>0</v>
      </c>
      <c r="FS61" s="4">
        <v>0</v>
      </c>
      <c r="FT61" s="4">
        <v>0</v>
      </c>
      <c r="FU61" s="2">
        <v>46116</v>
      </c>
      <c r="FV61" t="s">
        <v>1</v>
      </c>
      <c r="FW61" s="4">
        <v>0</v>
      </c>
      <c r="FX61" t="s">
        <v>1</v>
      </c>
      <c r="FY61" t="s">
        <v>1</v>
      </c>
      <c r="FZ61" s="4">
        <v>0</v>
      </c>
      <c r="GA61" s="4">
        <v>0</v>
      </c>
      <c r="GB61" t="s">
        <v>2070</v>
      </c>
      <c r="GC61" t="str">
        <f>RIGHT(Data_FAGLL03[[#This Row],[Payment reference]],8)</f>
        <v>91172572</v>
      </c>
      <c r="GD61" t="str">
        <f>IF(Data_FAGLL03[[#This Row],[Billing]]&lt;&gt;"",_xlfn.XLOOKUP(Data_FAGLL03[[#This Row],[Billing]],MD_BILLING_SO[BILIING],MD_BILLING_SO[SO-EDITED]),"")</f>
        <v>30030651</v>
      </c>
      <c r="GE61" s="18">
        <f>IF(SUBSTITUTE(Data_FAGLL03[[#This Row],[Eff.exchange rate]],",","")/100000=1,1,SUBSTITUTE(Data_FAGLL03[[#This Row],[Eff.exchange rate]],",","")/100)</f>
        <v>1</v>
      </c>
      <c r="GF61" s="17">
        <f>IF(Data_FAGLL03[[#This Row],[Material]]&lt;&gt;"",IFERROR(Data_FAGLL03[[#This Row],[Amount in local currency]]/Data_FAGLL03[[#This Row],[Quantity_Original]],0),0)</f>
        <v>28893</v>
      </c>
      <c r="GG61" s="18">
        <f>IF(Data_FAGLL03[[#This Row],[XK/NĐ]]="XK",Data_FAGLL03[[#This Row],[GB trung bình]]/Data_FAGLL03[[#This Row],[EXR]],0)*1000</f>
        <v>0</v>
      </c>
      <c r="GH61" s="18" cm="1">
        <f t="array" ref="GH61">IF(Data_FAGLL03[[#This Row],[Document currency]]&lt;&gt;"VND",Data_FAGLL03[[#This Row],[Amount in doc. curr.]],Data_FAGLL03[[#This Row],[Amount in local currency]]/EXR)</f>
        <v>-35109.007949563689</v>
      </c>
      <c r="GI61" s="10">
        <f>Data_FAGLL03[[#This Row],[Time Stamp]]+TIME(7,0,0)</f>
        <v>46116.674409722218</v>
      </c>
      <c r="GJ61" s="18">
        <f>MONTH(Data_FAGLL03[[#This Row],[Time Stamp_VN]])</f>
        <v>4</v>
      </c>
      <c r="GK61">
        <f>DAY(Data_FAGLL03[[#This Row],[Time Stamp_VN]])</f>
        <v>4</v>
      </c>
      <c r="GL61" t="str">
        <f>TEXT(Data_FAGLL03[[#This Row],[Tháng]],"00")&amp;" | "&amp;TEXT(Data_FAGLL03[[#This Row],[Ngày]],"00")</f>
        <v>04 | 04</v>
      </c>
      <c r="GM61" s="18">
        <f>IF(Data_FAGLL03[[#This Row],[Text]]="",Data_FAGLL03[[#This Row],[Quantity_Original]],0)</f>
        <v>-31900</v>
      </c>
      <c r="GN61" s="18" t="str">
        <f>IF(Data_FAGLL03[[#This Row],[Quantity_Edited]]&lt;&gt;0,Data_FAGLL03[[#This Row],[Offsetting acct no.]]&amp;" | "&amp;Data_FAGLL03[[#This Row],[Material]],"")</f>
        <v>104877 | 110000359</v>
      </c>
      <c r="GO61" t="str">
        <f>IF(LEFT(Data_FAGLL03[[#This Row],[Offsetting acct no.]],1)="1","NĐ",IF(LEFT(Data_FAGLL03[[#This Row],[Offsetting acct no.]],1)="2","XK","Khác"))</f>
        <v>NĐ</v>
      </c>
      <c r="GP61" t="str">
        <f>IF(Data_FAGLL03[[#This Row],[Material]]&lt;&gt;"",_xlfn.XLOOKUP(Data_FAGLL03[[#This Row],[Material]],MD_SKU[Mã SKU],MD_SKU[Tên SKU]),"")</f>
        <v>Hạt nhựa rPET WSS03G</v>
      </c>
      <c r="GQ61" t="str">
        <f>IF(Data_FAGLL03[[#This Row],[Material]]&lt;&gt;"",_xlfn.XLOOKUP(Data_FAGLL03[[#This Row],[Material]],MD_SKU[Mã SKU],MD_SKU[Nhóm SP 1]),"")</f>
        <v>rPET</v>
      </c>
      <c r="GR61" t="str">
        <f>IF(Data_FAGLL03[[#This Row],[Material]]&lt;&gt;"",_xlfn.XLOOKUP(Data_FAGLL03[[#This Row],[Material]],MD_SKU[Mã SKU],MD_SKU[Nhóm SP 2]),"")</f>
        <v>rPET</v>
      </c>
      <c r="GS61" t="str">
        <f>IF(Data_FAGLL03[[#This Row],[Material]]&lt;&gt;"",_xlfn.XLOOKUP(Data_FAGLL03[[#This Row],[Material]],MD_SKU[Mã SKU],MD_SKU[Nhóm SP 3]),"")</f>
        <v>rPET</v>
      </c>
      <c r="GT61" t="str">
        <f>IF(Data_FAGLL03[[#This Row],[Material]]&lt;&gt;"",_xlfn.XLOOKUP(Data_FAGLL03[[#This Row],[Material]],MD_SKU[Mã SKU],MD_SKU[Nhóm SP 4]),"")</f>
        <v>Hạt rPET</v>
      </c>
    </row>
    <row r="62" spans="1:202" x14ac:dyDescent="0.25">
      <c r="A62" t="s">
        <v>0</v>
      </c>
      <c r="B62" s="2">
        <v>46116</v>
      </c>
      <c r="C62" t="s">
        <v>2220</v>
      </c>
      <c r="D62" t="s">
        <v>1</v>
      </c>
      <c r="E62" t="s">
        <v>1</v>
      </c>
      <c r="F62" t="s">
        <v>31</v>
      </c>
      <c r="G62" t="s">
        <v>31</v>
      </c>
      <c r="H62" t="s">
        <v>2047</v>
      </c>
      <c r="I62" s="19">
        <v>-921686700</v>
      </c>
      <c r="J62" t="s">
        <v>2048</v>
      </c>
      <c r="K62" t="s">
        <v>1</v>
      </c>
      <c r="L62" t="s">
        <v>39</v>
      </c>
      <c r="M62" t="s">
        <v>41</v>
      </c>
      <c r="N62" t="s">
        <v>254</v>
      </c>
      <c r="O62" t="s">
        <v>4</v>
      </c>
      <c r="P62" t="s">
        <v>2221</v>
      </c>
      <c r="Q62" t="s">
        <v>31</v>
      </c>
      <c r="R62" t="s">
        <v>5</v>
      </c>
      <c r="S62" t="s">
        <v>1</v>
      </c>
      <c r="T62" s="3">
        <v>-921686700</v>
      </c>
      <c r="U62" s="19">
        <v>-921686700</v>
      </c>
      <c r="V62" s="3">
        <v>-921686700</v>
      </c>
      <c r="W62" s="3">
        <v>-921686700</v>
      </c>
      <c r="X62" s="4">
        <v>0</v>
      </c>
      <c r="Y62" s="4">
        <v>0</v>
      </c>
      <c r="Z62" s="3">
        <v>0</v>
      </c>
      <c r="AA62" s="3">
        <v>0</v>
      </c>
      <c r="AB62" t="s">
        <v>1</v>
      </c>
      <c r="AC62" t="s">
        <v>24</v>
      </c>
      <c r="AD62" s="2"/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25</v>
      </c>
      <c r="AK62" s="4">
        <v>0</v>
      </c>
      <c r="AL62" t="s">
        <v>1</v>
      </c>
      <c r="AM62" s="5" t="s">
        <v>1</v>
      </c>
      <c r="AN62" t="s">
        <v>1</v>
      </c>
      <c r="AO62" s="2"/>
      <c r="AP62" t="s">
        <v>1</v>
      </c>
      <c r="AQ62" t="s">
        <v>1</v>
      </c>
      <c r="AR62" s="3">
        <v>0</v>
      </c>
      <c r="AS62" t="s">
        <v>1</v>
      </c>
      <c r="AT62" t="s">
        <v>7</v>
      </c>
      <c r="AU62" t="s">
        <v>1</v>
      </c>
      <c r="AV62" t="s">
        <v>1</v>
      </c>
      <c r="AW62" t="s">
        <v>8</v>
      </c>
      <c r="AX62" t="s">
        <v>8</v>
      </c>
      <c r="AY62" t="s">
        <v>1</v>
      </c>
      <c r="AZ62" s="4">
        <v>0</v>
      </c>
      <c r="BA62" t="s">
        <v>1</v>
      </c>
      <c r="BB62" s="3">
        <v>0</v>
      </c>
      <c r="BC62" s="3">
        <v>0</v>
      </c>
      <c r="BD62" s="3">
        <v>0</v>
      </c>
      <c r="BE62" t="s">
        <v>20</v>
      </c>
      <c r="BF62" t="s">
        <v>1</v>
      </c>
      <c r="BG62" s="4">
        <v>0</v>
      </c>
      <c r="BH62" s="4">
        <v>0</v>
      </c>
      <c r="BI62" s="6">
        <v>0</v>
      </c>
      <c r="BJ62" s="6">
        <v>0</v>
      </c>
      <c r="BK62" t="s">
        <v>1</v>
      </c>
      <c r="BL62" t="s">
        <v>1</v>
      </c>
      <c r="BM62" t="s">
        <v>1</v>
      </c>
      <c r="BN62" t="s">
        <v>9</v>
      </c>
      <c r="BO62" s="2">
        <v>46116</v>
      </c>
      <c r="BP62" t="s">
        <v>1</v>
      </c>
      <c r="BQ62" t="s">
        <v>2220</v>
      </c>
      <c r="BR62" t="s">
        <v>27</v>
      </c>
      <c r="BS62" t="s">
        <v>1</v>
      </c>
      <c r="BT62" t="s">
        <v>1</v>
      </c>
      <c r="BU62" t="s">
        <v>1</v>
      </c>
      <c r="BV62" t="s">
        <v>1</v>
      </c>
      <c r="BW62" t="s">
        <v>7</v>
      </c>
      <c r="BX62" t="s">
        <v>10</v>
      </c>
      <c r="BY62" s="2"/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254</v>
      </c>
      <c r="CJ62" s="3">
        <v>-921686700</v>
      </c>
      <c r="CK62" t="s">
        <v>9</v>
      </c>
      <c r="CL62" t="s">
        <v>11</v>
      </c>
      <c r="CM62" t="s">
        <v>1</v>
      </c>
      <c r="CN62" s="4">
        <v>0</v>
      </c>
      <c r="CO62" t="s">
        <v>7</v>
      </c>
      <c r="CP62" t="s">
        <v>7</v>
      </c>
      <c r="CQ62" t="s">
        <v>7</v>
      </c>
      <c r="CR62" t="s">
        <v>7</v>
      </c>
      <c r="CS62" s="4">
        <v>0</v>
      </c>
      <c r="CT62" t="s">
        <v>2220</v>
      </c>
      <c r="CU62" t="s">
        <v>7</v>
      </c>
      <c r="CV62" t="s">
        <v>1</v>
      </c>
      <c r="CW62" s="2"/>
      <c r="CX62" t="s">
        <v>12</v>
      </c>
      <c r="CY62" t="s">
        <v>1</v>
      </c>
      <c r="CZ62" t="s">
        <v>13</v>
      </c>
      <c r="DA62" t="s">
        <v>1</v>
      </c>
      <c r="DB62" t="s">
        <v>9</v>
      </c>
      <c r="DC62" t="s">
        <v>9</v>
      </c>
      <c r="DD62" t="s">
        <v>1</v>
      </c>
      <c r="DE62" t="s">
        <v>1</v>
      </c>
      <c r="DF62" t="s">
        <v>1</v>
      </c>
      <c r="DG62" t="s">
        <v>301</v>
      </c>
      <c r="DH62" t="s">
        <v>1</v>
      </c>
      <c r="DI62" s="2"/>
      <c r="DJ62" t="s">
        <v>1</v>
      </c>
      <c r="DK62" t="s">
        <v>14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s="2"/>
      <c r="DW62" t="s">
        <v>1</v>
      </c>
      <c r="DX62" t="s">
        <v>1</v>
      </c>
      <c r="DY62" t="s">
        <v>2222</v>
      </c>
      <c r="DZ62" t="s">
        <v>1</v>
      </c>
      <c r="EA62" t="s">
        <v>1</v>
      </c>
      <c r="EB62" t="s">
        <v>28</v>
      </c>
      <c r="EC62" t="s">
        <v>7</v>
      </c>
      <c r="ED62" t="s">
        <v>1</v>
      </c>
      <c r="EE62" t="s">
        <v>1</v>
      </c>
      <c r="EF62" t="s">
        <v>22</v>
      </c>
      <c r="EG62" t="s">
        <v>41</v>
      </c>
      <c r="EH62" t="s">
        <v>15</v>
      </c>
      <c r="EI62" t="s">
        <v>1</v>
      </c>
      <c r="EJ62" s="4">
        <v>-31900</v>
      </c>
      <c r="EK62" t="s">
        <v>1</v>
      </c>
      <c r="EL62" t="s">
        <v>1</v>
      </c>
      <c r="EM62" t="s">
        <v>1</v>
      </c>
      <c r="EN62" t="s">
        <v>1</v>
      </c>
      <c r="EO62" s="2"/>
      <c r="EP62" t="s">
        <v>2222</v>
      </c>
      <c r="EQ62" t="s">
        <v>1</v>
      </c>
      <c r="ER62" t="s">
        <v>1</v>
      </c>
      <c r="ES62" t="s">
        <v>1</v>
      </c>
      <c r="ET62" t="s">
        <v>29</v>
      </c>
      <c r="EU62" t="s">
        <v>1</v>
      </c>
      <c r="EV62" t="s">
        <v>1</v>
      </c>
      <c r="EW62" t="s">
        <v>7</v>
      </c>
      <c r="EX62" t="s">
        <v>7</v>
      </c>
      <c r="EY62" t="s">
        <v>1</v>
      </c>
      <c r="EZ62" t="s">
        <v>1</v>
      </c>
      <c r="FA62" t="s">
        <v>1</v>
      </c>
      <c r="FB62" s="3">
        <v>50</v>
      </c>
      <c r="FC62" t="s">
        <v>1</v>
      </c>
      <c r="FD62" t="s">
        <v>1</v>
      </c>
      <c r="FE62" t="s">
        <v>1</v>
      </c>
      <c r="FF62" t="s">
        <v>17</v>
      </c>
      <c r="FG62" t="s">
        <v>1</v>
      </c>
      <c r="FH62" t="s">
        <v>1</v>
      </c>
      <c r="FI62" t="s">
        <v>1</v>
      </c>
      <c r="FJ62" t="s">
        <v>1</v>
      </c>
      <c r="FK62" s="7">
        <v>46116.382824074077</v>
      </c>
      <c r="FL62" t="s">
        <v>1</v>
      </c>
      <c r="FM62" t="s">
        <v>1</v>
      </c>
      <c r="FN62" t="s">
        <v>1</v>
      </c>
      <c r="FO62" s="19">
        <v>-921686700</v>
      </c>
      <c r="FP62" s="4">
        <v>0</v>
      </c>
      <c r="FQ62" s="19">
        <v>-921686700</v>
      </c>
      <c r="FR62" s="4">
        <v>0</v>
      </c>
      <c r="FS62" s="4">
        <v>0</v>
      </c>
      <c r="FT62" s="4">
        <v>0</v>
      </c>
      <c r="FU62" s="2">
        <v>46116</v>
      </c>
      <c r="FV62" t="s">
        <v>1</v>
      </c>
      <c r="FW62" s="4">
        <v>0</v>
      </c>
      <c r="FX62" t="s">
        <v>1</v>
      </c>
      <c r="FY62" t="s">
        <v>1</v>
      </c>
      <c r="FZ62" s="4">
        <v>0</v>
      </c>
      <c r="GA62" s="4">
        <v>0</v>
      </c>
      <c r="GB62" t="s">
        <v>2070</v>
      </c>
      <c r="GC62" t="str">
        <f>RIGHT(Data_FAGLL03[[#This Row],[Payment reference]],8)</f>
        <v>91172573</v>
      </c>
      <c r="GD62" t="str">
        <f>IF(Data_FAGLL03[[#This Row],[Billing]]&lt;&gt;"",_xlfn.XLOOKUP(Data_FAGLL03[[#This Row],[Billing]],MD_BILLING_SO[BILIING],MD_BILLING_SO[SO-EDITED]),"")</f>
        <v>30030651</v>
      </c>
      <c r="GE62" s="18">
        <f>IF(SUBSTITUTE(Data_FAGLL03[[#This Row],[Eff.exchange rate]],",","")/100000=1,1,SUBSTITUTE(Data_FAGLL03[[#This Row],[Eff.exchange rate]],",","")/100)</f>
        <v>1</v>
      </c>
      <c r="GF62" s="17">
        <f>IF(Data_FAGLL03[[#This Row],[Material]]&lt;&gt;"",IFERROR(Data_FAGLL03[[#This Row],[Amount in local currency]]/Data_FAGLL03[[#This Row],[Quantity_Original]],0),0)</f>
        <v>28893</v>
      </c>
      <c r="GG62" s="18">
        <f>IF(Data_FAGLL03[[#This Row],[XK/NĐ]]="XK",Data_FAGLL03[[#This Row],[GB trung bình]]/Data_FAGLL03[[#This Row],[EXR]],0)*1000</f>
        <v>0</v>
      </c>
      <c r="GH62" s="18" cm="1">
        <f t="array" ref="GH62">IF(Data_FAGLL03[[#This Row],[Document currency]]&lt;&gt;"VND",Data_FAGLL03[[#This Row],[Amount in doc. curr.]],Data_FAGLL03[[#This Row],[Amount in local currency]]/EXR)</f>
        <v>-35109.007949563689</v>
      </c>
      <c r="GI62" s="10">
        <f>Data_FAGLL03[[#This Row],[Time Stamp]]+TIME(7,0,0)</f>
        <v>46116.674490740741</v>
      </c>
      <c r="GJ62" s="18">
        <f>MONTH(Data_FAGLL03[[#This Row],[Time Stamp_VN]])</f>
        <v>4</v>
      </c>
      <c r="GK62">
        <f>DAY(Data_FAGLL03[[#This Row],[Time Stamp_VN]])</f>
        <v>4</v>
      </c>
      <c r="GL62" t="str">
        <f>TEXT(Data_FAGLL03[[#This Row],[Tháng]],"00")&amp;" | "&amp;TEXT(Data_FAGLL03[[#This Row],[Ngày]],"00")</f>
        <v>04 | 04</v>
      </c>
      <c r="GM62" s="18">
        <f>IF(Data_FAGLL03[[#This Row],[Text]]="",Data_FAGLL03[[#This Row],[Quantity_Original]],0)</f>
        <v>-31900</v>
      </c>
      <c r="GN62" s="18" t="str">
        <f>IF(Data_FAGLL03[[#This Row],[Quantity_Edited]]&lt;&gt;0,Data_FAGLL03[[#This Row],[Offsetting acct no.]]&amp;" | "&amp;Data_FAGLL03[[#This Row],[Material]],"")</f>
        <v>104877 | 110000359</v>
      </c>
      <c r="GO62" t="str">
        <f>IF(LEFT(Data_FAGLL03[[#This Row],[Offsetting acct no.]],1)="1","NĐ",IF(LEFT(Data_FAGLL03[[#This Row],[Offsetting acct no.]],1)="2","XK","Khác"))</f>
        <v>NĐ</v>
      </c>
      <c r="GP62" t="str">
        <f>IF(Data_FAGLL03[[#This Row],[Material]]&lt;&gt;"",_xlfn.XLOOKUP(Data_FAGLL03[[#This Row],[Material]],MD_SKU[Mã SKU],MD_SKU[Tên SKU]),"")</f>
        <v>Hạt nhựa rPET WSS03G</v>
      </c>
      <c r="GQ62" t="str">
        <f>IF(Data_FAGLL03[[#This Row],[Material]]&lt;&gt;"",_xlfn.XLOOKUP(Data_FAGLL03[[#This Row],[Material]],MD_SKU[Mã SKU],MD_SKU[Nhóm SP 1]),"")</f>
        <v>rPET</v>
      </c>
      <c r="GR62" t="str">
        <f>IF(Data_FAGLL03[[#This Row],[Material]]&lt;&gt;"",_xlfn.XLOOKUP(Data_FAGLL03[[#This Row],[Material]],MD_SKU[Mã SKU],MD_SKU[Nhóm SP 2]),"")</f>
        <v>rPET</v>
      </c>
      <c r="GS62" t="str">
        <f>IF(Data_FAGLL03[[#This Row],[Material]]&lt;&gt;"",_xlfn.XLOOKUP(Data_FAGLL03[[#This Row],[Material]],MD_SKU[Mã SKU],MD_SKU[Nhóm SP 3]),"")</f>
        <v>rPET</v>
      </c>
      <c r="GT62" t="str">
        <f>IF(Data_FAGLL03[[#This Row],[Material]]&lt;&gt;"",_xlfn.XLOOKUP(Data_FAGLL03[[#This Row],[Material]],MD_SKU[Mã SKU],MD_SKU[Nhóm SP 4]),"")</f>
        <v>Hạt rPET</v>
      </c>
    </row>
    <row r="63" spans="1:202" x14ac:dyDescent="0.25">
      <c r="A63" t="s">
        <v>0</v>
      </c>
      <c r="B63" s="2">
        <v>46116</v>
      </c>
      <c r="C63" t="s">
        <v>2223</v>
      </c>
      <c r="D63" t="s">
        <v>1</v>
      </c>
      <c r="E63" t="s">
        <v>1</v>
      </c>
      <c r="F63" t="s">
        <v>31</v>
      </c>
      <c r="G63" t="s">
        <v>31</v>
      </c>
      <c r="H63" t="s">
        <v>2047</v>
      </c>
      <c r="I63" s="19">
        <v>-921686700</v>
      </c>
      <c r="J63" t="s">
        <v>2048</v>
      </c>
      <c r="K63" t="s">
        <v>1</v>
      </c>
      <c r="L63" t="s">
        <v>39</v>
      </c>
      <c r="M63" t="s">
        <v>41</v>
      </c>
      <c r="N63" t="s">
        <v>254</v>
      </c>
      <c r="O63" t="s">
        <v>4</v>
      </c>
      <c r="P63" t="s">
        <v>2224</v>
      </c>
      <c r="Q63" t="s">
        <v>31</v>
      </c>
      <c r="R63" t="s">
        <v>5</v>
      </c>
      <c r="S63" t="s">
        <v>1</v>
      </c>
      <c r="T63" s="3">
        <v>-921686700</v>
      </c>
      <c r="U63" s="19">
        <v>-921686700</v>
      </c>
      <c r="V63" s="3">
        <v>-921686700</v>
      </c>
      <c r="W63" s="3">
        <v>-921686700</v>
      </c>
      <c r="X63" s="4">
        <v>0</v>
      </c>
      <c r="Y63" s="4">
        <v>0</v>
      </c>
      <c r="Z63" s="3">
        <v>0</v>
      </c>
      <c r="AA63" s="3">
        <v>0</v>
      </c>
      <c r="AB63" t="s">
        <v>1</v>
      </c>
      <c r="AC63" t="s">
        <v>24</v>
      </c>
      <c r="AD63" s="2"/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25</v>
      </c>
      <c r="AK63" s="4">
        <v>0</v>
      </c>
      <c r="AL63" t="s">
        <v>1</v>
      </c>
      <c r="AM63" s="5" t="s">
        <v>1</v>
      </c>
      <c r="AN63" t="s">
        <v>1</v>
      </c>
      <c r="AO63" s="2"/>
      <c r="AP63" t="s">
        <v>1</v>
      </c>
      <c r="AQ63" t="s">
        <v>1</v>
      </c>
      <c r="AR63" s="3">
        <v>0</v>
      </c>
      <c r="AS63" t="s">
        <v>1</v>
      </c>
      <c r="AT63" t="s">
        <v>7</v>
      </c>
      <c r="AU63" t="s">
        <v>1</v>
      </c>
      <c r="AV63" t="s">
        <v>1</v>
      </c>
      <c r="AW63" t="s">
        <v>8</v>
      </c>
      <c r="AX63" t="s">
        <v>8</v>
      </c>
      <c r="AY63" t="s">
        <v>1</v>
      </c>
      <c r="AZ63" s="4">
        <v>0</v>
      </c>
      <c r="BA63" t="s">
        <v>1</v>
      </c>
      <c r="BB63" s="3">
        <v>0</v>
      </c>
      <c r="BC63" s="3">
        <v>0</v>
      </c>
      <c r="BD63" s="3">
        <v>0</v>
      </c>
      <c r="BE63" t="s">
        <v>20</v>
      </c>
      <c r="BF63" t="s">
        <v>1</v>
      </c>
      <c r="BG63" s="4">
        <v>0</v>
      </c>
      <c r="BH63" s="4">
        <v>0</v>
      </c>
      <c r="BI63" s="6">
        <v>0</v>
      </c>
      <c r="BJ63" s="6">
        <v>0</v>
      </c>
      <c r="BK63" t="s">
        <v>1</v>
      </c>
      <c r="BL63" t="s">
        <v>1</v>
      </c>
      <c r="BM63" t="s">
        <v>1</v>
      </c>
      <c r="BN63" t="s">
        <v>9</v>
      </c>
      <c r="BO63" s="2">
        <v>46116</v>
      </c>
      <c r="BP63" t="s">
        <v>1</v>
      </c>
      <c r="BQ63" t="s">
        <v>2223</v>
      </c>
      <c r="BR63" t="s">
        <v>27</v>
      </c>
      <c r="BS63" t="s">
        <v>1</v>
      </c>
      <c r="BT63" t="s">
        <v>1</v>
      </c>
      <c r="BU63" t="s">
        <v>1</v>
      </c>
      <c r="BV63" t="s">
        <v>1</v>
      </c>
      <c r="BW63" t="s">
        <v>7</v>
      </c>
      <c r="BX63" t="s">
        <v>10</v>
      </c>
      <c r="BY63" s="2"/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254</v>
      </c>
      <c r="CJ63" s="3">
        <v>-921686700</v>
      </c>
      <c r="CK63" t="s">
        <v>9</v>
      </c>
      <c r="CL63" t="s">
        <v>11</v>
      </c>
      <c r="CM63" t="s">
        <v>1</v>
      </c>
      <c r="CN63" s="4">
        <v>0</v>
      </c>
      <c r="CO63" t="s">
        <v>7</v>
      </c>
      <c r="CP63" t="s">
        <v>7</v>
      </c>
      <c r="CQ63" t="s">
        <v>7</v>
      </c>
      <c r="CR63" t="s">
        <v>7</v>
      </c>
      <c r="CS63" s="4">
        <v>0</v>
      </c>
      <c r="CT63" t="s">
        <v>2223</v>
      </c>
      <c r="CU63" t="s">
        <v>7</v>
      </c>
      <c r="CV63" t="s">
        <v>1</v>
      </c>
      <c r="CW63" s="2"/>
      <c r="CX63" t="s">
        <v>12</v>
      </c>
      <c r="CY63" t="s">
        <v>1</v>
      </c>
      <c r="CZ63" t="s">
        <v>13</v>
      </c>
      <c r="DA63" t="s">
        <v>1</v>
      </c>
      <c r="DB63" t="s">
        <v>9</v>
      </c>
      <c r="DC63" t="s">
        <v>9</v>
      </c>
      <c r="DD63" t="s">
        <v>1</v>
      </c>
      <c r="DE63" t="s">
        <v>1</v>
      </c>
      <c r="DF63" t="s">
        <v>1</v>
      </c>
      <c r="DG63" t="s">
        <v>301</v>
      </c>
      <c r="DH63" t="s">
        <v>1</v>
      </c>
      <c r="DI63" s="2"/>
      <c r="DJ63" t="s">
        <v>1</v>
      </c>
      <c r="DK63" t="s">
        <v>14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s="2"/>
      <c r="DW63" t="s">
        <v>1</v>
      </c>
      <c r="DX63" t="s">
        <v>1</v>
      </c>
      <c r="DY63" t="s">
        <v>2225</v>
      </c>
      <c r="DZ63" t="s">
        <v>1</v>
      </c>
      <c r="EA63" t="s">
        <v>1</v>
      </c>
      <c r="EB63" t="s">
        <v>28</v>
      </c>
      <c r="EC63" t="s">
        <v>7</v>
      </c>
      <c r="ED63" t="s">
        <v>1</v>
      </c>
      <c r="EE63" t="s">
        <v>1</v>
      </c>
      <c r="EF63" t="s">
        <v>22</v>
      </c>
      <c r="EG63" t="s">
        <v>41</v>
      </c>
      <c r="EH63" t="s">
        <v>15</v>
      </c>
      <c r="EI63" t="s">
        <v>1</v>
      </c>
      <c r="EJ63" s="4">
        <v>-31900</v>
      </c>
      <c r="EK63" t="s">
        <v>1</v>
      </c>
      <c r="EL63" t="s">
        <v>1</v>
      </c>
      <c r="EM63" t="s">
        <v>1</v>
      </c>
      <c r="EN63" t="s">
        <v>1</v>
      </c>
      <c r="EO63" s="2"/>
      <c r="EP63" t="s">
        <v>2225</v>
      </c>
      <c r="EQ63" t="s">
        <v>1</v>
      </c>
      <c r="ER63" t="s">
        <v>1</v>
      </c>
      <c r="ES63" t="s">
        <v>1</v>
      </c>
      <c r="ET63" t="s">
        <v>29</v>
      </c>
      <c r="EU63" t="s">
        <v>1</v>
      </c>
      <c r="EV63" t="s">
        <v>1</v>
      </c>
      <c r="EW63" t="s">
        <v>7</v>
      </c>
      <c r="EX63" t="s">
        <v>7</v>
      </c>
      <c r="EY63" t="s">
        <v>1</v>
      </c>
      <c r="EZ63" t="s">
        <v>1</v>
      </c>
      <c r="FA63" t="s">
        <v>1</v>
      </c>
      <c r="FB63" s="3">
        <v>50</v>
      </c>
      <c r="FC63" t="s">
        <v>1</v>
      </c>
      <c r="FD63" t="s">
        <v>1</v>
      </c>
      <c r="FE63" t="s">
        <v>1</v>
      </c>
      <c r="FF63" t="s">
        <v>17</v>
      </c>
      <c r="FG63" t="s">
        <v>1</v>
      </c>
      <c r="FH63" t="s">
        <v>1</v>
      </c>
      <c r="FI63" t="s">
        <v>1</v>
      </c>
      <c r="FJ63" t="s">
        <v>1</v>
      </c>
      <c r="FK63" s="7">
        <v>46116.382847222223</v>
      </c>
      <c r="FL63" t="s">
        <v>1</v>
      </c>
      <c r="FM63" t="s">
        <v>1</v>
      </c>
      <c r="FN63" t="s">
        <v>1</v>
      </c>
      <c r="FO63" s="19">
        <v>-921686700</v>
      </c>
      <c r="FP63" s="4">
        <v>0</v>
      </c>
      <c r="FQ63" s="19">
        <v>-921686700</v>
      </c>
      <c r="FR63" s="4">
        <v>0</v>
      </c>
      <c r="FS63" s="4">
        <v>0</v>
      </c>
      <c r="FT63" s="4">
        <v>0</v>
      </c>
      <c r="FU63" s="2">
        <v>46116</v>
      </c>
      <c r="FV63" t="s">
        <v>1</v>
      </c>
      <c r="FW63" s="4">
        <v>0</v>
      </c>
      <c r="FX63" t="s">
        <v>1</v>
      </c>
      <c r="FY63" t="s">
        <v>1</v>
      </c>
      <c r="FZ63" s="4">
        <v>0</v>
      </c>
      <c r="GA63" s="4">
        <v>0</v>
      </c>
      <c r="GB63" t="s">
        <v>2070</v>
      </c>
      <c r="GC63" t="str">
        <f>RIGHT(Data_FAGLL03[[#This Row],[Payment reference]],8)</f>
        <v>91172574</v>
      </c>
      <c r="GD63" t="str">
        <f>IF(Data_FAGLL03[[#This Row],[Billing]]&lt;&gt;"",_xlfn.XLOOKUP(Data_FAGLL03[[#This Row],[Billing]],MD_BILLING_SO[BILIING],MD_BILLING_SO[SO-EDITED]),"")</f>
        <v>30030651</v>
      </c>
      <c r="GE63" s="18">
        <f>IF(SUBSTITUTE(Data_FAGLL03[[#This Row],[Eff.exchange rate]],",","")/100000=1,1,SUBSTITUTE(Data_FAGLL03[[#This Row],[Eff.exchange rate]],",","")/100)</f>
        <v>1</v>
      </c>
      <c r="GF63" s="17">
        <f>IF(Data_FAGLL03[[#This Row],[Material]]&lt;&gt;"",IFERROR(Data_FAGLL03[[#This Row],[Amount in local currency]]/Data_FAGLL03[[#This Row],[Quantity_Original]],0),0)</f>
        <v>28893</v>
      </c>
      <c r="GG63" s="18">
        <f>IF(Data_FAGLL03[[#This Row],[XK/NĐ]]="XK",Data_FAGLL03[[#This Row],[GB trung bình]]/Data_FAGLL03[[#This Row],[EXR]],0)*1000</f>
        <v>0</v>
      </c>
      <c r="GH63" s="18" cm="1">
        <f t="array" ref="GH63">IF(Data_FAGLL03[[#This Row],[Document currency]]&lt;&gt;"VND",Data_FAGLL03[[#This Row],[Amount in doc. curr.]],Data_FAGLL03[[#This Row],[Amount in local currency]]/EXR)</f>
        <v>-35109.007949563689</v>
      </c>
      <c r="GI63" s="10">
        <f>Data_FAGLL03[[#This Row],[Time Stamp]]+TIME(7,0,0)</f>
        <v>46116.674513888887</v>
      </c>
      <c r="GJ63" s="18">
        <f>MONTH(Data_FAGLL03[[#This Row],[Time Stamp_VN]])</f>
        <v>4</v>
      </c>
      <c r="GK63">
        <f>DAY(Data_FAGLL03[[#This Row],[Time Stamp_VN]])</f>
        <v>4</v>
      </c>
      <c r="GL63" t="str">
        <f>TEXT(Data_FAGLL03[[#This Row],[Tháng]],"00")&amp;" | "&amp;TEXT(Data_FAGLL03[[#This Row],[Ngày]],"00")</f>
        <v>04 | 04</v>
      </c>
      <c r="GM63" s="18">
        <f>IF(Data_FAGLL03[[#This Row],[Text]]="",Data_FAGLL03[[#This Row],[Quantity_Original]],0)</f>
        <v>-31900</v>
      </c>
      <c r="GN63" s="18" t="str">
        <f>IF(Data_FAGLL03[[#This Row],[Quantity_Edited]]&lt;&gt;0,Data_FAGLL03[[#This Row],[Offsetting acct no.]]&amp;" | "&amp;Data_FAGLL03[[#This Row],[Material]],"")</f>
        <v>104877 | 110000359</v>
      </c>
      <c r="GO63" t="str">
        <f>IF(LEFT(Data_FAGLL03[[#This Row],[Offsetting acct no.]],1)="1","NĐ",IF(LEFT(Data_FAGLL03[[#This Row],[Offsetting acct no.]],1)="2","XK","Khác"))</f>
        <v>NĐ</v>
      </c>
      <c r="GP63" t="str">
        <f>IF(Data_FAGLL03[[#This Row],[Material]]&lt;&gt;"",_xlfn.XLOOKUP(Data_FAGLL03[[#This Row],[Material]],MD_SKU[Mã SKU],MD_SKU[Tên SKU]),"")</f>
        <v>Hạt nhựa rPET WSS03G</v>
      </c>
      <c r="GQ63" t="str">
        <f>IF(Data_FAGLL03[[#This Row],[Material]]&lt;&gt;"",_xlfn.XLOOKUP(Data_FAGLL03[[#This Row],[Material]],MD_SKU[Mã SKU],MD_SKU[Nhóm SP 1]),"")</f>
        <v>rPET</v>
      </c>
      <c r="GR63" t="str">
        <f>IF(Data_FAGLL03[[#This Row],[Material]]&lt;&gt;"",_xlfn.XLOOKUP(Data_FAGLL03[[#This Row],[Material]],MD_SKU[Mã SKU],MD_SKU[Nhóm SP 2]),"")</f>
        <v>rPET</v>
      </c>
      <c r="GS63" t="str">
        <f>IF(Data_FAGLL03[[#This Row],[Material]]&lt;&gt;"",_xlfn.XLOOKUP(Data_FAGLL03[[#This Row],[Material]],MD_SKU[Mã SKU],MD_SKU[Nhóm SP 3]),"")</f>
        <v>rPET</v>
      </c>
      <c r="GT63" t="str">
        <f>IF(Data_FAGLL03[[#This Row],[Material]]&lt;&gt;"",_xlfn.XLOOKUP(Data_FAGLL03[[#This Row],[Material]],MD_SKU[Mã SKU],MD_SKU[Nhóm SP 4]),"")</f>
        <v>Hạt rPET</v>
      </c>
    </row>
    <row r="64" spans="1:202" x14ac:dyDescent="0.25">
      <c r="A64" t="s">
        <v>0</v>
      </c>
      <c r="B64" s="2">
        <v>46116</v>
      </c>
      <c r="C64" t="s">
        <v>2226</v>
      </c>
      <c r="D64" t="s">
        <v>1</v>
      </c>
      <c r="E64" t="s">
        <v>1</v>
      </c>
      <c r="F64" t="s">
        <v>31</v>
      </c>
      <c r="G64" t="s">
        <v>31</v>
      </c>
      <c r="H64" t="s">
        <v>258</v>
      </c>
      <c r="I64" s="19">
        <v>-709280000</v>
      </c>
      <c r="J64" t="s">
        <v>259</v>
      </c>
      <c r="K64" t="s">
        <v>1</v>
      </c>
      <c r="L64" t="s">
        <v>39</v>
      </c>
      <c r="M64" t="s">
        <v>41</v>
      </c>
      <c r="N64" t="s">
        <v>254</v>
      </c>
      <c r="O64" t="s">
        <v>4</v>
      </c>
      <c r="P64" t="s">
        <v>2227</v>
      </c>
      <c r="Q64" t="s">
        <v>31</v>
      </c>
      <c r="R64" t="s">
        <v>5</v>
      </c>
      <c r="S64" t="s">
        <v>1</v>
      </c>
      <c r="T64" s="3">
        <v>-709280000</v>
      </c>
      <c r="U64" s="19">
        <v>-709280000</v>
      </c>
      <c r="V64" s="3">
        <v>-709280000</v>
      </c>
      <c r="W64" s="3">
        <v>-709280000</v>
      </c>
      <c r="X64" s="4">
        <v>0</v>
      </c>
      <c r="Y64" s="4">
        <v>0</v>
      </c>
      <c r="Z64" s="3">
        <v>0</v>
      </c>
      <c r="AA64" s="3">
        <v>0</v>
      </c>
      <c r="AB64" t="s">
        <v>1</v>
      </c>
      <c r="AC64" t="s">
        <v>24</v>
      </c>
      <c r="AD64" s="2"/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25</v>
      </c>
      <c r="AK64" s="4">
        <v>0</v>
      </c>
      <c r="AL64" t="s">
        <v>1</v>
      </c>
      <c r="AM64" s="5" t="s">
        <v>1</v>
      </c>
      <c r="AN64" t="s">
        <v>1</v>
      </c>
      <c r="AO64" s="2"/>
      <c r="AP64" t="s">
        <v>1</v>
      </c>
      <c r="AQ64" t="s">
        <v>1</v>
      </c>
      <c r="AR64" s="3">
        <v>0</v>
      </c>
      <c r="AS64" t="s">
        <v>1</v>
      </c>
      <c r="AT64" t="s">
        <v>7</v>
      </c>
      <c r="AU64" t="s">
        <v>1</v>
      </c>
      <c r="AV64" t="s">
        <v>1</v>
      </c>
      <c r="AW64" t="s">
        <v>8</v>
      </c>
      <c r="AX64" t="s">
        <v>8</v>
      </c>
      <c r="AY64" t="s">
        <v>1</v>
      </c>
      <c r="AZ64" s="4">
        <v>0</v>
      </c>
      <c r="BA64" t="s">
        <v>1</v>
      </c>
      <c r="BB64" s="3">
        <v>0</v>
      </c>
      <c r="BC64" s="3">
        <v>0</v>
      </c>
      <c r="BD64" s="3">
        <v>0</v>
      </c>
      <c r="BE64" t="s">
        <v>20</v>
      </c>
      <c r="BF64" t="s">
        <v>1</v>
      </c>
      <c r="BG64" s="4">
        <v>0</v>
      </c>
      <c r="BH64" s="4">
        <v>0</v>
      </c>
      <c r="BI64" s="6">
        <v>0</v>
      </c>
      <c r="BJ64" s="6">
        <v>0</v>
      </c>
      <c r="BK64" t="s">
        <v>1</v>
      </c>
      <c r="BL64" t="s">
        <v>1</v>
      </c>
      <c r="BM64" t="s">
        <v>1</v>
      </c>
      <c r="BN64" t="s">
        <v>9</v>
      </c>
      <c r="BO64" s="2">
        <v>46116</v>
      </c>
      <c r="BP64" t="s">
        <v>1</v>
      </c>
      <c r="BQ64" t="s">
        <v>2226</v>
      </c>
      <c r="BR64" t="s">
        <v>27</v>
      </c>
      <c r="BS64" t="s">
        <v>1</v>
      </c>
      <c r="BT64" t="s">
        <v>1</v>
      </c>
      <c r="BU64" t="s">
        <v>1</v>
      </c>
      <c r="BV64" t="s">
        <v>1</v>
      </c>
      <c r="BW64" t="s">
        <v>7</v>
      </c>
      <c r="BX64" t="s">
        <v>10</v>
      </c>
      <c r="BY64" s="2"/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254</v>
      </c>
      <c r="CJ64" s="3">
        <v>-709280000</v>
      </c>
      <c r="CK64" t="s">
        <v>9</v>
      </c>
      <c r="CL64" t="s">
        <v>11</v>
      </c>
      <c r="CM64" t="s">
        <v>1</v>
      </c>
      <c r="CN64" s="4">
        <v>0</v>
      </c>
      <c r="CO64" t="s">
        <v>7</v>
      </c>
      <c r="CP64" t="s">
        <v>7</v>
      </c>
      <c r="CQ64" t="s">
        <v>7</v>
      </c>
      <c r="CR64" t="s">
        <v>7</v>
      </c>
      <c r="CS64" s="4">
        <v>0</v>
      </c>
      <c r="CT64" t="s">
        <v>2226</v>
      </c>
      <c r="CU64" t="s">
        <v>7</v>
      </c>
      <c r="CV64" t="s">
        <v>1</v>
      </c>
      <c r="CW64" s="2"/>
      <c r="CX64" t="s">
        <v>12</v>
      </c>
      <c r="CY64" t="s">
        <v>1</v>
      </c>
      <c r="CZ64" t="s">
        <v>13</v>
      </c>
      <c r="DA64" t="s">
        <v>1</v>
      </c>
      <c r="DB64" t="s">
        <v>9</v>
      </c>
      <c r="DC64" t="s">
        <v>9</v>
      </c>
      <c r="DD64" t="s">
        <v>1</v>
      </c>
      <c r="DE64" t="s">
        <v>1</v>
      </c>
      <c r="DF64" t="s">
        <v>1</v>
      </c>
      <c r="DG64" t="s">
        <v>32</v>
      </c>
      <c r="DH64" t="s">
        <v>1</v>
      </c>
      <c r="DI64" s="2"/>
      <c r="DJ64" t="s">
        <v>1</v>
      </c>
      <c r="DK64" t="s">
        <v>14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s="2"/>
      <c r="DW64" t="s">
        <v>1</v>
      </c>
      <c r="DX64" t="s">
        <v>1</v>
      </c>
      <c r="DY64" t="s">
        <v>2228</v>
      </c>
      <c r="DZ64" t="s">
        <v>1</v>
      </c>
      <c r="EA64" t="s">
        <v>1</v>
      </c>
      <c r="EB64" t="s">
        <v>28</v>
      </c>
      <c r="EC64" t="s">
        <v>7</v>
      </c>
      <c r="ED64" t="s">
        <v>1</v>
      </c>
      <c r="EE64" t="s">
        <v>1</v>
      </c>
      <c r="EF64" t="s">
        <v>22</v>
      </c>
      <c r="EG64" t="s">
        <v>41</v>
      </c>
      <c r="EH64" t="s">
        <v>15</v>
      </c>
      <c r="EI64" t="s">
        <v>1</v>
      </c>
      <c r="EJ64" s="4">
        <v>-22000</v>
      </c>
      <c r="EK64" t="s">
        <v>1</v>
      </c>
      <c r="EL64" t="s">
        <v>1</v>
      </c>
      <c r="EM64" t="s">
        <v>1</v>
      </c>
      <c r="EN64" t="s">
        <v>1</v>
      </c>
      <c r="EO64" s="2"/>
      <c r="EP64" t="s">
        <v>2228</v>
      </c>
      <c r="EQ64" t="s">
        <v>1</v>
      </c>
      <c r="ER64" t="s">
        <v>1</v>
      </c>
      <c r="ES64" t="s">
        <v>1</v>
      </c>
      <c r="ET64" t="s">
        <v>29</v>
      </c>
      <c r="EU64" t="s">
        <v>1</v>
      </c>
      <c r="EV64" t="s">
        <v>1</v>
      </c>
      <c r="EW64" t="s">
        <v>7</v>
      </c>
      <c r="EX64" t="s">
        <v>7</v>
      </c>
      <c r="EY64" t="s">
        <v>1</v>
      </c>
      <c r="EZ64" t="s">
        <v>1</v>
      </c>
      <c r="FA64" t="s">
        <v>1</v>
      </c>
      <c r="FB64" s="3">
        <v>50</v>
      </c>
      <c r="FC64" t="s">
        <v>1</v>
      </c>
      <c r="FD64" t="s">
        <v>1</v>
      </c>
      <c r="FE64" t="s">
        <v>1</v>
      </c>
      <c r="FF64" t="s">
        <v>17</v>
      </c>
      <c r="FG64" t="s">
        <v>1</v>
      </c>
      <c r="FH64" t="s">
        <v>1</v>
      </c>
      <c r="FI64" t="s">
        <v>1</v>
      </c>
      <c r="FJ64" t="s">
        <v>1</v>
      </c>
      <c r="FK64" s="7">
        <v>46116.388310185182</v>
      </c>
      <c r="FL64" t="s">
        <v>1</v>
      </c>
      <c r="FM64" t="s">
        <v>1</v>
      </c>
      <c r="FN64" t="s">
        <v>1</v>
      </c>
      <c r="FO64" s="19">
        <v>-709280000</v>
      </c>
      <c r="FP64" s="4">
        <v>0</v>
      </c>
      <c r="FQ64" s="19">
        <v>-709280000</v>
      </c>
      <c r="FR64" s="4">
        <v>0</v>
      </c>
      <c r="FS64" s="4">
        <v>0</v>
      </c>
      <c r="FT64" s="4">
        <v>0</v>
      </c>
      <c r="FU64" s="2">
        <v>46116</v>
      </c>
      <c r="FV64" t="s">
        <v>1</v>
      </c>
      <c r="FW64" s="4">
        <v>0</v>
      </c>
      <c r="FX64" t="s">
        <v>1</v>
      </c>
      <c r="FY64" t="s">
        <v>1</v>
      </c>
      <c r="FZ64" s="4">
        <v>0</v>
      </c>
      <c r="GA64" s="4">
        <v>0</v>
      </c>
      <c r="GB64" t="s">
        <v>2070</v>
      </c>
      <c r="GC64" t="str">
        <f>RIGHT(Data_FAGLL03[[#This Row],[Payment reference]],8)</f>
        <v>91172575</v>
      </c>
      <c r="GD64" t="str">
        <f>IF(Data_FAGLL03[[#This Row],[Billing]]&lt;&gt;"",_xlfn.XLOOKUP(Data_FAGLL03[[#This Row],[Billing]],MD_BILLING_SO[BILIING],MD_BILLING_SO[SO-EDITED]),"")</f>
        <v>30030652</v>
      </c>
      <c r="GE64" s="18">
        <f>IF(SUBSTITUTE(Data_FAGLL03[[#This Row],[Eff.exchange rate]],",","")/100000=1,1,SUBSTITUTE(Data_FAGLL03[[#This Row],[Eff.exchange rate]],",","")/100)</f>
        <v>1</v>
      </c>
      <c r="GF64" s="17">
        <f>IF(Data_FAGLL03[[#This Row],[Material]]&lt;&gt;"",IFERROR(Data_FAGLL03[[#This Row],[Amount in local currency]]/Data_FAGLL03[[#This Row],[Quantity_Original]],0),0)</f>
        <v>32240</v>
      </c>
      <c r="GG64" s="18">
        <f>IF(Data_FAGLL03[[#This Row],[XK/NĐ]]="XK",Data_FAGLL03[[#This Row],[GB trung bình]]/Data_FAGLL03[[#This Row],[EXR]],0)*1000</f>
        <v>0</v>
      </c>
      <c r="GH64" s="18" cm="1">
        <f t="array" ref="GH64">IF(Data_FAGLL03[[#This Row],[Document currency]]&lt;&gt;"VND",Data_FAGLL03[[#This Row],[Amount in doc. curr.]],Data_FAGLL03[[#This Row],[Amount in local currency]]/EXR)</f>
        <v>-27017.984699645262</v>
      </c>
      <c r="GI64" s="10">
        <f>Data_FAGLL03[[#This Row],[Time Stamp]]+TIME(7,0,0)</f>
        <v>46116.679976851847</v>
      </c>
      <c r="GJ64" s="18">
        <f>MONTH(Data_FAGLL03[[#This Row],[Time Stamp_VN]])</f>
        <v>4</v>
      </c>
      <c r="GK64">
        <f>DAY(Data_FAGLL03[[#This Row],[Time Stamp_VN]])</f>
        <v>4</v>
      </c>
      <c r="GL64" t="str">
        <f>TEXT(Data_FAGLL03[[#This Row],[Tháng]],"00")&amp;" | "&amp;TEXT(Data_FAGLL03[[#This Row],[Ngày]],"00")</f>
        <v>04 | 04</v>
      </c>
      <c r="GM64" s="18">
        <f>IF(Data_FAGLL03[[#This Row],[Text]]="",Data_FAGLL03[[#This Row],[Quantity_Original]],0)</f>
        <v>-22000</v>
      </c>
      <c r="GN64" s="18" t="str">
        <f>IF(Data_FAGLL03[[#This Row],[Quantity_Edited]]&lt;&gt;0,Data_FAGLL03[[#This Row],[Offsetting acct no.]]&amp;" | "&amp;Data_FAGLL03[[#This Row],[Material]],"")</f>
        <v>105194 | 110000332</v>
      </c>
      <c r="GO64" t="str">
        <f>IF(LEFT(Data_FAGLL03[[#This Row],[Offsetting acct no.]],1)="1","NĐ",IF(LEFT(Data_FAGLL03[[#This Row],[Offsetting acct no.]],1)="2","XK","Khác"))</f>
        <v>NĐ</v>
      </c>
      <c r="GP64" t="str">
        <f>IF(Data_FAGLL03[[#This Row],[Material]]&lt;&gt;"",_xlfn.XLOOKUP(Data_FAGLL03[[#This Row],[Material]],MD_SKU[Mã SKU],MD_SKU[Tên SKU]),"")</f>
        <v>Hạt nhựa rPET iSS01084G</v>
      </c>
      <c r="GQ64" t="str">
        <f>IF(Data_FAGLL03[[#This Row],[Material]]&lt;&gt;"",_xlfn.XLOOKUP(Data_FAGLL03[[#This Row],[Material]],MD_SKU[Mã SKU],MD_SKU[Nhóm SP 1]),"")</f>
        <v>rPET</v>
      </c>
      <c r="GR64" t="str">
        <f>IF(Data_FAGLL03[[#This Row],[Material]]&lt;&gt;"",_xlfn.XLOOKUP(Data_FAGLL03[[#This Row],[Material]],MD_SKU[Mã SKU],MD_SKU[Nhóm SP 2]),"")</f>
        <v>rPET</v>
      </c>
      <c r="GS64" t="str">
        <f>IF(Data_FAGLL03[[#This Row],[Material]]&lt;&gt;"",_xlfn.XLOOKUP(Data_FAGLL03[[#This Row],[Material]],MD_SKU[Mã SKU],MD_SKU[Nhóm SP 3]),"")</f>
        <v>rPET</v>
      </c>
      <c r="GT64" t="str">
        <f>IF(Data_FAGLL03[[#This Row],[Material]]&lt;&gt;"",_xlfn.XLOOKUP(Data_FAGLL03[[#This Row],[Material]],MD_SKU[Mã SKU],MD_SKU[Nhóm SP 4]),"")</f>
        <v>Hạt rPET</v>
      </c>
    </row>
    <row r="65" spans="1:202" x14ac:dyDescent="0.25">
      <c r="A65" t="s">
        <v>0</v>
      </c>
      <c r="B65" s="2">
        <v>46116</v>
      </c>
      <c r="C65" t="s">
        <v>2229</v>
      </c>
      <c r="D65" t="s">
        <v>1</v>
      </c>
      <c r="E65" t="s">
        <v>1</v>
      </c>
      <c r="F65" t="s">
        <v>31</v>
      </c>
      <c r="G65" t="s">
        <v>31</v>
      </c>
      <c r="H65" t="s">
        <v>2008</v>
      </c>
      <c r="I65" s="19">
        <v>-731302000</v>
      </c>
      <c r="J65" t="s">
        <v>2009</v>
      </c>
      <c r="K65" t="s">
        <v>1</v>
      </c>
      <c r="L65" t="s">
        <v>39</v>
      </c>
      <c r="M65" t="s">
        <v>41</v>
      </c>
      <c r="N65" t="s">
        <v>254</v>
      </c>
      <c r="O65" t="s">
        <v>4</v>
      </c>
      <c r="P65" t="s">
        <v>2230</v>
      </c>
      <c r="Q65" t="s">
        <v>31</v>
      </c>
      <c r="R65" t="s">
        <v>5</v>
      </c>
      <c r="S65" t="s">
        <v>1</v>
      </c>
      <c r="T65" s="3">
        <v>-731302000</v>
      </c>
      <c r="U65" s="19">
        <v>-731302000</v>
      </c>
      <c r="V65" s="3">
        <v>-731302000</v>
      </c>
      <c r="W65" s="3">
        <v>-731302000</v>
      </c>
      <c r="X65" s="4">
        <v>0</v>
      </c>
      <c r="Y65" s="4">
        <v>0</v>
      </c>
      <c r="Z65" s="3">
        <v>0</v>
      </c>
      <c r="AA65" s="3">
        <v>0</v>
      </c>
      <c r="AB65" t="s">
        <v>1</v>
      </c>
      <c r="AC65" t="s">
        <v>24</v>
      </c>
      <c r="AD65" s="2"/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25</v>
      </c>
      <c r="AK65" s="4">
        <v>0</v>
      </c>
      <c r="AL65" t="s">
        <v>1</v>
      </c>
      <c r="AM65" s="5" t="s">
        <v>1</v>
      </c>
      <c r="AN65" t="s">
        <v>1</v>
      </c>
      <c r="AO65" s="2"/>
      <c r="AP65" t="s">
        <v>1</v>
      </c>
      <c r="AQ65" t="s">
        <v>1</v>
      </c>
      <c r="AR65" s="3">
        <v>0</v>
      </c>
      <c r="AS65" t="s">
        <v>1</v>
      </c>
      <c r="AT65" t="s">
        <v>7</v>
      </c>
      <c r="AU65" t="s">
        <v>1</v>
      </c>
      <c r="AV65" t="s">
        <v>1</v>
      </c>
      <c r="AW65" t="s">
        <v>8</v>
      </c>
      <c r="AX65" t="s">
        <v>8</v>
      </c>
      <c r="AY65" t="s">
        <v>1</v>
      </c>
      <c r="AZ65" s="4">
        <v>0</v>
      </c>
      <c r="BA65" t="s">
        <v>1</v>
      </c>
      <c r="BB65" s="3">
        <v>0</v>
      </c>
      <c r="BC65" s="3">
        <v>0</v>
      </c>
      <c r="BD65" s="3">
        <v>0</v>
      </c>
      <c r="BE65" t="s">
        <v>20</v>
      </c>
      <c r="BF65" t="s">
        <v>1</v>
      </c>
      <c r="BG65" s="4">
        <v>0</v>
      </c>
      <c r="BH65" s="4">
        <v>0</v>
      </c>
      <c r="BI65" s="6">
        <v>0</v>
      </c>
      <c r="BJ65" s="6">
        <v>0</v>
      </c>
      <c r="BK65" t="s">
        <v>1</v>
      </c>
      <c r="BL65" t="s">
        <v>1</v>
      </c>
      <c r="BM65" t="s">
        <v>1</v>
      </c>
      <c r="BN65" t="s">
        <v>9</v>
      </c>
      <c r="BO65" s="2">
        <v>46116</v>
      </c>
      <c r="BP65" t="s">
        <v>1</v>
      </c>
      <c r="BQ65" t="s">
        <v>2229</v>
      </c>
      <c r="BR65" t="s">
        <v>27</v>
      </c>
      <c r="BS65" t="s">
        <v>1</v>
      </c>
      <c r="BT65" t="s">
        <v>1</v>
      </c>
      <c r="BU65" t="s">
        <v>1</v>
      </c>
      <c r="BV65" t="s">
        <v>1</v>
      </c>
      <c r="BW65" t="s">
        <v>7</v>
      </c>
      <c r="BX65" t="s">
        <v>10</v>
      </c>
      <c r="BY65" s="2"/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254</v>
      </c>
      <c r="CJ65" s="3">
        <v>-731302000</v>
      </c>
      <c r="CK65" t="s">
        <v>9</v>
      </c>
      <c r="CL65" t="s">
        <v>11</v>
      </c>
      <c r="CM65" t="s">
        <v>1</v>
      </c>
      <c r="CN65" s="4">
        <v>0</v>
      </c>
      <c r="CO65" t="s">
        <v>7</v>
      </c>
      <c r="CP65" t="s">
        <v>7</v>
      </c>
      <c r="CQ65" t="s">
        <v>7</v>
      </c>
      <c r="CR65" t="s">
        <v>7</v>
      </c>
      <c r="CS65" s="4">
        <v>0</v>
      </c>
      <c r="CT65" t="s">
        <v>2229</v>
      </c>
      <c r="CU65" t="s">
        <v>7</v>
      </c>
      <c r="CV65" t="s">
        <v>1</v>
      </c>
      <c r="CW65" s="2"/>
      <c r="CX65" t="s">
        <v>12</v>
      </c>
      <c r="CY65" t="s">
        <v>1</v>
      </c>
      <c r="CZ65" t="s">
        <v>13</v>
      </c>
      <c r="DA65" t="s">
        <v>1</v>
      </c>
      <c r="DB65" t="s">
        <v>9</v>
      </c>
      <c r="DC65" t="s">
        <v>9</v>
      </c>
      <c r="DD65" t="s">
        <v>1</v>
      </c>
      <c r="DE65" t="s">
        <v>1</v>
      </c>
      <c r="DF65" t="s">
        <v>1</v>
      </c>
      <c r="DG65" t="s">
        <v>33</v>
      </c>
      <c r="DH65" t="s">
        <v>1</v>
      </c>
      <c r="DI65" s="2"/>
      <c r="DJ65" t="s">
        <v>1</v>
      </c>
      <c r="DK65" t="s">
        <v>14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s="2"/>
      <c r="DW65" t="s">
        <v>1</v>
      </c>
      <c r="DX65" t="s">
        <v>1</v>
      </c>
      <c r="DY65" t="s">
        <v>2231</v>
      </c>
      <c r="DZ65" t="s">
        <v>1</v>
      </c>
      <c r="EA65" t="s">
        <v>1</v>
      </c>
      <c r="EB65" t="s">
        <v>28</v>
      </c>
      <c r="EC65" t="s">
        <v>7</v>
      </c>
      <c r="ED65" t="s">
        <v>1</v>
      </c>
      <c r="EE65" t="s">
        <v>1</v>
      </c>
      <c r="EF65" t="s">
        <v>22</v>
      </c>
      <c r="EG65" t="s">
        <v>41</v>
      </c>
      <c r="EH65" t="s">
        <v>15</v>
      </c>
      <c r="EI65" t="s">
        <v>1</v>
      </c>
      <c r="EJ65" s="4">
        <v>-22000</v>
      </c>
      <c r="EK65" t="s">
        <v>1</v>
      </c>
      <c r="EL65" t="s">
        <v>1</v>
      </c>
      <c r="EM65" t="s">
        <v>1</v>
      </c>
      <c r="EN65" t="s">
        <v>1</v>
      </c>
      <c r="EO65" s="2"/>
      <c r="EP65" t="s">
        <v>2231</v>
      </c>
      <c r="EQ65" t="s">
        <v>1</v>
      </c>
      <c r="ER65" t="s">
        <v>1</v>
      </c>
      <c r="ES65" t="s">
        <v>1</v>
      </c>
      <c r="ET65" t="s">
        <v>29</v>
      </c>
      <c r="EU65" t="s">
        <v>1</v>
      </c>
      <c r="EV65" t="s">
        <v>1</v>
      </c>
      <c r="EW65" t="s">
        <v>7</v>
      </c>
      <c r="EX65" t="s">
        <v>7</v>
      </c>
      <c r="EY65" t="s">
        <v>1</v>
      </c>
      <c r="EZ65" t="s">
        <v>1</v>
      </c>
      <c r="FA65" t="s">
        <v>1</v>
      </c>
      <c r="FB65" s="3">
        <v>50</v>
      </c>
      <c r="FC65" t="s">
        <v>1</v>
      </c>
      <c r="FD65" t="s">
        <v>1</v>
      </c>
      <c r="FE65" t="s">
        <v>1</v>
      </c>
      <c r="FF65" t="s">
        <v>17</v>
      </c>
      <c r="FG65" t="s">
        <v>1</v>
      </c>
      <c r="FH65" t="s">
        <v>1</v>
      </c>
      <c r="FI65" t="s">
        <v>1</v>
      </c>
      <c r="FJ65" t="s">
        <v>1</v>
      </c>
      <c r="FK65" s="7">
        <v>46116.421319444446</v>
      </c>
      <c r="FL65" t="s">
        <v>1</v>
      </c>
      <c r="FM65" t="s">
        <v>1</v>
      </c>
      <c r="FN65" t="s">
        <v>1</v>
      </c>
      <c r="FO65" s="19">
        <v>-731302000</v>
      </c>
      <c r="FP65" s="4">
        <v>0</v>
      </c>
      <c r="FQ65" s="19">
        <v>-731302000</v>
      </c>
      <c r="FR65" s="4">
        <v>0</v>
      </c>
      <c r="FS65" s="4">
        <v>0</v>
      </c>
      <c r="FT65" s="4">
        <v>0</v>
      </c>
      <c r="FU65" s="2">
        <v>46116</v>
      </c>
      <c r="FV65" t="s">
        <v>1</v>
      </c>
      <c r="FW65" s="4">
        <v>0</v>
      </c>
      <c r="FX65" t="s">
        <v>1</v>
      </c>
      <c r="FY65" t="s">
        <v>1</v>
      </c>
      <c r="FZ65" s="4">
        <v>0</v>
      </c>
      <c r="GA65" s="4">
        <v>0</v>
      </c>
      <c r="GB65" t="s">
        <v>2070</v>
      </c>
      <c r="GC65" t="str">
        <f>RIGHT(Data_FAGLL03[[#This Row],[Payment reference]],8)</f>
        <v>91172576</v>
      </c>
      <c r="GD65" t="str">
        <f>IF(Data_FAGLL03[[#This Row],[Billing]]&lt;&gt;"",_xlfn.XLOOKUP(Data_FAGLL03[[#This Row],[Billing]],MD_BILLING_SO[BILIING],MD_BILLING_SO[SO-EDITED]),"")</f>
        <v>30030627</v>
      </c>
      <c r="GE65" s="18">
        <f>IF(SUBSTITUTE(Data_FAGLL03[[#This Row],[Eff.exchange rate]],",","")/100000=1,1,SUBSTITUTE(Data_FAGLL03[[#This Row],[Eff.exchange rate]],",","")/100)</f>
        <v>1</v>
      </c>
      <c r="GF65" s="17">
        <f>IF(Data_FAGLL03[[#This Row],[Material]]&lt;&gt;"",IFERROR(Data_FAGLL03[[#This Row],[Amount in local currency]]/Data_FAGLL03[[#This Row],[Quantity_Original]],0),0)</f>
        <v>33241</v>
      </c>
      <c r="GG65" s="18">
        <f>IF(Data_FAGLL03[[#This Row],[XK/NĐ]]="XK",Data_FAGLL03[[#This Row],[GB trung bình]]/Data_FAGLL03[[#This Row],[EXR]],0)*1000</f>
        <v>0</v>
      </c>
      <c r="GH65" s="18" cm="1">
        <f t="array" ref="GH65">IF(Data_FAGLL03[[#This Row],[Document currency]]&lt;&gt;"VND",Data_FAGLL03[[#This Row],[Amount in doc. curr.]],Data_FAGLL03[[#This Row],[Amount in local currency]]/EXR)</f>
        <v>-27856.84954717457</v>
      </c>
      <c r="GI65" s="10">
        <f>Data_FAGLL03[[#This Row],[Time Stamp]]+TIME(7,0,0)</f>
        <v>46116.71298611111</v>
      </c>
      <c r="GJ65" s="18">
        <f>MONTH(Data_FAGLL03[[#This Row],[Time Stamp_VN]])</f>
        <v>4</v>
      </c>
      <c r="GK65">
        <f>DAY(Data_FAGLL03[[#This Row],[Time Stamp_VN]])</f>
        <v>4</v>
      </c>
      <c r="GL65" t="str">
        <f>TEXT(Data_FAGLL03[[#This Row],[Tháng]],"00")&amp;" | "&amp;TEXT(Data_FAGLL03[[#This Row],[Ngày]],"00")</f>
        <v>04 | 04</v>
      </c>
      <c r="GM65" s="18">
        <f>IF(Data_FAGLL03[[#This Row],[Text]]="",Data_FAGLL03[[#This Row],[Quantity_Original]],0)</f>
        <v>-22000</v>
      </c>
      <c r="GN65" s="18" t="str">
        <f>IF(Data_FAGLL03[[#This Row],[Quantity_Edited]]&lt;&gt;0,Data_FAGLL03[[#This Row],[Offsetting acct no.]]&amp;" | "&amp;Data_FAGLL03[[#This Row],[Material]],"")</f>
        <v>105354 | 110000354</v>
      </c>
      <c r="GO65" t="str">
        <f>IF(LEFT(Data_FAGLL03[[#This Row],[Offsetting acct no.]],1)="1","NĐ",IF(LEFT(Data_FAGLL03[[#This Row],[Offsetting acct no.]],1)="2","XK","Khác"))</f>
        <v>NĐ</v>
      </c>
      <c r="GP65" t="str">
        <f>IF(Data_FAGLL03[[#This Row],[Material]]&lt;&gt;"",_xlfn.XLOOKUP(Data_FAGLL03[[#This Row],[Material]],MD_SKU[Mã SKU],MD_SKU[Tên SKU]),"")</f>
        <v>Hạt nhựa rPET WSS01G 1</v>
      </c>
      <c r="GQ65" t="str">
        <f>IF(Data_FAGLL03[[#This Row],[Material]]&lt;&gt;"",_xlfn.XLOOKUP(Data_FAGLL03[[#This Row],[Material]],MD_SKU[Mã SKU],MD_SKU[Nhóm SP 1]),"")</f>
        <v>rPET</v>
      </c>
      <c r="GR65" t="str">
        <f>IF(Data_FAGLL03[[#This Row],[Material]]&lt;&gt;"",_xlfn.XLOOKUP(Data_FAGLL03[[#This Row],[Material]],MD_SKU[Mã SKU],MD_SKU[Nhóm SP 2]),"")</f>
        <v>rPET</v>
      </c>
      <c r="GS65" t="str">
        <f>IF(Data_FAGLL03[[#This Row],[Material]]&lt;&gt;"",_xlfn.XLOOKUP(Data_FAGLL03[[#This Row],[Material]],MD_SKU[Mã SKU],MD_SKU[Nhóm SP 3]),"")</f>
        <v>rPET</v>
      </c>
      <c r="GT65" t="str">
        <f>IF(Data_FAGLL03[[#This Row],[Material]]&lt;&gt;"",_xlfn.XLOOKUP(Data_FAGLL03[[#This Row],[Material]],MD_SKU[Mã SKU],MD_SKU[Nhóm SP 4]),"")</f>
        <v>Hạt rPET</v>
      </c>
    </row>
    <row r="66" spans="1:202" x14ac:dyDescent="0.25">
      <c r="A66" t="s">
        <v>0</v>
      </c>
      <c r="B66" s="2">
        <v>46116</v>
      </c>
      <c r="C66" t="s">
        <v>2232</v>
      </c>
      <c r="D66" t="s">
        <v>1</v>
      </c>
      <c r="E66" t="s">
        <v>1</v>
      </c>
      <c r="F66" t="s">
        <v>31</v>
      </c>
      <c r="G66" t="s">
        <v>31</v>
      </c>
      <c r="H66" t="s">
        <v>2058</v>
      </c>
      <c r="I66" s="19">
        <v>-700590000</v>
      </c>
      <c r="J66" t="s">
        <v>2059</v>
      </c>
      <c r="K66" t="s">
        <v>1</v>
      </c>
      <c r="L66" t="s">
        <v>39</v>
      </c>
      <c r="M66" t="s">
        <v>41</v>
      </c>
      <c r="N66" t="s">
        <v>254</v>
      </c>
      <c r="O66" t="s">
        <v>4</v>
      </c>
      <c r="P66" t="s">
        <v>2233</v>
      </c>
      <c r="Q66" t="s">
        <v>31</v>
      </c>
      <c r="R66" t="s">
        <v>5</v>
      </c>
      <c r="S66" t="s">
        <v>1</v>
      </c>
      <c r="T66" s="3">
        <v>-700590000</v>
      </c>
      <c r="U66" s="19">
        <v>-700590000</v>
      </c>
      <c r="V66" s="3">
        <v>-700590000</v>
      </c>
      <c r="W66" s="3">
        <v>-700590000</v>
      </c>
      <c r="X66" s="4">
        <v>0</v>
      </c>
      <c r="Y66" s="4">
        <v>0</v>
      </c>
      <c r="Z66" s="3">
        <v>0</v>
      </c>
      <c r="AA66" s="3">
        <v>0</v>
      </c>
      <c r="AB66" t="s">
        <v>1</v>
      </c>
      <c r="AC66" t="s">
        <v>24</v>
      </c>
      <c r="AD66" s="2"/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25</v>
      </c>
      <c r="AK66" s="4">
        <v>0</v>
      </c>
      <c r="AL66" t="s">
        <v>1</v>
      </c>
      <c r="AM66" s="5" t="s">
        <v>1</v>
      </c>
      <c r="AN66" t="s">
        <v>1</v>
      </c>
      <c r="AO66" s="2"/>
      <c r="AP66" t="s">
        <v>1</v>
      </c>
      <c r="AQ66" t="s">
        <v>1</v>
      </c>
      <c r="AR66" s="3">
        <v>0</v>
      </c>
      <c r="AS66" t="s">
        <v>1</v>
      </c>
      <c r="AT66" t="s">
        <v>7</v>
      </c>
      <c r="AU66" t="s">
        <v>1</v>
      </c>
      <c r="AV66" t="s">
        <v>1</v>
      </c>
      <c r="AW66" t="s">
        <v>8</v>
      </c>
      <c r="AX66" t="s">
        <v>8</v>
      </c>
      <c r="AY66" t="s">
        <v>1</v>
      </c>
      <c r="AZ66" s="4">
        <v>0</v>
      </c>
      <c r="BA66" t="s">
        <v>1</v>
      </c>
      <c r="BB66" s="3">
        <v>0</v>
      </c>
      <c r="BC66" s="3">
        <v>0</v>
      </c>
      <c r="BD66" s="3">
        <v>0</v>
      </c>
      <c r="BE66" t="s">
        <v>20</v>
      </c>
      <c r="BF66" t="s">
        <v>1</v>
      </c>
      <c r="BG66" s="4">
        <v>0</v>
      </c>
      <c r="BH66" s="4">
        <v>0</v>
      </c>
      <c r="BI66" s="6">
        <v>0</v>
      </c>
      <c r="BJ66" s="6">
        <v>0</v>
      </c>
      <c r="BK66" t="s">
        <v>1</v>
      </c>
      <c r="BL66" t="s">
        <v>1</v>
      </c>
      <c r="BM66" t="s">
        <v>1</v>
      </c>
      <c r="BN66" t="s">
        <v>9</v>
      </c>
      <c r="BO66" s="2">
        <v>46116</v>
      </c>
      <c r="BP66" t="s">
        <v>1</v>
      </c>
      <c r="BQ66" t="s">
        <v>2232</v>
      </c>
      <c r="BR66" t="s">
        <v>27</v>
      </c>
      <c r="BS66" t="s">
        <v>1</v>
      </c>
      <c r="BT66" t="s">
        <v>1</v>
      </c>
      <c r="BU66" t="s">
        <v>1</v>
      </c>
      <c r="BV66" t="s">
        <v>1</v>
      </c>
      <c r="BW66" t="s">
        <v>7</v>
      </c>
      <c r="BX66" t="s">
        <v>10</v>
      </c>
      <c r="BY66" s="2"/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254</v>
      </c>
      <c r="CJ66" s="3">
        <v>-700590000</v>
      </c>
      <c r="CK66" t="s">
        <v>9</v>
      </c>
      <c r="CL66" t="s">
        <v>11</v>
      </c>
      <c r="CM66" t="s">
        <v>1</v>
      </c>
      <c r="CN66" s="4">
        <v>0</v>
      </c>
      <c r="CO66" t="s">
        <v>7</v>
      </c>
      <c r="CP66" t="s">
        <v>7</v>
      </c>
      <c r="CQ66" t="s">
        <v>7</v>
      </c>
      <c r="CR66" t="s">
        <v>7</v>
      </c>
      <c r="CS66" s="4">
        <v>0</v>
      </c>
      <c r="CT66" t="s">
        <v>2232</v>
      </c>
      <c r="CU66" t="s">
        <v>7</v>
      </c>
      <c r="CV66" t="s">
        <v>1</v>
      </c>
      <c r="CW66" s="2"/>
      <c r="CX66" t="s">
        <v>12</v>
      </c>
      <c r="CY66" t="s">
        <v>1</v>
      </c>
      <c r="CZ66" t="s">
        <v>13</v>
      </c>
      <c r="DA66" t="s">
        <v>1</v>
      </c>
      <c r="DB66" t="s">
        <v>9</v>
      </c>
      <c r="DC66" t="s">
        <v>9</v>
      </c>
      <c r="DD66" t="s">
        <v>1</v>
      </c>
      <c r="DE66" t="s">
        <v>1</v>
      </c>
      <c r="DF66" t="s">
        <v>1</v>
      </c>
      <c r="DG66" t="s">
        <v>32</v>
      </c>
      <c r="DH66" t="s">
        <v>1</v>
      </c>
      <c r="DI66" s="2"/>
      <c r="DJ66" t="s">
        <v>1</v>
      </c>
      <c r="DK66" t="s">
        <v>14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s="2"/>
      <c r="DW66" t="s">
        <v>1</v>
      </c>
      <c r="DX66" t="s">
        <v>1</v>
      </c>
      <c r="DY66" t="s">
        <v>2234</v>
      </c>
      <c r="DZ66" t="s">
        <v>1</v>
      </c>
      <c r="EA66" t="s">
        <v>1</v>
      </c>
      <c r="EB66" t="s">
        <v>28</v>
      </c>
      <c r="EC66" t="s">
        <v>7</v>
      </c>
      <c r="ED66" t="s">
        <v>1</v>
      </c>
      <c r="EE66" t="s">
        <v>1</v>
      </c>
      <c r="EF66" t="s">
        <v>22</v>
      </c>
      <c r="EG66" t="s">
        <v>41</v>
      </c>
      <c r="EH66" t="s">
        <v>15</v>
      </c>
      <c r="EI66" t="s">
        <v>1</v>
      </c>
      <c r="EJ66" s="4">
        <v>-22000</v>
      </c>
      <c r="EK66" t="s">
        <v>1</v>
      </c>
      <c r="EL66" t="s">
        <v>1</v>
      </c>
      <c r="EM66" t="s">
        <v>1</v>
      </c>
      <c r="EN66" t="s">
        <v>1</v>
      </c>
      <c r="EO66" s="2"/>
      <c r="EP66" t="s">
        <v>2234</v>
      </c>
      <c r="EQ66" t="s">
        <v>1</v>
      </c>
      <c r="ER66" t="s">
        <v>1</v>
      </c>
      <c r="ES66" t="s">
        <v>1</v>
      </c>
      <c r="ET66" t="s">
        <v>29</v>
      </c>
      <c r="EU66" t="s">
        <v>1</v>
      </c>
      <c r="EV66" t="s">
        <v>1</v>
      </c>
      <c r="EW66" t="s">
        <v>7</v>
      </c>
      <c r="EX66" t="s">
        <v>7</v>
      </c>
      <c r="EY66" t="s">
        <v>1</v>
      </c>
      <c r="EZ66" t="s">
        <v>1</v>
      </c>
      <c r="FA66" t="s">
        <v>1</v>
      </c>
      <c r="FB66" s="3">
        <v>50</v>
      </c>
      <c r="FC66" t="s">
        <v>1</v>
      </c>
      <c r="FD66" t="s">
        <v>1</v>
      </c>
      <c r="FE66" t="s">
        <v>1</v>
      </c>
      <c r="FF66" t="s">
        <v>17</v>
      </c>
      <c r="FG66" t="s">
        <v>1</v>
      </c>
      <c r="FH66" t="s">
        <v>1</v>
      </c>
      <c r="FI66" t="s">
        <v>1</v>
      </c>
      <c r="FJ66" t="s">
        <v>1</v>
      </c>
      <c r="FK66" s="7">
        <v>46116.421481481484</v>
      </c>
      <c r="FL66" t="s">
        <v>1</v>
      </c>
      <c r="FM66" t="s">
        <v>1</v>
      </c>
      <c r="FN66" t="s">
        <v>1</v>
      </c>
      <c r="FO66" s="19">
        <v>-700590000</v>
      </c>
      <c r="FP66" s="4">
        <v>0</v>
      </c>
      <c r="FQ66" s="19">
        <v>-700590000</v>
      </c>
      <c r="FR66" s="4">
        <v>0</v>
      </c>
      <c r="FS66" s="4">
        <v>0</v>
      </c>
      <c r="FT66" s="4">
        <v>0</v>
      </c>
      <c r="FU66" s="2">
        <v>46116</v>
      </c>
      <c r="FV66" t="s">
        <v>1</v>
      </c>
      <c r="FW66" s="4">
        <v>0</v>
      </c>
      <c r="FX66" t="s">
        <v>1</v>
      </c>
      <c r="FY66" t="s">
        <v>1</v>
      </c>
      <c r="FZ66" s="4">
        <v>0</v>
      </c>
      <c r="GA66" s="4">
        <v>0</v>
      </c>
      <c r="GB66" t="s">
        <v>2070</v>
      </c>
      <c r="GC66" t="str">
        <f>RIGHT(Data_FAGLL03[[#This Row],[Payment reference]],8)</f>
        <v>91172577</v>
      </c>
      <c r="GD66" t="str">
        <f>IF(Data_FAGLL03[[#This Row],[Billing]]&lt;&gt;"",_xlfn.XLOOKUP(Data_FAGLL03[[#This Row],[Billing]],MD_BILLING_SO[BILIING],MD_BILLING_SO[SO-EDITED]),"")</f>
        <v>30030706</v>
      </c>
      <c r="GE66" s="18">
        <f>IF(SUBSTITUTE(Data_FAGLL03[[#This Row],[Eff.exchange rate]],",","")/100000=1,1,SUBSTITUTE(Data_FAGLL03[[#This Row],[Eff.exchange rate]],",","")/100)</f>
        <v>1</v>
      </c>
      <c r="GF66" s="17">
        <f>IF(Data_FAGLL03[[#This Row],[Material]]&lt;&gt;"",IFERROR(Data_FAGLL03[[#This Row],[Amount in local currency]]/Data_FAGLL03[[#This Row],[Quantity_Original]],0),0)</f>
        <v>31845</v>
      </c>
      <c r="GG66" s="18">
        <f>IF(Data_FAGLL03[[#This Row],[XK/NĐ]]="XK",Data_FAGLL03[[#This Row],[GB trung bình]]/Data_FAGLL03[[#This Row],[EXR]],0)*1000</f>
        <v>0</v>
      </c>
      <c r="GH66" s="18" cm="1">
        <f t="array" ref="GH66">IF(Data_FAGLL03[[#This Row],[Document currency]]&lt;&gt;"VND",Data_FAGLL03[[#This Row],[Amount in doc. curr.]],Data_FAGLL03[[#This Row],[Amount in local currency]]/EXR)</f>
        <v>-26686.964105465366</v>
      </c>
      <c r="GI66" s="10">
        <f>Data_FAGLL03[[#This Row],[Time Stamp]]+TIME(7,0,0)</f>
        <v>46116.713148148148</v>
      </c>
      <c r="GJ66" s="18">
        <f>MONTH(Data_FAGLL03[[#This Row],[Time Stamp_VN]])</f>
        <v>4</v>
      </c>
      <c r="GK66">
        <f>DAY(Data_FAGLL03[[#This Row],[Time Stamp_VN]])</f>
        <v>4</v>
      </c>
      <c r="GL66" t="str">
        <f>TEXT(Data_FAGLL03[[#This Row],[Tháng]],"00")&amp;" | "&amp;TEXT(Data_FAGLL03[[#This Row],[Ngày]],"00")</f>
        <v>04 | 04</v>
      </c>
      <c r="GM66" s="18">
        <f>IF(Data_FAGLL03[[#This Row],[Text]]="",Data_FAGLL03[[#This Row],[Quantity_Original]],0)</f>
        <v>-22000</v>
      </c>
      <c r="GN66" s="18" t="str">
        <f>IF(Data_FAGLL03[[#This Row],[Quantity_Edited]]&lt;&gt;0,Data_FAGLL03[[#This Row],[Offsetting acct no.]]&amp;" | "&amp;Data_FAGLL03[[#This Row],[Material]],"")</f>
        <v>105186 | 110000332</v>
      </c>
      <c r="GO66" t="str">
        <f>IF(LEFT(Data_FAGLL03[[#This Row],[Offsetting acct no.]],1)="1","NĐ",IF(LEFT(Data_FAGLL03[[#This Row],[Offsetting acct no.]],1)="2","XK","Khác"))</f>
        <v>NĐ</v>
      </c>
      <c r="GP66" t="str">
        <f>IF(Data_FAGLL03[[#This Row],[Material]]&lt;&gt;"",_xlfn.XLOOKUP(Data_FAGLL03[[#This Row],[Material]],MD_SKU[Mã SKU],MD_SKU[Tên SKU]),"")</f>
        <v>Hạt nhựa rPET iSS01084G</v>
      </c>
      <c r="GQ66" t="str">
        <f>IF(Data_FAGLL03[[#This Row],[Material]]&lt;&gt;"",_xlfn.XLOOKUP(Data_FAGLL03[[#This Row],[Material]],MD_SKU[Mã SKU],MD_SKU[Nhóm SP 1]),"")</f>
        <v>rPET</v>
      </c>
      <c r="GR66" t="str">
        <f>IF(Data_FAGLL03[[#This Row],[Material]]&lt;&gt;"",_xlfn.XLOOKUP(Data_FAGLL03[[#This Row],[Material]],MD_SKU[Mã SKU],MD_SKU[Nhóm SP 2]),"")</f>
        <v>rPET</v>
      </c>
      <c r="GS66" t="str">
        <f>IF(Data_FAGLL03[[#This Row],[Material]]&lt;&gt;"",_xlfn.XLOOKUP(Data_FAGLL03[[#This Row],[Material]],MD_SKU[Mã SKU],MD_SKU[Nhóm SP 3]),"")</f>
        <v>rPET</v>
      </c>
      <c r="GT66" t="str">
        <f>IF(Data_FAGLL03[[#This Row],[Material]]&lt;&gt;"",_xlfn.XLOOKUP(Data_FAGLL03[[#This Row],[Material]],MD_SKU[Mã SKU],MD_SKU[Nhóm SP 4]),"")</f>
        <v>Hạt rPET</v>
      </c>
    </row>
    <row r="67" spans="1:202" x14ac:dyDescent="0.25">
      <c r="A67" t="s">
        <v>0</v>
      </c>
      <c r="B67" s="2">
        <v>46116</v>
      </c>
      <c r="C67" t="s">
        <v>2235</v>
      </c>
      <c r="D67" t="s">
        <v>1</v>
      </c>
      <c r="E67" t="s">
        <v>1</v>
      </c>
      <c r="F67" t="s">
        <v>31</v>
      </c>
      <c r="G67" t="s">
        <v>31</v>
      </c>
      <c r="H67" t="s">
        <v>2030</v>
      </c>
      <c r="I67" s="19">
        <v>-6347600</v>
      </c>
      <c r="J67" t="s">
        <v>2031</v>
      </c>
      <c r="K67" t="s">
        <v>1</v>
      </c>
      <c r="L67" t="s">
        <v>39</v>
      </c>
      <c r="M67" t="s">
        <v>41</v>
      </c>
      <c r="N67" t="s">
        <v>254</v>
      </c>
      <c r="O67" t="s">
        <v>4</v>
      </c>
      <c r="P67" t="s">
        <v>2236</v>
      </c>
      <c r="Q67" t="s">
        <v>31</v>
      </c>
      <c r="R67" t="s">
        <v>5</v>
      </c>
      <c r="S67" t="s">
        <v>1</v>
      </c>
      <c r="T67" s="3">
        <v>-6347600</v>
      </c>
      <c r="U67" s="19">
        <v>-6347600</v>
      </c>
      <c r="V67" s="3">
        <v>-6347600</v>
      </c>
      <c r="W67" s="3">
        <v>-6347600</v>
      </c>
      <c r="X67" s="4">
        <v>0</v>
      </c>
      <c r="Y67" s="4">
        <v>0</v>
      </c>
      <c r="Z67" s="3">
        <v>0</v>
      </c>
      <c r="AA67" s="3">
        <v>0</v>
      </c>
      <c r="AB67" t="s">
        <v>1</v>
      </c>
      <c r="AC67" t="s">
        <v>24</v>
      </c>
      <c r="AD67" s="2"/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25</v>
      </c>
      <c r="AK67" s="4">
        <v>0</v>
      </c>
      <c r="AL67" t="s">
        <v>1</v>
      </c>
      <c r="AM67" s="5" t="s">
        <v>1</v>
      </c>
      <c r="AN67" t="s">
        <v>1</v>
      </c>
      <c r="AO67" s="2"/>
      <c r="AP67" t="s">
        <v>1</v>
      </c>
      <c r="AQ67" t="s">
        <v>1</v>
      </c>
      <c r="AR67" s="3">
        <v>0</v>
      </c>
      <c r="AS67" t="s">
        <v>1</v>
      </c>
      <c r="AT67" t="s">
        <v>7</v>
      </c>
      <c r="AU67" t="s">
        <v>1</v>
      </c>
      <c r="AV67" t="s">
        <v>1</v>
      </c>
      <c r="AW67" t="s">
        <v>8</v>
      </c>
      <c r="AX67" t="s">
        <v>8</v>
      </c>
      <c r="AY67" t="s">
        <v>1</v>
      </c>
      <c r="AZ67" s="4">
        <v>0</v>
      </c>
      <c r="BA67" t="s">
        <v>1</v>
      </c>
      <c r="BB67" s="3">
        <v>0</v>
      </c>
      <c r="BC67" s="3">
        <v>0</v>
      </c>
      <c r="BD67" s="3">
        <v>0</v>
      </c>
      <c r="BE67" t="s">
        <v>20</v>
      </c>
      <c r="BF67" t="s">
        <v>1</v>
      </c>
      <c r="BG67" s="4">
        <v>0</v>
      </c>
      <c r="BH67" s="4">
        <v>0</v>
      </c>
      <c r="BI67" s="6">
        <v>0</v>
      </c>
      <c r="BJ67" s="6">
        <v>0</v>
      </c>
      <c r="BK67" t="s">
        <v>1</v>
      </c>
      <c r="BL67" t="s">
        <v>1</v>
      </c>
      <c r="BM67" t="s">
        <v>1</v>
      </c>
      <c r="BN67" t="s">
        <v>9</v>
      </c>
      <c r="BO67" s="2">
        <v>46116</v>
      </c>
      <c r="BP67" t="s">
        <v>1</v>
      </c>
      <c r="BQ67" t="s">
        <v>2235</v>
      </c>
      <c r="BR67" t="s">
        <v>27</v>
      </c>
      <c r="BS67" t="s">
        <v>1</v>
      </c>
      <c r="BT67" t="s">
        <v>1</v>
      </c>
      <c r="BU67" t="s">
        <v>1</v>
      </c>
      <c r="BV67" t="s">
        <v>1</v>
      </c>
      <c r="BW67" t="s">
        <v>7</v>
      </c>
      <c r="BX67" t="s">
        <v>10</v>
      </c>
      <c r="BY67" s="2"/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254</v>
      </c>
      <c r="CJ67" s="3">
        <v>-6347600</v>
      </c>
      <c r="CK67" t="s">
        <v>9</v>
      </c>
      <c r="CL67" t="s">
        <v>11</v>
      </c>
      <c r="CM67" t="s">
        <v>1</v>
      </c>
      <c r="CN67" s="4">
        <v>0</v>
      </c>
      <c r="CO67" t="s">
        <v>7</v>
      </c>
      <c r="CP67" t="s">
        <v>7</v>
      </c>
      <c r="CQ67" t="s">
        <v>7</v>
      </c>
      <c r="CR67" t="s">
        <v>7</v>
      </c>
      <c r="CS67" s="4">
        <v>0</v>
      </c>
      <c r="CT67" t="s">
        <v>2235</v>
      </c>
      <c r="CU67" t="s">
        <v>7</v>
      </c>
      <c r="CV67" t="s">
        <v>1</v>
      </c>
      <c r="CW67" s="2"/>
      <c r="CX67" t="s">
        <v>12</v>
      </c>
      <c r="CY67" t="s">
        <v>1</v>
      </c>
      <c r="CZ67" t="s">
        <v>13</v>
      </c>
      <c r="DA67" t="s">
        <v>1</v>
      </c>
      <c r="DB67" t="s">
        <v>9</v>
      </c>
      <c r="DC67" t="s">
        <v>9</v>
      </c>
      <c r="DD67" t="s">
        <v>1</v>
      </c>
      <c r="DE67" t="s">
        <v>1</v>
      </c>
      <c r="DF67" t="s">
        <v>1</v>
      </c>
      <c r="DG67" t="s">
        <v>33</v>
      </c>
      <c r="DH67" t="s">
        <v>1</v>
      </c>
      <c r="DI67" s="2"/>
      <c r="DJ67" t="s">
        <v>1</v>
      </c>
      <c r="DK67" t="s">
        <v>14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s="2"/>
      <c r="DW67" t="s">
        <v>1</v>
      </c>
      <c r="DX67" t="s">
        <v>1</v>
      </c>
      <c r="DY67" t="s">
        <v>2237</v>
      </c>
      <c r="DZ67" t="s">
        <v>1</v>
      </c>
      <c r="EA67" t="s">
        <v>1</v>
      </c>
      <c r="EB67" t="s">
        <v>28</v>
      </c>
      <c r="EC67" t="s">
        <v>7</v>
      </c>
      <c r="ED67" t="s">
        <v>1</v>
      </c>
      <c r="EE67" t="s">
        <v>1</v>
      </c>
      <c r="EF67" t="s">
        <v>22</v>
      </c>
      <c r="EG67" t="s">
        <v>41</v>
      </c>
      <c r="EH67" t="s">
        <v>15</v>
      </c>
      <c r="EI67" t="s">
        <v>1</v>
      </c>
      <c r="EJ67" s="4">
        <v>-200</v>
      </c>
      <c r="EK67" t="s">
        <v>1</v>
      </c>
      <c r="EL67" t="s">
        <v>1</v>
      </c>
      <c r="EM67" t="s">
        <v>1</v>
      </c>
      <c r="EN67" t="s">
        <v>1</v>
      </c>
      <c r="EO67" s="2"/>
      <c r="EP67" t="s">
        <v>2237</v>
      </c>
      <c r="EQ67" t="s">
        <v>1</v>
      </c>
      <c r="ER67" t="s">
        <v>1</v>
      </c>
      <c r="ES67" t="s">
        <v>1</v>
      </c>
      <c r="ET67" t="s">
        <v>29</v>
      </c>
      <c r="EU67" t="s">
        <v>1</v>
      </c>
      <c r="EV67" t="s">
        <v>1</v>
      </c>
      <c r="EW67" t="s">
        <v>7</v>
      </c>
      <c r="EX67" t="s">
        <v>7</v>
      </c>
      <c r="EY67" t="s">
        <v>1</v>
      </c>
      <c r="EZ67" t="s">
        <v>1</v>
      </c>
      <c r="FA67" t="s">
        <v>1</v>
      </c>
      <c r="FB67" s="3">
        <v>50</v>
      </c>
      <c r="FC67" t="s">
        <v>1</v>
      </c>
      <c r="FD67" t="s">
        <v>1</v>
      </c>
      <c r="FE67" t="s">
        <v>1</v>
      </c>
      <c r="FF67" t="s">
        <v>17</v>
      </c>
      <c r="FG67" t="s">
        <v>1</v>
      </c>
      <c r="FH67" t="s">
        <v>1</v>
      </c>
      <c r="FI67" t="s">
        <v>1</v>
      </c>
      <c r="FJ67" t="s">
        <v>1</v>
      </c>
      <c r="FK67" s="7">
        <v>46116.421643518515</v>
      </c>
      <c r="FL67" t="s">
        <v>1</v>
      </c>
      <c r="FM67" t="s">
        <v>1</v>
      </c>
      <c r="FN67" t="s">
        <v>1</v>
      </c>
      <c r="FO67" s="19">
        <v>-6347600</v>
      </c>
      <c r="FP67" s="4">
        <v>0</v>
      </c>
      <c r="FQ67" s="19">
        <v>-6347600</v>
      </c>
      <c r="FR67" s="4">
        <v>0</v>
      </c>
      <c r="FS67" s="4">
        <v>0</v>
      </c>
      <c r="FT67" s="4">
        <v>0</v>
      </c>
      <c r="FU67" s="2">
        <v>46116</v>
      </c>
      <c r="FV67" t="s">
        <v>1</v>
      </c>
      <c r="FW67" s="4">
        <v>0</v>
      </c>
      <c r="FX67" t="s">
        <v>1</v>
      </c>
      <c r="FY67" t="s">
        <v>1</v>
      </c>
      <c r="FZ67" s="4">
        <v>0</v>
      </c>
      <c r="GA67" s="4">
        <v>0</v>
      </c>
      <c r="GB67" t="s">
        <v>2070</v>
      </c>
      <c r="GC67" t="str">
        <f>RIGHT(Data_FAGLL03[[#This Row],[Payment reference]],8)</f>
        <v>91172578</v>
      </c>
      <c r="GD67" t="str">
        <f>IF(Data_FAGLL03[[#This Row],[Billing]]&lt;&gt;"",_xlfn.XLOOKUP(Data_FAGLL03[[#This Row],[Billing]],MD_BILLING_SO[BILIING],MD_BILLING_SO[SO-EDITED]),"")</f>
        <v>30030668</v>
      </c>
      <c r="GE67" s="18">
        <f>IF(SUBSTITUTE(Data_FAGLL03[[#This Row],[Eff.exchange rate]],",","")/100000=1,1,SUBSTITUTE(Data_FAGLL03[[#This Row],[Eff.exchange rate]],",","")/100)</f>
        <v>1</v>
      </c>
      <c r="GF67" s="17">
        <f>IF(Data_FAGLL03[[#This Row],[Material]]&lt;&gt;"",IFERROR(Data_FAGLL03[[#This Row],[Amount in local currency]]/Data_FAGLL03[[#This Row],[Quantity_Original]],0),0)</f>
        <v>31738</v>
      </c>
      <c r="GG67" s="18">
        <f>IF(Data_FAGLL03[[#This Row],[XK/NĐ]]="XK",Data_FAGLL03[[#This Row],[GB trung bình]]/Data_FAGLL03[[#This Row],[EXR]],0)*1000</f>
        <v>0</v>
      </c>
      <c r="GH67" s="18" cm="1">
        <f t="array" ref="GH67">IF(Data_FAGLL03[[#This Row],[Document currency]]&lt;&gt;"VND",Data_FAGLL03[[#This Row],[Amount in doc. curr.]],Data_FAGLL03[[#This Row],[Amount in local currency]]/EXR)</f>
        <v>-241.79359305135949</v>
      </c>
      <c r="GI67" s="10">
        <f>Data_FAGLL03[[#This Row],[Time Stamp]]+TIME(7,0,0)</f>
        <v>46116.71331018518</v>
      </c>
      <c r="GJ67" s="18">
        <f>MONTH(Data_FAGLL03[[#This Row],[Time Stamp_VN]])</f>
        <v>4</v>
      </c>
      <c r="GK67">
        <f>DAY(Data_FAGLL03[[#This Row],[Time Stamp_VN]])</f>
        <v>4</v>
      </c>
      <c r="GL67" t="str">
        <f>TEXT(Data_FAGLL03[[#This Row],[Tháng]],"00")&amp;" | "&amp;TEXT(Data_FAGLL03[[#This Row],[Ngày]],"00")</f>
        <v>04 | 04</v>
      </c>
      <c r="GM67" s="18">
        <f>IF(Data_FAGLL03[[#This Row],[Text]]="",Data_FAGLL03[[#This Row],[Quantity_Original]],0)</f>
        <v>-200</v>
      </c>
      <c r="GN67" s="18" t="str">
        <f>IF(Data_FAGLL03[[#This Row],[Quantity_Edited]]&lt;&gt;0,Data_FAGLL03[[#This Row],[Offsetting acct no.]]&amp;" | "&amp;Data_FAGLL03[[#This Row],[Material]],"")</f>
        <v>105397 | 110000354</v>
      </c>
      <c r="GO67" t="str">
        <f>IF(LEFT(Data_FAGLL03[[#This Row],[Offsetting acct no.]],1)="1","NĐ",IF(LEFT(Data_FAGLL03[[#This Row],[Offsetting acct no.]],1)="2","XK","Khác"))</f>
        <v>NĐ</v>
      </c>
      <c r="GP67" t="str">
        <f>IF(Data_FAGLL03[[#This Row],[Material]]&lt;&gt;"",_xlfn.XLOOKUP(Data_FAGLL03[[#This Row],[Material]],MD_SKU[Mã SKU],MD_SKU[Tên SKU]),"")</f>
        <v>Hạt nhựa rPET WSS01G 1</v>
      </c>
      <c r="GQ67" t="str">
        <f>IF(Data_FAGLL03[[#This Row],[Material]]&lt;&gt;"",_xlfn.XLOOKUP(Data_FAGLL03[[#This Row],[Material]],MD_SKU[Mã SKU],MD_SKU[Nhóm SP 1]),"")</f>
        <v>rPET</v>
      </c>
      <c r="GR67" t="str">
        <f>IF(Data_FAGLL03[[#This Row],[Material]]&lt;&gt;"",_xlfn.XLOOKUP(Data_FAGLL03[[#This Row],[Material]],MD_SKU[Mã SKU],MD_SKU[Nhóm SP 2]),"")</f>
        <v>rPET</v>
      </c>
      <c r="GS67" t="str">
        <f>IF(Data_FAGLL03[[#This Row],[Material]]&lt;&gt;"",_xlfn.XLOOKUP(Data_FAGLL03[[#This Row],[Material]],MD_SKU[Mã SKU],MD_SKU[Nhóm SP 3]),"")</f>
        <v>rPET</v>
      </c>
      <c r="GT67" t="str">
        <f>IF(Data_FAGLL03[[#This Row],[Material]]&lt;&gt;"",_xlfn.XLOOKUP(Data_FAGLL03[[#This Row],[Material]],MD_SKU[Mã SKU],MD_SKU[Nhóm SP 4]),"")</f>
        <v>Hạt rPET</v>
      </c>
    </row>
    <row r="68" spans="1:202" x14ac:dyDescent="0.25">
      <c r="A68" t="s">
        <v>0</v>
      </c>
      <c r="B68" s="2">
        <v>46116</v>
      </c>
      <c r="C68" t="s">
        <v>2238</v>
      </c>
      <c r="D68" t="s">
        <v>1</v>
      </c>
      <c r="E68" t="s">
        <v>1</v>
      </c>
      <c r="F68" t="s">
        <v>31</v>
      </c>
      <c r="G68" t="s">
        <v>31</v>
      </c>
      <c r="H68" t="s">
        <v>2024</v>
      </c>
      <c r="I68" s="19">
        <v>-159170000</v>
      </c>
      <c r="J68" t="s">
        <v>2025</v>
      </c>
      <c r="K68" t="s">
        <v>1</v>
      </c>
      <c r="L68" t="s">
        <v>39</v>
      </c>
      <c r="M68" t="s">
        <v>41</v>
      </c>
      <c r="N68" t="s">
        <v>254</v>
      </c>
      <c r="O68" t="s">
        <v>4</v>
      </c>
      <c r="P68" t="s">
        <v>2239</v>
      </c>
      <c r="Q68" t="s">
        <v>31</v>
      </c>
      <c r="R68" t="s">
        <v>5</v>
      </c>
      <c r="S68" t="s">
        <v>1</v>
      </c>
      <c r="T68" s="3">
        <v>-159170000</v>
      </c>
      <c r="U68" s="19">
        <v>-159170000</v>
      </c>
      <c r="V68" s="3">
        <v>-159170000</v>
      </c>
      <c r="W68" s="3">
        <v>-159170000</v>
      </c>
      <c r="X68" s="4">
        <v>0</v>
      </c>
      <c r="Y68" s="4">
        <v>0</v>
      </c>
      <c r="Z68" s="3">
        <v>0</v>
      </c>
      <c r="AA68" s="3">
        <v>0</v>
      </c>
      <c r="AB68" t="s">
        <v>1</v>
      </c>
      <c r="AC68" t="s">
        <v>24</v>
      </c>
      <c r="AD68" s="2"/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25</v>
      </c>
      <c r="AK68" s="4">
        <v>0</v>
      </c>
      <c r="AL68" t="s">
        <v>1</v>
      </c>
      <c r="AM68" s="5" t="s">
        <v>1</v>
      </c>
      <c r="AN68" t="s">
        <v>1</v>
      </c>
      <c r="AO68" s="2"/>
      <c r="AP68" t="s">
        <v>1</v>
      </c>
      <c r="AQ68" t="s">
        <v>1</v>
      </c>
      <c r="AR68" s="3">
        <v>0</v>
      </c>
      <c r="AS68" t="s">
        <v>1</v>
      </c>
      <c r="AT68" t="s">
        <v>7</v>
      </c>
      <c r="AU68" t="s">
        <v>1</v>
      </c>
      <c r="AV68" t="s">
        <v>1</v>
      </c>
      <c r="AW68" t="s">
        <v>8</v>
      </c>
      <c r="AX68" t="s">
        <v>8</v>
      </c>
      <c r="AY68" t="s">
        <v>1</v>
      </c>
      <c r="AZ68" s="4">
        <v>0</v>
      </c>
      <c r="BA68" t="s">
        <v>1</v>
      </c>
      <c r="BB68" s="3">
        <v>0</v>
      </c>
      <c r="BC68" s="3">
        <v>0</v>
      </c>
      <c r="BD68" s="3">
        <v>0</v>
      </c>
      <c r="BE68" t="s">
        <v>20</v>
      </c>
      <c r="BF68" t="s">
        <v>1</v>
      </c>
      <c r="BG68" s="4">
        <v>0</v>
      </c>
      <c r="BH68" s="4">
        <v>0</v>
      </c>
      <c r="BI68" s="6">
        <v>0</v>
      </c>
      <c r="BJ68" s="6">
        <v>0</v>
      </c>
      <c r="BK68" t="s">
        <v>1</v>
      </c>
      <c r="BL68" t="s">
        <v>1</v>
      </c>
      <c r="BM68" t="s">
        <v>1</v>
      </c>
      <c r="BN68" t="s">
        <v>9</v>
      </c>
      <c r="BO68" s="2">
        <v>46116</v>
      </c>
      <c r="BP68" t="s">
        <v>1</v>
      </c>
      <c r="BQ68" t="s">
        <v>2238</v>
      </c>
      <c r="BR68" t="s">
        <v>27</v>
      </c>
      <c r="BS68" t="s">
        <v>1</v>
      </c>
      <c r="BT68" t="s">
        <v>1</v>
      </c>
      <c r="BU68" t="s">
        <v>1</v>
      </c>
      <c r="BV68" t="s">
        <v>1</v>
      </c>
      <c r="BW68" t="s">
        <v>7</v>
      </c>
      <c r="BX68" t="s">
        <v>10</v>
      </c>
      <c r="BY68" s="2"/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254</v>
      </c>
      <c r="CJ68" s="3">
        <v>-159170000</v>
      </c>
      <c r="CK68" t="s">
        <v>9</v>
      </c>
      <c r="CL68" t="s">
        <v>11</v>
      </c>
      <c r="CM68" t="s">
        <v>1</v>
      </c>
      <c r="CN68" s="4">
        <v>0</v>
      </c>
      <c r="CO68" t="s">
        <v>7</v>
      </c>
      <c r="CP68" t="s">
        <v>7</v>
      </c>
      <c r="CQ68" t="s">
        <v>7</v>
      </c>
      <c r="CR68" t="s">
        <v>7</v>
      </c>
      <c r="CS68" s="4">
        <v>0</v>
      </c>
      <c r="CT68" t="s">
        <v>2238</v>
      </c>
      <c r="CU68" t="s">
        <v>7</v>
      </c>
      <c r="CV68" t="s">
        <v>1</v>
      </c>
      <c r="CW68" s="2"/>
      <c r="CX68" t="s">
        <v>12</v>
      </c>
      <c r="CY68" t="s">
        <v>1</v>
      </c>
      <c r="CZ68" t="s">
        <v>13</v>
      </c>
      <c r="DA68" t="s">
        <v>1</v>
      </c>
      <c r="DB68" t="s">
        <v>9</v>
      </c>
      <c r="DC68" t="s">
        <v>9</v>
      </c>
      <c r="DD68" t="s">
        <v>1</v>
      </c>
      <c r="DE68" t="s">
        <v>1</v>
      </c>
      <c r="DF68" t="s">
        <v>1</v>
      </c>
      <c r="DG68" t="s">
        <v>33</v>
      </c>
      <c r="DH68" t="s">
        <v>1</v>
      </c>
      <c r="DI68" s="2"/>
      <c r="DJ68" t="s">
        <v>1</v>
      </c>
      <c r="DK68" t="s">
        <v>14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s="2"/>
      <c r="DW68" t="s">
        <v>1</v>
      </c>
      <c r="DX68" t="s">
        <v>1</v>
      </c>
      <c r="DY68" t="s">
        <v>2240</v>
      </c>
      <c r="DZ68" t="s">
        <v>1</v>
      </c>
      <c r="EA68" t="s">
        <v>1</v>
      </c>
      <c r="EB68" t="s">
        <v>28</v>
      </c>
      <c r="EC68" t="s">
        <v>7</v>
      </c>
      <c r="ED68" t="s">
        <v>1</v>
      </c>
      <c r="EE68" t="s">
        <v>1</v>
      </c>
      <c r="EF68" t="s">
        <v>22</v>
      </c>
      <c r="EG68" t="s">
        <v>41</v>
      </c>
      <c r="EH68" t="s">
        <v>15</v>
      </c>
      <c r="EI68" t="s">
        <v>1</v>
      </c>
      <c r="EJ68" s="19">
        <v>-5500</v>
      </c>
      <c r="EK68" t="s">
        <v>1</v>
      </c>
      <c r="EL68" t="s">
        <v>1</v>
      </c>
      <c r="EM68" t="s">
        <v>1</v>
      </c>
      <c r="EN68" t="s">
        <v>1</v>
      </c>
      <c r="EO68" s="2"/>
      <c r="EP68" t="s">
        <v>2240</v>
      </c>
      <c r="EQ68" t="s">
        <v>1</v>
      </c>
      <c r="ER68" t="s">
        <v>1</v>
      </c>
      <c r="ES68" t="s">
        <v>1</v>
      </c>
      <c r="ET68" t="s">
        <v>29</v>
      </c>
      <c r="EU68" t="s">
        <v>1</v>
      </c>
      <c r="EV68" t="s">
        <v>1</v>
      </c>
      <c r="EW68" t="s">
        <v>7</v>
      </c>
      <c r="EX68" t="s">
        <v>7</v>
      </c>
      <c r="EY68" t="s">
        <v>1</v>
      </c>
      <c r="EZ68" t="s">
        <v>1</v>
      </c>
      <c r="FA68" t="s">
        <v>1</v>
      </c>
      <c r="FB68" s="3">
        <v>50</v>
      </c>
      <c r="FC68" t="s">
        <v>1</v>
      </c>
      <c r="FD68" t="s">
        <v>1</v>
      </c>
      <c r="FE68" t="s">
        <v>1</v>
      </c>
      <c r="FF68" t="s">
        <v>17</v>
      </c>
      <c r="FG68" t="s">
        <v>1</v>
      </c>
      <c r="FH68" t="s">
        <v>1</v>
      </c>
      <c r="FI68" t="s">
        <v>1</v>
      </c>
      <c r="FJ68" t="s">
        <v>1</v>
      </c>
      <c r="FK68" s="7">
        <v>46116.421747685185</v>
      </c>
      <c r="FL68" t="s">
        <v>1</v>
      </c>
      <c r="FM68" t="s">
        <v>1</v>
      </c>
      <c r="FN68" t="s">
        <v>1</v>
      </c>
      <c r="FO68" s="19">
        <v>-159170000</v>
      </c>
      <c r="FP68" s="4">
        <v>0</v>
      </c>
      <c r="FQ68" s="19">
        <v>-159170000</v>
      </c>
      <c r="FR68" s="4">
        <v>0</v>
      </c>
      <c r="FS68" s="4">
        <v>0</v>
      </c>
      <c r="FT68" s="4">
        <v>0</v>
      </c>
      <c r="FU68" s="2">
        <v>46116</v>
      </c>
      <c r="FV68" t="s">
        <v>1</v>
      </c>
      <c r="FW68" s="4">
        <v>0</v>
      </c>
      <c r="FX68" t="s">
        <v>1</v>
      </c>
      <c r="FY68" t="s">
        <v>1</v>
      </c>
      <c r="FZ68" s="4">
        <v>0</v>
      </c>
      <c r="GA68" s="4">
        <v>0</v>
      </c>
      <c r="GB68" t="s">
        <v>2070</v>
      </c>
      <c r="GC68" t="str">
        <f>RIGHT(Data_FAGLL03[[#This Row],[Payment reference]],8)</f>
        <v>91172579</v>
      </c>
      <c r="GD68" t="str">
        <f>IF(Data_FAGLL03[[#This Row],[Billing]]&lt;&gt;"",_xlfn.XLOOKUP(Data_FAGLL03[[#This Row],[Billing]],MD_BILLING_SO[BILIING],MD_BILLING_SO[SO-EDITED]),"")</f>
        <v>30030643</v>
      </c>
      <c r="GE68" s="18">
        <f>IF(SUBSTITUTE(Data_FAGLL03[[#This Row],[Eff.exchange rate]],",","")/100000=1,1,SUBSTITUTE(Data_FAGLL03[[#This Row],[Eff.exchange rate]],",","")/100)</f>
        <v>1</v>
      </c>
      <c r="GF68" s="17">
        <f>IF(Data_FAGLL03[[#This Row],[Material]]&lt;&gt;"",IFERROR(Data_FAGLL03[[#This Row],[Amount in local currency]]/Data_FAGLL03[[#This Row],[Quantity_Original]],0),0)</f>
        <v>28940</v>
      </c>
      <c r="GG68" s="18">
        <f>IF(Data_FAGLL03[[#This Row],[XK/NĐ]]="XK",Data_FAGLL03[[#This Row],[GB trung bình]]/Data_FAGLL03[[#This Row],[EXR]],0)*1000</f>
        <v>0</v>
      </c>
      <c r="GH68" s="18" cm="1">
        <f t="array" ref="GH68">IF(Data_FAGLL03[[#This Row],[Document currency]]&lt;&gt;"VND",Data_FAGLL03[[#This Row],[Amount in doc. curr.]],Data_FAGLL03[[#This Row],[Amount in local currency]]/EXR)</f>
        <v>-6063.1240478267209</v>
      </c>
      <c r="GI68" s="10">
        <f>Data_FAGLL03[[#This Row],[Time Stamp]]+TIME(7,0,0)</f>
        <v>46116.713414351849</v>
      </c>
      <c r="GJ68" s="18">
        <f>MONTH(Data_FAGLL03[[#This Row],[Time Stamp_VN]])</f>
        <v>4</v>
      </c>
      <c r="GK68">
        <f>DAY(Data_FAGLL03[[#This Row],[Time Stamp_VN]])</f>
        <v>4</v>
      </c>
      <c r="GL68" t="str">
        <f>TEXT(Data_FAGLL03[[#This Row],[Tháng]],"00")&amp;" | "&amp;TEXT(Data_FAGLL03[[#This Row],[Ngày]],"00")</f>
        <v>04 | 04</v>
      </c>
      <c r="GM68" s="18">
        <f>IF(Data_FAGLL03[[#This Row],[Text]]="",Data_FAGLL03[[#This Row],[Quantity_Original]],0)</f>
        <v>-5500</v>
      </c>
      <c r="GN68" s="18" t="str">
        <f>IF(Data_FAGLL03[[#This Row],[Quantity_Edited]]&lt;&gt;0,Data_FAGLL03[[#This Row],[Offsetting acct no.]]&amp;" | "&amp;Data_FAGLL03[[#This Row],[Material]],"")</f>
        <v>105266 | 110000354</v>
      </c>
      <c r="GO68" t="str">
        <f>IF(LEFT(Data_FAGLL03[[#This Row],[Offsetting acct no.]],1)="1","NĐ",IF(LEFT(Data_FAGLL03[[#This Row],[Offsetting acct no.]],1)="2","XK","Khác"))</f>
        <v>NĐ</v>
      </c>
      <c r="GP68" t="str">
        <f>IF(Data_FAGLL03[[#This Row],[Material]]&lt;&gt;"",_xlfn.XLOOKUP(Data_FAGLL03[[#This Row],[Material]],MD_SKU[Mã SKU],MD_SKU[Tên SKU]),"")</f>
        <v>Hạt nhựa rPET WSS01G 1</v>
      </c>
      <c r="GQ68" t="str">
        <f>IF(Data_FAGLL03[[#This Row],[Material]]&lt;&gt;"",_xlfn.XLOOKUP(Data_FAGLL03[[#This Row],[Material]],MD_SKU[Mã SKU],MD_SKU[Nhóm SP 1]),"")</f>
        <v>rPET</v>
      </c>
      <c r="GR68" t="str">
        <f>IF(Data_FAGLL03[[#This Row],[Material]]&lt;&gt;"",_xlfn.XLOOKUP(Data_FAGLL03[[#This Row],[Material]],MD_SKU[Mã SKU],MD_SKU[Nhóm SP 2]),"")</f>
        <v>rPET</v>
      </c>
      <c r="GS68" t="str">
        <f>IF(Data_FAGLL03[[#This Row],[Material]]&lt;&gt;"",_xlfn.XLOOKUP(Data_FAGLL03[[#This Row],[Material]],MD_SKU[Mã SKU],MD_SKU[Nhóm SP 3]),"")</f>
        <v>rPET</v>
      </c>
      <c r="GT68" t="str">
        <f>IF(Data_FAGLL03[[#This Row],[Material]]&lt;&gt;"",_xlfn.XLOOKUP(Data_FAGLL03[[#This Row],[Material]],MD_SKU[Mã SKU],MD_SKU[Nhóm SP 4]),"")</f>
        <v>Hạt rPET</v>
      </c>
    </row>
    <row r="69" spans="1:202" x14ac:dyDescent="0.25">
      <c r="A69" t="s">
        <v>0</v>
      </c>
      <c r="B69" s="2">
        <v>46116</v>
      </c>
      <c r="C69" t="s">
        <v>2241</v>
      </c>
      <c r="D69" t="s">
        <v>1</v>
      </c>
      <c r="E69" t="s">
        <v>1</v>
      </c>
      <c r="F69" t="s">
        <v>31</v>
      </c>
      <c r="G69" t="s">
        <v>31</v>
      </c>
      <c r="H69" t="s">
        <v>2028</v>
      </c>
      <c r="I69" s="19">
        <v>-178325400</v>
      </c>
      <c r="J69" t="s">
        <v>2029</v>
      </c>
      <c r="K69" t="s">
        <v>1</v>
      </c>
      <c r="L69" t="s">
        <v>39</v>
      </c>
      <c r="M69" t="s">
        <v>41</v>
      </c>
      <c r="N69" t="s">
        <v>254</v>
      </c>
      <c r="O69" t="s">
        <v>4</v>
      </c>
      <c r="P69" t="s">
        <v>2242</v>
      </c>
      <c r="Q69" t="s">
        <v>31</v>
      </c>
      <c r="R69" t="s">
        <v>5</v>
      </c>
      <c r="S69" t="s">
        <v>1</v>
      </c>
      <c r="T69" s="3">
        <v>-178325400</v>
      </c>
      <c r="U69" s="19">
        <v>-178325400</v>
      </c>
      <c r="V69" s="3">
        <v>-178325400</v>
      </c>
      <c r="W69" s="3">
        <v>-178325400</v>
      </c>
      <c r="X69" s="4">
        <v>0</v>
      </c>
      <c r="Y69" s="4">
        <v>0</v>
      </c>
      <c r="Z69" s="3">
        <v>0</v>
      </c>
      <c r="AA69" s="3">
        <v>0</v>
      </c>
      <c r="AB69" t="s">
        <v>1</v>
      </c>
      <c r="AC69" t="s">
        <v>24</v>
      </c>
      <c r="AD69" s="2"/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25</v>
      </c>
      <c r="AK69" s="4">
        <v>0</v>
      </c>
      <c r="AL69" t="s">
        <v>1</v>
      </c>
      <c r="AM69" s="5" t="s">
        <v>1</v>
      </c>
      <c r="AN69" t="s">
        <v>1</v>
      </c>
      <c r="AO69" s="2"/>
      <c r="AP69" t="s">
        <v>1</v>
      </c>
      <c r="AQ69" t="s">
        <v>1</v>
      </c>
      <c r="AR69" s="3">
        <v>0</v>
      </c>
      <c r="AS69" t="s">
        <v>1</v>
      </c>
      <c r="AT69" t="s">
        <v>7</v>
      </c>
      <c r="AU69" t="s">
        <v>1</v>
      </c>
      <c r="AV69" t="s">
        <v>1</v>
      </c>
      <c r="AW69" t="s">
        <v>8</v>
      </c>
      <c r="AX69" t="s">
        <v>8</v>
      </c>
      <c r="AY69" t="s">
        <v>1</v>
      </c>
      <c r="AZ69" s="4">
        <v>0</v>
      </c>
      <c r="BA69" t="s">
        <v>1</v>
      </c>
      <c r="BB69" s="3">
        <v>0</v>
      </c>
      <c r="BC69" s="3">
        <v>0</v>
      </c>
      <c r="BD69" s="3">
        <v>0</v>
      </c>
      <c r="BE69" t="s">
        <v>20</v>
      </c>
      <c r="BF69" t="s">
        <v>1</v>
      </c>
      <c r="BG69" s="4">
        <v>0</v>
      </c>
      <c r="BH69" s="4">
        <v>0</v>
      </c>
      <c r="BI69" s="6">
        <v>0</v>
      </c>
      <c r="BJ69" s="6">
        <v>0</v>
      </c>
      <c r="BK69" t="s">
        <v>1</v>
      </c>
      <c r="BL69" t="s">
        <v>1</v>
      </c>
      <c r="BM69" t="s">
        <v>1</v>
      </c>
      <c r="BN69" t="s">
        <v>9</v>
      </c>
      <c r="BO69" s="2">
        <v>46116</v>
      </c>
      <c r="BP69" t="s">
        <v>1</v>
      </c>
      <c r="BQ69" t="s">
        <v>2241</v>
      </c>
      <c r="BR69" t="s">
        <v>27</v>
      </c>
      <c r="BS69" t="s">
        <v>1</v>
      </c>
      <c r="BT69" t="s">
        <v>1</v>
      </c>
      <c r="BU69" t="s">
        <v>1</v>
      </c>
      <c r="BV69" t="s">
        <v>1</v>
      </c>
      <c r="BW69" t="s">
        <v>7</v>
      </c>
      <c r="BX69" t="s">
        <v>10</v>
      </c>
      <c r="BY69" s="2"/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254</v>
      </c>
      <c r="CJ69" s="3">
        <v>-178325400</v>
      </c>
      <c r="CK69" t="s">
        <v>9</v>
      </c>
      <c r="CL69" t="s">
        <v>11</v>
      </c>
      <c r="CM69" t="s">
        <v>1</v>
      </c>
      <c r="CN69" s="4">
        <v>0</v>
      </c>
      <c r="CO69" t="s">
        <v>7</v>
      </c>
      <c r="CP69" t="s">
        <v>7</v>
      </c>
      <c r="CQ69" t="s">
        <v>7</v>
      </c>
      <c r="CR69" t="s">
        <v>7</v>
      </c>
      <c r="CS69" s="4">
        <v>0</v>
      </c>
      <c r="CT69" t="s">
        <v>2241</v>
      </c>
      <c r="CU69" t="s">
        <v>7</v>
      </c>
      <c r="CV69" t="s">
        <v>1</v>
      </c>
      <c r="CW69" s="2"/>
      <c r="CX69" t="s">
        <v>12</v>
      </c>
      <c r="CY69" t="s">
        <v>1</v>
      </c>
      <c r="CZ69" t="s">
        <v>13</v>
      </c>
      <c r="DA69" t="s">
        <v>1</v>
      </c>
      <c r="DB69" t="s">
        <v>9</v>
      </c>
      <c r="DC69" t="s">
        <v>9</v>
      </c>
      <c r="DD69" t="s">
        <v>1</v>
      </c>
      <c r="DE69" t="s">
        <v>1</v>
      </c>
      <c r="DF69" t="s">
        <v>1</v>
      </c>
      <c r="DG69" t="s">
        <v>1001</v>
      </c>
      <c r="DH69" t="s">
        <v>1</v>
      </c>
      <c r="DI69" s="2"/>
      <c r="DJ69" t="s">
        <v>1</v>
      </c>
      <c r="DK69" t="s">
        <v>14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s="2"/>
      <c r="DW69" t="s">
        <v>1</v>
      </c>
      <c r="DX69" t="s">
        <v>1</v>
      </c>
      <c r="DY69" t="s">
        <v>2243</v>
      </c>
      <c r="DZ69" t="s">
        <v>1</v>
      </c>
      <c r="EA69" t="s">
        <v>1</v>
      </c>
      <c r="EB69" t="s">
        <v>28</v>
      </c>
      <c r="EC69" t="s">
        <v>7</v>
      </c>
      <c r="ED69" t="s">
        <v>1</v>
      </c>
      <c r="EE69" t="s">
        <v>1</v>
      </c>
      <c r="EF69" t="s">
        <v>22</v>
      </c>
      <c r="EG69" t="s">
        <v>41</v>
      </c>
      <c r="EH69" t="s">
        <v>15</v>
      </c>
      <c r="EI69" t="s">
        <v>1</v>
      </c>
      <c r="EJ69" s="19">
        <v>-8250</v>
      </c>
      <c r="EK69" t="s">
        <v>1</v>
      </c>
      <c r="EL69" t="s">
        <v>1</v>
      </c>
      <c r="EM69" t="s">
        <v>1</v>
      </c>
      <c r="EN69" t="s">
        <v>1</v>
      </c>
      <c r="EO69" s="2"/>
      <c r="EP69" t="s">
        <v>2243</v>
      </c>
      <c r="EQ69" t="s">
        <v>1</v>
      </c>
      <c r="ER69" t="s">
        <v>1</v>
      </c>
      <c r="ES69" t="s">
        <v>1</v>
      </c>
      <c r="ET69" t="s">
        <v>29</v>
      </c>
      <c r="EU69" t="s">
        <v>1</v>
      </c>
      <c r="EV69" t="s">
        <v>1</v>
      </c>
      <c r="EW69" t="s">
        <v>7</v>
      </c>
      <c r="EX69" t="s">
        <v>7</v>
      </c>
      <c r="EY69" t="s">
        <v>1</v>
      </c>
      <c r="EZ69" t="s">
        <v>1</v>
      </c>
      <c r="FA69" t="s">
        <v>1</v>
      </c>
      <c r="FB69" s="3">
        <v>50</v>
      </c>
      <c r="FC69" t="s">
        <v>1</v>
      </c>
      <c r="FD69" t="s">
        <v>1</v>
      </c>
      <c r="FE69" t="s">
        <v>1</v>
      </c>
      <c r="FF69" t="s">
        <v>17</v>
      </c>
      <c r="FG69" t="s">
        <v>1</v>
      </c>
      <c r="FH69" t="s">
        <v>1</v>
      </c>
      <c r="FI69" t="s">
        <v>1</v>
      </c>
      <c r="FJ69" t="s">
        <v>1</v>
      </c>
      <c r="FK69" s="7">
        <v>46116.421875</v>
      </c>
      <c r="FL69" t="s">
        <v>1</v>
      </c>
      <c r="FM69" t="s">
        <v>1</v>
      </c>
      <c r="FN69" t="s">
        <v>1</v>
      </c>
      <c r="FO69" s="19">
        <v>-178325400</v>
      </c>
      <c r="FP69" s="4">
        <v>0</v>
      </c>
      <c r="FQ69" s="19">
        <v>-178325400</v>
      </c>
      <c r="FR69" s="4">
        <v>0</v>
      </c>
      <c r="FS69" s="4">
        <v>0</v>
      </c>
      <c r="FT69" s="4">
        <v>0</v>
      </c>
      <c r="FU69" s="2">
        <v>46116</v>
      </c>
      <c r="FV69" t="s">
        <v>1</v>
      </c>
      <c r="FW69" s="4">
        <v>0</v>
      </c>
      <c r="FX69" t="s">
        <v>1</v>
      </c>
      <c r="FY69" t="s">
        <v>1</v>
      </c>
      <c r="FZ69" s="4">
        <v>0</v>
      </c>
      <c r="GA69" s="4">
        <v>0</v>
      </c>
      <c r="GB69" t="s">
        <v>2070</v>
      </c>
      <c r="GC69" t="str">
        <f>RIGHT(Data_FAGLL03[[#This Row],[Payment reference]],8)</f>
        <v>91172580</v>
      </c>
      <c r="GD69" t="str">
        <f>IF(Data_FAGLL03[[#This Row],[Billing]]&lt;&gt;"",_xlfn.XLOOKUP(Data_FAGLL03[[#This Row],[Billing]],MD_BILLING_SO[BILIING],MD_BILLING_SO[SO-EDITED]),"")</f>
        <v>30030712</v>
      </c>
      <c r="GE69" s="18">
        <f>IF(SUBSTITUTE(Data_FAGLL03[[#This Row],[Eff.exchange rate]],",","")/100000=1,1,SUBSTITUTE(Data_FAGLL03[[#This Row],[Eff.exchange rate]],",","")/100)</f>
        <v>1</v>
      </c>
      <c r="GF69" s="17">
        <f>IF(Data_FAGLL03[[#This Row],[Material]]&lt;&gt;"",IFERROR(Data_FAGLL03[[#This Row],[Amount in local currency]]/Data_FAGLL03[[#This Row],[Quantity_Original]],0),0)</f>
        <v>21615.200000000001</v>
      </c>
      <c r="GG69" s="18">
        <f>IF(Data_FAGLL03[[#This Row],[XK/NĐ]]="XK",Data_FAGLL03[[#This Row],[GB trung bình]]/Data_FAGLL03[[#This Row],[EXR]],0)*1000</f>
        <v>0</v>
      </c>
      <c r="GH69" s="18" cm="1">
        <f t="array" ref="GH69">IF(Data_FAGLL03[[#This Row],[Document currency]]&lt;&gt;"VND",Data_FAGLL03[[#This Row],[Amount in doc. curr.]],Data_FAGLL03[[#This Row],[Amount in local currency]]/EXR)</f>
        <v>-6792.7940006176987</v>
      </c>
      <c r="GI69" s="10">
        <f>Data_FAGLL03[[#This Row],[Time Stamp]]+TIME(7,0,0)</f>
        <v>46116.713541666664</v>
      </c>
      <c r="GJ69" s="18">
        <f>MONTH(Data_FAGLL03[[#This Row],[Time Stamp_VN]])</f>
        <v>4</v>
      </c>
      <c r="GK69">
        <f>DAY(Data_FAGLL03[[#This Row],[Time Stamp_VN]])</f>
        <v>4</v>
      </c>
      <c r="GL69" t="str">
        <f>TEXT(Data_FAGLL03[[#This Row],[Tháng]],"00")&amp;" | "&amp;TEXT(Data_FAGLL03[[#This Row],[Ngày]],"00")</f>
        <v>04 | 04</v>
      </c>
      <c r="GM69" s="18">
        <f>IF(Data_FAGLL03[[#This Row],[Text]]="",Data_FAGLL03[[#This Row],[Quantity_Original]],0)</f>
        <v>-8250</v>
      </c>
      <c r="GN69" s="18" t="str">
        <f>IF(Data_FAGLL03[[#This Row],[Quantity_Edited]]&lt;&gt;0,Data_FAGLL03[[#This Row],[Offsetting acct no.]]&amp;" | "&amp;Data_FAGLL03[[#This Row],[Material]],"")</f>
        <v>105362 | 110000393</v>
      </c>
      <c r="GO69" t="str">
        <f>IF(LEFT(Data_FAGLL03[[#This Row],[Offsetting acct no.]],1)="1","NĐ",IF(LEFT(Data_FAGLL03[[#This Row],[Offsetting acct no.]],1)="2","XK","Khác"))</f>
        <v>NĐ</v>
      </c>
      <c r="GP69" t="str">
        <f>IF(Data_FAGLL03[[#This Row],[Material]]&lt;&gt;"",_xlfn.XLOOKUP(Data_FAGLL03[[#This Row],[Material]],MD_SKU[Mã SKU],MD_SKU[Tên SKU]),"")</f>
        <v>Hạt nhựa rPP20Be01</v>
      </c>
      <c r="GQ69" t="str">
        <f>IF(Data_FAGLL03[[#This Row],[Material]]&lt;&gt;"",_xlfn.XLOOKUP(Data_FAGLL03[[#This Row],[Material]],MD_SKU[Mã SKU],MD_SKU[Nhóm SP 1]),"")</f>
        <v>rPP</v>
      </c>
      <c r="GR69" t="str">
        <f>IF(Data_FAGLL03[[#This Row],[Material]]&lt;&gt;"",_xlfn.XLOOKUP(Data_FAGLL03[[#This Row],[Material]],MD_SKU[Mã SKU],MD_SKU[Nhóm SP 2]),"")</f>
        <v>rPP</v>
      </c>
      <c r="GS69" t="str">
        <f>IF(Data_FAGLL03[[#This Row],[Material]]&lt;&gt;"",_xlfn.XLOOKUP(Data_FAGLL03[[#This Row],[Material]],MD_SKU[Mã SKU],MD_SKU[Nhóm SP 3]),"")</f>
        <v>rPP</v>
      </c>
      <c r="GT69" t="str">
        <f>IF(Data_FAGLL03[[#This Row],[Material]]&lt;&gt;"",_xlfn.XLOOKUP(Data_FAGLL03[[#This Row],[Material]],MD_SKU[Mã SKU],MD_SKU[Nhóm SP 4]),"")</f>
        <v>Hạt rPP</v>
      </c>
    </row>
    <row r="70" spans="1:202" x14ac:dyDescent="0.25">
      <c r="A70" t="s">
        <v>0</v>
      </c>
      <c r="B70" s="2">
        <v>46116</v>
      </c>
      <c r="C70" t="s">
        <v>2244</v>
      </c>
      <c r="D70" t="s">
        <v>1</v>
      </c>
      <c r="E70" t="s">
        <v>1</v>
      </c>
      <c r="F70" t="s">
        <v>31</v>
      </c>
      <c r="G70" t="s">
        <v>31</v>
      </c>
      <c r="H70" t="s">
        <v>2028</v>
      </c>
      <c r="I70" s="19">
        <v>-145902600</v>
      </c>
      <c r="J70" t="s">
        <v>2029</v>
      </c>
      <c r="K70" t="s">
        <v>1</v>
      </c>
      <c r="L70" t="s">
        <v>39</v>
      </c>
      <c r="M70" t="s">
        <v>41</v>
      </c>
      <c r="N70" t="s">
        <v>254</v>
      </c>
      <c r="O70" t="s">
        <v>4</v>
      </c>
      <c r="P70" t="s">
        <v>2245</v>
      </c>
      <c r="Q70" t="s">
        <v>31</v>
      </c>
      <c r="R70" t="s">
        <v>5</v>
      </c>
      <c r="S70" t="s">
        <v>1</v>
      </c>
      <c r="T70" s="3">
        <v>-145902600</v>
      </c>
      <c r="U70" s="19">
        <v>-145902600</v>
      </c>
      <c r="V70" s="3">
        <v>-145902600</v>
      </c>
      <c r="W70" s="3">
        <v>-145902600</v>
      </c>
      <c r="X70" s="4">
        <v>0</v>
      </c>
      <c r="Y70" s="4">
        <v>0</v>
      </c>
      <c r="Z70" s="3">
        <v>0</v>
      </c>
      <c r="AA70" s="3">
        <v>0</v>
      </c>
      <c r="AB70" t="s">
        <v>1</v>
      </c>
      <c r="AC70" t="s">
        <v>24</v>
      </c>
      <c r="AD70" s="2"/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25</v>
      </c>
      <c r="AK70" s="4">
        <v>0</v>
      </c>
      <c r="AL70" t="s">
        <v>1</v>
      </c>
      <c r="AM70" s="5" t="s">
        <v>1</v>
      </c>
      <c r="AN70" t="s">
        <v>1</v>
      </c>
      <c r="AO70" s="2"/>
      <c r="AP70" t="s">
        <v>1</v>
      </c>
      <c r="AQ70" t="s">
        <v>1</v>
      </c>
      <c r="AR70" s="3">
        <v>0</v>
      </c>
      <c r="AS70" t="s">
        <v>1</v>
      </c>
      <c r="AT70" t="s">
        <v>7</v>
      </c>
      <c r="AU70" t="s">
        <v>1</v>
      </c>
      <c r="AV70" t="s">
        <v>1</v>
      </c>
      <c r="AW70" t="s">
        <v>8</v>
      </c>
      <c r="AX70" t="s">
        <v>8</v>
      </c>
      <c r="AY70" t="s">
        <v>1</v>
      </c>
      <c r="AZ70" s="4">
        <v>0</v>
      </c>
      <c r="BA70" t="s">
        <v>1</v>
      </c>
      <c r="BB70" s="3">
        <v>0</v>
      </c>
      <c r="BC70" s="3">
        <v>0</v>
      </c>
      <c r="BD70" s="3">
        <v>0</v>
      </c>
      <c r="BE70" t="s">
        <v>20</v>
      </c>
      <c r="BF70" t="s">
        <v>1</v>
      </c>
      <c r="BG70" s="4">
        <v>0</v>
      </c>
      <c r="BH70" s="4">
        <v>0</v>
      </c>
      <c r="BI70" s="6">
        <v>0</v>
      </c>
      <c r="BJ70" s="6">
        <v>0</v>
      </c>
      <c r="BK70" t="s">
        <v>1</v>
      </c>
      <c r="BL70" t="s">
        <v>1</v>
      </c>
      <c r="BM70" t="s">
        <v>1</v>
      </c>
      <c r="BN70" t="s">
        <v>9</v>
      </c>
      <c r="BO70" s="2">
        <v>46116</v>
      </c>
      <c r="BP70" t="s">
        <v>1</v>
      </c>
      <c r="BQ70" t="s">
        <v>2244</v>
      </c>
      <c r="BR70" t="s">
        <v>27</v>
      </c>
      <c r="BS70" t="s">
        <v>1</v>
      </c>
      <c r="BT70" t="s">
        <v>1</v>
      </c>
      <c r="BU70" t="s">
        <v>1</v>
      </c>
      <c r="BV70" t="s">
        <v>1</v>
      </c>
      <c r="BW70" t="s">
        <v>7</v>
      </c>
      <c r="BX70" t="s">
        <v>10</v>
      </c>
      <c r="BY70" s="2"/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254</v>
      </c>
      <c r="CJ70" s="3">
        <v>-145902600</v>
      </c>
      <c r="CK70" t="s">
        <v>9</v>
      </c>
      <c r="CL70" t="s">
        <v>11</v>
      </c>
      <c r="CM70" t="s">
        <v>1</v>
      </c>
      <c r="CN70" s="4">
        <v>0</v>
      </c>
      <c r="CO70" t="s">
        <v>7</v>
      </c>
      <c r="CP70" t="s">
        <v>7</v>
      </c>
      <c r="CQ70" t="s">
        <v>7</v>
      </c>
      <c r="CR70" t="s">
        <v>7</v>
      </c>
      <c r="CS70" s="4">
        <v>0</v>
      </c>
      <c r="CT70" t="s">
        <v>2244</v>
      </c>
      <c r="CU70" t="s">
        <v>7</v>
      </c>
      <c r="CV70" t="s">
        <v>1</v>
      </c>
      <c r="CW70" s="2"/>
      <c r="CX70" t="s">
        <v>12</v>
      </c>
      <c r="CY70" t="s">
        <v>1</v>
      </c>
      <c r="CZ70" t="s">
        <v>13</v>
      </c>
      <c r="DA70" t="s">
        <v>1</v>
      </c>
      <c r="DB70" t="s">
        <v>9</v>
      </c>
      <c r="DC70" t="s">
        <v>9</v>
      </c>
      <c r="DD70" t="s">
        <v>1</v>
      </c>
      <c r="DE70" t="s">
        <v>1</v>
      </c>
      <c r="DF70" t="s">
        <v>1</v>
      </c>
      <c r="DG70" t="s">
        <v>1001</v>
      </c>
      <c r="DH70" t="s">
        <v>1</v>
      </c>
      <c r="DI70" s="2"/>
      <c r="DJ70" t="s">
        <v>1</v>
      </c>
      <c r="DK70" t="s">
        <v>14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s="2"/>
      <c r="DW70" t="s">
        <v>1</v>
      </c>
      <c r="DX70" t="s">
        <v>1</v>
      </c>
      <c r="DY70" t="s">
        <v>2246</v>
      </c>
      <c r="DZ70" t="s">
        <v>1</v>
      </c>
      <c r="EA70" t="s">
        <v>1</v>
      </c>
      <c r="EB70" t="s">
        <v>28</v>
      </c>
      <c r="EC70" t="s">
        <v>7</v>
      </c>
      <c r="ED70" t="s">
        <v>1</v>
      </c>
      <c r="EE70" t="s">
        <v>1</v>
      </c>
      <c r="EF70" t="s">
        <v>22</v>
      </c>
      <c r="EG70" t="s">
        <v>41</v>
      </c>
      <c r="EH70" t="s">
        <v>15</v>
      </c>
      <c r="EI70" t="s">
        <v>1</v>
      </c>
      <c r="EJ70" s="19">
        <v>-6750</v>
      </c>
      <c r="EK70" t="s">
        <v>1</v>
      </c>
      <c r="EL70" t="s">
        <v>1</v>
      </c>
      <c r="EM70" t="s">
        <v>1</v>
      </c>
      <c r="EN70" t="s">
        <v>1</v>
      </c>
      <c r="EO70" s="2"/>
      <c r="EP70" t="s">
        <v>2246</v>
      </c>
      <c r="EQ70" t="s">
        <v>1</v>
      </c>
      <c r="ER70" t="s">
        <v>1</v>
      </c>
      <c r="ES70" t="s">
        <v>1</v>
      </c>
      <c r="ET70" t="s">
        <v>29</v>
      </c>
      <c r="EU70" t="s">
        <v>1</v>
      </c>
      <c r="EV70" t="s">
        <v>1</v>
      </c>
      <c r="EW70" t="s">
        <v>7</v>
      </c>
      <c r="EX70" t="s">
        <v>7</v>
      </c>
      <c r="EY70" t="s">
        <v>1</v>
      </c>
      <c r="EZ70" t="s">
        <v>1</v>
      </c>
      <c r="FA70" t="s">
        <v>1</v>
      </c>
      <c r="FB70" s="3">
        <v>50</v>
      </c>
      <c r="FC70" t="s">
        <v>1</v>
      </c>
      <c r="FD70" t="s">
        <v>1</v>
      </c>
      <c r="FE70" t="s">
        <v>1</v>
      </c>
      <c r="FF70" t="s">
        <v>17</v>
      </c>
      <c r="FG70" t="s">
        <v>1</v>
      </c>
      <c r="FH70" t="s">
        <v>1</v>
      </c>
      <c r="FI70" t="s">
        <v>1</v>
      </c>
      <c r="FJ70" t="s">
        <v>1</v>
      </c>
      <c r="FK70" s="7">
        <v>46116.422013888892</v>
      </c>
      <c r="FL70" t="s">
        <v>1</v>
      </c>
      <c r="FM70" t="s">
        <v>1</v>
      </c>
      <c r="FN70" t="s">
        <v>1</v>
      </c>
      <c r="FO70" s="19">
        <v>-145902600</v>
      </c>
      <c r="FP70" s="4">
        <v>0</v>
      </c>
      <c r="FQ70" s="19">
        <v>-145902600</v>
      </c>
      <c r="FR70" s="4">
        <v>0</v>
      </c>
      <c r="FS70" s="4">
        <v>0</v>
      </c>
      <c r="FT70" s="4">
        <v>0</v>
      </c>
      <c r="FU70" s="2">
        <v>46116</v>
      </c>
      <c r="FV70" t="s">
        <v>1</v>
      </c>
      <c r="FW70" s="4">
        <v>0</v>
      </c>
      <c r="FX70" t="s">
        <v>1</v>
      </c>
      <c r="FY70" t="s">
        <v>1</v>
      </c>
      <c r="FZ70" s="4">
        <v>0</v>
      </c>
      <c r="GA70" s="4">
        <v>0</v>
      </c>
      <c r="GB70" t="s">
        <v>2070</v>
      </c>
      <c r="GC70" t="str">
        <f>RIGHT(Data_FAGLL03[[#This Row],[Payment reference]],8)</f>
        <v>91172581</v>
      </c>
      <c r="GD70" t="str">
        <f>IF(Data_FAGLL03[[#This Row],[Billing]]&lt;&gt;"",_xlfn.XLOOKUP(Data_FAGLL03[[#This Row],[Billing]],MD_BILLING_SO[BILIING],MD_BILLING_SO[SO-EDITED]),"")</f>
        <v>30030712</v>
      </c>
      <c r="GE70" s="18">
        <f>IF(SUBSTITUTE(Data_FAGLL03[[#This Row],[Eff.exchange rate]],",","")/100000=1,1,SUBSTITUTE(Data_FAGLL03[[#This Row],[Eff.exchange rate]],",","")/100)</f>
        <v>1</v>
      </c>
      <c r="GF70" s="17">
        <f>IF(Data_FAGLL03[[#This Row],[Material]]&lt;&gt;"",IFERROR(Data_FAGLL03[[#This Row],[Amount in local currency]]/Data_FAGLL03[[#This Row],[Quantity_Original]],0),0)</f>
        <v>21615.200000000001</v>
      </c>
      <c r="GG70" s="18">
        <f>IF(Data_FAGLL03[[#This Row],[XK/NĐ]]="XK",Data_FAGLL03[[#This Row],[GB trung bình]]/Data_FAGLL03[[#This Row],[EXR]],0)*1000</f>
        <v>0</v>
      </c>
      <c r="GH70" s="18" cm="1">
        <f t="array" ref="GH70">IF(Data_FAGLL03[[#This Row],[Document currency]]&lt;&gt;"VND",Data_FAGLL03[[#This Row],[Amount in doc. curr.]],Data_FAGLL03[[#This Row],[Amount in local currency]]/EXR)</f>
        <v>-5557.7405459599349</v>
      </c>
      <c r="GI70" s="10">
        <f>Data_FAGLL03[[#This Row],[Time Stamp]]+TIME(7,0,0)</f>
        <v>46116.713680555556</v>
      </c>
      <c r="GJ70" s="18">
        <f>MONTH(Data_FAGLL03[[#This Row],[Time Stamp_VN]])</f>
        <v>4</v>
      </c>
      <c r="GK70">
        <f>DAY(Data_FAGLL03[[#This Row],[Time Stamp_VN]])</f>
        <v>4</v>
      </c>
      <c r="GL70" t="str">
        <f>TEXT(Data_FAGLL03[[#This Row],[Tháng]],"00")&amp;" | "&amp;TEXT(Data_FAGLL03[[#This Row],[Ngày]],"00")</f>
        <v>04 | 04</v>
      </c>
      <c r="GM70" s="18">
        <f>IF(Data_FAGLL03[[#This Row],[Text]]="",Data_FAGLL03[[#This Row],[Quantity_Original]],0)</f>
        <v>-6750</v>
      </c>
      <c r="GN70" s="18" t="str">
        <f>IF(Data_FAGLL03[[#This Row],[Quantity_Edited]]&lt;&gt;0,Data_FAGLL03[[#This Row],[Offsetting acct no.]]&amp;" | "&amp;Data_FAGLL03[[#This Row],[Material]],"")</f>
        <v>105362 | 110000393</v>
      </c>
      <c r="GO70" t="str">
        <f>IF(LEFT(Data_FAGLL03[[#This Row],[Offsetting acct no.]],1)="1","NĐ",IF(LEFT(Data_FAGLL03[[#This Row],[Offsetting acct no.]],1)="2","XK","Khác"))</f>
        <v>NĐ</v>
      </c>
      <c r="GP70" t="str">
        <f>IF(Data_FAGLL03[[#This Row],[Material]]&lt;&gt;"",_xlfn.XLOOKUP(Data_FAGLL03[[#This Row],[Material]],MD_SKU[Mã SKU],MD_SKU[Tên SKU]),"")</f>
        <v>Hạt nhựa rPP20Be01</v>
      </c>
      <c r="GQ70" t="str">
        <f>IF(Data_FAGLL03[[#This Row],[Material]]&lt;&gt;"",_xlfn.XLOOKUP(Data_FAGLL03[[#This Row],[Material]],MD_SKU[Mã SKU],MD_SKU[Nhóm SP 1]),"")</f>
        <v>rPP</v>
      </c>
      <c r="GR70" t="str">
        <f>IF(Data_FAGLL03[[#This Row],[Material]]&lt;&gt;"",_xlfn.XLOOKUP(Data_FAGLL03[[#This Row],[Material]],MD_SKU[Mã SKU],MD_SKU[Nhóm SP 2]),"")</f>
        <v>rPP</v>
      </c>
      <c r="GS70" t="str">
        <f>IF(Data_FAGLL03[[#This Row],[Material]]&lt;&gt;"",_xlfn.XLOOKUP(Data_FAGLL03[[#This Row],[Material]],MD_SKU[Mã SKU],MD_SKU[Nhóm SP 3]),"")</f>
        <v>rPP</v>
      </c>
      <c r="GT70" t="str">
        <f>IF(Data_FAGLL03[[#This Row],[Material]]&lt;&gt;"",_xlfn.XLOOKUP(Data_FAGLL03[[#This Row],[Material]],MD_SKU[Mã SKU],MD_SKU[Nhóm SP 4]),"")</f>
        <v>Hạt rPP</v>
      </c>
    </row>
    <row r="71" spans="1:202" x14ac:dyDescent="0.25">
      <c r="A71" t="s">
        <v>0</v>
      </c>
      <c r="B71" s="2">
        <v>46116</v>
      </c>
      <c r="C71" t="s">
        <v>2247</v>
      </c>
      <c r="D71" t="s">
        <v>1</v>
      </c>
      <c r="E71" t="s">
        <v>1</v>
      </c>
      <c r="F71" t="s">
        <v>31</v>
      </c>
      <c r="G71" t="s">
        <v>31</v>
      </c>
      <c r="H71" t="s">
        <v>34</v>
      </c>
      <c r="I71" s="19">
        <v>-389059000</v>
      </c>
      <c r="J71" t="s">
        <v>35</v>
      </c>
      <c r="K71" t="s">
        <v>1</v>
      </c>
      <c r="L71" t="s">
        <v>39</v>
      </c>
      <c r="M71" t="s">
        <v>41</v>
      </c>
      <c r="N71" t="s">
        <v>254</v>
      </c>
      <c r="O71" t="s">
        <v>4</v>
      </c>
      <c r="P71" t="s">
        <v>2248</v>
      </c>
      <c r="Q71" t="s">
        <v>31</v>
      </c>
      <c r="R71" t="s">
        <v>5</v>
      </c>
      <c r="S71" t="s">
        <v>1</v>
      </c>
      <c r="T71" s="3">
        <v>-389059000</v>
      </c>
      <c r="U71" s="19">
        <v>-389059000</v>
      </c>
      <c r="V71" s="3">
        <v>-389059000</v>
      </c>
      <c r="W71" s="3">
        <v>-389059000</v>
      </c>
      <c r="X71" s="4">
        <v>0</v>
      </c>
      <c r="Y71" s="4">
        <v>0</v>
      </c>
      <c r="Z71" s="3">
        <v>0</v>
      </c>
      <c r="AA71" s="3">
        <v>0</v>
      </c>
      <c r="AB71" t="s">
        <v>1</v>
      </c>
      <c r="AC71" t="s">
        <v>24</v>
      </c>
      <c r="AD71" s="2"/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25</v>
      </c>
      <c r="AK71" s="4">
        <v>0</v>
      </c>
      <c r="AL71" t="s">
        <v>1</v>
      </c>
      <c r="AM71" s="5" t="s">
        <v>1</v>
      </c>
      <c r="AN71" t="s">
        <v>1</v>
      </c>
      <c r="AO71" s="2"/>
      <c r="AP71" t="s">
        <v>1</v>
      </c>
      <c r="AQ71" t="s">
        <v>1</v>
      </c>
      <c r="AR71" s="3">
        <v>0</v>
      </c>
      <c r="AS71" t="s">
        <v>1</v>
      </c>
      <c r="AT71" t="s">
        <v>7</v>
      </c>
      <c r="AU71" t="s">
        <v>1</v>
      </c>
      <c r="AV71" t="s">
        <v>1</v>
      </c>
      <c r="AW71" t="s">
        <v>8</v>
      </c>
      <c r="AX71" t="s">
        <v>8</v>
      </c>
      <c r="AY71" t="s">
        <v>1</v>
      </c>
      <c r="AZ71" s="4">
        <v>0</v>
      </c>
      <c r="BA71" t="s">
        <v>1</v>
      </c>
      <c r="BB71" s="3">
        <v>0</v>
      </c>
      <c r="BC71" s="3">
        <v>0</v>
      </c>
      <c r="BD71" s="3">
        <v>0</v>
      </c>
      <c r="BE71" t="s">
        <v>20</v>
      </c>
      <c r="BF71" t="s">
        <v>1</v>
      </c>
      <c r="BG71" s="4">
        <v>0</v>
      </c>
      <c r="BH71" s="4">
        <v>0</v>
      </c>
      <c r="BI71" s="6">
        <v>0</v>
      </c>
      <c r="BJ71" s="6">
        <v>0</v>
      </c>
      <c r="BK71" t="s">
        <v>1</v>
      </c>
      <c r="BL71" t="s">
        <v>1</v>
      </c>
      <c r="BM71" t="s">
        <v>1</v>
      </c>
      <c r="BN71" t="s">
        <v>9</v>
      </c>
      <c r="BO71" s="2">
        <v>46116</v>
      </c>
      <c r="BP71" t="s">
        <v>1</v>
      </c>
      <c r="BQ71" t="s">
        <v>2247</v>
      </c>
      <c r="BR71" t="s">
        <v>27</v>
      </c>
      <c r="BS71" t="s">
        <v>1</v>
      </c>
      <c r="BT71" t="s">
        <v>1</v>
      </c>
      <c r="BU71" t="s">
        <v>1</v>
      </c>
      <c r="BV71" t="s">
        <v>1</v>
      </c>
      <c r="BW71" t="s">
        <v>7</v>
      </c>
      <c r="BX71" t="s">
        <v>10</v>
      </c>
      <c r="BY71" s="2"/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254</v>
      </c>
      <c r="CJ71" s="3">
        <v>-389059000</v>
      </c>
      <c r="CK71" t="s">
        <v>9</v>
      </c>
      <c r="CL71" t="s">
        <v>11</v>
      </c>
      <c r="CM71" t="s">
        <v>1</v>
      </c>
      <c r="CN71" s="4">
        <v>0</v>
      </c>
      <c r="CO71" t="s">
        <v>7</v>
      </c>
      <c r="CP71" t="s">
        <v>7</v>
      </c>
      <c r="CQ71" t="s">
        <v>7</v>
      </c>
      <c r="CR71" t="s">
        <v>7</v>
      </c>
      <c r="CS71" s="4">
        <v>0</v>
      </c>
      <c r="CT71" t="s">
        <v>2247</v>
      </c>
      <c r="CU71" t="s">
        <v>7</v>
      </c>
      <c r="CV71" t="s">
        <v>1</v>
      </c>
      <c r="CW71" s="2"/>
      <c r="CX71" t="s">
        <v>12</v>
      </c>
      <c r="CY71" t="s">
        <v>1</v>
      </c>
      <c r="CZ71" t="s">
        <v>13</v>
      </c>
      <c r="DA71" t="s">
        <v>1</v>
      </c>
      <c r="DB71" t="s">
        <v>9</v>
      </c>
      <c r="DC71" t="s">
        <v>9</v>
      </c>
      <c r="DD71" t="s">
        <v>1</v>
      </c>
      <c r="DE71" t="s">
        <v>1</v>
      </c>
      <c r="DF71" t="s">
        <v>1</v>
      </c>
      <c r="DG71" t="s">
        <v>38</v>
      </c>
      <c r="DH71" t="s">
        <v>1</v>
      </c>
      <c r="DI71" s="2"/>
      <c r="DJ71" t="s">
        <v>1</v>
      </c>
      <c r="DK71" t="s">
        <v>14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s="2"/>
      <c r="DW71" t="s">
        <v>1</v>
      </c>
      <c r="DX71" t="s">
        <v>1</v>
      </c>
      <c r="DY71" t="s">
        <v>2249</v>
      </c>
      <c r="DZ71" t="s">
        <v>1</v>
      </c>
      <c r="EA71" t="s">
        <v>1</v>
      </c>
      <c r="EB71" t="s">
        <v>28</v>
      </c>
      <c r="EC71" t="s">
        <v>7</v>
      </c>
      <c r="ED71" t="s">
        <v>1</v>
      </c>
      <c r="EE71" t="s">
        <v>1</v>
      </c>
      <c r="EF71" t="s">
        <v>22</v>
      </c>
      <c r="EG71" t="s">
        <v>41</v>
      </c>
      <c r="EH71" t="s">
        <v>15</v>
      </c>
      <c r="EI71" t="s">
        <v>1</v>
      </c>
      <c r="EJ71" s="19">
        <v>-11000</v>
      </c>
      <c r="EK71" t="s">
        <v>1</v>
      </c>
      <c r="EL71" t="s">
        <v>1</v>
      </c>
      <c r="EM71" t="s">
        <v>1</v>
      </c>
      <c r="EN71" t="s">
        <v>1</v>
      </c>
      <c r="EO71" s="2"/>
      <c r="EP71" t="s">
        <v>2249</v>
      </c>
      <c r="EQ71" t="s">
        <v>1</v>
      </c>
      <c r="ER71" t="s">
        <v>1</v>
      </c>
      <c r="ES71" t="s">
        <v>1</v>
      </c>
      <c r="ET71" t="s">
        <v>29</v>
      </c>
      <c r="EU71" t="s">
        <v>1</v>
      </c>
      <c r="EV71" t="s">
        <v>1</v>
      </c>
      <c r="EW71" t="s">
        <v>7</v>
      </c>
      <c r="EX71" t="s">
        <v>7</v>
      </c>
      <c r="EY71" t="s">
        <v>1</v>
      </c>
      <c r="EZ71" t="s">
        <v>1</v>
      </c>
      <c r="FA71" t="s">
        <v>1</v>
      </c>
      <c r="FB71" s="3">
        <v>50</v>
      </c>
      <c r="FC71" t="s">
        <v>1</v>
      </c>
      <c r="FD71" t="s">
        <v>1</v>
      </c>
      <c r="FE71" t="s">
        <v>1</v>
      </c>
      <c r="FF71" t="s">
        <v>17</v>
      </c>
      <c r="FG71" t="s">
        <v>1</v>
      </c>
      <c r="FH71" t="s">
        <v>1</v>
      </c>
      <c r="FI71" t="s">
        <v>1</v>
      </c>
      <c r="FJ71" t="s">
        <v>1</v>
      </c>
      <c r="FK71" s="7">
        <v>46116.422083333331</v>
      </c>
      <c r="FL71" t="s">
        <v>1</v>
      </c>
      <c r="FM71" t="s">
        <v>1</v>
      </c>
      <c r="FN71" t="s">
        <v>1</v>
      </c>
      <c r="FO71" s="19">
        <v>-389059000</v>
      </c>
      <c r="FP71" s="4">
        <v>0</v>
      </c>
      <c r="FQ71" s="19">
        <v>-389059000</v>
      </c>
      <c r="FR71" s="4">
        <v>0</v>
      </c>
      <c r="FS71" s="4">
        <v>0</v>
      </c>
      <c r="FT71" s="4">
        <v>0</v>
      </c>
      <c r="FU71" s="2">
        <v>46116</v>
      </c>
      <c r="FV71" t="s">
        <v>1</v>
      </c>
      <c r="FW71" s="4">
        <v>0</v>
      </c>
      <c r="FX71" t="s">
        <v>1</v>
      </c>
      <c r="FY71" t="s">
        <v>1</v>
      </c>
      <c r="FZ71" s="4">
        <v>0</v>
      </c>
      <c r="GA71" s="4">
        <v>0</v>
      </c>
      <c r="GB71" t="s">
        <v>2070</v>
      </c>
      <c r="GC71" t="str">
        <f>RIGHT(Data_FAGLL03[[#This Row],[Payment reference]],8)</f>
        <v>91172582</v>
      </c>
      <c r="GD71" t="str">
        <f>IF(Data_FAGLL03[[#This Row],[Billing]]&lt;&gt;"",_xlfn.XLOOKUP(Data_FAGLL03[[#This Row],[Billing]],MD_BILLING_SO[BILIING],MD_BILLING_SO[SO-EDITED]),"")</f>
        <v>30030658</v>
      </c>
      <c r="GE71" s="18">
        <f>IF(SUBSTITUTE(Data_FAGLL03[[#This Row],[Eff.exchange rate]],",","")/100000=1,1,SUBSTITUTE(Data_FAGLL03[[#This Row],[Eff.exchange rate]],",","")/100)</f>
        <v>1</v>
      </c>
      <c r="GF71" s="17">
        <f>IF(Data_FAGLL03[[#This Row],[Material]]&lt;&gt;"",IFERROR(Data_FAGLL03[[#This Row],[Amount in local currency]]/Data_FAGLL03[[#This Row],[Quantity_Original]],0),0)</f>
        <v>35369</v>
      </c>
      <c r="GG71" s="18">
        <f>IF(Data_FAGLL03[[#This Row],[XK/NĐ]]="XK",Data_FAGLL03[[#This Row],[GB trung bình]]/Data_FAGLL03[[#This Row],[EXR]],0)*1000</f>
        <v>0</v>
      </c>
      <c r="GH71" s="18" cm="1">
        <f t="array" ref="GH71">IF(Data_FAGLL03[[#This Row],[Document currency]]&lt;&gt;"VND",Data_FAGLL03[[#This Row],[Amount in doc. curr.]],Data_FAGLL03[[#This Row],[Amount in local currency]]/EXR)</f>
        <v>-14820.085310821236</v>
      </c>
      <c r="GI71" s="10">
        <f>Data_FAGLL03[[#This Row],[Time Stamp]]+TIME(7,0,0)</f>
        <v>46116.713749999995</v>
      </c>
      <c r="GJ71" s="18">
        <f>MONTH(Data_FAGLL03[[#This Row],[Time Stamp_VN]])</f>
        <v>4</v>
      </c>
      <c r="GK71">
        <f>DAY(Data_FAGLL03[[#This Row],[Time Stamp_VN]])</f>
        <v>4</v>
      </c>
      <c r="GL71" t="str">
        <f>TEXT(Data_FAGLL03[[#This Row],[Tháng]],"00")&amp;" | "&amp;TEXT(Data_FAGLL03[[#This Row],[Ngày]],"00")</f>
        <v>04 | 04</v>
      </c>
      <c r="GM71" s="18">
        <f>IF(Data_FAGLL03[[#This Row],[Text]]="",Data_FAGLL03[[#This Row],[Quantity_Original]],0)</f>
        <v>-11000</v>
      </c>
      <c r="GN71" s="18" t="str">
        <f>IF(Data_FAGLL03[[#This Row],[Quantity_Edited]]&lt;&gt;0,Data_FAGLL03[[#This Row],[Offsetting acct no.]]&amp;" | "&amp;Data_FAGLL03[[#This Row],[Material]],"")</f>
        <v>105263 | 110000339</v>
      </c>
      <c r="GO71" t="str">
        <f>IF(LEFT(Data_FAGLL03[[#This Row],[Offsetting acct no.]],1)="1","NĐ",IF(LEFT(Data_FAGLL03[[#This Row],[Offsetting acct no.]],1)="2","XK","Khác"))</f>
        <v>NĐ</v>
      </c>
      <c r="GP71" t="str">
        <f>IF(Data_FAGLL03[[#This Row],[Material]]&lt;&gt;"",_xlfn.XLOOKUP(Data_FAGLL03[[#This Row],[Material]],MD_SKU[Mã SKU],MD_SKU[Tên SKU]),"")</f>
        <v>Hạt Nhựa rHDPE MBF01</v>
      </c>
      <c r="GQ71" t="str">
        <f>IF(Data_FAGLL03[[#This Row],[Material]]&lt;&gt;"",_xlfn.XLOOKUP(Data_FAGLL03[[#This Row],[Material]],MD_SKU[Mã SKU],MD_SKU[Nhóm SP 1]),"")</f>
        <v>rHDPE</v>
      </c>
      <c r="GR71" t="str">
        <f>IF(Data_FAGLL03[[#This Row],[Material]]&lt;&gt;"",_xlfn.XLOOKUP(Data_FAGLL03[[#This Row],[Material]],MD_SKU[Mã SKU],MD_SKU[Nhóm SP 2]),"")</f>
        <v>rHDPE thổi</v>
      </c>
      <c r="GS71" t="str">
        <f>IF(Data_FAGLL03[[#This Row],[Material]]&lt;&gt;"",_xlfn.XLOOKUP(Data_FAGLL03[[#This Row],[Material]],MD_SKU[Mã SKU],MD_SKU[Nhóm SP 3]),"")</f>
        <v>rHDPE thổi</v>
      </c>
      <c r="GT71" t="str">
        <f>IF(Data_FAGLL03[[#This Row],[Material]]&lt;&gt;"",_xlfn.XLOOKUP(Data_FAGLL03[[#This Row],[Material]],MD_SKU[Mã SKU],MD_SKU[Nhóm SP 4]),"")</f>
        <v>Hạt rHDPE thổi</v>
      </c>
    </row>
    <row r="72" spans="1:202" x14ac:dyDescent="0.25">
      <c r="A72" t="s">
        <v>0</v>
      </c>
      <c r="B72" s="2">
        <v>46118</v>
      </c>
      <c r="C72" t="s">
        <v>2250</v>
      </c>
      <c r="D72" t="s">
        <v>1</v>
      </c>
      <c r="E72" t="s">
        <v>1</v>
      </c>
      <c r="F72" t="s">
        <v>31</v>
      </c>
      <c r="G72" t="s">
        <v>31</v>
      </c>
      <c r="H72" t="s">
        <v>2010</v>
      </c>
      <c r="I72" s="19">
        <v>-84324000</v>
      </c>
      <c r="J72" t="s">
        <v>2011</v>
      </c>
      <c r="K72" t="s">
        <v>1</v>
      </c>
      <c r="L72" t="s">
        <v>39</v>
      </c>
      <c r="M72" t="s">
        <v>41</v>
      </c>
      <c r="N72" t="s">
        <v>254</v>
      </c>
      <c r="O72" t="s">
        <v>4</v>
      </c>
      <c r="P72" t="s">
        <v>2251</v>
      </c>
      <c r="Q72" t="s">
        <v>31</v>
      </c>
      <c r="R72" t="s">
        <v>5</v>
      </c>
      <c r="S72" t="s">
        <v>1</v>
      </c>
      <c r="T72" s="3">
        <v>-84324000</v>
      </c>
      <c r="U72" s="19">
        <v>-84324000</v>
      </c>
      <c r="V72" s="3">
        <v>-84324000</v>
      </c>
      <c r="W72" s="3">
        <v>-84324000</v>
      </c>
      <c r="X72" s="4">
        <v>0</v>
      </c>
      <c r="Y72" s="4">
        <v>0</v>
      </c>
      <c r="Z72" s="3">
        <v>0</v>
      </c>
      <c r="AA72" s="3">
        <v>0</v>
      </c>
      <c r="AB72" t="s">
        <v>1</v>
      </c>
      <c r="AC72" t="s">
        <v>24</v>
      </c>
      <c r="AD72" s="2"/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25</v>
      </c>
      <c r="AK72" s="4">
        <v>0</v>
      </c>
      <c r="AL72" t="s">
        <v>1</v>
      </c>
      <c r="AM72" s="5" t="s">
        <v>1</v>
      </c>
      <c r="AN72" t="s">
        <v>1</v>
      </c>
      <c r="AO72" s="2"/>
      <c r="AP72" t="s">
        <v>1</v>
      </c>
      <c r="AQ72" t="s">
        <v>1</v>
      </c>
      <c r="AR72" s="3">
        <v>0</v>
      </c>
      <c r="AS72" t="s">
        <v>1</v>
      </c>
      <c r="AT72" t="s">
        <v>7</v>
      </c>
      <c r="AU72" t="s">
        <v>1</v>
      </c>
      <c r="AV72" t="s">
        <v>1</v>
      </c>
      <c r="AW72" t="s">
        <v>8</v>
      </c>
      <c r="AX72" t="s">
        <v>8</v>
      </c>
      <c r="AY72" t="s">
        <v>1</v>
      </c>
      <c r="AZ72" s="4">
        <v>0</v>
      </c>
      <c r="BA72" t="s">
        <v>1</v>
      </c>
      <c r="BB72" s="3">
        <v>0</v>
      </c>
      <c r="BC72" s="3">
        <v>0</v>
      </c>
      <c r="BD72" s="3">
        <v>0</v>
      </c>
      <c r="BE72" t="s">
        <v>20</v>
      </c>
      <c r="BF72" t="s">
        <v>1</v>
      </c>
      <c r="BG72" s="4">
        <v>0</v>
      </c>
      <c r="BH72" s="4">
        <v>0</v>
      </c>
      <c r="BI72" s="6">
        <v>0</v>
      </c>
      <c r="BJ72" s="6">
        <v>0</v>
      </c>
      <c r="BK72" t="s">
        <v>1</v>
      </c>
      <c r="BL72" t="s">
        <v>1</v>
      </c>
      <c r="BM72" t="s">
        <v>1</v>
      </c>
      <c r="BN72" t="s">
        <v>9</v>
      </c>
      <c r="BO72" s="2">
        <v>46118</v>
      </c>
      <c r="BP72" t="s">
        <v>1</v>
      </c>
      <c r="BQ72" t="s">
        <v>2250</v>
      </c>
      <c r="BR72" t="s">
        <v>27</v>
      </c>
      <c r="BS72" t="s">
        <v>1</v>
      </c>
      <c r="BT72" t="s">
        <v>1</v>
      </c>
      <c r="BU72" t="s">
        <v>1</v>
      </c>
      <c r="BV72" t="s">
        <v>1</v>
      </c>
      <c r="BW72" t="s">
        <v>7</v>
      </c>
      <c r="BX72" t="s">
        <v>10</v>
      </c>
      <c r="BY72" s="2"/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254</v>
      </c>
      <c r="CJ72" s="3">
        <v>-84324000</v>
      </c>
      <c r="CK72" t="s">
        <v>9</v>
      </c>
      <c r="CL72" t="s">
        <v>11</v>
      </c>
      <c r="CM72" t="s">
        <v>1</v>
      </c>
      <c r="CN72" s="4">
        <v>0</v>
      </c>
      <c r="CO72" t="s">
        <v>7</v>
      </c>
      <c r="CP72" t="s">
        <v>7</v>
      </c>
      <c r="CQ72" t="s">
        <v>7</v>
      </c>
      <c r="CR72" t="s">
        <v>7</v>
      </c>
      <c r="CS72" s="4">
        <v>0</v>
      </c>
      <c r="CT72" t="s">
        <v>2250</v>
      </c>
      <c r="CU72" t="s">
        <v>7</v>
      </c>
      <c r="CV72" t="s">
        <v>1</v>
      </c>
      <c r="CW72" s="2"/>
      <c r="CX72" t="s">
        <v>12</v>
      </c>
      <c r="CY72" t="s">
        <v>1</v>
      </c>
      <c r="CZ72" t="s">
        <v>13</v>
      </c>
      <c r="DA72" t="s">
        <v>1</v>
      </c>
      <c r="DB72" t="s">
        <v>9</v>
      </c>
      <c r="DC72" t="s">
        <v>9</v>
      </c>
      <c r="DD72" t="s">
        <v>1</v>
      </c>
      <c r="DE72" t="s">
        <v>1</v>
      </c>
      <c r="DF72" t="s">
        <v>1</v>
      </c>
      <c r="DG72" t="s">
        <v>1898</v>
      </c>
      <c r="DH72" t="s">
        <v>1</v>
      </c>
      <c r="DI72" s="2"/>
      <c r="DJ72" t="s">
        <v>1</v>
      </c>
      <c r="DK72" t="s">
        <v>14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s="2"/>
      <c r="DW72" t="s">
        <v>1</v>
      </c>
      <c r="DX72" t="s">
        <v>1</v>
      </c>
      <c r="DY72" t="s">
        <v>2252</v>
      </c>
      <c r="DZ72" t="s">
        <v>1</v>
      </c>
      <c r="EA72" t="s">
        <v>1</v>
      </c>
      <c r="EB72" t="s">
        <v>28</v>
      </c>
      <c r="EC72" t="s">
        <v>7</v>
      </c>
      <c r="ED72" t="s">
        <v>1</v>
      </c>
      <c r="EE72" t="s">
        <v>1</v>
      </c>
      <c r="EF72" t="s">
        <v>22</v>
      </c>
      <c r="EG72" t="s">
        <v>41</v>
      </c>
      <c r="EH72" t="s">
        <v>15</v>
      </c>
      <c r="EI72" t="s">
        <v>1</v>
      </c>
      <c r="EJ72" s="19">
        <v>-7027</v>
      </c>
      <c r="EK72" t="s">
        <v>1</v>
      </c>
      <c r="EL72" t="s">
        <v>1</v>
      </c>
      <c r="EM72" t="s">
        <v>1</v>
      </c>
      <c r="EN72" t="s">
        <v>1</v>
      </c>
      <c r="EO72" s="2"/>
      <c r="EP72" t="s">
        <v>2252</v>
      </c>
      <c r="EQ72" t="s">
        <v>1</v>
      </c>
      <c r="ER72" t="s">
        <v>1</v>
      </c>
      <c r="ES72" t="s">
        <v>1</v>
      </c>
      <c r="ET72" t="s">
        <v>29</v>
      </c>
      <c r="EU72" t="s">
        <v>1</v>
      </c>
      <c r="EV72" t="s">
        <v>1</v>
      </c>
      <c r="EW72" t="s">
        <v>7</v>
      </c>
      <c r="EX72" t="s">
        <v>7</v>
      </c>
      <c r="EY72" t="s">
        <v>1</v>
      </c>
      <c r="EZ72" t="s">
        <v>1</v>
      </c>
      <c r="FA72" t="s">
        <v>1</v>
      </c>
      <c r="FB72" s="3">
        <v>50</v>
      </c>
      <c r="FC72" t="s">
        <v>1</v>
      </c>
      <c r="FD72" t="s">
        <v>1</v>
      </c>
      <c r="FE72" t="s">
        <v>1</v>
      </c>
      <c r="FF72" t="s">
        <v>17</v>
      </c>
      <c r="FG72" t="s">
        <v>1</v>
      </c>
      <c r="FH72" t="s">
        <v>1</v>
      </c>
      <c r="FI72" t="s">
        <v>1</v>
      </c>
      <c r="FJ72" t="s">
        <v>1</v>
      </c>
      <c r="FK72" s="7">
        <v>46118.341446759259</v>
      </c>
      <c r="FL72" t="s">
        <v>1</v>
      </c>
      <c r="FM72" t="s">
        <v>1</v>
      </c>
      <c r="FN72" t="s">
        <v>1</v>
      </c>
      <c r="FO72" s="19">
        <v>-84324000</v>
      </c>
      <c r="FP72" s="4">
        <v>0</v>
      </c>
      <c r="FQ72" s="19">
        <v>-84324000</v>
      </c>
      <c r="FR72" s="4">
        <v>0</v>
      </c>
      <c r="FS72" s="4">
        <v>0</v>
      </c>
      <c r="FT72" s="4">
        <v>0</v>
      </c>
      <c r="FU72" s="2">
        <v>46118</v>
      </c>
      <c r="FV72" t="s">
        <v>1</v>
      </c>
      <c r="FW72" s="4">
        <v>0</v>
      </c>
      <c r="FX72" t="s">
        <v>1</v>
      </c>
      <c r="FY72" t="s">
        <v>1</v>
      </c>
      <c r="FZ72" s="4">
        <v>0</v>
      </c>
      <c r="GA72" s="4">
        <v>0</v>
      </c>
      <c r="GB72" t="s">
        <v>2070</v>
      </c>
      <c r="GC72" t="str">
        <f>RIGHT(Data_FAGLL03[[#This Row],[Payment reference]],8)</f>
        <v>91172594</v>
      </c>
      <c r="GD72" t="str">
        <f>IF(Data_FAGLL03[[#This Row],[Billing]]&lt;&gt;"",_xlfn.XLOOKUP(Data_FAGLL03[[#This Row],[Billing]],MD_BILLING_SO[BILIING],MD_BILLING_SO[SO-EDITED]),"")</f>
        <v>30030542</v>
      </c>
      <c r="GE72" s="18">
        <f>IF(SUBSTITUTE(Data_FAGLL03[[#This Row],[Eff.exchange rate]],",","")/100000=1,1,SUBSTITUTE(Data_FAGLL03[[#This Row],[Eff.exchange rate]],",","")/100)</f>
        <v>1</v>
      </c>
      <c r="GF72" s="17">
        <f>IF(Data_FAGLL03[[#This Row],[Material]]&lt;&gt;"",IFERROR(Data_FAGLL03[[#This Row],[Amount in local currency]]/Data_FAGLL03[[#This Row],[Quantity_Original]],0),0)</f>
        <v>12000</v>
      </c>
      <c r="GG72" s="18">
        <f>IF(Data_FAGLL03[[#This Row],[XK/NĐ]]="XK",Data_FAGLL03[[#This Row],[GB trung bình]]/Data_FAGLL03[[#This Row],[EXR]],0)*1000</f>
        <v>0</v>
      </c>
      <c r="GH72" s="18" cm="1">
        <f t="array" ref="GH72">IF(Data_FAGLL03[[#This Row],[Document currency]]&lt;&gt;"VND",Data_FAGLL03[[#This Row],[Amount in doc. curr.]],Data_FAGLL03[[#This Row],[Amount in local currency]]/EXR)</f>
        <v>-3212.0806195196355</v>
      </c>
      <c r="GI72" s="10">
        <f>Data_FAGLL03[[#This Row],[Time Stamp]]+TIME(7,0,0)</f>
        <v>46118.633113425924</v>
      </c>
      <c r="GJ72" s="18">
        <f>MONTH(Data_FAGLL03[[#This Row],[Time Stamp_VN]])</f>
        <v>4</v>
      </c>
      <c r="GK72">
        <f>DAY(Data_FAGLL03[[#This Row],[Time Stamp_VN]])</f>
        <v>6</v>
      </c>
      <c r="GL72" t="str">
        <f>TEXT(Data_FAGLL03[[#This Row],[Tháng]],"00")&amp;" | "&amp;TEXT(Data_FAGLL03[[#This Row],[Ngày]],"00")</f>
        <v>04 | 06</v>
      </c>
      <c r="GM72" s="18">
        <f>IF(Data_FAGLL03[[#This Row],[Text]]="",Data_FAGLL03[[#This Row],[Quantity_Original]],0)</f>
        <v>-7027</v>
      </c>
      <c r="GN72" s="18" t="str">
        <f>IF(Data_FAGLL03[[#This Row],[Quantity_Edited]]&lt;&gt;0,Data_FAGLL03[[#This Row],[Offsetting acct no.]]&amp;" | "&amp;Data_FAGLL03[[#This Row],[Material]],"")</f>
        <v>105405 | 160012801</v>
      </c>
      <c r="GO72" t="str">
        <f>IF(LEFT(Data_FAGLL03[[#This Row],[Offsetting acct no.]],1)="1","NĐ",IF(LEFT(Data_FAGLL03[[#This Row],[Offsetting acct no.]],1)="2","XK","Khác"))</f>
        <v>NĐ</v>
      </c>
      <c r="GP72" t="str">
        <f>IF(Data_FAGLL03[[#This Row],[Material]]&lt;&gt;"",_xlfn.XLOOKUP(Data_FAGLL03[[#This Row],[Material]],MD_SKU[Mã SKU],MD_SKU[Tên SKU]),"")</f>
        <v>Vảy PET GC Dây Đai</v>
      </c>
      <c r="GQ72" t="str">
        <f>IF(Data_FAGLL03[[#This Row],[Material]]&lt;&gt;"",_xlfn.XLOOKUP(Data_FAGLL03[[#This Row],[Material]],MD_SKU[Mã SKU],MD_SKU[Nhóm SP 1]),"")</f>
        <v>rPET</v>
      </c>
      <c r="GR72" t="str">
        <f>IF(Data_FAGLL03[[#This Row],[Material]]&lt;&gt;"",_xlfn.XLOOKUP(Data_FAGLL03[[#This Row],[Material]],MD_SKU[Mã SKU],MD_SKU[Nhóm SP 2]),"")</f>
        <v>rPET</v>
      </c>
      <c r="GS72" t="str">
        <f>IF(Data_FAGLL03[[#This Row],[Material]]&lt;&gt;"",_xlfn.XLOOKUP(Data_FAGLL03[[#This Row],[Material]],MD_SKU[Mã SKU],MD_SKU[Nhóm SP 3]),"")</f>
        <v>rPET</v>
      </c>
      <c r="GT72" t="str">
        <f>IF(Data_FAGLL03[[#This Row],[Material]]&lt;&gt;"",_xlfn.XLOOKUP(Data_FAGLL03[[#This Row],[Material]],MD_SKU[Mã SKU],MD_SKU[Nhóm SP 4]),"")</f>
        <v>Vảy rPET</v>
      </c>
    </row>
    <row r="73" spans="1:202" x14ac:dyDescent="0.25">
      <c r="A73" t="s">
        <v>0</v>
      </c>
      <c r="B73" s="2">
        <v>46118</v>
      </c>
      <c r="C73" t="s">
        <v>2253</v>
      </c>
      <c r="D73" t="s">
        <v>1</v>
      </c>
      <c r="E73" t="s">
        <v>1</v>
      </c>
      <c r="F73" t="s">
        <v>31</v>
      </c>
      <c r="G73" t="s">
        <v>31</v>
      </c>
      <c r="H73" t="s">
        <v>2060</v>
      </c>
      <c r="I73" s="19">
        <v>-184622222</v>
      </c>
      <c r="J73" t="s">
        <v>2061</v>
      </c>
      <c r="K73" t="s">
        <v>1</v>
      </c>
      <c r="L73" t="s">
        <v>39</v>
      </c>
      <c r="M73" t="s">
        <v>41</v>
      </c>
      <c r="N73" t="s">
        <v>254</v>
      </c>
      <c r="O73" t="s">
        <v>4</v>
      </c>
      <c r="P73" t="s">
        <v>2254</v>
      </c>
      <c r="Q73" t="s">
        <v>31</v>
      </c>
      <c r="R73" t="s">
        <v>5</v>
      </c>
      <c r="S73" t="s">
        <v>1</v>
      </c>
      <c r="T73" s="3">
        <v>-184622222</v>
      </c>
      <c r="U73" s="19">
        <v>-184622222</v>
      </c>
      <c r="V73" s="3">
        <v>-184622222</v>
      </c>
      <c r="W73" s="3">
        <v>-184622222</v>
      </c>
      <c r="X73" s="4">
        <v>0</v>
      </c>
      <c r="Y73" s="4">
        <v>0</v>
      </c>
      <c r="Z73" s="3">
        <v>0</v>
      </c>
      <c r="AA73" s="3">
        <v>0</v>
      </c>
      <c r="AB73" t="s">
        <v>1</v>
      </c>
      <c r="AC73" t="s">
        <v>24</v>
      </c>
      <c r="AD73" s="2"/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25</v>
      </c>
      <c r="AK73" s="4">
        <v>0</v>
      </c>
      <c r="AL73" t="s">
        <v>1</v>
      </c>
      <c r="AM73" s="5" t="s">
        <v>1</v>
      </c>
      <c r="AN73" t="s">
        <v>1</v>
      </c>
      <c r="AO73" s="2"/>
      <c r="AP73" t="s">
        <v>1</v>
      </c>
      <c r="AQ73" t="s">
        <v>1</v>
      </c>
      <c r="AR73" s="3">
        <v>0</v>
      </c>
      <c r="AS73" t="s">
        <v>1</v>
      </c>
      <c r="AT73" t="s">
        <v>7</v>
      </c>
      <c r="AU73" t="s">
        <v>1</v>
      </c>
      <c r="AV73" t="s">
        <v>1</v>
      </c>
      <c r="AW73" t="s">
        <v>8</v>
      </c>
      <c r="AX73" t="s">
        <v>8</v>
      </c>
      <c r="AY73" t="s">
        <v>1</v>
      </c>
      <c r="AZ73" s="4">
        <v>0</v>
      </c>
      <c r="BA73" t="s">
        <v>1</v>
      </c>
      <c r="BB73" s="3">
        <v>0</v>
      </c>
      <c r="BC73" s="3">
        <v>0</v>
      </c>
      <c r="BD73" s="3">
        <v>0</v>
      </c>
      <c r="BE73" t="s">
        <v>20</v>
      </c>
      <c r="BF73" t="s">
        <v>1</v>
      </c>
      <c r="BG73" s="4">
        <v>0</v>
      </c>
      <c r="BH73" s="4">
        <v>0</v>
      </c>
      <c r="BI73" s="6">
        <v>0</v>
      </c>
      <c r="BJ73" s="6">
        <v>0</v>
      </c>
      <c r="BK73" t="s">
        <v>1</v>
      </c>
      <c r="BL73" t="s">
        <v>1</v>
      </c>
      <c r="BM73" t="s">
        <v>1</v>
      </c>
      <c r="BN73" t="s">
        <v>9</v>
      </c>
      <c r="BO73" s="2">
        <v>46118</v>
      </c>
      <c r="BP73" t="s">
        <v>1</v>
      </c>
      <c r="BQ73" t="s">
        <v>2253</v>
      </c>
      <c r="BR73" t="s">
        <v>27</v>
      </c>
      <c r="BS73" t="s">
        <v>1</v>
      </c>
      <c r="BT73" t="s">
        <v>1</v>
      </c>
      <c r="BU73" t="s">
        <v>1</v>
      </c>
      <c r="BV73" t="s">
        <v>1</v>
      </c>
      <c r="BW73" t="s">
        <v>7</v>
      </c>
      <c r="BX73" t="s">
        <v>10</v>
      </c>
      <c r="BY73" s="2"/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254</v>
      </c>
      <c r="CJ73" s="3">
        <v>-184622222</v>
      </c>
      <c r="CK73" t="s">
        <v>9</v>
      </c>
      <c r="CL73" t="s">
        <v>11</v>
      </c>
      <c r="CM73" t="s">
        <v>1</v>
      </c>
      <c r="CN73" s="4">
        <v>0</v>
      </c>
      <c r="CO73" t="s">
        <v>7</v>
      </c>
      <c r="CP73" t="s">
        <v>7</v>
      </c>
      <c r="CQ73" t="s">
        <v>7</v>
      </c>
      <c r="CR73" t="s">
        <v>7</v>
      </c>
      <c r="CS73" s="4">
        <v>0</v>
      </c>
      <c r="CT73" t="s">
        <v>2253</v>
      </c>
      <c r="CU73" t="s">
        <v>7</v>
      </c>
      <c r="CV73" t="s">
        <v>1</v>
      </c>
      <c r="CW73" s="2"/>
      <c r="CX73" t="s">
        <v>12</v>
      </c>
      <c r="CY73" t="s">
        <v>1</v>
      </c>
      <c r="CZ73" t="s">
        <v>13</v>
      </c>
      <c r="DA73" t="s">
        <v>1</v>
      </c>
      <c r="DB73" t="s">
        <v>9</v>
      </c>
      <c r="DC73" t="s">
        <v>9</v>
      </c>
      <c r="DD73" t="s">
        <v>1</v>
      </c>
      <c r="DE73" t="s">
        <v>1</v>
      </c>
      <c r="DF73" t="s">
        <v>1</v>
      </c>
      <c r="DG73" t="s">
        <v>1836</v>
      </c>
      <c r="DH73" t="s">
        <v>1</v>
      </c>
      <c r="DI73" s="2"/>
      <c r="DJ73" t="s">
        <v>1</v>
      </c>
      <c r="DK73" t="s">
        <v>14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s="2"/>
      <c r="DW73" t="s">
        <v>1</v>
      </c>
      <c r="DX73" t="s">
        <v>1</v>
      </c>
      <c r="DY73" t="s">
        <v>2255</v>
      </c>
      <c r="DZ73" t="s">
        <v>1</v>
      </c>
      <c r="EA73" t="s">
        <v>1</v>
      </c>
      <c r="EB73" t="s">
        <v>28</v>
      </c>
      <c r="EC73" t="s">
        <v>7</v>
      </c>
      <c r="ED73" t="s">
        <v>1</v>
      </c>
      <c r="EE73" t="s">
        <v>1</v>
      </c>
      <c r="EF73" t="s">
        <v>22</v>
      </c>
      <c r="EG73" t="s">
        <v>41</v>
      </c>
      <c r="EH73" t="s">
        <v>15</v>
      </c>
      <c r="EI73" t="s">
        <v>1</v>
      </c>
      <c r="EJ73" s="19">
        <v>-16616</v>
      </c>
      <c r="EK73" t="s">
        <v>1</v>
      </c>
      <c r="EL73" t="s">
        <v>1</v>
      </c>
      <c r="EM73" t="s">
        <v>1</v>
      </c>
      <c r="EN73" t="s">
        <v>1</v>
      </c>
      <c r="EO73" s="2"/>
      <c r="EP73" t="s">
        <v>2255</v>
      </c>
      <c r="EQ73" t="s">
        <v>1</v>
      </c>
      <c r="ER73" t="s">
        <v>1</v>
      </c>
      <c r="ES73" t="s">
        <v>1</v>
      </c>
      <c r="ET73" t="s">
        <v>29</v>
      </c>
      <c r="EU73" t="s">
        <v>1</v>
      </c>
      <c r="EV73" t="s">
        <v>1</v>
      </c>
      <c r="EW73" t="s">
        <v>7</v>
      </c>
      <c r="EX73" t="s">
        <v>7</v>
      </c>
      <c r="EY73" t="s">
        <v>1</v>
      </c>
      <c r="EZ73" t="s">
        <v>1</v>
      </c>
      <c r="FA73" t="s">
        <v>1</v>
      </c>
      <c r="FB73" s="3">
        <v>50</v>
      </c>
      <c r="FC73" t="s">
        <v>1</v>
      </c>
      <c r="FD73" t="s">
        <v>1</v>
      </c>
      <c r="FE73" t="s">
        <v>1</v>
      </c>
      <c r="FF73" t="s">
        <v>17</v>
      </c>
      <c r="FG73" t="s">
        <v>1</v>
      </c>
      <c r="FH73" t="s">
        <v>1</v>
      </c>
      <c r="FI73" t="s">
        <v>1</v>
      </c>
      <c r="FJ73" t="s">
        <v>1</v>
      </c>
      <c r="FK73" s="7">
        <v>46118.378784722219</v>
      </c>
      <c r="FL73" t="s">
        <v>1</v>
      </c>
      <c r="FM73" t="s">
        <v>1</v>
      </c>
      <c r="FN73" t="s">
        <v>1</v>
      </c>
      <c r="FO73" s="19">
        <v>-184622222</v>
      </c>
      <c r="FP73" s="4">
        <v>0</v>
      </c>
      <c r="FQ73" s="19">
        <v>-184622222</v>
      </c>
      <c r="FR73" s="4">
        <v>0</v>
      </c>
      <c r="FS73" s="4">
        <v>0</v>
      </c>
      <c r="FT73" s="4">
        <v>0</v>
      </c>
      <c r="FU73" s="2">
        <v>46118</v>
      </c>
      <c r="FV73" t="s">
        <v>1</v>
      </c>
      <c r="FW73" s="4">
        <v>0</v>
      </c>
      <c r="FX73" t="s">
        <v>1</v>
      </c>
      <c r="FY73" t="s">
        <v>1</v>
      </c>
      <c r="FZ73" s="4">
        <v>0</v>
      </c>
      <c r="GA73" s="4">
        <v>0</v>
      </c>
      <c r="GB73" t="s">
        <v>2070</v>
      </c>
      <c r="GC73" t="str">
        <f>RIGHT(Data_FAGLL03[[#This Row],[Payment reference]],8)</f>
        <v>91172596</v>
      </c>
      <c r="GD73" t="str">
        <f>IF(Data_FAGLL03[[#This Row],[Billing]]&lt;&gt;"",_xlfn.XLOOKUP(Data_FAGLL03[[#This Row],[Billing]],MD_BILLING_SO[BILIING],MD_BILLING_SO[SO-EDITED]),"")</f>
        <v>30030695</v>
      </c>
      <c r="GE73" s="18">
        <f>IF(SUBSTITUTE(Data_FAGLL03[[#This Row],[Eff.exchange rate]],",","")/100000=1,1,SUBSTITUTE(Data_FAGLL03[[#This Row],[Eff.exchange rate]],",","")/100)</f>
        <v>1</v>
      </c>
      <c r="GF73" s="17">
        <f>IF(Data_FAGLL03[[#This Row],[Material]]&lt;&gt;"",IFERROR(Data_FAGLL03[[#This Row],[Amount in local currency]]/Data_FAGLL03[[#This Row],[Quantity_Original]],0),0)</f>
        <v>11111.111097737121</v>
      </c>
      <c r="GG73" s="18">
        <f>IF(Data_FAGLL03[[#This Row],[XK/NĐ]]="XK",Data_FAGLL03[[#This Row],[GB trung bình]]/Data_FAGLL03[[#This Row],[EXR]],0)*1000</f>
        <v>0</v>
      </c>
      <c r="GH73" s="18" cm="1">
        <f t="array" ref="GH73">IF(Data_FAGLL03[[#This Row],[Document currency]]&lt;&gt;"VND",Data_FAGLL03[[#This Row],[Amount in doc. curr.]],Data_FAGLL03[[#This Row],[Amount in local currency]]/EXR)</f>
        <v>-7032.6533515826059</v>
      </c>
      <c r="GI73" s="10">
        <f>Data_FAGLL03[[#This Row],[Time Stamp]]+TIME(7,0,0)</f>
        <v>46118.670451388884</v>
      </c>
      <c r="GJ73" s="18">
        <f>MONTH(Data_FAGLL03[[#This Row],[Time Stamp_VN]])</f>
        <v>4</v>
      </c>
      <c r="GK73">
        <f>DAY(Data_FAGLL03[[#This Row],[Time Stamp_VN]])</f>
        <v>6</v>
      </c>
      <c r="GL73" t="str">
        <f>TEXT(Data_FAGLL03[[#This Row],[Tháng]],"00")&amp;" | "&amp;TEXT(Data_FAGLL03[[#This Row],[Ngày]],"00")</f>
        <v>04 | 06</v>
      </c>
      <c r="GM73" s="18">
        <f>IF(Data_FAGLL03[[#This Row],[Text]]="",Data_FAGLL03[[#This Row],[Quantity_Original]],0)</f>
        <v>-16616</v>
      </c>
      <c r="GN73" s="18" t="str">
        <f>IF(Data_FAGLL03[[#This Row],[Quantity_Edited]]&lt;&gt;0,Data_FAGLL03[[#This Row],[Offsetting acct no.]]&amp;" | "&amp;Data_FAGLL03[[#This Row],[Material]],"")</f>
        <v>105413 | 160012956</v>
      </c>
      <c r="GO73" t="str">
        <f>IF(LEFT(Data_FAGLL03[[#This Row],[Offsetting acct no.]],1)="1","NĐ",IF(LEFT(Data_FAGLL03[[#This Row],[Offsetting acct no.]],1)="2","XK","Khác"))</f>
        <v>NĐ</v>
      </c>
      <c r="GP73" t="str">
        <f>IF(Data_FAGLL03[[#This Row],[Material]]&lt;&gt;"",_xlfn.XLOOKUP(Data_FAGLL03[[#This Row],[Material]],MD_SKU[Mã SKU],MD_SKU[Tên SKU]),"")</f>
        <v>Vảy PET Tomra SLR</v>
      </c>
      <c r="GQ73" t="str">
        <f>IF(Data_FAGLL03[[#This Row],[Material]]&lt;&gt;"",_xlfn.XLOOKUP(Data_FAGLL03[[#This Row],[Material]],MD_SKU[Mã SKU],MD_SKU[Nhóm SP 1]),"")</f>
        <v>Khác</v>
      </c>
      <c r="GR73" t="str">
        <f>IF(Data_FAGLL03[[#This Row],[Material]]&lt;&gt;"",_xlfn.XLOOKUP(Data_FAGLL03[[#This Row],[Material]],MD_SKU[Mã SKU],MD_SKU[Nhóm SP 2]),"")</f>
        <v>Phó sản</v>
      </c>
      <c r="GS73" t="str">
        <f>IF(Data_FAGLL03[[#This Row],[Material]]&lt;&gt;"",_xlfn.XLOOKUP(Data_FAGLL03[[#This Row],[Material]],MD_SKU[Mã SKU],MD_SKU[Nhóm SP 3]),"")</f>
        <v>Phó sản</v>
      </c>
      <c r="GT73" t="str">
        <f>IF(Data_FAGLL03[[#This Row],[Material]]&lt;&gt;"",_xlfn.XLOOKUP(Data_FAGLL03[[#This Row],[Material]],MD_SKU[Mã SKU],MD_SKU[Nhóm SP 4]),"")</f>
        <v>Phó sản</v>
      </c>
    </row>
    <row r="74" spans="1:202" x14ac:dyDescent="0.25">
      <c r="A74" t="s">
        <v>0</v>
      </c>
      <c r="B74" s="2">
        <v>46118</v>
      </c>
      <c r="C74" t="s">
        <v>2256</v>
      </c>
      <c r="D74" t="s">
        <v>1</v>
      </c>
      <c r="E74" t="s">
        <v>1</v>
      </c>
      <c r="F74" t="s">
        <v>31</v>
      </c>
      <c r="G74" t="s">
        <v>31</v>
      </c>
      <c r="H74" t="s">
        <v>2047</v>
      </c>
      <c r="I74" s="19">
        <v>-921686700</v>
      </c>
      <c r="J74" t="s">
        <v>2048</v>
      </c>
      <c r="K74" t="s">
        <v>1</v>
      </c>
      <c r="L74" t="s">
        <v>39</v>
      </c>
      <c r="M74" t="s">
        <v>41</v>
      </c>
      <c r="N74" t="s">
        <v>254</v>
      </c>
      <c r="O74" t="s">
        <v>4</v>
      </c>
      <c r="P74" t="s">
        <v>2257</v>
      </c>
      <c r="Q74" t="s">
        <v>31</v>
      </c>
      <c r="R74" t="s">
        <v>5</v>
      </c>
      <c r="S74" t="s">
        <v>1</v>
      </c>
      <c r="T74" s="3">
        <v>-921686700</v>
      </c>
      <c r="U74" s="19">
        <v>-921686700</v>
      </c>
      <c r="V74" s="3">
        <v>-921686700</v>
      </c>
      <c r="W74" s="3">
        <v>-921686700</v>
      </c>
      <c r="X74" s="4">
        <v>0</v>
      </c>
      <c r="Y74" s="4">
        <v>0</v>
      </c>
      <c r="Z74" s="3">
        <v>0</v>
      </c>
      <c r="AA74" s="3">
        <v>0</v>
      </c>
      <c r="AB74" t="s">
        <v>1</v>
      </c>
      <c r="AC74" t="s">
        <v>24</v>
      </c>
      <c r="AD74" s="2"/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25</v>
      </c>
      <c r="AK74" s="4">
        <v>0</v>
      </c>
      <c r="AL74" t="s">
        <v>1</v>
      </c>
      <c r="AM74" s="5" t="s">
        <v>1</v>
      </c>
      <c r="AN74" t="s">
        <v>1</v>
      </c>
      <c r="AO74" s="2"/>
      <c r="AP74" t="s">
        <v>1</v>
      </c>
      <c r="AQ74" t="s">
        <v>1</v>
      </c>
      <c r="AR74" s="3">
        <v>0</v>
      </c>
      <c r="AS74" t="s">
        <v>1</v>
      </c>
      <c r="AT74" t="s">
        <v>7</v>
      </c>
      <c r="AU74" t="s">
        <v>1</v>
      </c>
      <c r="AV74" t="s">
        <v>1</v>
      </c>
      <c r="AW74" t="s">
        <v>8</v>
      </c>
      <c r="AX74" t="s">
        <v>8</v>
      </c>
      <c r="AY74" t="s">
        <v>1</v>
      </c>
      <c r="AZ74" s="4">
        <v>0</v>
      </c>
      <c r="BA74" t="s">
        <v>1</v>
      </c>
      <c r="BB74" s="3">
        <v>0</v>
      </c>
      <c r="BC74" s="3">
        <v>0</v>
      </c>
      <c r="BD74" s="3">
        <v>0</v>
      </c>
      <c r="BE74" t="s">
        <v>20</v>
      </c>
      <c r="BF74" t="s">
        <v>1</v>
      </c>
      <c r="BG74" s="4">
        <v>0</v>
      </c>
      <c r="BH74" s="4">
        <v>0</v>
      </c>
      <c r="BI74" s="6">
        <v>0</v>
      </c>
      <c r="BJ74" s="6">
        <v>0</v>
      </c>
      <c r="BK74" t="s">
        <v>1</v>
      </c>
      <c r="BL74" t="s">
        <v>1</v>
      </c>
      <c r="BM74" t="s">
        <v>1</v>
      </c>
      <c r="BN74" t="s">
        <v>9</v>
      </c>
      <c r="BO74" s="2">
        <v>46118</v>
      </c>
      <c r="BP74" t="s">
        <v>1</v>
      </c>
      <c r="BQ74" t="s">
        <v>2256</v>
      </c>
      <c r="BR74" t="s">
        <v>27</v>
      </c>
      <c r="BS74" t="s">
        <v>1</v>
      </c>
      <c r="BT74" t="s">
        <v>1</v>
      </c>
      <c r="BU74" t="s">
        <v>1</v>
      </c>
      <c r="BV74" t="s">
        <v>1</v>
      </c>
      <c r="BW74" t="s">
        <v>7</v>
      </c>
      <c r="BX74" t="s">
        <v>10</v>
      </c>
      <c r="BY74" s="2"/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254</v>
      </c>
      <c r="CJ74" s="3">
        <v>-921686700</v>
      </c>
      <c r="CK74" t="s">
        <v>9</v>
      </c>
      <c r="CL74" t="s">
        <v>11</v>
      </c>
      <c r="CM74" t="s">
        <v>1</v>
      </c>
      <c r="CN74" s="4">
        <v>0</v>
      </c>
      <c r="CO74" t="s">
        <v>7</v>
      </c>
      <c r="CP74" t="s">
        <v>7</v>
      </c>
      <c r="CQ74" t="s">
        <v>7</v>
      </c>
      <c r="CR74" t="s">
        <v>7</v>
      </c>
      <c r="CS74" s="4">
        <v>0</v>
      </c>
      <c r="CT74" t="s">
        <v>2256</v>
      </c>
      <c r="CU74" t="s">
        <v>7</v>
      </c>
      <c r="CV74" t="s">
        <v>1</v>
      </c>
      <c r="CW74" s="2"/>
      <c r="CX74" t="s">
        <v>12</v>
      </c>
      <c r="CY74" t="s">
        <v>1</v>
      </c>
      <c r="CZ74" t="s">
        <v>13</v>
      </c>
      <c r="DA74" t="s">
        <v>1</v>
      </c>
      <c r="DB74" t="s">
        <v>9</v>
      </c>
      <c r="DC74" t="s">
        <v>9</v>
      </c>
      <c r="DD74" t="s">
        <v>1</v>
      </c>
      <c r="DE74" t="s">
        <v>1</v>
      </c>
      <c r="DF74" t="s">
        <v>1</v>
      </c>
      <c r="DG74" t="s">
        <v>301</v>
      </c>
      <c r="DH74" t="s">
        <v>1</v>
      </c>
      <c r="DI74" s="2"/>
      <c r="DJ74" t="s">
        <v>1</v>
      </c>
      <c r="DK74" t="s">
        <v>14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s="2"/>
      <c r="DW74" t="s">
        <v>1</v>
      </c>
      <c r="DX74" t="s">
        <v>1</v>
      </c>
      <c r="DY74" t="s">
        <v>2258</v>
      </c>
      <c r="DZ74" t="s">
        <v>1</v>
      </c>
      <c r="EA74" t="s">
        <v>1</v>
      </c>
      <c r="EB74" t="s">
        <v>28</v>
      </c>
      <c r="EC74" t="s">
        <v>7</v>
      </c>
      <c r="ED74" t="s">
        <v>1</v>
      </c>
      <c r="EE74" t="s">
        <v>1</v>
      </c>
      <c r="EF74" t="s">
        <v>22</v>
      </c>
      <c r="EG74" t="s">
        <v>41</v>
      </c>
      <c r="EH74" t="s">
        <v>15</v>
      </c>
      <c r="EI74" t="s">
        <v>1</v>
      </c>
      <c r="EJ74" s="19">
        <v>-31900</v>
      </c>
      <c r="EK74" t="s">
        <v>1</v>
      </c>
      <c r="EL74" t="s">
        <v>1</v>
      </c>
      <c r="EM74" t="s">
        <v>1</v>
      </c>
      <c r="EN74" t="s">
        <v>1</v>
      </c>
      <c r="EO74" s="2"/>
      <c r="EP74" t="s">
        <v>2258</v>
      </c>
      <c r="EQ74" t="s">
        <v>1</v>
      </c>
      <c r="ER74" t="s">
        <v>1</v>
      </c>
      <c r="ES74" t="s">
        <v>1</v>
      </c>
      <c r="ET74" t="s">
        <v>29</v>
      </c>
      <c r="EU74" t="s">
        <v>1</v>
      </c>
      <c r="EV74" t="s">
        <v>1</v>
      </c>
      <c r="EW74" t="s">
        <v>7</v>
      </c>
      <c r="EX74" t="s">
        <v>7</v>
      </c>
      <c r="EY74" t="s">
        <v>1</v>
      </c>
      <c r="EZ74" t="s">
        <v>1</v>
      </c>
      <c r="FA74" t="s">
        <v>1</v>
      </c>
      <c r="FB74" s="3">
        <v>50</v>
      </c>
      <c r="FC74" t="s">
        <v>1</v>
      </c>
      <c r="FD74" t="s">
        <v>1</v>
      </c>
      <c r="FE74" t="s">
        <v>1</v>
      </c>
      <c r="FF74" t="s">
        <v>17</v>
      </c>
      <c r="FG74" t="s">
        <v>1</v>
      </c>
      <c r="FH74" t="s">
        <v>1</v>
      </c>
      <c r="FI74" t="s">
        <v>1</v>
      </c>
      <c r="FJ74" t="s">
        <v>1</v>
      </c>
      <c r="FK74" s="7">
        <v>46118.431631944448</v>
      </c>
      <c r="FL74" t="s">
        <v>1</v>
      </c>
      <c r="FM74" t="s">
        <v>1</v>
      </c>
      <c r="FN74" t="s">
        <v>1</v>
      </c>
      <c r="FO74" s="19">
        <v>-921686700</v>
      </c>
      <c r="FP74" s="4">
        <v>0</v>
      </c>
      <c r="FQ74" s="19">
        <v>-921686700</v>
      </c>
      <c r="FR74" s="4">
        <v>0</v>
      </c>
      <c r="FS74" s="4">
        <v>0</v>
      </c>
      <c r="FT74" s="4">
        <v>0</v>
      </c>
      <c r="FU74" s="2">
        <v>46118</v>
      </c>
      <c r="FV74" t="s">
        <v>1</v>
      </c>
      <c r="FW74" s="4">
        <v>0</v>
      </c>
      <c r="FX74" t="s">
        <v>1</v>
      </c>
      <c r="FY74" t="s">
        <v>1</v>
      </c>
      <c r="FZ74" s="4">
        <v>0</v>
      </c>
      <c r="GA74" s="4">
        <v>0</v>
      </c>
      <c r="GB74" t="s">
        <v>2070</v>
      </c>
      <c r="GC74" t="str">
        <f>RIGHT(Data_FAGLL03[[#This Row],[Payment reference]],8)</f>
        <v>91172597</v>
      </c>
      <c r="GD74" t="str">
        <f>IF(Data_FAGLL03[[#This Row],[Billing]]&lt;&gt;"",_xlfn.XLOOKUP(Data_FAGLL03[[#This Row],[Billing]],MD_BILLING_SO[BILIING],MD_BILLING_SO[SO-EDITED]),"")</f>
        <v>30030651</v>
      </c>
      <c r="GE74" s="18">
        <f>IF(SUBSTITUTE(Data_FAGLL03[[#This Row],[Eff.exchange rate]],",","")/100000=1,1,SUBSTITUTE(Data_FAGLL03[[#This Row],[Eff.exchange rate]],",","")/100)</f>
        <v>1</v>
      </c>
      <c r="GF74" s="17">
        <f>IF(Data_FAGLL03[[#This Row],[Material]]&lt;&gt;"",IFERROR(Data_FAGLL03[[#This Row],[Amount in local currency]]/Data_FAGLL03[[#This Row],[Quantity_Original]],0),0)</f>
        <v>28893</v>
      </c>
      <c r="GG74" s="18">
        <f>IF(Data_FAGLL03[[#This Row],[XK/NĐ]]="XK",Data_FAGLL03[[#This Row],[GB trung bình]]/Data_FAGLL03[[#This Row],[EXR]],0)*1000</f>
        <v>0</v>
      </c>
      <c r="GH74" s="18" cm="1">
        <f t="array" ref="GH74">IF(Data_FAGLL03[[#This Row],[Document currency]]&lt;&gt;"VND",Data_FAGLL03[[#This Row],[Amount in doc. curr.]],Data_FAGLL03[[#This Row],[Amount in local currency]]/EXR)</f>
        <v>-35109.007949563689</v>
      </c>
      <c r="GI74" s="10">
        <f>Data_FAGLL03[[#This Row],[Time Stamp]]+TIME(7,0,0)</f>
        <v>46118.723298611112</v>
      </c>
      <c r="GJ74" s="18">
        <f>MONTH(Data_FAGLL03[[#This Row],[Time Stamp_VN]])</f>
        <v>4</v>
      </c>
      <c r="GK74">
        <f>DAY(Data_FAGLL03[[#This Row],[Time Stamp_VN]])</f>
        <v>6</v>
      </c>
      <c r="GL74" t="str">
        <f>TEXT(Data_FAGLL03[[#This Row],[Tháng]],"00")&amp;" | "&amp;TEXT(Data_FAGLL03[[#This Row],[Ngày]],"00")</f>
        <v>04 | 06</v>
      </c>
      <c r="GM74" s="18">
        <f>IF(Data_FAGLL03[[#This Row],[Text]]="",Data_FAGLL03[[#This Row],[Quantity_Original]],0)</f>
        <v>-31900</v>
      </c>
      <c r="GN74" s="18" t="str">
        <f>IF(Data_FAGLL03[[#This Row],[Quantity_Edited]]&lt;&gt;0,Data_FAGLL03[[#This Row],[Offsetting acct no.]]&amp;" | "&amp;Data_FAGLL03[[#This Row],[Material]],"")</f>
        <v>104877 | 110000359</v>
      </c>
      <c r="GO74" t="str">
        <f>IF(LEFT(Data_FAGLL03[[#This Row],[Offsetting acct no.]],1)="1","NĐ",IF(LEFT(Data_FAGLL03[[#This Row],[Offsetting acct no.]],1)="2","XK","Khác"))</f>
        <v>NĐ</v>
      </c>
      <c r="GP74" t="str">
        <f>IF(Data_FAGLL03[[#This Row],[Material]]&lt;&gt;"",_xlfn.XLOOKUP(Data_FAGLL03[[#This Row],[Material]],MD_SKU[Mã SKU],MD_SKU[Tên SKU]),"")</f>
        <v>Hạt nhựa rPET WSS03G</v>
      </c>
      <c r="GQ74" t="str">
        <f>IF(Data_FAGLL03[[#This Row],[Material]]&lt;&gt;"",_xlfn.XLOOKUP(Data_FAGLL03[[#This Row],[Material]],MD_SKU[Mã SKU],MD_SKU[Nhóm SP 1]),"")</f>
        <v>rPET</v>
      </c>
      <c r="GR74" t="str">
        <f>IF(Data_FAGLL03[[#This Row],[Material]]&lt;&gt;"",_xlfn.XLOOKUP(Data_FAGLL03[[#This Row],[Material]],MD_SKU[Mã SKU],MD_SKU[Nhóm SP 2]),"")</f>
        <v>rPET</v>
      </c>
      <c r="GS74" t="str">
        <f>IF(Data_FAGLL03[[#This Row],[Material]]&lt;&gt;"",_xlfn.XLOOKUP(Data_FAGLL03[[#This Row],[Material]],MD_SKU[Mã SKU],MD_SKU[Nhóm SP 3]),"")</f>
        <v>rPET</v>
      </c>
      <c r="GT74" t="str">
        <f>IF(Data_FAGLL03[[#This Row],[Material]]&lt;&gt;"",_xlfn.XLOOKUP(Data_FAGLL03[[#This Row],[Material]],MD_SKU[Mã SKU],MD_SKU[Nhóm SP 4]),"")</f>
        <v>Hạt rPET</v>
      </c>
    </row>
    <row r="75" spans="1:202" x14ac:dyDescent="0.25">
      <c r="A75" t="s">
        <v>0</v>
      </c>
      <c r="B75" s="2">
        <v>46118</v>
      </c>
      <c r="C75" t="s">
        <v>2259</v>
      </c>
      <c r="D75" t="s">
        <v>1</v>
      </c>
      <c r="E75" t="s">
        <v>1</v>
      </c>
      <c r="F75" t="s">
        <v>31</v>
      </c>
      <c r="G75" t="s">
        <v>31</v>
      </c>
      <c r="H75" t="s">
        <v>2047</v>
      </c>
      <c r="I75" s="19">
        <v>-921686700</v>
      </c>
      <c r="J75" t="s">
        <v>2048</v>
      </c>
      <c r="K75" t="s">
        <v>1</v>
      </c>
      <c r="L75" t="s">
        <v>39</v>
      </c>
      <c r="M75" t="s">
        <v>41</v>
      </c>
      <c r="N75" t="s">
        <v>254</v>
      </c>
      <c r="O75" t="s">
        <v>4</v>
      </c>
      <c r="P75" t="s">
        <v>2260</v>
      </c>
      <c r="Q75" t="s">
        <v>31</v>
      </c>
      <c r="R75" t="s">
        <v>5</v>
      </c>
      <c r="S75" t="s">
        <v>1</v>
      </c>
      <c r="T75" s="3">
        <v>-921686700</v>
      </c>
      <c r="U75" s="19">
        <v>-921686700</v>
      </c>
      <c r="V75" s="3">
        <v>-921686700</v>
      </c>
      <c r="W75" s="3">
        <v>-921686700</v>
      </c>
      <c r="X75" s="4">
        <v>0</v>
      </c>
      <c r="Y75" s="4">
        <v>0</v>
      </c>
      <c r="Z75" s="3">
        <v>0</v>
      </c>
      <c r="AA75" s="3">
        <v>0</v>
      </c>
      <c r="AB75" t="s">
        <v>1</v>
      </c>
      <c r="AC75" t="s">
        <v>24</v>
      </c>
      <c r="AD75" s="2"/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25</v>
      </c>
      <c r="AK75" s="4">
        <v>0</v>
      </c>
      <c r="AL75" t="s">
        <v>1</v>
      </c>
      <c r="AM75" s="5" t="s">
        <v>1</v>
      </c>
      <c r="AN75" t="s">
        <v>1</v>
      </c>
      <c r="AO75" s="2"/>
      <c r="AP75" t="s">
        <v>1</v>
      </c>
      <c r="AQ75" t="s">
        <v>1</v>
      </c>
      <c r="AR75" s="3">
        <v>0</v>
      </c>
      <c r="AS75" t="s">
        <v>1</v>
      </c>
      <c r="AT75" t="s">
        <v>7</v>
      </c>
      <c r="AU75" t="s">
        <v>1</v>
      </c>
      <c r="AV75" t="s">
        <v>1</v>
      </c>
      <c r="AW75" t="s">
        <v>8</v>
      </c>
      <c r="AX75" t="s">
        <v>8</v>
      </c>
      <c r="AY75" t="s">
        <v>1</v>
      </c>
      <c r="AZ75" s="4">
        <v>0</v>
      </c>
      <c r="BA75" t="s">
        <v>1</v>
      </c>
      <c r="BB75" s="3">
        <v>0</v>
      </c>
      <c r="BC75" s="3">
        <v>0</v>
      </c>
      <c r="BD75" s="3">
        <v>0</v>
      </c>
      <c r="BE75" t="s">
        <v>20</v>
      </c>
      <c r="BF75" t="s">
        <v>1</v>
      </c>
      <c r="BG75" s="4">
        <v>0</v>
      </c>
      <c r="BH75" s="4">
        <v>0</v>
      </c>
      <c r="BI75" s="6">
        <v>0</v>
      </c>
      <c r="BJ75" s="6">
        <v>0</v>
      </c>
      <c r="BK75" t="s">
        <v>1</v>
      </c>
      <c r="BL75" t="s">
        <v>1</v>
      </c>
      <c r="BM75" t="s">
        <v>1</v>
      </c>
      <c r="BN75" t="s">
        <v>9</v>
      </c>
      <c r="BO75" s="2">
        <v>46118</v>
      </c>
      <c r="BP75" t="s">
        <v>1</v>
      </c>
      <c r="BQ75" t="s">
        <v>2259</v>
      </c>
      <c r="BR75" t="s">
        <v>27</v>
      </c>
      <c r="BS75" t="s">
        <v>1</v>
      </c>
      <c r="BT75" t="s">
        <v>1</v>
      </c>
      <c r="BU75" t="s">
        <v>1</v>
      </c>
      <c r="BV75" t="s">
        <v>1</v>
      </c>
      <c r="BW75" t="s">
        <v>7</v>
      </c>
      <c r="BX75" t="s">
        <v>10</v>
      </c>
      <c r="BY75" s="2"/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254</v>
      </c>
      <c r="CJ75" s="3">
        <v>-921686700</v>
      </c>
      <c r="CK75" t="s">
        <v>9</v>
      </c>
      <c r="CL75" t="s">
        <v>11</v>
      </c>
      <c r="CM75" t="s">
        <v>1</v>
      </c>
      <c r="CN75" s="4">
        <v>0</v>
      </c>
      <c r="CO75" t="s">
        <v>7</v>
      </c>
      <c r="CP75" t="s">
        <v>7</v>
      </c>
      <c r="CQ75" t="s">
        <v>7</v>
      </c>
      <c r="CR75" t="s">
        <v>7</v>
      </c>
      <c r="CS75" s="4">
        <v>0</v>
      </c>
      <c r="CT75" t="s">
        <v>2259</v>
      </c>
      <c r="CU75" t="s">
        <v>7</v>
      </c>
      <c r="CV75" t="s">
        <v>1</v>
      </c>
      <c r="CW75" s="2"/>
      <c r="CX75" t="s">
        <v>12</v>
      </c>
      <c r="CY75" t="s">
        <v>1</v>
      </c>
      <c r="CZ75" t="s">
        <v>13</v>
      </c>
      <c r="DA75" t="s">
        <v>1</v>
      </c>
      <c r="DB75" t="s">
        <v>9</v>
      </c>
      <c r="DC75" t="s">
        <v>9</v>
      </c>
      <c r="DD75" t="s">
        <v>1</v>
      </c>
      <c r="DE75" t="s">
        <v>1</v>
      </c>
      <c r="DF75" t="s">
        <v>1</v>
      </c>
      <c r="DG75" t="s">
        <v>301</v>
      </c>
      <c r="DH75" t="s">
        <v>1</v>
      </c>
      <c r="DI75" s="2"/>
      <c r="DJ75" t="s">
        <v>1</v>
      </c>
      <c r="DK75" t="s">
        <v>14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s="2"/>
      <c r="DW75" t="s">
        <v>1</v>
      </c>
      <c r="DX75" t="s">
        <v>1</v>
      </c>
      <c r="DY75" t="s">
        <v>2261</v>
      </c>
      <c r="DZ75" t="s">
        <v>1</v>
      </c>
      <c r="EA75" t="s">
        <v>1</v>
      </c>
      <c r="EB75" t="s">
        <v>28</v>
      </c>
      <c r="EC75" t="s">
        <v>7</v>
      </c>
      <c r="ED75" t="s">
        <v>1</v>
      </c>
      <c r="EE75" t="s">
        <v>1</v>
      </c>
      <c r="EF75" t="s">
        <v>22</v>
      </c>
      <c r="EG75" t="s">
        <v>41</v>
      </c>
      <c r="EH75" t="s">
        <v>15</v>
      </c>
      <c r="EI75" t="s">
        <v>1</v>
      </c>
      <c r="EJ75" s="19">
        <v>-31900</v>
      </c>
      <c r="EK75" t="s">
        <v>1</v>
      </c>
      <c r="EL75" t="s">
        <v>1</v>
      </c>
      <c r="EM75" t="s">
        <v>1</v>
      </c>
      <c r="EN75" t="s">
        <v>1</v>
      </c>
      <c r="EO75" s="2"/>
      <c r="EP75" t="s">
        <v>2261</v>
      </c>
      <c r="EQ75" t="s">
        <v>1</v>
      </c>
      <c r="ER75" t="s">
        <v>1</v>
      </c>
      <c r="ES75" t="s">
        <v>1</v>
      </c>
      <c r="ET75" t="s">
        <v>29</v>
      </c>
      <c r="EU75" t="s">
        <v>1</v>
      </c>
      <c r="EV75" t="s">
        <v>1</v>
      </c>
      <c r="EW75" t="s">
        <v>7</v>
      </c>
      <c r="EX75" t="s">
        <v>7</v>
      </c>
      <c r="EY75" t="s">
        <v>1</v>
      </c>
      <c r="EZ75" t="s">
        <v>1</v>
      </c>
      <c r="FA75" t="s">
        <v>1</v>
      </c>
      <c r="FB75" s="3">
        <v>50</v>
      </c>
      <c r="FC75" t="s">
        <v>1</v>
      </c>
      <c r="FD75" t="s">
        <v>1</v>
      </c>
      <c r="FE75" t="s">
        <v>1</v>
      </c>
      <c r="FF75" t="s">
        <v>17</v>
      </c>
      <c r="FG75" t="s">
        <v>1</v>
      </c>
      <c r="FH75" t="s">
        <v>1</v>
      </c>
      <c r="FI75" t="s">
        <v>1</v>
      </c>
      <c r="FJ75" t="s">
        <v>1</v>
      </c>
      <c r="FK75" s="7">
        <v>46118.431851851848</v>
      </c>
      <c r="FL75" t="s">
        <v>1</v>
      </c>
      <c r="FM75" t="s">
        <v>1</v>
      </c>
      <c r="FN75" t="s">
        <v>1</v>
      </c>
      <c r="FO75" s="19">
        <v>-921686700</v>
      </c>
      <c r="FP75" s="4">
        <v>0</v>
      </c>
      <c r="FQ75" s="19">
        <v>-921686700</v>
      </c>
      <c r="FR75" s="4">
        <v>0</v>
      </c>
      <c r="FS75" s="4">
        <v>0</v>
      </c>
      <c r="FT75" s="4">
        <v>0</v>
      </c>
      <c r="FU75" s="2">
        <v>46118</v>
      </c>
      <c r="FV75" t="s">
        <v>1</v>
      </c>
      <c r="FW75" s="4">
        <v>0</v>
      </c>
      <c r="FX75" t="s">
        <v>1</v>
      </c>
      <c r="FY75" t="s">
        <v>1</v>
      </c>
      <c r="FZ75" s="4">
        <v>0</v>
      </c>
      <c r="GA75" s="4">
        <v>0</v>
      </c>
      <c r="GB75" t="s">
        <v>2070</v>
      </c>
      <c r="GC75" t="str">
        <f>RIGHT(Data_FAGLL03[[#This Row],[Payment reference]],8)</f>
        <v>91172598</v>
      </c>
      <c r="GD75" t="str">
        <f>IF(Data_FAGLL03[[#This Row],[Billing]]&lt;&gt;"",_xlfn.XLOOKUP(Data_FAGLL03[[#This Row],[Billing]],MD_BILLING_SO[BILIING],MD_BILLING_SO[SO-EDITED]),"")</f>
        <v>30030651</v>
      </c>
      <c r="GE75" s="18">
        <f>IF(SUBSTITUTE(Data_FAGLL03[[#This Row],[Eff.exchange rate]],",","")/100000=1,1,SUBSTITUTE(Data_FAGLL03[[#This Row],[Eff.exchange rate]],",","")/100)</f>
        <v>1</v>
      </c>
      <c r="GF75" s="17">
        <f>IF(Data_FAGLL03[[#This Row],[Material]]&lt;&gt;"",IFERROR(Data_FAGLL03[[#This Row],[Amount in local currency]]/Data_FAGLL03[[#This Row],[Quantity_Original]],0),0)</f>
        <v>28893</v>
      </c>
      <c r="GG75" s="18">
        <f>IF(Data_FAGLL03[[#This Row],[XK/NĐ]]="XK",Data_FAGLL03[[#This Row],[GB trung bình]]/Data_FAGLL03[[#This Row],[EXR]],0)*1000</f>
        <v>0</v>
      </c>
      <c r="GH75" s="18" cm="1">
        <f t="array" ref="GH75">IF(Data_FAGLL03[[#This Row],[Document currency]]&lt;&gt;"VND",Data_FAGLL03[[#This Row],[Amount in doc. curr.]],Data_FAGLL03[[#This Row],[Amount in local currency]]/EXR)</f>
        <v>-35109.007949563689</v>
      </c>
      <c r="GI75" s="10">
        <f>Data_FAGLL03[[#This Row],[Time Stamp]]+TIME(7,0,0)</f>
        <v>46118.723518518513</v>
      </c>
      <c r="GJ75" s="18">
        <f>MONTH(Data_FAGLL03[[#This Row],[Time Stamp_VN]])</f>
        <v>4</v>
      </c>
      <c r="GK75">
        <f>DAY(Data_FAGLL03[[#This Row],[Time Stamp_VN]])</f>
        <v>6</v>
      </c>
      <c r="GL75" t="str">
        <f>TEXT(Data_FAGLL03[[#This Row],[Tháng]],"00")&amp;" | "&amp;TEXT(Data_FAGLL03[[#This Row],[Ngày]],"00")</f>
        <v>04 | 06</v>
      </c>
      <c r="GM75" s="18">
        <f>IF(Data_FAGLL03[[#This Row],[Text]]="",Data_FAGLL03[[#This Row],[Quantity_Original]],0)</f>
        <v>-31900</v>
      </c>
      <c r="GN75" s="18" t="str">
        <f>IF(Data_FAGLL03[[#This Row],[Quantity_Edited]]&lt;&gt;0,Data_FAGLL03[[#This Row],[Offsetting acct no.]]&amp;" | "&amp;Data_FAGLL03[[#This Row],[Material]],"")</f>
        <v>104877 | 110000359</v>
      </c>
      <c r="GO75" t="str">
        <f>IF(LEFT(Data_FAGLL03[[#This Row],[Offsetting acct no.]],1)="1","NĐ",IF(LEFT(Data_FAGLL03[[#This Row],[Offsetting acct no.]],1)="2","XK","Khác"))</f>
        <v>NĐ</v>
      </c>
      <c r="GP75" t="str">
        <f>IF(Data_FAGLL03[[#This Row],[Material]]&lt;&gt;"",_xlfn.XLOOKUP(Data_FAGLL03[[#This Row],[Material]],MD_SKU[Mã SKU],MD_SKU[Tên SKU]),"")</f>
        <v>Hạt nhựa rPET WSS03G</v>
      </c>
      <c r="GQ75" t="str">
        <f>IF(Data_FAGLL03[[#This Row],[Material]]&lt;&gt;"",_xlfn.XLOOKUP(Data_FAGLL03[[#This Row],[Material]],MD_SKU[Mã SKU],MD_SKU[Nhóm SP 1]),"")</f>
        <v>rPET</v>
      </c>
      <c r="GR75" t="str">
        <f>IF(Data_FAGLL03[[#This Row],[Material]]&lt;&gt;"",_xlfn.XLOOKUP(Data_FAGLL03[[#This Row],[Material]],MD_SKU[Mã SKU],MD_SKU[Nhóm SP 2]),"")</f>
        <v>rPET</v>
      </c>
      <c r="GS75" t="str">
        <f>IF(Data_FAGLL03[[#This Row],[Material]]&lt;&gt;"",_xlfn.XLOOKUP(Data_FAGLL03[[#This Row],[Material]],MD_SKU[Mã SKU],MD_SKU[Nhóm SP 3]),"")</f>
        <v>rPET</v>
      </c>
      <c r="GT75" t="str">
        <f>IF(Data_FAGLL03[[#This Row],[Material]]&lt;&gt;"",_xlfn.XLOOKUP(Data_FAGLL03[[#This Row],[Material]],MD_SKU[Mã SKU],MD_SKU[Nhóm SP 4]),"")</f>
        <v>Hạt rPET</v>
      </c>
    </row>
    <row r="76" spans="1:202" x14ac:dyDescent="0.25">
      <c r="A76" t="s">
        <v>0</v>
      </c>
      <c r="B76" s="2">
        <v>46118</v>
      </c>
      <c r="C76" t="s">
        <v>2262</v>
      </c>
      <c r="D76" t="s">
        <v>1</v>
      </c>
      <c r="E76" t="s">
        <v>1</v>
      </c>
      <c r="F76" t="s">
        <v>31</v>
      </c>
      <c r="G76" t="s">
        <v>31</v>
      </c>
      <c r="H76" t="s">
        <v>258</v>
      </c>
      <c r="I76" s="19">
        <v>-709280000</v>
      </c>
      <c r="J76" t="s">
        <v>259</v>
      </c>
      <c r="K76" t="s">
        <v>1</v>
      </c>
      <c r="L76" t="s">
        <v>39</v>
      </c>
      <c r="M76" t="s">
        <v>41</v>
      </c>
      <c r="N76" t="s">
        <v>254</v>
      </c>
      <c r="O76" t="s">
        <v>4</v>
      </c>
      <c r="P76" t="s">
        <v>2263</v>
      </c>
      <c r="Q76" t="s">
        <v>31</v>
      </c>
      <c r="R76" t="s">
        <v>5</v>
      </c>
      <c r="S76" t="s">
        <v>1</v>
      </c>
      <c r="T76" s="3">
        <v>-709280000</v>
      </c>
      <c r="U76" s="19">
        <v>-709280000</v>
      </c>
      <c r="V76" s="3">
        <v>-709280000</v>
      </c>
      <c r="W76" s="3">
        <v>-709280000</v>
      </c>
      <c r="X76" s="4">
        <v>0</v>
      </c>
      <c r="Y76" s="4">
        <v>0</v>
      </c>
      <c r="Z76" s="3">
        <v>0</v>
      </c>
      <c r="AA76" s="3">
        <v>0</v>
      </c>
      <c r="AB76" t="s">
        <v>1</v>
      </c>
      <c r="AC76" t="s">
        <v>24</v>
      </c>
      <c r="AD76" s="2"/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25</v>
      </c>
      <c r="AK76" s="4">
        <v>0</v>
      </c>
      <c r="AL76" t="s">
        <v>1</v>
      </c>
      <c r="AM76" s="5" t="s">
        <v>1</v>
      </c>
      <c r="AN76" t="s">
        <v>1</v>
      </c>
      <c r="AO76" s="2"/>
      <c r="AP76" t="s">
        <v>1</v>
      </c>
      <c r="AQ76" t="s">
        <v>1</v>
      </c>
      <c r="AR76" s="3">
        <v>0</v>
      </c>
      <c r="AS76" t="s">
        <v>1</v>
      </c>
      <c r="AT76" t="s">
        <v>7</v>
      </c>
      <c r="AU76" t="s">
        <v>1</v>
      </c>
      <c r="AV76" t="s">
        <v>1</v>
      </c>
      <c r="AW76" t="s">
        <v>8</v>
      </c>
      <c r="AX76" t="s">
        <v>8</v>
      </c>
      <c r="AY76" t="s">
        <v>1</v>
      </c>
      <c r="AZ76" s="4">
        <v>0</v>
      </c>
      <c r="BA76" t="s">
        <v>1</v>
      </c>
      <c r="BB76" s="3">
        <v>0</v>
      </c>
      <c r="BC76" s="3">
        <v>0</v>
      </c>
      <c r="BD76" s="3">
        <v>0</v>
      </c>
      <c r="BE76" t="s">
        <v>20</v>
      </c>
      <c r="BF76" t="s">
        <v>1</v>
      </c>
      <c r="BG76" s="4">
        <v>0</v>
      </c>
      <c r="BH76" s="4">
        <v>0</v>
      </c>
      <c r="BI76" s="6">
        <v>0</v>
      </c>
      <c r="BJ76" s="6">
        <v>0</v>
      </c>
      <c r="BK76" t="s">
        <v>1</v>
      </c>
      <c r="BL76" t="s">
        <v>1</v>
      </c>
      <c r="BM76" t="s">
        <v>1</v>
      </c>
      <c r="BN76" t="s">
        <v>9</v>
      </c>
      <c r="BO76" s="2">
        <v>46118</v>
      </c>
      <c r="BP76" t="s">
        <v>1</v>
      </c>
      <c r="BQ76" t="s">
        <v>2262</v>
      </c>
      <c r="BR76" t="s">
        <v>27</v>
      </c>
      <c r="BS76" t="s">
        <v>1</v>
      </c>
      <c r="BT76" t="s">
        <v>1</v>
      </c>
      <c r="BU76" t="s">
        <v>1</v>
      </c>
      <c r="BV76" t="s">
        <v>1</v>
      </c>
      <c r="BW76" t="s">
        <v>7</v>
      </c>
      <c r="BX76" t="s">
        <v>10</v>
      </c>
      <c r="BY76" s="2"/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254</v>
      </c>
      <c r="CJ76" s="3">
        <v>-709280000</v>
      </c>
      <c r="CK76" t="s">
        <v>9</v>
      </c>
      <c r="CL76" t="s">
        <v>11</v>
      </c>
      <c r="CM76" t="s">
        <v>1</v>
      </c>
      <c r="CN76" s="4">
        <v>0</v>
      </c>
      <c r="CO76" t="s">
        <v>7</v>
      </c>
      <c r="CP76" t="s">
        <v>7</v>
      </c>
      <c r="CQ76" t="s">
        <v>7</v>
      </c>
      <c r="CR76" t="s">
        <v>7</v>
      </c>
      <c r="CS76" s="4">
        <v>0</v>
      </c>
      <c r="CT76" t="s">
        <v>2262</v>
      </c>
      <c r="CU76" t="s">
        <v>7</v>
      </c>
      <c r="CV76" t="s">
        <v>1</v>
      </c>
      <c r="CW76" s="2"/>
      <c r="CX76" t="s">
        <v>12</v>
      </c>
      <c r="CY76" t="s">
        <v>1</v>
      </c>
      <c r="CZ76" t="s">
        <v>13</v>
      </c>
      <c r="DA76" t="s">
        <v>1</v>
      </c>
      <c r="DB76" t="s">
        <v>9</v>
      </c>
      <c r="DC76" t="s">
        <v>9</v>
      </c>
      <c r="DD76" t="s">
        <v>1</v>
      </c>
      <c r="DE76" t="s">
        <v>1</v>
      </c>
      <c r="DF76" t="s">
        <v>1</v>
      </c>
      <c r="DG76" t="s">
        <v>32</v>
      </c>
      <c r="DH76" t="s">
        <v>1</v>
      </c>
      <c r="DI76" s="2"/>
      <c r="DJ76" t="s">
        <v>1</v>
      </c>
      <c r="DK76" t="s">
        <v>14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s="2"/>
      <c r="DW76" t="s">
        <v>1</v>
      </c>
      <c r="DX76" t="s">
        <v>1</v>
      </c>
      <c r="DY76" t="s">
        <v>2264</v>
      </c>
      <c r="DZ76" t="s">
        <v>1</v>
      </c>
      <c r="EA76" t="s">
        <v>1</v>
      </c>
      <c r="EB76" t="s">
        <v>28</v>
      </c>
      <c r="EC76" t="s">
        <v>7</v>
      </c>
      <c r="ED76" t="s">
        <v>1</v>
      </c>
      <c r="EE76" t="s">
        <v>1</v>
      </c>
      <c r="EF76" t="s">
        <v>22</v>
      </c>
      <c r="EG76" t="s">
        <v>41</v>
      </c>
      <c r="EH76" t="s">
        <v>15</v>
      </c>
      <c r="EI76" t="s">
        <v>1</v>
      </c>
      <c r="EJ76" s="19">
        <v>-22000</v>
      </c>
      <c r="EK76" t="s">
        <v>1</v>
      </c>
      <c r="EL76" t="s">
        <v>1</v>
      </c>
      <c r="EM76" t="s">
        <v>1</v>
      </c>
      <c r="EN76" t="s">
        <v>1</v>
      </c>
      <c r="EO76" s="2"/>
      <c r="EP76" t="s">
        <v>2264</v>
      </c>
      <c r="EQ76" t="s">
        <v>1</v>
      </c>
      <c r="ER76" t="s">
        <v>1</v>
      </c>
      <c r="ES76" t="s">
        <v>1</v>
      </c>
      <c r="ET76" t="s">
        <v>29</v>
      </c>
      <c r="EU76" t="s">
        <v>1</v>
      </c>
      <c r="EV76" t="s">
        <v>1</v>
      </c>
      <c r="EW76" t="s">
        <v>7</v>
      </c>
      <c r="EX76" t="s">
        <v>7</v>
      </c>
      <c r="EY76" t="s">
        <v>1</v>
      </c>
      <c r="EZ76" t="s">
        <v>1</v>
      </c>
      <c r="FA76" t="s">
        <v>1</v>
      </c>
      <c r="FB76" s="3">
        <v>50</v>
      </c>
      <c r="FC76" t="s">
        <v>1</v>
      </c>
      <c r="FD76" t="s">
        <v>1</v>
      </c>
      <c r="FE76" t="s">
        <v>1</v>
      </c>
      <c r="FF76" t="s">
        <v>17</v>
      </c>
      <c r="FG76" t="s">
        <v>1</v>
      </c>
      <c r="FH76" t="s">
        <v>1</v>
      </c>
      <c r="FI76" t="s">
        <v>1</v>
      </c>
      <c r="FJ76" t="s">
        <v>1</v>
      </c>
      <c r="FK76" s="7">
        <v>46118.431909722225</v>
      </c>
      <c r="FL76" t="s">
        <v>1</v>
      </c>
      <c r="FM76" t="s">
        <v>1</v>
      </c>
      <c r="FN76" t="s">
        <v>1</v>
      </c>
      <c r="FO76" s="19">
        <v>-709280000</v>
      </c>
      <c r="FP76" s="4">
        <v>0</v>
      </c>
      <c r="FQ76" s="19">
        <v>-709280000</v>
      </c>
      <c r="FR76" s="4">
        <v>0</v>
      </c>
      <c r="FS76" s="4">
        <v>0</v>
      </c>
      <c r="FT76" s="4">
        <v>0</v>
      </c>
      <c r="FU76" s="2">
        <v>46118</v>
      </c>
      <c r="FV76" t="s">
        <v>1</v>
      </c>
      <c r="FW76" s="4">
        <v>0</v>
      </c>
      <c r="FX76" t="s">
        <v>1</v>
      </c>
      <c r="FY76" t="s">
        <v>1</v>
      </c>
      <c r="FZ76" s="4">
        <v>0</v>
      </c>
      <c r="GA76" s="4">
        <v>0</v>
      </c>
      <c r="GB76" t="s">
        <v>2070</v>
      </c>
      <c r="GC76" t="str">
        <f>RIGHT(Data_FAGLL03[[#This Row],[Payment reference]],8)</f>
        <v>91172599</v>
      </c>
      <c r="GD76" t="str">
        <f>IF(Data_FAGLL03[[#This Row],[Billing]]&lt;&gt;"",_xlfn.XLOOKUP(Data_FAGLL03[[#This Row],[Billing]],MD_BILLING_SO[BILIING],MD_BILLING_SO[SO-EDITED]),"")</f>
        <v>30030652</v>
      </c>
      <c r="GE76" s="18">
        <f>IF(SUBSTITUTE(Data_FAGLL03[[#This Row],[Eff.exchange rate]],",","")/100000=1,1,SUBSTITUTE(Data_FAGLL03[[#This Row],[Eff.exchange rate]],",","")/100)</f>
        <v>1</v>
      </c>
      <c r="GF76" s="17">
        <f>IF(Data_FAGLL03[[#This Row],[Material]]&lt;&gt;"",IFERROR(Data_FAGLL03[[#This Row],[Amount in local currency]]/Data_FAGLL03[[#This Row],[Quantity_Original]],0),0)</f>
        <v>32240</v>
      </c>
      <c r="GG76" s="18">
        <f>IF(Data_FAGLL03[[#This Row],[XK/NĐ]]="XK",Data_FAGLL03[[#This Row],[GB trung bình]]/Data_FAGLL03[[#This Row],[EXR]],0)*1000</f>
        <v>0</v>
      </c>
      <c r="GH76" s="18" cm="1">
        <f t="array" ref="GH76">IF(Data_FAGLL03[[#This Row],[Document currency]]&lt;&gt;"VND",Data_FAGLL03[[#This Row],[Amount in doc. curr.]],Data_FAGLL03[[#This Row],[Amount in local currency]]/EXR)</f>
        <v>-27017.984699645262</v>
      </c>
      <c r="GI76" s="10">
        <f>Data_FAGLL03[[#This Row],[Time Stamp]]+TIME(7,0,0)</f>
        <v>46118.723576388889</v>
      </c>
      <c r="GJ76" s="18">
        <f>MONTH(Data_FAGLL03[[#This Row],[Time Stamp_VN]])</f>
        <v>4</v>
      </c>
      <c r="GK76">
        <f>DAY(Data_FAGLL03[[#This Row],[Time Stamp_VN]])</f>
        <v>6</v>
      </c>
      <c r="GL76" t="str">
        <f>TEXT(Data_FAGLL03[[#This Row],[Tháng]],"00")&amp;" | "&amp;TEXT(Data_FAGLL03[[#This Row],[Ngày]],"00")</f>
        <v>04 | 06</v>
      </c>
      <c r="GM76" s="18">
        <f>IF(Data_FAGLL03[[#This Row],[Text]]="",Data_FAGLL03[[#This Row],[Quantity_Original]],0)</f>
        <v>-22000</v>
      </c>
      <c r="GN76" s="18" t="str">
        <f>IF(Data_FAGLL03[[#This Row],[Quantity_Edited]]&lt;&gt;0,Data_FAGLL03[[#This Row],[Offsetting acct no.]]&amp;" | "&amp;Data_FAGLL03[[#This Row],[Material]],"")</f>
        <v>105194 | 110000332</v>
      </c>
      <c r="GO76" t="str">
        <f>IF(LEFT(Data_FAGLL03[[#This Row],[Offsetting acct no.]],1)="1","NĐ",IF(LEFT(Data_FAGLL03[[#This Row],[Offsetting acct no.]],1)="2","XK","Khác"))</f>
        <v>NĐ</v>
      </c>
      <c r="GP76" t="str">
        <f>IF(Data_FAGLL03[[#This Row],[Material]]&lt;&gt;"",_xlfn.XLOOKUP(Data_FAGLL03[[#This Row],[Material]],MD_SKU[Mã SKU],MD_SKU[Tên SKU]),"")</f>
        <v>Hạt nhựa rPET iSS01084G</v>
      </c>
      <c r="GQ76" t="str">
        <f>IF(Data_FAGLL03[[#This Row],[Material]]&lt;&gt;"",_xlfn.XLOOKUP(Data_FAGLL03[[#This Row],[Material]],MD_SKU[Mã SKU],MD_SKU[Nhóm SP 1]),"")</f>
        <v>rPET</v>
      </c>
      <c r="GR76" t="str">
        <f>IF(Data_FAGLL03[[#This Row],[Material]]&lt;&gt;"",_xlfn.XLOOKUP(Data_FAGLL03[[#This Row],[Material]],MD_SKU[Mã SKU],MD_SKU[Nhóm SP 2]),"")</f>
        <v>rPET</v>
      </c>
      <c r="GS76" t="str">
        <f>IF(Data_FAGLL03[[#This Row],[Material]]&lt;&gt;"",_xlfn.XLOOKUP(Data_FAGLL03[[#This Row],[Material]],MD_SKU[Mã SKU],MD_SKU[Nhóm SP 3]),"")</f>
        <v>rPET</v>
      </c>
      <c r="GT76" t="str">
        <f>IF(Data_FAGLL03[[#This Row],[Material]]&lt;&gt;"",_xlfn.XLOOKUP(Data_FAGLL03[[#This Row],[Material]],MD_SKU[Mã SKU],MD_SKU[Nhóm SP 4]),"")</f>
        <v>Hạt rPET</v>
      </c>
    </row>
    <row r="77" spans="1:202" x14ac:dyDescent="0.25">
      <c r="A77" t="s">
        <v>0</v>
      </c>
      <c r="B77" s="2">
        <v>46118</v>
      </c>
      <c r="C77" t="s">
        <v>2265</v>
      </c>
      <c r="D77" t="s">
        <v>1</v>
      </c>
      <c r="E77" t="s">
        <v>1</v>
      </c>
      <c r="F77" t="s">
        <v>31</v>
      </c>
      <c r="G77" t="s">
        <v>31</v>
      </c>
      <c r="H77" t="s">
        <v>42</v>
      </c>
      <c r="I77" s="19">
        <v>-696938000</v>
      </c>
      <c r="J77" t="s">
        <v>43</v>
      </c>
      <c r="K77" t="s">
        <v>1</v>
      </c>
      <c r="L77" t="s">
        <v>39</v>
      </c>
      <c r="M77" t="s">
        <v>41</v>
      </c>
      <c r="N77" t="s">
        <v>254</v>
      </c>
      <c r="O77" t="s">
        <v>4</v>
      </c>
      <c r="P77" t="s">
        <v>2266</v>
      </c>
      <c r="Q77" t="s">
        <v>31</v>
      </c>
      <c r="R77" t="s">
        <v>5</v>
      </c>
      <c r="S77" t="s">
        <v>1</v>
      </c>
      <c r="T77" s="3">
        <v>-696938000</v>
      </c>
      <c r="U77" s="19">
        <v>-696938000</v>
      </c>
      <c r="V77" s="3">
        <v>-696938000</v>
      </c>
      <c r="W77" s="3">
        <v>-696938000</v>
      </c>
      <c r="X77" s="4">
        <v>0</v>
      </c>
      <c r="Y77" s="4">
        <v>0</v>
      </c>
      <c r="Z77" s="3">
        <v>0</v>
      </c>
      <c r="AA77" s="3">
        <v>0</v>
      </c>
      <c r="AB77" t="s">
        <v>1</v>
      </c>
      <c r="AC77" t="s">
        <v>24</v>
      </c>
      <c r="AD77" s="2"/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25</v>
      </c>
      <c r="AK77" s="4">
        <v>0</v>
      </c>
      <c r="AL77" t="s">
        <v>1</v>
      </c>
      <c r="AM77" s="5" t="s">
        <v>1</v>
      </c>
      <c r="AN77" t="s">
        <v>1</v>
      </c>
      <c r="AO77" s="2"/>
      <c r="AP77" t="s">
        <v>1</v>
      </c>
      <c r="AQ77" t="s">
        <v>1</v>
      </c>
      <c r="AR77" s="3">
        <v>0</v>
      </c>
      <c r="AS77" t="s">
        <v>1</v>
      </c>
      <c r="AT77" t="s">
        <v>7</v>
      </c>
      <c r="AU77" t="s">
        <v>1</v>
      </c>
      <c r="AV77" t="s">
        <v>1</v>
      </c>
      <c r="AW77" t="s">
        <v>8</v>
      </c>
      <c r="AX77" t="s">
        <v>8</v>
      </c>
      <c r="AY77" t="s">
        <v>1</v>
      </c>
      <c r="AZ77" s="4">
        <v>0</v>
      </c>
      <c r="BA77" t="s">
        <v>1</v>
      </c>
      <c r="BB77" s="3">
        <v>0</v>
      </c>
      <c r="BC77" s="3">
        <v>0</v>
      </c>
      <c r="BD77" s="3">
        <v>0</v>
      </c>
      <c r="BE77" t="s">
        <v>20</v>
      </c>
      <c r="BF77" t="s">
        <v>1</v>
      </c>
      <c r="BG77" s="4">
        <v>0</v>
      </c>
      <c r="BH77" s="4">
        <v>0</v>
      </c>
      <c r="BI77" s="6">
        <v>0</v>
      </c>
      <c r="BJ77" s="6">
        <v>0</v>
      </c>
      <c r="BK77" t="s">
        <v>1</v>
      </c>
      <c r="BL77" t="s">
        <v>1</v>
      </c>
      <c r="BM77" t="s">
        <v>1</v>
      </c>
      <c r="BN77" t="s">
        <v>9</v>
      </c>
      <c r="BO77" s="2">
        <v>46118</v>
      </c>
      <c r="BP77" t="s">
        <v>1</v>
      </c>
      <c r="BQ77" t="s">
        <v>2265</v>
      </c>
      <c r="BR77" t="s">
        <v>27</v>
      </c>
      <c r="BS77" t="s">
        <v>1</v>
      </c>
      <c r="BT77" t="s">
        <v>1</v>
      </c>
      <c r="BU77" t="s">
        <v>1</v>
      </c>
      <c r="BV77" t="s">
        <v>1</v>
      </c>
      <c r="BW77" t="s">
        <v>7</v>
      </c>
      <c r="BX77" t="s">
        <v>10</v>
      </c>
      <c r="BY77" s="2"/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254</v>
      </c>
      <c r="CJ77" s="3">
        <v>-696938000</v>
      </c>
      <c r="CK77" t="s">
        <v>9</v>
      </c>
      <c r="CL77" t="s">
        <v>11</v>
      </c>
      <c r="CM77" t="s">
        <v>1</v>
      </c>
      <c r="CN77" s="4">
        <v>0</v>
      </c>
      <c r="CO77" t="s">
        <v>7</v>
      </c>
      <c r="CP77" t="s">
        <v>7</v>
      </c>
      <c r="CQ77" t="s">
        <v>7</v>
      </c>
      <c r="CR77" t="s">
        <v>7</v>
      </c>
      <c r="CS77" s="4">
        <v>0</v>
      </c>
      <c r="CT77" t="s">
        <v>2265</v>
      </c>
      <c r="CU77" t="s">
        <v>7</v>
      </c>
      <c r="CV77" t="s">
        <v>1</v>
      </c>
      <c r="CW77" s="2"/>
      <c r="CX77" t="s">
        <v>12</v>
      </c>
      <c r="CY77" t="s">
        <v>1</v>
      </c>
      <c r="CZ77" t="s">
        <v>13</v>
      </c>
      <c r="DA77" t="s">
        <v>1</v>
      </c>
      <c r="DB77" t="s">
        <v>9</v>
      </c>
      <c r="DC77" t="s">
        <v>9</v>
      </c>
      <c r="DD77" t="s">
        <v>1</v>
      </c>
      <c r="DE77" t="s">
        <v>1</v>
      </c>
      <c r="DF77" t="s">
        <v>1</v>
      </c>
      <c r="DG77" t="s">
        <v>33</v>
      </c>
      <c r="DH77" t="s">
        <v>1</v>
      </c>
      <c r="DI77" s="2"/>
      <c r="DJ77" t="s">
        <v>1</v>
      </c>
      <c r="DK77" t="s">
        <v>14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s="2"/>
      <c r="DW77" t="s">
        <v>1</v>
      </c>
      <c r="DX77" t="s">
        <v>1</v>
      </c>
      <c r="DY77" t="s">
        <v>2267</v>
      </c>
      <c r="DZ77" t="s">
        <v>1</v>
      </c>
      <c r="EA77" t="s">
        <v>1</v>
      </c>
      <c r="EB77" t="s">
        <v>28</v>
      </c>
      <c r="EC77" t="s">
        <v>7</v>
      </c>
      <c r="ED77" t="s">
        <v>1</v>
      </c>
      <c r="EE77" t="s">
        <v>1</v>
      </c>
      <c r="EF77" t="s">
        <v>22</v>
      </c>
      <c r="EG77" t="s">
        <v>41</v>
      </c>
      <c r="EH77" t="s">
        <v>15</v>
      </c>
      <c r="EI77" t="s">
        <v>1</v>
      </c>
      <c r="EJ77" s="19">
        <v>-22000</v>
      </c>
      <c r="EK77" t="s">
        <v>1</v>
      </c>
      <c r="EL77" t="s">
        <v>1</v>
      </c>
      <c r="EM77" t="s">
        <v>1</v>
      </c>
      <c r="EN77" t="s">
        <v>1</v>
      </c>
      <c r="EO77" s="2"/>
      <c r="EP77" t="s">
        <v>2267</v>
      </c>
      <c r="EQ77" t="s">
        <v>1</v>
      </c>
      <c r="ER77" t="s">
        <v>1</v>
      </c>
      <c r="ES77" t="s">
        <v>1</v>
      </c>
      <c r="ET77" t="s">
        <v>29</v>
      </c>
      <c r="EU77" t="s">
        <v>1</v>
      </c>
      <c r="EV77" t="s">
        <v>1</v>
      </c>
      <c r="EW77" t="s">
        <v>7</v>
      </c>
      <c r="EX77" t="s">
        <v>7</v>
      </c>
      <c r="EY77" t="s">
        <v>1</v>
      </c>
      <c r="EZ77" t="s">
        <v>1</v>
      </c>
      <c r="FA77" t="s">
        <v>1</v>
      </c>
      <c r="FB77" s="3">
        <v>50</v>
      </c>
      <c r="FC77" t="s">
        <v>1</v>
      </c>
      <c r="FD77" t="s">
        <v>1</v>
      </c>
      <c r="FE77" t="s">
        <v>1</v>
      </c>
      <c r="FF77" t="s">
        <v>17</v>
      </c>
      <c r="FG77" t="s">
        <v>1</v>
      </c>
      <c r="FH77" t="s">
        <v>1</v>
      </c>
      <c r="FI77" t="s">
        <v>1</v>
      </c>
      <c r="FJ77" t="s">
        <v>1</v>
      </c>
      <c r="FK77" s="7">
        <v>46118.431967592594</v>
      </c>
      <c r="FL77" t="s">
        <v>1</v>
      </c>
      <c r="FM77" t="s">
        <v>1</v>
      </c>
      <c r="FN77" t="s">
        <v>1</v>
      </c>
      <c r="FO77" s="19">
        <v>-696938000</v>
      </c>
      <c r="FP77" s="4">
        <v>0</v>
      </c>
      <c r="FQ77" s="19">
        <v>-696938000</v>
      </c>
      <c r="FR77" s="4">
        <v>0</v>
      </c>
      <c r="FS77" s="4">
        <v>0</v>
      </c>
      <c r="FT77" s="4">
        <v>0</v>
      </c>
      <c r="FU77" s="2">
        <v>46118</v>
      </c>
      <c r="FV77" t="s">
        <v>1</v>
      </c>
      <c r="FW77" s="4">
        <v>0</v>
      </c>
      <c r="FX77" t="s">
        <v>1</v>
      </c>
      <c r="FY77" t="s">
        <v>1</v>
      </c>
      <c r="FZ77" s="4">
        <v>0</v>
      </c>
      <c r="GA77" s="4">
        <v>0</v>
      </c>
      <c r="GB77" t="s">
        <v>2070</v>
      </c>
      <c r="GC77" t="str">
        <f>RIGHT(Data_FAGLL03[[#This Row],[Payment reference]],8)</f>
        <v>91172600</v>
      </c>
      <c r="GD77" t="str">
        <f>IF(Data_FAGLL03[[#This Row],[Billing]]&lt;&gt;"",_xlfn.XLOOKUP(Data_FAGLL03[[#This Row],[Billing]],MD_BILLING_SO[BILIING],MD_BILLING_SO[SO-EDITED]),"")</f>
        <v>30030677</v>
      </c>
      <c r="GE77" s="18">
        <f>IF(SUBSTITUTE(Data_FAGLL03[[#This Row],[Eff.exchange rate]],",","")/100000=1,1,SUBSTITUTE(Data_FAGLL03[[#This Row],[Eff.exchange rate]],",","")/100)</f>
        <v>1</v>
      </c>
      <c r="GF77" s="17">
        <f>IF(Data_FAGLL03[[#This Row],[Material]]&lt;&gt;"",IFERROR(Data_FAGLL03[[#This Row],[Amount in local currency]]/Data_FAGLL03[[#This Row],[Quantity_Original]],0),0)</f>
        <v>31679</v>
      </c>
      <c r="GG77" s="18">
        <f>IF(Data_FAGLL03[[#This Row],[XK/NĐ]]="XK",Data_FAGLL03[[#This Row],[GB trung bình]]/Data_FAGLL03[[#This Row],[EXR]],0)*1000</f>
        <v>0</v>
      </c>
      <c r="GH77" s="18" cm="1">
        <f t="array" ref="GH77">IF(Data_FAGLL03[[#This Row],[Document currency]]&lt;&gt;"VND",Data_FAGLL03[[#This Row],[Amount in doc. curr.]],Data_FAGLL03[[#This Row],[Amount in local currency]]/EXR)</f>
        <v>-26547.851653227739</v>
      </c>
      <c r="GI77" s="10">
        <f>Data_FAGLL03[[#This Row],[Time Stamp]]+TIME(7,0,0)</f>
        <v>46118.723634259259</v>
      </c>
      <c r="GJ77" s="18">
        <f>MONTH(Data_FAGLL03[[#This Row],[Time Stamp_VN]])</f>
        <v>4</v>
      </c>
      <c r="GK77">
        <f>DAY(Data_FAGLL03[[#This Row],[Time Stamp_VN]])</f>
        <v>6</v>
      </c>
      <c r="GL77" t="str">
        <f>TEXT(Data_FAGLL03[[#This Row],[Tháng]],"00")&amp;" | "&amp;TEXT(Data_FAGLL03[[#This Row],[Ngày]],"00")</f>
        <v>04 | 06</v>
      </c>
      <c r="GM77" s="18">
        <f>IF(Data_FAGLL03[[#This Row],[Text]]="",Data_FAGLL03[[#This Row],[Quantity_Original]],0)</f>
        <v>-22000</v>
      </c>
      <c r="GN77" s="18" t="str">
        <f>IF(Data_FAGLL03[[#This Row],[Quantity_Edited]]&lt;&gt;0,Data_FAGLL03[[#This Row],[Offsetting acct no.]]&amp;" | "&amp;Data_FAGLL03[[#This Row],[Material]],"")</f>
        <v>104894 | 110000354</v>
      </c>
      <c r="GO77" t="str">
        <f>IF(LEFT(Data_FAGLL03[[#This Row],[Offsetting acct no.]],1)="1","NĐ",IF(LEFT(Data_FAGLL03[[#This Row],[Offsetting acct no.]],1)="2","XK","Khác"))</f>
        <v>NĐ</v>
      </c>
      <c r="GP77" t="str">
        <f>IF(Data_FAGLL03[[#This Row],[Material]]&lt;&gt;"",_xlfn.XLOOKUP(Data_FAGLL03[[#This Row],[Material]],MD_SKU[Mã SKU],MD_SKU[Tên SKU]),"")</f>
        <v>Hạt nhựa rPET WSS01G 1</v>
      </c>
      <c r="GQ77" t="str">
        <f>IF(Data_FAGLL03[[#This Row],[Material]]&lt;&gt;"",_xlfn.XLOOKUP(Data_FAGLL03[[#This Row],[Material]],MD_SKU[Mã SKU],MD_SKU[Nhóm SP 1]),"")</f>
        <v>rPET</v>
      </c>
      <c r="GR77" t="str">
        <f>IF(Data_FAGLL03[[#This Row],[Material]]&lt;&gt;"",_xlfn.XLOOKUP(Data_FAGLL03[[#This Row],[Material]],MD_SKU[Mã SKU],MD_SKU[Nhóm SP 2]),"")</f>
        <v>rPET</v>
      </c>
      <c r="GS77" t="str">
        <f>IF(Data_FAGLL03[[#This Row],[Material]]&lt;&gt;"",_xlfn.XLOOKUP(Data_FAGLL03[[#This Row],[Material]],MD_SKU[Mã SKU],MD_SKU[Nhóm SP 3]),"")</f>
        <v>rPET</v>
      </c>
      <c r="GT77" t="str">
        <f>IF(Data_FAGLL03[[#This Row],[Material]]&lt;&gt;"",_xlfn.XLOOKUP(Data_FAGLL03[[#This Row],[Material]],MD_SKU[Mã SKU],MD_SKU[Nhóm SP 4]),"")</f>
        <v>Hạt rPET</v>
      </c>
    </row>
    <row r="78" spans="1:202" x14ac:dyDescent="0.25">
      <c r="A78" t="s">
        <v>0</v>
      </c>
      <c r="B78" s="2">
        <v>46118</v>
      </c>
      <c r="C78" t="s">
        <v>2268</v>
      </c>
      <c r="D78" t="s">
        <v>1</v>
      </c>
      <c r="E78" t="s">
        <v>1</v>
      </c>
      <c r="F78" t="s">
        <v>31</v>
      </c>
      <c r="G78" t="s">
        <v>31</v>
      </c>
      <c r="H78" t="s">
        <v>2022</v>
      </c>
      <c r="I78" s="19">
        <v>-696300000</v>
      </c>
      <c r="J78" t="s">
        <v>2023</v>
      </c>
      <c r="K78" t="s">
        <v>1</v>
      </c>
      <c r="L78" t="s">
        <v>39</v>
      </c>
      <c r="M78" t="s">
        <v>41</v>
      </c>
      <c r="N78" t="s">
        <v>254</v>
      </c>
      <c r="O78" t="s">
        <v>4</v>
      </c>
      <c r="P78" t="s">
        <v>2269</v>
      </c>
      <c r="Q78" t="s">
        <v>31</v>
      </c>
      <c r="R78" t="s">
        <v>5</v>
      </c>
      <c r="S78" t="s">
        <v>1</v>
      </c>
      <c r="T78" s="3">
        <v>-696300000</v>
      </c>
      <c r="U78" s="19">
        <v>-696300000</v>
      </c>
      <c r="V78" s="3">
        <v>-696300000</v>
      </c>
      <c r="W78" s="3">
        <v>-696300000</v>
      </c>
      <c r="X78" s="4">
        <v>0</v>
      </c>
      <c r="Y78" s="4">
        <v>0</v>
      </c>
      <c r="Z78" s="3">
        <v>0</v>
      </c>
      <c r="AA78" s="3">
        <v>0</v>
      </c>
      <c r="AB78" t="s">
        <v>1</v>
      </c>
      <c r="AC78" t="s">
        <v>24</v>
      </c>
      <c r="AD78" s="2"/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25</v>
      </c>
      <c r="AK78" s="4">
        <v>0</v>
      </c>
      <c r="AL78" t="s">
        <v>1</v>
      </c>
      <c r="AM78" s="5" t="s">
        <v>1</v>
      </c>
      <c r="AN78" t="s">
        <v>1</v>
      </c>
      <c r="AO78" s="2"/>
      <c r="AP78" t="s">
        <v>1</v>
      </c>
      <c r="AQ78" t="s">
        <v>1</v>
      </c>
      <c r="AR78" s="3">
        <v>0</v>
      </c>
      <c r="AS78" t="s">
        <v>1</v>
      </c>
      <c r="AT78" t="s">
        <v>7</v>
      </c>
      <c r="AU78" t="s">
        <v>1</v>
      </c>
      <c r="AV78" t="s">
        <v>1</v>
      </c>
      <c r="AW78" t="s">
        <v>8</v>
      </c>
      <c r="AX78" t="s">
        <v>8</v>
      </c>
      <c r="AY78" t="s">
        <v>1</v>
      </c>
      <c r="AZ78" s="4">
        <v>0</v>
      </c>
      <c r="BA78" t="s">
        <v>1</v>
      </c>
      <c r="BB78" s="3">
        <v>0</v>
      </c>
      <c r="BC78" s="3">
        <v>0</v>
      </c>
      <c r="BD78" s="3">
        <v>0</v>
      </c>
      <c r="BE78" t="s">
        <v>20</v>
      </c>
      <c r="BF78" t="s">
        <v>1</v>
      </c>
      <c r="BG78" s="4">
        <v>0</v>
      </c>
      <c r="BH78" s="4">
        <v>0</v>
      </c>
      <c r="BI78" s="6">
        <v>0</v>
      </c>
      <c r="BJ78" s="6">
        <v>0</v>
      </c>
      <c r="BK78" t="s">
        <v>1</v>
      </c>
      <c r="BL78" t="s">
        <v>1</v>
      </c>
      <c r="BM78" t="s">
        <v>1</v>
      </c>
      <c r="BN78" t="s">
        <v>9</v>
      </c>
      <c r="BO78" s="2">
        <v>46118</v>
      </c>
      <c r="BP78" t="s">
        <v>1</v>
      </c>
      <c r="BQ78" t="s">
        <v>2268</v>
      </c>
      <c r="BR78" t="s">
        <v>27</v>
      </c>
      <c r="BS78" t="s">
        <v>1</v>
      </c>
      <c r="BT78" t="s">
        <v>1</v>
      </c>
      <c r="BU78" t="s">
        <v>1</v>
      </c>
      <c r="BV78" t="s">
        <v>1</v>
      </c>
      <c r="BW78" t="s">
        <v>7</v>
      </c>
      <c r="BX78" t="s">
        <v>10</v>
      </c>
      <c r="BY78" s="2"/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254</v>
      </c>
      <c r="CJ78" s="3">
        <v>-696300000</v>
      </c>
      <c r="CK78" t="s">
        <v>9</v>
      </c>
      <c r="CL78" t="s">
        <v>11</v>
      </c>
      <c r="CM78" t="s">
        <v>1</v>
      </c>
      <c r="CN78" s="4">
        <v>0</v>
      </c>
      <c r="CO78" t="s">
        <v>7</v>
      </c>
      <c r="CP78" t="s">
        <v>7</v>
      </c>
      <c r="CQ78" t="s">
        <v>7</v>
      </c>
      <c r="CR78" t="s">
        <v>7</v>
      </c>
      <c r="CS78" s="4">
        <v>0</v>
      </c>
      <c r="CT78" t="s">
        <v>2268</v>
      </c>
      <c r="CU78" t="s">
        <v>7</v>
      </c>
      <c r="CV78" t="s">
        <v>1</v>
      </c>
      <c r="CW78" s="2"/>
      <c r="CX78" t="s">
        <v>12</v>
      </c>
      <c r="CY78" t="s">
        <v>1</v>
      </c>
      <c r="CZ78" t="s">
        <v>13</v>
      </c>
      <c r="DA78" t="s">
        <v>1</v>
      </c>
      <c r="DB78" t="s">
        <v>9</v>
      </c>
      <c r="DC78" t="s">
        <v>9</v>
      </c>
      <c r="DD78" t="s">
        <v>1</v>
      </c>
      <c r="DE78" t="s">
        <v>1</v>
      </c>
      <c r="DF78" t="s">
        <v>1</v>
      </c>
      <c r="DG78" t="s">
        <v>32</v>
      </c>
      <c r="DH78" t="s">
        <v>1</v>
      </c>
      <c r="DI78" s="2"/>
      <c r="DJ78" t="s">
        <v>1</v>
      </c>
      <c r="DK78" t="s">
        <v>14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s="2"/>
      <c r="DW78" t="s">
        <v>1</v>
      </c>
      <c r="DX78" t="s">
        <v>1</v>
      </c>
      <c r="DY78" t="s">
        <v>2270</v>
      </c>
      <c r="DZ78" t="s">
        <v>1</v>
      </c>
      <c r="EA78" t="s">
        <v>1</v>
      </c>
      <c r="EB78" t="s">
        <v>28</v>
      </c>
      <c r="EC78" t="s">
        <v>7</v>
      </c>
      <c r="ED78" t="s">
        <v>1</v>
      </c>
      <c r="EE78" t="s">
        <v>1</v>
      </c>
      <c r="EF78" t="s">
        <v>22</v>
      </c>
      <c r="EG78" t="s">
        <v>41</v>
      </c>
      <c r="EH78" t="s">
        <v>15</v>
      </c>
      <c r="EI78" t="s">
        <v>1</v>
      </c>
      <c r="EJ78" s="4">
        <v>-22000</v>
      </c>
      <c r="EK78" t="s">
        <v>1</v>
      </c>
      <c r="EL78" t="s">
        <v>1</v>
      </c>
      <c r="EM78" t="s">
        <v>1</v>
      </c>
      <c r="EN78" t="s">
        <v>1</v>
      </c>
      <c r="EO78" s="2"/>
      <c r="EP78" t="s">
        <v>2270</v>
      </c>
      <c r="EQ78" t="s">
        <v>1</v>
      </c>
      <c r="ER78" t="s">
        <v>1</v>
      </c>
      <c r="ES78" t="s">
        <v>1</v>
      </c>
      <c r="ET78" t="s">
        <v>29</v>
      </c>
      <c r="EU78" t="s">
        <v>1</v>
      </c>
      <c r="EV78" t="s">
        <v>1</v>
      </c>
      <c r="EW78" t="s">
        <v>7</v>
      </c>
      <c r="EX78" t="s">
        <v>7</v>
      </c>
      <c r="EY78" t="s">
        <v>1</v>
      </c>
      <c r="EZ78" t="s">
        <v>1</v>
      </c>
      <c r="FA78" t="s">
        <v>1</v>
      </c>
      <c r="FB78" s="3">
        <v>50</v>
      </c>
      <c r="FC78" t="s">
        <v>1</v>
      </c>
      <c r="FD78" t="s">
        <v>1</v>
      </c>
      <c r="FE78" t="s">
        <v>1</v>
      </c>
      <c r="FF78" t="s">
        <v>17</v>
      </c>
      <c r="FG78" t="s">
        <v>1</v>
      </c>
      <c r="FH78" t="s">
        <v>1</v>
      </c>
      <c r="FI78" t="s">
        <v>1</v>
      </c>
      <c r="FJ78" t="s">
        <v>1</v>
      </c>
      <c r="FK78" s="7">
        <v>46118.432025462964</v>
      </c>
      <c r="FL78" t="s">
        <v>1</v>
      </c>
      <c r="FM78" t="s">
        <v>1</v>
      </c>
      <c r="FN78" t="s">
        <v>1</v>
      </c>
      <c r="FO78" s="19">
        <v>-696300000</v>
      </c>
      <c r="FP78" s="4">
        <v>0</v>
      </c>
      <c r="FQ78" s="19">
        <v>-696300000</v>
      </c>
      <c r="FR78" s="4">
        <v>0</v>
      </c>
      <c r="FS78" s="4">
        <v>0</v>
      </c>
      <c r="FT78" s="4">
        <v>0</v>
      </c>
      <c r="FU78" s="2">
        <v>46118</v>
      </c>
      <c r="FV78" t="s">
        <v>1</v>
      </c>
      <c r="FW78" s="4">
        <v>0</v>
      </c>
      <c r="FX78" t="s">
        <v>1</v>
      </c>
      <c r="FY78" t="s">
        <v>1</v>
      </c>
      <c r="FZ78" s="4">
        <v>0</v>
      </c>
      <c r="GA78" s="4">
        <v>0</v>
      </c>
      <c r="GB78" t="s">
        <v>2070</v>
      </c>
      <c r="GC78" t="str">
        <f>RIGHT(Data_FAGLL03[[#This Row],[Payment reference]],8)</f>
        <v>91172601</v>
      </c>
      <c r="GD78" t="str">
        <f>IF(Data_FAGLL03[[#This Row],[Billing]]&lt;&gt;"",_xlfn.XLOOKUP(Data_FAGLL03[[#This Row],[Billing]],MD_BILLING_SO[BILIING],MD_BILLING_SO[SO-EDITED]),"")</f>
        <v>30030681</v>
      </c>
      <c r="GE78" s="18">
        <f>IF(SUBSTITUTE(Data_FAGLL03[[#This Row],[Eff.exchange rate]],",","")/100000=1,1,SUBSTITUTE(Data_FAGLL03[[#This Row],[Eff.exchange rate]],",","")/100)</f>
        <v>1</v>
      </c>
      <c r="GF78" s="17">
        <f>IF(Data_FAGLL03[[#This Row],[Material]]&lt;&gt;"",IFERROR(Data_FAGLL03[[#This Row],[Amount in local currency]]/Data_FAGLL03[[#This Row],[Quantity_Original]],0),0)</f>
        <v>31650</v>
      </c>
      <c r="GG78" s="18">
        <f>IF(Data_FAGLL03[[#This Row],[XK/NĐ]]="XK",Data_FAGLL03[[#This Row],[GB trung bình]]/Data_FAGLL03[[#This Row],[EXR]],0)*1000</f>
        <v>0</v>
      </c>
      <c r="GH78" s="18" cm="1">
        <f t="array" ref="GH78">IF(Data_FAGLL03[[#This Row],[Document currency]]&lt;&gt;"VND",Data_FAGLL03[[#This Row],[Amount in doc. curr.]],Data_FAGLL03[[#This Row],[Amount in local currency]]/EXR)</f>
        <v>-26523.548875427186</v>
      </c>
      <c r="GI78" s="10">
        <f>Data_FAGLL03[[#This Row],[Time Stamp]]+TIME(7,0,0)</f>
        <v>46118.723692129628</v>
      </c>
      <c r="GJ78" s="18">
        <f>MONTH(Data_FAGLL03[[#This Row],[Time Stamp_VN]])</f>
        <v>4</v>
      </c>
      <c r="GK78">
        <f>DAY(Data_FAGLL03[[#This Row],[Time Stamp_VN]])</f>
        <v>6</v>
      </c>
      <c r="GL78" t="str">
        <f>TEXT(Data_FAGLL03[[#This Row],[Tháng]],"00")&amp;" | "&amp;TEXT(Data_FAGLL03[[#This Row],[Ngày]],"00")</f>
        <v>04 | 06</v>
      </c>
      <c r="GM78" s="18">
        <f>IF(Data_FAGLL03[[#This Row],[Text]]="",Data_FAGLL03[[#This Row],[Quantity_Original]],0)</f>
        <v>-22000</v>
      </c>
      <c r="GN78" s="18" t="str">
        <f>IF(Data_FAGLL03[[#This Row],[Quantity_Edited]]&lt;&gt;0,Data_FAGLL03[[#This Row],[Offsetting acct no.]]&amp;" | "&amp;Data_FAGLL03[[#This Row],[Material]],"")</f>
        <v>105271 | 110000332</v>
      </c>
      <c r="GO78" t="str">
        <f>IF(LEFT(Data_FAGLL03[[#This Row],[Offsetting acct no.]],1)="1","NĐ",IF(LEFT(Data_FAGLL03[[#This Row],[Offsetting acct no.]],1)="2","XK","Khác"))</f>
        <v>NĐ</v>
      </c>
      <c r="GP78" t="str">
        <f>IF(Data_FAGLL03[[#This Row],[Material]]&lt;&gt;"",_xlfn.XLOOKUP(Data_FAGLL03[[#This Row],[Material]],MD_SKU[Mã SKU],MD_SKU[Tên SKU]),"")</f>
        <v>Hạt nhựa rPET iSS01084G</v>
      </c>
      <c r="GQ78" t="str">
        <f>IF(Data_FAGLL03[[#This Row],[Material]]&lt;&gt;"",_xlfn.XLOOKUP(Data_FAGLL03[[#This Row],[Material]],MD_SKU[Mã SKU],MD_SKU[Nhóm SP 1]),"")</f>
        <v>rPET</v>
      </c>
      <c r="GR78" t="str">
        <f>IF(Data_FAGLL03[[#This Row],[Material]]&lt;&gt;"",_xlfn.XLOOKUP(Data_FAGLL03[[#This Row],[Material]],MD_SKU[Mã SKU],MD_SKU[Nhóm SP 2]),"")</f>
        <v>rPET</v>
      </c>
      <c r="GS78" t="str">
        <f>IF(Data_FAGLL03[[#This Row],[Material]]&lt;&gt;"",_xlfn.XLOOKUP(Data_FAGLL03[[#This Row],[Material]],MD_SKU[Mã SKU],MD_SKU[Nhóm SP 3]),"")</f>
        <v>rPET</v>
      </c>
      <c r="GT78" t="str">
        <f>IF(Data_FAGLL03[[#This Row],[Material]]&lt;&gt;"",_xlfn.XLOOKUP(Data_FAGLL03[[#This Row],[Material]],MD_SKU[Mã SKU],MD_SKU[Nhóm SP 4]),"")</f>
        <v>Hạt rPET</v>
      </c>
    </row>
    <row r="79" spans="1:202" x14ac:dyDescent="0.25">
      <c r="A79" t="s">
        <v>0</v>
      </c>
      <c r="B79" s="2">
        <v>46118</v>
      </c>
      <c r="C79" t="s">
        <v>2271</v>
      </c>
      <c r="D79" t="s">
        <v>1</v>
      </c>
      <c r="E79" t="s">
        <v>1</v>
      </c>
      <c r="F79" t="s">
        <v>23</v>
      </c>
      <c r="G79" t="s">
        <v>23</v>
      </c>
      <c r="H79" t="s">
        <v>2053</v>
      </c>
      <c r="I79" s="19">
        <v>-710487360</v>
      </c>
      <c r="J79" t="s">
        <v>2054</v>
      </c>
      <c r="K79" t="s">
        <v>1</v>
      </c>
      <c r="L79" t="s">
        <v>39</v>
      </c>
      <c r="M79" t="s">
        <v>41</v>
      </c>
      <c r="N79" t="s">
        <v>254</v>
      </c>
      <c r="O79" t="s">
        <v>4</v>
      </c>
      <c r="P79" t="s">
        <v>2272</v>
      </c>
      <c r="Q79" t="s">
        <v>23</v>
      </c>
      <c r="R79" t="s">
        <v>5</v>
      </c>
      <c r="S79" t="s">
        <v>1</v>
      </c>
      <c r="T79" s="3">
        <v>-27060</v>
      </c>
      <c r="U79" s="19">
        <v>-27060</v>
      </c>
      <c r="V79" s="3">
        <v>-710487360</v>
      </c>
      <c r="W79" s="3">
        <v>-710487360</v>
      </c>
      <c r="X79" s="4">
        <v>0</v>
      </c>
      <c r="Y79" s="4">
        <v>0</v>
      </c>
      <c r="Z79" s="3">
        <v>0</v>
      </c>
      <c r="AA79" s="3">
        <v>0</v>
      </c>
      <c r="AB79" t="s">
        <v>1</v>
      </c>
      <c r="AC79" t="s">
        <v>24</v>
      </c>
      <c r="AD79" s="2"/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25</v>
      </c>
      <c r="AK79" s="4">
        <v>0</v>
      </c>
      <c r="AL79" t="s">
        <v>1</v>
      </c>
      <c r="AM79" s="5" t="s">
        <v>1</v>
      </c>
      <c r="AN79" t="s">
        <v>1</v>
      </c>
      <c r="AO79" s="2"/>
      <c r="AP79" t="s">
        <v>1</v>
      </c>
      <c r="AQ79" t="s">
        <v>1</v>
      </c>
      <c r="AR79" s="3">
        <v>0</v>
      </c>
      <c r="AS79" t="s">
        <v>1</v>
      </c>
      <c r="AT79" t="s">
        <v>7</v>
      </c>
      <c r="AU79" t="s">
        <v>1</v>
      </c>
      <c r="AV79" t="s">
        <v>1</v>
      </c>
      <c r="AW79" t="s">
        <v>8</v>
      </c>
      <c r="AX79" t="s">
        <v>8</v>
      </c>
      <c r="AY79" t="s">
        <v>1</v>
      </c>
      <c r="AZ79" s="4">
        <v>0</v>
      </c>
      <c r="BA79" t="s">
        <v>1</v>
      </c>
      <c r="BB79" s="3">
        <v>0</v>
      </c>
      <c r="BC79" s="3">
        <v>0</v>
      </c>
      <c r="BD79" s="3">
        <v>0</v>
      </c>
      <c r="BE79" t="s">
        <v>20</v>
      </c>
      <c r="BF79" t="s">
        <v>1</v>
      </c>
      <c r="BG79" s="4">
        <v>0</v>
      </c>
      <c r="BH79" s="4">
        <v>0</v>
      </c>
      <c r="BI79" s="6">
        <v>0</v>
      </c>
      <c r="BJ79" s="6">
        <v>0</v>
      </c>
      <c r="BK79" t="s">
        <v>1</v>
      </c>
      <c r="BL79" t="s">
        <v>1</v>
      </c>
      <c r="BM79" t="s">
        <v>1</v>
      </c>
      <c r="BN79" t="s">
        <v>26</v>
      </c>
      <c r="BO79" s="2">
        <v>46118</v>
      </c>
      <c r="BP79" t="s">
        <v>1</v>
      </c>
      <c r="BQ79" t="s">
        <v>2271</v>
      </c>
      <c r="BR79" t="s">
        <v>27</v>
      </c>
      <c r="BS79" t="s">
        <v>1</v>
      </c>
      <c r="BT79" t="s">
        <v>1</v>
      </c>
      <c r="BU79" t="s">
        <v>1</v>
      </c>
      <c r="BV79" t="s">
        <v>1</v>
      </c>
      <c r="BW79" t="s">
        <v>7</v>
      </c>
      <c r="BX79" t="s">
        <v>2273</v>
      </c>
      <c r="BY79" s="2"/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254</v>
      </c>
      <c r="CJ79" s="3">
        <v>-710487360</v>
      </c>
      <c r="CK79" t="s">
        <v>9</v>
      </c>
      <c r="CL79" t="s">
        <v>11</v>
      </c>
      <c r="CM79" t="s">
        <v>1</v>
      </c>
      <c r="CN79" s="4">
        <v>0</v>
      </c>
      <c r="CO79" t="s">
        <v>7</v>
      </c>
      <c r="CP79" t="s">
        <v>7</v>
      </c>
      <c r="CQ79" t="s">
        <v>7</v>
      </c>
      <c r="CR79" t="s">
        <v>7</v>
      </c>
      <c r="CS79" s="4">
        <v>0</v>
      </c>
      <c r="CT79" t="s">
        <v>2271</v>
      </c>
      <c r="CU79" t="s">
        <v>7</v>
      </c>
      <c r="CV79" t="s">
        <v>1</v>
      </c>
      <c r="CW79" s="2"/>
      <c r="CX79" t="s">
        <v>12</v>
      </c>
      <c r="CY79" t="s">
        <v>1</v>
      </c>
      <c r="CZ79" t="s">
        <v>13</v>
      </c>
      <c r="DA79" t="s">
        <v>1</v>
      </c>
      <c r="DB79" t="s">
        <v>9</v>
      </c>
      <c r="DC79" t="s">
        <v>9</v>
      </c>
      <c r="DD79" t="s">
        <v>1</v>
      </c>
      <c r="DE79" t="s">
        <v>1</v>
      </c>
      <c r="DF79" t="s">
        <v>1</v>
      </c>
      <c r="DG79" t="s">
        <v>33</v>
      </c>
      <c r="DH79" t="s">
        <v>1</v>
      </c>
      <c r="DI79" s="2"/>
      <c r="DJ79" t="s">
        <v>1</v>
      </c>
      <c r="DK79" t="s">
        <v>14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s="2"/>
      <c r="DW79" t="s">
        <v>1</v>
      </c>
      <c r="DX79" t="s">
        <v>1</v>
      </c>
      <c r="DY79" t="s">
        <v>2274</v>
      </c>
      <c r="DZ79" t="s">
        <v>1</v>
      </c>
      <c r="EA79" t="s">
        <v>1</v>
      </c>
      <c r="EB79" t="s">
        <v>28</v>
      </c>
      <c r="EC79" t="s">
        <v>7</v>
      </c>
      <c r="ED79" t="s">
        <v>1</v>
      </c>
      <c r="EE79" t="s">
        <v>1</v>
      </c>
      <c r="EF79" t="s">
        <v>22</v>
      </c>
      <c r="EG79" t="s">
        <v>41</v>
      </c>
      <c r="EH79" t="s">
        <v>15</v>
      </c>
      <c r="EI79" t="s">
        <v>1</v>
      </c>
      <c r="EJ79" s="19">
        <v>-22000</v>
      </c>
      <c r="EK79" t="s">
        <v>1</v>
      </c>
      <c r="EL79" t="s">
        <v>1</v>
      </c>
      <c r="EM79" t="s">
        <v>1</v>
      </c>
      <c r="EN79" t="s">
        <v>1</v>
      </c>
      <c r="EO79" s="2"/>
      <c r="EP79" t="s">
        <v>2274</v>
      </c>
      <c r="EQ79" t="s">
        <v>1</v>
      </c>
      <c r="ER79" t="s">
        <v>1</v>
      </c>
      <c r="ES79" t="s">
        <v>1</v>
      </c>
      <c r="ET79" t="s">
        <v>29</v>
      </c>
      <c r="EU79" t="s">
        <v>1</v>
      </c>
      <c r="EV79" t="s">
        <v>1</v>
      </c>
      <c r="EW79" t="s">
        <v>7</v>
      </c>
      <c r="EX79" t="s">
        <v>7</v>
      </c>
      <c r="EY79" t="s">
        <v>1</v>
      </c>
      <c r="EZ79" t="s">
        <v>1</v>
      </c>
      <c r="FA79" t="s">
        <v>1</v>
      </c>
      <c r="FB79" s="3">
        <v>50</v>
      </c>
      <c r="FC79" t="s">
        <v>1</v>
      </c>
      <c r="FD79" t="s">
        <v>1</v>
      </c>
      <c r="FE79" t="s">
        <v>1</v>
      </c>
      <c r="FF79" t="s">
        <v>30</v>
      </c>
      <c r="FG79" t="s">
        <v>1</v>
      </c>
      <c r="FH79" t="s">
        <v>1</v>
      </c>
      <c r="FI79" t="s">
        <v>1</v>
      </c>
      <c r="FJ79" t="s">
        <v>1</v>
      </c>
      <c r="FK79" s="7">
        <v>46118.432071759256</v>
      </c>
      <c r="FL79" t="s">
        <v>1</v>
      </c>
      <c r="FM79" t="s">
        <v>1</v>
      </c>
      <c r="FN79" t="s">
        <v>1</v>
      </c>
      <c r="FO79" s="19">
        <v>-710487360</v>
      </c>
      <c r="FP79" s="4">
        <v>0</v>
      </c>
      <c r="FQ79" s="19">
        <v>-710487360</v>
      </c>
      <c r="FR79" s="4">
        <v>0</v>
      </c>
      <c r="FS79" s="4">
        <v>0</v>
      </c>
      <c r="FT79" s="4">
        <v>0</v>
      </c>
      <c r="FU79" s="2">
        <v>46118</v>
      </c>
      <c r="FV79" t="s">
        <v>1</v>
      </c>
      <c r="FW79" s="4">
        <v>0</v>
      </c>
      <c r="FX79" t="s">
        <v>1</v>
      </c>
      <c r="FY79" t="s">
        <v>1</v>
      </c>
      <c r="FZ79" s="4">
        <v>0</v>
      </c>
      <c r="GA79" s="4">
        <v>0</v>
      </c>
      <c r="GB79" t="s">
        <v>2070</v>
      </c>
      <c r="GC79" t="str">
        <f>RIGHT(Data_FAGLL03[[#This Row],[Payment reference]],8)</f>
        <v>91172602</v>
      </c>
      <c r="GD79" t="str">
        <f>IF(Data_FAGLL03[[#This Row],[Billing]]&lt;&gt;"",_xlfn.XLOOKUP(Data_FAGLL03[[#This Row],[Billing]],MD_BILLING_SO[BILIING],MD_BILLING_SO[SO-EDITED]),"")</f>
        <v>30030657</v>
      </c>
      <c r="GE79" s="18">
        <f>IF(SUBSTITUTE(Data_FAGLL03[[#This Row],[Eff.exchange rate]],",","")/100000=1,1,SUBSTITUTE(Data_FAGLL03[[#This Row],[Eff.exchange rate]],",","")/100)</f>
        <v>26256</v>
      </c>
      <c r="GF79" s="17">
        <f>IF(Data_FAGLL03[[#This Row],[Material]]&lt;&gt;"",IFERROR(Data_FAGLL03[[#This Row],[Amount in local currency]]/Data_FAGLL03[[#This Row],[Quantity_Original]],0),0)</f>
        <v>32294.880000000001</v>
      </c>
      <c r="GG79" s="18">
        <f>IF(Data_FAGLL03[[#This Row],[XK/NĐ]]="XK",Data_FAGLL03[[#This Row],[GB trung bình]]/Data_FAGLL03[[#This Row],[EXR]],0)*1000</f>
        <v>1230</v>
      </c>
      <c r="GH79" s="18" cm="1">
        <f t="array" ref="GH79">IF(Data_FAGLL03[[#This Row],[Document currency]]&lt;&gt;"VND",Data_FAGLL03[[#This Row],[Amount in doc. curr.]],Data_FAGLL03[[#This Row],[Amount in local currency]]/EXR)</f>
        <v>-27060</v>
      </c>
      <c r="GI79" s="10">
        <f>Data_FAGLL03[[#This Row],[Time Stamp]]+TIME(7,0,0)</f>
        <v>46118.723738425921</v>
      </c>
      <c r="GJ79" s="18">
        <f>MONTH(Data_FAGLL03[[#This Row],[Time Stamp_VN]])</f>
        <v>4</v>
      </c>
      <c r="GK79">
        <f>DAY(Data_FAGLL03[[#This Row],[Time Stamp_VN]])</f>
        <v>6</v>
      </c>
      <c r="GL79" t="str">
        <f>TEXT(Data_FAGLL03[[#This Row],[Tháng]],"00")&amp;" | "&amp;TEXT(Data_FAGLL03[[#This Row],[Ngày]],"00")</f>
        <v>04 | 06</v>
      </c>
      <c r="GM79" s="18">
        <f>IF(Data_FAGLL03[[#This Row],[Text]]="",Data_FAGLL03[[#This Row],[Quantity_Original]],0)</f>
        <v>-22000</v>
      </c>
      <c r="GN79" s="18" t="str">
        <f>IF(Data_FAGLL03[[#This Row],[Quantity_Edited]]&lt;&gt;0,Data_FAGLL03[[#This Row],[Offsetting acct no.]]&amp;" | "&amp;Data_FAGLL03[[#This Row],[Material]],"")</f>
        <v>200409 | 110000354</v>
      </c>
      <c r="GO79" t="str">
        <f>IF(LEFT(Data_FAGLL03[[#This Row],[Offsetting acct no.]],1)="1","NĐ",IF(LEFT(Data_FAGLL03[[#This Row],[Offsetting acct no.]],1)="2","XK","Khác"))</f>
        <v>XK</v>
      </c>
      <c r="GP79" t="str">
        <f>IF(Data_FAGLL03[[#This Row],[Material]]&lt;&gt;"",_xlfn.XLOOKUP(Data_FAGLL03[[#This Row],[Material]],MD_SKU[Mã SKU],MD_SKU[Tên SKU]),"")</f>
        <v>Hạt nhựa rPET WSS01G 1</v>
      </c>
      <c r="GQ79" t="str">
        <f>IF(Data_FAGLL03[[#This Row],[Material]]&lt;&gt;"",_xlfn.XLOOKUP(Data_FAGLL03[[#This Row],[Material]],MD_SKU[Mã SKU],MD_SKU[Nhóm SP 1]),"")</f>
        <v>rPET</v>
      </c>
      <c r="GR79" t="str">
        <f>IF(Data_FAGLL03[[#This Row],[Material]]&lt;&gt;"",_xlfn.XLOOKUP(Data_FAGLL03[[#This Row],[Material]],MD_SKU[Mã SKU],MD_SKU[Nhóm SP 2]),"")</f>
        <v>rPET</v>
      </c>
      <c r="GS79" t="str">
        <f>IF(Data_FAGLL03[[#This Row],[Material]]&lt;&gt;"",_xlfn.XLOOKUP(Data_FAGLL03[[#This Row],[Material]],MD_SKU[Mã SKU],MD_SKU[Nhóm SP 3]),"")</f>
        <v>rPET</v>
      </c>
      <c r="GT79" t="str">
        <f>IF(Data_FAGLL03[[#This Row],[Material]]&lt;&gt;"",_xlfn.XLOOKUP(Data_FAGLL03[[#This Row],[Material]],MD_SKU[Mã SKU],MD_SKU[Nhóm SP 4]),"")</f>
        <v>Hạt rPET</v>
      </c>
    </row>
    <row r="80" spans="1:202" x14ac:dyDescent="0.25">
      <c r="A80" t="s">
        <v>0</v>
      </c>
      <c r="B80" s="2">
        <v>46118</v>
      </c>
      <c r="C80" t="s">
        <v>2275</v>
      </c>
      <c r="D80" t="s">
        <v>1</v>
      </c>
      <c r="E80" t="s">
        <v>1</v>
      </c>
      <c r="F80" t="s">
        <v>31</v>
      </c>
      <c r="G80" t="s">
        <v>31</v>
      </c>
      <c r="H80" t="s">
        <v>2032</v>
      </c>
      <c r="I80" s="19">
        <v>-263150000</v>
      </c>
      <c r="J80" t="s">
        <v>2033</v>
      </c>
      <c r="K80" t="s">
        <v>1</v>
      </c>
      <c r="L80" t="s">
        <v>39</v>
      </c>
      <c r="M80" t="s">
        <v>41</v>
      </c>
      <c r="N80" t="s">
        <v>254</v>
      </c>
      <c r="O80" t="s">
        <v>4</v>
      </c>
      <c r="P80" t="s">
        <v>2276</v>
      </c>
      <c r="Q80" t="s">
        <v>31</v>
      </c>
      <c r="R80" t="s">
        <v>5</v>
      </c>
      <c r="S80" t="s">
        <v>1</v>
      </c>
      <c r="T80" s="3">
        <v>-263150000</v>
      </c>
      <c r="U80" s="19">
        <v>-263150000</v>
      </c>
      <c r="V80" s="3">
        <v>-263150000</v>
      </c>
      <c r="W80" s="3">
        <v>-263150000</v>
      </c>
      <c r="X80" s="4">
        <v>0</v>
      </c>
      <c r="Y80" s="4">
        <v>0</v>
      </c>
      <c r="Z80" s="3">
        <v>0</v>
      </c>
      <c r="AA80" s="3">
        <v>0</v>
      </c>
      <c r="AB80" t="s">
        <v>1</v>
      </c>
      <c r="AC80" t="s">
        <v>24</v>
      </c>
      <c r="AD80" s="2"/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25</v>
      </c>
      <c r="AK80" s="4">
        <v>0</v>
      </c>
      <c r="AL80" t="s">
        <v>1</v>
      </c>
      <c r="AM80" s="5" t="s">
        <v>1</v>
      </c>
      <c r="AN80" t="s">
        <v>1</v>
      </c>
      <c r="AO80" s="2"/>
      <c r="AP80" t="s">
        <v>1</v>
      </c>
      <c r="AQ80" t="s">
        <v>1</v>
      </c>
      <c r="AR80" s="3">
        <v>0</v>
      </c>
      <c r="AS80" t="s">
        <v>1</v>
      </c>
      <c r="AT80" t="s">
        <v>7</v>
      </c>
      <c r="AU80" t="s">
        <v>1</v>
      </c>
      <c r="AV80" t="s">
        <v>1</v>
      </c>
      <c r="AW80" t="s">
        <v>8</v>
      </c>
      <c r="AX80" t="s">
        <v>8</v>
      </c>
      <c r="AY80" t="s">
        <v>1</v>
      </c>
      <c r="AZ80" s="4">
        <v>0</v>
      </c>
      <c r="BA80" t="s">
        <v>1</v>
      </c>
      <c r="BB80" s="3">
        <v>0</v>
      </c>
      <c r="BC80" s="3">
        <v>0</v>
      </c>
      <c r="BD80" s="3">
        <v>0</v>
      </c>
      <c r="BE80" t="s">
        <v>20</v>
      </c>
      <c r="BF80" t="s">
        <v>1</v>
      </c>
      <c r="BG80" s="4">
        <v>0</v>
      </c>
      <c r="BH80" s="4">
        <v>0</v>
      </c>
      <c r="BI80" s="6">
        <v>0</v>
      </c>
      <c r="BJ80" s="6">
        <v>0</v>
      </c>
      <c r="BK80" t="s">
        <v>1</v>
      </c>
      <c r="BL80" t="s">
        <v>1</v>
      </c>
      <c r="BM80" t="s">
        <v>1</v>
      </c>
      <c r="BN80" t="s">
        <v>9</v>
      </c>
      <c r="BO80" s="2">
        <v>46118</v>
      </c>
      <c r="BP80" t="s">
        <v>1</v>
      </c>
      <c r="BQ80" t="s">
        <v>2275</v>
      </c>
      <c r="BR80" t="s">
        <v>27</v>
      </c>
      <c r="BS80" t="s">
        <v>1</v>
      </c>
      <c r="BT80" t="s">
        <v>1</v>
      </c>
      <c r="BU80" t="s">
        <v>1</v>
      </c>
      <c r="BV80" t="s">
        <v>1</v>
      </c>
      <c r="BW80" t="s">
        <v>7</v>
      </c>
      <c r="BX80" t="s">
        <v>10</v>
      </c>
      <c r="BY80" s="2"/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254</v>
      </c>
      <c r="CJ80" s="3">
        <v>-263150000</v>
      </c>
      <c r="CK80" t="s">
        <v>9</v>
      </c>
      <c r="CL80" t="s">
        <v>11</v>
      </c>
      <c r="CM80" t="s">
        <v>1</v>
      </c>
      <c r="CN80" s="4">
        <v>0</v>
      </c>
      <c r="CO80" t="s">
        <v>7</v>
      </c>
      <c r="CP80" t="s">
        <v>7</v>
      </c>
      <c r="CQ80" t="s">
        <v>7</v>
      </c>
      <c r="CR80" t="s">
        <v>7</v>
      </c>
      <c r="CS80" s="4">
        <v>0</v>
      </c>
      <c r="CT80" t="s">
        <v>2275</v>
      </c>
      <c r="CU80" t="s">
        <v>7</v>
      </c>
      <c r="CV80" t="s">
        <v>1</v>
      </c>
      <c r="CW80" s="2"/>
      <c r="CX80" t="s">
        <v>12</v>
      </c>
      <c r="CY80" t="s">
        <v>1</v>
      </c>
      <c r="CZ80" t="s">
        <v>13</v>
      </c>
      <c r="DA80" t="s">
        <v>1</v>
      </c>
      <c r="DB80" t="s">
        <v>9</v>
      </c>
      <c r="DC80" t="s">
        <v>9</v>
      </c>
      <c r="DD80" t="s">
        <v>1</v>
      </c>
      <c r="DE80" t="s">
        <v>1</v>
      </c>
      <c r="DF80" t="s">
        <v>1</v>
      </c>
      <c r="DG80" t="s">
        <v>700</v>
      </c>
      <c r="DH80" t="s">
        <v>1</v>
      </c>
      <c r="DI80" s="2"/>
      <c r="DJ80" t="s">
        <v>1</v>
      </c>
      <c r="DK80" t="s">
        <v>14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s="2"/>
      <c r="DW80" t="s">
        <v>1</v>
      </c>
      <c r="DX80" t="s">
        <v>1</v>
      </c>
      <c r="DY80" t="s">
        <v>2277</v>
      </c>
      <c r="DZ80" t="s">
        <v>1</v>
      </c>
      <c r="EA80" t="s">
        <v>1</v>
      </c>
      <c r="EB80" t="s">
        <v>28</v>
      </c>
      <c r="EC80" t="s">
        <v>7</v>
      </c>
      <c r="ED80" t="s">
        <v>1</v>
      </c>
      <c r="EE80" t="s">
        <v>1</v>
      </c>
      <c r="EF80" t="s">
        <v>22</v>
      </c>
      <c r="EG80" t="s">
        <v>41</v>
      </c>
      <c r="EH80" t="s">
        <v>15</v>
      </c>
      <c r="EI80" t="s">
        <v>1</v>
      </c>
      <c r="EJ80" s="19">
        <v>-13850</v>
      </c>
      <c r="EK80" t="s">
        <v>1</v>
      </c>
      <c r="EL80" t="s">
        <v>1</v>
      </c>
      <c r="EM80" t="s">
        <v>1</v>
      </c>
      <c r="EN80" t="s">
        <v>1</v>
      </c>
      <c r="EO80" s="2"/>
      <c r="EP80" t="s">
        <v>2277</v>
      </c>
      <c r="EQ80" t="s">
        <v>1</v>
      </c>
      <c r="ER80" t="s">
        <v>1</v>
      </c>
      <c r="ES80" t="s">
        <v>1</v>
      </c>
      <c r="ET80" t="s">
        <v>29</v>
      </c>
      <c r="EU80" t="s">
        <v>1</v>
      </c>
      <c r="EV80" t="s">
        <v>1</v>
      </c>
      <c r="EW80" t="s">
        <v>7</v>
      </c>
      <c r="EX80" t="s">
        <v>7</v>
      </c>
      <c r="EY80" t="s">
        <v>1</v>
      </c>
      <c r="EZ80" t="s">
        <v>1</v>
      </c>
      <c r="FA80" t="s">
        <v>1</v>
      </c>
      <c r="FB80" s="3">
        <v>50</v>
      </c>
      <c r="FC80" t="s">
        <v>1</v>
      </c>
      <c r="FD80" t="s">
        <v>1</v>
      </c>
      <c r="FE80" t="s">
        <v>1</v>
      </c>
      <c r="FF80" t="s">
        <v>17</v>
      </c>
      <c r="FG80" t="s">
        <v>1</v>
      </c>
      <c r="FH80" t="s">
        <v>1</v>
      </c>
      <c r="FI80" t="s">
        <v>1</v>
      </c>
      <c r="FJ80" t="s">
        <v>1</v>
      </c>
      <c r="FK80" s="7">
        <v>46118.432106481479</v>
      </c>
      <c r="FL80" t="s">
        <v>1</v>
      </c>
      <c r="FM80" t="s">
        <v>1</v>
      </c>
      <c r="FN80" t="s">
        <v>1</v>
      </c>
      <c r="FO80" s="19">
        <v>-263150000</v>
      </c>
      <c r="FP80" s="4">
        <v>0</v>
      </c>
      <c r="FQ80" s="19">
        <v>-263150000</v>
      </c>
      <c r="FR80" s="4">
        <v>0</v>
      </c>
      <c r="FS80" s="4">
        <v>0</v>
      </c>
      <c r="FT80" s="4">
        <v>0</v>
      </c>
      <c r="FU80" s="2">
        <v>46118</v>
      </c>
      <c r="FV80" t="s">
        <v>1</v>
      </c>
      <c r="FW80" s="4">
        <v>0</v>
      </c>
      <c r="FX80" t="s">
        <v>1</v>
      </c>
      <c r="FY80" t="s">
        <v>1</v>
      </c>
      <c r="FZ80" s="4">
        <v>0</v>
      </c>
      <c r="GA80" s="4">
        <v>0</v>
      </c>
      <c r="GB80" t="s">
        <v>2070</v>
      </c>
      <c r="GC80" t="str">
        <f>RIGHT(Data_FAGLL03[[#This Row],[Payment reference]],8)</f>
        <v>91172603</v>
      </c>
      <c r="GD80" t="str">
        <f>IF(Data_FAGLL03[[#This Row],[Billing]]&lt;&gt;"",_xlfn.XLOOKUP(Data_FAGLL03[[#This Row],[Billing]],MD_BILLING_SO[BILIING],MD_BILLING_SO[SO-EDITED]),"")</f>
        <v>30030646</v>
      </c>
      <c r="GE80" s="18">
        <f>IF(SUBSTITUTE(Data_FAGLL03[[#This Row],[Eff.exchange rate]],",","")/100000=1,1,SUBSTITUTE(Data_FAGLL03[[#This Row],[Eff.exchange rate]],",","")/100)</f>
        <v>1</v>
      </c>
      <c r="GF80" s="17">
        <f>IF(Data_FAGLL03[[#This Row],[Material]]&lt;&gt;"",IFERROR(Data_FAGLL03[[#This Row],[Amount in local currency]]/Data_FAGLL03[[#This Row],[Quantity_Original]],0),0)</f>
        <v>19000</v>
      </c>
      <c r="GG80" s="18">
        <f>IF(Data_FAGLL03[[#This Row],[XK/NĐ]]="XK",Data_FAGLL03[[#This Row],[GB trung bình]]/Data_FAGLL03[[#This Row],[EXR]],0)*1000</f>
        <v>0</v>
      </c>
      <c r="GH80" s="18" cm="1">
        <f t="array" ref="GH80">IF(Data_FAGLL03[[#This Row],[Document currency]]&lt;&gt;"VND",Data_FAGLL03[[#This Row],[Amount in doc. curr.]],Data_FAGLL03[[#This Row],[Amount in local currency]]/EXR)</f>
        <v>-10023.943539521277</v>
      </c>
      <c r="GI80" s="10">
        <f>Data_FAGLL03[[#This Row],[Time Stamp]]+TIME(7,0,0)</f>
        <v>46118.723773148144</v>
      </c>
      <c r="GJ80" s="18">
        <f>MONTH(Data_FAGLL03[[#This Row],[Time Stamp_VN]])</f>
        <v>4</v>
      </c>
      <c r="GK80">
        <f>DAY(Data_FAGLL03[[#This Row],[Time Stamp_VN]])</f>
        <v>6</v>
      </c>
      <c r="GL80" t="str">
        <f>TEXT(Data_FAGLL03[[#This Row],[Tháng]],"00")&amp;" | "&amp;TEXT(Data_FAGLL03[[#This Row],[Ngày]],"00")</f>
        <v>04 | 06</v>
      </c>
      <c r="GM80" s="18">
        <f>IF(Data_FAGLL03[[#This Row],[Text]]="",Data_FAGLL03[[#This Row],[Quantity_Original]],0)</f>
        <v>-13850</v>
      </c>
      <c r="GN80" s="18" t="str">
        <f>IF(Data_FAGLL03[[#This Row],[Quantity_Edited]]&lt;&gt;0,Data_FAGLL03[[#This Row],[Offsetting acct no.]]&amp;" | "&amp;Data_FAGLL03[[#This Row],[Material]],"")</f>
        <v>105323 | 110000436</v>
      </c>
      <c r="GO80" t="str">
        <f>IF(LEFT(Data_FAGLL03[[#This Row],[Offsetting acct no.]],1)="1","NĐ",IF(LEFT(Data_FAGLL03[[#This Row],[Offsetting acct no.]],1)="2","XK","Khác"))</f>
        <v>NĐ</v>
      </c>
      <c r="GP80" t="str">
        <f>IF(Data_FAGLL03[[#This Row],[Material]]&lt;&gt;"",_xlfn.XLOOKUP(Data_FAGLL03[[#This Row],[Material]],MD_SKU[Mã SKU],MD_SKU[Tên SKU]),"")</f>
        <v>Hạt nhựa rPET WSS05SB</v>
      </c>
      <c r="GQ80" t="str">
        <f>IF(Data_FAGLL03[[#This Row],[Material]]&lt;&gt;"",_xlfn.XLOOKUP(Data_FAGLL03[[#This Row],[Material]],MD_SKU[Mã SKU],MD_SKU[Nhóm SP 1]),"")</f>
        <v>Xơ sợi</v>
      </c>
      <c r="GR80" t="str">
        <f>IF(Data_FAGLL03[[#This Row],[Material]]&lt;&gt;"",_xlfn.XLOOKUP(Data_FAGLL03[[#This Row],[Material]],MD_SKU[Mã SKU],MD_SKU[Nhóm SP 2]),"")</f>
        <v>Xơ sợi</v>
      </c>
      <c r="GS80" t="str">
        <f>IF(Data_FAGLL03[[#This Row],[Material]]&lt;&gt;"",_xlfn.XLOOKUP(Data_FAGLL03[[#This Row],[Material]],MD_SKU[Mã SKU],MD_SKU[Nhóm SP 3]),"")</f>
        <v>Xơ sợi</v>
      </c>
      <c r="GT80" t="str">
        <f>IF(Data_FAGLL03[[#This Row],[Material]]&lt;&gt;"",_xlfn.XLOOKUP(Data_FAGLL03[[#This Row],[Material]],MD_SKU[Mã SKU],MD_SKU[Nhóm SP 4]),"")</f>
        <v>Hạt Xơ sợi</v>
      </c>
    </row>
    <row r="81" spans="1:202" x14ac:dyDescent="0.25">
      <c r="A81" t="s">
        <v>0</v>
      </c>
      <c r="B81" s="2">
        <v>46118</v>
      </c>
      <c r="C81" t="s">
        <v>2278</v>
      </c>
      <c r="D81" t="s">
        <v>1</v>
      </c>
      <c r="E81" t="s">
        <v>1</v>
      </c>
      <c r="F81" t="s">
        <v>31</v>
      </c>
      <c r="G81" t="s">
        <v>31</v>
      </c>
      <c r="H81" t="s">
        <v>34</v>
      </c>
      <c r="I81" s="19">
        <v>-194529500</v>
      </c>
      <c r="J81" t="s">
        <v>35</v>
      </c>
      <c r="K81" t="s">
        <v>1</v>
      </c>
      <c r="L81" t="s">
        <v>39</v>
      </c>
      <c r="M81" t="s">
        <v>41</v>
      </c>
      <c r="N81" t="s">
        <v>254</v>
      </c>
      <c r="O81" t="s">
        <v>4</v>
      </c>
      <c r="P81" t="s">
        <v>2279</v>
      </c>
      <c r="Q81" t="s">
        <v>31</v>
      </c>
      <c r="R81" t="s">
        <v>5</v>
      </c>
      <c r="S81" t="s">
        <v>1</v>
      </c>
      <c r="T81" s="3">
        <v>-194529500</v>
      </c>
      <c r="U81" s="19">
        <v>-194529500</v>
      </c>
      <c r="V81" s="3">
        <v>-194529500</v>
      </c>
      <c r="W81" s="3">
        <v>-194529500</v>
      </c>
      <c r="X81" s="4">
        <v>0</v>
      </c>
      <c r="Y81" s="4">
        <v>0</v>
      </c>
      <c r="Z81" s="3">
        <v>0</v>
      </c>
      <c r="AA81" s="3">
        <v>0</v>
      </c>
      <c r="AB81" t="s">
        <v>1</v>
      </c>
      <c r="AC81" t="s">
        <v>24</v>
      </c>
      <c r="AD81" s="2"/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25</v>
      </c>
      <c r="AK81" s="4">
        <v>0</v>
      </c>
      <c r="AL81" t="s">
        <v>1</v>
      </c>
      <c r="AM81" s="5" t="s">
        <v>1</v>
      </c>
      <c r="AN81" t="s">
        <v>1</v>
      </c>
      <c r="AO81" s="2"/>
      <c r="AP81" t="s">
        <v>1</v>
      </c>
      <c r="AQ81" t="s">
        <v>1</v>
      </c>
      <c r="AR81" s="3">
        <v>0</v>
      </c>
      <c r="AS81" t="s">
        <v>1</v>
      </c>
      <c r="AT81" t="s">
        <v>7</v>
      </c>
      <c r="AU81" t="s">
        <v>1</v>
      </c>
      <c r="AV81" t="s">
        <v>1</v>
      </c>
      <c r="AW81" t="s">
        <v>8</v>
      </c>
      <c r="AX81" t="s">
        <v>8</v>
      </c>
      <c r="AY81" t="s">
        <v>1</v>
      </c>
      <c r="AZ81" s="4">
        <v>0</v>
      </c>
      <c r="BA81" t="s">
        <v>1</v>
      </c>
      <c r="BB81" s="3">
        <v>0</v>
      </c>
      <c r="BC81" s="3">
        <v>0</v>
      </c>
      <c r="BD81" s="3">
        <v>0</v>
      </c>
      <c r="BE81" t="s">
        <v>20</v>
      </c>
      <c r="BF81" t="s">
        <v>1</v>
      </c>
      <c r="BG81" s="4">
        <v>0</v>
      </c>
      <c r="BH81" s="4">
        <v>0</v>
      </c>
      <c r="BI81" s="6">
        <v>0</v>
      </c>
      <c r="BJ81" s="6">
        <v>0</v>
      </c>
      <c r="BK81" t="s">
        <v>1</v>
      </c>
      <c r="BL81" t="s">
        <v>1</v>
      </c>
      <c r="BM81" t="s">
        <v>1</v>
      </c>
      <c r="BN81" t="s">
        <v>9</v>
      </c>
      <c r="BO81" s="2">
        <v>46118</v>
      </c>
      <c r="BP81" t="s">
        <v>1</v>
      </c>
      <c r="BQ81" t="s">
        <v>2278</v>
      </c>
      <c r="BR81" t="s">
        <v>27</v>
      </c>
      <c r="BS81" t="s">
        <v>1</v>
      </c>
      <c r="BT81" t="s">
        <v>1</v>
      </c>
      <c r="BU81" t="s">
        <v>1</v>
      </c>
      <c r="BV81" t="s">
        <v>1</v>
      </c>
      <c r="BW81" t="s">
        <v>7</v>
      </c>
      <c r="BX81" t="s">
        <v>10</v>
      </c>
      <c r="BY81" s="2"/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254</v>
      </c>
      <c r="CJ81" s="3">
        <v>-194529500</v>
      </c>
      <c r="CK81" t="s">
        <v>9</v>
      </c>
      <c r="CL81" t="s">
        <v>11</v>
      </c>
      <c r="CM81" t="s">
        <v>1</v>
      </c>
      <c r="CN81" s="4">
        <v>0</v>
      </c>
      <c r="CO81" t="s">
        <v>7</v>
      </c>
      <c r="CP81" t="s">
        <v>7</v>
      </c>
      <c r="CQ81" t="s">
        <v>7</v>
      </c>
      <c r="CR81" t="s">
        <v>7</v>
      </c>
      <c r="CS81" s="4">
        <v>0</v>
      </c>
      <c r="CT81" t="s">
        <v>2278</v>
      </c>
      <c r="CU81" t="s">
        <v>7</v>
      </c>
      <c r="CV81" t="s">
        <v>1</v>
      </c>
      <c r="CW81" s="2"/>
      <c r="CX81" t="s">
        <v>12</v>
      </c>
      <c r="CY81" t="s">
        <v>1</v>
      </c>
      <c r="CZ81" t="s">
        <v>13</v>
      </c>
      <c r="DA81" t="s">
        <v>1</v>
      </c>
      <c r="DB81" t="s">
        <v>9</v>
      </c>
      <c r="DC81" t="s">
        <v>9</v>
      </c>
      <c r="DD81" t="s">
        <v>1</v>
      </c>
      <c r="DE81" t="s">
        <v>1</v>
      </c>
      <c r="DF81" t="s">
        <v>1</v>
      </c>
      <c r="DG81" t="s">
        <v>261</v>
      </c>
      <c r="DH81" t="s">
        <v>1</v>
      </c>
      <c r="DI81" s="2"/>
      <c r="DJ81" t="s">
        <v>1</v>
      </c>
      <c r="DK81" t="s">
        <v>14</v>
      </c>
      <c r="DL81" t="s">
        <v>1</v>
      </c>
      <c r="DM81" t="s">
        <v>1</v>
      </c>
      <c r="DN81" t="s">
        <v>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s="2"/>
      <c r="DW81" t="s">
        <v>1</v>
      </c>
      <c r="DX81" t="s">
        <v>1</v>
      </c>
      <c r="DY81" t="s">
        <v>2280</v>
      </c>
      <c r="DZ81" t="s">
        <v>1</v>
      </c>
      <c r="EA81" t="s">
        <v>1</v>
      </c>
      <c r="EB81" t="s">
        <v>28</v>
      </c>
      <c r="EC81" t="s">
        <v>7</v>
      </c>
      <c r="ED81" t="s">
        <v>1</v>
      </c>
      <c r="EE81" t="s">
        <v>1</v>
      </c>
      <c r="EF81" t="s">
        <v>22</v>
      </c>
      <c r="EG81" t="s">
        <v>41</v>
      </c>
      <c r="EH81" t="s">
        <v>15</v>
      </c>
      <c r="EI81" t="s">
        <v>1</v>
      </c>
      <c r="EJ81" s="19">
        <v>-5500</v>
      </c>
      <c r="EK81" t="s">
        <v>1</v>
      </c>
      <c r="EL81" t="s">
        <v>1</v>
      </c>
      <c r="EM81" t="s">
        <v>1</v>
      </c>
      <c r="EN81" t="s">
        <v>1</v>
      </c>
      <c r="EO81" s="2"/>
      <c r="EP81" t="s">
        <v>2280</v>
      </c>
      <c r="EQ81" t="s">
        <v>1</v>
      </c>
      <c r="ER81" t="s">
        <v>1</v>
      </c>
      <c r="ES81" t="s">
        <v>1</v>
      </c>
      <c r="ET81" t="s">
        <v>29</v>
      </c>
      <c r="EU81" t="s">
        <v>1</v>
      </c>
      <c r="EV81" t="s">
        <v>1</v>
      </c>
      <c r="EW81" t="s">
        <v>7</v>
      </c>
      <c r="EX81" t="s">
        <v>7</v>
      </c>
      <c r="EY81" t="s">
        <v>1</v>
      </c>
      <c r="EZ81" t="s">
        <v>1</v>
      </c>
      <c r="FA81" t="s">
        <v>1</v>
      </c>
      <c r="FB81" s="3">
        <v>50</v>
      </c>
      <c r="FC81" t="s">
        <v>1</v>
      </c>
      <c r="FD81" t="s">
        <v>1</v>
      </c>
      <c r="FE81" t="s">
        <v>1</v>
      </c>
      <c r="FF81" t="s">
        <v>17</v>
      </c>
      <c r="FG81" t="s">
        <v>1</v>
      </c>
      <c r="FH81" t="s">
        <v>1</v>
      </c>
      <c r="FI81" t="s">
        <v>1</v>
      </c>
      <c r="FJ81" t="s">
        <v>1</v>
      </c>
      <c r="FK81" s="7">
        <v>46118.432141203702</v>
      </c>
      <c r="FL81" t="s">
        <v>1</v>
      </c>
      <c r="FM81" t="s">
        <v>1</v>
      </c>
      <c r="FN81" t="s">
        <v>1</v>
      </c>
      <c r="FO81" s="19">
        <v>-194529500</v>
      </c>
      <c r="FP81" s="4">
        <v>0</v>
      </c>
      <c r="FQ81" s="19">
        <v>-194529500</v>
      </c>
      <c r="FR81" s="4">
        <v>0</v>
      </c>
      <c r="FS81" s="4">
        <v>0</v>
      </c>
      <c r="FT81" s="4">
        <v>0</v>
      </c>
      <c r="FU81" s="2">
        <v>46118</v>
      </c>
      <c r="FV81" t="s">
        <v>1</v>
      </c>
      <c r="FW81" s="4">
        <v>0</v>
      </c>
      <c r="FX81" t="s">
        <v>1</v>
      </c>
      <c r="FY81" t="s">
        <v>1</v>
      </c>
      <c r="FZ81" s="4">
        <v>0</v>
      </c>
      <c r="GA81" s="4">
        <v>0</v>
      </c>
      <c r="GB81" t="s">
        <v>2070</v>
      </c>
      <c r="GC81" t="str">
        <f>RIGHT(Data_FAGLL03[[#This Row],[Payment reference]],8)</f>
        <v>91172604</v>
      </c>
      <c r="GD81" t="str">
        <f>IF(Data_FAGLL03[[#This Row],[Billing]]&lt;&gt;"",_xlfn.XLOOKUP(Data_FAGLL03[[#This Row],[Billing]],MD_BILLING_SO[BILIING],MD_BILLING_SO[SO-EDITED]),"")</f>
        <v>30030655</v>
      </c>
      <c r="GE81" s="18">
        <f>IF(SUBSTITUTE(Data_FAGLL03[[#This Row],[Eff.exchange rate]],",","")/100000=1,1,SUBSTITUTE(Data_FAGLL03[[#This Row],[Eff.exchange rate]],",","")/100)</f>
        <v>1</v>
      </c>
      <c r="GF81" s="17">
        <f>IF(Data_FAGLL03[[#This Row],[Material]]&lt;&gt;"",IFERROR(Data_FAGLL03[[#This Row],[Amount in local currency]]/Data_FAGLL03[[#This Row],[Quantity_Original]],0),0)</f>
        <v>35369</v>
      </c>
      <c r="GG81" s="18">
        <f>IF(Data_FAGLL03[[#This Row],[XK/NĐ]]="XK",Data_FAGLL03[[#This Row],[GB trung bình]]/Data_FAGLL03[[#This Row],[EXR]],0)*1000</f>
        <v>0</v>
      </c>
      <c r="GH81" s="18" cm="1">
        <f t="array" ref="GH81">IF(Data_FAGLL03[[#This Row],[Document currency]]&lt;&gt;"VND",Data_FAGLL03[[#This Row],[Amount in doc. curr.]],Data_FAGLL03[[#This Row],[Amount in local currency]]/EXR)</f>
        <v>-7410.042655410618</v>
      </c>
      <c r="GI81" s="10">
        <f>Data_FAGLL03[[#This Row],[Time Stamp]]+TIME(7,0,0)</f>
        <v>46118.723807870367</v>
      </c>
      <c r="GJ81" s="18">
        <f>MONTH(Data_FAGLL03[[#This Row],[Time Stamp_VN]])</f>
        <v>4</v>
      </c>
      <c r="GK81">
        <f>DAY(Data_FAGLL03[[#This Row],[Time Stamp_VN]])</f>
        <v>6</v>
      </c>
      <c r="GL81" t="str">
        <f>TEXT(Data_FAGLL03[[#This Row],[Tháng]],"00")&amp;" | "&amp;TEXT(Data_FAGLL03[[#This Row],[Ngày]],"00")</f>
        <v>04 | 06</v>
      </c>
      <c r="GM81" s="18">
        <f>IF(Data_FAGLL03[[#This Row],[Text]]="",Data_FAGLL03[[#This Row],[Quantity_Original]],0)</f>
        <v>-5500</v>
      </c>
      <c r="GN81" s="18" t="str">
        <f>IF(Data_FAGLL03[[#This Row],[Quantity_Edited]]&lt;&gt;0,Data_FAGLL03[[#This Row],[Offsetting acct no.]]&amp;" | "&amp;Data_FAGLL03[[#This Row],[Material]],"")</f>
        <v>105263 | 110000481</v>
      </c>
      <c r="GO81" t="str">
        <f>IF(LEFT(Data_FAGLL03[[#This Row],[Offsetting acct no.]],1)="1","NĐ",IF(LEFT(Data_FAGLL03[[#This Row],[Offsetting acct no.]],1)="2","XK","Khác"))</f>
        <v>NĐ</v>
      </c>
      <c r="GP81" t="str">
        <f>IF(Data_FAGLL03[[#This Row],[Material]]&lt;&gt;"",_xlfn.XLOOKUP(Data_FAGLL03[[#This Row],[Material]],MD_SKU[Mã SKU],MD_SKU[Tên SKU]),"")</f>
        <v>Hạt Nhựa rHDPE PCF01</v>
      </c>
      <c r="GQ81" t="str">
        <f>IF(Data_FAGLL03[[#This Row],[Material]]&lt;&gt;"",_xlfn.XLOOKUP(Data_FAGLL03[[#This Row],[Material]],MD_SKU[Mã SKU],MD_SKU[Nhóm SP 1]),"")</f>
        <v>rHDPE</v>
      </c>
      <c r="GR81" t="str">
        <f>IF(Data_FAGLL03[[#This Row],[Material]]&lt;&gt;"",_xlfn.XLOOKUP(Data_FAGLL03[[#This Row],[Material]],MD_SKU[Mã SKU],MD_SKU[Nhóm SP 2]),"")</f>
        <v>rHDPE thổi</v>
      </c>
      <c r="GS81" t="str">
        <f>IF(Data_FAGLL03[[#This Row],[Material]]&lt;&gt;"",_xlfn.XLOOKUP(Data_FAGLL03[[#This Row],[Material]],MD_SKU[Mã SKU],MD_SKU[Nhóm SP 3]),"")</f>
        <v>rHDPE thổi</v>
      </c>
      <c r="GT81" t="str">
        <f>IF(Data_FAGLL03[[#This Row],[Material]]&lt;&gt;"",_xlfn.XLOOKUP(Data_FAGLL03[[#This Row],[Material]],MD_SKU[Mã SKU],MD_SKU[Nhóm SP 4]),"")</f>
        <v>Hạt rHDPE thổi</v>
      </c>
    </row>
    <row r="82" spans="1:202" x14ac:dyDescent="0.25">
      <c r="A82" t="s">
        <v>0</v>
      </c>
      <c r="B82" s="2">
        <v>46118</v>
      </c>
      <c r="C82" t="s">
        <v>2281</v>
      </c>
      <c r="D82" t="s">
        <v>1</v>
      </c>
      <c r="E82" t="s">
        <v>1</v>
      </c>
      <c r="F82" t="s">
        <v>31</v>
      </c>
      <c r="G82" t="s">
        <v>31</v>
      </c>
      <c r="H82" t="s">
        <v>34</v>
      </c>
      <c r="I82" s="19">
        <v>-194529500</v>
      </c>
      <c r="J82" t="s">
        <v>35</v>
      </c>
      <c r="K82" t="s">
        <v>1</v>
      </c>
      <c r="L82" t="s">
        <v>39</v>
      </c>
      <c r="M82" t="s">
        <v>41</v>
      </c>
      <c r="N82" t="s">
        <v>254</v>
      </c>
      <c r="O82" t="s">
        <v>4</v>
      </c>
      <c r="P82" t="s">
        <v>2282</v>
      </c>
      <c r="Q82" t="s">
        <v>31</v>
      </c>
      <c r="R82" t="s">
        <v>5</v>
      </c>
      <c r="S82" t="s">
        <v>1</v>
      </c>
      <c r="T82" s="3">
        <v>-194529500</v>
      </c>
      <c r="U82" s="19">
        <v>-194529500</v>
      </c>
      <c r="V82" s="3">
        <v>-194529500</v>
      </c>
      <c r="W82" s="3">
        <v>-194529500</v>
      </c>
      <c r="X82" s="4">
        <v>0</v>
      </c>
      <c r="Y82" s="4">
        <v>0</v>
      </c>
      <c r="Z82" s="3">
        <v>0</v>
      </c>
      <c r="AA82" s="3">
        <v>0</v>
      </c>
      <c r="AB82" t="s">
        <v>1</v>
      </c>
      <c r="AC82" t="s">
        <v>24</v>
      </c>
      <c r="AD82" s="2"/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25</v>
      </c>
      <c r="AK82" s="4">
        <v>0</v>
      </c>
      <c r="AL82" t="s">
        <v>1</v>
      </c>
      <c r="AM82" s="5" t="s">
        <v>1</v>
      </c>
      <c r="AN82" t="s">
        <v>1</v>
      </c>
      <c r="AO82" s="2"/>
      <c r="AP82" t="s">
        <v>1</v>
      </c>
      <c r="AQ82" t="s">
        <v>1</v>
      </c>
      <c r="AR82" s="3">
        <v>0</v>
      </c>
      <c r="AS82" t="s">
        <v>1</v>
      </c>
      <c r="AT82" t="s">
        <v>7</v>
      </c>
      <c r="AU82" t="s">
        <v>1</v>
      </c>
      <c r="AV82" t="s">
        <v>1</v>
      </c>
      <c r="AW82" t="s">
        <v>8</v>
      </c>
      <c r="AX82" t="s">
        <v>8</v>
      </c>
      <c r="AY82" t="s">
        <v>1</v>
      </c>
      <c r="AZ82" s="4">
        <v>0</v>
      </c>
      <c r="BA82" t="s">
        <v>1</v>
      </c>
      <c r="BB82" s="3">
        <v>0</v>
      </c>
      <c r="BC82" s="3">
        <v>0</v>
      </c>
      <c r="BD82" s="3">
        <v>0</v>
      </c>
      <c r="BE82" t="s">
        <v>20</v>
      </c>
      <c r="BF82" t="s">
        <v>1</v>
      </c>
      <c r="BG82" s="4">
        <v>0</v>
      </c>
      <c r="BH82" s="4">
        <v>0</v>
      </c>
      <c r="BI82" s="6">
        <v>0</v>
      </c>
      <c r="BJ82" s="6">
        <v>0</v>
      </c>
      <c r="BK82" t="s">
        <v>1</v>
      </c>
      <c r="BL82" t="s">
        <v>1</v>
      </c>
      <c r="BM82" t="s">
        <v>1</v>
      </c>
      <c r="BN82" t="s">
        <v>9</v>
      </c>
      <c r="BO82" s="2">
        <v>46118</v>
      </c>
      <c r="BP82" t="s">
        <v>1</v>
      </c>
      <c r="BQ82" t="s">
        <v>2281</v>
      </c>
      <c r="BR82" t="s">
        <v>27</v>
      </c>
      <c r="BS82" t="s">
        <v>1</v>
      </c>
      <c r="BT82" t="s">
        <v>1</v>
      </c>
      <c r="BU82" t="s">
        <v>1</v>
      </c>
      <c r="BV82" t="s">
        <v>1</v>
      </c>
      <c r="BW82" t="s">
        <v>7</v>
      </c>
      <c r="BX82" t="s">
        <v>10</v>
      </c>
      <c r="BY82" s="2"/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254</v>
      </c>
      <c r="CJ82" s="3">
        <v>-194529500</v>
      </c>
      <c r="CK82" t="s">
        <v>9</v>
      </c>
      <c r="CL82" t="s">
        <v>11</v>
      </c>
      <c r="CM82" t="s">
        <v>1</v>
      </c>
      <c r="CN82" s="4">
        <v>0</v>
      </c>
      <c r="CO82" t="s">
        <v>7</v>
      </c>
      <c r="CP82" t="s">
        <v>7</v>
      </c>
      <c r="CQ82" t="s">
        <v>7</v>
      </c>
      <c r="CR82" t="s">
        <v>7</v>
      </c>
      <c r="CS82" s="4">
        <v>0</v>
      </c>
      <c r="CT82" t="s">
        <v>2281</v>
      </c>
      <c r="CU82" t="s">
        <v>7</v>
      </c>
      <c r="CV82" t="s">
        <v>1</v>
      </c>
      <c r="CW82" s="2"/>
      <c r="CX82" t="s">
        <v>12</v>
      </c>
      <c r="CY82" t="s">
        <v>1</v>
      </c>
      <c r="CZ82" t="s">
        <v>13</v>
      </c>
      <c r="DA82" t="s">
        <v>1</v>
      </c>
      <c r="DB82" t="s">
        <v>9</v>
      </c>
      <c r="DC82" t="s">
        <v>9</v>
      </c>
      <c r="DD82" t="s">
        <v>1</v>
      </c>
      <c r="DE82" t="s">
        <v>1</v>
      </c>
      <c r="DF82" t="s">
        <v>1</v>
      </c>
      <c r="DG82" t="s">
        <v>261</v>
      </c>
      <c r="DH82" t="s">
        <v>1</v>
      </c>
      <c r="DI82" s="2"/>
      <c r="DJ82" t="s">
        <v>1</v>
      </c>
      <c r="DK82" t="s">
        <v>14</v>
      </c>
      <c r="DL82" t="s">
        <v>1</v>
      </c>
      <c r="DM82" t="s">
        <v>1</v>
      </c>
      <c r="DN82" t="s">
        <v>1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s="2"/>
      <c r="DW82" t="s">
        <v>1</v>
      </c>
      <c r="DX82" t="s">
        <v>1</v>
      </c>
      <c r="DY82" t="s">
        <v>2283</v>
      </c>
      <c r="DZ82" t="s">
        <v>1</v>
      </c>
      <c r="EA82" t="s">
        <v>1</v>
      </c>
      <c r="EB82" t="s">
        <v>28</v>
      </c>
      <c r="EC82" t="s">
        <v>7</v>
      </c>
      <c r="ED82" t="s">
        <v>1</v>
      </c>
      <c r="EE82" t="s">
        <v>1</v>
      </c>
      <c r="EF82" t="s">
        <v>22</v>
      </c>
      <c r="EG82" t="s">
        <v>41</v>
      </c>
      <c r="EH82" t="s">
        <v>15</v>
      </c>
      <c r="EI82" t="s">
        <v>1</v>
      </c>
      <c r="EJ82" s="19">
        <v>-5500</v>
      </c>
      <c r="EK82" t="s">
        <v>1</v>
      </c>
      <c r="EL82" t="s">
        <v>1</v>
      </c>
      <c r="EM82" t="s">
        <v>1</v>
      </c>
      <c r="EN82" t="s">
        <v>1</v>
      </c>
      <c r="EO82" s="2"/>
      <c r="EP82" t="s">
        <v>2283</v>
      </c>
      <c r="EQ82" t="s">
        <v>1</v>
      </c>
      <c r="ER82" t="s">
        <v>1</v>
      </c>
      <c r="ES82" t="s">
        <v>1</v>
      </c>
      <c r="ET82" t="s">
        <v>29</v>
      </c>
      <c r="EU82" t="s">
        <v>1</v>
      </c>
      <c r="EV82" t="s">
        <v>1</v>
      </c>
      <c r="EW82" t="s">
        <v>7</v>
      </c>
      <c r="EX82" t="s">
        <v>7</v>
      </c>
      <c r="EY82" t="s">
        <v>1</v>
      </c>
      <c r="EZ82" t="s">
        <v>1</v>
      </c>
      <c r="FA82" t="s">
        <v>1</v>
      </c>
      <c r="FB82" s="3">
        <v>50</v>
      </c>
      <c r="FC82" t="s">
        <v>1</v>
      </c>
      <c r="FD82" t="s">
        <v>1</v>
      </c>
      <c r="FE82" t="s">
        <v>1</v>
      </c>
      <c r="FF82" t="s">
        <v>17</v>
      </c>
      <c r="FG82" t="s">
        <v>1</v>
      </c>
      <c r="FH82" t="s">
        <v>1</v>
      </c>
      <c r="FI82" t="s">
        <v>1</v>
      </c>
      <c r="FJ82" t="s">
        <v>1</v>
      </c>
      <c r="FK82" s="7">
        <v>46118.432175925926</v>
      </c>
      <c r="FL82" t="s">
        <v>1</v>
      </c>
      <c r="FM82" t="s">
        <v>1</v>
      </c>
      <c r="FN82" t="s">
        <v>1</v>
      </c>
      <c r="FO82" s="19">
        <v>-194529500</v>
      </c>
      <c r="FP82" s="4">
        <v>0</v>
      </c>
      <c r="FQ82" s="19">
        <v>-194529500</v>
      </c>
      <c r="FR82" s="4">
        <v>0</v>
      </c>
      <c r="FS82" s="4">
        <v>0</v>
      </c>
      <c r="FT82" s="4">
        <v>0</v>
      </c>
      <c r="FU82" s="2">
        <v>46118</v>
      </c>
      <c r="FV82" t="s">
        <v>1</v>
      </c>
      <c r="FW82" s="4">
        <v>0</v>
      </c>
      <c r="FX82" t="s">
        <v>1</v>
      </c>
      <c r="FY82" t="s">
        <v>1</v>
      </c>
      <c r="FZ82" s="4">
        <v>0</v>
      </c>
      <c r="GA82" s="4">
        <v>0</v>
      </c>
      <c r="GB82" t="s">
        <v>2070</v>
      </c>
      <c r="GC82" t="str">
        <f>RIGHT(Data_FAGLL03[[#This Row],[Payment reference]],8)</f>
        <v>91172605</v>
      </c>
      <c r="GD82" t="str">
        <f>IF(Data_FAGLL03[[#This Row],[Billing]]&lt;&gt;"",_xlfn.XLOOKUP(Data_FAGLL03[[#This Row],[Billing]],MD_BILLING_SO[BILIING],MD_BILLING_SO[SO-EDITED]),"")</f>
        <v>30030655</v>
      </c>
      <c r="GE82" s="18">
        <f>IF(SUBSTITUTE(Data_FAGLL03[[#This Row],[Eff.exchange rate]],",","")/100000=1,1,SUBSTITUTE(Data_FAGLL03[[#This Row],[Eff.exchange rate]],",","")/100)</f>
        <v>1</v>
      </c>
      <c r="GF82" s="17">
        <f>IF(Data_FAGLL03[[#This Row],[Material]]&lt;&gt;"",IFERROR(Data_FAGLL03[[#This Row],[Amount in local currency]]/Data_FAGLL03[[#This Row],[Quantity_Original]],0),0)</f>
        <v>35369</v>
      </c>
      <c r="GG82" s="18">
        <f>IF(Data_FAGLL03[[#This Row],[XK/NĐ]]="XK",Data_FAGLL03[[#This Row],[GB trung bình]]/Data_FAGLL03[[#This Row],[EXR]],0)*1000</f>
        <v>0</v>
      </c>
      <c r="GH82" s="18" cm="1">
        <f t="array" ref="GH82">IF(Data_FAGLL03[[#This Row],[Document currency]]&lt;&gt;"VND",Data_FAGLL03[[#This Row],[Amount in doc. curr.]],Data_FAGLL03[[#This Row],[Amount in local currency]]/EXR)</f>
        <v>-7410.042655410618</v>
      </c>
      <c r="GI82" s="10">
        <f>Data_FAGLL03[[#This Row],[Time Stamp]]+TIME(7,0,0)</f>
        <v>46118.72384259259</v>
      </c>
      <c r="GJ82" s="18">
        <f>MONTH(Data_FAGLL03[[#This Row],[Time Stamp_VN]])</f>
        <v>4</v>
      </c>
      <c r="GK82">
        <f>DAY(Data_FAGLL03[[#This Row],[Time Stamp_VN]])</f>
        <v>6</v>
      </c>
      <c r="GL82" t="str">
        <f>TEXT(Data_FAGLL03[[#This Row],[Tháng]],"00")&amp;" | "&amp;TEXT(Data_FAGLL03[[#This Row],[Ngày]],"00")</f>
        <v>04 | 06</v>
      </c>
      <c r="GM82" s="18">
        <f>IF(Data_FAGLL03[[#This Row],[Text]]="",Data_FAGLL03[[#This Row],[Quantity_Original]],0)</f>
        <v>-5500</v>
      </c>
      <c r="GN82" s="18" t="str">
        <f>IF(Data_FAGLL03[[#This Row],[Quantity_Edited]]&lt;&gt;0,Data_FAGLL03[[#This Row],[Offsetting acct no.]]&amp;" | "&amp;Data_FAGLL03[[#This Row],[Material]],"")</f>
        <v>105263 | 110000481</v>
      </c>
      <c r="GO82" t="str">
        <f>IF(LEFT(Data_FAGLL03[[#This Row],[Offsetting acct no.]],1)="1","NĐ",IF(LEFT(Data_FAGLL03[[#This Row],[Offsetting acct no.]],1)="2","XK","Khác"))</f>
        <v>NĐ</v>
      </c>
      <c r="GP82" t="str">
        <f>IF(Data_FAGLL03[[#This Row],[Material]]&lt;&gt;"",_xlfn.XLOOKUP(Data_FAGLL03[[#This Row],[Material]],MD_SKU[Mã SKU],MD_SKU[Tên SKU]),"")</f>
        <v>Hạt Nhựa rHDPE PCF01</v>
      </c>
      <c r="GQ82" t="str">
        <f>IF(Data_FAGLL03[[#This Row],[Material]]&lt;&gt;"",_xlfn.XLOOKUP(Data_FAGLL03[[#This Row],[Material]],MD_SKU[Mã SKU],MD_SKU[Nhóm SP 1]),"")</f>
        <v>rHDPE</v>
      </c>
      <c r="GR82" t="str">
        <f>IF(Data_FAGLL03[[#This Row],[Material]]&lt;&gt;"",_xlfn.XLOOKUP(Data_FAGLL03[[#This Row],[Material]],MD_SKU[Mã SKU],MD_SKU[Nhóm SP 2]),"")</f>
        <v>rHDPE thổi</v>
      </c>
      <c r="GS82" t="str">
        <f>IF(Data_FAGLL03[[#This Row],[Material]]&lt;&gt;"",_xlfn.XLOOKUP(Data_FAGLL03[[#This Row],[Material]],MD_SKU[Mã SKU],MD_SKU[Nhóm SP 3]),"")</f>
        <v>rHDPE thổi</v>
      </c>
      <c r="GT82" t="str">
        <f>IF(Data_FAGLL03[[#This Row],[Material]]&lt;&gt;"",_xlfn.XLOOKUP(Data_FAGLL03[[#This Row],[Material]],MD_SKU[Mã SKU],MD_SKU[Nhóm SP 4]),"")</f>
        <v>Hạt rHDPE thổi</v>
      </c>
    </row>
    <row r="83" spans="1:202" x14ac:dyDescent="0.25">
      <c r="A83" t="s">
        <v>0</v>
      </c>
      <c r="B83" s="2">
        <v>46118</v>
      </c>
      <c r="C83" t="s">
        <v>2284</v>
      </c>
      <c r="D83" t="s">
        <v>1</v>
      </c>
      <c r="E83" t="s">
        <v>1</v>
      </c>
      <c r="F83" t="s">
        <v>31</v>
      </c>
      <c r="G83" t="s">
        <v>31</v>
      </c>
      <c r="H83" t="s">
        <v>55</v>
      </c>
      <c r="I83" s="19">
        <v>-21527778</v>
      </c>
      <c r="J83" t="s">
        <v>56</v>
      </c>
      <c r="K83" t="s">
        <v>1</v>
      </c>
      <c r="L83" t="s">
        <v>39</v>
      </c>
      <c r="M83" t="s">
        <v>41</v>
      </c>
      <c r="N83" t="s">
        <v>254</v>
      </c>
      <c r="O83" t="s">
        <v>4</v>
      </c>
      <c r="P83" t="s">
        <v>2285</v>
      </c>
      <c r="Q83" t="s">
        <v>31</v>
      </c>
      <c r="R83" t="s">
        <v>5</v>
      </c>
      <c r="S83" t="s">
        <v>1</v>
      </c>
      <c r="T83" s="3">
        <v>-21527778</v>
      </c>
      <c r="U83" s="19">
        <v>-21527778</v>
      </c>
      <c r="V83" s="3">
        <v>-21527778</v>
      </c>
      <c r="W83" s="3">
        <v>-21527778</v>
      </c>
      <c r="X83" s="4">
        <v>0</v>
      </c>
      <c r="Y83" s="4">
        <v>0</v>
      </c>
      <c r="Z83" s="3">
        <v>0</v>
      </c>
      <c r="AA83" s="3">
        <v>0</v>
      </c>
      <c r="AB83" t="s">
        <v>1</v>
      </c>
      <c r="AC83" t="s">
        <v>24</v>
      </c>
      <c r="AD83" s="2"/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25</v>
      </c>
      <c r="AK83" s="4">
        <v>0</v>
      </c>
      <c r="AL83" t="s">
        <v>1</v>
      </c>
      <c r="AM83" s="5" t="s">
        <v>1</v>
      </c>
      <c r="AN83" t="s">
        <v>1</v>
      </c>
      <c r="AO83" s="2"/>
      <c r="AP83" t="s">
        <v>1</v>
      </c>
      <c r="AQ83" t="s">
        <v>1</v>
      </c>
      <c r="AR83" s="3">
        <v>0</v>
      </c>
      <c r="AS83" t="s">
        <v>1</v>
      </c>
      <c r="AT83" t="s">
        <v>7</v>
      </c>
      <c r="AU83" t="s">
        <v>1</v>
      </c>
      <c r="AV83" t="s">
        <v>1</v>
      </c>
      <c r="AW83" t="s">
        <v>8</v>
      </c>
      <c r="AX83" t="s">
        <v>8</v>
      </c>
      <c r="AY83" t="s">
        <v>1</v>
      </c>
      <c r="AZ83" s="4">
        <v>0</v>
      </c>
      <c r="BA83" t="s">
        <v>1</v>
      </c>
      <c r="BB83" s="3">
        <v>0</v>
      </c>
      <c r="BC83" s="3">
        <v>0</v>
      </c>
      <c r="BD83" s="3">
        <v>0</v>
      </c>
      <c r="BE83" t="s">
        <v>20</v>
      </c>
      <c r="BF83" t="s">
        <v>1</v>
      </c>
      <c r="BG83" s="4">
        <v>0</v>
      </c>
      <c r="BH83" s="4">
        <v>0</v>
      </c>
      <c r="BI83" s="6">
        <v>0</v>
      </c>
      <c r="BJ83" s="6">
        <v>0</v>
      </c>
      <c r="BK83" t="s">
        <v>1</v>
      </c>
      <c r="BL83" t="s">
        <v>1</v>
      </c>
      <c r="BM83" t="s">
        <v>1</v>
      </c>
      <c r="BN83" t="s">
        <v>9</v>
      </c>
      <c r="BO83" s="2">
        <v>46118</v>
      </c>
      <c r="BP83" t="s">
        <v>1</v>
      </c>
      <c r="BQ83" t="s">
        <v>2284</v>
      </c>
      <c r="BR83" t="s">
        <v>27</v>
      </c>
      <c r="BS83" t="s">
        <v>1</v>
      </c>
      <c r="BT83" t="s">
        <v>1</v>
      </c>
      <c r="BU83" t="s">
        <v>1</v>
      </c>
      <c r="BV83" t="s">
        <v>1</v>
      </c>
      <c r="BW83" t="s">
        <v>7</v>
      </c>
      <c r="BX83" t="s">
        <v>10</v>
      </c>
      <c r="BY83" s="2"/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254</v>
      </c>
      <c r="CJ83" s="3">
        <v>-21527778</v>
      </c>
      <c r="CK83" t="s">
        <v>9</v>
      </c>
      <c r="CL83" t="s">
        <v>11</v>
      </c>
      <c r="CM83" t="s">
        <v>1</v>
      </c>
      <c r="CN83" s="4">
        <v>0</v>
      </c>
      <c r="CO83" t="s">
        <v>7</v>
      </c>
      <c r="CP83" t="s">
        <v>7</v>
      </c>
      <c r="CQ83" t="s">
        <v>7</v>
      </c>
      <c r="CR83" t="s">
        <v>7</v>
      </c>
      <c r="CS83" s="4">
        <v>0</v>
      </c>
      <c r="CT83" t="s">
        <v>2284</v>
      </c>
      <c r="CU83" t="s">
        <v>7</v>
      </c>
      <c r="CV83" t="s">
        <v>1</v>
      </c>
      <c r="CW83" s="2"/>
      <c r="CX83" t="s">
        <v>12</v>
      </c>
      <c r="CY83" t="s">
        <v>1</v>
      </c>
      <c r="CZ83" t="s">
        <v>13</v>
      </c>
      <c r="DA83" t="s">
        <v>1</v>
      </c>
      <c r="DB83" t="s">
        <v>9</v>
      </c>
      <c r="DC83" t="s">
        <v>9</v>
      </c>
      <c r="DD83" t="s">
        <v>1</v>
      </c>
      <c r="DE83" t="s">
        <v>1</v>
      </c>
      <c r="DF83" t="s">
        <v>1</v>
      </c>
      <c r="DG83" t="s">
        <v>262</v>
      </c>
      <c r="DH83" t="s">
        <v>1</v>
      </c>
      <c r="DI83" s="2"/>
      <c r="DJ83" t="s">
        <v>1</v>
      </c>
      <c r="DK83" t="s">
        <v>14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1</v>
      </c>
      <c r="DU83" t="s">
        <v>1</v>
      </c>
      <c r="DV83" s="2"/>
      <c r="DW83" t="s">
        <v>1</v>
      </c>
      <c r="DX83" t="s">
        <v>1</v>
      </c>
      <c r="DY83" t="s">
        <v>2286</v>
      </c>
      <c r="DZ83" t="s">
        <v>1</v>
      </c>
      <c r="EA83" t="s">
        <v>1</v>
      </c>
      <c r="EB83" t="s">
        <v>28</v>
      </c>
      <c r="EC83" t="s">
        <v>7</v>
      </c>
      <c r="ED83" t="s">
        <v>1</v>
      </c>
      <c r="EE83" t="s">
        <v>1</v>
      </c>
      <c r="EF83" t="s">
        <v>22</v>
      </c>
      <c r="EG83" t="s">
        <v>41</v>
      </c>
      <c r="EH83" t="s">
        <v>15</v>
      </c>
      <c r="EI83" t="s">
        <v>1</v>
      </c>
      <c r="EJ83" s="19">
        <v>-1500</v>
      </c>
      <c r="EK83" t="s">
        <v>1</v>
      </c>
      <c r="EL83" t="s">
        <v>1</v>
      </c>
      <c r="EM83" t="s">
        <v>1</v>
      </c>
      <c r="EN83" t="s">
        <v>1</v>
      </c>
      <c r="EO83" s="2"/>
      <c r="EP83" t="s">
        <v>2286</v>
      </c>
      <c r="EQ83" t="s">
        <v>1</v>
      </c>
      <c r="ER83" t="s">
        <v>1</v>
      </c>
      <c r="ES83" t="s">
        <v>1</v>
      </c>
      <c r="ET83" t="s">
        <v>29</v>
      </c>
      <c r="EU83" t="s">
        <v>1</v>
      </c>
      <c r="EV83" t="s">
        <v>1</v>
      </c>
      <c r="EW83" t="s">
        <v>7</v>
      </c>
      <c r="EX83" t="s">
        <v>7</v>
      </c>
      <c r="EY83" t="s">
        <v>1</v>
      </c>
      <c r="EZ83" t="s">
        <v>1</v>
      </c>
      <c r="FA83" t="s">
        <v>1</v>
      </c>
      <c r="FB83" s="3">
        <v>50</v>
      </c>
      <c r="FC83" t="s">
        <v>1</v>
      </c>
      <c r="FD83" t="s">
        <v>1</v>
      </c>
      <c r="FE83" t="s">
        <v>1</v>
      </c>
      <c r="FF83" t="s">
        <v>17</v>
      </c>
      <c r="FG83" t="s">
        <v>1</v>
      </c>
      <c r="FH83" t="s">
        <v>1</v>
      </c>
      <c r="FI83" t="s">
        <v>1</v>
      </c>
      <c r="FJ83" t="s">
        <v>1</v>
      </c>
      <c r="FK83" s="7">
        <v>46118.432210648149</v>
      </c>
      <c r="FL83" t="s">
        <v>1</v>
      </c>
      <c r="FM83" t="s">
        <v>1</v>
      </c>
      <c r="FN83" t="s">
        <v>1</v>
      </c>
      <c r="FO83" s="19">
        <v>-21527778</v>
      </c>
      <c r="FP83" s="4">
        <v>0</v>
      </c>
      <c r="FQ83" s="19">
        <v>-21527778</v>
      </c>
      <c r="FR83" s="4">
        <v>0</v>
      </c>
      <c r="FS83" s="4">
        <v>0</v>
      </c>
      <c r="FT83" s="4">
        <v>0</v>
      </c>
      <c r="FU83" s="2">
        <v>46118</v>
      </c>
      <c r="FV83" t="s">
        <v>1</v>
      </c>
      <c r="FW83" s="4">
        <v>0</v>
      </c>
      <c r="FX83" t="s">
        <v>1</v>
      </c>
      <c r="FY83" t="s">
        <v>1</v>
      </c>
      <c r="FZ83" s="4">
        <v>0</v>
      </c>
      <c r="GA83" s="4">
        <v>0</v>
      </c>
      <c r="GB83" t="s">
        <v>2070</v>
      </c>
      <c r="GC83" t="str">
        <f>RIGHT(Data_FAGLL03[[#This Row],[Payment reference]],8)</f>
        <v>91172606</v>
      </c>
      <c r="GD83" t="str">
        <f>IF(Data_FAGLL03[[#This Row],[Billing]]&lt;&gt;"",_xlfn.XLOOKUP(Data_FAGLL03[[#This Row],[Billing]],MD_BILLING_SO[BILIING],MD_BILLING_SO[SO-EDITED]),"")</f>
        <v>30030731</v>
      </c>
      <c r="GE83" s="18">
        <f>IF(SUBSTITUTE(Data_FAGLL03[[#This Row],[Eff.exchange rate]],",","")/100000=1,1,SUBSTITUTE(Data_FAGLL03[[#This Row],[Eff.exchange rate]],",","")/100)</f>
        <v>1</v>
      </c>
      <c r="GF83" s="17">
        <f>IF(Data_FAGLL03[[#This Row],[Material]]&lt;&gt;"",IFERROR(Data_FAGLL03[[#This Row],[Amount in local currency]]/Data_FAGLL03[[#This Row],[Quantity_Original]],0),0)</f>
        <v>14351.852000000001</v>
      </c>
      <c r="GG83" s="18">
        <f>IF(Data_FAGLL03[[#This Row],[XK/NĐ]]="XK",Data_FAGLL03[[#This Row],[GB trung bình]]/Data_FAGLL03[[#This Row],[EXR]],0)*1000</f>
        <v>0</v>
      </c>
      <c r="GH83" s="18" cm="1">
        <f t="array" ref="GH83">IF(Data_FAGLL03[[#This Row],[Document currency]]&lt;&gt;"VND",Data_FAGLL03[[#This Row],[Amount in doc. curr.]],Data_FAGLL03[[#This Row],[Amount in local currency]]/EXR)</f>
        <v>-820.0388797391156</v>
      </c>
      <c r="GI83" s="10">
        <f>Data_FAGLL03[[#This Row],[Time Stamp]]+TIME(7,0,0)</f>
        <v>46118.723877314813</v>
      </c>
      <c r="GJ83" s="18">
        <f>MONTH(Data_FAGLL03[[#This Row],[Time Stamp_VN]])</f>
        <v>4</v>
      </c>
      <c r="GK83">
        <f>DAY(Data_FAGLL03[[#This Row],[Time Stamp_VN]])</f>
        <v>6</v>
      </c>
      <c r="GL83" t="str">
        <f>TEXT(Data_FAGLL03[[#This Row],[Tháng]],"00")&amp;" | "&amp;TEXT(Data_FAGLL03[[#This Row],[Ngày]],"00")</f>
        <v>04 | 06</v>
      </c>
      <c r="GM83" s="18">
        <f>IF(Data_FAGLL03[[#This Row],[Text]]="",Data_FAGLL03[[#This Row],[Quantity_Original]],0)</f>
        <v>-1500</v>
      </c>
      <c r="GN83" s="18" t="str">
        <f>IF(Data_FAGLL03[[#This Row],[Quantity_Edited]]&lt;&gt;0,Data_FAGLL03[[#This Row],[Offsetting acct no.]]&amp;" | "&amp;Data_FAGLL03[[#This Row],[Material]],"")</f>
        <v>105324 | 160012951</v>
      </c>
      <c r="GO83" t="str">
        <f>IF(LEFT(Data_FAGLL03[[#This Row],[Offsetting acct no.]],1)="1","NĐ",IF(LEFT(Data_FAGLL03[[#This Row],[Offsetting acct no.]],1)="2","XK","Khác"))</f>
        <v>NĐ</v>
      </c>
      <c r="GP83" t="str">
        <f>IF(Data_FAGLL03[[#This Row],[Material]]&lt;&gt;"",_xlfn.XLOOKUP(Data_FAGLL03[[#This Row],[Material]],MD_SKU[Mã SKU],MD_SKU[Tên SKU]),"")</f>
        <v>Phó Sản HD Ép Hỗn Hợp Cuối SSR</v>
      </c>
      <c r="GQ83" t="str">
        <f>IF(Data_FAGLL03[[#This Row],[Material]]&lt;&gt;"",_xlfn.XLOOKUP(Data_FAGLL03[[#This Row],[Material]],MD_SKU[Mã SKU],MD_SKU[Nhóm SP 1]),"")</f>
        <v>Khác</v>
      </c>
      <c r="GR83" t="str">
        <f>IF(Data_FAGLL03[[#This Row],[Material]]&lt;&gt;"",_xlfn.XLOOKUP(Data_FAGLL03[[#This Row],[Material]],MD_SKU[Mã SKU],MD_SKU[Nhóm SP 2]),"")</f>
        <v>Phó sản</v>
      </c>
      <c r="GS83" t="str">
        <f>IF(Data_FAGLL03[[#This Row],[Material]]&lt;&gt;"",_xlfn.XLOOKUP(Data_FAGLL03[[#This Row],[Material]],MD_SKU[Mã SKU],MD_SKU[Nhóm SP 3]),"")</f>
        <v>Phó sản</v>
      </c>
      <c r="GT83" t="str">
        <f>IF(Data_FAGLL03[[#This Row],[Material]]&lt;&gt;"",_xlfn.XLOOKUP(Data_FAGLL03[[#This Row],[Material]],MD_SKU[Mã SKU],MD_SKU[Nhóm SP 4]),"")</f>
        <v>Phó sản</v>
      </c>
    </row>
    <row r="84" spans="1:202" x14ac:dyDescent="0.25">
      <c r="A84" t="s">
        <v>0</v>
      </c>
      <c r="B84" s="2">
        <v>46119</v>
      </c>
      <c r="C84" t="s">
        <v>2287</v>
      </c>
      <c r="D84" t="s">
        <v>1</v>
      </c>
      <c r="E84" t="s">
        <v>1</v>
      </c>
      <c r="F84" t="s">
        <v>31</v>
      </c>
      <c r="G84" t="s">
        <v>31</v>
      </c>
      <c r="H84" t="s">
        <v>2010</v>
      </c>
      <c r="I84" s="19">
        <v>-101040000</v>
      </c>
      <c r="J84" t="s">
        <v>2011</v>
      </c>
      <c r="K84" t="s">
        <v>1</v>
      </c>
      <c r="L84" t="s">
        <v>39</v>
      </c>
      <c r="M84" t="s">
        <v>41</v>
      </c>
      <c r="N84" t="s">
        <v>254</v>
      </c>
      <c r="O84" t="s">
        <v>4</v>
      </c>
      <c r="P84" t="s">
        <v>2288</v>
      </c>
      <c r="Q84" t="s">
        <v>31</v>
      </c>
      <c r="R84" t="s">
        <v>5</v>
      </c>
      <c r="S84" t="s">
        <v>1</v>
      </c>
      <c r="T84" s="3">
        <v>-101040000</v>
      </c>
      <c r="U84" s="19">
        <v>-101040000</v>
      </c>
      <c r="V84" s="3">
        <v>-101040000</v>
      </c>
      <c r="W84" s="3">
        <v>-101040000</v>
      </c>
      <c r="X84" s="4">
        <v>0</v>
      </c>
      <c r="Y84" s="4">
        <v>0</v>
      </c>
      <c r="Z84" s="3">
        <v>0</v>
      </c>
      <c r="AA84" s="3">
        <v>0</v>
      </c>
      <c r="AB84" t="s">
        <v>1</v>
      </c>
      <c r="AC84" t="s">
        <v>24</v>
      </c>
      <c r="AD84" s="2"/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25</v>
      </c>
      <c r="AK84" s="4">
        <v>0</v>
      </c>
      <c r="AL84" t="s">
        <v>1</v>
      </c>
      <c r="AM84" s="5" t="s">
        <v>1</v>
      </c>
      <c r="AN84" t="s">
        <v>1</v>
      </c>
      <c r="AO84" s="2"/>
      <c r="AP84" t="s">
        <v>1</v>
      </c>
      <c r="AQ84" t="s">
        <v>1</v>
      </c>
      <c r="AR84" s="3">
        <v>0</v>
      </c>
      <c r="AS84" t="s">
        <v>1</v>
      </c>
      <c r="AT84" t="s">
        <v>7</v>
      </c>
      <c r="AU84" t="s">
        <v>1</v>
      </c>
      <c r="AV84" t="s">
        <v>1</v>
      </c>
      <c r="AW84" t="s">
        <v>8</v>
      </c>
      <c r="AX84" t="s">
        <v>8</v>
      </c>
      <c r="AY84" t="s">
        <v>1</v>
      </c>
      <c r="AZ84" s="4">
        <v>0</v>
      </c>
      <c r="BA84" t="s">
        <v>1</v>
      </c>
      <c r="BB84" s="3">
        <v>0</v>
      </c>
      <c r="BC84" s="3">
        <v>0</v>
      </c>
      <c r="BD84" s="3">
        <v>0</v>
      </c>
      <c r="BE84" t="s">
        <v>20</v>
      </c>
      <c r="BF84" t="s">
        <v>1</v>
      </c>
      <c r="BG84" s="4">
        <v>0</v>
      </c>
      <c r="BH84" s="4">
        <v>0</v>
      </c>
      <c r="BI84" s="6">
        <v>0</v>
      </c>
      <c r="BJ84" s="6">
        <v>0</v>
      </c>
      <c r="BK84" t="s">
        <v>1</v>
      </c>
      <c r="BL84" t="s">
        <v>1</v>
      </c>
      <c r="BM84" t="s">
        <v>1</v>
      </c>
      <c r="BN84" t="s">
        <v>9</v>
      </c>
      <c r="BO84" s="2">
        <v>46119</v>
      </c>
      <c r="BP84" t="s">
        <v>1</v>
      </c>
      <c r="BQ84" t="s">
        <v>2287</v>
      </c>
      <c r="BR84" t="s">
        <v>27</v>
      </c>
      <c r="BS84" t="s">
        <v>1</v>
      </c>
      <c r="BT84" t="s">
        <v>1</v>
      </c>
      <c r="BU84" t="s">
        <v>1</v>
      </c>
      <c r="BV84" t="s">
        <v>1</v>
      </c>
      <c r="BW84" t="s">
        <v>7</v>
      </c>
      <c r="BX84" t="s">
        <v>10</v>
      </c>
      <c r="BY84" s="2"/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254</v>
      </c>
      <c r="CJ84" s="3">
        <v>-101040000</v>
      </c>
      <c r="CK84" t="s">
        <v>9</v>
      </c>
      <c r="CL84" t="s">
        <v>11</v>
      </c>
      <c r="CM84" t="s">
        <v>1</v>
      </c>
      <c r="CN84" s="4">
        <v>0</v>
      </c>
      <c r="CO84" t="s">
        <v>7</v>
      </c>
      <c r="CP84" t="s">
        <v>7</v>
      </c>
      <c r="CQ84" t="s">
        <v>7</v>
      </c>
      <c r="CR84" t="s">
        <v>7</v>
      </c>
      <c r="CS84" s="4">
        <v>0</v>
      </c>
      <c r="CT84" t="s">
        <v>2287</v>
      </c>
      <c r="CU84" t="s">
        <v>7</v>
      </c>
      <c r="CV84" t="s">
        <v>1</v>
      </c>
      <c r="CW84" s="2"/>
      <c r="CX84" t="s">
        <v>12</v>
      </c>
      <c r="CY84" t="s">
        <v>1</v>
      </c>
      <c r="CZ84" t="s">
        <v>13</v>
      </c>
      <c r="DA84" t="s">
        <v>1</v>
      </c>
      <c r="DB84" t="s">
        <v>9</v>
      </c>
      <c r="DC84" t="s">
        <v>9</v>
      </c>
      <c r="DD84" t="s">
        <v>1</v>
      </c>
      <c r="DE84" t="s">
        <v>1</v>
      </c>
      <c r="DF84" t="s">
        <v>1</v>
      </c>
      <c r="DG84" t="s">
        <v>1898</v>
      </c>
      <c r="DH84" t="s">
        <v>1</v>
      </c>
      <c r="DI84" s="2"/>
      <c r="DJ84" t="s">
        <v>1</v>
      </c>
      <c r="DK84" t="s">
        <v>14</v>
      </c>
      <c r="DL84" t="s">
        <v>1</v>
      </c>
      <c r="DM84" t="s">
        <v>1</v>
      </c>
      <c r="DN84" t="s">
        <v>1</v>
      </c>
      <c r="DO84" t="s">
        <v>1</v>
      </c>
      <c r="DP84" t="s">
        <v>1</v>
      </c>
      <c r="DQ84" t="s">
        <v>1</v>
      </c>
      <c r="DR84" t="s">
        <v>1</v>
      </c>
      <c r="DS84" t="s">
        <v>1</v>
      </c>
      <c r="DT84" t="s">
        <v>1</v>
      </c>
      <c r="DU84" t="s">
        <v>1</v>
      </c>
      <c r="DV84" s="2"/>
      <c r="DW84" t="s">
        <v>1</v>
      </c>
      <c r="DX84" t="s">
        <v>1</v>
      </c>
      <c r="DY84" t="s">
        <v>2289</v>
      </c>
      <c r="DZ84" t="s">
        <v>1</v>
      </c>
      <c r="EA84" t="s">
        <v>1</v>
      </c>
      <c r="EB84" t="s">
        <v>28</v>
      </c>
      <c r="EC84" t="s">
        <v>7</v>
      </c>
      <c r="ED84" t="s">
        <v>1</v>
      </c>
      <c r="EE84" t="s">
        <v>1</v>
      </c>
      <c r="EF84" t="s">
        <v>22</v>
      </c>
      <c r="EG84" t="s">
        <v>41</v>
      </c>
      <c r="EH84" t="s">
        <v>15</v>
      </c>
      <c r="EI84" t="s">
        <v>1</v>
      </c>
      <c r="EJ84" s="19">
        <v>-8420</v>
      </c>
      <c r="EK84" t="s">
        <v>1</v>
      </c>
      <c r="EL84" t="s">
        <v>1</v>
      </c>
      <c r="EM84" t="s">
        <v>1</v>
      </c>
      <c r="EN84" t="s">
        <v>1</v>
      </c>
      <c r="EO84" s="2"/>
      <c r="EP84" t="s">
        <v>2289</v>
      </c>
      <c r="EQ84" t="s">
        <v>1</v>
      </c>
      <c r="ER84" t="s">
        <v>1</v>
      </c>
      <c r="ES84" t="s">
        <v>1</v>
      </c>
      <c r="ET84" t="s">
        <v>29</v>
      </c>
      <c r="EU84" t="s">
        <v>1</v>
      </c>
      <c r="EV84" t="s">
        <v>1</v>
      </c>
      <c r="EW84" t="s">
        <v>7</v>
      </c>
      <c r="EX84" t="s">
        <v>7</v>
      </c>
      <c r="EY84" t="s">
        <v>1</v>
      </c>
      <c r="EZ84" t="s">
        <v>1</v>
      </c>
      <c r="FA84" t="s">
        <v>1</v>
      </c>
      <c r="FB84" s="3">
        <v>50</v>
      </c>
      <c r="FC84" t="s">
        <v>1</v>
      </c>
      <c r="FD84" t="s">
        <v>1</v>
      </c>
      <c r="FE84" t="s">
        <v>1</v>
      </c>
      <c r="FF84" t="s">
        <v>17</v>
      </c>
      <c r="FG84" t="s">
        <v>1</v>
      </c>
      <c r="FH84" t="s">
        <v>1</v>
      </c>
      <c r="FI84" t="s">
        <v>1</v>
      </c>
      <c r="FJ84" t="s">
        <v>1</v>
      </c>
      <c r="FK84" s="7">
        <v>46119.341932870368</v>
      </c>
      <c r="FL84" t="s">
        <v>1</v>
      </c>
      <c r="FM84" t="s">
        <v>1</v>
      </c>
      <c r="FN84" t="s">
        <v>1</v>
      </c>
      <c r="FO84" s="19">
        <v>-101040000</v>
      </c>
      <c r="FP84" s="4">
        <v>0</v>
      </c>
      <c r="FQ84" s="19">
        <v>-101040000</v>
      </c>
      <c r="FR84" s="4">
        <v>0</v>
      </c>
      <c r="FS84" s="4">
        <v>0</v>
      </c>
      <c r="FT84" s="4">
        <v>0</v>
      </c>
      <c r="FU84" s="2">
        <v>46119</v>
      </c>
      <c r="FV84" t="s">
        <v>1</v>
      </c>
      <c r="FW84" s="4">
        <v>0</v>
      </c>
      <c r="FX84" t="s">
        <v>1</v>
      </c>
      <c r="FY84" t="s">
        <v>1</v>
      </c>
      <c r="FZ84" s="4">
        <v>0</v>
      </c>
      <c r="GA84" s="4">
        <v>0</v>
      </c>
      <c r="GB84" t="s">
        <v>2070</v>
      </c>
      <c r="GC84" t="str">
        <f>RIGHT(Data_FAGLL03[[#This Row],[Payment reference]],8)</f>
        <v>91172608</v>
      </c>
      <c r="GD84" t="str">
        <f>IF(Data_FAGLL03[[#This Row],[Billing]]&lt;&gt;"",_xlfn.XLOOKUP(Data_FAGLL03[[#This Row],[Billing]],MD_BILLING_SO[BILIING],MD_BILLING_SO[SO-EDITED]),"")</f>
        <v>30030542</v>
      </c>
      <c r="GE84" s="18">
        <f>IF(SUBSTITUTE(Data_FAGLL03[[#This Row],[Eff.exchange rate]],",","")/100000=1,1,SUBSTITUTE(Data_FAGLL03[[#This Row],[Eff.exchange rate]],",","")/100)</f>
        <v>1</v>
      </c>
      <c r="GF84" s="17">
        <f>IF(Data_FAGLL03[[#This Row],[Material]]&lt;&gt;"",IFERROR(Data_FAGLL03[[#This Row],[Amount in local currency]]/Data_FAGLL03[[#This Row],[Quantity_Original]],0),0)</f>
        <v>12000</v>
      </c>
      <c r="GG84" s="18">
        <f>IF(Data_FAGLL03[[#This Row],[XK/NĐ]]="XK",Data_FAGLL03[[#This Row],[GB trung bình]]/Data_FAGLL03[[#This Row],[EXR]],0)*1000</f>
        <v>0</v>
      </c>
      <c r="GH84" s="18" cm="1">
        <f t="array" ref="GH84">IF(Data_FAGLL03[[#This Row],[Document currency]]&lt;&gt;"VND",Data_FAGLL03[[#This Row],[Amount in doc. curr.]],Data_FAGLL03[[#This Row],[Amount in local currency]]/EXR)</f>
        <v>-3848.8286347453154</v>
      </c>
      <c r="GI84" s="10">
        <f>Data_FAGLL03[[#This Row],[Time Stamp]]+TIME(7,0,0)</f>
        <v>46119.633599537032</v>
      </c>
      <c r="GJ84" s="18">
        <f>MONTH(Data_FAGLL03[[#This Row],[Time Stamp_VN]])</f>
        <v>4</v>
      </c>
      <c r="GK84">
        <f>DAY(Data_FAGLL03[[#This Row],[Time Stamp_VN]])</f>
        <v>7</v>
      </c>
      <c r="GL84" t="str">
        <f>TEXT(Data_FAGLL03[[#This Row],[Tháng]],"00")&amp;" | "&amp;TEXT(Data_FAGLL03[[#This Row],[Ngày]],"00")</f>
        <v>04 | 07</v>
      </c>
      <c r="GM84" s="18">
        <f>IF(Data_FAGLL03[[#This Row],[Text]]="",Data_FAGLL03[[#This Row],[Quantity_Original]],0)</f>
        <v>-8420</v>
      </c>
      <c r="GN84" s="18" t="str">
        <f>IF(Data_FAGLL03[[#This Row],[Quantity_Edited]]&lt;&gt;0,Data_FAGLL03[[#This Row],[Offsetting acct no.]]&amp;" | "&amp;Data_FAGLL03[[#This Row],[Material]],"")</f>
        <v>105405 | 160012801</v>
      </c>
      <c r="GO84" t="str">
        <f>IF(LEFT(Data_FAGLL03[[#This Row],[Offsetting acct no.]],1)="1","NĐ",IF(LEFT(Data_FAGLL03[[#This Row],[Offsetting acct no.]],1)="2","XK","Khác"))</f>
        <v>NĐ</v>
      </c>
      <c r="GP84" t="str">
        <f>IF(Data_FAGLL03[[#This Row],[Material]]&lt;&gt;"",_xlfn.XLOOKUP(Data_FAGLL03[[#This Row],[Material]],MD_SKU[Mã SKU],MD_SKU[Tên SKU]),"")</f>
        <v>Vảy PET GC Dây Đai</v>
      </c>
      <c r="GQ84" t="str">
        <f>IF(Data_FAGLL03[[#This Row],[Material]]&lt;&gt;"",_xlfn.XLOOKUP(Data_FAGLL03[[#This Row],[Material]],MD_SKU[Mã SKU],MD_SKU[Nhóm SP 1]),"")</f>
        <v>rPET</v>
      </c>
      <c r="GR84" t="str">
        <f>IF(Data_FAGLL03[[#This Row],[Material]]&lt;&gt;"",_xlfn.XLOOKUP(Data_FAGLL03[[#This Row],[Material]],MD_SKU[Mã SKU],MD_SKU[Nhóm SP 2]),"")</f>
        <v>rPET</v>
      </c>
      <c r="GS84" t="str">
        <f>IF(Data_FAGLL03[[#This Row],[Material]]&lt;&gt;"",_xlfn.XLOOKUP(Data_FAGLL03[[#This Row],[Material]],MD_SKU[Mã SKU],MD_SKU[Nhóm SP 3]),"")</f>
        <v>rPET</v>
      </c>
      <c r="GT84" t="str">
        <f>IF(Data_FAGLL03[[#This Row],[Material]]&lt;&gt;"",_xlfn.XLOOKUP(Data_FAGLL03[[#This Row],[Material]],MD_SKU[Mã SKU],MD_SKU[Nhóm SP 4]),"")</f>
        <v>Vảy rPET</v>
      </c>
    </row>
    <row r="85" spans="1:202" x14ac:dyDescent="0.25">
      <c r="A85" t="s">
        <v>0</v>
      </c>
      <c r="B85" s="2">
        <v>46119</v>
      </c>
      <c r="C85" t="s">
        <v>2290</v>
      </c>
      <c r="D85" t="s">
        <v>1</v>
      </c>
      <c r="E85" t="s">
        <v>1</v>
      </c>
      <c r="F85" t="s">
        <v>31</v>
      </c>
      <c r="G85" t="s">
        <v>31</v>
      </c>
      <c r="H85" t="s">
        <v>45</v>
      </c>
      <c r="I85" s="19">
        <v>-317383000</v>
      </c>
      <c r="J85" t="s">
        <v>46</v>
      </c>
      <c r="K85" t="s">
        <v>1</v>
      </c>
      <c r="L85" t="s">
        <v>39</v>
      </c>
      <c r="M85" t="s">
        <v>41</v>
      </c>
      <c r="N85" t="s">
        <v>254</v>
      </c>
      <c r="O85" t="s">
        <v>4</v>
      </c>
      <c r="P85" t="s">
        <v>2291</v>
      </c>
      <c r="Q85" t="s">
        <v>31</v>
      </c>
      <c r="R85" t="s">
        <v>5</v>
      </c>
      <c r="S85" t="s">
        <v>1</v>
      </c>
      <c r="T85" s="3">
        <v>-317383000</v>
      </c>
      <c r="U85" s="19">
        <v>-317383000</v>
      </c>
      <c r="V85" s="3">
        <v>-317383000</v>
      </c>
      <c r="W85" s="3">
        <v>-317383000</v>
      </c>
      <c r="X85" s="4">
        <v>0</v>
      </c>
      <c r="Y85" s="4">
        <v>0</v>
      </c>
      <c r="Z85" s="3">
        <v>0</v>
      </c>
      <c r="AA85" s="3">
        <v>0</v>
      </c>
      <c r="AB85" t="s">
        <v>1</v>
      </c>
      <c r="AC85" t="s">
        <v>24</v>
      </c>
      <c r="AD85" s="2"/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25</v>
      </c>
      <c r="AK85" s="4">
        <v>0</v>
      </c>
      <c r="AL85" t="s">
        <v>1</v>
      </c>
      <c r="AM85" s="5" t="s">
        <v>1</v>
      </c>
      <c r="AN85" t="s">
        <v>1</v>
      </c>
      <c r="AO85" s="2"/>
      <c r="AP85" t="s">
        <v>1</v>
      </c>
      <c r="AQ85" t="s">
        <v>1</v>
      </c>
      <c r="AR85" s="3">
        <v>0</v>
      </c>
      <c r="AS85" t="s">
        <v>1</v>
      </c>
      <c r="AT85" t="s">
        <v>7</v>
      </c>
      <c r="AU85" t="s">
        <v>1</v>
      </c>
      <c r="AV85" t="s">
        <v>1</v>
      </c>
      <c r="AW85" t="s">
        <v>8</v>
      </c>
      <c r="AX85" t="s">
        <v>8</v>
      </c>
      <c r="AY85" t="s">
        <v>1</v>
      </c>
      <c r="AZ85" s="4">
        <v>0</v>
      </c>
      <c r="BA85" t="s">
        <v>1</v>
      </c>
      <c r="BB85" s="3">
        <v>0</v>
      </c>
      <c r="BC85" s="3">
        <v>0</v>
      </c>
      <c r="BD85" s="3">
        <v>0</v>
      </c>
      <c r="BE85" t="s">
        <v>20</v>
      </c>
      <c r="BF85" t="s">
        <v>1</v>
      </c>
      <c r="BG85" s="4">
        <v>0</v>
      </c>
      <c r="BH85" s="4">
        <v>0</v>
      </c>
      <c r="BI85" s="6">
        <v>0</v>
      </c>
      <c r="BJ85" s="6">
        <v>0</v>
      </c>
      <c r="BK85" t="s">
        <v>1</v>
      </c>
      <c r="BL85" t="s">
        <v>1</v>
      </c>
      <c r="BM85" t="s">
        <v>1</v>
      </c>
      <c r="BN85" t="s">
        <v>9</v>
      </c>
      <c r="BO85" s="2">
        <v>46119</v>
      </c>
      <c r="BP85" t="s">
        <v>1</v>
      </c>
      <c r="BQ85" t="s">
        <v>2290</v>
      </c>
      <c r="BR85" t="s">
        <v>27</v>
      </c>
      <c r="BS85" t="s">
        <v>1</v>
      </c>
      <c r="BT85" t="s">
        <v>1</v>
      </c>
      <c r="BU85" t="s">
        <v>1</v>
      </c>
      <c r="BV85" t="s">
        <v>1</v>
      </c>
      <c r="BW85" t="s">
        <v>7</v>
      </c>
      <c r="BX85" t="s">
        <v>10</v>
      </c>
      <c r="BY85" s="2"/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254</v>
      </c>
      <c r="CJ85" s="3">
        <v>-317383000</v>
      </c>
      <c r="CK85" t="s">
        <v>9</v>
      </c>
      <c r="CL85" t="s">
        <v>11</v>
      </c>
      <c r="CM85" t="s">
        <v>1</v>
      </c>
      <c r="CN85" s="4">
        <v>0</v>
      </c>
      <c r="CO85" t="s">
        <v>7</v>
      </c>
      <c r="CP85" t="s">
        <v>7</v>
      </c>
      <c r="CQ85" t="s">
        <v>7</v>
      </c>
      <c r="CR85" t="s">
        <v>7</v>
      </c>
      <c r="CS85" s="4">
        <v>0</v>
      </c>
      <c r="CT85" t="s">
        <v>2290</v>
      </c>
      <c r="CU85" t="s">
        <v>7</v>
      </c>
      <c r="CV85" t="s">
        <v>1</v>
      </c>
      <c r="CW85" s="2"/>
      <c r="CX85" t="s">
        <v>12</v>
      </c>
      <c r="CY85" t="s">
        <v>1</v>
      </c>
      <c r="CZ85" t="s">
        <v>13</v>
      </c>
      <c r="DA85" t="s">
        <v>1</v>
      </c>
      <c r="DB85" t="s">
        <v>9</v>
      </c>
      <c r="DC85" t="s">
        <v>9</v>
      </c>
      <c r="DD85" t="s">
        <v>1</v>
      </c>
      <c r="DE85" t="s">
        <v>1</v>
      </c>
      <c r="DF85" t="s">
        <v>1</v>
      </c>
      <c r="DG85" t="s">
        <v>33</v>
      </c>
      <c r="DH85" t="s">
        <v>1</v>
      </c>
      <c r="DI85" s="2"/>
      <c r="DJ85" t="s">
        <v>1</v>
      </c>
      <c r="DK85" t="s">
        <v>14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s="2"/>
      <c r="DW85" t="s">
        <v>1</v>
      </c>
      <c r="DX85" t="s">
        <v>1</v>
      </c>
      <c r="DY85" t="s">
        <v>2292</v>
      </c>
      <c r="DZ85" t="s">
        <v>1</v>
      </c>
      <c r="EA85" t="s">
        <v>1</v>
      </c>
      <c r="EB85" t="s">
        <v>28</v>
      </c>
      <c r="EC85" t="s">
        <v>7</v>
      </c>
      <c r="ED85" t="s">
        <v>1</v>
      </c>
      <c r="EE85" t="s">
        <v>1</v>
      </c>
      <c r="EF85" t="s">
        <v>22</v>
      </c>
      <c r="EG85" t="s">
        <v>41</v>
      </c>
      <c r="EH85" t="s">
        <v>15</v>
      </c>
      <c r="EI85" t="s">
        <v>1</v>
      </c>
      <c r="EJ85" s="19">
        <v>-11000</v>
      </c>
      <c r="EK85" t="s">
        <v>1</v>
      </c>
      <c r="EL85" t="s">
        <v>1</v>
      </c>
      <c r="EM85" t="s">
        <v>1</v>
      </c>
      <c r="EN85" t="s">
        <v>1</v>
      </c>
      <c r="EO85" s="2"/>
      <c r="EP85" t="s">
        <v>2292</v>
      </c>
      <c r="EQ85" t="s">
        <v>1</v>
      </c>
      <c r="ER85" t="s">
        <v>1</v>
      </c>
      <c r="ES85" t="s">
        <v>1</v>
      </c>
      <c r="ET85" t="s">
        <v>29</v>
      </c>
      <c r="EU85" t="s">
        <v>1</v>
      </c>
      <c r="EV85" t="s">
        <v>1</v>
      </c>
      <c r="EW85" t="s">
        <v>7</v>
      </c>
      <c r="EX85" t="s">
        <v>7</v>
      </c>
      <c r="EY85" t="s">
        <v>1</v>
      </c>
      <c r="EZ85" t="s">
        <v>1</v>
      </c>
      <c r="FA85" t="s">
        <v>1</v>
      </c>
      <c r="FB85" s="3">
        <v>50</v>
      </c>
      <c r="FC85" t="s">
        <v>1</v>
      </c>
      <c r="FD85" t="s">
        <v>1</v>
      </c>
      <c r="FE85" t="s">
        <v>1</v>
      </c>
      <c r="FF85" t="s">
        <v>17</v>
      </c>
      <c r="FG85" t="s">
        <v>1</v>
      </c>
      <c r="FH85" t="s">
        <v>1</v>
      </c>
      <c r="FI85" t="s">
        <v>1</v>
      </c>
      <c r="FJ85" t="s">
        <v>1</v>
      </c>
      <c r="FK85" s="7">
        <v>46119.379236111112</v>
      </c>
      <c r="FL85" t="s">
        <v>1</v>
      </c>
      <c r="FM85" t="s">
        <v>1</v>
      </c>
      <c r="FN85" t="s">
        <v>1</v>
      </c>
      <c r="FO85" s="19">
        <v>-317383000</v>
      </c>
      <c r="FP85" s="4">
        <v>0</v>
      </c>
      <c r="FQ85" s="19">
        <v>-317383000</v>
      </c>
      <c r="FR85" s="4">
        <v>0</v>
      </c>
      <c r="FS85" s="4">
        <v>0</v>
      </c>
      <c r="FT85" s="4">
        <v>0</v>
      </c>
      <c r="FU85" s="2">
        <v>46119</v>
      </c>
      <c r="FV85" t="s">
        <v>1</v>
      </c>
      <c r="FW85" s="4">
        <v>0</v>
      </c>
      <c r="FX85" t="s">
        <v>1</v>
      </c>
      <c r="FY85" t="s">
        <v>1</v>
      </c>
      <c r="FZ85" s="4">
        <v>0</v>
      </c>
      <c r="GA85" s="4">
        <v>0</v>
      </c>
      <c r="GB85" t="s">
        <v>2070</v>
      </c>
      <c r="GC85" t="str">
        <f>RIGHT(Data_FAGLL03[[#This Row],[Payment reference]],8)</f>
        <v>91172609</v>
      </c>
      <c r="GD85" t="str">
        <f>IF(Data_FAGLL03[[#This Row],[Billing]]&lt;&gt;"",_xlfn.XLOOKUP(Data_FAGLL03[[#This Row],[Billing]],MD_BILLING_SO[BILIING],MD_BILLING_SO[SO-EDITED]),"")</f>
        <v>30030649</v>
      </c>
      <c r="GE85" s="18">
        <f>IF(SUBSTITUTE(Data_FAGLL03[[#This Row],[Eff.exchange rate]],",","")/100000=1,1,SUBSTITUTE(Data_FAGLL03[[#This Row],[Eff.exchange rate]],",","")/100)</f>
        <v>1</v>
      </c>
      <c r="GF85" s="17">
        <f>IF(Data_FAGLL03[[#This Row],[Material]]&lt;&gt;"",IFERROR(Data_FAGLL03[[#This Row],[Amount in local currency]]/Data_FAGLL03[[#This Row],[Quantity_Original]],0),0)</f>
        <v>28853</v>
      </c>
      <c r="GG85" s="18">
        <f>IF(Data_FAGLL03[[#This Row],[XK/NĐ]]="XK",Data_FAGLL03[[#This Row],[GB trung bình]]/Data_FAGLL03[[#This Row],[EXR]],0)*1000</f>
        <v>0</v>
      </c>
      <c r="GH85" s="18" cm="1">
        <f t="array" ref="GH85">IF(Data_FAGLL03[[#This Row],[Document currency]]&lt;&gt;"VND",Data_FAGLL03[[#This Row],[Amount in doc. curr.]],Data_FAGLL03[[#This Row],[Amount in local currency]]/EXR)</f>
        <v>-12089.793928952617</v>
      </c>
      <c r="GI85" s="10">
        <f>Data_FAGLL03[[#This Row],[Time Stamp]]+TIME(7,0,0)</f>
        <v>46119.670902777776</v>
      </c>
      <c r="GJ85" s="18">
        <f>MONTH(Data_FAGLL03[[#This Row],[Time Stamp_VN]])</f>
        <v>4</v>
      </c>
      <c r="GK85">
        <f>DAY(Data_FAGLL03[[#This Row],[Time Stamp_VN]])</f>
        <v>7</v>
      </c>
      <c r="GL85" t="str">
        <f>TEXT(Data_FAGLL03[[#This Row],[Tháng]],"00")&amp;" | "&amp;TEXT(Data_FAGLL03[[#This Row],[Ngày]],"00")</f>
        <v>04 | 07</v>
      </c>
      <c r="GM85" s="18">
        <f>IF(Data_FAGLL03[[#This Row],[Text]]="",Data_FAGLL03[[#This Row],[Quantity_Original]],0)</f>
        <v>-11000</v>
      </c>
      <c r="GN85" s="18" t="str">
        <f>IF(Data_FAGLL03[[#This Row],[Quantity_Edited]]&lt;&gt;0,Data_FAGLL03[[#This Row],[Offsetting acct no.]]&amp;" | "&amp;Data_FAGLL03[[#This Row],[Material]],"")</f>
        <v>105281 | 110000354</v>
      </c>
      <c r="GO85" t="str">
        <f>IF(LEFT(Data_FAGLL03[[#This Row],[Offsetting acct no.]],1)="1","NĐ",IF(LEFT(Data_FAGLL03[[#This Row],[Offsetting acct no.]],1)="2","XK","Khác"))</f>
        <v>NĐ</v>
      </c>
      <c r="GP85" t="str">
        <f>IF(Data_FAGLL03[[#This Row],[Material]]&lt;&gt;"",_xlfn.XLOOKUP(Data_FAGLL03[[#This Row],[Material]],MD_SKU[Mã SKU],MD_SKU[Tên SKU]),"")</f>
        <v>Hạt nhựa rPET WSS01G 1</v>
      </c>
      <c r="GQ85" t="str">
        <f>IF(Data_FAGLL03[[#This Row],[Material]]&lt;&gt;"",_xlfn.XLOOKUP(Data_FAGLL03[[#This Row],[Material]],MD_SKU[Mã SKU],MD_SKU[Nhóm SP 1]),"")</f>
        <v>rPET</v>
      </c>
      <c r="GR85" t="str">
        <f>IF(Data_FAGLL03[[#This Row],[Material]]&lt;&gt;"",_xlfn.XLOOKUP(Data_FAGLL03[[#This Row],[Material]],MD_SKU[Mã SKU],MD_SKU[Nhóm SP 2]),"")</f>
        <v>rPET</v>
      </c>
      <c r="GS85" t="str">
        <f>IF(Data_FAGLL03[[#This Row],[Material]]&lt;&gt;"",_xlfn.XLOOKUP(Data_FAGLL03[[#This Row],[Material]],MD_SKU[Mã SKU],MD_SKU[Nhóm SP 3]),"")</f>
        <v>rPET</v>
      </c>
      <c r="GT85" t="str">
        <f>IF(Data_FAGLL03[[#This Row],[Material]]&lt;&gt;"",_xlfn.XLOOKUP(Data_FAGLL03[[#This Row],[Material]],MD_SKU[Mã SKU],MD_SKU[Nhóm SP 4]),"")</f>
        <v>Hạt rPET</v>
      </c>
    </row>
    <row r="86" spans="1:202" x14ac:dyDescent="0.25">
      <c r="A86" t="s">
        <v>0</v>
      </c>
      <c r="B86" s="2">
        <v>46119</v>
      </c>
      <c r="C86" t="s">
        <v>2293</v>
      </c>
      <c r="D86" t="s">
        <v>1</v>
      </c>
      <c r="E86" t="s">
        <v>1</v>
      </c>
      <c r="F86" t="s">
        <v>31</v>
      </c>
      <c r="G86" t="s">
        <v>31</v>
      </c>
      <c r="H86" t="s">
        <v>2032</v>
      </c>
      <c r="I86" s="19">
        <v>-263150000</v>
      </c>
      <c r="J86" t="s">
        <v>2033</v>
      </c>
      <c r="K86" t="s">
        <v>1</v>
      </c>
      <c r="L86" t="s">
        <v>39</v>
      </c>
      <c r="M86" t="s">
        <v>41</v>
      </c>
      <c r="N86" t="s">
        <v>254</v>
      </c>
      <c r="O86" t="s">
        <v>4</v>
      </c>
      <c r="P86" t="s">
        <v>2294</v>
      </c>
      <c r="Q86" t="s">
        <v>31</v>
      </c>
      <c r="R86" t="s">
        <v>5</v>
      </c>
      <c r="S86" t="s">
        <v>1</v>
      </c>
      <c r="T86" s="3">
        <v>-263150000</v>
      </c>
      <c r="U86" s="19">
        <v>-263150000</v>
      </c>
      <c r="V86" s="3">
        <v>-263150000</v>
      </c>
      <c r="W86" s="3">
        <v>-263150000</v>
      </c>
      <c r="X86" s="4">
        <v>0</v>
      </c>
      <c r="Y86" s="4">
        <v>0</v>
      </c>
      <c r="Z86" s="3">
        <v>0</v>
      </c>
      <c r="AA86" s="3">
        <v>0</v>
      </c>
      <c r="AB86" t="s">
        <v>1</v>
      </c>
      <c r="AC86" t="s">
        <v>24</v>
      </c>
      <c r="AD86" s="2"/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25</v>
      </c>
      <c r="AK86" s="4">
        <v>0</v>
      </c>
      <c r="AL86" t="s">
        <v>1</v>
      </c>
      <c r="AM86" s="5" t="s">
        <v>1</v>
      </c>
      <c r="AN86" t="s">
        <v>1</v>
      </c>
      <c r="AO86" s="2"/>
      <c r="AP86" t="s">
        <v>1</v>
      </c>
      <c r="AQ86" t="s">
        <v>1</v>
      </c>
      <c r="AR86" s="3">
        <v>0</v>
      </c>
      <c r="AS86" t="s">
        <v>1</v>
      </c>
      <c r="AT86" t="s">
        <v>7</v>
      </c>
      <c r="AU86" t="s">
        <v>1</v>
      </c>
      <c r="AV86" t="s">
        <v>1</v>
      </c>
      <c r="AW86" t="s">
        <v>8</v>
      </c>
      <c r="AX86" t="s">
        <v>8</v>
      </c>
      <c r="AY86" t="s">
        <v>1</v>
      </c>
      <c r="AZ86" s="4">
        <v>0</v>
      </c>
      <c r="BA86" t="s">
        <v>1</v>
      </c>
      <c r="BB86" s="3">
        <v>0</v>
      </c>
      <c r="BC86" s="3">
        <v>0</v>
      </c>
      <c r="BD86" s="3">
        <v>0</v>
      </c>
      <c r="BE86" t="s">
        <v>20</v>
      </c>
      <c r="BF86" t="s">
        <v>1</v>
      </c>
      <c r="BG86" s="4">
        <v>0</v>
      </c>
      <c r="BH86" s="4">
        <v>0</v>
      </c>
      <c r="BI86" s="6">
        <v>0</v>
      </c>
      <c r="BJ86" s="6">
        <v>0</v>
      </c>
      <c r="BK86" t="s">
        <v>1</v>
      </c>
      <c r="BL86" t="s">
        <v>1</v>
      </c>
      <c r="BM86" t="s">
        <v>1</v>
      </c>
      <c r="BN86" t="s">
        <v>9</v>
      </c>
      <c r="BO86" s="2">
        <v>46119</v>
      </c>
      <c r="BP86" t="s">
        <v>1</v>
      </c>
      <c r="BQ86" t="s">
        <v>2293</v>
      </c>
      <c r="BR86" t="s">
        <v>27</v>
      </c>
      <c r="BS86" t="s">
        <v>1</v>
      </c>
      <c r="BT86" t="s">
        <v>1</v>
      </c>
      <c r="BU86" t="s">
        <v>1</v>
      </c>
      <c r="BV86" t="s">
        <v>1</v>
      </c>
      <c r="BW86" t="s">
        <v>7</v>
      </c>
      <c r="BX86" t="s">
        <v>10</v>
      </c>
      <c r="BY86" s="2"/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254</v>
      </c>
      <c r="CJ86" s="3">
        <v>-263150000</v>
      </c>
      <c r="CK86" t="s">
        <v>9</v>
      </c>
      <c r="CL86" t="s">
        <v>11</v>
      </c>
      <c r="CM86" t="s">
        <v>1</v>
      </c>
      <c r="CN86" s="4">
        <v>0</v>
      </c>
      <c r="CO86" t="s">
        <v>7</v>
      </c>
      <c r="CP86" t="s">
        <v>7</v>
      </c>
      <c r="CQ86" t="s">
        <v>7</v>
      </c>
      <c r="CR86" t="s">
        <v>7</v>
      </c>
      <c r="CS86" s="4">
        <v>0</v>
      </c>
      <c r="CT86" t="s">
        <v>2293</v>
      </c>
      <c r="CU86" t="s">
        <v>7</v>
      </c>
      <c r="CV86" t="s">
        <v>1</v>
      </c>
      <c r="CW86" s="2"/>
      <c r="CX86" t="s">
        <v>12</v>
      </c>
      <c r="CY86" t="s">
        <v>1</v>
      </c>
      <c r="CZ86" t="s">
        <v>13</v>
      </c>
      <c r="DA86" t="s">
        <v>1</v>
      </c>
      <c r="DB86" t="s">
        <v>9</v>
      </c>
      <c r="DC86" t="s">
        <v>9</v>
      </c>
      <c r="DD86" t="s">
        <v>1</v>
      </c>
      <c r="DE86" t="s">
        <v>1</v>
      </c>
      <c r="DF86" t="s">
        <v>1</v>
      </c>
      <c r="DG86" t="s">
        <v>700</v>
      </c>
      <c r="DH86" t="s">
        <v>1</v>
      </c>
      <c r="DI86" s="2"/>
      <c r="DJ86" t="s">
        <v>1</v>
      </c>
      <c r="DK86" t="s">
        <v>14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s="2"/>
      <c r="DW86" t="s">
        <v>1</v>
      </c>
      <c r="DX86" t="s">
        <v>1</v>
      </c>
      <c r="DY86" t="s">
        <v>2295</v>
      </c>
      <c r="DZ86" t="s">
        <v>1</v>
      </c>
      <c r="EA86" t="s">
        <v>1</v>
      </c>
      <c r="EB86" t="s">
        <v>28</v>
      </c>
      <c r="EC86" t="s">
        <v>7</v>
      </c>
      <c r="ED86" t="s">
        <v>1</v>
      </c>
      <c r="EE86" t="s">
        <v>1</v>
      </c>
      <c r="EF86" t="s">
        <v>22</v>
      </c>
      <c r="EG86" t="s">
        <v>41</v>
      </c>
      <c r="EH86" t="s">
        <v>15</v>
      </c>
      <c r="EI86" t="s">
        <v>1</v>
      </c>
      <c r="EJ86" s="19">
        <v>-13850</v>
      </c>
      <c r="EK86" t="s">
        <v>1</v>
      </c>
      <c r="EL86" t="s">
        <v>1</v>
      </c>
      <c r="EM86" t="s">
        <v>1</v>
      </c>
      <c r="EN86" t="s">
        <v>1</v>
      </c>
      <c r="EO86" s="2"/>
      <c r="EP86" t="s">
        <v>2295</v>
      </c>
      <c r="EQ86" t="s">
        <v>1</v>
      </c>
      <c r="ER86" t="s">
        <v>1</v>
      </c>
      <c r="ES86" t="s">
        <v>1</v>
      </c>
      <c r="ET86" t="s">
        <v>29</v>
      </c>
      <c r="EU86" t="s">
        <v>1</v>
      </c>
      <c r="EV86" t="s">
        <v>1</v>
      </c>
      <c r="EW86" t="s">
        <v>7</v>
      </c>
      <c r="EX86" t="s">
        <v>7</v>
      </c>
      <c r="EY86" t="s">
        <v>1</v>
      </c>
      <c r="EZ86" t="s">
        <v>1</v>
      </c>
      <c r="FA86" t="s">
        <v>1</v>
      </c>
      <c r="FB86" s="3">
        <v>50</v>
      </c>
      <c r="FC86" t="s">
        <v>1</v>
      </c>
      <c r="FD86" t="s">
        <v>1</v>
      </c>
      <c r="FE86" t="s">
        <v>1</v>
      </c>
      <c r="FF86" t="s">
        <v>17</v>
      </c>
      <c r="FG86" t="s">
        <v>1</v>
      </c>
      <c r="FH86" t="s">
        <v>1</v>
      </c>
      <c r="FI86" t="s">
        <v>1</v>
      </c>
      <c r="FJ86" t="s">
        <v>1</v>
      </c>
      <c r="FK86" s="7">
        <v>46119.37945601852</v>
      </c>
      <c r="FL86" t="s">
        <v>1</v>
      </c>
      <c r="FM86" t="s">
        <v>1</v>
      </c>
      <c r="FN86" t="s">
        <v>1</v>
      </c>
      <c r="FO86" s="19">
        <v>-263150000</v>
      </c>
      <c r="FP86" s="4">
        <v>0</v>
      </c>
      <c r="FQ86" s="19">
        <v>-263150000</v>
      </c>
      <c r="FR86" s="4">
        <v>0</v>
      </c>
      <c r="FS86" s="4">
        <v>0</v>
      </c>
      <c r="FT86" s="4">
        <v>0</v>
      </c>
      <c r="FU86" s="2">
        <v>46119</v>
      </c>
      <c r="FV86" t="s">
        <v>1</v>
      </c>
      <c r="FW86" s="4">
        <v>0</v>
      </c>
      <c r="FX86" t="s">
        <v>1</v>
      </c>
      <c r="FY86" t="s">
        <v>1</v>
      </c>
      <c r="FZ86" s="4">
        <v>0</v>
      </c>
      <c r="GA86" s="4">
        <v>0</v>
      </c>
      <c r="GB86" t="s">
        <v>2070</v>
      </c>
      <c r="GC86" t="str">
        <f>RIGHT(Data_FAGLL03[[#This Row],[Payment reference]],8)</f>
        <v>91172610</v>
      </c>
      <c r="GD86" t="str">
        <f>IF(Data_FAGLL03[[#This Row],[Billing]]&lt;&gt;"",_xlfn.XLOOKUP(Data_FAGLL03[[#This Row],[Billing]],MD_BILLING_SO[BILIING],MD_BILLING_SO[SO-EDITED]),"")</f>
        <v>30030646</v>
      </c>
      <c r="GE86" s="18">
        <f>IF(SUBSTITUTE(Data_FAGLL03[[#This Row],[Eff.exchange rate]],",","")/100000=1,1,SUBSTITUTE(Data_FAGLL03[[#This Row],[Eff.exchange rate]],",","")/100)</f>
        <v>1</v>
      </c>
      <c r="GF86" s="17">
        <f>IF(Data_FAGLL03[[#This Row],[Material]]&lt;&gt;"",IFERROR(Data_FAGLL03[[#This Row],[Amount in local currency]]/Data_FAGLL03[[#This Row],[Quantity_Original]],0),0)</f>
        <v>19000</v>
      </c>
      <c r="GG86" s="18">
        <f>IF(Data_FAGLL03[[#This Row],[XK/NĐ]]="XK",Data_FAGLL03[[#This Row],[GB trung bình]]/Data_FAGLL03[[#This Row],[EXR]],0)*1000</f>
        <v>0</v>
      </c>
      <c r="GH86" s="18" cm="1">
        <f t="array" ref="GH86">IF(Data_FAGLL03[[#This Row],[Document currency]]&lt;&gt;"VND",Data_FAGLL03[[#This Row],[Amount in doc. curr.]],Data_FAGLL03[[#This Row],[Amount in local currency]]/EXR)</f>
        <v>-10023.943539521277</v>
      </c>
      <c r="GI86" s="10">
        <f>Data_FAGLL03[[#This Row],[Time Stamp]]+TIME(7,0,0)</f>
        <v>46119.671122685184</v>
      </c>
      <c r="GJ86" s="18">
        <f>MONTH(Data_FAGLL03[[#This Row],[Time Stamp_VN]])</f>
        <v>4</v>
      </c>
      <c r="GK86">
        <f>DAY(Data_FAGLL03[[#This Row],[Time Stamp_VN]])</f>
        <v>7</v>
      </c>
      <c r="GL86" t="str">
        <f>TEXT(Data_FAGLL03[[#This Row],[Tháng]],"00")&amp;" | "&amp;TEXT(Data_FAGLL03[[#This Row],[Ngày]],"00")</f>
        <v>04 | 07</v>
      </c>
      <c r="GM86" s="18">
        <f>IF(Data_FAGLL03[[#This Row],[Text]]="",Data_FAGLL03[[#This Row],[Quantity_Original]],0)</f>
        <v>-13850</v>
      </c>
      <c r="GN86" s="18" t="str">
        <f>IF(Data_FAGLL03[[#This Row],[Quantity_Edited]]&lt;&gt;0,Data_FAGLL03[[#This Row],[Offsetting acct no.]]&amp;" | "&amp;Data_FAGLL03[[#This Row],[Material]],"")</f>
        <v>105323 | 110000436</v>
      </c>
      <c r="GO86" t="str">
        <f>IF(LEFT(Data_FAGLL03[[#This Row],[Offsetting acct no.]],1)="1","NĐ",IF(LEFT(Data_FAGLL03[[#This Row],[Offsetting acct no.]],1)="2","XK","Khác"))</f>
        <v>NĐ</v>
      </c>
      <c r="GP86" t="str">
        <f>IF(Data_FAGLL03[[#This Row],[Material]]&lt;&gt;"",_xlfn.XLOOKUP(Data_FAGLL03[[#This Row],[Material]],MD_SKU[Mã SKU],MD_SKU[Tên SKU]),"")</f>
        <v>Hạt nhựa rPET WSS05SB</v>
      </c>
      <c r="GQ86" t="str">
        <f>IF(Data_FAGLL03[[#This Row],[Material]]&lt;&gt;"",_xlfn.XLOOKUP(Data_FAGLL03[[#This Row],[Material]],MD_SKU[Mã SKU],MD_SKU[Nhóm SP 1]),"")</f>
        <v>Xơ sợi</v>
      </c>
      <c r="GR86" t="str">
        <f>IF(Data_FAGLL03[[#This Row],[Material]]&lt;&gt;"",_xlfn.XLOOKUP(Data_FAGLL03[[#This Row],[Material]],MD_SKU[Mã SKU],MD_SKU[Nhóm SP 2]),"")</f>
        <v>Xơ sợi</v>
      </c>
      <c r="GS86" t="str">
        <f>IF(Data_FAGLL03[[#This Row],[Material]]&lt;&gt;"",_xlfn.XLOOKUP(Data_FAGLL03[[#This Row],[Material]],MD_SKU[Mã SKU],MD_SKU[Nhóm SP 3]),"")</f>
        <v>Xơ sợi</v>
      </c>
      <c r="GT86" t="str">
        <f>IF(Data_FAGLL03[[#This Row],[Material]]&lt;&gt;"",_xlfn.XLOOKUP(Data_FAGLL03[[#This Row],[Material]],MD_SKU[Mã SKU],MD_SKU[Nhóm SP 4]),"")</f>
        <v>Hạt Xơ sợi</v>
      </c>
    </row>
    <row r="87" spans="1:202" x14ac:dyDescent="0.25">
      <c r="A87" t="s">
        <v>0</v>
      </c>
      <c r="B87" s="2">
        <v>46119</v>
      </c>
      <c r="C87" t="s">
        <v>2296</v>
      </c>
      <c r="D87" t="s">
        <v>1</v>
      </c>
      <c r="E87" t="s">
        <v>1</v>
      </c>
      <c r="F87" t="s">
        <v>31</v>
      </c>
      <c r="G87" t="s">
        <v>31</v>
      </c>
      <c r="H87" t="s">
        <v>34</v>
      </c>
      <c r="I87" s="19">
        <v>-389059000</v>
      </c>
      <c r="J87" t="s">
        <v>35</v>
      </c>
      <c r="K87" t="s">
        <v>1</v>
      </c>
      <c r="L87" t="s">
        <v>39</v>
      </c>
      <c r="M87" t="s">
        <v>41</v>
      </c>
      <c r="N87" t="s">
        <v>254</v>
      </c>
      <c r="O87" t="s">
        <v>4</v>
      </c>
      <c r="P87" t="s">
        <v>2297</v>
      </c>
      <c r="Q87" t="s">
        <v>31</v>
      </c>
      <c r="R87" t="s">
        <v>5</v>
      </c>
      <c r="S87" t="s">
        <v>1</v>
      </c>
      <c r="T87" s="3">
        <v>-389059000</v>
      </c>
      <c r="U87" s="19">
        <v>-389059000</v>
      </c>
      <c r="V87" s="3">
        <v>-389059000</v>
      </c>
      <c r="W87" s="3">
        <v>-389059000</v>
      </c>
      <c r="X87" s="4">
        <v>0</v>
      </c>
      <c r="Y87" s="4">
        <v>0</v>
      </c>
      <c r="Z87" s="3">
        <v>0</v>
      </c>
      <c r="AA87" s="3">
        <v>0</v>
      </c>
      <c r="AB87" t="s">
        <v>1</v>
      </c>
      <c r="AC87" t="s">
        <v>24</v>
      </c>
      <c r="AD87" s="2"/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25</v>
      </c>
      <c r="AK87" s="4">
        <v>0</v>
      </c>
      <c r="AL87" t="s">
        <v>1</v>
      </c>
      <c r="AM87" s="5" t="s">
        <v>1</v>
      </c>
      <c r="AN87" t="s">
        <v>1</v>
      </c>
      <c r="AO87" s="2"/>
      <c r="AP87" t="s">
        <v>1</v>
      </c>
      <c r="AQ87" t="s">
        <v>1</v>
      </c>
      <c r="AR87" s="3">
        <v>0</v>
      </c>
      <c r="AS87" t="s">
        <v>1</v>
      </c>
      <c r="AT87" t="s">
        <v>7</v>
      </c>
      <c r="AU87" t="s">
        <v>1</v>
      </c>
      <c r="AV87" t="s">
        <v>1</v>
      </c>
      <c r="AW87" t="s">
        <v>8</v>
      </c>
      <c r="AX87" t="s">
        <v>8</v>
      </c>
      <c r="AY87" t="s">
        <v>1</v>
      </c>
      <c r="AZ87" s="4">
        <v>0</v>
      </c>
      <c r="BA87" t="s">
        <v>1</v>
      </c>
      <c r="BB87" s="3">
        <v>0</v>
      </c>
      <c r="BC87" s="3">
        <v>0</v>
      </c>
      <c r="BD87" s="3">
        <v>0</v>
      </c>
      <c r="BE87" t="s">
        <v>20</v>
      </c>
      <c r="BF87" t="s">
        <v>1</v>
      </c>
      <c r="BG87" s="4">
        <v>0</v>
      </c>
      <c r="BH87" s="4">
        <v>0</v>
      </c>
      <c r="BI87" s="6">
        <v>0</v>
      </c>
      <c r="BJ87" s="6">
        <v>0</v>
      </c>
      <c r="BK87" t="s">
        <v>1</v>
      </c>
      <c r="BL87" t="s">
        <v>1</v>
      </c>
      <c r="BM87" t="s">
        <v>1</v>
      </c>
      <c r="BN87" t="s">
        <v>9</v>
      </c>
      <c r="BO87" s="2">
        <v>46119</v>
      </c>
      <c r="BP87" t="s">
        <v>1</v>
      </c>
      <c r="BQ87" t="s">
        <v>2296</v>
      </c>
      <c r="BR87" t="s">
        <v>27</v>
      </c>
      <c r="BS87" t="s">
        <v>1</v>
      </c>
      <c r="BT87" t="s">
        <v>1</v>
      </c>
      <c r="BU87" t="s">
        <v>1</v>
      </c>
      <c r="BV87" t="s">
        <v>1</v>
      </c>
      <c r="BW87" t="s">
        <v>7</v>
      </c>
      <c r="BX87" t="s">
        <v>10</v>
      </c>
      <c r="BY87" s="2"/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254</v>
      </c>
      <c r="CJ87" s="3">
        <v>-389059000</v>
      </c>
      <c r="CK87" t="s">
        <v>9</v>
      </c>
      <c r="CL87" t="s">
        <v>11</v>
      </c>
      <c r="CM87" t="s">
        <v>1</v>
      </c>
      <c r="CN87" s="4">
        <v>0</v>
      </c>
      <c r="CO87" t="s">
        <v>7</v>
      </c>
      <c r="CP87" t="s">
        <v>7</v>
      </c>
      <c r="CQ87" t="s">
        <v>7</v>
      </c>
      <c r="CR87" t="s">
        <v>7</v>
      </c>
      <c r="CS87" s="4">
        <v>0</v>
      </c>
      <c r="CT87" t="s">
        <v>2296</v>
      </c>
      <c r="CU87" t="s">
        <v>7</v>
      </c>
      <c r="CV87" t="s">
        <v>1</v>
      </c>
      <c r="CW87" s="2"/>
      <c r="CX87" t="s">
        <v>12</v>
      </c>
      <c r="CY87" t="s">
        <v>1</v>
      </c>
      <c r="CZ87" t="s">
        <v>13</v>
      </c>
      <c r="DA87" t="s">
        <v>1</v>
      </c>
      <c r="DB87" t="s">
        <v>9</v>
      </c>
      <c r="DC87" t="s">
        <v>9</v>
      </c>
      <c r="DD87" t="s">
        <v>1</v>
      </c>
      <c r="DE87" t="s">
        <v>1</v>
      </c>
      <c r="DF87" t="s">
        <v>1</v>
      </c>
      <c r="DG87" t="s">
        <v>38</v>
      </c>
      <c r="DH87" t="s">
        <v>1</v>
      </c>
      <c r="DI87" s="2"/>
      <c r="DJ87" t="s">
        <v>1</v>
      </c>
      <c r="DK87" t="s">
        <v>14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s="2"/>
      <c r="DW87" t="s">
        <v>1</v>
      </c>
      <c r="DX87" t="s">
        <v>1</v>
      </c>
      <c r="DY87" t="s">
        <v>2298</v>
      </c>
      <c r="DZ87" t="s">
        <v>1</v>
      </c>
      <c r="EA87" t="s">
        <v>1</v>
      </c>
      <c r="EB87" t="s">
        <v>28</v>
      </c>
      <c r="EC87" t="s">
        <v>7</v>
      </c>
      <c r="ED87" t="s">
        <v>1</v>
      </c>
      <c r="EE87" t="s">
        <v>1</v>
      </c>
      <c r="EF87" t="s">
        <v>22</v>
      </c>
      <c r="EG87" t="s">
        <v>41</v>
      </c>
      <c r="EH87" t="s">
        <v>15</v>
      </c>
      <c r="EI87" t="s">
        <v>1</v>
      </c>
      <c r="EJ87" s="19">
        <v>-11000</v>
      </c>
      <c r="EK87" t="s">
        <v>1</v>
      </c>
      <c r="EL87" t="s">
        <v>1</v>
      </c>
      <c r="EM87" t="s">
        <v>1</v>
      </c>
      <c r="EN87" t="s">
        <v>1</v>
      </c>
      <c r="EO87" s="2"/>
      <c r="EP87" t="s">
        <v>2298</v>
      </c>
      <c r="EQ87" t="s">
        <v>1</v>
      </c>
      <c r="ER87" t="s">
        <v>1</v>
      </c>
      <c r="ES87" t="s">
        <v>1</v>
      </c>
      <c r="ET87" t="s">
        <v>29</v>
      </c>
      <c r="EU87" t="s">
        <v>1</v>
      </c>
      <c r="EV87" t="s">
        <v>1</v>
      </c>
      <c r="EW87" t="s">
        <v>7</v>
      </c>
      <c r="EX87" t="s">
        <v>7</v>
      </c>
      <c r="EY87" t="s">
        <v>1</v>
      </c>
      <c r="EZ87" t="s">
        <v>1</v>
      </c>
      <c r="FA87" t="s">
        <v>1</v>
      </c>
      <c r="FB87" s="3">
        <v>50</v>
      </c>
      <c r="FC87" t="s">
        <v>1</v>
      </c>
      <c r="FD87" t="s">
        <v>1</v>
      </c>
      <c r="FE87" t="s">
        <v>1</v>
      </c>
      <c r="FF87" t="s">
        <v>17</v>
      </c>
      <c r="FG87" t="s">
        <v>1</v>
      </c>
      <c r="FH87" t="s">
        <v>1</v>
      </c>
      <c r="FI87" t="s">
        <v>1</v>
      </c>
      <c r="FJ87" t="s">
        <v>1</v>
      </c>
      <c r="FK87" s="7">
        <v>46119.379513888889</v>
      </c>
      <c r="FL87" t="s">
        <v>1</v>
      </c>
      <c r="FM87" t="s">
        <v>1</v>
      </c>
      <c r="FN87" t="s">
        <v>1</v>
      </c>
      <c r="FO87" s="19">
        <v>-389059000</v>
      </c>
      <c r="FP87" s="4">
        <v>0</v>
      </c>
      <c r="FQ87" s="19">
        <v>-389059000</v>
      </c>
      <c r="FR87" s="4">
        <v>0</v>
      </c>
      <c r="FS87" s="4">
        <v>0</v>
      </c>
      <c r="FT87" s="4">
        <v>0</v>
      </c>
      <c r="FU87" s="2">
        <v>46119</v>
      </c>
      <c r="FV87" t="s">
        <v>1</v>
      </c>
      <c r="FW87" s="4">
        <v>0</v>
      </c>
      <c r="FX87" t="s">
        <v>1</v>
      </c>
      <c r="FY87" t="s">
        <v>1</v>
      </c>
      <c r="FZ87" s="4">
        <v>0</v>
      </c>
      <c r="GA87" s="4">
        <v>0</v>
      </c>
      <c r="GB87" t="s">
        <v>2070</v>
      </c>
      <c r="GC87" t="str">
        <f>RIGHT(Data_FAGLL03[[#This Row],[Payment reference]],8)</f>
        <v>91172611</v>
      </c>
      <c r="GD87" t="str">
        <f>IF(Data_FAGLL03[[#This Row],[Billing]]&lt;&gt;"",_xlfn.XLOOKUP(Data_FAGLL03[[#This Row],[Billing]],MD_BILLING_SO[BILIING],MD_BILLING_SO[SO-EDITED]),"")</f>
        <v>30030578</v>
      </c>
      <c r="GE87" s="18">
        <f>IF(SUBSTITUTE(Data_FAGLL03[[#This Row],[Eff.exchange rate]],",","")/100000=1,1,SUBSTITUTE(Data_FAGLL03[[#This Row],[Eff.exchange rate]],",","")/100)</f>
        <v>1</v>
      </c>
      <c r="GF87" s="17">
        <f>IF(Data_FAGLL03[[#This Row],[Material]]&lt;&gt;"",IFERROR(Data_FAGLL03[[#This Row],[Amount in local currency]]/Data_FAGLL03[[#This Row],[Quantity_Original]],0),0)</f>
        <v>35369</v>
      </c>
      <c r="GG87" s="18">
        <f>IF(Data_FAGLL03[[#This Row],[XK/NĐ]]="XK",Data_FAGLL03[[#This Row],[GB trung bình]]/Data_FAGLL03[[#This Row],[EXR]],0)*1000</f>
        <v>0</v>
      </c>
      <c r="GH87" s="18" cm="1">
        <f t="array" ref="GH87">IF(Data_FAGLL03[[#This Row],[Document currency]]&lt;&gt;"VND",Data_FAGLL03[[#This Row],[Amount in doc. curr.]],Data_FAGLL03[[#This Row],[Amount in local currency]]/EXR)</f>
        <v>-14820.085310821236</v>
      </c>
      <c r="GI87" s="10">
        <f>Data_FAGLL03[[#This Row],[Time Stamp]]+TIME(7,0,0)</f>
        <v>46119.671180555553</v>
      </c>
      <c r="GJ87" s="18">
        <f>MONTH(Data_FAGLL03[[#This Row],[Time Stamp_VN]])</f>
        <v>4</v>
      </c>
      <c r="GK87">
        <f>DAY(Data_FAGLL03[[#This Row],[Time Stamp_VN]])</f>
        <v>7</v>
      </c>
      <c r="GL87" t="str">
        <f>TEXT(Data_FAGLL03[[#This Row],[Tháng]],"00")&amp;" | "&amp;TEXT(Data_FAGLL03[[#This Row],[Ngày]],"00")</f>
        <v>04 | 07</v>
      </c>
      <c r="GM87" s="18">
        <f>IF(Data_FAGLL03[[#This Row],[Text]]="",Data_FAGLL03[[#This Row],[Quantity_Original]],0)</f>
        <v>-11000</v>
      </c>
      <c r="GN87" s="18" t="str">
        <f>IF(Data_FAGLL03[[#This Row],[Quantity_Edited]]&lt;&gt;0,Data_FAGLL03[[#This Row],[Offsetting acct no.]]&amp;" | "&amp;Data_FAGLL03[[#This Row],[Material]],"")</f>
        <v>105263 | 110000339</v>
      </c>
      <c r="GO87" t="str">
        <f>IF(LEFT(Data_FAGLL03[[#This Row],[Offsetting acct no.]],1)="1","NĐ",IF(LEFT(Data_FAGLL03[[#This Row],[Offsetting acct no.]],1)="2","XK","Khác"))</f>
        <v>NĐ</v>
      </c>
      <c r="GP87" t="str">
        <f>IF(Data_FAGLL03[[#This Row],[Material]]&lt;&gt;"",_xlfn.XLOOKUP(Data_FAGLL03[[#This Row],[Material]],MD_SKU[Mã SKU],MD_SKU[Tên SKU]),"")</f>
        <v>Hạt Nhựa rHDPE MBF01</v>
      </c>
      <c r="GQ87" t="str">
        <f>IF(Data_FAGLL03[[#This Row],[Material]]&lt;&gt;"",_xlfn.XLOOKUP(Data_FAGLL03[[#This Row],[Material]],MD_SKU[Mã SKU],MD_SKU[Nhóm SP 1]),"")</f>
        <v>rHDPE</v>
      </c>
      <c r="GR87" t="str">
        <f>IF(Data_FAGLL03[[#This Row],[Material]]&lt;&gt;"",_xlfn.XLOOKUP(Data_FAGLL03[[#This Row],[Material]],MD_SKU[Mã SKU],MD_SKU[Nhóm SP 2]),"")</f>
        <v>rHDPE thổi</v>
      </c>
      <c r="GS87" t="str">
        <f>IF(Data_FAGLL03[[#This Row],[Material]]&lt;&gt;"",_xlfn.XLOOKUP(Data_FAGLL03[[#This Row],[Material]],MD_SKU[Mã SKU],MD_SKU[Nhóm SP 3]),"")</f>
        <v>rHDPE thổi</v>
      </c>
      <c r="GT87" t="str">
        <f>IF(Data_FAGLL03[[#This Row],[Material]]&lt;&gt;"",_xlfn.XLOOKUP(Data_FAGLL03[[#This Row],[Material]],MD_SKU[Mã SKU],MD_SKU[Nhóm SP 4]),"")</f>
        <v>Hạt rHDPE thổi</v>
      </c>
    </row>
    <row r="88" spans="1:202" x14ac:dyDescent="0.25">
      <c r="A88" t="s">
        <v>0</v>
      </c>
      <c r="B88" s="2">
        <v>46119</v>
      </c>
      <c r="C88" t="s">
        <v>2299</v>
      </c>
      <c r="D88" t="s">
        <v>1</v>
      </c>
      <c r="E88" t="s">
        <v>1</v>
      </c>
      <c r="F88" t="s">
        <v>31</v>
      </c>
      <c r="G88" t="s">
        <v>31</v>
      </c>
      <c r="H88" t="s">
        <v>34</v>
      </c>
      <c r="I88" s="19">
        <v>-194529500</v>
      </c>
      <c r="J88" t="s">
        <v>35</v>
      </c>
      <c r="K88" t="s">
        <v>1</v>
      </c>
      <c r="L88" t="s">
        <v>39</v>
      </c>
      <c r="M88" t="s">
        <v>41</v>
      </c>
      <c r="N88" t="s">
        <v>254</v>
      </c>
      <c r="O88" t="s">
        <v>4</v>
      </c>
      <c r="P88" t="s">
        <v>2300</v>
      </c>
      <c r="Q88" t="s">
        <v>31</v>
      </c>
      <c r="R88" t="s">
        <v>5</v>
      </c>
      <c r="S88" t="s">
        <v>1</v>
      </c>
      <c r="T88" s="3">
        <v>-194529500</v>
      </c>
      <c r="U88" s="19">
        <v>-194529500</v>
      </c>
      <c r="V88" s="3">
        <v>-194529500</v>
      </c>
      <c r="W88" s="3">
        <v>-194529500</v>
      </c>
      <c r="X88" s="4">
        <v>0</v>
      </c>
      <c r="Y88" s="4">
        <v>0</v>
      </c>
      <c r="Z88" s="3">
        <v>0</v>
      </c>
      <c r="AA88" s="3">
        <v>0</v>
      </c>
      <c r="AB88" t="s">
        <v>1</v>
      </c>
      <c r="AC88" t="s">
        <v>24</v>
      </c>
      <c r="AD88" s="2"/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25</v>
      </c>
      <c r="AK88" s="4">
        <v>0</v>
      </c>
      <c r="AL88" t="s">
        <v>1</v>
      </c>
      <c r="AM88" s="5" t="s">
        <v>1</v>
      </c>
      <c r="AN88" t="s">
        <v>1</v>
      </c>
      <c r="AO88" s="2"/>
      <c r="AP88" t="s">
        <v>1</v>
      </c>
      <c r="AQ88" t="s">
        <v>1</v>
      </c>
      <c r="AR88" s="3">
        <v>0</v>
      </c>
      <c r="AS88" t="s">
        <v>1</v>
      </c>
      <c r="AT88" t="s">
        <v>7</v>
      </c>
      <c r="AU88" t="s">
        <v>1</v>
      </c>
      <c r="AV88" t="s">
        <v>1</v>
      </c>
      <c r="AW88" t="s">
        <v>8</v>
      </c>
      <c r="AX88" t="s">
        <v>8</v>
      </c>
      <c r="AY88" t="s">
        <v>1</v>
      </c>
      <c r="AZ88" s="4">
        <v>0</v>
      </c>
      <c r="BA88" t="s">
        <v>1</v>
      </c>
      <c r="BB88" s="3">
        <v>0</v>
      </c>
      <c r="BC88" s="3">
        <v>0</v>
      </c>
      <c r="BD88" s="3">
        <v>0</v>
      </c>
      <c r="BE88" t="s">
        <v>20</v>
      </c>
      <c r="BF88" t="s">
        <v>1</v>
      </c>
      <c r="BG88" s="4">
        <v>0</v>
      </c>
      <c r="BH88" s="4">
        <v>0</v>
      </c>
      <c r="BI88" s="6">
        <v>0</v>
      </c>
      <c r="BJ88" s="6">
        <v>0</v>
      </c>
      <c r="BK88" t="s">
        <v>1</v>
      </c>
      <c r="BL88" t="s">
        <v>1</v>
      </c>
      <c r="BM88" t="s">
        <v>1</v>
      </c>
      <c r="BN88" t="s">
        <v>9</v>
      </c>
      <c r="BO88" s="2">
        <v>46119</v>
      </c>
      <c r="BP88" t="s">
        <v>1</v>
      </c>
      <c r="BQ88" t="s">
        <v>2299</v>
      </c>
      <c r="BR88" t="s">
        <v>27</v>
      </c>
      <c r="BS88" t="s">
        <v>1</v>
      </c>
      <c r="BT88" t="s">
        <v>1</v>
      </c>
      <c r="BU88" t="s">
        <v>1</v>
      </c>
      <c r="BV88" t="s">
        <v>1</v>
      </c>
      <c r="BW88" t="s">
        <v>7</v>
      </c>
      <c r="BX88" t="s">
        <v>10</v>
      </c>
      <c r="BY88" s="2"/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254</v>
      </c>
      <c r="CJ88" s="3">
        <v>-194529500</v>
      </c>
      <c r="CK88" t="s">
        <v>9</v>
      </c>
      <c r="CL88" t="s">
        <v>11</v>
      </c>
      <c r="CM88" t="s">
        <v>1</v>
      </c>
      <c r="CN88" s="4">
        <v>0</v>
      </c>
      <c r="CO88" t="s">
        <v>7</v>
      </c>
      <c r="CP88" t="s">
        <v>7</v>
      </c>
      <c r="CQ88" t="s">
        <v>7</v>
      </c>
      <c r="CR88" t="s">
        <v>7</v>
      </c>
      <c r="CS88" s="4">
        <v>0</v>
      </c>
      <c r="CT88" t="s">
        <v>2299</v>
      </c>
      <c r="CU88" t="s">
        <v>7</v>
      </c>
      <c r="CV88" t="s">
        <v>1</v>
      </c>
      <c r="CW88" s="2"/>
      <c r="CX88" t="s">
        <v>12</v>
      </c>
      <c r="CY88" t="s">
        <v>1</v>
      </c>
      <c r="CZ88" t="s">
        <v>13</v>
      </c>
      <c r="DA88" t="s">
        <v>1</v>
      </c>
      <c r="DB88" t="s">
        <v>9</v>
      </c>
      <c r="DC88" t="s">
        <v>9</v>
      </c>
      <c r="DD88" t="s">
        <v>1</v>
      </c>
      <c r="DE88" t="s">
        <v>1</v>
      </c>
      <c r="DF88" t="s">
        <v>1</v>
      </c>
      <c r="DG88" t="s">
        <v>38</v>
      </c>
      <c r="DH88" t="s">
        <v>1</v>
      </c>
      <c r="DI88" s="2"/>
      <c r="DJ88" t="s">
        <v>1</v>
      </c>
      <c r="DK88" t="s">
        <v>14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1</v>
      </c>
      <c r="DV88" s="2"/>
      <c r="DW88" t="s">
        <v>1</v>
      </c>
      <c r="DX88" t="s">
        <v>1</v>
      </c>
      <c r="DY88" t="s">
        <v>2301</v>
      </c>
      <c r="DZ88" t="s">
        <v>1</v>
      </c>
      <c r="EA88" t="s">
        <v>1</v>
      </c>
      <c r="EB88" t="s">
        <v>28</v>
      </c>
      <c r="EC88" t="s">
        <v>7</v>
      </c>
      <c r="ED88" t="s">
        <v>1</v>
      </c>
      <c r="EE88" t="s">
        <v>1</v>
      </c>
      <c r="EF88" t="s">
        <v>22</v>
      </c>
      <c r="EG88" t="s">
        <v>41</v>
      </c>
      <c r="EH88" t="s">
        <v>15</v>
      </c>
      <c r="EI88" t="s">
        <v>1</v>
      </c>
      <c r="EJ88" s="19">
        <v>-5500</v>
      </c>
      <c r="EK88" t="s">
        <v>1</v>
      </c>
      <c r="EL88" t="s">
        <v>1</v>
      </c>
      <c r="EM88" t="s">
        <v>1</v>
      </c>
      <c r="EN88" t="s">
        <v>1</v>
      </c>
      <c r="EO88" s="2"/>
      <c r="EP88" t="s">
        <v>2301</v>
      </c>
      <c r="EQ88" t="s">
        <v>1</v>
      </c>
      <c r="ER88" t="s">
        <v>1</v>
      </c>
      <c r="ES88" t="s">
        <v>1</v>
      </c>
      <c r="ET88" t="s">
        <v>29</v>
      </c>
      <c r="EU88" t="s">
        <v>1</v>
      </c>
      <c r="EV88" t="s">
        <v>1</v>
      </c>
      <c r="EW88" t="s">
        <v>7</v>
      </c>
      <c r="EX88" t="s">
        <v>7</v>
      </c>
      <c r="EY88" t="s">
        <v>1</v>
      </c>
      <c r="EZ88" t="s">
        <v>1</v>
      </c>
      <c r="FA88" t="s">
        <v>1</v>
      </c>
      <c r="FB88" s="3">
        <v>50</v>
      </c>
      <c r="FC88" t="s">
        <v>1</v>
      </c>
      <c r="FD88" t="s">
        <v>1</v>
      </c>
      <c r="FE88" t="s">
        <v>1</v>
      </c>
      <c r="FF88" t="s">
        <v>17</v>
      </c>
      <c r="FG88" t="s">
        <v>1</v>
      </c>
      <c r="FH88" t="s">
        <v>1</v>
      </c>
      <c r="FI88" t="s">
        <v>1</v>
      </c>
      <c r="FJ88" t="s">
        <v>1</v>
      </c>
      <c r="FK88" s="7">
        <v>46119.379571759258</v>
      </c>
      <c r="FL88" t="s">
        <v>1</v>
      </c>
      <c r="FM88" t="s">
        <v>1</v>
      </c>
      <c r="FN88" t="s">
        <v>1</v>
      </c>
      <c r="FO88" s="19">
        <v>-194529500</v>
      </c>
      <c r="FP88" s="4">
        <v>0</v>
      </c>
      <c r="FQ88" s="19">
        <v>-194529500</v>
      </c>
      <c r="FR88" s="4">
        <v>0</v>
      </c>
      <c r="FS88" s="4">
        <v>0</v>
      </c>
      <c r="FT88" s="4">
        <v>0</v>
      </c>
      <c r="FU88" s="2">
        <v>46119</v>
      </c>
      <c r="FV88" t="s">
        <v>1</v>
      </c>
      <c r="FW88" s="4">
        <v>0</v>
      </c>
      <c r="FX88" t="s">
        <v>1</v>
      </c>
      <c r="FY88" t="s">
        <v>1</v>
      </c>
      <c r="FZ88" s="4">
        <v>0</v>
      </c>
      <c r="GA88" s="4">
        <v>0</v>
      </c>
      <c r="GB88" t="s">
        <v>2070</v>
      </c>
      <c r="GC88" t="str">
        <f>RIGHT(Data_FAGLL03[[#This Row],[Payment reference]],8)</f>
        <v>91172612</v>
      </c>
      <c r="GD88" t="str">
        <f>IF(Data_FAGLL03[[#This Row],[Billing]]&lt;&gt;"",_xlfn.XLOOKUP(Data_FAGLL03[[#This Row],[Billing]],MD_BILLING_SO[BILIING],MD_BILLING_SO[SO-EDITED]),"")</f>
        <v>30030659</v>
      </c>
      <c r="GE88" s="18">
        <f>IF(SUBSTITUTE(Data_FAGLL03[[#This Row],[Eff.exchange rate]],",","")/100000=1,1,SUBSTITUTE(Data_FAGLL03[[#This Row],[Eff.exchange rate]],",","")/100)</f>
        <v>1</v>
      </c>
      <c r="GF88" s="17">
        <f>IF(Data_FAGLL03[[#This Row],[Material]]&lt;&gt;"",IFERROR(Data_FAGLL03[[#This Row],[Amount in local currency]]/Data_FAGLL03[[#This Row],[Quantity_Original]],0),0)</f>
        <v>35369</v>
      </c>
      <c r="GG88" s="18">
        <f>IF(Data_FAGLL03[[#This Row],[XK/NĐ]]="XK",Data_FAGLL03[[#This Row],[GB trung bình]]/Data_FAGLL03[[#This Row],[EXR]],0)*1000</f>
        <v>0</v>
      </c>
      <c r="GH88" s="18" cm="1">
        <f t="array" ref="GH88">IF(Data_FAGLL03[[#This Row],[Document currency]]&lt;&gt;"VND",Data_FAGLL03[[#This Row],[Amount in doc. curr.]],Data_FAGLL03[[#This Row],[Amount in local currency]]/EXR)</f>
        <v>-7410.042655410618</v>
      </c>
      <c r="GI88" s="10">
        <f>Data_FAGLL03[[#This Row],[Time Stamp]]+TIME(7,0,0)</f>
        <v>46119.671238425923</v>
      </c>
      <c r="GJ88" s="18">
        <f>MONTH(Data_FAGLL03[[#This Row],[Time Stamp_VN]])</f>
        <v>4</v>
      </c>
      <c r="GK88">
        <f>DAY(Data_FAGLL03[[#This Row],[Time Stamp_VN]])</f>
        <v>7</v>
      </c>
      <c r="GL88" t="str">
        <f>TEXT(Data_FAGLL03[[#This Row],[Tháng]],"00")&amp;" | "&amp;TEXT(Data_FAGLL03[[#This Row],[Ngày]],"00")</f>
        <v>04 | 07</v>
      </c>
      <c r="GM88" s="18">
        <f>IF(Data_FAGLL03[[#This Row],[Text]]="",Data_FAGLL03[[#This Row],[Quantity_Original]],0)</f>
        <v>-5500</v>
      </c>
      <c r="GN88" s="18" t="str">
        <f>IF(Data_FAGLL03[[#This Row],[Quantity_Edited]]&lt;&gt;0,Data_FAGLL03[[#This Row],[Offsetting acct no.]]&amp;" | "&amp;Data_FAGLL03[[#This Row],[Material]],"")</f>
        <v>105263 | 110000339</v>
      </c>
      <c r="GO88" t="str">
        <f>IF(LEFT(Data_FAGLL03[[#This Row],[Offsetting acct no.]],1)="1","NĐ",IF(LEFT(Data_FAGLL03[[#This Row],[Offsetting acct no.]],1)="2","XK","Khác"))</f>
        <v>NĐ</v>
      </c>
      <c r="GP88" t="str">
        <f>IF(Data_FAGLL03[[#This Row],[Material]]&lt;&gt;"",_xlfn.XLOOKUP(Data_FAGLL03[[#This Row],[Material]],MD_SKU[Mã SKU],MD_SKU[Tên SKU]),"")</f>
        <v>Hạt Nhựa rHDPE MBF01</v>
      </c>
      <c r="GQ88" t="str">
        <f>IF(Data_FAGLL03[[#This Row],[Material]]&lt;&gt;"",_xlfn.XLOOKUP(Data_FAGLL03[[#This Row],[Material]],MD_SKU[Mã SKU],MD_SKU[Nhóm SP 1]),"")</f>
        <v>rHDPE</v>
      </c>
      <c r="GR88" t="str">
        <f>IF(Data_FAGLL03[[#This Row],[Material]]&lt;&gt;"",_xlfn.XLOOKUP(Data_FAGLL03[[#This Row],[Material]],MD_SKU[Mã SKU],MD_SKU[Nhóm SP 2]),"")</f>
        <v>rHDPE thổi</v>
      </c>
      <c r="GS88" t="str">
        <f>IF(Data_FAGLL03[[#This Row],[Material]]&lt;&gt;"",_xlfn.XLOOKUP(Data_FAGLL03[[#This Row],[Material]],MD_SKU[Mã SKU],MD_SKU[Nhóm SP 3]),"")</f>
        <v>rHDPE thổi</v>
      </c>
      <c r="GT88" t="str">
        <f>IF(Data_FAGLL03[[#This Row],[Material]]&lt;&gt;"",_xlfn.XLOOKUP(Data_FAGLL03[[#This Row],[Material]],MD_SKU[Mã SKU],MD_SKU[Nhóm SP 4]),"")</f>
        <v>Hạt rHDPE thổi</v>
      </c>
    </row>
    <row r="89" spans="1:202" x14ac:dyDescent="0.25">
      <c r="A89" t="s">
        <v>0</v>
      </c>
      <c r="B89" s="2">
        <v>46119</v>
      </c>
      <c r="C89" t="s">
        <v>2302</v>
      </c>
      <c r="D89" t="s">
        <v>1</v>
      </c>
      <c r="E89" t="s">
        <v>1</v>
      </c>
      <c r="F89" t="s">
        <v>31</v>
      </c>
      <c r="G89" t="s">
        <v>31</v>
      </c>
      <c r="H89" t="s">
        <v>34</v>
      </c>
      <c r="I89" s="19">
        <v>-194529500</v>
      </c>
      <c r="J89" t="s">
        <v>35</v>
      </c>
      <c r="K89" t="s">
        <v>1</v>
      </c>
      <c r="L89" t="s">
        <v>39</v>
      </c>
      <c r="M89" t="s">
        <v>41</v>
      </c>
      <c r="N89" t="s">
        <v>254</v>
      </c>
      <c r="O89" t="s">
        <v>4</v>
      </c>
      <c r="P89" t="s">
        <v>2303</v>
      </c>
      <c r="Q89" t="s">
        <v>31</v>
      </c>
      <c r="R89" t="s">
        <v>5</v>
      </c>
      <c r="S89" t="s">
        <v>1</v>
      </c>
      <c r="T89" s="3">
        <v>-194529500</v>
      </c>
      <c r="U89" s="19">
        <v>-194529500</v>
      </c>
      <c r="V89" s="3">
        <v>-194529500</v>
      </c>
      <c r="W89" s="3">
        <v>-194529500</v>
      </c>
      <c r="X89" s="4">
        <v>0</v>
      </c>
      <c r="Y89" s="4">
        <v>0</v>
      </c>
      <c r="Z89" s="3">
        <v>0</v>
      </c>
      <c r="AA89" s="3">
        <v>0</v>
      </c>
      <c r="AB89" t="s">
        <v>1</v>
      </c>
      <c r="AC89" t="s">
        <v>24</v>
      </c>
      <c r="AD89" s="2"/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25</v>
      </c>
      <c r="AK89" s="4">
        <v>0</v>
      </c>
      <c r="AL89" t="s">
        <v>1</v>
      </c>
      <c r="AM89" s="5" t="s">
        <v>1</v>
      </c>
      <c r="AN89" t="s">
        <v>1</v>
      </c>
      <c r="AO89" s="2"/>
      <c r="AP89" t="s">
        <v>1</v>
      </c>
      <c r="AQ89" t="s">
        <v>1</v>
      </c>
      <c r="AR89" s="3">
        <v>0</v>
      </c>
      <c r="AS89" t="s">
        <v>1</v>
      </c>
      <c r="AT89" t="s">
        <v>7</v>
      </c>
      <c r="AU89" t="s">
        <v>1</v>
      </c>
      <c r="AV89" t="s">
        <v>1</v>
      </c>
      <c r="AW89" t="s">
        <v>8</v>
      </c>
      <c r="AX89" t="s">
        <v>8</v>
      </c>
      <c r="AY89" t="s">
        <v>1</v>
      </c>
      <c r="AZ89" s="4">
        <v>0</v>
      </c>
      <c r="BA89" t="s">
        <v>1</v>
      </c>
      <c r="BB89" s="3">
        <v>0</v>
      </c>
      <c r="BC89" s="3">
        <v>0</v>
      </c>
      <c r="BD89" s="3">
        <v>0</v>
      </c>
      <c r="BE89" t="s">
        <v>20</v>
      </c>
      <c r="BF89" t="s">
        <v>1</v>
      </c>
      <c r="BG89" s="4">
        <v>0</v>
      </c>
      <c r="BH89" s="4">
        <v>0</v>
      </c>
      <c r="BI89" s="6">
        <v>0</v>
      </c>
      <c r="BJ89" s="6">
        <v>0</v>
      </c>
      <c r="BK89" t="s">
        <v>1</v>
      </c>
      <c r="BL89" t="s">
        <v>1</v>
      </c>
      <c r="BM89" t="s">
        <v>1</v>
      </c>
      <c r="BN89" t="s">
        <v>9</v>
      </c>
      <c r="BO89" s="2">
        <v>46119</v>
      </c>
      <c r="BP89" t="s">
        <v>1</v>
      </c>
      <c r="BQ89" t="s">
        <v>2302</v>
      </c>
      <c r="BR89" t="s">
        <v>27</v>
      </c>
      <c r="BS89" t="s">
        <v>1</v>
      </c>
      <c r="BT89" t="s">
        <v>1</v>
      </c>
      <c r="BU89" t="s">
        <v>1</v>
      </c>
      <c r="BV89" t="s">
        <v>1</v>
      </c>
      <c r="BW89" t="s">
        <v>7</v>
      </c>
      <c r="BX89" t="s">
        <v>10</v>
      </c>
      <c r="BY89" s="2"/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254</v>
      </c>
      <c r="CJ89" s="3">
        <v>-194529500</v>
      </c>
      <c r="CK89" t="s">
        <v>9</v>
      </c>
      <c r="CL89" t="s">
        <v>11</v>
      </c>
      <c r="CM89" t="s">
        <v>1</v>
      </c>
      <c r="CN89" s="4">
        <v>0</v>
      </c>
      <c r="CO89" t="s">
        <v>7</v>
      </c>
      <c r="CP89" t="s">
        <v>7</v>
      </c>
      <c r="CQ89" t="s">
        <v>7</v>
      </c>
      <c r="CR89" t="s">
        <v>7</v>
      </c>
      <c r="CS89" s="4">
        <v>0</v>
      </c>
      <c r="CT89" t="s">
        <v>2302</v>
      </c>
      <c r="CU89" t="s">
        <v>7</v>
      </c>
      <c r="CV89" t="s">
        <v>1</v>
      </c>
      <c r="CW89" s="2"/>
      <c r="CX89" t="s">
        <v>12</v>
      </c>
      <c r="CY89" t="s">
        <v>1</v>
      </c>
      <c r="CZ89" t="s">
        <v>13</v>
      </c>
      <c r="DA89" t="s">
        <v>1</v>
      </c>
      <c r="DB89" t="s">
        <v>9</v>
      </c>
      <c r="DC89" t="s">
        <v>9</v>
      </c>
      <c r="DD89" t="s">
        <v>1</v>
      </c>
      <c r="DE89" t="s">
        <v>1</v>
      </c>
      <c r="DF89" t="s">
        <v>1</v>
      </c>
      <c r="DG89" t="s">
        <v>38</v>
      </c>
      <c r="DH89" t="s">
        <v>1</v>
      </c>
      <c r="DI89" s="2"/>
      <c r="DJ89" t="s">
        <v>1</v>
      </c>
      <c r="DK89" t="s">
        <v>14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s="2"/>
      <c r="DW89" t="s">
        <v>1</v>
      </c>
      <c r="DX89" t="s">
        <v>1</v>
      </c>
      <c r="DY89" t="s">
        <v>2304</v>
      </c>
      <c r="DZ89" t="s">
        <v>1</v>
      </c>
      <c r="EA89" t="s">
        <v>1</v>
      </c>
      <c r="EB89" t="s">
        <v>28</v>
      </c>
      <c r="EC89" t="s">
        <v>7</v>
      </c>
      <c r="ED89" t="s">
        <v>1</v>
      </c>
      <c r="EE89" t="s">
        <v>1</v>
      </c>
      <c r="EF89" t="s">
        <v>22</v>
      </c>
      <c r="EG89" t="s">
        <v>41</v>
      </c>
      <c r="EH89" t="s">
        <v>15</v>
      </c>
      <c r="EI89" t="s">
        <v>1</v>
      </c>
      <c r="EJ89" s="4">
        <v>-5500</v>
      </c>
      <c r="EK89" t="s">
        <v>1</v>
      </c>
      <c r="EL89" t="s">
        <v>1</v>
      </c>
      <c r="EM89" t="s">
        <v>1</v>
      </c>
      <c r="EN89" t="s">
        <v>1</v>
      </c>
      <c r="EO89" s="2"/>
      <c r="EP89" t="s">
        <v>2304</v>
      </c>
      <c r="EQ89" t="s">
        <v>1</v>
      </c>
      <c r="ER89" t="s">
        <v>1</v>
      </c>
      <c r="ES89" t="s">
        <v>1</v>
      </c>
      <c r="ET89" t="s">
        <v>29</v>
      </c>
      <c r="EU89" t="s">
        <v>1</v>
      </c>
      <c r="EV89" t="s">
        <v>1</v>
      </c>
      <c r="EW89" t="s">
        <v>7</v>
      </c>
      <c r="EX89" t="s">
        <v>7</v>
      </c>
      <c r="EY89" t="s">
        <v>1</v>
      </c>
      <c r="EZ89" t="s">
        <v>1</v>
      </c>
      <c r="FA89" t="s">
        <v>1</v>
      </c>
      <c r="FB89" s="3">
        <v>50</v>
      </c>
      <c r="FC89" t="s">
        <v>1</v>
      </c>
      <c r="FD89" t="s">
        <v>1</v>
      </c>
      <c r="FE89" t="s">
        <v>1</v>
      </c>
      <c r="FF89" t="s">
        <v>17</v>
      </c>
      <c r="FG89" t="s">
        <v>1</v>
      </c>
      <c r="FH89" t="s">
        <v>1</v>
      </c>
      <c r="FI89" t="s">
        <v>1</v>
      </c>
      <c r="FJ89" t="s">
        <v>1</v>
      </c>
      <c r="FK89" s="7">
        <v>46119.379618055558</v>
      </c>
      <c r="FL89" t="s">
        <v>1</v>
      </c>
      <c r="FM89" t="s">
        <v>1</v>
      </c>
      <c r="FN89" t="s">
        <v>1</v>
      </c>
      <c r="FO89" s="19">
        <v>-194529500</v>
      </c>
      <c r="FP89" s="4">
        <v>0</v>
      </c>
      <c r="FQ89" s="19">
        <v>-194529500</v>
      </c>
      <c r="FR89" s="4">
        <v>0</v>
      </c>
      <c r="FS89" s="4">
        <v>0</v>
      </c>
      <c r="FT89" s="4">
        <v>0</v>
      </c>
      <c r="FU89" s="2">
        <v>46119</v>
      </c>
      <c r="FV89" t="s">
        <v>1</v>
      </c>
      <c r="FW89" s="4">
        <v>0</v>
      </c>
      <c r="FX89" t="s">
        <v>1</v>
      </c>
      <c r="FY89" t="s">
        <v>1</v>
      </c>
      <c r="FZ89" s="4">
        <v>0</v>
      </c>
      <c r="GA89" s="4">
        <v>0</v>
      </c>
      <c r="GB89" t="s">
        <v>2070</v>
      </c>
      <c r="GC89" t="str">
        <f>RIGHT(Data_FAGLL03[[#This Row],[Payment reference]],8)</f>
        <v>91172613</v>
      </c>
      <c r="GD89" t="str">
        <f>IF(Data_FAGLL03[[#This Row],[Billing]]&lt;&gt;"",_xlfn.XLOOKUP(Data_FAGLL03[[#This Row],[Billing]],MD_BILLING_SO[BILIING],MD_BILLING_SO[SO-EDITED]),"")</f>
        <v>30030659</v>
      </c>
      <c r="GE89" s="18">
        <f>IF(SUBSTITUTE(Data_FAGLL03[[#This Row],[Eff.exchange rate]],",","")/100000=1,1,SUBSTITUTE(Data_FAGLL03[[#This Row],[Eff.exchange rate]],",","")/100)</f>
        <v>1</v>
      </c>
      <c r="GF89" s="17">
        <f>IF(Data_FAGLL03[[#This Row],[Material]]&lt;&gt;"",IFERROR(Data_FAGLL03[[#This Row],[Amount in local currency]]/Data_FAGLL03[[#This Row],[Quantity_Original]],0),0)</f>
        <v>35369</v>
      </c>
      <c r="GG89" s="18">
        <f>IF(Data_FAGLL03[[#This Row],[XK/NĐ]]="XK",Data_FAGLL03[[#This Row],[GB trung bình]]/Data_FAGLL03[[#This Row],[EXR]],0)*1000</f>
        <v>0</v>
      </c>
      <c r="GH89" s="18" cm="1">
        <f t="array" ref="GH89">IF(Data_FAGLL03[[#This Row],[Document currency]]&lt;&gt;"VND",Data_FAGLL03[[#This Row],[Amount in doc. curr.]],Data_FAGLL03[[#This Row],[Amount in local currency]]/EXR)</f>
        <v>-7410.042655410618</v>
      </c>
      <c r="GI89" s="10">
        <f>Data_FAGLL03[[#This Row],[Time Stamp]]+TIME(7,0,0)</f>
        <v>46119.671284722222</v>
      </c>
      <c r="GJ89" s="18">
        <f>MONTH(Data_FAGLL03[[#This Row],[Time Stamp_VN]])</f>
        <v>4</v>
      </c>
      <c r="GK89">
        <f>DAY(Data_FAGLL03[[#This Row],[Time Stamp_VN]])</f>
        <v>7</v>
      </c>
      <c r="GL89" t="str">
        <f>TEXT(Data_FAGLL03[[#This Row],[Tháng]],"00")&amp;" | "&amp;TEXT(Data_FAGLL03[[#This Row],[Ngày]],"00")</f>
        <v>04 | 07</v>
      </c>
      <c r="GM89" s="18">
        <f>IF(Data_FAGLL03[[#This Row],[Text]]="",Data_FAGLL03[[#This Row],[Quantity_Original]],0)</f>
        <v>-5500</v>
      </c>
      <c r="GN89" s="18" t="str">
        <f>IF(Data_FAGLL03[[#This Row],[Quantity_Edited]]&lt;&gt;0,Data_FAGLL03[[#This Row],[Offsetting acct no.]]&amp;" | "&amp;Data_FAGLL03[[#This Row],[Material]],"")</f>
        <v>105263 | 110000339</v>
      </c>
      <c r="GO89" t="str">
        <f>IF(LEFT(Data_FAGLL03[[#This Row],[Offsetting acct no.]],1)="1","NĐ",IF(LEFT(Data_FAGLL03[[#This Row],[Offsetting acct no.]],1)="2","XK","Khác"))</f>
        <v>NĐ</v>
      </c>
      <c r="GP89" t="str">
        <f>IF(Data_FAGLL03[[#This Row],[Material]]&lt;&gt;"",_xlfn.XLOOKUP(Data_FAGLL03[[#This Row],[Material]],MD_SKU[Mã SKU],MD_SKU[Tên SKU]),"")</f>
        <v>Hạt Nhựa rHDPE MBF01</v>
      </c>
      <c r="GQ89" t="str">
        <f>IF(Data_FAGLL03[[#This Row],[Material]]&lt;&gt;"",_xlfn.XLOOKUP(Data_FAGLL03[[#This Row],[Material]],MD_SKU[Mã SKU],MD_SKU[Nhóm SP 1]),"")</f>
        <v>rHDPE</v>
      </c>
      <c r="GR89" t="str">
        <f>IF(Data_FAGLL03[[#This Row],[Material]]&lt;&gt;"",_xlfn.XLOOKUP(Data_FAGLL03[[#This Row],[Material]],MD_SKU[Mã SKU],MD_SKU[Nhóm SP 2]),"")</f>
        <v>rHDPE thổi</v>
      </c>
      <c r="GS89" t="str">
        <f>IF(Data_FAGLL03[[#This Row],[Material]]&lt;&gt;"",_xlfn.XLOOKUP(Data_FAGLL03[[#This Row],[Material]],MD_SKU[Mã SKU],MD_SKU[Nhóm SP 3]),"")</f>
        <v>rHDPE thổi</v>
      </c>
      <c r="GT89" t="str">
        <f>IF(Data_FAGLL03[[#This Row],[Material]]&lt;&gt;"",_xlfn.XLOOKUP(Data_FAGLL03[[#This Row],[Material]],MD_SKU[Mã SKU],MD_SKU[Nhóm SP 4]),"")</f>
        <v>Hạt rHDPE thổi</v>
      </c>
    </row>
    <row r="90" spans="1:202" x14ac:dyDescent="0.25">
      <c r="A90" t="s">
        <v>0</v>
      </c>
      <c r="B90" s="2">
        <v>46119</v>
      </c>
      <c r="C90" t="s">
        <v>2305</v>
      </c>
      <c r="D90" t="s">
        <v>1</v>
      </c>
      <c r="E90" t="s">
        <v>1</v>
      </c>
      <c r="F90" t="s">
        <v>31</v>
      </c>
      <c r="G90" t="s">
        <v>31</v>
      </c>
      <c r="H90" t="s">
        <v>2034</v>
      </c>
      <c r="I90" s="19">
        <v>-189340580</v>
      </c>
      <c r="J90" t="s">
        <v>2035</v>
      </c>
      <c r="K90" t="s">
        <v>1</v>
      </c>
      <c r="L90" t="s">
        <v>39</v>
      </c>
      <c r="M90" t="s">
        <v>41</v>
      </c>
      <c r="N90" t="s">
        <v>254</v>
      </c>
      <c r="O90" t="s">
        <v>4</v>
      </c>
      <c r="P90" t="s">
        <v>2306</v>
      </c>
      <c r="Q90" t="s">
        <v>31</v>
      </c>
      <c r="R90" t="s">
        <v>5</v>
      </c>
      <c r="S90" t="s">
        <v>1</v>
      </c>
      <c r="T90" s="3">
        <v>-189340580</v>
      </c>
      <c r="U90" s="19">
        <v>-189340580</v>
      </c>
      <c r="V90" s="3">
        <v>-189340580</v>
      </c>
      <c r="W90" s="3">
        <v>-189340580</v>
      </c>
      <c r="X90" s="4">
        <v>0</v>
      </c>
      <c r="Y90" s="4">
        <v>0</v>
      </c>
      <c r="Z90" s="3">
        <v>0</v>
      </c>
      <c r="AA90" s="3">
        <v>0</v>
      </c>
      <c r="AB90" t="s">
        <v>1</v>
      </c>
      <c r="AC90" t="s">
        <v>24</v>
      </c>
      <c r="AD90" s="2"/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25</v>
      </c>
      <c r="AK90" s="4">
        <v>0</v>
      </c>
      <c r="AL90" t="s">
        <v>1</v>
      </c>
      <c r="AM90" s="5" t="s">
        <v>1</v>
      </c>
      <c r="AN90" t="s">
        <v>1</v>
      </c>
      <c r="AO90" s="2"/>
      <c r="AP90" t="s">
        <v>1</v>
      </c>
      <c r="AQ90" t="s">
        <v>1</v>
      </c>
      <c r="AR90" s="3">
        <v>0</v>
      </c>
      <c r="AS90" t="s">
        <v>1</v>
      </c>
      <c r="AT90" t="s">
        <v>7</v>
      </c>
      <c r="AU90" t="s">
        <v>1</v>
      </c>
      <c r="AV90" t="s">
        <v>1</v>
      </c>
      <c r="AW90" t="s">
        <v>8</v>
      </c>
      <c r="AX90" t="s">
        <v>8</v>
      </c>
      <c r="AY90" t="s">
        <v>1</v>
      </c>
      <c r="AZ90" s="4">
        <v>0</v>
      </c>
      <c r="BA90" t="s">
        <v>1</v>
      </c>
      <c r="BB90" s="3">
        <v>0</v>
      </c>
      <c r="BC90" s="3">
        <v>0</v>
      </c>
      <c r="BD90" s="3">
        <v>0</v>
      </c>
      <c r="BE90" t="s">
        <v>20</v>
      </c>
      <c r="BF90" t="s">
        <v>1</v>
      </c>
      <c r="BG90" s="4">
        <v>0</v>
      </c>
      <c r="BH90" s="4">
        <v>0</v>
      </c>
      <c r="BI90" s="6">
        <v>0</v>
      </c>
      <c r="BJ90" s="6">
        <v>0</v>
      </c>
      <c r="BK90" t="s">
        <v>1</v>
      </c>
      <c r="BL90" t="s">
        <v>1</v>
      </c>
      <c r="BM90" t="s">
        <v>1</v>
      </c>
      <c r="BN90" t="s">
        <v>9</v>
      </c>
      <c r="BO90" s="2">
        <v>46119</v>
      </c>
      <c r="BP90" t="s">
        <v>1</v>
      </c>
      <c r="BQ90" t="s">
        <v>2305</v>
      </c>
      <c r="BR90" t="s">
        <v>27</v>
      </c>
      <c r="BS90" t="s">
        <v>1</v>
      </c>
      <c r="BT90" t="s">
        <v>1</v>
      </c>
      <c r="BU90" t="s">
        <v>1</v>
      </c>
      <c r="BV90" t="s">
        <v>1</v>
      </c>
      <c r="BW90" t="s">
        <v>7</v>
      </c>
      <c r="BX90" t="s">
        <v>10</v>
      </c>
      <c r="BY90" s="2"/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254</v>
      </c>
      <c r="CJ90" s="3">
        <v>-189340580</v>
      </c>
      <c r="CK90" t="s">
        <v>9</v>
      </c>
      <c r="CL90" t="s">
        <v>11</v>
      </c>
      <c r="CM90" t="s">
        <v>1</v>
      </c>
      <c r="CN90" s="4">
        <v>0</v>
      </c>
      <c r="CO90" t="s">
        <v>7</v>
      </c>
      <c r="CP90" t="s">
        <v>7</v>
      </c>
      <c r="CQ90" t="s">
        <v>7</v>
      </c>
      <c r="CR90" t="s">
        <v>7</v>
      </c>
      <c r="CS90" s="4">
        <v>0</v>
      </c>
      <c r="CT90" t="s">
        <v>2305</v>
      </c>
      <c r="CU90" t="s">
        <v>7</v>
      </c>
      <c r="CV90" t="s">
        <v>1</v>
      </c>
      <c r="CW90" s="2"/>
      <c r="CX90" t="s">
        <v>12</v>
      </c>
      <c r="CY90" t="s">
        <v>1</v>
      </c>
      <c r="CZ90" t="s">
        <v>13</v>
      </c>
      <c r="DA90" t="s">
        <v>1</v>
      </c>
      <c r="DB90" t="s">
        <v>9</v>
      </c>
      <c r="DC90" t="s">
        <v>9</v>
      </c>
      <c r="DD90" t="s">
        <v>1</v>
      </c>
      <c r="DE90" t="s">
        <v>1</v>
      </c>
      <c r="DF90" t="s">
        <v>1</v>
      </c>
      <c r="DG90" t="s">
        <v>37</v>
      </c>
      <c r="DH90" t="s">
        <v>1</v>
      </c>
      <c r="DI90" s="2"/>
      <c r="DJ90" t="s">
        <v>1</v>
      </c>
      <c r="DK90" t="s">
        <v>14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s="2"/>
      <c r="DW90" t="s">
        <v>1</v>
      </c>
      <c r="DX90" t="s">
        <v>1</v>
      </c>
      <c r="DY90" t="s">
        <v>2307</v>
      </c>
      <c r="DZ90" t="s">
        <v>1</v>
      </c>
      <c r="EA90" t="s">
        <v>1</v>
      </c>
      <c r="EB90" t="s">
        <v>28</v>
      </c>
      <c r="EC90" t="s">
        <v>7</v>
      </c>
      <c r="ED90" t="s">
        <v>1</v>
      </c>
      <c r="EE90" t="s">
        <v>1</v>
      </c>
      <c r="EF90" t="s">
        <v>22</v>
      </c>
      <c r="EG90" t="s">
        <v>41</v>
      </c>
      <c r="EH90" t="s">
        <v>15</v>
      </c>
      <c r="EI90" t="s">
        <v>1</v>
      </c>
      <c r="EJ90" s="4">
        <v>-5500</v>
      </c>
      <c r="EK90" t="s">
        <v>1</v>
      </c>
      <c r="EL90" t="s">
        <v>1</v>
      </c>
      <c r="EM90" t="s">
        <v>1</v>
      </c>
      <c r="EN90" t="s">
        <v>1</v>
      </c>
      <c r="EO90" s="2"/>
      <c r="EP90" t="s">
        <v>2307</v>
      </c>
      <c r="EQ90" t="s">
        <v>1</v>
      </c>
      <c r="ER90" t="s">
        <v>1</v>
      </c>
      <c r="ES90" t="s">
        <v>1</v>
      </c>
      <c r="ET90" t="s">
        <v>29</v>
      </c>
      <c r="EU90" t="s">
        <v>1</v>
      </c>
      <c r="EV90" t="s">
        <v>1</v>
      </c>
      <c r="EW90" t="s">
        <v>7</v>
      </c>
      <c r="EX90" t="s">
        <v>7</v>
      </c>
      <c r="EY90" t="s">
        <v>1</v>
      </c>
      <c r="EZ90" t="s">
        <v>1</v>
      </c>
      <c r="FA90" t="s">
        <v>1</v>
      </c>
      <c r="FB90" s="3">
        <v>50</v>
      </c>
      <c r="FC90" t="s">
        <v>1</v>
      </c>
      <c r="FD90" t="s">
        <v>1</v>
      </c>
      <c r="FE90" t="s">
        <v>1</v>
      </c>
      <c r="FF90" t="s">
        <v>17</v>
      </c>
      <c r="FG90" t="s">
        <v>1</v>
      </c>
      <c r="FH90" t="s">
        <v>1</v>
      </c>
      <c r="FI90" t="s">
        <v>1</v>
      </c>
      <c r="FJ90" t="s">
        <v>1</v>
      </c>
      <c r="FK90" s="7">
        <v>46119.379652777781</v>
      </c>
      <c r="FL90" t="s">
        <v>1</v>
      </c>
      <c r="FM90" t="s">
        <v>1</v>
      </c>
      <c r="FN90" t="s">
        <v>1</v>
      </c>
      <c r="FO90" s="19">
        <v>-189340580</v>
      </c>
      <c r="FP90" s="4">
        <v>0</v>
      </c>
      <c r="FQ90" s="19">
        <v>-189340580</v>
      </c>
      <c r="FR90" s="4">
        <v>0</v>
      </c>
      <c r="FS90" s="4">
        <v>0</v>
      </c>
      <c r="FT90" s="4">
        <v>0</v>
      </c>
      <c r="FU90" s="2">
        <v>46119</v>
      </c>
      <c r="FV90" t="s">
        <v>1</v>
      </c>
      <c r="FW90" s="4">
        <v>0</v>
      </c>
      <c r="FX90" t="s">
        <v>1</v>
      </c>
      <c r="FY90" t="s">
        <v>1</v>
      </c>
      <c r="FZ90" s="4">
        <v>0</v>
      </c>
      <c r="GA90" s="4">
        <v>0</v>
      </c>
      <c r="GB90" t="s">
        <v>2070</v>
      </c>
      <c r="GC90" t="str">
        <f>RIGHT(Data_FAGLL03[[#This Row],[Payment reference]],8)</f>
        <v>91172614</v>
      </c>
      <c r="GD90" t="str">
        <f>IF(Data_FAGLL03[[#This Row],[Billing]]&lt;&gt;"",_xlfn.XLOOKUP(Data_FAGLL03[[#This Row],[Billing]],MD_BILLING_SO[BILIING],MD_BILLING_SO[SO-EDITED]),"")</f>
        <v>30030625</v>
      </c>
      <c r="GE90" s="18">
        <f>IF(SUBSTITUTE(Data_FAGLL03[[#This Row],[Eff.exchange rate]],",","")/100000=1,1,SUBSTITUTE(Data_FAGLL03[[#This Row],[Eff.exchange rate]],",","")/100)</f>
        <v>1</v>
      </c>
      <c r="GF90" s="17">
        <f>IF(Data_FAGLL03[[#This Row],[Material]]&lt;&gt;"",IFERROR(Data_FAGLL03[[#This Row],[Amount in local currency]]/Data_FAGLL03[[#This Row],[Quantity_Original]],0),0)</f>
        <v>34425.56</v>
      </c>
      <c r="GG90" s="18">
        <f>IF(Data_FAGLL03[[#This Row],[XK/NĐ]]="XK",Data_FAGLL03[[#This Row],[GB trung bình]]/Data_FAGLL03[[#This Row],[EXR]],0)*1000</f>
        <v>0</v>
      </c>
      <c r="GH90" s="18" cm="1">
        <f t="array" ref="GH90">IF(Data_FAGLL03[[#This Row],[Document currency]]&lt;&gt;"VND",Data_FAGLL03[[#This Row],[Amount in doc. curr.]],Data_FAGLL03[[#This Row],[Amount in local currency]]/EXR)</f>
        <v>-7212.3856494782876</v>
      </c>
      <c r="GI90" s="10">
        <f>Data_FAGLL03[[#This Row],[Time Stamp]]+TIME(7,0,0)</f>
        <v>46119.671319444446</v>
      </c>
      <c r="GJ90" s="18">
        <f>MONTH(Data_FAGLL03[[#This Row],[Time Stamp_VN]])</f>
        <v>4</v>
      </c>
      <c r="GK90">
        <f>DAY(Data_FAGLL03[[#This Row],[Time Stamp_VN]])</f>
        <v>7</v>
      </c>
      <c r="GL90" t="str">
        <f>TEXT(Data_FAGLL03[[#This Row],[Tháng]],"00")&amp;" | "&amp;TEXT(Data_FAGLL03[[#This Row],[Ngày]],"00")</f>
        <v>04 | 07</v>
      </c>
      <c r="GM90" s="18">
        <f>IF(Data_FAGLL03[[#This Row],[Text]]="",Data_FAGLL03[[#This Row],[Quantity_Original]],0)</f>
        <v>-5500</v>
      </c>
      <c r="GN90" s="18" t="str">
        <f>IF(Data_FAGLL03[[#This Row],[Quantity_Edited]]&lt;&gt;0,Data_FAGLL03[[#This Row],[Offsetting acct no.]]&amp;" | "&amp;Data_FAGLL03[[#This Row],[Material]],"")</f>
        <v>105286 | 110000355</v>
      </c>
      <c r="GO90" t="str">
        <f>IF(LEFT(Data_FAGLL03[[#This Row],[Offsetting acct no.]],1)="1","NĐ",IF(LEFT(Data_FAGLL03[[#This Row],[Offsetting acct no.]],1)="2","XK","Khác"))</f>
        <v>NĐ</v>
      </c>
      <c r="GP90" t="str">
        <f>IF(Data_FAGLL03[[#This Row],[Material]]&lt;&gt;"",_xlfn.XLOOKUP(Data_FAGLL03[[#This Row],[Material]],MD_SKU[Mã SKU],MD_SKU[Tên SKU]),"")</f>
        <v>Hạt nhựa rPET iSS01G 1</v>
      </c>
      <c r="GQ90" t="str">
        <f>IF(Data_FAGLL03[[#This Row],[Material]]&lt;&gt;"",_xlfn.XLOOKUP(Data_FAGLL03[[#This Row],[Material]],MD_SKU[Mã SKU],MD_SKU[Nhóm SP 1]),"")</f>
        <v>rPET</v>
      </c>
      <c r="GR90" t="str">
        <f>IF(Data_FAGLL03[[#This Row],[Material]]&lt;&gt;"",_xlfn.XLOOKUP(Data_FAGLL03[[#This Row],[Material]],MD_SKU[Mã SKU],MD_SKU[Nhóm SP 2]),"")</f>
        <v>rPET</v>
      </c>
      <c r="GS90" t="str">
        <f>IF(Data_FAGLL03[[#This Row],[Material]]&lt;&gt;"",_xlfn.XLOOKUP(Data_FAGLL03[[#This Row],[Material]],MD_SKU[Mã SKU],MD_SKU[Nhóm SP 3]),"")</f>
        <v>rPET</v>
      </c>
      <c r="GT90" t="str">
        <f>IF(Data_FAGLL03[[#This Row],[Material]]&lt;&gt;"",_xlfn.XLOOKUP(Data_FAGLL03[[#This Row],[Material]],MD_SKU[Mã SKU],MD_SKU[Nhóm SP 4]),"")</f>
        <v>Hạt rPET</v>
      </c>
    </row>
    <row r="91" spans="1:202" x14ac:dyDescent="0.25">
      <c r="A91" t="s">
        <v>0</v>
      </c>
      <c r="B91" s="2">
        <v>46119</v>
      </c>
      <c r="C91" t="s">
        <v>2308</v>
      </c>
      <c r="D91" t="s">
        <v>1</v>
      </c>
      <c r="E91" t="s">
        <v>1</v>
      </c>
      <c r="F91" t="s">
        <v>31</v>
      </c>
      <c r="G91" t="s">
        <v>31</v>
      </c>
      <c r="H91" t="s">
        <v>2309</v>
      </c>
      <c r="I91" s="19">
        <v>-2000000</v>
      </c>
      <c r="J91" t="s">
        <v>2310</v>
      </c>
      <c r="K91" t="s">
        <v>1</v>
      </c>
      <c r="L91" t="s">
        <v>39</v>
      </c>
      <c r="M91" t="s">
        <v>41</v>
      </c>
      <c r="N91" t="s">
        <v>254</v>
      </c>
      <c r="O91" t="s">
        <v>4</v>
      </c>
      <c r="P91" t="s">
        <v>2311</v>
      </c>
      <c r="Q91" t="s">
        <v>31</v>
      </c>
      <c r="R91" t="s">
        <v>5</v>
      </c>
      <c r="S91" t="s">
        <v>1</v>
      </c>
      <c r="T91" s="3">
        <v>-2000000</v>
      </c>
      <c r="U91" s="19">
        <v>-2000000</v>
      </c>
      <c r="V91" s="3">
        <v>-2000000</v>
      </c>
      <c r="W91" s="3">
        <v>-2000000</v>
      </c>
      <c r="X91" s="4">
        <v>0</v>
      </c>
      <c r="Y91" s="4">
        <v>0</v>
      </c>
      <c r="Z91" s="3">
        <v>0</v>
      </c>
      <c r="AA91" s="3">
        <v>0</v>
      </c>
      <c r="AB91" t="s">
        <v>1</v>
      </c>
      <c r="AC91" t="s">
        <v>24</v>
      </c>
      <c r="AD91" s="2"/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25</v>
      </c>
      <c r="AK91" s="4">
        <v>0</v>
      </c>
      <c r="AL91" t="s">
        <v>1</v>
      </c>
      <c r="AM91" s="5" t="s">
        <v>1</v>
      </c>
      <c r="AN91" t="s">
        <v>1</v>
      </c>
      <c r="AO91" s="2"/>
      <c r="AP91" t="s">
        <v>1</v>
      </c>
      <c r="AQ91" t="s">
        <v>1</v>
      </c>
      <c r="AR91" s="3">
        <v>0</v>
      </c>
      <c r="AS91" t="s">
        <v>1</v>
      </c>
      <c r="AT91" t="s">
        <v>7</v>
      </c>
      <c r="AU91" t="s">
        <v>1</v>
      </c>
      <c r="AV91" t="s">
        <v>1</v>
      </c>
      <c r="AW91" t="s">
        <v>8</v>
      </c>
      <c r="AX91" t="s">
        <v>8</v>
      </c>
      <c r="AY91" t="s">
        <v>1</v>
      </c>
      <c r="AZ91" s="4">
        <v>0</v>
      </c>
      <c r="BA91" t="s">
        <v>1</v>
      </c>
      <c r="BB91" s="3">
        <v>0</v>
      </c>
      <c r="BC91" s="3">
        <v>0</v>
      </c>
      <c r="BD91" s="3">
        <v>0</v>
      </c>
      <c r="BE91" t="s">
        <v>20</v>
      </c>
      <c r="BF91" t="s">
        <v>1</v>
      </c>
      <c r="BG91" s="4">
        <v>0</v>
      </c>
      <c r="BH91" s="4">
        <v>0</v>
      </c>
      <c r="BI91" s="6">
        <v>0</v>
      </c>
      <c r="BJ91" s="6">
        <v>0</v>
      </c>
      <c r="BK91" t="s">
        <v>1</v>
      </c>
      <c r="BL91" t="s">
        <v>1</v>
      </c>
      <c r="BM91" t="s">
        <v>1</v>
      </c>
      <c r="BN91" t="s">
        <v>9</v>
      </c>
      <c r="BO91" s="2">
        <v>46119</v>
      </c>
      <c r="BP91" t="s">
        <v>1</v>
      </c>
      <c r="BQ91" t="s">
        <v>2308</v>
      </c>
      <c r="BR91" t="s">
        <v>27</v>
      </c>
      <c r="BS91" t="s">
        <v>1</v>
      </c>
      <c r="BT91" t="s">
        <v>1</v>
      </c>
      <c r="BU91" t="s">
        <v>1</v>
      </c>
      <c r="BV91" t="s">
        <v>1</v>
      </c>
      <c r="BW91" t="s">
        <v>7</v>
      </c>
      <c r="BX91" t="s">
        <v>10</v>
      </c>
      <c r="BY91" s="2"/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254</v>
      </c>
      <c r="CJ91" s="3">
        <v>-2000000</v>
      </c>
      <c r="CK91" t="s">
        <v>9</v>
      </c>
      <c r="CL91" t="s">
        <v>11</v>
      </c>
      <c r="CM91" t="s">
        <v>1</v>
      </c>
      <c r="CN91" s="4">
        <v>0</v>
      </c>
      <c r="CO91" t="s">
        <v>7</v>
      </c>
      <c r="CP91" t="s">
        <v>7</v>
      </c>
      <c r="CQ91" t="s">
        <v>7</v>
      </c>
      <c r="CR91" t="s">
        <v>7</v>
      </c>
      <c r="CS91" s="4">
        <v>0</v>
      </c>
      <c r="CT91" t="s">
        <v>2308</v>
      </c>
      <c r="CU91" t="s">
        <v>7</v>
      </c>
      <c r="CV91" t="s">
        <v>1</v>
      </c>
      <c r="CW91" s="2"/>
      <c r="CX91" t="s">
        <v>12</v>
      </c>
      <c r="CY91" t="s">
        <v>1</v>
      </c>
      <c r="CZ91" t="s">
        <v>13</v>
      </c>
      <c r="DA91" t="s">
        <v>1</v>
      </c>
      <c r="DB91" t="s">
        <v>9</v>
      </c>
      <c r="DC91" t="s">
        <v>9</v>
      </c>
      <c r="DD91" t="s">
        <v>1</v>
      </c>
      <c r="DE91" t="s">
        <v>1</v>
      </c>
      <c r="DF91" t="s">
        <v>1</v>
      </c>
      <c r="DG91" t="s">
        <v>706</v>
      </c>
      <c r="DH91" t="s">
        <v>1</v>
      </c>
      <c r="DI91" s="2"/>
      <c r="DJ91" t="s">
        <v>1</v>
      </c>
      <c r="DK91" t="s">
        <v>14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s="2"/>
      <c r="DW91" t="s">
        <v>1</v>
      </c>
      <c r="DX91" t="s">
        <v>1</v>
      </c>
      <c r="DY91" t="s">
        <v>2312</v>
      </c>
      <c r="DZ91" t="s">
        <v>1</v>
      </c>
      <c r="EA91" t="s">
        <v>1</v>
      </c>
      <c r="EB91" t="s">
        <v>28</v>
      </c>
      <c r="EC91" t="s">
        <v>7</v>
      </c>
      <c r="ED91" t="s">
        <v>1</v>
      </c>
      <c r="EE91" t="s">
        <v>1</v>
      </c>
      <c r="EF91" t="s">
        <v>22</v>
      </c>
      <c r="EG91" t="s">
        <v>41</v>
      </c>
      <c r="EH91" t="s">
        <v>15</v>
      </c>
      <c r="EI91" t="s">
        <v>1</v>
      </c>
      <c r="EJ91" s="4">
        <v>-100</v>
      </c>
      <c r="EK91" t="s">
        <v>1</v>
      </c>
      <c r="EL91" t="s">
        <v>1</v>
      </c>
      <c r="EM91" t="s">
        <v>1</v>
      </c>
      <c r="EN91" t="s">
        <v>1</v>
      </c>
      <c r="EO91" s="2"/>
      <c r="EP91" t="s">
        <v>2312</v>
      </c>
      <c r="EQ91" t="s">
        <v>1</v>
      </c>
      <c r="ER91" t="s">
        <v>1</v>
      </c>
      <c r="ES91" t="s">
        <v>1</v>
      </c>
      <c r="ET91" t="s">
        <v>29</v>
      </c>
      <c r="EU91" t="s">
        <v>1</v>
      </c>
      <c r="EV91" t="s">
        <v>1</v>
      </c>
      <c r="EW91" t="s">
        <v>7</v>
      </c>
      <c r="EX91" t="s">
        <v>7</v>
      </c>
      <c r="EY91" t="s">
        <v>1</v>
      </c>
      <c r="EZ91" t="s">
        <v>1</v>
      </c>
      <c r="FA91" t="s">
        <v>1</v>
      </c>
      <c r="FB91" s="3">
        <v>50</v>
      </c>
      <c r="FC91" t="s">
        <v>1</v>
      </c>
      <c r="FD91" t="s">
        <v>1</v>
      </c>
      <c r="FE91" t="s">
        <v>1</v>
      </c>
      <c r="FF91" t="s">
        <v>17</v>
      </c>
      <c r="FG91" t="s">
        <v>1</v>
      </c>
      <c r="FH91" t="s">
        <v>1</v>
      </c>
      <c r="FI91" t="s">
        <v>1</v>
      </c>
      <c r="FJ91" t="s">
        <v>1</v>
      </c>
      <c r="FK91" s="7">
        <v>46119.379699074074</v>
      </c>
      <c r="FL91" t="s">
        <v>1</v>
      </c>
      <c r="FM91" t="s">
        <v>1</v>
      </c>
      <c r="FN91" t="s">
        <v>1</v>
      </c>
      <c r="FO91" s="19">
        <v>-2000000</v>
      </c>
      <c r="FP91" s="4">
        <v>0</v>
      </c>
      <c r="FQ91" s="19">
        <v>-2000000</v>
      </c>
      <c r="FR91" s="4">
        <v>0</v>
      </c>
      <c r="FS91" s="4">
        <v>0</v>
      </c>
      <c r="FT91" s="4">
        <v>0</v>
      </c>
      <c r="FU91" s="2">
        <v>46119</v>
      </c>
      <c r="FV91" t="s">
        <v>1</v>
      </c>
      <c r="FW91" s="4">
        <v>0</v>
      </c>
      <c r="FX91" t="s">
        <v>1</v>
      </c>
      <c r="FY91" t="s">
        <v>1</v>
      </c>
      <c r="FZ91" s="4">
        <v>0</v>
      </c>
      <c r="GA91" s="4">
        <v>0</v>
      </c>
      <c r="GB91" t="s">
        <v>2070</v>
      </c>
      <c r="GC91" t="str">
        <f>RIGHT(Data_FAGLL03[[#This Row],[Payment reference]],8)</f>
        <v>91172615</v>
      </c>
      <c r="GD91" t="str">
        <f>IF(Data_FAGLL03[[#This Row],[Billing]]&lt;&gt;"",_xlfn.XLOOKUP(Data_FAGLL03[[#This Row],[Billing]],MD_BILLING_SO[BILIING],MD_BILLING_SO[SO-EDITED]),"")</f>
        <v>30030715 Hủy
30030729</v>
      </c>
      <c r="GE91" s="18">
        <f>IF(SUBSTITUTE(Data_FAGLL03[[#This Row],[Eff.exchange rate]],",","")/100000=1,1,SUBSTITUTE(Data_FAGLL03[[#This Row],[Eff.exchange rate]],",","")/100)</f>
        <v>1</v>
      </c>
      <c r="GF91" s="17">
        <f>IF(Data_FAGLL03[[#This Row],[Material]]&lt;&gt;"",IFERROR(Data_FAGLL03[[#This Row],[Amount in local currency]]/Data_FAGLL03[[#This Row],[Quantity_Original]],0),0)</f>
        <v>20000</v>
      </c>
      <c r="GG91" s="18">
        <f>IF(Data_FAGLL03[[#This Row],[XK/NĐ]]="XK",Data_FAGLL03[[#This Row],[GB trung bình]]/Data_FAGLL03[[#This Row],[EXR]],0)*1000</f>
        <v>0</v>
      </c>
      <c r="GH91" s="18" cm="1">
        <f t="array" ref="GH91">IF(Data_FAGLL03[[#This Row],[Document currency]]&lt;&gt;"VND",Data_FAGLL03[[#This Row],[Amount in doc. curr.]],Data_FAGLL03[[#This Row],[Amount in local currency]]/EXR)</f>
        <v>-76.184256428054539</v>
      </c>
      <c r="GI91" s="10">
        <f>Data_FAGLL03[[#This Row],[Time Stamp]]+TIME(7,0,0)</f>
        <v>46119.671365740738</v>
      </c>
      <c r="GJ91" s="18">
        <f>MONTH(Data_FAGLL03[[#This Row],[Time Stamp_VN]])</f>
        <v>4</v>
      </c>
      <c r="GK91">
        <f>DAY(Data_FAGLL03[[#This Row],[Time Stamp_VN]])</f>
        <v>7</v>
      </c>
      <c r="GL91" t="str">
        <f>TEXT(Data_FAGLL03[[#This Row],[Tháng]],"00")&amp;" | "&amp;TEXT(Data_FAGLL03[[#This Row],[Ngày]],"00")</f>
        <v>04 | 07</v>
      </c>
      <c r="GM91" s="18">
        <f>IF(Data_FAGLL03[[#This Row],[Text]]="",Data_FAGLL03[[#This Row],[Quantity_Original]],0)</f>
        <v>-100</v>
      </c>
      <c r="GN91" s="18" t="str">
        <f>IF(Data_FAGLL03[[#This Row],[Quantity_Edited]]&lt;&gt;0,Data_FAGLL03[[#This Row],[Offsetting acct no.]]&amp;" | "&amp;Data_FAGLL03[[#This Row],[Material]],"")</f>
        <v>105421 | 110000392</v>
      </c>
      <c r="GO91" t="str">
        <f>IF(LEFT(Data_FAGLL03[[#This Row],[Offsetting acct no.]],1)="1","NĐ",IF(LEFT(Data_FAGLL03[[#This Row],[Offsetting acct no.]],1)="2","XK","Khác"))</f>
        <v>NĐ</v>
      </c>
      <c r="GP91" t="str">
        <f>IF(Data_FAGLL03[[#This Row],[Material]]&lt;&gt;"",_xlfn.XLOOKUP(Data_FAGLL03[[#This Row],[Material]],MD_SKU[Mã SKU],MD_SKU[Tên SKU]),"")</f>
        <v>Hạt nhựa rPP20B01</v>
      </c>
      <c r="GQ91" t="str">
        <f>IF(Data_FAGLL03[[#This Row],[Material]]&lt;&gt;"",_xlfn.XLOOKUP(Data_FAGLL03[[#This Row],[Material]],MD_SKU[Mã SKU],MD_SKU[Nhóm SP 1]),"")</f>
        <v>rPP</v>
      </c>
      <c r="GR91" t="str">
        <f>IF(Data_FAGLL03[[#This Row],[Material]]&lt;&gt;"",_xlfn.XLOOKUP(Data_FAGLL03[[#This Row],[Material]],MD_SKU[Mã SKU],MD_SKU[Nhóm SP 2]),"")</f>
        <v>rPP</v>
      </c>
      <c r="GS91" t="str">
        <f>IF(Data_FAGLL03[[#This Row],[Material]]&lt;&gt;"",_xlfn.XLOOKUP(Data_FAGLL03[[#This Row],[Material]],MD_SKU[Mã SKU],MD_SKU[Nhóm SP 3]),"")</f>
        <v>rPP</v>
      </c>
      <c r="GT91" t="str">
        <f>IF(Data_FAGLL03[[#This Row],[Material]]&lt;&gt;"",_xlfn.XLOOKUP(Data_FAGLL03[[#This Row],[Material]],MD_SKU[Mã SKU],MD_SKU[Nhóm SP 4]),"")</f>
        <v>Hạt rPP</v>
      </c>
    </row>
    <row r="92" spans="1:202" x14ac:dyDescent="0.25">
      <c r="A92" t="s">
        <v>0</v>
      </c>
      <c r="B92" s="2">
        <v>46119</v>
      </c>
      <c r="C92" t="s">
        <v>2313</v>
      </c>
      <c r="D92" t="s">
        <v>1</v>
      </c>
      <c r="E92" t="s">
        <v>1</v>
      </c>
      <c r="F92" t="s">
        <v>31</v>
      </c>
      <c r="G92" t="s">
        <v>31</v>
      </c>
      <c r="H92" t="s">
        <v>55</v>
      </c>
      <c r="I92" s="19">
        <v>-89469444</v>
      </c>
      <c r="J92" t="s">
        <v>56</v>
      </c>
      <c r="K92" t="s">
        <v>1</v>
      </c>
      <c r="L92" t="s">
        <v>39</v>
      </c>
      <c r="M92" t="s">
        <v>41</v>
      </c>
      <c r="N92" t="s">
        <v>254</v>
      </c>
      <c r="O92" t="s">
        <v>4</v>
      </c>
      <c r="P92" t="s">
        <v>2314</v>
      </c>
      <c r="Q92" t="s">
        <v>31</v>
      </c>
      <c r="R92" t="s">
        <v>5</v>
      </c>
      <c r="S92" t="s">
        <v>1</v>
      </c>
      <c r="T92" s="3">
        <v>-89469444</v>
      </c>
      <c r="U92" s="19">
        <v>-89469444</v>
      </c>
      <c r="V92" s="3">
        <v>-89469444</v>
      </c>
      <c r="W92" s="3">
        <v>-89469444</v>
      </c>
      <c r="X92" s="4">
        <v>0</v>
      </c>
      <c r="Y92" s="4">
        <v>0</v>
      </c>
      <c r="Z92" s="3">
        <v>0</v>
      </c>
      <c r="AA92" s="3">
        <v>0</v>
      </c>
      <c r="AB92" t="s">
        <v>1</v>
      </c>
      <c r="AC92" t="s">
        <v>24</v>
      </c>
      <c r="AD92" s="2"/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25</v>
      </c>
      <c r="AK92" s="4">
        <v>0</v>
      </c>
      <c r="AL92" t="s">
        <v>1</v>
      </c>
      <c r="AM92" s="5" t="s">
        <v>1</v>
      </c>
      <c r="AN92" t="s">
        <v>1</v>
      </c>
      <c r="AO92" s="2"/>
      <c r="AP92" t="s">
        <v>1</v>
      </c>
      <c r="AQ92" t="s">
        <v>1</v>
      </c>
      <c r="AR92" s="3">
        <v>0</v>
      </c>
      <c r="AS92" t="s">
        <v>1</v>
      </c>
      <c r="AT92" t="s">
        <v>7</v>
      </c>
      <c r="AU92" t="s">
        <v>1</v>
      </c>
      <c r="AV92" t="s">
        <v>1</v>
      </c>
      <c r="AW92" t="s">
        <v>8</v>
      </c>
      <c r="AX92" t="s">
        <v>8</v>
      </c>
      <c r="AY92" t="s">
        <v>1</v>
      </c>
      <c r="AZ92" s="4">
        <v>0</v>
      </c>
      <c r="BA92" t="s">
        <v>1</v>
      </c>
      <c r="BB92" s="3">
        <v>0</v>
      </c>
      <c r="BC92" s="3">
        <v>0</v>
      </c>
      <c r="BD92" s="3">
        <v>0</v>
      </c>
      <c r="BE92" t="s">
        <v>20</v>
      </c>
      <c r="BF92" t="s">
        <v>1</v>
      </c>
      <c r="BG92" s="4">
        <v>0</v>
      </c>
      <c r="BH92" s="4">
        <v>0</v>
      </c>
      <c r="BI92" s="6">
        <v>0</v>
      </c>
      <c r="BJ92" s="6">
        <v>0</v>
      </c>
      <c r="BK92" t="s">
        <v>1</v>
      </c>
      <c r="BL92" t="s">
        <v>1</v>
      </c>
      <c r="BM92" t="s">
        <v>1</v>
      </c>
      <c r="BN92" t="s">
        <v>9</v>
      </c>
      <c r="BO92" s="2">
        <v>46119</v>
      </c>
      <c r="BP92" t="s">
        <v>1</v>
      </c>
      <c r="BQ92" t="s">
        <v>2313</v>
      </c>
      <c r="BR92" t="s">
        <v>27</v>
      </c>
      <c r="BS92" t="s">
        <v>1</v>
      </c>
      <c r="BT92" t="s">
        <v>1</v>
      </c>
      <c r="BU92" t="s">
        <v>1</v>
      </c>
      <c r="BV92" t="s">
        <v>1</v>
      </c>
      <c r="BW92" t="s">
        <v>7</v>
      </c>
      <c r="BX92" t="s">
        <v>10</v>
      </c>
      <c r="BY92" s="2"/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254</v>
      </c>
      <c r="CJ92" s="3">
        <v>-89469444</v>
      </c>
      <c r="CK92" t="s">
        <v>9</v>
      </c>
      <c r="CL92" t="s">
        <v>11</v>
      </c>
      <c r="CM92" t="s">
        <v>1</v>
      </c>
      <c r="CN92" s="4">
        <v>0</v>
      </c>
      <c r="CO92" t="s">
        <v>7</v>
      </c>
      <c r="CP92" t="s">
        <v>7</v>
      </c>
      <c r="CQ92" t="s">
        <v>7</v>
      </c>
      <c r="CR92" t="s">
        <v>7</v>
      </c>
      <c r="CS92" s="4">
        <v>0</v>
      </c>
      <c r="CT92" t="s">
        <v>2313</v>
      </c>
      <c r="CU92" t="s">
        <v>7</v>
      </c>
      <c r="CV92" t="s">
        <v>1</v>
      </c>
      <c r="CW92" s="2"/>
      <c r="CX92" t="s">
        <v>12</v>
      </c>
      <c r="CY92" t="s">
        <v>1</v>
      </c>
      <c r="CZ92" t="s">
        <v>13</v>
      </c>
      <c r="DA92" t="s">
        <v>1</v>
      </c>
      <c r="DB92" t="s">
        <v>9</v>
      </c>
      <c r="DC92" t="s">
        <v>9</v>
      </c>
      <c r="DD92" t="s">
        <v>1</v>
      </c>
      <c r="DE92" t="s">
        <v>1</v>
      </c>
      <c r="DF92" t="s">
        <v>1</v>
      </c>
      <c r="DG92" t="s">
        <v>262</v>
      </c>
      <c r="DH92" t="s">
        <v>1</v>
      </c>
      <c r="DI92" s="2"/>
      <c r="DJ92" t="s">
        <v>1</v>
      </c>
      <c r="DK92" t="s">
        <v>14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s="2"/>
      <c r="DW92" t="s">
        <v>1</v>
      </c>
      <c r="DX92" t="s">
        <v>1</v>
      </c>
      <c r="DY92" t="s">
        <v>2315</v>
      </c>
      <c r="DZ92" t="s">
        <v>1</v>
      </c>
      <c r="EA92" t="s">
        <v>1</v>
      </c>
      <c r="EB92" t="s">
        <v>28</v>
      </c>
      <c r="EC92" t="s">
        <v>7</v>
      </c>
      <c r="ED92" t="s">
        <v>1</v>
      </c>
      <c r="EE92" t="s">
        <v>1</v>
      </c>
      <c r="EF92" t="s">
        <v>22</v>
      </c>
      <c r="EG92" t="s">
        <v>41</v>
      </c>
      <c r="EH92" t="s">
        <v>15</v>
      </c>
      <c r="EI92" t="s">
        <v>1</v>
      </c>
      <c r="EJ92" s="4">
        <v>-6234</v>
      </c>
      <c r="EK92" t="s">
        <v>1</v>
      </c>
      <c r="EL92" t="s">
        <v>1</v>
      </c>
      <c r="EM92" t="s">
        <v>1</v>
      </c>
      <c r="EN92" t="s">
        <v>1</v>
      </c>
      <c r="EO92" s="2"/>
      <c r="EP92" t="s">
        <v>2315</v>
      </c>
      <c r="EQ92" t="s">
        <v>1</v>
      </c>
      <c r="ER92" t="s">
        <v>1</v>
      </c>
      <c r="ES92" t="s">
        <v>1</v>
      </c>
      <c r="ET92" t="s">
        <v>29</v>
      </c>
      <c r="EU92" t="s">
        <v>1</v>
      </c>
      <c r="EV92" t="s">
        <v>1</v>
      </c>
      <c r="EW92" t="s">
        <v>7</v>
      </c>
      <c r="EX92" t="s">
        <v>7</v>
      </c>
      <c r="EY92" t="s">
        <v>1</v>
      </c>
      <c r="EZ92" t="s">
        <v>1</v>
      </c>
      <c r="FA92" t="s">
        <v>1</v>
      </c>
      <c r="FB92" s="3">
        <v>50</v>
      </c>
      <c r="FC92" t="s">
        <v>1</v>
      </c>
      <c r="FD92" t="s">
        <v>1</v>
      </c>
      <c r="FE92" t="s">
        <v>1</v>
      </c>
      <c r="FF92" t="s">
        <v>17</v>
      </c>
      <c r="FG92" t="s">
        <v>1</v>
      </c>
      <c r="FH92" t="s">
        <v>1</v>
      </c>
      <c r="FI92" t="s">
        <v>1</v>
      </c>
      <c r="FJ92" t="s">
        <v>1</v>
      </c>
      <c r="FK92" s="7">
        <v>46119.379733796297</v>
      </c>
      <c r="FL92" t="s">
        <v>1</v>
      </c>
      <c r="FM92" t="s">
        <v>1</v>
      </c>
      <c r="FN92" t="s">
        <v>1</v>
      </c>
      <c r="FO92" s="19">
        <v>-89469444</v>
      </c>
      <c r="FP92" s="4">
        <v>0</v>
      </c>
      <c r="FQ92" s="19">
        <v>-89469444</v>
      </c>
      <c r="FR92" s="4">
        <v>0</v>
      </c>
      <c r="FS92" s="4">
        <v>0</v>
      </c>
      <c r="FT92" s="4">
        <v>0</v>
      </c>
      <c r="FU92" s="2">
        <v>46119</v>
      </c>
      <c r="FV92" t="s">
        <v>1</v>
      </c>
      <c r="FW92" s="4">
        <v>0</v>
      </c>
      <c r="FX92" t="s">
        <v>1</v>
      </c>
      <c r="FY92" t="s">
        <v>1</v>
      </c>
      <c r="FZ92" s="4">
        <v>0</v>
      </c>
      <c r="GA92" s="4">
        <v>0</v>
      </c>
      <c r="GB92" t="s">
        <v>2070</v>
      </c>
      <c r="GC92" t="str">
        <f>RIGHT(Data_FAGLL03[[#This Row],[Payment reference]],8)</f>
        <v>91172616</v>
      </c>
      <c r="GD92" t="str">
        <f>IF(Data_FAGLL03[[#This Row],[Billing]]&lt;&gt;"",_xlfn.XLOOKUP(Data_FAGLL03[[#This Row],[Billing]],MD_BILLING_SO[BILIING],MD_BILLING_SO[SO-EDITED]),"")</f>
        <v>30030731</v>
      </c>
      <c r="GE92" s="18">
        <f>IF(SUBSTITUTE(Data_FAGLL03[[#This Row],[Eff.exchange rate]],",","")/100000=1,1,SUBSTITUTE(Data_FAGLL03[[#This Row],[Eff.exchange rate]],",","")/100)</f>
        <v>1</v>
      </c>
      <c r="GF92" s="17">
        <f>IF(Data_FAGLL03[[#This Row],[Material]]&lt;&gt;"",IFERROR(Data_FAGLL03[[#This Row],[Amount in local currency]]/Data_FAGLL03[[#This Row],[Quantity_Original]],0),0)</f>
        <v>14351.851780558229</v>
      </c>
      <c r="GG92" s="18">
        <f>IF(Data_FAGLL03[[#This Row],[XK/NĐ]]="XK",Data_FAGLL03[[#This Row],[GB trung bình]]/Data_FAGLL03[[#This Row],[EXR]],0)*1000</f>
        <v>0</v>
      </c>
      <c r="GH92" s="18" cm="1">
        <f t="array" ref="GH92">IF(Data_FAGLL03[[#This Row],[Document currency]]&lt;&gt;"VND",Data_FAGLL03[[#This Row],[Amount in doc. curr.]],Data_FAGLL03[[#This Row],[Amount in local currency]]/EXR)</f>
        <v>-3408.0815320857328</v>
      </c>
      <c r="GI92" s="10">
        <f>Data_FAGLL03[[#This Row],[Time Stamp]]+TIME(7,0,0)</f>
        <v>46119.671400462961</v>
      </c>
      <c r="GJ92" s="18">
        <f>MONTH(Data_FAGLL03[[#This Row],[Time Stamp_VN]])</f>
        <v>4</v>
      </c>
      <c r="GK92">
        <f>DAY(Data_FAGLL03[[#This Row],[Time Stamp_VN]])</f>
        <v>7</v>
      </c>
      <c r="GL92" t="str">
        <f>TEXT(Data_FAGLL03[[#This Row],[Tháng]],"00")&amp;" | "&amp;TEXT(Data_FAGLL03[[#This Row],[Ngày]],"00")</f>
        <v>04 | 07</v>
      </c>
      <c r="GM92" s="18">
        <f>IF(Data_FAGLL03[[#This Row],[Text]]="",Data_FAGLL03[[#This Row],[Quantity_Original]],0)</f>
        <v>-6234</v>
      </c>
      <c r="GN92" s="18" t="str">
        <f>IF(Data_FAGLL03[[#This Row],[Quantity_Edited]]&lt;&gt;0,Data_FAGLL03[[#This Row],[Offsetting acct no.]]&amp;" | "&amp;Data_FAGLL03[[#This Row],[Material]],"")</f>
        <v>105324 | 160012951</v>
      </c>
      <c r="GO92" t="str">
        <f>IF(LEFT(Data_FAGLL03[[#This Row],[Offsetting acct no.]],1)="1","NĐ",IF(LEFT(Data_FAGLL03[[#This Row],[Offsetting acct no.]],1)="2","XK","Khác"))</f>
        <v>NĐ</v>
      </c>
      <c r="GP92" t="str">
        <f>IF(Data_FAGLL03[[#This Row],[Material]]&lt;&gt;"",_xlfn.XLOOKUP(Data_FAGLL03[[#This Row],[Material]],MD_SKU[Mã SKU],MD_SKU[Tên SKU]),"")</f>
        <v>Phó Sản HD Ép Hỗn Hợp Cuối SSR</v>
      </c>
      <c r="GQ92" t="str">
        <f>IF(Data_FAGLL03[[#This Row],[Material]]&lt;&gt;"",_xlfn.XLOOKUP(Data_FAGLL03[[#This Row],[Material]],MD_SKU[Mã SKU],MD_SKU[Nhóm SP 1]),"")</f>
        <v>Khác</v>
      </c>
      <c r="GR92" t="str">
        <f>IF(Data_FAGLL03[[#This Row],[Material]]&lt;&gt;"",_xlfn.XLOOKUP(Data_FAGLL03[[#This Row],[Material]],MD_SKU[Mã SKU],MD_SKU[Nhóm SP 2]),"")</f>
        <v>Phó sản</v>
      </c>
      <c r="GS92" t="str">
        <f>IF(Data_FAGLL03[[#This Row],[Material]]&lt;&gt;"",_xlfn.XLOOKUP(Data_FAGLL03[[#This Row],[Material]],MD_SKU[Mã SKU],MD_SKU[Nhóm SP 3]),"")</f>
        <v>Phó sản</v>
      </c>
      <c r="GT92" t="str">
        <f>IF(Data_FAGLL03[[#This Row],[Material]]&lt;&gt;"",_xlfn.XLOOKUP(Data_FAGLL03[[#This Row],[Material]],MD_SKU[Mã SKU],MD_SKU[Nhóm SP 4]),"")</f>
        <v>Phó sản</v>
      </c>
    </row>
    <row r="93" spans="1:202" x14ac:dyDescent="0.25">
      <c r="A93" t="s">
        <v>0</v>
      </c>
      <c r="B93" s="2">
        <v>46119</v>
      </c>
      <c r="C93" t="s">
        <v>2316</v>
      </c>
      <c r="D93" t="s">
        <v>1</v>
      </c>
      <c r="E93" t="s">
        <v>1</v>
      </c>
      <c r="F93" t="s">
        <v>31</v>
      </c>
      <c r="G93" t="s">
        <v>31</v>
      </c>
      <c r="H93" t="s">
        <v>258</v>
      </c>
      <c r="I93" s="19">
        <v>-709280000</v>
      </c>
      <c r="J93" t="s">
        <v>259</v>
      </c>
      <c r="K93" t="s">
        <v>1</v>
      </c>
      <c r="L93" t="s">
        <v>39</v>
      </c>
      <c r="M93" t="s">
        <v>41</v>
      </c>
      <c r="N93" t="s">
        <v>254</v>
      </c>
      <c r="O93" t="s">
        <v>4</v>
      </c>
      <c r="P93" t="s">
        <v>2317</v>
      </c>
      <c r="Q93" t="s">
        <v>31</v>
      </c>
      <c r="R93" t="s">
        <v>5</v>
      </c>
      <c r="S93" t="s">
        <v>1</v>
      </c>
      <c r="T93" s="3">
        <v>-709280000</v>
      </c>
      <c r="U93" s="19">
        <v>-709280000</v>
      </c>
      <c r="V93" s="3">
        <v>-709280000</v>
      </c>
      <c r="W93" s="3">
        <v>-709280000</v>
      </c>
      <c r="X93" s="4">
        <v>0</v>
      </c>
      <c r="Y93" s="4">
        <v>0</v>
      </c>
      <c r="Z93" s="3">
        <v>0</v>
      </c>
      <c r="AA93" s="3">
        <v>0</v>
      </c>
      <c r="AB93" t="s">
        <v>1</v>
      </c>
      <c r="AC93" t="s">
        <v>24</v>
      </c>
      <c r="AD93" s="2"/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25</v>
      </c>
      <c r="AK93" s="4">
        <v>0</v>
      </c>
      <c r="AL93" t="s">
        <v>1</v>
      </c>
      <c r="AM93" s="5" t="s">
        <v>1</v>
      </c>
      <c r="AN93" t="s">
        <v>1</v>
      </c>
      <c r="AO93" s="2"/>
      <c r="AP93" t="s">
        <v>1</v>
      </c>
      <c r="AQ93" t="s">
        <v>1</v>
      </c>
      <c r="AR93" s="3">
        <v>0</v>
      </c>
      <c r="AS93" t="s">
        <v>1</v>
      </c>
      <c r="AT93" t="s">
        <v>7</v>
      </c>
      <c r="AU93" t="s">
        <v>1</v>
      </c>
      <c r="AV93" t="s">
        <v>1</v>
      </c>
      <c r="AW93" t="s">
        <v>8</v>
      </c>
      <c r="AX93" t="s">
        <v>8</v>
      </c>
      <c r="AY93" t="s">
        <v>1</v>
      </c>
      <c r="AZ93" s="4">
        <v>0</v>
      </c>
      <c r="BA93" t="s">
        <v>1</v>
      </c>
      <c r="BB93" s="3">
        <v>0</v>
      </c>
      <c r="BC93" s="3">
        <v>0</v>
      </c>
      <c r="BD93" s="3">
        <v>0</v>
      </c>
      <c r="BE93" t="s">
        <v>20</v>
      </c>
      <c r="BF93" t="s">
        <v>1</v>
      </c>
      <c r="BG93" s="4">
        <v>0</v>
      </c>
      <c r="BH93" s="4">
        <v>0</v>
      </c>
      <c r="BI93" s="6">
        <v>0</v>
      </c>
      <c r="BJ93" s="6">
        <v>0</v>
      </c>
      <c r="BK93" t="s">
        <v>1</v>
      </c>
      <c r="BL93" t="s">
        <v>1</v>
      </c>
      <c r="BM93" t="s">
        <v>1</v>
      </c>
      <c r="BN93" t="s">
        <v>9</v>
      </c>
      <c r="BO93" s="2">
        <v>46119</v>
      </c>
      <c r="BP93" t="s">
        <v>1</v>
      </c>
      <c r="BQ93" t="s">
        <v>2316</v>
      </c>
      <c r="BR93" t="s">
        <v>27</v>
      </c>
      <c r="BS93" t="s">
        <v>1</v>
      </c>
      <c r="BT93" t="s">
        <v>1</v>
      </c>
      <c r="BU93" t="s">
        <v>1</v>
      </c>
      <c r="BV93" t="s">
        <v>1</v>
      </c>
      <c r="BW93" t="s">
        <v>7</v>
      </c>
      <c r="BX93" t="s">
        <v>10</v>
      </c>
      <c r="BY93" s="2"/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254</v>
      </c>
      <c r="CJ93" s="3">
        <v>-709280000</v>
      </c>
      <c r="CK93" t="s">
        <v>9</v>
      </c>
      <c r="CL93" t="s">
        <v>11</v>
      </c>
      <c r="CM93" t="s">
        <v>1</v>
      </c>
      <c r="CN93" s="4">
        <v>0</v>
      </c>
      <c r="CO93" t="s">
        <v>7</v>
      </c>
      <c r="CP93" t="s">
        <v>7</v>
      </c>
      <c r="CQ93" t="s">
        <v>7</v>
      </c>
      <c r="CR93" t="s">
        <v>7</v>
      </c>
      <c r="CS93" s="4">
        <v>0</v>
      </c>
      <c r="CT93" t="s">
        <v>2316</v>
      </c>
      <c r="CU93" t="s">
        <v>7</v>
      </c>
      <c r="CV93" t="s">
        <v>1</v>
      </c>
      <c r="CW93" s="2"/>
      <c r="CX93" t="s">
        <v>12</v>
      </c>
      <c r="CY93" t="s">
        <v>1</v>
      </c>
      <c r="CZ93" t="s">
        <v>13</v>
      </c>
      <c r="DA93" t="s">
        <v>1</v>
      </c>
      <c r="DB93" t="s">
        <v>9</v>
      </c>
      <c r="DC93" t="s">
        <v>9</v>
      </c>
      <c r="DD93" t="s">
        <v>1</v>
      </c>
      <c r="DE93" t="s">
        <v>1</v>
      </c>
      <c r="DF93" t="s">
        <v>1</v>
      </c>
      <c r="DG93" t="s">
        <v>32</v>
      </c>
      <c r="DH93" t="s">
        <v>1</v>
      </c>
      <c r="DI93" s="2"/>
      <c r="DJ93" t="s">
        <v>1</v>
      </c>
      <c r="DK93" t="s">
        <v>14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s="2"/>
      <c r="DW93" t="s">
        <v>1</v>
      </c>
      <c r="DX93" t="s">
        <v>1</v>
      </c>
      <c r="DY93" t="s">
        <v>2318</v>
      </c>
      <c r="DZ93" t="s">
        <v>1</v>
      </c>
      <c r="EA93" t="s">
        <v>1</v>
      </c>
      <c r="EB93" t="s">
        <v>28</v>
      </c>
      <c r="EC93" t="s">
        <v>7</v>
      </c>
      <c r="ED93" t="s">
        <v>1</v>
      </c>
      <c r="EE93" t="s">
        <v>1</v>
      </c>
      <c r="EF93" t="s">
        <v>22</v>
      </c>
      <c r="EG93" t="s">
        <v>41</v>
      </c>
      <c r="EH93" t="s">
        <v>15</v>
      </c>
      <c r="EI93" t="s">
        <v>1</v>
      </c>
      <c r="EJ93" s="4">
        <v>-22000</v>
      </c>
      <c r="EK93" t="s">
        <v>1</v>
      </c>
      <c r="EL93" t="s">
        <v>1</v>
      </c>
      <c r="EM93" t="s">
        <v>1</v>
      </c>
      <c r="EN93" t="s">
        <v>1</v>
      </c>
      <c r="EO93" s="2"/>
      <c r="EP93" t="s">
        <v>2318</v>
      </c>
      <c r="EQ93" t="s">
        <v>1</v>
      </c>
      <c r="ER93" t="s">
        <v>1</v>
      </c>
      <c r="ES93" t="s">
        <v>1</v>
      </c>
      <c r="ET93" t="s">
        <v>29</v>
      </c>
      <c r="EU93" t="s">
        <v>1</v>
      </c>
      <c r="EV93" t="s">
        <v>1</v>
      </c>
      <c r="EW93" t="s">
        <v>7</v>
      </c>
      <c r="EX93" t="s">
        <v>7</v>
      </c>
      <c r="EY93" t="s">
        <v>1</v>
      </c>
      <c r="EZ93" t="s">
        <v>1</v>
      </c>
      <c r="FA93" t="s">
        <v>1</v>
      </c>
      <c r="FB93" s="3">
        <v>50</v>
      </c>
      <c r="FC93" t="s">
        <v>1</v>
      </c>
      <c r="FD93" t="s">
        <v>1</v>
      </c>
      <c r="FE93" t="s">
        <v>1</v>
      </c>
      <c r="FF93" t="s">
        <v>17</v>
      </c>
      <c r="FG93" t="s">
        <v>1</v>
      </c>
      <c r="FH93" t="s">
        <v>1</v>
      </c>
      <c r="FI93" t="s">
        <v>1</v>
      </c>
      <c r="FJ93" t="s">
        <v>1</v>
      </c>
      <c r="FK93" s="7">
        <v>46119.436041666668</v>
      </c>
      <c r="FL93" t="s">
        <v>1</v>
      </c>
      <c r="FM93" t="s">
        <v>1</v>
      </c>
      <c r="FN93" t="s">
        <v>1</v>
      </c>
      <c r="FO93" s="19">
        <v>-709280000</v>
      </c>
      <c r="FP93" s="4">
        <v>0</v>
      </c>
      <c r="FQ93" s="19">
        <v>-709280000</v>
      </c>
      <c r="FR93" s="4">
        <v>0</v>
      </c>
      <c r="FS93" s="4">
        <v>0</v>
      </c>
      <c r="FT93" s="4">
        <v>0</v>
      </c>
      <c r="FU93" s="2">
        <v>46119</v>
      </c>
      <c r="FV93" t="s">
        <v>1</v>
      </c>
      <c r="FW93" s="4">
        <v>0</v>
      </c>
      <c r="FX93" t="s">
        <v>1</v>
      </c>
      <c r="FY93" t="s">
        <v>1</v>
      </c>
      <c r="FZ93" s="4">
        <v>0</v>
      </c>
      <c r="GA93" s="4">
        <v>0</v>
      </c>
      <c r="GB93" t="s">
        <v>2070</v>
      </c>
      <c r="GC93" t="str">
        <f>RIGHT(Data_FAGLL03[[#This Row],[Payment reference]],8)</f>
        <v>91172622</v>
      </c>
      <c r="GD93" t="str">
        <f>IF(Data_FAGLL03[[#This Row],[Billing]]&lt;&gt;"",_xlfn.XLOOKUP(Data_FAGLL03[[#This Row],[Billing]],MD_BILLING_SO[BILIING],MD_BILLING_SO[SO-EDITED]),"")</f>
        <v>30030652</v>
      </c>
      <c r="GE93" s="18">
        <f>IF(SUBSTITUTE(Data_FAGLL03[[#This Row],[Eff.exchange rate]],",","")/100000=1,1,SUBSTITUTE(Data_FAGLL03[[#This Row],[Eff.exchange rate]],",","")/100)</f>
        <v>1</v>
      </c>
      <c r="GF93" s="17">
        <f>IF(Data_FAGLL03[[#This Row],[Material]]&lt;&gt;"",IFERROR(Data_FAGLL03[[#This Row],[Amount in local currency]]/Data_FAGLL03[[#This Row],[Quantity_Original]],0),0)</f>
        <v>32240</v>
      </c>
      <c r="GG93" s="18">
        <f>IF(Data_FAGLL03[[#This Row],[XK/NĐ]]="XK",Data_FAGLL03[[#This Row],[GB trung bình]]/Data_FAGLL03[[#This Row],[EXR]],0)*1000</f>
        <v>0</v>
      </c>
      <c r="GH93" s="18" cm="1">
        <f t="array" ref="GH93">IF(Data_FAGLL03[[#This Row],[Document currency]]&lt;&gt;"VND",Data_FAGLL03[[#This Row],[Amount in doc. curr.]],Data_FAGLL03[[#This Row],[Amount in local currency]]/EXR)</f>
        <v>-27017.984699645262</v>
      </c>
      <c r="GI93" s="10">
        <f>Data_FAGLL03[[#This Row],[Time Stamp]]+TIME(7,0,0)</f>
        <v>46119.727708333332</v>
      </c>
      <c r="GJ93" s="18">
        <f>MONTH(Data_FAGLL03[[#This Row],[Time Stamp_VN]])</f>
        <v>4</v>
      </c>
      <c r="GK93">
        <f>DAY(Data_FAGLL03[[#This Row],[Time Stamp_VN]])</f>
        <v>7</v>
      </c>
      <c r="GL93" t="str">
        <f>TEXT(Data_FAGLL03[[#This Row],[Tháng]],"00")&amp;" | "&amp;TEXT(Data_FAGLL03[[#This Row],[Ngày]],"00")</f>
        <v>04 | 07</v>
      </c>
      <c r="GM93" s="18">
        <f>IF(Data_FAGLL03[[#This Row],[Text]]="",Data_FAGLL03[[#This Row],[Quantity_Original]],0)</f>
        <v>-22000</v>
      </c>
      <c r="GN93" s="18" t="str">
        <f>IF(Data_FAGLL03[[#This Row],[Quantity_Edited]]&lt;&gt;0,Data_FAGLL03[[#This Row],[Offsetting acct no.]]&amp;" | "&amp;Data_FAGLL03[[#This Row],[Material]],"")</f>
        <v>105194 | 110000332</v>
      </c>
      <c r="GO93" t="str">
        <f>IF(LEFT(Data_FAGLL03[[#This Row],[Offsetting acct no.]],1)="1","NĐ",IF(LEFT(Data_FAGLL03[[#This Row],[Offsetting acct no.]],1)="2","XK","Khác"))</f>
        <v>NĐ</v>
      </c>
      <c r="GP93" t="str">
        <f>IF(Data_FAGLL03[[#This Row],[Material]]&lt;&gt;"",_xlfn.XLOOKUP(Data_FAGLL03[[#This Row],[Material]],MD_SKU[Mã SKU],MD_SKU[Tên SKU]),"")</f>
        <v>Hạt nhựa rPET iSS01084G</v>
      </c>
      <c r="GQ93" t="str">
        <f>IF(Data_FAGLL03[[#This Row],[Material]]&lt;&gt;"",_xlfn.XLOOKUP(Data_FAGLL03[[#This Row],[Material]],MD_SKU[Mã SKU],MD_SKU[Nhóm SP 1]),"")</f>
        <v>rPET</v>
      </c>
      <c r="GR93" t="str">
        <f>IF(Data_FAGLL03[[#This Row],[Material]]&lt;&gt;"",_xlfn.XLOOKUP(Data_FAGLL03[[#This Row],[Material]],MD_SKU[Mã SKU],MD_SKU[Nhóm SP 2]),"")</f>
        <v>rPET</v>
      </c>
      <c r="GS93" t="str">
        <f>IF(Data_FAGLL03[[#This Row],[Material]]&lt;&gt;"",_xlfn.XLOOKUP(Data_FAGLL03[[#This Row],[Material]],MD_SKU[Mã SKU],MD_SKU[Nhóm SP 3]),"")</f>
        <v>rPET</v>
      </c>
      <c r="GT93" t="str">
        <f>IF(Data_FAGLL03[[#This Row],[Material]]&lt;&gt;"",_xlfn.XLOOKUP(Data_FAGLL03[[#This Row],[Material]],MD_SKU[Mã SKU],MD_SKU[Nhóm SP 4]),"")</f>
        <v>Hạt rPET</v>
      </c>
    </row>
    <row r="94" spans="1:202" x14ac:dyDescent="0.25">
      <c r="A94" t="s">
        <v>0</v>
      </c>
      <c r="B94" s="2">
        <v>46120</v>
      </c>
      <c r="C94" t="s">
        <v>2319</v>
      </c>
      <c r="D94" t="s">
        <v>1</v>
      </c>
      <c r="E94" t="s">
        <v>1</v>
      </c>
      <c r="F94" t="s">
        <v>31</v>
      </c>
      <c r="G94" t="s">
        <v>31</v>
      </c>
      <c r="H94" t="s">
        <v>2013</v>
      </c>
      <c r="I94" s="19">
        <v>-251930500</v>
      </c>
      <c r="J94" t="s">
        <v>2014</v>
      </c>
      <c r="K94" t="s">
        <v>1</v>
      </c>
      <c r="L94" t="s">
        <v>39</v>
      </c>
      <c r="M94" t="s">
        <v>41</v>
      </c>
      <c r="N94" t="s">
        <v>254</v>
      </c>
      <c r="O94" t="s">
        <v>4</v>
      </c>
      <c r="P94" t="s">
        <v>2320</v>
      </c>
      <c r="Q94" t="s">
        <v>31</v>
      </c>
      <c r="R94" t="s">
        <v>5</v>
      </c>
      <c r="S94" t="s">
        <v>1</v>
      </c>
      <c r="T94" s="3">
        <v>-251930500</v>
      </c>
      <c r="U94" s="19">
        <v>-251930500</v>
      </c>
      <c r="V94" s="3">
        <v>-251930500</v>
      </c>
      <c r="W94" s="3">
        <v>-251930500</v>
      </c>
      <c r="X94" s="4">
        <v>0</v>
      </c>
      <c r="Y94" s="4">
        <v>0</v>
      </c>
      <c r="Z94" s="3">
        <v>0</v>
      </c>
      <c r="AA94" s="3">
        <v>0</v>
      </c>
      <c r="AB94" t="s">
        <v>1</v>
      </c>
      <c r="AC94" t="s">
        <v>24</v>
      </c>
      <c r="AD94" s="2"/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25</v>
      </c>
      <c r="AK94" s="4">
        <v>0</v>
      </c>
      <c r="AL94" t="s">
        <v>1</v>
      </c>
      <c r="AM94" s="5" t="s">
        <v>1</v>
      </c>
      <c r="AN94" t="s">
        <v>1</v>
      </c>
      <c r="AO94" s="2"/>
      <c r="AP94" t="s">
        <v>1</v>
      </c>
      <c r="AQ94" t="s">
        <v>1</v>
      </c>
      <c r="AR94" s="3">
        <v>0</v>
      </c>
      <c r="AS94" t="s">
        <v>1</v>
      </c>
      <c r="AT94" t="s">
        <v>7</v>
      </c>
      <c r="AU94" t="s">
        <v>1</v>
      </c>
      <c r="AV94" t="s">
        <v>1</v>
      </c>
      <c r="AW94" t="s">
        <v>8</v>
      </c>
      <c r="AX94" t="s">
        <v>8</v>
      </c>
      <c r="AY94" t="s">
        <v>1</v>
      </c>
      <c r="AZ94" s="4">
        <v>0</v>
      </c>
      <c r="BA94" t="s">
        <v>1</v>
      </c>
      <c r="BB94" s="3">
        <v>0</v>
      </c>
      <c r="BC94" s="3">
        <v>0</v>
      </c>
      <c r="BD94" s="3">
        <v>0</v>
      </c>
      <c r="BE94" t="s">
        <v>20</v>
      </c>
      <c r="BF94" t="s">
        <v>1</v>
      </c>
      <c r="BG94" s="4">
        <v>0</v>
      </c>
      <c r="BH94" s="4">
        <v>0</v>
      </c>
      <c r="BI94" s="6">
        <v>0</v>
      </c>
      <c r="BJ94" s="6">
        <v>0</v>
      </c>
      <c r="BK94" t="s">
        <v>1</v>
      </c>
      <c r="BL94" t="s">
        <v>1</v>
      </c>
      <c r="BM94" t="s">
        <v>1</v>
      </c>
      <c r="BN94" t="s">
        <v>9</v>
      </c>
      <c r="BO94" s="2">
        <v>46120</v>
      </c>
      <c r="BP94" t="s">
        <v>1</v>
      </c>
      <c r="BQ94" t="s">
        <v>2319</v>
      </c>
      <c r="BR94" t="s">
        <v>27</v>
      </c>
      <c r="BS94" t="s">
        <v>1</v>
      </c>
      <c r="BT94" t="s">
        <v>1</v>
      </c>
      <c r="BU94" t="s">
        <v>1</v>
      </c>
      <c r="BV94" t="s">
        <v>1</v>
      </c>
      <c r="BW94" t="s">
        <v>7</v>
      </c>
      <c r="BX94" t="s">
        <v>10</v>
      </c>
      <c r="BY94" s="2"/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254</v>
      </c>
      <c r="CJ94" s="3">
        <v>-251930500</v>
      </c>
      <c r="CK94" t="s">
        <v>9</v>
      </c>
      <c r="CL94" t="s">
        <v>11</v>
      </c>
      <c r="CM94" t="s">
        <v>1</v>
      </c>
      <c r="CN94" s="4">
        <v>0</v>
      </c>
      <c r="CO94" t="s">
        <v>7</v>
      </c>
      <c r="CP94" t="s">
        <v>7</v>
      </c>
      <c r="CQ94" t="s">
        <v>7</v>
      </c>
      <c r="CR94" t="s">
        <v>7</v>
      </c>
      <c r="CS94" s="4">
        <v>0</v>
      </c>
      <c r="CT94" t="s">
        <v>2319</v>
      </c>
      <c r="CU94" t="s">
        <v>7</v>
      </c>
      <c r="CV94" t="s">
        <v>1</v>
      </c>
      <c r="CW94" s="2"/>
      <c r="CX94" t="s">
        <v>12</v>
      </c>
      <c r="CY94" t="s">
        <v>1</v>
      </c>
      <c r="CZ94" t="s">
        <v>13</v>
      </c>
      <c r="DA94" t="s">
        <v>1</v>
      </c>
      <c r="DB94" t="s">
        <v>9</v>
      </c>
      <c r="DC94" t="s">
        <v>9</v>
      </c>
      <c r="DD94" t="s">
        <v>1</v>
      </c>
      <c r="DE94" t="s">
        <v>1</v>
      </c>
      <c r="DF94" t="s">
        <v>1</v>
      </c>
      <c r="DG94" t="s">
        <v>2057</v>
      </c>
      <c r="DH94" t="s">
        <v>1</v>
      </c>
      <c r="DI94" s="2"/>
      <c r="DJ94" t="s">
        <v>1</v>
      </c>
      <c r="DK94" t="s">
        <v>14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s="2"/>
      <c r="DW94" t="s">
        <v>1</v>
      </c>
      <c r="DX94" t="s">
        <v>1</v>
      </c>
      <c r="DY94" t="s">
        <v>2321</v>
      </c>
      <c r="DZ94" t="s">
        <v>1</v>
      </c>
      <c r="EA94" t="s">
        <v>1</v>
      </c>
      <c r="EB94" t="s">
        <v>28</v>
      </c>
      <c r="EC94" t="s">
        <v>7</v>
      </c>
      <c r="ED94" t="s">
        <v>1</v>
      </c>
      <c r="EE94" t="s">
        <v>1</v>
      </c>
      <c r="EF94" t="s">
        <v>22</v>
      </c>
      <c r="EG94" t="s">
        <v>41</v>
      </c>
      <c r="EH94" t="s">
        <v>15</v>
      </c>
      <c r="EI94" t="s">
        <v>1</v>
      </c>
      <c r="EJ94" s="4">
        <v>-26519</v>
      </c>
      <c r="EK94" t="s">
        <v>1</v>
      </c>
      <c r="EL94" t="s">
        <v>1</v>
      </c>
      <c r="EM94" t="s">
        <v>1</v>
      </c>
      <c r="EN94" t="s">
        <v>1</v>
      </c>
      <c r="EO94" s="2"/>
      <c r="EP94" t="s">
        <v>2321</v>
      </c>
      <c r="EQ94" t="s">
        <v>1</v>
      </c>
      <c r="ER94" t="s">
        <v>1</v>
      </c>
      <c r="ES94" t="s">
        <v>1</v>
      </c>
      <c r="ET94" t="s">
        <v>29</v>
      </c>
      <c r="EU94" t="s">
        <v>1</v>
      </c>
      <c r="EV94" t="s">
        <v>1</v>
      </c>
      <c r="EW94" t="s">
        <v>7</v>
      </c>
      <c r="EX94" t="s">
        <v>7</v>
      </c>
      <c r="EY94" t="s">
        <v>1</v>
      </c>
      <c r="EZ94" t="s">
        <v>1</v>
      </c>
      <c r="FA94" t="s">
        <v>1</v>
      </c>
      <c r="FB94" s="3">
        <v>50</v>
      </c>
      <c r="FC94" t="s">
        <v>1</v>
      </c>
      <c r="FD94" t="s">
        <v>1</v>
      </c>
      <c r="FE94" t="s">
        <v>1</v>
      </c>
      <c r="FF94" t="s">
        <v>17</v>
      </c>
      <c r="FG94" t="s">
        <v>1</v>
      </c>
      <c r="FH94" t="s">
        <v>1</v>
      </c>
      <c r="FI94" t="s">
        <v>1</v>
      </c>
      <c r="FJ94" t="s">
        <v>1</v>
      </c>
      <c r="FK94" s="7">
        <v>46120.186990740738</v>
      </c>
      <c r="FL94" t="s">
        <v>1</v>
      </c>
      <c r="FM94" t="s">
        <v>1</v>
      </c>
      <c r="FN94" t="s">
        <v>1</v>
      </c>
      <c r="FO94" s="19">
        <v>-251930500</v>
      </c>
      <c r="FP94" s="4">
        <v>0</v>
      </c>
      <c r="FQ94" s="19">
        <v>-251930500</v>
      </c>
      <c r="FR94" s="4">
        <v>0</v>
      </c>
      <c r="FS94" s="4">
        <v>0</v>
      </c>
      <c r="FT94" s="4">
        <v>0</v>
      </c>
      <c r="FU94" s="2">
        <v>46120</v>
      </c>
      <c r="FV94" t="s">
        <v>1</v>
      </c>
      <c r="FW94" s="4">
        <v>0</v>
      </c>
      <c r="FX94" t="s">
        <v>1</v>
      </c>
      <c r="FY94" t="s">
        <v>1</v>
      </c>
      <c r="FZ94" s="4">
        <v>0</v>
      </c>
      <c r="GA94" s="4">
        <v>0</v>
      </c>
      <c r="GB94" t="s">
        <v>2070</v>
      </c>
      <c r="GC94" t="str">
        <f>RIGHT(Data_FAGLL03[[#This Row],[Payment reference]],8)</f>
        <v>91172626</v>
      </c>
      <c r="GD94" t="str">
        <f>IF(Data_FAGLL03[[#This Row],[Billing]]&lt;&gt;"",_xlfn.XLOOKUP(Data_FAGLL03[[#This Row],[Billing]],MD_BILLING_SO[BILIING],MD_BILLING_SO[SO-EDITED]),"")</f>
        <v>30030690</v>
      </c>
      <c r="GE94" s="18">
        <f>IF(SUBSTITUTE(Data_FAGLL03[[#This Row],[Eff.exchange rate]],",","")/100000=1,1,SUBSTITUTE(Data_FAGLL03[[#This Row],[Eff.exchange rate]],",","")/100)</f>
        <v>1</v>
      </c>
      <c r="GF94" s="17">
        <f>IF(Data_FAGLL03[[#This Row],[Material]]&lt;&gt;"",IFERROR(Data_FAGLL03[[#This Row],[Amount in local currency]]/Data_FAGLL03[[#This Row],[Quantity_Original]],0),0)</f>
        <v>9500</v>
      </c>
      <c r="GG94" s="18">
        <f>IF(Data_FAGLL03[[#This Row],[XK/NĐ]]="XK",Data_FAGLL03[[#This Row],[GB trung bình]]/Data_FAGLL03[[#This Row],[EXR]],0)*1000</f>
        <v>0</v>
      </c>
      <c r="GH94" s="18" cm="1">
        <f t="array" ref="GH94">IF(Data_FAGLL03[[#This Row],[Document currency]]&lt;&gt;"VND",Data_FAGLL03[[#This Row],[Amount in doc. curr.]],Data_FAGLL03[[#This Row],[Amount in local currency]]/EXR)</f>
        <v>-9596.5689070239969</v>
      </c>
      <c r="GI94" s="10">
        <f>Data_FAGLL03[[#This Row],[Time Stamp]]+TIME(7,0,0)</f>
        <v>46120.478657407402</v>
      </c>
      <c r="GJ94" s="18">
        <f>MONTH(Data_FAGLL03[[#This Row],[Time Stamp_VN]])</f>
        <v>4</v>
      </c>
      <c r="GK94">
        <f>DAY(Data_FAGLL03[[#This Row],[Time Stamp_VN]])</f>
        <v>8</v>
      </c>
      <c r="GL94" t="str">
        <f>TEXT(Data_FAGLL03[[#This Row],[Tháng]],"00")&amp;" | "&amp;TEXT(Data_FAGLL03[[#This Row],[Ngày]],"00")</f>
        <v>04 | 08</v>
      </c>
      <c r="GM94" s="18">
        <f>IF(Data_FAGLL03[[#This Row],[Text]]="",Data_FAGLL03[[#This Row],[Quantity_Original]],0)</f>
        <v>-26519</v>
      </c>
      <c r="GN94" s="18" t="str">
        <f>IF(Data_FAGLL03[[#This Row],[Quantity_Edited]]&lt;&gt;0,Data_FAGLL03[[#This Row],[Offsetting acct no.]]&amp;" | "&amp;Data_FAGLL03[[#This Row],[Material]],"")</f>
        <v>105371 | 160012334</v>
      </c>
      <c r="GO94" t="str">
        <f>IF(LEFT(Data_FAGLL03[[#This Row],[Offsetting acct no.]],1)="1","NĐ",IF(LEFT(Data_FAGLL03[[#This Row],[Offsetting acct no.]],1)="2","XK","Khác"))</f>
        <v>NĐ</v>
      </c>
      <c r="GP94" t="str">
        <f>IF(Data_FAGLL03[[#This Row],[Material]]&lt;&gt;"",_xlfn.XLOOKUP(Data_FAGLL03[[#This Row],[Material]],MD_SKU[Mã SKU],MD_SKU[Tên SKU]),"")</f>
        <v>Phó Sản PET Bụi Cám Sau Sàn Rung</v>
      </c>
      <c r="GQ94" t="str">
        <f>IF(Data_FAGLL03[[#This Row],[Material]]&lt;&gt;"",_xlfn.XLOOKUP(Data_FAGLL03[[#This Row],[Material]],MD_SKU[Mã SKU],MD_SKU[Nhóm SP 1]),"")</f>
        <v>Khác</v>
      </c>
      <c r="GR94" t="str">
        <f>IF(Data_FAGLL03[[#This Row],[Material]]&lt;&gt;"",_xlfn.XLOOKUP(Data_FAGLL03[[#This Row],[Material]],MD_SKU[Mã SKU],MD_SKU[Nhóm SP 2]),"")</f>
        <v>Phó sản</v>
      </c>
      <c r="GS94" t="str">
        <f>IF(Data_FAGLL03[[#This Row],[Material]]&lt;&gt;"",_xlfn.XLOOKUP(Data_FAGLL03[[#This Row],[Material]],MD_SKU[Mã SKU],MD_SKU[Nhóm SP 3]),"")</f>
        <v>Phó sản</v>
      </c>
      <c r="GT94" t="str">
        <f>IF(Data_FAGLL03[[#This Row],[Material]]&lt;&gt;"",_xlfn.XLOOKUP(Data_FAGLL03[[#This Row],[Material]],MD_SKU[Mã SKU],MD_SKU[Nhóm SP 4]),"")</f>
        <v>Phó sản</v>
      </c>
    </row>
    <row r="95" spans="1:202" x14ac:dyDescent="0.25">
      <c r="A95" t="s">
        <v>0</v>
      </c>
      <c r="B95" s="2">
        <v>46120</v>
      </c>
      <c r="C95" t="s">
        <v>2322</v>
      </c>
      <c r="D95" t="s">
        <v>1</v>
      </c>
      <c r="E95" t="s">
        <v>1</v>
      </c>
      <c r="F95" t="s">
        <v>31</v>
      </c>
      <c r="G95" t="s">
        <v>31</v>
      </c>
      <c r="H95" t="s">
        <v>2060</v>
      </c>
      <c r="I95" s="19">
        <v>-201022222</v>
      </c>
      <c r="J95" t="s">
        <v>2061</v>
      </c>
      <c r="K95" t="s">
        <v>1</v>
      </c>
      <c r="L95" t="s">
        <v>39</v>
      </c>
      <c r="M95" t="s">
        <v>41</v>
      </c>
      <c r="N95" t="s">
        <v>254</v>
      </c>
      <c r="O95" t="s">
        <v>4</v>
      </c>
      <c r="P95" t="s">
        <v>2323</v>
      </c>
      <c r="Q95" t="s">
        <v>31</v>
      </c>
      <c r="R95" t="s">
        <v>5</v>
      </c>
      <c r="S95" t="s">
        <v>1</v>
      </c>
      <c r="T95" s="3">
        <v>-201022222</v>
      </c>
      <c r="U95" s="19">
        <v>-201022222</v>
      </c>
      <c r="V95" s="3">
        <v>-201022222</v>
      </c>
      <c r="W95" s="3">
        <v>-201022222</v>
      </c>
      <c r="X95" s="4">
        <v>0</v>
      </c>
      <c r="Y95" s="4">
        <v>0</v>
      </c>
      <c r="Z95" s="3">
        <v>0</v>
      </c>
      <c r="AA95" s="3">
        <v>0</v>
      </c>
      <c r="AB95" t="s">
        <v>1</v>
      </c>
      <c r="AC95" t="s">
        <v>24</v>
      </c>
      <c r="AD95" s="2"/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25</v>
      </c>
      <c r="AK95" s="4">
        <v>0</v>
      </c>
      <c r="AL95" t="s">
        <v>1</v>
      </c>
      <c r="AM95" s="5" t="s">
        <v>1</v>
      </c>
      <c r="AN95" t="s">
        <v>1</v>
      </c>
      <c r="AO95" s="2"/>
      <c r="AP95" t="s">
        <v>1</v>
      </c>
      <c r="AQ95" t="s">
        <v>1</v>
      </c>
      <c r="AR95" s="3">
        <v>0</v>
      </c>
      <c r="AS95" t="s">
        <v>1</v>
      </c>
      <c r="AT95" t="s">
        <v>7</v>
      </c>
      <c r="AU95" t="s">
        <v>1</v>
      </c>
      <c r="AV95" t="s">
        <v>1</v>
      </c>
      <c r="AW95" t="s">
        <v>8</v>
      </c>
      <c r="AX95" t="s">
        <v>8</v>
      </c>
      <c r="AY95" t="s">
        <v>1</v>
      </c>
      <c r="AZ95" s="4">
        <v>0</v>
      </c>
      <c r="BA95" t="s">
        <v>1</v>
      </c>
      <c r="BB95" s="3">
        <v>0</v>
      </c>
      <c r="BC95" s="3">
        <v>0</v>
      </c>
      <c r="BD95" s="3">
        <v>0</v>
      </c>
      <c r="BE95" t="s">
        <v>20</v>
      </c>
      <c r="BF95" t="s">
        <v>1</v>
      </c>
      <c r="BG95" s="4">
        <v>0</v>
      </c>
      <c r="BH95" s="4">
        <v>0</v>
      </c>
      <c r="BI95" s="6">
        <v>0</v>
      </c>
      <c r="BJ95" s="6">
        <v>0</v>
      </c>
      <c r="BK95" t="s">
        <v>1</v>
      </c>
      <c r="BL95" t="s">
        <v>1</v>
      </c>
      <c r="BM95" t="s">
        <v>1</v>
      </c>
      <c r="BN95" t="s">
        <v>9</v>
      </c>
      <c r="BO95" s="2">
        <v>46120</v>
      </c>
      <c r="BP95" t="s">
        <v>1</v>
      </c>
      <c r="BQ95" t="s">
        <v>2322</v>
      </c>
      <c r="BR95" t="s">
        <v>27</v>
      </c>
      <c r="BS95" t="s">
        <v>1</v>
      </c>
      <c r="BT95" t="s">
        <v>1</v>
      </c>
      <c r="BU95" t="s">
        <v>1</v>
      </c>
      <c r="BV95" t="s">
        <v>1</v>
      </c>
      <c r="BW95" t="s">
        <v>7</v>
      </c>
      <c r="BX95" t="s">
        <v>10</v>
      </c>
      <c r="BY95" s="2"/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254</v>
      </c>
      <c r="CJ95" s="3">
        <v>-201022222</v>
      </c>
      <c r="CK95" t="s">
        <v>9</v>
      </c>
      <c r="CL95" t="s">
        <v>11</v>
      </c>
      <c r="CM95" t="s">
        <v>1</v>
      </c>
      <c r="CN95" s="4">
        <v>0</v>
      </c>
      <c r="CO95" t="s">
        <v>7</v>
      </c>
      <c r="CP95" t="s">
        <v>7</v>
      </c>
      <c r="CQ95" t="s">
        <v>7</v>
      </c>
      <c r="CR95" t="s">
        <v>7</v>
      </c>
      <c r="CS95" s="4">
        <v>0</v>
      </c>
      <c r="CT95" t="s">
        <v>2322</v>
      </c>
      <c r="CU95" t="s">
        <v>7</v>
      </c>
      <c r="CV95" t="s">
        <v>1</v>
      </c>
      <c r="CW95" s="2"/>
      <c r="CX95" t="s">
        <v>12</v>
      </c>
      <c r="CY95" t="s">
        <v>1</v>
      </c>
      <c r="CZ95" t="s">
        <v>13</v>
      </c>
      <c r="DA95" t="s">
        <v>1</v>
      </c>
      <c r="DB95" t="s">
        <v>9</v>
      </c>
      <c r="DC95" t="s">
        <v>9</v>
      </c>
      <c r="DD95" t="s">
        <v>1</v>
      </c>
      <c r="DE95" t="s">
        <v>1</v>
      </c>
      <c r="DF95" t="s">
        <v>1</v>
      </c>
      <c r="DG95" t="s">
        <v>1836</v>
      </c>
      <c r="DH95" t="s">
        <v>1</v>
      </c>
      <c r="DI95" s="2"/>
      <c r="DJ95" t="s">
        <v>1</v>
      </c>
      <c r="DK95" t="s">
        <v>14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s="2"/>
      <c r="DW95" t="s">
        <v>1</v>
      </c>
      <c r="DX95" t="s">
        <v>1</v>
      </c>
      <c r="DY95" t="s">
        <v>2324</v>
      </c>
      <c r="DZ95" t="s">
        <v>1</v>
      </c>
      <c r="EA95" t="s">
        <v>1</v>
      </c>
      <c r="EB95" t="s">
        <v>28</v>
      </c>
      <c r="EC95" t="s">
        <v>7</v>
      </c>
      <c r="ED95" t="s">
        <v>1</v>
      </c>
      <c r="EE95" t="s">
        <v>1</v>
      </c>
      <c r="EF95" t="s">
        <v>22</v>
      </c>
      <c r="EG95" t="s">
        <v>41</v>
      </c>
      <c r="EH95" t="s">
        <v>15</v>
      </c>
      <c r="EI95" t="s">
        <v>1</v>
      </c>
      <c r="EJ95" s="4">
        <v>-18092</v>
      </c>
      <c r="EK95" t="s">
        <v>1</v>
      </c>
      <c r="EL95" t="s">
        <v>1</v>
      </c>
      <c r="EM95" t="s">
        <v>1</v>
      </c>
      <c r="EN95" t="s">
        <v>1</v>
      </c>
      <c r="EO95" s="2"/>
      <c r="EP95" t="s">
        <v>2324</v>
      </c>
      <c r="EQ95" t="s">
        <v>1</v>
      </c>
      <c r="ER95" t="s">
        <v>1</v>
      </c>
      <c r="ES95" t="s">
        <v>1</v>
      </c>
      <c r="ET95" t="s">
        <v>29</v>
      </c>
      <c r="EU95" t="s">
        <v>1</v>
      </c>
      <c r="EV95" t="s">
        <v>1</v>
      </c>
      <c r="EW95" t="s">
        <v>7</v>
      </c>
      <c r="EX95" t="s">
        <v>7</v>
      </c>
      <c r="EY95" t="s">
        <v>1</v>
      </c>
      <c r="EZ95" t="s">
        <v>1</v>
      </c>
      <c r="FA95" t="s">
        <v>1</v>
      </c>
      <c r="FB95" s="3">
        <v>50</v>
      </c>
      <c r="FC95" t="s">
        <v>1</v>
      </c>
      <c r="FD95" t="s">
        <v>1</v>
      </c>
      <c r="FE95" t="s">
        <v>1</v>
      </c>
      <c r="FF95" t="s">
        <v>17</v>
      </c>
      <c r="FG95" t="s">
        <v>1</v>
      </c>
      <c r="FH95" t="s">
        <v>1</v>
      </c>
      <c r="FI95" t="s">
        <v>1</v>
      </c>
      <c r="FJ95" t="s">
        <v>1</v>
      </c>
      <c r="FK95" s="7">
        <v>46120.306539351855</v>
      </c>
      <c r="FL95" t="s">
        <v>1</v>
      </c>
      <c r="FM95" t="s">
        <v>1</v>
      </c>
      <c r="FN95" t="s">
        <v>1</v>
      </c>
      <c r="FO95" s="19">
        <v>-201022222</v>
      </c>
      <c r="FP95" s="4">
        <v>0</v>
      </c>
      <c r="FQ95" s="19">
        <v>-201022222</v>
      </c>
      <c r="FR95" s="4">
        <v>0</v>
      </c>
      <c r="FS95" s="4">
        <v>0</v>
      </c>
      <c r="FT95" s="4">
        <v>0</v>
      </c>
      <c r="FU95" s="2">
        <v>46120</v>
      </c>
      <c r="FV95" t="s">
        <v>1</v>
      </c>
      <c r="FW95" s="4">
        <v>0</v>
      </c>
      <c r="FX95" t="s">
        <v>1</v>
      </c>
      <c r="FY95" t="s">
        <v>1</v>
      </c>
      <c r="FZ95" s="4">
        <v>0</v>
      </c>
      <c r="GA95" s="4">
        <v>0</v>
      </c>
      <c r="GB95" t="s">
        <v>2070</v>
      </c>
      <c r="GC95" t="str">
        <f>RIGHT(Data_FAGLL03[[#This Row],[Payment reference]],8)</f>
        <v>91172627</v>
      </c>
      <c r="GD95" t="str">
        <f>IF(Data_FAGLL03[[#This Row],[Billing]]&lt;&gt;"",_xlfn.XLOOKUP(Data_FAGLL03[[#This Row],[Billing]],MD_BILLING_SO[BILIING],MD_BILLING_SO[SO-EDITED]),"")</f>
        <v>30030695</v>
      </c>
      <c r="GE95" s="18">
        <f>IF(SUBSTITUTE(Data_FAGLL03[[#This Row],[Eff.exchange rate]],",","")/100000=1,1,SUBSTITUTE(Data_FAGLL03[[#This Row],[Eff.exchange rate]],",","")/100)</f>
        <v>1</v>
      </c>
      <c r="GF95" s="17">
        <f>IF(Data_FAGLL03[[#This Row],[Material]]&lt;&gt;"",IFERROR(Data_FAGLL03[[#This Row],[Amount in local currency]]/Data_FAGLL03[[#This Row],[Quantity_Original]],0),0)</f>
        <v>11111.111098828211</v>
      </c>
      <c r="GG95" s="18">
        <f>IF(Data_FAGLL03[[#This Row],[XK/NĐ]]="XK",Data_FAGLL03[[#This Row],[GB trung bình]]/Data_FAGLL03[[#This Row],[EXR]],0)*1000</f>
        <v>0</v>
      </c>
      <c r="GH95" s="18" cm="1">
        <f t="array" ref="GH95">IF(Data_FAGLL03[[#This Row],[Document currency]]&lt;&gt;"VND",Data_FAGLL03[[#This Row],[Amount in doc. curr.]],Data_FAGLL03[[#This Row],[Amount in local currency]]/EXR)</f>
        <v>-7657.3642542926536</v>
      </c>
      <c r="GI95" s="10">
        <f>Data_FAGLL03[[#This Row],[Time Stamp]]+TIME(7,0,0)</f>
        <v>46120.59820601852</v>
      </c>
      <c r="GJ95" s="18">
        <f>MONTH(Data_FAGLL03[[#This Row],[Time Stamp_VN]])</f>
        <v>4</v>
      </c>
      <c r="GK95">
        <f>DAY(Data_FAGLL03[[#This Row],[Time Stamp_VN]])</f>
        <v>8</v>
      </c>
      <c r="GL95" t="str">
        <f>TEXT(Data_FAGLL03[[#This Row],[Tháng]],"00")&amp;" | "&amp;TEXT(Data_FAGLL03[[#This Row],[Ngày]],"00")</f>
        <v>04 | 08</v>
      </c>
      <c r="GM95" s="18">
        <f>IF(Data_FAGLL03[[#This Row],[Text]]="",Data_FAGLL03[[#This Row],[Quantity_Original]],0)</f>
        <v>-18092</v>
      </c>
      <c r="GN95" s="18" t="str">
        <f>IF(Data_FAGLL03[[#This Row],[Quantity_Edited]]&lt;&gt;0,Data_FAGLL03[[#This Row],[Offsetting acct no.]]&amp;" | "&amp;Data_FAGLL03[[#This Row],[Material]],"")</f>
        <v>105413 | 160012956</v>
      </c>
      <c r="GO95" t="str">
        <f>IF(LEFT(Data_FAGLL03[[#This Row],[Offsetting acct no.]],1)="1","NĐ",IF(LEFT(Data_FAGLL03[[#This Row],[Offsetting acct no.]],1)="2","XK","Khác"))</f>
        <v>NĐ</v>
      </c>
      <c r="GP95" t="str">
        <f>IF(Data_FAGLL03[[#This Row],[Material]]&lt;&gt;"",_xlfn.XLOOKUP(Data_FAGLL03[[#This Row],[Material]],MD_SKU[Mã SKU],MD_SKU[Tên SKU]),"")</f>
        <v>Vảy PET Tomra SLR</v>
      </c>
      <c r="GQ95" t="str">
        <f>IF(Data_FAGLL03[[#This Row],[Material]]&lt;&gt;"",_xlfn.XLOOKUP(Data_FAGLL03[[#This Row],[Material]],MD_SKU[Mã SKU],MD_SKU[Nhóm SP 1]),"")</f>
        <v>Khác</v>
      </c>
      <c r="GR95" t="str">
        <f>IF(Data_FAGLL03[[#This Row],[Material]]&lt;&gt;"",_xlfn.XLOOKUP(Data_FAGLL03[[#This Row],[Material]],MD_SKU[Mã SKU],MD_SKU[Nhóm SP 2]),"")</f>
        <v>Phó sản</v>
      </c>
      <c r="GS95" t="str">
        <f>IF(Data_FAGLL03[[#This Row],[Material]]&lt;&gt;"",_xlfn.XLOOKUP(Data_FAGLL03[[#This Row],[Material]],MD_SKU[Mã SKU],MD_SKU[Nhóm SP 3]),"")</f>
        <v>Phó sản</v>
      </c>
      <c r="GT95" t="str">
        <f>IF(Data_FAGLL03[[#This Row],[Material]]&lt;&gt;"",_xlfn.XLOOKUP(Data_FAGLL03[[#This Row],[Material]],MD_SKU[Mã SKU],MD_SKU[Nhóm SP 4]),"")</f>
        <v>Phó sản</v>
      </c>
    </row>
    <row r="96" spans="1:202" x14ac:dyDescent="0.25">
      <c r="A96" t="s">
        <v>0</v>
      </c>
      <c r="B96" s="2">
        <v>46121</v>
      </c>
      <c r="C96" t="s">
        <v>2325</v>
      </c>
      <c r="D96" t="s">
        <v>2326</v>
      </c>
      <c r="E96" t="s">
        <v>1</v>
      </c>
      <c r="F96" t="s">
        <v>31</v>
      </c>
      <c r="G96" t="s">
        <v>31</v>
      </c>
      <c r="H96" t="s">
        <v>2026</v>
      </c>
      <c r="I96" s="19">
        <v>-2004750</v>
      </c>
      <c r="J96" t="s">
        <v>2027</v>
      </c>
      <c r="K96" t="s">
        <v>1</v>
      </c>
      <c r="L96" t="s">
        <v>3</v>
      </c>
      <c r="M96" t="s">
        <v>41</v>
      </c>
      <c r="N96" t="s">
        <v>254</v>
      </c>
      <c r="O96" t="s">
        <v>4</v>
      </c>
      <c r="P96" t="s">
        <v>4</v>
      </c>
      <c r="Q96" t="s">
        <v>31</v>
      </c>
      <c r="R96" t="s">
        <v>5</v>
      </c>
      <c r="S96" t="s">
        <v>1</v>
      </c>
      <c r="T96" s="3">
        <v>-2004750</v>
      </c>
      <c r="U96" s="19">
        <v>-2004750</v>
      </c>
      <c r="V96" s="3">
        <v>-2004750</v>
      </c>
      <c r="W96" s="3">
        <v>-2004750</v>
      </c>
      <c r="X96" s="4">
        <v>0</v>
      </c>
      <c r="Y96" s="4">
        <v>0</v>
      </c>
      <c r="Z96" s="3">
        <v>0</v>
      </c>
      <c r="AA96" s="3">
        <v>0</v>
      </c>
      <c r="AB96" t="s">
        <v>1</v>
      </c>
      <c r="AC96" t="s">
        <v>24</v>
      </c>
      <c r="AD96" s="2"/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25</v>
      </c>
      <c r="AK96" s="4">
        <v>0</v>
      </c>
      <c r="AL96" t="s">
        <v>1</v>
      </c>
      <c r="AM96" s="5" t="s">
        <v>1</v>
      </c>
      <c r="AN96" t="s">
        <v>1</v>
      </c>
      <c r="AO96" s="2"/>
      <c r="AP96" t="s">
        <v>1</v>
      </c>
      <c r="AQ96" t="s">
        <v>1</v>
      </c>
      <c r="AR96" s="3">
        <v>0</v>
      </c>
      <c r="AS96" t="s">
        <v>1</v>
      </c>
      <c r="AT96" t="s">
        <v>7</v>
      </c>
      <c r="AU96" t="s">
        <v>1</v>
      </c>
      <c r="AV96" t="s">
        <v>1</v>
      </c>
      <c r="AW96" t="s">
        <v>8</v>
      </c>
      <c r="AX96" t="s">
        <v>8</v>
      </c>
      <c r="AY96" t="s">
        <v>1</v>
      </c>
      <c r="AZ96" s="4">
        <v>0</v>
      </c>
      <c r="BA96" t="s">
        <v>1</v>
      </c>
      <c r="BB96" s="3">
        <v>0</v>
      </c>
      <c r="BC96" s="3">
        <v>0</v>
      </c>
      <c r="BD96" s="3">
        <v>0</v>
      </c>
      <c r="BE96" t="s">
        <v>20</v>
      </c>
      <c r="BF96" t="s">
        <v>1</v>
      </c>
      <c r="BG96" s="4">
        <v>0</v>
      </c>
      <c r="BH96" s="4">
        <v>0</v>
      </c>
      <c r="BI96" s="6">
        <v>0</v>
      </c>
      <c r="BJ96" s="6">
        <v>0</v>
      </c>
      <c r="BK96" t="s">
        <v>1</v>
      </c>
      <c r="BL96" t="s">
        <v>1</v>
      </c>
      <c r="BM96" t="s">
        <v>1</v>
      </c>
      <c r="BN96" t="s">
        <v>9</v>
      </c>
      <c r="BO96" s="2">
        <v>46121</v>
      </c>
      <c r="BP96" t="s">
        <v>1</v>
      </c>
      <c r="BQ96" t="s">
        <v>2325</v>
      </c>
      <c r="BR96" t="s">
        <v>27</v>
      </c>
      <c r="BS96" t="s">
        <v>1</v>
      </c>
      <c r="BT96" t="s">
        <v>1</v>
      </c>
      <c r="BU96" t="s">
        <v>1</v>
      </c>
      <c r="BV96" t="s">
        <v>1</v>
      </c>
      <c r="BW96" t="s">
        <v>7</v>
      </c>
      <c r="BX96" t="s">
        <v>10</v>
      </c>
      <c r="BY96" s="2"/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254</v>
      </c>
      <c r="CJ96" s="3">
        <v>-2004750</v>
      </c>
      <c r="CK96" t="s">
        <v>9</v>
      </c>
      <c r="CL96" t="s">
        <v>11</v>
      </c>
      <c r="CM96" t="s">
        <v>1</v>
      </c>
      <c r="CN96" s="4">
        <v>0</v>
      </c>
      <c r="CO96" t="s">
        <v>7</v>
      </c>
      <c r="CP96" t="s">
        <v>7</v>
      </c>
      <c r="CQ96" t="s">
        <v>7</v>
      </c>
      <c r="CR96" t="s">
        <v>7</v>
      </c>
      <c r="CS96" s="4">
        <v>0</v>
      </c>
      <c r="CT96" t="s">
        <v>2325</v>
      </c>
      <c r="CU96" t="s">
        <v>7</v>
      </c>
      <c r="CV96" t="s">
        <v>1</v>
      </c>
      <c r="CW96" s="2"/>
      <c r="CX96" t="s">
        <v>12</v>
      </c>
      <c r="CY96" t="s">
        <v>1</v>
      </c>
      <c r="CZ96" t="s">
        <v>13</v>
      </c>
      <c r="DA96" t="s">
        <v>1</v>
      </c>
      <c r="DB96" t="s">
        <v>9</v>
      </c>
      <c r="DC96" t="s">
        <v>9</v>
      </c>
      <c r="DD96" t="s">
        <v>1</v>
      </c>
      <c r="DE96" t="s">
        <v>1</v>
      </c>
      <c r="DF96" t="s">
        <v>1</v>
      </c>
      <c r="DG96" t="s">
        <v>38</v>
      </c>
      <c r="DH96" t="s">
        <v>1</v>
      </c>
      <c r="DI96" s="2"/>
      <c r="DJ96" t="s">
        <v>1</v>
      </c>
      <c r="DK96" t="s">
        <v>14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s="2"/>
      <c r="DW96" t="s">
        <v>1</v>
      </c>
      <c r="DX96" t="s">
        <v>1</v>
      </c>
      <c r="DY96" t="s">
        <v>2327</v>
      </c>
      <c r="DZ96" t="s">
        <v>1</v>
      </c>
      <c r="EA96" t="s">
        <v>1</v>
      </c>
      <c r="EB96" t="s">
        <v>28</v>
      </c>
      <c r="EC96" t="s">
        <v>7</v>
      </c>
      <c r="ED96" t="s">
        <v>1</v>
      </c>
      <c r="EE96" t="s">
        <v>1</v>
      </c>
      <c r="EF96" t="s">
        <v>22</v>
      </c>
      <c r="EG96" t="s">
        <v>41</v>
      </c>
      <c r="EH96" t="s">
        <v>15</v>
      </c>
      <c r="EI96" t="s">
        <v>1</v>
      </c>
      <c r="EJ96" s="4">
        <v>-24750</v>
      </c>
      <c r="EK96" t="s">
        <v>1</v>
      </c>
      <c r="EL96" t="s">
        <v>1</v>
      </c>
      <c r="EM96" t="s">
        <v>1</v>
      </c>
      <c r="EN96" t="s">
        <v>1</v>
      </c>
      <c r="EO96" s="2"/>
      <c r="EP96" t="s">
        <v>2327</v>
      </c>
      <c r="EQ96" t="s">
        <v>1</v>
      </c>
      <c r="ER96" t="s">
        <v>1</v>
      </c>
      <c r="ES96" t="s">
        <v>1</v>
      </c>
      <c r="ET96" t="s">
        <v>29</v>
      </c>
      <c r="EU96" t="s">
        <v>1</v>
      </c>
      <c r="EV96" t="s">
        <v>1</v>
      </c>
      <c r="EW96" t="s">
        <v>7</v>
      </c>
      <c r="EX96" t="s">
        <v>7</v>
      </c>
      <c r="EY96" t="s">
        <v>1</v>
      </c>
      <c r="EZ96" t="s">
        <v>1</v>
      </c>
      <c r="FA96" t="s">
        <v>1</v>
      </c>
      <c r="FB96" s="3">
        <v>50</v>
      </c>
      <c r="FC96" t="s">
        <v>1</v>
      </c>
      <c r="FD96" t="s">
        <v>1</v>
      </c>
      <c r="FE96" t="s">
        <v>1</v>
      </c>
      <c r="FF96" t="s">
        <v>17</v>
      </c>
      <c r="FG96" t="s">
        <v>1</v>
      </c>
      <c r="FH96" t="s">
        <v>1</v>
      </c>
      <c r="FI96" t="s">
        <v>1</v>
      </c>
      <c r="FJ96" t="s">
        <v>1</v>
      </c>
      <c r="FK96" s="7">
        <v>46120.348668981482</v>
      </c>
      <c r="FL96" t="s">
        <v>1</v>
      </c>
      <c r="FM96" t="s">
        <v>1</v>
      </c>
      <c r="FN96" t="s">
        <v>1</v>
      </c>
      <c r="FO96" s="19">
        <v>-2004750</v>
      </c>
      <c r="FP96" s="4">
        <v>0</v>
      </c>
      <c r="FQ96" s="19">
        <v>-2004750</v>
      </c>
      <c r="FR96" s="4">
        <v>0</v>
      </c>
      <c r="FS96" s="4">
        <v>0</v>
      </c>
      <c r="FT96" s="4">
        <v>0</v>
      </c>
      <c r="FU96" s="2">
        <v>46120</v>
      </c>
      <c r="FV96" t="s">
        <v>1</v>
      </c>
      <c r="FW96" s="4">
        <v>0</v>
      </c>
      <c r="FX96" t="s">
        <v>1</v>
      </c>
      <c r="FY96" t="s">
        <v>1</v>
      </c>
      <c r="FZ96" s="4">
        <v>0</v>
      </c>
      <c r="GA96" s="4">
        <v>0</v>
      </c>
      <c r="GB96" t="s">
        <v>2070</v>
      </c>
      <c r="GC96" t="str">
        <f>RIGHT(Data_FAGLL03[[#This Row],[Payment reference]],8)</f>
        <v>91172630</v>
      </c>
      <c r="GD96" t="e">
        <f>IF(Data_FAGLL03[[#This Row],[Billing]]&lt;&gt;"",_xlfn.XLOOKUP(Data_FAGLL03[[#This Row],[Billing]],MD_BILLING_SO[BILIING],MD_BILLING_SO[SO-EDITED]),"")</f>
        <v>#N/A</v>
      </c>
      <c r="GE96" s="18">
        <f>IF(SUBSTITUTE(Data_FAGLL03[[#This Row],[Eff.exchange rate]],",","")/100000=1,1,SUBSTITUTE(Data_FAGLL03[[#This Row],[Eff.exchange rate]],",","")/100)</f>
        <v>1</v>
      </c>
      <c r="GF96" s="17">
        <f>IF(Data_FAGLL03[[#This Row],[Material]]&lt;&gt;"",IFERROR(Data_FAGLL03[[#This Row],[Amount in local currency]]/Data_FAGLL03[[#This Row],[Quantity_Original]],0),0)</f>
        <v>81</v>
      </c>
      <c r="GG96" s="18">
        <f>IF(Data_FAGLL03[[#This Row],[XK/NĐ]]="XK",Data_FAGLL03[[#This Row],[GB trung bình]]/Data_FAGLL03[[#This Row],[EXR]],0)*1000</f>
        <v>0</v>
      </c>
      <c r="GH96" s="18" cm="1">
        <f t="array" ref="GH96">IF(Data_FAGLL03[[#This Row],[Document currency]]&lt;&gt;"VND",Data_FAGLL03[[#This Row],[Amount in doc. curr.]],Data_FAGLL03[[#This Row],[Amount in local currency]]/EXR)</f>
        <v>-76.365194037071163</v>
      </c>
      <c r="GI96" s="10">
        <f>Data_FAGLL03[[#This Row],[Time Stamp]]+TIME(7,0,0)</f>
        <v>46120.640335648146</v>
      </c>
      <c r="GJ96" s="18">
        <f>MONTH(Data_FAGLL03[[#This Row],[Time Stamp_VN]])</f>
        <v>4</v>
      </c>
      <c r="GK96">
        <f>DAY(Data_FAGLL03[[#This Row],[Time Stamp_VN]])</f>
        <v>8</v>
      </c>
      <c r="GL96" t="str">
        <f>TEXT(Data_FAGLL03[[#This Row],[Tháng]],"00")&amp;" | "&amp;TEXT(Data_FAGLL03[[#This Row],[Ngày]],"00")</f>
        <v>04 | 08</v>
      </c>
      <c r="GM96" s="18">
        <f>IF(Data_FAGLL03[[#This Row],[Text]]="",Data_FAGLL03[[#This Row],[Quantity_Original]],0)</f>
        <v>-24750</v>
      </c>
      <c r="GN96" s="18" t="str">
        <f>IF(Data_FAGLL03[[#This Row],[Quantity_Edited]]&lt;&gt;0,Data_FAGLL03[[#This Row],[Offsetting acct no.]]&amp;" | "&amp;Data_FAGLL03[[#This Row],[Material]],"")</f>
        <v>105223 | 110000339</v>
      </c>
      <c r="GO96" t="str">
        <f>IF(LEFT(Data_FAGLL03[[#This Row],[Offsetting acct no.]],1)="1","NĐ",IF(LEFT(Data_FAGLL03[[#This Row],[Offsetting acct no.]],1)="2","XK","Khác"))</f>
        <v>NĐ</v>
      </c>
      <c r="GP96" t="str">
        <f>IF(Data_FAGLL03[[#This Row],[Material]]&lt;&gt;"",_xlfn.XLOOKUP(Data_FAGLL03[[#This Row],[Material]],MD_SKU[Mã SKU],MD_SKU[Tên SKU]),"")</f>
        <v>Hạt Nhựa rHDPE MBF01</v>
      </c>
      <c r="GQ96" t="str">
        <f>IF(Data_FAGLL03[[#This Row],[Material]]&lt;&gt;"",_xlfn.XLOOKUP(Data_FAGLL03[[#This Row],[Material]],MD_SKU[Mã SKU],MD_SKU[Nhóm SP 1]),"")</f>
        <v>rHDPE</v>
      </c>
      <c r="GR96" t="str">
        <f>IF(Data_FAGLL03[[#This Row],[Material]]&lt;&gt;"",_xlfn.XLOOKUP(Data_FAGLL03[[#This Row],[Material]],MD_SKU[Mã SKU],MD_SKU[Nhóm SP 2]),"")</f>
        <v>rHDPE thổi</v>
      </c>
      <c r="GS96" t="str">
        <f>IF(Data_FAGLL03[[#This Row],[Material]]&lt;&gt;"",_xlfn.XLOOKUP(Data_FAGLL03[[#This Row],[Material]],MD_SKU[Mã SKU],MD_SKU[Nhóm SP 3]),"")</f>
        <v>rHDPE thổi</v>
      </c>
      <c r="GT96" t="str">
        <f>IF(Data_FAGLL03[[#This Row],[Material]]&lt;&gt;"",_xlfn.XLOOKUP(Data_FAGLL03[[#This Row],[Material]],MD_SKU[Mã SKU],MD_SKU[Nhóm SP 4]),"")</f>
        <v>Hạt rHDPE thổi</v>
      </c>
    </row>
    <row r="97" spans="1:202" x14ac:dyDescent="0.25">
      <c r="A97" t="s">
        <v>0</v>
      </c>
      <c r="B97" s="2">
        <v>46120</v>
      </c>
      <c r="C97" t="s">
        <v>2328</v>
      </c>
      <c r="D97" t="s">
        <v>1</v>
      </c>
      <c r="E97" t="s">
        <v>1</v>
      </c>
      <c r="F97" t="s">
        <v>31</v>
      </c>
      <c r="G97" t="s">
        <v>31</v>
      </c>
      <c r="H97" t="s">
        <v>2026</v>
      </c>
      <c r="I97" s="19">
        <v>-2004750</v>
      </c>
      <c r="J97" t="s">
        <v>2027</v>
      </c>
      <c r="K97" t="s">
        <v>2329</v>
      </c>
      <c r="L97" t="s">
        <v>3</v>
      </c>
      <c r="M97" t="s">
        <v>41</v>
      </c>
      <c r="N97" t="s">
        <v>254</v>
      </c>
      <c r="O97" t="s">
        <v>2330</v>
      </c>
      <c r="P97" t="s">
        <v>2330</v>
      </c>
      <c r="Q97" t="s">
        <v>31</v>
      </c>
      <c r="R97" t="s">
        <v>5</v>
      </c>
      <c r="S97" t="s">
        <v>1</v>
      </c>
      <c r="T97" s="3">
        <v>-2004750</v>
      </c>
      <c r="U97" s="19">
        <v>-2004750</v>
      </c>
      <c r="V97" s="3">
        <v>-2004750</v>
      </c>
      <c r="W97" s="3">
        <v>-2004750</v>
      </c>
      <c r="X97" s="4">
        <v>0</v>
      </c>
      <c r="Y97" s="4">
        <v>0</v>
      </c>
      <c r="Z97" s="3">
        <v>0</v>
      </c>
      <c r="AA97" s="3">
        <v>0</v>
      </c>
      <c r="AB97" t="s">
        <v>1</v>
      </c>
      <c r="AC97" t="s">
        <v>24</v>
      </c>
      <c r="AD97" s="2"/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25</v>
      </c>
      <c r="AK97" s="4">
        <v>0</v>
      </c>
      <c r="AL97" t="s">
        <v>1</v>
      </c>
      <c r="AM97" s="5" t="s">
        <v>1</v>
      </c>
      <c r="AN97" t="s">
        <v>1</v>
      </c>
      <c r="AO97" s="2"/>
      <c r="AP97" t="s">
        <v>1</v>
      </c>
      <c r="AQ97" t="s">
        <v>1</v>
      </c>
      <c r="AR97" s="3">
        <v>0</v>
      </c>
      <c r="AS97" t="s">
        <v>1</v>
      </c>
      <c r="AT97" t="s">
        <v>7</v>
      </c>
      <c r="AU97" t="s">
        <v>1</v>
      </c>
      <c r="AV97" t="s">
        <v>1</v>
      </c>
      <c r="AW97" t="s">
        <v>8</v>
      </c>
      <c r="AX97" t="s">
        <v>8</v>
      </c>
      <c r="AY97" t="s">
        <v>1</v>
      </c>
      <c r="AZ97" s="4">
        <v>0</v>
      </c>
      <c r="BA97" t="s">
        <v>1</v>
      </c>
      <c r="BB97" s="3">
        <v>0</v>
      </c>
      <c r="BC97" s="3">
        <v>0</v>
      </c>
      <c r="BD97" s="3">
        <v>0</v>
      </c>
      <c r="BE97" t="s">
        <v>20</v>
      </c>
      <c r="BF97" t="s">
        <v>1</v>
      </c>
      <c r="BG97" s="4">
        <v>0</v>
      </c>
      <c r="BH97" s="4">
        <v>0</v>
      </c>
      <c r="BI97" s="6">
        <v>0</v>
      </c>
      <c r="BJ97" s="6">
        <v>0</v>
      </c>
      <c r="BK97" t="s">
        <v>1</v>
      </c>
      <c r="BL97" t="s">
        <v>1</v>
      </c>
      <c r="BM97" t="s">
        <v>1</v>
      </c>
      <c r="BN97" t="s">
        <v>9</v>
      </c>
      <c r="BO97" s="2">
        <v>46120</v>
      </c>
      <c r="BP97" t="s">
        <v>1</v>
      </c>
      <c r="BQ97" t="s">
        <v>2328</v>
      </c>
      <c r="BR97" t="s">
        <v>27</v>
      </c>
      <c r="BS97" t="s">
        <v>1</v>
      </c>
      <c r="BT97" t="s">
        <v>1</v>
      </c>
      <c r="BU97" t="s">
        <v>1</v>
      </c>
      <c r="BV97" t="s">
        <v>1</v>
      </c>
      <c r="BW97" t="s">
        <v>7</v>
      </c>
      <c r="BX97" t="s">
        <v>10</v>
      </c>
      <c r="BY97" s="2"/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254</v>
      </c>
      <c r="CJ97" s="3">
        <v>-2004750</v>
      </c>
      <c r="CK97" t="s">
        <v>9</v>
      </c>
      <c r="CL97" t="s">
        <v>11</v>
      </c>
      <c r="CM97" t="s">
        <v>1</v>
      </c>
      <c r="CN97" s="4">
        <v>0</v>
      </c>
      <c r="CO97" t="s">
        <v>7</v>
      </c>
      <c r="CP97" t="s">
        <v>7</v>
      </c>
      <c r="CQ97" t="s">
        <v>7</v>
      </c>
      <c r="CR97" t="s">
        <v>7</v>
      </c>
      <c r="CS97" s="4">
        <v>0</v>
      </c>
      <c r="CT97" t="s">
        <v>2328</v>
      </c>
      <c r="CU97" t="s">
        <v>7</v>
      </c>
      <c r="CV97" t="s">
        <v>1</v>
      </c>
      <c r="CW97" s="2"/>
      <c r="CX97" t="s">
        <v>12</v>
      </c>
      <c r="CY97" t="s">
        <v>1</v>
      </c>
      <c r="CZ97" t="s">
        <v>13</v>
      </c>
      <c r="DA97" t="s">
        <v>1</v>
      </c>
      <c r="DB97" t="s">
        <v>9</v>
      </c>
      <c r="DC97" t="s">
        <v>9</v>
      </c>
      <c r="DD97" t="s">
        <v>1</v>
      </c>
      <c r="DE97" t="s">
        <v>1</v>
      </c>
      <c r="DF97" t="s">
        <v>1</v>
      </c>
      <c r="DG97" t="s">
        <v>38</v>
      </c>
      <c r="DH97" t="s">
        <v>1</v>
      </c>
      <c r="DI97" s="2"/>
      <c r="DJ97" t="s">
        <v>1</v>
      </c>
      <c r="DK97" t="s">
        <v>14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s="2"/>
      <c r="DW97" t="s">
        <v>1</v>
      </c>
      <c r="DX97" t="s">
        <v>1</v>
      </c>
      <c r="DY97" t="s">
        <v>2331</v>
      </c>
      <c r="DZ97" t="s">
        <v>1</v>
      </c>
      <c r="EA97" t="s">
        <v>1</v>
      </c>
      <c r="EB97" t="s">
        <v>28</v>
      </c>
      <c r="EC97" t="s">
        <v>7</v>
      </c>
      <c r="ED97" t="s">
        <v>1</v>
      </c>
      <c r="EE97" t="s">
        <v>1</v>
      </c>
      <c r="EF97" t="s">
        <v>22</v>
      </c>
      <c r="EG97" t="s">
        <v>41</v>
      </c>
      <c r="EH97" t="s">
        <v>15</v>
      </c>
      <c r="EI97" t="s">
        <v>1</v>
      </c>
      <c r="EJ97" s="4">
        <v>-24750</v>
      </c>
      <c r="EK97" t="s">
        <v>1</v>
      </c>
      <c r="EL97" t="s">
        <v>1</v>
      </c>
      <c r="EM97" t="s">
        <v>1</v>
      </c>
      <c r="EN97" t="s">
        <v>1</v>
      </c>
      <c r="EO97" s="2"/>
      <c r="EP97" t="s">
        <v>2331</v>
      </c>
      <c r="EQ97" t="s">
        <v>1</v>
      </c>
      <c r="ER97" t="s">
        <v>1</v>
      </c>
      <c r="ES97" t="s">
        <v>1</v>
      </c>
      <c r="ET97" t="s">
        <v>29</v>
      </c>
      <c r="EU97" t="s">
        <v>1</v>
      </c>
      <c r="EV97" t="s">
        <v>1</v>
      </c>
      <c r="EW97" t="s">
        <v>7</v>
      </c>
      <c r="EX97" t="s">
        <v>7</v>
      </c>
      <c r="EY97" t="s">
        <v>1</v>
      </c>
      <c r="EZ97" t="s">
        <v>1</v>
      </c>
      <c r="FA97" t="s">
        <v>1</v>
      </c>
      <c r="FB97" s="3">
        <v>50</v>
      </c>
      <c r="FC97" t="s">
        <v>1</v>
      </c>
      <c r="FD97" t="s">
        <v>1</v>
      </c>
      <c r="FE97" t="s">
        <v>1</v>
      </c>
      <c r="FF97" t="s">
        <v>17</v>
      </c>
      <c r="FG97" t="s">
        <v>1</v>
      </c>
      <c r="FH97" t="s">
        <v>1</v>
      </c>
      <c r="FI97" t="s">
        <v>1</v>
      </c>
      <c r="FJ97" t="s">
        <v>1</v>
      </c>
      <c r="FK97" s="7">
        <v>46120.350925925923</v>
      </c>
      <c r="FL97" t="s">
        <v>1</v>
      </c>
      <c r="FM97" t="s">
        <v>1</v>
      </c>
      <c r="FN97" t="s">
        <v>1</v>
      </c>
      <c r="FO97" s="19">
        <v>-2004750</v>
      </c>
      <c r="FP97" s="4">
        <v>0</v>
      </c>
      <c r="FQ97" s="19">
        <v>-2004750</v>
      </c>
      <c r="FR97" s="4">
        <v>0</v>
      </c>
      <c r="FS97" s="4">
        <v>0</v>
      </c>
      <c r="FT97" s="4">
        <v>0</v>
      </c>
      <c r="FU97" s="2">
        <v>46120</v>
      </c>
      <c r="FV97" t="s">
        <v>1</v>
      </c>
      <c r="FW97" s="4">
        <v>0</v>
      </c>
      <c r="FX97" t="s">
        <v>1</v>
      </c>
      <c r="FY97" t="s">
        <v>1</v>
      </c>
      <c r="FZ97" s="4">
        <v>0</v>
      </c>
      <c r="GA97" s="4">
        <v>0</v>
      </c>
      <c r="GB97" t="s">
        <v>2070</v>
      </c>
      <c r="GC97" t="str">
        <f>RIGHT(Data_FAGLL03[[#This Row],[Payment reference]],8)</f>
        <v>91172632</v>
      </c>
      <c r="GD97" t="e">
        <f>IF(Data_FAGLL03[[#This Row],[Billing]]&lt;&gt;"",_xlfn.XLOOKUP(Data_FAGLL03[[#This Row],[Billing]],MD_BILLING_SO[BILIING],MD_BILLING_SO[SO-EDITED]),"")</f>
        <v>#N/A</v>
      </c>
      <c r="GE97" s="18">
        <f>IF(SUBSTITUTE(Data_FAGLL03[[#This Row],[Eff.exchange rate]],",","")/100000=1,1,SUBSTITUTE(Data_FAGLL03[[#This Row],[Eff.exchange rate]],",","")/100)</f>
        <v>1</v>
      </c>
      <c r="GF97" s="17">
        <f>IF(Data_FAGLL03[[#This Row],[Material]]&lt;&gt;"",IFERROR(Data_FAGLL03[[#This Row],[Amount in local currency]]/Data_FAGLL03[[#This Row],[Quantity_Original]],0),0)</f>
        <v>81</v>
      </c>
      <c r="GG97" s="18">
        <f>IF(Data_FAGLL03[[#This Row],[XK/NĐ]]="XK",Data_FAGLL03[[#This Row],[GB trung bình]]/Data_FAGLL03[[#This Row],[EXR]],0)*1000</f>
        <v>0</v>
      </c>
      <c r="GH97" s="18" cm="1">
        <f t="array" ref="GH97">IF(Data_FAGLL03[[#This Row],[Document currency]]&lt;&gt;"VND",Data_FAGLL03[[#This Row],[Amount in doc. curr.]],Data_FAGLL03[[#This Row],[Amount in local currency]]/EXR)</f>
        <v>-76.365194037071163</v>
      </c>
      <c r="GI97" s="10">
        <f>Data_FAGLL03[[#This Row],[Time Stamp]]+TIME(7,0,0)</f>
        <v>46120.642592592587</v>
      </c>
      <c r="GJ97" s="18">
        <f>MONTH(Data_FAGLL03[[#This Row],[Time Stamp_VN]])</f>
        <v>4</v>
      </c>
      <c r="GK97">
        <f>DAY(Data_FAGLL03[[#This Row],[Time Stamp_VN]])</f>
        <v>8</v>
      </c>
      <c r="GL97" t="str">
        <f>TEXT(Data_FAGLL03[[#This Row],[Tháng]],"00")&amp;" | "&amp;TEXT(Data_FAGLL03[[#This Row],[Ngày]],"00")</f>
        <v>04 | 08</v>
      </c>
      <c r="GM97" s="18">
        <f>IF(Data_FAGLL03[[#This Row],[Text]]="",Data_FAGLL03[[#This Row],[Quantity_Original]],0)</f>
        <v>0</v>
      </c>
      <c r="GN97" s="18" t="str">
        <f>IF(Data_FAGLL03[[#This Row],[Quantity_Edited]]&lt;&gt;0,Data_FAGLL03[[#This Row],[Offsetting acct no.]]&amp;" | "&amp;Data_FAGLL03[[#This Row],[Material]],"")</f>
        <v/>
      </c>
      <c r="GO97" t="str">
        <f>IF(LEFT(Data_FAGLL03[[#This Row],[Offsetting acct no.]],1)="1","NĐ",IF(LEFT(Data_FAGLL03[[#This Row],[Offsetting acct no.]],1)="2","XK","Khác"))</f>
        <v>NĐ</v>
      </c>
      <c r="GP97" t="str">
        <f>IF(Data_FAGLL03[[#This Row],[Material]]&lt;&gt;"",_xlfn.XLOOKUP(Data_FAGLL03[[#This Row],[Material]],MD_SKU[Mã SKU],MD_SKU[Tên SKU]),"")</f>
        <v>Hạt Nhựa rHDPE MBF01</v>
      </c>
      <c r="GQ97" t="str">
        <f>IF(Data_FAGLL03[[#This Row],[Material]]&lt;&gt;"",_xlfn.XLOOKUP(Data_FAGLL03[[#This Row],[Material]],MD_SKU[Mã SKU],MD_SKU[Nhóm SP 1]),"")</f>
        <v>rHDPE</v>
      </c>
      <c r="GR97" t="str">
        <f>IF(Data_FAGLL03[[#This Row],[Material]]&lt;&gt;"",_xlfn.XLOOKUP(Data_FAGLL03[[#This Row],[Material]],MD_SKU[Mã SKU],MD_SKU[Nhóm SP 2]),"")</f>
        <v>rHDPE thổi</v>
      </c>
      <c r="GS97" t="str">
        <f>IF(Data_FAGLL03[[#This Row],[Material]]&lt;&gt;"",_xlfn.XLOOKUP(Data_FAGLL03[[#This Row],[Material]],MD_SKU[Mã SKU],MD_SKU[Nhóm SP 3]),"")</f>
        <v>rHDPE thổi</v>
      </c>
      <c r="GT97" t="str">
        <f>IF(Data_FAGLL03[[#This Row],[Material]]&lt;&gt;"",_xlfn.XLOOKUP(Data_FAGLL03[[#This Row],[Material]],MD_SKU[Mã SKU],MD_SKU[Nhóm SP 4]),"")</f>
        <v>Hạt rHDPE thổi</v>
      </c>
    </row>
    <row r="98" spans="1:202" x14ac:dyDescent="0.25">
      <c r="A98" t="s">
        <v>0</v>
      </c>
      <c r="B98" s="2">
        <v>46120</v>
      </c>
      <c r="C98" t="s">
        <v>2332</v>
      </c>
      <c r="D98" t="s">
        <v>1</v>
      </c>
      <c r="E98" t="s">
        <v>1</v>
      </c>
      <c r="F98" t="s">
        <v>31</v>
      </c>
      <c r="G98" t="s">
        <v>31</v>
      </c>
      <c r="H98" t="s">
        <v>2013</v>
      </c>
      <c r="I98" s="19">
        <v>-252595500</v>
      </c>
      <c r="J98" t="s">
        <v>2014</v>
      </c>
      <c r="K98" t="s">
        <v>1</v>
      </c>
      <c r="L98" t="s">
        <v>39</v>
      </c>
      <c r="M98" t="s">
        <v>41</v>
      </c>
      <c r="N98" t="s">
        <v>254</v>
      </c>
      <c r="O98" t="s">
        <v>4</v>
      </c>
      <c r="P98" t="s">
        <v>2333</v>
      </c>
      <c r="Q98" t="s">
        <v>31</v>
      </c>
      <c r="R98" t="s">
        <v>5</v>
      </c>
      <c r="S98" t="s">
        <v>1</v>
      </c>
      <c r="T98" s="3">
        <v>-252595500</v>
      </c>
      <c r="U98" s="19">
        <v>-252595500</v>
      </c>
      <c r="V98" s="3">
        <v>-252595500</v>
      </c>
      <c r="W98" s="3">
        <v>-252595500</v>
      </c>
      <c r="X98" s="4">
        <v>0</v>
      </c>
      <c r="Y98" s="4">
        <v>0</v>
      </c>
      <c r="Z98" s="3">
        <v>0</v>
      </c>
      <c r="AA98" s="3">
        <v>0</v>
      </c>
      <c r="AB98" t="s">
        <v>1</v>
      </c>
      <c r="AC98" t="s">
        <v>24</v>
      </c>
      <c r="AD98" s="2"/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25</v>
      </c>
      <c r="AK98" s="4">
        <v>0</v>
      </c>
      <c r="AL98" t="s">
        <v>1</v>
      </c>
      <c r="AM98" s="5" t="s">
        <v>1</v>
      </c>
      <c r="AN98" t="s">
        <v>1</v>
      </c>
      <c r="AO98" s="2"/>
      <c r="AP98" t="s">
        <v>1</v>
      </c>
      <c r="AQ98" t="s">
        <v>1</v>
      </c>
      <c r="AR98" s="3">
        <v>0</v>
      </c>
      <c r="AS98" t="s">
        <v>1</v>
      </c>
      <c r="AT98" t="s">
        <v>7</v>
      </c>
      <c r="AU98" t="s">
        <v>1</v>
      </c>
      <c r="AV98" t="s">
        <v>1</v>
      </c>
      <c r="AW98" t="s">
        <v>8</v>
      </c>
      <c r="AX98" t="s">
        <v>8</v>
      </c>
      <c r="AY98" t="s">
        <v>1</v>
      </c>
      <c r="AZ98" s="4">
        <v>0</v>
      </c>
      <c r="BA98" t="s">
        <v>1</v>
      </c>
      <c r="BB98" s="3">
        <v>0</v>
      </c>
      <c r="BC98" s="3">
        <v>0</v>
      </c>
      <c r="BD98" s="3">
        <v>0</v>
      </c>
      <c r="BE98" t="s">
        <v>20</v>
      </c>
      <c r="BF98" t="s">
        <v>1</v>
      </c>
      <c r="BG98" s="4">
        <v>0</v>
      </c>
      <c r="BH98" s="4">
        <v>0</v>
      </c>
      <c r="BI98" s="6">
        <v>0</v>
      </c>
      <c r="BJ98" s="6">
        <v>0</v>
      </c>
      <c r="BK98" t="s">
        <v>1</v>
      </c>
      <c r="BL98" t="s">
        <v>1</v>
      </c>
      <c r="BM98" t="s">
        <v>1</v>
      </c>
      <c r="BN98" t="s">
        <v>9</v>
      </c>
      <c r="BO98" s="2">
        <v>46120</v>
      </c>
      <c r="BP98" t="s">
        <v>1</v>
      </c>
      <c r="BQ98" t="s">
        <v>2332</v>
      </c>
      <c r="BR98" t="s">
        <v>27</v>
      </c>
      <c r="BS98" t="s">
        <v>1</v>
      </c>
      <c r="BT98" t="s">
        <v>1</v>
      </c>
      <c r="BU98" t="s">
        <v>1</v>
      </c>
      <c r="BV98" t="s">
        <v>1</v>
      </c>
      <c r="BW98" t="s">
        <v>7</v>
      </c>
      <c r="BX98" t="s">
        <v>10</v>
      </c>
      <c r="BY98" s="2"/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254</v>
      </c>
      <c r="CJ98" s="3">
        <v>-252595500</v>
      </c>
      <c r="CK98" t="s">
        <v>9</v>
      </c>
      <c r="CL98" t="s">
        <v>11</v>
      </c>
      <c r="CM98" t="s">
        <v>1</v>
      </c>
      <c r="CN98" s="4">
        <v>0</v>
      </c>
      <c r="CO98" t="s">
        <v>7</v>
      </c>
      <c r="CP98" t="s">
        <v>7</v>
      </c>
      <c r="CQ98" t="s">
        <v>7</v>
      </c>
      <c r="CR98" t="s">
        <v>7</v>
      </c>
      <c r="CS98" s="4">
        <v>0</v>
      </c>
      <c r="CT98" t="s">
        <v>2332</v>
      </c>
      <c r="CU98" t="s">
        <v>7</v>
      </c>
      <c r="CV98" t="s">
        <v>1</v>
      </c>
      <c r="CW98" s="2"/>
      <c r="CX98" t="s">
        <v>12</v>
      </c>
      <c r="CY98" t="s">
        <v>1</v>
      </c>
      <c r="CZ98" t="s">
        <v>13</v>
      </c>
      <c r="DA98" t="s">
        <v>1</v>
      </c>
      <c r="DB98" t="s">
        <v>9</v>
      </c>
      <c r="DC98" t="s">
        <v>9</v>
      </c>
      <c r="DD98" t="s">
        <v>1</v>
      </c>
      <c r="DE98" t="s">
        <v>1</v>
      </c>
      <c r="DF98" t="s">
        <v>1</v>
      </c>
      <c r="DG98" t="s">
        <v>2057</v>
      </c>
      <c r="DH98" t="s">
        <v>1</v>
      </c>
      <c r="DI98" s="2"/>
      <c r="DJ98" t="s">
        <v>1</v>
      </c>
      <c r="DK98" t="s">
        <v>14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s="2"/>
      <c r="DW98" t="s">
        <v>1</v>
      </c>
      <c r="DX98" t="s">
        <v>1</v>
      </c>
      <c r="DY98" t="s">
        <v>2334</v>
      </c>
      <c r="DZ98" t="s">
        <v>1</v>
      </c>
      <c r="EA98" t="s">
        <v>1</v>
      </c>
      <c r="EB98" t="s">
        <v>28</v>
      </c>
      <c r="EC98" t="s">
        <v>7</v>
      </c>
      <c r="ED98" t="s">
        <v>1</v>
      </c>
      <c r="EE98" t="s">
        <v>1</v>
      </c>
      <c r="EF98" t="s">
        <v>22</v>
      </c>
      <c r="EG98" t="s">
        <v>41</v>
      </c>
      <c r="EH98" t="s">
        <v>15</v>
      </c>
      <c r="EI98" t="s">
        <v>1</v>
      </c>
      <c r="EJ98" s="4">
        <v>-26589</v>
      </c>
      <c r="EK98" t="s">
        <v>1</v>
      </c>
      <c r="EL98" t="s">
        <v>1</v>
      </c>
      <c r="EM98" t="s">
        <v>1</v>
      </c>
      <c r="EN98" t="s">
        <v>1</v>
      </c>
      <c r="EO98" s="2"/>
      <c r="EP98" t="s">
        <v>2334</v>
      </c>
      <c r="EQ98" t="s">
        <v>1</v>
      </c>
      <c r="ER98" t="s">
        <v>1</v>
      </c>
      <c r="ES98" t="s">
        <v>1</v>
      </c>
      <c r="ET98" t="s">
        <v>29</v>
      </c>
      <c r="EU98" t="s">
        <v>1</v>
      </c>
      <c r="EV98" t="s">
        <v>1</v>
      </c>
      <c r="EW98" t="s">
        <v>7</v>
      </c>
      <c r="EX98" t="s">
        <v>7</v>
      </c>
      <c r="EY98" t="s">
        <v>1</v>
      </c>
      <c r="EZ98" t="s">
        <v>1</v>
      </c>
      <c r="FA98" t="s">
        <v>1</v>
      </c>
      <c r="FB98" s="3">
        <v>50</v>
      </c>
      <c r="FC98" t="s">
        <v>1</v>
      </c>
      <c r="FD98" t="s">
        <v>1</v>
      </c>
      <c r="FE98" t="s">
        <v>1</v>
      </c>
      <c r="FF98" t="s">
        <v>17</v>
      </c>
      <c r="FG98" t="s">
        <v>1</v>
      </c>
      <c r="FH98" t="s">
        <v>1</v>
      </c>
      <c r="FI98" t="s">
        <v>1</v>
      </c>
      <c r="FJ98" t="s">
        <v>1</v>
      </c>
      <c r="FK98" s="7">
        <v>46120.355428240742</v>
      </c>
      <c r="FL98" t="s">
        <v>1</v>
      </c>
      <c r="FM98" t="s">
        <v>1</v>
      </c>
      <c r="FN98" t="s">
        <v>1</v>
      </c>
      <c r="FO98" s="19">
        <v>-252595500</v>
      </c>
      <c r="FP98" s="4">
        <v>0</v>
      </c>
      <c r="FQ98" s="19">
        <v>-252595500</v>
      </c>
      <c r="FR98" s="4">
        <v>0</v>
      </c>
      <c r="FS98" s="4">
        <v>0</v>
      </c>
      <c r="FT98" s="4">
        <v>0</v>
      </c>
      <c r="FU98" s="2">
        <v>46120</v>
      </c>
      <c r="FV98" t="s">
        <v>1</v>
      </c>
      <c r="FW98" s="4">
        <v>0</v>
      </c>
      <c r="FX98" t="s">
        <v>1</v>
      </c>
      <c r="FY98" t="s">
        <v>1</v>
      </c>
      <c r="FZ98" s="4">
        <v>0</v>
      </c>
      <c r="GA98" s="4">
        <v>0</v>
      </c>
      <c r="GB98" t="s">
        <v>2070</v>
      </c>
      <c r="GC98" t="str">
        <f>RIGHT(Data_FAGLL03[[#This Row],[Payment reference]],8)</f>
        <v>91172634</v>
      </c>
      <c r="GD98" t="str">
        <f>IF(Data_FAGLL03[[#This Row],[Billing]]&lt;&gt;"",_xlfn.XLOOKUP(Data_FAGLL03[[#This Row],[Billing]],MD_BILLING_SO[BILIING],MD_BILLING_SO[SO-EDITED]),"")</f>
        <v>30030690</v>
      </c>
      <c r="GE98" s="18">
        <f>IF(SUBSTITUTE(Data_FAGLL03[[#This Row],[Eff.exchange rate]],",","")/100000=1,1,SUBSTITUTE(Data_FAGLL03[[#This Row],[Eff.exchange rate]],",","")/100)</f>
        <v>1</v>
      </c>
      <c r="GF98" s="17">
        <f>IF(Data_FAGLL03[[#This Row],[Material]]&lt;&gt;"",IFERROR(Data_FAGLL03[[#This Row],[Amount in local currency]]/Data_FAGLL03[[#This Row],[Quantity_Original]],0),0)</f>
        <v>9500</v>
      </c>
      <c r="GG98" s="18">
        <f>IF(Data_FAGLL03[[#This Row],[XK/NĐ]]="XK",Data_FAGLL03[[#This Row],[GB trung bình]]/Data_FAGLL03[[#This Row],[EXR]],0)*1000</f>
        <v>0</v>
      </c>
      <c r="GH98" s="18" cm="1">
        <f t="array" ref="GH98">IF(Data_FAGLL03[[#This Row],[Document currency]]&lt;&gt;"VND",Data_FAGLL03[[#This Row],[Amount in doc. curr.]],Data_FAGLL03[[#This Row],[Amount in local currency]]/EXR)</f>
        <v>-9621.900172286325</v>
      </c>
      <c r="GI98" s="10">
        <f>Data_FAGLL03[[#This Row],[Time Stamp]]+TIME(7,0,0)</f>
        <v>46120.647094907406</v>
      </c>
      <c r="GJ98" s="18">
        <f>MONTH(Data_FAGLL03[[#This Row],[Time Stamp_VN]])</f>
        <v>4</v>
      </c>
      <c r="GK98">
        <f>DAY(Data_FAGLL03[[#This Row],[Time Stamp_VN]])</f>
        <v>8</v>
      </c>
      <c r="GL98" t="str">
        <f>TEXT(Data_FAGLL03[[#This Row],[Tháng]],"00")&amp;" | "&amp;TEXT(Data_FAGLL03[[#This Row],[Ngày]],"00")</f>
        <v>04 | 08</v>
      </c>
      <c r="GM98" s="18">
        <f>IF(Data_FAGLL03[[#This Row],[Text]]="",Data_FAGLL03[[#This Row],[Quantity_Original]],0)</f>
        <v>-26589</v>
      </c>
      <c r="GN98" s="18" t="str">
        <f>IF(Data_FAGLL03[[#This Row],[Quantity_Edited]]&lt;&gt;0,Data_FAGLL03[[#This Row],[Offsetting acct no.]]&amp;" | "&amp;Data_FAGLL03[[#This Row],[Material]],"")</f>
        <v>105371 | 160012334</v>
      </c>
      <c r="GO98" t="str">
        <f>IF(LEFT(Data_FAGLL03[[#This Row],[Offsetting acct no.]],1)="1","NĐ",IF(LEFT(Data_FAGLL03[[#This Row],[Offsetting acct no.]],1)="2","XK","Khác"))</f>
        <v>NĐ</v>
      </c>
      <c r="GP98" t="str">
        <f>IF(Data_FAGLL03[[#This Row],[Material]]&lt;&gt;"",_xlfn.XLOOKUP(Data_FAGLL03[[#This Row],[Material]],MD_SKU[Mã SKU],MD_SKU[Tên SKU]),"")</f>
        <v>Phó Sản PET Bụi Cám Sau Sàn Rung</v>
      </c>
      <c r="GQ98" t="str">
        <f>IF(Data_FAGLL03[[#This Row],[Material]]&lt;&gt;"",_xlfn.XLOOKUP(Data_FAGLL03[[#This Row],[Material]],MD_SKU[Mã SKU],MD_SKU[Nhóm SP 1]),"")</f>
        <v>Khác</v>
      </c>
      <c r="GR98" t="str">
        <f>IF(Data_FAGLL03[[#This Row],[Material]]&lt;&gt;"",_xlfn.XLOOKUP(Data_FAGLL03[[#This Row],[Material]],MD_SKU[Mã SKU],MD_SKU[Nhóm SP 2]),"")</f>
        <v>Phó sản</v>
      </c>
      <c r="GS98" t="str">
        <f>IF(Data_FAGLL03[[#This Row],[Material]]&lt;&gt;"",_xlfn.XLOOKUP(Data_FAGLL03[[#This Row],[Material]],MD_SKU[Mã SKU],MD_SKU[Nhóm SP 3]),"")</f>
        <v>Phó sản</v>
      </c>
      <c r="GT98" t="str">
        <f>IF(Data_FAGLL03[[#This Row],[Material]]&lt;&gt;"",_xlfn.XLOOKUP(Data_FAGLL03[[#This Row],[Material]],MD_SKU[Mã SKU],MD_SKU[Nhóm SP 4]),"")</f>
        <v>Phó sản</v>
      </c>
    </row>
    <row r="99" spans="1:202" x14ac:dyDescent="0.25">
      <c r="A99" t="s">
        <v>0</v>
      </c>
      <c r="B99" s="2">
        <v>46120</v>
      </c>
      <c r="C99" t="s">
        <v>2335</v>
      </c>
      <c r="D99" t="s">
        <v>1</v>
      </c>
      <c r="E99" t="s">
        <v>1</v>
      </c>
      <c r="F99" t="s">
        <v>31</v>
      </c>
      <c r="G99" t="s">
        <v>31</v>
      </c>
      <c r="H99" t="s">
        <v>2047</v>
      </c>
      <c r="I99" s="19">
        <v>-826339800</v>
      </c>
      <c r="J99" t="s">
        <v>2048</v>
      </c>
      <c r="K99" t="s">
        <v>1</v>
      </c>
      <c r="L99" t="s">
        <v>39</v>
      </c>
      <c r="M99" t="s">
        <v>41</v>
      </c>
      <c r="N99" t="s">
        <v>254</v>
      </c>
      <c r="O99" t="s">
        <v>4</v>
      </c>
      <c r="P99" t="s">
        <v>2336</v>
      </c>
      <c r="Q99" t="s">
        <v>31</v>
      </c>
      <c r="R99" t="s">
        <v>5</v>
      </c>
      <c r="S99" t="s">
        <v>1</v>
      </c>
      <c r="T99" s="3">
        <v>-826339800</v>
      </c>
      <c r="U99" s="19">
        <v>-826339800</v>
      </c>
      <c r="V99" s="3">
        <v>-826339800</v>
      </c>
      <c r="W99" s="3">
        <v>-826339800</v>
      </c>
      <c r="X99" s="4">
        <v>0</v>
      </c>
      <c r="Y99" s="4">
        <v>0</v>
      </c>
      <c r="Z99" s="3">
        <v>0</v>
      </c>
      <c r="AA99" s="3">
        <v>0</v>
      </c>
      <c r="AB99" t="s">
        <v>1</v>
      </c>
      <c r="AC99" t="s">
        <v>24</v>
      </c>
      <c r="AD99" s="2"/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25</v>
      </c>
      <c r="AK99" s="4">
        <v>0</v>
      </c>
      <c r="AL99" t="s">
        <v>1</v>
      </c>
      <c r="AM99" s="5" t="s">
        <v>1</v>
      </c>
      <c r="AN99" t="s">
        <v>1</v>
      </c>
      <c r="AO99" s="2"/>
      <c r="AP99" t="s">
        <v>1</v>
      </c>
      <c r="AQ99" t="s">
        <v>1</v>
      </c>
      <c r="AR99" s="3">
        <v>0</v>
      </c>
      <c r="AS99" t="s">
        <v>1</v>
      </c>
      <c r="AT99" t="s">
        <v>7</v>
      </c>
      <c r="AU99" t="s">
        <v>1</v>
      </c>
      <c r="AV99" t="s">
        <v>1</v>
      </c>
      <c r="AW99" t="s">
        <v>8</v>
      </c>
      <c r="AX99" t="s">
        <v>8</v>
      </c>
      <c r="AY99" t="s">
        <v>1</v>
      </c>
      <c r="AZ99" s="4">
        <v>0</v>
      </c>
      <c r="BA99" t="s">
        <v>1</v>
      </c>
      <c r="BB99" s="3">
        <v>0</v>
      </c>
      <c r="BC99" s="3">
        <v>0</v>
      </c>
      <c r="BD99" s="3">
        <v>0</v>
      </c>
      <c r="BE99" t="s">
        <v>20</v>
      </c>
      <c r="BF99" t="s">
        <v>1</v>
      </c>
      <c r="BG99" s="4">
        <v>0</v>
      </c>
      <c r="BH99" s="4">
        <v>0</v>
      </c>
      <c r="BI99" s="6">
        <v>0</v>
      </c>
      <c r="BJ99" s="6">
        <v>0</v>
      </c>
      <c r="BK99" t="s">
        <v>1</v>
      </c>
      <c r="BL99" t="s">
        <v>1</v>
      </c>
      <c r="BM99" t="s">
        <v>1</v>
      </c>
      <c r="BN99" t="s">
        <v>9</v>
      </c>
      <c r="BO99" s="2">
        <v>46120</v>
      </c>
      <c r="BP99" t="s">
        <v>1</v>
      </c>
      <c r="BQ99" t="s">
        <v>2335</v>
      </c>
      <c r="BR99" t="s">
        <v>27</v>
      </c>
      <c r="BS99" t="s">
        <v>1</v>
      </c>
      <c r="BT99" t="s">
        <v>1</v>
      </c>
      <c r="BU99" t="s">
        <v>1</v>
      </c>
      <c r="BV99" t="s">
        <v>1</v>
      </c>
      <c r="BW99" t="s">
        <v>7</v>
      </c>
      <c r="BX99" t="s">
        <v>10</v>
      </c>
      <c r="BY99" s="2"/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254</v>
      </c>
      <c r="CJ99" s="3">
        <v>-826339800</v>
      </c>
      <c r="CK99" t="s">
        <v>9</v>
      </c>
      <c r="CL99" t="s">
        <v>11</v>
      </c>
      <c r="CM99" t="s">
        <v>1</v>
      </c>
      <c r="CN99" s="4">
        <v>0</v>
      </c>
      <c r="CO99" t="s">
        <v>7</v>
      </c>
      <c r="CP99" t="s">
        <v>7</v>
      </c>
      <c r="CQ99" t="s">
        <v>7</v>
      </c>
      <c r="CR99" t="s">
        <v>7</v>
      </c>
      <c r="CS99" s="4">
        <v>0</v>
      </c>
      <c r="CT99" t="s">
        <v>2335</v>
      </c>
      <c r="CU99" t="s">
        <v>7</v>
      </c>
      <c r="CV99" t="s">
        <v>1</v>
      </c>
      <c r="CW99" s="2"/>
      <c r="CX99" t="s">
        <v>12</v>
      </c>
      <c r="CY99" t="s">
        <v>1</v>
      </c>
      <c r="CZ99" t="s">
        <v>13</v>
      </c>
      <c r="DA99" t="s">
        <v>1</v>
      </c>
      <c r="DB99" t="s">
        <v>9</v>
      </c>
      <c r="DC99" t="s">
        <v>9</v>
      </c>
      <c r="DD99" t="s">
        <v>1</v>
      </c>
      <c r="DE99" t="s">
        <v>1</v>
      </c>
      <c r="DF99" t="s">
        <v>1</v>
      </c>
      <c r="DG99" t="s">
        <v>301</v>
      </c>
      <c r="DH99" t="s">
        <v>1</v>
      </c>
      <c r="DI99" s="2"/>
      <c r="DJ99" t="s">
        <v>1</v>
      </c>
      <c r="DK99" t="s">
        <v>14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s="2"/>
      <c r="DW99" t="s">
        <v>1</v>
      </c>
      <c r="DX99" t="s">
        <v>1</v>
      </c>
      <c r="DY99" t="s">
        <v>2337</v>
      </c>
      <c r="DZ99" t="s">
        <v>1</v>
      </c>
      <c r="EA99" t="s">
        <v>1</v>
      </c>
      <c r="EB99" t="s">
        <v>28</v>
      </c>
      <c r="EC99" t="s">
        <v>7</v>
      </c>
      <c r="ED99" t="s">
        <v>1</v>
      </c>
      <c r="EE99" t="s">
        <v>1</v>
      </c>
      <c r="EF99" t="s">
        <v>22</v>
      </c>
      <c r="EG99" t="s">
        <v>41</v>
      </c>
      <c r="EH99" t="s">
        <v>15</v>
      </c>
      <c r="EI99" t="s">
        <v>1</v>
      </c>
      <c r="EJ99" s="4">
        <v>-28600</v>
      </c>
      <c r="EK99" t="s">
        <v>1</v>
      </c>
      <c r="EL99" t="s">
        <v>1</v>
      </c>
      <c r="EM99" t="s">
        <v>1</v>
      </c>
      <c r="EN99" t="s">
        <v>1</v>
      </c>
      <c r="EO99" s="2"/>
      <c r="EP99" t="s">
        <v>2337</v>
      </c>
      <c r="EQ99" t="s">
        <v>1</v>
      </c>
      <c r="ER99" t="s">
        <v>1</v>
      </c>
      <c r="ES99" t="s">
        <v>1</v>
      </c>
      <c r="ET99" t="s">
        <v>29</v>
      </c>
      <c r="EU99" t="s">
        <v>1</v>
      </c>
      <c r="EV99" t="s">
        <v>1</v>
      </c>
      <c r="EW99" t="s">
        <v>7</v>
      </c>
      <c r="EX99" t="s">
        <v>7</v>
      </c>
      <c r="EY99" t="s">
        <v>1</v>
      </c>
      <c r="EZ99" t="s">
        <v>1</v>
      </c>
      <c r="FA99" t="s">
        <v>1</v>
      </c>
      <c r="FB99" s="3">
        <v>50</v>
      </c>
      <c r="FC99" t="s">
        <v>1</v>
      </c>
      <c r="FD99" t="s">
        <v>1</v>
      </c>
      <c r="FE99" t="s">
        <v>1</v>
      </c>
      <c r="FF99" t="s">
        <v>17</v>
      </c>
      <c r="FG99" t="s">
        <v>1</v>
      </c>
      <c r="FH99" t="s">
        <v>1</v>
      </c>
      <c r="FI99" t="s">
        <v>1</v>
      </c>
      <c r="FJ99" t="s">
        <v>1</v>
      </c>
      <c r="FK99" s="7">
        <v>46120.364571759259</v>
      </c>
      <c r="FL99" t="s">
        <v>1</v>
      </c>
      <c r="FM99" t="s">
        <v>1</v>
      </c>
      <c r="FN99" t="s">
        <v>1</v>
      </c>
      <c r="FO99" s="19">
        <v>-826339800</v>
      </c>
      <c r="FP99" s="4">
        <v>0</v>
      </c>
      <c r="FQ99" s="19">
        <v>-826339800</v>
      </c>
      <c r="FR99" s="4">
        <v>0</v>
      </c>
      <c r="FS99" s="4">
        <v>0</v>
      </c>
      <c r="FT99" s="4">
        <v>0</v>
      </c>
      <c r="FU99" s="2">
        <v>46120</v>
      </c>
      <c r="FV99" t="s">
        <v>1</v>
      </c>
      <c r="FW99" s="4">
        <v>0</v>
      </c>
      <c r="FX99" t="s">
        <v>1</v>
      </c>
      <c r="FY99" t="s">
        <v>1</v>
      </c>
      <c r="FZ99" s="4">
        <v>0</v>
      </c>
      <c r="GA99" s="4">
        <v>0</v>
      </c>
      <c r="GB99" t="s">
        <v>2070</v>
      </c>
      <c r="GC99" t="str">
        <f>RIGHT(Data_FAGLL03[[#This Row],[Payment reference]],8)</f>
        <v>91172638</v>
      </c>
      <c r="GD99" t="str">
        <f>IF(Data_FAGLL03[[#This Row],[Billing]]&lt;&gt;"",_xlfn.XLOOKUP(Data_FAGLL03[[#This Row],[Billing]],MD_BILLING_SO[BILIING],MD_BILLING_SO[SO-EDITED]),"")</f>
        <v>30030651</v>
      </c>
      <c r="GE99" s="18">
        <f>IF(SUBSTITUTE(Data_FAGLL03[[#This Row],[Eff.exchange rate]],",","")/100000=1,1,SUBSTITUTE(Data_FAGLL03[[#This Row],[Eff.exchange rate]],",","")/100)</f>
        <v>1</v>
      </c>
      <c r="GF99" s="17">
        <f>IF(Data_FAGLL03[[#This Row],[Material]]&lt;&gt;"",IFERROR(Data_FAGLL03[[#This Row],[Amount in local currency]]/Data_FAGLL03[[#This Row],[Quantity_Original]],0),0)</f>
        <v>28893</v>
      </c>
      <c r="GG99" s="18">
        <f>IF(Data_FAGLL03[[#This Row],[XK/NĐ]]="XK",Data_FAGLL03[[#This Row],[GB trung bình]]/Data_FAGLL03[[#This Row],[EXR]],0)*1000</f>
        <v>0</v>
      </c>
      <c r="GH99" s="18" cm="1">
        <f t="array" ref="GH99">IF(Data_FAGLL03[[#This Row],[Document currency]]&lt;&gt;"VND",Data_FAGLL03[[#This Row],[Amount in doc. curr.]],Data_FAGLL03[[#This Row],[Amount in local currency]]/EXR)</f>
        <v>-31477.041609953652</v>
      </c>
      <c r="GI99" s="10">
        <f>Data_FAGLL03[[#This Row],[Time Stamp]]+TIME(7,0,0)</f>
        <v>46120.656238425923</v>
      </c>
      <c r="GJ99" s="18">
        <f>MONTH(Data_FAGLL03[[#This Row],[Time Stamp_VN]])</f>
        <v>4</v>
      </c>
      <c r="GK99">
        <f>DAY(Data_FAGLL03[[#This Row],[Time Stamp_VN]])</f>
        <v>8</v>
      </c>
      <c r="GL99" t="str">
        <f>TEXT(Data_FAGLL03[[#This Row],[Tháng]],"00")&amp;" | "&amp;TEXT(Data_FAGLL03[[#This Row],[Ngày]],"00")</f>
        <v>04 | 08</v>
      </c>
      <c r="GM99" s="18">
        <f>IF(Data_FAGLL03[[#This Row],[Text]]="",Data_FAGLL03[[#This Row],[Quantity_Original]],0)</f>
        <v>-28600</v>
      </c>
      <c r="GN99" s="18" t="str">
        <f>IF(Data_FAGLL03[[#This Row],[Quantity_Edited]]&lt;&gt;0,Data_FAGLL03[[#This Row],[Offsetting acct no.]]&amp;" | "&amp;Data_FAGLL03[[#This Row],[Material]],"")</f>
        <v>104877 | 110000359</v>
      </c>
      <c r="GO99" t="str">
        <f>IF(LEFT(Data_FAGLL03[[#This Row],[Offsetting acct no.]],1)="1","NĐ",IF(LEFT(Data_FAGLL03[[#This Row],[Offsetting acct no.]],1)="2","XK","Khác"))</f>
        <v>NĐ</v>
      </c>
      <c r="GP99" t="str">
        <f>IF(Data_FAGLL03[[#This Row],[Material]]&lt;&gt;"",_xlfn.XLOOKUP(Data_FAGLL03[[#This Row],[Material]],MD_SKU[Mã SKU],MD_SKU[Tên SKU]),"")</f>
        <v>Hạt nhựa rPET WSS03G</v>
      </c>
      <c r="GQ99" t="str">
        <f>IF(Data_FAGLL03[[#This Row],[Material]]&lt;&gt;"",_xlfn.XLOOKUP(Data_FAGLL03[[#This Row],[Material]],MD_SKU[Mã SKU],MD_SKU[Nhóm SP 1]),"")</f>
        <v>rPET</v>
      </c>
      <c r="GR99" t="str">
        <f>IF(Data_FAGLL03[[#This Row],[Material]]&lt;&gt;"",_xlfn.XLOOKUP(Data_FAGLL03[[#This Row],[Material]],MD_SKU[Mã SKU],MD_SKU[Nhóm SP 2]),"")</f>
        <v>rPET</v>
      </c>
      <c r="GS99" t="str">
        <f>IF(Data_FAGLL03[[#This Row],[Material]]&lt;&gt;"",_xlfn.XLOOKUP(Data_FAGLL03[[#This Row],[Material]],MD_SKU[Mã SKU],MD_SKU[Nhóm SP 3]),"")</f>
        <v>rPET</v>
      </c>
      <c r="GT99" t="str">
        <f>IF(Data_FAGLL03[[#This Row],[Material]]&lt;&gt;"",_xlfn.XLOOKUP(Data_FAGLL03[[#This Row],[Material]],MD_SKU[Mã SKU],MD_SKU[Nhóm SP 4]),"")</f>
        <v>Hạt rPET</v>
      </c>
    </row>
    <row r="100" spans="1:202" x14ac:dyDescent="0.25">
      <c r="A100" t="s">
        <v>0</v>
      </c>
      <c r="B100" s="2">
        <v>46120</v>
      </c>
      <c r="C100" t="s">
        <v>2338</v>
      </c>
      <c r="D100" t="s">
        <v>1</v>
      </c>
      <c r="E100" t="s">
        <v>1</v>
      </c>
      <c r="F100" t="s">
        <v>31</v>
      </c>
      <c r="G100" t="s">
        <v>31</v>
      </c>
      <c r="H100" t="s">
        <v>2047</v>
      </c>
      <c r="I100" s="19">
        <v>-826339800</v>
      </c>
      <c r="J100" t="s">
        <v>2048</v>
      </c>
      <c r="K100" t="s">
        <v>1</v>
      </c>
      <c r="L100" t="s">
        <v>39</v>
      </c>
      <c r="M100" t="s">
        <v>41</v>
      </c>
      <c r="N100" t="s">
        <v>254</v>
      </c>
      <c r="O100" t="s">
        <v>4</v>
      </c>
      <c r="P100" t="s">
        <v>2339</v>
      </c>
      <c r="Q100" t="s">
        <v>31</v>
      </c>
      <c r="R100" t="s">
        <v>5</v>
      </c>
      <c r="S100" t="s">
        <v>1</v>
      </c>
      <c r="T100" s="3">
        <v>-826339800</v>
      </c>
      <c r="U100" s="19">
        <v>-826339800</v>
      </c>
      <c r="V100" s="3">
        <v>-826339800</v>
      </c>
      <c r="W100" s="3">
        <v>-826339800</v>
      </c>
      <c r="X100" s="4">
        <v>0</v>
      </c>
      <c r="Y100" s="4">
        <v>0</v>
      </c>
      <c r="Z100" s="3">
        <v>0</v>
      </c>
      <c r="AA100" s="3">
        <v>0</v>
      </c>
      <c r="AB100" t="s">
        <v>1</v>
      </c>
      <c r="AC100" t="s">
        <v>24</v>
      </c>
      <c r="AD100" s="2"/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25</v>
      </c>
      <c r="AK100" s="4">
        <v>0</v>
      </c>
      <c r="AL100" t="s">
        <v>1</v>
      </c>
      <c r="AM100" s="5" t="s">
        <v>1</v>
      </c>
      <c r="AN100" t="s">
        <v>1</v>
      </c>
      <c r="AO100" s="2"/>
      <c r="AP100" t="s">
        <v>1</v>
      </c>
      <c r="AQ100" t="s">
        <v>1</v>
      </c>
      <c r="AR100" s="3">
        <v>0</v>
      </c>
      <c r="AS100" t="s">
        <v>1</v>
      </c>
      <c r="AT100" t="s">
        <v>7</v>
      </c>
      <c r="AU100" t="s">
        <v>1</v>
      </c>
      <c r="AV100" t="s">
        <v>1</v>
      </c>
      <c r="AW100" t="s">
        <v>8</v>
      </c>
      <c r="AX100" t="s">
        <v>8</v>
      </c>
      <c r="AY100" t="s">
        <v>1</v>
      </c>
      <c r="AZ100" s="4">
        <v>0</v>
      </c>
      <c r="BA100" t="s">
        <v>1</v>
      </c>
      <c r="BB100" s="3">
        <v>0</v>
      </c>
      <c r="BC100" s="3">
        <v>0</v>
      </c>
      <c r="BD100" s="3">
        <v>0</v>
      </c>
      <c r="BE100" t="s">
        <v>20</v>
      </c>
      <c r="BF100" t="s">
        <v>1</v>
      </c>
      <c r="BG100" s="4">
        <v>0</v>
      </c>
      <c r="BH100" s="4">
        <v>0</v>
      </c>
      <c r="BI100" s="6">
        <v>0</v>
      </c>
      <c r="BJ100" s="6">
        <v>0</v>
      </c>
      <c r="BK100" t="s">
        <v>1</v>
      </c>
      <c r="BL100" t="s">
        <v>1</v>
      </c>
      <c r="BM100" t="s">
        <v>1</v>
      </c>
      <c r="BN100" t="s">
        <v>9</v>
      </c>
      <c r="BO100" s="2">
        <v>46120</v>
      </c>
      <c r="BP100" t="s">
        <v>1</v>
      </c>
      <c r="BQ100" t="s">
        <v>2338</v>
      </c>
      <c r="BR100" t="s">
        <v>27</v>
      </c>
      <c r="BS100" t="s">
        <v>1</v>
      </c>
      <c r="BT100" t="s">
        <v>1</v>
      </c>
      <c r="BU100" t="s">
        <v>1</v>
      </c>
      <c r="BV100" t="s">
        <v>1</v>
      </c>
      <c r="BW100" t="s">
        <v>7</v>
      </c>
      <c r="BX100" t="s">
        <v>10</v>
      </c>
      <c r="BY100" s="2"/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254</v>
      </c>
      <c r="CJ100" s="3">
        <v>-826339800</v>
      </c>
      <c r="CK100" t="s">
        <v>9</v>
      </c>
      <c r="CL100" t="s">
        <v>11</v>
      </c>
      <c r="CM100" t="s">
        <v>1</v>
      </c>
      <c r="CN100" s="4">
        <v>0</v>
      </c>
      <c r="CO100" t="s">
        <v>7</v>
      </c>
      <c r="CP100" t="s">
        <v>7</v>
      </c>
      <c r="CQ100" t="s">
        <v>7</v>
      </c>
      <c r="CR100" t="s">
        <v>7</v>
      </c>
      <c r="CS100" s="4">
        <v>0</v>
      </c>
      <c r="CT100" t="s">
        <v>2338</v>
      </c>
      <c r="CU100" t="s">
        <v>7</v>
      </c>
      <c r="CV100" t="s">
        <v>1</v>
      </c>
      <c r="CW100" s="2"/>
      <c r="CX100" t="s">
        <v>12</v>
      </c>
      <c r="CY100" t="s">
        <v>1</v>
      </c>
      <c r="CZ100" t="s">
        <v>13</v>
      </c>
      <c r="DA100" t="s">
        <v>1</v>
      </c>
      <c r="DB100" t="s">
        <v>9</v>
      </c>
      <c r="DC100" t="s">
        <v>9</v>
      </c>
      <c r="DD100" t="s">
        <v>1</v>
      </c>
      <c r="DE100" t="s">
        <v>1</v>
      </c>
      <c r="DF100" t="s">
        <v>1</v>
      </c>
      <c r="DG100" t="s">
        <v>301</v>
      </c>
      <c r="DH100" t="s">
        <v>1</v>
      </c>
      <c r="DI100" s="2"/>
      <c r="DJ100" t="s">
        <v>1</v>
      </c>
      <c r="DK100" t="s">
        <v>14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s="2"/>
      <c r="DW100" t="s">
        <v>1</v>
      </c>
      <c r="DX100" t="s">
        <v>1</v>
      </c>
      <c r="DY100" t="s">
        <v>2340</v>
      </c>
      <c r="DZ100" t="s">
        <v>1</v>
      </c>
      <c r="EA100" t="s">
        <v>1</v>
      </c>
      <c r="EB100" t="s">
        <v>28</v>
      </c>
      <c r="EC100" t="s">
        <v>7</v>
      </c>
      <c r="ED100" t="s">
        <v>1</v>
      </c>
      <c r="EE100" t="s">
        <v>1</v>
      </c>
      <c r="EF100" t="s">
        <v>22</v>
      </c>
      <c r="EG100" t="s">
        <v>41</v>
      </c>
      <c r="EH100" t="s">
        <v>15</v>
      </c>
      <c r="EI100" t="s">
        <v>1</v>
      </c>
      <c r="EJ100" s="4">
        <v>-28600</v>
      </c>
      <c r="EK100" t="s">
        <v>1</v>
      </c>
      <c r="EL100" t="s">
        <v>1</v>
      </c>
      <c r="EM100" t="s">
        <v>1</v>
      </c>
      <c r="EN100" t="s">
        <v>1</v>
      </c>
      <c r="EO100" s="2"/>
      <c r="EP100" t="s">
        <v>2340</v>
      </c>
      <c r="EQ100" t="s">
        <v>1</v>
      </c>
      <c r="ER100" t="s">
        <v>1</v>
      </c>
      <c r="ES100" t="s">
        <v>1</v>
      </c>
      <c r="ET100" t="s">
        <v>29</v>
      </c>
      <c r="EU100" t="s">
        <v>1</v>
      </c>
      <c r="EV100" t="s">
        <v>1</v>
      </c>
      <c r="EW100" t="s">
        <v>7</v>
      </c>
      <c r="EX100" t="s">
        <v>7</v>
      </c>
      <c r="EY100" t="s">
        <v>1</v>
      </c>
      <c r="EZ100" t="s">
        <v>1</v>
      </c>
      <c r="FA100" t="s">
        <v>1</v>
      </c>
      <c r="FB100" s="3">
        <v>50</v>
      </c>
      <c r="FC100" t="s">
        <v>1</v>
      </c>
      <c r="FD100" t="s">
        <v>1</v>
      </c>
      <c r="FE100" t="s">
        <v>1</v>
      </c>
      <c r="FF100" t="s">
        <v>17</v>
      </c>
      <c r="FG100" t="s">
        <v>1</v>
      </c>
      <c r="FH100" t="s">
        <v>1</v>
      </c>
      <c r="FI100" t="s">
        <v>1</v>
      </c>
      <c r="FJ100" t="s">
        <v>1</v>
      </c>
      <c r="FK100" s="7">
        <v>46120.364756944444</v>
      </c>
      <c r="FL100" t="s">
        <v>1</v>
      </c>
      <c r="FM100" t="s">
        <v>1</v>
      </c>
      <c r="FN100" t="s">
        <v>1</v>
      </c>
      <c r="FO100" s="19">
        <v>-826339800</v>
      </c>
      <c r="FP100" s="4">
        <v>0</v>
      </c>
      <c r="FQ100" s="19">
        <v>-826339800</v>
      </c>
      <c r="FR100" s="4">
        <v>0</v>
      </c>
      <c r="FS100" s="4">
        <v>0</v>
      </c>
      <c r="FT100" s="4">
        <v>0</v>
      </c>
      <c r="FU100" s="2">
        <v>46120</v>
      </c>
      <c r="FV100" t="s">
        <v>1</v>
      </c>
      <c r="FW100" s="4">
        <v>0</v>
      </c>
      <c r="FX100" t="s">
        <v>1</v>
      </c>
      <c r="FY100" t="s">
        <v>1</v>
      </c>
      <c r="FZ100" s="4">
        <v>0</v>
      </c>
      <c r="GA100" s="4">
        <v>0</v>
      </c>
      <c r="GB100" t="s">
        <v>2070</v>
      </c>
      <c r="GC100" t="str">
        <f>RIGHT(Data_FAGLL03[[#This Row],[Payment reference]],8)</f>
        <v>91172639</v>
      </c>
      <c r="GD100" t="str">
        <f>IF(Data_FAGLL03[[#This Row],[Billing]]&lt;&gt;"",_xlfn.XLOOKUP(Data_FAGLL03[[#This Row],[Billing]],MD_BILLING_SO[BILIING],MD_BILLING_SO[SO-EDITED]),"")</f>
        <v>30030651</v>
      </c>
      <c r="GE100" s="18">
        <f>IF(SUBSTITUTE(Data_FAGLL03[[#This Row],[Eff.exchange rate]],",","")/100000=1,1,SUBSTITUTE(Data_FAGLL03[[#This Row],[Eff.exchange rate]],",","")/100)</f>
        <v>1</v>
      </c>
      <c r="GF100" s="17">
        <f>IF(Data_FAGLL03[[#This Row],[Material]]&lt;&gt;"",IFERROR(Data_FAGLL03[[#This Row],[Amount in local currency]]/Data_FAGLL03[[#This Row],[Quantity_Original]],0),0)</f>
        <v>28893</v>
      </c>
      <c r="GG100" s="18">
        <f>IF(Data_FAGLL03[[#This Row],[XK/NĐ]]="XK",Data_FAGLL03[[#This Row],[GB trung bình]]/Data_FAGLL03[[#This Row],[EXR]],0)*1000</f>
        <v>0</v>
      </c>
      <c r="GH100" s="18" cm="1">
        <f t="array" ref="GH100">IF(Data_FAGLL03[[#This Row],[Document currency]]&lt;&gt;"VND",Data_FAGLL03[[#This Row],[Amount in doc. curr.]],Data_FAGLL03[[#This Row],[Amount in local currency]]/EXR)</f>
        <v>-31477.041609953652</v>
      </c>
      <c r="GI100" s="10">
        <f>Data_FAGLL03[[#This Row],[Time Stamp]]+TIME(7,0,0)</f>
        <v>46120.656423611108</v>
      </c>
      <c r="GJ100" s="18">
        <f>MONTH(Data_FAGLL03[[#This Row],[Time Stamp_VN]])</f>
        <v>4</v>
      </c>
      <c r="GK100">
        <f>DAY(Data_FAGLL03[[#This Row],[Time Stamp_VN]])</f>
        <v>8</v>
      </c>
      <c r="GL100" t="str">
        <f>TEXT(Data_FAGLL03[[#This Row],[Tháng]],"00")&amp;" | "&amp;TEXT(Data_FAGLL03[[#This Row],[Ngày]],"00")</f>
        <v>04 | 08</v>
      </c>
      <c r="GM100" s="18">
        <f>IF(Data_FAGLL03[[#This Row],[Text]]="",Data_FAGLL03[[#This Row],[Quantity_Original]],0)</f>
        <v>-28600</v>
      </c>
      <c r="GN100" s="18" t="str">
        <f>IF(Data_FAGLL03[[#This Row],[Quantity_Edited]]&lt;&gt;0,Data_FAGLL03[[#This Row],[Offsetting acct no.]]&amp;" | "&amp;Data_FAGLL03[[#This Row],[Material]],"")</f>
        <v>104877 | 110000359</v>
      </c>
      <c r="GO100" t="str">
        <f>IF(LEFT(Data_FAGLL03[[#This Row],[Offsetting acct no.]],1)="1","NĐ",IF(LEFT(Data_FAGLL03[[#This Row],[Offsetting acct no.]],1)="2","XK","Khác"))</f>
        <v>NĐ</v>
      </c>
      <c r="GP100" t="str">
        <f>IF(Data_FAGLL03[[#This Row],[Material]]&lt;&gt;"",_xlfn.XLOOKUP(Data_FAGLL03[[#This Row],[Material]],MD_SKU[Mã SKU],MD_SKU[Tên SKU]),"")</f>
        <v>Hạt nhựa rPET WSS03G</v>
      </c>
      <c r="GQ100" t="str">
        <f>IF(Data_FAGLL03[[#This Row],[Material]]&lt;&gt;"",_xlfn.XLOOKUP(Data_FAGLL03[[#This Row],[Material]],MD_SKU[Mã SKU],MD_SKU[Nhóm SP 1]),"")</f>
        <v>rPET</v>
      </c>
      <c r="GR100" t="str">
        <f>IF(Data_FAGLL03[[#This Row],[Material]]&lt;&gt;"",_xlfn.XLOOKUP(Data_FAGLL03[[#This Row],[Material]],MD_SKU[Mã SKU],MD_SKU[Nhóm SP 2]),"")</f>
        <v>rPET</v>
      </c>
      <c r="GS100" t="str">
        <f>IF(Data_FAGLL03[[#This Row],[Material]]&lt;&gt;"",_xlfn.XLOOKUP(Data_FAGLL03[[#This Row],[Material]],MD_SKU[Mã SKU],MD_SKU[Nhóm SP 3]),"")</f>
        <v>rPET</v>
      </c>
      <c r="GT100" t="str">
        <f>IF(Data_FAGLL03[[#This Row],[Material]]&lt;&gt;"",_xlfn.XLOOKUP(Data_FAGLL03[[#This Row],[Material]],MD_SKU[Mã SKU],MD_SKU[Nhóm SP 4]),"")</f>
        <v>Hạt rPET</v>
      </c>
    </row>
    <row r="101" spans="1:202" x14ac:dyDescent="0.25">
      <c r="A101" t="s">
        <v>0</v>
      </c>
      <c r="B101" s="2">
        <v>46120</v>
      </c>
      <c r="C101" t="s">
        <v>2341</v>
      </c>
      <c r="D101" t="s">
        <v>1</v>
      </c>
      <c r="E101" t="s">
        <v>1</v>
      </c>
      <c r="F101" t="s">
        <v>31</v>
      </c>
      <c r="G101" t="s">
        <v>31</v>
      </c>
      <c r="H101" t="s">
        <v>258</v>
      </c>
      <c r="I101" s="19">
        <v>-709280000</v>
      </c>
      <c r="J101" t="s">
        <v>259</v>
      </c>
      <c r="K101" t="s">
        <v>1</v>
      </c>
      <c r="L101" t="s">
        <v>39</v>
      </c>
      <c r="M101" t="s">
        <v>41</v>
      </c>
      <c r="N101" t="s">
        <v>254</v>
      </c>
      <c r="O101" t="s">
        <v>4</v>
      </c>
      <c r="P101" t="s">
        <v>2342</v>
      </c>
      <c r="Q101" t="s">
        <v>31</v>
      </c>
      <c r="R101" t="s">
        <v>5</v>
      </c>
      <c r="S101" t="s">
        <v>1</v>
      </c>
      <c r="T101" s="3">
        <v>-709280000</v>
      </c>
      <c r="U101" s="19">
        <v>-709280000</v>
      </c>
      <c r="V101" s="3">
        <v>-709280000</v>
      </c>
      <c r="W101" s="3">
        <v>-709280000</v>
      </c>
      <c r="X101" s="4">
        <v>0</v>
      </c>
      <c r="Y101" s="4">
        <v>0</v>
      </c>
      <c r="Z101" s="3">
        <v>0</v>
      </c>
      <c r="AA101" s="3">
        <v>0</v>
      </c>
      <c r="AB101" t="s">
        <v>1</v>
      </c>
      <c r="AC101" t="s">
        <v>24</v>
      </c>
      <c r="AD101" s="2"/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25</v>
      </c>
      <c r="AK101" s="4">
        <v>0</v>
      </c>
      <c r="AL101" t="s">
        <v>1</v>
      </c>
      <c r="AM101" s="5" t="s">
        <v>1</v>
      </c>
      <c r="AN101" t="s">
        <v>1</v>
      </c>
      <c r="AO101" s="2"/>
      <c r="AP101" t="s">
        <v>1</v>
      </c>
      <c r="AQ101" t="s">
        <v>1</v>
      </c>
      <c r="AR101" s="3">
        <v>0</v>
      </c>
      <c r="AS101" t="s">
        <v>1</v>
      </c>
      <c r="AT101" t="s">
        <v>7</v>
      </c>
      <c r="AU101" t="s">
        <v>1</v>
      </c>
      <c r="AV101" t="s">
        <v>1</v>
      </c>
      <c r="AW101" t="s">
        <v>8</v>
      </c>
      <c r="AX101" t="s">
        <v>8</v>
      </c>
      <c r="AY101" t="s">
        <v>1</v>
      </c>
      <c r="AZ101" s="4">
        <v>0</v>
      </c>
      <c r="BA101" t="s">
        <v>1</v>
      </c>
      <c r="BB101" s="3">
        <v>0</v>
      </c>
      <c r="BC101" s="3">
        <v>0</v>
      </c>
      <c r="BD101" s="3">
        <v>0</v>
      </c>
      <c r="BE101" t="s">
        <v>20</v>
      </c>
      <c r="BF101" t="s">
        <v>1</v>
      </c>
      <c r="BG101" s="4">
        <v>0</v>
      </c>
      <c r="BH101" s="4">
        <v>0</v>
      </c>
      <c r="BI101" s="6">
        <v>0</v>
      </c>
      <c r="BJ101" s="6">
        <v>0</v>
      </c>
      <c r="BK101" t="s">
        <v>1</v>
      </c>
      <c r="BL101" t="s">
        <v>1</v>
      </c>
      <c r="BM101" t="s">
        <v>1</v>
      </c>
      <c r="BN101" t="s">
        <v>9</v>
      </c>
      <c r="BO101" s="2">
        <v>46120</v>
      </c>
      <c r="BP101" t="s">
        <v>1</v>
      </c>
      <c r="BQ101" t="s">
        <v>2341</v>
      </c>
      <c r="BR101" t="s">
        <v>27</v>
      </c>
      <c r="BS101" t="s">
        <v>1</v>
      </c>
      <c r="BT101" t="s">
        <v>1</v>
      </c>
      <c r="BU101" t="s">
        <v>1</v>
      </c>
      <c r="BV101" t="s">
        <v>1</v>
      </c>
      <c r="BW101" t="s">
        <v>7</v>
      </c>
      <c r="BX101" t="s">
        <v>10</v>
      </c>
      <c r="BY101" s="2"/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254</v>
      </c>
      <c r="CJ101" s="3">
        <v>-709280000</v>
      </c>
      <c r="CK101" t="s">
        <v>9</v>
      </c>
      <c r="CL101" t="s">
        <v>11</v>
      </c>
      <c r="CM101" t="s">
        <v>1</v>
      </c>
      <c r="CN101" s="4">
        <v>0</v>
      </c>
      <c r="CO101" t="s">
        <v>7</v>
      </c>
      <c r="CP101" t="s">
        <v>7</v>
      </c>
      <c r="CQ101" t="s">
        <v>7</v>
      </c>
      <c r="CR101" t="s">
        <v>7</v>
      </c>
      <c r="CS101" s="4">
        <v>0</v>
      </c>
      <c r="CT101" t="s">
        <v>2341</v>
      </c>
      <c r="CU101" t="s">
        <v>7</v>
      </c>
      <c r="CV101" t="s">
        <v>1</v>
      </c>
      <c r="CW101" s="2"/>
      <c r="CX101" t="s">
        <v>12</v>
      </c>
      <c r="CY101" t="s">
        <v>1</v>
      </c>
      <c r="CZ101" t="s">
        <v>13</v>
      </c>
      <c r="DA101" t="s">
        <v>1</v>
      </c>
      <c r="DB101" t="s">
        <v>9</v>
      </c>
      <c r="DC101" t="s">
        <v>9</v>
      </c>
      <c r="DD101" t="s">
        <v>1</v>
      </c>
      <c r="DE101" t="s">
        <v>1</v>
      </c>
      <c r="DF101" t="s">
        <v>1</v>
      </c>
      <c r="DG101" t="s">
        <v>32</v>
      </c>
      <c r="DH101" t="s">
        <v>1</v>
      </c>
      <c r="DI101" s="2"/>
      <c r="DJ101" t="s">
        <v>1</v>
      </c>
      <c r="DK101" t="s">
        <v>14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s="2"/>
      <c r="DW101" t="s">
        <v>1</v>
      </c>
      <c r="DX101" t="s">
        <v>1</v>
      </c>
      <c r="DY101" t="s">
        <v>2343</v>
      </c>
      <c r="DZ101" t="s">
        <v>1</v>
      </c>
      <c r="EA101" t="s">
        <v>1</v>
      </c>
      <c r="EB101" t="s">
        <v>28</v>
      </c>
      <c r="EC101" t="s">
        <v>7</v>
      </c>
      <c r="ED101" t="s">
        <v>1</v>
      </c>
      <c r="EE101" t="s">
        <v>1</v>
      </c>
      <c r="EF101" t="s">
        <v>22</v>
      </c>
      <c r="EG101" t="s">
        <v>41</v>
      </c>
      <c r="EH101" t="s">
        <v>15</v>
      </c>
      <c r="EI101" t="s">
        <v>1</v>
      </c>
      <c r="EJ101" s="4">
        <v>-22000</v>
      </c>
      <c r="EK101" t="s">
        <v>1</v>
      </c>
      <c r="EL101" t="s">
        <v>1</v>
      </c>
      <c r="EM101" t="s">
        <v>1</v>
      </c>
      <c r="EN101" t="s">
        <v>1</v>
      </c>
      <c r="EO101" s="2"/>
      <c r="EP101" t="s">
        <v>2343</v>
      </c>
      <c r="EQ101" t="s">
        <v>1</v>
      </c>
      <c r="ER101" t="s">
        <v>1</v>
      </c>
      <c r="ES101" t="s">
        <v>1</v>
      </c>
      <c r="ET101" t="s">
        <v>29</v>
      </c>
      <c r="EU101" t="s">
        <v>1</v>
      </c>
      <c r="EV101" t="s">
        <v>1</v>
      </c>
      <c r="EW101" t="s">
        <v>7</v>
      </c>
      <c r="EX101" t="s">
        <v>7</v>
      </c>
      <c r="EY101" t="s">
        <v>1</v>
      </c>
      <c r="EZ101" t="s">
        <v>1</v>
      </c>
      <c r="FA101" t="s">
        <v>1</v>
      </c>
      <c r="FB101" s="3">
        <v>50</v>
      </c>
      <c r="FC101" t="s">
        <v>1</v>
      </c>
      <c r="FD101" t="s">
        <v>1</v>
      </c>
      <c r="FE101" t="s">
        <v>1</v>
      </c>
      <c r="FF101" t="s">
        <v>17</v>
      </c>
      <c r="FG101" t="s">
        <v>1</v>
      </c>
      <c r="FH101" t="s">
        <v>1</v>
      </c>
      <c r="FI101" t="s">
        <v>1</v>
      </c>
      <c r="FJ101" t="s">
        <v>1</v>
      </c>
      <c r="FK101" s="7">
        <v>46120.364814814813</v>
      </c>
      <c r="FL101" t="s">
        <v>1</v>
      </c>
      <c r="FM101" t="s">
        <v>1</v>
      </c>
      <c r="FN101" t="s">
        <v>1</v>
      </c>
      <c r="FO101" s="19">
        <v>-709280000</v>
      </c>
      <c r="FP101" s="4">
        <v>0</v>
      </c>
      <c r="FQ101" s="19">
        <v>-709280000</v>
      </c>
      <c r="FR101" s="4">
        <v>0</v>
      </c>
      <c r="FS101" s="4">
        <v>0</v>
      </c>
      <c r="FT101" s="4">
        <v>0</v>
      </c>
      <c r="FU101" s="2">
        <v>46120</v>
      </c>
      <c r="FV101" t="s">
        <v>1</v>
      </c>
      <c r="FW101" s="4">
        <v>0</v>
      </c>
      <c r="FX101" t="s">
        <v>1</v>
      </c>
      <c r="FY101" t="s">
        <v>1</v>
      </c>
      <c r="FZ101" s="4">
        <v>0</v>
      </c>
      <c r="GA101" s="4">
        <v>0</v>
      </c>
      <c r="GB101" t="s">
        <v>2070</v>
      </c>
      <c r="GC101" t="str">
        <f>RIGHT(Data_FAGLL03[[#This Row],[Payment reference]],8)</f>
        <v>91172640</v>
      </c>
      <c r="GD101" t="str">
        <f>IF(Data_FAGLL03[[#This Row],[Billing]]&lt;&gt;"",_xlfn.XLOOKUP(Data_FAGLL03[[#This Row],[Billing]],MD_BILLING_SO[BILIING],MD_BILLING_SO[SO-EDITED]),"")</f>
        <v>30030652</v>
      </c>
      <c r="GE101" s="18">
        <f>IF(SUBSTITUTE(Data_FAGLL03[[#This Row],[Eff.exchange rate]],",","")/100000=1,1,SUBSTITUTE(Data_FAGLL03[[#This Row],[Eff.exchange rate]],",","")/100)</f>
        <v>1</v>
      </c>
      <c r="GF101" s="17">
        <f>IF(Data_FAGLL03[[#This Row],[Material]]&lt;&gt;"",IFERROR(Data_FAGLL03[[#This Row],[Amount in local currency]]/Data_FAGLL03[[#This Row],[Quantity_Original]],0),0)</f>
        <v>32240</v>
      </c>
      <c r="GG101" s="18">
        <f>IF(Data_FAGLL03[[#This Row],[XK/NĐ]]="XK",Data_FAGLL03[[#This Row],[GB trung bình]]/Data_FAGLL03[[#This Row],[EXR]],0)*1000</f>
        <v>0</v>
      </c>
      <c r="GH101" s="18" cm="1">
        <f t="array" ref="GH101">IF(Data_FAGLL03[[#This Row],[Document currency]]&lt;&gt;"VND",Data_FAGLL03[[#This Row],[Amount in doc. curr.]],Data_FAGLL03[[#This Row],[Amount in local currency]]/EXR)</f>
        <v>-27017.984699645262</v>
      </c>
      <c r="GI101" s="10">
        <f>Data_FAGLL03[[#This Row],[Time Stamp]]+TIME(7,0,0)</f>
        <v>46120.656481481477</v>
      </c>
      <c r="GJ101" s="18">
        <f>MONTH(Data_FAGLL03[[#This Row],[Time Stamp_VN]])</f>
        <v>4</v>
      </c>
      <c r="GK101">
        <f>DAY(Data_FAGLL03[[#This Row],[Time Stamp_VN]])</f>
        <v>8</v>
      </c>
      <c r="GL101" t="str">
        <f>TEXT(Data_FAGLL03[[#This Row],[Tháng]],"00")&amp;" | "&amp;TEXT(Data_FAGLL03[[#This Row],[Ngày]],"00")</f>
        <v>04 | 08</v>
      </c>
      <c r="GM101" s="18">
        <f>IF(Data_FAGLL03[[#This Row],[Text]]="",Data_FAGLL03[[#This Row],[Quantity_Original]],0)</f>
        <v>-22000</v>
      </c>
      <c r="GN101" s="18" t="str">
        <f>IF(Data_FAGLL03[[#This Row],[Quantity_Edited]]&lt;&gt;0,Data_FAGLL03[[#This Row],[Offsetting acct no.]]&amp;" | "&amp;Data_FAGLL03[[#This Row],[Material]],"")</f>
        <v>105194 | 110000332</v>
      </c>
      <c r="GO101" t="str">
        <f>IF(LEFT(Data_FAGLL03[[#This Row],[Offsetting acct no.]],1)="1","NĐ",IF(LEFT(Data_FAGLL03[[#This Row],[Offsetting acct no.]],1)="2","XK","Khác"))</f>
        <v>NĐ</v>
      </c>
      <c r="GP101" t="str">
        <f>IF(Data_FAGLL03[[#This Row],[Material]]&lt;&gt;"",_xlfn.XLOOKUP(Data_FAGLL03[[#This Row],[Material]],MD_SKU[Mã SKU],MD_SKU[Tên SKU]),"")</f>
        <v>Hạt nhựa rPET iSS01084G</v>
      </c>
      <c r="GQ101" t="str">
        <f>IF(Data_FAGLL03[[#This Row],[Material]]&lt;&gt;"",_xlfn.XLOOKUP(Data_FAGLL03[[#This Row],[Material]],MD_SKU[Mã SKU],MD_SKU[Nhóm SP 1]),"")</f>
        <v>rPET</v>
      </c>
      <c r="GR101" t="str">
        <f>IF(Data_FAGLL03[[#This Row],[Material]]&lt;&gt;"",_xlfn.XLOOKUP(Data_FAGLL03[[#This Row],[Material]],MD_SKU[Mã SKU],MD_SKU[Nhóm SP 2]),"")</f>
        <v>rPET</v>
      </c>
      <c r="GS101" t="str">
        <f>IF(Data_FAGLL03[[#This Row],[Material]]&lt;&gt;"",_xlfn.XLOOKUP(Data_FAGLL03[[#This Row],[Material]],MD_SKU[Mã SKU],MD_SKU[Nhóm SP 3]),"")</f>
        <v>rPET</v>
      </c>
      <c r="GT101" t="str">
        <f>IF(Data_FAGLL03[[#This Row],[Material]]&lt;&gt;"",_xlfn.XLOOKUP(Data_FAGLL03[[#This Row],[Material]],MD_SKU[Mã SKU],MD_SKU[Nhóm SP 4]),"")</f>
        <v>Hạt rPET</v>
      </c>
    </row>
    <row r="102" spans="1:202" x14ac:dyDescent="0.25">
      <c r="A102" t="s">
        <v>0</v>
      </c>
      <c r="B102" s="2">
        <v>46120</v>
      </c>
      <c r="C102" t="s">
        <v>2344</v>
      </c>
      <c r="D102" t="s">
        <v>1</v>
      </c>
      <c r="E102" t="s">
        <v>1</v>
      </c>
      <c r="F102" t="s">
        <v>31</v>
      </c>
      <c r="G102" t="s">
        <v>31</v>
      </c>
      <c r="H102" t="s">
        <v>42</v>
      </c>
      <c r="I102" s="19">
        <v>-696938000</v>
      </c>
      <c r="J102" t="s">
        <v>43</v>
      </c>
      <c r="K102" t="s">
        <v>1</v>
      </c>
      <c r="L102" t="s">
        <v>39</v>
      </c>
      <c r="M102" t="s">
        <v>41</v>
      </c>
      <c r="N102" t="s">
        <v>254</v>
      </c>
      <c r="O102" t="s">
        <v>4</v>
      </c>
      <c r="P102" t="s">
        <v>2345</v>
      </c>
      <c r="Q102" t="s">
        <v>31</v>
      </c>
      <c r="R102" t="s">
        <v>5</v>
      </c>
      <c r="S102" t="s">
        <v>1</v>
      </c>
      <c r="T102" s="3">
        <v>-696938000</v>
      </c>
      <c r="U102" s="19">
        <v>-696938000</v>
      </c>
      <c r="V102" s="3">
        <v>-696938000</v>
      </c>
      <c r="W102" s="3">
        <v>-696938000</v>
      </c>
      <c r="X102" s="4">
        <v>0</v>
      </c>
      <c r="Y102" s="4">
        <v>0</v>
      </c>
      <c r="Z102" s="3">
        <v>0</v>
      </c>
      <c r="AA102" s="3">
        <v>0</v>
      </c>
      <c r="AB102" t="s">
        <v>1</v>
      </c>
      <c r="AC102" t="s">
        <v>24</v>
      </c>
      <c r="AD102" s="2"/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25</v>
      </c>
      <c r="AK102" s="4">
        <v>0</v>
      </c>
      <c r="AL102" t="s">
        <v>1</v>
      </c>
      <c r="AM102" s="5" t="s">
        <v>1</v>
      </c>
      <c r="AN102" t="s">
        <v>1</v>
      </c>
      <c r="AO102" s="2"/>
      <c r="AP102" t="s">
        <v>1</v>
      </c>
      <c r="AQ102" t="s">
        <v>1</v>
      </c>
      <c r="AR102" s="3">
        <v>0</v>
      </c>
      <c r="AS102" t="s">
        <v>1</v>
      </c>
      <c r="AT102" t="s">
        <v>7</v>
      </c>
      <c r="AU102" t="s">
        <v>1</v>
      </c>
      <c r="AV102" t="s">
        <v>1</v>
      </c>
      <c r="AW102" t="s">
        <v>8</v>
      </c>
      <c r="AX102" t="s">
        <v>8</v>
      </c>
      <c r="AY102" t="s">
        <v>1</v>
      </c>
      <c r="AZ102" s="4">
        <v>0</v>
      </c>
      <c r="BA102" t="s">
        <v>1</v>
      </c>
      <c r="BB102" s="3">
        <v>0</v>
      </c>
      <c r="BC102" s="3">
        <v>0</v>
      </c>
      <c r="BD102" s="3">
        <v>0</v>
      </c>
      <c r="BE102" t="s">
        <v>20</v>
      </c>
      <c r="BF102" t="s">
        <v>1</v>
      </c>
      <c r="BG102" s="4">
        <v>0</v>
      </c>
      <c r="BH102" s="4">
        <v>0</v>
      </c>
      <c r="BI102" s="6">
        <v>0</v>
      </c>
      <c r="BJ102" s="6">
        <v>0</v>
      </c>
      <c r="BK102" t="s">
        <v>1</v>
      </c>
      <c r="BL102" t="s">
        <v>1</v>
      </c>
      <c r="BM102" t="s">
        <v>1</v>
      </c>
      <c r="BN102" t="s">
        <v>9</v>
      </c>
      <c r="BO102" s="2">
        <v>46120</v>
      </c>
      <c r="BP102" t="s">
        <v>1</v>
      </c>
      <c r="BQ102" t="s">
        <v>2344</v>
      </c>
      <c r="BR102" t="s">
        <v>27</v>
      </c>
      <c r="BS102" t="s">
        <v>1</v>
      </c>
      <c r="BT102" t="s">
        <v>1</v>
      </c>
      <c r="BU102" t="s">
        <v>1</v>
      </c>
      <c r="BV102" t="s">
        <v>1</v>
      </c>
      <c r="BW102" t="s">
        <v>7</v>
      </c>
      <c r="BX102" t="s">
        <v>10</v>
      </c>
      <c r="BY102" s="2"/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254</v>
      </c>
      <c r="CJ102" s="3">
        <v>-696938000</v>
      </c>
      <c r="CK102" t="s">
        <v>9</v>
      </c>
      <c r="CL102" t="s">
        <v>11</v>
      </c>
      <c r="CM102" t="s">
        <v>1</v>
      </c>
      <c r="CN102" s="4">
        <v>0</v>
      </c>
      <c r="CO102" t="s">
        <v>7</v>
      </c>
      <c r="CP102" t="s">
        <v>7</v>
      </c>
      <c r="CQ102" t="s">
        <v>7</v>
      </c>
      <c r="CR102" t="s">
        <v>7</v>
      </c>
      <c r="CS102" s="4">
        <v>0</v>
      </c>
      <c r="CT102" t="s">
        <v>2344</v>
      </c>
      <c r="CU102" t="s">
        <v>7</v>
      </c>
      <c r="CV102" t="s">
        <v>1</v>
      </c>
      <c r="CW102" s="2"/>
      <c r="CX102" t="s">
        <v>12</v>
      </c>
      <c r="CY102" t="s">
        <v>1</v>
      </c>
      <c r="CZ102" t="s">
        <v>13</v>
      </c>
      <c r="DA102" t="s">
        <v>1</v>
      </c>
      <c r="DB102" t="s">
        <v>9</v>
      </c>
      <c r="DC102" t="s">
        <v>9</v>
      </c>
      <c r="DD102" t="s">
        <v>1</v>
      </c>
      <c r="DE102" t="s">
        <v>1</v>
      </c>
      <c r="DF102" t="s">
        <v>1</v>
      </c>
      <c r="DG102" t="s">
        <v>33</v>
      </c>
      <c r="DH102" t="s">
        <v>1</v>
      </c>
      <c r="DI102" s="2"/>
      <c r="DJ102" t="s">
        <v>1</v>
      </c>
      <c r="DK102" t="s">
        <v>14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s="2"/>
      <c r="DW102" t="s">
        <v>1</v>
      </c>
      <c r="DX102" t="s">
        <v>1</v>
      </c>
      <c r="DY102" t="s">
        <v>2346</v>
      </c>
      <c r="DZ102" t="s">
        <v>1</v>
      </c>
      <c r="EA102" t="s">
        <v>1</v>
      </c>
      <c r="EB102" t="s">
        <v>28</v>
      </c>
      <c r="EC102" t="s">
        <v>7</v>
      </c>
      <c r="ED102" t="s">
        <v>1</v>
      </c>
      <c r="EE102" t="s">
        <v>1</v>
      </c>
      <c r="EF102" t="s">
        <v>22</v>
      </c>
      <c r="EG102" t="s">
        <v>41</v>
      </c>
      <c r="EH102" t="s">
        <v>15</v>
      </c>
      <c r="EI102" t="s">
        <v>1</v>
      </c>
      <c r="EJ102" s="4">
        <v>-22000</v>
      </c>
      <c r="EK102" t="s">
        <v>1</v>
      </c>
      <c r="EL102" t="s">
        <v>1</v>
      </c>
      <c r="EM102" t="s">
        <v>1</v>
      </c>
      <c r="EN102" t="s">
        <v>1</v>
      </c>
      <c r="EO102" s="2"/>
      <c r="EP102" t="s">
        <v>2346</v>
      </c>
      <c r="EQ102" t="s">
        <v>1</v>
      </c>
      <c r="ER102" t="s">
        <v>1</v>
      </c>
      <c r="ES102" t="s">
        <v>1</v>
      </c>
      <c r="ET102" t="s">
        <v>29</v>
      </c>
      <c r="EU102" t="s">
        <v>1</v>
      </c>
      <c r="EV102" t="s">
        <v>1</v>
      </c>
      <c r="EW102" t="s">
        <v>7</v>
      </c>
      <c r="EX102" t="s">
        <v>7</v>
      </c>
      <c r="EY102" t="s">
        <v>1</v>
      </c>
      <c r="EZ102" t="s">
        <v>1</v>
      </c>
      <c r="FA102" t="s">
        <v>1</v>
      </c>
      <c r="FB102" s="3">
        <v>50</v>
      </c>
      <c r="FC102" t="s">
        <v>1</v>
      </c>
      <c r="FD102" t="s">
        <v>1</v>
      </c>
      <c r="FE102" t="s">
        <v>1</v>
      </c>
      <c r="FF102" t="s">
        <v>17</v>
      </c>
      <c r="FG102" t="s">
        <v>1</v>
      </c>
      <c r="FH102" t="s">
        <v>1</v>
      </c>
      <c r="FI102" t="s">
        <v>1</v>
      </c>
      <c r="FJ102" t="s">
        <v>1</v>
      </c>
      <c r="FK102" s="7">
        <v>46120.364872685182</v>
      </c>
      <c r="FL102" t="s">
        <v>1</v>
      </c>
      <c r="FM102" t="s">
        <v>1</v>
      </c>
      <c r="FN102" t="s">
        <v>1</v>
      </c>
      <c r="FO102" s="19">
        <v>-696938000</v>
      </c>
      <c r="FP102" s="4">
        <v>0</v>
      </c>
      <c r="FQ102" s="19">
        <v>-696938000</v>
      </c>
      <c r="FR102" s="4">
        <v>0</v>
      </c>
      <c r="FS102" s="4">
        <v>0</v>
      </c>
      <c r="FT102" s="4">
        <v>0</v>
      </c>
      <c r="FU102" s="2">
        <v>46120</v>
      </c>
      <c r="FV102" t="s">
        <v>1</v>
      </c>
      <c r="FW102" s="4">
        <v>0</v>
      </c>
      <c r="FX102" t="s">
        <v>1</v>
      </c>
      <c r="FY102" t="s">
        <v>1</v>
      </c>
      <c r="FZ102" s="4">
        <v>0</v>
      </c>
      <c r="GA102" s="4">
        <v>0</v>
      </c>
      <c r="GB102" t="s">
        <v>2070</v>
      </c>
      <c r="GC102" t="str">
        <f>RIGHT(Data_FAGLL03[[#This Row],[Payment reference]],8)</f>
        <v>91172641</v>
      </c>
      <c r="GD102" t="str">
        <f>IF(Data_FAGLL03[[#This Row],[Billing]]&lt;&gt;"",_xlfn.XLOOKUP(Data_FAGLL03[[#This Row],[Billing]],MD_BILLING_SO[BILIING],MD_BILLING_SO[SO-EDITED]),"")</f>
        <v>30030677</v>
      </c>
      <c r="GE102" s="18">
        <f>IF(SUBSTITUTE(Data_FAGLL03[[#This Row],[Eff.exchange rate]],",","")/100000=1,1,SUBSTITUTE(Data_FAGLL03[[#This Row],[Eff.exchange rate]],",","")/100)</f>
        <v>1</v>
      </c>
      <c r="GF102" s="17">
        <f>IF(Data_FAGLL03[[#This Row],[Material]]&lt;&gt;"",IFERROR(Data_FAGLL03[[#This Row],[Amount in local currency]]/Data_FAGLL03[[#This Row],[Quantity_Original]],0),0)</f>
        <v>31679</v>
      </c>
      <c r="GG102" s="18">
        <f>IF(Data_FAGLL03[[#This Row],[XK/NĐ]]="XK",Data_FAGLL03[[#This Row],[GB trung bình]]/Data_FAGLL03[[#This Row],[EXR]],0)*1000</f>
        <v>0</v>
      </c>
      <c r="GH102" s="18" cm="1">
        <f t="array" ref="GH102">IF(Data_FAGLL03[[#This Row],[Document currency]]&lt;&gt;"VND",Data_FAGLL03[[#This Row],[Amount in doc. curr.]],Data_FAGLL03[[#This Row],[Amount in local currency]]/EXR)</f>
        <v>-26547.851653227739</v>
      </c>
      <c r="GI102" s="10">
        <f>Data_FAGLL03[[#This Row],[Time Stamp]]+TIME(7,0,0)</f>
        <v>46120.656539351847</v>
      </c>
      <c r="GJ102" s="18">
        <f>MONTH(Data_FAGLL03[[#This Row],[Time Stamp_VN]])</f>
        <v>4</v>
      </c>
      <c r="GK102">
        <f>DAY(Data_FAGLL03[[#This Row],[Time Stamp_VN]])</f>
        <v>8</v>
      </c>
      <c r="GL102" t="str">
        <f>TEXT(Data_FAGLL03[[#This Row],[Tháng]],"00")&amp;" | "&amp;TEXT(Data_FAGLL03[[#This Row],[Ngày]],"00")</f>
        <v>04 | 08</v>
      </c>
      <c r="GM102" s="18">
        <f>IF(Data_FAGLL03[[#This Row],[Text]]="",Data_FAGLL03[[#This Row],[Quantity_Original]],0)</f>
        <v>-22000</v>
      </c>
      <c r="GN102" s="18" t="str">
        <f>IF(Data_FAGLL03[[#This Row],[Quantity_Edited]]&lt;&gt;0,Data_FAGLL03[[#This Row],[Offsetting acct no.]]&amp;" | "&amp;Data_FAGLL03[[#This Row],[Material]],"")</f>
        <v>104894 | 110000354</v>
      </c>
      <c r="GO102" t="str">
        <f>IF(LEFT(Data_FAGLL03[[#This Row],[Offsetting acct no.]],1)="1","NĐ",IF(LEFT(Data_FAGLL03[[#This Row],[Offsetting acct no.]],1)="2","XK","Khác"))</f>
        <v>NĐ</v>
      </c>
      <c r="GP102" t="str">
        <f>IF(Data_FAGLL03[[#This Row],[Material]]&lt;&gt;"",_xlfn.XLOOKUP(Data_FAGLL03[[#This Row],[Material]],MD_SKU[Mã SKU],MD_SKU[Tên SKU]),"")</f>
        <v>Hạt nhựa rPET WSS01G 1</v>
      </c>
      <c r="GQ102" t="str">
        <f>IF(Data_FAGLL03[[#This Row],[Material]]&lt;&gt;"",_xlfn.XLOOKUP(Data_FAGLL03[[#This Row],[Material]],MD_SKU[Mã SKU],MD_SKU[Nhóm SP 1]),"")</f>
        <v>rPET</v>
      </c>
      <c r="GR102" t="str">
        <f>IF(Data_FAGLL03[[#This Row],[Material]]&lt;&gt;"",_xlfn.XLOOKUP(Data_FAGLL03[[#This Row],[Material]],MD_SKU[Mã SKU],MD_SKU[Nhóm SP 2]),"")</f>
        <v>rPET</v>
      </c>
      <c r="GS102" t="str">
        <f>IF(Data_FAGLL03[[#This Row],[Material]]&lt;&gt;"",_xlfn.XLOOKUP(Data_FAGLL03[[#This Row],[Material]],MD_SKU[Mã SKU],MD_SKU[Nhóm SP 3]),"")</f>
        <v>rPET</v>
      </c>
      <c r="GT102" t="str">
        <f>IF(Data_FAGLL03[[#This Row],[Material]]&lt;&gt;"",_xlfn.XLOOKUP(Data_FAGLL03[[#This Row],[Material]],MD_SKU[Mã SKU],MD_SKU[Nhóm SP 4]),"")</f>
        <v>Hạt rPET</v>
      </c>
    </row>
    <row r="103" spans="1:202" x14ac:dyDescent="0.25">
      <c r="A103" t="s">
        <v>0</v>
      </c>
      <c r="B103" s="2">
        <v>46120</v>
      </c>
      <c r="C103" t="s">
        <v>2347</v>
      </c>
      <c r="D103" t="s">
        <v>1</v>
      </c>
      <c r="E103" t="s">
        <v>1</v>
      </c>
      <c r="F103" t="s">
        <v>31</v>
      </c>
      <c r="G103" t="s">
        <v>31</v>
      </c>
      <c r="H103" t="s">
        <v>2032</v>
      </c>
      <c r="I103" s="19">
        <v>-263150000</v>
      </c>
      <c r="J103" t="s">
        <v>2033</v>
      </c>
      <c r="K103" t="s">
        <v>1</v>
      </c>
      <c r="L103" t="s">
        <v>39</v>
      </c>
      <c r="M103" t="s">
        <v>41</v>
      </c>
      <c r="N103" t="s">
        <v>254</v>
      </c>
      <c r="O103" t="s">
        <v>4</v>
      </c>
      <c r="P103" t="s">
        <v>2348</v>
      </c>
      <c r="Q103" t="s">
        <v>31</v>
      </c>
      <c r="R103" t="s">
        <v>5</v>
      </c>
      <c r="S103" t="s">
        <v>1</v>
      </c>
      <c r="T103" s="3">
        <v>-263150000</v>
      </c>
      <c r="U103" s="19">
        <v>-263150000</v>
      </c>
      <c r="V103" s="3">
        <v>-263150000</v>
      </c>
      <c r="W103" s="3">
        <v>-263150000</v>
      </c>
      <c r="X103" s="4">
        <v>0</v>
      </c>
      <c r="Y103" s="4">
        <v>0</v>
      </c>
      <c r="Z103" s="3">
        <v>0</v>
      </c>
      <c r="AA103" s="3">
        <v>0</v>
      </c>
      <c r="AB103" t="s">
        <v>1</v>
      </c>
      <c r="AC103" t="s">
        <v>24</v>
      </c>
      <c r="AD103" s="2"/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25</v>
      </c>
      <c r="AK103" s="4">
        <v>0</v>
      </c>
      <c r="AL103" t="s">
        <v>1</v>
      </c>
      <c r="AM103" s="5" t="s">
        <v>1</v>
      </c>
      <c r="AN103" t="s">
        <v>1</v>
      </c>
      <c r="AO103" s="2"/>
      <c r="AP103" t="s">
        <v>1</v>
      </c>
      <c r="AQ103" t="s">
        <v>1</v>
      </c>
      <c r="AR103" s="3">
        <v>0</v>
      </c>
      <c r="AS103" t="s">
        <v>1</v>
      </c>
      <c r="AT103" t="s">
        <v>7</v>
      </c>
      <c r="AU103" t="s">
        <v>1</v>
      </c>
      <c r="AV103" t="s">
        <v>1</v>
      </c>
      <c r="AW103" t="s">
        <v>8</v>
      </c>
      <c r="AX103" t="s">
        <v>8</v>
      </c>
      <c r="AY103" t="s">
        <v>1</v>
      </c>
      <c r="AZ103" s="4">
        <v>0</v>
      </c>
      <c r="BA103" t="s">
        <v>1</v>
      </c>
      <c r="BB103" s="3">
        <v>0</v>
      </c>
      <c r="BC103" s="3">
        <v>0</v>
      </c>
      <c r="BD103" s="3">
        <v>0</v>
      </c>
      <c r="BE103" t="s">
        <v>20</v>
      </c>
      <c r="BF103" t="s">
        <v>1</v>
      </c>
      <c r="BG103" s="4">
        <v>0</v>
      </c>
      <c r="BH103" s="4">
        <v>0</v>
      </c>
      <c r="BI103" s="6">
        <v>0</v>
      </c>
      <c r="BJ103" s="6">
        <v>0</v>
      </c>
      <c r="BK103" t="s">
        <v>1</v>
      </c>
      <c r="BL103" t="s">
        <v>1</v>
      </c>
      <c r="BM103" t="s">
        <v>1</v>
      </c>
      <c r="BN103" t="s">
        <v>9</v>
      </c>
      <c r="BO103" s="2">
        <v>46120</v>
      </c>
      <c r="BP103" t="s">
        <v>1</v>
      </c>
      <c r="BQ103" t="s">
        <v>2347</v>
      </c>
      <c r="BR103" t="s">
        <v>27</v>
      </c>
      <c r="BS103" t="s">
        <v>1</v>
      </c>
      <c r="BT103" t="s">
        <v>1</v>
      </c>
      <c r="BU103" t="s">
        <v>1</v>
      </c>
      <c r="BV103" t="s">
        <v>1</v>
      </c>
      <c r="BW103" t="s">
        <v>7</v>
      </c>
      <c r="BX103" t="s">
        <v>10</v>
      </c>
      <c r="BY103" s="2"/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254</v>
      </c>
      <c r="CJ103" s="3">
        <v>-263150000</v>
      </c>
      <c r="CK103" t="s">
        <v>9</v>
      </c>
      <c r="CL103" t="s">
        <v>11</v>
      </c>
      <c r="CM103" t="s">
        <v>1</v>
      </c>
      <c r="CN103" s="4">
        <v>0</v>
      </c>
      <c r="CO103" t="s">
        <v>7</v>
      </c>
      <c r="CP103" t="s">
        <v>7</v>
      </c>
      <c r="CQ103" t="s">
        <v>7</v>
      </c>
      <c r="CR103" t="s">
        <v>7</v>
      </c>
      <c r="CS103" s="4">
        <v>0</v>
      </c>
      <c r="CT103" t="s">
        <v>2347</v>
      </c>
      <c r="CU103" t="s">
        <v>7</v>
      </c>
      <c r="CV103" t="s">
        <v>1</v>
      </c>
      <c r="CW103" s="2"/>
      <c r="CX103" t="s">
        <v>12</v>
      </c>
      <c r="CY103" t="s">
        <v>1</v>
      </c>
      <c r="CZ103" t="s">
        <v>13</v>
      </c>
      <c r="DA103" t="s">
        <v>1</v>
      </c>
      <c r="DB103" t="s">
        <v>9</v>
      </c>
      <c r="DC103" t="s">
        <v>9</v>
      </c>
      <c r="DD103" t="s">
        <v>1</v>
      </c>
      <c r="DE103" t="s">
        <v>1</v>
      </c>
      <c r="DF103" t="s">
        <v>1</v>
      </c>
      <c r="DG103" t="s">
        <v>700</v>
      </c>
      <c r="DH103" t="s">
        <v>1</v>
      </c>
      <c r="DI103" s="2"/>
      <c r="DJ103" t="s">
        <v>1</v>
      </c>
      <c r="DK103" t="s">
        <v>14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s="2"/>
      <c r="DW103" t="s">
        <v>1</v>
      </c>
      <c r="DX103" t="s">
        <v>1</v>
      </c>
      <c r="DY103" t="s">
        <v>2349</v>
      </c>
      <c r="DZ103" t="s">
        <v>1</v>
      </c>
      <c r="EA103" t="s">
        <v>1</v>
      </c>
      <c r="EB103" t="s">
        <v>28</v>
      </c>
      <c r="EC103" t="s">
        <v>7</v>
      </c>
      <c r="ED103" t="s">
        <v>1</v>
      </c>
      <c r="EE103" t="s">
        <v>1</v>
      </c>
      <c r="EF103" t="s">
        <v>22</v>
      </c>
      <c r="EG103" t="s">
        <v>41</v>
      </c>
      <c r="EH103" t="s">
        <v>15</v>
      </c>
      <c r="EI103" t="s">
        <v>1</v>
      </c>
      <c r="EJ103" s="4">
        <v>-13850</v>
      </c>
      <c r="EK103" t="s">
        <v>1</v>
      </c>
      <c r="EL103" t="s">
        <v>1</v>
      </c>
      <c r="EM103" t="s">
        <v>1</v>
      </c>
      <c r="EN103" t="s">
        <v>1</v>
      </c>
      <c r="EO103" s="2"/>
      <c r="EP103" t="s">
        <v>2349</v>
      </c>
      <c r="EQ103" t="s">
        <v>1</v>
      </c>
      <c r="ER103" t="s">
        <v>1</v>
      </c>
      <c r="ES103" t="s">
        <v>1</v>
      </c>
      <c r="ET103" t="s">
        <v>29</v>
      </c>
      <c r="EU103" t="s">
        <v>1</v>
      </c>
      <c r="EV103" t="s">
        <v>1</v>
      </c>
      <c r="EW103" t="s">
        <v>7</v>
      </c>
      <c r="EX103" t="s">
        <v>7</v>
      </c>
      <c r="EY103" t="s">
        <v>1</v>
      </c>
      <c r="EZ103" t="s">
        <v>1</v>
      </c>
      <c r="FA103" t="s">
        <v>1</v>
      </c>
      <c r="FB103" s="3">
        <v>50</v>
      </c>
      <c r="FC103" t="s">
        <v>1</v>
      </c>
      <c r="FD103" t="s">
        <v>1</v>
      </c>
      <c r="FE103" t="s">
        <v>1</v>
      </c>
      <c r="FF103" t="s">
        <v>17</v>
      </c>
      <c r="FG103" t="s">
        <v>1</v>
      </c>
      <c r="FH103" t="s">
        <v>1</v>
      </c>
      <c r="FI103" t="s">
        <v>1</v>
      </c>
      <c r="FJ103" t="s">
        <v>1</v>
      </c>
      <c r="FK103" s="7">
        <v>46120.364918981482</v>
      </c>
      <c r="FL103" t="s">
        <v>1</v>
      </c>
      <c r="FM103" t="s">
        <v>1</v>
      </c>
      <c r="FN103" t="s">
        <v>1</v>
      </c>
      <c r="FO103" s="19">
        <v>-263150000</v>
      </c>
      <c r="FP103" s="4">
        <v>0</v>
      </c>
      <c r="FQ103" s="19">
        <v>-263150000</v>
      </c>
      <c r="FR103" s="4">
        <v>0</v>
      </c>
      <c r="FS103" s="4">
        <v>0</v>
      </c>
      <c r="FT103" s="4">
        <v>0</v>
      </c>
      <c r="FU103" s="2">
        <v>46120</v>
      </c>
      <c r="FV103" t="s">
        <v>1</v>
      </c>
      <c r="FW103" s="4">
        <v>0</v>
      </c>
      <c r="FX103" t="s">
        <v>1</v>
      </c>
      <c r="FY103" t="s">
        <v>1</v>
      </c>
      <c r="FZ103" s="4">
        <v>0</v>
      </c>
      <c r="GA103" s="4">
        <v>0</v>
      </c>
      <c r="GB103" t="s">
        <v>2070</v>
      </c>
      <c r="GC103" t="str">
        <f>RIGHT(Data_FAGLL03[[#This Row],[Payment reference]],8)</f>
        <v>91172642</v>
      </c>
      <c r="GD103" t="str">
        <f>IF(Data_FAGLL03[[#This Row],[Billing]]&lt;&gt;"",_xlfn.XLOOKUP(Data_FAGLL03[[#This Row],[Billing]],MD_BILLING_SO[BILIING],MD_BILLING_SO[SO-EDITED]),"")</f>
        <v>30030646</v>
      </c>
      <c r="GE103" s="18">
        <f>IF(SUBSTITUTE(Data_FAGLL03[[#This Row],[Eff.exchange rate]],",","")/100000=1,1,SUBSTITUTE(Data_FAGLL03[[#This Row],[Eff.exchange rate]],",","")/100)</f>
        <v>1</v>
      </c>
      <c r="GF103" s="17">
        <f>IF(Data_FAGLL03[[#This Row],[Material]]&lt;&gt;"",IFERROR(Data_FAGLL03[[#This Row],[Amount in local currency]]/Data_FAGLL03[[#This Row],[Quantity_Original]],0),0)</f>
        <v>19000</v>
      </c>
      <c r="GG103" s="18">
        <f>IF(Data_FAGLL03[[#This Row],[XK/NĐ]]="XK",Data_FAGLL03[[#This Row],[GB trung bình]]/Data_FAGLL03[[#This Row],[EXR]],0)*1000</f>
        <v>0</v>
      </c>
      <c r="GH103" s="18" cm="1">
        <f t="array" ref="GH103">IF(Data_FAGLL03[[#This Row],[Document currency]]&lt;&gt;"VND",Data_FAGLL03[[#This Row],[Amount in doc. curr.]],Data_FAGLL03[[#This Row],[Amount in local currency]]/EXR)</f>
        <v>-10023.943539521277</v>
      </c>
      <c r="GI103" s="10">
        <f>Data_FAGLL03[[#This Row],[Time Stamp]]+TIME(7,0,0)</f>
        <v>46120.656585648147</v>
      </c>
      <c r="GJ103" s="18">
        <f>MONTH(Data_FAGLL03[[#This Row],[Time Stamp_VN]])</f>
        <v>4</v>
      </c>
      <c r="GK103">
        <f>DAY(Data_FAGLL03[[#This Row],[Time Stamp_VN]])</f>
        <v>8</v>
      </c>
      <c r="GL103" t="str">
        <f>TEXT(Data_FAGLL03[[#This Row],[Tháng]],"00")&amp;" | "&amp;TEXT(Data_FAGLL03[[#This Row],[Ngày]],"00")</f>
        <v>04 | 08</v>
      </c>
      <c r="GM103" s="18">
        <f>IF(Data_FAGLL03[[#This Row],[Text]]="",Data_FAGLL03[[#This Row],[Quantity_Original]],0)</f>
        <v>-13850</v>
      </c>
      <c r="GN103" s="18" t="str">
        <f>IF(Data_FAGLL03[[#This Row],[Quantity_Edited]]&lt;&gt;0,Data_FAGLL03[[#This Row],[Offsetting acct no.]]&amp;" | "&amp;Data_FAGLL03[[#This Row],[Material]],"")</f>
        <v>105323 | 110000436</v>
      </c>
      <c r="GO103" t="str">
        <f>IF(LEFT(Data_FAGLL03[[#This Row],[Offsetting acct no.]],1)="1","NĐ",IF(LEFT(Data_FAGLL03[[#This Row],[Offsetting acct no.]],1)="2","XK","Khác"))</f>
        <v>NĐ</v>
      </c>
      <c r="GP103" t="str">
        <f>IF(Data_FAGLL03[[#This Row],[Material]]&lt;&gt;"",_xlfn.XLOOKUP(Data_FAGLL03[[#This Row],[Material]],MD_SKU[Mã SKU],MD_SKU[Tên SKU]),"")</f>
        <v>Hạt nhựa rPET WSS05SB</v>
      </c>
      <c r="GQ103" t="str">
        <f>IF(Data_FAGLL03[[#This Row],[Material]]&lt;&gt;"",_xlfn.XLOOKUP(Data_FAGLL03[[#This Row],[Material]],MD_SKU[Mã SKU],MD_SKU[Nhóm SP 1]),"")</f>
        <v>Xơ sợi</v>
      </c>
      <c r="GR103" t="str">
        <f>IF(Data_FAGLL03[[#This Row],[Material]]&lt;&gt;"",_xlfn.XLOOKUP(Data_FAGLL03[[#This Row],[Material]],MD_SKU[Mã SKU],MD_SKU[Nhóm SP 2]),"")</f>
        <v>Xơ sợi</v>
      </c>
      <c r="GS103" t="str">
        <f>IF(Data_FAGLL03[[#This Row],[Material]]&lt;&gt;"",_xlfn.XLOOKUP(Data_FAGLL03[[#This Row],[Material]],MD_SKU[Mã SKU],MD_SKU[Nhóm SP 3]),"")</f>
        <v>Xơ sợi</v>
      </c>
      <c r="GT103" t="str">
        <f>IF(Data_FAGLL03[[#This Row],[Material]]&lt;&gt;"",_xlfn.XLOOKUP(Data_FAGLL03[[#This Row],[Material]],MD_SKU[Mã SKU],MD_SKU[Nhóm SP 4]),"")</f>
        <v>Hạt Xơ sợi</v>
      </c>
    </row>
    <row r="104" spans="1:202" x14ac:dyDescent="0.25">
      <c r="A104" t="s">
        <v>0</v>
      </c>
      <c r="B104" s="2">
        <v>46120</v>
      </c>
      <c r="C104" t="s">
        <v>2350</v>
      </c>
      <c r="D104" t="s">
        <v>1</v>
      </c>
      <c r="E104" t="s">
        <v>1</v>
      </c>
      <c r="F104" t="s">
        <v>31</v>
      </c>
      <c r="G104" t="s">
        <v>31</v>
      </c>
      <c r="H104" t="s">
        <v>48</v>
      </c>
      <c r="I104" s="19">
        <v>-346632000</v>
      </c>
      <c r="J104" t="s">
        <v>49</v>
      </c>
      <c r="K104" t="s">
        <v>1</v>
      </c>
      <c r="L104" t="s">
        <v>39</v>
      </c>
      <c r="M104" t="s">
        <v>41</v>
      </c>
      <c r="N104" t="s">
        <v>254</v>
      </c>
      <c r="O104" t="s">
        <v>4</v>
      </c>
      <c r="P104" t="s">
        <v>2351</v>
      </c>
      <c r="Q104" t="s">
        <v>31</v>
      </c>
      <c r="R104" t="s">
        <v>5</v>
      </c>
      <c r="S104" t="s">
        <v>1</v>
      </c>
      <c r="T104" s="3">
        <v>-346632000</v>
      </c>
      <c r="U104" s="19">
        <v>-346632000</v>
      </c>
      <c r="V104" s="3">
        <v>-346632000</v>
      </c>
      <c r="W104" s="3">
        <v>-346632000</v>
      </c>
      <c r="X104" s="4">
        <v>0</v>
      </c>
      <c r="Y104" s="4">
        <v>0</v>
      </c>
      <c r="Z104" s="3">
        <v>0</v>
      </c>
      <c r="AA104" s="3">
        <v>0</v>
      </c>
      <c r="AB104" t="s">
        <v>1</v>
      </c>
      <c r="AC104" t="s">
        <v>24</v>
      </c>
      <c r="AD104" s="2"/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25</v>
      </c>
      <c r="AK104" s="4">
        <v>0</v>
      </c>
      <c r="AL104" t="s">
        <v>1</v>
      </c>
      <c r="AM104" s="5" t="s">
        <v>1</v>
      </c>
      <c r="AN104" t="s">
        <v>1</v>
      </c>
      <c r="AO104" s="2"/>
      <c r="AP104" t="s">
        <v>1</v>
      </c>
      <c r="AQ104" t="s">
        <v>1</v>
      </c>
      <c r="AR104" s="3">
        <v>0</v>
      </c>
      <c r="AS104" t="s">
        <v>1</v>
      </c>
      <c r="AT104" t="s">
        <v>7</v>
      </c>
      <c r="AU104" t="s">
        <v>1</v>
      </c>
      <c r="AV104" t="s">
        <v>1</v>
      </c>
      <c r="AW104" t="s">
        <v>8</v>
      </c>
      <c r="AX104" t="s">
        <v>8</v>
      </c>
      <c r="AY104" t="s">
        <v>1</v>
      </c>
      <c r="AZ104" s="4">
        <v>0</v>
      </c>
      <c r="BA104" t="s">
        <v>1</v>
      </c>
      <c r="BB104" s="3">
        <v>0</v>
      </c>
      <c r="BC104" s="3">
        <v>0</v>
      </c>
      <c r="BD104" s="3">
        <v>0</v>
      </c>
      <c r="BE104" t="s">
        <v>20</v>
      </c>
      <c r="BF104" t="s">
        <v>1</v>
      </c>
      <c r="BG104" s="4">
        <v>0</v>
      </c>
      <c r="BH104" s="4">
        <v>0</v>
      </c>
      <c r="BI104" s="6">
        <v>0</v>
      </c>
      <c r="BJ104" s="6">
        <v>0</v>
      </c>
      <c r="BK104" t="s">
        <v>1</v>
      </c>
      <c r="BL104" t="s">
        <v>1</v>
      </c>
      <c r="BM104" t="s">
        <v>1</v>
      </c>
      <c r="BN104" t="s">
        <v>9</v>
      </c>
      <c r="BO104" s="2">
        <v>46120</v>
      </c>
      <c r="BP104" t="s">
        <v>1</v>
      </c>
      <c r="BQ104" t="s">
        <v>2350</v>
      </c>
      <c r="BR104" t="s">
        <v>27</v>
      </c>
      <c r="BS104" t="s">
        <v>1</v>
      </c>
      <c r="BT104" t="s">
        <v>1</v>
      </c>
      <c r="BU104" t="s">
        <v>1</v>
      </c>
      <c r="BV104" t="s">
        <v>1</v>
      </c>
      <c r="BW104" t="s">
        <v>7</v>
      </c>
      <c r="BX104" t="s">
        <v>10</v>
      </c>
      <c r="BY104" s="2"/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254</v>
      </c>
      <c r="CJ104" s="3">
        <v>-346632000</v>
      </c>
      <c r="CK104" t="s">
        <v>9</v>
      </c>
      <c r="CL104" t="s">
        <v>11</v>
      </c>
      <c r="CM104" t="s">
        <v>1</v>
      </c>
      <c r="CN104" s="4">
        <v>0</v>
      </c>
      <c r="CO104" t="s">
        <v>7</v>
      </c>
      <c r="CP104" t="s">
        <v>7</v>
      </c>
      <c r="CQ104" t="s">
        <v>7</v>
      </c>
      <c r="CR104" t="s">
        <v>7</v>
      </c>
      <c r="CS104" s="4">
        <v>0</v>
      </c>
      <c r="CT104" t="s">
        <v>2350</v>
      </c>
      <c r="CU104" t="s">
        <v>7</v>
      </c>
      <c r="CV104" t="s">
        <v>1</v>
      </c>
      <c r="CW104" s="2"/>
      <c r="CX104" t="s">
        <v>12</v>
      </c>
      <c r="CY104" t="s">
        <v>1</v>
      </c>
      <c r="CZ104" t="s">
        <v>13</v>
      </c>
      <c r="DA104" t="s">
        <v>1</v>
      </c>
      <c r="DB104" t="s">
        <v>9</v>
      </c>
      <c r="DC104" t="s">
        <v>9</v>
      </c>
      <c r="DD104" t="s">
        <v>1</v>
      </c>
      <c r="DE104" t="s">
        <v>1</v>
      </c>
      <c r="DF104" t="s">
        <v>1</v>
      </c>
      <c r="DG104" t="s">
        <v>50</v>
      </c>
      <c r="DH104" t="s">
        <v>1</v>
      </c>
      <c r="DI104" s="2"/>
      <c r="DJ104" t="s">
        <v>1</v>
      </c>
      <c r="DK104" t="s">
        <v>14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s="2"/>
      <c r="DW104" t="s">
        <v>1</v>
      </c>
      <c r="DX104" t="s">
        <v>1</v>
      </c>
      <c r="DY104" t="s">
        <v>2352</v>
      </c>
      <c r="DZ104" t="s">
        <v>1</v>
      </c>
      <c r="EA104" t="s">
        <v>1</v>
      </c>
      <c r="EB104" t="s">
        <v>28</v>
      </c>
      <c r="EC104" t="s">
        <v>7</v>
      </c>
      <c r="ED104" t="s">
        <v>1</v>
      </c>
      <c r="EE104" t="s">
        <v>1</v>
      </c>
      <c r="EF104" t="s">
        <v>22</v>
      </c>
      <c r="EG104" t="s">
        <v>41</v>
      </c>
      <c r="EH104" t="s">
        <v>15</v>
      </c>
      <c r="EI104" t="s">
        <v>1</v>
      </c>
      <c r="EJ104" s="4">
        <v>-11000</v>
      </c>
      <c r="EK104" t="s">
        <v>1</v>
      </c>
      <c r="EL104" t="s">
        <v>1</v>
      </c>
      <c r="EM104" t="s">
        <v>1</v>
      </c>
      <c r="EN104" t="s">
        <v>1</v>
      </c>
      <c r="EO104" s="2"/>
      <c r="EP104" t="s">
        <v>2352</v>
      </c>
      <c r="EQ104" t="s">
        <v>1</v>
      </c>
      <c r="ER104" t="s">
        <v>1</v>
      </c>
      <c r="ES104" t="s">
        <v>1</v>
      </c>
      <c r="ET104" t="s">
        <v>29</v>
      </c>
      <c r="EU104" t="s">
        <v>1</v>
      </c>
      <c r="EV104" t="s">
        <v>1</v>
      </c>
      <c r="EW104" t="s">
        <v>7</v>
      </c>
      <c r="EX104" t="s">
        <v>7</v>
      </c>
      <c r="EY104" t="s">
        <v>1</v>
      </c>
      <c r="EZ104" t="s">
        <v>1</v>
      </c>
      <c r="FA104" t="s">
        <v>1</v>
      </c>
      <c r="FB104" s="3">
        <v>50</v>
      </c>
      <c r="FC104" t="s">
        <v>1</v>
      </c>
      <c r="FD104" t="s">
        <v>1</v>
      </c>
      <c r="FE104" t="s">
        <v>1</v>
      </c>
      <c r="FF104" t="s">
        <v>17</v>
      </c>
      <c r="FG104" t="s">
        <v>1</v>
      </c>
      <c r="FH104" t="s">
        <v>1</v>
      </c>
      <c r="FI104" t="s">
        <v>1</v>
      </c>
      <c r="FJ104" t="s">
        <v>1</v>
      </c>
      <c r="FK104" s="7">
        <v>46120.364976851852</v>
      </c>
      <c r="FL104" t="s">
        <v>1</v>
      </c>
      <c r="FM104" t="s">
        <v>1</v>
      </c>
      <c r="FN104" t="s">
        <v>1</v>
      </c>
      <c r="FO104" s="19">
        <v>-346632000</v>
      </c>
      <c r="FP104" s="4">
        <v>0</v>
      </c>
      <c r="FQ104" s="19">
        <v>-346632000</v>
      </c>
      <c r="FR104" s="4">
        <v>0</v>
      </c>
      <c r="FS104" s="4">
        <v>0</v>
      </c>
      <c r="FT104" s="4">
        <v>0</v>
      </c>
      <c r="FU104" s="2">
        <v>46120</v>
      </c>
      <c r="FV104" t="s">
        <v>1</v>
      </c>
      <c r="FW104" s="4">
        <v>0</v>
      </c>
      <c r="FX104" t="s">
        <v>1</v>
      </c>
      <c r="FY104" t="s">
        <v>1</v>
      </c>
      <c r="FZ104" s="4">
        <v>0</v>
      </c>
      <c r="GA104" s="4">
        <v>0</v>
      </c>
      <c r="GB104" t="s">
        <v>2070</v>
      </c>
      <c r="GC104" t="str">
        <f>RIGHT(Data_FAGLL03[[#This Row],[Payment reference]],8)</f>
        <v>91172643</v>
      </c>
      <c r="GD104" t="str">
        <f>IF(Data_FAGLL03[[#This Row],[Billing]]&lt;&gt;"",_xlfn.XLOOKUP(Data_FAGLL03[[#This Row],[Billing]],MD_BILLING_SO[BILIING],MD_BILLING_SO[SO-EDITED]),"")</f>
        <v>30030615</v>
      </c>
      <c r="GE104" s="18">
        <f>IF(SUBSTITUTE(Data_FAGLL03[[#This Row],[Eff.exchange rate]],",","")/100000=1,1,SUBSTITUTE(Data_FAGLL03[[#This Row],[Eff.exchange rate]],",","")/100)</f>
        <v>1</v>
      </c>
      <c r="GF104" s="17">
        <f>IF(Data_FAGLL03[[#This Row],[Material]]&lt;&gt;"",IFERROR(Data_FAGLL03[[#This Row],[Amount in local currency]]/Data_FAGLL03[[#This Row],[Quantity_Original]],0),0)</f>
        <v>31512</v>
      </c>
      <c r="GG104" s="18">
        <f>IF(Data_FAGLL03[[#This Row],[XK/NĐ]]="XK",Data_FAGLL03[[#This Row],[GB trung bình]]/Data_FAGLL03[[#This Row],[EXR]],0)*1000</f>
        <v>0</v>
      </c>
      <c r="GH104" s="18" cm="1">
        <f t="array" ref="GH104">IF(Data_FAGLL03[[#This Row],[Document currency]]&lt;&gt;"VND",Data_FAGLL03[[#This Row],[Amount in doc. curr.]],Data_FAGLL03[[#This Row],[Amount in local currency]]/EXR)</f>
        <v>-13203.950587084701</v>
      </c>
      <c r="GI104" s="10">
        <f>Data_FAGLL03[[#This Row],[Time Stamp]]+TIME(7,0,0)</f>
        <v>46120.656643518516</v>
      </c>
      <c r="GJ104" s="18">
        <f>MONTH(Data_FAGLL03[[#This Row],[Time Stamp_VN]])</f>
        <v>4</v>
      </c>
      <c r="GK104">
        <f>DAY(Data_FAGLL03[[#This Row],[Time Stamp_VN]])</f>
        <v>8</v>
      </c>
      <c r="GL104" t="str">
        <f>TEXT(Data_FAGLL03[[#This Row],[Tháng]],"00")&amp;" | "&amp;TEXT(Data_FAGLL03[[#This Row],[Ngày]],"00")</f>
        <v>04 | 08</v>
      </c>
      <c r="GM104" s="18">
        <f>IF(Data_FAGLL03[[#This Row],[Text]]="",Data_FAGLL03[[#This Row],[Quantity_Original]],0)</f>
        <v>-11000</v>
      </c>
      <c r="GN104" s="18" t="str">
        <f>IF(Data_FAGLL03[[#This Row],[Quantity_Edited]]&lt;&gt;0,Data_FAGLL03[[#This Row],[Offsetting acct no.]]&amp;" | "&amp;Data_FAGLL03[[#This Row],[Material]],"")</f>
        <v>105314 | 110000374</v>
      </c>
      <c r="GO104" t="str">
        <f>IF(LEFT(Data_FAGLL03[[#This Row],[Offsetting acct no.]],1)="1","NĐ",IF(LEFT(Data_FAGLL03[[#This Row],[Offsetting acct no.]],1)="2","XK","Khác"))</f>
        <v>NĐ</v>
      </c>
      <c r="GP104" t="str">
        <f>IF(Data_FAGLL03[[#This Row],[Material]]&lt;&gt;"",_xlfn.XLOOKUP(Data_FAGLL03[[#This Row],[Material]],MD_SKU[Mã SKU],MD_SKU[Tên SKU]),"")</f>
        <v>Hạt Nhựa rHDB03N02</v>
      </c>
      <c r="GQ104" t="str">
        <f>IF(Data_FAGLL03[[#This Row],[Material]]&lt;&gt;"",_xlfn.XLOOKUP(Data_FAGLL03[[#This Row],[Material]],MD_SKU[Mã SKU],MD_SKU[Nhóm SP 1]),"")</f>
        <v>rHDPE</v>
      </c>
      <c r="GR104" t="str">
        <f>IF(Data_FAGLL03[[#This Row],[Material]]&lt;&gt;"",_xlfn.XLOOKUP(Data_FAGLL03[[#This Row],[Material]],MD_SKU[Mã SKU],MD_SKU[Nhóm SP 2]),"")</f>
        <v>rHDPE thổi</v>
      </c>
      <c r="GS104" t="str">
        <f>IF(Data_FAGLL03[[#This Row],[Material]]&lt;&gt;"",_xlfn.XLOOKUP(Data_FAGLL03[[#This Row],[Material]],MD_SKU[Mã SKU],MD_SKU[Nhóm SP 3]),"")</f>
        <v>rHDPE thổi</v>
      </c>
      <c r="GT104" t="str">
        <f>IF(Data_FAGLL03[[#This Row],[Material]]&lt;&gt;"",_xlfn.XLOOKUP(Data_FAGLL03[[#This Row],[Material]],MD_SKU[Mã SKU],MD_SKU[Nhóm SP 4]),"")</f>
        <v>Hạt rHDPE thổi</v>
      </c>
    </row>
    <row r="105" spans="1:202" x14ac:dyDescent="0.25">
      <c r="A105" t="s">
        <v>0</v>
      </c>
      <c r="B105" s="2">
        <v>46120</v>
      </c>
      <c r="C105" t="s">
        <v>2353</v>
      </c>
      <c r="D105" t="s">
        <v>1</v>
      </c>
      <c r="E105" t="s">
        <v>1</v>
      </c>
      <c r="F105" t="s">
        <v>31</v>
      </c>
      <c r="G105" t="s">
        <v>31</v>
      </c>
      <c r="H105" t="s">
        <v>2354</v>
      </c>
      <c r="I105" s="19">
        <v>-185168500</v>
      </c>
      <c r="J105" t="s">
        <v>2355</v>
      </c>
      <c r="K105" t="s">
        <v>1</v>
      </c>
      <c r="L105" t="s">
        <v>39</v>
      </c>
      <c r="M105" t="s">
        <v>41</v>
      </c>
      <c r="N105" t="s">
        <v>254</v>
      </c>
      <c r="O105" t="s">
        <v>4</v>
      </c>
      <c r="P105" t="s">
        <v>2356</v>
      </c>
      <c r="Q105" t="s">
        <v>31</v>
      </c>
      <c r="R105" t="s">
        <v>5</v>
      </c>
      <c r="S105" t="s">
        <v>1</v>
      </c>
      <c r="T105" s="3">
        <v>-185168500</v>
      </c>
      <c r="U105" s="19">
        <v>-185168500</v>
      </c>
      <c r="V105" s="3">
        <v>-185168500</v>
      </c>
      <c r="W105" s="3">
        <v>-185168500</v>
      </c>
      <c r="X105" s="4">
        <v>0</v>
      </c>
      <c r="Y105" s="4">
        <v>0</v>
      </c>
      <c r="Z105" s="3">
        <v>0</v>
      </c>
      <c r="AA105" s="3">
        <v>0</v>
      </c>
      <c r="AB105" t="s">
        <v>1</v>
      </c>
      <c r="AC105" t="s">
        <v>24</v>
      </c>
      <c r="AD105" s="2"/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25</v>
      </c>
      <c r="AK105" s="4">
        <v>0</v>
      </c>
      <c r="AL105" t="s">
        <v>1</v>
      </c>
      <c r="AM105" s="5" t="s">
        <v>1</v>
      </c>
      <c r="AN105" t="s">
        <v>1</v>
      </c>
      <c r="AO105" s="2"/>
      <c r="AP105" t="s">
        <v>1</v>
      </c>
      <c r="AQ105" t="s">
        <v>1</v>
      </c>
      <c r="AR105" s="3">
        <v>0</v>
      </c>
      <c r="AS105" t="s">
        <v>1</v>
      </c>
      <c r="AT105" t="s">
        <v>7</v>
      </c>
      <c r="AU105" t="s">
        <v>1</v>
      </c>
      <c r="AV105" t="s">
        <v>1</v>
      </c>
      <c r="AW105" t="s">
        <v>8</v>
      </c>
      <c r="AX105" t="s">
        <v>8</v>
      </c>
      <c r="AY105" t="s">
        <v>1</v>
      </c>
      <c r="AZ105" s="4">
        <v>0</v>
      </c>
      <c r="BA105" t="s">
        <v>1</v>
      </c>
      <c r="BB105" s="3">
        <v>0</v>
      </c>
      <c r="BC105" s="3">
        <v>0</v>
      </c>
      <c r="BD105" s="3">
        <v>0</v>
      </c>
      <c r="BE105" t="s">
        <v>20</v>
      </c>
      <c r="BF105" t="s">
        <v>1</v>
      </c>
      <c r="BG105" s="4">
        <v>0</v>
      </c>
      <c r="BH105" s="4">
        <v>0</v>
      </c>
      <c r="BI105" s="6">
        <v>0</v>
      </c>
      <c r="BJ105" s="6">
        <v>0</v>
      </c>
      <c r="BK105" t="s">
        <v>1</v>
      </c>
      <c r="BL105" t="s">
        <v>1</v>
      </c>
      <c r="BM105" t="s">
        <v>1</v>
      </c>
      <c r="BN105" t="s">
        <v>9</v>
      </c>
      <c r="BO105" s="2">
        <v>46120</v>
      </c>
      <c r="BP105" t="s">
        <v>1</v>
      </c>
      <c r="BQ105" t="s">
        <v>2353</v>
      </c>
      <c r="BR105" t="s">
        <v>27</v>
      </c>
      <c r="BS105" t="s">
        <v>1</v>
      </c>
      <c r="BT105" t="s">
        <v>1</v>
      </c>
      <c r="BU105" t="s">
        <v>1</v>
      </c>
      <c r="BV105" t="s">
        <v>1</v>
      </c>
      <c r="BW105" t="s">
        <v>7</v>
      </c>
      <c r="BX105" t="s">
        <v>10</v>
      </c>
      <c r="BY105" s="2"/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254</v>
      </c>
      <c r="CJ105" s="3">
        <v>-185168500</v>
      </c>
      <c r="CK105" t="s">
        <v>9</v>
      </c>
      <c r="CL105" t="s">
        <v>11</v>
      </c>
      <c r="CM105" t="s">
        <v>1</v>
      </c>
      <c r="CN105" s="4">
        <v>0</v>
      </c>
      <c r="CO105" t="s">
        <v>7</v>
      </c>
      <c r="CP105" t="s">
        <v>7</v>
      </c>
      <c r="CQ105" t="s">
        <v>7</v>
      </c>
      <c r="CR105" t="s">
        <v>7</v>
      </c>
      <c r="CS105" s="4">
        <v>0</v>
      </c>
      <c r="CT105" t="s">
        <v>2353</v>
      </c>
      <c r="CU105" t="s">
        <v>7</v>
      </c>
      <c r="CV105" t="s">
        <v>1</v>
      </c>
      <c r="CW105" s="2"/>
      <c r="CX105" t="s">
        <v>12</v>
      </c>
      <c r="CY105" t="s">
        <v>1</v>
      </c>
      <c r="CZ105" t="s">
        <v>13</v>
      </c>
      <c r="DA105" t="s">
        <v>1</v>
      </c>
      <c r="DB105" t="s">
        <v>9</v>
      </c>
      <c r="DC105" t="s">
        <v>9</v>
      </c>
      <c r="DD105" t="s">
        <v>1</v>
      </c>
      <c r="DE105" t="s">
        <v>1</v>
      </c>
      <c r="DF105" t="s">
        <v>1</v>
      </c>
      <c r="DG105" t="s">
        <v>36</v>
      </c>
      <c r="DH105" t="s">
        <v>1</v>
      </c>
      <c r="DI105" s="2"/>
      <c r="DJ105" t="s">
        <v>1</v>
      </c>
      <c r="DK105" t="s">
        <v>14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s="2"/>
      <c r="DW105" t="s">
        <v>1</v>
      </c>
      <c r="DX105" t="s">
        <v>1</v>
      </c>
      <c r="DY105" t="s">
        <v>2357</v>
      </c>
      <c r="DZ105" t="s">
        <v>1</v>
      </c>
      <c r="EA105" t="s">
        <v>1</v>
      </c>
      <c r="EB105" t="s">
        <v>28</v>
      </c>
      <c r="EC105" t="s">
        <v>7</v>
      </c>
      <c r="ED105" t="s">
        <v>1</v>
      </c>
      <c r="EE105" t="s">
        <v>1</v>
      </c>
      <c r="EF105" t="s">
        <v>22</v>
      </c>
      <c r="EG105" t="s">
        <v>41</v>
      </c>
      <c r="EH105" t="s">
        <v>15</v>
      </c>
      <c r="EI105" t="s">
        <v>1</v>
      </c>
      <c r="EJ105" s="4">
        <v>-5500</v>
      </c>
      <c r="EK105" t="s">
        <v>1</v>
      </c>
      <c r="EL105" t="s">
        <v>1</v>
      </c>
      <c r="EM105" t="s">
        <v>1</v>
      </c>
      <c r="EN105" t="s">
        <v>1</v>
      </c>
      <c r="EO105" s="2"/>
      <c r="EP105" t="s">
        <v>2357</v>
      </c>
      <c r="EQ105" t="s">
        <v>1</v>
      </c>
      <c r="ER105" t="s">
        <v>1</v>
      </c>
      <c r="ES105" t="s">
        <v>1</v>
      </c>
      <c r="ET105" t="s">
        <v>29</v>
      </c>
      <c r="EU105" t="s">
        <v>1</v>
      </c>
      <c r="EV105" t="s">
        <v>1</v>
      </c>
      <c r="EW105" t="s">
        <v>7</v>
      </c>
      <c r="EX105" t="s">
        <v>7</v>
      </c>
      <c r="EY105" t="s">
        <v>1</v>
      </c>
      <c r="EZ105" t="s">
        <v>1</v>
      </c>
      <c r="FA105" t="s">
        <v>1</v>
      </c>
      <c r="FB105" s="3">
        <v>50</v>
      </c>
      <c r="FC105" t="s">
        <v>1</v>
      </c>
      <c r="FD105" t="s">
        <v>1</v>
      </c>
      <c r="FE105" t="s">
        <v>1</v>
      </c>
      <c r="FF105" t="s">
        <v>17</v>
      </c>
      <c r="FG105" t="s">
        <v>1</v>
      </c>
      <c r="FH105" t="s">
        <v>1</v>
      </c>
      <c r="FI105" t="s">
        <v>1</v>
      </c>
      <c r="FJ105" t="s">
        <v>1</v>
      </c>
      <c r="FK105" s="7">
        <v>46120.365023148152</v>
      </c>
      <c r="FL105" t="s">
        <v>1</v>
      </c>
      <c r="FM105" t="s">
        <v>1</v>
      </c>
      <c r="FN105" t="s">
        <v>1</v>
      </c>
      <c r="FO105" s="19">
        <v>-185168500</v>
      </c>
      <c r="FP105" s="4">
        <v>0</v>
      </c>
      <c r="FQ105" s="19">
        <v>-185168500</v>
      </c>
      <c r="FR105" s="4">
        <v>0</v>
      </c>
      <c r="FS105" s="4">
        <v>0</v>
      </c>
      <c r="FT105" s="4">
        <v>0</v>
      </c>
      <c r="FU105" s="2">
        <v>46120</v>
      </c>
      <c r="FV105" t="s">
        <v>1</v>
      </c>
      <c r="FW105" s="4">
        <v>0</v>
      </c>
      <c r="FX105" t="s">
        <v>1</v>
      </c>
      <c r="FY105" t="s">
        <v>1</v>
      </c>
      <c r="FZ105" s="4">
        <v>0</v>
      </c>
      <c r="GA105" s="4">
        <v>0</v>
      </c>
      <c r="GB105" t="s">
        <v>2070</v>
      </c>
      <c r="GC105" t="str">
        <f>RIGHT(Data_FAGLL03[[#This Row],[Payment reference]],8)</f>
        <v>91172644</v>
      </c>
      <c r="GD105" t="str">
        <f>IF(Data_FAGLL03[[#This Row],[Billing]]&lt;&gt;"",_xlfn.XLOOKUP(Data_FAGLL03[[#This Row],[Billing]],MD_BILLING_SO[BILIING],MD_BILLING_SO[SO-EDITED]),"")</f>
        <v>30030722</v>
      </c>
      <c r="GE105" s="18">
        <f>IF(SUBSTITUTE(Data_FAGLL03[[#This Row],[Eff.exchange rate]],",","")/100000=1,1,SUBSTITUTE(Data_FAGLL03[[#This Row],[Eff.exchange rate]],",","")/100)</f>
        <v>1</v>
      </c>
      <c r="GF105" s="17">
        <f>IF(Data_FAGLL03[[#This Row],[Material]]&lt;&gt;"",IFERROR(Data_FAGLL03[[#This Row],[Amount in local currency]]/Data_FAGLL03[[#This Row],[Quantity_Original]],0),0)</f>
        <v>33667</v>
      </c>
      <c r="GG105" s="18">
        <f>IF(Data_FAGLL03[[#This Row],[XK/NĐ]]="XK",Data_FAGLL03[[#This Row],[GB trung bình]]/Data_FAGLL03[[#This Row],[EXR]],0)*1000</f>
        <v>0</v>
      </c>
      <c r="GH105" s="18" cm="1">
        <f t="array" ref="GH105">IF(Data_FAGLL03[[#This Row],[Document currency]]&lt;&gt;"VND",Data_FAGLL03[[#This Row],[Amount in doc. curr.]],Data_FAGLL03[[#This Row],[Amount in local currency]]/EXR)</f>
        <v>-7053.4622431991083</v>
      </c>
      <c r="GI105" s="10">
        <f>Data_FAGLL03[[#This Row],[Time Stamp]]+TIME(7,0,0)</f>
        <v>46120.656689814816</v>
      </c>
      <c r="GJ105" s="18">
        <f>MONTH(Data_FAGLL03[[#This Row],[Time Stamp_VN]])</f>
        <v>4</v>
      </c>
      <c r="GK105">
        <f>DAY(Data_FAGLL03[[#This Row],[Time Stamp_VN]])</f>
        <v>8</v>
      </c>
      <c r="GL105" t="str">
        <f>TEXT(Data_FAGLL03[[#This Row],[Tháng]],"00")&amp;" | "&amp;TEXT(Data_FAGLL03[[#This Row],[Ngày]],"00")</f>
        <v>04 | 08</v>
      </c>
      <c r="GM105" s="18">
        <f>IF(Data_FAGLL03[[#This Row],[Text]]="",Data_FAGLL03[[#This Row],[Quantity_Original]],0)</f>
        <v>-5500</v>
      </c>
      <c r="GN105" s="18" t="str">
        <f>IF(Data_FAGLL03[[#This Row],[Quantity_Edited]]&lt;&gt;0,Data_FAGLL03[[#This Row],[Offsetting acct no.]]&amp;" | "&amp;Data_FAGLL03[[#This Row],[Material]],"")</f>
        <v>1005 | 110000425</v>
      </c>
      <c r="GO105" t="str">
        <f>IF(LEFT(Data_FAGLL03[[#This Row],[Offsetting acct no.]],1)="1","NĐ",IF(LEFT(Data_FAGLL03[[#This Row],[Offsetting acct no.]],1)="2","XK","Khác"))</f>
        <v>NĐ</v>
      </c>
      <c r="GP105" t="str">
        <f>IF(Data_FAGLL03[[#This Row],[Material]]&lt;&gt;"",_xlfn.XLOOKUP(Data_FAGLL03[[#This Row],[Material]],MD_SKU[Mã SKU],MD_SKU[Tên SKU]),"")</f>
        <v>Hạt Nhựa HCBF-Whi-U</v>
      </c>
      <c r="GQ105" t="str">
        <f>IF(Data_FAGLL03[[#This Row],[Material]]&lt;&gt;"",_xlfn.XLOOKUP(Data_FAGLL03[[#This Row],[Material]],MD_SKU[Mã SKU],MD_SKU[Nhóm SP 1]),"")</f>
        <v>rHDPE</v>
      </c>
      <c r="GR105" t="str">
        <f>IF(Data_FAGLL03[[#This Row],[Material]]&lt;&gt;"",_xlfn.XLOOKUP(Data_FAGLL03[[#This Row],[Material]],MD_SKU[Mã SKU],MD_SKU[Nhóm SP 2]),"")</f>
        <v>rHDPE thổi</v>
      </c>
      <c r="GS105" t="str">
        <f>IF(Data_FAGLL03[[#This Row],[Material]]&lt;&gt;"",_xlfn.XLOOKUP(Data_FAGLL03[[#This Row],[Material]],MD_SKU[Mã SKU],MD_SKU[Nhóm SP 3]),"")</f>
        <v>rHDPE thổi</v>
      </c>
      <c r="GT105" t="str">
        <f>IF(Data_FAGLL03[[#This Row],[Material]]&lt;&gt;"",_xlfn.XLOOKUP(Data_FAGLL03[[#This Row],[Material]],MD_SKU[Mã SKU],MD_SKU[Nhóm SP 4]),"")</f>
        <v>Hạt rHDPE thổi</v>
      </c>
    </row>
    <row r="106" spans="1:202" x14ac:dyDescent="0.25">
      <c r="A106" t="s">
        <v>0</v>
      </c>
      <c r="B106" s="2">
        <v>46120</v>
      </c>
      <c r="C106" t="s">
        <v>2358</v>
      </c>
      <c r="D106" t="s">
        <v>1</v>
      </c>
      <c r="E106" t="s">
        <v>1</v>
      </c>
      <c r="F106" t="s">
        <v>31</v>
      </c>
      <c r="G106" t="s">
        <v>31</v>
      </c>
      <c r="H106" t="s">
        <v>2354</v>
      </c>
      <c r="I106" s="19">
        <v>-185168500</v>
      </c>
      <c r="J106" t="s">
        <v>2355</v>
      </c>
      <c r="K106" t="s">
        <v>1</v>
      </c>
      <c r="L106" t="s">
        <v>39</v>
      </c>
      <c r="M106" t="s">
        <v>41</v>
      </c>
      <c r="N106" t="s">
        <v>254</v>
      </c>
      <c r="O106" t="s">
        <v>4</v>
      </c>
      <c r="P106" t="s">
        <v>2359</v>
      </c>
      <c r="Q106" t="s">
        <v>31</v>
      </c>
      <c r="R106" t="s">
        <v>5</v>
      </c>
      <c r="S106" t="s">
        <v>1</v>
      </c>
      <c r="T106" s="3">
        <v>-185168500</v>
      </c>
      <c r="U106" s="19">
        <v>-185168500</v>
      </c>
      <c r="V106" s="3">
        <v>-185168500</v>
      </c>
      <c r="W106" s="3">
        <v>-185168500</v>
      </c>
      <c r="X106" s="4">
        <v>0</v>
      </c>
      <c r="Y106" s="4">
        <v>0</v>
      </c>
      <c r="Z106" s="3">
        <v>0</v>
      </c>
      <c r="AA106" s="3">
        <v>0</v>
      </c>
      <c r="AB106" t="s">
        <v>1</v>
      </c>
      <c r="AC106" t="s">
        <v>24</v>
      </c>
      <c r="AD106" s="2"/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25</v>
      </c>
      <c r="AK106" s="4">
        <v>0</v>
      </c>
      <c r="AL106" t="s">
        <v>1</v>
      </c>
      <c r="AM106" s="5" t="s">
        <v>1</v>
      </c>
      <c r="AN106" t="s">
        <v>1</v>
      </c>
      <c r="AO106" s="2"/>
      <c r="AP106" t="s">
        <v>1</v>
      </c>
      <c r="AQ106" t="s">
        <v>1</v>
      </c>
      <c r="AR106" s="3">
        <v>0</v>
      </c>
      <c r="AS106" t="s">
        <v>1</v>
      </c>
      <c r="AT106" t="s">
        <v>7</v>
      </c>
      <c r="AU106" t="s">
        <v>1</v>
      </c>
      <c r="AV106" t="s">
        <v>1</v>
      </c>
      <c r="AW106" t="s">
        <v>8</v>
      </c>
      <c r="AX106" t="s">
        <v>8</v>
      </c>
      <c r="AY106" t="s">
        <v>1</v>
      </c>
      <c r="AZ106" s="4">
        <v>0</v>
      </c>
      <c r="BA106" t="s">
        <v>1</v>
      </c>
      <c r="BB106" s="3">
        <v>0</v>
      </c>
      <c r="BC106" s="3">
        <v>0</v>
      </c>
      <c r="BD106" s="3">
        <v>0</v>
      </c>
      <c r="BE106" t="s">
        <v>20</v>
      </c>
      <c r="BF106" t="s">
        <v>1</v>
      </c>
      <c r="BG106" s="4">
        <v>0</v>
      </c>
      <c r="BH106" s="4">
        <v>0</v>
      </c>
      <c r="BI106" s="6">
        <v>0</v>
      </c>
      <c r="BJ106" s="6">
        <v>0</v>
      </c>
      <c r="BK106" t="s">
        <v>1</v>
      </c>
      <c r="BL106" t="s">
        <v>1</v>
      </c>
      <c r="BM106" t="s">
        <v>1</v>
      </c>
      <c r="BN106" t="s">
        <v>9</v>
      </c>
      <c r="BO106" s="2">
        <v>46120</v>
      </c>
      <c r="BP106" t="s">
        <v>1</v>
      </c>
      <c r="BQ106" t="s">
        <v>2358</v>
      </c>
      <c r="BR106" t="s">
        <v>27</v>
      </c>
      <c r="BS106" t="s">
        <v>1</v>
      </c>
      <c r="BT106" t="s">
        <v>1</v>
      </c>
      <c r="BU106" t="s">
        <v>1</v>
      </c>
      <c r="BV106" t="s">
        <v>1</v>
      </c>
      <c r="BW106" t="s">
        <v>7</v>
      </c>
      <c r="BX106" t="s">
        <v>10</v>
      </c>
      <c r="BY106" s="2"/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254</v>
      </c>
      <c r="CJ106" s="3">
        <v>-185168500</v>
      </c>
      <c r="CK106" t="s">
        <v>9</v>
      </c>
      <c r="CL106" t="s">
        <v>11</v>
      </c>
      <c r="CM106" t="s">
        <v>1</v>
      </c>
      <c r="CN106" s="4">
        <v>0</v>
      </c>
      <c r="CO106" t="s">
        <v>7</v>
      </c>
      <c r="CP106" t="s">
        <v>7</v>
      </c>
      <c r="CQ106" t="s">
        <v>7</v>
      </c>
      <c r="CR106" t="s">
        <v>7</v>
      </c>
      <c r="CS106" s="4">
        <v>0</v>
      </c>
      <c r="CT106" t="s">
        <v>2358</v>
      </c>
      <c r="CU106" t="s">
        <v>7</v>
      </c>
      <c r="CV106" t="s">
        <v>1</v>
      </c>
      <c r="CW106" s="2"/>
      <c r="CX106" t="s">
        <v>12</v>
      </c>
      <c r="CY106" t="s">
        <v>1</v>
      </c>
      <c r="CZ106" t="s">
        <v>13</v>
      </c>
      <c r="DA106" t="s">
        <v>1</v>
      </c>
      <c r="DB106" t="s">
        <v>9</v>
      </c>
      <c r="DC106" t="s">
        <v>9</v>
      </c>
      <c r="DD106" t="s">
        <v>1</v>
      </c>
      <c r="DE106" t="s">
        <v>1</v>
      </c>
      <c r="DF106" t="s">
        <v>1</v>
      </c>
      <c r="DG106" t="s">
        <v>36</v>
      </c>
      <c r="DH106" t="s">
        <v>1</v>
      </c>
      <c r="DI106" s="2"/>
      <c r="DJ106" t="s">
        <v>1</v>
      </c>
      <c r="DK106" t="s">
        <v>14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s="2"/>
      <c r="DW106" t="s">
        <v>1</v>
      </c>
      <c r="DX106" t="s">
        <v>1</v>
      </c>
      <c r="DY106" t="s">
        <v>2360</v>
      </c>
      <c r="DZ106" t="s">
        <v>1</v>
      </c>
      <c r="EA106" t="s">
        <v>1</v>
      </c>
      <c r="EB106" t="s">
        <v>28</v>
      </c>
      <c r="EC106" t="s">
        <v>7</v>
      </c>
      <c r="ED106" t="s">
        <v>1</v>
      </c>
      <c r="EE106" t="s">
        <v>1</v>
      </c>
      <c r="EF106" t="s">
        <v>22</v>
      </c>
      <c r="EG106" t="s">
        <v>41</v>
      </c>
      <c r="EH106" t="s">
        <v>15</v>
      </c>
      <c r="EI106" t="s">
        <v>1</v>
      </c>
      <c r="EJ106" s="4">
        <v>-5500</v>
      </c>
      <c r="EK106" t="s">
        <v>1</v>
      </c>
      <c r="EL106" t="s">
        <v>1</v>
      </c>
      <c r="EM106" t="s">
        <v>1</v>
      </c>
      <c r="EN106" t="s">
        <v>1</v>
      </c>
      <c r="EO106" s="2"/>
      <c r="EP106" t="s">
        <v>2360</v>
      </c>
      <c r="EQ106" t="s">
        <v>1</v>
      </c>
      <c r="ER106" t="s">
        <v>1</v>
      </c>
      <c r="ES106" t="s">
        <v>1</v>
      </c>
      <c r="ET106" t="s">
        <v>29</v>
      </c>
      <c r="EU106" t="s">
        <v>1</v>
      </c>
      <c r="EV106" t="s">
        <v>1</v>
      </c>
      <c r="EW106" t="s">
        <v>7</v>
      </c>
      <c r="EX106" t="s">
        <v>7</v>
      </c>
      <c r="EY106" t="s">
        <v>1</v>
      </c>
      <c r="EZ106" t="s">
        <v>1</v>
      </c>
      <c r="FA106" t="s">
        <v>1</v>
      </c>
      <c r="FB106" s="3">
        <v>50</v>
      </c>
      <c r="FC106" t="s">
        <v>1</v>
      </c>
      <c r="FD106" t="s">
        <v>1</v>
      </c>
      <c r="FE106" t="s">
        <v>1</v>
      </c>
      <c r="FF106" t="s">
        <v>17</v>
      </c>
      <c r="FG106" t="s">
        <v>1</v>
      </c>
      <c r="FH106" t="s">
        <v>1</v>
      </c>
      <c r="FI106" t="s">
        <v>1</v>
      </c>
      <c r="FJ106" t="s">
        <v>1</v>
      </c>
      <c r="FK106" s="7">
        <v>46120.36515046296</v>
      </c>
      <c r="FL106" t="s">
        <v>1</v>
      </c>
      <c r="FM106" t="s">
        <v>1</v>
      </c>
      <c r="FN106" t="s">
        <v>1</v>
      </c>
      <c r="FO106" s="19">
        <v>-185168500</v>
      </c>
      <c r="FP106" s="4">
        <v>0</v>
      </c>
      <c r="FQ106" s="19">
        <v>-185168500</v>
      </c>
      <c r="FR106" s="4">
        <v>0</v>
      </c>
      <c r="FS106" s="4">
        <v>0</v>
      </c>
      <c r="FT106" s="4">
        <v>0</v>
      </c>
      <c r="FU106" s="2">
        <v>46120</v>
      </c>
      <c r="FV106" t="s">
        <v>1</v>
      </c>
      <c r="FW106" s="4">
        <v>0</v>
      </c>
      <c r="FX106" t="s">
        <v>1</v>
      </c>
      <c r="FY106" t="s">
        <v>1</v>
      </c>
      <c r="FZ106" s="4">
        <v>0</v>
      </c>
      <c r="GA106" s="4">
        <v>0</v>
      </c>
      <c r="GB106" t="s">
        <v>2070</v>
      </c>
      <c r="GC106" t="str">
        <f>RIGHT(Data_FAGLL03[[#This Row],[Payment reference]],8)</f>
        <v>91172645</v>
      </c>
      <c r="GD106" t="str">
        <f>IF(Data_FAGLL03[[#This Row],[Billing]]&lt;&gt;"",_xlfn.XLOOKUP(Data_FAGLL03[[#This Row],[Billing]],MD_BILLING_SO[BILIING],MD_BILLING_SO[SO-EDITED]),"")</f>
        <v>30030722</v>
      </c>
      <c r="GE106" s="18">
        <f>IF(SUBSTITUTE(Data_FAGLL03[[#This Row],[Eff.exchange rate]],",","")/100000=1,1,SUBSTITUTE(Data_FAGLL03[[#This Row],[Eff.exchange rate]],",","")/100)</f>
        <v>1</v>
      </c>
      <c r="GF106" s="17">
        <f>IF(Data_FAGLL03[[#This Row],[Material]]&lt;&gt;"",IFERROR(Data_FAGLL03[[#This Row],[Amount in local currency]]/Data_FAGLL03[[#This Row],[Quantity_Original]],0),0)</f>
        <v>33667</v>
      </c>
      <c r="GG106" s="18">
        <f>IF(Data_FAGLL03[[#This Row],[XK/NĐ]]="XK",Data_FAGLL03[[#This Row],[GB trung bình]]/Data_FAGLL03[[#This Row],[EXR]],0)*1000</f>
        <v>0</v>
      </c>
      <c r="GH106" s="18" cm="1">
        <f t="array" ref="GH106">IF(Data_FAGLL03[[#This Row],[Document currency]]&lt;&gt;"VND",Data_FAGLL03[[#This Row],[Amount in doc. curr.]],Data_FAGLL03[[#This Row],[Amount in local currency]]/EXR)</f>
        <v>-7053.4622431991083</v>
      </c>
      <c r="GI106" s="10">
        <f>Data_FAGLL03[[#This Row],[Time Stamp]]+TIME(7,0,0)</f>
        <v>46120.656817129624</v>
      </c>
      <c r="GJ106" s="18">
        <f>MONTH(Data_FAGLL03[[#This Row],[Time Stamp_VN]])</f>
        <v>4</v>
      </c>
      <c r="GK106">
        <f>DAY(Data_FAGLL03[[#This Row],[Time Stamp_VN]])</f>
        <v>8</v>
      </c>
      <c r="GL106" t="str">
        <f>TEXT(Data_FAGLL03[[#This Row],[Tháng]],"00")&amp;" | "&amp;TEXT(Data_FAGLL03[[#This Row],[Ngày]],"00")</f>
        <v>04 | 08</v>
      </c>
      <c r="GM106" s="18">
        <f>IF(Data_FAGLL03[[#This Row],[Text]]="",Data_FAGLL03[[#This Row],[Quantity_Original]],0)</f>
        <v>-5500</v>
      </c>
      <c r="GN106" s="18" t="str">
        <f>IF(Data_FAGLL03[[#This Row],[Quantity_Edited]]&lt;&gt;0,Data_FAGLL03[[#This Row],[Offsetting acct no.]]&amp;" | "&amp;Data_FAGLL03[[#This Row],[Material]],"")</f>
        <v>1005 | 110000425</v>
      </c>
      <c r="GO106" t="str">
        <f>IF(LEFT(Data_FAGLL03[[#This Row],[Offsetting acct no.]],1)="1","NĐ",IF(LEFT(Data_FAGLL03[[#This Row],[Offsetting acct no.]],1)="2","XK","Khác"))</f>
        <v>NĐ</v>
      </c>
      <c r="GP106" t="str">
        <f>IF(Data_FAGLL03[[#This Row],[Material]]&lt;&gt;"",_xlfn.XLOOKUP(Data_FAGLL03[[#This Row],[Material]],MD_SKU[Mã SKU],MD_SKU[Tên SKU]),"")</f>
        <v>Hạt Nhựa HCBF-Whi-U</v>
      </c>
      <c r="GQ106" t="str">
        <f>IF(Data_FAGLL03[[#This Row],[Material]]&lt;&gt;"",_xlfn.XLOOKUP(Data_FAGLL03[[#This Row],[Material]],MD_SKU[Mã SKU],MD_SKU[Nhóm SP 1]),"")</f>
        <v>rHDPE</v>
      </c>
      <c r="GR106" t="str">
        <f>IF(Data_FAGLL03[[#This Row],[Material]]&lt;&gt;"",_xlfn.XLOOKUP(Data_FAGLL03[[#This Row],[Material]],MD_SKU[Mã SKU],MD_SKU[Nhóm SP 2]),"")</f>
        <v>rHDPE thổi</v>
      </c>
      <c r="GS106" t="str">
        <f>IF(Data_FAGLL03[[#This Row],[Material]]&lt;&gt;"",_xlfn.XLOOKUP(Data_FAGLL03[[#This Row],[Material]],MD_SKU[Mã SKU],MD_SKU[Nhóm SP 3]),"")</f>
        <v>rHDPE thổi</v>
      </c>
      <c r="GT106" t="str">
        <f>IF(Data_FAGLL03[[#This Row],[Material]]&lt;&gt;"",_xlfn.XLOOKUP(Data_FAGLL03[[#This Row],[Material]],MD_SKU[Mã SKU],MD_SKU[Nhóm SP 4]),"")</f>
        <v>Hạt rHDPE thổi</v>
      </c>
    </row>
    <row r="107" spans="1:202" x14ac:dyDescent="0.25">
      <c r="A107" t="s">
        <v>0</v>
      </c>
      <c r="B107" s="2">
        <v>46120</v>
      </c>
      <c r="C107" t="s">
        <v>2361</v>
      </c>
      <c r="D107" t="s">
        <v>1</v>
      </c>
      <c r="E107" t="s">
        <v>1</v>
      </c>
      <c r="F107" t="s">
        <v>31</v>
      </c>
      <c r="G107" t="s">
        <v>31</v>
      </c>
      <c r="H107" t="s">
        <v>55</v>
      </c>
      <c r="I107" s="19">
        <v>-86111111</v>
      </c>
      <c r="J107" t="s">
        <v>56</v>
      </c>
      <c r="K107" t="s">
        <v>1</v>
      </c>
      <c r="L107" t="s">
        <v>39</v>
      </c>
      <c r="M107" t="s">
        <v>41</v>
      </c>
      <c r="N107" t="s">
        <v>254</v>
      </c>
      <c r="O107" t="s">
        <v>4</v>
      </c>
      <c r="P107" t="s">
        <v>2362</v>
      </c>
      <c r="Q107" t="s">
        <v>31</v>
      </c>
      <c r="R107" t="s">
        <v>5</v>
      </c>
      <c r="S107" t="s">
        <v>1</v>
      </c>
      <c r="T107" s="3">
        <v>-86111111</v>
      </c>
      <c r="U107" s="19">
        <v>-86111111</v>
      </c>
      <c r="V107" s="3">
        <v>-86111111</v>
      </c>
      <c r="W107" s="3">
        <v>-86111111</v>
      </c>
      <c r="X107" s="4">
        <v>0</v>
      </c>
      <c r="Y107" s="4">
        <v>0</v>
      </c>
      <c r="Z107" s="3">
        <v>0</v>
      </c>
      <c r="AA107" s="3">
        <v>0</v>
      </c>
      <c r="AB107" t="s">
        <v>1</v>
      </c>
      <c r="AC107" t="s">
        <v>24</v>
      </c>
      <c r="AD107" s="2"/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25</v>
      </c>
      <c r="AK107" s="4">
        <v>0</v>
      </c>
      <c r="AL107" t="s">
        <v>1</v>
      </c>
      <c r="AM107" s="5" t="s">
        <v>1</v>
      </c>
      <c r="AN107" t="s">
        <v>1</v>
      </c>
      <c r="AO107" s="2"/>
      <c r="AP107" t="s">
        <v>1</v>
      </c>
      <c r="AQ107" t="s">
        <v>1</v>
      </c>
      <c r="AR107" s="3">
        <v>0</v>
      </c>
      <c r="AS107" t="s">
        <v>1</v>
      </c>
      <c r="AT107" t="s">
        <v>7</v>
      </c>
      <c r="AU107" t="s">
        <v>1</v>
      </c>
      <c r="AV107" t="s">
        <v>1</v>
      </c>
      <c r="AW107" t="s">
        <v>8</v>
      </c>
      <c r="AX107" t="s">
        <v>8</v>
      </c>
      <c r="AY107" t="s">
        <v>1</v>
      </c>
      <c r="AZ107" s="4">
        <v>0</v>
      </c>
      <c r="BA107" t="s">
        <v>1</v>
      </c>
      <c r="BB107" s="3">
        <v>0</v>
      </c>
      <c r="BC107" s="3">
        <v>0</v>
      </c>
      <c r="BD107" s="3">
        <v>0</v>
      </c>
      <c r="BE107" t="s">
        <v>20</v>
      </c>
      <c r="BF107" t="s">
        <v>1</v>
      </c>
      <c r="BG107" s="4">
        <v>0</v>
      </c>
      <c r="BH107" s="4">
        <v>0</v>
      </c>
      <c r="BI107" s="6">
        <v>0</v>
      </c>
      <c r="BJ107" s="6">
        <v>0</v>
      </c>
      <c r="BK107" t="s">
        <v>1</v>
      </c>
      <c r="BL107" t="s">
        <v>1</v>
      </c>
      <c r="BM107" t="s">
        <v>1</v>
      </c>
      <c r="BN107" t="s">
        <v>9</v>
      </c>
      <c r="BO107" s="2">
        <v>46120</v>
      </c>
      <c r="BP107" t="s">
        <v>1</v>
      </c>
      <c r="BQ107" t="s">
        <v>2361</v>
      </c>
      <c r="BR107" t="s">
        <v>27</v>
      </c>
      <c r="BS107" t="s">
        <v>1</v>
      </c>
      <c r="BT107" t="s">
        <v>1</v>
      </c>
      <c r="BU107" t="s">
        <v>1</v>
      </c>
      <c r="BV107" t="s">
        <v>1</v>
      </c>
      <c r="BW107" t="s">
        <v>7</v>
      </c>
      <c r="BX107" t="s">
        <v>10</v>
      </c>
      <c r="BY107" s="2"/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254</v>
      </c>
      <c r="CJ107" s="3">
        <v>-86111111</v>
      </c>
      <c r="CK107" t="s">
        <v>9</v>
      </c>
      <c r="CL107" t="s">
        <v>11</v>
      </c>
      <c r="CM107" t="s">
        <v>1</v>
      </c>
      <c r="CN107" s="4">
        <v>0</v>
      </c>
      <c r="CO107" t="s">
        <v>7</v>
      </c>
      <c r="CP107" t="s">
        <v>7</v>
      </c>
      <c r="CQ107" t="s">
        <v>7</v>
      </c>
      <c r="CR107" t="s">
        <v>7</v>
      </c>
      <c r="CS107" s="4">
        <v>0</v>
      </c>
      <c r="CT107" t="s">
        <v>2361</v>
      </c>
      <c r="CU107" t="s">
        <v>7</v>
      </c>
      <c r="CV107" t="s">
        <v>1</v>
      </c>
      <c r="CW107" s="2"/>
      <c r="CX107" t="s">
        <v>12</v>
      </c>
      <c r="CY107" t="s">
        <v>1</v>
      </c>
      <c r="CZ107" t="s">
        <v>13</v>
      </c>
      <c r="DA107" t="s">
        <v>1</v>
      </c>
      <c r="DB107" t="s">
        <v>9</v>
      </c>
      <c r="DC107" t="s">
        <v>9</v>
      </c>
      <c r="DD107" t="s">
        <v>1</v>
      </c>
      <c r="DE107" t="s">
        <v>1</v>
      </c>
      <c r="DF107" t="s">
        <v>1</v>
      </c>
      <c r="DG107" t="s">
        <v>262</v>
      </c>
      <c r="DH107" t="s">
        <v>1</v>
      </c>
      <c r="DI107" s="2"/>
      <c r="DJ107" t="s">
        <v>1</v>
      </c>
      <c r="DK107" t="s">
        <v>14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s="2"/>
      <c r="DW107" t="s">
        <v>1</v>
      </c>
      <c r="DX107" t="s">
        <v>1</v>
      </c>
      <c r="DY107" t="s">
        <v>2363</v>
      </c>
      <c r="DZ107" t="s">
        <v>1</v>
      </c>
      <c r="EA107" t="s">
        <v>1</v>
      </c>
      <c r="EB107" t="s">
        <v>28</v>
      </c>
      <c r="EC107" t="s">
        <v>7</v>
      </c>
      <c r="ED107" t="s">
        <v>1</v>
      </c>
      <c r="EE107" t="s">
        <v>1</v>
      </c>
      <c r="EF107" t="s">
        <v>22</v>
      </c>
      <c r="EG107" t="s">
        <v>41</v>
      </c>
      <c r="EH107" t="s">
        <v>15</v>
      </c>
      <c r="EI107" t="s">
        <v>1</v>
      </c>
      <c r="EJ107" s="4">
        <v>-6000</v>
      </c>
      <c r="EK107" t="s">
        <v>1</v>
      </c>
      <c r="EL107" t="s">
        <v>1</v>
      </c>
      <c r="EM107" t="s">
        <v>1</v>
      </c>
      <c r="EN107" t="s">
        <v>1</v>
      </c>
      <c r="EO107" s="2"/>
      <c r="EP107" t="s">
        <v>2363</v>
      </c>
      <c r="EQ107" t="s">
        <v>1</v>
      </c>
      <c r="ER107" t="s">
        <v>1</v>
      </c>
      <c r="ES107" t="s">
        <v>1</v>
      </c>
      <c r="ET107" t="s">
        <v>29</v>
      </c>
      <c r="EU107" t="s">
        <v>1</v>
      </c>
      <c r="EV107" t="s">
        <v>1</v>
      </c>
      <c r="EW107" t="s">
        <v>7</v>
      </c>
      <c r="EX107" t="s">
        <v>7</v>
      </c>
      <c r="EY107" t="s">
        <v>1</v>
      </c>
      <c r="EZ107" t="s">
        <v>1</v>
      </c>
      <c r="FA107" t="s">
        <v>1</v>
      </c>
      <c r="FB107" s="3">
        <v>50</v>
      </c>
      <c r="FC107" t="s">
        <v>1</v>
      </c>
      <c r="FD107" t="s">
        <v>1</v>
      </c>
      <c r="FE107" t="s">
        <v>1</v>
      </c>
      <c r="FF107" t="s">
        <v>17</v>
      </c>
      <c r="FG107" t="s">
        <v>1</v>
      </c>
      <c r="FH107" t="s">
        <v>1</v>
      </c>
      <c r="FI107" t="s">
        <v>1</v>
      </c>
      <c r="FJ107" t="s">
        <v>1</v>
      </c>
      <c r="FK107" s="7">
        <v>46120.365208333336</v>
      </c>
      <c r="FL107" t="s">
        <v>1</v>
      </c>
      <c r="FM107" t="s">
        <v>1</v>
      </c>
      <c r="FN107" t="s">
        <v>1</v>
      </c>
      <c r="FO107" s="19">
        <v>-86111111</v>
      </c>
      <c r="FP107" s="4">
        <v>0</v>
      </c>
      <c r="FQ107" s="19">
        <v>-86111111</v>
      </c>
      <c r="FR107" s="4">
        <v>0</v>
      </c>
      <c r="FS107" s="4">
        <v>0</v>
      </c>
      <c r="FT107" s="4">
        <v>0</v>
      </c>
      <c r="FU107" s="2">
        <v>46120</v>
      </c>
      <c r="FV107" t="s">
        <v>1</v>
      </c>
      <c r="FW107" s="4">
        <v>0</v>
      </c>
      <c r="FX107" t="s">
        <v>1</v>
      </c>
      <c r="FY107" t="s">
        <v>1</v>
      </c>
      <c r="FZ107" s="4">
        <v>0</v>
      </c>
      <c r="GA107" s="4">
        <v>0</v>
      </c>
      <c r="GB107" t="s">
        <v>2070</v>
      </c>
      <c r="GC107" t="str">
        <f>RIGHT(Data_FAGLL03[[#This Row],[Payment reference]],8)</f>
        <v>91172646</v>
      </c>
      <c r="GD107" t="str">
        <f>IF(Data_FAGLL03[[#This Row],[Billing]]&lt;&gt;"",_xlfn.XLOOKUP(Data_FAGLL03[[#This Row],[Billing]],MD_BILLING_SO[BILIING],MD_BILLING_SO[SO-EDITED]),"")</f>
        <v>30030731</v>
      </c>
      <c r="GE107" s="18">
        <f>IF(SUBSTITUTE(Data_FAGLL03[[#This Row],[Eff.exchange rate]],",","")/100000=1,1,SUBSTITUTE(Data_FAGLL03[[#This Row],[Eff.exchange rate]],",","")/100)</f>
        <v>1</v>
      </c>
      <c r="GF107" s="17">
        <f>IF(Data_FAGLL03[[#This Row],[Material]]&lt;&gt;"",IFERROR(Data_FAGLL03[[#This Row],[Amount in local currency]]/Data_FAGLL03[[#This Row],[Quantity_Original]],0),0)</f>
        <v>14351.851833333334</v>
      </c>
      <c r="GG107" s="18">
        <f>IF(Data_FAGLL03[[#This Row],[XK/NĐ]]="XK",Data_FAGLL03[[#This Row],[GB trung bình]]/Data_FAGLL03[[#This Row],[EXR]],0)*1000</f>
        <v>0</v>
      </c>
      <c r="GH107" s="18" cm="1">
        <f t="array" ref="GH107">IF(Data_FAGLL03[[#This Row],[Document currency]]&lt;&gt;"VND",Data_FAGLL03[[#This Row],[Amount in doc. curr.]],Data_FAGLL03[[#This Row],[Amount in local currency]]/EXR)</f>
        <v>-3280.1554808643341</v>
      </c>
      <c r="GI107" s="10">
        <f>Data_FAGLL03[[#This Row],[Time Stamp]]+TIME(7,0,0)</f>
        <v>46120.656875000001</v>
      </c>
      <c r="GJ107" s="18">
        <f>MONTH(Data_FAGLL03[[#This Row],[Time Stamp_VN]])</f>
        <v>4</v>
      </c>
      <c r="GK107">
        <f>DAY(Data_FAGLL03[[#This Row],[Time Stamp_VN]])</f>
        <v>8</v>
      </c>
      <c r="GL107" t="str">
        <f>TEXT(Data_FAGLL03[[#This Row],[Tháng]],"00")&amp;" | "&amp;TEXT(Data_FAGLL03[[#This Row],[Ngày]],"00")</f>
        <v>04 | 08</v>
      </c>
      <c r="GM107" s="18">
        <f>IF(Data_FAGLL03[[#This Row],[Text]]="",Data_FAGLL03[[#This Row],[Quantity_Original]],0)</f>
        <v>-6000</v>
      </c>
      <c r="GN107" s="18" t="str">
        <f>IF(Data_FAGLL03[[#This Row],[Quantity_Edited]]&lt;&gt;0,Data_FAGLL03[[#This Row],[Offsetting acct no.]]&amp;" | "&amp;Data_FAGLL03[[#This Row],[Material]],"")</f>
        <v>105324 | 160012951</v>
      </c>
      <c r="GO107" t="str">
        <f>IF(LEFT(Data_FAGLL03[[#This Row],[Offsetting acct no.]],1)="1","NĐ",IF(LEFT(Data_FAGLL03[[#This Row],[Offsetting acct no.]],1)="2","XK","Khác"))</f>
        <v>NĐ</v>
      </c>
      <c r="GP107" t="str">
        <f>IF(Data_FAGLL03[[#This Row],[Material]]&lt;&gt;"",_xlfn.XLOOKUP(Data_FAGLL03[[#This Row],[Material]],MD_SKU[Mã SKU],MD_SKU[Tên SKU]),"")</f>
        <v>Phó Sản HD Ép Hỗn Hợp Cuối SSR</v>
      </c>
      <c r="GQ107" t="str">
        <f>IF(Data_FAGLL03[[#This Row],[Material]]&lt;&gt;"",_xlfn.XLOOKUP(Data_FAGLL03[[#This Row],[Material]],MD_SKU[Mã SKU],MD_SKU[Nhóm SP 1]),"")</f>
        <v>Khác</v>
      </c>
      <c r="GR107" t="str">
        <f>IF(Data_FAGLL03[[#This Row],[Material]]&lt;&gt;"",_xlfn.XLOOKUP(Data_FAGLL03[[#This Row],[Material]],MD_SKU[Mã SKU],MD_SKU[Nhóm SP 2]),"")</f>
        <v>Phó sản</v>
      </c>
      <c r="GS107" t="str">
        <f>IF(Data_FAGLL03[[#This Row],[Material]]&lt;&gt;"",_xlfn.XLOOKUP(Data_FAGLL03[[#This Row],[Material]],MD_SKU[Mã SKU],MD_SKU[Nhóm SP 3]),"")</f>
        <v>Phó sản</v>
      </c>
      <c r="GT107" t="str">
        <f>IF(Data_FAGLL03[[#This Row],[Material]]&lt;&gt;"",_xlfn.XLOOKUP(Data_FAGLL03[[#This Row],[Material]],MD_SKU[Mã SKU],MD_SKU[Nhóm SP 4]),"")</f>
        <v>Phó sản</v>
      </c>
    </row>
    <row r="108" spans="1:202" x14ac:dyDescent="0.25">
      <c r="A108" t="s">
        <v>0</v>
      </c>
      <c r="B108" s="2">
        <v>46121</v>
      </c>
      <c r="C108" t="s">
        <v>2391</v>
      </c>
      <c r="D108" t="s">
        <v>1</v>
      </c>
      <c r="E108" t="s">
        <v>1</v>
      </c>
      <c r="F108" t="s">
        <v>23</v>
      </c>
      <c r="G108" t="s">
        <v>23</v>
      </c>
      <c r="H108" t="s">
        <v>2392</v>
      </c>
      <c r="I108" s="19">
        <v>-438966880</v>
      </c>
      <c r="J108" t="s">
        <v>2393</v>
      </c>
      <c r="K108" t="s">
        <v>1</v>
      </c>
      <c r="L108" t="s">
        <v>2394</v>
      </c>
      <c r="M108" t="s">
        <v>41</v>
      </c>
      <c r="N108" t="s">
        <v>254</v>
      </c>
      <c r="O108" t="s">
        <v>4</v>
      </c>
      <c r="P108" t="s">
        <v>2395</v>
      </c>
      <c r="Q108" t="s">
        <v>23</v>
      </c>
      <c r="R108" t="s">
        <v>5</v>
      </c>
      <c r="S108" t="s">
        <v>1</v>
      </c>
      <c r="T108" s="3">
        <v>-16720</v>
      </c>
      <c r="U108" s="19">
        <v>-16720</v>
      </c>
      <c r="V108" s="3">
        <v>-438966880</v>
      </c>
      <c r="W108" s="3">
        <v>-438966880</v>
      </c>
      <c r="X108" s="4">
        <v>0</v>
      </c>
      <c r="Y108" s="4">
        <v>0</v>
      </c>
      <c r="Z108" s="3">
        <v>0</v>
      </c>
      <c r="AA108" s="3">
        <v>0</v>
      </c>
      <c r="AB108" t="s">
        <v>1</v>
      </c>
      <c r="AC108" t="s">
        <v>24</v>
      </c>
      <c r="AD108" s="2"/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25</v>
      </c>
      <c r="AK108" s="4">
        <v>0</v>
      </c>
      <c r="AL108" t="s">
        <v>1</v>
      </c>
      <c r="AM108" s="5" t="s">
        <v>1</v>
      </c>
      <c r="AN108" t="s">
        <v>1</v>
      </c>
      <c r="AO108" s="2"/>
      <c r="AP108" t="s">
        <v>1</v>
      </c>
      <c r="AQ108" t="s">
        <v>1</v>
      </c>
      <c r="AR108" s="3">
        <v>0</v>
      </c>
      <c r="AS108" t="s">
        <v>1</v>
      </c>
      <c r="AT108" t="s">
        <v>7</v>
      </c>
      <c r="AU108" t="s">
        <v>1</v>
      </c>
      <c r="AV108" t="s">
        <v>1</v>
      </c>
      <c r="AW108" t="s">
        <v>8</v>
      </c>
      <c r="AX108" t="s">
        <v>8</v>
      </c>
      <c r="AY108" t="s">
        <v>1</v>
      </c>
      <c r="AZ108" s="4">
        <v>0</v>
      </c>
      <c r="BA108" t="s">
        <v>1</v>
      </c>
      <c r="BB108" s="3">
        <v>0</v>
      </c>
      <c r="BC108" s="3">
        <v>0</v>
      </c>
      <c r="BD108" s="3">
        <v>0</v>
      </c>
      <c r="BE108" t="s">
        <v>20</v>
      </c>
      <c r="BF108" t="s">
        <v>1</v>
      </c>
      <c r="BG108" s="4">
        <v>0</v>
      </c>
      <c r="BH108" s="4">
        <v>0</v>
      </c>
      <c r="BI108" s="6">
        <v>0</v>
      </c>
      <c r="BJ108" s="6">
        <v>0</v>
      </c>
      <c r="BK108" t="s">
        <v>1</v>
      </c>
      <c r="BL108" t="s">
        <v>1</v>
      </c>
      <c r="BM108" t="s">
        <v>1</v>
      </c>
      <c r="BN108" t="s">
        <v>26</v>
      </c>
      <c r="BO108" s="2">
        <v>46121</v>
      </c>
      <c r="BP108" t="s">
        <v>1</v>
      </c>
      <c r="BQ108" t="s">
        <v>2391</v>
      </c>
      <c r="BR108" t="s">
        <v>27</v>
      </c>
      <c r="BS108" t="s">
        <v>1</v>
      </c>
      <c r="BT108" t="s">
        <v>1</v>
      </c>
      <c r="BU108" t="s">
        <v>1</v>
      </c>
      <c r="BV108" t="s">
        <v>1</v>
      </c>
      <c r="BW108" t="s">
        <v>7</v>
      </c>
      <c r="BX108" t="s">
        <v>2396</v>
      </c>
      <c r="BY108" s="2"/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254</v>
      </c>
      <c r="CJ108" s="3">
        <v>-438966880</v>
      </c>
      <c r="CK108" t="s">
        <v>9</v>
      </c>
      <c r="CL108" t="s">
        <v>11</v>
      </c>
      <c r="CM108" t="s">
        <v>1</v>
      </c>
      <c r="CN108" s="4">
        <v>0</v>
      </c>
      <c r="CO108" t="s">
        <v>7</v>
      </c>
      <c r="CP108" t="s">
        <v>7</v>
      </c>
      <c r="CQ108" t="s">
        <v>7</v>
      </c>
      <c r="CR108" t="s">
        <v>7</v>
      </c>
      <c r="CS108" s="4">
        <v>0</v>
      </c>
      <c r="CT108" t="s">
        <v>2391</v>
      </c>
      <c r="CU108" t="s">
        <v>7</v>
      </c>
      <c r="CV108" t="s">
        <v>1</v>
      </c>
      <c r="CW108" s="2"/>
      <c r="CX108" t="s">
        <v>12</v>
      </c>
      <c r="CY108" t="s">
        <v>1</v>
      </c>
      <c r="CZ108" t="s">
        <v>13</v>
      </c>
      <c r="DA108" t="s">
        <v>1</v>
      </c>
      <c r="DB108" t="s">
        <v>9</v>
      </c>
      <c r="DC108" t="s">
        <v>9</v>
      </c>
      <c r="DD108" t="s">
        <v>1</v>
      </c>
      <c r="DE108" t="s">
        <v>1</v>
      </c>
      <c r="DF108" t="s">
        <v>1</v>
      </c>
      <c r="DG108" t="s">
        <v>1842</v>
      </c>
      <c r="DH108" t="s">
        <v>1</v>
      </c>
      <c r="DI108" s="2"/>
      <c r="DJ108" t="s">
        <v>1</v>
      </c>
      <c r="DK108" t="s">
        <v>14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s="2"/>
      <c r="DW108" t="s">
        <v>1</v>
      </c>
      <c r="DX108" t="s">
        <v>1</v>
      </c>
      <c r="DY108" t="s">
        <v>2397</v>
      </c>
      <c r="DZ108" t="s">
        <v>1</v>
      </c>
      <c r="EA108" t="s">
        <v>1</v>
      </c>
      <c r="EB108" t="s">
        <v>28</v>
      </c>
      <c r="EC108" t="s">
        <v>7</v>
      </c>
      <c r="ED108" t="s">
        <v>1</v>
      </c>
      <c r="EE108" t="s">
        <v>1</v>
      </c>
      <c r="EF108" t="s">
        <v>22</v>
      </c>
      <c r="EG108" t="s">
        <v>41</v>
      </c>
      <c r="EH108" t="s">
        <v>15</v>
      </c>
      <c r="EI108" t="s">
        <v>1</v>
      </c>
      <c r="EJ108" s="4">
        <v>-22000</v>
      </c>
      <c r="EK108" t="s">
        <v>1</v>
      </c>
      <c r="EL108" t="s">
        <v>1</v>
      </c>
      <c r="EM108" t="s">
        <v>1</v>
      </c>
      <c r="EN108" t="s">
        <v>1</v>
      </c>
      <c r="EO108" s="2"/>
      <c r="EP108" t="s">
        <v>2397</v>
      </c>
      <c r="EQ108" t="s">
        <v>1</v>
      </c>
      <c r="ER108" t="s">
        <v>1</v>
      </c>
      <c r="ES108" t="s">
        <v>1</v>
      </c>
      <c r="ET108" t="s">
        <v>29</v>
      </c>
      <c r="EU108" t="s">
        <v>1</v>
      </c>
      <c r="EV108" t="s">
        <v>1</v>
      </c>
      <c r="EW108" t="s">
        <v>7</v>
      </c>
      <c r="EX108" t="s">
        <v>7</v>
      </c>
      <c r="EY108" t="s">
        <v>1</v>
      </c>
      <c r="EZ108" t="s">
        <v>1</v>
      </c>
      <c r="FA108" t="s">
        <v>1</v>
      </c>
      <c r="FB108" s="3">
        <v>50</v>
      </c>
      <c r="FC108" t="s">
        <v>1</v>
      </c>
      <c r="FD108" t="s">
        <v>1</v>
      </c>
      <c r="FE108" t="s">
        <v>1</v>
      </c>
      <c r="FF108" t="s">
        <v>30</v>
      </c>
      <c r="FG108" t="s">
        <v>1</v>
      </c>
      <c r="FH108" t="s">
        <v>1</v>
      </c>
      <c r="FI108" t="s">
        <v>1</v>
      </c>
      <c r="FJ108" t="s">
        <v>1</v>
      </c>
      <c r="FK108" s="7">
        <v>46121.442453703705</v>
      </c>
      <c r="FL108" t="s">
        <v>1</v>
      </c>
      <c r="FM108" t="s">
        <v>1</v>
      </c>
      <c r="FN108" t="s">
        <v>1</v>
      </c>
      <c r="FO108" s="19">
        <v>-438966880</v>
      </c>
      <c r="FP108" s="4">
        <v>0</v>
      </c>
      <c r="FQ108" s="19">
        <v>-438966880</v>
      </c>
      <c r="FR108" s="4">
        <v>0</v>
      </c>
      <c r="FS108" s="4">
        <v>0</v>
      </c>
      <c r="FT108" s="4">
        <v>0</v>
      </c>
      <c r="FU108" s="2">
        <v>46121</v>
      </c>
      <c r="FV108" t="s">
        <v>1</v>
      </c>
      <c r="FW108" s="4">
        <v>0</v>
      </c>
      <c r="FX108" t="s">
        <v>1</v>
      </c>
      <c r="FY108" t="s">
        <v>1</v>
      </c>
      <c r="FZ108" s="4">
        <v>0</v>
      </c>
      <c r="GA108" s="4">
        <v>0</v>
      </c>
      <c r="GB108" t="s">
        <v>2070</v>
      </c>
      <c r="GC108" t="str">
        <f>RIGHT(Data_FAGLL03[[#This Row],[Payment reference]],8)</f>
        <v>91172660</v>
      </c>
      <c r="GD108" t="str">
        <f>IF(Data_FAGLL03[[#This Row],[Billing]]&lt;&gt;"",_xlfn.XLOOKUP(Data_FAGLL03[[#This Row],[Billing]],MD_BILLING_SO[BILIING],MD_BILLING_SO[SO-EDITED]),"")</f>
        <v>30030687</v>
      </c>
      <c r="GE108" s="18">
        <f>IF(SUBSTITUTE(Data_FAGLL03[[#This Row],[Eff.exchange rate]],",","")/100000=1,1,SUBSTITUTE(Data_FAGLL03[[#This Row],[Eff.exchange rate]],",","")/100)</f>
        <v>26254</v>
      </c>
      <c r="GF108" s="17">
        <f>IF(Data_FAGLL03[[#This Row],[Material]]&lt;&gt;"",IFERROR(Data_FAGLL03[[#This Row],[Amount in local currency]]/Data_FAGLL03[[#This Row],[Quantity_Original]],0),0)</f>
        <v>19953.04</v>
      </c>
      <c r="GG108" s="18">
        <f>IF(Data_FAGLL03[[#This Row],[XK/NĐ]]="XK",Data_FAGLL03[[#This Row],[GB trung bình]]/Data_FAGLL03[[#This Row],[EXR]],0)*1000</f>
        <v>760</v>
      </c>
      <c r="GH108" s="18" cm="1">
        <f t="array" ref="GH108">IF(Data_FAGLL03[[#This Row],[Document currency]]&lt;&gt;"VND",Data_FAGLL03[[#This Row],[Amount in doc. curr.]],Data_FAGLL03[[#This Row],[Amount in local currency]]/EXR)</f>
        <v>-16720</v>
      </c>
      <c r="GI108" s="10">
        <f>Data_FAGLL03[[#This Row],[Time Stamp]]+TIME(7,0,0)</f>
        <v>46121.734120370369</v>
      </c>
      <c r="GJ108" s="18">
        <f>MONTH(Data_FAGLL03[[#This Row],[Time Stamp_VN]])</f>
        <v>4</v>
      </c>
      <c r="GK108">
        <f>DAY(Data_FAGLL03[[#This Row],[Time Stamp_VN]])</f>
        <v>9</v>
      </c>
      <c r="GL108" t="str">
        <f>TEXT(Data_FAGLL03[[#This Row],[Tháng]],"00")&amp;" | "&amp;TEXT(Data_FAGLL03[[#This Row],[Ngày]],"00")</f>
        <v>04 | 09</v>
      </c>
      <c r="GM108" s="18">
        <f>IF(Data_FAGLL03[[#This Row],[Text]]="",Data_FAGLL03[[#This Row],[Quantity_Original]],0)</f>
        <v>-22000</v>
      </c>
      <c r="GN108" s="18" t="str">
        <f>IF(Data_FAGLL03[[#This Row],[Quantity_Edited]]&lt;&gt;0,Data_FAGLL03[[#This Row],[Offsetting acct no.]]&amp;" | "&amp;Data_FAGLL03[[#This Row],[Material]],"")</f>
        <v>200384 | 110000507</v>
      </c>
      <c r="GO108" t="str">
        <f>IF(LEFT(Data_FAGLL03[[#This Row],[Offsetting acct no.]],1)="1","NĐ",IF(LEFT(Data_FAGLL03[[#This Row],[Offsetting acct no.]],1)="2","XK","Khác"))</f>
        <v>XK</v>
      </c>
      <c r="GP108" t="str">
        <f>IF(Data_FAGLL03[[#This Row],[Material]]&lt;&gt;"",_xlfn.XLOOKUP(Data_FAGLL03[[#This Row],[Material]],MD_SKU[Mã SKU],MD_SKU[Tên SKU]),"")</f>
        <v>Vảy FPET201</v>
      </c>
      <c r="GQ108" t="str">
        <f>IF(Data_FAGLL03[[#This Row],[Material]]&lt;&gt;"",_xlfn.XLOOKUP(Data_FAGLL03[[#This Row],[Material]],MD_SKU[Mã SKU],MD_SKU[Nhóm SP 1]),"")</f>
        <v>rPET</v>
      </c>
      <c r="GR108" t="str">
        <f>IF(Data_FAGLL03[[#This Row],[Material]]&lt;&gt;"",_xlfn.XLOOKUP(Data_FAGLL03[[#This Row],[Material]],MD_SKU[Mã SKU],MD_SKU[Nhóm SP 2]),"")</f>
        <v>rPET</v>
      </c>
      <c r="GS108" t="str">
        <f>IF(Data_FAGLL03[[#This Row],[Material]]&lt;&gt;"",_xlfn.XLOOKUP(Data_FAGLL03[[#This Row],[Material]],MD_SKU[Mã SKU],MD_SKU[Nhóm SP 3]),"")</f>
        <v>rPET</v>
      </c>
      <c r="GT108" t="str">
        <f>IF(Data_FAGLL03[[#This Row],[Material]]&lt;&gt;"",_xlfn.XLOOKUP(Data_FAGLL03[[#This Row],[Material]],MD_SKU[Mã SKU],MD_SKU[Nhóm SP 4]),"")</f>
        <v>Vảy rPET</v>
      </c>
    </row>
    <row r="109" spans="1:202" x14ac:dyDescent="0.25">
      <c r="A109" t="s">
        <v>0</v>
      </c>
      <c r="B109" s="2">
        <v>46121</v>
      </c>
      <c r="C109" t="s">
        <v>2398</v>
      </c>
      <c r="D109" t="s">
        <v>1</v>
      </c>
      <c r="E109" t="s">
        <v>1</v>
      </c>
      <c r="F109" t="s">
        <v>23</v>
      </c>
      <c r="G109" t="s">
        <v>23</v>
      </c>
      <c r="H109" t="s">
        <v>2392</v>
      </c>
      <c r="I109" s="19">
        <v>-438966880</v>
      </c>
      <c r="J109" t="s">
        <v>2393</v>
      </c>
      <c r="K109" t="s">
        <v>1</v>
      </c>
      <c r="L109" t="s">
        <v>2394</v>
      </c>
      <c r="M109" t="s">
        <v>41</v>
      </c>
      <c r="N109" t="s">
        <v>254</v>
      </c>
      <c r="O109" t="s">
        <v>4</v>
      </c>
      <c r="P109" t="s">
        <v>2399</v>
      </c>
      <c r="Q109" t="s">
        <v>23</v>
      </c>
      <c r="R109" t="s">
        <v>5</v>
      </c>
      <c r="S109" t="s">
        <v>1</v>
      </c>
      <c r="T109" s="3">
        <v>-16720</v>
      </c>
      <c r="U109" s="19">
        <v>-16720</v>
      </c>
      <c r="V109" s="3">
        <v>-438966880</v>
      </c>
      <c r="W109" s="3">
        <v>-438966880</v>
      </c>
      <c r="X109" s="4">
        <v>0</v>
      </c>
      <c r="Y109" s="4">
        <v>0</v>
      </c>
      <c r="Z109" s="3">
        <v>0</v>
      </c>
      <c r="AA109" s="3">
        <v>0</v>
      </c>
      <c r="AB109" t="s">
        <v>1</v>
      </c>
      <c r="AC109" t="s">
        <v>24</v>
      </c>
      <c r="AD109" s="2"/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25</v>
      </c>
      <c r="AK109" s="4">
        <v>0</v>
      </c>
      <c r="AL109" t="s">
        <v>1</v>
      </c>
      <c r="AM109" s="5" t="s">
        <v>1</v>
      </c>
      <c r="AN109" t="s">
        <v>1</v>
      </c>
      <c r="AO109" s="2"/>
      <c r="AP109" t="s">
        <v>1</v>
      </c>
      <c r="AQ109" t="s">
        <v>1</v>
      </c>
      <c r="AR109" s="3">
        <v>0</v>
      </c>
      <c r="AS109" t="s">
        <v>1</v>
      </c>
      <c r="AT109" t="s">
        <v>7</v>
      </c>
      <c r="AU109" t="s">
        <v>1</v>
      </c>
      <c r="AV109" t="s">
        <v>1</v>
      </c>
      <c r="AW109" t="s">
        <v>8</v>
      </c>
      <c r="AX109" t="s">
        <v>8</v>
      </c>
      <c r="AY109" t="s">
        <v>1</v>
      </c>
      <c r="AZ109" s="4">
        <v>0</v>
      </c>
      <c r="BA109" t="s">
        <v>1</v>
      </c>
      <c r="BB109" s="3">
        <v>0</v>
      </c>
      <c r="BC109" s="3">
        <v>0</v>
      </c>
      <c r="BD109" s="3">
        <v>0</v>
      </c>
      <c r="BE109" t="s">
        <v>20</v>
      </c>
      <c r="BF109" t="s">
        <v>1</v>
      </c>
      <c r="BG109" s="4">
        <v>0</v>
      </c>
      <c r="BH109" s="4">
        <v>0</v>
      </c>
      <c r="BI109" s="6">
        <v>0</v>
      </c>
      <c r="BJ109" s="6">
        <v>0</v>
      </c>
      <c r="BK109" t="s">
        <v>1</v>
      </c>
      <c r="BL109" t="s">
        <v>1</v>
      </c>
      <c r="BM109" t="s">
        <v>1</v>
      </c>
      <c r="BN109" t="s">
        <v>26</v>
      </c>
      <c r="BO109" s="2">
        <v>46121</v>
      </c>
      <c r="BP109" t="s">
        <v>1</v>
      </c>
      <c r="BQ109" t="s">
        <v>2398</v>
      </c>
      <c r="BR109" t="s">
        <v>27</v>
      </c>
      <c r="BS109" t="s">
        <v>1</v>
      </c>
      <c r="BT109" t="s">
        <v>1</v>
      </c>
      <c r="BU109" t="s">
        <v>1</v>
      </c>
      <c r="BV109" t="s">
        <v>1</v>
      </c>
      <c r="BW109" t="s">
        <v>7</v>
      </c>
      <c r="BX109" t="s">
        <v>2396</v>
      </c>
      <c r="BY109" s="2"/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254</v>
      </c>
      <c r="CJ109" s="3">
        <v>-438966880</v>
      </c>
      <c r="CK109" t="s">
        <v>9</v>
      </c>
      <c r="CL109" t="s">
        <v>11</v>
      </c>
      <c r="CM109" t="s">
        <v>1</v>
      </c>
      <c r="CN109" s="4">
        <v>0</v>
      </c>
      <c r="CO109" t="s">
        <v>7</v>
      </c>
      <c r="CP109" t="s">
        <v>7</v>
      </c>
      <c r="CQ109" t="s">
        <v>7</v>
      </c>
      <c r="CR109" t="s">
        <v>7</v>
      </c>
      <c r="CS109" s="4">
        <v>0</v>
      </c>
      <c r="CT109" t="s">
        <v>2398</v>
      </c>
      <c r="CU109" t="s">
        <v>7</v>
      </c>
      <c r="CV109" t="s">
        <v>1</v>
      </c>
      <c r="CW109" s="2"/>
      <c r="CX109" t="s">
        <v>12</v>
      </c>
      <c r="CY109" t="s">
        <v>1</v>
      </c>
      <c r="CZ109" t="s">
        <v>13</v>
      </c>
      <c r="DA109" t="s">
        <v>1</v>
      </c>
      <c r="DB109" t="s">
        <v>9</v>
      </c>
      <c r="DC109" t="s">
        <v>9</v>
      </c>
      <c r="DD109" t="s">
        <v>1</v>
      </c>
      <c r="DE109" t="s">
        <v>1</v>
      </c>
      <c r="DF109" t="s">
        <v>1</v>
      </c>
      <c r="DG109" t="s">
        <v>1842</v>
      </c>
      <c r="DH109" t="s">
        <v>1</v>
      </c>
      <c r="DI109" s="2"/>
      <c r="DJ109" t="s">
        <v>1</v>
      </c>
      <c r="DK109" t="s">
        <v>14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s="2"/>
      <c r="DW109" t="s">
        <v>1</v>
      </c>
      <c r="DX109" t="s">
        <v>1</v>
      </c>
      <c r="DY109" t="s">
        <v>2400</v>
      </c>
      <c r="DZ109" t="s">
        <v>1</v>
      </c>
      <c r="EA109" t="s">
        <v>1</v>
      </c>
      <c r="EB109" t="s">
        <v>28</v>
      </c>
      <c r="EC109" t="s">
        <v>7</v>
      </c>
      <c r="ED109" t="s">
        <v>1</v>
      </c>
      <c r="EE109" t="s">
        <v>1</v>
      </c>
      <c r="EF109" t="s">
        <v>22</v>
      </c>
      <c r="EG109" t="s">
        <v>41</v>
      </c>
      <c r="EH109" t="s">
        <v>15</v>
      </c>
      <c r="EI109" t="s">
        <v>1</v>
      </c>
      <c r="EJ109" s="4">
        <v>-22000</v>
      </c>
      <c r="EK109" t="s">
        <v>1</v>
      </c>
      <c r="EL109" t="s">
        <v>1</v>
      </c>
      <c r="EM109" t="s">
        <v>1</v>
      </c>
      <c r="EN109" t="s">
        <v>1</v>
      </c>
      <c r="EO109" s="2"/>
      <c r="EP109" t="s">
        <v>2400</v>
      </c>
      <c r="EQ109" t="s">
        <v>1</v>
      </c>
      <c r="ER109" t="s">
        <v>1</v>
      </c>
      <c r="ES109" t="s">
        <v>1</v>
      </c>
      <c r="ET109" t="s">
        <v>29</v>
      </c>
      <c r="EU109" t="s">
        <v>1</v>
      </c>
      <c r="EV109" t="s">
        <v>1</v>
      </c>
      <c r="EW109" t="s">
        <v>7</v>
      </c>
      <c r="EX109" t="s">
        <v>7</v>
      </c>
      <c r="EY109" t="s">
        <v>1</v>
      </c>
      <c r="EZ109" t="s">
        <v>1</v>
      </c>
      <c r="FA109" t="s">
        <v>1</v>
      </c>
      <c r="FB109" s="3">
        <v>50</v>
      </c>
      <c r="FC109" t="s">
        <v>1</v>
      </c>
      <c r="FD109" t="s">
        <v>1</v>
      </c>
      <c r="FE109" t="s">
        <v>1</v>
      </c>
      <c r="FF109" t="s">
        <v>30</v>
      </c>
      <c r="FG109" t="s">
        <v>1</v>
      </c>
      <c r="FH109" t="s">
        <v>1</v>
      </c>
      <c r="FI109" t="s">
        <v>1</v>
      </c>
      <c r="FJ109" t="s">
        <v>1</v>
      </c>
      <c r="FK109" s="7">
        <v>46121.442708333336</v>
      </c>
      <c r="FL109" t="s">
        <v>1</v>
      </c>
      <c r="FM109" t="s">
        <v>1</v>
      </c>
      <c r="FN109" t="s">
        <v>1</v>
      </c>
      <c r="FO109" s="19">
        <v>-438966880</v>
      </c>
      <c r="FP109" s="4">
        <v>0</v>
      </c>
      <c r="FQ109" s="19">
        <v>-438966880</v>
      </c>
      <c r="FR109" s="4">
        <v>0</v>
      </c>
      <c r="FS109" s="4">
        <v>0</v>
      </c>
      <c r="FT109" s="4">
        <v>0</v>
      </c>
      <c r="FU109" s="2">
        <v>46121</v>
      </c>
      <c r="FV109" t="s">
        <v>1</v>
      </c>
      <c r="FW109" s="4">
        <v>0</v>
      </c>
      <c r="FX109" t="s">
        <v>1</v>
      </c>
      <c r="FY109" t="s">
        <v>1</v>
      </c>
      <c r="FZ109" s="4">
        <v>0</v>
      </c>
      <c r="GA109" s="4">
        <v>0</v>
      </c>
      <c r="GB109" t="s">
        <v>2070</v>
      </c>
      <c r="GC109" t="str">
        <f>RIGHT(Data_FAGLL03[[#This Row],[Payment reference]],8)</f>
        <v>91172661</v>
      </c>
      <c r="GD109" t="str">
        <f>IF(Data_FAGLL03[[#This Row],[Billing]]&lt;&gt;"",_xlfn.XLOOKUP(Data_FAGLL03[[#This Row],[Billing]],MD_BILLING_SO[BILIING],MD_BILLING_SO[SO-EDITED]),"")</f>
        <v>30030687</v>
      </c>
      <c r="GE109" s="18">
        <f>IF(SUBSTITUTE(Data_FAGLL03[[#This Row],[Eff.exchange rate]],",","")/100000=1,1,SUBSTITUTE(Data_FAGLL03[[#This Row],[Eff.exchange rate]],",","")/100)</f>
        <v>26254</v>
      </c>
      <c r="GF109" s="17">
        <f>IF(Data_FAGLL03[[#This Row],[Material]]&lt;&gt;"",IFERROR(Data_FAGLL03[[#This Row],[Amount in local currency]]/Data_FAGLL03[[#This Row],[Quantity_Original]],0),0)</f>
        <v>19953.04</v>
      </c>
      <c r="GG109" s="18">
        <f>IF(Data_FAGLL03[[#This Row],[XK/NĐ]]="XK",Data_FAGLL03[[#This Row],[GB trung bình]]/Data_FAGLL03[[#This Row],[EXR]],0)*1000</f>
        <v>760</v>
      </c>
      <c r="GH109" s="18" cm="1">
        <f t="array" ref="GH109">IF(Data_FAGLL03[[#This Row],[Document currency]]&lt;&gt;"VND",Data_FAGLL03[[#This Row],[Amount in doc. curr.]],Data_FAGLL03[[#This Row],[Amount in local currency]]/EXR)</f>
        <v>-16720</v>
      </c>
      <c r="GI109" s="10">
        <f>Data_FAGLL03[[#This Row],[Time Stamp]]+TIME(7,0,0)</f>
        <v>46121.734375</v>
      </c>
      <c r="GJ109" s="18">
        <f>MONTH(Data_FAGLL03[[#This Row],[Time Stamp_VN]])</f>
        <v>4</v>
      </c>
      <c r="GK109">
        <f>DAY(Data_FAGLL03[[#This Row],[Time Stamp_VN]])</f>
        <v>9</v>
      </c>
      <c r="GL109" t="str">
        <f>TEXT(Data_FAGLL03[[#This Row],[Tháng]],"00")&amp;" | "&amp;TEXT(Data_FAGLL03[[#This Row],[Ngày]],"00")</f>
        <v>04 | 09</v>
      </c>
      <c r="GM109" s="18">
        <f>IF(Data_FAGLL03[[#This Row],[Text]]="",Data_FAGLL03[[#This Row],[Quantity_Original]],0)</f>
        <v>-22000</v>
      </c>
      <c r="GN109" s="18" t="str">
        <f>IF(Data_FAGLL03[[#This Row],[Quantity_Edited]]&lt;&gt;0,Data_FAGLL03[[#This Row],[Offsetting acct no.]]&amp;" | "&amp;Data_FAGLL03[[#This Row],[Material]],"")</f>
        <v>200384 | 110000507</v>
      </c>
      <c r="GO109" t="str">
        <f>IF(LEFT(Data_FAGLL03[[#This Row],[Offsetting acct no.]],1)="1","NĐ",IF(LEFT(Data_FAGLL03[[#This Row],[Offsetting acct no.]],1)="2","XK","Khác"))</f>
        <v>XK</v>
      </c>
      <c r="GP109" t="str">
        <f>IF(Data_FAGLL03[[#This Row],[Material]]&lt;&gt;"",_xlfn.XLOOKUP(Data_FAGLL03[[#This Row],[Material]],MD_SKU[Mã SKU],MD_SKU[Tên SKU]),"")</f>
        <v>Vảy FPET201</v>
      </c>
      <c r="GQ109" t="str">
        <f>IF(Data_FAGLL03[[#This Row],[Material]]&lt;&gt;"",_xlfn.XLOOKUP(Data_FAGLL03[[#This Row],[Material]],MD_SKU[Mã SKU],MD_SKU[Nhóm SP 1]),"")</f>
        <v>rPET</v>
      </c>
      <c r="GR109" t="str">
        <f>IF(Data_FAGLL03[[#This Row],[Material]]&lt;&gt;"",_xlfn.XLOOKUP(Data_FAGLL03[[#This Row],[Material]],MD_SKU[Mã SKU],MD_SKU[Nhóm SP 2]),"")</f>
        <v>rPET</v>
      </c>
      <c r="GS109" t="str">
        <f>IF(Data_FAGLL03[[#This Row],[Material]]&lt;&gt;"",_xlfn.XLOOKUP(Data_FAGLL03[[#This Row],[Material]],MD_SKU[Mã SKU],MD_SKU[Nhóm SP 3]),"")</f>
        <v>rPET</v>
      </c>
      <c r="GT109" t="str">
        <f>IF(Data_FAGLL03[[#This Row],[Material]]&lt;&gt;"",_xlfn.XLOOKUP(Data_FAGLL03[[#This Row],[Material]],MD_SKU[Mã SKU],MD_SKU[Nhóm SP 4]),"")</f>
        <v>Vảy rPET</v>
      </c>
    </row>
    <row r="110" spans="1:202" x14ac:dyDescent="0.25">
      <c r="A110" t="s">
        <v>0</v>
      </c>
      <c r="B110" s="2">
        <v>46121</v>
      </c>
      <c r="C110" t="s">
        <v>2401</v>
      </c>
      <c r="D110" t="s">
        <v>1</v>
      </c>
      <c r="E110" t="s">
        <v>1</v>
      </c>
      <c r="F110" t="s">
        <v>23</v>
      </c>
      <c r="G110" t="s">
        <v>23</v>
      </c>
      <c r="H110" t="s">
        <v>2392</v>
      </c>
      <c r="I110" s="19">
        <v>-438966880</v>
      </c>
      <c r="J110" t="s">
        <v>2393</v>
      </c>
      <c r="K110" t="s">
        <v>1</v>
      </c>
      <c r="L110" t="s">
        <v>2394</v>
      </c>
      <c r="M110" t="s">
        <v>41</v>
      </c>
      <c r="N110" t="s">
        <v>254</v>
      </c>
      <c r="O110" t="s">
        <v>4</v>
      </c>
      <c r="P110" t="s">
        <v>2402</v>
      </c>
      <c r="Q110" t="s">
        <v>23</v>
      </c>
      <c r="R110" t="s">
        <v>5</v>
      </c>
      <c r="S110" t="s">
        <v>1</v>
      </c>
      <c r="T110" s="3">
        <v>-16720</v>
      </c>
      <c r="U110" s="19">
        <v>-16720</v>
      </c>
      <c r="V110" s="3">
        <v>-438966880</v>
      </c>
      <c r="W110" s="3">
        <v>-438966880</v>
      </c>
      <c r="X110" s="4">
        <v>0</v>
      </c>
      <c r="Y110" s="4">
        <v>0</v>
      </c>
      <c r="Z110" s="3">
        <v>0</v>
      </c>
      <c r="AA110" s="3">
        <v>0</v>
      </c>
      <c r="AB110" t="s">
        <v>1</v>
      </c>
      <c r="AC110" t="s">
        <v>24</v>
      </c>
      <c r="AD110" s="2"/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25</v>
      </c>
      <c r="AK110" s="4">
        <v>0</v>
      </c>
      <c r="AL110" t="s">
        <v>1</v>
      </c>
      <c r="AM110" s="5" t="s">
        <v>1</v>
      </c>
      <c r="AN110" t="s">
        <v>1</v>
      </c>
      <c r="AO110" s="2"/>
      <c r="AP110" t="s">
        <v>1</v>
      </c>
      <c r="AQ110" t="s">
        <v>1</v>
      </c>
      <c r="AR110" s="3">
        <v>0</v>
      </c>
      <c r="AS110" t="s">
        <v>1</v>
      </c>
      <c r="AT110" t="s">
        <v>7</v>
      </c>
      <c r="AU110" t="s">
        <v>1</v>
      </c>
      <c r="AV110" t="s">
        <v>1</v>
      </c>
      <c r="AW110" t="s">
        <v>8</v>
      </c>
      <c r="AX110" t="s">
        <v>8</v>
      </c>
      <c r="AY110" t="s">
        <v>1</v>
      </c>
      <c r="AZ110" s="4">
        <v>0</v>
      </c>
      <c r="BA110" t="s">
        <v>1</v>
      </c>
      <c r="BB110" s="3">
        <v>0</v>
      </c>
      <c r="BC110" s="3">
        <v>0</v>
      </c>
      <c r="BD110" s="3">
        <v>0</v>
      </c>
      <c r="BE110" t="s">
        <v>20</v>
      </c>
      <c r="BF110" t="s">
        <v>1</v>
      </c>
      <c r="BG110" s="4">
        <v>0</v>
      </c>
      <c r="BH110" s="4">
        <v>0</v>
      </c>
      <c r="BI110" s="6">
        <v>0</v>
      </c>
      <c r="BJ110" s="6">
        <v>0</v>
      </c>
      <c r="BK110" t="s">
        <v>1</v>
      </c>
      <c r="BL110" t="s">
        <v>1</v>
      </c>
      <c r="BM110" t="s">
        <v>1</v>
      </c>
      <c r="BN110" t="s">
        <v>26</v>
      </c>
      <c r="BO110" s="2">
        <v>46121</v>
      </c>
      <c r="BP110" t="s">
        <v>1</v>
      </c>
      <c r="BQ110" t="s">
        <v>2401</v>
      </c>
      <c r="BR110" t="s">
        <v>27</v>
      </c>
      <c r="BS110" t="s">
        <v>1</v>
      </c>
      <c r="BT110" t="s">
        <v>1</v>
      </c>
      <c r="BU110" t="s">
        <v>1</v>
      </c>
      <c r="BV110" t="s">
        <v>1</v>
      </c>
      <c r="BW110" t="s">
        <v>7</v>
      </c>
      <c r="BX110" t="s">
        <v>2396</v>
      </c>
      <c r="BY110" s="2"/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254</v>
      </c>
      <c r="CJ110" s="3">
        <v>-438966880</v>
      </c>
      <c r="CK110" t="s">
        <v>9</v>
      </c>
      <c r="CL110" t="s">
        <v>11</v>
      </c>
      <c r="CM110" t="s">
        <v>1</v>
      </c>
      <c r="CN110" s="4">
        <v>0</v>
      </c>
      <c r="CO110" t="s">
        <v>7</v>
      </c>
      <c r="CP110" t="s">
        <v>7</v>
      </c>
      <c r="CQ110" t="s">
        <v>7</v>
      </c>
      <c r="CR110" t="s">
        <v>7</v>
      </c>
      <c r="CS110" s="4">
        <v>0</v>
      </c>
      <c r="CT110" t="s">
        <v>2401</v>
      </c>
      <c r="CU110" t="s">
        <v>7</v>
      </c>
      <c r="CV110" t="s">
        <v>1</v>
      </c>
      <c r="CW110" s="2"/>
      <c r="CX110" t="s">
        <v>12</v>
      </c>
      <c r="CY110" t="s">
        <v>1</v>
      </c>
      <c r="CZ110" t="s">
        <v>13</v>
      </c>
      <c r="DA110" t="s">
        <v>1</v>
      </c>
      <c r="DB110" t="s">
        <v>9</v>
      </c>
      <c r="DC110" t="s">
        <v>9</v>
      </c>
      <c r="DD110" t="s">
        <v>1</v>
      </c>
      <c r="DE110" t="s">
        <v>1</v>
      </c>
      <c r="DF110" t="s">
        <v>1</v>
      </c>
      <c r="DG110" t="s">
        <v>1842</v>
      </c>
      <c r="DH110" t="s">
        <v>1</v>
      </c>
      <c r="DI110" s="2"/>
      <c r="DJ110" t="s">
        <v>1</v>
      </c>
      <c r="DK110" t="s">
        <v>14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s="2"/>
      <c r="DW110" t="s">
        <v>1</v>
      </c>
      <c r="DX110" t="s">
        <v>1</v>
      </c>
      <c r="DY110" t="s">
        <v>2403</v>
      </c>
      <c r="DZ110" t="s">
        <v>1</v>
      </c>
      <c r="EA110" t="s">
        <v>1</v>
      </c>
      <c r="EB110" t="s">
        <v>28</v>
      </c>
      <c r="EC110" t="s">
        <v>7</v>
      </c>
      <c r="ED110" t="s">
        <v>1</v>
      </c>
      <c r="EE110" t="s">
        <v>1</v>
      </c>
      <c r="EF110" t="s">
        <v>22</v>
      </c>
      <c r="EG110" t="s">
        <v>41</v>
      </c>
      <c r="EH110" t="s">
        <v>15</v>
      </c>
      <c r="EI110" t="s">
        <v>1</v>
      </c>
      <c r="EJ110" s="4">
        <v>-22000</v>
      </c>
      <c r="EK110" t="s">
        <v>1</v>
      </c>
      <c r="EL110" t="s">
        <v>1</v>
      </c>
      <c r="EM110" t="s">
        <v>1</v>
      </c>
      <c r="EN110" t="s">
        <v>1</v>
      </c>
      <c r="EO110" s="2"/>
      <c r="EP110" t="s">
        <v>2403</v>
      </c>
      <c r="EQ110" t="s">
        <v>1</v>
      </c>
      <c r="ER110" t="s">
        <v>1</v>
      </c>
      <c r="ES110" t="s">
        <v>1</v>
      </c>
      <c r="ET110" t="s">
        <v>29</v>
      </c>
      <c r="EU110" t="s">
        <v>1</v>
      </c>
      <c r="EV110" t="s">
        <v>1</v>
      </c>
      <c r="EW110" t="s">
        <v>7</v>
      </c>
      <c r="EX110" t="s">
        <v>7</v>
      </c>
      <c r="EY110" t="s">
        <v>1</v>
      </c>
      <c r="EZ110" t="s">
        <v>1</v>
      </c>
      <c r="FA110" t="s">
        <v>1</v>
      </c>
      <c r="FB110" s="3">
        <v>50</v>
      </c>
      <c r="FC110" t="s">
        <v>1</v>
      </c>
      <c r="FD110" t="s">
        <v>1</v>
      </c>
      <c r="FE110" t="s">
        <v>1</v>
      </c>
      <c r="FF110" t="s">
        <v>30</v>
      </c>
      <c r="FG110" t="s">
        <v>1</v>
      </c>
      <c r="FH110" t="s">
        <v>1</v>
      </c>
      <c r="FI110" t="s">
        <v>1</v>
      </c>
      <c r="FJ110" t="s">
        <v>1</v>
      </c>
      <c r="FK110" s="7">
        <v>46121.443067129629</v>
      </c>
      <c r="FL110" t="s">
        <v>1</v>
      </c>
      <c r="FM110" t="s">
        <v>1</v>
      </c>
      <c r="FN110" t="s">
        <v>1</v>
      </c>
      <c r="FO110" s="19">
        <v>-438966880</v>
      </c>
      <c r="FP110" s="4">
        <v>0</v>
      </c>
      <c r="FQ110" s="19">
        <v>-438966880</v>
      </c>
      <c r="FR110" s="4">
        <v>0</v>
      </c>
      <c r="FS110" s="4">
        <v>0</v>
      </c>
      <c r="FT110" s="4">
        <v>0</v>
      </c>
      <c r="FU110" s="2">
        <v>46121</v>
      </c>
      <c r="FV110" t="s">
        <v>1</v>
      </c>
      <c r="FW110" s="4">
        <v>0</v>
      </c>
      <c r="FX110" t="s">
        <v>1</v>
      </c>
      <c r="FY110" t="s">
        <v>1</v>
      </c>
      <c r="FZ110" s="4">
        <v>0</v>
      </c>
      <c r="GA110" s="4">
        <v>0</v>
      </c>
      <c r="GB110" t="s">
        <v>2070</v>
      </c>
      <c r="GC110" t="str">
        <f>RIGHT(Data_FAGLL03[[#This Row],[Payment reference]],8)</f>
        <v>91172662</v>
      </c>
      <c r="GD110" t="str">
        <f>IF(Data_FAGLL03[[#This Row],[Billing]]&lt;&gt;"",_xlfn.XLOOKUP(Data_FAGLL03[[#This Row],[Billing]],MD_BILLING_SO[BILIING],MD_BILLING_SO[SO-EDITED]),"")</f>
        <v>30030687</v>
      </c>
      <c r="GE110" s="18">
        <f>IF(SUBSTITUTE(Data_FAGLL03[[#This Row],[Eff.exchange rate]],",","")/100000=1,1,SUBSTITUTE(Data_FAGLL03[[#This Row],[Eff.exchange rate]],",","")/100)</f>
        <v>26254</v>
      </c>
      <c r="GF110" s="17">
        <f>IF(Data_FAGLL03[[#This Row],[Material]]&lt;&gt;"",IFERROR(Data_FAGLL03[[#This Row],[Amount in local currency]]/Data_FAGLL03[[#This Row],[Quantity_Original]],0),0)</f>
        <v>19953.04</v>
      </c>
      <c r="GG110" s="18">
        <f>IF(Data_FAGLL03[[#This Row],[XK/NĐ]]="XK",Data_FAGLL03[[#This Row],[GB trung bình]]/Data_FAGLL03[[#This Row],[EXR]],0)*1000</f>
        <v>760</v>
      </c>
      <c r="GH110" s="18" cm="1">
        <f t="array" ref="GH110">IF(Data_FAGLL03[[#This Row],[Document currency]]&lt;&gt;"VND",Data_FAGLL03[[#This Row],[Amount in doc. curr.]],Data_FAGLL03[[#This Row],[Amount in local currency]]/EXR)</f>
        <v>-16720</v>
      </c>
      <c r="GI110" s="10">
        <f>Data_FAGLL03[[#This Row],[Time Stamp]]+TIME(7,0,0)</f>
        <v>46121.734733796293</v>
      </c>
      <c r="GJ110" s="18">
        <f>MONTH(Data_FAGLL03[[#This Row],[Time Stamp_VN]])</f>
        <v>4</v>
      </c>
      <c r="GK110">
        <f>DAY(Data_FAGLL03[[#This Row],[Time Stamp_VN]])</f>
        <v>9</v>
      </c>
      <c r="GL110" t="str">
        <f>TEXT(Data_FAGLL03[[#This Row],[Tháng]],"00")&amp;" | "&amp;TEXT(Data_FAGLL03[[#This Row],[Ngày]],"00")</f>
        <v>04 | 09</v>
      </c>
      <c r="GM110" s="18">
        <f>IF(Data_FAGLL03[[#This Row],[Text]]="",Data_FAGLL03[[#This Row],[Quantity_Original]],0)</f>
        <v>-22000</v>
      </c>
      <c r="GN110" s="18" t="str">
        <f>IF(Data_FAGLL03[[#This Row],[Quantity_Edited]]&lt;&gt;0,Data_FAGLL03[[#This Row],[Offsetting acct no.]]&amp;" | "&amp;Data_FAGLL03[[#This Row],[Material]],"")</f>
        <v>200384 | 110000507</v>
      </c>
      <c r="GO110" t="str">
        <f>IF(LEFT(Data_FAGLL03[[#This Row],[Offsetting acct no.]],1)="1","NĐ",IF(LEFT(Data_FAGLL03[[#This Row],[Offsetting acct no.]],1)="2","XK","Khác"))</f>
        <v>XK</v>
      </c>
      <c r="GP110" t="str">
        <f>IF(Data_FAGLL03[[#This Row],[Material]]&lt;&gt;"",_xlfn.XLOOKUP(Data_FAGLL03[[#This Row],[Material]],MD_SKU[Mã SKU],MD_SKU[Tên SKU]),"")</f>
        <v>Vảy FPET201</v>
      </c>
      <c r="GQ110" t="str">
        <f>IF(Data_FAGLL03[[#This Row],[Material]]&lt;&gt;"",_xlfn.XLOOKUP(Data_FAGLL03[[#This Row],[Material]],MD_SKU[Mã SKU],MD_SKU[Nhóm SP 1]),"")</f>
        <v>rPET</v>
      </c>
      <c r="GR110" t="str">
        <f>IF(Data_FAGLL03[[#This Row],[Material]]&lt;&gt;"",_xlfn.XLOOKUP(Data_FAGLL03[[#This Row],[Material]],MD_SKU[Mã SKU],MD_SKU[Nhóm SP 2]),"")</f>
        <v>rPET</v>
      </c>
      <c r="GS110" t="str">
        <f>IF(Data_FAGLL03[[#This Row],[Material]]&lt;&gt;"",_xlfn.XLOOKUP(Data_FAGLL03[[#This Row],[Material]],MD_SKU[Mã SKU],MD_SKU[Nhóm SP 3]),"")</f>
        <v>rPET</v>
      </c>
      <c r="GT110" t="str">
        <f>IF(Data_FAGLL03[[#This Row],[Material]]&lt;&gt;"",_xlfn.XLOOKUP(Data_FAGLL03[[#This Row],[Material]],MD_SKU[Mã SKU],MD_SKU[Nhóm SP 4]),"")</f>
        <v>Vảy rPET</v>
      </c>
    </row>
    <row r="111" spans="1:202" x14ac:dyDescent="0.25">
      <c r="A111" t="s">
        <v>0</v>
      </c>
      <c r="B111" s="2">
        <v>46121</v>
      </c>
      <c r="C111" t="s">
        <v>2404</v>
      </c>
      <c r="D111" t="s">
        <v>1</v>
      </c>
      <c r="E111" t="s">
        <v>1</v>
      </c>
      <c r="F111" t="s">
        <v>23</v>
      </c>
      <c r="G111" t="s">
        <v>23</v>
      </c>
      <c r="H111" t="s">
        <v>2392</v>
      </c>
      <c r="I111" s="19">
        <v>-438966880</v>
      </c>
      <c r="J111" t="s">
        <v>2393</v>
      </c>
      <c r="K111" t="s">
        <v>1</v>
      </c>
      <c r="L111" t="s">
        <v>2394</v>
      </c>
      <c r="M111" t="s">
        <v>41</v>
      </c>
      <c r="N111" t="s">
        <v>254</v>
      </c>
      <c r="O111" t="s">
        <v>4</v>
      </c>
      <c r="P111" t="s">
        <v>2405</v>
      </c>
      <c r="Q111" t="s">
        <v>23</v>
      </c>
      <c r="R111" t="s">
        <v>5</v>
      </c>
      <c r="S111" t="s">
        <v>1</v>
      </c>
      <c r="T111" s="3">
        <v>-16720</v>
      </c>
      <c r="U111" s="19">
        <v>-16720</v>
      </c>
      <c r="V111" s="3">
        <v>-438966880</v>
      </c>
      <c r="W111" s="3">
        <v>-438966880</v>
      </c>
      <c r="X111" s="4">
        <v>0</v>
      </c>
      <c r="Y111" s="4">
        <v>0</v>
      </c>
      <c r="Z111" s="3">
        <v>0</v>
      </c>
      <c r="AA111" s="3">
        <v>0</v>
      </c>
      <c r="AB111" t="s">
        <v>1</v>
      </c>
      <c r="AC111" t="s">
        <v>24</v>
      </c>
      <c r="AD111" s="2"/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25</v>
      </c>
      <c r="AK111" s="4">
        <v>0</v>
      </c>
      <c r="AL111" t="s">
        <v>1</v>
      </c>
      <c r="AM111" s="5" t="s">
        <v>1</v>
      </c>
      <c r="AN111" t="s">
        <v>1</v>
      </c>
      <c r="AO111" s="2"/>
      <c r="AP111" t="s">
        <v>1</v>
      </c>
      <c r="AQ111" t="s">
        <v>1</v>
      </c>
      <c r="AR111" s="3">
        <v>0</v>
      </c>
      <c r="AS111" t="s">
        <v>1</v>
      </c>
      <c r="AT111" t="s">
        <v>7</v>
      </c>
      <c r="AU111" t="s">
        <v>1</v>
      </c>
      <c r="AV111" t="s">
        <v>1</v>
      </c>
      <c r="AW111" t="s">
        <v>8</v>
      </c>
      <c r="AX111" t="s">
        <v>8</v>
      </c>
      <c r="AY111" t="s">
        <v>1</v>
      </c>
      <c r="AZ111" s="4">
        <v>0</v>
      </c>
      <c r="BA111" t="s">
        <v>1</v>
      </c>
      <c r="BB111" s="3">
        <v>0</v>
      </c>
      <c r="BC111" s="3">
        <v>0</v>
      </c>
      <c r="BD111" s="3">
        <v>0</v>
      </c>
      <c r="BE111" t="s">
        <v>20</v>
      </c>
      <c r="BF111" t="s">
        <v>1</v>
      </c>
      <c r="BG111" s="4">
        <v>0</v>
      </c>
      <c r="BH111" s="4">
        <v>0</v>
      </c>
      <c r="BI111" s="6">
        <v>0</v>
      </c>
      <c r="BJ111" s="6">
        <v>0</v>
      </c>
      <c r="BK111" t="s">
        <v>1</v>
      </c>
      <c r="BL111" t="s">
        <v>1</v>
      </c>
      <c r="BM111" t="s">
        <v>1</v>
      </c>
      <c r="BN111" t="s">
        <v>26</v>
      </c>
      <c r="BO111" s="2">
        <v>46121</v>
      </c>
      <c r="BP111" t="s">
        <v>1</v>
      </c>
      <c r="BQ111" t="s">
        <v>2404</v>
      </c>
      <c r="BR111" t="s">
        <v>27</v>
      </c>
      <c r="BS111" t="s">
        <v>1</v>
      </c>
      <c r="BT111" t="s">
        <v>1</v>
      </c>
      <c r="BU111" t="s">
        <v>1</v>
      </c>
      <c r="BV111" t="s">
        <v>1</v>
      </c>
      <c r="BW111" t="s">
        <v>7</v>
      </c>
      <c r="BX111" t="s">
        <v>2396</v>
      </c>
      <c r="BY111" s="2"/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254</v>
      </c>
      <c r="CJ111" s="3">
        <v>-438966880</v>
      </c>
      <c r="CK111" t="s">
        <v>9</v>
      </c>
      <c r="CL111" t="s">
        <v>11</v>
      </c>
      <c r="CM111" t="s">
        <v>1</v>
      </c>
      <c r="CN111" s="4">
        <v>0</v>
      </c>
      <c r="CO111" t="s">
        <v>7</v>
      </c>
      <c r="CP111" t="s">
        <v>7</v>
      </c>
      <c r="CQ111" t="s">
        <v>7</v>
      </c>
      <c r="CR111" t="s">
        <v>7</v>
      </c>
      <c r="CS111" s="4">
        <v>0</v>
      </c>
      <c r="CT111" t="s">
        <v>2404</v>
      </c>
      <c r="CU111" t="s">
        <v>7</v>
      </c>
      <c r="CV111" t="s">
        <v>1</v>
      </c>
      <c r="CW111" s="2"/>
      <c r="CX111" t="s">
        <v>12</v>
      </c>
      <c r="CY111" t="s">
        <v>1</v>
      </c>
      <c r="CZ111" t="s">
        <v>13</v>
      </c>
      <c r="DA111" t="s">
        <v>1</v>
      </c>
      <c r="DB111" t="s">
        <v>9</v>
      </c>
      <c r="DC111" t="s">
        <v>9</v>
      </c>
      <c r="DD111" t="s">
        <v>1</v>
      </c>
      <c r="DE111" t="s">
        <v>1</v>
      </c>
      <c r="DF111" t="s">
        <v>1</v>
      </c>
      <c r="DG111" t="s">
        <v>1842</v>
      </c>
      <c r="DH111" t="s">
        <v>1</v>
      </c>
      <c r="DI111" s="2"/>
      <c r="DJ111" t="s">
        <v>1</v>
      </c>
      <c r="DK111" t="s">
        <v>14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s="2"/>
      <c r="DW111" t="s">
        <v>1</v>
      </c>
      <c r="DX111" t="s">
        <v>1</v>
      </c>
      <c r="DY111" t="s">
        <v>2406</v>
      </c>
      <c r="DZ111" t="s">
        <v>1</v>
      </c>
      <c r="EA111" t="s">
        <v>1</v>
      </c>
      <c r="EB111" t="s">
        <v>28</v>
      </c>
      <c r="EC111" t="s">
        <v>7</v>
      </c>
      <c r="ED111" t="s">
        <v>1</v>
      </c>
      <c r="EE111" t="s">
        <v>1</v>
      </c>
      <c r="EF111" t="s">
        <v>22</v>
      </c>
      <c r="EG111" t="s">
        <v>41</v>
      </c>
      <c r="EH111" t="s">
        <v>15</v>
      </c>
      <c r="EI111" t="s">
        <v>1</v>
      </c>
      <c r="EJ111" s="4">
        <v>-22000</v>
      </c>
      <c r="EK111" t="s">
        <v>1</v>
      </c>
      <c r="EL111" t="s">
        <v>1</v>
      </c>
      <c r="EM111" t="s">
        <v>1</v>
      </c>
      <c r="EN111" t="s">
        <v>1</v>
      </c>
      <c r="EO111" s="2"/>
      <c r="EP111" t="s">
        <v>2406</v>
      </c>
      <c r="EQ111" t="s">
        <v>1</v>
      </c>
      <c r="ER111" t="s">
        <v>1</v>
      </c>
      <c r="ES111" t="s">
        <v>1</v>
      </c>
      <c r="ET111" t="s">
        <v>29</v>
      </c>
      <c r="EU111" t="s">
        <v>1</v>
      </c>
      <c r="EV111" t="s">
        <v>1</v>
      </c>
      <c r="EW111" t="s">
        <v>7</v>
      </c>
      <c r="EX111" t="s">
        <v>7</v>
      </c>
      <c r="EY111" t="s">
        <v>1</v>
      </c>
      <c r="EZ111" t="s">
        <v>1</v>
      </c>
      <c r="FA111" t="s">
        <v>1</v>
      </c>
      <c r="FB111" s="3">
        <v>50</v>
      </c>
      <c r="FC111" t="s">
        <v>1</v>
      </c>
      <c r="FD111" t="s">
        <v>1</v>
      </c>
      <c r="FE111" t="s">
        <v>1</v>
      </c>
      <c r="FF111" t="s">
        <v>30</v>
      </c>
      <c r="FG111" t="s">
        <v>1</v>
      </c>
      <c r="FH111" t="s">
        <v>1</v>
      </c>
      <c r="FI111" t="s">
        <v>1</v>
      </c>
      <c r="FJ111" t="s">
        <v>1</v>
      </c>
      <c r="FK111" s="7">
        <v>46121.44326388889</v>
      </c>
      <c r="FL111" t="s">
        <v>1</v>
      </c>
      <c r="FM111" t="s">
        <v>1</v>
      </c>
      <c r="FN111" t="s">
        <v>1</v>
      </c>
      <c r="FO111" s="19">
        <v>-438966880</v>
      </c>
      <c r="FP111" s="4">
        <v>0</v>
      </c>
      <c r="FQ111" s="19">
        <v>-438966880</v>
      </c>
      <c r="FR111" s="4">
        <v>0</v>
      </c>
      <c r="FS111" s="4">
        <v>0</v>
      </c>
      <c r="FT111" s="4">
        <v>0</v>
      </c>
      <c r="FU111" s="2">
        <v>46121</v>
      </c>
      <c r="FV111" t="s">
        <v>1</v>
      </c>
      <c r="FW111" s="4">
        <v>0</v>
      </c>
      <c r="FX111" t="s">
        <v>1</v>
      </c>
      <c r="FY111" t="s">
        <v>1</v>
      </c>
      <c r="FZ111" s="4">
        <v>0</v>
      </c>
      <c r="GA111" s="4">
        <v>0</v>
      </c>
      <c r="GB111" t="s">
        <v>2070</v>
      </c>
      <c r="GC111" t="str">
        <f>RIGHT(Data_FAGLL03[[#This Row],[Payment reference]],8)</f>
        <v>91172663</v>
      </c>
      <c r="GD111" t="str">
        <f>IF(Data_FAGLL03[[#This Row],[Billing]]&lt;&gt;"",_xlfn.XLOOKUP(Data_FAGLL03[[#This Row],[Billing]],MD_BILLING_SO[BILIING],MD_BILLING_SO[SO-EDITED]),"")</f>
        <v>30030687</v>
      </c>
      <c r="GE111" s="18">
        <f>IF(SUBSTITUTE(Data_FAGLL03[[#This Row],[Eff.exchange rate]],",","")/100000=1,1,SUBSTITUTE(Data_FAGLL03[[#This Row],[Eff.exchange rate]],",","")/100)</f>
        <v>26254</v>
      </c>
      <c r="GF111" s="17">
        <f>IF(Data_FAGLL03[[#This Row],[Material]]&lt;&gt;"",IFERROR(Data_FAGLL03[[#This Row],[Amount in local currency]]/Data_FAGLL03[[#This Row],[Quantity_Original]],0),0)</f>
        <v>19953.04</v>
      </c>
      <c r="GG111" s="18">
        <f>IF(Data_FAGLL03[[#This Row],[XK/NĐ]]="XK",Data_FAGLL03[[#This Row],[GB trung bình]]/Data_FAGLL03[[#This Row],[EXR]],0)*1000</f>
        <v>760</v>
      </c>
      <c r="GH111" s="18" cm="1">
        <f t="array" ref="GH111">IF(Data_FAGLL03[[#This Row],[Document currency]]&lt;&gt;"VND",Data_FAGLL03[[#This Row],[Amount in doc. curr.]],Data_FAGLL03[[#This Row],[Amount in local currency]]/EXR)</f>
        <v>-16720</v>
      </c>
      <c r="GI111" s="10">
        <f>Data_FAGLL03[[#This Row],[Time Stamp]]+TIME(7,0,0)</f>
        <v>46121.734930555554</v>
      </c>
      <c r="GJ111" s="18">
        <f>MONTH(Data_FAGLL03[[#This Row],[Time Stamp_VN]])</f>
        <v>4</v>
      </c>
      <c r="GK111">
        <f>DAY(Data_FAGLL03[[#This Row],[Time Stamp_VN]])</f>
        <v>9</v>
      </c>
      <c r="GL111" t="str">
        <f>TEXT(Data_FAGLL03[[#This Row],[Tháng]],"00")&amp;" | "&amp;TEXT(Data_FAGLL03[[#This Row],[Ngày]],"00")</f>
        <v>04 | 09</v>
      </c>
      <c r="GM111" s="18">
        <f>IF(Data_FAGLL03[[#This Row],[Text]]="",Data_FAGLL03[[#This Row],[Quantity_Original]],0)</f>
        <v>-22000</v>
      </c>
      <c r="GN111" s="18" t="str">
        <f>IF(Data_FAGLL03[[#This Row],[Quantity_Edited]]&lt;&gt;0,Data_FAGLL03[[#This Row],[Offsetting acct no.]]&amp;" | "&amp;Data_FAGLL03[[#This Row],[Material]],"")</f>
        <v>200384 | 110000507</v>
      </c>
      <c r="GO111" t="str">
        <f>IF(LEFT(Data_FAGLL03[[#This Row],[Offsetting acct no.]],1)="1","NĐ",IF(LEFT(Data_FAGLL03[[#This Row],[Offsetting acct no.]],1)="2","XK","Khác"))</f>
        <v>XK</v>
      </c>
      <c r="GP111" t="str">
        <f>IF(Data_FAGLL03[[#This Row],[Material]]&lt;&gt;"",_xlfn.XLOOKUP(Data_FAGLL03[[#This Row],[Material]],MD_SKU[Mã SKU],MD_SKU[Tên SKU]),"")</f>
        <v>Vảy FPET201</v>
      </c>
      <c r="GQ111" t="str">
        <f>IF(Data_FAGLL03[[#This Row],[Material]]&lt;&gt;"",_xlfn.XLOOKUP(Data_FAGLL03[[#This Row],[Material]],MD_SKU[Mã SKU],MD_SKU[Nhóm SP 1]),"")</f>
        <v>rPET</v>
      </c>
      <c r="GR111" t="str">
        <f>IF(Data_FAGLL03[[#This Row],[Material]]&lt;&gt;"",_xlfn.XLOOKUP(Data_FAGLL03[[#This Row],[Material]],MD_SKU[Mã SKU],MD_SKU[Nhóm SP 2]),"")</f>
        <v>rPET</v>
      </c>
      <c r="GS111" t="str">
        <f>IF(Data_FAGLL03[[#This Row],[Material]]&lt;&gt;"",_xlfn.XLOOKUP(Data_FAGLL03[[#This Row],[Material]],MD_SKU[Mã SKU],MD_SKU[Nhóm SP 3]),"")</f>
        <v>rPET</v>
      </c>
      <c r="GT111" t="str">
        <f>IF(Data_FAGLL03[[#This Row],[Material]]&lt;&gt;"",_xlfn.XLOOKUP(Data_FAGLL03[[#This Row],[Material]],MD_SKU[Mã SKU],MD_SKU[Nhóm SP 4]),"")</f>
        <v>Vảy rPET</v>
      </c>
    </row>
    <row r="112" spans="1:202" x14ac:dyDescent="0.25">
      <c r="A112" t="s">
        <v>0</v>
      </c>
      <c r="B112" s="2">
        <v>46121</v>
      </c>
      <c r="C112" t="s">
        <v>2407</v>
      </c>
      <c r="D112" t="s">
        <v>1</v>
      </c>
      <c r="E112" t="s">
        <v>1</v>
      </c>
      <c r="F112" t="s">
        <v>23</v>
      </c>
      <c r="G112" t="s">
        <v>23</v>
      </c>
      <c r="H112" t="s">
        <v>2392</v>
      </c>
      <c r="I112" s="19">
        <v>-438966880</v>
      </c>
      <c r="J112" t="s">
        <v>2393</v>
      </c>
      <c r="K112" t="s">
        <v>1</v>
      </c>
      <c r="L112" t="s">
        <v>2394</v>
      </c>
      <c r="M112" t="s">
        <v>41</v>
      </c>
      <c r="N112" t="s">
        <v>254</v>
      </c>
      <c r="O112" t="s">
        <v>4</v>
      </c>
      <c r="P112" t="s">
        <v>2408</v>
      </c>
      <c r="Q112" t="s">
        <v>23</v>
      </c>
      <c r="R112" t="s">
        <v>5</v>
      </c>
      <c r="S112" t="s">
        <v>1</v>
      </c>
      <c r="T112" s="3">
        <v>-16720</v>
      </c>
      <c r="U112" s="19">
        <v>-16720</v>
      </c>
      <c r="V112" s="3">
        <v>-438966880</v>
      </c>
      <c r="W112" s="3">
        <v>-438966880</v>
      </c>
      <c r="X112" s="4">
        <v>0</v>
      </c>
      <c r="Y112" s="4">
        <v>0</v>
      </c>
      <c r="Z112" s="3">
        <v>0</v>
      </c>
      <c r="AA112" s="3">
        <v>0</v>
      </c>
      <c r="AB112" t="s">
        <v>1</v>
      </c>
      <c r="AC112" t="s">
        <v>24</v>
      </c>
      <c r="AD112" s="2"/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25</v>
      </c>
      <c r="AK112" s="4">
        <v>0</v>
      </c>
      <c r="AL112" t="s">
        <v>1</v>
      </c>
      <c r="AM112" s="5" t="s">
        <v>1</v>
      </c>
      <c r="AN112" t="s">
        <v>1</v>
      </c>
      <c r="AO112" s="2"/>
      <c r="AP112" t="s">
        <v>1</v>
      </c>
      <c r="AQ112" t="s">
        <v>1</v>
      </c>
      <c r="AR112" s="3">
        <v>0</v>
      </c>
      <c r="AS112" t="s">
        <v>1</v>
      </c>
      <c r="AT112" t="s">
        <v>7</v>
      </c>
      <c r="AU112" t="s">
        <v>1</v>
      </c>
      <c r="AV112" t="s">
        <v>1</v>
      </c>
      <c r="AW112" t="s">
        <v>8</v>
      </c>
      <c r="AX112" t="s">
        <v>8</v>
      </c>
      <c r="AY112" t="s">
        <v>1</v>
      </c>
      <c r="AZ112" s="4">
        <v>0</v>
      </c>
      <c r="BA112" t="s">
        <v>1</v>
      </c>
      <c r="BB112" s="3">
        <v>0</v>
      </c>
      <c r="BC112" s="3">
        <v>0</v>
      </c>
      <c r="BD112" s="3">
        <v>0</v>
      </c>
      <c r="BE112" t="s">
        <v>20</v>
      </c>
      <c r="BF112" t="s">
        <v>1</v>
      </c>
      <c r="BG112" s="4">
        <v>0</v>
      </c>
      <c r="BH112" s="4">
        <v>0</v>
      </c>
      <c r="BI112" s="6">
        <v>0</v>
      </c>
      <c r="BJ112" s="6">
        <v>0</v>
      </c>
      <c r="BK112" t="s">
        <v>1</v>
      </c>
      <c r="BL112" t="s">
        <v>1</v>
      </c>
      <c r="BM112" t="s">
        <v>1</v>
      </c>
      <c r="BN112" t="s">
        <v>26</v>
      </c>
      <c r="BO112" s="2">
        <v>46121</v>
      </c>
      <c r="BP112" t="s">
        <v>1</v>
      </c>
      <c r="BQ112" t="s">
        <v>2407</v>
      </c>
      <c r="BR112" t="s">
        <v>27</v>
      </c>
      <c r="BS112" t="s">
        <v>1</v>
      </c>
      <c r="BT112" t="s">
        <v>1</v>
      </c>
      <c r="BU112" t="s">
        <v>1</v>
      </c>
      <c r="BV112" t="s">
        <v>1</v>
      </c>
      <c r="BW112" t="s">
        <v>7</v>
      </c>
      <c r="BX112" t="s">
        <v>2396</v>
      </c>
      <c r="BY112" s="2"/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254</v>
      </c>
      <c r="CJ112" s="3">
        <v>-438966880</v>
      </c>
      <c r="CK112" t="s">
        <v>9</v>
      </c>
      <c r="CL112" t="s">
        <v>11</v>
      </c>
      <c r="CM112" t="s">
        <v>1</v>
      </c>
      <c r="CN112" s="4">
        <v>0</v>
      </c>
      <c r="CO112" t="s">
        <v>7</v>
      </c>
      <c r="CP112" t="s">
        <v>7</v>
      </c>
      <c r="CQ112" t="s">
        <v>7</v>
      </c>
      <c r="CR112" t="s">
        <v>7</v>
      </c>
      <c r="CS112" s="4">
        <v>0</v>
      </c>
      <c r="CT112" t="s">
        <v>2407</v>
      </c>
      <c r="CU112" t="s">
        <v>7</v>
      </c>
      <c r="CV112" t="s">
        <v>1</v>
      </c>
      <c r="CW112" s="2"/>
      <c r="CX112" t="s">
        <v>12</v>
      </c>
      <c r="CY112" t="s">
        <v>1</v>
      </c>
      <c r="CZ112" t="s">
        <v>13</v>
      </c>
      <c r="DA112" t="s">
        <v>1</v>
      </c>
      <c r="DB112" t="s">
        <v>9</v>
      </c>
      <c r="DC112" t="s">
        <v>9</v>
      </c>
      <c r="DD112" t="s">
        <v>1</v>
      </c>
      <c r="DE112" t="s">
        <v>1</v>
      </c>
      <c r="DF112" t="s">
        <v>1</v>
      </c>
      <c r="DG112" t="s">
        <v>1842</v>
      </c>
      <c r="DH112" t="s">
        <v>1</v>
      </c>
      <c r="DI112" s="2"/>
      <c r="DJ112" t="s">
        <v>1</v>
      </c>
      <c r="DK112" t="s">
        <v>14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s="2"/>
      <c r="DW112" t="s">
        <v>1</v>
      </c>
      <c r="DX112" t="s">
        <v>1</v>
      </c>
      <c r="DY112" t="s">
        <v>2409</v>
      </c>
      <c r="DZ112" t="s">
        <v>1</v>
      </c>
      <c r="EA112" t="s">
        <v>1</v>
      </c>
      <c r="EB112" t="s">
        <v>28</v>
      </c>
      <c r="EC112" t="s">
        <v>7</v>
      </c>
      <c r="ED112" t="s">
        <v>1</v>
      </c>
      <c r="EE112" t="s">
        <v>1</v>
      </c>
      <c r="EF112" t="s">
        <v>22</v>
      </c>
      <c r="EG112" t="s">
        <v>41</v>
      </c>
      <c r="EH112" t="s">
        <v>15</v>
      </c>
      <c r="EI112" t="s">
        <v>1</v>
      </c>
      <c r="EJ112" s="4">
        <v>-22000</v>
      </c>
      <c r="EK112" t="s">
        <v>1</v>
      </c>
      <c r="EL112" t="s">
        <v>1</v>
      </c>
      <c r="EM112" t="s">
        <v>1</v>
      </c>
      <c r="EN112" t="s">
        <v>1</v>
      </c>
      <c r="EO112" s="2"/>
      <c r="EP112" t="s">
        <v>2409</v>
      </c>
      <c r="EQ112" t="s">
        <v>1</v>
      </c>
      <c r="ER112" t="s">
        <v>1</v>
      </c>
      <c r="ES112" t="s">
        <v>1</v>
      </c>
      <c r="ET112" t="s">
        <v>29</v>
      </c>
      <c r="EU112" t="s">
        <v>1</v>
      </c>
      <c r="EV112" t="s">
        <v>1</v>
      </c>
      <c r="EW112" t="s">
        <v>7</v>
      </c>
      <c r="EX112" t="s">
        <v>7</v>
      </c>
      <c r="EY112" t="s">
        <v>1</v>
      </c>
      <c r="EZ112" t="s">
        <v>1</v>
      </c>
      <c r="FA112" t="s">
        <v>1</v>
      </c>
      <c r="FB112" s="3">
        <v>50</v>
      </c>
      <c r="FC112" t="s">
        <v>1</v>
      </c>
      <c r="FD112" t="s">
        <v>1</v>
      </c>
      <c r="FE112" t="s">
        <v>1</v>
      </c>
      <c r="FF112" t="s">
        <v>30</v>
      </c>
      <c r="FG112" t="s">
        <v>1</v>
      </c>
      <c r="FH112" t="s">
        <v>1</v>
      </c>
      <c r="FI112" t="s">
        <v>1</v>
      </c>
      <c r="FJ112" t="s">
        <v>1</v>
      </c>
      <c r="FK112" s="7">
        <v>46121.443483796298</v>
      </c>
      <c r="FL112" t="s">
        <v>1</v>
      </c>
      <c r="FM112" t="s">
        <v>1</v>
      </c>
      <c r="FN112" t="s">
        <v>1</v>
      </c>
      <c r="FO112" s="19">
        <v>-438966880</v>
      </c>
      <c r="FP112" s="4">
        <v>0</v>
      </c>
      <c r="FQ112" s="19">
        <v>-438966880</v>
      </c>
      <c r="FR112" s="4">
        <v>0</v>
      </c>
      <c r="FS112" s="4">
        <v>0</v>
      </c>
      <c r="FT112" s="4">
        <v>0</v>
      </c>
      <c r="FU112" s="2">
        <v>46121</v>
      </c>
      <c r="FV112" t="s">
        <v>1</v>
      </c>
      <c r="FW112" s="4">
        <v>0</v>
      </c>
      <c r="FX112" t="s">
        <v>1</v>
      </c>
      <c r="FY112" t="s">
        <v>1</v>
      </c>
      <c r="FZ112" s="4">
        <v>0</v>
      </c>
      <c r="GA112" s="4">
        <v>0</v>
      </c>
      <c r="GB112" t="s">
        <v>2070</v>
      </c>
      <c r="GC112" t="str">
        <f>RIGHT(Data_FAGLL03[[#This Row],[Payment reference]],8)</f>
        <v>91172664</v>
      </c>
      <c r="GD112" t="str">
        <f>IF(Data_FAGLL03[[#This Row],[Billing]]&lt;&gt;"",_xlfn.XLOOKUP(Data_FAGLL03[[#This Row],[Billing]],MD_BILLING_SO[BILIING],MD_BILLING_SO[SO-EDITED]),"")</f>
        <v>30030687</v>
      </c>
      <c r="GE112" s="18">
        <f>IF(SUBSTITUTE(Data_FAGLL03[[#This Row],[Eff.exchange rate]],",","")/100000=1,1,SUBSTITUTE(Data_FAGLL03[[#This Row],[Eff.exchange rate]],",","")/100)</f>
        <v>26254</v>
      </c>
      <c r="GF112" s="17">
        <f>IF(Data_FAGLL03[[#This Row],[Material]]&lt;&gt;"",IFERROR(Data_FAGLL03[[#This Row],[Amount in local currency]]/Data_FAGLL03[[#This Row],[Quantity_Original]],0),0)</f>
        <v>19953.04</v>
      </c>
      <c r="GG112" s="18">
        <f>IF(Data_FAGLL03[[#This Row],[XK/NĐ]]="XK",Data_FAGLL03[[#This Row],[GB trung bình]]/Data_FAGLL03[[#This Row],[EXR]],0)*1000</f>
        <v>760</v>
      </c>
      <c r="GH112" s="18" cm="1">
        <f t="array" ref="GH112">IF(Data_FAGLL03[[#This Row],[Document currency]]&lt;&gt;"VND",Data_FAGLL03[[#This Row],[Amount in doc. curr.]],Data_FAGLL03[[#This Row],[Amount in local currency]]/EXR)</f>
        <v>-16720</v>
      </c>
      <c r="GI112" s="10">
        <f>Data_FAGLL03[[#This Row],[Time Stamp]]+TIME(7,0,0)</f>
        <v>46121.735150462962</v>
      </c>
      <c r="GJ112" s="18">
        <f>MONTH(Data_FAGLL03[[#This Row],[Time Stamp_VN]])</f>
        <v>4</v>
      </c>
      <c r="GK112">
        <f>DAY(Data_FAGLL03[[#This Row],[Time Stamp_VN]])</f>
        <v>9</v>
      </c>
      <c r="GL112" t="str">
        <f>TEXT(Data_FAGLL03[[#This Row],[Tháng]],"00")&amp;" | "&amp;TEXT(Data_FAGLL03[[#This Row],[Ngày]],"00")</f>
        <v>04 | 09</v>
      </c>
      <c r="GM112" s="18">
        <f>IF(Data_FAGLL03[[#This Row],[Text]]="",Data_FAGLL03[[#This Row],[Quantity_Original]],0)</f>
        <v>-22000</v>
      </c>
      <c r="GN112" s="18" t="str">
        <f>IF(Data_FAGLL03[[#This Row],[Quantity_Edited]]&lt;&gt;0,Data_FAGLL03[[#This Row],[Offsetting acct no.]]&amp;" | "&amp;Data_FAGLL03[[#This Row],[Material]],"")</f>
        <v>200384 | 110000507</v>
      </c>
      <c r="GO112" t="str">
        <f>IF(LEFT(Data_FAGLL03[[#This Row],[Offsetting acct no.]],1)="1","NĐ",IF(LEFT(Data_FAGLL03[[#This Row],[Offsetting acct no.]],1)="2","XK","Khác"))</f>
        <v>XK</v>
      </c>
      <c r="GP112" t="str">
        <f>IF(Data_FAGLL03[[#This Row],[Material]]&lt;&gt;"",_xlfn.XLOOKUP(Data_FAGLL03[[#This Row],[Material]],MD_SKU[Mã SKU],MD_SKU[Tên SKU]),"")</f>
        <v>Vảy FPET201</v>
      </c>
      <c r="GQ112" t="str">
        <f>IF(Data_FAGLL03[[#This Row],[Material]]&lt;&gt;"",_xlfn.XLOOKUP(Data_FAGLL03[[#This Row],[Material]],MD_SKU[Mã SKU],MD_SKU[Nhóm SP 1]),"")</f>
        <v>rPET</v>
      </c>
      <c r="GR112" t="str">
        <f>IF(Data_FAGLL03[[#This Row],[Material]]&lt;&gt;"",_xlfn.XLOOKUP(Data_FAGLL03[[#This Row],[Material]],MD_SKU[Mã SKU],MD_SKU[Nhóm SP 2]),"")</f>
        <v>rPET</v>
      </c>
      <c r="GS112" t="str">
        <f>IF(Data_FAGLL03[[#This Row],[Material]]&lt;&gt;"",_xlfn.XLOOKUP(Data_FAGLL03[[#This Row],[Material]],MD_SKU[Mã SKU],MD_SKU[Nhóm SP 3]),"")</f>
        <v>rPET</v>
      </c>
      <c r="GT112" t="str">
        <f>IF(Data_FAGLL03[[#This Row],[Material]]&lt;&gt;"",_xlfn.XLOOKUP(Data_FAGLL03[[#This Row],[Material]],MD_SKU[Mã SKU],MD_SKU[Nhóm SP 4]),"")</f>
        <v>Vảy rPET</v>
      </c>
    </row>
    <row r="113" spans="1:202" x14ac:dyDescent="0.25">
      <c r="A113" t="s">
        <v>0</v>
      </c>
      <c r="B113" s="2">
        <v>46121</v>
      </c>
      <c r="C113" t="s">
        <v>2410</v>
      </c>
      <c r="D113" t="s">
        <v>1</v>
      </c>
      <c r="E113" t="s">
        <v>1</v>
      </c>
      <c r="F113" t="s">
        <v>31</v>
      </c>
      <c r="G113" t="s">
        <v>31</v>
      </c>
      <c r="H113" t="s">
        <v>258</v>
      </c>
      <c r="I113" s="19">
        <v>-709280000</v>
      </c>
      <c r="J113" t="s">
        <v>259</v>
      </c>
      <c r="K113" t="s">
        <v>1</v>
      </c>
      <c r="L113" t="s">
        <v>2394</v>
      </c>
      <c r="M113" t="s">
        <v>41</v>
      </c>
      <c r="N113" t="s">
        <v>254</v>
      </c>
      <c r="O113" t="s">
        <v>4</v>
      </c>
      <c r="P113" t="s">
        <v>2411</v>
      </c>
      <c r="Q113" t="s">
        <v>31</v>
      </c>
      <c r="R113" t="s">
        <v>5</v>
      </c>
      <c r="S113" t="s">
        <v>1</v>
      </c>
      <c r="T113" s="3">
        <v>-709280000</v>
      </c>
      <c r="U113" s="19">
        <v>-709280000</v>
      </c>
      <c r="V113" s="3">
        <v>-709280000</v>
      </c>
      <c r="W113" s="3">
        <v>-709280000</v>
      </c>
      <c r="X113" s="4">
        <v>0</v>
      </c>
      <c r="Y113" s="4">
        <v>0</v>
      </c>
      <c r="Z113" s="3">
        <v>0</v>
      </c>
      <c r="AA113" s="3">
        <v>0</v>
      </c>
      <c r="AB113" t="s">
        <v>1</v>
      </c>
      <c r="AC113" t="s">
        <v>24</v>
      </c>
      <c r="AD113" s="2"/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25</v>
      </c>
      <c r="AK113" s="4">
        <v>0</v>
      </c>
      <c r="AL113" t="s">
        <v>1</v>
      </c>
      <c r="AM113" s="5" t="s">
        <v>1</v>
      </c>
      <c r="AN113" t="s">
        <v>1</v>
      </c>
      <c r="AO113" s="2"/>
      <c r="AP113" t="s">
        <v>1</v>
      </c>
      <c r="AQ113" t="s">
        <v>1</v>
      </c>
      <c r="AR113" s="3">
        <v>0</v>
      </c>
      <c r="AS113" t="s">
        <v>1</v>
      </c>
      <c r="AT113" t="s">
        <v>7</v>
      </c>
      <c r="AU113" t="s">
        <v>1</v>
      </c>
      <c r="AV113" t="s">
        <v>1</v>
      </c>
      <c r="AW113" t="s">
        <v>8</v>
      </c>
      <c r="AX113" t="s">
        <v>8</v>
      </c>
      <c r="AY113" t="s">
        <v>1</v>
      </c>
      <c r="AZ113" s="4">
        <v>0</v>
      </c>
      <c r="BA113" t="s">
        <v>1</v>
      </c>
      <c r="BB113" s="3">
        <v>0</v>
      </c>
      <c r="BC113" s="3">
        <v>0</v>
      </c>
      <c r="BD113" s="3">
        <v>0</v>
      </c>
      <c r="BE113" t="s">
        <v>20</v>
      </c>
      <c r="BF113" t="s">
        <v>1</v>
      </c>
      <c r="BG113" s="4">
        <v>0</v>
      </c>
      <c r="BH113" s="4">
        <v>0</v>
      </c>
      <c r="BI113" s="6">
        <v>0</v>
      </c>
      <c r="BJ113" s="6">
        <v>0</v>
      </c>
      <c r="BK113" t="s">
        <v>1</v>
      </c>
      <c r="BL113" t="s">
        <v>1</v>
      </c>
      <c r="BM113" t="s">
        <v>1</v>
      </c>
      <c r="BN113" t="s">
        <v>9</v>
      </c>
      <c r="BO113" s="2">
        <v>46121</v>
      </c>
      <c r="BP113" t="s">
        <v>1</v>
      </c>
      <c r="BQ113" t="s">
        <v>2410</v>
      </c>
      <c r="BR113" t="s">
        <v>27</v>
      </c>
      <c r="BS113" t="s">
        <v>1</v>
      </c>
      <c r="BT113" t="s">
        <v>1</v>
      </c>
      <c r="BU113" t="s">
        <v>1</v>
      </c>
      <c r="BV113" t="s">
        <v>1</v>
      </c>
      <c r="BW113" t="s">
        <v>7</v>
      </c>
      <c r="BX113" t="s">
        <v>10</v>
      </c>
      <c r="BY113" s="2"/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254</v>
      </c>
      <c r="CJ113" s="3">
        <v>-709280000</v>
      </c>
      <c r="CK113" t="s">
        <v>9</v>
      </c>
      <c r="CL113" t="s">
        <v>11</v>
      </c>
      <c r="CM113" t="s">
        <v>1</v>
      </c>
      <c r="CN113" s="4">
        <v>0</v>
      </c>
      <c r="CO113" t="s">
        <v>7</v>
      </c>
      <c r="CP113" t="s">
        <v>7</v>
      </c>
      <c r="CQ113" t="s">
        <v>7</v>
      </c>
      <c r="CR113" t="s">
        <v>7</v>
      </c>
      <c r="CS113" s="4">
        <v>0</v>
      </c>
      <c r="CT113" t="s">
        <v>2410</v>
      </c>
      <c r="CU113" t="s">
        <v>7</v>
      </c>
      <c r="CV113" t="s">
        <v>1</v>
      </c>
      <c r="CW113" s="2"/>
      <c r="CX113" t="s">
        <v>12</v>
      </c>
      <c r="CY113" t="s">
        <v>1</v>
      </c>
      <c r="CZ113" t="s">
        <v>13</v>
      </c>
      <c r="DA113" t="s">
        <v>1</v>
      </c>
      <c r="DB113" t="s">
        <v>9</v>
      </c>
      <c r="DC113" t="s">
        <v>9</v>
      </c>
      <c r="DD113" t="s">
        <v>1</v>
      </c>
      <c r="DE113" t="s">
        <v>1</v>
      </c>
      <c r="DF113" t="s">
        <v>1</v>
      </c>
      <c r="DG113" t="s">
        <v>32</v>
      </c>
      <c r="DH113" t="s">
        <v>1</v>
      </c>
      <c r="DI113" s="2"/>
      <c r="DJ113" t="s">
        <v>1</v>
      </c>
      <c r="DK113" t="s">
        <v>14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s="2"/>
      <c r="DW113" t="s">
        <v>1</v>
      </c>
      <c r="DX113" t="s">
        <v>1</v>
      </c>
      <c r="DY113" t="s">
        <v>2412</v>
      </c>
      <c r="DZ113" t="s">
        <v>1</v>
      </c>
      <c r="EA113" t="s">
        <v>1</v>
      </c>
      <c r="EB113" t="s">
        <v>28</v>
      </c>
      <c r="EC113" t="s">
        <v>7</v>
      </c>
      <c r="ED113" t="s">
        <v>1</v>
      </c>
      <c r="EE113" t="s">
        <v>1</v>
      </c>
      <c r="EF113" t="s">
        <v>22</v>
      </c>
      <c r="EG113" t="s">
        <v>41</v>
      </c>
      <c r="EH113" t="s">
        <v>15</v>
      </c>
      <c r="EI113" t="s">
        <v>1</v>
      </c>
      <c r="EJ113" s="4">
        <v>-22000</v>
      </c>
      <c r="EK113" t="s">
        <v>1</v>
      </c>
      <c r="EL113" t="s">
        <v>1</v>
      </c>
      <c r="EM113" t="s">
        <v>1</v>
      </c>
      <c r="EN113" t="s">
        <v>1</v>
      </c>
      <c r="EO113" s="2"/>
      <c r="EP113" t="s">
        <v>2412</v>
      </c>
      <c r="EQ113" t="s">
        <v>1</v>
      </c>
      <c r="ER113" t="s">
        <v>1</v>
      </c>
      <c r="ES113" t="s">
        <v>1</v>
      </c>
      <c r="ET113" t="s">
        <v>29</v>
      </c>
      <c r="EU113" t="s">
        <v>1</v>
      </c>
      <c r="EV113" t="s">
        <v>1</v>
      </c>
      <c r="EW113" t="s">
        <v>7</v>
      </c>
      <c r="EX113" t="s">
        <v>7</v>
      </c>
      <c r="EY113" t="s">
        <v>1</v>
      </c>
      <c r="EZ113" t="s">
        <v>1</v>
      </c>
      <c r="FA113" t="s">
        <v>1</v>
      </c>
      <c r="FB113" s="3">
        <v>50</v>
      </c>
      <c r="FC113" t="s">
        <v>1</v>
      </c>
      <c r="FD113" t="s">
        <v>1</v>
      </c>
      <c r="FE113" t="s">
        <v>1</v>
      </c>
      <c r="FF113" t="s">
        <v>17</v>
      </c>
      <c r="FG113" t="s">
        <v>1</v>
      </c>
      <c r="FH113" t="s">
        <v>1</v>
      </c>
      <c r="FI113" t="s">
        <v>1</v>
      </c>
      <c r="FJ113" t="s">
        <v>1</v>
      </c>
      <c r="FK113" s="7">
        <v>46121.443738425929</v>
      </c>
      <c r="FL113" t="s">
        <v>1</v>
      </c>
      <c r="FM113" t="s">
        <v>1</v>
      </c>
      <c r="FN113" t="s">
        <v>1</v>
      </c>
      <c r="FO113" s="19">
        <v>-709280000</v>
      </c>
      <c r="FP113" s="4">
        <v>0</v>
      </c>
      <c r="FQ113" s="19">
        <v>-709280000</v>
      </c>
      <c r="FR113" s="4">
        <v>0</v>
      </c>
      <c r="FS113" s="4">
        <v>0</v>
      </c>
      <c r="FT113" s="4">
        <v>0</v>
      </c>
      <c r="FU113" s="2">
        <v>46121</v>
      </c>
      <c r="FV113" t="s">
        <v>1</v>
      </c>
      <c r="FW113" s="4">
        <v>0</v>
      </c>
      <c r="FX113" t="s">
        <v>1</v>
      </c>
      <c r="FY113" t="s">
        <v>1</v>
      </c>
      <c r="FZ113" s="4">
        <v>0</v>
      </c>
      <c r="GA113" s="4">
        <v>0</v>
      </c>
      <c r="GB113" t="s">
        <v>2070</v>
      </c>
      <c r="GC113" t="str">
        <f>RIGHT(Data_FAGLL03[[#This Row],[Payment reference]],8)</f>
        <v>91172665</v>
      </c>
      <c r="GD113" t="str">
        <f>IF(Data_FAGLL03[[#This Row],[Billing]]&lt;&gt;"",_xlfn.XLOOKUP(Data_FAGLL03[[#This Row],[Billing]],MD_BILLING_SO[BILIING],MD_BILLING_SO[SO-EDITED]),"")</f>
        <v>30030652</v>
      </c>
      <c r="GE113" s="18">
        <f>IF(SUBSTITUTE(Data_FAGLL03[[#This Row],[Eff.exchange rate]],",","")/100000=1,1,SUBSTITUTE(Data_FAGLL03[[#This Row],[Eff.exchange rate]],",","")/100)</f>
        <v>1</v>
      </c>
      <c r="GF113" s="17">
        <f>IF(Data_FAGLL03[[#This Row],[Material]]&lt;&gt;"",IFERROR(Data_FAGLL03[[#This Row],[Amount in local currency]]/Data_FAGLL03[[#This Row],[Quantity_Original]],0),0)</f>
        <v>32240</v>
      </c>
      <c r="GG113" s="18">
        <f>IF(Data_FAGLL03[[#This Row],[XK/NĐ]]="XK",Data_FAGLL03[[#This Row],[GB trung bình]]/Data_FAGLL03[[#This Row],[EXR]],0)*1000</f>
        <v>0</v>
      </c>
      <c r="GH113" s="18" cm="1">
        <f t="array" ref="GH113">IF(Data_FAGLL03[[#This Row],[Document currency]]&lt;&gt;"VND",Data_FAGLL03[[#This Row],[Amount in doc. curr.]],Data_FAGLL03[[#This Row],[Amount in local currency]]/EXR)</f>
        <v>-27017.984699645262</v>
      </c>
      <c r="GI113" s="10">
        <f>Data_FAGLL03[[#This Row],[Time Stamp]]+TIME(7,0,0)</f>
        <v>46121.735405092593</v>
      </c>
      <c r="GJ113" s="18">
        <f>MONTH(Data_FAGLL03[[#This Row],[Time Stamp_VN]])</f>
        <v>4</v>
      </c>
      <c r="GK113">
        <f>DAY(Data_FAGLL03[[#This Row],[Time Stamp_VN]])</f>
        <v>9</v>
      </c>
      <c r="GL113" t="str">
        <f>TEXT(Data_FAGLL03[[#This Row],[Tháng]],"00")&amp;" | "&amp;TEXT(Data_FAGLL03[[#This Row],[Ngày]],"00")</f>
        <v>04 | 09</v>
      </c>
      <c r="GM113" s="18">
        <f>IF(Data_FAGLL03[[#This Row],[Text]]="",Data_FAGLL03[[#This Row],[Quantity_Original]],0)</f>
        <v>-22000</v>
      </c>
      <c r="GN113" s="18" t="str">
        <f>IF(Data_FAGLL03[[#This Row],[Quantity_Edited]]&lt;&gt;0,Data_FAGLL03[[#This Row],[Offsetting acct no.]]&amp;" | "&amp;Data_FAGLL03[[#This Row],[Material]],"")</f>
        <v>105194 | 110000332</v>
      </c>
      <c r="GO113" t="str">
        <f>IF(LEFT(Data_FAGLL03[[#This Row],[Offsetting acct no.]],1)="1","NĐ",IF(LEFT(Data_FAGLL03[[#This Row],[Offsetting acct no.]],1)="2","XK","Khác"))</f>
        <v>NĐ</v>
      </c>
      <c r="GP113" t="str">
        <f>IF(Data_FAGLL03[[#This Row],[Material]]&lt;&gt;"",_xlfn.XLOOKUP(Data_FAGLL03[[#This Row],[Material]],MD_SKU[Mã SKU],MD_SKU[Tên SKU]),"")</f>
        <v>Hạt nhựa rPET iSS01084G</v>
      </c>
      <c r="GQ113" t="str">
        <f>IF(Data_FAGLL03[[#This Row],[Material]]&lt;&gt;"",_xlfn.XLOOKUP(Data_FAGLL03[[#This Row],[Material]],MD_SKU[Mã SKU],MD_SKU[Nhóm SP 1]),"")</f>
        <v>rPET</v>
      </c>
      <c r="GR113" t="str">
        <f>IF(Data_FAGLL03[[#This Row],[Material]]&lt;&gt;"",_xlfn.XLOOKUP(Data_FAGLL03[[#This Row],[Material]],MD_SKU[Mã SKU],MD_SKU[Nhóm SP 2]),"")</f>
        <v>rPET</v>
      </c>
      <c r="GS113" t="str">
        <f>IF(Data_FAGLL03[[#This Row],[Material]]&lt;&gt;"",_xlfn.XLOOKUP(Data_FAGLL03[[#This Row],[Material]],MD_SKU[Mã SKU],MD_SKU[Nhóm SP 3]),"")</f>
        <v>rPET</v>
      </c>
      <c r="GT113" t="str">
        <f>IF(Data_FAGLL03[[#This Row],[Material]]&lt;&gt;"",_xlfn.XLOOKUP(Data_FAGLL03[[#This Row],[Material]],MD_SKU[Mã SKU],MD_SKU[Nhóm SP 4]),"")</f>
        <v>Hạt rPET</v>
      </c>
    </row>
    <row r="114" spans="1:202" x14ac:dyDescent="0.25">
      <c r="A114" t="s">
        <v>0</v>
      </c>
      <c r="B114" s="2">
        <v>46121</v>
      </c>
      <c r="C114" t="s">
        <v>2413</v>
      </c>
      <c r="D114" t="s">
        <v>1</v>
      </c>
      <c r="E114" t="s">
        <v>1</v>
      </c>
      <c r="F114" t="s">
        <v>31</v>
      </c>
      <c r="G114" t="s">
        <v>31</v>
      </c>
      <c r="H114" t="s">
        <v>2032</v>
      </c>
      <c r="I114" s="19">
        <v>-263150000</v>
      </c>
      <c r="J114" t="s">
        <v>2033</v>
      </c>
      <c r="K114" t="s">
        <v>1</v>
      </c>
      <c r="L114" t="s">
        <v>2394</v>
      </c>
      <c r="M114" t="s">
        <v>41</v>
      </c>
      <c r="N114" t="s">
        <v>254</v>
      </c>
      <c r="O114" t="s">
        <v>4</v>
      </c>
      <c r="P114" t="s">
        <v>2414</v>
      </c>
      <c r="Q114" t="s">
        <v>31</v>
      </c>
      <c r="R114" t="s">
        <v>5</v>
      </c>
      <c r="S114" t="s">
        <v>1</v>
      </c>
      <c r="T114" s="3">
        <v>-263150000</v>
      </c>
      <c r="U114" s="19">
        <v>-263150000</v>
      </c>
      <c r="V114" s="3">
        <v>-263150000</v>
      </c>
      <c r="W114" s="3">
        <v>-263150000</v>
      </c>
      <c r="X114" s="4">
        <v>0</v>
      </c>
      <c r="Y114" s="4">
        <v>0</v>
      </c>
      <c r="Z114" s="3">
        <v>0</v>
      </c>
      <c r="AA114" s="3">
        <v>0</v>
      </c>
      <c r="AB114" t="s">
        <v>1</v>
      </c>
      <c r="AC114" t="s">
        <v>24</v>
      </c>
      <c r="AD114" s="2"/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25</v>
      </c>
      <c r="AK114" s="4">
        <v>0</v>
      </c>
      <c r="AL114" t="s">
        <v>1</v>
      </c>
      <c r="AM114" s="5" t="s">
        <v>1</v>
      </c>
      <c r="AN114" t="s">
        <v>1</v>
      </c>
      <c r="AO114" s="2"/>
      <c r="AP114" t="s">
        <v>1</v>
      </c>
      <c r="AQ114" t="s">
        <v>1</v>
      </c>
      <c r="AR114" s="3">
        <v>0</v>
      </c>
      <c r="AS114" t="s">
        <v>1</v>
      </c>
      <c r="AT114" t="s">
        <v>7</v>
      </c>
      <c r="AU114" t="s">
        <v>1</v>
      </c>
      <c r="AV114" t="s">
        <v>1</v>
      </c>
      <c r="AW114" t="s">
        <v>8</v>
      </c>
      <c r="AX114" t="s">
        <v>8</v>
      </c>
      <c r="AY114" t="s">
        <v>1</v>
      </c>
      <c r="AZ114" s="4">
        <v>0</v>
      </c>
      <c r="BA114" t="s">
        <v>1</v>
      </c>
      <c r="BB114" s="3">
        <v>0</v>
      </c>
      <c r="BC114" s="3">
        <v>0</v>
      </c>
      <c r="BD114" s="3">
        <v>0</v>
      </c>
      <c r="BE114" t="s">
        <v>20</v>
      </c>
      <c r="BF114" t="s">
        <v>1</v>
      </c>
      <c r="BG114" s="4">
        <v>0</v>
      </c>
      <c r="BH114" s="4">
        <v>0</v>
      </c>
      <c r="BI114" s="6">
        <v>0</v>
      </c>
      <c r="BJ114" s="6">
        <v>0</v>
      </c>
      <c r="BK114" t="s">
        <v>1</v>
      </c>
      <c r="BL114" t="s">
        <v>1</v>
      </c>
      <c r="BM114" t="s">
        <v>1</v>
      </c>
      <c r="BN114" t="s">
        <v>9</v>
      </c>
      <c r="BO114" s="2">
        <v>46121</v>
      </c>
      <c r="BP114" t="s">
        <v>1</v>
      </c>
      <c r="BQ114" t="s">
        <v>2413</v>
      </c>
      <c r="BR114" t="s">
        <v>27</v>
      </c>
      <c r="BS114" t="s">
        <v>1</v>
      </c>
      <c r="BT114" t="s">
        <v>1</v>
      </c>
      <c r="BU114" t="s">
        <v>1</v>
      </c>
      <c r="BV114" t="s">
        <v>1</v>
      </c>
      <c r="BW114" t="s">
        <v>7</v>
      </c>
      <c r="BX114" t="s">
        <v>10</v>
      </c>
      <c r="BY114" s="2"/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254</v>
      </c>
      <c r="CJ114" s="3">
        <v>-263150000</v>
      </c>
      <c r="CK114" t="s">
        <v>9</v>
      </c>
      <c r="CL114" t="s">
        <v>11</v>
      </c>
      <c r="CM114" t="s">
        <v>1</v>
      </c>
      <c r="CN114" s="4">
        <v>0</v>
      </c>
      <c r="CO114" t="s">
        <v>7</v>
      </c>
      <c r="CP114" t="s">
        <v>7</v>
      </c>
      <c r="CQ114" t="s">
        <v>7</v>
      </c>
      <c r="CR114" t="s">
        <v>7</v>
      </c>
      <c r="CS114" s="4">
        <v>0</v>
      </c>
      <c r="CT114" t="s">
        <v>2413</v>
      </c>
      <c r="CU114" t="s">
        <v>7</v>
      </c>
      <c r="CV114" t="s">
        <v>1</v>
      </c>
      <c r="CW114" s="2"/>
      <c r="CX114" t="s">
        <v>12</v>
      </c>
      <c r="CY114" t="s">
        <v>1</v>
      </c>
      <c r="CZ114" t="s">
        <v>13</v>
      </c>
      <c r="DA114" t="s">
        <v>1</v>
      </c>
      <c r="DB114" t="s">
        <v>9</v>
      </c>
      <c r="DC114" t="s">
        <v>9</v>
      </c>
      <c r="DD114" t="s">
        <v>1</v>
      </c>
      <c r="DE114" t="s">
        <v>1</v>
      </c>
      <c r="DF114" t="s">
        <v>1</v>
      </c>
      <c r="DG114" t="s">
        <v>700</v>
      </c>
      <c r="DH114" t="s">
        <v>1</v>
      </c>
      <c r="DI114" s="2"/>
      <c r="DJ114" t="s">
        <v>1</v>
      </c>
      <c r="DK114" t="s">
        <v>14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s="2"/>
      <c r="DW114" t="s">
        <v>1</v>
      </c>
      <c r="DX114" t="s">
        <v>1</v>
      </c>
      <c r="DY114" t="s">
        <v>2415</v>
      </c>
      <c r="DZ114" t="s">
        <v>1</v>
      </c>
      <c r="EA114" t="s">
        <v>1</v>
      </c>
      <c r="EB114" t="s">
        <v>28</v>
      </c>
      <c r="EC114" t="s">
        <v>7</v>
      </c>
      <c r="ED114" t="s">
        <v>1</v>
      </c>
      <c r="EE114" t="s">
        <v>1</v>
      </c>
      <c r="EF114" t="s">
        <v>22</v>
      </c>
      <c r="EG114" t="s">
        <v>41</v>
      </c>
      <c r="EH114" t="s">
        <v>15</v>
      </c>
      <c r="EI114" t="s">
        <v>1</v>
      </c>
      <c r="EJ114" s="4">
        <v>-13850</v>
      </c>
      <c r="EK114" t="s">
        <v>1</v>
      </c>
      <c r="EL114" t="s">
        <v>1</v>
      </c>
      <c r="EM114" t="s">
        <v>1</v>
      </c>
      <c r="EN114" t="s">
        <v>1</v>
      </c>
      <c r="EO114" s="2"/>
      <c r="EP114" t="s">
        <v>2415</v>
      </c>
      <c r="EQ114" t="s">
        <v>1</v>
      </c>
      <c r="ER114" t="s">
        <v>1</v>
      </c>
      <c r="ES114" t="s">
        <v>1</v>
      </c>
      <c r="ET114" t="s">
        <v>29</v>
      </c>
      <c r="EU114" t="s">
        <v>1</v>
      </c>
      <c r="EV114" t="s">
        <v>1</v>
      </c>
      <c r="EW114" t="s">
        <v>7</v>
      </c>
      <c r="EX114" t="s">
        <v>7</v>
      </c>
      <c r="EY114" t="s">
        <v>1</v>
      </c>
      <c r="EZ114" t="s">
        <v>1</v>
      </c>
      <c r="FA114" t="s">
        <v>1</v>
      </c>
      <c r="FB114" s="3">
        <v>50</v>
      </c>
      <c r="FC114" t="s">
        <v>1</v>
      </c>
      <c r="FD114" t="s">
        <v>1</v>
      </c>
      <c r="FE114" t="s">
        <v>1</v>
      </c>
      <c r="FF114" t="s">
        <v>17</v>
      </c>
      <c r="FG114" t="s">
        <v>1</v>
      </c>
      <c r="FH114" t="s">
        <v>1</v>
      </c>
      <c r="FI114" t="s">
        <v>1</v>
      </c>
      <c r="FJ114" t="s">
        <v>1</v>
      </c>
      <c r="FK114" s="7">
        <v>46121.443958333337</v>
      </c>
      <c r="FL114" t="s">
        <v>1</v>
      </c>
      <c r="FM114" t="s">
        <v>1</v>
      </c>
      <c r="FN114" t="s">
        <v>1</v>
      </c>
      <c r="FO114" s="19">
        <v>-263150000</v>
      </c>
      <c r="FP114" s="4">
        <v>0</v>
      </c>
      <c r="FQ114" s="19">
        <v>-263150000</v>
      </c>
      <c r="FR114" s="4">
        <v>0</v>
      </c>
      <c r="FS114" s="4">
        <v>0</v>
      </c>
      <c r="FT114" s="4">
        <v>0</v>
      </c>
      <c r="FU114" s="2">
        <v>46121</v>
      </c>
      <c r="FV114" t="s">
        <v>1</v>
      </c>
      <c r="FW114" s="4">
        <v>0</v>
      </c>
      <c r="FX114" t="s">
        <v>1</v>
      </c>
      <c r="FY114" t="s">
        <v>1</v>
      </c>
      <c r="FZ114" s="4">
        <v>0</v>
      </c>
      <c r="GA114" s="4">
        <v>0</v>
      </c>
      <c r="GB114" t="s">
        <v>2070</v>
      </c>
      <c r="GC114" t="str">
        <f>RIGHT(Data_FAGLL03[[#This Row],[Payment reference]],8)</f>
        <v>91172666</v>
      </c>
      <c r="GD114" t="str">
        <f>IF(Data_FAGLL03[[#This Row],[Billing]]&lt;&gt;"",_xlfn.XLOOKUP(Data_FAGLL03[[#This Row],[Billing]],MD_BILLING_SO[BILIING],MD_BILLING_SO[SO-EDITED]),"")</f>
        <v>30030646</v>
      </c>
      <c r="GE114" s="18">
        <f>IF(SUBSTITUTE(Data_FAGLL03[[#This Row],[Eff.exchange rate]],",","")/100000=1,1,SUBSTITUTE(Data_FAGLL03[[#This Row],[Eff.exchange rate]],",","")/100)</f>
        <v>1</v>
      </c>
      <c r="GF114" s="17">
        <f>IF(Data_FAGLL03[[#This Row],[Material]]&lt;&gt;"",IFERROR(Data_FAGLL03[[#This Row],[Amount in local currency]]/Data_FAGLL03[[#This Row],[Quantity_Original]],0),0)</f>
        <v>19000</v>
      </c>
      <c r="GG114" s="18">
        <f>IF(Data_FAGLL03[[#This Row],[XK/NĐ]]="XK",Data_FAGLL03[[#This Row],[GB trung bình]]/Data_FAGLL03[[#This Row],[EXR]],0)*1000</f>
        <v>0</v>
      </c>
      <c r="GH114" s="18" cm="1">
        <f t="array" ref="GH114">IF(Data_FAGLL03[[#This Row],[Document currency]]&lt;&gt;"VND",Data_FAGLL03[[#This Row],[Amount in doc. curr.]],Data_FAGLL03[[#This Row],[Amount in local currency]]/EXR)</f>
        <v>-10023.943539521277</v>
      </c>
      <c r="GI114" s="10">
        <f>Data_FAGLL03[[#This Row],[Time Stamp]]+TIME(7,0,0)</f>
        <v>46121.735625000001</v>
      </c>
      <c r="GJ114" s="18">
        <f>MONTH(Data_FAGLL03[[#This Row],[Time Stamp_VN]])</f>
        <v>4</v>
      </c>
      <c r="GK114">
        <f>DAY(Data_FAGLL03[[#This Row],[Time Stamp_VN]])</f>
        <v>9</v>
      </c>
      <c r="GL114" t="str">
        <f>TEXT(Data_FAGLL03[[#This Row],[Tháng]],"00")&amp;" | "&amp;TEXT(Data_FAGLL03[[#This Row],[Ngày]],"00")</f>
        <v>04 | 09</v>
      </c>
      <c r="GM114" s="18">
        <f>IF(Data_FAGLL03[[#This Row],[Text]]="",Data_FAGLL03[[#This Row],[Quantity_Original]],0)</f>
        <v>-13850</v>
      </c>
      <c r="GN114" s="18" t="str">
        <f>IF(Data_FAGLL03[[#This Row],[Quantity_Edited]]&lt;&gt;0,Data_FAGLL03[[#This Row],[Offsetting acct no.]]&amp;" | "&amp;Data_FAGLL03[[#This Row],[Material]],"")</f>
        <v>105323 | 110000436</v>
      </c>
      <c r="GO114" t="str">
        <f>IF(LEFT(Data_FAGLL03[[#This Row],[Offsetting acct no.]],1)="1","NĐ",IF(LEFT(Data_FAGLL03[[#This Row],[Offsetting acct no.]],1)="2","XK","Khác"))</f>
        <v>NĐ</v>
      </c>
      <c r="GP114" t="str">
        <f>IF(Data_FAGLL03[[#This Row],[Material]]&lt;&gt;"",_xlfn.XLOOKUP(Data_FAGLL03[[#This Row],[Material]],MD_SKU[Mã SKU],MD_SKU[Tên SKU]),"")</f>
        <v>Hạt nhựa rPET WSS05SB</v>
      </c>
      <c r="GQ114" t="str">
        <f>IF(Data_FAGLL03[[#This Row],[Material]]&lt;&gt;"",_xlfn.XLOOKUP(Data_FAGLL03[[#This Row],[Material]],MD_SKU[Mã SKU],MD_SKU[Nhóm SP 1]),"")</f>
        <v>Xơ sợi</v>
      </c>
      <c r="GR114" t="str">
        <f>IF(Data_FAGLL03[[#This Row],[Material]]&lt;&gt;"",_xlfn.XLOOKUP(Data_FAGLL03[[#This Row],[Material]],MD_SKU[Mã SKU],MD_SKU[Nhóm SP 2]),"")</f>
        <v>Xơ sợi</v>
      </c>
      <c r="GS114" t="str">
        <f>IF(Data_FAGLL03[[#This Row],[Material]]&lt;&gt;"",_xlfn.XLOOKUP(Data_FAGLL03[[#This Row],[Material]],MD_SKU[Mã SKU],MD_SKU[Nhóm SP 3]),"")</f>
        <v>Xơ sợi</v>
      </c>
      <c r="GT114" t="str">
        <f>IF(Data_FAGLL03[[#This Row],[Material]]&lt;&gt;"",_xlfn.XLOOKUP(Data_FAGLL03[[#This Row],[Material]],MD_SKU[Mã SKU],MD_SKU[Nhóm SP 4]),"")</f>
        <v>Hạt Xơ sợi</v>
      </c>
    </row>
    <row r="115" spans="1:202" x14ac:dyDescent="0.25">
      <c r="A115" t="s">
        <v>0</v>
      </c>
      <c r="B115" s="2">
        <v>46121</v>
      </c>
      <c r="C115" t="s">
        <v>2416</v>
      </c>
      <c r="D115" t="s">
        <v>1</v>
      </c>
      <c r="E115" t="s">
        <v>1</v>
      </c>
      <c r="F115" t="s">
        <v>31</v>
      </c>
      <c r="G115" t="s">
        <v>31</v>
      </c>
      <c r="H115" t="s">
        <v>45</v>
      </c>
      <c r="I115" s="19">
        <v>-317383000</v>
      </c>
      <c r="J115" t="s">
        <v>46</v>
      </c>
      <c r="K115" t="s">
        <v>1</v>
      </c>
      <c r="L115" t="s">
        <v>2394</v>
      </c>
      <c r="M115" t="s">
        <v>41</v>
      </c>
      <c r="N115" t="s">
        <v>254</v>
      </c>
      <c r="O115" t="s">
        <v>4</v>
      </c>
      <c r="P115" t="s">
        <v>2417</v>
      </c>
      <c r="Q115" t="s">
        <v>31</v>
      </c>
      <c r="R115" t="s">
        <v>5</v>
      </c>
      <c r="S115" t="s">
        <v>1</v>
      </c>
      <c r="T115" s="3">
        <v>-317383000</v>
      </c>
      <c r="U115" s="19">
        <v>-317383000</v>
      </c>
      <c r="V115" s="3">
        <v>-317383000</v>
      </c>
      <c r="W115" s="3">
        <v>-317383000</v>
      </c>
      <c r="X115" s="4">
        <v>0</v>
      </c>
      <c r="Y115" s="4">
        <v>0</v>
      </c>
      <c r="Z115" s="3">
        <v>0</v>
      </c>
      <c r="AA115" s="3">
        <v>0</v>
      </c>
      <c r="AB115" t="s">
        <v>1</v>
      </c>
      <c r="AC115" t="s">
        <v>24</v>
      </c>
      <c r="AD115" s="2"/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25</v>
      </c>
      <c r="AK115" s="4">
        <v>0</v>
      </c>
      <c r="AL115" t="s">
        <v>1</v>
      </c>
      <c r="AM115" s="5" t="s">
        <v>1</v>
      </c>
      <c r="AN115" t="s">
        <v>1</v>
      </c>
      <c r="AO115" s="2"/>
      <c r="AP115" t="s">
        <v>1</v>
      </c>
      <c r="AQ115" t="s">
        <v>1</v>
      </c>
      <c r="AR115" s="3">
        <v>0</v>
      </c>
      <c r="AS115" t="s">
        <v>1</v>
      </c>
      <c r="AT115" t="s">
        <v>7</v>
      </c>
      <c r="AU115" t="s">
        <v>1</v>
      </c>
      <c r="AV115" t="s">
        <v>1</v>
      </c>
      <c r="AW115" t="s">
        <v>8</v>
      </c>
      <c r="AX115" t="s">
        <v>8</v>
      </c>
      <c r="AY115" t="s">
        <v>1</v>
      </c>
      <c r="AZ115" s="4">
        <v>0</v>
      </c>
      <c r="BA115" t="s">
        <v>1</v>
      </c>
      <c r="BB115" s="3">
        <v>0</v>
      </c>
      <c r="BC115" s="3">
        <v>0</v>
      </c>
      <c r="BD115" s="3">
        <v>0</v>
      </c>
      <c r="BE115" t="s">
        <v>20</v>
      </c>
      <c r="BF115" t="s">
        <v>1</v>
      </c>
      <c r="BG115" s="4">
        <v>0</v>
      </c>
      <c r="BH115" s="4">
        <v>0</v>
      </c>
      <c r="BI115" s="6">
        <v>0</v>
      </c>
      <c r="BJ115" s="6">
        <v>0</v>
      </c>
      <c r="BK115" t="s">
        <v>1</v>
      </c>
      <c r="BL115" t="s">
        <v>1</v>
      </c>
      <c r="BM115" t="s">
        <v>1</v>
      </c>
      <c r="BN115" t="s">
        <v>9</v>
      </c>
      <c r="BO115" s="2">
        <v>46121</v>
      </c>
      <c r="BP115" t="s">
        <v>1</v>
      </c>
      <c r="BQ115" t="s">
        <v>2416</v>
      </c>
      <c r="BR115" t="s">
        <v>27</v>
      </c>
      <c r="BS115" t="s">
        <v>1</v>
      </c>
      <c r="BT115" t="s">
        <v>1</v>
      </c>
      <c r="BU115" t="s">
        <v>1</v>
      </c>
      <c r="BV115" t="s">
        <v>1</v>
      </c>
      <c r="BW115" t="s">
        <v>7</v>
      </c>
      <c r="BX115" t="s">
        <v>10</v>
      </c>
      <c r="BY115" s="2"/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254</v>
      </c>
      <c r="CJ115" s="3">
        <v>-317383000</v>
      </c>
      <c r="CK115" t="s">
        <v>9</v>
      </c>
      <c r="CL115" t="s">
        <v>11</v>
      </c>
      <c r="CM115" t="s">
        <v>1</v>
      </c>
      <c r="CN115" s="4">
        <v>0</v>
      </c>
      <c r="CO115" t="s">
        <v>7</v>
      </c>
      <c r="CP115" t="s">
        <v>7</v>
      </c>
      <c r="CQ115" t="s">
        <v>7</v>
      </c>
      <c r="CR115" t="s">
        <v>7</v>
      </c>
      <c r="CS115" s="4">
        <v>0</v>
      </c>
      <c r="CT115" t="s">
        <v>2416</v>
      </c>
      <c r="CU115" t="s">
        <v>7</v>
      </c>
      <c r="CV115" t="s">
        <v>1</v>
      </c>
      <c r="CW115" s="2"/>
      <c r="CX115" t="s">
        <v>12</v>
      </c>
      <c r="CY115" t="s">
        <v>1</v>
      </c>
      <c r="CZ115" t="s">
        <v>13</v>
      </c>
      <c r="DA115" t="s">
        <v>1</v>
      </c>
      <c r="DB115" t="s">
        <v>9</v>
      </c>
      <c r="DC115" t="s">
        <v>9</v>
      </c>
      <c r="DD115" t="s">
        <v>1</v>
      </c>
      <c r="DE115" t="s">
        <v>1</v>
      </c>
      <c r="DF115" t="s">
        <v>1</v>
      </c>
      <c r="DG115" t="s">
        <v>33</v>
      </c>
      <c r="DH115" t="s">
        <v>1</v>
      </c>
      <c r="DI115" s="2"/>
      <c r="DJ115" t="s">
        <v>1</v>
      </c>
      <c r="DK115" t="s">
        <v>14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s="2"/>
      <c r="DW115" t="s">
        <v>1</v>
      </c>
      <c r="DX115" t="s">
        <v>1</v>
      </c>
      <c r="DY115" t="s">
        <v>2418</v>
      </c>
      <c r="DZ115" t="s">
        <v>1</v>
      </c>
      <c r="EA115" t="s">
        <v>1</v>
      </c>
      <c r="EB115" t="s">
        <v>28</v>
      </c>
      <c r="EC115" t="s">
        <v>7</v>
      </c>
      <c r="ED115" t="s">
        <v>1</v>
      </c>
      <c r="EE115" t="s">
        <v>1</v>
      </c>
      <c r="EF115" t="s">
        <v>22</v>
      </c>
      <c r="EG115" t="s">
        <v>41</v>
      </c>
      <c r="EH115" t="s">
        <v>15</v>
      </c>
      <c r="EI115" t="s">
        <v>1</v>
      </c>
      <c r="EJ115" s="4">
        <v>-11000</v>
      </c>
      <c r="EK115" t="s">
        <v>1</v>
      </c>
      <c r="EL115" t="s">
        <v>1</v>
      </c>
      <c r="EM115" t="s">
        <v>1</v>
      </c>
      <c r="EN115" t="s">
        <v>1</v>
      </c>
      <c r="EO115" s="2"/>
      <c r="EP115" t="s">
        <v>2418</v>
      </c>
      <c r="EQ115" t="s">
        <v>1</v>
      </c>
      <c r="ER115" t="s">
        <v>1</v>
      </c>
      <c r="ES115" t="s">
        <v>1</v>
      </c>
      <c r="ET115" t="s">
        <v>29</v>
      </c>
      <c r="EU115" t="s">
        <v>1</v>
      </c>
      <c r="EV115" t="s">
        <v>1</v>
      </c>
      <c r="EW115" t="s">
        <v>7</v>
      </c>
      <c r="EX115" t="s">
        <v>7</v>
      </c>
      <c r="EY115" t="s">
        <v>1</v>
      </c>
      <c r="EZ115" t="s">
        <v>1</v>
      </c>
      <c r="FA115" t="s">
        <v>1</v>
      </c>
      <c r="FB115" s="3">
        <v>50</v>
      </c>
      <c r="FC115" t="s">
        <v>1</v>
      </c>
      <c r="FD115" t="s">
        <v>1</v>
      </c>
      <c r="FE115" t="s">
        <v>1</v>
      </c>
      <c r="FF115" t="s">
        <v>17</v>
      </c>
      <c r="FG115" t="s">
        <v>1</v>
      </c>
      <c r="FH115" t="s">
        <v>1</v>
      </c>
      <c r="FI115" t="s">
        <v>1</v>
      </c>
      <c r="FJ115" t="s">
        <v>1</v>
      </c>
      <c r="FK115" s="7">
        <v>46121.444189814814</v>
      </c>
      <c r="FL115" t="s">
        <v>1</v>
      </c>
      <c r="FM115" t="s">
        <v>1</v>
      </c>
      <c r="FN115" t="s">
        <v>1</v>
      </c>
      <c r="FO115" s="19">
        <v>-317383000</v>
      </c>
      <c r="FP115" s="4">
        <v>0</v>
      </c>
      <c r="FQ115" s="19">
        <v>-317383000</v>
      </c>
      <c r="FR115" s="4">
        <v>0</v>
      </c>
      <c r="FS115" s="4">
        <v>0</v>
      </c>
      <c r="FT115" s="4">
        <v>0</v>
      </c>
      <c r="FU115" s="2">
        <v>46121</v>
      </c>
      <c r="FV115" t="s">
        <v>1</v>
      </c>
      <c r="FW115" s="4">
        <v>0</v>
      </c>
      <c r="FX115" t="s">
        <v>1</v>
      </c>
      <c r="FY115" t="s">
        <v>1</v>
      </c>
      <c r="FZ115" s="4">
        <v>0</v>
      </c>
      <c r="GA115" s="4">
        <v>0</v>
      </c>
      <c r="GB115" t="s">
        <v>2070</v>
      </c>
      <c r="GC115" t="str">
        <f>RIGHT(Data_FAGLL03[[#This Row],[Payment reference]],8)</f>
        <v>91172667</v>
      </c>
      <c r="GD115" t="str">
        <f>IF(Data_FAGLL03[[#This Row],[Billing]]&lt;&gt;"",_xlfn.XLOOKUP(Data_FAGLL03[[#This Row],[Billing]],MD_BILLING_SO[BILIING],MD_BILLING_SO[SO-EDITED]),"")</f>
        <v>30030650</v>
      </c>
      <c r="GE115" s="18">
        <f>IF(SUBSTITUTE(Data_FAGLL03[[#This Row],[Eff.exchange rate]],",","")/100000=1,1,SUBSTITUTE(Data_FAGLL03[[#This Row],[Eff.exchange rate]],",","")/100)</f>
        <v>1</v>
      </c>
      <c r="GF115" s="17">
        <f>IF(Data_FAGLL03[[#This Row],[Material]]&lt;&gt;"",IFERROR(Data_FAGLL03[[#This Row],[Amount in local currency]]/Data_FAGLL03[[#This Row],[Quantity_Original]],0),0)</f>
        <v>28853</v>
      </c>
      <c r="GG115" s="18">
        <f>IF(Data_FAGLL03[[#This Row],[XK/NĐ]]="XK",Data_FAGLL03[[#This Row],[GB trung bình]]/Data_FAGLL03[[#This Row],[EXR]],0)*1000</f>
        <v>0</v>
      </c>
      <c r="GH115" s="18" cm="1">
        <f t="array" ref="GH115">IF(Data_FAGLL03[[#This Row],[Document currency]]&lt;&gt;"VND",Data_FAGLL03[[#This Row],[Amount in doc. curr.]],Data_FAGLL03[[#This Row],[Amount in local currency]]/EXR)</f>
        <v>-12089.793928952617</v>
      </c>
      <c r="GI115" s="10">
        <f>Data_FAGLL03[[#This Row],[Time Stamp]]+TIME(7,0,0)</f>
        <v>46121.735856481479</v>
      </c>
      <c r="GJ115" s="18">
        <f>MONTH(Data_FAGLL03[[#This Row],[Time Stamp_VN]])</f>
        <v>4</v>
      </c>
      <c r="GK115">
        <f>DAY(Data_FAGLL03[[#This Row],[Time Stamp_VN]])</f>
        <v>9</v>
      </c>
      <c r="GL115" t="str">
        <f>TEXT(Data_FAGLL03[[#This Row],[Tháng]],"00")&amp;" | "&amp;TEXT(Data_FAGLL03[[#This Row],[Ngày]],"00")</f>
        <v>04 | 09</v>
      </c>
      <c r="GM115" s="18">
        <f>IF(Data_FAGLL03[[#This Row],[Text]]="",Data_FAGLL03[[#This Row],[Quantity_Original]],0)</f>
        <v>-11000</v>
      </c>
      <c r="GN115" s="18" t="str">
        <f>IF(Data_FAGLL03[[#This Row],[Quantity_Edited]]&lt;&gt;0,Data_FAGLL03[[#This Row],[Offsetting acct no.]]&amp;" | "&amp;Data_FAGLL03[[#This Row],[Material]],"")</f>
        <v>105281 | 110000354</v>
      </c>
      <c r="GO115" t="str">
        <f>IF(LEFT(Data_FAGLL03[[#This Row],[Offsetting acct no.]],1)="1","NĐ",IF(LEFT(Data_FAGLL03[[#This Row],[Offsetting acct no.]],1)="2","XK","Khác"))</f>
        <v>NĐ</v>
      </c>
      <c r="GP115" t="str">
        <f>IF(Data_FAGLL03[[#This Row],[Material]]&lt;&gt;"",_xlfn.XLOOKUP(Data_FAGLL03[[#This Row],[Material]],MD_SKU[Mã SKU],MD_SKU[Tên SKU]),"")</f>
        <v>Hạt nhựa rPET WSS01G 1</v>
      </c>
      <c r="GQ115" t="str">
        <f>IF(Data_FAGLL03[[#This Row],[Material]]&lt;&gt;"",_xlfn.XLOOKUP(Data_FAGLL03[[#This Row],[Material]],MD_SKU[Mã SKU],MD_SKU[Nhóm SP 1]),"")</f>
        <v>rPET</v>
      </c>
      <c r="GR115" t="str">
        <f>IF(Data_FAGLL03[[#This Row],[Material]]&lt;&gt;"",_xlfn.XLOOKUP(Data_FAGLL03[[#This Row],[Material]],MD_SKU[Mã SKU],MD_SKU[Nhóm SP 2]),"")</f>
        <v>rPET</v>
      </c>
      <c r="GS115" t="str">
        <f>IF(Data_FAGLL03[[#This Row],[Material]]&lt;&gt;"",_xlfn.XLOOKUP(Data_FAGLL03[[#This Row],[Material]],MD_SKU[Mã SKU],MD_SKU[Nhóm SP 3]),"")</f>
        <v>rPET</v>
      </c>
      <c r="GT115" t="str">
        <f>IF(Data_FAGLL03[[#This Row],[Material]]&lt;&gt;"",_xlfn.XLOOKUP(Data_FAGLL03[[#This Row],[Material]],MD_SKU[Mã SKU],MD_SKU[Nhóm SP 4]),"")</f>
        <v>Hạt rPET</v>
      </c>
    </row>
    <row r="116" spans="1:202" x14ac:dyDescent="0.25">
      <c r="A116" t="s">
        <v>0</v>
      </c>
      <c r="B116" s="2">
        <v>46121</v>
      </c>
      <c r="C116" t="s">
        <v>2419</v>
      </c>
      <c r="D116" t="s">
        <v>1</v>
      </c>
      <c r="E116" t="s">
        <v>1</v>
      </c>
      <c r="F116" t="s">
        <v>31</v>
      </c>
      <c r="G116" t="s">
        <v>31</v>
      </c>
      <c r="H116" t="s">
        <v>2034</v>
      </c>
      <c r="I116" s="19">
        <v>-189340580</v>
      </c>
      <c r="J116" t="s">
        <v>2035</v>
      </c>
      <c r="K116" t="s">
        <v>1</v>
      </c>
      <c r="L116" t="s">
        <v>2394</v>
      </c>
      <c r="M116" t="s">
        <v>41</v>
      </c>
      <c r="N116" t="s">
        <v>254</v>
      </c>
      <c r="O116" t="s">
        <v>4</v>
      </c>
      <c r="P116" t="s">
        <v>2420</v>
      </c>
      <c r="Q116" t="s">
        <v>31</v>
      </c>
      <c r="R116" t="s">
        <v>5</v>
      </c>
      <c r="S116" t="s">
        <v>1</v>
      </c>
      <c r="T116" s="3">
        <v>-189340580</v>
      </c>
      <c r="U116" s="19">
        <v>-189340580</v>
      </c>
      <c r="V116" s="3">
        <v>-189340580</v>
      </c>
      <c r="W116" s="3">
        <v>-189340580</v>
      </c>
      <c r="X116" s="4">
        <v>0</v>
      </c>
      <c r="Y116" s="4">
        <v>0</v>
      </c>
      <c r="Z116" s="3">
        <v>0</v>
      </c>
      <c r="AA116" s="3">
        <v>0</v>
      </c>
      <c r="AB116" t="s">
        <v>1</v>
      </c>
      <c r="AC116" t="s">
        <v>24</v>
      </c>
      <c r="AD116" s="2"/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25</v>
      </c>
      <c r="AK116" s="4">
        <v>0</v>
      </c>
      <c r="AL116" t="s">
        <v>1</v>
      </c>
      <c r="AM116" s="5" t="s">
        <v>1</v>
      </c>
      <c r="AN116" t="s">
        <v>1</v>
      </c>
      <c r="AO116" s="2"/>
      <c r="AP116" t="s">
        <v>1</v>
      </c>
      <c r="AQ116" t="s">
        <v>1</v>
      </c>
      <c r="AR116" s="3">
        <v>0</v>
      </c>
      <c r="AS116" t="s">
        <v>1</v>
      </c>
      <c r="AT116" t="s">
        <v>7</v>
      </c>
      <c r="AU116" t="s">
        <v>1</v>
      </c>
      <c r="AV116" t="s">
        <v>1</v>
      </c>
      <c r="AW116" t="s">
        <v>8</v>
      </c>
      <c r="AX116" t="s">
        <v>8</v>
      </c>
      <c r="AY116" t="s">
        <v>1</v>
      </c>
      <c r="AZ116" s="4">
        <v>0</v>
      </c>
      <c r="BA116" t="s">
        <v>1</v>
      </c>
      <c r="BB116" s="3">
        <v>0</v>
      </c>
      <c r="BC116" s="3">
        <v>0</v>
      </c>
      <c r="BD116" s="3">
        <v>0</v>
      </c>
      <c r="BE116" t="s">
        <v>20</v>
      </c>
      <c r="BF116" t="s">
        <v>1</v>
      </c>
      <c r="BG116" s="4">
        <v>0</v>
      </c>
      <c r="BH116" s="4">
        <v>0</v>
      </c>
      <c r="BI116" s="6">
        <v>0</v>
      </c>
      <c r="BJ116" s="6">
        <v>0</v>
      </c>
      <c r="BK116" t="s">
        <v>1</v>
      </c>
      <c r="BL116" t="s">
        <v>1</v>
      </c>
      <c r="BM116" t="s">
        <v>1</v>
      </c>
      <c r="BN116" t="s">
        <v>9</v>
      </c>
      <c r="BO116" s="2">
        <v>46121</v>
      </c>
      <c r="BP116" t="s">
        <v>1</v>
      </c>
      <c r="BQ116" t="s">
        <v>2419</v>
      </c>
      <c r="BR116" t="s">
        <v>27</v>
      </c>
      <c r="BS116" t="s">
        <v>1</v>
      </c>
      <c r="BT116" t="s">
        <v>1</v>
      </c>
      <c r="BU116" t="s">
        <v>1</v>
      </c>
      <c r="BV116" t="s">
        <v>1</v>
      </c>
      <c r="BW116" t="s">
        <v>7</v>
      </c>
      <c r="BX116" t="s">
        <v>10</v>
      </c>
      <c r="BY116" s="2"/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254</v>
      </c>
      <c r="CJ116" s="3">
        <v>-189340580</v>
      </c>
      <c r="CK116" t="s">
        <v>9</v>
      </c>
      <c r="CL116" t="s">
        <v>11</v>
      </c>
      <c r="CM116" t="s">
        <v>1</v>
      </c>
      <c r="CN116" s="4">
        <v>0</v>
      </c>
      <c r="CO116" t="s">
        <v>7</v>
      </c>
      <c r="CP116" t="s">
        <v>7</v>
      </c>
      <c r="CQ116" t="s">
        <v>7</v>
      </c>
      <c r="CR116" t="s">
        <v>7</v>
      </c>
      <c r="CS116" s="4">
        <v>0</v>
      </c>
      <c r="CT116" t="s">
        <v>2419</v>
      </c>
      <c r="CU116" t="s">
        <v>7</v>
      </c>
      <c r="CV116" t="s">
        <v>1</v>
      </c>
      <c r="CW116" s="2"/>
      <c r="CX116" t="s">
        <v>12</v>
      </c>
      <c r="CY116" t="s">
        <v>1</v>
      </c>
      <c r="CZ116" t="s">
        <v>13</v>
      </c>
      <c r="DA116" t="s">
        <v>1</v>
      </c>
      <c r="DB116" t="s">
        <v>9</v>
      </c>
      <c r="DC116" t="s">
        <v>9</v>
      </c>
      <c r="DD116" t="s">
        <v>1</v>
      </c>
      <c r="DE116" t="s">
        <v>1</v>
      </c>
      <c r="DF116" t="s">
        <v>1</v>
      </c>
      <c r="DG116" t="s">
        <v>37</v>
      </c>
      <c r="DH116" t="s">
        <v>1</v>
      </c>
      <c r="DI116" s="2"/>
      <c r="DJ116" t="s">
        <v>1</v>
      </c>
      <c r="DK116" t="s">
        <v>14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s="2"/>
      <c r="DW116" t="s">
        <v>1</v>
      </c>
      <c r="DX116" t="s">
        <v>1</v>
      </c>
      <c r="DY116" t="s">
        <v>2421</v>
      </c>
      <c r="DZ116" t="s">
        <v>1</v>
      </c>
      <c r="EA116" t="s">
        <v>1</v>
      </c>
      <c r="EB116" t="s">
        <v>28</v>
      </c>
      <c r="EC116" t="s">
        <v>7</v>
      </c>
      <c r="ED116" t="s">
        <v>1</v>
      </c>
      <c r="EE116" t="s">
        <v>1</v>
      </c>
      <c r="EF116" t="s">
        <v>22</v>
      </c>
      <c r="EG116" t="s">
        <v>41</v>
      </c>
      <c r="EH116" t="s">
        <v>15</v>
      </c>
      <c r="EI116" t="s">
        <v>1</v>
      </c>
      <c r="EJ116" s="4">
        <v>-5500</v>
      </c>
      <c r="EK116" t="s">
        <v>1</v>
      </c>
      <c r="EL116" t="s">
        <v>1</v>
      </c>
      <c r="EM116" t="s">
        <v>1</v>
      </c>
      <c r="EN116" t="s">
        <v>1</v>
      </c>
      <c r="EO116" s="2"/>
      <c r="EP116" t="s">
        <v>2421</v>
      </c>
      <c r="EQ116" t="s">
        <v>1</v>
      </c>
      <c r="ER116" t="s">
        <v>1</v>
      </c>
      <c r="ES116" t="s">
        <v>1</v>
      </c>
      <c r="ET116" t="s">
        <v>29</v>
      </c>
      <c r="EU116" t="s">
        <v>1</v>
      </c>
      <c r="EV116" t="s">
        <v>1</v>
      </c>
      <c r="EW116" t="s">
        <v>7</v>
      </c>
      <c r="EX116" t="s">
        <v>7</v>
      </c>
      <c r="EY116" t="s">
        <v>1</v>
      </c>
      <c r="EZ116" t="s">
        <v>1</v>
      </c>
      <c r="FA116" t="s">
        <v>1</v>
      </c>
      <c r="FB116" s="3">
        <v>50</v>
      </c>
      <c r="FC116" t="s">
        <v>1</v>
      </c>
      <c r="FD116" t="s">
        <v>1</v>
      </c>
      <c r="FE116" t="s">
        <v>1</v>
      </c>
      <c r="FF116" t="s">
        <v>17</v>
      </c>
      <c r="FG116" t="s">
        <v>1</v>
      </c>
      <c r="FH116" t="s">
        <v>1</v>
      </c>
      <c r="FI116" t="s">
        <v>1</v>
      </c>
      <c r="FJ116" t="s">
        <v>1</v>
      </c>
      <c r="FK116" s="7">
        <v>46121.444432870368</v>
      </c>
      <c r="FL116" t="s">
        <v>1</v>
      </c>
      <c r="FM116" t="s">
        <v>1</v>
      </c>
      <c r="FN116" t="s">
        <v>1</v>
      </c>
      <c r="FO116" s="19">
        <v>-189340580</v>
      </c>
      <c r="FP116" s="4">
        <v>0</v>
      </c>
      <c r="FQ116" s="19">
        <v>-189340580</v>
      </c>
      <c r="FR116" s="4">
        <v>0</v>
      </c>
      <c r="FS116" s="4">
        <v>0</v>
      </c>
      <c r="FT116" s="4">
        <v>0</v>
      </c>
      <c r="FU116" s="2">
        <v>46121</v>
      </c>
      <c r="FV116" t="s">
        <v>1</v>
      </c>
      <c r="FW116" s="4">
        <v>0</v>
      </c>
      <c r="FX116" t="s">
        <v>1</v>
      </c>
      <c r="FY116" t="s">
        <v>1</v>
      </c>
      <c r="FZ116" s="4">
        <v>0</v>
      </c>
      <c r="GA116" s="4">
        <v>0</v>
      </c>
      <c r="GB116" t="s">
        <v>2070</v>
      </c>
      <c r="GC116" t="str">
        <f>RIGHT(Data_FAGLL03[[#This Row],[Payment reference]],8)</f>
        <v>91172668</v>
      </c>
      <c r="GD116" t="str">
        <f>IF(Data_FAGLL03[[#This Row],[Billing]]&lt;&gt;"",_xlfn.XLOOKUP(Data_FAGLL03[[#This Row],[Billing]],MD_BILLING_SO[BILIING],MD_BILLING_SO[SO-EDITED]),"")</f>
        <v>30030625</v>
      </c>
      <c r="GE116" s="18">
        <f>IF(SUBSTITUTE(Data_FAGLL03[[#This Row],[Eff.exchange rate]],",","")/100000=1,1,SUBSTITUTE(Data_FAGLL03[[#This Row],[Eff.exchange rate]],",","")/100)</f>
        <v>1</v>
      </c>
      <c r="GF116" s="17">
        <f>IF(Data_FAGLL03[[#This Row],[Material]]&lt;&gt;"",IFERROR(Data_FAGLL03[[#This Row],[Amount in local currency]]/Data_FAGLL03[[#This Row],[Quantity_Original]],0),0)</f>
        <v>34425.56</v>
      </c>
      <c r="GG116" s="18">
        <f>IF(Data_FAGLL03[[#This Row],[XK/NĐ]]="XK",Data_FAGLL03[[#This Row],[GB trung bình]]/Data_FAGLL03[[#This Row],[EXR]],0)*1000</f>
        <v>0</v>
      </c>
      <c r="GH116" s="18" cm="1">
        <f t="array" ref="GH116">IF(Data_FAGLL03[[#This Row],[Document currency]]&lt;&gt;"VND",Data_FAGLL03[[#This Row],[Amount in doc. curr.]],Data_FAGLL03[[#This Row],[Amount in local currency]]/EXR)</f>
        <v>-7212.3856494782876</v>
      </c>
      <c r="GI116" s="10">
        <f>Data_FAGLL03[[#This Row],[Time Stamp]]+TIME(7,0,0)</f>
        <v>46121.736099537033</v>
      </c>
      <c r="GJ116" s="18">
        <f>MONTH(Data_FAGLL03[[#This Row],[Time Stamp_VN]])</f>
        <v>4</v>
      </c>
      <c r="GK116">
        <f>DAY(Data_FAGLL03[[#This Row],[Time Stamp_VN]])</f>
        <v>9</v>
      </c>
      <c r="GL116" t="str">
        <f>TEXT(Data_FAGLL03[[#This Row],[Tháng]],"00")&amp;" | "&amp;TEXT(Data_FAGLL03[[#This Row],[Ngày]],"00")</f>
        <v>04 | 09</v>
      </c>
      <c r="GM116" s="18">
        <f>IF(Data_FAGLL03[[#This Row],[Text]]="",Data_FAGLL03[[#This Row],[Quantity_Original]],0)</f>
        <v>-5500</v>
      </c>
      <c r="GN116" s="18" t="str">
        <f>IF(Data_FAGLL03[[#This Row],[Quantity_Edited]]&lt;&gt;0,Data_FAGLL03[[#This Row],[Offsetting acct no.]]&amp;" | "&amp;Data_FAGLL03[[#This Row],[Material]],"")</f>
        <v>105286 | 110000355</v>
      </c>
      <c r="GO116" t="str">
        <f>IF(LEFT(Data_FAGLL03[[#This Row],[Offsetting acct no.]],1)="1","NĐ",IF(LEFT(Data_FAGLL03[[#This Row],[Offsetting acct no.]],1)="2","XK","Khác"))</f>
        <v>NĐ</v>
      </c>
      <c r="GP116" t="str">
        <f>IF(Data_FAGLL03[[#This Row],[Material]]&lt;&gt;"",_xlfn.XLOOKUP(Data_FAGLL03[[#This Row],[Material]],MD_SKU[Mã SKU],MD_SKU[Tên SKU]),"")</f>
        <v>Hạt nhựa rPET iSS01G 1</v>
      </c>
      <c r="GQ116" t="str">
        <f>IF(Data_FAGLL03[[#This Row],[Material]]&lt;&gt;"",_xlfn.XLOOKUP(Data_FAGLL03[[#This Row],[Material]],MD_SKU[Mã SKU],MD_SKU[Nhóm SP 1]),"")</f>
        <v>rPET</v>
      </c>
      <c r="GR116" t="str">
        <f>IF(Data_FAGLL03[[#This Row],[Material]]&lt;&gt;"",_xlfn.XLOOKUP(Data_FAGLL03[[#This Row],[Material]],MD_SKU[Mã SKU],MD_SKU[Nhóm SP 2]),"")</f>
        <v>rPET</v>
      </c>
      <c r="GS116" t="str">
        <f>IF(Data_FAGLL03[[#This Row],[Material]]&lt;&gt;"",_xlfn.XLOOKUP(Data_FAGLL03[[#This Row],[Material]],MD_SKU[Mã SKU],MD_SKU[Nhóm SP 3]),"")</f>
        <v>rPET</v>
      </c>
      <c r="GT116" t="str">
        <f>IF(Data_FAGLL03[[#This Row],[Material]]&lt;&gt;"",_xlfn.XLOOKUP(Data_FAGLL03[[#This Row],[Material]],MD_SKU[Mã SKU],MD_SKU[Nhóm SP 4]),"")</f>
        <v>Hạt rPET</v>
      </c>
    </row>
    <row r="117" spans="1:202" x14ac:dyDescent="0.25">
      <c r="A117" t="s">
        <v>0</v>
      </c>
      <c r="B117" s="2">
        <v>46121</v>
      </c>
      <c r="C117" t="s">
        <v>2422</v>
      </c>
      <c r="D117" t="s">
        <v>1</v>
      </c>
      <c r="E117" t="s">
        <v>1</v>
      </c>
      <c r="F117" t="s">
        <v>31</v>
      </c>
      <c r="G117" t="s">
        <v>31</v>
      </c>
      <c r="H117" t="s">
        <v>34</v>
      </c>
      <c r="I117" s="19">
        <v>-194529500</v>
      </c>
      <c r="J117" t="s">
        <v>35</v>
      </c>
      <c r="K117" t="s">
        <v>1</v>
      </c>
      <c r="L117" t="s">
        <v>2394</v>
      </c>
      <c r="M117" t="s">
        <v>41</v>
      </c>
      <c r="N117" t="s">
        <v>254</v>
      </c>
      <c r="O117" t="s">
        <v>4</v>
      </c>
      <c r="P117" t="s">
        <v>2423</v>
      </c>
      <c r="Q117" t="s">
        <v>31</v>
      </c>
      <c r="R117" t="s">
        <v>5</v>
      </c>
      <c r="S117" t="s">
        <v>1</v>
      </c>
      <c r="T117" s="3">
        <v>-194529500</v>
      </c>
      <c r="U117" s="19">
        <v>-194529500</v>
      </c>
      <c r="V117" s="3">
        <v>-194529500</v>
      </c>
      <c r="W117" s="3">
        <v>-194529500</v>
      </c>
      <c r="X117" s="4">
        <v>0</v>
      </c>
      <c r="Y117" s="4">
        <v>0</v>
      </c>
      <c r="Z117" s="3">
        <v>0</v>
      </c>
      <c r="AA117" s="3">
        <v>0</v>
      </c>
      <c r="AB117" t="s">
        <v>1</v>
      </c>
      <c r="AC117" t="s">
        <v>24</v>
      </c>
      <c r="AD117" s="2"/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25</v>
      </c>
      <c r="AK117" s="4">
        <v>0</v>
      </c>
      <c r="AL117" t="s">
        <v>1</v>
      </c>
      <c r="AM117" s="5" t="s">
        <v>1</v>
      </c>
      <c r="AN117" t="s">
        <v>1</v>
      </c>
      <c r="AO117" s="2"/>
      <c r="AP117" t="s">
        <v>1</v>
      </c>
      <c r="AQ117" t="s">
        <v>1</v>
      </c>
      <c r="AR117" s="3">
        <v>0</v>
      </c>
      <c r="AS117" t="s">
        <v>1</v>
      </c>
      <c r="AT117" t="s">
        <v>7</v>
      </c>
      <c r="AU117" t="s">
        <v>1</v>
      </c>
      <c r="AV117" t="s">
        <v>1</v>
      </c>
      <c r="AW117" t="s">
        <v>8</v>
      </c>
      <c r="AX117" t="s">
        <v>8</v>
      </c>
      <c r="AY117" t="s">
        <v>1</v>
      </c>
      <c r="AZ117" s="4">
        <v>0</v>
      </c>
      <c r="BA117" t="s">
        <v>1</v>
      </c>
      <c r="BB117" s="3">
        <v>0</v>
      </c>
      <c r="BC117" s="3">
        <v>0</v>
      </c>
      <c r="BD117" s="3">
        <v>0</v>
      </c>
      <c r="BE117" t="s">
        <v>20</v>
      </c>
      <c r="BF117" t="s">
        <v>1</v>
      </c>
      <c r="BG117" s="4">
        <v>0</v>
      </c>
      <c r="BH117" s="4">
        <v>0</v>
      </c>
      <c r="BI117" s="6">
        <v>0</v>
      </c>
      <c r="BJ117" s="6">
        <v>0</v>
      </c>
      <c r="BK117" t="s">
        <v>1</v>
      </c>
      <c r="BL117" t="s">
        <v>1</v>
      </c>
      <c r="BM117" t="s">
        <v>1</v>
      </c>
      <c r="BN117" t="s">
        <v>9</v>
      </c>
      <c r="BO117" s="2">
        <v>46121</v>
      </c>
      <c r="BP117" t="s">
        <v>1</v>
      </c>
      <c r="BQ117" t="s">
        <v>2422</v>
      </c>
      <c r="BR117" t="s">
        <v>27</v>
      </c>
      <c r="BS117" t="s">
        <v>1</v>
      </c>
      <c r="BT117" t="s">
        <v>1</v>
      </c>
      <c r="BU117" t="s">
        <v>1</v>
      </c>
      <c r="BV117" t="s">
        <v>1</v>
      </c>
      <c r="BW117" t="s">
        <v>7</v>
      </c>
      <c r="BX117" t="s">
        <v>10</v>
      </c>
      <c r="BY117" s="2"/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254</v>
      </c>
      <c r="CJ117" s="3">
        <v>-194529500</v>
      </c>
      <c r="CK117" t="s">
        <v>9</v>
      </c>
      <c r="CL117" t="s">
        <v>11</v>
      </c>
      <c r="CM117" t="s">
        <v>1</v>
      </c>
      <c r="CN117" s="4">
        <v>0</v>
      </c>
      <c r="CO117" t="s">
        <v>7</v>
      </c>
      <c r="CP117" t="s">
        <v>7</v>
      </c>
      <c r="CQ117" t="s">
        <v>7</v>
      </c>
      <c r="CR117" t="s">
        <v>7</v>
      </c>
      <c r="CS117" s="4">
        <v>0</v>
      </c>
      <c r="CT117" t="s">
        <v>2422</v>
      </c>
      <c r="CU117" t="s">
        <v>7</v>
      </c>
      <c r="CV117" t="s">
        <v>1</v>
      </c>
      <c r="CW117" s="2"/>
      <c r="CX117" t="s">
        <v>12</v>
      </c>
      <c r="CY117" t="s">
        <v>1</v>
      </c>
      <c r="CZ117" t="s">
        <v>13</v>
      </c>
      <c r="DA117" t="s">
        <v>1</v>
      </c>
      <c r="DB117" t="s">
        <v>9</v>
      </c>
      <c r="DC117" t="s">
        <v>9</v>
      </c>
      <c r="DD117" t="s">
        <v>1</v>
      </c>
      <c r="DE117" t="s">
        <v>1</v>
      </c>
      <c r="DF117" t="s">
        <v>1</v>
      </c>
      <c r="DG117" t="s">
        <v>38</v>
      </c>
      <c r="DH117" t="s">
        <v>1</v>
      </c>
      <c r="DI117" s="2"/>
      <c r="DJ117" t="s">
        <v>1</v>
      </c>
      <c r="DK117" t="s">
        <v>14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s="2"/>
      <c r="DW117" t="s">
        <v>1</v>
      </c>
      <c r="DX117" t="s">
        <v>1</v>
      </c>
      <c r="DY117" t="s">
        <v>2424</v>
      </c>
      <c r="DZ117" t="s">
        <v>1</v>
      </c>
      <c r="EA117" t="s">
        <v>1</v>
      </c>
      <c r="EB117" t="s">
        <v>28</v>
      </c>
      <c r="EC117" t="s">
        <v>7</v>
      </c>
      <c r="ED117" t="s">
        <v>1</v>
      </c>
      <c r="EE117" t="s">
        <v>1</v>
      </c>
      <c r="EF117" t="s">
        <v>22</v>
      </c>
      <c r="EG117" t="s">
        <v>41</v>
      </c>
      <c r="EH117" t="s">
        <v>15</v>
      </c>
      <c r="EI117" t="s">
        <v>1</v>
      </c>
      <c r="EJ117" s="4">
        <v>-5500</v>
      </c>
      <c r="EK117" t="s">
        <v>1</v>
      </c>
      <c r="EL117" t="s">
        <v>1</v>
      </c>
      <c r="EM117" t="s">
        <v>1</v>
      </c>
      <c r="EN117" t="s">
        <v>1</v>
      </c>
      <c r="EO117" s="2"/>
      <c r="EP117" t="s">
        <v>2424</v>
      </c>
      <c r="EQ117" t="s">
        <v>1</v>
      </c>
      <c r="ER117" t="s">
        <v>1</v>
      </c>
      <c r="ES117" t="s">
        <v>1</v>
      </c>
      <c r="ET117" t="s">
        <v>29</v>
      </c>
      <c r="EU117" t="s">
        <v>1</v>
      </c>
      <c r="EV117" t="s">
        <v>1</v>
      </c>
      <c r="EW117" t="s">
        <v>7</v>
      </c>
      <c r="EX117" t="s">
        <v>7</v>
      </c>
      <c r="EY117" t="s">
        <v>1</v>
      </c>
      <c r="EZ117" t="s">
        <v>1</v>
      </c>
      <c r="FA117" t="s">
        <v>1</v>
      </c>
      <c r="FB117" s="3">
        <v>50</v>
      </c>
      <c r="FC117" t="s">
        <v>1</v>
      </c>
      <c r="FD117" t="s">
        <v>1</v>
      </c>
      <c r="FE117" t="s">
        <v>1</v>
      </c>
      <c r="FF117" t="s">
        <v>17</v>
      </c>
      <c r="FG117" t="s">
        <v>1</v>
      </c>
      <c r="FH117" t="s">
        <v>1</v>
      </c>
      <c r="FI117" t="s">
        <v>1</v>
      </c>
      <c r="FJ117" t="s">
        <v>1</v>
      </c>
      <c r="FK117" s="7">
        <v>46121.444675925923</v>
      </c>
      <c r="FL117" t="s">
        <v>1</v>
      </c>
      <c r="FM117" t="s">
        <v>1</v>
      </c>
      <c r="FN117" t="s">
        <v>1</v>
      </c>
      <c r="FO117" s="19">
        <v>-194529500</v>
      </c>
      <c r="FP117" s="4">
        <v>0</v>
      </c>
      <c r="FQ117" s="19">
        <v>-194529500</v>
      </c>
      <c r="FR117" s="4">
        <v>0</v>
      </c>
      <c r="FS117" s="4">
        <v>0</v>
      </c>
      <c r="FT117" s="4">
        <v>0</v>
      </c>
      <c r="FU117" s="2">
        <v>46121</v>
      </c>
      <c r="FV117" t="s">
        <v>1</v>
      </c>
      <c r="FW117" s="4">
        <v>0</v>
      </c>
      <c r="FX117" t="s">
        <v>1</v>
      </c>
      <c r="FY117" t="s">
        <v>1</v>
      </c>
      <c r="FZ117" s="4">
        <v>0</v>
      </c>
      <c r="GA117" s="4">
        <v>0</v>
      </c>
      <c r="GB117" t="s">
        <v>2070</v>
      </c>
      <c r="GC117" t="str">
        <f>RIGHT(Data_FAGLL03[[#This Row],[Payment reference]],8)</f>
        <v>91172669</v>
      </c>
      <c r="GD117" t="str">
        <f>IF(Data_FAGLL03[[#This Row],[Billing]]&lt;&gt;"",_xlfn.XLOOKUP(Data_FAGLL03[[#This Row],[Billing]],MD_BILLING_SO[BILIING],MD_BILLING_SO[SO-EDITED]),"")</f>
        <v>30030659</v>
      </c>
      <c r="GE117" s="18">
        <f>IF(SUBSTITUTE(Data_FAGLL03[[#This Row],[Eff.exchange rate]],",","")/100000=1,1,SUBSTITUTE(Data_FAGLL03[[#This Row],[Eff.exchange rate]],",","")/100)</f>
        <v>1</v>
      </c>
      <c r="GF117" s="17">
        <f>IF(Data_FAGLL03[[#This Row],[Material]]&lt;&gt;"",IFERROR(Data_FAGLL03[[#This Row],[Amount in local currency]]/Data_FAGLL03[[#This Row],[Quantity_Original]],0),0)</f>
        <v>35369</v>
      </c>
      <c r="GG117" s="18">
        <f>IF(Data_FAGLL03[[#This Row],[XK/NĐ]]="XK",Data_FAGLL03[[#This Row],[GB trung bình]]/Data_FAGLL03[[#This Row],[EXR]],0)*1000</f>
        <v>0</v>
      </c>
      <c r="GH117" s="18" cm="1">
        <f t="array" ref="GH117">IF(Data_FAGLL03[[#This Row],[Document currency]]&lt;&gt;"VND",Data_FAGLL03[[#This Row],[Amount in doc. curr.]],Data_FAGLL03[[#This Row],[Amount in local currency]]/EXR)</f>
        <v>-7410.042655410618</v>
      </c>
      <c r="GI117" s="10">
        <f>Data_FAGLL03[[#This Row],[Time Stamp]]+TIME(7,0,0)</f>
        <v>46121.736342592587</v>
      </c>
      <c r="GJ117" s="18">
        <f>MONTH(Data_FAGLL03[[#This Row],[Time Stamp_VN]])</f>
        <v>4</v>
      </c>
      <c r="GK117">
        <f>DAY(Data_FAGLL03[[#This Row],[Time Stamp_VN]])</f>
        <v>9</v>
      </c>
      <c r="GL117" t="str">
        <f>TEXT(Data_FAGLL03[[#This Row],[Tháng]],"00")&amp;" | "&amp;TEXT(Data_FAGLL03[[#This Row],[Ngày]],"00")</f>
        <v>04 | 09</v>
      </c>
      <c r="GM117" s="18">
        <f>IF(Data_FAGLL03[[#This Row],[Text]]="",Data_FAGLL03[[#This Row],[Quantity_Original]],0)</f>
        <v>-5500</v>
      </c>
      <c r="GN117" s="18" t="str">
        <f>IF(Data_FAGLL03[[#This Row],[Quantity_Edited]]&lt;&gt;0,Data_FAGLL03[[#This Row],[Offsetting acct no.]]&amp;" | "&amp;Data_FAGLL03[[#This Row],[Material]],"")</f>
        <v>105263 | 110000339</v>
      </c>
      <c r="GO117" t="str">
        <f>IF(LEFT(Data_FAGLL03[[#This Row],[Offsetting acct no.]],1)="1","NĐ",IF(LEFT(Data_FAGLL03[[#This Row],[Offsetting acct no.]],1)="2","XK","Khác"))</f>
        <v>NĐ</v>
      </c>
      <c r="GP117" t="str">
        <f>IF(Data_FAGLL03[[#This Row],[Material]]&lt;&gt;"",_xlfn.XLOOKUP(Data_FAGLL03[[#This Row],[Material]],MD_SKU[Mã SKU],MD_SKU[Tên SKU]),"")</f>
        <v>Hạt Nhựa rHDPE MBF01</v>
      </c>
      <c r="GQ117" t="str">
        <f>IF(Data_FAGLL03[[#This Row],[Material]]&lt;&gt;"",_xlfn.XLOOKUP(Data_FAGLL03[[#This Row],[Material]],MD_SKU[Mã SKU],MD_SKU[Nhóm SP 1]),"")</f>
        <v>rHDPE</v>
      </c>
      <c r="GR117" t="str">
        <f>IF(Data_FAGLL03[[#This Row],[Material]]&lt;&gt;"",_xlfn.XLOOKUP(Data_FAGLL03[[#This Row],[Material]],MD_SKU[Mã SKU],MD_SKU[Nhóm SP 2]),"")</f>
        <v>rHDPE thổi</v>
      </c>
      <c r="GS117" t="str">
        <f>IF(Data_FAGLL03[[#This Row],[Material]]&lt;&gt;"",_xlfn.XLOOKUP(Data_FAGLL03[[#This Row],[Material]],MD_SKU[Mã SKU],MD_SKU[Nhóm SP 3]),"")</f>
        <v>rHDPE thổi</v>
      </c>
      <c r="GT117" t="str">
        <f>IF(Data_FAGLL03[[#This Row],[Material]]&lt;&gt;"",_xlfn.XLOOKUP(Data_FAGLL03[[#This Row],[Material]],MD_SKU[Mã SKU],MD_SKU[Nhóm SP 4]),"")</f>
        <v>Hạt rHDPE thổi</v>
      </c>
    </row>
    <row r="118" spans="1:202" x14ac:dyDescent="0.25">
      <c r="A118" t="s">
        <v>0</v>
      </c>
      <c r="B118" s="2">
        <v>46121</v>
      </c>
      <c r="C118" t="s">
        <v>2425</v>
      </c>
      <c r="D118" t="s">
        <v>1</v>
      </c>
      <c r="E118" t="s">
        <v>1</v>
      </c>
      <c r="F118" t="s">
        <v>31</v>
      </c>
      <c r="G118" t="s">
        <v>31</v>
      </c>
      <c r="H118" t="s">
        <v>34</v>
      </c>
      <c r="I118" s="19">
        <v>-194529500</v>
      </c>
      <c r="J118" t="s">
        <v>35</v>
      </c>
      <c r="K118" t="s">
        <v>1</v>
      </c>
      <c r="L118" t="s">
        <v>2394</v>
      </c>
      <c r="M118" t="s">
        <v>41</v>
      </c>
      <c r="N118" t="s">
        <v>254</v>
      </c>
      <c r="O118" t="s">
        <v>4</v>
      </c>
      <c r="P118" t="s">
        <v>2426</v>
      </c>
      <c r="Q118" t="s">
        <v>31</v>
      </c>
      <c r="R118" t="s">
        <v>5</v>
      </c>
      <c r="S118" t="s">
        <v>1</v>
      </c>
      <c r="T118" s="3">
        <v>-194529500</v>
      </c>
      <c r="U118" s="19">
        <v>-194529500</v>
      </c>
      <c r="V118" s="3">
        <v>-194529500</v>
      </c>
      <c r="W118" s="3">
        <v>-194529500</v>
      </c>
      <c r="X118" s="4">
        <v>0</v>
      </c>
      <c r="Y118" s="4">
        <v>0</v>
      </c>
      <c r="Z118" s="3">
        <v>0</v>
      </c>
      <c r="AA118" s="3">
        <v>0</v>
      </c>
      <c r="AB118" t="s">
        <v>1</v>
      </c>
      <c r="AC118" t="s">
        <v>24</v>
      </c>
      <c r="AD118" s="2"/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25</v>
      </c>
      <c r="AK118" s="4">
        <v>0</v>
      </c>
      <c r="AL118" t="s">
        <v>1</v>
      </c>
      <c r="AM118" s="5" t="s">
        <v>1</v>
      </c>
      <c r="AN118" t="s">
        <v>1</v>
      </c>
      <c r="AO118" s="2"/>
      <c r="AP118" t="s">
        <v>1</v>
      </c>
      <c r="AQ118" t="s">
        <v>1</v>
      </c>
      <c r="AR118" s="3">
        <v>0</v>
      </c>
      <c r="AS118" t="s">
        <v>1</v>
      </c>
      <c r="AT118" t="s">
        <v>7</v>
      </c>
      <c r="AU118" t="s">
        <v>1</v>
      </c>
      <c r="AV118" t="s">
        <v>1</v>
      </c>
      <c r="AW118" t="s">
        <v>8</v>
      </c>
      <c r="AX118" t="s">
        <v>8</v>
      </c>
      <c r="AY118" t="s">
        <v>1</v>
      </c>
      <c r="AZ118" s="4">
        <v>0</v>
      </c>
      <c r="BA118" t="s">
        <v>1</v>
      </c>
      <c r="BB118" s="3">
        <v>0</v>
      </c>
      <c r="BC118" s="3">
        <v>0</v>
      </c>
      <c r="BD118" s="3">
        <v>0</v>
      </c>
      <c r="BE118" t="s">
        <v>20</v>
      </c>
      <c r="BF118" t="s">
        <v>1</v>
      </c>
      <c r="BG118" s="4">
        <v>0</v>
      </c>
      <c r="BH118" s="4">
        <v>0</v>
      </c>
      <c r="BI118" s="6">
        <v>0</v>
      </c>
      <c r="BJ118" s="6">
        <v>0</v>
      </c>
      <c r="BK118" t="s">
        <v>1</v>
      </c>
      <c r="BL118" t="s">
        <v>1</v>
      </c>
      <c r="BM118" t="s">
        <v>1</v>
      </c>
      <c r="BN118" t="s">
        <v>9</v>
      </c>
      <c r="BO118" s="2">
        <v>46121</v>
      </c>
      <c r="BP118" t="s">
        <v>1</v>
      </c>
      <c r="BQ118" t="s">
        <v>2425</v>
      </c>
      <c r="BR118" t="s">
        <v>27</v>
      </c>
      <c r="BS118" t="s">
        <v>1</v>
      </c>
      <c r="BT118" t="s">
        <v>1</v>
      </c>
      <c r="BU118" t="s">
        <v>1</v>
      </c>
      <c r="BV118" t="s">
        <v>1</v>
      </c>
      <c r="BW118" t="s">
        <v>7</v>
      </c>
      <c r="BX118" t="s">
        <v>10</v>
      </c>
      <c r="BY118" s="2"/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254</v>
      </c>
      <c r="CJ118" s="3">
        <v>-194529500</v>
      </c>
      <c r="CK118" t="s">
        <v>9</v>
      </c>
      <c r="CL118" t="s">
        <v>11</v>
      </c>
      <c r="CM118" t="s">
        <v>1</v>
      </c>
      <c r="CN118" s="4">
        <v>0</v>
      </c>
      <c r="CO118" t="s">
        <v>7</v>
      </c>
      <c r="CP118" t="s">
        <v>7</v>
      </c>
      <c r="CQ118" t="s">
        <v>7</v>
      </c>
      <c r="CR118" t="s">
        <v>7</v>
      </c>
      <c r="CS118" s="4">
        <v>0</v>
      </c>
      <c r="CT118" t="s">
        <v>2425</v>
      </c>
      <c r="CU118" t="s">
        <v>7</v>
      </c>
      <c r="CV118" t="s">
        <v>1</v>
      </c>
      <c r="CW118" s="2"/>
      <c r="CX118" t="s">
        <v>12</v>
      </c>
      <c r="CY118" t="s">
        <v>1</v>
      </c>
      <c r="CZ118" t="s">
        <v>13</v>
      </c>
      <c r="DA118" t="s">
        <v>1</v>
      </c>
      <c r="DB118" t="s">
        <v>9</v>
      </c>
      <c r="DC118" t="s">
        <v>9</v>
      </c>
      <c r="DD118" t="s">
        <v>1</v>
      </c>
      <c r="DE118" t="s">
        <v>1</v>
      </c>
      <c r="DF118" t="s">
        <v>1</v>
      </c>
      <c r="DG118" t="s">
        <v>38</v>
      </c>
      <c r="DH118" t="s">
        <v>1</v>
      </c>
      <c r="DI118" s="2"/>
      <c r="DJ118" t="s">
        <v>1</v>
      </c>
      <c r="DK118" t="s">
        <v>14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s="2"/>
      <c r="DW118" t="s">
        <v>1</v>
      </c>
      <c r="DX118" t="s">
        <v>1</v>
      </c>
      <c r="DY118" t="s">
        <v>2427</v>
      </c>
      <c r="DZ118" t="s">
        <v>1</v>
      </c>
      <c r="EA118" t="s">
        <v>1</v>
      </c>
      <c r="EB118" t="s">
        <v>28</v>
      </c>
      <c r="EC118" t="s">
        <v>7</v>
      </c>
      <c r="ED118" t="s">
        <v>1</v>
      </c>
      <c r="EE118" t="s">
        <v>1</v>
      </c>
      <c r="EF118" t="s">
        <v>22</v>
      </c>
      <c r="EG118" t="s">
        <v>41</v>
      </c>
      <c r="EH118" t="s">
        <v>15</v>
      </c>
      <c r="EI118" t="s">
        <v>1</v>
      </c>
      <c r="EJ118" s="4">
        <v>-5500</v>
      </c>
      <c r="EK118" t="s">
        <v>1</v>
      </c>
      <c r="EL118" t="s">
        <v>1</v>
      </c>
      <c r="EM118" t="s">
        <v>1</v>
      </c>
      <c r="EN118" t="s">
        <v>1</v>
      </c>
      <c r="EO118" s="2"/>
      <c r="EP118" t="s">
        <v>2427</v>
      </c>
      <c r="EQ118" t="s">
        <v>1</v>
      </c>
      <c r="ER118" t="s">
        <v>1</v>
      </c>
      <c r="ES118" t="s">
        <v>1</v>
      </c>
      <c r="ET118" t="s">
        <v>29</v>
      </c>
      <c r="EU118" t="s">
        <v>1</v>
      </c>
      <c r="EV118" t="s">
        <v>1</v>
      </c>
      <c r="EW118" t="s">
        <v>7</v>
      </c>
      <c r="EX118" t="s">
        <v>7</v>
      </c>
      <c r="EY118" t="s">
        <v>1</v>
      </c>
      <c r="EZ118" t="s">
        <v>1</v>
      </c>
      <c r="FA118" t="s">
        <v>1</v>
      </c>
      <c r="FB118" s="3">
        <v>50</v>
      </c>
      <c r="FC118" t="s">
        <v>1</v>
      </c>
      <c r="FD118" t="s">
        <v>1</v>
      </c>
      <c r="FE118" t="s">
        <v>1</v>
      </c>
      <c r="FF118" t="s">
        <v>17</v>
      </c>
      <c r="FG118" t="s">
        <v>1</v>
      </c>
      <c r="FH118" t="s">
        <v>1</v>
      </c>
      <c r="FI118" t="s">
        <v>1</v>
      </c>
      <c r="FJ118" t="s">
        <v>1</v>
      </c>
      <c r="FK118" s="7">
        <v>46121.444884259261</v>
      </c>
      <c r="FL118" t="s">
        <v>1</v>
      </c>
      <c r="FM118" t="s">
        <v>1</v>
      </c>
      <c r="FN118" t="s">
        <v>1</v>
      </c>
      <c r="FO118" s="19">
        <v>-194529500</v>
      </c>
      <c r="FP118" s="4">
        <v>0</v>
      </c>
      <c r="FQ118" s="19">
        <v>-194529500</v>
      </c>
      <c r="FR118" s="4">
        <v>0</v>
      </c>
      <c r="FS118" s="4">
        <v>0</v>
      </c>
      <c r="FT118" s="4">
        <v>0</v>
      </c>
      <c r="FU118" s="2">
        <v>46121</v>
      </c>
      <c r="FV118" t="s">
        <v>1</v>
      </c>
      <c r="FW118" s="4">
        <v>0</v>
      </c>
      <c r="FX118" t="s">
        <v>1</v>
      </c>
      <c r="FY118" t="s">
        <v>1</v>
      </c>
      <c r="FZ118" s="4">
        <v>0</v>
      </c>
      <c r="GA118" s="4">
        <v>0</v>
      </c>
      <c r="GB118" t="s">
        <v>2070</v>
      </c>
      <c r="GC118" t="str">
        <f>RIGHT(Data_FAGLL03[[#This Row],[Payment reference]],8)</f>
        <v>91172670</v>
      </c>
      <c r="GD118" t="str">
        <f>IF(Data_FAGLL03[[#This Row],[Billing]]&lt;&gt;"",_xlfn.XLOOKUP(Data_FAGLL03[[#This Row],[Billing]],MD_BILLING_SO[BILIING],MD_BILLING_SO[SO-EDITED]),"")</f>
        <v>30030659</v>
      </c>
      <c r="GE118" s="18">
        <f>IF(SUBSTITUTE(Data_FAGLL03[[#This Row],[Eff.exchange rate]],",","")/100000=1,1,SUBSTITUTE(Data_FAGLL03[[#This Row],[Eff.exchange rate]],",","")/100)</f>
        <v>1</v>
      </c>
      <c r="GF118" s="17">
        <f>IF(Data_FAGLL03[[#This Row],[Material]]&lt;&gt;"",IFERROR(Data_FAGLL03[[#This Row],[Amount in local currency]]/Data_FAGLL03[[#This Row],[Quantity_Original]],0),0)</f>
        <v>35369</v>
      </c>
      <c r="GG118" s="18">
        <f>IF(Data_FAGLL03[[#This Row],[XK/NĐ]]="XK",Data_FAGLL03[[#This Row],[GB trung bình]]/Data_FAGLL03[[#This Row],[EXR]],0)*1000</f>
        <v>0</v>
      </c>
      <c r="GH118" s="18" cm="1">
        <f t="array" ref="GH118">IF(Data_FAGLL03[[#This Row],[Document currency]]&lt;&gt;"VND",Data_FAGLL03[[#This Row],[Amount in doc. curr.]],Data_FAGLL03[[#This Row],[Amount in local currency]]/EXR)</f>
        <v>-7410.042655410618</v>
      </c>
      <c r="GI118" s="10">
        <f>Data_FAGLL03[[#This Row],[Time Stamp]]+TIME(7,0,0)</f>
        <v>46121.736550925925</v>
      </c>
      <c r="GJ118" s="18">
        <f>MONTH(Data_FAGLL03[[#This Row],[Time Stamp_VN]])</f>
        <v>4</v>
      </c>
      <c r="GK118">
        <f>DAY(Data_FAGLL03[[#This Row],[Time Stamp_VN]])</f>
        <v>9</v>
      </c>
      <c r="GL118" t="str">
        <f>TEXT(Data_FAGLL03[[#This Row],[Tháng]],"00")&amp;" | "&amp;TEXT(Data_FAGLL03[[#This Row],[Ngày]],"00")</f>
        <v>04 | 09</v>
      </c>
      <c r="GM118" s="18">
        <f>IF(Data_FAGLL03[[#This Row],[Text]]="",Data_FAGLL03[[#This Row],[Quantity_Original]],0)</f>
        <v>-5500</v>
      </c>
      <c r="GN118" s="18" t="str">
        <f>IF(Data_FAGLL03[[#This Row],[Quantity_Edited]]&lt;&gt;0,Data_FAGLL03[[#This Row],[Offsetting acct no.]]&amp;" | "&amp;Data_FAGLL03[[#This Row],[Material]],"")</f>
        <v>105263 | 110000339</v>
      </c>
      <c r="GO118" t="str">
        <f>IF(LEFT(Data_FAGLL03[[#This Row],[Offsetting acct no.]],1)="1","NĐ",IF(LEFT(Data_FAGLL03[[#This Row],[Offsetting acct no.]],1)="2","XK","Khác"))</f>
        <v>NĐ</v>
      </c>
      <c r="GP118" t="str">
        <f>IF(Data_FAGLL03[[#This Row],[Material]]&lt;&gt;"",_xlfn.XLOOKUP(Data_FAGLL03[[#This Row],[Material]],MD_SKU[Mã SKU],MD_SKU[Tên SKU]),"")</f>
        <v>Hạt Nhựa rHDPE MBF01</v>
      </c>
      <c r="GQ118" t="str">
        <f>IF(Data_FAGLL03[[#This Row],[Material]]&lt;&gt;"",_xlfn.XLOOKUP(Data_FAGLL03[[#This Row],[Material]],MD_SKU[Mã SKU],MD_SKU[Nhóm SP 1]),"")</f>
        <v>rHDPE</v>
      </c>
      <c r="GR118" t="str">
        <f>IF(Data_FAGLL03[[#This Row],[Material]]&lt;&gt;"",_xlfn.XLOOKUP(Data_FAGLL03[[#This Row],[Material]],MD_SKU[Mã SKU],MD_SKU[Nhóm SP 2]),"")</f>
        <v>rHDPE thổi</v>
      </c>
      <c r="GS118" t="str">
        <f>IF(Data_FAGLL03[[#This Row],[Material]]&lt;&gt;"",_xlfn.XLOOKUP(Data_FAGLL03[[#This Row],[Material]],MD_SKU[Mã SKU],MD_SKU[Nhóm SP 3]),"")</f>
        <v>rHDPE thổi</v>
      </c>
      <c r="GT118" t="str">
        <f>IF(Data_FAGLL03[[#This Row],[Material]]&lt;&gt;"",_xlfn.XLOOKUP(Data_FAGLL03[[#This Row],[Material]],MD_SKU[Mã SKU],MD_SKU[Nhóm SP 4]),"")</f>
        <v>Hạt rHDPE thổi</v>
      </c>
    </row>
    <row r="119" spans="1:202" x14ac:dyDescent="0.25">
      <c r="A119" t="s">
        <v>0</v>
      </c>
      <c r="B119" s="2">
        <v>46121</v>
      </c>
      <c r="C119" t="s">
        <v>2428</v>
      </c>
      <c r="D119" t="s">
        <v>1</v>
      </c>
      <c r="E119" t="s">
        <v>1</v>
      </c>
      <c r="F119" t="s">
        <v>31</v>
      </c>
      <c r="G119" t="s">
        <v>31</v>
      </c>
      <c r="H119" t="s">
        <v>8</v>
      </c>
      <c r="I119" s="19">
        <v>-172491000</v>
      </c>
      <c r="J119" t="s">
        <v>2429</v>
      </c>
      <c r="K119" t="s">
        <v>1</v>
      </c>
      <c r="L119" t="s">
        <v>2394</v>
      </c>
      <c r="M119" t="s">
        <v>41</v>
      </c>
      <c r="N119" t="s">
        <v>254</v>
      </c>
      <c r="O119" t="s">
        <v>4</v>
      </c>
      <c r="P119" t="s">
        <v>2430</v>
      </c>
      <c r="Q119" t="s">
        <v>31</v>
      </c>
      <c r="R119" t="s">
        <v>5</v>
      </c>
      <c r="S119" t="s">
        <v>1</v>
      </c>
      <c r="T119" s="3">
        <v>-172491000</v>
      </c>
      <c r="U119" s="19">
        <v>-172491000</v>
      </c>
      <c r="V119" s="3">
        <v>-172491000</v>
      </c>
      <c r="W119" s="3">
        <v>-172491000</v>
      </c>
      <c r="X119" s="4">
        <v>0</v>
      </c>
      <c r="Y119" s="4">
        <v>0</v>
      </c>
      <c r="Z119" s="3">
        <v>0</v>
      </c>
      <c r="AA119" s="3">
        <v>0</v>
      </c>
      <c r="AB119" t="s">
        <v>1</v>
      </c>
      <c r="AC119" t="s">
        <v>24</v>
      </c>
      <c r="AD119" s="2"/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25</v>
      </c>
      <c r="AK119" s="4">
        <v>0</v>
      </c>
      <c r="AL119" t="s">
        <v>1</v>
      </c>
      <c r="AM119" s="5" t="s">
        <v>1</v>
      </c>
      <c r="AN119" t="s">
        <v>1</v>
      </c>
      <c r="AO119" s="2"/>
      <c r="AP119" t="s">
        <v>1</v>
      </c>
      <c r="AQ119" t="s">
        <v>1</v>
      </c>
      <c r="AR119" s="3">
        <v>0</v>
      </c>
      <c r="AS119" t="s">
        <v>1</v>
      </c>
      <c r="AT119" t="s">
        <v>7</v>
      </c>
      <c r="AU119" t="s">
        <v>1</v>
      </c>
      <c r="AV119" t="s">
        <v>1</v>
      </c>
      <c r="AW119" t="s">
        <v>8</v>
      </c>
      <c r="AX119" t="s">
        <v>8</v>
      </c>
      <c r="AY119" t="s">
        <v>1</v>
      </c>
      <c r="AZ119" s="4">
        <v>0</v>
      </c>
      <c r="BA119" t="s">
        <v>1</v>
      </c>
      <c r="BB119" s="3">
        <v>0</v>
      </c>
      <c r="BC119" s="3">
        <v>0</v>
      </c>
      <c r="BD119" s="3">
        <v>0</v>
      </c>
      <c r="BE119" t="s">
        <v>20</v>
      </c>
      <c r="BF119" t="s">
        <v>1</v>
      </c>
      <c r="BG119" s="4">
        <v>0</v>
      </c>
      <c r="BH119" s="4">
        <v>0</v>
      </c>
      <c r="BI119" s="6">
        <v>0</v>
      </c>
      <c r="BJ119" s="6">
        <v>0</v>
      </c>
      <c r="BK119" t="s">
        <v>1</v>
      </c>
      <c r="BL119" t="s">
        <v>1</v>
      </c>
      <c r="BM119" t="s">
        <v>1</v>
      </c>
      <c r="BN119" t="s">
        <v>9</v>
      </c>
      <c r="BO119" s="2">
        <v>46121</v>
      </c>
      <c r="BP119" t="s">
        <v>1</v>
      </c>
      <c r="BQ119" t="s">
        <v>2428</v>
      </c>
      <c r="BR119" t="s">
        <v>27</v>
      </c>
      <c r="BS119" t="s">
        <v>1</v>
      </c>
      <c r="BT119" t="s">
        <v>1</v>
      </c>
      <c r="BU119" t="s">
        <v>1</v>
      </c>
      <c r="BV119" t="s">
        <v>1</v>
      </c>
      <c r="BW119" t="s">
        <v>7</v>
      </c>
      <c r="BX119" t="s">
        <v>10</v>
      </c>
      <c r="BY119" s="2"/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254</v>
      </c>
      <c r="CJ119" s="3">
        <v>-172491000</v>
      </c>
      <c r="CK119" t="s">
        <v>9</v>
      </c>
      <c r="CL119" t="s">
        <v>11</v>
      </c>
      <c r="CM119" t="s">
        <v>1</v>
      </c>
      <c r="CN119" s="4">
        <v>0</v>
      </c>
      <c r="CO119" t="s">
        <v>7</v>
      </c>
      <c r="CP119" t="s">
        <v>7</v>
      </c>
      <c r="CQ119" t="s">
        <v>7</v>
      </c>
      <c r="CR119" t="s">
        <v>7</v>
      </c>
      <c r="CS119" s="4">
        <v>0</v>
      </c>
      <c r="CT119" t="s">
        <v>2428</v>
      </c>
      <c r="CU119" t="s">
        <v>7</v>
      </c>
      <c r="CV119" t="s">
        <v>1</v>
      </c>
      <c r="CW119" s="2"/>
      <c r="CX119" t="s">
        <v>12</v>
      </c>
      <c r="CY119" t="s">
        <v>1</v>
      </c>
      <c r="CZ119" t="s">
        <v>13</v>
      </c>
      <c r="DA119" t="s">
        <v>1</v>
      </c>
      <c r="DB119" t="s">
        <v>9</v>
      </c>
      <c r="DC119" t="s">
        <v>9</v>
      </c>
      <c r="DD119" t="s">
        <v>1</v>
      </c>
      <c r="DE119" t="s">
        <v>1</v>
      </c>
      <c r="DF119" t="s">
        <v>1</v>
      </c>
      <c r="DG119" t="s">
        <v>309</v>
      </c>
      <c r="DH119" t="s">
        <v>1</v>
      </c>
      <c r="DI119" s="2"/>
      <c r="DJ119" t="s">
        <v>1</v>
      </c>
      <c r="DK119" t="s">
        <v>14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s="2"/>
      <c r="DW119" t="s">
        <v>1</v>
      </c>
      <c r="DX119" t="s">
        <v>1</v>
      </c>
      <c r="DY119" t="s">
        <v>2431</v>
      </c>
      <c r="DZ119" t="s">
        <v>1</v>
      </c>
      <c r="EA119" t="s">
        <v>1</v>
      </c>
      <c r="EB119" t="s">
        <v>28</v>
      </c>
      <c r="EC119" t="s">
        <v>7</v>
      </c>
      <c r="ED119" t="s">
        <v>1</v>
      </c>
      <c r="EE119" t="s">
        <v>1</v>
      </c>
      <c r="EF119" t="s">
        <v>22</v>
      </c>
      <c r="EG119" t="s">
        <v>41</v>
      </c>
      <c r="EH119" t="s">
        <v>15</v>
      </c>
      <c r="EI119" t="s">
        <v>1</v>
      </c>
      <c r="EJ119" s="4">
        <v>-5500</v>
      </c>
      <c r="EK119" t="s">
        <v>1</v>
      </c>
      <c r="EL119" t="s">
        <v>1</v>
      </c>
      <c r="EM119" t="s">
        <v>1</v>
      </c>
      <c r="EN119" t="s">
        <v>1</v>
      </c>
      <c r="EO119" s="2"/>
      <c r="EP119" t="s">
        <v>2431</v>
      </c>
      <c r="EQ119" t="s">
        <v>1</v>
      </c>
      <c r="ER119" t="s">
        <v>1</v>
      </c>
      <c r="ES119" t="s">
        <v>1</v>
      </c>
      <c r="ET119" t="s">
        <v>29</v>
      </c>
      <c r="EU119" t="s">
        <v>1</v>
      </c>
      <c r="EV119" t="s">
        <v>1</v>
      </c>
      <c r="EW119" t="s">
        <v>7</v>
      </c>
      <c r="EX119" t="s">
        <v>7</v>
      </c>
      <c r="EY119" t="s">
        <v>1</v>
      </c>
      <c r="EZ119" t="s">
        <v>1</v>
      </c>
      <c r="FA119" t="s">
        <v>1</v>
      </c>
      <c r="FB119" s="3">
        <v>50</v>
      </c>
      <c r="FC119" t="s">
        <v>1</v>
      </c>
      <c r="FD119" t="s">
        <v>1</v>
      </c>
      <c r="FE119" t="s">
        <v>1</v>
      </c>
      <c r="FF119" t="s">
        <v>17</v>
      </c>
      <c r="FG119" t="s">
        <v>1</v>
      </c>
      <c r="FH119" t="s">
        <v>1</v>
      </c>
      <c r="FI119" t="s">
        <v>1</v>
      </c>
      <c r="FJ119" t="s">
        <v>1</v>
      </c>
      <c r="FK119" s="7">
        <v>46121.445162037038</v>
      </c>
      <c r="FL119" t="s">
        <v>1</v>
      </c>
      <c r="FM119" t="s">
        <v>1</v>
      </c>
      <c r="FN119" t="s">
        <v>1</v>
      </c>
      <c r="FO119" s="19">
        <v>-172491000</v>
      </c>
      <c r="FP119" s="4">
        <v>0</v>
      </c>
      <c r="FQ119" s="19">
        <v>-172491000</v>
      </c>
      <c r="FR119" s="4">
        <v>0</v>
      </c>
      <c r="FS119" s="4">
        <v>0</v>
      </c>
      <c r="FT119" s="4">
        <v>0</v>
      </c>
      <c r="FU119" s="2">
        <v>46121</v>
      </c>
      <c r="FV119" t="s">
        <v>1</v>
      </c>
      <c r="FW119" s="4">
        <v>0</v>
      </c>
      <c r="FX119" t="s">
        <v>1</v>
      </c>
      <c r="FY119" t="s">
        <v>1</v>
      </c>
      <c r="FZ119" s="4">
        <v>0</v>
      </c>
      <c r="GA119" s="4">
        <v>0</v>
      </c>
      <c r="GB119" t="s">
        <v>2070</v>
      </c>
      <c r="GC119" t="str">
        <f>RIGHT(Data_FAGLL03[[#This Row],[Payment reference]],8)</f>
        <v>91172671</v>
      </c>
      <c r="GD119" t="str">
        <f>IF(Data_FAGLL03[[#This Row],[Billing]]&lt;&gt;"",_xlfn.XLOOKUP(Data_FAGLL03[[#This Row],[Billing]],MD_BILLING_SO[BILIING],MD_BILLING_SO[SO-EDITED]),"")</f>
        <v>30030702</v>
      </c>
      <c r="GE119" s="18">
        <f>IF(SUBSTITUTE(Data_FAGLL03[[#This Row],[Eff.exchange rate]],",","")/100000=1,1,SUBSTITUTE(Data_FAGLL03[[#This Row],[Eff.exchange rate]],",","")/100)</f>
        <v>1</v>
      </c>
      <c r="GF119" s="17">
        <f>IF(Data_FAGLL03[[#This Row],[Material]]&lt;&gt;"",IFERROR(Data_FAGLL03[[#This Row],[Amount in local currency]]/Data_FAGLL03[[#This Row],[Quantity_Original]],0),0)</f>
        <v>31362</v>
      </c>
      <c r="GG119" s="18">
        <f>IF(Data_FAGLL03[[#This Row],[XK/NĐ]]="XK",Data_FAGLL03[[#This Row],[GB trung bình]]/Data_FAGLL03[[#This Row],[EXR]],0)*1000</f>
        <v>0</v>
      </c>
      <c r="GH119" s="18" cm="1">
        <f t="array" ref="GH119">IF(Data_FAGLL03[[#This Row],[Document currency]]&lt;&gt;"VND",Data_FAGLL03[[#This Row],[Amount in doc. curr.]],Data_FAGLL03[[#This Row],[Amount in local currency]]/EXR)</f>
        <v>-6570.549287765778</v>
      </c>
      <c r="GI119" s="10">
        <f>Data_FAGLL03[[#This Row],[Time Stamp]]+TIME(7,0,0)</f>
        <v>46121.736828703702</v>
      </c>
      <c r="GJ119" s="18">
        <f>MONTH(Data_FAGLL03[[#This Row],[Time Stamp_VN]])</f>
        <v>4</v>
      </c>
      <c r="GK119">
        <f>DAY(Data_FAGLL03[[#This Row],[Time Stamp_VN]])</f>
        <v>9</v>
      </c>
      <c r="GL119" t="str">
        <f>TEXT(Data_FAGLL03[[#This Row],[Tháng]],"00")&amp;" | "&amp;TEXT(Data_FAGLL03[[#This Row],[Ngày]],"00")</f>
        <v>04 | 09</v>
      </c>
      <c r="GM119" s="18">
        <f>IF(Data_FAGLL03[[#This Row],[Text]]="",Data_FAGLL03[[#This Row],[Quantity_Original]],0)</f>
        <v>-5500</v>
      </c>
      <c r="GN119" s="18" t="str">
        <f>IF(Data_FAGLL03[[#This Row],[Quantity_Edited]]&lt;&gt;0,Data_FAGLL03[[#This Row],[Offsetting acct no.]]&amp;" | "&amp;Data_FAGLL03[[#This Row],[Material]],"")</f>
        <v>1000 | 110000361</v>
      </c>
      <c r="GO119" t="str">
        <f>IF(LEFT(Data_FAGLL03[[#This Row],[Offsetting acct no.]],1)="1","NĐ",IF(LEFT(Data_FAGLL03[[#This Row],[Offsetting acct no.]],1)="2","XK","Khác"))</f>
        <v>NĐ</v>
      </c>
      <c r="GP119" t="str">
        <f>IF(Data_FAGLL03[[#This Row],[Material]]&lt;&gt;"",_xlfn.XLOOKUP(Data_FAGLL03[[#This Row],[Material]],MD_SKU[Mã SKU],MD_SKU[Tên SKU]),"")</f>
        <v>Hạt nhựa rHDI3R01</v>
      </c>
      <c r="GQ119" t="str">
        <f>IF(Data_FAGLL03[[#This Row],[Material]]&lt;&gt;"",_xlfn.XLOOKUP(Data_FAGLL03[[#This Row],[Material]],MD_SKU[Mã SKU],MD_SKU[Nhóm SP 1]),"")</f>
        <v>rHDPE</v>
      </c>
      <c r="GR119" t="str">
        <f>IF(Data_FAGLL03[[#This Row],[Material]]&lt;&gt;"",_xlfn.XLOOKUP(Data_FAGLL03[[#This Row],[Material]],MD_SKU[Mã SKU],MD_SKU[Nhóm SP 2]),"")</f>
        <v>rHDPE ép</v>
      </c>
      <c r="GS119" t="str">
        <f>IF(Data_FAGLL03[[#This Row],[Material]]&lt;&gt;"",_xlfn.XLOOKUP(Data_FAGLL03[[#This Row],[Material]],MD_SKU[Mã SKU],MD_SKU[Nhóm SP 3]),"")</f>
        <v>rHDPE ép</v>
      </c>
      <c r="GT119" t="str">
        <f>IF(Data_FAGLL03[[#This Row],[Material]]&lt;&gt;"",_xlfn.XLOOKUP(Data_FAGLL03[[#This Row],[Material]],MD_SKU[Mã SKU],MD_SKU[Nhóm SP 4]),"")</f>
        <v>Hạt rHDPE ép</v>
      </c>
    </row>
    <row r="120" spans="1:202" x14ac:dyDescent="0.25">
      <c r="A120" t="s">
        <v>0</v>
      </c>
      <c r="B120" s="2">
        <v>46121</v>
      </c>
      <c r="C120" t="s">
        <v>2432</v>
      </c>
      <c r="D120" t="s">
        <v>1</v>
      </c>
      <c r="E120" t="s">
        <v>1</v>
      </c>
      <c r="F120" t="s">
        <v>31</v>
      </c>
      <c r="G120" t="s">
        <v>31</v>
      </c>
      <c r="H120" t="s">
        <v>2433</v>
      </c>
      <c r="I120" s="19">
        <v>-106316100</v>
      </c>
      <c r="J120" t="s">
        <v>2434</v>
      </c>
      <c r="K120" t="s">
        <v>1</v>
      </c>
      <c r="L120" t="s">
        <v>2394</v>
      </c>
      <c r="M120" t="s">
        <v>41</v>
      </c>
      <c r="N120" t="s">
        <v>254</v>
      </c>
      <c r="O120" t="s">
        <v>4</v>
      </c>
      <c r="P120" t="s">
        <v>2435</v>
      </c>
      <c r="Q120" t="s">
        <v>31</v>
      </c>
      <c r="R120" t="s">
        <v>5</v>
      </c>
      <c r="S120" t="s">
        <v>1</v>
      </c>
      <c r="T120" s="3">
        <v>-106316100</v>
      </c>
      <c r="U120" s="19">
        <v>-106316100</v>
      </c>
      <c r="V120" s="3">
        <v>-106316100</v>
      </c>
      <c r="W120" s="3">
        <v>-106316100</v>
      </c>
      <c r="X120" s="4">
        <v>0</v>
      </c>
      <c r="Y120" s="4">
        <v>0</v>
      </c>
      <c r="Z120" s="3">
        <v>0</v>
      </c>
      <c r="AA120" s="3">
        <v>0</v>
      </c>
      <c r="AB120" t="s">
        <v>1</v>
      </c>
      <c r="AC120" t="s">
        <v>24</v>
      </c>
      <c r="AD120" s="2"/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25</v>
      </c>
      <c r="AK120" s="4">
        <v>0</v>
      </c>
      <c r="AL120" t="s">
        <v>1</v>
      </c>
      <c r="AM120" s="5" t="s">
        <v>1</v>
      </c>
      <c r="AN120" t="s">
        <v>1</v>
      </c>
      <c r="AO120" s="2"/>
      <c r="AP120" t="s">
        <v>1</v>
      </c>
      <c r="AQ120" t="s">
        <v>1</v>
      </c>
      <c r="AR120" s="3">
        <v>0</v>
      </c>
      <c r="AS120" t="s">
        <v>1</v>
      </c>
      <c r="AT120" t="s">
        <v>7</v>
      </c>
      <c r="AU120" t="s">
        <v>1</v>
      </c>
      <c r="AV120" t="s">
        <v>1</v>
      </c>
      <c r="AW120" t="s">
        <v>8</v>
      </c>
      <c r="AX120" t="s">
        <v>8</v>
      </c>
      <c r="AY120" t="s">
        <v>1</v>
      </c>
      <c r="AZ120" s="4">
        <v>0</v>
      </c>
      <c r="BA120" t="s">
        <v>1</v>
      </c>
      <c r="BB120" s="3">
        <v>0</v>
      </c>
      <c r="BC120" s="3">
        <v>0</v>
      </c>
      <c r="BD120" s="3">
        <v>0</v>
      </c>
      <c r="BE120" t="s">
        <v>20</v>
      </c>
      <c r="BF120" t="s">
        <v>1</v>
      </c>
      <c r="BG120" s="4">
        <v>0</v>
      </c>
      <c r="BH120" s="4">
        <v>0</v>
      </c>
      <c r="BI120" s="6">
        <v>0</v>
      </c>
      <c r="BJ120" s="6">
        <v>0</v>
      </c>
      <c r="BK120" t="s">
        <v>1</v>
      </c>
      <c r="BL120" t="s">
        <v>1</v>
      </c>
      <c r="BM120" t="s">
        <v>1</v>
      </c>
      <c r="BN120" t="s">
        <v>9</v>
      </c>
      <c r="BO120" s="2">
        <v>46121</v>
      </c>
      <c r="BP120" t="s">
        <v>1</v>
      </c>
      <c r="BQ120" t="s">
        <v>2432</v>
      </c>
      <c r="BR120" t="s">
        <v>27</v>
      </c>
      <c r="BS120" t="s">
        <v>1</v>
      </c>
      <c r="BT120" t="s">
        <v>1</v>
      </c>
      <c r="BU120" t="s">
        <v>1</v>
      </c>
      <c r="BV120" t="s">
        <v>1</v>
      </c>
      <c r="BW120" t="s">
        <v>7</v>
      </c>
      <c r="BX120" t="s">
        <v>10</v>
      </c>
      <c r="BY120" s="2"/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254</v>
      </c>
      <c r="CJ120" s="3">
        <v>-106316100</v>
      </c>
      <c r="CK120" t="s">
        <v>9</v>
      </c>
      <c r="CL120" t="s">
        <v>11</v>
      </c>
      <c r="CM120" t="s">
        <v>1</v>
      </c>
      <c r="CN120" s="4">
        <v>0</v>
      </c>
      <c r="CO120" t="s">
        <v>7</v>
      </c>
      <c r="CP120" t="s">
        <v>7</v>
      </c>
      <c r="CQ120" t="s">
        <v>7</v>
      </c>
      <c r="CR120" t="s">
        <v>7</v>
      </c>
      <c r="CS120" s="4">
        <v>0</v>
      </c>
      <c r="CT120" t="s">
        <v>2432</v>
      </c>
      <c r="CU120" t="s">
        <v>7</v>
      </c>
      <c r="CV120" t="s">
        <v>1</v>
      </c>
      <c r="CW120" s="2"/>
      <c r="CX120" t="s">
        <v>12</v>
      </c>
      <c r="CY120" t="s">
        <v>1</v>
      </c>
      <c r="CZ120" t="s">
        <v>13</v>
      </c>
      <c r="DA120" t="s">
        <v>1</v>
      </c>
      <c r="DB120" t="s">
        <v>9</v>
      </c>
      <c r="DC120" t="s">
        <v>9</v>
      </c>
      <c r="DD120" t="s">
        <v>1</v>
      </c>
      <c r="DE120" t="s">
        <v>1</v>
      </c>
      <c r="DF120" t="s">
        <v>1</v>
      </c>
      <c r="DG120" t="s">
        <v>301</v>
      </c>
      <c r="DH120" t="s">
        <v>1</v>
      </c>
      <c r="DI120" s="2"/>
      <c r="DJ120" t="s">
        <v>1</v>
      </c>
      <c r="DK120" t="s">
        <v>14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s="2"/>
      <c r="DW120" t="s">
        <v>1</v>
      </c>
      <c r="DX120" t="s">
        <v>1</v>
      </c>
      <c r="DY120" t="s">
        <v>2436</v>
      </c>
      <c r="DZ120" t="s">
        <v>1</v>
      </c>
      <c r="EA120" t="s">
        <v>1</v>
      </c>
      <c r="EB120" t="s">
        <v>28</v>
      </c>
      <c r="EC120" t="s">
        <v>7</v>
      </c>
      <c r="ED120" t="s">
        <v>1</v>
      </c>
      <c r="EE120" t="s">
        <v>1</v>
      </c>
      <c r="EF120" t="s">
        <v>22</v>
      </c>
      <c r="EG120" t="s">
        <v>41</v>
      </c>
      <c r="EH120" t="s">
        <v>15</v>
      </c>
      <c r="EI120" t="s">
        <v>1</v>
      </c>
      <c r="EJ120" s="4">
        <v>-3300</v>
      </c>
      <c r="EK120" t="s">
        <v>1</v>
      </c>
      <c r="EL120" t="s">
        <v>1</v>
      </c>
      <c r="EM120" t="s">
        <v>1</v>
      </c>
      <c r="EN120" t="s">
        <v>1</v>
      </c>
      <c r="EO120" s="2"/>
      <c r="EP120" t="s">
        <v>2436</v>
      </c>
      <c r="EQ120" t="s">
        <v>1</v>
      </c>
      <c r="ER120" t="s">
        <v>1</v>
      </c>
      <c r="ES120" t="s">
        <v>1</v>
      </c>
      <c r="ET120" t="s">
        <v>29</v>
      </c>
      <c r="EU120" t="s">
        <v>1</v>
      </c>
      <c r="EV120" t="s">
        <v>1</v>
      </c>
      <c r="EW120" t="s">
        <v>7</v>
      </c>
      <c r="EX120" t="s">
        <v>7</v>
      </c>
      <c r="EY120" t="s">
        <v>1</v>
      </c>
      <c r="EZ120" t="s">
        <v>1</v>
      </c>
      <c r="FA120" t="s">
        <v>1</v>
      </c>
      <c r="FB120" s="3">
        <v>50</v>
      </c>
      <c r="FC120" t="s">
        <v>1</v>
      </c>
      <c r="FD120" t="s">
        <v>1</v>
      </c>
      <c r="FE120" t="s">
        <v>1</v>
      </c>
      <c r="FF120" t="s">
        <v>17</v>
      </c>
      <c r="FG120" t="s">
        <v>1</v>
      </c>
      <c r="FH120" t="s">
        <v>1</v>
      </c>
      <c r="FI120" t="s">
        <v>1</v>
      </c>
      <c r="FJ120" t="s">
        <v>1</v>
      </c>
      <c r="FK120" s="7">
        <v>46121.445879629631</v>
      </c>
      <c r="FL120" t="s">
        <v>1</v>
      </c>
      <c r="FM120" t="s">
        <v>1</v>
      </c>
      <c r="FN120" t="s">
        <v>1</v>
      </c>
      <c r="FO120" s="19">
        <v>-106316100</v>
      </c>
      <c r="FP120" s="4">
        <v>0</v>
      </c>
      <c r="FQ120" s="19">
        <v>-106316100</v>
      </c>
      <c r="FR120" s="4">
        <v>0</v>
      </c>
      <c r="FS120" s="4">
        <v>0</v>
      </c>
      <c r="FT120" s="4">
        <v>0</v>
      </c>
      <c r="FU120" s="2">
        <v>46121</v>
      </c>
      <c r="FV120" t="s">
        <v>1</v>
      </c>
      <c r="FW120" s="4">
        <v>0</v>
      </c>
      <c r="FX120" t="s">
        <v>1</v>
      </c>
      <c r="FY120" t="s">
        <v>1</v>
      </c>
      <c r="FZ120" s="4">
        <v>0</v>
      </c>
      <c r="GA120" s="4">
        <v>0</v>
      </c>
      <c r="GB120" t="s">
        <v>2070</v>
      </c>
      <c r="GC120" t="str">
        <f>RIGHT(Data_FAGLL03[[#This Row],[Payment reference]],8)</f>
        <v>91172672</v>
      </c>
      <c r="GD120" t="str">
        <f>IF(Data_FAGLL03[[#This Row],[Billing]]&lt;&gt;"",_xlfn.XLOOKUP(Data_FAGLL03[[#This Row],[Billing]],MD_BILLING_SO[BILIING],MD_BILLING_SO[SO-EDITED]),"")</f>
        <v>30030711</v>
      </c>
      <c r="GE120" s="18">
        <f>IF(SUBSTITUTE(Data_FAGLL03[[#This Row],[Eff.exchange rate]],",","")/100000=1,1,SUBSTITUTE(Data_FAGLL03[[#This Row],[Eff.exchange rate]],",","")/100)</f>
        <v>1</v>
      </c>
      <c r="GF120" s="17">
        <f>IF(Data_FAGLL03[[#This Row],[Material]]&lt;&gt;"",IFERROR(Data_FAGLL03[[#This Row],[Amount in local currency]]/Data_FAGLL03[[#This Row],[Quantity_Original]],0),0)</f>
        <v>32217</v>
      </c>
      <c r="GG120" s="18">
        <f>IF(Data_FAGLL03[[#This Row],[XK/NĐ]]="XK",Data_FAGLL03[[#This Row],[GB trung bình]]/Data_FAGLL03[[#This Row],[EXR]],0)*1000</f>
        <v>0</v>
      </c>
      <c r="GH120" s="18" cm="1">
        <f t="array" ref="GH120">IF(Data_FAGLL03[[#This Row],[Document currency]]&lt;&gt;"VND",Data_FAGLL03[[#This Row],[Amount in doc. curr.]],Data_FAGLL03[[#This Row],[Amount in local currency]]/EXR)</f>
        <v>-4049.8065124153445</v>
      </c>
      <c r="GI120" s="10">
        <f>Data_FAGLL03[[#This Row],[Time Stamp]]+TIME(7,0,0)</f>
        <v>46121.737546296295</v>
      </c>
      <c r="GJ120" s="18">
        <f>MONTH(Data_FAGLL03[[#This Row],[Time Stamp_VN]])</f>
        <v>4</v>
      </c>
      <c r="GK120">
        <f>DAY(Data_FAGLL03[[#This Row],[Time Stamp_VN]])</f>
        <v>9</v>
      </c>
      <c r="GL120" t="str">
        <f>TEXT(Data_FAGLL03[[#This Row],[Tháng]],"00")&amp;" | "&amp;TEXT(Data_FAGLL03[[#This Row],[Ngày]],"00")</f>
        <v>04 | 09</v>
      </c>
      <c r="GM120" s="18">
        <f>IF(Data_FAGLL03[[#This Row],[Text]]="",Data_FAGLL03[[#This Row],[Quantity_Original]],0)</f>
        <v>-3300</v>
      </c>
      <c r="GN120" s="18" t="str">
        <f>IF(Data_FAGLL03[[#This Row],[Quantity_Edited]]&lt;&gt;0,Data_FAGLL03[[#This Row],[Offsetting acct no.]]&amp;" | "&amp;Data_FAGLL03[[#This Row],[Material]],"")</f>
        <v>105303 | 110000359</v>
      </c>
      <c r="GO120" t="str">
        <f>IF(LEFT(Data_FAGLL03[[#This Row],[Offsetting acct no.]],1)="1","NĐ",IF(LEFT(Data_FAGLL03[[#This Row],[Offsetting acct no.]],1)="2","XK","Khác"))</f>
        <v>NĐ</v>
      </c>
      <c r="GP120" t="str">
        <f>IF(Data_FAGLL03[[#This Row],[Material]]&lt;&gt;"",_xlfn.XLOOKUP(Data_FAGLL03[[#This Row],[Material]],MD_SKU[Mã SKU],MD_SKU[Tên SKU]),"")</f>
        <v>Hạt nhựa rPET WSS03G</v>
      </c>
      <c r="GQ120" t="str">
        <f>IF(Data_FAGLL03[[#This Row],[Material]]&lt;&gt;"",_xlfn.XLOOKUP(Data_FAGLL03[[#This Row],[Material]],MD_SKU[Mã SKU],MD_SKU[Nhóm SP 1]),"")</f>
        <v>rPET</v>
      </c>
      <c r="GR120" t="str">
        <f>IF(Data_FAGLL03[[#This Row],[Material]]&lt;&gt;"",_xlfn.XLOOKUP(Data_FAGLL03[[#This Row],[Material]],MD_SKU[Mã SKU],MD_SKU[Nhóm SP 2]),"")</f>
        <v>rPET</v>
      </c>
      <c r="GS120" t="str">
        <f>IF(Data_FAGLL03[[#This Row],[Material]]&lt;&gt;"",_xlfn.XLOOKUP(Data_FAGLL03[[#This Row],[Material]],MD_SKU[Mã SKU],MD_SKU[Nhóm SP 3]),"")</f>
        <v>rPET</v>
      </c>
      <c r="GT120" t="str">
        <f>IF(Data_FAGLL03[[#This Row],[Material]]&lt;&gt;"",_xlfn.XLOOKUP(Data_FAGLL03[[#This Row],[Material]],MD_SKU[Mã SKU],MD_SKU[Nhóm SP 4]),"")</f>
        <v>Hạt rPET</v>
      </c>
    </row>
    <row r="121" spans="1:202" x14ac:dyDescent="0.25">
      <c r="A121" t="s">
        <v>0</v>
      </c>
      <c r="B121" s="2">
        <v>46122</v>
      </c>
      <c r="C121" t="s">
        <v>2437</v>
      </c>
      <c r="D121" t="s">
        <v>1</v>
      </c>
      <c r="E121" t="s">
        <v>1</v>
      </c>
      <c r="F121" t="s">
        <v>31</v>
      </c>
      <c r="G121" t="s">
        <v>31</v>
      </c>
      <c r="H121" t="s">
        <v>2438</v>
      </c>
      <c r="I121" s="19">
        <v>-52549269</v>
      </c>
      <c r="J121" t="s">
        <v>2439</v>
      </c>
      <c r="K121" t="s">
        <v>1</v>
      </c>
      <c r="L121" t="s">
        <v>39</v>
      </c>
      <c r="M121" t="s">
        <v>41</v>
      </c>
      <c r="N121" t="s">
        <v>254</v>
      </c>
      <c r="O121" t="s">
        <v>4</v>
      </c>
      <c r="P121" t="s">
        <v>2440</v>
      </c>
      <c r="Q121" t="s">
        <v>31</v>
      </c>
      <c r="R121" t="s">
        <v>5</v>
      </c>
      <c r="S121" t="s">
        <v>1</v>
      </c>
      <c r="T121" s="3">
        <v>-52549269</v>
      </c>
      <c r="U121" s="19">
        <v>-52549269</v>
      </c>
      <c r="V121" s="3">
        <v>-52549269</v>
      </c>
      <c r="W121" s="3">
        <v>-52549269</v>
      </c>
      <c r="X121" s="4">
        <v>0</v>
      </c>
      <c r="Y121" s="4">
        <v>0</v>
      </c>
      <c r="Z121" s="3">
        <v>0</v>
      </c>
      <c r="AA121" s="3">
        <v>0</v>
      </c>
      <c r="AB121" t="s">
        <v>1</v>
      </c>
      <c r="AC121" t="s">
        <v>24</v>
      </c>
      <c r="AD121" s="2"/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25</v>
      </c>
      <c r="AK121" s="4">
        <v>0</v>
      </c>
      <c r="AL121" t="s">
        <v>1</v>
      </c>
      <c r="AM121" s="5" t="s">
        <v>1</v>
      </c>
      <c r="AN121" t="s">
        <v>1</v>
      </c>
      <c r="AO121" s="2"/>
      <c r="AP121" t="s">
        <v>1</v>
      </c>
      <c r="AQ121" t="s">
        <v>1</v>
      </c>
      <c r="AR121" s="3">
        <v>0</v>
      </c>
      <c r="AS121" t="s">
        <v>1</v>
      </c>
      <c r="AT121" t="s">
        <v>7</v>
      </c>
      <c r="AU121" t="s">
        <v>1</v>
      </c>
      <c r="AV121" t="s">
        <v>1</v>
      </c>
      <c r="AW121" t="s">
        <v>8</v>
      </c>
      <c r="AX121" t="s">
        <v>8</v>
      </c>
      <c r="AY121" t="s">
        <v>1</v>
      </c>
      <c r="AZ121" s="4">
        <v>0</v>
      </c>
      <c r="BA121" t="s">
        <v>1</v>
      </c>
      <c r="BB121" s="3">
        <v>0</v>
      </c>
      <c r="BC121" s="3">
        <v>0</v>
      </c>
      <c r="BD121" s="3">
        <v>0</v>
      </c>
      <c r="BE121" t="s">
        <v>20</v>
      </c>
      <c r="BF121" t="s">
        <v>1</v>
      </c>
      <c r="BG121" s="4">
        <v>0</v>
      </c>
      <c r="BH121" s="4">
        <v>0</v>
      </c>
      <c r="BI121" s="6">
        <v>0</v>
      </c>
      <c r="BJ121" s="6">
        <v>0</v>
      </c>
      <c r="BK121" t="s">
        <v>1</v>
      </c>
      <c r="BL121" t="s">
        <v>1</v>
      </c>
      <c r="BM121" t="s">
        <v>1</v>
      </c>
      <c r="BN121" t="s">
        <v>9</v>
      </c>
      <c r="BO121" s="2">
        <v>46122</v>
      </c>
      <c r="BP121" t="s">
        <v>1</v>
      </c>
      <c r="BQ121" t="s">
        <v>2437</v>
      </c>
      <c r="BR121" t="s">
        <v>27</v>
      </c>
      <c r="BS121" t="s">
        <v>1</v>
      </c>
      <c r="BT121" t="s">
        <v>1</v>
      </c>
      <c r="BU121" t="s">
        <v>1</v>
      </c>
      <c r="BV121" t="s">
        <v>1</v>
      </c>
      <c r="BW121" t="s">
        <v>7</v>
      </c>
      <c r="BX121" t="s">
        <v>10</v>
      </c>
      <c r="BY121" s="2"/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254</v>
      </c>
      <c r="CJ121" s="3">
        <v>-52549269</v>
      </c>
      <c r="CK121" t="s">
        <v>9</v>
      </c>
      <c r="CL121" t="s">
        <v>11</v>
      </c>
      <c r="CM121" t="s">
        <v>1</v>
      </c>
      <c r="CN121" s="4">
        <v>0</v>
      </c>
      <c r="CO121" t="s">
        <v>7</v>
      </c>
      <c r="CP121" t="s">
        <v>7</v>
      </c>
      <c r="CQ121" t="s">
        <v>7</v>
      </c>
      <c r="CR121" t="s">
        <v>7</v>
      </c>
      <c r="CS121" s="4">
        <v>0</v>
      </c>
      <c r="CT121" t="s">
        <v>2437</v>
      </c>
      <c r="CU121" t="s">
        <v>7</v>
      </c>
      <c r="CV121" t="s">
        <v>1</v>
      </c>
      <c r="CW121" s="2"/>
      <c r="CX121" t="s">
        <v>12</v>
      </c>
      <c r="CY121" t="s">
        <v>1</v>
      </c>
      <c r="CZ121" t="s">
        <v>13</v>
      </c>
      <c r="DA121" t="s">
        <v>1</v>
      </c>
      <c r="DB121" t="s">
        <v>9</v>
      </c>
      <c r="DC121" t="s">
        <v>9</v>
      </c>
      <c r="DD121" t="s">
        <v>1</v>
      </c>
      <c r="DE121" t="s">
        <v>1</v>
      </c>
      <c r="DF121" t="s">
        <v>1</v>
      </c>
      <c r="DG121" t="s">
        <v>50</v>
      </c>
      <c r="DH121" t="s">
        <v>1</v>
      </c>
      <c r="DI121" s="2"/>
      <c r="DJ121" t="s">
        <v>1</v>
      </c>
      <c r="DK121" t="s">
        <v>14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s="2"/>
      <c r="DW121" t="s">
        <v>1</v>
      </c>
      <c r="DX121" t="s">
        <v>1</v>
      </c>
      <c r="DY121" t="s">
        <v>2441</v>
      </c>
      <c r="DZ121" t="s">
        <v>1</v>
      </c>
      <c r="EA121" t="s">
        <v>1</v>
      </c>
      <c r="EB121" t="s">
        <v>28</v>
      </c>
      <c r="EC121" t="s">
        <v>7</v>
      </c>
      <c r="ED121" t="s">
        <v>1</v>
      </c>
      <c r="EE121" t="s">
        <v>1</v>
      </c>
      <c r="EF121" t="s">
        <v>22</v>
      </c>
      <c r="EG121" t="s">
        <v>41</v>
      </c>
      <c r="EH121" t="s">
        <v>15</v>
      </c>
      <c r="EI121" t="s">
        <v>1</v>
      </c>
      <c r="EJ121" s="4">
        <v>-1375</v>
      </c>
      <c r="EK121" t="s">
        <v>1</v>
      </c>
      <c r="EL121" t="s">
        <v>1</v>
      </c>
      <c r="EM121" t="s">
        <v>1</v>
      </c>
      <c r="EN121" t="s">
        <v>1</v>
      </c>
      <c r="EO121" s="2"/>
      <c r="EP121" t="s">
        <v>2441</v>
      </c>
      <c r="EQ121" t="s">
        <v>1</v>
      </c>
      <c r="ER121" t="s">
        <v>1</v>
      </c>
      <c r="ES121" t="s">
        <v>1</v>
      </c>
      <c r="ET121" t="s">
        <v>29</v>
      </c>
      <c r="EU121" t="s">
        <v>1</v>
      </c>
      <c r="EV121" t="s">
        <v>1</v>
      </c>
      <c r="EW121" t="s">
        <v>7</v>
      </c>
      <c r="EX121" t="s">
        <v>7</v>
      </c>
      <c r="EY121" t="s">
        <v>1</v>
      </c>
      <c r="EZ121" t="s">
        <v>1</v>
      </c>
      <c r="FA121" t="s">
        <v>1</v>
      </c>
      <c r="FB121" s="3">
        <v>50</v>
      </c>
      <c r="FC121" t="s">
        <v>1</v>
      </c>
      <c r="FD121" t="s">
        <v>1</v>
      </c>
      <c r="FE121" t="s">
        <v>1</v>
      </c>
      <c r="FF121" t="s">
        <v>17</v>
      </c>
      <c r="FG121" t="s">
        <v>1</v>
      </c>
      <c r="FH121" t="s">
        <v>1</v>
      </c>
      <c r="FI121" t="s">
        <v>1</v>
      </c>
      <c r="FJ121" t="s">
        <v>1</v>
      </c>
      <c r="FK121" s="7">
        <v>46122.079710648148</v>
      </c>
      <c r="FL121" t="s">
        <v>1</v>
      </c>
      <c r="FM121" t="s">
        <v>1</v>
      </c>
      <c r="FN121" t="s">
        <v>1</v>
      </c>
      <c r="FO121" s="19">
        <v>-52549269</v>
      </c>
      <c r="FP121" s="4">
        <v>0</v>
      </c>
      <c r="FQ121" s="19">
        <v>-52549269</v>
      </c>
      <c r="FR121" s="4">
        <v>0</v>
      </c>
      <c r="FS121" s="4">
        <v>0</v>
      </c>
      <c r="FT121" s="4">
        <v>0</v>
      </c>
      <c r="FU121" s="2">
        <v>46122</v>
      </c>
      <c r="FV121" t="s">
        <v>1</v>
      </c>
      <c r="FW121" s="4">
        <v>0</v>
      </c>
      <c r="FX121" t="s">
        <v>1</v>
      </c>
      <c r="FY121" t="s">
        <v>1</v>
      </c>
      <c r="FZ121" s="4">
        <v>0</v>
      </c>
      <c r="GA121" s="4">
        <v>0</v>
      </c>
      <c r="GB121" t="s">
        <v>2070</v>
      </c>
      <c r="GC121" t="str">
        <f>RIGHT(Data_FAGLL03[[#This Row],[Payment reference]],8)</f>
        <v>91172674</v>
      </c>
      <c r="GD121" t="str">
        <f>IF(Data_FAGLL03[[#This Row],[Billing]]&lt;&gt;"",_xlfn.XLOOKUP(Data_FAGLL03[[#This Row],[Billing]],MD_BILLING_SO[BILIING],MD_BILLING_SO[SO-EDITED]),"")</f>
        <v>30030739</v>
      </c>
      <c r="GE121" s="18">
        <f>IF(SUBSTITUTE(Data_FAGLL03[[#This Row],[Eff.exchange rate]],",","")/100000=1,1,SUBSTITUTE(Data_FAGLL03[[#This Row],[Eff.exchange rate]],",","")/100)</f>
        <v>1</v>
      </c>
      <c r="GF121" s="17">
        <f>IF(Data_FAGLL03[[#This Row],[Material]]&lt;&gt;"",IFERROR(Data_FAGLL03[[#This Row],[Amount in local currency]]/Data_FAGLL03[[#This Row],[Quantity_Original]],0),0)</f>
        <v>38217.650181818179</v>
      </c>
      <c r="GG121" s="18">
        <f>IF(Data_FAGLL03[[#This Row],[XK/NĐ]]="XK",Data_FAGLL03[[#This Row],[GB trung bình]]/Data_FAGLL03[[#This Row],[EXR]],0)*1000</f>
        <v>0</v>
      </c>
      <c r="GH121" s="18" cm="1">
        <f t="array" ref="GH121">IF(Data_FAGLL03[[#This Row],[Document currency]]&lt;&gt;"VND",Data_FAGLL03[[#This Row],[Amount in doc. curr.]],Data_FAGLL03[[#This Row],[Amount in local currency]]/EXR)</f>
        <v>-2001.7134923014087</v>
      </c>
      <c r="GI121" s="10">
        <f>Data_FAGLL03[[#This Row],[Time Stamp]]+TIME(7,0,0)</f>
        <v>46122.371377314812</v>
      </c>
      <c r="GJ121" s="18">
        <f>MONTH(Data_FAGLL03[[#This Row],[Time Stamp_VN]])</f>
        <v>4</v>
      </c>
      <c r="GK121">
        <f>DAY(Data_FAGLL03[[#This Row],[Time Stamp_VN]])</f>
        <v>10</v>
      </c>
      <c r="GL121" t="str">
        <f>TEXT(Data_FAGLL03[[#This Row],[Tháng]],"00")&amp;" | "&amp;TEXT(Data_FAGLL03[[#This Row],[Ngày]],"00")</f>
        <v>04 | 10</v>
      </c>
      <c r="GM121" s="18">
        <f>IF(Data_FAGLL03[[#This Row],[Text]]="",Data_FAGLL03[[#This Row],[Quantity_Original]],0)</f>
        <v>-1375</v>
      </c>
      <c r="GN121" s="18" t="str">
        <f>IF(Data_FAGLL03[[#This Row],[Quantity_Edited]]&lt;&gt;0,Data_FAGLL03[[#This Row],[Offsetting acct no.]]&amp;" | "&amp;Data_FAGLL03[[#This Row],[Material]],"")</f>
        <v>105189 | 110000374</v>
      </c>
      <c r="GO121" t="str">
        <f>IF(LEFT(Data_FAGLL03[[#This Row],[Offsetting acct no.]],1)="1","NĐ",IF(LEFT(Data_FAGLL03[[#This Row],[Offsetting acct no.]],1)="2","XK","Khác"))</f>
        <v>NĐ</v>
      </c>
      <c r="GP121" t="str">
        <f>IF(Data_FAGLL03[[#This Row],[Material]]&lt;&gt;"",_xlfn.XLOOKUP(Data_FAGLL03[[#This Row],[Material]],MD_SKU[Mã SKU],MD_SKU[Tên SKU]),"")</f>
        <v>Hạt Nhựa rHDB03N02</v>
      </c>
      <c r="GQ121" t="str">
        <f>IF(Data_FAGLL03[[#This Row],[Material]]&lt;&gt;"",_xlfn.XLOOKUP(Data_FAGLL03[[#This Row],[Material]],MD_SKU[Mã SKU],MD_SKU[Nhóm SP 1]),"")</f>
        <v>rHDPE</v>
      </c>
      <c r="GR121" t="str">
        <f>IF(Data_FAGLL03[[#This Row],[Material]]&lt;&gt;"",_xlfn.XLOOKUP(Data_FAGLL03[[#This Row],[Material]],MD_SKU[Mã SKU],MD_SKU[Nhóm SP 2]),"")</f>
        <v>rHDPE thổi</v>
      </c>
      <c r="GS121" t="str">
        <f>IF(Data_FAGLL03[[#This Row],[Material]]&lt;&gt;"",_xlfn.XLOOKUP(Data_FAGLL03[[#This Row],[Material]],MD_SKU[Mã SKU],MD_SKU[Nhóm SP 3]),"")</f>
        <v>rHDPE thổi</v>
      </c>
      <c r="GT121" t="str">
        <f>IF(Data_FAGLL03[[#This Row],[Material]]&lt;&gt;"",_xlfn.XLOOKUP(Data_FAGLL03[[#This Row],[Material]],MD_SKU[Mã SKU],MD_SKU[Nhóm SP 4]),"")</f>
        <v>Hạt rHDPE thổi</v>
      </c>
    </row>
    <row r="122" spans="1:202" x14ac:dyDescent="0.25">
      <c r="A122" t="s">
        <v>0</v>
      </c>
      <c r="B122" s="2">
        <v>46122</v>
      </c>
      <c r="C122" t="s">
        <v>2442</v>
      </c>
      <c r="D122" t="s">
        <v>1</v>
      </c>
      <c r="E122" t="s">
        <v>1</v>
      </c>
      <c r="F122" t="s">
        <v>31</v>
      </c>
      <c r="G122" t="s">
        <v>31</v>
      </c>
      <c r="H122" t="s">
        <v>2047</v>
      </c>
      <c r="I122" s="19">
        <v>-964049900</v>
      </c>
      <c r="J122" t="s">
        <v>2048</v>
      </c>
      <c r="K122" t="s">
        <v>1</v>
      </c>
      <c r="L122" t="s">
        <v>39</v>
      </c>
      <c r="M122" t="s">
        <v>41</v>
      </c>
      <c r="N122" t="s">
        <v>254</v>
      </c>
      <c r="O122" t="s">
        <v>4</v>
      </c>
      <c r="P122" t="s">
        <v>2443</v>
      </c>
      <c r="Q122" t="s">
        <v>31</v>
      </c>
      <c r="R122" t="s">
        <v>5</v>
      </c>
      <c r="S122" t="s">
        <v>1</v>
      </c>
      <c r="T122" s="3">
        <v>-964049900</v>
      </c>
      <c r="U122" s="19">
        <v>-964049900</v>
      </c>
      <c r="V122" s="3">
        <v>-964049900</v>
      </c>
      <c r="W122" s="3">
        <v>-964049900</v>
      </c>
      <c r="X122" s="4">
        <v>0</v>
      </c>
      <c r="Y122" s="4">
        <v>0</v>
      </c>
      <c r="Z122" s="3">
        <v>0</v>
      </c>
      <c r="AA122" s="3">
        <v>0</v>
      </c>
      <c r="AB122" t="s">
        <v>1</v>
      </c>
      <c r="AC122" t="s">
        <v>24</v>
      </c>
      <c r="AD122" s="2"/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25</v>
      </c>
      <c r="AK122" s="4">
        <v>0</v>
      </c>
      <c r="AL122" t="s">
        <v>1</v>
      </c>
      <c r="AM122" s="5" t="s">
        <v>1</v>
      </c>
      <c r="AN122" t="s">
        <v>1</v>
      </c>
      <c r="AO122" s="2"/>
      <c r="AP122" t="s">
        <v>1</v>
      </c>
      <c r="AQ122" t="s">
        <v>1</v>
      </c>
      <c r="AR122" s="3">
        <v>0</v>
      </c>
      <c r="AS122" t="s">
        <v>1</v>
      </c>
      <c r="AT122" t="s">
        <v>7</v>
      </c>
      <c r="AU122" t="s">
        <v>1</v>
      </c>
      <c r="AV122" t="s">
        <v>1</v>
      </c>
      <c r="AW122" t="s">
        <v>8</v>
      </c>
      <c r="AX122" t="s">
        <v>8</v>
      </c>
      <c r="AY122" t="s">
        <v>1</v>
      </c>
      <c r="AZ122" s="4">
        <v>0</v>
      </c>
      <c r="BA122" t="s">
        <v>1</v>
      </c>
      <c r="BB122" s="3">
        <v>0</v>
      </c>
      <c r="BC122" s="3">
        <v>0</v>
      </c>
      <c r="BD122" s="3">
        <v>0</v>
      </c>
      <c r="BE122" t="s">
        <v>20</v>
      </c>
      <c r="BF122" t="s">
        <v>1</v>
      </c>
      <c r="BG122" s="4">
        <v>0</v>
      </c>
      <c r="BH122" s="4">
        <v>0</v>
      </c>
      <c r="BI122" s="6">
        <v>0</v>
      </c>
      <c r="BJ122" s="6">
        <v>0</v>
      </c>
      <c r="BK122" t="s">
        <v>1</v>
      </c>
      <c r="BL122" t="s">
        <v>1</v>
      </c>
      <c r="BM122" t="s">
        <v>1</v>
      </c>
      <c r="BN122" t="s">
        <v>9</v>
      </c>
      <c r="BO122" s="2">
        <v>46122</v>
      </c>
      <c r="BP122" t="s">
        <v>1</v>
      </c>
      <c r="BQ122" t="s">
        <v>2442</v>
      </c>
      <c r="BR122" t="s">
        <v>27</v>
      </c>
      <c r="BS122" t="s">
        <v>1</v>
      </c>
      <c r="BT122" t="s">
        <v>1</v>
      </c>
      <c r="BU122" t="s">
        <v>1</v>
      </c>
      <c r="BV122" t="s">
        <v>1</v>
      </c>
      <c r="BW122" t="s">
        <v>7</v>
      </c>
      <c r="BX122" t="s">
        <v>10</v>
      </c>
      <c r="BY122" s="2"/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254</v>
      </c>
      <c r="CJ122" s="3">
        <v>-964049900</v>
      </c>
      <c r="CK122" t="s">
        <v>9</v>
      </c>
      <c r="CL122" t="s">
        <v>11</v>
      </c>
      <c r="CM122" t="s">
        <v>1</v>
      </c>
      <c r="CN122" s="4">
        <v>0</v>
      </c>
      <c r="CO122" t="s">
        <v>7</v>
      </c>
      <c r="CP122" t="s">
        <v>7</v>
      </c>
      <c r="CQ122" t="s">
        <v>7</v>
      </c>
      <c r="CR122" t="s">
        <v>7</v>
      </c>
      <c r="CS122" s="4">
        <v>0</v>
      </c>
      <c r="CT122" t="s">
        <v>2442</v>
      </c>
      <c r="CU122" t="s">
        <v>7</v>
      </c>
      <c r="CV122" t="s">
        <v>1</v>
      </c>
      <c r="CW122" s="2"/>
      <c r="CX122" t="s">
        <v>12</v>
      </c>
      <c r="CY122" t="s">
        <v>1</v>
      </c>
      <c r="CZ122" t="s">
        <v>13</v>
      </c>
      <c r="DA122" t="s">
        <v>1</v>
      </c>
      <c r="DB122" t="s">
        <v>9</v>
      </c>
      <c r="DC122" t="s">
        <v>9</v>
      </c>
      <c r="DD122" t="s">
        <v>1</v>
      </c>
      <c r="DE122" t="s">
        <v>1</v>
      </c>
      <c r="DF122" t="s">
        <v>1</v>
      </c>
      <c r="DG122" t="s">
        <v>301</v>
      </c>
      <c r="DH122" t="s">
        <v>1</v>
      </c>
      <c r="DI122" s="2"/>
      <c r="DJ122" t="s">
        <v>1</v>
      </c>
      <c r="DK122" t="s">
        <v>14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s="2"/>
      <c r="DW122" t="s">
        <v>1</v>
      </c>
      <c r="DX122" t="s">
        <v>1</v>
      </c>
      <c r="DY122" t="s">
        <v>2444</v>
      </c>
      <c r="DZ122" t="s">
        <v>1</v>
      </c>
      <c r="EA122" t="s">
        <v>1</v>
      </c>
      <c r="EB122" t="s">
        <v>28</v>
      </c>
      <c r="EC122" t="s">
        <v>7</v>
      </c>
      <c r="ED122" t="s">
        <v>1</v>
      </c>
      <c r="EE122" t="s">
        <v>1</v>
      </c>
      <c r="EF122" t="s">
        <v>22</v>
      </c>
      <c r="EG122" t="s">
        <v>41</v>
      </c>
      <c r="EH122" t="s">
        <v>15</v>
      </c>
      <c r="EI122" t="s">
        <v>1</v>
      </c>
      <c r="EJ122" s="4">
        <v>-31900</v>
      </c>
      <c r="EK122" t="s">
        <v>1</v>
      </c>
      <c r="EL122" t="s">
        <v>1</v>
      </c>
      <c r="EM122" t="s">
        <v>1</v>
      </c>
      <c r="EN122" t="s">
        <v>1</v>
      </c>
      <c r="EO122" s="2"/>
      <c r="EP122" t="s">
        <v>2444</v>
      </c>
      <c r="EQ122" t="s">
        <v>1</v>
      </c>
      <c r="ER122" t="s">
        <v>1</v>
      </c>
      <c r="ES122" t="s">
        <v>1</v>
      </c>
      <c r="ET122" t="s">
        <v>29</v>
      </c>
      <c r="EU122" t="s">
        <v>1</v>
      </c>
      <c r="EV122" t="s">
        <v>1</v>
      </c>
      <c r="EW122" t="s">
        <v>7</v>
      </c>
      <c r="EX122" t="s">
        <v>7</v>
      </c>
      <c r="EY122" t="s">
        <v>1</v>
      </c>
      <c r="EZ122" t="s">
        <v>1</v>
      </c>
      <c r="FA122" t="s">
        <v>1</v>
      </c>
      <c r="FB122" s="3">
        <v>50</v>
      </c>
      <c r="FC122" t="s">
        <v>1</v>
      </c>
      <c r="FD122" t="s">
        <v>1</v>
      </c>
      <c r="FE122" t="s">
        <v>1</v>
      </c>
      <c r="FF122" t="s">
        <v>17</v>
      </c>
      <c r="FG122" t="s">
        <v>1</v>
      </c>
      <c r="FH122" t="s">
        <v>1</v>
      </c>
      <c r="FI122" t="s">
        <v>1</v>
      </c>
      <c r="FJ122" t="s">
        <v>1</v>
      </c>
      <c r="FK122" s="7">
        <v>46122.368622685186</v>
      </c>
      <c r="FL122" t="s">
        <v>1</v>
      </c>
      <c r="FM122" t="s">
        <v>1</v>
      </c>
      <c r="FN122" t="s">
        <v>1</v>
      </c>
      <c r="FO122" s="19">
        <v>-964049900</v>
      </c>
      <c r="FP122" s="4">
        <v>0</v>
      </c>
      <c r="FQ122" s="19">
        <v>-964049900</v>
      </c>
      <c r="FR122" s="4">
        <v>0</v>
      </c>
      <c r="FS122" s="4">
        <v>0</v>
      </c>
      <c r="FT122" s="4">
        <v>0</v>
      </c>
      <c r="FU122" s="2">
        <v>46122</v>
      </c>
      <c r="FV122" t="s">
        <v>1</v>
      </c>
      <c r="FW122" s="4">
        <v>0</v>
      </c>
      <c r="FX122" t="s">
        <v>1</v>
      </c>
      <c r="FY122" t="s">
        <v>1</v>
      </c>
      <c r="FZ122" s="4">
        <v>0</v>
      </c>
      <c r="GA122" s="4">
        <v>0</v>
      </c>
      <c r="GB122" t="s">
        <v>2070</v>
      </c>
      <c r="GC122" t="str">
        <f>RIGHT(Data_FAGLL03[[#This Row],[Payment reference]],8)</f>
        <v>91172682</v>
      </c>
      <c r="GD122" t="str">
        <f>IF(Data_FAGLL03[[#This Row],[Billing]]&lt;&gt;"",_xlfn.XLOOKUP(Data_FAGLL03[[#This Row],[Billing]],MD_BILLING_SO[BILIING],MD_BILLING_SO[SO-EDITED]),"")</f>
        <v>30030673</v>
      </c>
      <c r="GE122" s="18">
        <f>IF(SUBSTITUTE(Data_FAGLL03[[#This Row],[Eff.exchange rate]],",","")/100000=1,1,SUBSTITUTE(Data_FAGLL03[[#This Row],[Eff.exchange rate]],",","")/100)</f>
        <v>1</v>
      </c>
      <c r="GF122" s="17">
        <f>IF(Data_FAGLL03[[#This Row],[Material]]&lt;&gt;"",IFERROR(Data_FAGLL03[[#This Row],[Amount in local currency]]/Data_FAGLL03[[#This Row],[Quantity_Original]],0),0)</f>
        <v>30221</v>
      </c>
      <c r="GG122" s="18">
        <f>IF(Data_FAGLL03[[#This Row],[XK/NĐ]]="XK",Data_FAGLL03[[#This Row],[GB trung bình]]/Data_FAGLL03[[#This Row],[EXR]],0)*1000</f>
        <v>0</v>
      </c>
      <c r="GH122" s="18" cm="1">
        <f t="array" ref="GH122">IF(Data_FAGLL03[[#This Row],[Document currency]]&lt;&gt;"VND",Data_FAGLL03[[#This Row],[Amount in doc. curr.]],Data_FAGLL03[[#This Row],[Amount in local currency]]/EXR)</f>
        <v>-36722.712395520168</v>
      </c>
      <c r="GI122" s="10">
        <f>Data_FAGLL03[[#This Row],[Time Stamp]]+TIME(7,0,0)</f>
        <v>46122.66028935185</v>
      </c>
      <c r="GJ122" s="18">
        <f>MONTH(Data_FAGLL03[[#This Row],[Time Stamp_VN]])</f>
        <v>4</v>
      </c>
      <c r="GK122">
        <f>DAY(Data_FAGLL03[[#This Row],[Time Stamp_VN]])</f>
        <v>10</v>
      </c>
      <c r="GL122" t="str">
        <f>TEXT(Data_FAGLL03[[#This Row],[Tháng]],"00")&amp;" | "&amp;TEXT(Data_FAGLL03[[#This Row],[Ngày]],"00")</f>
        <v>04 | 10</v>
      </c>
      <c r="GM122" s="18">
        <f>IF(Data_FAGLL03[[#This Row],[Text]]="",Data_FAGLL03[[#This Row],[Quantity_Original]],0)</f>
        <v>-31900</v>
      </c>
      <c r="GN122" s="18" t="str">
        <f>IF(Data_FAGLL03[[#This Row],[Quantity_Edited]]&lt;&gt;0,Data_FAGLL03[[#This Row],[Offsetting acct no.]]&amp;" | "&amp;Data_FAGLL03[[#This Row],[Material]],"")</f>
        <v>104877 | 110000359</v>
      </c>
      <c r="GO122" t="str">
        <f>IF(LEFT(Data_FAGLL03[[#This Row],[Offsetting acct no.]],1)="1","NĐ",IF(LEFT(Data_FAGLL03[[#This Row],[Offsetting acct no.]],1)="2","XK","Khác"))</f>
        <v>NĐ</v>
      </c>
      <c r="GP122" t="str">
        <f>IF(Data_FAGLL03[[#This Row],[Material]]&lt;&gt;"",_xlfn.XLOOKUP(Data_FAGLL03[[#This Row],[Material]],MD_SKU[Mã SKU],MD_SKU[Tên SKU]),"")</f>
        <v>Hạt nhựa rPET WSS03G</v>
      </c>
      <c r="GQ122" t="str">
        <f>IF(Data_FAGLL03[[#This Row],[Material]]&lt;&gt;"",_xlfn.XLOOKUP(Data_FAGLL03[[#This Row],[Material]],MD_SKU[Mã SKU],MD_SKU[Nhóm SP 1]),"")</f>
        <v>rPET</v>
      </c>
      <c r="GR122" t="str">
        <f>IF(Data_FAGLL03[[#This Row],[Material]]&lt;&gt;"",_xlfn.XLOOKUP(Data_FAGLL03[[#This Row],[Material]],MD_SKU[Mã SKU],MD_SKU[Nhóm SP 2]),"")</f>
        <v>rPET</v>
      </c>
      <c r="GS122" t="str">
        <f>IF(Data_FAGLL03[[#This Row],[Material]]&lt;&gt;"",_xlfn.XLOOKUP(Data_FAGLL03[[#This Row],[Material]],MD_SKU[Mã SKU],MD_SKU[Nhóm SP 3]),"")</f>
        <v>rPET</v>
      </c>
      <c r="GT122" t="str">
        <f>IF(Data_FAGLL03[[#This Row],[Material]]&lt;&gt;"",_xlfn.XLOOKUP(Data_FAGLL03[[#This Row],[Material]],MD_SKU[Mã SKU],MD_SKU[Nhóm SP 4]),"")</f>
        <v>Hạt rPET</v>
      </c>
    </row>
    <row r="123" spans="1:202" x14ac:dyDescent="0.25">
      <c r="A123" t="s">
        <v>0</v>
      </c>
      <c r="B123" s="2">
        <v>46122</v>
      </c>
      <c r="C123" t="s">
        <v>2445</v>
      </c>
      <c r="D123" t="s">
        <v>1</v>
      </c>
      <c r="E123" t="s">
        <v>1</v>
      </c>
      <c r="F123" t="s">
        <v>31</v>
      </c>
      <c r="G123" t="s">
        <v>31</v>
      </c>
      <c r="H123" t="s">
        <v>2047</v>
      </c>
      <c r="I123" s="19">
        <v>-964049900</v>
      </c>
      <c r="J123" t="s">
        <v>2048</v>
      </c>
      <c r="K123" t="s">
        <v>1</v>
      </c>
      <c r="L123" t="s">
        <v>39</v>
      </c>
      <c r="M123" t="s">
        <v>41</v>
      </c>
      <c r="N123" t="s">
        <v>254</v>
      </c>
      <c r="O123" t="s">
        <v>4</v>
      </c>
      <c r="P123" t="s">
        <v>2446</v>
      </c>
      <c r="Q123" t="s">
        <v>31</v>
      </c>
      <c r="R123" t="s">
        <v>5</v>
      </c>
      <c r="S123" t="s">
        <v>1</v>
      </c>
      <c r="T123" s="3">
        <v>-964049900</v>
      </c>
      <c r="U123" s="19">
        <v>-964049900</v>
      </c>
      <c r="V123" s="3">
        <v>-964049900</v>
      </c>
      <c r="W123" s="3">
        <v>-964049900</v>
      </c>
      <c r="X123" s="4">
        <v>0</v>
      </c>
      <c r="Y123" s="4">
        <v>0</v>
      </c>
      <c r="Z123" s="3">
        <v>0</v>
      </c>
      <c r="AA123" s="3">
        <v>0</v>
      </c>
      <c r="AB123" t="s">
        <v>1</v>
      </c>
      <c r="AC123" t="s">
        <v>24</v>
      </c>
      <c r="AD123" s="2"/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25</v>
      </c>
      <c r="AK123" s="4">
        <v>0</v>
      </c>
      <c r="AL123" t="s">
        <v>1</v>
      </c>
      <c r="AM123" s="5" t="s">
        <v>1</v>
      </c>
      <c r="AN123" t="s">
        <v>1</v>
      </c>
      <c r="AO123" s="2"/>
      <c r="AP123" t="s">
        <v>1</v>
      </c>
      <c r="AQ123" t="s">
        <v>1</v>
      </c>
      <c r="AR123" s="3">
        <v>0</v>
      </c>
      <c r="AS123" t="s">
        <v>1</v>
      </c>
      <c r="AT123" t="s">
        <v>7</v>
      </c>
      <c r="AU123" t="s">
        <v>1</v>
      </c>
      <c r="AV123" t="s">
        <v>1</v>
      </c>
      <c r="AW123" t="s">
        <v>8</v>
      </c>
      <c r="AX123" t="s">
        <v>8</v>
      </c>
      <c r="AY123" t="s">
        <v>1</v>
      </c>
      <c r="AZ123" s="4">
        <v>0</v>
      </c>
      <c r="BA123" t="s">
        <v>1</v>
      </c>
      <c r="BB123" s="3">
        <v>0</v>
      </c>
      <c r="BC123" s="3">
        <v>0</v>
      </c>
      <c r="BD123" s="3">
        <v>0</v>
      </c>
      <c r="BE123" t="s">
        <v>20</v>
      </c>
      <c r="BF123" t="s">
        <v>1</v>
      </c>
      <c r="BG123" s="4">
        <v>0</v>
      </c>
      <c r="BH123" s="4">
        <v>0</v>
      </c>
      <c r="BI123" s="6">
        <v>0</v>
      </c>
      <c r="BJ123" s="6">
        <v>0</v>
      </c>
      <c r="BK123" t="s">
        <v>1</v>
      </c>
      <c r="BL123" t="s">
        <v>1</v>
      </c>
      <c r="BM123" t="s">
        <v>1</v>
      </c>
      <c r="BN123" t="s">
        <v>9</v>
      </c>
      <c r="BO123" s="2">
        <v>46122</v>
      </c>
      <c r="BP123" t="s">
        <v>1</v>
      </c>
      <c r="BQ123" t="s">
        <v>2445</v>
      </c>
      <c r="BR123" t="s">
        <v>27</v>
      </c>
      <c r="BS123" t="s">
        <v>1</v>
      </c>
      <c r="BT123" t="s">
        <v>1</v>
      </c>
      <c r="BU123" t="s">
        <v>1</v>
      </c>
      <c r="BV123" t="s">
        <v>1</v>
      </c>
      <c r="BW123" t="s">
        <v>7</v>
      </c>
      <c r="BX123" t="s">
        <v>10</v>
      </c>
      <c r="BY123" s="2"/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254</v>
      </c>
      <c r="CJ123" s="3">
        <v>-964049900</v>
      </c>
      <c r="CK123" t="s">
        <v>9</v>
      </c>
      <c r="CL123" t="s">
        <v>11</v>
      </c>
      <c r="CM123" t="s">
        <v>1</v>
      </c>
      <c r="CN123" s="4">
        <v>0</v>
      </c>
      <c r="CO123" t="s">
        <v>7</v>
      </c>
      <c r="CP123" t="s">
        <v>7</v>
      </c>
      <c r="CQ123" t="s">
        <v>7</v>
      </c>
      <c r="CR123" t="s">
        <v>7</v>
      </c>
      <c r="CS123" s="4">
        <v>0</v>
      </c>
      <c r="CT123" t="s">
        <v>2445</v>
      </c>
      <c r="CU123" t="s">
        <v>7</v>
      </c>
      <c r="CV123" t="s">
        <v>1</v>
      </c>
      <c r="CW123" s="2"/>
      <c r="CX123" t="s">
        <v>12</v>
      </c>
      <c r="CY123" t="s">
        <v>1</v>
      </c>
      <c r="CZ123" t="s">
        <v>13</v>
      </c>
      <c r="DA123" t="s">
        <v>1</v>
      </c>
      <c r="DB123" t="s">
        <v>9</v>
      </c>
      <c r="DC123" t="s">
        <v>9</v>
      </c>
      <c r="DD123" t="s">
        <v>1</v>
      </c>
      <c r="DE123" t="s">
        <v>1</v>
      </c>
      <c r="DF123" t="s">
        <v>1</v>
      </c>
      <c r="DG123" t="s">
        <v>301</v>
      </c>
      <c r="DH123" t="s">
        <v>1</v>
      </c>
      <c r="DI123" s="2"/>
      <c r="DJ123" t="s">
        <v>1</v>
      </c>
      <c r="DK123" t="s">
        <v>14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s="2"/>
      <c r="DW123" t="s">
        <v>1</v>
      </c>
      <c r="DX123" t="s">
        <v>1</v>
      </c>
      <c r="DY123" t="s">
        <v>2447</v>
      </c>
      <c r="DZ123" t="s">
        <v>1</v>
      </c>
      <c r="EA123" t="s">
        <v>1</v>
      </c>
      <c r="EB123" t="s">
        <v>28</v>
      </c>
      <c r="EC123" t="s">
        <v>7</v>
      </c>
      <c r="ED123" t="s">
        <v>1</v>
      </c>
      <c r="EE123" t="s">
        <v>1</v>
      </c>
      <c r="EF123" t="s">
        <v>22</v>
      </c>
      <c r="EG123" t="s">
        <v>41</v>
      </c>
      <c r="EH123" t="s">
        <v>15</v>
      </c>
      <c r="EI123" t="s">
        <v>1</v>
      </c>
      <c r="EJ123" s="4">
        <v>-31900</v>
      </c>
      <c r="EK123" t="s">
        <v>1</v>
      </c>
      <c r="EL123" t="s">
        <v>1</v>
      </c>
      <c r="EM123" t="s">
        <v>1</v>
      </c>
      <c r="EN123" t="s">
        <v>1</v>
      </c>
      <c r="EO123" s="2"/>
      <c r="EP123" t="s">
        <v>2447</v>
      </c>
      <c r="EQ123" t="s">
        <v>1</v>
      </c>
      <c r="ER123" t="s">
        <v>1</v>
      </c>
      <c r="ES123" t="s">
        <v>1</v>
      </c>
      <c r="ET123" t="s">
        <v>29</v>
      </c>
      <c r="EU123" t="s">
        <v>1</v>
      </c>
      <c r="EV123" t="s">
        <v>1</v>
      </c>
      <c r="EW123" t="s">
        <v>7</v>
      </c>
      <c r="EX123" t="s">
        <v>7</v>
      </c>
      <c r="EY123" t="s">
        <v>1</v>
      </c>
      <c r="EZ123" t="s">
        <v>1</v>
      </c>
      <c r="FA123" t="s">
        <v>1</v>
      </c>
      <c r="FB123" s="3">
        <v>50</v>
      </c>
      <c r="FC123" t="s">
        <v>1</v>
      </c>
      <c r="FD123" t="s">
        <v>1</v>
      </c>
      <c r="FE123" t="s">
        <v>1</v>
      </c>
      <c r="FF123" t="s">
        <v>17</v>
      </c>
      <c r="FG123" t="s">
        <v>1</v>
      </c>
      <c r="FH123" t="s">
        <v>1</v>
      </c>
      <c r="FI123" t="s">
        <v>1</v>
      </c>
      <c r="FJ123" t="s">
        <v>1</v>
      </c>
      <c r="FK123" s="7">
        <v>46122.368784722225</v>
      </c>
      <c r="FL123" t="s">
        <v>1</v>
      </c>
      <c r="FM123" t="s">
        <v>1</v>
      </c>
      <c r="FN123" t="s">
        <v>1</v>
      </c>
      <c r="FO123" s="19">
        <v>-964049900</v>
      </c>
      <c r="FP123" s="4">
        <v>0</v>
      </c>
      <c r="FQ123" s="19">
        <v>-964049900</v>
      </c>
      <c r="FR123" s="4">
        <v>0</v>
      </c>
      <c r="FS123" s="4">
        <v>0</v>
      </c>
      <c r="FT123" s="4">
        <v>0</v>
      </c>
      <c r="FU123" s="2">
        <v>46122</v>
      </c>
      <c r="FV123" t="s">
        <v>1</v>
      </c>
      <c r="FW123" s="4">
        <v>0</v>
      </c>
      <c r="FX123" t="s">
        <v>1</v>
      </c>
      <c r="FY123" t="s">
        <v>1</v>
      </c>
      <c r="FZ123" s="4">
        <v>0</v>
      </c>
      <c r="GA123" s="4">
        <v>0</v>
      </c>
      <c r="GB123" t="s">
        <v>2070</v>
      </c>
      <c r="GC123" t="str">
        <f>RIGHT(Data_FAGLL03[[#This Row],[Payment reference]],8)</f>
        <v>91172683</v>
      </c>
      <c r="GD123" t="str">
        <f>IF(Data_FAGLL03[[#This Row],[Billing]]&lt;&gt;"",_xlfn.XLOOKUP(Data_FAGLL03[[#This Row],[Billing]],MD_BILLING_SO[BILIING],MD_BILLING_SO[SO-EDITED]),"")</f>
        <v>30030673</v>
      </c>
      <c r="GE123" s="18">
        <f>IF(SUBSTITUTE(Data_FAGLL03[[#This Row],[Eff.exchange rate]],",","")/100000=1,1,SUBSTITUTE(Data_FAGLL03[[#This Row],[Eff.exchange rate]],",","")/100)</f>
        <v>1</v>
      </c>
      <c r="GF123" s="17">
        <f>IF(Data_FAGLL03[[#This Row],[Material]]&lt;&gt;"",IFERROR(Data_FAGLL03[[#This Row],[Amount in local currency]]/Data_FAGLL03[[#This Row],[Quantity_Original]],0),0)</f>
        <v>30221</v>
      </c>
      <c r="GG123" s="18">
        <f>IF(Data_FAGLL03[[#This Row],[XK/NĐ]]="XK",Data_FAGLL03[[#This Row],[GB trung bình]]/Data_FAGLL03[[#This Row],[EXR]],0)*1000</f>
        <v>0</v>
      </c>
      <c r="GH123" s="18" cm="1">
        <f t="array" ref="GH123">IF(Data_FAGLL03[[#This Row],[Document currency]]&lt;&gt;"VND",Data_FAGLL03[[#This Row],[Amount in doc. curr.]],Data_FAGLL03[[#This Row],[Amount in local currency]]/EXR)</f>
        <v>-36722.712395520168</v>
      </c>
      <c r="GI123" s="10">
        <f>Data_FAGLL03[[#This Row],[Time Stamp]]+TIME(7,0,0)</f>
        <v>46122.660451388889</v>
      </c>
      <c r="GJ123" s="18">
        <f>MONTH(Data_FAGLL03[[#This Row],[Time Stamp_VN]])</f>
        <v>4</v>
      </c>
      <c r="GK123">
        <f>DAY(Data_FAGLL03[[#This Row],[Time Stamp_VN]])</f>
        <v>10</v>
      </c>
      <c r="GL123" t="str">
        <f>TEXT(Data_FAGLL03[[#This Row],[Tháng]],"00")&amp;" | "&amp;TEXT(Data_FAGLL03[[#This Row],[Ngày]],"00")</f>
        <v>04 | 10</v>
      </c>
      <c r="GM123" s="18">
        <f>IF(Data_FAGLL03[[#This Row],[Text]]="",Data_FAGLL03[[#This Row],[Quantity_Original]],0)</f>
        <v>-31900</v>
      </c>
      <c r="GN123" s="18" t="str">
        <f>IF(Data_FAGLL03[[#This Row],[Quantity_Edited]]&lt;&gt;0,Data_FAGLL03[[#This Row],[Offsetting acct no.]]&amp;" | "&amp;Data_FAGLL03[[#This Row],[Material]],"")</f>
        <v>104877 | 110000359</v>
      </c>
      <c r="GO123" t="str">
        <f>IF(LEFT(Data_FAGLL03[[#This Row],[Offsetting acct no.]],1)="1","NĐ",IF(LEFT(Data_FAGLL03[[#This Row],[Offsetting acct no.]],1)="2","XK","Khác"))</f>
        <v>NĐ</v>
      </c>
      <c r="GP123" t="str">
        <f>IF(Data_FAGLL03[[#This Row],[Material]]&lt;&gt;"",_xlfn.XLOOKUP(Data_FAGLL03[[#This Row],[Material]],MD_SKU[Mã SKU],MD_SKU[Tên SKU]),"")</f>
        <v>Hạt nhựa rPET WSS03G</v>
      </c>
      <c r="GQ123" t="str">
        <f>IF(Data_FAGLL03[[#This Row],[Material]]&lt;&gt;"",_xlfn.XLOOKUP(Data_FAGLL03[[#This Row],[Material]],MD_SKU[Mã SKU],MD_SKU[Nhóm SP 1]),"")</f>
        <v>rPET</v>
      </c>
      <c r="GR123" t="str">
        <f>IF(Data_FAGLL03[[#This Row],[Material]]&lt;&gt;"",_xlfn.XLOOKUP(Data_FAGLL03[[#This Row],[Material]],MD_SKU[Mã SKU],MD_SKU[Nhóm SP 2]),"")</f>
        <v>rPET</v>
      </c>
      <c r="GS123" t="str">
        <f>IF(Data_FAGLL03[[#This Row],[Material]]&lt;&gt;"",_xlfn.XLOOKUP(Data_FAGLL03[[#This Row],[Material]],MD_SKU[Mã SKU],MD_SKU[Nhóm SP 3]),"")</f>
        <v>rPET</v>
      </c>
      <c r="GT123" t="str">
        <f>IF(Data_FAGLL03[[#This Row],[Material]]&lt;&gt;"",_xlfn.XLOOKUP(Data_FAGLL03[[#This Row],[Material]],MD_SKU[Mã SKU],MD_SKU[Nhóm SP 4]),"")</f>
        <v>Hạt rPET</v>
      </c>
    </row>
    <row r="124" spans="1:202" x14ac:dyDescent="0.25">
      <c r="A124" t="s">
        <v>0</v>
      </c>
      <c r="B124" s="2">
        <v>46122</v>
      </c>
      <c r="C124" t="s">
        <v>2448</v>
      </c>
      <c r="D124" t="s">
        <v>1</v>
      </c>
      <c r="E124" t="s">
        <v>1</v>
      </c>
      <c r="F124" t="s">
        <v>31</v>
      </c>
      <c r="G124" t="s">
        <v>31</v>
      </c>
      <c r="H124" t="s">
        <v>2047</v>
      </c>
      <c r="I124" s="19">
        <v>-964049900</v>
      </c>
      <c r="J124" t="s">
        <v>2048</v>
      </c>
      <c r="K124" t="s">
        <v>1</v>
      </c>
      <c r="L124" t="s">
        <v>39</v>
      </c>
      <c r="M124" t="s">
        <v>41</v>
      </c>
      <c r="N124" t="s">
        <v>254</v>
      </c>
      <c r="O124" t="s">
        <v>4</v>
      </c>
      <c r="P124" t="s">
        <v>2449</v>
      </c>
      <c r="Q124" t="s">
        <v>31</v>
      </c>
      <c r="R124" t="s">
        <v>5</v>
      </c>
      <c r="S124" t="s">
        <v>1</v>
      </c>
      <c r="T124" s="3">
        <v>-964049900</v>
      </c>
      <c r="U124" s="19">
        <v>-964049900</v>
      </c>
      <c r="V124" s="3">
        <v>-964049900</v>
      </c>
      <c r="W124" s="3">
        <v>-964049900</v>
      </c>
      <c r="X124" s="4">
        <v>0</v>
      </c>
      <c r="Y124" s="4">
        <v>0</v>
      </c>
      <c r="Z124" s="3">
        <v>0</v>
      </c>
      <c r="AA124" s="3">
        <v>0</v>
      </c>
      <c r="AB124" t="s">
        <v>1</v>
      </c>
      <c r="AC124" t="s">
        <v>24</v>
      </c>
      <c r="AD124" s="2"/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25</v>
      </c>
      <c r="AK124" s="4">
        <v>0</v>
      </c>
      <c r="AL124" t="s">
        <v>1</v>
      </c>
      <c r="AM124" s="5" t="s">
        <v>1</v>
      </c>
      <c r="AN124" t="s">
        <v>1</v>
      </c>
      <c r="AO124" s="2"/>
      <c r="AP124" t="s">
        <v>1</v>
      </c>
      <c r="AQ124" t="s">
        <v>1</v>
      </c>
      <c r="AR124" s="3">
        <v>0</v>
      </c>
      <c r="AS124" t="s">
        <v>1</v>
      </c>
      <c r="AT124" t="s">
        <v>7</v>
      </c>
      <c r="AU124" t="s">
        <v>1</v>
      </c>
      <c r="AV124" t="s">
        <v>1</v>
      </c>
      <c r="AW124" t="s">
        <v>8</v>
      </c>
      <c r="AX124" t="s">
        <v>8</v>
      </c>
      <c r="AY124" t="s">
        <v>1</v>
      </c>
      <c r="AZ124" s="4">
        <v>0</v>
      </c>
      <c r="BA124" t="s">
        <v>1</v>
      </c>
      <c r="BB124" s="3">
        <v>0</v>
      </c>
      <c r="BC124" s="3">
        <v>0</v>
      </c>
      <c r="BD124" s="3">
        <v>0</v>
      </c>
      <c r="BE124" t="s">
        <v>20</v>
      </c>
      <c r="BF124" t="s">
        <v>1</v>
      </c>
      <c r="BG124" s="4">
        <v>0</v>
      </c>
      <c r="BH124" s="4">
        <v>0</v>
      </c>
      <c r="BI124" s="6">
        <v>0</v>
      </c>
      <c r="BJ124" s="6">
        <v>0</v>
      </c>
      <c r="BK124" t="s">
        <v>1</v>
      </c>
      <c r="BL124" t="s">
        <v>1</v>
      </c>
      <c r="BM124" t="s">
        <v>1</v>
      </c>
      <c r="BN124" t="s">
        <v>9</v>
      </c>
      <c r="BO124" s="2">
        <v>46122</v>
      </c>
      <c r="BP124" t="s">
        <v>1</v>
      </c>
      <c r="BQ124" t="s">
        <v>2448</v>
      </c>
      <c r="BR124" t="s">
        <v>27</v>
      </c>
      <c r="BS124" t="s">
        <v>1</v>
      </c>
      <c r="BT124" t="s">
        <v>1</v>
      </c>
      <c r="BU124" t="s">
        <v>1</v>
      </c>
      <c r="BV124" t="s">
        <v>1</v>
      </c>
      <c r="BW124" t="s">
        <v>7</v>
      </c>
      <c r="BX124" t="s">
        <v>10</v>
      </c>
      <c r="BY124" s="2"/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254</v>
      </c>
      <c r="CJ124" s="3">
        <v>-964049900</v>
      </c>
      <c r="CK124" t="s">
        <v>9</v>
      </c>
      <c r="CL124" t="s">
        <v>11</v>
      </c>
      <c r="CM124" t="s">
        <v>1</v>
      </c>
      <c r="CN124" s="4">
        <v>0</v>
      </c>
      <c r="CO124" t="s">
        <v>7</v>
      </c>
      <c r="CP124" t="s">
        <v>7</v>
      </c>
      <c r="CQ124" t="s">
        <v>7</v>
      </c>
      <c r="CR124" t="s">
        <v>7</v>
      </c>
      <c r="CS124" s="4">
        <v>0</v>
      </c>
      <c r="CT124" t="s">
        <v>2448</v>
      </c>
      <c r="CU124" t="s">
        <v>7</v>
      </c>
      <c r="CV124" t="s">
        <v>1</v>
      </c>
      <c r="CW124" s="2"/>
      <c r="CX124" t="s">
        <v>12</v>
      </c>
      <c r="CY124" t="s">
        <v>1</v>
      </c>
      <c r="CZ124" t="s">
        <v>13</v>
      </c>
      <c r="DA124" t="s">
        <v>1</v>
      </c>
      <c r="DB124" t="s">
        <v>9</v>
      </c>
      <c r="DC124" t="s">
        <v>9</v>
      </c>
      <c r="DD124" t="s">
        <v>1</v>
      </c>
      <c r="DE124" t="s">
        <v>1</v>
      </c>
      <c r="DF124" t="s">
        <v>1</v>
      </c>
      <c r="DG124" t="s">
        <v>301</v>
      </c>
      <c r="DH124" t="s">
        <v>1</v>
      </c>
      <c r="DI124" s="2"/>
      <c r="DJ124" t="s">
        <v>1</v>
      </c>
      <c r="DK124" t="s">
        <v>14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s="2"/>
      <c r="DW124" t="s">
        <v>1</v>
      </c>
      <c r="DX124" t="s">
        <v>1</v>
      </c>
      <c r="DY124" t="s">
        <v>2450</v>
      </c>
      <c r="DZ124" t="s">
        <v>1</v>
      </c>
      <c r="EA124" t="s">
        <v>1</v>
      </c>
      <c r="EB124" t="s">
        <v>28</v>
      </c>
      <c r="EC124" t="s">
        <v>7</v>
      </c>
      <c r="ED124" t="s">
        <v>1</v>
      </c>
      <c r="EE124" t="s">
        <v>1</v>
      </c>
      <c r="EF124" t="s">
        <v>22</v>
      </c>
      <c r="EG124" t="s">
        <v>41</v>
      </c>
      <c r="EH124" t="s">
        <v>15</v>
      </c>
      <c r="EI124" t="s">
        <v>1</v>
      </c>
      <c r="EJ124" s="4">
        <v>-31900</v>
      </c>
      <c r="EK124" t="s">
        <v>1</v>
      </c>
      <c r="EL124" t="s">
        <v>1</v>
      </c>
      <c r="EM124" t="s">
        <v>1</v>
      </c>
      <c r="EN124" t="s">
        <v>1</v>
      </c>
      <c r="EO124" s="2"/>
      <c r="EP124" t="s">
        <v>2450</v>
      </c>
      <c r="EQ124" t="s">
        <v>1</v>
      </c>
      <c r="ER124" t="s">
        <v>1</v>
      </c>
      <c r="ES124" t="s">
        <v>1</v>
      </c>
      <c r="ET124" t="s">
        <v>29</v>
      </c>
      <c r="EU124" t="s">
        <v>1</v>
      </c>
      <c r="EV124" t="s">
        <v>1</v>
      </c>
      <c r="EW124" t="s">
        <v>7</v>
      </c>
      <c r="EX124" t="s">
        <v>7</v>
      </c>
      <c r="EY124" t="s">
        <v>1</v>
      </c>
      <c r="EZ124" t="s">
        <v>1</v>
      </c>
      <c r="FA124" t="s">
        <v>1</v>
      </c>
      <c r="FB124" s="3">
        <v>50</v>
      </c>
      <c r="FC124" t="s">
        <v>1</v>
      </c>
      <c r="FD124" t="s">
        <v>1</v>
      </c>
      <c r="FE124" t="s">
        <v>1</v>
      </c>
      <c r="FF124" t="s">
        <v>17</v>
      </c>
      <c r="FG124" t="s">
        <v>1</v>
      </c>
      <c r="FH124" t="s">
        <v>1</v>
      </c>
      <c r="FI124" t="s">
        <v>1</v>
      </c>
      <c r="FJ124" t="s">
        <v>1</v>
      </c>
      <c r="FK124" s="7">
        <v>46122.368842592594</v>
      </c>
      <c r="FL124" t="s">
        <v>1</v>
      </c>
      <c r="FM124" t="s">
        <v>1</v>
      </c>
      <c r="FN124" t="s">
        <v>1</v>
      </c>
      <c r="FO124" s="19">
        <v>-964049900</v>
      </c>
      <c r="FP124" s="4">
        <v>0</v>
      </c>
      <c r="FQ124" s="19">
        <v>-964049900</v>
      </c>
      <c r="FR124" s="4">
        <v>0</v>
      </c>
      <c r="FS124" s="4">
        <v>0</v>
      </c>
      <c r="FT124" s="4">
        <v>0</v>
      </c>
      <c r="FU124" s="2">
        <v>46122</v>
      </c>
      <c r="FV124" t="s">
        <v>1</v>
      </c>
      <c r="FW124" s="4">
        <v>0</v>
      </c>
      <c r="FX124" t="s">
        <v>1</v>
      </c>
      <c r="FY124" t="s">
        <v>1</v>
      </c>
      <c r="FZ124" s="4">
        <v>0</v>
      </c>
      <c r="GA124" s="4">
        <v>0</v>
      </c>
      <c r="GB124" t="s">
        <v>2070</v>
      </c>
      <c r="GC124" t="str">
        <f>RIGHT(Data_FAGLL03[[#This Row],[Payment reference]],8)</f>
        <v>91172684</v>
      </c>
      <c r="GD124" t="str">
        <f>IF(Data_FAGLL03[[#This Row],[Billing]]&lt;&gt;"",_xlfn.XLOOKUP(Data_FAGLL03[[#This Row],[Billing]],MD_BILLING_SO[BILIING],MD_BILLING_SO[SO-EDITED]),"")</f>
        <v>30030673</v>
      </c>
      <c r="GE124" s="18">
        <f>IF(SUBSTITUTE(Data_FAGLL03[[#This Row],[Eff.exchange rate]],",","")/100000=1,1,SUBSTITUTE(Data_FAGLL03[[#This Row],[Eff.exchange rate]],",","")/100)</f>
        <v>1</v>
      </c>
      <c r="GF124" s="17">
        <f>IF(Data_FAGLL03[[#This Row],[Material]]&lt;&gt;"",IFERROR(Data_FAGLL03[[#This Row],[Amount in local currency]]/Data_FAGLL03[[#This Row],[Quantity_Original]],0),0)</f>
        <v>30221</v>
      </c>
      <c r="GG124" s="18">
        <f>IF(Data_FAGLL03[[#This Row],[XK/NĐ]]="XK",Data_FAGLL03[[#This Row],[GB trung bình]]/Data_FAGLL03[[#This Row],[EXR]],0)*1000</f>
        <v>0</v>
      </c>
      <c r="GH124" s="18" cm="1">
        <f t="array" ref="GH124">IF(Data_FAGLL03[[#This Row],[Document currency]]&lt;&gt;"VND",Data_FAGLL03[[#This Row],[Amount in doc. curr.]],Data_FAGLL03[[#This Row],[Amount in local currency]]/EXR)</f>
        <v>-36722.712395520168</v>
      </c>
      <c r="GI124" s="10">
        <f>Data_FAGLL03[[#This Row],[Time Stamp]]+TIME(7,0,0)</f>
        <v>46122.660509259258</v>
      </c>
      <c r="GJ124" s="18">
        <f>MONTH(Data_FAGLL03[[#This Row],[Time Stamp_VN]])</f>
        <v>4</v>
      </c>
      <c r="GK124">
        <f>DAY(Data_FAGLL03[[#This Row],[Time Stamp_VN]])</f>
        <v>10</v>
      </c>
      <c r="GL124" t="str">
        <f>TEXT(Data_FAGLL03[[#This Row],[Tháng]],"00")&amp;" | "&amp;TEXT(Data_FAGLL03[[#This Row],[Ngày]],"00")</f>
        <v>04 | 10</v>
      </c>
      <c r="GM124" s="18">
        <f>IF(Data_FAGLL03[[#This Row],[Text]]="",Data_FAGLL03[[#This Row],[Quantity_Original]],0)</f>
        <v>-31900</v>
      </c>
      <c r="GN124" s="18" t="str">
        <f>IF(Data_FAGLL03[[#This Row],[Quantity_Edited]]&lt;&gt;0,Data_FAGLL03[[#This Row],[Offsetting acct no.]]&amp;" | "&amp;Data_FAGLL03[[#This Row],[Material]],"")</f>
        <v>104877 | 110000359</v>
      </c>
      <c r="GO124" t="str">
        <f>IF(LEFT(Data_FAGLL03[[#This Row],[Offsetting acct no.]],1)="1","NĐ",IF(LEFT(Data_FAGLL03[[#This Row],[Offsetting acct no.]],1)="2","XK","Khác"))</f>
        <v>NĐ</v>
      </c>
      <c r="GP124" t="str">
        <f>IF(Data_FAGLL03[[#This Row],[Material]]&lt;&gt;"",_xlfn.XLOOKUP(Data_FAGLL03[[#This Row],[Material]],MD_SKU[Mã SKU],MD_SKU[Tên SKU]),"")</f>
        <v>Hạt nhựa rPET WSS03G</v>
      </c>
      <c r="GQ124" t="str">
        <f>IF(Data_FAGLL03[[#This Row],[Material]]&lt;&gt;"",_xlfn.XLOOKUP(Data_FAGLL03[[#This Row],[Material]],MD_SKU[Mã SKU],MD_SKU[Nhóm SP 1]),"")</f>
        <v>rPET</v>
      </c>
      <c r="GR124" t="str">
        <f>IF(Data_FAGLL03[[#This Row],[Material]]&lt;&gt;"",_xlfn.XLOOKUP(Data_FAGLL03[[#This Row],[Material]],MD_SKU[Mã SKU],MD_SKU[Nhóm SP 2]),"")</f>
        <v>rPET</v>
      </c>
      <c r="GS124" t="str">
        <f>IF(Data_FAGLL03[[#This Row],[Material]]&lt;&gt;"",_xlfn.XLOOKUP(Data_FAGLL03[[#This Row],[Material]],MD_SKU[Mã SKU],MD_SKU[Nhóm SP 3]),"")</f>
        <v>rPET</v>
      </c>
      <c r="GT124" t="str">
        <f>IF(Data_FAGLL03[[#This Row],[Material]]&lt;&gt;"",_xlfn.XLOOKUP(Data_FAGLL03[[#This Row],[Material]],MD_SKU[Mã SKU],MD_SKU[Nhóm SP 4]),"")</f>
        <v>Hạt rPET</v>
      </c>
    </row>
    <row r="125" spans="1:202" x14ac:dyDescent="0.25">
      <c r="A125" t="s">
        <v>0</v>
      </c>
      <c r="B125" s="2">
        <v>46122</v>
      </c>
      <c r="C125" t="s">
        <v>2451</v>
      </c>
      <c r="D125" t="s">
        <v>1</v>
      </c>
      <c r="E125" t="s">
        <v>1</v>
      </c>
      <c r="F125" t="s">
        <v>31</v>
      </c>
      <c r="G125" t="s">
        <v>31</v>
      </c>
      <c r="H125" t="s">
        <v>258</v>
      </c>
      <c r="I125" s="19">
        <v>-709280000</v>
      </c>
      <c r="J125" t="s">
        <v>259</v>
      </c>
      <c r="K125" t="s">
        <v>1</v>
      </c>
      <c r="L125" t="s">
        <v>39</v>
      </c>
      <c r="M125" t="s">
        <v>41</v>
      </c>
      <c r="N125" t="s">
        <v>254</v>
      </c>
      <c r="O125" t="s">
        <v>4</v>
      </c>
      <c r="P125" t="s">
        <v>2452</v>
      </c>
      <c r="Q125" t="s">
        <v>31</v>
      </c>
      <c r="R125" t="s">
        <v>5</v>
      </c>
      <c r="S125" t="s">
        <v>1</v>
      </c>
      <c r="T125" s="3">
        <v>-709280000</v>
      </c>
      <c r="U125" s="19">
        <v>-709280000</v>
      </c>
      <c r="V125" s="3">
        <v>-709280000</v>
      </c>
      <c r="W125" s="3">
        <v>-709280000</v>
      </c>
      <c r="X125" s="4">
        <v>0</v>
      </c>
      <c r="Y125" s="4">
        <v>0</v>
      </c>
      <c r="Z125" s="3">
        <v>0</v>
      </c>
      <c r="AA125" s="3">
        <v>0</v>
      </c>
      <c r="AB125" t="s">
        <v>1</v>
      </c>
      <c r="AC125" t="s">
        <v>24</v>
      </c>
      <c r="AD125" s="2"/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25</v>
      </c>
      <c r="AK125" s="4">
        <v>0</v>
      </c>
      <c r="AL125" t="s">
        <v>1</v>
      </c>
      <c r="AM125" s="5" t="s">
        <v>1</v>
      </c>
      <c r="AN125" t="s">
        <v>1</v>
      </c>
      <c r="AO125" s="2"/>
      <c r="AP125" t="s">
        <v>1</v>
      </c>
      <c r="AQ125" t="s">
        <v>1</v>
      </c>
      <c r="AR125" s="3">
        <v>0</v>
      </c>
      <c r="AS125" t="s">
        <v>1</v>
      </c>
      <c r="AT125" t="s">
        <v>7</v>
      </c>
      <c r="AU125" t="s">
        <v>1</v>
      </c>
      <c r="AV125" t="s">
        <v>1</v>
      </c>
      <c r="AW125" t="s">
        <v>8</v>
      </c>
      <c r="AX125" t="s">
        <v>8</v>
      </c>
      <c r="AY125" t="s">
        <v>1</v>
      </c>
      <c r="AZ125" s="4">
        <v>0</v>
      </c>
      <c r="BA125" t="s">
        <v>1</v>
      </c>
      <c r="BB125" s="3">
        <v>0</v>
      </c>
      <c r="BC125" s="3">
        <v>0</v>
      </c>
      <c r="BD125" s="3">
        <v>0</v>
      </c>
      <c r="BE125" t="s">
        <v>20</v>
      </c>
      <c r="BF125" t="s">
        <v>1</v>
      </c>
      <c r="BG125" s="4">
        <v>0</v>
      </c>
      <c r="BH125" s="4">
        <v>0</v>
      </c>
      <c r="BI125" s="6">
        <v>0</v>
      </c>
      <c r="BJ125" s="6">
        <v>0</v>
      </c>
      <c r="BK125" t="s">
        <v>1</v>
      </c>
      <c r="BL125" t="s">
        <v>1</v>
      </c>
      <c r="BM125" t="s">
        <v>1</v>
      </c>
      <c r="BN125" t="s">
        <v>9</v>
      </c>
      <c r="BO125" s="2">
        <v>46122</v>
      </c>
      <c r="BP125" t="s">
        <v>1</v>
      </c>
      <c r="BQ125" t="s">
        <v>2451</v>
      </c>
      <c r="BR125" t="s">
        <v>27</v>
      </c>
      <c r="BS125" t="s">
        <v>1</v>
      </c>
      <c r="BT125" t="s">
        <v>1</v>
      </c>
      <c r="BU125" t="s">
        <v>1</v>
      </c>
      <c r="BV125" t="s">
        <v>1</v>
      </c>
      <c r="BW125" t="s">
        <v>7</v>
      </c>
      <c r="BX125" t="s">
        <v>10</v>
      </c>
      <c r="BY125" s="2"/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254</v>
      </c>
      <c r="CJ125" s="3">
        <v>-709280000</v>
      </c>
      <c r="CK125" t="s">
        <v>9</v>
      </c>
      <c r="CL125" t="s">
        <v>11</v>
      </c>
      <c r="CM125" t="s">
        <v>1</v>
      </c>
      <c r="CN125" s="4">
        <v>0</v>
      </c>
      <c r="CO125" t="s">
        <v>7</v>
      </c>
      <c r="CP125" t="s">
        <v>7</v>
      </c>
      <c r="CQ125" t="s">
        <v>7</v>
      </c>
      <c r="CR125" t="s">
        <v>7</v>
      </c>
      <c r="CS125" s="4">
        <v>0</v>
      </c>
      <c r="CT125" t="s">
        <v>2451</v>
      </c>
      <c r="CU125" t="s">
        <v>7</v>
      </c>
      <c r="CV125" t="s">
        <v>1</v>
      </c>
      <c r="CW125" s="2"/>
      <c r="CX125" t="s">
        <v>12</v>
      </c>
      <c r="CY125" t="s">
        <v>1</v>
      </c>
      <c r="CZ125" t="s">
        <v>13</v>
      </c>
      <c r="DA125" t="s">
        <v>1</v>
      </c>
      <c r="DB125" t="s">
        <v>9</v>
      </c>
      <c r="DC125" t="s">
        <v>9</v>
      </c>
      <c r="DD125" t="s">
        <v>1</v>
      </c>
      <c r="DE125" t="s">
        <v>1</v>
      </c>
      <c r="DF125" t="s">
        <v>1</v>
      </c>
      <c r="DG125" t="s">
        <v>32</v>
      </c>
      <c r="DH125" t="s">
        <v>1</v>
      </c>
      <c r="DI125" s="2"/>
      <c r="DJ125" t="s">
        <v>1</v>
      </c>
      <c r="DK125" t="s">
        <v>14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s="2"/>
      <c r="DW125" t="s">
        <v>1</v>
      </c>
      <c r="DX125" t="s">
        <v>1</v>
      </c>
      <c r="DY125" t="s">
        <v>2453</v>
      </c>
      <c r="DZ125" t="s">
        <v>1</v>
      </c>
      <c r="EA125" t="s">
        <v>1</v>
      </c>
      <c r="EB125" t="s">
        <v>28</v>
      </c>
      <c r="EC125" t="s">
        <v>7</v>
      </c>
      <c r="ED125" t="s">
        <v>1</v>
      </c>
      <c r="EE125" t="s">
        <v>1</v>
      </c>
      <c r="EF125" t="s">
        <v>22</v>
      </c>
      <c r="EG125" t="s">
        <v>41</v>
      </c>
      <c r="EH125" t="s">
        <v>15</v>
      </c>
      <c r="EI125" t="s">
        <v>1</v>
      </c>
      <c r="EJ125" s="4">
        <v>-22000</v>
      </c>
      <c r="EK125" t="s">
        <v>1</v>
      </c>
      <c r="EL125" t="s">
        <v>1</v>
      </c>
      <c r="EM125" t="s">
        <v>1</v>
      </c>
      <c r="EN125" t="s">
        <v>1</v>
      </c>
      <c r="EO125" s="2"/>
      <c r="EP125" t="s">
        <v>2453</v>
      </c>
      <c r="EQ125" t="s">
        <v>1</v>
      </c>
      <c r="ER125" t="s">
        <v>1</v>
      </c>
      <c r="ES125" t="s">
        <v>1</v>
      </c>
      <c r="ET125" t="s">
        <v>29</v>
      </c>
      <c r="EU125" t="s">
        <v>1</v>
      </c>
      <c r="EV125" t="s">
        <v>1</v>
      </c>
      <c r="EW125" t="s">
        <v>7</v>
      </c>
      <c r="EX125" t="s">
        <v>7</v>
      </c>
      <c r="EY125" t="s">
        <v>1</v>
      </c>
      <c r="EZ125" t="s">
        <v>1</v>
      </c>
      <c r="FA125" t="s">
        <v>1</v>
      </c>
      <c r="FB125" s="3">
        <v>50</v>
      </c>
      <c r="FC125" t="s">
        <v>1</v>
      </c>
      <c r="FD125" t="s">
        <v>1</v>
      </c>
      <c r="FE125" t="s">
        <v>1</v>
      </c>
      <c r="FF125" t="s">
        <v>17</v>
      </c>
      <c r="FG125" t="s">
        <v>1</v>
      </c>
      <c r="FH125" t="s">
        <v>1</v>
      </c>
      <c r="FI125" t="s">
        <v>1</v>
      </c>
      <c r="FJ125" t="s">
        <v>1</v>
      </c>
      <c r="FK125" s="7">
        <v>46122.368923611109</v>
      </c>
      <c r="FL125" t="s">
        <v>1</v>
      </c>
      <c r="FM125" t="s">
        <v>1</v>
      </c>
      <c r="FN125" t="s">
        <v>1</v>
      </c>
      <c r="FO125" s="19">
        <v>-709280000</v>
      </c>
      <c r="FP125" s="4">
        <v>0</v>
      </c>
      <c r="FQ125" s="19">
        <v>-709280000</v>
      </c>
      <c r="FR125" s="4">
        <v>0</v>
      </c>
      <c r="FS125" s="4">
        <v>0</v>
      </c>
      <c r="FT125" s="4">
        <v>0</v>
      </c>
      <c r="FU125" s="2">
        <v>46122</v>
      </c>
      <c r="FV125" t="s">
        <v>1</v>
      </c>
      <c r="FW125" s="4">
        <v>0</v>
      </c>
      <c r="FX125" t="s">
        <v>1</v>
      </c>
      <c r="FY125" t="s">
        <v>1</v>
      </c>
      <c r="FZ125" s="4">
        <v>0</v>
      </c>
      <c r="GA125" s="4">
        <v>0</v>
      </c>
      <c r="GB125" t="s">
        <v>2070</v>
      </c>
      <c r="GC125" t="str">
        <f>RIGHT(Data_FAGLL03[[#This Row],[Payment reference]],8)</f>
        <v>91172685</v>
      </c>
      <c r="GD125" t="str">
        <f>IF(Data_FAGLL03[[#This Row],[Billing]]&lt;&gt;"",_xlfn.XLOOKUP(Data_FAGLL03[[#This Row],[Billing]],MD_BILLING_SO[BILIING],MD_BILLING_SO[SO-EDITED]),"")</f>
        <v>30030652</v>
      </c>
      <c r="GE125" s="18">
        <f>IF(SUBSTITUTE(Data_FAGLL03[[#This Row],[Eff.exchange rate]],",","")/100000=1,1,SUBSTITUTE(Data_FAGLL03[[#This Row],[Eff.exchange rate]],",","")/100)</f>
        <v>1</v>
      </c>
      <c r="GF125" s="17">
        <f>IF(Data_FAGLL03[[#This Row],[Material]]&lt;&gt;"",IFERROR(Data_FAGLL03[[#This Row],[Amount in local currency]]/Data_FAGLL03[[#This Row],[Quantity_Original]],0),0)</f>
        <v>32240</v>
      </c>
      <c r="GG125" s="18">
        <f>IF(Data_FAGLL03[[#This Row],[XK/NĐ]]="XK",Data_FAGLL03[[#This Row],[GB trung bình]]/Data_FAGLL03[[#This Row],[EXR]],0)*1000</f>
        <v>0</v>
      </c>
      <c r="GH125" s="18" cm="1">
        <f t="array" ref="GH125">IF(Data_FAGLL03[[#This Row],[Document currency]]&lt;&gt;"VND",Data_FAGLL03[[#This Row],[Amount in doc. curr.]],Data_FAGLL03[[#This Row],[Amount in local currency]]/EXR)</f>
        <v>-27017.984699645262</v>
      </c>
      <c r="GI125" s="10">
        <f>Data_FAGLL03[[#This Row],[Time Stamp]]+TIME(7,0,0)</f>
        <v>46122.660590277774</v>
      </c>
      <c r="GJ125" s="18">
        <f>MONTH(Data_FAGLL03[[#This Row],[Time Stamp_VN]])</f>
        <v>4</v>
      </c>
      <c r="GK125">
        <f>DAY(Data_FAGLL03[[#This Row],[Time Stamp_VN]])</f>
        <v>10</v>
      </c>
      <c r="GL125" t="str">
        <f>TEXT(Data_FAGLL03[[#This Row],[Tháng]],"00")&amp;" | "&amp;TEXT(Data_FAGLL03[[#This Row],[Ngày]],"00")</f>
        <v>04 | 10</v>
      </c>
      <c r="GM125" s="18">
        <f>IF(Data_FAGLL03[[#This Row],[Text]]="",Data_FAGLL03[[#This Row],[Quantity_Original]],0)</f>
        <v>-22000</v>
      </c>
      <c r="GN125" s="18" t="str">
        <f>IF(Data_FAGLL03[[#This Row],[Quantity_Edited]]&lt;&gt;0,Data_FAGLL03[[#This Row],[Offsetting acct no.]]&amp;" | "&amp;Data_FAGLL03[[#This Row],[Material]],"")</f>
        <v>105194 | 110000332</v>
      </c>
      <c r="GO125" t="str">
        <f>IF(LEFT(Data_FAGLL03[[#This Row],[Offsetting acct no.]],1)="1","NĐ",IF(LEFT(Data_FAGLL03[[#This Row],[Offsetting acct no.]],1)="2","XK","Khác"))</f>
        <v>NĐ</v>
      </c>
      <c r="GP125" t="str">
        <f>IF(Data_FAGLL03[[#This Row],[Material]]&lt;&gt;"",_xlfn.XLOOKUP(Data_FAGLL03[[#This Row],[Material]],MD_SKU[Mã SKU],MD_SKU[Tên SKU]),"")</f>
        <v>Hạt nhựa rPET iSS01084G</v>
      </c>
      <c r="GQ125" t="str">
        <f>IF(Data_FAGLL03[[#This Row],[Material]]&lt;&gt;"",_xlfn.XLOOKUP(Data_FAGLL03[[#This Row],[Material]],MD_SKU[Mã SKU],MD_SKU[Nhóm SP 1]),"")</f>
        <v>rPET</v>
      </c>
      <c r="GR125" t="str">
        <f>IF(Data_FAGLL03[[#This Row],[Material]]&lt;&gt;"",_xlfn.XLOOKUP(Data_FAGLL03[[#This Row],[Material]],MD_SKU[Mã SKU],MD_SKU[Nhóm SP 2]),"")</f>
        <v>rPET</v>
      </c>
      <c r="GS125" t="str">
        <f>IF(Data_FAGLL03[[#This Row],[Material]]&lt;&gt;"",_xlfn.XLOOKUP(Data_FAGLL03[[#This Row],[Material]],MD_SKU[Mã SKU],MD_SKU[Nhóm SP 3]),"")</f>
        <v>rPET</v>
      </c>
      <c r="GT125" t="str">
        <f>IF(Data_FAGLL03[[#This Row],[Material]]&lt;&gt;"",_xlfn.XLOOKUP(Data_FAGLL03[[#This Row],[Material]],MD_SKU[Mã SKU],MD_SKU[Nhóm SP 4]),"")</f>
        <v>Hạt rPET</v>
      </c>
    </row>
    <row r="126" spans="1:202" x14ac:dyDescent="0.25">
      <c r="A126" t="s">
        <v>0</v>
      </c>
      <c r="B126" s="2">
        <v>46122</v>
      </c>
      <c r="C126" t="s">
        <v>2454</v>
      </c>
      <c r="D126" t="s">
        <v>1</v>
      </c>
      <c r="E126" t="s">
        <v>1</v>
      </c>
      <c r="F126" t="s">
        <v>31</v>
      </c>
      <c r="G126" t="s">
        <v>31</v>
      </c>
      <c r="H126" t="s">
        <v>42</v>
      </c>
      <c r="I126" s="19">
        <v>-696938000</v>
      </c>
      <c r="J126" t="s">
        <v>43</v>
      </c>
      <c r="K126" t="s">
        <v>1</v>
      </c>
      <c r="L126" t="s">
        <v>39</v>
      </c>
      <c r="M126" t="s">
        <v>41</v>
      </c>
      <c r="N126" t="s">
        <v>254</v>
      </c>
      <c r="O126" t="s">
        <v>4</v>
      </c>
      <c r="P126" t="s">
        <v>2455</v>
      </c>
      <c r="Q126" t="s">
        <v>31</v>
      </c>
      <c r="R126" t="s">
        <v>5</v>
      </c>
      <c r="S126" t="s">
        <v>1</v>
      </c>
      <c r="T126" s="3">
        <v>-696938000</v>
      </c>
      <c r="U126" s="19">
        <v>-696938000</v>
      </c>
      <c r="V126" s="3">
        <v>-696938000</v>
      </c>
      <c r="W126" s="3">
        <v>-696938000</v>
      </c>
      <c r="X126" s="4">
        <v>0</v>
      </c>
      <c r="Y126" s="4">
        <v>0</v>
      </c>
      <c r="Z126" s="3">
        <v>0</v>
      </c>
      <c r="AA126" s="3">
        <v>0</v>
      </c>
      <c r="AB126" t="s">
        <v>1</v>
      </c>
      <c r="AC126" t="s">
        <v>24</v>
      </c>
      <c r="AD126" s="2"/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25</v>
      </c>
      <c r="AK126" s="4">
        <v>0</v>
      </c>
      <c r="AL126" t="s">
        <v>1</v>
      </c>
      <c r="AM126" s="5" t="s">
        <v>1</v>
      </c>
      <c r="AN126" t="s">
        <v>1</v>
      </c>
      <c r="AO126" s="2"/>
      <c r="AP126" t="s">
        <v>1</v>
      </c>
      <c r="AQ126" t="s">
        <v>1</v>
      </c>
      <c r="AR126" s="3">
        <v>0</v>
      </c>
      <c r="AS126" t="s">
        <v>1</v>
      </c>
      <c r="AT126" t="s">
        <v>7</v>
      </c>
      <c r="AU126" t="s">
        <v>1</v>
      </c>
      <c r="AV126" t="s">
        <v>1</v>
      </c>
      <c r="AW126" t="s">
        <v>8</v>
      </c>
      <c r="AX126" t="s">
        <v>8</v>
      </c>
      <c r="AY126" t="s">
        <v>1</v>
      </c>
      <c r="AZ126" s="4">
        <v>0</v>
      </c>
      <c r="BA126" t="s">
        <v>1</v>
      </c>
      <c r="BB126" s="3">
        <v>0</v>
      </c>
      <c r="BC126" s="3">
        <v>0</v>
      </c>
      <c r="BD126" s="3">
        <v>0</v>
      </c>
      <c r="BE126" t="s">
        <v>20</v>
      </c>
      <c r="BF126" t="s">
        <v>1</v>
      </c>
      <c r="BG126" s="4">
        <v>0</v>
      </c>
      <c r="BH126" s="4">
        <v>0</v>
      </c>
      <c r="BI126" s="6">
        <v>0</v>
      </c>
      <c r="BJ126" s="6">
        <v>0</v>
      </c>
      <c r="BK126" t="s">
        <v>1</v>
      </c>
      <c r="BL126" t="s">
        <v>1</v>
      </c>
      <c r="BM126" t="s">
        <v>1</v>
      </c>
      <c r="BN126" t="s">
        <v>9</v>
      </c>
      <c r="BO126" s="2">
        <v>46122</v>
      </c>
      <c r="BP126" t="s">
        <v>1</v>
      </c>
      <c r="BQ126" t="s">
        <v>2454</v>
      </c>
      <c r="BR126" t="s">
        <v>27</v>
      </c>
      <c r="BS126" t="s">
        <v>1</v>
      </c>
      <c r="BT126" t="s">
        <v>1</v>
      </c>
      <c r="BU126" t="s">
        <v>1</v>
      </c>
      <c r="BV126" t="s">
        <v>1</v>
      </c>
      <c r="BW126" t="s">
        <v>7</v>
      </c>
      <c r="BX126" t="s">
        <v>10</v>
      </c>
      <c r="BY126" s="2"/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254</v>
      </c>
      <c r="CJ126" s="3">
        <v>-696938000</v>
      </c>
      <c r="CK126" t="s">
        <v>9</v>
      </c>
      <c r="CL126" t="s">
        <v>11</v>
      </c>
      <c r="CM126" t="s">
        <v>1</v>
      </c>
      <c r="CN126" s="4">
        <v>0</v>
      </c>
      <c r="CO126" t="s">
        <v>7</v>
      </c>
      <c r="CP126" t="s">
        <v>7</v>
      </c>
      <c r="CQ126" t="s">
        <v>7</v>
      </c>
      <c r="CR126" t="s">
        <v>7</v>
      </c>
      <c r="CS126" s="4">
        <v>0</v>
      </c>
      <c r="CT126" t="s">
        <v>2454</v>
      </c>
      <c r="CU126" t="s">
        <v>7</v>
      </c>
      <c r="CV126" t="s">
        <v>1</v>
      </c>
      <c r="CW126" s="2"/>
      <c r="CX126" t="s">
        <v>12</v>
      </c>
      <c r="CY126" t="s">
        <v>1</v>
      </c>
      <c r="CZ126" t="s">
        <v>13</v>
      </c>
      <c r="DA126" t="s">
        <v>1</v>
      </c>
      <c r="DB126" t="s">
        <v>9</v>
      </c>
      <c r="DC126" t="s">
        <v>9</v>
      </c>
      <c r="DD126" t="s">
        <v>1</v>
      </c>
      <c r="DE126" t="s">
        <v>1</v>
      </c>
      <c r="DF126" t="s">
        <v>1</v>
      </c>
      <c r="DG126" t="s">
        <v>33</v>
      </c>
      <c r="DH126" t="s">
        <v>1</v>
      </c>
      <c r="DI126" s="2"/>
      <c r="DJ126" t="s">
        <v>1</v>
      </c>
      <c r="DK126" t="s">
        <v>14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s="2"/>
      <c r="DW126" t="s">
        <v>1</v>
      </c>
      <c r="DX126" t="s">
        <v>1</v>
      </c>
      <c r="DY126" t="s">
        <v>2456</v>
      </c>
      <c r="DZ126" t="s">
        <v>1</v>
      </c>
      <c r="EA126" t="s">
        <v>1</v>
      </c>
      <c r="EB126" t="s">
        <v>28</v>
      </c>
      <c r="EC126" t="s">
        <v>7</v>
      </c>
      <c r="ED126" t="s">
        <v>1</v>
      </c>
      <c r="EE126" t="s">
        <v>1</v>
      </c>
      <c r="EF126" t="s">
        <v>22</v>
      </c>
      <c r="EG126" t="s">
        <v>41</v>
      </c>
      <c r="EH126" t="s">
        <v>15</v>
      </c>
      <c r="EI126" t="s">
        <v>1</v>
      </c>
      <c r="EJ126" s="4">
        <v>-22000</v>
      </c>
      <c r="EK126" t="s">
        <v>1</v>
      </c>
      <c r="EL126" t="s">
        <v>1</v>
      </c>
      <c r="EM126" t="s">
        <v>1</v>
      </c>
      <c r="EN126" t="s">
        <v>1</v>
      </c>
      <c r="EO126" s="2"/>
      <c r="EP126" t="s">
        <v>2456</v>
      </c>
      <c r="EQ126" t="s">
        <v>1</v>
      </c>
      <c r="ER126" t="s">
        <v>1</v>
      </c>
      <c r="ES126" t="s">
        <v>1</v>
      </c>
      <c r="ET126" t="s">
        <v>29</v>
      </c>
      <c r="EU126" t="s">
        <v>1</v>
      </c>
      <c r="EV126" t="s">
        <v>1</v>
      </c>
      <c r="EW126" t="s">
        <v>7</v>
      </c>
      <c r="EX126" t="s">
        <v>7</v>
      </c>
      <c r="EY126" t="s">
        <v>1</v>
      </c>
      <c r="EZ126" t="s">
        <v>1</v>
      </c>
      <c r="FA126" t="s">
        <v>1</v>
      </c>
      <c r="FB126" s="3">
        <v>50</v>
      </c>
      <c r="FC126" t="s">
        <v>1</v>
      </c>
      <c r="FD126" t="s">
        <v>1</v>
      </c>
      <c r="FE126" t="s">
        <v>1</v>
      </c>
      <c r="FF126" t="s">
        <v>17</v>
      </c>
      <c r="FG126" t="s">
        <v>1</v>
      </c>
      <c r="FH126" t="s">
        <v>1</v>
      </c>
      <c r="FI126" t="s">
        <v>1</v>
      </c>
      <c r="FJ126" t="s">
        <v>1</v>
      </c>
      <c r="FK126" s="7">
        <v>46122.368981481479</v>
      </c>
      <c r="FL126" t="s">
        <v>1</v>
      </c>
      <c r="FM126" t="s">
        <v>1</v>
      </c>
      <c r="FN126" t="s">
        <v>1</v>
      </c>
      <c r="FO126" s="19">
        <v>-696938000</v>
      </c>
      <c r="FP126" s="4">
        <v>0</v>
      </c>
      <c r="FQ126" s="19">
        <v>-696938000</v>
      </c>
      <c r="FR126" s="4">
        <v>0</v>
      </c>
      <c r="FS126" s="4">
        <v>0</v>
      </c>
      <c r="FT126" s="4">
        <v>0</v>
      </c>
      <c r="FU126" s="2">
        <v>46122</v>
      </c>
      <c r="FV126" t="s">
        <v>1</v>
      </c>
      <c r="FW126" s="4">
        <v>0</v>
      </c>
      <c r="FX126" t="s">
        <v>1</v>
      </c>
      <c r="FY126" t="s">
        <v>1</v>
      </c>
      <c r="FZ126" s="4">
        <v>0</v>
      </c>
      <c r="GA126" s="4">
        <v>0</v>
      </c>
      <c r="GB126" t="s">
        <v>2070</v>
      </c>
      <c r="GC126" t="str">
        <f>RIGHT(Data_FAGLL03[[#This Row],[Payment reference]],8)</f>
        <v>91172686</v>
      </c>
      <c r="GD126" t="str">
        <f>IF(Data_FAGLL03[[#This Row],[Billing]]&lt;&gt;"",_xlfn.XLOOKUP(Data_FAGLL03[[#This Row],[Billing]],MD_BILLING_SO[BILIING],MD_BILLING_SO[SO-EDITED]),"")</f>
        <v>30030677</v>
      </c>
      <c r="GE126" s="18">
        <f>IF(SUBSTITUTE(Data_FAGLL03[[#This Row],[Eff.exchange rate]],",","")/100000=1,1,SUBSTITUTE(Data_FAGLL03[[#This Row],[Eff.exchange rate]],",","")/100)</f>
        <v>1</v>
      </c>
      <c r="GF126" s="17">
        <f>IF(Data_FAGLL03[[#This Row],[Material]]&lt;&gt;"",IFERROR(Data_FAGLL03[[#This Row],[Amount in local currency]]/Data_FAGLL03[[#This Row],[Quantity_Original]],0),0)</f>
        <v>31679</v>
      </c>
      <c r="GG126" s="18">
        <f>IF(Data_FAGLL03[[#This Row],[XK/NĐ]]="XK",Data_FAGLL03[[#This Row],[GB trung bình]]/Data_FAGLL03[[#This Row],[EXR]],0)*1000</f>
        <v>0</v>
      </c>
      <c r="GH126" s="18" cm="1">
        <f t="array" ref="GH126">IF(Data_FAGLL03[[#This Row],[Document currency]]&lt;&gt;"VND",Data_FAGLL03[[#This Row],[Amount in doc. curr.]],Data_FAGLL03[[#This Row],[Amount in local currency]]/EXR)</f>
        <v>-26547.851653227739</v>
      </c>
      <c r="GI126" s="10">
        <f>Data_FAGLL03[[#This Row],[Time Stamp]]+TIME(7,0,0)</f>
        <v>46122.660648148143</v>
      </c>
      <c r="GJ126" s="18">
        <f>MONTH(Data_FAGLL03[[#This Row],[Time Stamp_VN]])</f>
        <v>4</v>
      </c>
      <c r="GK126">
        <f>DAY(Data_FAGLL03[[#This Row],[Time Stamp_VN]])</f>
        <v>10</v>
      </c>
      <c r="GL126" t="str">
        <f>TEXT(Data_FAGLL03[[#This Row],[Tháng]],"00")&amp;" | "&amp;TEXT(Data_FAGLL03[[#This Row],[Ngày]],"00")</f>
        <v>04 | 10</v>
      </c>
      <c r="GM126" s="18">
        <f>IF(Data_FAGLL03[[#This Row],[Text]]="",Data_FAGLL03[[#This Row],[Quantity_Original]],0)</f>
        <v>-22000</v>
      </c>
      <c r="GN126" s="18" t="str">
        <f>IF(Data_FAGLL03[[#This Row],[Quantity_Edited]]&lt;&gt;0,Data_FAGLL03[[#This Row],[Offsetting acct no.]]&amp;" | "&amp;Data_FAGLL03[[#This Row],[Material]],"")</f>
        <v>104894 | 110000354</v>
      </c>
      <c r="GO126" t="str">
        <f>IF(LEFT(Data_FAGLL03[[#This Row],[Offsetting acct no.]],1)="1","NĐ",IF(LEFT(Data_FAGLL03[[#This Row],[Offsetting acct no.]],1)="2","XK","Khác"))</f>
        <v>NĐ</v>
      </c>
      <c r="GP126" t="str">
        <f>IF(Data_FAGLL03[[#This Row],[Material]]&lt;&gt;"",_xlfn.XLOOKUP(Data_FAGLL03[[#This Row],[Material]],MD_SKU[Mã SKU],MD_SKU[Tên SKU]),"")</f>
        <v>Hạt nhựa rPET WSS01G 1</v>
      </c>
      <c r="GQ126" t="str">
        <f>IF(Data_FAGLL03[[#This Row],[Material]]&lt;&gt;"",_xlfn.XLOOKUP(Data_FAGLL03[[#This Row],[Material]],MD_SKU[Mã SKU],MD_SKU[Nhóm SP 1]),"")</f>
        <v>rPET</v>
      </c>
      <c r="GR126" t="str">
        <f>IF(Data_FAGLL03[[#This Row],[Material]]&lt;&gt;"",_xlfn.XLOOKUP(Data_FAGLL03[[#This Row],[Material]],MD_SKU[Mã SKU],MD_SKU[Nhóm SP 2]),"")</f>
        <v>rPET</v>
      </c>
      <c r="GS126" t="str">
        <f>IF(Data_FAGLL03[[#This Row],[Material]]&lt;&gt;"",_xlfn.XLOOKUP(Data_FAGLL03[[#This Row],[Material]],MD_SKU[Mã SKU],MD_SKU[Nhóm SP 3]),"")</f>
        <v>rPET</v>
      </c>
      <c r="GT126" t="str">
        <f>IF(Data_FAGLL03[[#This Row],[Material]]&lt;&gt;"",_xlfn.XLOOKUP(Data_FAGLL03[[#This Row],[Material]],MD_SKU[Mã SKU],MD_SKU[Nhóm SP 4]),"")</f>
        <v>Hạt rPET</v>
      </c>
    </row>
    <row r="127" spans="1:202" x14ac:dyDescent="0.25">
      <c r="A127" t="s">
        <v>0</v>
      </c>
      <c r="B127" s="2">
        <v>46122</v>
      </c>
      <c r="C127" t="s">
        <v>2457</v>
      </c>
      <c r="D127" t="s">
        <v>1</v>
      </c>
      <c r="E127" t="s">
        <v>1</v>
      </c>
      <c r="F127" t="s">
        <v>23</v>
      </c>
      <c r="G127" t="s">
        <v>23</v>
      </c>
      <c r="H127" t="s">
        <v>2458</v>
      </c>
      <c r="I127" s="19">
        <v>-635971875</v>
      </c>
      <c r="J127" t="s">
        <v>2459</v>
      </c>
      <c r="K127" t="s">
        <v>1</v>
      </c>
      <c r="L127" t="s">
        <v>39</v>
      </c>
      <c r="M127" t="s">
        <v>41</v>
      </c>
      <c r="N127" t="s">
        <v>254</v>
      </c>
      <c r="O127" t="s">
        <v>4</v>
      </c>
      <c r="P127" t="s">
        <v>2460</v>
      </c>
      <c r="Q127" t="s">
        <v>23</v>
      </c>
      <c r="R127" t="s">
        <v>5</v>
      </c>
      <c r="S127" t="s">
        <v>1</v>
      </c>
      <c r="T127" s="3">
        <v>-24227.5</v>
      </c>
      <c r="U127" s="19">
        <v>-24227.5</v>
      </c>
      <c r="V127" s="3">
        <v>-635971875</v>
      </c>
      <c r="W127" s="3">
        <v>-635971875</v>
      </c>
      <c r="X127" s="4">
        <v>0</v>
      </c>
      <c r="Y127" s="4">
        <v>0</v>
      </c>
      <c r="Z127" s="3">
        <v>0</v>
      </c>
      <c r="AA127" s="3">
        <v>0</v>
      </c>
      <c r="AB127" t="s">
        <v>1</v>
      </c>
      <c r="AC127" t="s">
        <v>24</v>
      </c>
      <c r="AD127" s="2"/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25</v>
      </c>
      <c r="AK127" s="4">
        <v>0</v>
      </c>
      <c r="AL127" t="s">
        <v>1</v>
      </c>
      <c r="AM127" s="5" t="s">
        <v>1</v>
      </c>
      <c r="AN127" t="s">
        <v>1</v>
      </c>
      <c r="AO127" s="2"/>
      <c r="AP127" t="s">
        <v>1</v>
      </c>
      <c r="AQ127" t="s">
        <v>1</v>
      </c>
      <c r="AR127" s="3">
        <v>0</v>
      </c>
      <c r="AS127" t="s">
        <v>1</v>
      </c>
      <c r="AT127" t="s">
        <v>7</v>
      </c>
      <c r="AU127" t="s">
        <v>1</v>
      </c>
      <c r="AV127" t="s">
        <v>1</v>
      </c>
      <c r="AW127" t="s">
        <v>8</v>
      </c>
      <c r="AX127" t="s">
        <v>8</v>
      </c>
      <c r="AY127" t="s">
        <v>1</v>
      </c>
      <c r="AZ127" s="4">
        <v>0</v>
      </c>
      <c r="BA127" t="s">
        <v>1</v>
      </c>
      <c r="BB127" s="3">
        <v>0</v>
      </c>
      <c r="BC127" s="3">
        <v>0</v>
      </c>
      <c r="BD127" s="3">
        <v>0</v>
      </c>
      <c r="BE127" t="s">
        <v>20</v>
      </c>
      <c r="BF127" t="s">
        <v>1</v>
      </c>
      <c r="BG127" s="4">
        <v>0</v>
      </c>
      <c r="BH127" s="4">
        <v>0</v>
      </c>
      <c r="BI127" s="6">
        <v>0</v>
      </c>
      <c r="BJ127" s="6">
        <v>0</v>
      </c>
      <c r="BK127" t="s">
        <v>1</v>
      </c>
      <c r="BL127" t="s">
        <v>1</v>
      </c>
      <c r="BM127" t="s">
        <v>1</v>
      </c>
      <c r="BN127" t="s">
        <v>26</v>
      </c>
      <c r="BO127" s="2">
        <v>46122</v>
      </c>
      <c r="BP127" t="s">
        <v>1</v>
      </c>
      <c r="BQ127" t="s">
        <v>2457</v>
      </c>
      <c r="BR127" t="s">
        <v>27</v>
      </c>
      <c r="BS127" t="s">
        <v>1</v>
      </c>
      <c r="BT127" t="s">
        <v>1</v>
      </c>
      <c r="BU127" t="s">
        <v>1</v>
      </c>
      <c r="BV127" t="s">
        <v>1</v>
      </c>
      <c r="BW127" t="s">
        <v>7</v>
      </c>
      <c r="BX127" t="s">
        <v>2461</v>
      </c>
      <c r="BY127" s="2"/>
      <c r="BZ127" t="s">
        <v>1</v>
      </c>
      <c r="CA127" t="s">
        <v>1</v>
      </c>
      <c r="CB127" t="s">
        <v>1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254</v>
      </c>
      <c r="CJ127" s="3">
        <v>-635971875</v>
      </c>
      <c r="CK127" t="s">
        <v>9</v>
      </c>
      <c r="CL127" t="s">
        <v>11</v>
      </c>
      <c r="CM127" t="s">
        <v>1</v>
      </c>
      <c r="CN127" s="4">
        <v>0</v>
      </c>
      <c r="CO127" t="s">
        <v>7</v>
      </c>
      <c r="CP127" t="s">
        <v>7</v>
      </c>
      <c r="CQ127" t="s">
        <v>7</v>
      </c>
      <c r="CR127" t="s">
        <v>7</v>
      </c>
      <c r="CS127" s="4">
        <v>0</v>
      </c>
      <c r="CT127" t="s">
        <v>2457</v>
      </c>
      <c r="CU127" t="s">
        <v>7</v>
      </c>
      <c r="CV127" t="s">
        <v>1</v>
      </c>
      <c r="CW127" s="2"/>
      <c r="CX127" t="s">
        <v>12</v>
      </c>
      <c r="CY127" t="s">
        <v>1</v>
      </c>
      <c r="CZ127" t="s">
        <v>13</v>
      </c>
      <c r="DA127" t="s">
        <v>1</v>
      </c>
      <c r="DB127" t="s">
        <v>9</v>
      </c>
      <c r="DC127" t="s">
        <v>9</v>
      </c>
      <c r="DD127" t="s">
        <v>1</v>
      </c>
      <c r="DE127" t="s">
        <v>1</v>
      </c>
      <c r="DF127" t="s">
        <v>1</v>
      </c>
      <c r="DG127" t="s">
        <v>33</v>
      </c>
      <c r="DH127" t="s">
        <v>1</v>
      </c>
      <c r="DI127" s="2"/>
      <c r="DJ127" t="s">
        <v>1</v>
      </c>
      <c r="DK127" t="s">
        <v>14</v>
      </c>
      <c r="DL127" t="s">
        <v>1</v>
      </c>
      <c r="DM127" t="s">
        <v>1</v>
      </c>
      <c r="DN127" t="s">
        <v>1</v>
      </c>
      <c r="DO127" t="s">
        <v>1</v>
      </c>
      <c r="DP127" t="s">
        <v>1</v>
      </c>
      <c r="DQ127" t="s">
        <v>1</v>
      </c>
      <c r="DR127" t="s">
        <v>1</v>
      </c>
      <c r="DS127" t="s">
        <v>1</v>
      </c>
      <c r="DT127" t="s">
        <v>1</v>
      </c>
      <c r="DU127" t="s">
        <v>1</v>
      </c>
      <c r="DV127" s="2"/>
      <c r="DW127" t="s">
        <v>1</v>
      </c>
      <c r="DX127" t="s">
        <v>1</v>
      </c>
      <c r="DY127" t="s">
        <v>2462</v>
      </c>
      <c r="DZ127" t="s">
        <v>1</v>
      </c>
      <c r="EA127" t="s">
        <v>1</v>
      </c>
      <c r="EB127" t="s">
        <v>28</v>
      </c>
      <c r="EC127" t="s">
        <v>7</v>
      </c>
      <c r="ED127" t="s">
        <v>1</v>
      </c>
      <c r="EE127" t="s">
        <v>1</v>
      </c>
      <c r="EF127" t="s">
        <v>22</v>
      </c>
      <c r="EG127" t="s">
        <v>41</v>
      </c>
      <c r="EH127" t="s">
        <v>15</v>
      </c>
      <c r="EI127" t="s">
        <v>1</v>
      </c>
      <c r="EJ127" s="4">
        <v>-22000</v>
      </c>
      <c r="EK127" t="s">
        <v>1</v>
      </c>
      <c r="EL127" t="s">
        <v>1</v>
      </c>
      <c r="EM127" t="s">
        <v>1</v>
      </c>
      <c r="EN127" t="s">
        <v>1</v>
      </c>
      <c r="EO127" s="2"/>
      <c r="EP127" t="s">
        <v>2462</v>
      </c>
      <c r="EQ127" t="s">
        <v>1</v>
      </c>
      <c r="ER127" t="s">
        <v>1</v>
      </c>
      <c r="ES127" t="s">
        <v>1</v>
      </c>
      <c r="ET127" t="s">
        <v>29</v>
      </c>
      <c r="EU127" t="s">
        <v>1</v>
      </c>
      <c r="EV127" t="s">
        <v>1</v>
      </c>
      <c r="EW127" t="s">
        <v>7</v>
      </c>
      <c r="EX127" t="s">
        <v>7</v>
      </c>
      <c r="EY127" t="s">
        <v>1</v>
      </c>
      <c r="EZ127" t="s">
        <v>1</v>
      </c>
      <c r="FA127" t="s">
        <v>1</v>
      </c>
      <c r="FB127" s="3">
        <v>50</v>
      </c>
      <c r="FC127" t="s">
        <v>1</v>
      </c>
      <c r="FD127" t="s">
        <v>1</v>
      </c>
      <c r="FE127" t="s">
        <v>1</v>
      </c>
      <c r="FF127" t="s">
        <v>30</v>
      </c>
      <c r="FG127" t="s">
        <v>1</v>
      </c>
      <c r="FH127" t="s">
        <v>1</v>
      </c>
      <c r="FI127" t="s">
        <v>1</v>
      </c>
      <c r="FJ127" t="s">
        <v>1</v>
      </c>
      <c r="FK127" s="7">
        <v>46122.468090277776</v>
      </c>
      <c r="FL127" t="s">
        <v>1</v>
      </c>
      <c r="FM127" t="s">
        <v>1</v>
      </c>
      <c r="FN127" t="s">
        <v>1</v>
      </c>
      <c r="FO127" s="19">
        <v>-635971875</v>
      </c>
      <c r="FP127" s="4">
        <v>0</v>
      </c>
      <c r="FQ127" s="19">
        <v>-635971875</v>
      </c>
      <c r="FR127" s="4">
        <v>0</v>
      </c>
      <c r="FS127" s="4">
        <v>0</v>
      </c>
      <c r="FT127" s="4">
        <v>0</v>
      </c>
      <c r="FU127" s="2">
        <v>46122</v>
      </c>
      <c r="FV127" t="s">
        <v>1</v>
      </c>
      <c r="FW127" s="4">
        <v>0</v>
      </c>
      <c r="FX127" t="s">
        <v>1</v>
      </c>
      <c r="FY127" t="s">
        <v>1</v>
      </c>
      <c r="FZ127" s="4">
        <v>0</v>
      </c>
      <c r="GA127" s="4">
        <v>0</v>
      </c>
      <c r="GB127" t="s">
        <v>2070</v>
      </c>
      <c r="GC127" t="str">
        <f>RIGHT(Data_FAGLL03[[#This Row],[Payment reference]],8)</f>
        <v>91172687</v>
      </c>
      <c r="GD127" t="str">
        <f>IF(Data_FAGLL03[[#This Row],[Billing]]&lt;&gt;"",_xlfn.XLOOKUP(Data_FAGLL03[[#This Row],[Billing]],MD_BILLING_SO[BILIING],MD_BILLING_SO[SO-EDITED]),"")</f>
        <v>30030591</v>
      </c>
      <c r="GE127" s="18">
        <f>IF(SUBSTITUTE(Data_FAGLL03[[#This Row],[Eff.exchange rate]],",","")/100000=1,1,SUBSTITUTE(Data_FAGLL03[[#This Row],[Eff.exchange rate]],",","")/100)</f>
        <v>26250</v>
      </c>
      <c r="GF127" s="17">
        <f>IF(Data_FAGLL03[[#This Row],[Material]]&lt;&gt;"",IFERROR(Data_FAGLL03[[#This Row],[Amount in local currency]]/Data_FAGLL03[[#This Row],[Quantity_Original]],0),0)</f>
        <v>28907.8125</v>
      </c>
      <c r="GG127" s="18">
        <f>IF(Data_FAGLL03[[#This Row],[XK/NĐ]]="XK",Data_FAGLL03[[#This Row],[GB trung bình]]/Data_FAGLL03[[#This Row],[EXR]],0)*1000</f>
        <v>1101.25</v>
      </c>
      <c r="GH127" s="18" cm="1">
        <f t="array" ref="GH127">IF(Data_FAGLL03[[#This Row],[Document currency]]&lt;&gt;"VND",Data_FAGLL03[[#This Row],[Amount in doc. curr.]],Data_FAGLL03[[#This Row],[Amount in local currency]]/EXR)</f>
        <v>-24227.5</v>
      </c>
      <c r="GI127" s="10">
        <f>Data_FAGLL03[[#This Row],[Time Stamp]]+TIME(7,0,0)</f>
        <v>46122.759756944441</v>
      </c>
      <c r="GJ127" s="18">
        <f>MONTH(Data_FAGLL03[[#This Row],[Time Stamp_VN]])</f>
        <v>4</v>
      </c>
      <c r="GK127">
        <f>DAY(Data_FAGLL03[[#This Row],[Time Stamp_VN]])</f>
        <v>10</v>
      </c>
      <c r="GL127" t="str">
        <f>TEXT(Data_FAGLL03[[#This Row],[Tháng]],"00")&amp;" | "&amp;TEXT(Data_FAGLL03[[#This Row],[Ngày]],"00")</f>
        <v>04 | 10</v>
      </c>
      <c r="GM127" s="18">
        <f>IF(Data_FAGLL03[[#This Row],[Text]]="",Data_FAGLL03[[#This Row],[Quantity_Original]],0)</f>
        <v>-22000</v>
      </c>
      <c r="GN127" s="18" t="str">
        <f>IF(Data_FAGLL03[[#This Row],[Quantity_Edited]]&lt;&gt;0,Data_FAGLL03[[#This Row],[Offsetting acct no.]]&amp;" | "&amp;Data_FAGLL03[[#This Row],[Material]],"")</f>
        <v>200400 | 110000354</v>
      </c>
      <c r="GO127" t="str">
        <f>IF(LEFT(Data_FAGLL03[[#This Row],[Offsetting acct no.]],1)="1","NĐ",IF(LEFT(Data_FAGLL03[[#This Row],[Offsetting acct no.]],1)="2","XK","Khác"))</f>
        <v>XK</v>
      </c>
      <c r="GP127" t="str">
        <f>IF(Data_FAGLL03[[#This Row],[Material]]&lt;&gt;"",_xlfn.XLOOKUP(Data_FAGLL03[[#This Row],[Material]],MD_SKU[Mã SKU],MD_SKU[Tên SKU]),"")</f>
        <v>Hạt nhựa rPET WSS01G 1</v>
      </c>
      <c r="GQ127" t="str">
        <f>IF(Data_FAGLL03[[#This Row],[Material]]&lt;&gt;"",_xlfn.XLOOKUP(Data_FAGLL03[[#This Row],[Material]],MD_SKU[Mã SKU],MD_SKU[Nhóm SP 1]),"")</f>
        <v>rPET</v>
      </c>
      <c r="GR127" t="str">
        <f>IF(Data_FAGLL03[[#This Row],[Material]]&lt;&gt;"",_xlfn.XLOOKUP(Data_FAGLL03[[#This Row],[Material]],MD_SKU[Mã SKU],MD_SKU[Nhóm SP 2]),"")</f>
        <v>rPET</v>
      </c>
      <c r="GS127" t="str">
        <f>IF(Data_FAGLL03[[#This Row],[Material]]&lt;&gt;"",_xlfn.XLOOKUP(Data_FAGLL03[[#This Row],[Material]],MD_SKU[Mã SKU],MD_SKU[Nhóm SP 3]),"")</f>
        <v>rPET</v>
      </c>
      <c r="GT127" t="str">
        <f>IF(Data_FAGLL03[[#This Row],[Material]]&lt;&gt;"",_xlfn.XLOOKUP(Data_FAGLL03[[#This Row],[Material]],MD_SKU[Mã SKU],MD_SKU[Nhóm SP 4]),"")</f>
        <v>Hạt rPET</v>
      </c>
    </row>
    <row r="128" spans="1:202" x14ac:dyDescent="0.25">
      <c r="A128" t="s">
        <v>0</v>
      </c>
      <c r="B128" s="2">
        <v>46122</v>
      </c>
      <c r="C128" t="s">
        <v>2463</v>
      </c>
      <c r="D128" t="s">
        <v>1</v>
      </c>
      <c r="E128" t="s">
        <v>1</v>
      </c>
      <c r="F128" t="s">
        <v>23</v>
      </c>
      <c r="G128" t="s">
        <v>23</v>
      </c>
      <c r="H128" t="s">
        <v>2458</v>
      </c>
      <c r="I128" s="19">
        <v>-635971875</v>
      </c>
      <c r="J128" t="s">
        <v>2459</v>
      </c>
      <c r="K128" t="s">
        <v>1</v>
      </c>
      <c r="L128" t="s">
        <v>39</v>
      </c>
      <c r="M128" t="s">
        <v>41</v>
      </c>
      <c r="N128" t="s">
        <v>254</v>
      </c>
      <c r="O128" t="s">
        <v>4</v>
      </c>
      <c r="P128" t="s">
        <v>2464</v>
      </c>
      <c r="Q128" t="s">
        <v>23</v>
      </c>
      <c r="R128" t="s">
        <v>5</v>
      </c>
      <c r="S128" t="s">
        <v>1</v>
      </c>
      <c r="T128" s="3">
        <v>-24227.5</v>
      </c>
      <c r="U128" s="19">
        <v>-24227.5</v>
      </c>
      <c r="V128" s="3">
        <v>-635971875</v>
      </c>
      <c r="W128" s="3">
        <v>-635971875</v>
      </c>
      <c r="X128" s="4">
        <v>0</v>
      </c>
      <c r="Y128" s="4">
        <v>0</v>
      </c>
      <c r="Z128" s="3">
        <v>0</v>
      </c>
      <c r="AA128" s="3">
        <v>0</v>
      </c>
      <c r="AB128" t="s">
        <v>1</v>
      </c>
      <c r="AC128" t="s">
        <v>24</v>
      </c>
      <c r="AD128" s="2"/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25</v>
      </c>
      <c r="AK128" s="4">
        <v>0</v>
      </c>
      <c r="AL128" t="s">
        <v>1</v>
      </c>
      <c r="AM128" s="5" t="s">
        <v>1</v>
      </c>
      <c r="AN128" t="s">
        <v>1</v>
      </c>
      <c r="AO128" s="2"/>
      <c r="AP128" t="s">
        <v>1</v>
      </c>
      <c r="AQ128" t="s">
        <v>1</v>
      </c>
      <c r="AR128" s="3">
        <v>0</v>
      </c>
      <c r="AS128" t="s">
        <v>1</v>
      </c>
      <c r="AT128" t="s">
        <v>7</v>
      </c>
      <c r="AU128" t="s">
        <v>1</v>
      </c>
      <c r="AV128" t="s">
        <v>1</v>
      </c>
      <c r="AW128" t="s">
        <v>8</v>
      </c>
      <c r="AX128" t="s">
        <v>8</v>
      </c>
      <c r="AY128" t="s">
        <v>1</v>
      </c>
      <c r="AZ128" s="4">
        <v>0</v>
      </c>
      <c r="BA128" t="s">
        <v>1</v>
      </c>
      <c r="BB128" s="3">
        <v>0</v>
      </c>
      <c r="BC128" s="3">
        <v>0</v>
      </c>
      <c r="BD128" s="3">
        <v>0</v>
      </c>
      <c r="BE128" t="s">
        <v>20</v>
      </c>
      <c r="BF128" t="s">
        <v>1</v>
      </c>
      <c r="BG128" s="4">
        <v>0</v>
      </c>
      <c r="BH128" s="4">
        <v>0</v>
      </c>
      <c r="BI128" s="6">
        <v>0</v>
      </c>
      <c r="BJ128" s="6">
        <v>0</v>
      </c>
      <c r="BK128" t="s">
        <v>1</v>
      </c>
      <c r="BL128" t="s">
        <v>1</v>
      </c>
      <c r="BM128" t="s">
        <v>1</v>
      </c>
      <c r="BN128" t="s">
        <v>26</v>
      </c>
      <c r="BO128" s="2">
        <v>46122</v>
      </c>
      <c r="BP128" t="s">
        <v>1</v>
      </c>
      <c r="BQ128" t="s">
        <v>2463</v>
      </c>
      <c r="BR128" t="s">
        <v>27</v>
      </c>
      <c r="BS128" t="s">
        <v>1</v>
      </c>
      <c r="BT128" t="s">
        <v>1</v>
      </c>
      <c r="BU128" t="s">
        <v>1</v>
      </c>
      <c r="BV128" t="s">
        <v>1</v>
      </c>
      <c r="BW128" t="s">
        <v>7</v>
      </c>
      <c r="BX128" t="s">
        <v>2461</v>
      </c>
      <c r="BY128" s="2"/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254</v>
      </c>
      <c r="CJ128" s="3">
        <v>-635971875</v>
      </c>
      <c r="CK128" t="s">
        <v>9</v>
      </c>
      <c r="CL128" t="s">
        <v>11</v>
      </c>
      <c r="CM128" t="s">
        <v>1</v>
      </c>
      <c r="CN128" s="4">
        <v>0</v>
      </c>
      <c r="CO128" t="s">
        <v>7</v>
      </c>
      <c r="CP128" t="s">
        <v>7</v>
      </c>
      <c r="CQ128" t="s">
        <v>7</v>
      </c>
      <c r="CR128" t="s">
        <v>7</v>
      </c>
      <c r="CS128" s="4">
        <v>0</v>
      </c>
      <c r="CT128" t="s">
        <v>2463</v>
      </c>
      <c r="CU128" t="s">
        <v>7</v>
      </c>
      <c r="CV128" t="s">
        <v>1</v>
      </c>
      <c r="CW128" s="2"/>
      <c r="CX128" t="s">
        <v>12</v>
      </c>
      <c r="CY128" t="s">
        <v>1</v>
      </c>
      <c r="CZ128" t="s">
        <v>13</v>
      </c>
      <c r="DA128" t="s">
        <v>1</v>
      </c>
      <c r="DB128" t="s">
        <v>9</v>
      </c>
      <c r="DC128" t="s">
        <v>9</v>
      </c>
      <c r="DD128" t="s">
        <v>1</v>
      </c>
      <c r="DE128" t="s">
        <v>1</v>
      </c>
      <c r="DF128" t="s">
        <v>1</v>
      </c>
      <c r="DG128" t="s">
        <v>33</v>
      </c>
      <c r="DH128" t="s">
        <v>1</v>
      </c>
      <c r="DI128" s="2"/>
      <c r="DJ128" t="s">
        <v>1</v>
      </c>
      <c r="DK128" t="s">
        <v>14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s="2"/>
      <c r="DW128" t="s">
        <v>1</v>
      </c>
      <c r="DX128" t="s">
        <v>1</v>
      </c>
      <c r="DY128" t="s">
        <v>2465</v>
      </c>
      <c r="DZ128" t="s">
        <v>1</v>
      </c>
      <c r="EA128" t="s">
        <v>1</v>
      </c>
      <c r="EB128" t="s">
        <v>28</v>
      </c>
      <c r="EC128" t="s">
        <v>7</v>
      </c>
      <c r="ED128" t="s">
        <v>1</v>
      </c>
      <c r="EE128" t="s">
        <v>1</v>
      </c>
      <c r="EF128" t="s">
        <v>22</v>
      </c>
      <c r="EG128" t="s">
        <v>41</v>
      </c>
      <c r="EH128" t="s">
        <v>15</v>
      </c>
      <c r="EI128" t="s">
        <v>1</v>
      </c>
      <c r="EJ128" s="4">
        <v>-22000</v>
      </c>
      <c r="EK128" t="s">
        <v>1</v>
      </c>
      <c r="EL128" t="s">
        <v>1</v>
      </c>
      <c r="EM128" t="s">
        <v>1</v>
      </c>
      <c r="EN128" t="s">
        <v>1</v>
      </c>
      <c r="EO128" s="2"/>
      <c r="EP128" t="s">
        <v>2465</v>
      </c>
      <c r="EQ128" t="s">
        <v>1</v>
      </c>
      <c r="ER128" t="s">
        <v>1</v>
      </c>
      <c r="ES128" t="s">
        <v>1</v>
      </c>
      <c r="ET128" t="s">
        <v>29</v>
      </c>
      <c r="EU128" t="s">
        <v>1</v>
      </c>
      <c r="EV128" t="s">
        <v>1</v>
      </c>
      <c r="EW128" t="s">
        <v>7</v>
      </c>
      <c r="EX128" t="s">
        <v>7</v>
      </c>
      <c r="EY128" t="s">
        <v>1</v>
      </c>
      <c r="EZ128" t="s">
        <v>1</v>
      </c>
      <c r="FA128" t="s">
        <v>1</v>
      </c>
      <c r="FB128" s="3">
        <v>50</v>
      </c>
      <c r="FC128" t="s">
        <v>1</v>
      </c>
      <c r="FD128" t="s">
        <v>1</v>
      </c>
      <c r="FE128" t="s">
        <v>1</v>
      </c>
      <c r="FF128" t="s">
        <v>30</v>
      </c>
      <c r="FG128" t="s">
        <v>1</v>
      </c>
      <c r="FH128" t="s">
        <v>1</v>
      </c>
      <c r="FI128" t="s">
        <v>1</v>
      </c>
      <c r="FJ128" t="s">
        <v>1</v>
      </c>
      <c r="FK128" s="7">
        <v>46122.468194444446</v>
      </c>
      <c r="FL128" t="s">
        <v>1</v>
      </c>
      <c r="FM128" t="s">
        <v>1</v>
      </c>
      <c r="FN128" t="s">
        <v>1</v>
      </c>
      <c r="FO128" s="19">
        <v>-635971875</v>
      </c>
      <c r="FP128" s="4">
        <v>0</v>
      </c>
      <c r="FQ128" s="19">
        <v>-635971875</v>
      </c>
      <c r="FR128" s="4">
        <v>0</v>
      </c>
      <c r="FS128" s="4">
        <v>0</v>
      </c>
      <c r="FT128" s="4">
        <v>0</v>
      </c>
      <c r="FU128" s="2">
        <v>46122</v>
      </c>
      <c r="FV128" t="s">
        <v>1</v>
      </c>
      <c r="FW128" s="4">
        <v>0</v>
      </c>
      <c r="FX128" t="s">
        <v>1</v>
      </c>
      <c r="FY128" t="s">
        <v>1</v>
      </c>
      <c r="FZ128" s="4">
        <v>0</v>
      </c>
      <c r="GA128" s="4">
        <v>0</v>
      </c>
      <c r="GB128" t="s">
        <v>2070</v>
      </c>
      <c r="GC128" t="str">
        <f>RIGHT(Data_FAGLL03[[#This Row],[Payment reference]],8)</f>
        <v>91172688</v>
      </c>
      <c r="GD128" t="str">
        <f>IF(Data_FAGLL03[[#This Row],[Billing]]&lt;&gt;"",_xlfn.XLOOKUP(Data_FAGLL03[[#This Row],[Billing]],MD_BILLING_SO[BILIING],MD_BILLING_SO[SO-EDITED]),"")</f>
        <v>30030591</v>
      </c>
      <c r="GE128" s="18">
        <f>IF(SUBSTITUTE(Data_FAGLL03[[#This Row],[Eff.exchange rate]],",","")/100000=1,1,SUBSTITUTE(Data_FAGLL03[[#This Row],[Eff.exchange rate]],",","")/100)</f>
        <v>26250</v>
      </c>
      <c r="GF128" s="17">
        <f>IF(Data_FAGLL03[[#This Row],[Material]]&lt;&gt;"",IFERROR(Data_FAGLL03[[#This Row],[Amount in local currency]]/Data_FAGLL03[[#This Row],[Quantity_Original]],0),0)</f>
        <v>28907.8125</v>
      </c>
      <c r="GG128" s="18">
        <f>IF(Data_FAGLL03[[#This Row],[XK/NĐ]]="XK",Data_FAGLL03[[#This Row],[GB trung bình]]/Data_FAGLL03[[#This Row],[EXR]],0)*1000</f>
        <v>1101.25</v>
      </c>
      <c r="GH128" s="18" cm="1">
        <f t="array" ref="GH128">IF(Data_FAGLL03[[#This Row],[Document currency]]&lt;&gt;"VND",Data_FAGLL03[[#This Row],[Amount in doc. curr.]],Data_FAGLL03[[#This Row],[Amount in local currency]]/EXR)</f>
        <v>-24227.5</v>
      </c>
      <c r="GI128" s="10">
        <f>Data_FAGLL03[[#This Row],[Time Stamp]]+TIME(7,0,0)</f>
        <v>46122.75986111111</v>
      </c>
      <c r="GJ128" s="18">
        <f>MONTH(Data_FAGLL03[[#This Row],[Time Stamp_VN]])</f>
        <v>4</v>
      </c>
      <c r="GK128">
        <f>DAY(Data_FAGLL03[[#This Row],[Time Stamp_VN]])</f>
        <v>10</v>
      </c>
      <c r="GL128" t="str">
        <f>TEXT(Data_FAGLL03[[#This Row],[Tháng]],"00")&amp;" | "&amp;TEXT(Data_FAGLL03[[#This Row],[Ngày]],"00")</f>
        <v>04 | 10</v>
      </c>
      <c r="GM128" s="18">
        <f>IF(Data_FAGLL03[[#This Row],[Text]]="",Data_FAGLL03[[#This Row],[Quantity_Original]],0)</f>
        <v>-22000</v>
      </c>
      <c r="GN128" s="18" t="str">
        <f>IF(Data_FAGLL03[[#This Row],[Quantity_Edited]]&lt;&gt;0,Data_FAGLL03[[#This Row],[Offsetting acct no.]]&amp;" | "&amp;Data_FAGLL03[[#This Row],[Material]],"")</f>
        <v>200400 | 110000354</v>
      </c>
      <c r="GO128" t="str">
        <f>IF(LEFT(Data_FAGLL03[[#This Row],[Offsetting acct no.]],1)="1","NĐ",IF(LEFT(Data_FAGLL03[[#This Row],[Offsetting acct no.]],1)="2","XK","Khác"))</f>
        <v>XK</v>
      </c>
      <c r="GP128" t="str">
        <f>IF(Data_FAGLL03[[#This Row],[Material]]&lt;&gt;"",_xlfn.XLOOKUP(Data_FAGLL03[[#This Row],[Material]],MD_SKU[Mã SKU],MD_SKU[Tên SKU]),"")</f>
        <v>Hạt nhựa rPET WSS01G 1</v>
      </c>
      <c r="GQ128" t="str">
        <f>IF(Data_FAGLL03[[#This Row],[Material]]&lt;&gt;"",_xlfn.XLOOKUP(Data_FAGLL03[[#This Row],[Material]],MD_SKU[Mã SKU],MD_SKU[Nhóm SP 1]),"")</f>
        <v>rPET</v>
      </c>
      <c r="GR128" t="str">
        <f>IF(Data_FAGLL03[[#This Row],[Material]]&lt;&gt;"",_xlfn.XLOOKUP(Data_FAGLL03[[#This Row],[Material]],MD_SKU[Mã SKU],MD_SKU[Nhóm SP 2]),"")</f>
        <v>rPET</v>
      </c>
      <c r="GS128" t="str">
        <f>IF(Data_FAGLL03[[#This Row],[Material]]&lt;&gt;"",_xlfn.XLOOKUP(Data_FAGLL03[[#This Row],[Material]],MD_SKU[Mã SKU],MD_SKU[Nhóm SP 3]),"")</f>
        <v>rPET</v>
      </c>
      <c r="GT128" t="str">
        <f>IF(Data_FAGLL03[[#This Row],[Material]]&lt;&gt;"",_xlfn.XLOOKUP(Data_FAGLL03[[#This Row],[Material]],MD_SKU[Mã SKU],MD_SKU[Nhóm SP 4]),"")</f>
        <v>Hạt rPET</v>
      </c>
    </row>
    <row r="129" spans="1:202" x14ac:dyDescent="0.25">
      <c r="A129" t="s">
        <v>0</v>
      </c>
      <c r="B129" s="2">
        <v>46122</v>
      </c>
      <c r="C129" t="s">
        <v>2466</v>
      </c>
      <c r="D129" t="s">
        <v>1</v>
      </c>
      <c r="E129" t="s">
        <v>1</v>
      </c>
      <c r="F129" t="s">
        <v>23</v>
      </c>
      <c r="G129" t="s">
        <v>23</v>
      </c>
      <c r="H129" t="s">
        <v>2458</v>
      </c>
      <c r="I129" s="19">
        <v>-635971875</v>
      </c>
      <c r="J129" t="s">
        <v>2459</v>
      </c>
      <c r="K129" t="s">
        <v>1</v>
      </c>
      <c r="L129" t="s">
        <v>39</v>
      </c>
      <c r="M129" t="s">
        <v>41</v>
      </c>
      <c r="N129" t="s">
        <v>254</v>
      </c>
      <c r="O129" t="s">
        <v>4</v>
      </c>
      <c r="P129" t="s">
        <v>2467</v>
      </c>
      <c r="Q129" t="s">
        <v>23</v>
      </c>
      <c r="R129" t="s">
        <v>5</v>
      </c>
      <c r="S129" t="s">
        <v>1</v>
      </c>
      <c r="T129" s="3">
        <v>-24227.5</v>
      </c>
      <c r="U129" s="19">
        <v>-24227.5</v>
      </c>
      <c r="V129" s="3">
        <v>-635971875</v>
      </c>
      <c r="W129" s="3">
        <v>-635971875</v>
      </c>
      <c r="X129" s="4">
        <v>0</v>
      </c>
      <c r="Y129" s="4">
        <v>0</v>
      </c>
      <c r="Z129" s="3">
        <v>0</v>
      </c>
      <c r="AA129" s="3">
        <v>0</v>
      </c>
      <c r="AB129" t="s">
        <v>1</v>
      </c>
      <c r="AC129" t="s">
        <v>24</v>
      </c>
      <c r="AD129" s="2"/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25</v>
      </c>
      <c r="AK129" s="4">
        <v>0</v>
      </c>
      <c r="AL129" t="s">
        <v>1</v>
      </c>
      <c r="AM129" s="5" t="s">
        <v>1</v>
      </c>
      <c r="AN129" t="s">
        <v>1</v>
      </c>
      <c r="AO129" s="2"/>
      <c r="AP129" t="s">
        <v>1</v>
      </c>
      <c r="AQ129" t="s">
        <v>1</v>
      </c>
      <c r="AR129" s="3">
        <v>0</v>
      </c>
      <c r="AS129" t="s">
        <v>1</v>
      </c>
      <c r="AT129" t="s">
        <v>7</v>
      </c>
      <c r="AU129" t="s">
        <v>1</v>
      </c>
      <c r="AV129" t="s">
        <v>1</v>
      </c>
      <c r="AW129" t="s">
        <v>8</v>
      </c>
      <c r="AX129" t="s">
        <v>8</v>
      </c>
      <c r="AY129" t="s">
        <v>1</v>
      </c>
      <c r="AZ129" s="4">
        <v>0</v>
      </c>
      <c r="BA129" t="s">
        <v>1</v>
      </c>
      <c r="BB129" s="3">
        <v>0</v>
      </c>
      <c r="BC129" s="3">
        <v>0</v>
      </c>
      <c r="BD129" s="3">
        <v>0</v>
      </c>
      <c r="BE129" t="s">
        <v>20</v>
      </c>
      <c r="BF129" t="s">
        <v>1</v>
      </c>
      <c r="BG129" s="4">
        <v>0</v>
      </c>
      <c r="BH129" s="4">
        <v>0</v>
      </c>
      <c r="BI129" s="6">
        <v>0</v>
      </c>
      <c r="BJ129" s="6">
        <v>0</v>
      </c>
      <c r="BK129" t="s">
        <v>1</v>
      </c>
      <c r="BL129" t="s">
        <v>1</v>
      </c>
      <c r="BM129" t="s">
        <v>1</v>
      </c>
      <c r="BN129" t="s">
        <v>26</v>
      </c>
      <c r="BO129" s="2">
        <v>46122</v>
      </c>
      <c r="BP129" t="s">
        <v>1</v>
      </c>
      <c r="BQ129" t="s">
        <v>2466</v>
      </c>
      <c r="BR129" t="s">
        <v>27</v>
      </c>
      <c r="BS129" t="s">
        <v>1</v>
      </c>
      <c r="BT129" t="s">
        <v>1</v>
      </c>
      <c r="BU129" t="s">
        <v>1</v>
      </c>
      <c r="BV129" t="s">
        <v>1</v>
      </c>
      <c r="BW129" t="s">
        <v>7</v>
      </c>
      <c r="BX129" t="s">
        <v>2461</v>
      </c>
      <c r="BY129" s="2"/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254</v>
      </c>
      <c r="CJ129" s="3">
        <v>-635971875</v>
      </c>
      <c r="CK129" t="s">
        <v>9</v>
      </c>
      <c r="CL129" t="s">
        <v>11</v>
      </c>
      <c r="CM129" t="s">
        <v>1</v>
      </c>
      <c r="CN129" s="4">
        <v>0</v>
      </c>
      <c r="CO129" t="s">
        <v>7</v>
      </c>
      <c r="CP129" t="s">
        <v>7</v>
      </c>
      <c r="CQ129" t="s">
        <v>7</v>
      </c>
      <c r="CR129" t="s">
        <v>7</v>
      </c>
      <c r="CS129" s="4">
        <v>0</v>
      </c>
      <c r="CT129" t="s">
        <v>2466</v>
      </c>
      <c r="CU129" t="s">
        <v>7</v>
      </c>
      <c r="CV129" t="s">
        <v>1</v>
      </c>
      <c r="CW129" s="2"/>
      <c r="CX129" t="s">
        <v>12</v>
      </c>
      <c r="CY129" t="s">
        <v>1</v>
      </c>
      <c r="CZ129" t="s">
        <v>13</v>
      </c>
      <c r="DA129" t="s">
        <v>1</v>
      </c>
      <c r="DB129" t="s">
        <v>9</v>
      </c>
      <c r="DC129" t="s">
        <v>9</v>
      </c>
      <c r="DD129" t="s">
        <v>1</v>
      </c>
      <c r="DE129" t="s">
        <v>1</v>
      </c>
      <c r="DF129" t="s">
        <v>1</v>
      </c>
      <c r="DG129" t="s">
        <v>33</v>
      </c>
      <c r="DH129" t="s">
        <v>1</v>
      </c>
      <c r="DI129" s="2"/>
      <c r="DJ129" t="s">
        <v>1</v>
      </c>
      <c r="DK129" t="s">
        <v>14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s="2"/>
      <c r="DW129" t="s">
        <v>1</v>
      </c>
      <c r="DX129" t="s">
        <v>1</v>
      </c>
      <c r="DY129" t="s">
        <v>2468</v>
      </c>
      <c r="DZ129" t="s">
        <v>1</v>
      </c>
      <c r="EA129" t="s">
        <v>1</v>
      </c>
      <c r="EB129" t="s">
        <v>28</v>
      </c>
      <c r="EC129" t="s">
        <v>7</v>
      </c>
      <c r="ED129" t="s">
        <v>1</v>
      </c>
      <c r="EE129" t="s">
        <v>1</v>
      </c>
      <c r="EF129" t="s">
        <v>22</v>
      </c>
      <c r="EG129" t="s">
        <v>41</v>
      </c>
      <c r="EH129" t="s">
        <v>15</v>
      </c>
      <c r="EI129" t="s">
        <v>1</v>
      </c>
      <c r="EJ129" s="4">
        <v>-22000</v>
      </c>
      <c r="EK129" t="s">
        <v>1</v>
      </c>
      <c r="EL129" t="s">
        <v>1</v>
      </c>
      <c r="EM129" t="s">
        <v>1</v>
      </c>
      <c r="EN129" t="s">
        <v>1</v>
      </c>
      <c r="EO129" s="2"/>
      <c r="EP129" t="s">
        <v>2468</v>
      </c>
      <c r="EQ129" t="s">
        <v>1</v>
      </c>
      <c r="ER129" t="s">
        <v>1</v>
      </c>
      <c r="ES129" t="s">
        <v>1</v>
      </c>
      <c r="ET129" t="s">
        <v>29</v>
      </c>
      <c r="EU129" t="s">
        <v>1</v>
      </c>
      <c r="EV129" t="s">
        <v>1</v>
      </c>
      <c r="EW129" t="s">
        <v>7</v>
      </c>
      <c r="EX129" t="s">
        <v>7</v>
      </c>
      <c r="EY129" t="s">
        <v>1</v>
      </c>
      <c r="EZ129" t="s">
        <v>1</v>
      </c>
      <c r="FA129" t="s">
        <v>1</v>
      </c>
      <c r="FB129" s="3">
        <v>50</v>
      </c>
      <c r="FC129" t="s">
        <v>1</v>
      </c>
      <c r="FD129" t="s">
        <v>1</v>
      </c>
      <c r="FE129" t="s">
        <v>1</v>
      </c>
      <c r="FF129" t="s">
        <v>30</v>
      </c>
      <c r="FG129" t="s">
        <v>1</v>
      </c>
      <c r="FH129" t="s">
        <v>1</v>
      </c>
      <c r="FI129" t="s">
        <v>1</v>
      </c>
      <c r="FJ129" t="s">
        <v>1</v>
      </c>
      <c r="FK129" s="7">
        <v>46122.468252314815</v>
      </c>
      <c r="FL129" t="s">
        <v>1</v>
      </c>
      <c r="FM129" t="s">
        <v>1</v>
      </c>
      <c r="FN129" t="s">
        <v>1</v>
      </c>
      <c r="FO129" s="19">
        <v>-635971875</v>
      </c>
      <c r="FP129" s="4">
        <v>0</v>
      </c>
      <c r="FQ129" s="19">
        <v>-635971875</v>
      </c>
      <c r="FR129" s="4">
        <v>0</v>
      </c>
      <c r="FS129" s="4">
        <v>0</v>
      </c>
      <c r="FT129" s="4">
        <v>0</v>
      </c>
      <c r="FU129" s="2">
        <v>46122</v>
      </c>
      <c r="FV129" t="s">
        <v>1</v>
      </c>
      <c r="FW129" s="4">
        <v>0</v>
      </c>
      <c r="FX129" t="s">
        <v>1</v>
      </c>
      <c r="FY129" t="s">
        <v>1</v>
      </c>
      <c r="FZ129" s="4">
        <v>0</v>
      </c>
      <c r="GA129" s="4">
        <v>0</v>
      </c>
      <c r="GB129" t="s">
        <v>2070</v>
      </c>
      <c r="GC129" t="str">
        <f>RIGHT(Data_FAGLL03[[#This Row],[Payment reference]],8)</f>
        <v>91172689</v>
      </c>
      <c r="GD129" t="str">
        <f>IF(Data_FAGLL03[[#This Row],[Billing]]&lt;&gt;"",_xlfn.XLOOKUP(Data_FAGLL03[[#This Row],[Billing]],MD_BILLING_SO[BILIING],MD_BILLING_SO[SO-EDITED]),"")</f>
        <v>30030591</v>
      </c>
      <c r="GE129" s="18">
        <f>IF(SUBSTITUTE(Data_FAGLL03[[#This Row],[Eff.exchange rate]],",","")/100000=1,1,SUBSTITUTE(Data_FAGLL03[[#This Row],[Eff.exchange rate]],",","")/100)</f>
        <v>26250</v>
      </c>
      <c r="GF129" s="17">
        <f>IF(Data_FAGLL03[[#This Row],[Material]]&lt;&gt;"",IFERROR(Data_FAGLL03[[#This Row],[Amount in local currency]]/Data_FAGLL03[[#This Row],[Quantity_Original]],0),0)</f>
        <v>28907.8125</v>
      </c>
      <c r="GG129" s="18">
        <f>IF(Data_FAGLL03[[#This Row],[XK/NĐ]]="XK",Data_FAGLL03[[#This Row],[GB trung bình]]/Data_FAGLL03[[#This Row],[EXR]],0)*1000</f>
        <v>1101.25</v>
      </c>
      <c r="GH129" s="18" cm="1">
        <f t="array" ref="GH129">IF(Data_FAGLL03[[#This Row],[Document currency]]&lt;&gt;"VND",Data_FAGLL03[[#This Row],[Amount in doc. curr.]],Data_FAGLL03[[#This Row],[Amount in local currency]]/EXR)</f>
        <v>-24227.5</v>
      </c>
      <c r="GI129" s="10">
        <f>Data_FAGLL03[[#This Row],[Time Stamp]]+TIME(7,0,0)</f>
        <v>46122.759918981479</v>
      </c>
      <c r="GJ129" s="18">
        <f>MONTH(Data_FAGLL03[[#This Row],[Time Stamp_VN]])</f>
        <v>4</v>
      </c>
      <c r="GK129">
        <f>DAY(Data_FAGLL03[[#This Row],[Time Stamp_VN]])</f>
        <v>10</v>
      </c>
      <c r="GL129" t="str">
        <f>TEXT(Data_FAGLL03[[#This Row],[Tháng]],"00")&amp;" | "&amp;TEXT(Data_FAGLL03[[#This Row],[Ngày]],"00")</f>
        <v>04 | 10</v>
      </c>
      <c r="GM129" s="18">
        <f>IF(Data_FAGLL03[[#This Row],[Text]]="",Data_FAGLL03[[#This Row],[Quantity_Original]],0)</f>
        <v>-22000</v>
      </c>
      <c r="GN129" s="18" t="str">
        <f>IF(Data_FAGLL03[[#This Row],[Quantity_Edited]]&lt;&gt;0,Data_FAGLL03[[#This Row],[Offsetting acct no.]]&amp;" | "&amp;Data_FAGLL03[[#This Row],[Material]],"")</f>
        <v>200400 | 110000354</v>
      </c>
      <c r="GO129" t="str">
        <f>IF(LEFT(Data_FAGLL03[[#This Row],[Offsetting acct no.]],1)="1","NĐ",IF(LEFT(Data_FAGLL03[[#This Row],[Offsetting acct no.]],1)="2","XK","Khác"))</f>
        <v>XK</v>
      </c>
      <c r="GP129" t="str">
        <f>IF(Data_FAGLL03[[#This Row],[Material]]&lt;&gt;"",_xlfn.XLOOKUP(Data_FAGLL03[[#This Row],[Material]],MD_SKU[Mã SKU],MD_SKU[Tên SKU]),"")</f>
        <v>Hạt nhựa rPET WSS01G 1</v>
      </c>
      <c r="GQ129" t="str">
        <f>IF(Data_FAGLL03[[#This Row],[Material]]&lt;&gt;"",_xlfn.XLOOKUP(Data_FAGLL03[[#This Row],[Material]],MD_SKU[Mã SKU],MD_SKU[Nhóm SP 1]),"")</f>
        <v>rPET</v>
      </c>
      <c r="GR129" t="str">
        <f>IF(Data_FAGLL03[[#This Row],[Material]]&lt;&gt;"",_xlfn.XLOOKUP(Data_FAGLL03[[#This Row],[Material]],MD_SKU[Mã SKU],MD_SKU[Nhóm SP 2]),"")</f>
        <v>rPET</v>
      </c>
      <c r="GS129" t="str">
        <f>IF(Data_FAGLL03[[#This Row],[Material]]&lt;&gt;"",_xlfn.XLOOKUP(Data_FAGLL03[[#This Row],[Material]],MD_SKU[Mã SKU],MD_SKU[Nhóm SP 3]),"")</f>
        <v>rPET</v>
      </c>
      <c r="GT129" t="str">
        <f>IF(Data_FAGLL03[[#This Row],[Material]]&lt;&gt;"",_xlfn.XLOOKUP(Data_FAGLL03[[#This Row],[Material]],MD_SKU[Mã SKU],MD_SKU[Nhóm SP 4]),"")</f>
        <v>Hạt rPET</v>
      </c>
    </row>
    <row r="130" spans="1:202" x14ac:dyDescent="0.25">
      <c r="A130" t="s">
        <v>0</v>
      </c>
      <c r="B130" s="2">
        <v>46122</v>
      </c>
      <c r="C130" t="s">
        <v>2469</v>
      </c>
      <c r="D130" t="s">
        <v>1</v>
      </c>
      <c r="E130" t="s">
        <v>1</v>
      </c>
      <c r="F130" t="s">
        <v>23</v>
      </c>
      <c r="G130" t="s">
        <v>23</v>
      </c>
      <c r="H130" t="s">
        <v>2458</v>
      </c>
      <c r="I130" s="19">
        <v>-635971875</v>
      </c>
      <c r="J130" t="s">
        <v>2459</v>
      </c>
      <c r="K130" t="s">
        <v>1</v>
      </c>
      <c r="L130" t="s">
        <v>39</v>
      </c>
      <c r="M130" t="s">
        <v>41</v>
      </c>
      <c r="N130" t="s">
        <v>254</v>
      </c>
      <c r="O130" t="s">
        <v>4</v>
      </c>
      <c r="P130" t="s">
        <v>2470</v>
      </c>
      <c r="Q130" t="s">
        <v>23</v>
      </c>
      <c r="R130" t="s">
        <v>5</v>
      </c>
      <c r="S130" t="s">
        <v>1</v>
      </c>
      <c r="T130" s="3">
        <v>-24227.5</v>
      </c>
      <c r="U130" s="19">
        <v>-24227.5</v>
      </c>
      <c r="V130" s="3">
        <v>-635971875</v>
      </c>
      <c r="W130" s="3">
        <v>-635971875</v>
      </c>
      <c r="X130" s="4">
        <v>0</v>
      </c>
      <c r="Y130" s="4">
        <v>0</v>
      </c>
      <c r="Z130" s="3">
        <v>0</v>
      </c>
      <c r="AA130" s="3">
        <v>0</v>
      </c>
      <c r="AB130" t="s">
        <v>1</v>
      </c>
      <c r="AC130" t="s">
        <v>24</v>
      </c>
      <c r="AD130" s="2"/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25</v>
      </c>
      <c r="AK130" s="4">
        <v>0</v>
      </c>
      <c r="AL130" t="s">
        <v>1</v>
      </c>
      <c r="AM130" s="5" t="s">
        <v>1</v>
      </c>
      <c r="AN130" t="s">
        <v>1</v>
      </c>
      <c r="AO130" s="2"/>
      <c r="AP130" t="s">
        <v>1</v>
      </c>
      <c r="AQ130" t="s">
        <v>1</v>
      </c>
      <c r="AR130" s="3">
        <v>0</v>
      </c>
      <c r="AS130" t="s">
        <v>1</v>
      </c>
      <c r="AT130" t="s">
        <v>7</v>
      </c>
      <c r="AU130" t="s">
        <v>1</v>
      </c>
      <c r="AV130" t="s">
        <v>1</v>
      </c>
      <c r="AW130" t="s">
        <v>8</v>
      </c>
      <c r="AX130" t="s">
        <v>8</v>
      </c>
      <c r="AY130" t="s">
        <v>1</v>
      </c>
      <c r="AZ130" s="4">
        <v>0</v>
      </c>
      <c r="BA130" t="s">
        <v>1</v>
      </c>
      <c r="BB130" s="3">
        <v>0</v>
      </c>
      <c r="BC130" s="3">
        <v>0</v>
      </c>
      <c r="BD130" s="3">
        <v>0</v>
      </c>
      <c r="BE130" t="s">
        <v>20</v>
      </c>
      <c r="BF130" t="s">
        <v>1</v>
      </c>
      <c r="BG130" s="4">
        <v>0</v>
      </c>
      <c r="BH130" s="4">
        <v>0</v>
      </c>
      <c r="BI130" s="6">
        <v>0</v>
      </c>
      <c r="BJ130" s="6">
        <v>0</v>
      </c>
      <c r="BK130" t="s">
        <v>1</v>
      </c>
      <c r="BL130" t="s">
        <v>1</v>
      </c>
      <c r="BM130" t="s">
        <v>1</v>
      </c>
      <c r="BN130" t="s">
        <v>26</v>
      </c>
      <c r="BO130" s="2">
        <v>46122</v>
      </c>
      <c r="BP130" t="s">
        <v>1</v>
      </c>
      <c r="BQ130" t="s">
        <v>2469</v>
      </c>
      <c r="BR130" t="s">
        <v>27</v>
      </c>
      <c r="BS130" t="s">
        <v>1</v>
      </c>
      <c r="BT130" t="s">
        <v>1</v>
      </c>
      <c r="BU130" t="s">
        <v>1</v>
      </c>
      <c r="BV130" t="s">
        <v>1</v>
      </c>
      <c r="BW130" t="s">
        <v>7</v>
      </c>
      <c r="BX130" t="s">
        <v>2461</v>
      </c>
      <c r="BY130" s="2"/>
      <c r="BZ130" t="s">
        <v>1</v>
      </c>
      <c r="CA130" t="s">
        <v>1</v>
      </c>
      <c r="CB130" t="s">
        <v>1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254</v>
      </c>
      <c r="CJ130" s="3">
        <v>-635971875</v>
      </c>
      <c r="CK130" t="s">
        <v>9</v>
      </c>
      <c r="CL130" t="s">
        <v>11</v>
      </c>
      <c r="CM130" t="s">
        <v>1</v>
      </c>
      <c r="CN130" s="4">
        <v>0</v>
      </c>
      <c r="CO130" t="s">
        <v>7</v>
      </c>
      <c r="CP130" t="s">
        <v>7</v>
      </c>
      <c r="CQ130" t="s">
        <v>7</v>
      </c>
      <c r="CR130" t="s">
        <v>7</v>
      </c>
      <c r="CS130" s="4">
        <v>0</v>
      </c>
      <c r="CT130" t="s">
        <v>2469</v>
      </c>
      <c r="CU130" t="s">
        <v>7</v>
      </c>
      <c r="CV130" t="s">
        <v>1</v>
      </c>
      <c r="CW130" s="2"/>
      <c r="CX130" t="s">
        <v>12</v>
      </c>
      <c r="CY130" t="s">
        <v>1</v>
      </c>
      <c r="CZ130" t="s">
        <v>13</v>
      </c>
      <c r="DA130" t="s">
        <v>1</v>
      </c>
      <c r="DB130" t="s">
        <v>9</v>
      </c>
      <c r="DC130" t="s">
        <v>9</v>
      </c>
      <c r="DD130" t="s">
        <v>1</v>
      </c>
      <c r="DE130" t="s">
        <v>1</v>
      </c>
      <c r="DF130" t="s">
        <v>1</v>
      </c>
      <c r="DG130" t="s">
        <v>33</v>
      </c>
      <c r="DH130" t="s">
        <v>1</v>
      </c>
      <c r="DI130" s="2"/>
      <c r="DJ130" t="s">
        <v>1</v>
      </c>
      <c r="DK130" t="s">
        <v>14</v>
      </c>
      <c r="DL130" t="s">
        <v>1</v>
      </c>
      <c r="DM130" t="s">
        <v>1</v>
      </c>
      <c r="DN130" t="s">
        <v>1</v>
      </c>
      <c r="DO130" t="s">
        <v>1</v>
      </c>
      <c r="DP130" t="s">
        <v>1</v>
      </c>
      <c r="DQ130" t="s">
        <v>1</v>
      </c>
      <c r="DR130" t="s">
        <v>1</v>
      </c>
      <c r="DS130" t="s">
        <v>1</v>
      </c>
      <c r="DT130" t="s">
        <v>1</v>
      </c>
      <c r="DU130" t="s">
        <v>1</v>
      </c>
      <c r="DV130" s="2"/>
      <c r="DW130" t="s">
        <v>1</v>
      </c>
      <c r="DX130" t="s">
        <v>1</v>
      </c>
      <c r="DY130" t="s">
        <v>2471</v>
      </c>
      <c r="DZ130" t="s">
        <v>1</v>
      </c>
      <c r="EA130" t="s">
        <v>1</v>
      </c>
      <c r="EB130" t="s">
        <v>28</v>
      </c>
      <c r="EC130" t="s">
        <v>7</v>
      </c>
      <c r="ED130" t="s">
        <v>1</v>
      </c>
      <c r="EE130" t="s">
        <v>1</v>
      </c>
      <c r="EF130" t="s">
        <v>22</v>
      </c>
      <c r="EG130" t="s">
        <v>41</v>
      </c>
      <c r="EH130" t="s">
        <v>15</v>
      </c>
      <c r="EI130" t="s">
        <v>1</v>
      </c>
      <c r="EJ130" s="4">
        <v>-22000</v>
      </c>
      <c r="EK130" t="s">
        <v>1</v>
      </c>
      <c r="EL130" t="s">
        <v>1</v>
      </c>
      <c r="EM130" t="s">
        <v>1</v>
      </c>
      <c r="EN130" t="s">
        <v>1</v>
      </c>
      <c r="EO130" s="2"/>
      <c r="EP130" t="s">
        <v>2471</v>
      </c>
      <c r="EQ130" t="s">
        <v>1</v>
      </c>
      <c r="ER130" t="s">
        <v>1</v>
      </c>
      <c r="ES130" t="s">
        <v>1</v>
      </c>
      <c r="ET130" t="s">
        <v>29</v>
      </c>
      <c r="EU130" t="s">
        <v>1</v>
      </c>
      <c r="EV130" t="s">
        <v>1</v>
      </c>
      <c r="EW130" t="s">
        <v>7</v>
      </c>
      <c r="EX130" t="s">
        <v>7</v>
      </c>
      <c r="EY130" t="s">
        <v>1</v>
      </c>
      <c r="EZ130" t="s">
        <v>1</v>
      </c>
      <c r="FA130" t="s">
        <v>1</v>
      </c>
      <c r="FB130" s="3">
        <v>50</v>
      </c>
      <c r="FC130" t="s">
        <v>1</v>
      </c>
      <c r="FD130" t="s">
        <v>1</v>
      </c>
      <c r="FE130" t="s">
        <v>1</v>
      </c>
      <c r="FF130" t="s">
        <v>30</v>
      </c>
      <c r="FG130" t="s">
        <v>1</v>
      </c>
      <c r="FH130" t="s">
        <v>1</v>
      </c>
      <c r="FI130" t="s">
        <v>1</v>
      </c>
      <c r="FJ130" t="s">
        <v>1</v>
      </c>
      <c r="FK130" s="7">
        <v>46122.468310185184</v>
      </c>
      <c r="FL130" t="s">
        <v>1</v>
      </c>
      <c r="FM130" t="s">
        <v>1</v>
      </c>
      <c r="FN130" t="s">
        <v>1</v>
      </c>
      <c r="FO130" s="19">
        <v>-635971875</v>
      </c>
      <c r="FP130" s="4">
        <v>0</v>
      </c>
      <c r="FQ130" s="19">
        <v>-635971875</v>
      </c>
      <c r="FR130" s="4">
        <v>0</v>
      </c>
      <c r="FS130" s="4">
        <v>0</v>
      </c>
      <c r="FT130" s="4">
        <v>0</v>
      </c>
      <c r="FU130" s="2">
        <v>46122</v>
      </c>
      <c r="FV130" t="s">
        <v>1</v>
      </c>
      <c r="FW130" s="4">
        <v>0</v>
      </c>
      <c r="FX130" t="s">
        <v>1</v>
      </c>
      <c r="FY130" t="s">
        <v>1</v>
      </c>
      <c r="FZ130" s="4">
        <v>0</v>
      </c>
      <c r="GA130" s="4">
        <v>0</v>
      </c>
      <c r="GB130" t="s">
        <v>2070</v>
      </c>
      <c r="GC130" t="str">
        <f>RIGHT(Data_FAGLL03[[#This Row],[Payment reference]],8)</f>
        <v>91172690</v>
      </c>
      <c r="GD130" t="str">
        <f>IF(Data_FAGLL03[[#This Row],[Billing]]&lt;&gt;"",_xlfn.XLOOKUP(Data_FAGLL03[[#This Row],[Billing]],MD_BILLING_SO[BILIING],MD_BILLING_SO[SO-EDITED]),"")</f>
        <v>30030591</v>
      </c>
      <c r="GE130" s="18">
        <f>IF(SUBSTITUTE(Data_FAGLL03[[#This Row],[Eff.exchange rate]],",","")/100000=1,1,SUBSTITUTE(Data_FAGLL03[[#This Row],[Eff.exchange rate]],",","")/100)</f>
        <v>26250</v>
      </c>
      <c r="GF130" s="17">
        <f>IF(Data_FAGLL03[[#This Row],[Material]]&lt;&gt;"",IFERROR(Data_FAGLL03[[#This Row],[Amount in local currency]]/Data_FAGLL03[[#This Row],[Quantity_Original]],0),0)</f>
        <v>28907.8125</v>
      </c>
      <c r="GG130" s="18">
        <f>IF(Data_FAGLL03[[#This Row],[XK/NĐ]]="XK",Data_FAGLL03[[#This Row],[GB trung bình]]/Data_FAGLL03[[#This Row],[EXR]],0)*1000</f>
        <v>1101.25</v>
      </c>
      <c r="GH130" s="18" cm="1">
        <f t="array" ref="GH130">IF(Data_FAGLL03[[#This Row],[Document currency]]&lt;&gt;"VND",Data_FAGLL03[[#This Row],[Amount in doc. curr.]],Data_FAGLL03[[#This Row],[Amount in local currency]]/EXR)</f>
        <v>-24227.5</v>
      </c>
      <c r="GI130" s="10">
        <f>Data_FAGLL03[[#This Row],[Time Stamp]]+TIME(7,0,0)</f>
        <v>46122.759976851848</v>
      </c>
      <c r="GJ130" s="18">
        <f>MONTH(Data_FAGLL03[[#This Row],[Time Stamp_VN]])</f>
        <v>4</v>
      </c>
      <c r="GK130">
        <f>DAY(Data_FAGLL03[[#This Row],[Time Stamp_VN]])</f>
        <v>10</v>
      </c>
      <c r="GL130" t="str">
        <f>TEXT(Data_FAGLL03[[#This Row],[Tháng]],"00")&amp;" | "&amp;TEXT(Data_FAGLL03[[#This Row],[Ngày]],"00")</f>
        <v>04 | 10</v>
      </c>
      <c r="GM130" s="18">
        <f>IF(Data_FAGLL03[[#This Row],[Text]]="",Data_FAGLL03[[#This Row],[Quantity_Original]],0)</f>
        <v>-22000</v>
      </c>
      <c r="GN130" s="18" t="str">
        <f>IF(Data_FAGLL03[[#This Row],[Quantity_Edited]]&lt;&gt;0,Data_FAGLL03[[#This Row],[Offsetting acct no.]]&amp;" | "&amp;Data_FAGLL03[[#This Row],[Material]],"")</f>
        <v>200400 | 110000354</v>
      </c>
      <c r="GO130" t="str">
        <f>IF(LEFT(Data_FAGLL03[[#This Row],[Offsetting acct no.]],1)="1","NĐ",IF(LEFT(Data_FAGLL03[[#This Row],[Offsetting acct no.]],1)="2","XK","Khác"))</f>
        <v>XK</v>
      </c>
      <c r="GP130" t="str">
        <f>IF(Data_FAGLL03[[#This Row],[Material]]&lt;&gt;"",_xlfn.XLOOKUP(Data_FAGLL03[[#This Row],[Material]],MD_SKU[Mã SKU],MD_SKU[Tên SKU]),"")</f>
        <v>Hạt nhựa rPET WSS01G 1</v>
      </c>
      <c r="GQ130" t="str">
        <f>IF(Data_FAGLL03[[#This Row],[Material]]&lt;&gt;"",_xlfn.XLOOKUP(Data_FAGLL03[[#This Row],[Material]],MD_SKU[Mã SKU],MD_SKU[Nhóm SP 1]),"")</f>
        <v>rPET</v>
      </c>
      <c r="GR130" t="str">
        <f>IF(Data_FAGLL03[[#This Row],[Material]]&lt;&gt;"",_xlfn.XLOOKUP(Data_FAGLL03[[#This Row],[Material]],MD_SKU[Mã SKU],MD_SKU[Nhóm SP 2]),"")</f>
        <v>rPET</v>
      </c>
      <c r="GS130" t="str">
        <f>IF(Data_FAGLL03[[#This Row],[Material]]&lt;&gt;"",_xlfn.XLOOKUP(Data_FAGLL03[[#This Row],[Material]],MD_SKU[Mã SKU],MD_SKU[Nhóm SP 3]),"")</f>
        <v>rPET</v>
      </c>
      <c r="GT130" t="str">
        <f>IF(Data_FAGLL03[[#This Row],[Material]]&lt;&gt;"",_xlfn.XLOOKUP(Data_FAGLL03[[#This Row],[Material]],MD_SKU[Mã SKU],MD_SKU[Nhóm SP 4]),"")</f>
        <v>Hạt rPET</v>
      </c>
    </row>
    <row r="131" spans="1:202" x14ac:dyDescent="0.25">
      <c r="A131" t="s">
        <v>0</v>
      </c>
      <c r="B131" s="2">
        <v>46122</v>
      </c>
      <c r="C131" t="s">
        <v>2472</v>
      </c>
      <c r="D131" t="s">
        <v>1</v>
      </c>
      <c r="E131" t="s">
        <v>1</v>
      </c>
      <c r="F131" t="s">
        <v>23</v>
      </c>
      <c r="G131" t="s">
        <v>23</v>
      </c>
      <c r="H131" t="s">
        <v>2458</v>
      </c>
      <c r="I131" s="19">
        <v>-635971875</v>
      </c>
      <c r="J131" t="s">
        <v>2459</v>
      </c>
      <c r="K131" t="s">
        <v>1</v>
      </c>
      <c r="L131" t="s">
        <v>39</v>
      </c>
      <c r="M131" t="s">
        <v>41</v>
      </c>
      <c r="N131" t="s">
        <v>254</v>
      </c>
      <c r="O131" t="s">
        <v>4</v>
      </c>
      <c r="P131" t="s">
        <v>2473</v>
      </c>
      <c r="Q131" t="s">
        <v>23</v>
      </c>
      <c r="R131" t="s">
        <v>5</v>
      </c>
      <c r="S131" t="s">
        <v>1</v>
      </c>
      <c r="T131" s="3">
        <v>-24227.5</v>
      </c>
      <c r="U131" s="19">
        <v>-24227.5</v>
      </c>
      <c r="V131" s="3">
        <v>-635971875</v>
      </c>
      <c r="W131" s="3">
        <v>-635971875</v>
      </c>
      <c r="X131" s="4">
        <v>0</v>
      </c>
      <c r="Y131" s="4">
        <v>0</v>
      </c>
      <c r="Z131" s="3">
        <v>0</v>
      </c>
      <c r="AA131" s="3">
        <v>0</v>
      </c>
      <c r="AB131" t="s">
        <v>1</v>
      </c>
      <c r="AC131" t="s">
        <v>24</v>
      </c>
      <c r="AD131" s="2"/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25</v>
      </c>
      <c r="AK131" s="4">
        <v>0</v>
      </c>
      <c r="AL131" t="s">
        <v>1</v>
      </c>
      <c r="AM131" s="5" t="s">
        <v>1</v>
      </c>
      <c r="AN131" t="s">
        <v>1</v>
      </c>
      <c r="AO131" s="2"/>
      <c r="AP131" t="s">
        <v>1</v>
      </c>
      <c r="AQ131" t="s">
        <v>1</v>
      </c>
      <c r="AR131" s="3">
        <v>0</v>
      </c>
      <c r="AS131" t="s">
        <v>1</v>
      </c>
      <c r="AT131" t="s">
        <v>7</v>
      </c>
      <c r="AU131" t="s">
        <v>1</v>
      </c>
      <c r="AV131" t="s">
        <v>1</v>
      </c>
      <c r="AW131" t="s">
        <v>8</v>
      </c>
      <c r="AX131" t="s">
        <v>8</v>
      </c>
      <c r="AY131" t="s">
        <v>1</v>
      </c>
      <c r="AZ131" s="4">
        <v>0</v>
      </c>
      <c r="BA131" t="s">
        <v>1</v>
      </c>
      <c r="BB131" s="3">
        <v>0</v>
      </c>
      <c r="BC131" s="3">
        <v>0</v>
      </c>
      <c r="BD131" s="3">
        <v>0</v>
      </c>
      <c r="BE131" t="s">
        <v>20</v>
      </c>
      <c r="BF131" t="s">
        <v>1</v>
      </c>
      <c r="BG131" s="4">
        <v>0</v>
      </c>
      <c r="BH131" s="4">
        <v>0</v>
      </c>
      <c r="BI131" s="6">
        <v>0</v>
      </c>
      <c r="BJ131" s="6">
        <v>0</v>
      </c>
      <c r="BK131" t="s">
        <v>1</v>
      </c>
      <c r="BL131" t="s">
        <v>1</v>
      </c>
      <c r="BM131" t="s">
        <v>1</v>
      </c>
      <c r="BN131" t="s">
        <v>26</v>
      </c>
      <c r="BO131" s="2">
        <v>46122</v>
      </c>
      <c r="BP131" t="s">
        <v>1</v>
      </c>
      <c r="BQ131" t="s">
        <v>2472</v>
      </c>
      <c r="BR131" t="s">
        <v>27</v>
      </c>
      <c r="BS131" t="s">
        <v>1</v>
      </c>
      <c r="BT131" t="s">
        <v>1</v>
      </c>
      <c r="BU131" t="s">
        <v>1</v>
      </c>
      <c r="BV131" t="s">
        <v>1</v>
      </c>
      <c r="BW131" t="s">
        <v>7</v>
      </c>
      <c r="BX131" t="s">
        <v>2461</v>
      </c>
      <c r="BY131" s="2"/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254</v>
      </c>
      <c r="CJ131" s="3">
        <v>-635971875</v>
      </c>
      <c r="CK131" t="s">
        <v>9</v>
      </c>
      <c r="CL131" t="s">
        <v>11</v>
      </c>
      <c r="CM131" t="s">
        <v>1</v>
      </c>
      <c r="CN131" s="4">
        <v>0</v>
      </c>
      <c r="CO131" t="s">
        <v>7</v>
      </c>
      <c r="CP131" t="s">
        <v>7</v>
      </c>
      <c r="CQ131" t="s">
        <v>7</v>
      </c>
      <c r="CR131" t="s">
        <v>7</v>
      </c>
      <c r="CS131" s="4">
        <v>0</v>
      </c>
      <c r="CT131" t="s">
        <v>2472</v>
      </c>
      <c r="CU131" t="s">
        <v>7</v>
      </c>
      <c r="CV131" t="s">
        <v>1</v>
      </c>
      <c r="CW131" s="2"/>
      <c r="CX131" t="s">
        <v>12</v>
      </c>
      <c r="CY131" t="s">
        <v>1</v>
      </c>
      <c r="CZ131" t="s">
        <v>13</v>
      </c>
      <c r="DA131" t="s">
        <v>1</v>
      </c>
      <c r="DB131" t="s">
        <v>9</v>
      </c>
      <c r="DC131" t="s">
        <v>9</v>
      </c>
      <c r="DD131" t="s">
        <v>1</v>
      </c>
      <c r="DE131" t="s">
        <v>1</v>
      </c>
      <c r="DF131" t="s">
        <v>1</v>
      </c>
      <c r="DG131" t="s">
        <v>33</v>
      </c>
      <c r="DH131" t="s">
        <v>1</v>
      </c>
      <c r="DI131" s="2"/>
      <c r="DJ131" t="s">
        <v>1</v>
      </c>
      <c r="DK131" t="s">
        <v>14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s="2"/>
      <c r="DW131" t="s">
        <v>1</v>
      </c>
      <c r="DX131" t="s">
        <v>1</v>
      </c>
      <c r="DY131" t="s">
        <v>2474</v>
      </c>
      <c r="DZ131" t="s">
        <v>1</v>
      </c>
      <c r="EA131" t="s">
        <v>1</v>
      </c>
      <c r="EB131" t="s">
        <v>28</v>
      </c>
      <c r="EC131" t="s">
        <v>7</v>
      </c>
      <c r="ED131" t="s">
        <v>1</v>
      </c>
      <c r="EE131" t="s">
        <v>1</v>
      </c>
      <c r="EF131" t="s">
        <v>22</v>
      </c>
      <c r="EG131" t="s">
        <v>41</v>
      </c>
      <c r="EH131" t="s">
        <v>15</v>
      </c>
      <c r="EI131" t="s">
        <v>1</v>
      </c>
      <c r="EJ131" s="4">
        <v>-22000</v>
      </c>
      <c r="EK131" t="s">
        <v>1</v>
      </c>
      <c r="EL131" t="s">
        <v>1</v>
      </c>
      <c r="EM131" t="s">
        <v>1</v>
      </c>
      <c r="EN131" t="s">
        <v>1</v>
      </c>
      <c r="EO131" s="2"/>
      <c r="EP131" t="s">
        <v>2474</v>
      </c>
      <c r="EQ131" t="s">
        <v>1</v>
      </c>
      <c r="ER131" t="s">
        <v>1</v>
      </c>
      <c r="ES131" t="s">
        <v>1</v>
      </c>
      <c r="ET131" t="s">
        <v>29</v>
      </c>
      <c r="EU131" t="s">
        <v>1</v>
      </c>
      <c r="EV131" t="s">
        <v>1</v>
      </c>
      <c r="EW131" t="s">
        <v>7</v>
      </c>
      <c r="EX131" t="s">
        <v>7</v>
      </c>
      <c r="EY131" t="s">
        <v>1</v>
      </c>
      <c r="EZ131" t="s">
        <v>1</v>
      </c>
      <c r="FA131" t="s">
        <v>1</v>
      </c>
      <c r="FB131" s="3">
        <v>50</v>
      </c>
      <c r="FC131" t="s">
        <v>1</v>
      </c>
      <c r="FD131" t="s">
        <v>1</v>
      </c>
      <c r="FE131" t="s">
        <v>1</v>
      </c>
      <c r="FF131" t="s">
        <v>30</v>
      </c>
      <c r="FG131" t="s">
        <v>1</v>
      </c>
      <c r="FH131" t="s">
        <v>1</v>
      </c>
      <c r="FI131" t="s">
        <v>1</v>
      </c>
      <c r="FJ131" t="s">
        <v>1</v>
      </c>
      <c r="FK131" s="7">
        <v>46122.468368055554</v>
      </c>
      <c r="FL131" t="s">
        <v>1</v>
      </c>
      <c r="FM131" t="s">
        <v>1</v>
      </c>
      <c r="FN131" t="s">
        <v>1</v>
      </c>
      <c r="FO131" s="19">
        <v>-635971875</v>
      </c>
      <c r="FP131" s="4">
        <v>0</v>
      </c>
      <c r="FQ131" s="19">
        <v>-635971875</v>
      </c>
      <c r="FR131" s="4">
        <v>0</v>
      </c>
      <c r="FS131" s="4">
        <v>0</v>
      </c>
      <c r="FT131" s="4">
        <v>0</v>
      </c>
      <c r="FU131" s="2">
        <v>46122</v>
      </c>
      <c r="FV131" t="s">
        <v>1</v>
      </c>
      <c r="FW131" s="4">
        <v>0</v>
      </c>
      <c r="FX131" t="s">
        <v>1</v>
      </c>
      <c r="FY131" t="s">
        <v>1</v>
      </c>
      <c r="FZ131" s="4">
        <v>0</v>
      </c>
      <c r="GA131" s="4">
        <v>0</v>
      </c>
      <c r="GB131" t="s">
        <v>2070</v>
      </c>
      <c r="GC131" t="str">
        <f>RIGHT(Data_FAGLL03[[#This Row],[Payment reference]],8)</f>
        <v>91172691</v>
      </c>
      <c r="GD131" t="str">
        <f>IF(Data_FAGLL03[[#This Row],[Billing]]&lt;&gt;"",_xlfn.XLOOKUP(Data_FAGLL03[[#This Row],[Billing]],MD_BILLING_SO[BILIING],MD_BILLING_SO[SO-EDITED]),"")</f>
        <v>30030591</v>
      </c>
      <c r="GE131" s="18">
        <f>IF(SUBSTITUTE(Data_FAGLL03[[#This Row],[Eff.exchange rate]],",","")/100000=1,1,SUBSTITUTE(Data_FAGLL03[[#This Row],[Eff.exchange rate]],",","")/100)</f>
        <v>26250</v>
      </c>
      <c r="GF131" s="17">
        <f>IF(Data_FAGLL03[[#This Row],[Material]]&lt;&gt;"",IFERROR(Data_FAGLL03[[#This Row],[Amount in local currency]]/Data_FAGLL03[[#This Row],[Quantity_Original]],0),0)</f>
        <v>28907.8125</v>
      </c>
      <c r="GG131" s="18">
        <f>IF(Data_FAGLL03[[#This Row],[XK/NĐ]]="XK",Data_FAGLL03[[#This Row],[GB trung bình]]/Data_FAGLL03[[#This Row],[EXR]],0)*1000</f>
        <v>1101.25</v>
      </c>
      <c r="GH131" s="18" cm="1">
        <f t="array" ref="GH131">IF(Data_FAGLL03[[#This Row],[Document currency]]&lt;&gt;"VND",Data_FAGLL03[[#This Row],[Amount in doc. curr.]],Data_FAGLL03[[#This Row],[Amount in local currency]]/EXR)</f>
        <v>-24227.5</v>
      </c>
      <c r="GI131" s="10">
        <f>Data_FAGLL03[[#This Row],[Time Stamp]]+TIME(7,0,0)</f>
        <v>46122.760034722218</v>
      </c>
      <c r="GJ131" s="18">
        <f>MONTH(Data_FAGLL03[[#This Row],[Time Stamp_VN]])</f>
        <v>4</v>
      </c>
      <c r="GK131">
        <f>DAY(Data_FAGLL03[[#This Row],[Time Stamp_VN]])</f>
        <v>10</v>
      </c>
      <c r="GL131" t="str">
        <f>TEXT(Data_FAGLL03[[#This Row],[Tháng]],"00")&amp;" | "&amp;TEXT(Data_FAGLL03[[#This Row],[Ngày]],"00")</f>
        <v>04 | 10</v>
      </c>
      <c r="GM131" s="18">
        <f>IF(Data_FAGLL03[[#This Row],[Text]]="",Data_FAGLL03[[#This Row],[Quantity_Original]],0)</f>
        <v>-22000</v>
      </c>
      <c r="GN131" s="18" t="str">
        <f>IF(Data_FAGLL03[[#This Row],[Quantity_Edited]]&lt;&gt;0,Data_FAGLL03[[#This Row],[Offsetting acct no.]]&amp;" | "&amp;Data_FAGLL03[[#This Row],[Material]],"")</f>
        <v>200400 | 110000354</v>
      </c>
      <c r="GO131" t="str">
        <f>IF(LEFT(Data_FAGLL03[[#This Row],[Offsetting acct no.]],1)="1","NĐ",IF(LEFT(Data_FAGLL03[[#This Row],[Offsetting acct no.]],1)="2","XK","Khác"))</f>
        <v>XK</v>
      </c>
      <c r="GP131" t="str">
        <f>IF(Data_FAGLL03[[#This Row],[Material]]&lt;&gt;"",_xlfn.XLOOKUP(Data_FAGLL03[[#This Row],[Material]],MD_SKU[Mã SKU],MD_SKU[Tên SKU]),"")</f>
        <v>Hạt nhựa rPET WSS01G 1</v>
      </c>
      <c r="GQ131" t="str">
        <f>IF(Data_FAGLL03[[#This Row],[Material]]&lt;&gt;"",_xlfn.XLOOKUP(Data_FAGLL03[[#This Row],[Material]],MD_SKU[Mã SKU],MD_SKU[Nhóm SP 1]),"")</f>
        <v>rPET</v>
      </c>
      <c r="GR131" t="str">
        <f>IF(Data_FAGLL03[[#This Row],[Material]]&lt;&gt;"",_xlfn.XLOOKUP(Data_FAGLL03[[#This Row],[Material]],MD_SKU[Mã SKU],MD_SKU[Nhóm SP 2]),"")</f>
        <v>rPET</v>
      </c>
      <c r="GS131" t="str">
        <f>IF(Data_FAGLL03[[#This Row],[Material]]&lt;&gt;"",_xlfn.XLOOKUP(Data_FAGLL03[[#This Row],[Material]],MD_SKU[Mã SKU],MD_SKU[Nhóm SP 3]),"")</f>
        <v>rPET</v>
      </c>
      <c r="GT131" t="str">
        <f>IF(Data_FAGLL03[[#This Row],[Material]]&lt;&gt;"",_xlfn.XLOOKUP(Data_FAGLL03[[#This Row],[Material]],MD_SKU[Mã SKU],MD_SKU[Nhóm SP 4]),"")</f>
        <v>Hạt rPET</v>
      </c>
    </row>
    <row r="132" spans="1:202" x14ac:dyDescent="0.25">
      <c r="A132" t="s">
        <v>0</v>
      </c>
      <c r="B132" s="2">
        <v>46122</v>
      </c>
      <c r="C132" t="s">
        <v>2475</v>
      </c>
      <c r="D132" t="s">
        <v>1</v>
      </c>
      <c r="E132" t="s">
        <v>1</v>
      </c>
      <c r="F132" t="s">
        <v>31</v>
      </c>
      <c r="G132" t="s">
        <v>31</v>
      </c>
      <c r="H132" t="s">
        <v>2032</v>
      </c>
      <c r="I132" s="19">
        <v>-263150000</v>
      </c>
      <c r="J132" t="s">
        <v>2033</v>
      </c>
      <c r="K132" t="s">
        <v>1</v>
      </c>
      <c r="L132" t="s">
        <v>39</v>
      </c>
      <c r="M132" t="s">
        <v>41</v>
      </c>
      <c r="N132" t="s">
        <v>254</v>
      </c>
      <c r="O132" t="s">
        <v>4</v>
      </c>
      <c r="P132" t="s">
        <v>2476</v>
      </c>
      <c r="Q132" t="s">
        <v>31</v>
      </c>
      <c r="R132" t="s">
        <v>5</v>
      </c>
      <c r="S132" t="s">
        <v>1</v>
      </c>
      <c r="T132" s="3">
        <v>-263150000</v>
      </c>
      <c r="U132" s="19">
        <v>-263150000</v>
      </c>
      <c r="V132" s="3">
        <v>-263150000</v>
      </c>
      <c r="W132" s="3">
        <v>-263150000</v>
      </c>
      <c r="X132" s="4">
        <v>0</v>
      </c>
      <c r="Y132" s="4">
        <v>0</v>
      </c>
      <c r="Z132" s="3">
        <v>0</v>
      </c>
      <c r="AA132" s="3">
        <v>0</v>
      </c>
      <c r="AB132" t="s">
        <v>1</v>
      </c>
      <c r="AC132" t="s">
        <v>24</v>
      </c>
      <c r="AD132" s="2"/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25</v>
      </c>
      <c r="AK132" s="4">
        <v>0</v>
      </c>
      <c r="AL132" t="s">
        <v>1</v>
      </c>
      <c r="AM132" s="5" t="s">
        <v>1</v>
      </c>
      <c r="AN132" t="s">
        <v>1</v>
      </c>
      <c r="AO132" s="2"/>
      <c r="AP132" t="s">
        <v>1</v>
      </c>
      <c r="AQ132" t="s">
        <v>1</v>
      </c>
      <c r="AR132" s="3">
        <v>0</v>
      </c>
      <c r="AS132" t="s">
        <v>1</v>
      </c>
      <c r="AT132" t="s">
        <v>7</v>
      </c>
      <c r="AU132" t="s">
        <v>1</v>
      </c>
      <c r="AV132" t="s">
        <v>1</v>
      </c>
      <c r="AW132" t="s">
        <v>8</v>
      </c>
      <c r="AX132" t="s">
        <v>8</v>
      </c>
      <c r="AY132" t="s">
        <v>1</v>
      </c>
      <c r="AZ132" s="4">
        <v>0</v>
      </c>
      <c r="BA132" t="s">
        <v>1</v>
      </c>
      <c r="BB132" s="3">
        <v>0</v>
      </c>
      <c r="BC132" s="3">
        <v>0</v>
      </c>
      <c r="BD132" s="3">
        <v>0</v>
      </c>
      <c r="BE132" t="s">
        <v>20</v>
      </c>
      <c r="BF132" t="s">
        <v>1</v>
      </c>
      <c r="BG132" s="4">
        <v>0</v>
      </c>
      <c r="BH132" s="4">
        <v>0</v>
      </c>
      <c r="BI132" s="6">
        <v>0</v>
      </c>
      <c r="BJ132" s="6">
        <v>0</v>
      </c>
      <c r="BK132" t="s">
        <v>1</v>
      </c>
      <c r="BL132" t="s">
        <v>1</v>
      </c>
      <c r="BM132" t="s">
        <v>1</v>
      </c>
      <c r="BN132" t="s">
        <v>9</v>
      </c>
      <c r="BO132" s="2">
        <v>46122</v>
      </c>
      <c r="BP132" t="s">
        <v>1</v>
      </c>
      <c r="BQ132" t="s">
        <v>2475</v>
      </c>
      <c r="BR132" t="s">
        <v>27</v>
      </c>
      <c r="BS132" t="s">
        <v>1</v>
      </c>
      <c r="BT132" t="s">
        <v>1</v>
      </c>
      <c r="BU132" t="s">
        <v>1</v>
      </c>
      <c r="BV132" t="s">
        <v>1</v>
      </c>
      <c r="BW132" t="s">
        <v>7</v>
      </c>
      <c r="BX132" t="s">
        <v>10</v>
      </c>
      <c r="BY132" s="2"/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254</v>
      </c>
      <c r="CJ132" s="3">
        <v>-263150000</v>
      </c>
      <c r="CK132" t="s">
        <v>9</v>
      </c>
      <c r="CL132" t="s">
        <v>11</v>
      </c>
      <c r="CM132" t="s">
        <v>1</v>
      </c>
      <c r="CN132" s="4">
        <v>0</v>
      </c>
      <c r="CO132" t="s">
        <v>7</v>
      </c>
      <c r="CP132" t="s">
        <v>7</v>
      </c>
      <c r="CQ132" t="s">
        <v>7</v>
      </c>
      <c r="CR132" t="s">
        <v>7</v>
      </c>
      <c r="CS132" s="4">
        <v>0</v>
      </c>
      <c r="CT132" t="s">
        <v>2475</v>
      </c>
      <c r="CU132" t="s">
        <v>7</v>
      </c>
      <c r="CV132" t="s">
        <v>1</v>
      </c>
      <c r="CW132" s="2"/>
      <c r="CX132" t="s">
        <v>12</v>
      </c>
      <c r="CY132" t="s">
        <v>1</v>
      </c>
      <c r="CZ132" t="s">
        <v>13</v>
      </c>
      <c r="DA132" t="s">
        <v>1</v>
      </c>
      <c r="DB132" t="s">
        <v>9</v>
      </c>
      <c r="DC132" t="s">
        <v>9</v>
      </c>
      <c r="DD132" t="s">
        <v>1</v>
      </c>
      <c r="DE132" t="s">
        <v>1</v>
      </c>
      <c r="DF132" t="s">
        <v>1</v>
      </c>
      <c r="DG132" t="s">
        <v>700</v>
      </c>
      <c r="DH132" t="s">
        <v>1</v>
      </c>
      <c r="DI132" s="2"/>
      <c r="DJ132" t="s">
        <v>1</v>
      </c>
      <c r="DK132" t="s">
        <v>14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s="2"/>
      <c r="DW132" t="s">
        <v>1</v>
      </c>
      <c r="DX132" t="s">
        <v>1</v>
      </c>
      <c r="DY132" t="s">
        <v>2477</v>
      </c>
      <c r="DZ132" t="s">
        <v>1</v>
      </c>
      <c r="EA132" t="s">
        <v>1</v>
      </c>
      <c r="EB132" t="s">
        <v>28</v>
      </c>
      <c r="EC132" t="s">
        <v>7</v>
      </c>
      <c r="ED132" t="s">
        <v>1</v>
      </c>
      <c r="EE132" t="s">
        <v>1</v>
      </c>
      <c r="EF132" t="s">
        <v>22</v>
      </c>
      <c r="EG132" t="s">
        <v>41</v>
      </c>
      <c r="EH132" t="s">
        <v>15</v>
      </c>
      <c r="EI132" t="s">
        <v>1</v>
      </c>
      <c r="EJ132" s="4">
        <v>-13850</v>
      </c>
      <c r="EK132" t="s">
        <v>1</v>
      </c>
      <c r="EL132" t="s">
        <v>1</v>
      </c>
      <c r="EM132" t="s">
        <v>1</v>
      </c>
      <c r="EN132" t="s">
        <v>1</v>
      </c>
      <c r="EO132" s="2"/>
      <c r="EP132" t="s">
        <v>2477</v>
      </c>
      <c r="EQ132" t="s">
        <v>1</v>
      </c>
      <c r="ER132" t="s">
        <v>1</v>
      </c>
      <c r="ES132" t="s">
        <v>1</v>
      </c>
      <c r="ET132" t="s">
        <v>29</v>
      </c>
      <c r="EU132" t="s">
        <v>1</v>
      </c>
      <c r="EV132" t="s">
        <v>1</v>
      </c>
      <c r="EW132" t="s">
        <v>7</v>
      </c>
      <c r="EX132" t="s">
        <v>7</v>
      </c>
      <c r="EY132" t="s">
        <v>1</v>
      </c>
      <c r="EZ132" t="s">
        <v>1</v>
      </c>
      <c r="FA132" t="s">
        <v>1</v>
      </c>
      <c r="FB132" s="3">
        <v>50</v>
      </c>
      <c r="FC132" t="s">
        <v>1</v>
      </c>
      <c r="FD132" t="s">
        <v>1</v>
      </c>
      <c r="FE132" t="s">
        <v>1</v>
      </c>
      <c r="FF132" t="s">
        <v>17</v>
      </c>
      <c r="FG132" t="s">
        <v>1</v>
      </c>
      <c r="FH132" t="s">
        <v>1</v>
      </c>
      <c r="FI132" t="s">
        <v>1</v>
      </c>
      <c r="FJ132" t="s">
        <v>1</v>
      </c>
      <c r="FK132" s="7">
        <v>46122.468414351853</v>
      </c>
      <c r="FL132" t="s">
        <v>1</v>
      </c>
      <c r="FM132" t="s">
        <v>1</v>
      </c>
      <c r="FN132" t="s">
        <v>1</v>
      </c>
      <c r="FO132" s="19">
        <v>-263150000</v>
      </c>
      <c r="FP132" s="4">
        <v>0</v>
      </c>
      <c r="FQ132" s="19">
        <v>-263150000</v>
      </c>
      <c r="FR132" s="4">
        <v>0</v>
      </c>
      <c r="FS132" s="4">
        <v>0</v>
      </c>
      <c r="FT132" s="4">
        <v>0</v>
      </c>
      <c r="FU132" s="2">
        <v>46122</v>
      </c>
      <c r="FV132" t="s">
        <v>1</v>
      </c>
      <c r="FW132" s="4">
        <v>0</v>
      </c>
      <c r="FX132" t="s">
        <v>1</v>
      </c>
      <c r="FY132" t="s">
        <v>1</v>
      </c>
      <c r="FZ132" s="4">
        <v>0</v>
      </c>
      <c r="GA132" s="4">
        <v>0</v>
      </c>
      <c r="GB132" t="s">
        <v>2070</v>
      </c>
      <c r="GC132" t="str">
        <f>RIGHT(Data_FAGLL03[[#This Row],[Payment reference]],8)</f>
        <v>91172692</v>
      </c>
      <c r="GD132" t="str">
        <f>IF(Data_FAGLL03[[#This Row],[Billing]]&lt;&gt;"",_xlfn.XLOOKUP(Data_FAGLL03[[#This Row],[Billing]],MD_BILLING_SO[BILIING],MD_BILLING_SO[SO-EDITED]),"")</f>
        <v>30030646</v>
      </c>
      <c r="GE132" s="18">
        <f>IF(SUBSTITUTE(Data_FAGLL03[[#This Row],[Eff.exchange rate]],",","")/100000=1,1,SUBSTITUTE(Data_FAGLL03[[#This Row],[Eff.exchange rate]],",","")/100)</f>
        <v>1</v>
      </c>
      <c r="GF132" s="17">
        <f>IF(Data_FAGLL03[[#This Row],[Material]]&lt;&gt;"",IFERROR(Data_FAGLL03[[#This Row],[Amount in local currency]]/Data_FAGLL03[[#This Row],[Quantity_Original]],0),0)</f>
        <v>19000</v>
      </c>
      <c r="GG132" s="18">
        <f>IF(Data_FAGLL03[[#This Row],[XK/NĐ]]="XK",Data_FAGLL03[[#This Row],[GB trung bình]]/Data_FAGLL03[[#This Row],[EXR]],0)*1000</f>
        <v>0</v>
      </c>
      <c r="GH132" s="18" cm="1">
        <f t="array" ref="GH132">IF(Data_FAGLL03[[#This Row],[Document currency]]&lt;&gt;"VND",Data_FAGLL03[[#This Row],[Amount in doc. curr.]],Data_FAGLL03[[#This Row],[Amount in local currency]]/EXR)</f>
        <v>-10023.943539521277</v>
      </c>
      <c r="GI132" s="10">
        <f>Data_FAGLL03[[#This Row],[Time Stamp]]+TIME(7,0,0)</f>
        <v>46122.760081018518</v>
      </c>
      <c r="GJ132" s="18">
        <f>MONTH(Data_FAGLL03[[#This Row],[Time Stamp_VN]])</f>
        <v>4</v>
      </c>
      <c r="GK132">
        <f>DAY(Data_FAGLL03[[#This Row],[Time Stamp_VN]])</f>
        <v>10</v>
      </c>
      <c r="GL132" t="str">
        <f>TEXT(Data_FAGLL03[[#This Row],[Tháng]],"00")&amp;" | "&amp;TEXT(Data_FAGLL03[[#This Row],[Ngày]],"00")</f>
        <v>04 | 10</v>
      </c>
      <c r="GM132" s="18">
        <f>IF(Data_FAGLL03[[#This Row],[Text]]="",Data_FAGLL03[[#This Row],[Quantity_Original]],0)</f>
        <v>-13850</v>
      </c>
      <c r="GN132" s="18" t="str">
        <f>IF(Data_FAGLL03[[#This Row],[Quantity_Edited]]&lt;&gt;0,Data_FAGLL03[[#This Row],[Offsetting acct no.]]&amp;" | "&amp;Data_FAGLL03[[#This Row],[Material]],"")</f>
        <v>105323 | 110000436</v>
      </c>
      <c r="GO132" t="str">
        <f>IF(LEFT(Data_FAGLL03[[#This Row],[Offsetting acct no.]],1)="1","NĐ",IF(LEFT(Data_FAGLL03[[#This Row],[Offsetting acct no.]],1)="2","XK","Khác"))</f>
        <v>NĐ</v>
      </c>
      <c r="GP132" t="str">
        <f>IF(Data_FAGLL03[[#This Row],[Material]]&lt;&gt;"",_xlfn.XLOOKUP(Data_FAGLL03[[#This Row],[Material]],MD_SKU[Mã SKU],MD_SKU[Tên SKU]),"")</f>
        <v>Hạt nhựa rPET WSS05SB</v>
      </c>
      <c r="GQ132" t="str">
        <f>IF(Data_FAGLL03[[#This Row],[Material]]&lt;&gt;"",_xlfn.XLOOKUP(Data_FAGLL03[[#This Row],[Material]],MD_SKU[Mã SKU],MD_SKU[Nhóm SP 1]),"")</f>
        <v>Xơ sợi</v>
      </c>
      <c r="GR132" t="str">
        <f>IF(Data_FAGLL03[[#This Row],[Material]]&lt;&gt;"",_xlfn.XLOOKUP(Data_FAGLL03[[#This Row],[Material]],MD_SKU[Mã SKU],MD_SKU[Nhóm SP 2]),"")</f>
        <v>Xơ sợi</v>
      </c>
      <c r="GS132" t="str">
        <f>IF(Data_FAGLL03[[#This Row],[Material]]&lt;&gt;"",_xlfn.XLOOKUP(Data_FAGLL03[[#This Row],[Material]],MD_SKU[Mã SKU],MD_SKU[Nhóm SP 3]),"")</f>
        <v>Xơ sợi</v>
      </c>
      <c r="GT132" t="str">
        <f>IF(Data_FAGLL03[[#This Row],[Material]]&lt;&gt;"",_xlfn.XLOOKUP(Data_FAGLL03[[#This Row],[Material]],MD_SKU[Mã SKU],MD_SKU[Nhóm SP 4]),"")</f>
        <v>Hạt Xơ sợi</v>
      </c>
    </row>
    <row r="133" spans="1:202" x14ac:dyDescent="0.25">
      <c r="A133" t="s">
        <v>0</v>
      </c>
      <c r="B133" s="2">
        <v>46122</v>
      </c>
      <c r="C133" t="s">
        <v>2478</v>
      </c>
      <c r="D133" t="s">
        <v>1</v>
      </c>
      <c r="E133" t="s">
        <v>1</v>
      </c>
      <c r="F133" t="s">
        <v>31</v>
      </c>
      <c r="G133" t="s">
        <v>31</v>
      </c>
      <c r="H133" t="s">
        <v>2479</v>
      </c>
      <c r="I133" s="19">
        <v>-372161130</v>
      </c>
      <c r="J133" t="s">
        <v>2480</v>
      </c>
      <c r="K133" t="s">
        <v>1</v>
      </c>
      <c r="L133" t="s">
        <v>39</v>
      </c>
      <c r="M133" t="s">
        <v>41</v>
      </c>
      <c r="N133" t="s">
        <v>254</v>
      </c>
      <c r="O133" t="s">
        <v>4</v>
      </c>
      <c r="P133" t="s">
        <v>2481</v>
      </c>
      <c r="Q133" t="s">
        <v>31</v>
      </c>
      <c r="R133" t="s">
        <v>5</v>
      </c>
      <c r="S133" t="s">
        <v>1</v>
      </c>
      <c r="T133" s="3">
        <v>-372161130</v>
      </c>
      <c r="U133" s="19">
        <v>-372161130</v>
      </c>
      <c r="V133" s="3">
        <v>-372161130</v>
      </c>
      <c r="W133" s="3">
        <v>-372161130</v>
      </c>
      <c r="X133" s="4">
        <v>0</v>
      </c>
      <c r="Y133" s="4">
        <v>0</v>
      </c>
      <c r="Z133" s="3">
        <v>0</v>
      </c>
      <c r="AA133" s="3">
        <v>0</v>
      </c>
      <c r="AB133" t="s">
        <v>1</v>
      </c>
      <c r="AC133" t="s">
        <v>24</v>
      </c>
      <c r="AD133" s="2"/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25</v>
      </c>
      <c r="AK133" s="4">
        <v>0</v>
      </c>
      <c r="AL133" t="s">
        <v>1</v>
      </c>
      <c r="AM133" s="5" t="s">
        <v>1</v>
      </c>
      <c r="AN133" t="s">
        <v>1</v>
      </c>
      <c r="AO133" s="2"/>
      <c r="AP133" t="s">
        <v>1</v>
      </c>
      <c r="AQ133" t="s">
        <v>1</v>
      </c>
      <c r="AR133" s="3">
        <v>0</v>
      </c>
      <c r="AS133" t="s">
        <v>1</v>
      </c>
      <c r="AT133" t="s">
        <v>7</v>
      </c>
      <c r="AU133" t="s">
        <v>1</v>
      </c>
      <c r="AV133" t="s">
        <v>1</v>
      </c>
      <c r="AW133" t="s">
        <v>8</v>
      </c>
      <c r="AX133" t="s">
        <v>8</v>
      </c>
      <c r="AY133" t="s">
        <v>1</v>
      </c>
      <c r="AZ133" s="4">
        <v>0</v>
      </c>
      <c r="BA133" t="s">
        <v>1</v>
      </c>
      <c r="BB133" s="3">
        <v>0</v>
      </c>
      <c r="BC133" s="3">
        <v>0</v>
      </c>
      <c r="BD133" s="3">
        <v>0</v>
      </c>
      <c r="BE133" t="s">
        <v>20</v>
      </c>
      <c r="BF133" t="s">
        <v>1</v>
      </c>
      <c r="BG133" s="4">
        <v>0</v>
      </c>
      <c r="BH133" s="4">
        <v>0</v>
      </c>
      <c r="BI133" s="6">
        <v>0</v>
      </c>
      <c r="BJ133" s="6">
        <v>0</v>
      </c>
      <c r="BK133" t="s">
        <v>1</v>
      </c>
      <c r="BL133" t="s">
        <v>1</v>
      </c>
      <c r="BM133" t="s">
        <v>1</v>
      </c>
      <c r="BN133" t="s">
        <v>9</v>
      </c>
      <c r="BO133" s="2">
        <v>46122</v>
      </c>
      <c r="BP133" t="s">
        <v>1</v>
      </c>
      <c r="BQ133" t="s">
        <v>2478</v>
      </c>
      <c r="BR133" t="s">
        <v>27</v>
      </c>
      <c r="BS133" t="s">
        <v>1</v>
      </c>
      <c r="BT133" t="s">
        <v>1</v>
      </c>
      <c r="BU133" t="s">
        <v>1</v>
      </c>
      <c r="BV133" t="s">
        <v>1</v>
      </c>
      <c r="BW133" t="s">
        <v>7</v>
      </c>
      <c r="BX133" t="s">
        <v>10</v>
      </c>
      <c r="BY133" s="2"/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254</v>
      </c>
      <c r="CJ133" s="3">
        <v>-372161130</v>
      </c>
      <c r="CK133" t="s">
        <v>9</v>
      </c>
      <c r="CL133" t="s">
        <v>11</v>
      </c>
      <c r="CM133" t="s">
        <v>1</v>
      </c>
      <c r="CN133" s="4">
        <v>0</v>
      </c>
      <c r="CO133" t="s">
        <v>7</v>
      </c>
      <c r="CP133" t="s">
        <v>7</v>
      </c>
      <c r="CQ133" t="s">
        <v>7</v>
      </c>
      <c r="CR133" t="s">
        <v>7</v>
      </c>
      <c r="CS133" s="4">
        <v>0</v>
      </c>
      <c r="CT133" t="s">
        <v>2478</v>
      </c>
      <c r="CU133" t="s">
        <v>7</v>
      </c>
      <c r="CV133" t="s">
        <v>1</v>
      </c>
      <c r="CW133" s="2"/>
      <c r="CX133" t="s">
        <v>12</v>
      </c>
      <c r="CY133" t="s">
        <v>1</v>
      </c>
      <c r="CZ133" t="s">
        <v>13</v>
      </c>
      <c r="DA133" t="s">
        <v>1</v>
      </c>
      <c r="DB133" t="s">
        <v>9</v>
      </c>
      <c r="DC133" t="s">
        <v>9</v>
      </c>
      <c r="DD133" t="s">
        <v>1</v>
      </c>
      <c r="DE133" t="s">
        <v>1</v>
      </c>
      <c r="DF133" t="s">
        <v>1</v>
      </c>
      <c r="DG133" t="s">
        <v>273</v>
      </c>
      <c r="DH133" t="s">
        <v>1</v>
      </c>
      <c r="DI133" s="2"/>
      <c r="DJ133" t="s">
        <v>1</v>
      </c>
      <c r="DK133" t="s">
        <v>14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s="2"/>
      <c r="DW133" t="s">
        <v>1</v>
      </c>
      <c r="DX133" t="s">
        <v>1</v>
      </c>
      <c r="DY133" t="s">
        <v>2482</v>
      </c>
      <c r="DZ133" t="s">
        <v>1</v>
      </c>
      <c r="EA133" t="s">
        <v>1</v>
      </c>
      <c r="EB133" t="s">
        <v>28</v>
      </c>
      <c r="EC133" t="s">
        <v>7</v>
      </c>
      <c r="ED133" t="s">
        <v>1</v>
      </c>
      <c r="EE133" t="s">
        <v>1</v>
      </c>
      <c r="EF133" t="s">
        <v>22</v>
      </c>
      <c r="EG133" t="s">
        <v>41</v>
      </c>
      <c r="EH133" t="s">
        <v>15</v>
      </c>
      <c r="EI133" t="s">
        <v>1</v>
      </c>
      <c r="EJ133" s="4">
        <v>-11000</v>
      </c>
      <c r="EK133" t="s">
        <v>1</v>
      </c>
      <c r="EL133" t="s">
        <v>1</v>
      </c>
      <c r="EM133" t="s">
        <v>1</v>
      </c>
      <c r="EN133" t="s">
        <v>1</v>
      </c>
      <c r="EO133" s="2"/>
      <c r="EP133" t="s">
        <v>2482</v>
      </c>
      <c r="EQ133" t="s">
        <v>1</v>
      </c>
      <c r="ER133" t="s">
        <v>1</v>
      </c>
      <c r="ES133" t="s">
        <v>1</v>
      </c>
      <c r="ET133" t="s">
        <v>29</v>
      </c>
      <c r="EU133" t="s">
        <v>1</v>
      </c>
      <c r="EV133" t="s">
        <v>1</v>
      </c>
      <c r="EW133" t="s">
        <v>7</v>
      </c>
      <c r="EX133" t="s">
        <v>7</v>
      </c>
      <c r="EY133" t="s">
        <v>1</v>
      </c>
      <c r="EZ133" t="s">
        <v>1</v>
      </c>
      <c r="FA133" t="s">
        <v>1</v>
      </c>
      <c r="FB133" s="3">
        <v>50</v>
      </c>
      <c r="FC133" t="s">
        <v>1</v>
      </c>
      <c r="FD133" t="s">
        <v>1</v>
      </c>
      <c r="FE133" t="s">
        <v>1</v>
      </c>
      <c r="FF133" t="s">
        <v>17</v>
      </c>
      <c r="FG133" t="s">
        <v>1</v>
      </c>
      <c r="FH133" t="s">
        <v>1</v>
      </c>
      <c r="FI133" t="s">
        <v>1</v>
      </c>
      <c r="FJ133" t="s">
        <v>1</v>
      </c>
      <c r="FK133" s="7">
        <v>46122.468472222223</v>
      </c>
      <c r="FL133" t="s">
        <v>1</v>
      </c>
      <c r="FM133" t="s">
        <v>1</v>
      </c>
      <c r="FN133" t="s">
        <v>1</v>
      </c>
      <c r="FO133" s="19">
        <v>-372161130</v>
      </c>
      <c r="FP133" s="4">
        <v>0</v>
      </c>
      <c r="FQ133" s="19">
        <v>-372161130</v>
      </c>
      <c r="FR133" s="4">
        <v>0</v>
      </c>
      <c r="FS133" s="4">
        <v>0</v>
      </c>
      <c r="FT133" s="4">
        <v>0</v>
      </c>
      <c r="FU133" s="2">
        <v>46122</v>
      </c>
      <c r="FV133" t="s">
        <v>1</v>
      </c>
      <c r="FW133" s="4">
        <v>0</v>
      </c>
      <c r="FX133" t="s">
        <v>1</v>
      </c>
      <c r="FY133" t="s">
        <v>1</v>
      </c>
      <c r="FZ133" s="4">
        <v>0</v>
      </c>
      <c r="GA133" s="4">
        <v>0</v>
      </c>
      <c r="GB133" t="s">
        <v>2070</v>
      </c>
      <c r="GC133" t="str">
        <f>RIGHT(Data_FAGLL03[[#This Row],[Payment reference]],8)</f>
        <v>91172693</v>
      </c>
      <c r="GD133" t="str">
        <f>IF(Data_FAGLL03[[#This Row],[Billing]]&lt;&gt;"",_xlfn.XLOOKUP(Data_FAGLL03[[#This Row],[Billing]],MD_BILLING_SO[BILIING],MD_BILLING_SO[SO-EDITED]),"")</f>
        <v>30030555</v>
      </c>
      <c r="GE133" s="18">
        <f>IF(SUBSTITUTE(Data_FAGLL03[[#This Row],[Eff.exchange rate]],",","")/100000=1,1,SUBSTITUTE(Data_FAGLL03[[#This Row],[Eff.exchange rate]],",","")/100)</f>
        <v>1</v>
      </c>
      <c r="GF133" s="17">
        <f>IF(Data_FAGLL03[[#This Row],[Material]]&lt;&gt;"",IFERROR(Data_FAGLL03[[#This Row],[Amount in local currency]]/Data_FAGLL03[[#This Row],[Quantity_Original]],0),0)</f>
        <v>33832.83</v>
      </c>
      <c r="GG133" s="18">
        <f>IF(Data_FAGLL03[[#This Row],[XK/NĐ]]="XK",Data_FAGLL03[[#This Row],[GB trung bình]]/Data_FAGLL03[[#This Row],[EXR]],0)*1000</f>
        <v>0</v>
      </c>
      <c r="GH133" s="18" cm="1">
        <f t="array" ref="GH133">IF(Data_FAGLL03[[#This Row],[Document currency]]&lt;&gt;"VND",Data_FAGLL03[[#This Row],[Amount in doc. curr.]],Data_FAGLL03[[#This Row],[Amount in local currency]]/EXR)</f>
        <v>-14176.409480237271</v>
      </c>
      <c r="GI133" s="10">
        <f>Data_FAGLL03[[#This Row],[Time Stamp]]+TIME(7,0,0)</f>
        <v>46122.760138888887</v>
      </c>
      <c r="GJ133" s="18">
        <f>MONTH(Data_FAGLL03[[#This Row],[Time Stamp_VN]])</f>
        <v>4</v>
      </c>
      <c r="GK133">
        <f>DAY(Data_FAGLL03[[#This Row],[Time Stamp_VN]])</f>
        <v>10</v>
      </c>
      <c r="GL133" t="str">
        <f>TEXT(Data_FAGLL03[[#This Row],[Tháng]],"00")&amp;" | "&amp;TEXT(Data_FAGLL03[[#This Row],[Ngày]],"00")</f>
        <v>04 | 10</v>
      </c>
      <c r="GM133" s="18">
        <f>IF(Data_FAGLL03[[#This Row],[Text]]="",Data_FAGLL03[[#This Row],[Quantity_Original]],0)</f>
        <v>-11000</v>
      </c>
      <c r="GN133" s="18" t="str">
        <f>IF(Data_FAGLL03[[#This Row],[Quantity_Edited]]&lt;&gt;0,Data_FAGLL03[[#This Row],[Offsetting acct no.]]&amp;" | "&amp;Data_FAGLL03[[#This Row],[Material]],"")</f>
        <v>104909 | 110000329</v>
      </c>
      <c r="GO133" t="str">
        <f>IF(LEFT(Data_FAGLL03[[#This Row],[Offsetting acct no.]],1)="1","NĐ",IF(LEFT(Data_FAGLL03[[#This Row],[Offsetting acct no.]],1)="2","XK","Khác"))</f>
        <v>NĐ</v>
      </c>
      <c r="GP133" t="str">
        <f>IF(Data_FAGLL03[[#This Row],[Material]]&lt;&gt;"",_xlfn.XLOOKUP(Data_FAGLL03[[#This Row],[Material]],MD_SKU[Mã SKU],MD_SKU[Tên SKU]),"")</f>
        <v>Hạt nhựa rPET WSS01</v>
      </c>
      <c r="GQ133" t="str">
        <f>IF(Data_FAGLL03[[#This Row],[Material]]&lt;&gt;"",_xlfn.XLOOKUP(Data_FAGLL03[[#This Row],[Material]],MD_SKU[Mã SKU],MD_SKU[Nhóm SP 1]),"")</f>
        <v>rPET</v>
      </c>
      <c r="GR133" t="str">
        <f>IF(Data_FAGLL03[[#This Row],[Material]]&lt;&gt;"",_xlfn.XLOOKUP(Data_FAGLL03[[#This Row],[Material]],MD_SKU[Mã SKU],MD_SKU[Nhóm SP 2]),"")</f>
        <v>rPET</v>
      </c>
      <c r="GS133" t="str">
        <f>IF(Data_FAGLL03[[#This Row],[Material]]&lt;&gt;"",_xlfn.XLOOKUP(Data_FAGLL03[[#This Row],[Material]],MD_SKU[Mã SKU],MD_SKU[Nhóm SP 3]),"")</f>
        <v>rPET</v>
      </c>
      <c r="GT133" t="str">
        <f>IF(Data_FAGLL03[[#This Row],[Material]]&lt;&gt;"",_xlfn.XLOOKUP(Data_FAGLL03[[#This Row],[Material]],MD_SKU[Mã SKU],MD_SKU[Nhóm SP 4]),"")</f>
        <v>Hạt rPET</v>
      </c>
    </row>
    <row r="134" spans="1:202" x14ac:dyDescent="0.25">
      <c r="A134" t="s">
        <v>0</v>
      </c>
      <c r="B134" s="2">
        <v>46122</v>
      </c>
      <c r="C134" t="s">
        <v>2483</v>
      </c>
      <c r="D134" t="s">
        <v>1</v>
      </c>
      <c r="E134" t="s">
        <v>1</v>
      </c>
      <c r="F134" t="s">
        <v>31</v>
      </c>
      <c r="G134" t="s">
        <v>31</v>
      </c>
      <c r="H134" t="s">
        <v>34</v>
      </c>
      <c r="I134" s="19">
        <v>-194529500</v>
      </c>
      <c r="J134" t="s">
        <v>35</v>
      </c>
      <c r="K134" t="s">
        <v>1</v>
      </c>
      <c r="L134" t="s">
        <v>39</v>
      </c>
      <c r="M134" t="s">
        <v>41</v>
      </c>
      <c r="N134" t="s">
        <v>254</v>
      </c>
      <c r="O134" t="s">
        <v>4</v>
      </c>
      <c r="P134" t="s">
        <v>2484</v>
      </c>
      <c r="Q134" t="s">
        <v>31</v>
      </c>
      <c r="R134" t="s">
        <v>5</v>
      </c>
      <c r="S134" t="s">
        <v>1</v>
      </c>
      <c r="T134" s="3">
        <v>-194529500</v>
      </c>
      <c r="U134" s="19">
        <v>-194529500</v>
      </c>
      <c r="V134" s="3">
        <v>-194529500</v>
      </c>
      <c r="W134" s="3">
        <v>-194529500</v>
      </c>
      <c r="X134" s="4">
        <v>0</v>
      </c>
      <c r="Y134" s="4">
        <v>0</v>
      </c>
      <c r="Z134" s="3">
        <v>0</v>
      </c>
      <c r="AA134" s="3">
        <v>0</v>
      </c>
      <c r="AB134" t="s">
        <v>1</v>
      </c>
      <c r="AC134" t="s">
        <v>24</v>
      </c>
      <c r="AD134" s="2"/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25</v>
      </c>
      <c r="AK134" s="4">
        <v>0</v>
      </c>
      <c r="AL134" t="s">
        <v>1</v>
      </c>
      <c r="AM134" s="5" t="s">
        <v>1</v>
      </c>
      <c r="AN134" t="s">
        <v>1</v>
      </c>
      <c r="AO134" s="2"/>
      <c r="AP134" t="s">
        <v>1</v>
      </c>
      <c r="AQ134" t="s">
        <v>1</v>
      </c>
      <c r="AR134" s="3">
        <v>0</v>
      </c>
      <c r="AS134" t="s">
        <v>1</v>
      </c>
      <c r="AT134" t="s">
        <v>7</v>
      </c>
      <c r="AU134" t="s">
        <v>1</v>
      </c>
      <c r="AV134" t="s">
        <v>1</v>
      </c>
      <c r="AW134" t="s">
        <v>8</v>
      </c>
      <c r="AX134" t="s">
        <v>8</v>
      </c>
      <c r="AY134" t="s">
        <v>1</v>
      </c>
      <c r="AZ134" s="4">
        <v>0</v>
      </c>
      <c r="BA134" t="s">
        <v>1</v>
      </c>
      <c r="BB134" s="3">
        <v>0</v>
      </c>
      <c r="BC134" s="3">
        <v>0</v>
      </c>
      <c r="BD134" s="3">
        <v>0</v>
      </c>
      <c r="BE134" t="s">
        <v>20</v>
      </c>
      <c r="BF134" t="s">
        <v>1</v>
      </c>
      <c r="BG134" s="4">
        <v>0</v>
      </c>
      <c r="BH134" s="4">
        <v>0</v>
      </c>
      <c r="BI134" s="6">
        <v>0</v>
      </c>
      <c r="BJ134" s="6">
        <v>0</v>
      </c>
      <c r="BK134" t="s">
        <v>1</v>
      </c>
      <c r="BL134" t="s">
        <v>1</v>
      </c>
      <c r="BM134" t="s">
        <v>1</v>
      </c>
      <c r="BN134" t="s">
        <v>9</v>
      </c>
      <c r="BO134" s="2">
        <v>46122</v>
      </c>
      <c r="BP134" t="s">
        <v>1</v>
      </c>
      <c r="BQ134" t="s">
        <v>2483</v>
      </c>
      <c r="BR134" t="s">
        <v>27</v>
      </c>
      <c r="BS134" t="s">
        <v>1</v>
      </c>
      <c r="BT134" t="s">
        <v>1</v>
      </c>
      <c r="BU134" t="s">
        <v>1</v>
      </c>
      <c r="BV134" t="s">
        <v>1</v>
      </c>
      <c r="BW134" t="s">
        <v>7</v>
      </c>
      <c r="BX134" t="s">
        <v>10</v>
      </c>
      <c r="BY134" s="2"/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254</v>
      </c>
      <c r="CJ134" s="3">
        <v>-194529500</v>
      </c>
      <c r="CK134" t="s">
        <v>9</v>
      </c>
      <c r="CL134" t="s">
        <v>11</v>
      </c>
      <c r="CM134" t="s">
        <v>1</v>
      </c>
      <c r="CN134" s="4">
        <v>0</v>
      </c>
      <c r="CO134" t="s">
        <v>7</v>
      </c>
      <c r="CP134" t="s">
        <v>7</v>
      </c>
      <c r="CQ134" t="s">
        <v>7</v>
      </c>
      <c r="CR134" t="s">
        <v>7</v>
      </c>
      <c r="CS134" s="4">
        <v>0</v>
      </c>
      <c r="CT134" t="s">
        <v>2483</v>
      </c>
      <c r="CU134" t="s">
        <v>7</v>
      </c>
      <c r="CV134" t="s">
        <v>1</v>
      </c>
      <c r="CW134" s="2"/>
      <c r="CX134" t="s">
        <v>12</v>
      </c>
      <c r="CY134" t="s">
        <v>1</v>
      </c>
      <c r="CZ134" t="s">
        <v>13</v>
      </c>
      <c r="DA134" t="s">
        <v>1</v>
      </c>
      <c r="DB134" t="s">
        <v>9</v>
      </c>
      <c r="DC134" t="s">
        <v>9</v>
      </c>
      <c r="DD134" t="s">
        <v>1</v>
      </c>
      <c r="DE134" t="s">
        <v>1</v>
      </c>
      <c r="DF134" t="s">
        <v>1</v>
      </c>
      <c r="DG134" t="s">
        <v>261</v>
      </c>
      <c r="DH134" t="s">
        <v>1</v>
      </c>
      <c r="DI134" s="2"/>
      <c r="DJ134" t="s">
        <v>1</v>
      </c>
      <c r="DK134" t="s">
        <v>14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s="2"/>
      <c r="DW134" t="s">
        <v>1</v>
      </c>
      <c r="DX134" t="s">
        <v>1</v>
      </c>
      <c r="DY134" t="s">
        <v>2485</v>
      </c>
      <c r="DZ134" t="s">
        <v>1</v>
      </c>
      <c r="EA134" t="s">
        <v>1</v>
      </c>
      <c r="EB134" t="s">
        <v>28</v>
      </c>
      <c r="EC134" t="s">
        <v>7</v>
      </c>
      <c r="ED134" t="s">
        <v>1</v>
      </c>
      <c r="EE134" t="s">
        <v>1</v>
      </c>
      <c r="EF134" t="s">
        <v>22</v>
      </c>
      <c r="EG134" t="s">
        <v>41</v>
      </c>
      <c r="EH134" t="s">
        <v>15</v>
      </c>
      <c r="EI134" t="s">
        <v>1</v>
      </c>
      <c r="EJ134" s="4">
        <v>-5500</v>
      </c>
      <c r="EK134" t="s">
        <v>1</v>
      </c>
      <c r="EL134" t="s">
        <v>1</v>
      </c>
      <c r="EM134" t="s">
        <v>1</v>
      </c>
      <c r="EN134" t="s">
        <v>1</v>
      </c>
      <c r="EO134" s="2"/>
      <c r="EP134" t="s">
        <v>2485</v>
      </c>
      <c r="EQ134" t="s">
        <v>1</v>
      </c>
      <c r="ER134" t="s">
        <v>1</v>
      </c>
      <c r="ES134" t="s">
        <v>1</v>
      </c>
      <c r="ET134" t="s">
        <v>29</v>
      </c>
      <c r="EU134" t="s">
        <v>1</v>
      </c>
      <c r="EV134" t="s">
        <v>1</v>
      </c>
      <c r="EW134" t="s">
        <v>7</v>
      </c>
      <c r="EX134" t="s">
        <v>7</v>
      </c>
      <c r="EY134" t="s">
        <v>1</v>
      </c>
      <c r="EZ134" t="s">
        <v>1</v>
      </c>
      <c r="FA134" t="s">
        <v>1</v>
      </c>
      <c r="FB134" s="3">
        <v>50</v>
      </c>
      <c r="FC134" t="s">
        <v>1</v>
      </c>
      <c r="FD134" t="s">
        <v>1</v>
      </c>
      <c r="FE134" t="s">
        <v>1</v>
      </c>
      <c r="FF134" t="s">
        <v>17</v>
      </c>
      <c r="FG134" t="s">
        <v>1</v>
      </c>
      <c r="FH134" t="s">
        <v>1</v>
      </c>
      <c r="FI134" t="s">
        <v>1</v>
      </c>
      <c r="FJ134" t="s">
        <v>1</v>
      </c>
      <c r="FK134" s="7">
        <v>46122.468530092592</v>
      </c>
      <c r="FL134" t="s">
        <v>1</v>
      </c>
      <c r="FM134" t="s">
        <v>1</v>
      </c>
      <c r="FN134" t="s">
        <v>1</v>
      </c>
      <c r="FO134" s="19">
        <v>-194529500</v>
      </c>
      <c r="FP134" s="4">
        <v>0</v>
      </c>
      <c r="FQ134" s="19">
        <v>-194529500</v>
      </c>
      <c r="FR134" s="4">
        <v>0</v>
      </c>
      <c r="FS134" s="4">
        <v>0</v>
      </c>
      <c r="FT134" s="4">
        <v>0</v>
      </c>
      <c r="FU134" s="2">
        <v>46122</v>
      </c>
      <c r="FV134" t="s">
        <v>1</v>
      </c>
      <c r="FW134" s="4">
        <v>0</v>
      </c>
      <c r="FX134" t="s">
        <v>1</v>
      </c>
      <c r="FY134" t="s">
        <v>1</v>
      </c>
      <c r="FZ134" s="4">
        <v>0</v>
      </c>
      <c r="GA134" s="4">
        <v>0</v>
      </c>
      <c r="GB134" t="s">
        <v>2070</v>
      </c>
      <c r="GC134" t="str">
        <f>RIGHT(Data_FAGLL03[[#This Row],[Payment reference]],8)</f>
        <v>91172694</v>
      </c>
      <c r="GD134" t="str">
        <f>IF(Data_FAGLL03[[#This Row],[Billing]]&lt;&gt;"",_xlfn.XLOOKUP(Data_FAGLL03[[#This Row],[Billing]],MD_BILLING_SO[BILIING],MD_BILLING_SO[SO-EDITED]),"")</f>
        <v>30030655</v>
      </c>
      <c r="GE134" s="18">
        <f>IF(SUBSTITUTE(Data_FAGLL03[[#This Row],[Eff.exchange rate]],",","")/100000=1,1,SUBSTITUTE(Data_FAGLL03[[#This Row],[Eff.exchange rate]],",","")/100)</f>
        <v>1</v>
      </c>
      <c r="GF134" s="17">
        <f>IF(Data_FAGLL03[[#This Row],[Material]]&lt;&gt;"",IFERROR(Data_FAGLL03[[#This Row],[Amount in local currency]]/Data_FAGLL03[[#This Row],[Quantity_Original]],0),0)</f>
        <v>35369</v>
      </c>
      <c r="GG134" s="18">
        <f>IF(Data_FAGLL03[[#This Row],[XK/NĐ]]="XK",Data_FAGLL03[[#This Row],[GB trung bình]]/Data_FAGLL03[[#This Row],[EXR]],0)*1000</f>
        <v>0</v>
      </c>
      <c r="GH134" s="18" cm="1">
        <f t="array" ref="GH134">IF(Data_FAGLL03[[#This Row],[Document currency]]&lt;&gt;"VND",Data_FAGLL03[[#This Row],[Amount in doc. curr.]],Data_FAGLL03[[#This Row],[Amount in local currency]]/EXR)</f>
        <v>-7410.042655410618</v>
      </c>
      <c r="GI134" s="10">
        <f>Data_FAGLL03[[#This Row],[Time Stamp]]+TIME(7,0,0)</f>
        <v>46122.760196759256</v>
      </c>
      <c r="GJ134" s="18">
        <f>MONTH(Data_FAGLL03[[#This Row],[Time Stamp_VN]])</f>
        <v>4</v>
      </c>
      <c r="GK134">
        <f>DAY(Data_FAGLL03[[#This Row],[Time Stamp_VN]])</f>
        <v>10</v>
      </c>
      <c r="GL134" t="str">
        <f>TEXT(Data_FAGLL03[[#This Row],[Tháng]],"00")&amp;" | "&amp;TEXT(Data_FAGLL03[[#This Row],[Ngày]],"00")</f>
        <v>04 | 10</v>
      </c>
      <c r="GM134" s="18">
        <f>IF(Data_FAGLL03[[#This Row],[Text]]="",Data_FAGLL03[[#This Row],[Quantity_Original]],0)</f>
        <v>-5500</v>
      </c>
      <c r="GN134" s="18" t="str">
        <f>IF(Data_FAGLL03[[#This Row],[Quantity_Edited]]&lt;&gt;0,Data_FAGLL03[[#This Row],[Offsetting acct no.]]&amp;" | "&amp;Data_FAGLL03[[#This Row],[Material]],"")</f>
        <v>105263 | 110000481</v>
      </c>
      <c r="GO134" t="str">
        <f>IF(LEFT(Data_FAGLL03[[#This Row],[Offsetting acct no.]],1)="1","NĐ",IF(LEFT(Data_FAGLL03[[#This Row],[Offsetting acct no.]],1)="2","XK","Khác"))</f>
        <v>NĐ</v>
      </c>
      <c r="GP134" t="str">
        <f>IF(Data_FAGLL03[[#This Row],[Material]]&lt;&gt;"",_xlfn.XLOOKUP(Data_FAGLL03[[#This Row],[Material]],MD_SKU[Mã SKU],MD_SKU[Tên SKU]),"")</f>
        <v>Hạt Nhựa rHDPE PCF01</v>
      </c>
      <c r="GQ134" t="str">
        <f>IF(Data_FAGLL03[[#This Row],[Material]]&lt;&gt;"",_xlfn.XLOOKUP(Data_FAGLL03[[#This Row],[Material]],MD_SKU[Mã SKU],MD_SKU[Nhóm SP 1]),"")</f>
        <v>rHDPE</v>
      </c>
      <c r="GR134" t="str">
        <f>IF(Data_FAGLL03[[#This Row],[Material]]&lt;&gt;"",_xlfn.XLOOKUP(Data_FAGLL03[[#This Row],[Material]],MD_SKU[Mã SKU],MD_SKU[Nhóm SP 2]),"")</f>
        <v>rHDPE thổi</v>
      </c>
      <c r="GS134" t="str">
        <f>IF(Data_FAGLL03[[#This Row],[Material]]&lt;&gt;"",_xlfn.XLOOKUP(Data_FAGLL03[[#This Row],[Material]],MD_SKU[Mã SKU],MD_SKU[Nhóm SP 3]),"")</f>
        <v>rHDPE thổi</v>
      </c>
      <c r="GT134" t="str">
        <f>IF(Data_FAGLL03[[#This Row],[Material]]&lt;&gt;"",_xlfn.XLOOKUP(Data_FAGLL03[[#This Row],[Material]],MD_SKU[Mã SKU],MD_SKU[Nhóm SP 4]),"")</f>
        <v>Hạt rHDPE thổi</v>
      </c>
    </row>
    <row r="135" spans="1:202" x14ac:dyDescent="0.25">
      <c r="A135" t="s">
        <v>0</v>
      </c>
      <c r="B135" s="2">
        <v>46122</v>
      </c>
      <c r="C135" t="s">
        <v>2486</v>
      </c>
      <c r="D135" t="s">
        <v>1</v>
      </c>
      <c r="E135" t="s">
        <v>1</v>
      </c>
      <c r="F135" t="s">
        <v>31</v>
      </c>
      <c r="G135" t="s">
        <v>31</v>
      </c>
      <c r="H135" t="s">
        <v>34</v>
      </c>
      <c r="I135" s="19">
        <v>-194529500</v>
      </c>
      <c r="J135" t="s">
        <v>35</v>
      </c>
      <c r="K135" t="s">
        <v>1</v>
      </c>
      <c r="L135" t="s">
        <v>39</v>
      </c>
      <c r="M135" t="s">
        <v>41</v>
      </c>
      <c r="N135" t="s">
        <v>254</v>
      </c>
      <c r="O135" t="s">
        <v>4</v>
      </c>
      <c r="P135" t="s">
        <v>2487</v>
      </c>
      <c r="Q135" t="s">
        <v>31</v>
      </c>
      <c r="R135" t="s">
        <v>5</v>
      </c>
      <c r="S135" t="s">
        <v>1</v>
      </c>
      <c r="T135" s="3">
        <v>-194529500</v>
      </c>
      <c r="U135" s="19">
        <v>-194529500</v>
      </c>
      <c r="V135" s="3">
        <v>-194529500</v>
      </c>
      <c r="W135" s="3">
        <v>-194529500</v>
      </c>
      <c r="X135" s="4">
        <v>0</v>
      </c>
      <c r="Y135" s="4">
        <v>0</v>
      </c>
      <c r="Z135" s="3">
        <v>0</v>
      </c>
      <c r="AA135" s="3">
        <v>0</v>
      </c>
      <c r="AB135" t="s">
        <v>1</v>
      </c>
      <c r="AC135" t="s">
        <v>24</v>
      </c>
      <c r="AD135" s="2"/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25</v>
      </c>
      <c r="AK135" s="4">
        <v>0</v>
      </c>
      <c r="AL135" t="s">
        <v>1</v>
      </c>
      <c r="AM135" s="5" t="s">
        <v>1</v>
      </c>
      <c r="AN135" t="s">
        <v>1</v>
      </c>
      <c r="AO135" s="2"/>
      <c r="AP135" t="s">
        <v>1</v>
      </c>
      <c r="AQ135" t="s">
        <v>1</v>
      </c>
      <c r="AR135" s="3">
        <v>0</v>
      </c>
      <c r="AS135" t="s">
        <v>1</v>
      </c>
      <c r="AT135" t="s">
        <v>7</v>
      </c>
      <c r="AU135" t="s">
        <v>1</v>
      </c>
      <c r="AV135" t="s">
        <v>1</v>
      </c>
      <c r="AW135" t="s">
        <v>8</v>
      </c>
      <c r="AX135" t="s">
        <v>8</v>
      </c>
      <c r="AY135" t="s">
        <v>1</v>
      </c>
      <c r="AZ135" s="4">
        <v>0</v>
      </c>
      <c r="BA135" t="s">
        <v>1</v>
      </c>
      <c r="BB135" s="3">
        <v>0</v>
      </c>
      <c r="BC135" s="3">
        <v>0</v>
      </c>
      <c r="BD135" s="3">
        <v>0</v>
      </c>
      <c r="BE135" t="s">
        <v>20</v>
      </c>
      <c r="BF135" t="s">
        <v>1</v>
      </c>
      <c r="BG135" s="4">
        <v>0</v>
      </c>
      <c r="BH135" s="4">
        <v>0</v>
      </c>
      <c r="BI135" s="6">
        <v>0</v>
      </c>
      <c r="BJ135" s="6">
        <v>0</v>
      </c>
      <c r="BK135" t="s">
        <v>1</v>
      </c>
      <c r="BL135" t="s">
        <v>1</v>
      </c>
      <c r="BM135" t="s">
        <v>1</v>
      </c>
      <c r="BN135" t="s">
        <v>9</v>
      </c>
      <c r="BO135" s="2">
        <v>46122</v>
      </c>
      <c r="BP135" t="s">
        <v>1</v>
      </c>
      <c r="BQ135" t="s">
        <v>2486</v>
      </c>
      <c r="BR135" t="s">
        <v>27</v>
      </c>
      <c r="BS135" t="s">
        <v>1</v>
      </c>
      <c r="BT135" t="s">
        <v>1</v>
      </c>
      <c r="BU135" t="s">
        <v>1</v>
      </c>
      <c r="BV135" t="s">
        <v>1</v>
      </c>
      <c r="BW135" t="s">
        <v>7</v>
      </c>
      <c r="BX135" t="s">
        <v>10</v>
      </c>
      <c r="BY135" s="2"/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254</v>
      </c>
      <c r="CJ135" s="3">
        <v>-194529500</v>
      </c>
      <c r="CK135" t="s">
        <v>9</v>
      </c>
      <c r="CL135" t="s">
        <v>11</v>
      </c>
      <c r="CM135" t="s">
        <v>1</v>
      </c>
      <c r="CN135" s="4">
        <v>0</v>
      </c>
      <c r="CO135" t="s">
        <v>7</v>
      </c>
      <c r="CP135" t="s">
        <v>7</v>
      </c>
      <c r="CQ135" t="s">
        <v>7</v>
      </c>
      <c r="CR135" t="s">
        <v>7</v>
      </c>
      <c r="CS135" s="4">
        <v>0</v>
      </c>
      <c r="CT135" t="s">
        <v>2486</v>
      </c>
      <c r="CU135" t="s">
        <v>7</v>
      </c>
      <c r="CV135" t="s">
        <v>1</v>
      </c>
      <c r="CW135" s="2"/>
      <c r="CX135" t="s">
        <v>12</v>
      </c>
      <c r="CY135" t="s">
        <v>1</v>
      </c>
      <c r="CZ135" t="s">
        <v>13</v>
      </c>
      <c r="DA135" t="s">
        <v>1</v>
      </c>
      <c r="DB135" t="s">
        <v>9</v>
      </c>
      <c r="DC135" t="s">
        <v>9</v>
      </c>
      <c r="DD135" t="s">
        <v>1</v>
      </c>
      <c r="DE135" t="s">
        <v>1</v>
      </c>
      <c r="DF135" t="s">
        <v>1</v>
      </c>
      <c r="DG135" t="s">
        <v>261</v>
      </c>
      <c r="DH135" t="s">
        <v>1</v>
      </c>
      <c r="DI135" s="2"/>
      <c r="DJ135" t="s">
        <v>1</v>
      </c>
      <c r="DK135" t="s">
        <v>14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s="2"/>
      <c r="DW135" t="s">
        <v>1</v>
      </c>
      <c r="DX135" t="s">
        <v>1</v>
      </c>
      <c r="DY135" t="s">
        <v>2488</v>
      </c>
      <c r="DZ135" t="s">
        <v>1</v>
      </c>
      <c r="EA135" t="s">
        <v>1</v>
      </c>
      <c r="EB135" t="s">
        <v>28</v>
      </c>
      <c r="EC135" t="s">
        <v>7</v>
      </c>
      <c r="ED135" t="s">
        <v>1</v>
      </c>
      <c r="EE135" t="s">
        <v>1</v>
      </c>
      <c r="EF135" t="s">
        <v>22</v>
      </c>
      <c r="EG135" t="s">
        <v>41</v>
      </c>
      <c r="EH135" t="s">
        <v>15</v>
      </c>
      <c r="EI135" t="s">
        <v>1</v>
      </c>
      <c r="EJ135" s="4">
        <v>-5500</v>
      </c>
      <c r="EK135" t="s">
        <v>1</v>
      </c>
      <c r="EL135" t="s">
        <v>1</v>
      </c>
      <c r="EM135" t="s">
        <v>1</v>
      </c>
      <c r="EN135" t="s">
        <v>1</v>
      </c>
      <c r="EO135" s="2"/>
      <c r="EP135" t="s">
        <v>2488</v>
      </c>
      <c r="EQ135" t="s">
        <v>1</v>
      </c>
      <c r="ER135" t="s">
        <v>1</v>
      </c>
      <c r="ES135" t="s">
        <v>1</v>
      </c>
      <c r="ET135" t="s">
        <v>29</v>
      </c>
      <c r="EU135" t="s">
        <v>1</v>
      </c>
      <c r="EV135" t="s">
        <v>1</v>
      </c>
      <c r="EW135" t="s">
        <v>7</v>
      </c>
      <c r="EX135" t="s">
        <v>7</v>
      </c>
      <c r="EY135" t="s">
        <v>1</v>
      </c>
      <c r="EZ135" t="s">
        <v>1</v>
      </c>
      <c r="FA135" t="s">
        <v>1</v>
      </c>
      <c r="FB135" s="3">
        <v>50</v>
      </c>
      <c r="FC135" t="s">
        <v>1</v>
      </c>
      <c r="FD135" t="s">
        <v>1</v>
      </c>
      <c r="FE135" t="s">
        <v>1</v>
      </c>
      <c r="FF135" t="s">
        <v>17</v>
      </c>
      <c r="FG135" t="s">
        <v>1</v>
      </c>
      <c r="FH135" t="s">
        <v>1</v>
      </c>
      <c r="FI135" t="s">
        <v>1</v>
      </c>
      <c r="FJ135" t="s">
        <v>1</v>
      </c>
      <c r="FK135" s="7">
        <v>46122.468622685185</v>
      </c>
      <c r="FL135" t="s">
        <v>1</v>
      </c>
      <c r="FM135" t="s">
        <v>1</v>
      </c>
      <c r="FN135" t="s">
        <v>1</v>
      </c>
      <c r="FO135" s="19">
        <v>-194529500</v>
      </c>
      <c r="FP135" s="4">
        <v>0</v>
      </c>
      <c r="FQ135" s="19">
        <v>-194529500</v>
      </c>
      <c r="FR135" s="4">
        <v>0</v>
      </c>
      <c r="FS135" s="4">
        <v>0</v>
      </c>
      <c r="FT135" s="4">
        <v>0</v>
      </c>
      <c r="FU135" s="2">
        <v>46122</v>
      </c>
      <c r="FV135" t="s">
        <v>1</v>
      </c>
      <c r="FW135" s="4">
        <v>0</v>
      </c>
      <c r="FX135" t="s">
        <v>1</v>
      </c>
      <c r="FY135" t="s">
        <v>1</v>
      </c>
      <c r="FZ135" s="4">
        <v>0</v>
      </c>
      <c r="GA135" s="4">
        <v>0</v>
      </c>
      <c r="GB135" t="s">
        <v>2070</v>
      </c>
      <c r="GC135" t="str">
        <f>RIGHT(Data_FAGLL03[[#This Row],[Payment reference]],8)</f>
        <v>91172695</v>
      </c>
      <c r="GD135" t="str">
        <f>IF(Data_FAGLL03[[#This Row],[Billing]]&lt;&gt;"",_xlfn.XLOOKUP(Data_FAGLL03[[#This Row],[Billing]],MD_BILLING_SO[BILIING],MD_BILLING_SO[SO-EDITED]),"")</f>
        <v>30030655</v>
      </c>
      <c r="GE135" s="18">
        <f>IF(SUBSTITUTE(Data_FAGLL03[[#This Row],[Eff.exchange rate]],",","")/100000=1,1,SUBSTITUTE(Data_FAGLL03[[#This Row],[Eff.exchange rate]],",","")/100)</f>
        <v>1</v>
      </c>
      <c r="GF135" s="17">
        <f>IF(Data_FAGLL03[[#This Row],[Material]]&lt;&gt;"",IFERROR(Data_FAGLL03[[#This Row],[Amount in local currency]]/Data_FAGLL03[[#This Row],[Quantity_Original]],0),0)</f>
        <v>35369</v>
      </c>
      <c r="GG135" s="18">
        <f>IF(Data_FAGLL03[[#This Row],[XK/NĐ]]="XK",Data_FAGLL03[[#This Row],[GB trung bình]]/Data_FAGLL03[[#This Row],[EXR]],0)*1000</f>
        <v>0</v>
      </c>
      <c r="GH135" s="18" cm="1">
        <f t="array" ref="GH135">IF(Data_FAGLL03[[#This Row],[Document currency]]&lt;&gt;"VND",Data_FAGLL03[[#This Row],[Amount in doc. curr.]],Data_FAGLL03[[#This Row],[Amount in local currency]]/EXR)</f>
        <v>-7410.042655410618</v>
      </c>
      <c r="GI135" s="10">
        <f>Data_FAGLL03[[#This Row],[Time Stamp]]+TIME(7,0,0)</f>
        <v>46122.760289351849</v>
      </c>
      <c r="GJ135" s="18">
        <f>MONTH(Data_FAGLL03[[#This Row],[Time Stamp_VN]])</f>
        <v>4</v>
      </c>
      <c r="GK135">
        <f>DAY(Data_FAGLL03[[#This Row],[Time Stamp_VN]])</f>
        <v>10</v>
      </c>
      <c r="GL135" t="str">
        <f>TEXT(Data_FAGLL03[[#This Row],[Tháng]],"00")&amp;" | "&amp;TEXT(Data_FAGLL03[[#This Row],[Ngày]],"00")</f>
        <v>04 | 10</v>
      </c>
      <c r="GM135" s="18">
        <f>IF(Data_FAGLL03[[#This Row],[Text]]="",Data_FAGLL03[[#This Row],[Quantity_Original]],0)</f>
        <v>-5500</v>
      </c>
      <c r="GN135" s="18" t="str">
        <f>IF(Data_FAGLL03[[#This Row],[Quantity_Edited]]&lt;&gt;0,Data_FAGLL03[[#This Row],[Offsetting acct no.]]&amp;" | "&amp;Data_FAGLL03[[#This Row],[Material]],"")</f>
        <v>105263 | 110000481</v>
      </c>
      <c r="GO135" t="str">
        <f>IF(LEFT(Data_FAGLL03[[#This Row],[Offsetting acct no.]],1)="1","NĐ",IF(LEFT(Data_FAGLL03[[#This Row],[Offsetting acct no.]],1)="2","XK","Khác"))</f>
        <v>NĐ</v>
      </c>
      <c r="GP135" t="str">
        <f>IF(Data_FAGLL03[[#This Row],[Material]]&lt;&gt;"",_xlfn.XLOOKUP(Data_FAGLL03[[#This Row],[Material]],MD_SKU[Mã SKU],MD_SKU[Tên SKU]),"")</f>
        <v>Hạt Nhựa rHDPE PCF01</v>
      </c>
      <c r="GQ135" t="str">
        <f>IF(Data_FAGLL03[[#This Row],[Material]]&lt;&gt;"",_xlfn.XLOOKUP(Data_FAGLL03[[#This Row],[Material]],MD_SKU[Mã SKU],MD_SKU[Nhóm SP 1]),"")</f>
        <v>rHDPE</v>
      </c>
      <c r="GR135" t="str">
        <f>IF(Data_FAGLL03[[#This Row],[Material]]&lt;&gt;"",_xlfn.XLOOKUP(Data_FAGLL03[[#This Row],[Material]],MD_SKU[Mã SKU],MD_SKU[Nhóm SP 2]),"")</f>
        <v>rHDPE thổi</v>
      </c>
      <c r="GS135" t="str">
        <f>IF(Data_FAGLL03[[#This Row],[Material]]&lt;&gt;"",_xlfn.XLOOKUP(Data_FAGLL03[[#This Row],[Material]],MD_SKU[Mã SKU],MD_SKU[Nhóm SP 3]),"")</f>
        <v>rHDPE thổi</v>
      </c>
      <c r="GT135" t="str">
        <f>IF(Data_FAGLL03[[#This Row],[Material]]&lt;&gt;"",_xlfn.XLOOKUP(Data_FAGLL03[[#This Row],[Material]],MD_SKU[Mã SKU],MD_SKU[Nhóm SP 4]),"")</f>
        <v>Hạt rHDPE thổi</v>
      </c>
    </row>
    <row r="136" spans="1:202" x14ac:dyDescent="0.25">
      <c r="A136" t="s">
        <v>0</v>
      </c>
      <c r="B136" s="2">
        <v>46122</v>
      </c>
      <c r="C136" t="s">
        <v>2489</v>
      </c>
      <c r="D136" t="s">
        <v>1</v>
      </c>
      <c r="E136" t="s">
        <v>1</v>
      </c>
      <c r="F136" t="s">
        <v>31</v>
      </c>
      <c r="G136" t="s">
        <v>31</v>
      </c>
      <c r="H136" t="s">
        <v>2490</v>
      </c>
      <c r="I136" s="19">
        <v>-1318050</v>
      </c>
      <c r="J136" t="s">
        <v>2491</v>
      </c>
      <c r="K136" t="s">
        <v>1</v>
      </c>
      <c r="L136" t="s">
        <v>39</v>
      </c>
      <c r="M136" t="s">
        <v>41</v>
      </c>
      <c r="N136" t="s">
        <v>254</v>
      </c>
      <c r="O136" t="s">
        <v>4</v>
      </c>
      <c r="P136" t="s">
        <v>2492</v>
      </c>
      <c r="Q136" t="s">
        <v>31</v>
      </c>
      <c r="R136" t="s">
        <v>5</v>
      </c>
      <c r="S136" t="s">
        <v>1</v>
      </c>
      <c r="T136" s="3">
        <v>-1318050</v>
      </c>
      <c r="U136" s="19">
        <v>-1318050</v>
      </c>
      <c r="V136" s="3">
        <v>-1318050</v>
      </c>
      <c r="W136" s="3">
        <v>-1318050</v>
      </c>
      <c r="X136" s="4">
        <v>0</v>
      </c>
      <c r="Y136" s="4">
        <v>0</v>
      </c>
      <c r="Z136" s="3">
        <v>0</v>
      </c>
      <c r="AA136" s="3">
        <v>0</v>
      </c>
      <c r="AB136" t="s">
        <v>1</v>
      </c>
      <c r="AC136" t="s">
        <v>24</v>
      </c>
      <c r="AD136" s="2"/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25</v>
      </c>
      <c r="AK136" s="4">
        <v>0</v>
      </c>
      <c r="AL136" t="s">
        <v>1</v>
      </c>
      <c r="AM136" s="5" t="s">
        <v>1</v>
      </c>
      <c r="AN136" t="s">
        <v>1</v>
      </c>
      <c r="AO136" s="2"/>
      <c r="AP136" t="s">
        <v>1</v>
      </c>
      <c r="AQ136" t="s">
        <v>1</v>
      </c>
      <c r="AR136" s="3">
        <v>0</v>
      </c>
      <c r="AS136" t="s">
        <v>1</v>
      </c>
      <c r="AT136" t="s">
        <v>7</v>
      </c>
      <c r="AU136" t="s">
        <v>1</v>
      </c>
      <c r="AV136" t="s">
        <v>1</v>
      </c>
      <c r="AW136" t="s">
        <v>8</v>
      </c>
      <c r="AX136" t="s">
        <v>8</v>
      </c>
      <c r="AY136" t="s">
        <v>1</v>
      </c>
      <c r="AZ136" s="4">
        <v>0</v>
      </c>
      <c r="BA136" t="s">
        <v>1</v>
      </c>
      <c r="BB136" s="3">
        <v>0</v>
      </c>
      <c r="BC136" s="3">
        <v>0</v>
      </c>
      <c r="BD136" s="3">
        <v>0</v>
      </c>
      <c r="BE136" t="s">
        <v>20</v>
      </c>
      <c r="BF136" t="s">
        <v>1</v>
      </c>
      <c r="BG136" s="4">
        <v>0</v>
      </c>
      <c r="BH136" s="4">
        <v>0</v>
      </c>
      <c r="BI136" s="6">
        <v>0</v>
      </c>
      <c r="BJ136" s="6">
        <v>0</v>
      </c>
      <c r="BK136" t="s">
        <v>1</v>
      </c>
      <c r="BL136" t="s">
        <v>1</v>
      </c>
      <c r="BM136" t="s">
        <v>1</v>
      </c>
      <c r="BN136" t="s">
        <v>9</v>
      </c>
      <c r="BO136" s="2">
        <v>46122</v>
      </c>
      <c r="BP136" t="s">
        <v>1</v>
      </c>
      <c r="BQ136" t="s">
        <v>2489</v>
      </c>
      <c r="BR136" t="s">
        <v>27</v>
      </c>
      <c r="BS136" t="s">
        <v>1</v>
      </c>
      <c r="BT136" t="s">
        <v>1</v>
      </c>
      <c r="BU136" t="s">
        <v>1</v>
      </c>
      <c r="BV136" t="s">
        <v>1</v>
      </c>
      <c r="BW136" t="s">
        <v>7</v>
      </c>
      <c r="BX136" t="s">
        <v>10</v>
      </c>
      <c r="BY136" s="2"/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254</v>
      </c>
      <c r="CJ136" s="3">
        <v>-1318050</v>
      </c>
      <c r="CK136" t="s">
        <v>9</v>
      </c>
      <c r="CL136" t="s">
        <v>11</v>
      </c>
      <c r="CM136" t="s">
        <v>1</v>
      </c>
      <c r="CN136" s="4">
        <v>0</v>
      </c>
      <c r="CO136" t="s">
        <v>7</v>
      </c>
      <c r="CP136" t="s">
        <v>7</v>
      </c>
      <c r="CQ136" t="s">
        <v>7</v>
      </c>
      <c r="CR136" t="s">
        <v>7</v>
      </c>
      <c r="CS136" s="4">
        <v>0</v>
      </c>
      <c r="CT136" t="s">
        <v>2489</v>
      </c>
      <c r="CU136" t="s">
        <v>7</v>
      </c>
      <c r="CV136" t="s">
        <v>1</v>
      </c>
      <c r="CW136" s="2"/>
      <c r="CX136" t="s">
        <v>12</v>
      </c>
      <c r="CY136" t="s">
        <v>1</v>
      </c>
      <c r="CZ136" t="s">
        <v>13</v>
      </c>
      <c r="DA136" t="s">
        <v>1</v>
      </c>
      <c r="DB136" t="s">
        <v>9</v>
      </c>
      <c r="DC136" t="s">
        <v>9</v>
      </c>
      <c r="DD136" t="s">
        <v>1</v>
      </c>
      <c r="DE136" t="s">
        <v>1</v>
      </c>
      <c r="DF136" t="s">
        <v>1</v>
      </c>
      <c r="DG136" t="s">
        <v>2493</v>
      </c>
      <c r="DH136" t="s">
        <v>1</v>
      </c>
      <c r="DI136" s="2"/>
      <c r="DJ136" t="s">
        <v>1</v>
      </c>
      <c r="DK136" t="s">
        <v>14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s="2"/>
      <c r="DW136" t="s">
        <v>1</v>
      </c>
      <c r="DX136" t="s">
        <v>1</v>
      </c>
      <c r="DY136" t="s">
        <v>2494</v>
      </c>
      <c r="DZ136" t="s">
        <v>1</v>
      </c>
      <c r="EA136" t="s">
        <v>1</v>
      </c>
      <c r="EB136" t="s">
        <v>28</v>
      </c>
      <c r="EC136" t="s">
        <v>7</v>
      </c>
      <c r="ED136" t="s">
        <v>1</v>
      </c>
      <c r="EE136" t="s">
        <v>1</v>
      </c>
      <c r="EF136" t="s">
        <v>22</v>
      </c>
      <c r="EG136" t="s">
        <v>41</v>
      </c>
      <c r="EH136" t="s">
        <v>15</v>
      </c>
      <c r="EI136" t="s">
        <v>1</v>
      </c>
      <c r="EJ136" s="4">
        <v>-50</v>
      </c>
      <c r="EK136" t="s">
        <v>1</v>
      </c>
      <c r="EL136" t="s">
        <v>1</v>
      </c>
      <c r="EM136" t="s">
        <v>1</v>
      </c>
      <c r="EN136" t="s">
        <v>1</v>
      </c>
      <c r="EO136" s="2"/>
      <c r="EP136" t="s">
        <v>2494</v>
      </c>
      <c r="EQ136" t="s">
        <v>1</v>
      </c>
      <c r="ER136" t="s">
        <v>1</v>
      </c>
      <c r="ES136" t="s">
        <v>1</v>
      </c>
      <c r="ET136" t="s">
        <v>29</v>
      </c>
      <c r="EU136" t="s">
        <v>1</v>
      </c>
      <c r="EV136" t="s">
        <v>1</v>
      </c>
      <c r="EW136" t="s">
        <v>7</v>
      </c>
      <c r="EX136" t="s">
        <v>7</v>
      </c>
      <c r="EY136" t="s">
        <v>1</v>
      </c>
      <c r="EZ136" t="s">
        <v>1</v>
      </c>
      <c r="FA136" t="s">
        <v>1</v>
      </c>
      <c r="FB136" s="3">
        <v>50</v>
      </c>
      <c r="FC136" t="s">
        <v>1</v>
      </c>
      <c r="FD136" t="s">
        <v>1</v>
      </c>
      <c r="FE136" t="s">
        <v>1</v>
      </c>
      <c r="FF136" t="s">
        <v>17</v>
      </c>
      <c r="FG136" t="s">
        <v>1</v>
      </c>
      <c r="FH136" t="s">
        <v>1</v>
      </c>
      <c r="FI136" t="s">
        <v>1</v>
      </c>
      <c r="FJ136" t="s">
        <v>1</v>
      </c>
      <c r="FK136" s="7">
        <v>46122.468680555554</v>
      </c>
      <c r="FL136" t="s">
        <v>1</v>
      </c>
      <c r="FM136" t="s">
        <v>1</v>
      </c>
      <c r="FN136" t="s">
        <v>1</v>
      </c>
      <c r="FO136" s="19">
        <v>-1318050</v>
      </c>
      <c r="FP136" s="4">
        <v>0</v>
      </c>
      <c r="FQ136" s="19">
        <v>-1318050</v>
      </c>
      <c r="FR136" s="4">
        <v>0</v>
      </c>
      <c r="FS136" s="4">
        <v>0</v>
      </c>
      <c r="FT136" s="4">
        <v>0</v>
      </c>
      <c r="FU136" s="2">
        <v>46122</v>
      </c>
      <c r="FV136" t="s">
        <v>1</v>
      </c>
      <c r="FW136" s="4">
        <v>0</v>
      </c>
      <c r="FX136" t="s">
        <v>1</v>
      </c>
      <c r="FY136" t="s">
        <v>1</v>
      </c>
      <c r="FZ136" s="4">
        <v>0</v>
      </c>
      <c r="GA136" s="4">
        <v>0</v>
      </c>
      <c r="GB136" t="s">
        <v>2070</v>
      </c>
      <c r="GC136" t="str">
        <f>RIGHT(Data_FAGLL03[[#This Row],[Payment reference]],8)</f>
        <v>91172696</v>
      </c>
      <c r="GD136" t="str">
        <f>IF(Data_FAGLL03[[#This Row],[Billing]]&lt;&gt;"",_xlfn.XLOOKUP(Data_FAGLL03[[#This Row],[Billing]],MD_BILLING_SO[BILIING],MD_BILLING_SO[SO-EDITED]),"")</f>
        <v>30030738</v>
      </c>
      <c r="GE136" s="18">
        <f>IF(SUBSTITUTE(Data_FAGLL03[[#This Row],[Eff.exchange rate]],",","")/100000=1,1,SUBSTITUTE(Data_FAGLL03[[#This Row],[Eff.exchange rate]],",","")/100)</f>
        <v>1</v>
      </c>
      <c r="GF136" s="17">
        <f>IF(Data_FAGLL03[[#This Row],[Material]]&lt;&gt;"",IFERROR(Data_FAGLL03[[#This Row],[Amount in local currency]]/Data_FAGLL03[[#This Row],[Quantity_Original]],0),0)</f>
        <v>26361</v>
      </c>
      <c r="GG136" s="18">
        <f>IF(Data_FAGLL03[[#This Row],[XK/NĐ]]="XK",Data_FAGLL03[[#This Row],[GB trung bình]]/Data_FAGLL03[[#This Row],[EXR]],0)*1000</f>
        <v>0</v>
      </c>
      <c r="GH136" s="18" cm="1">
        <f t="array" ref="GH136">IF(Data_FAGLL03[[#This Row],[Document currency]]&lt;&gt;"VND",Data_FAGLL03[[#This Row],[Amount in doc. curr.]],Data_FAGLL03[[#This Row],[Amount in local currency]]/EXR)</f>
        <v>-50.207329592498645</v>
      </c>
      <c r="GI136" s="10">
        <f>Data_FAGLL03[[#This Row],[Time Stamp]]+TIME(7,0,0)</f>
        <v>46122.760347222218</v>
      </c>
      <c r="GJ136" s="18">
        <f>MONTH(Data_FAGLL03[[#This Row],[Time Stamp_VN]])</f>
        <v>4</v>
      </c>
      <c r="GK136">
        <f>DAY(Data_FAGLL03[[#This Row],[Time Stamp_VN]])</f>
        <v>10</v>
      </c>
      <c r="GL136" t="str">
        <f>TEXT(Data_FAGLL03[[#This Row],[Tháng]],"00")&amp;" | "&amp;TEXT(Data_FAGLL03[[#This Row],[Ngày]],"00")</f>
        <v>04 | 10</v>
      </c>
      <c r="GM136" s="18">
        <f>IF(Data_FAGLL03[[#This Row],[Text]]="",Data_FAGLL03[[#This Row],[Quantity_Original]],0)</f>
        <v>-50</v>
      </c>
      <c r="GN136" s="18" t="str">
        <f>IF(Data_FAGLL03[[#This Row],[Quantity_Edited]]&lt;&gt;0,Data_FAGLL03[[#This Row],[Offsetting acct no.]]&amp;" | "&amp;Data_FAGLL03[[#This Row],[Material]],"")</f>
        <v>105423 | 110000522</v>
      </c>
      <c r="GO136" t="str">
        <f>IF(LEFT(Data_FAGLL03[[#This Row],[Offsetting acct no.]],1)="1","NĐ",IF(LEFT(Data_FAGLL03[[#This Row],[Offsetting acct no.]],1)="2","XK","Khác"))</f>
        <v>NĐ</v>
      </c>
      <c r="GP136" t="str">
        <f>IF(Data_FAGLL03[[#This Row],[Material]]&lt;&gt;"",_xlfn.XLOOKUP(Data_FAGLL03[[#This Row],[Material]],MD_SKU[Mã SKU],MD_SKU[Tên SKU]),"")</f>
        <v>Hạt Nhựa rPET WSS03NC</v>
      </c>
      <c r="GQ136" t="str">
        <f>IF(Data_FAGLL03[[#This Row],[Material]]&lt;&gt;"",_xlfn.XLOOKUP(Data_FAGLL03[[#This Row],[Material]],MD_SKU[Mã SKU],MD_SKU[Nhóm SP 1]),"")</f>
        <v>rPET</v>
      </c>
      <c r="GR136" t="str">
        <f>IF(Data_FAGLL03[[#This Row],[Material]]&lt;&gt;"",_xlfn.XLOOKUP(Data_FAGLL03[[#This Row],[Material]],MD_SKU[Mã SKU],MD_SKU[Nhóm SP 2]),"")</f>
        <v>rPET</v>
      </c>
      <c r="GS136" t="str">
        <f>IF(Data_FAGLL03[[#This Row],[Material]]&lt;&gt;"",_xlfn.XLOOKUP(Data_FAGLL03[[#This Row],[Material]],MD_SKU[Mã SKU],MD_SKU[Nhóm SP 3]),"")</f>
        <v>rPET</v>
      </c>
      <c r="GT136" t="str">
        <f>IF(Data_FAGLL03[[#This Row],[Material]]&lt;&gt;"",_xlfn.XLOOKUP(Data_FAGLL03[[#This Row],[Material]],MD_SKU[Mã SKU],MD_SKU[Nhóm SP 4]),"")</f>
        <v>Hạt rPET</v>
      </c>
    </row>
    <row r="137" spans="1:202" x14ac:dyDescent="0.25">
      <c r="A137" t="s">
        <v>0</v>
      </c>
      <c r="B137" s="2">
        <v>46122</v>
      </c>
      <c r="C137" t="s">
        <v>2495</v>
      </c>
      <c r="D137" t="s">
        <v>1</v>
      </c>
      <c r="E137" t="s">
        <v>1</v>
      </c>
      <c r="F137" t="s">
        <v>31</v>
      </c>
      <c r="G137" t="s">
        <v>31</v>
      </c>
      <c r="H137" t="s">
        <v>2496</v>
      </c>
      <c r="I137" s="19">
        <v>-41708333</v>
      </c>
      <c r="J137" t="s">
        <v>2497</v>
      </c>
      <c r="K137" t="s">
        <v>1</v>
      </c>
      <c r="L137" t="s">
        <v>39</v>
      </c>
      <c r="M137" t="s">
        <v>41</v>
      </c>
      <c r="N137" t="s">
        <v>254</v>
      </c>
      <c r="O137" t="s">
        <v>4</v>
      </c>
      <c r="P137" t="s">
        <v>2498</v>
      </c>
      <c r="Q137" t="s">
        <v>31</v>
      </c>
      <c r="R137" t="s">
        <v>5</v>
      </c>
      <c r="S137" t="s">
        <v>1</v>
      </c>
      <c r="T137" s="3">
        <v>-41708333</v>
      </c>
      <c r="U137" s="19">
        <v>-41708333</v>
      </c>
      <c r="V137" s="3">
        <v>-41708333</v>
      </c>
      <c r="W137" s="3">
        <v>-41708333</v>
      </c>
      <c r="X137" s="4">
        <v>0</v>
      </c>
      <c r="Y137" s="4">
        <v>0</v>
      </c>
      <c r="Z137" s="3">
        <v>0</v>
      </c>
      <c r="AA137" s="3">
        <v>0</v>
      </c>
      <c r="AB137" t="s">
        <v>1</v>
      </c>
      <c r="AC137" t="s">
        <v>24</v>
      </c>
      <c r="AD137" s="2"/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25</v>
      </c>
      <c r="AK137" s="4">
        <v>0</v>
      </c>
      <c r="AL137" t="s">
        <v>1</v>
      </c>
      <c r="AM137" s="5" t="s">
        <v>1</v>
      </c>
      <c r="AN137" t="s">
        <v>1</v>
      </c>
      <c r="AO137" s="2"/>
      <c r="AP137" t="s">
        <v>1</v>
      </c>
      <c r="AQ137" t="s">
        <v>1</v>
      </c>
      <c r="AR137" s="3">
        <v>0</v>
      </c>
      <c r="AS137" t="s">
        <v>1</v>
      </c>
      <c r="AT137" t="s">
        <v>7</v>
      </c>
      <c r="AU137" t="s">
        <v>1</v>
      </c>
      <c r="AV137" t="s">
        <v>1</v>
      </c>
      <c r="AW137" t="s">
        <v>8</v>
      </c>
      <c r="AX137" t="s">
        <v>8</v>
      </c>
      <c r="AY137" t="s">
        <v>1</v>
      </c>
      <c r="AZ137" s="4">
        <v>0</v>
      </c>
      <c r="BA137" t="s">
        <v>1</v>
      </c>
      <c r="BB137" s="3">
        <v>0</v>
      </c>
      <c r="BC137" s="3">
        <v>0</v>
      </c>
      <c r="BD137" s="3">
        <v>0</v>
      </c>
      <c r="BE137" t="s">
        <v>20</v>
      </c>
      <c r="BF137" t="s">
        <v>1</v>
      </c>
      <c r="BG137" s="4">
        <v>0</v>
      </c>
      <c r="BH137" s="4">
        <v>0</v>
      </c>
      <c r="BI137" s="6">
        <v>0</v>
      </c>
      <c r="BJ137" s="6">
        <v>0</v>
      </c>
      <c r="BK137" t="s">
        <v>1</v>
      </c>
      <c r="BL137" t="s">
        <v>1</v>
      </c>
      <c r="BM137" t="s">
        <v>1</v>
      </c>
      <c r="BN137" t="s">
        <v>9</v>
      </c>
      <c r="BO137" s="2">
        <v>46122</v>
      </c>
      <c r="BP137" t="s">
        <v>1</v>
      </c>
      <c r="BQ137" t="s">
        <v>2495</v>
      </c>
      <c r="BR137" t="s">
        <v>27</v>
      </c>
      <c r="BS137" t="s">
        <v>1</v>
      </c>
      <c r="BT137" t="s">
        <v>1</v>
      </c>
      <c r="BU137" t="s">
        <v>1</v>
      </c>
      <c r="BV137" t="s">
        <v>1</v>
      </c>
      <c r="BW137" t="s">
        <v>7</v>
      </c>
      <c r="BX137" t="s">
        <v>10</v>
      </c>
      <c r="BY137" s="2"/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254</v>
      </c>
      <c r="CJ137" s="3">
        <v>-41708333</v>
      </c>
      <c r="CK137" t="s">
        <v>9</v>
      </c>
      <c r="CL137" t="s">
        <v>11</v>
      </c>
      <c r="CM137" t="s">
        <v>1</v>
      </c>
      <c r="CN137" s="4">
        <v>0</v>
      </c>
      <c r="CO137" t="s">
        <v>7</v>
      </c>
      <c r="CP137" t="s">
        <v>7</v>
      </c>
      <c r="CQ137" t="s">
        <v>7</v>
      </c>
      <c r="CR137" t="s">
        <v>7</v>
      </c>
      <c r="CS137" s="4">
        <v>0</v>
      </c>
      <c r="CT137" t="s">
        <v>2495</v>
      </c>
      <c r="CU137" t="s">
        <v>7</v>
      </c>
      <c r="CV137" t="s">
        <v>1</v>
      </c>
      <c r="CW137" s="2"/>
      <c r="CX137" t="s">
        <v>12</v>
      </c>
      <c r="CY137" t="s">
        <v>1</v>
      </c>
      <c r="CZ137" t="s">
        <v>13</v>
      </c>
      <c r="DA137" t="s">
        <v>1</v>
      </c>
      <c r="DB137" t="s">
        <v>9</v>
      </c>
      <c r="DC137" t="s">
        <v>9</v>
      </c>
      <c r="DD137" t="s">
        <v>1</v>
      </c>
      <c r="DE137" t="s">
        <v>1</v>
      </c>
      <c r="DF137" t="s">
        <v>1</v>
      </c>
      <c r="DG137" t="s">
        <v>60</v>
      </c>
      <c r="DH137" t="s">
        <v>1</v>
      </c>
      <c r="DI137" s="2"/>
      <c r="DJ137" t="s">
        <v>1</v>
      </c>
      <c r="DK137" t="s">
        <v>14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s="2"/>
      <c r="DW137" t="s">
        <v>1</v>
      </c>
      <c r="DX137" t="s">
        <v>1</v>
      </c>
      <c r="DY137" t="s">
        <v>2499</v>
      </c>
      <c r="DZ137" t="s">
        <v>1</v>
      </c>
      <c r="EA137" t="s">
        <v>1</v>
      </c>
      <c r="EB137" t="s">
        <v>28</v>
      </c>
      <c r="EC137" t="s">
        <v>7</v>
      </c>
      <c r="ED137" t="s">
        <v>1</v>
      </c>
      <c r="EE137" t="s">
        <v>1</v>
      </c>
      <c r="EF137" t="s">
        <v>22</v>
      </c>
      <c r="EG137" t="s">
        <v>41</v>
      </c>
      <c r="EH137" t="s">
        <v>15</v>
      </c>
      <c r="EI137" t="s">
        <v>1</v>
      </c>
      <c r="EJ137" s="4">
        <v>-3003</v>
      </c>
      <c r="EK137" t="s">
        <v>1</v>
      </c>
      <c r="EL137" t="s">
        <v>1</v>
      </c>
      <c r="EM137" t="s">
        <v>1</v>
      </c>
      <c r="EN137" t="s">
        <v>1</v>
      </c>
      <c r="EO137" s="2"/>
      <c r="EP137" t="s">
        <v>2499</v>
      </c>
      <c r="EQ137" t="s">
        <v>1</v>
      </c>
      <c r="ER137" t="s">
        <v>1</v>
      </c>
      <c r="ES137" t="s">
        <v>1</v>
      </c>
      <c r="ET137" t="s">
        <v>29</v>
      </c>
      <c r="EU137" t="s">
        <v>1</v>
      </c>
      <c r="EV137" t="s">
        <v>1</v>
      </c>
      <c r="EW137" t="s">
        <v>7</v>
      </c>
      <c r="EX137" t="s">
        <v>7</v>
      </c>
      <c r="EY137" t="s">
        <v>1</v>
      </c>
      <c r="EZ137" t="s">
        <v>1</v>
      </c>
      <c r="FA137" t="s">
        <v>1</v>
      </c>
      <c r="FB137" s="3">
        <v>50</v>
      </c>
      <c r="FC137" t="s">
        <v>1</v>
      </c>
      <c r="FD137" t="s">
        <v>1</v>
      </c>
      <c r="FE137" t="s">
        <v>1</v>
      </c>
      <c r="FF137" t="s">
        <v>17</v>
      </c>
      <c r="FG137" t="s">
        <v>1</v>
      </c>
      <c r="FH137" t="s">
        <v>1</v>
      </c>
      <c r="FI137" t="s">
        <v>1</v>
      </c>
      <c r="FJ137" t="s">
        <v>1</v>
      </c>
      <c r="FK137" s="7">
        <v>46122.468807870369</v>
      </c>
      <c r="FL137" t="s">
        <v>1</v>
      </c>
      <c r="FM137" t="s">
        <v>1</v>
      </c>
      <c r="FN137" t="s">
        <v>1</v>
      </c>
      <c r="FO137" s="19">
        <v>-41708333</v>
      </c>
      <c r="FP137" s="4">
        <v>0</v>
      </c>
      <c r="FQ137" s="19">
        <v>-41708333</v>
      </c>
      <c r="FR137" s="4">
        <v>0</v>
      </c>
      <c r="FS137" s="4">
        <v>0</v>
      </c>
      <c r="FT137" s="4">
        <v>0</v>
      </c>
      <c r="FU137" s="2">
        <v>46122</v>
      </c>
      <c r="FV137" t="s">
        <v>1</v>
      </c>
      <c r="FW137" s="4">
        <v>0</v>
      </c>
      <c r="FX137" t="s">
        <v>1</v>
      </c>
      <c r="FY137" t="s">
        <v>1</v>
      </c>
      <c r="FZ137" s="4">
        <v>0</v>
      </c>
      <c r="GA137" s="4">
        <v>0</v>
      </c>
      <c r="GB137" t="s">
        <v>2070</v>
      </c>
      <c r="GC137" t="str">
        <f>RIGHT(Data_FAGLL03[[#This Row],[Payment reference]],8)</f>
        <v>91172697</v>
      </c>
      <c r="GD137" t="str">
        <f>IF(Data_FAGLL03[[#This Row],[Billing]]&lt;&gt;"",_xlfn.XLOOKUP(Data_FAGLL03[[#This Row],[Billing]],MD_BILLING_SO[BILIING],MD_BILLING_SO[SO-EDITED]),"")</f>
        <v>30030733</v>
      </c>
      <c r="GE137" s="18">
        <f>IF(SUBSTITUTE(Data_FAGLL03[[#This Row],[Eff.exchange rate]],",","")/100000=1,1,SUBSTITUTE(Data_FAGLL03[[#This Row],[Eff.exchange rate]],",","")/100)</f>
        <v>1</v>
      </c>
      <c r="GF137" s="17">
        <f>IF(Data_FAGLL03[[#This Row],[Material]]&lt;&gt;"",IFERROR(Data_FAGLL03[[#This Row],[Amount in local currency]]/Data_FAGLL03[[#This Row],[Quantity_Original]],0),0)</f>
        <v>13888.888777888778</v>
      </c>
      <c r="GG137" s="18">
        <f>IF(Data_FAGLL03[[#This Row],[XK/NĐ]]="XK",Data_FAGLL03[[#This Row],[GB trung bình]]/Data_FAGLL03[[#This Row],[EXR]],0)*1000</f>
        <v>0</v>
      </c>
      <c r="GH137" s="18" cm="1">
        <f t="array" ref="GH137">IF(Data_FAGLL03[[#This Row],[Document currency]]&lt;&gt;"VND",Data_FAGLL03[[#This Row],[Amount in doc. curr.]],Data_FAGLL03[[#This Row],[Amount in local currency]]/EXR)</f>
        <v>-1588.7591682293446</v>
      </c>
      <c r="GI137" s="10">
        <f>Data_FAGLL03[[#This Row],[Time Stamp]]+TIME(7,0,0)</f>
        <v>46122.760474537034</v>
      </c>
      <c r="GJ137" s="18">
        <f>MONTH(Data_FAGLL03[[#This Row],[Time Stamp_VN]])</f>
        <v>4</v>
      </c>
      <c r="GK137">
        <f>DAY(Data_FAGLL03[[#This Row],[Time Stamp_VN]])</f>
        <v>10</v>
      </c>
      <c r="GL137" t="str">
        <f>TEXT(Data_FAGLL03[[#This Row],[Tháng]],"00")&amp;" | "&amp;TEXT(Data_FAGLL03[[#This Row],[Ngày]],"00")</f>
        <v>04 | 10</v>
      </c>
      <c r="GM137" s="18">
        <f>IF(Data_FAGLL03[[#This Row],[Text]]="",Data_FAGLL03[[#This Row],[Quantity_Original]],0)</f>
        <v>-3003</v>
      </c>
      <c r="GN137" s="18" t="str">
        <f>IF(Data_FAGLL03[[#This Row],[Quantity_Edited]]&lt;&gt;0,Data_FAGLL03[[#This Row],[Offsetting acct no.]]&amp;" | "&amp;Data_FAGLL03[[#This Row],[Material]],"")</f>
        <v>105382 | 160012974</v>
      </c>
      <c r="GO137" t="str">
        <f>IF(LEFT(Data_FAGLL03[[#This Row],[Offsetting acct no.]],1)="1","NĐ",IF(LEFT(Data_FAGLL03[[#This Row],[Offsetting acct no.]],1)="2","XK","Khác"))</f>
        <v>NĐ</v>
      </c>
      <c r="GP137" t="str">
        <f>IF(Data_FAGLL03[[#This Row],[Material]]&lt;&gt;"",_xlfn.XLOOKUP(Data_FAGLL03[[#This Row],[Material]],MD_SKU[Mã SKU],MD_SKU[Tên SKU]),"")</f>
        <v>Vảy HD Ép Hỗn Hợp Cuối Sau Sấy</v>
      </c>
      <c r="GQ137" t="str">
        <f>IF(Data_FAGLL03[[#This Row],[Material]]&lt;&gt;"",_xlfn.XLOOKUP(Data_FAGLL03[[#This Row],[Material]],MD_SKU[Mã SKU],MD_SKU[Nhóm SP 1]),"")</f>
        <v>Khác</v>
      </c>
      <c r="GR137" t="str">
        <f>IF(Data_FAGLL03[[#This Row],[Material]]&lt;&gt;"",_xlfn.XLOOKUP(Data_FAGLL03[[#This Row],[Material]],MD_SKU[Mã SKU],MD_SKU[Nhóm SP 2]),"")</f>
        <v>Phó sản</v>
      </c>
      <c r="GS137" t="str">
        <f>IF(Data_FAGLL03[[#This Row],[Material]]&lt;&gt;"",_xlfn.XLOOKUP(Data_FAGLL03[[#This Row],[Material]],MD_SKU[Mã SKU],MD_SKU[Nhóm SP 3]),"")</f>
        <v>Phó sản</v>
      </c>
      <c r="GT137" t="str">
        <f>IF(Data_FAGLL03[[#This Row],[Material]]&lt;&gt;"",_xlfn.XLOOKUP(Data_FAGLL03[[#This Row],[Material]],MD_SKU[Mã SKU],MD_SKU[Nhóm SP 4]),"")</f>
        <v>Phó sản</v>
      </c>
    </row>
    <row r="138" spans="1:202" x14ac:dyDescent="0.25">
      <c r="A138" t="s">
        <v>0</v>
      </c>
      <c r="B138" s="2">
        <v>46122</v>
      </c>
      <c r="C138" t="s">
        <v>2495</v>
      </c>
      <c r="D138" t="s">
        <v>1</v>
      </c>
      <c r="E138" t="s">
        <v>1</v>
      </c>
      <c r="F138" t="s">
        <v>31</v>
      </c>
      <c r="G138" t="s">
        <v>31</v>
      </c>
      <c r="H138" t="s">
        <v>2496</v>
      </c>
      <c r="I138" s="19">
        <v>-41736111</v>
      </c>
      <c r="J138" t="s">
        <v>2497</v>
      </c>
      <c r="K138" t="s">
        <v>1</v>
      </c>
      <c r="L138" t="s">
        <v>39</v>
      </c>
      <c r="M138" t="s">
        <v>41</v>
      </c>
      <c r="N138" t="s">
        <v>254</v>
      </c>
      <c r="O138" t="s">
        <v>4</v>
      </c>
      <c r="P138" t="s">
        <v>2498</v>
      </c>
      <c r="Q138" t="s">
        <v>31</v>
      </c>
      <c r="R138" t="s">
        <v>5</v>
      </c>
      <c r="S138" t="s">
        <v>1</v>
      </c>
      <c r="T138" s="3">
        <v>-41736111</v>
      </c>
      <c r="U138" s="19">
        <v>-41736111</v>
      </c>
      <c r="V138" s="3">
        <v>-41736111</v>
      </c>
      <c r="W138" s="3">
        <v>-41736111</v>
      </c>
      <c r="X138" s="4">
        <v>0</v>
      </c>
      <c r="Y138" s="4">
        <v>0</v>
      </c>
      <c r="Z138" s="3">
        <v>0</v>
      </c>
      <c r="AA138" s="3">
        <v>0</v>
      </c>
      <c r="AB138" t="s">
        <v>1</v>
      </c>
      <c r="AC138" t="s">
        <v>24</v>
      </c>
      <c r="AD138" s="2"/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25</v>
      </c>
      <c r="AK138" s="4">
        <v>0</v>
      </c>
      <c r="AL138" t="s">
        <v>1</v>
      </c>
      <c r="AM138" s="5" t="s">
        <v>1</v>
      </c>
      <c r="AN138" t="s">
        <v>1</v>
      </c>
      <c r="AO138" s="2"/>
      <c r="AP138" t="s">
        <v>1</v>
      </c>
      <c r="AQ138" t="s">
        <v>1</v>
      </c>
      <c r="AR138" s="3">
        <v>0</v>
      </c>
      <c r="AS138" t="s">
        <v>1</v>
      </c>
      <c r="AT138" t="s">
        <v>7</v>
      </c>
      <c r="AU138" t="s">
        <v>1</v>
      </c>
      <c r="AV138" t="s">
        <v>1</v>
      </c>
      <c r="AW138" t="s">
        <v>8</v>
      </c>
      <c r="AX138" t="s">
        <v>8</v>
      </c>
      <c r="AY138" t="s">
        <v>1</v>
      </c>
      <c r="AZ138" s="4">
        <v>0</v>
      </c>
      <c r="BA138" t="s">
        <v>1</v>
      </c>
      <c r="BB138" s="3">
        <v>0</v>
      </c>
      <c r="BC138" s="3">
        <v>0</v>
      </c>
      <c r="BD138" s="3">
        <v>0</v>
      </c>
      <c r="BE138" t="s">
        <v>20</v>
      </c>
      <c r="BF138" t="s">
        <v>1</v>
      </c>
      <c r="BG138" s="4">
        <v>0</v>
      </c>
      <c r="BH138" s="4">
        <v>0</v>
      </c>
      <c r="BI138" s="6">
        <v>0</v>
      </c>
      <c r="BJ138" s="6">
        <v>0</v>
      </c>
      <c r="BK138" t="s">
        <v>1</v>
      </c>
      <c r="BL138" t="s">
        <v>1</v>
      </c>
      <c r="BM138" t="s">
        <v>1</v>
      </c>
      <c r="BN138" t="s">
        <v>9</v>
      </c>
      <c r="BO138" s="2">
        <v>46122</v>
      </c>
      <c r="BP138" t="s">
        <v>1</v>
      </c>
      <c r="BQ138" t="s">
        <v>2495</v>
      </c>
      <c r="BR138" t="s">
        <v>27</v>
      </c>
      <c r="BS138" t="s">
        <v>1</v>
      </c>
      <c r="BT138" t="s">
        <v>1</v>
      </c>
      <c r="BU138" t="s">
        <v>1</v>
      </c>
      <c r="BV138" t="s">
        <v>1</v>
      </c>
      <c r="BW138" t="s">
        <v>7</v>
      </c>
      <c r="BX138" t="s">
        <v>10</v>
      </c>
      <c r="BY138" s="2"/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254</v>
      </c>
      <c r="CJ138" s="3">
        <v>-41736111</v>
      </c>
      <c r="CK138" t="s">
        <v>9</v>
      </c>
      <c r="CL138" t="s">
        <v>40</v>
      </c>
      <c r="CM138" t="s">
        <v>1</v>
      </c>
      <c r="CN138" s="4">
        <v>0</v>
      </c>
      <c r="CO138" t="s">
        <v>7</v>
      </c>
      <c r="CP138" t="s">
        <v>7</v>
      </c>
      <c r="CQ138" t="s">
        <v>7</v>
      </c>
      <c r="CR138" t="s">
        <v>7</v>
      </c>
      <c r="CS138" s="4">
        <v>0</v>
      </c>
      <c r="CT138" t="s">
        <v>2495</v>
      </c>
      <c r="CU138" t="s">
        <v>7</v>
      </c>
      <c r="CV138" t="s">
        <v>1</v>
      </c>
      <c r="CW138" s="2"/>
      <c r="CX138" t="s">
        <v>12</v>
      </c>
      <c r="CY138" t="s">
        <v>1</v>
      </c>
      <c r="CZ138" t="s">
        <v>41</v>
      </c>
      <c r="DA138" t="s">
        <v>1</v>
      </c>
      <c r="DB138" t="s">
        <v>9</v>
      </c>
      <c r="DC138" t="s">
        <v>9</v>
      </c>
      <c r="DD138" t="s">
        <v>1</v>
      </c>
      <c r="DE138" t="s">
        <v>1</v>
      </c>
      <c r="DF138" t="s">
        <v>1</v>
      </c>
      <c r="DG138" t="s">
        <v>262</v>
      </c>
      <c r="DH138" t="s">
        <v>1</v>
      </c>
      <c r="DI138" s="2"/>
      <c r="DJ138" t="s">
        <v>1</v>
      </c>
      <c r="DK138" t="s">
        <v>14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s="2"/>
      <c r="DW138" t="s">
        <v>1</v>
      </c>
      <c r="DX138" t="s">
        <v>1</v>
      </c>
      <c r="DY138" t="s">
        <v>2499</v>
      </c>
      <c r="DZ138" t="s">
        <v>1</v>
      </c>
      <c r="EA138" t="s">
        <v>1</v>
      </c>
      <c r="EB138" t="s">
        <v>28</v>
      </c>
      <c r="EC138" t="s">
        <v>7</v>
      </c>
      <c r="ED138" t="s">
        <v>1</v>
      </c>
      <c r="EE138" t="s">
        <v>1</v>
      </c>
      <c r="EF138" t="s">
        <v>22</v>
      </c>
      <c r="EG138" t="s">
        <v>41</v>
      </c>
      <c r="EH138" t="s">
        <v>15</v>
      </c>
      <c r="EI138" t="s">
        <v>1</v>
      </c>
      <c r="EJ138" s="4">
        <v>-3005</v>
      </c>
      <c r="EK138" t="s">
        <v>1</v>
      </c>
      <c r="EL138" t="s">
        <v>1</v>
      </c>
      <c r="EM138" t="s">
        <v>1</v>
      </c>
      <c r="EN138" t="s">
        <v>1</v>
      </c>
      <c r="EO138" s="2"/>
      <c r="EP138" t="s">
        <v>2499</v>
      </c>
      <c r="EQ138" t="s">
        <v>1</v>
      </c>
      <c r="ER138" t="s">
        <v>1</v>
      </c>
      <c r="ES138" t="s">
        <v>1</v>
      </c>
      <c r="ET138" t="s">
        <v>29</v>
      </c>
      <c r="EU138" t="s">
        <v>1</v>
      </c>
      <c r="EV138" t="s">
        <v>1</v>
      </c>
      <c r="EW138" t="s">
        <v>7</v>
      </c>
      <c r="EX138" t="s">
        <v>7</v>
      </c>
      <c r="EY138" t="s">
        <v>1</v>
      </c>
      <c r="EZ138" t="s">
        <v>1</v>
      </c>
      <c r="FA138" t="s">
        <v>1</v>
      </c>
      <c r="FB138" s="3">
        <v>50</v>
      </c>
      <c r="FC138" t="s">
        <v>1</v>
      </c>
      <c r="FD138" t="s">
        <v>1</v>
      </c>
      <c r="FE138" t="s">
        <v>1</v>
      </c>
      <c r="FF138" t="s">
        <v>17</v>
      </c>
      <c r="FG138" t="s">
        <v>1</v>
      </c>
      <c r="FH138" t="s">
        <v>1</v>
      </c>
      <c r="FI138" t="s">
        <v>1</v>
      </c>
      <c r="FJ138" t="s">
        <v>1</v>
      </c>
      <c r="FK138" s="7">
        <v>46122.468807870369</v>
      </c>
      <c r="FL138" t="s">
        <v>1</v>
      </c>
      <c r="FM138" t="s">
        <v>1</v>
      </c>
      <c r="FN138" t="s">
        <v>1</v>
      </c>
      <c r="FO138" s="19">
        <v>-41736111</v>
      </c>
      <c r="FP138" s="4">
        <v>0</v>
      </c>
      <c r="FQ138" s="19">
        <v>-41736111</v>
      </c>
      <c r="FR138" s="4">
        <v>0</v>
      </c>
      <c r="FS138" s="4">
        <v>0</v>
      </c>
      <c r="FT138" s="4">
        <v>0</v>
      </c>
      <c r="FU138" s="2">
        <v>46122</v>
      </c>
      <c r="FV138" t="s">
        <v>1</v>
      </c>
      <c r="FW138" s="4">
        <v>0</v>
      </c>
      <c r="FX138" t="s">
        <v>1</v>
      </c>
      <c r="FY138" t="s">
        <v>1</v>
      </c>
      <c r="FZ138" s="4">
        <v>0</v>
      </c>
      <c r="GA138" s="4">
        <v>0</v>
      </c>
      <c r="GB138" t="s">
        <v>2070</v>
      </c>
      <c r="GC138" t="str">
        <f>RIGHT(Data_FAGLL03[[#This Row],[Payment reference]],8)</f>
        <v>91172697</v>
      </c>
      <c r="GD138" t="str">
        <f>IF(Data_FAGLL03[[#This Row],[Billing]]&lt;&gt;"",_xlfn.XLOOKUP(Data_FAGLL03[[#This Row],[Billing]],MD_BILLING_SO[BILIING],MD_BILLING_SO[SO-EDITED]),"")</f>
        <v>30030733</v>
      </c>
      <c r="GE138" s="18">
        <f>IF(SUBSTITUTE(Data_FAGLL03[[#This Row],[Eff.exchange rate]],",","")/100000=1,1,SUBSTITUTE(Data_FAGLL03[[#This Row],[Eff.exchange rate]],",","")/100)</f>
        <v>1</v>
      </c>
      <c r="GF138" s="17">
        <f>IF(Data_FAGLL03[[#This Row],[Material]]&lt;&gt;"",IFERROR(Data_FAGLL03[[#This Row],[Amount in local currency]]/Data_FAGLL03[[#This Row],[Quantity_Original]],0),0)</f>
        <v>13888.888851913478</v>
      </c>
      <c r="GG138" s="18">
        <f>IF(Data_FAGLL03[[#This Row],[XK/NĐ]]="XK",Data_FAGLL03[[#This Row],[GB trung bình]]/Data_FAGLL03[[#This Row],[EXR]],0)*1000</f>
        <v>0</v>
      </c>
      <c r="GH138" s="18" cm="1">
        <f t="array" ref="GH138">IF(Data_FAGLL03[[#This Row],[Document currency]]&lt;&gt;"VND",Data_FAGLL03[[#This Row],[Amount in doc. curr.]],Data_FAGLL03[[#This Row],[Amount in local currency]]/EXR)</f>
        <v>-1589.8172913668739</v>
      </c>
      <c r="GI138" s="10">
        <f>Data_FAGLL03[[#This Row],[Time Stamp]]+TIME(7,0,0)</f>
        <v>46122.760474537034</v>
      </c>
      <c r="GJ138" s="18">
        <f>MONTH(Data_FAGLL03[[#This Row],[Time Stamp_VN]])</f>
        <v>4</v>
      </c>
      <c r="GK138">
        <f>DAY(Data_FAGLL03[[#This Row],[Time Stamp_VN]])</f>
        <v>10</v>
      </c>
      <c r="GL138" t="str">
        <f>TEXT(Data_FAGLL03[[#This Row],[Tháng]],"00")&amp;" | "&amp;TEXT(Data_FAGLL03[[#This Row],[Ngày]],"00")</f>
        <v>04 | 10</v>
      </c>
      <c r="GM138" s="18">
        <f>IF(Data_FAGLL03[[#This Row],[Text]]="",Data_FAGLL03[[#This Row],[Quantity_Original]],0)</f>
        <v>-3005</v>
      </c>
      <c r="GN138" s="18" t="str">
        <f>IF(Data_FAGLL03[[#This Row],[Quantity_Edited]]&lt;&gt;0,Data_FAGLL03[[#This Row],[Offsetting acct no.]]&amp;" | "&amp;Data_FAGLL03[[#This Row],[Material]],"")</f>
        <v>105382 | 160012951</v>
      </c>
      <c r="GO138" t="str">
        <f>IF(LEFT(Data_FAGLL03[[#This Row],[Offsetting acct no.]],1)="1","NĐ",IF(LEFT(Data_FAGLL03[[#This Row],[Offsetting acct no.]],1)="2","XK","Khác"))</f>
        <v>NĐ</v>
      </c>
      <c r="GP138" t="str">
        <f>IF(Data_FAGLL03[[#This Row],[Material]]&lt;&gt;"",_xlfn.XLOOKUP(Data_FAGLL03[[#This Row],[Material]],MD_SKU[Mã SKU],MD_SKU[Tên SKU]),"")</f>
        <v>Phó Sản HD Ép Hỗn Hợp Cuối SSR</v>
      </c>
      <c r="GQ138" t="str">
        <f>IF(Data_FAGLL03[[#This Row],[Material]]&lt;&gt;"",_xlfn.XLOOKUP(Data_FAGLL03[[#This Row],[Material]],MD_SKU[Mã SKU],MD_SKU[Nhóm SP 1]),"")</f>
        <v>Khác</v>
      </c>
      <c r="GR138" t="str">
        <f>IF(Data_FAGLL03[[#This Row],[Material]]&lt;&gt;"",_xlfn.XLOOKUP(Data_FAGLL03[[#This Row],[Material]],MD_SKU[Mã SKU],MD_SKU[Nhóm SP 2]),"")</f>
        <v>Phó sản</v>
      </c>
      <c r="GS138" t="str">
        <f>IF(Data_FAGLL03[[#This Row],[Material]]&lt;&gt;"",_xlfn.XLOOKUP(Data_FAGLL03[[#This Row],[Material]],MD_SKU[Mã SKU],MD_SKU[Nhóm SP 3]),"")</f>
        <v>Phó sản</v>
      </c>
      <c r="GT138" t="str">
        <f>IF(Data_FAGLL03[[#This Row],[Material]]&lt;&gt;"",_xlfn.XLOOKUP(Data_FAGLL03[[#This Row],[Material]],MD_SKU[Mã SKU],MD_SKU[Nhóm SP 4]),"")</f>
        <v>Phó sản</v>
      </c>
    </row>
    <row r="139" spans="1:202" x14ac:dyDescent="0.25">
      <c r="A139" t="s">
        <v>0</v>
      </c>
      <c r="B139" s="2">
        <v>46122</v>
      </c>
      <c r="C139" t="s">
        <v>2500</v>
      </c>
      <c r="D139" t="s">
        <v>1</v>
      </c>
      <c r="E139" t="s">
        <v>1</v>
      </c>
      <c r="F139" t="s">
        <v>31</v>
      </c>
      <c r="G139" t="s">
        <v>31</v>
      </c>
      <c r="H139" t="s">
        <v>2060</v>
      </c>
      <c r="I139" s="19">
        <v>-169774500</v>
      </c>
      <c r="J139" t="s">
        <v>2061</v>
      </c>
      <c r="K139" t="s">
        <v>1</v>
      </c>
      <c r="L139" t="s">
        <v>39</v>
      </c>
      <c r="M139" t="s">
        <v>41</v>
      </c>
      <c r="N139" t="s">
        <v>254</v>
      </c>
      <c r="O139" t="s">
        <v>4</v>
      </c>
      <c r="P139" t="s">
        <v>2501</v>
      </c>
      <c r="Q139" t="s">
        <v>31</v>
      </c>
      <c r="R139" t="s">
        <v>5</v>
      </c>
      <c r="S139" t="s">
        <v>1</v>
      </c>
      <c r="T139" s="3">
        <v>-169774500</v>
      </c>
      <c r="U139" s="19">
        <v>-169774500</v>
      </c>
      <c r="V139" s="3">
        <v>-169774500</v>
      </c>
      <c r="W139" s="3">
        <v>-169774500</v>
      </c>
      <c r="X139" s="4">
        <v>0</v>
      </c>
      <c r="Y139" s="4">
        <v>0</v>
      </c>
      <c r="Z139" s="3">
        <v>0</v>
      </c>
      <c r="AA139" s="3">
        <v>0</v>
      </c>
      <c r="AB139" t="s">
        <v>1</v>
      </c>
      <c r="AC139" t="s">
        <v>24</v>
      </c>
      <c r="AD139" s="2"/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25</v>
      </c>
      <c r="AK139" s="4">
        <v>0</v>
      </c>
      <c r="AL139" t="s">
        <v>1</v>
      </c>
      <c r="AM139" s="5" t="s">
        <v>1</v>
      </c>
      <c r="AN139" t="s">
        <v>1</v>
      </c>
      <c r="AO139" s="2"/>
      <c r="AP139" t="s">
        <v>1</v>
      </c>
      <c r="AQ139" t="s">
        <v>1</v>
      </c>
      <c r="AR139" s="3">
        <v>0</v>
      </c>
      <c r="AS139" t="s">
        <v>1</v>
      </c>
      <c r="AT139" t="s">
        <v>7</v>
      </c>
      <c r="AU139" t="s">
        <v>1</v>
      </c>
      <c r="AV139" t="s">
        <v>1</v>
      </c>
      <c r="AW139" t="s">
        <v>8</v>
      </c>
      <c r="AX139" t="s">
        <v>8</v>
      </c>
      <c r="AY139" t="s">
        <v>1</v>
      </c>
      <c r="AZ139" s="4">
        <v>0</v>
      </c>
      <c r="BA139" t="s">
        <v>1</v>
      </c>
      <c r="BB139" s="3">
        <v>0</v>
      </c>
      <c r="BC139" s="3">
        <v>0</v>
      </c>
      <c r="BD139" s="3">
        <v>0</v>
      </c>
      <c r="BE139" t="s">
        <v>20</v>
      </c>
      <c r="BF139" t="s">
        <v>1</v>
      </c>
      <c r="BG139" s="4">
        <v>0</v>
      </c>
      <c r="BH139" s="4">
        <v>0</v>
      </c>
      <c r="BI139" s="6">
        <v>0</v>
      </c>
      <c r="BJ139" s="6">
        <v>0</v>
      </c>
      <c r="BK139" t="s">
        <v>1</v>
      </c>
      <c r="BL139" t="s">
        <v>1</v>
      </c>
      <c r="BM139" t="s">
        <v>1</v>
      </c>
      <c r="BN139" t="s">
        <v>9</v>
      </c>
      <c r="BO139" s="2">
        <v>46122</v>
      </c>
      <c r="BP139" t="s">
        <v>1</v>
      </c>
      <c r="BQ139" t="s">
        <v>2500</v>
      </c>
      <c r="BR139" t="s">
        <v>27</v>
      </c>
      <c r="BS139" t="s">
        <v>1</v>
      </c>
      <c r="BT139" t="s">
        <v>1</v>
      </c>
      <c r="BU139" t="s">
        <v>1</v>
      </c>
      <c r="BV139" t="s">
        <v>1</v>
      </c>
      <c r="BW139" t="s">
        <v>7</v>
      </c>
      <c r="BX139" t="s">
        <v>10</v>
      </c>
      <c r="BY139" s="2"/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254</v>
      </c>
      <c r="CJ139" s="3">
        <v>-169774500</v>
      </c>
      <c r="CK139" t="s">
        <v>9</v>
      </c>
      <c r="CL139" t="s">
        <v>11</v>
      </c>
      <c r="CM139" t="s">
        <v>1</v>
      </c>
      <c r="CN139" s="4">
        <v>0</v>
      </c>
      <c r="CO139" t="s">
        <v>7</v>
      </c>
      <c r="CP139" t="s">
        <v>7</v>
      </c>
      <c r="CQ139" t="s">
        <v>7</v>
      </c>
      <c r="CR139" t="s">
        <v>7</v>
      </c>
      <c r="CS139" s="4">
        <v>0</v>
      </c>
      <c r="CT139" t="s">
        <v>2500</v>
      </c>
      <c r="CU139" t="s">
        <v>7</v>
      </c>
      <c r="CV139" t="s">
        <v>1</v>
      </c>
      <c r="CW139" s="2"/>
      <c r="CX139" t="s">
        <v>12</v>
      </c>
      <c r="CY139" t="s">
        <v>1</v>
      </c>
      <c r="CZ139" t="s">
        <v>13</v>
      </c>
      <c r="DA139" t="s">
        <v>1</v>
      </c>
      <c r="DB139" t="s">
        <v>9</v>
      </c>
      <c r="DC139" t="s">
        <v>9</v>
      </c>
      <c r="DD139" t="s">
        <v>1</v>
      </c>
      <c r="DE139" t="s">
        <v>1</v>
      </c>
      <c r="DF139" t="s">
        <v>1</v>
      </c>
      <c r="DG139" t="s">
        <v>2057</v>
      </c>
      <c r="DH139" t="s">
        <v>1</v>
      </c>
      <c r="DI139" s="2"/>
      <c r="DJ139" t="s">
        <v>1</v>
      </c>
      <c r="DK139" t="s">
        <v>14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s="2"/>
      <c r="DW139" t="s">
        <v>1</v>
      </c>
      <c r="DX139" t="s">
        <v>1</v>
      </c>
      <c r="DY139" t="s">
        <v>2502</v>
      </c>
      <c r="DZ139" t="s">
        <v>1</v>
      </c>
      <c r="EA139" t="s">
        <v>1</v>
      </c>
      <c r="EB139" t="s">
        <v>28</v>
      </c>
      <c r="EC139" t="s">
        <v>7</v>
      </c>
      <c r="ED139" t="s">
        <v>1</v>
      </c>
      <c r="EE139" t="s">
        <v>1</v>
      </c>
      <c r="EF139" t="s">
        <v>22</v>
      </c>
      <c r="EG139" t="s">
        <v>41</v>
      </c>
      <c r="EH139" t="s">
        <v>15</v>
      </c>
      <c r="EI139" t="s">
        <v>1</v>
      </c>
      <c r="EJ139" s="4">
        <v>-17871</v>
      </c>
      <c r="EK139" t="s">
        <v>1</v>
      </c>
      <c r="EL139" t="s">
        <v>1</v>
      </c>
      <c r="EM139" t="s">
        <v>1</v>
      </c>
      <c r="EN139" t="s">
        <v>1</v>
      </c>
      <c r="EO139" s="2"/>
      <c r="EP139" t="s">
        <v>2502</v>
      </c>
      <c r="EQ139" t="s">
        <v>1</v>
      </c>
      <c r="ER139" t="s">
        <v>1</v>
      </c>
      <c r="ES139" t="s">
        <v>1</v>
      </c>
      <c r="ET139" t="s">
        <v>29</v>
      </c>
      <c r="EU139" t="s">
        <v>1</v>
      </c>
      <c r="EV139" t="s">
        <v>1</v>
      </c>
      <c r="EW139" t="s">
        <v>7</v>
      </c>
      <c r="EX139" t="s">
        <v>7</v>
      </c>
      <c r="EY139" t="s">
        <v>1</v>
      </c>
      <c r="EZ139" t="s">
        <v>1</v>
      </c>
      <c r="FA139" t="s">
        <v>1</v>
      </c>
      <c r="FB139" s="3">
        <v>50</v>
      </c>
      <c r="FC139" t="s">
        <v>1</v>
      </c>
      <c r="FD139" t="s">
        <v>1</v>
      </c>
      <c r="FE139" t="s">
        <v>1</v>
      </c>
      <c r="FF139" t="s">
        <v>17</v>
      </c>
      <c r="FG139" t="s">
        <v>1</v>
      </c>
      <c r="FH139" t="s">
        <v>1</v>
      </c>
      <c r="FI139" t="s">
        <v>1</v>
      </c>
      <c r="FJ139" t="s">
        <v>1</v>
      </c>
      <c r="FK139" s="7">
        <v>46122.468946759262</v>
      </c>
      <c r="FL139" t="s">
        <v>1</v>
      </c>
      <c r="FM139" t="s">
        <v>1</v>
      </c>
      <c r="FN139" t="s">
        <v>1</v>
      </c>
      <c r="FO139" s="19">
        <v>-169774500</v>
      </c>
      <c r="FP139" s="4">
        <v>0</v>
      </c>
      <c r="FQ139" s="19">
        <v>-169774500</v>
      </c>
      <c r="FR139" s="4">
        <v>0</v>
      </c>
      <c r="FS139" s="4">
        <v>0</v>
      </c>
      <c r="FT139" s="4">
        <v>0</v>
      </c>
      <c r="FU139" s="2">
        <v>46122</v>
      </c>
      <c r="FV139" t="s">
        <v>1</v>
      </c>
      <c r="FW139" s="4">
        <v>0</v>
      </c>
      <c r="FX139" t="s">
        <v>1</v>
      </c>
      <c r="FY139" t="s">
        <v>1</v>
      </c>
      <c r="FZ139" s="4">
        <v>0</v>
      </c>
      <c r="GA139" s="4">
        <v>0</v>
      </c>
      <c r="GB139" t="s">
        <v>2070</v>
      </c>
      <c r="GC139" t="str">
        <f>RIGHT(Data_FAGLL03[[#This Row],[Payment reference]],8)</f>
        <v>91172698</v>
      </c>
      <c r="GD139" t="str">
        <f>IF(Data_FAGLL03[[#This Row],[Billing]]&lt;&gt;"",_xlfn.XLOOKUP(Data_FAGLL03[[#This Row],[Billing]],MD_BILLING_SO[BILIING],MD_BILLING_SO[SO-EDITED]),"")</f>
        <v>30030695</v>
      </c>
      <c r="GE139" s="18">
        <f>IF(SUBSTITUTE(Data_FAGLL03[[#This Row],[Eff.exchange rate]],",","")/100000=1,1,SUBSTITUTE(Data_FAGLL03[[#This Row],[Eff.exchange rate]],",","")/100)</f>
        <v>1</v>
      </c>
      <c r="GF139" s="17">
        <f>IF(Data_FAGLL03[[#This Row],[Material]]&lt;&gt;"",IFERROR(Data_FAGLL03[[#This Row],[Amount in local currency]]/Data_FAGLL03[[#This Row],[Quantity_Original]],0),0)</f>
        <v>9500</v>
      </c>
      <c r="GG139" s="18">
        <f>IF(Data_FAGLL03[[#This Row],[XK/NĐ]]="XK",Data_FAGLL03[[#This Row],[GB trung bình]]/Data_FAGLL03[[#This Row],[EXR]],0)*1000</f>
        <v>0</v>
      </c>
      <c r="GH139" s="18" cm="1">
        <f t="array" ref="GH139">IF(Data_FAGLL03[[#This Row],[Document currency]]&lt;&gt;"VND",Data_FAGLL03[[#This Row],[Amount in doc. curr.]],Data_FAGLL03[[#This Row],[Amount in local currency]]/EXR)</f>
        <v>-6467.0720214723724</v>
      </c>
      <c r="GI139" s="10">
        <f>Data_FAGLL03[[#This Row],[Time Stamp]]+TIME(7,0,0)</f>
        <v>46122.760613425926</v>
      </c>
      <c r="GJ139" s="18">
        <f>MONTH(Data_FAGLL03[[#This Row],[Time Stamp_VN]])</f>
        <v>4</v>
      </c>
      <c r="GK139">
        <f>DAY(Data_FAGLL03[[#This Row],[Time Stamp_VN]])</f>
        <v>10</v>
      </c>
      <c r="GL139" t="str">
        <f>TEXT(Data_FAGLL03[[#This Row],[Tháng]],"00")&amp;" | "&amp;TEXT(Data_FAGLL03[[#This Row],[Ngày]],"00")</f>
        <v>04 | 10</v>
      </c>
      <c r="GM139" s="18">
        <f>IF(Data_FAGLL03[[#This Row],[Text]]="",Data_FAGLL03[[#This Row],[Quantity_Original]],0)</f>
        <v>-17871</v>
      </c>
      <c r="GN139" s="18" t="str">
        <f>IF(Data_FAGLL03[[#This Row],[Quantity_Edited]]&lt;&gt;0,Data_FAGLL03[[#This Row],[Offsetting acct no.]]&amp;" | "&amp;Data_FAGLL03[[#This Row],[Material]],"")</f>
        <v>105413 | 160012334</v>
      </c>
      <c r="GO139" t="str">
        <f>IF(LEFT(Data_FAGLL03[[#This Row],[Offsetting acct no.]],1)="1","NĐ",IF(LEFT(Data_FAGLL03[[#This Row],[Offsetting acct no.]],1)="2","XK","Khác"))</f>
        <v>NĐ</v>
      </c>
      <c r="GP139" t="str">
        <f>IF(Data_FAGLL03[[#This Row],[Material]]&lt;&gt;"",_xlfn.XLOOKUP(Data_FAGLL03[[#This Row],[Material]],MD_SKU[Mã SKU],MD_SKU[Tên SKU]),"")</f>
        <v>Phó Sản PET Bụi Cám Sau Sàn Rung</v>
      </c>
      <c r="GQ139" t="str">
        <f>IF(Data_FAGLL03[[#This Row],[Material]]&lt;&gt;"",_xlfn.XLOOKUP(Data_FAGLL03[[#This Row],[Material]],MD_SKU[Mã SKU],MD_SKU[Nhóm SP 1]),"")</f>
        <v>Khác</v>
      </c>
      <c r="GR139" t="str">
        <f>IF(Data_FAGLL03[[#This Row],[Material]]&lt;&gt;"",_xlfn.XLOOKUP(Data_FAGLL03[[#This Row],[Material]],MD_SKU[Mã SKU],MD_SKU[Nhóm SP 2]),"")</f>
        <v>Phó sản</v>
      </c>
      <c r="GS139" t="str">
        <f>IF(Data_FAGLL03[[#This Row],[Material]]&lt;&gt;"",_xlfn.XLOOKUP(Data_FAGLL03[[#This Row],[Material]],MD_SKU[Mã SKU],MD_SKU[Nhóm SP 3]),"")</f>
        <v>Phó sản</v>
      </c>
      <c r="GT139" t="str">
        <f>IF(Data_FAGLL03[[#This Row],[Material]]&lt;&gt;"",_xlfn.XLOOKUP(Data_FAGLL03[[#This Row],[Material]],MD_SKU[Mã SKU],MD_SKU[Nhóm SP 4]),"")</f>
        <v>Phó sản</v>
      </c>
    </row>
    <row r="140" spans="1:202" x14ac:dyDescent="0.25">
      <c r="A140" t="s">
        <v>0</v>
      </c>
      <c r="B140" s="2">
        <v>46114</v>
      </c>
      <c r="C140" t="s">
        <v>2364</v>
      </c>
      <c r="D140" t="s">
        <v>1</v>
      </c>
      <c r="E140" t="s">
        <v>1</v>
      </c>
      <c r="F140" t="s">
        <v>2</v>
      </c>
      <c r="G140" t="s">
        <v>2</v>
      </c>
      <c r="H140" t="s">
        <v>2040</v>
      </c>
      <c r="I140" s="19">
        <v>110704000</v>
      </c>
      <c r="J140" t="s">
        <v>2041</v>
      </c>
      <c r="K140" t="s">
        <v>2365</v>
      </c>
      <c r="L140" t="s">
        <v>3</v>
      </c>
      <c r="M140" t="s">
        <v>41</v>
      </c>
      <c r="N140" t="s">
        <v>254</v>
      </c>
      <c r="O140" t="s">
        <v>2066</v>
      </c>
      <c r="P140" t="s">
        <v>2042</v>
      </c>
      <c r="Q140" t="s">
        <v>2</v>
      </c>
      <c r="R140" t="s">
        <v>5</v>
      </c>
      <c r="S140" t="s">
        <v>1</v>
      </c>
      <c r="T140" s="3">
        <v>110704000</v>
      </c>
      <c r="U140" s="19">
        <v>110704000</v>
      </c>
      <c r="V140" s="3">
        <v>110704000</v>
      </c>
      <c r="W140" s="3">
        <v>110704000</v>
      </c>
      <c r="X140" s="4">
        <v>0</v>
      </c>
      <c r="Y140" s="4">
        <v>0</v>
      </c>
      <c r="Z140" s="3">
        <v>0</v>
      </c>
      <c r="AA140" s="3">
        <v>0</v>
      </c>
      <c r="AB140" t="s">
        <v>1</v>
      </c>
      <c r="AC140" t="s">
        <v>1</v>
      </c>
      <c r="AD140" s="2"/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6</v>
      </c>
      <c r="AK140" s="4">
        <v>0</v>
      </c>
      <c r="AL140" t="s">
        <v>1</v>
      </c>
      <c r="AM140" s="5" t="s">
        <v>1</v>
      </c>
      <c r="AN140" t="s">
        <v>1</v>
      </c>
      <c r="AO140" s="2"/>
      <c r="AP140" t="s">
        <v>1</v>
      </c>
      <c r="AQ140" t="s">
        <v>1</v>
      </c>
      <c r="AR140" s="3">
        <v>0</v>
      </c>
      <c r="AS140" t="s">
        <v>1</v>
      </c>
      <c r="AT140" t="s">
        <v>7</v>
      </c>
      <c r="AU140" t="s">
        <v>1</v>
      </c>
      <c r="AV140" t="s">
        <v>1</v>
      </c>
      <c r="AW140" t="s">
        <v>8</v>
      </c>
      <c r="AX140" t="s">
        <v>8</v>
      </c>
      <c r="AY140" t="s">
        <v>1</v>
      </c>
      <c r="AZ140" s="4">
        <v>0</v>
      </c>
      <c r="BA140" t="s">
        <v>1</v>
      </c>
      <c r="BB140" s="3">
        <v>0</v>
      </c>
      <c r="BC140" s="3">
        <v>0</v>
      </c>
      <c r="BD140" s="3">
        <v>0</v>
      </c>
      <c r="BE140" t="s">
        <v>5</v>
      </c>
      <c r="BF140" t="s">
        <v>1</v>
      </c>
      <c r="BG140" s="4">
        <v>0</v>
      </c>
      <c r="BH140" s="4">
        <v>0</v>
      </c>
      <c r="BI140" s="6">
        <v>0</v>
      </c>
      <c r="BJ140" s="6">
        <v>0</v>
      </c>
      <c r="BK140" t="s">
        <v>1</v>
      </c>
      <c r="BL140" t="s">
        <v>1</v>
      </c>
      <c r="BM140" t="s">
        <v>1</v>
      </c>
      <c r="BN140" t="s">
        <v>9</v>
      </c>
      <c r="BO140" s="2">
        <v>46114</v>
      </c>
      <c r="BP140" t="s">
        <v>2068</v>
      </c>
      <c r="BQ140" t="s">
        <v>2364</v>
      </c>
      <c r="BR140" t="s">
        <v>2043</v>
      </c>
      <c r="BS140" t="s">
        <v>1</v>
      </c>
      <c r="BT140" t="s">
        <v>1</v>
      </c>
      <c r="BU140" t="s">
        <v>1</v>
      </c>
      <c r="BV140" t="s">
        <v>1</v>
      </c>
      <c r="BW140" t="s">
        <v>7</v>
      </c>
      <c r="BX140" t="s">
        <v>10</v>
      </c>
      <c r="BY140" s="2"/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254</v>
      </c>
      <c r="CJ140" s="3">
        <v>110704000</v>
      </c>
      <c r="CK140" t="s">
        <v>9</v>
      </c>
      <c r="CL140" t="s">
        <v>2044</v>
      </c>
      <c r="CM140" t="s">
        <v>1</v>
      </c>
      <c r="CN140" s="4">
        <v>0</v>
      </c>
      <c r="CO140" t="s">
        <v>7</v>
      </c>
      <c r="CP140" t="s">
        <v>7</v>
      </c>
      <c r="CQ140" t="s">
        <v>7</v>
      </c>
      <c r="CR140" t="s">
        <v>7</v>
      </c>
      <c r="CS140" s="4">
        <v>0</v>
      </c>
      <c r="CT140" t="s">
        <v>2364</v>
      </c>
      <c r="CU140" t="s">
        <v>7</v>
      </c>
      <c r="CV140" t="s">
        <v>1</v>
      </c>
      <c r="CW140" s="2"/>
      <c r="CX140" t="s">
        <v>12</v>
      </c>
      <c r="CY140" t="s">
        <v>1</v>
      </c>
      <c r="CZ140" t="s">
        <v>2045</v>
      </c>
      <c r="DA140" t="s">
        <v>1</v>
      </c>
      <c r="DB140" t="s">
        <v>9</v>
      </c>
      <c r="DC140" t="s">
        <v>9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s="2"/>
      <c r="DJ140" t="s">
        <v>1</v>
      </c>
      <c r="DK140" t="s">
        <v>5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s="2"/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7</v>
      </c>
      <c r="ED140" t="s">
        <v>1</v>
      </c>
      <c r="EE140" t="s">
        <v>1</v>
      </c>
      <c r="EF140" t="s">
        <v>2046</v>
      </c>
      <c r="EG140" t="s">
        <v>41</v>
      </c>
      <c r="EH140" t="s">
        <v>15</v>
      </c>
      <c r="EI140" t="s">
        <v>1</v>
      </c>
      <c r="EJ140" s="4">
        <v>0</v>
      </c>
      <c r="EK140" t="s">
        <v>1</v>
      </c>
      <c r="EL140" t="s">
        <v>1</v>
      </c>
      <c r="EM140" t="s">
        <v>1</v>
      </c>
      <c r="EN140" t="s">
        <v>1</v>
      </c>
      <c r="EO140" s="2"/>
      <c r="EP140" t="s">
        <v>2366</v>
      </c>
      <c r="EQ140" t="s">
        <v>1</v>
      </c>
      <c r="ER140" t="s">
        <v>1</v>
      </c>
      <c r="ES140" t="s">
        <v>1</v>
      </c>
      <c r="ET140" t="s">
        <v>16</v>
      </c>
      <c r="EU140" t="s">
        <v>1</v>
      </c>
      <c r="EV140" t="s">
        <v>1</v>
      </c>
      <c r="EW140" t="s">
        <v>7</v>
      </c>
      <c r="EX140" t="s">
        <v>7</v>
      </c>
      <c r="EY140" t="s">
        <v>1</v>
      </c>
      <c r="EZ140" t="s">
        <v>1</v>
      </c>
      <c r="FA140" t="s">
        <v>1</v>
      </c>
      <c r="FB140" s="3">
        <v>50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s="7">
        <v>46115.104722222219</v>
      </c>
      <c r="FL140" t="s">
        <v>1</v>
      </c>
      <c r="FM140" t="s">
        <v>1</v>
      </c>
      <c r="FN140" t="s">
        <v>1</v>
      </c>
      <c r="FO140" s="19">
        <v>110704000</v>
      </c>
      <c r="FP140" s="4">
        <v>0</v>
      </c>
      <c r="FQ140" s="19">
        <v>110704000</v>
      </c>
      <c r="FR140" s="4">
        <v>0</v>
      </c>
      <c r="FS140" s="4">
        <v>0</v>
      </c>
      <c r="FT140" s="4">
        <v>0</v>
      </c>
      <c r="FU140" s="2">
        <v>46115</v>
      </c>
      <c r="FV140" t="s">
        <v>1</v>
      </c>
      <c r="FW140" s="4">
        <v>0</v>
      </c>
      <c r="FX140" t="s">
        <v>1</v>
      </c>
      <c r="FY140" t="s">
        <v>1</v>
      </c>
      <c r="FZ140" s="4">
        <v>0</v>
      </c>
      <c r="GA140" s="4">
        <v>0</v>
      </c>
      <c r="GB140" t="s">
        <v>2070</v>
      </c>
      <c r="GC140" t="str">
        <f>RIGHT(Data_FAGLL03[[#This Row],[Payment reference]],8)</f>
        <v/>
      </c>
      <c r="GD140" t="str">
        <f>IF(Data_FAGLL03[[#This Row],[Billing]]&lt;&gt;"",_xlfn.XLOOKUP(Data_FAGLL03[[#This Row],[Billing]],MD_BILLING_SO[BILIING],MD_BILLING_SO[SO-EDITED]),"")</f>
        <v/>
      </c>
      <c r="GE140" s="18">
        <f>IF(SUBSTITUTE(Data_FAGLL03[[#This Row],[Eff.exchange rate]],",","")/100000=1,1,SUBSTITUTE(Data_FAGLL03[[#This Row],[Eff.exchange rate]],",","")/100)</f>
        <v>1</v>
      </c>
      <c r="GF140" s="17">
        <f>IF(Data_FAGLL03[[#This Row],[Material]]&lt;&gt;"",IFERROR(Data_FAGLL03[[#This Row],[Amount in local currency]]/Data_FAGLL03[[#This Row],[Quantity_Original]],0),0)</f>
        <v>0</v>
      </c>
      <c r="GG140" s="18">
        <f>IF(Data_FAGLL03[[#This Row],[XK/NĐ]]="XK",Data_FAGLL03[[#This Row],[GB trung bình]]/Data_FAGLL03[[#This Row],[EXR]],0)*1000</f>
        <v>0</v>
      </c>
      <c r="GH140" s="18" cm="1">
        <f t="array" ref="GH140">IF(Data_FAGLL03[[#This Row],[Document currency]]&lt;&gt;"VND",Data_FAGLL03[[#This Row],[Amount in doc. curr.]],Data_FAGLL03[[#This Row],[Amount in local currency]]/EXR)</f>
        <v>4216.9509618056745</v>
      </c>
      <c r="GI140" s="10">
        <f>Data_FAGLL03[[#This Row],[Time Stamp]]+TIME(7,0,0)</f>
        <v>46115.396388888883</v>
      </c>
      <c r="GJ140" s="18">
        <f>MONTH(Data_FAGLL03[[#This Row],[Time Stamp_VN]])</f>
        <v>4</v>
      </c>
      <c r="GK140">
        <f>DAY(Data_FAGLL03[[#This Row],[Time Stamp_VN]])</f>
        <v>3</v>
      </c>
      <c r="GL140" t="str">
        <f>TEXT(Data_FAGLL03[[#This Row],[Tháng]],"00")&amp;" | "&amp;TEXT(Data_FAGLL03[[#This Row],[Ngày]],"00")</f>
        <v>04 | 03</v>
      </c>
      <c r="GM140" s="18">
        <f>IF(Data_FAGLL03[[#This Row],[Text]]="",Data_FAGLL03[[#This Row],[Quantity_Original]],0)</f>
        <v>0</v>
      </c>
      <c r="GN140" s="18" t="str">
        <f>IF(Data_FAGLL03[[#This Row],[Quantity_Edited]]&lt;&gt;0,Data_FAGLL03[[#This Row],[Offsetting acct no.]]&amp;" | "&amp;Data_FAGLL03[[#This Row],[Material]],"")</f>
        <v/>
      </c>
      <c r="GO140" t="str">
        <f>IF(LEFT(Data_FAGLL03[[#This Row],[Offsetting acct no.]],1)="1","NĐ",IF(LEFT(Data_FAGLL03[[#This Row],[Offsetting acct no.]],1)="2","XK","Khác"))</f>
        <v>Khác</v>
      </c>
      <c r="GP140" t="str">
        <f>IF(Data_FAGLL03[[#This Row],[Material]]&lt;&gt;"",_xlfn.XLOOKUP(Data_FAGLL03[[#This Row],[Material]],MD_SKU[Mã SKU],MD_SKU[Tên SKU]),"")</f>
        <v/>
      </c>
      <c r="GQ140" t="str">
        <f>IF(Data_FAGLL03[[#This Row],[Material]]&lt;&gt;"",_xlfn.XLOOKUP(Data_FAGLL03[[#This Row],[Material]],MD_SKU[Mã SKU],MD_SKU[Nhóm SP 1]),"")</f>
        <v/>
      </c>
      <c r="GR140" t="str">
        <f>IF(Data_FAGLL03[[#This Row],[Material]]&lt;&gt;"",_xlfn.XLOOKUP(Data_FAGLL03[[#This Row],[Material]],MD_SKU[Mã SKU],MD_SKU[Nhóm SP 2]),"")</f>
        <v/>
      </c>
      <c r="GS140" t="str">
        <f>IF(Data_FAGLL03[[#This Row],[Material]]&lt;&gt;"",_xlfn.XLOOKUP(Data_FAGLL03[[#This Row],[Material]],MD_SKU[Mã SKU],MD_SKU[Nhóm SP 3]),"")</f>
        <v/>
      </c>
      <c r="GT140" t="str">
        <f>IF(Data_FAGLL03[[#This Row],[Material]]&lt;&gt;"",_xlfn.XLOOKUP(Data_FAGLL03[[#This Row],[Material]],MD_SKU[Mã SKU],MD_SKU[Nhóm SP 4]),"")</f>
        <v/>
      </c>
    </row>
    <row r="141" spans="1:202" x14ac:dyDescent="0.25">
      <c r="A141" t="s">
        <v>0</v>
      </c>
      <c r="B141" s="2">
        <v>46121</v>
      </c>
      <c r="C141" t="s">
        <v>2326</v>
      </c>
      <c r="D141" t="s">
        <v>2325</v>
      </c>
      <c r="E141" t="s">
        <v>1</v>
      </c>
      <c r="F141" t="s">
        <v>31</v>
      </c>
      <c r="G141" t="s">
        <v>31</v>
      </c>
      <c r="H141" t="s">
        <v>2026</v>
      </c>
      <c r="I141" s="19">
        <v>2004750</v>
      </c>
      <c r="J141" t="s">
        <v>2027</v>
      </c>
      <c r="K141" t="s">
        <v>1</v>
      </c>
      <c r="L141" t="s">
        <v>3</v>
      </c>
      <c r="M141" t="s">
        <v>41</v>
      </c>
      <c r="N141" t="s">
        <v>254</v>
      </c>
      <c r="O141" t="s">
        <v>4</v>
      </c>
      <c r="P141" t="s">
        <v>4</v>
      </c>
      <c r="Q141" t="s">
        <v>31</v>
      </c>
      <c r="R141" t="s">
        <v>5</v>
      </c>
      <c r="S141" t="s">
        <v>1</v>
      </c>
      <c r="T141" s="3">
        <v>2004750</v>
      </c>
      <c r="U141" s="19">
        <v>2004750</v>
      </c>
      <c r="V141" s="3">
        <v>2004750</v>
      </c>
      <c r="W141" s="3">
        <v>2004750</v>
      </c>
      <c r="X141" s="4">
        <v>0</v>
      </c>
      <c r="Y141" s="4">
        <v>0</v>
      </c>
      <c r="Z141" s="3">
        <v>0</v>
      </c>
      <c r="AA141" s="3">
        <v>0</v>
      </c>
      <c r="AB141" t="s">
        <v>1</v>
      </c>
      <c r="AC141" t="s">
        <v>24</v>
      </c>
      <c r="AD141" s="2"/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25</v>
      </c>
      <c r="AK141" s="4">
        <v>0</v>
      </c>
      <c r="AL141" t="s">
        <v>1</v>
      </c>
      <c r="AM141" s="5" t="s">
        <v>1</v>
      </c>
      <c r="AN141" t="s">
        <v>1</v>
      </c>
      <c r="AO141" s="2"/>
      <c r="AP141" t="s">
        <v>1</v>
      </c>
      <c r="AQ141" t="s">
        <v>1</v>
      </c>
      <c r="AR141" s="3">
        <v>0</v>
      </c>
      <c r="AS141" t="s">
        <v>1</v>
      </c>
      <c r="AT141" t="s">
        <v>7</v>
      </c>
      <c r="AU141" t="s">
        <v>1</v>
      </c>
      <c r="AV141" t="s">
        <v>1</v>
      </c>
      <c r="AW141" t="s">
        <v>8</v>
      </c>
      <c r="AX141" t="s">
        <v>8</v>
      </c>
      <c r="AY141" t="s">
        <v>1</v>
      </c>
      <c r="AZ141" s="4">
        <v>0</v>
      </c>
      <c r="BA141" t="s">
        <v>1</v>
      </c>
      <c r="BB141" s="3">
        <v>0</v>
      </c>
      <c r="BC141" s="3">
        <v>0</v>
      </c>
      <c r="BD141" s="3">
        <v>0</v>
      </c>
      <c r="BE141" t="s">
        <v>5</v>
      </c>
      <c r="BF141" t="s">
        <v>1</v>
      </c>
      <c r="BG141" s="4">
        <v>0</v>
      </c>
      <c r="BH141" s="4">
        <v>0</v>
      </c>
      <c r="BI141" s="6">
        <v>0</v>
      </c>
      <c r="BJ141" s="6">
        <v>0</v>
      </c>
      <c r="BK141" t="s">
        <v>1</v>
      </c>
      <c r="BL141" t="s">
        <v>1</v>
      </c>
      <c r="BM141" t="s">
        <v>1</v>
      </c>
      <c r="BN141" t="s">
        <v>9</v>
      </c>
      <c r="BO141" s="2">
        <v>46121</v>
      </c>
      <c r="BP141" t="s">
        <v>1</v>
      </c>
      <c r="BQ141" t="s">
        <v>2326</v>
      </c>
      <c r="BR141" t="s">
        <v>2055</v>
      </c>
      <c r="BS141" t="s">
        <v>1</v>
      </c>
      <c r="BT141" t="s">
        <v>1</v>
      </c>
      <c r="BU141" t="s">
        <v>1</v>
      </c>
      <c r="BV141" t="s">
        <v>1</v>
      </c>
      <c r="BW141" t="s">
        <v>7</v>
      </c>
      <c r="BX141" t="s">
        <v>10</v>
      </c>
      <c r="BY141" s="2"/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254</v>
      </c>
      <c r="CJ141" s="3">
        <v>2004750</v>
      </c>
      <c r="CK141" t="s">
        <v>9</v>
      </c>
      <c r="CL141" t="s">
        <v>11</v>
      </c>
      <c r="CM141" t="s">
        <v>1</v>
      </c>
      <c r="CN141" s="4">
        <v>0</v>
      </c>
      <c r="CO141" t="s">
        <v>7</v>
      </c>
      <c r="CP141" t="s">
        <v>7</v>
      </c>
      <c r="CQ141" t="s">
        <v>7</v>
      </c>
      <c r="CR141" t="s">
        <v>7</v>
      </c>
      <c r="CS141" s="4">
        <v>0</v>
      </c>
      <c r="CT141" t="s">
        <v>2326</v>
      </c>
      <c r="CU141" t="s">
        <v>7</v>
      </c>
      <c r="CV141" t="s">
        <v>1</v>
      </c>
      <c r="CW141" s="2"/>
      <c r="CX141" t="s">
        <v>12</v>
      </c>
      <c r="CY141" t="s">
        <v>1</v>
      </c>
      <c r="CZ141" t="s">
        <v>13</v>
      </c>
      <c r="DA141" t="s">
        <v>1</v>
      </c>
      <c r="DB141" t="s">
        <v>9</v>
      </c>
      <c r="DC141" t="s">
        <v>9</v>
      </c>
      <c r="DD141" t="s">
        <v>1</v>
      </c>
      <c r="DE141" t="s">
        <v>1</v>
      </c>
      <c r="DF141" t="s">
        <v>1</v>
      </c>
      <c r="DG141" t="s">
        <v>38</v>
      </c>
      <c r="DH141" t="s">
        <v>1</v>
      </c>
      <c r="DI141" s="2"/>
      <c r="DJ141" t="s">
        <v>1</v>
      </c>
      <c r="DK141" t="s">
        <v>14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s="2"/>
      <c r="DW141" t="s">
        <v>1</v>
      </c>
      <c r="DX141" t="s">
        <v>1</v>
      </c>
      <c r="DY141" t="s">
        <v>2327</v>
      </c>
      <c r="DZ141" t="s">
        <v>1</v>
      </c>
      <c r="EA141" t="s">
        <v>1</v>
      </c>
      <c r="EB141" t="s">
        <v>28</v>
      </c>
      <c r="EC141" t="s">
        <v>7</v>
      </c>
      <c r="ED141" t="s">
        <v>1</v>
      </c>
      <c r="EE141" t="s">
        <v>1</v>
      </c>
      <c r="EF141" t="s">
        <v>2046</v>
      </c>
      <c r="EG141" t="s">
        <v>41</v>
      </c>
      <c r="EH141" t="s">
        <v>15</v>
      </c>
      <c r="EI141" t="s">
        <v>1</v>
      </c>
      <c r="EJ141" s="4">
        <v>24750</v>
      </c>
      <c r="EK141" t="s">
        <v>1</v>
      </c>
      <c r="EL141" t="s">
        <v>1</v>
      </c>
      <c r="EM141" t="s">
        <v>1</v>
      </c>
      <c r="EN141" t="s">
        <v>1</v>
      </c>
      <c r="EO141" s="2"/>
      <c r="EP141" t="s">
        <v>2367</v>
      </c>
      <c r="EQ141" t="s">
        <v>1</v>
      </c>
      <c r="ER141" t="s">
        <v>1</v>
      </c>
      <c r="ES141" t="s">
        <v>1</v>
      </c>
      <c r="ET141" t="s">
        <v>29</v>
      </c>
      <c r="EU141" t="s">
        <v>1</v>
      </c>
      <c r="EV141" t="s">
        <v>1</v>
      </c>
      <c r="EW141" t="s">
        <v>7</v>
      </c>
      <c r="EX141" t="s">
        <v>7</v>
      </c>
      <c r="EY141" t="s">
        <v>1</v>
      </c>
      <c r="EZ141" t="s">
        <v>1</v>
      </c>
      <c r="FA141" t="s">
        <v>1</v>
      </c>
      <c r="FB141" s="3">
        <v>50</v>
      </c>
      <c r="FC141" t="s">
        <v>1</v>
      </c>
      <c r="FD141" t="s">
        <v>1</v>
      </c>
      <c r="FE141" t="s">
        <v>1</v>
      </c>
      <c r="FF141" t="s">
        <v>17</v>
      </c>
      <c r="FG141" t="s">
        <v>1</v>
      </c>
      <c r="FH141" t="s">
        <v>1</v>
      </c>
      <c r="FI141" t="s">
        <v>1</v>
      </c>
      <c r="FJ141" t="s">
        <v>1</v>
      </c>
      <c r="FK141" s="7">
        <v>46120.350590277776</v>
      </c>
      <c r="FL141" t="s">
        <v>1</v>
      </c>
      <c r="FM141" t="s">
        <v>1</v>
      </c>
      <c r="FN141" t="s">
        <v>1</v>
      </c>
      <c r="FO141" s="19">
        <v>2004750</v>
      </c>
      <c r="FP141" s="4">
        <v>0</v>
      </c>
      <c r="FQ141" s="19">
        <v>2004750</v>
      </c>
      <c r="FR141" s="4">
        <v>0</v>
      </c>
      <c r="FS141" s="4">
        <v>0</v>
      </c>
      <c r="FT141" s="4">
        <v>0</v>
      </c>
      <c r="FU141" s="2">
        <v>46120</v>
      </c>
      <c r="FV141" t="s">
        <v>1</v>
      </c>
      <c r="FW141" s="4">
        <v>0</v>
      </c>
      <c r="FX141" t="s">
        <v>1</v>
      </c>
      <c r="FY141" t="s">
        <v>1</v>
      </c>
      <c r="FZ141" s="4">
        <v>0</v>
      </c>
      <c r="GA141" s="4">
        <v>0</v>
      </c>
      <c r="GB141" t="s">
        <v>2070</v>
      </c>
      <c r="GC141" t="str">
        <f>RIGHT(Data_FAGLL03[[#This Row],[Payment reference]],8)</f>
        <v>91172630</v>
      </c>
      <c r="GD141" t="e">
        <f>IF(Data_FAGLL03[[#This Row],[Billing]]&lt;&gt;"",_xlfn.XLOOKUP(Data_FAGLL03[[#This Row],[Billing]],MD_BILLING_SO[BILIING],MD_BILLING_SO[SO-EDITED]),"")</f>
        <v>#N/A</v>
      </c>
      <c r="GE141" s="18">
        <f>IF(SUBSTITUTE(Data_FAGLL03[[#This Row],[Eff.exchange rate]],",","")/100000=1,1,SUBSTITUTE(Data_FAGLL03[[#This Row],[Eff.exchange rate]],",","")/100)</f>
        <v>1</v>
      </c>
      <c r="GF141" s="17">
        <f>IF(Data_FAGLL03[[#This Row],[Material]]&lt;&gt;"",IFERROR(Data_FAGLL03[[#This Row],[Amount in local currency]]/Data_FAGLL03[[#This Row],[Quantity_Original]],0),0)</f>
        <v>81</v>
      </c>
      <c r="GG141" s="18">
        <f>IF(Data_FAGLL03[[#This Row],[XK/NĐ]]="XK",Data_FAGLL03[[#This Row],[GB trung bình]]/Data_FAGLL03[[#This Row],[EXR]],0)*1000</f>
        <v>0</v>
      </c>
      <c r="GH141" s="18" cm="1">
        <f t="array" ref="GH141">IF(Data_FAGLL03[[#This Row],[Document currency]]&lt;&gt;"VND",Data_FAGLL03[[#This Row],[Amount in doc. curr.]],Data_FAGLL03[[#This Row],[Amount in local currency]]/EXR)</f>
        <v>76.365194037071163</v>
      </c>
      <c r="GI141" s="10">
        <f>Data_FAGLL03[[#This Row],[Time Stamp]]+TIME(7,0,0)</f>
        <v>46120.64225694444</v>
      </c>
      <c r="GJ141" s="18">
        <f>MONTH(Data_FAGLL03[[#This Row],[Time Stamp_VN]])</f>
        <v>4</v>
      </c>
      <c r="GK141">
        <f>DAY(Data_FAGLL03[[#This Row],[Time Stamp_VN]])</f>
        <v>8</v>
      </c>
      <c r="GL141" t="str">
        <f>TEXT(Data_FAGLL03[[#This Row],[Tháng]],"00")&amp;" | "&amp;TEXT(Data_FAGLL03[[#This Row],[Ngày]],"00")</f>
        <v>04 | 08</v>
      </c>
      <c r="GM141" s="18">
        <f>IF(Data_FAGLL03[[#This Row],[Text]]="",Data_FAGLL03[[#This Row],[Quantity_Original]],0)</f>
        <v>24750</v>
      </c>
      <c r="GN141" s="18" t="str">
        <f>IF(Data_FAGLL03[[#This Row],[Quantity_Edited]]&lt;&gt;0,Data_FAGLL03[[#This Row],[Offsetting acct no.]]&amp;" | "&amp;Data_FAGLL03[[#This Row],[Material]],"")</f>
        <v>105223 | 110000339</v>
      </c>
      <c r="GO141" t="str">
        <f>IF(LEFT(Data_FAGLL03[[#This Row],[Offsetting acct no.]],1)="1","NĐ",IF(LEFT(Data_FAGLL03[[#This Row],[Offsetting acct no.]],1)="2","XK","Khác"))</f>
        <v>NĐ</v>
      </c>
      <c r="GP141" t="str">
        <f>IF(Data_FAGLL03[[#This Row],[Material]]&lt;&gt;"",_xlfn.XLOOKUP(Data_FAGLL03[[#This Row],[Material]],MD_SKU[Mã SKU],MD_SKU[Tên SKU]),"")</f>
        <v>Hạt Nhựa rHDPE MBF01</v>
      </c>
      <c r="GQ141" t="str">
        <f>IF(Data_FAGLL03[[#This Row],[Material]]&lt;&gt;"",_xlfn.XLOOKUP(Data_FAGLL03[[#This Row],[Material]],MD_SKU[Mã SKU],MD_SKU[Nhóm SP 1]),"")</f>
        <v>rHDPE</v>
      </c>
      <c r="GR141" t="str">
        <f>IF(Data_FAGLL03[[#This Row],[Material]]&lt;&gt;"",_xlfn.XLOOKUP(Data_FAGLL03[[#This Row],[Material]],MD_SKU[Mã SKU],MD_SKU[Nhóm SP 2]),"")</f>
        <v>rHDPE thổi</v>
      </c>
      <c r="GS141" t="str">
        <f>IF(Data_FAGLL03[[#This Row],[Material]]&lt;&gt;"",_xlfn.XLOOKUP(Data_FAGLL03[[#This Row],[Material]],MD_SKU[Mã SKU],MD_SKU[Nhóm SP 3]),"")</f>
        <v>rHDPE thổi</v>
      </c>
      <c r="GT141" t="str">
        <f>IF(Data_FAGLL03[[#This Row],[Material]]&lt;&gt;"",_xlfn.XLOOKUP(Data_FAGLL03[[#This Row],[Material]],MD_SKU[Mã SKU],MD_SKU[Nhóm SP 4]),"")</f>
        <v>Hạt rHDPE thổi</v>
      </c>
    </row>
  </sheetData>
  <phoneticPr fontId="0" type="noConversion"/>
  <pageMargins left="0.75" right="0.75" top="1" bottom="1" header="0.5" footer="0.5"/>
  <headerFooter alignWithMargins="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CC23-B1CF-4EBC-B635-D45812C27AFA}">
  <dimension ref="A1:G187"/>
  <sheetViews>
    <sheetView showGridLines="0" workbookViewId="0">
      <pane ySplit="1" topLeftCell="A2" activePane="bottomLeft" state="frozen"/>
      <selection pane="bottomLeft" activeCell="G35" sqref="G35"/>
    </sheetView>
  </sheetViews>
  <sheetFormatPr defaultRowHeight="13.2" x14ac:dyDescent="0.25"/>
  <cols>
    <col min="1" max="1" width="21" bestFit="1" customWidth="1"/>
    <col min="2" max="2" width="21" customWidth="1"/>
    <col min="3" max="3" width="22.109375" customWidth="1"/>
    <col min="4" max="4" width="62.88671875" bestFit="1" customWidth="1"/>
    <col min="7" max="7" width="21" bestFit="1" customWidth="1"/>
  </cols>
  <sheetData>
    <row r="1" spans="1:7" x14ac:dyDescent="0.25">
      <c r="A1" s="61" t="s">
        <v>2522</v>
      </c>
      <c r="B1" s="61" t="s">
        <v>2853</v>
      </c>
      <c r="C1" s="61" t="s">
        <v>2767</v>
      </c>
      <c r="D1" s="61" t="s">
        <v>2852</v>
      </c>
    </row>
    <row r="2" spans="1:7" x14ac:dyDescent="0.25">
      <c r="A2" s="57" t="s">
        <v>2560</v>
      </c>
      <c r="B2" s="57" t="s">
        <v>2560</v>
      </c>
      <c r="C2" s="57" t="s">
        <v>2651</v>
      </c>
    </row>
    <row r="3" spans="1:7" x14ac:dyDescent="0.25">
      <c r="A3" s="57" t="s">
        <v>2539</v>
      </c>
      <c r="B3" s="57" t="s">
        <v>2539</v>
      </c>
      <c r="C3" s="57" t="s">
        <v>2652</v>
      </c>
      <c r="G3" s="56"/>
    </row>
    <row r="4" spans="1:7" x14ac:dyDescent="0.25">
      <c r="A4" s="57" t="s">
        <v>2560</v>
      </c>
      <c r="B4" s="57" t="s">
        <v>2560</v>
      </c>
      <c r="C4" s="57" t="s">
        <v>2653</v>
      </c>
    </row>
    <row r="5" spans="1:7" x14ac:dyDescent="0.25">
      <c r="A5" s="57" t="s">
        <v>2552</v>
      </c>
      <c r="B5" s="57" t="s">
        <v>2552</v>
      </c>
      <c r="C5" s="57" t="s">
        <v>2654</v>
      </c>
    </row>
    <row r="6" spans="1:7" x14ac:dyDescent="0.25">
      <c r="A6" s="57" t="s">
        <v>2540</v>
      </c>
      <c r="B6" s="57" t="s">
        <v>2540</v>
      </c>
      <c r="C6" s="57" t="s">
        <v>2655</v>
      </c>
    </row>
    <row r="7" spans="1:7" x14ac:dyDescent="0.25">
      <c r="A7" s="57" t="s">
        <v>2554</v>
      </c>
      <c r="B7" s="57" t="s">
        <v>2554</v>
      </c>
      <c r="C7" s="57" t="s">
        <v>2656</v>
      </c>
    </row>
    <row r="8" spans="1:7" x14ac:dyDescent="0.25">
      <c r="A8" s="57" t="s">
        <v>2526</v>
      </c>
      <c r="B8" s="57" t="s">
        <v>2526</v>
      </c>
      <c r="C8" s="57" t="s">
        <v>2657</v>
      </c>
    </row>
    <row r="9" spans="1:7" x14ac:dyDescent="0.25">
      <c r="A9" s="57" t="s">
        <v>2564</v>
      </c>
      <c r="B9" s="57" t="s">
        <v>2564</v>
      </c>
      <c r="C9" s="57" t="s">
        <v>2658</v>
      </c>
    </row>
    <row r="10" spans="1:7" x14ac:dyDescent="0.25">
      <c r="A10" s="57" t="s">
        <v>2558</v>
      </c>
      <c r="B10" s="57" t="s">
        <v>2558</v>
      </c>
      <c r="C10" s="57" t="s">
        <v>2659</v>
      </c>
    </row>
    <row r="11" spans="1:7" x14ac:dyDescent="0.25">
      <c r="A11" s="57" t="s">
        <v>2643</v>
      </c>
      <c r="B11" s="57" t="s">
        <v>2643</v>
      </c>
      <c r="C11" s="57" t="s">
        <v>2660</v>
      </c>
    </row>
    <row r="12" spans="1:7" x14ac:dyDescent="0.25">
      <c r="A12" s="57" t="s">
        <v>2643</v>
      </c>
      <c r="B12" s="57" t="s">
        <v>2643</v>
      </c>
      <c r="C12" s="57" t="s">
        <v>2660</v>
      </c>
    </row>
    <row r="13" spans="1:7" x14ac:dyDescent="0.25">
      <c r="A13" s="57" t="s">
        <v>2643</v>
      </c>
      <c r="B13" s="57" t="s">
        <v>2643</v>
      </c>
      <c r="C13" s="57" t="s">
        <v>2660</v>
      </c>
    </row>
    <row r="14" spans="1:7" x14ac:dyDescent="0.25">
      <c r="A14" s="57" t="s">
        <v>2569</v>
      </c>
      <c r="B14" s="57" t="s">
        <v>2569</v>
      </c>
      <c r="C14" s="57" t="s">
        <v>2661</v>
      </c>
    </row>
    <row r="15" spans="1:7" x14ac:dyDescent="0.25">
      <c r="A15" s="57" t="s">
        <v>2569</v>
      </c>
      <c r="B15" s="57" t="s">
        <v>2569</v>
      </c>
      <c r="C15" s="57" t="s">
        <v>2662</v>
      </c>
    </row>
    <row r="16" spans="1:7" x14ac:dyDescent="0.25">
      <c r="A16" s="57" t="s">
        <v>2544</v>
      </c>
      <c r="B16" s="57" t="s">
        <v>2544</v>
      </c>
      <c r="C16" s="57" t="s">
        <v>2663</v>
      </c>
    </row>
    <row r="17" spans="1:4" x14ac:dyDescent="0.25">
      <c r="A17" s="57" t="s">
        <v>2552</v>
      </c>
      <c r="B17" s="57" t="s">
        <v>2552</v>
      </c>
      <c r="C17" s="57" t="s">
        <v>2664</v>
      </c>
    </row>
    <row r="18" spans="1:4" x14ac:dyDescent="0.25">
      <c r="A18" s="57" t="s">
        <v>2549</v>
      </c>
      <c r="B18" s="57" t="s">
        <v>2549</v>
      </c>
      <c r="C18" s="57" t="s">
        <v>2665</v>
      </c>
    </row>
    <row r="19" spans="1:4" x14ac:dyDescent="0.25">
      <c r="A19" s="57" t="s">
        <v>2555</v>
      </c>
      <c r="B19" s="57" t="s">
        <v>2555</v>
      </c>
      <c r="C19" s="57" t="s">
        <v>2666</v>
      </c>
    </row>
    <row r="20" spans="1:4" x14ac:dyDescent="0.25">
      <c r="A20" s="57" t="s">
        <v>2564</v>
      </c>
      <c r="B20" s="57" t="s">
        <v>2564</v>
      </c>
      <c r="C20" s="57" t="s">
        <v>2667</v>
      </c>
    </row>
    <row r="21" spans="1:4" x14ac:dyDescent="0.25">
      <c r="A21" s="57" t="s">
        <v>2573</v>
      </c>
      <c r="B21" s="57" t="s">
        <v>2573</v>
      </c>
      <c r="C21" s="57" t="s">
        <v>2668</v>
      </c>
    </row>
    <row r="22" spans="1:4" x14ac:dyDescent="0.25">
      <c r="A22" s="57" t="s">
        <v>2565</v>
      </c>
      <c r="B22" s="57" t="s">
        <v>2565</v>
      </c>
      <c r="C22" s="57" t="s">
        <v>2669</v>
      </c>
    </row>
    <row r="23" spans="1:4" x14ac:dyDescent="0.25">
      <c r="A23" s="73" t="s">
        <v>2644</v>
      </c>
      <c r="B23" s="74" t="s">
        <v>2558</v>
      </c>
      <c r="C23" s="73" t="s">
        <v>2670</v>
      </c>
      <c r="D23" s="20" t="s">
        <v>2854</v>
      </c>
    </row>
    <row r="24" spans="1:4" x14ac:dyDescent="0.25">
      <c r="A24" s="57" t="s">
        <v>2645</v>
      </c>
      <c r="B24" s="57" t="s">
        <v>2645</v>
      </c>
      <c r="C24" s="57" t="s">
        <v>2671</v>
      </c>
    </row>
    <row r="25" spans="1:4" x14ac:dyDescent="0.25">
      <c r="A25" s="57" t="s">
        <v>2645</v>
      </c>
      <c r="B25" s="57" t="s">
        <v>2645</v>
      </c>
      <c r="C25" s="57" t="s">
        <v>2671</v>
      </c>
    </row>
    <row r="26" spans="1:4" x14ac:dyDescent="0.25">
      <c r="A26" s="57" t="s">
        <v>2645</v>
      </c>
      <c r="B26" s="57" t="s">
        <v>2645</v>
      </c>
      <c r="C26" s="57" t="s">
        <v>2671</v>
      </c>
    </row>
    <row r="27" spans="1:4" x14ac:dyDescent="0.25">
      <c r="A27" s="57" t="s">
        <v>2560</v>
      </c>
      <c r="B27" s="57" t="s">
        <v>2560</v>
      </c>
      <c r="C27" s="57" t="s">
        <v>2672</v>
      </c>
    </row>
    <row r="28" spans="1:4" x14ac:dyDescent="0.25">
      <c r="A28" s="57" t="s">
        <v>2551</v>
      </c>
      <c r="B28" s="57" t="s">
        <v>2551</v>
      </c>
      <c r="C28" s="57" t="s">
        <v>2673</v>
      </c>
    </row>
    <row r="29" spans="1:4" x14ac:dyDescent="0.25">
      <c r="A29" s="57" t="s">
        <v>2551</v>
      </c>
      <c r="B29" s="57" t="s">
        <v>2551</v>
      </c>
      <c r="C29" s="57" t="s">
        <v>2674</v>
      </c>
    </row>
    <row r="30" spans="1:4" x14ac:dyDescent="0.25">
      <c r="A30" s="57" t="s">
        <v>2551</v>
      </c>
      <c r="B30" s="57" t="s">
        <v>2551</v>
      </c>
      <c r="C30" s="57" t="s">
        <v>2675</v>
      </c>
    </row>
    <row r="31" spans="1:4" x14ac:dyDescent="0.25">
      <c r="A31" s="57" t="s">
        <v>2551</v>
      </c>
      <c r="B31" s="57" t="s">
        <v>2551</v>
      </c>
      <c r="C31" s="57" t="s">
        <v>2676</v>
      </c>
    </row>
    <row r="32" spans="1:4" x14ac:dyDescent="0.25">
      <c r="A32" s="57" t="s">
        <v>2551</v>
      </c>
      <c r="B32" s="57" t="s">
        <v>2551</v>
      </c>
      <c r="C32" s="57" t="s">
        <v>2677</v>
      </c>
    </row>
    <row r="33" spans="1:3" x14ac:dyDescent="0.25">
      <c r="A33" s="57" t="s">
        <v>2569</v>
      </c>
      <c r="B33" s="57" t="s">
        <v>2569</v>
      </c>
      <c r="C33" s="57" t="s">
        <v>2678</v>
      </c>
    </row>
    <row r="34" spans="1:3" x14ac:dyDescent="0.25">
      <c r="A34" s="57" t="s">
        <v>2578</v>
      </c>
      <c r="B34" s="57" t="s">
        <v>2578</v>
      </c>
      <c r="C34" s="57" t="s">
        <v>2679</v>
      </c>
    </row>
    <row r="35" spans="1:3" x14ac:dyDescent="0.25">
      <c r="A35" s="57" t="s">
        <v>2552</v>
      </c>
      <c r="B35" s="57" t="s">
        <v>2552</v>
      </c>
      <c r="C35" s="57" t="s">
        <v>2680</v>
      </c>
    </row>
    <row r="36" spans="1:3" x14ac:dyDescent="0.25">
      <c r="A36" s="57" t="s">
        <v>2526</v>
      </c>
      <c r="B36" s="57" t="s">
        <v>2526</v>
      </c>
      <c r="C36" s="57" t="s">
        <v>2681</v>
      </c>
    </row>
    <row r="37" spans="1:3" x14ac:dyDescent="0.25">
      <c r="A37" s="57" t="s">
        <v>2546</v>
      </c>
      <c r="B37" s="57" t="s">
        <v>2546</v>
      </c>
      <c r="C37" s="57" t="s">
        <v>2682</v>
      </c>
    </row>
    <row r="38" spans="1:3" x14ac:dyDescent="0.25">
      <c r="A38" s="57" t="s">
        <v>2580</v>
      </c>
      <c r="B38" s="57" t="s">
        <v>2580</v>
      </c>
      <c r="C38" s="57" t="s">
        <v>2683</v>
      </c>
    </row>
    <row r="39" spans="1:3" x14ac:dyDescent="0.25">
      <c r="A39" s="57" t="s">
        <v>2580</v>
      </c>
      <c r="B39" s="57" t="s">
        <v>2580</v>
      </c>
      <c r="C39" s="57" t="s">
        <v>2683</v>
      </c>
    </row>
    <row r="40" spans="1:3" x14ac:dyDescent="0.25">
      <c r="A40" s="57" t="s">
        <v>2646</v>
      </c>
      <c r="B40" s="57" t="s">
        <v>2646</v>
      </c>
      <c r="C40" s="57" t="s">
        <v>2684</v>
      </c>
    </row>
    <row r="41" spans="1:3" x14ac:dyDescent="0.25">
      <c r="A41" s="57" t="s">
        <v>2646</v>
      </c>
      <c r="B41" s="57" t="s">
        <v>2646</v>
      </c>
      <c r="C41" s="57" t="s">
        <v>2684</v>
      </c>
    </row>
    <row r="42" spans="1:3" x14ac:dyDescent="0.25">
      <c r="A42" s="57" t="s">
        <v>2646</v>
      </c>
      <c r="B42" s="57" t="s">
        <v>2646</v>
      </c>
      <c r="C42" s="57" t="s">
        <v>2684</v>
      </c>
    </row>
    <row r="43" spans="1:3" x14ac:dyDescent="0.25">
      <c r="A43" s="57" t="s">
        <v>2647</v>
      </c>
      <c r="B43" s="57" t="s">
        <v>2647</v>
      </c>
      <c r="C43" s="57" t="s">
        <v>2685</v>
      </c>
    </row>
    <row r="44" spans="1:3" x14ac:dyDescent="0.25">
      <c r="A44" s="57" t="s">
        <v>2647</v>
      </c>
      <c r="B44" s="57" t="s">
        <v>2647</v>
      </c>
      <c r="C44" s="57" t="s">
        <v>2685</v>
      </c>
    </row>
    <row r="45" spans="1:3" x14ac:dyDescent="0.25">
      <c r="A45" s="57" t="s">
        <v>2647</v>
      </c>
      <c r="B45" s="57" t="s">
        <v>2647</v>
      </c>
      <c r="C45" s="57" t="s">
        <v>2685</v>
      </c>
    </row>
    <row r="46" spans="1:3" x14ac:dyDescent="0.25">
      <c r="A46" s="57" t="s">
        <v>2551</v>
      </c>
      <c r="B46" s="57" t="s">
        <v>2551</v>
      </c>
      <c r="C46" s="57" t="s">
        <v>2686</v>
      </c>
    </row>
    <row r="47" spans="1:3" x14ac:dyDescent="0.25">
      <c r="A47" s="57" t="s">
        <v>2551</v>
      </c>
      <c r="B47" s="57" t="s">
        <v>2551</v>
      </c>
      <c r="C47" s="57" t="s">
        <v>2687</v>
      </c>
    </row>
    <row r="48" spans="1:3" x14ac:dyDescent="0.25">
      <c r="A48" s="57" t="s">
        <v>2551</v>
      </c>
      <c r="B48" s="57" t="s">
        <v>2551</v>
      </c>
      <c r="C48" s="57" t="s">
        <v>2688</v>
      </c>
    </row>
    <row r="49" spans="1:3" x14ac:dyDescent="0.25">
      <c r="A49" s="57" t="s">
        <v>2551</v>
      </c>
      <c r="B49" s="57" t="s">
        <v>2551</v>
      </c>
      <c r="C49" s="57" t="s">
        <v>2689</v>
      </c>
    </row>
    <row r="50" spans="1:3" x14ac:dyDescent="0.25">
      <c r="A50" s="57" t="s">
        <v>2569</v>
      </c>
      <c r="B50" s="57" t="s">
        <v>2569</v>
      </c>
      <c r="C50" s="57" t="s">
        <v>2690</v>
      </c>
    </row>
    <row r="51" spans="1:3" x14ac:dyDescent="0.25">
      <c r="A51" s="57" t="s">
        <v>2551</v>
      </c>
      <c r="B51" s="57" t="s">
        <v>2551</v>
      </c>
      <c r="C51" s="57" t="s">
        <v>2691</v>
      </c>
    </row>
    <row r="52" spans="1:3" x14ac:dyDescent="0.25">
      <c r="A52" s="57" t="s">
        <v>2544</v>
      </c>
      <c r="B52" s="57" t="s">
        <v>2544</v>
      </c>
      <c r="C52" s="57" t="s">
        <v>2692</v>
      </c>
    </row>
    <row r="53" spans="1:3" x14ac:dyDescent="0.25">
      <c r="A53" s="57" t="s">
        <v>2583</v>
      </c>
      <c r="B53" s="57" t="s">
        <v>2583</v>
      </c>
      <c r="C53" s="57" t="s">
        <v>2693</v>
      </c>
    </row>
    <row r="54" spans="1:3" x14ac:dyDescent="0.25">
      <c r="A54" s="57" t="s">
        <v>2559</v>
      </c>
      <c r="B54" s="57" t="s">
        <v>2559</v>
      </c>
      <c r="C54" s="57" t="s">
        <v>2694</v>
      </c>
    </row>
    <row r="55" spans="1:3" x14ac:dyDescent="0.25">
      <c r="A55" s="57" t="s">
        <v>2547</v>
      </c>
      <c r="B55" s="57" t="s">
        <v>2547</v>
      </c>
      <c r="C55" s="57" t="s">
        <v>2695</v>
      </c>
    </row>
    <row r="56" spans="1:3" x14ac:dyDescent="0.25">
      <c r="A56" s="57" t="s">
        <v>2574</v>
      </c>
      <c r="B56" s="57" t="s">
        <v>2574</v>
      </c>
      <c r="C56" s="57" t="s">
        <v>2696</v>
      </c>
    </row>
    <row r="57" spans="1:3" x14ac:dyDescent="0.25">
      <c r="A57" s="57" t="s">
        <v>2574</v>
      </c>
      <c r="B57" s="57" t="s">
        <v>2574</v>
      </c>
      <c r="C57" s="57" t="s">
        <v>2697</v>
      </c>
    </row>
    <row r="58" spans="1:3" x14ac:dyDescent="0.25">
      <c r="A58" s="57" t="s">
        <v>2555</v>
      </c>
      <c r="B58" s="57" t="s">
        <v>2555</v>
      </c>
      <c r="C58" s="57" t="s">
        <v>2698</v>
      </c>
    </row>
    <row r="59" spans="1:3" x14ac:dyDescent="0.25">
      <c r="A59" s="57" t="s">
        <v>2648</v>
      </c>
      <c r="B59" s="57" t="s">
        <v>2648</v>
      </c>
      <c r="C59" s="57" t="s">
        <v>2699</v>
      </c>
    </row>
    <row r="60" spans="1:3" x14ac:dyDescent="0.25">
      <c r="A60" s="57" t="s">
        <v>2648</v>
      </c>
      <c r="B60" s="57" t="s">
        <v>2648</v>
      </c>
      <c r="C60" s="57" t="s">
        <v>2699</v>
      </c>
    </row>
    <row r="61" spans="1:3" x14ac:dyDescent="0.25">
      <c r="A61" s="57" t="s">
        <v>2551</v>
      </c>
      <c r="B61" s="57" t="s">
        <v>2551</v>
      </c>
      <c r="C61" s="57" t="s">
        <v>2700</v>
      </c>
    </row>
    <row r="62" spans="1:3" x14ac:dyDescent="0.25">
      <c r="A62" s="57" t="s">
        <v>2551</v>
      </c>
      <c r="B62" s="57" t="s">
        <v>2551</v>
      </c>
      <c r="C62" s="57" t="s">
        <v>2701</v>
      </c>
    </row>
    <row r="63" spans="1:3" x14ac:dyDescent="0.25">
      <c r="A63" s="57" t="s">
        <v>2569</v>
      </c>
      <c r="B63" s="57" t="s">
        <v>2569</v>
      </c>
      <c r="C63" s="57" t="s">
        <v>2702</v>
      </c>
    </row>
    <row r="64" spans="1:3" x14ac:dyDescent="0.25">
      <c r="A64" s="57" t="s">
        <v>2578</v>
      </c>
      <c r="B64" s="57" t="s">
        <v>2578</v>
      </c>
      <c r="C64" s="57" t="s">
        <v>2703</v>
      </c>
    </row>
    <row r="65" spans="1:3" x14ac:dyDescent="0.25">
      <c r="A65" s="57" t="s">
        <v>2560</v>
      </c>
      <c r="B65" s="57" t="s">
        <v>2560</v>
      </c>
      <c r="C65" s="57" t="s">
        <v>2704</v>
      </c>
    </row>
    <row r="66" spans="1:3" x14ac:dyDescent="0.25">
      <c r="A66" s="57" t="s">
        <v>2553</v>
      </c>
      <c r="B66" s="57" t="s">
        <v>2553</v>
      </c>
      <c r="C66" s="57" t="s">
        <v>2705</v>
      </c>
    </row>
    <row r="67" spans="1:3" x14ac:dyDescent="0.25">
      <c r="A67" s="57" t="s">
        <v>2552</v>
      </c>
      <c r="B67" s="57" t="s">
        <v>2552</v>
      </c>
      <c r="C67" s="57" t="s">
        <v>2706</v>
      </c>
    </row>
    <row r="68" spans="1:3" x14ac:dyDescent="0.25">
      <c r="A68" s="57" t="s">
        <v>2554</v>
      </c>
      <c r="B68" s="57" t="s">
        <v>2554</v>
      </c>
      <c r="C68" s="57" t="s">
        <v>2707</v>
      </c>
    </row>
    <row r="69" spans="1:3" x14ac:dyDescent="0.25">
      <c r="A69" s="57" t="s">
        <v>2554</v>
      </c>
      <c r="B69" s="57" t="s">
        <v>2554</v>
      </c>
      <c r="C69" s="57" t="s">
        <v>2708</v>
      </c>
    </row>
    <row r="70" spans="1:3" x14ac:dyDescent="0.25">
      <c r="A70" s="57" t="s">
        <v>2586</v>
      </c>
      <c r="B70" s="57" t="s">
        <v>2586</v>
      </c>
      <c r="C70" s="57" t="s">
        <v>2709</v>
      </c>
    </row>
    <row r="71" spans="1:3" x14ac:dyDescent="0.25">
      <c r="A71" s="57" t="s">
        <v>2566</v>
      </c>
      <c r="B71" s="57" t="s">
        <v>2566</v>
      </c>
      <c r="C71" s="57" t="s">
        <v>2710</v>
      </c>
    </row>
    <row r="72" spans="1:3" x14ac:dyDescent="0.25">
      <c r="A72" s="57" t="s">
        <v>2529</v>
      </c>
      <c r="B72" s="57" t="s">
        <v>2529</v>
      </c>
      <c r="C72" s="57" t="s">
        <v>2711</v>
      </c>
    </row>
    <row r="73" spans="1:3" x14ac:dyDescent="0.25">
      <c r="A73" s="57" t="s">
        <v>2569</v>
      </c>
      <c r="B73" s="57" t="s">
        <v>2569</v>
      </c>
      <c r="C73" s="57" t="s">
        <v>2782</v>
      </c>
    </row>
    <row r="74" spans="1:3" x14ac:dyDescent="0.25">
      <c r="A74" s="57" t="s">
        <v>2549</v>
      </c>
      <c r="B74" s="57" t="s">
        <v>2549</v>
      </c>
      <c r="C74" s="57" t="s">
        <v>2712</v>
      </c>
    </row>
    <row r="75" spans="1:3" x14ac:dyDescent="0.25">
      <c r="A75" s="57" t="s">
        <v>2552</v>
      </c>
      <c r="B75" s="57" t="s">
        <v>2552</v>
      </c>
      <c r="C75" s="57" t="s">
        <v>2713</v>
      </c>
    </row>
    <row r="76" spans="1:3" x14ac:dyDescent="0.25">
      <c r="A76" s="57" t="s">
        <v>2535</v>
      </c>
      <c r="B76" s="57" t="s">
        <v>2535</v>
      </c>
      <c r="C76" s="57" t="s">
        <v>2714</v>
      </c>
    </row>
    <row r="77" spans="1:3" x14ac:dyDescent="0.25">
      <c r="A77" s="57" t="s">
        <v>2556</v>
      </c>
      <c r="B77" s="57" t="s">
        <v>2556</v>
      </c>
      <c r="C77" s="57" t="s">
        <v>2715</v>
      </c>
    </row>
    <row r="78" spans="1:3" x14ac:dyDescent="0.25">
      <c r="A78" s="57" t="s">
        <v>2556</v>
      </c>
      <c r="B78" s="57" t="s">
        <v>2556</v>
      </c>
      <c r="C78" s="57" t="s">
        <v>2716</v>
      </c>
    </row>
    <row r="79" spans="1:3" x14ac:dyDescent="0.25">
      <c r="A79" s="57" t="s">
        <v>2546</v>
      </c>
      <c r="B79" s="57" t="s">
        <v>2546</v>
      </c>
      <c r="C79" s="57" t="s">
        <v>2717</v>
      </c>
    </row>
    <row r="80" spans="1:3" ht="26.4" x14ac:dyDescent="0.25">
      <c r="A80" s="58" t="s">
        <v>2525</v>
      </c>
      <c r="B80" s="58" t="s">
        <v>2525</v>
      </c>
      <c r="C80" s="57" t="s">
        <v>2718</v>
      </c>
    </row>
    <row r="81" spans="1:3" x14ac:dyDescent="0.25">
      <c r="A81" s="57" t="s">
        <v>2586</v>
      </c>
      <c r="B81" s="57" t="s">
        <v>2586</v>
      </c>
      <c r="C81" s="57" t="s">
        <v>2719</v>
      </c>
    </row>
    <row r="82" spans="1:3" x14ac:dyDescent="0.25">
      <c r="A82" s="57" t="s">
        <v>2529</v>
      </c>
      <c r="B82" s="57" t="s">
        <v>2529</v>
      </c>
      <c r="C82" s="57" t="s">
        <v>2781</v>
      </c>
    </row>
    <row r="83" spans="1:3" x14ac:dyDescent="0.25">
      <c r="A83" s="57" t="s">
        <v>2551</v>
      </c>
      <c r="B83" s="57" t="s">
        <v>2551</v>
      </c>
      <c r="C83" s="57" t="s">
        <v>2720</v>
      </c>
    </row>
    <row r="84" spans="1:3" x14ac:dyDescent="0.25">
      <c r="A84" s="57" t="s">
        <v>2551</v>
      </c>
      <c r="B84" s="57" t="s">
        <v>2551</v>
      </c>
      <c r="C84" s="57" t="s">
        <v>2721</v>
      </c>
    </row>
    <row r="85" spans="1:3" x14ac:dyDescent="0.25">
      <c r="A85" s="57" t="s">
        <v>2569</v>
      </c>
      <c r="B85" s="57" t="s">
        <v>2569</v>
      </c>
      <c r="C85" s="57" t="s">
        <v>2722</v>
      </c>
    </row>
    <row r="86" spans="1:3" x14ac:dyDescent="0.25">
      <c r="A86" s="57" t="s">
        <v>2578</v>
      </c>
      <c r="B86" s="57" t="s">
        <v>2578</v>
      </c>
      <c r="C86" s="57" t="s">
        <v>2723</v>
      </c>
    </row>
    <row r="87" spans="1:3" x14ac:dyDescent="0.25">
      <c r="A87" s="57" t="s">
        <v>2552</v>
      </c>
      <c r="B87" s="57" t="s">
        <v>2552</v>
      </c>
      <c r="C87" s="57" t="s">
        <v>2724</v>
      </c>
    </row>
    <row r="88" spans="1:3" x14ac:dyDescent="0.25">
      <c r="A88" s="57" t="s">
        <v>2541</v>
      </c>
      <c r="B88" s="57" t="s">
        <v>2541</v>
      </c>
      <c r="C88" s="57" t="s">
        <v>2725</v>
      </c>
    </row>
    <row r="89" spans="1:3" x14ac:dyDescent="0.25">
      <c r="A89" s="57" t="s">
        <v>2587</v>
      </c>
      <c r="B89" s="57" t="s">
        <v>2587</v>
      </c>
      <c r="C89" s="57" t="s">
        <v>2726</v>
      </c>
    </row>
    <row r="90" spans="1:3" x14ac:dyDescent="0.25">
      <c r="A90" s="57" t="s">
        <v>2587</v>
      </c>
      <c r="B90" s="57" t="s">
        <v>2587</v>
      </c>
      <c r="C90" s="57" t="s">
        <v>2727</v>
      </c>
    </row>
    <row r="91" spans="1:3" x14ac:dyDescent="0.25">
      <c r="A91" s="57" t="s">
        <v>2586</v>
      </c>
      <c r="B91" s="57" t="s">
        <v>2586</v>
      </c>
      <c r="C91" s="57" t="s">
        <v>2728</v>
      </c>
    </row>
    <row r="92" spans="1:3" x14ac:dyDescent="0.25">
      <c r="A92" s="57" t="s">
        <v>2565</v>
      </c>
      <c r="B92" s="57" t="s">
        <v>2565</v>
      </c>
      <c r="C92" s="57" t="s">
        <v>2783</v>
      </c>
    </row>
    <row r="93" spans="1:3" x14ac:dyDescent="0.25">
      <c r="A93" s="57" t="s">
        <v>2565</v>
      </c>
      <c r="B93" s="57" t="s">
        <v>2565</v>
      </c>
      <c r="C93" s="57" t="s">
        <v>2729</v>
      </c>
    </row>
    <row r="94" spans="1:3" x14ac:dyDescent="0.25">
      <c r="A94" s="57" t="s">
        <v>2566</v>
      </c>
      <c r="B94" s="57" t="s">
        <v>2566</v>
      </c>
      <c r="C94" s="57" t="s">
        <v>2730</v>
      </c>
    </row>
    <row r="95" spans="1:3" x14ac:dyDescent="0.25">
      <c r="A95" s="57" t="s">
        <v>2649</v>
      </c>
      <c r="B95" s="57" t="s">
        <v>2649</v>
      </c>
    </row>
    <row r="96" spans="1:3" x14ac:dyDescent="0.25">
      <c r="A96" s="57" t="s">
        <v>2649</v>
      </c>
      <c r="B96" s="57" t="s">
        <v>2649</v>
      </c>
    </row>
    <row r="97" spans="1:3" x14ac:dyDescent="0.25">
      <c r="A97" s="57" t="s">
        <v>2572</v>
      </c>
      <c r="B97" s="57" t="s">
        <v>2572</v>
      </c>
      <c r="C97" s="62" t="s">
        <v>2768</v>
      </c>
    </row>
    <row r="98" spans="1:3" x14ac:dyDescent="0.25">
      <c r="A98" s="57" t="s">
        <v>2572</v>
      </c>
      <c r="B98" s="57" t="s">
        <v>2572</v>
      </c>
      <c r="C98" s="57" t="s">
        <v>2769</v>
      </c>
    </row>
    <row r="99" spans="1:3" x14ac:dyDescent="0.25">
      <c r="A99" s="57" t="s">
        <v>2572</v>
      </c>
      <c r="B99" s="57" t="s">
        <v>2572</v>
      </c>
      <c r="C99" s="57" t="s">
        <v>2770</v>
      </c>
    </row>
    <row r="100" spans="1:3" x14ac:dyDescent="0.25">
      <c r="A100" s="57" t="s">
        <v>2572</v>
      </c>
      <c r="B100" s="57" t="s">
        <v>2572</v>
      </c>
      <c r="C100" s="57" t="s">
        <v>2771</v>
      </c>
    </row>
    <row r="101" spans="1:3" x14ac:dyDescent="0.25">
      <c r="A101" s="57" t="s">
        <v>2572</v>
      </c>
      <c r="B101" s="57" t="s">
        <v>2572</v>
      </c>
      <c r="C101" s="57" t="s">
        <v>2772</v>
      </c>
    </row>
    <row r="102" spans="1:3" x14ac:dyDescent="0.25">
      <c r="A102" s="57" t="s">
        <v>2569</v>
      </c>
      <c r="B102" s="57" t="s">
        <v>2569</v>
      </c>
      <c r="C102" s="57" t="s">
        <v>2773</v>
      </c>
    </row>
    <row r="103" spans="1:3" x14ac:dyDescent="0.25">
      <c r="A103" s="57" t="s">
        <v>2552</v>
      </c>
      <c r="B103" s="57" t="s">
        <v>2552</v>
      </c>
      <c r="C103" s="57" t="s">
        <v>2774</v>
      </c>
    </row>
    <row r="104" spans="1:3" x14ac:dyDescent="0.25">
      <c r="A104" s="57" t="s">
        <v>2550</v>
      </c>
      <c r="B104" s="57" t="s">
        <v>2550</v>
      </c>
      <c r="C104" s="57" t="s">
        <v>2775</v>
      </c>
    </row>
    <row r="105" spans="1:3" x14ac:dyDescent="0.25">
      <c r="A105" s="57" t="s">
        <v>2546</v>
      </c>
      <c r="B105" s="57" t="s">
        <v>2546</v>
      </c>
      <c r="C105" s="57" t="s">
        <v>2776</v>
      </c>
    </row>
    <row r="106" spans="1:3" x14ac:dyDescent="0.25">
      <c r="A106" s="57" t="s">
        <v>2556</v>
      </c>
      <c r="B106" s="57" t="s">
        <v>2556</v>
      </c>
      <c r="C106" s="57" t="s">
        <v>2777</v>
      </c>
    </row>
    <row r="107" spans="1:3" x14ac:dyDescent="0.25">
      <c r="A107" s="57" t="s">
        <v>2556</v>
      </c>
      <c r="B107" s="57" t="s">
        <v>2556</v>
      </c>
      <c r="C107" s="57" t="s">
        <v>2778</v>
      </c>
    </row>
    <row r="108" spans="1:3" x14ac:dyDescent="0.25">
      <c r="A108" s="57" t="s">
        <v>2579</v>
      </c>
      <c r="B108" s="57" t="s">
        <v>2579</v>
      </c>
      <c r="C108" s="57" t="s">
        <v>2779</v>
      </c>
    </row>
    <row r="109" spans="1:3" x14ac:dyDescent="0.25">
      <c r="A109" s="57" t="s">
        <v>2575</v>
      </c>
      <c r="B109" s="57" t="s">
        <v>2575</v>
      </c>
      <c r="C109" s="57" t="s">
        <v>2780</v>
      </c>
    </row>
    <row r="110" spans="1:3" x14ac:dyDescent="0.25">
      <c r="A110" s="57" t="s">
        <v>2649</v>
      </c>
      <c r="B110" s="57" t="s">
        <v>2649</v>
      </c>
    </row>
    <row r="111" spans="1:3" x14ac:dyDescent="0.25">
      <c r="A111" s="57" t="s">
        <v>2649</v>
      </c>
      <c r="B111" s="57" t="s">
        <v>2649</v>
      </c>
    </row>
    <row r="112" spans="1:3" x14ac:dyDescent="0.25">
      <c r="A112" s="57" t="s">
        <v>2649</v>
      </c>
      <c r="B112" s="57" t="s">
        <v>2649</v>
      </c>
    </row>
    <row r="113" spans="1:3" x14ac:dyDescent="0.25">
      <c r="A113" s="57" t="s">
        <v>2568</v>
      </c>
      <c r="B113" s="57" t="s">
        <v>2568</v>
      </c>
      <c r="C113" s="57" t="s">
        <v>2731</v>
      </c>
    </row>
    <row r="114" spans="1:3" x14ac:dyDescent="0.25">
      <c r="A114" s="57" t="s">
        <v>2568</v>
      </c>
      <c r="B114" s="57" t="s">
        <v>2568</v>
      </c>
      <c r="C114" s="57" t="s">
        <v>2732</v>
      </c>
    </row>
    <row r="115" spans="1:3" x14ac:dyDescent="0.25">
      <c r="A115" s="57" t="s">
        <v>2568</v>
      </c>
      <c r="B115" s="57" t="s">
        <v>2568</v>
      </c>
      <c r="C115" s="57" t="s">
        <v>2733</v>
      </c>
    </row>
    <row r="116" spans="1:3" x14ac:dyDescent="0.25">
      <c r="A116" s="57" t="s">
        <v>2569</v>
      </c>
      <c r="B116" s="57" t="s">
        <v>2569</v>
      </c>
      <c r="C116" s="57" t="s">
        <v>2734</v>
      </c>
    </row>
    <row r="117" spans="1:3" x14ac:dyDescent="0.25">
      <c r="A117" s="57" t="s">
        <v>2578</v>
      </c>
      <c r="B117" s="57" t="s">
        <v>2578</v>
      </c>
      <c r="C117" s="57" t="s">
        <v>2735</v>
      </c>
    </row>
    <row r="118" spans="1:3" x14ac:dyDescent="0.25">
      <c r="A118" s="57" t="s">
        <v>2543</v>
      </c>
      <c r="B118" s="57" t="s">
        <v>2543</v>
      </c>
      <c r="C118" s="57" t="s">
        <v>2736</v>
      </c>
    </row>
    <row r="119" spans="1:3" x14ac:dyDescent="0.25">
      <c r="A119" s="57" t="s">
        <v>2543</v>
      </c>
      <c r="B119" s="57" t="s">
        <v>2543</v>
      </c>
      <c r="C119" s="57" t="s">
        <v>2737</v>
      </c>
    </row>
    <row r="120" spans="1:3" x14ac:dyDescent="0.25">
      <c r="A120" s="57" t="s">
        <v>2543</v>
      </c>
      <c r="B120" s="57" t="s">
        <v>2543</v>
      </c>
      <c r="C120" s="57" t="s">
        <v>2738</v>
      </c>
    </row>
    <row r="121" spans="1:3" x14ac:dyDescent="0.25">
      <c r="A121" s="57" t="s">
        <v>2543</v>
      </c>
      <c r="B121" s="57" t="s">
        <v>2543</v>
      </c>
      <c r="C121" s="57" t="s">
        <v>2739</v>
      </c>
    </row>
    <row r="122" spans="1:3" x14ac:dyDescent="0.25">
      <c r="A122" s="57" t="s">
        <v>2543</v>
      </c>
      <c r="B122" s="57" t="s">
        <v>2543</v>
      </c>
      <c r="C122" s="57" t="s">
        <v>2740</v>
      </c>
    </row>
    <row r="123" spans="1:3" x14ac:dyDescent="0.25">
      <c r="A123" s="57" t="s">
        <v>2552</v>
      </c>
      <c r="B123" s="57" t="s">
        <v>2552</v>
      </c>
      <c r="C123" s="57" t="s">
        <v>2741</v>
      </c>
    </row>
    <row r="124" spans="1:3" x14ac:dyDescent="0.25">
      <c r="A124" s="57" t="s">
        <v>2531</v>
      </c>
      <c r="B124" s="57" t="s">
        <v>2531</v>
      </c>
      <c r="C124" s="57" t="s">
        <v>2742</v>
      </c>
    </row>
    <row r="125" spans="1:3" x14ac:dyDescent="0.25">
      <c r="A125" s="57" t="s">
        <v>2554</v>
      </c>
      <c r="B125" s="57" t="s">
        <v>2554</v>
      </c>
      <c r="C125" s="57" t="s">
        <v>2743</v>
      </c>
    </row>
    <row r="126" spans="1:3" x14ac:dyDescent="0.25">
      <c r="A126" s="57" t="s">
        <v>2554</v>
      </c>
      <c r="B126" s="57" t="s">
        <v>2554</v>
      </c>
      <c r="C126" s="57" t="s">
        <v>2744</v>
      </c>
    </row>
    <row r="127" spans="1:3" x14ac:dyDescent="0.25">
      <c r="A127" s="57" t="s">
        <v>2591</v>
      </c>
      <c r="B127" s="57" t="s">
        <v>2591</v>
      </c>
      <c r="C127" s="57" t="s">
        <v>2745</v>
      </c>
    </row>
    <row r="128" spans="1:3" x14ac:dyDescent="0.25">
      <c r="A128" s="57" t="s">
        <v>2592</v>
      </c>
      <c r="B128" s="57" t="s">
        <v>2592</v>
      </c>
      <c r="C128" s="57" t="s">
        <v>2784</v>
      </c>
    </row>
    <row r="129" spans="1:3" x14ac:dyDescent="0.25">
      <c r="A129" s="57" t="s">
        <v>2590</v>
      </c>
      <c r="B129" s="57" t="s">
        <v>2590</v>
      </c>
      <c r="C129" s="57" t="s">
        <v>2746</v>
      </c>
    </row>
    <row r="130" spans="1:3" x14ac:dyDescent="0.25">
      <c r="A130" s="57" t="s">
        <v>2590</v>
      </c>
      <c r="B130" s="57" t="s">
        <v>2590</v>
      </c>
      <c r="C130" s="57" t="s">
        <v>2746</v>
      </c>
    </row>
    <row r="131" spans="1:3" x14ac:dyDescent="0.25">
      <c r="A131" s="57" t="s">
        <v>2566</v>
      </c>
      <c r="B131" s="57" t="s">
        <v>2566</v>
      </c>
      <c r="C131" s="57" t="s">
        <v>2747</v>
      </c>
    </row>
    <row r="132" spans="1:3" x14ac:dyDescent="0.25">
      <c r="A132" s="57" t="s">
        <v>2584</v>
      </c>
      <c r="B132" s="57" t="s">
        <v>2584</v>
      </c>
      <c r="C132" s="57" t="s">
        <v>2748</v>
      </c>
    </row>
    <row r="133" spans="1:3" x14ac:dyDescent="0.25">
      <c r="A133" s="57" t="s">
        <v>2584</v>
      </c>
      <c r="B133" s="57" t="s">
        <v>2584</v>
      </c>
      <c r="C133" s="57" t="s">
        <v>2749</v>
      </c>
    </row>
    <row r="134" spans="1:3" x14ac:dyDescent="0.25">
      <c r="A134" s="57" t="s">
        <v>2584</v>
      </c>
      <c r="B134" s="57" t="s">
        <v>2584</v>
      </c>
      <c r="C134" s="57" t="s">
        <v>2750</v>
      </c>
    </row>
    <row r="135" spans="1:3" x14ac:dyDescent="0.25">
      <c r="A135" s="57" t="s">
        <v>2584</v>
      </c>
      <c r="B135" s="57" t="s">
        <v>2584</v>
      </c>
      <c r="C135" s="57" t="s">
        <v>2751</v>
      </c>
    </row>
    <row r="136" spans="1:3" x14ac:dyDescent="0.25">
      <c r="A136" s="57" t="s">
        <v>2584</v>
      </c>
      <c r="B136" s="57" t="s">
        <v>2584</v>
      </c>
      <c r="C136" s="57" t="s">
        <v>2752</v>
      </c>
    </row>
    <row r="137" spans="1:3" x14ac:dyDescent="0.25">
      <c r="A137" s="57" t="s">
        <v>2569</v>
      </c>
      <c r="B137" s="57" t="s">
        <v>2569</v>
      </c>
      <c r="C137" s="57" t="s">
        <v>2753</v>
      </c>
    </row>
    <row r="138" spans="1:3" x14ac:dyDescent="0.25">
      <c r="A138" s="57" t="s">
        <v>2569</v>
      </c>
      <c r="B138" s="57" t="s">
        <v>2569</v>
      </c>
      <c r="C138" s="57" t="s">
        <v>2754</v>
      </c>
    </row>
    <row r="139" spans="1:3" x14ac:dyDescent="0.25">
      <c r="A139" s="57" t="s">
        <v>2570</v>
      </c>
      <c r="B139" s="57" t="s">
        <v>2570</v>
      </c>
      <c r="C139" s="57" t="s">
        <v>2755</v>
      </c>
    </row>
    <row r="140" spans="1:3" x14ac:dyDescent="0.25">
      <c r="A140" s="57" t="s">
        <v>2552</v>
      </c>
      <c r="B140" s="57" t="s">
        <v>2552</v>
      </c>
      <c r="C140" s="57" t="s">
        <v>2756</v>
      </c>
    </row>
    <row r="141" spans="1:3" x14ac:dyDescent="0.25">
      <c r="A141" s="57" t="s">
        <v>2534</v>
      </c>
      <c r="B141" s="57" t="s">
        <v>2534</v>
      </c>
      <c r="C141" s="57" t="s">
        <v>2757</v>
      </c>
    </row>
    <row r="142" spans="1:3" x14ac:dyDescent="0.25">
      <c r="A142" s="57" t="s">
        <v>2556</v>
      </c>
      <c r="B142" s="57" t="s">
        <v>2556</v>
      </c>
      <c r="C142" s="57" t="s">
        <v>2758</v>
      </c>
    </row>
    <row r="143" spans="1:3" x14ac:dyDescent="0.25">
      <c r="A143" s="57" t="s">
        <v>2556</v>
      </c>
      <c r="B143" s="57" t="s">
        <v>2556</v>
      </c>
      <c r="C143" s="57" t="s">
        <v>2759</v>
      </c>
    </row>
    <row r="144" spans="1:3" x14ac:dyDescent="0.25">
      <c r="A144" s="57" t="s">
        <v>2593</v>
      </c>
      <c r="B144" s="57" t="s">
        <v>2593</v>
      </c>
      <c r="C144" s="57" t="s">
        <v>2760</v>
      </c>
    </row>
    <row r="145" spans="1:3" x14ac:dyDescent="0.25">
      <c r="A145" s="57" t="s">
        <v>2590</v>
      </c>
      <c r="B145" s="57" t="s">
        <v>2590</v>
      </c>
      <c r="C145" s="57" t="s">
        <v>2761</v>
      </c>
    </row>
    <row r="146" spans="1:3" x14ac:dyDescent="0.25">
      <c r="A146" s="57" t="s">
        <v>2590</v>
      </c>
      <c r="B146" s="57" t="s">
        <v>2590</v>
      </c>
      <c r="C146" s="57" t="s">
        <v>2761</v>
      </c>
    </row>
    <row r="147" spans="1:3" x14ac:dyDescent="0.25">
      <c r="A147" s="57" t="s">
        <v>2566</v>
      </c>
      <c r="B147" s="57" t="s">
        <v>2566</v>
      </c>
      <c r="C147" s="57" t="s">
        <v>2762</v>
      </c>
    </row>
    <row r="148" spans="1:3" x14ac:dyDescent="0.25">
      <c r="A148" s="57" t="s">
        <v>2565</v>
      </c>
      <c r="B148" s="57" t="s">
        <v>2565</v>
      </c>
      <c r="C148" s="57" t="s">
        <v>2763</v>
      </c>
    </row>
    <row r="149" spans="1:3" x14ac:dyDescent="0.25">
      <c r="A149" s="57" t="s">
        <v>2565</v>
      </c>
      <c r="B149" s="57" t="s">
        <v>2565</v>
      </c>
      <c r="C149" s="57" t="s">
        <v>2764</v>
      </c>
    </row>
    <row r="150" spans="1:3" x14ac:dyDescent="0.25">
      <c r="A150" s="57" t="s">
        <v>2649</v>
      </c>
      <c r="B150" s="57" t="s">
        <v>2649</v>
      </c>
    </row>
    <row r="151" spans="1:3" x14ac:dyDescent="0.25">
      <c r="A151" s="57" t="s">
        <v>2649</v>
      </c>
      <c r="B151" s="57" t="s">
        <v>2649</v>
      </c>
    </row>
    <row r="152" spans="1:3" x14ac:dyDescent="0.25">
      <c r="A152" s="57" t="s">
        <v>2568</v>
      </c>
      <c r="B152" s="57" t="s">
        <v>2568</v>
      </c>
    </row>
    <row r="153" spans="1:3" x14ac:dyDescent="0.25">
      <c r="A153" s="57" t="s">
        <v>2568</v>
      </c>
      <c r="B153" s="57" t="s">
        <v>2568</v>
      </c>
    </row>
    <row r="154" spans="1:3" x14ac:dyDescent="0.25">
      <c r="A154" s="57" t="s">
        <v>2568</v>
      </c>
      <c r="B154" s="57" t="s">
        <v>2568</v>
      </c>
    </row>
    <row r="155" spans="1:3" x14ac:dyDescent="0.25">
      <c r="A155" s="57" t="s">
        <v>2584</v>
      </c>
      <c r="B155" s="57" t="s">
        <v>2584</v>
      </c>
    </row>
    <row r="156" spans="1:3" x14ac:dyDescent="0.25">
      <c r="A156" s="57" t="s">
        <v>2584</v>
      </c>
      <c r="B156" s="57" t="s">
        <v>2584</v>
      </c>
    </row>
    <row r="157" spans="1:3" x14ac:dyDescent="0.25">
      <c r="A157" s="57" t="s">
        <v>2584</v>
      </c>
      <c r="B157" s="57" t="s">
        <v>2584</v>
      </c>
    </row>
    <row r="158" spans="1:3" x14ac:dyDescent="0.25">
      <c r="A158" s="57" t="s">
        <v>2584</v>
      </c>
      <c r="B158" s="57" t="s">
        <v>2584</v>
      </c>
    </row>
    <row r="159" spans="1:3" x14ac:dyDescent="0.25">
      <c r="A159" s="57" t="s">
        <v>2584</v>
      </c>
      <c r="B159" s="57" t="s">
        <v>2584</v>
      </c>
    </row>
    <row r="160" spans="1:3" x14ac:dyDescent="0.25">
      <c r="A160" s="57" t="s">
        <v>2569</v>
      </c>
      <c r="B160" s="57" t="s">
        <v>2569</v>
      </c>
    </row>
    <row r="161" spans="1:3" x14ac:dyDescent="0.25">
      <c r="A161" s="57" t="s">
        <v>2578</v>
      </c>
      <c r="B161" s="57" t="s">
        <v>2578</v>
      </c>
    </row>
    <row r="162" spans="1:3" x14ac:dyDescent="0.25">
      <c r="A162" s="57" t="s">
        <v>2550</v>
      </c>
      <c r="B162" s="57" t="s">
        <v>2550</v>
      </c>
    </row>
    <row r="163" spans="1:3" x14ac:dyDescent="0.25">
      <c r="A163" s="57" t="s">
        <v>2552</v>
      </c>
      <c r="B163" s="57" t="s">
        <v>2552</v>
      </c>
    </row>
    <row r="164" spans="1:3" x14ac:dyDescent="0.25">
      <c r="A164" s="57" t="s">
        <v>2587</v>
      </c>
      <c r="B164" s="57" t="s">
        <v>2587</v>
      </c>
    </row>
    <row r="165" spans="1:3" x14ac:dyDescent="0.25">
      <c r="A165" s="57" t="s">
        <v>2561</v>
      </c>
      <c r="B165" s="57" t="s">
        <v>2561</v>
      </c>
    </row>
    <row r="166" spans="1:3" x14ac:dyDescent="0.25">
      <c r="A166" s="57" t="s">
        <v>2599</v>
      </c>
      <c r="B166" s="57" t="s">
        <v>2599</v>
      </c>
    </row>
    <row r="167" spans="1:3" x14ac:dyDescent="0.25">
      <c r="A167" s="57" t="s">
        <v>2650</v>
      </c>
      <c r="B167" s="57" t="s">
        <v>2650</v>
      </c>
    </row>
    <row r="168" spans="1:3" x14ac:dyDescent="0.25">
      <c r="A168" s="57" t="s">
        <v>2533</v>
      </c>
      <c r="B168" s="57" t="s">
        <v>2533</v>
      </c>
    </row>
    <row r="169" spans="1:3" x14ac:dyDescent="0.25">
      <c r="A169" s="57" t="s">
        <v>2533</v>
      </c>
      <c r="B169" s="57" t="s">
        <v>2533</v>
      </c>
    </row>
    <row r="170" spans="1:3" x14ac:dyDescent="0.25">
      <c r="A170" s="57" t="s">
        <v>2529</v>
      </c>
      <c r="B170" s="57" t="s">
        <v>2529</v>
      </c>
    </row>
    <row r="171" spans="1:3" x14ac:dyDescent="0.25">
      <c r="A171" s="57" t="s">
        <v>2565</v>
      </c>
      <c r="B171" s="57" t="s">
        <v>2565</v>
      </c>
      <c r="C171" s="57" t="s">
        <v>2764</v>
      </c>
    </row>
    <row r="172" spans="1:3" x14ac:dyDescent="0.25">
      <c r="A172" s="57" t="s">
        <v>2534</v>
      </c>
      <c r="B172" s="57" t="s">
        <v>2534</v>
      </c>
    </row>
    <row r="173" spans="1:3" x14ac:dyDescent="0.25">
      <c r="A173" s="57" t="s">
        <v>2552</v>
      </c>
      <c r="B173" s="57" t="s">
        <v>2552</v>
      </c>
    </row>
    <row r="174" spans="1:3" x14ac:dyDescent="0.25">
      <c r="A174" s="57" t="s">
        <v>2557</v>
      </c>
      <c r="B174" s="57" t="s">
        <v>2557</v>
      </c>
    </row>
    <row r="175" spans="1:3" x14ac:dyDescent="0.25">
      <c r="A175" s="57" t="s">
        <v>2585</v>
      </c>
      <c r="B175" s="57" t="s">
        <v>2585</v>
      </c>
    </row>
    <row r="176" spans="1:3" x14ac:dyDescent="0.25">
      <c r="A176" s="57" t="s">
        <v>2586</v>
      </c>
      <c r="B176" s="57" t="s">
        <v>2586</v>
      </c>
    </row>
    <row r="177" spans="1:2" x14ac:dyDescent="0.25">
      <c r="A177" s="57" t="s">
        <v>2531</v>
      </c>
      <c r="B177" s="57" t="s">
        <v>2531</v>
      </c>
    </row>
    <row r="178" spans="1:2" x14ac:dyDescent="0.25">
      <c r="A178" s="57" t="s">
        <v>2545</v>
      </c>
      <c r="B178" s="57" t="s">
        <v>2545</v>
      </c>
    </row>
    <row r="179" spans="1:2" x14ac:dyDescent="0.25">
      <c r="A179" s="57" t="s">
        <v>2552</v>
      </c>
      <c r="B179" s="57" t="s">
        <v>2552</v>
      </c>
    </row>
    <row r="180" spans="1:2" x14ac:dyDescent="0.25">
      <c r="A180" s="57" t="s">
        <v>2585</v>
      </c>
      <c r="B180" s="57" t="s">
        <v>2585</v>
      </c>
    </row>
    <row r="181" spans="1:2" x14ac:dyDescent="0.25">
      <c r="A181" s="57" t="s">
        <v>2562</v>
      </c>
      <c r="B181" s="57" t="s">
        <v>2562</v>
      </c>
    </row>
    <row r="182" spans="1:2" x14ac:dyDescent="0.25">
      <c r="A182" s="57" t="s">
        <v>2578</v>
      </c>
      <c r="B182" s="57" t="s">
        <v>2578</v>
      </c>
    </row>
    <row r="183" spans="1:2" x14ac:dyDescent="0.25">
      <c r="A183" s="57" t="s">
        <v>2587</v>
      </c>
      <c r="B183" s="57" t="s">
        <v>2587</v>
      </c>
    </row>
    <row r="184" spans="1:2" x14ac:dyDescent="0.25">
      <c r="A184" s="57" t="s">
        <v>2589</v>
      </c>
      <c r="B184" s="57" t="s">
        <v>2589</v>
      </c>
    </row>
    <row r="185" spans="1:2" x14ac:dyDescent="0.25">
      <c r="A185" s="57" t="s">
        <v>2586</v>
      </c>
      <c r="B185" s="57" t="s">
        <v>2586</v>
      </c>
    </row>
    <row r="186" spans="1:2" x14ac:dyDescent="0.25">
      <c r="A186" s="57" t="s">
        <v>2542</v>
      </c>
      <c r="B186" s="57" t="s">
        <v>2542</v>
      </c>
    </row>
    <row r="187" spans="1:2" x14ac:dyDescent="0.25">
      <c r="A187" s="57" t="s">
        <v>2542</v>
      </c>
      <c r="B187" s="57" t="s">
        <v>2542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73C0-EBC0-42F7-AB74-9EC3E4F55974}">
  <dimension ref="A1:I582"/>
  <sheetViews>
    <sheetView showGridLines="0" workbookViewId="0">
      <pane ySplit="1" topLeftCell="A515" activePane="bottomLeft" state="frozen"/>
      <selection activeCell="J68" sqref="J68"/>
      <selection pane="bottomLeft" activeCell="I550" sqref="I550"/>
    </sheetView>
  </sheetViews>
  <sheetFormatPr defaultColWidth="9.109375" defaultRowHeight="13.2" x14ac:dyDescent="0.25"/>
  <cols>
    <col min="1" max="1" width="20.5546875" style="14" bestFit="1" customWidth="1"/>
    <col min="2" max="2" width="49.44140625" style="14" bestFit="1" customWidth="1"/>
    <col min="3" max="3" width="58.109375" style="14" bestFit="1" customWidth="1"/>
    <col min="4" max="4" width="16.44140625" style="14" customWidth="1"/>
    <col min="5" max="5" width="12.6640625" style="14" customWidth="1"/>
    <col min="6" max="6" width="14.44140625" style="14" bestFit="1" customWidth="1"/>
    <col min="7" max="7" width="17.5546875" style="14" bestFit="1" customWidth="1"/>
    <col min="8" max="8" width="10.6640625" style="14" bestFit="1" customWidth="1"/>
    <col min="9" max="9" width="17.88671875" style="14" bestFit="1" customWidth="1"/>
    <col min="10" max="16384" width="9.109375" style="14"/>
  </cols>
  <sheetData>
    <row r="1" spans="1:9" ht="14.4" x14ac:dyDescent="0.3">
      <c r="A1" s="13" t="s">
        <v>265</v>
      </c>
      <c r="B1" s="13" t="s">
        <v>266</v>
      </c>
      <c r="C1" s="13" t="s">
        <v>267</v>
      </c>
      <c r="D1" s="13" t="s">
        <v>268</v>
      </c>
      <c r="E1" s="13" t="s">
        <v>269</v>
      </c>
      <c r="F1" s="13" t="s">
        <v>270</v>
      </c>
      <c r="G1" s="13" t="s">
        <v>271</v>
      </c>
      <c r="H1" s="13" t="s">
        <v>272</v>
      </c>
      <c r="I1" s="13" t="s">
        <v>2766</v>
      </c>
    </row>
    <row r="2" spans="1:9" x14ac:dyDescent="0.25">
      <c r="A2" s="14" t="s">
        <v>273</v>
      </c>
      <c r="B2" s="14" t="s">
        <v>274</v>
      </c>
      <c r="C2" s="14" t="s">
        <v>275</v>
      </c>
      <c r="D2" s="14" t="s">
        <v>276</v>
      </c>
      <c r="E2" s="14" t="s">
        <v>276</v>
      </c>
      <c r="F2" s="14" t="s">
        <v>276</v>
      </c>
      <c r="G2" s="14" t="s">
        <v>277</v>
      </c>
      <c r="H2" s="14" t="s">
        <v>278</v>
      </c>
      <c r="I2" s="14" t="s">
        <v>277</v>
      </c>
    </row>
    <row r="3" spans="1:9" x14ac:dyDescent="0.25">
      <c r="A3" s="14" t="s">
        <v>32</v>
      </c>
      <c r="B3" s="14" t="s">
        <v>279</v>
      </c>
      <c r="C3" s="14" t="s">
        <v>280</v>
      </c>
      <c r="D3" s="14" t="s">
        <v>276</v>
      </c>
      <c r="E3" s="14" t="s">
        <v>276</v>
      </c>
      <c r="F3" s="14" t="s">
        <v>276</v>
      </c>
      <c r="G3" s="14" t="s">
        <v>277</v>
      </c>
      <c r="H3" s="14" t="s">
        <v>281</v>
      </c>
      <c r="I3" s="14" t="s">
        <v>277</v>
      </c>
    </row>
    <row r="4" spans="1:9" x14ac:dyDescent="0.25">
      <c r="A4" s="14" t="s">
        <v>282</v>
      </c>
      <c r="B4" s="14" t="s">
        <v>283</v>
      </c>
      <c r="C4" s="14" t="s">
        <v>284</v>
      </c>
      <c r="D4" s="14" t="s">
        <v>285</v>
      </c>
      <c r="E4" s="14" t="s">
        <v>286</v>
      </c>
      <c r="F4" s="14" t="s">
        <v>286</v>
      </c>
      <c r="G4" s="14" t="s">
        <v>287</v>
      </c>
      <c r="I4" s="14" t="s">
        <v>287</v>
      </c>
    </row>
    <row r="5" spans="1:9" x14ac:dyDescent="0.25">
      <c r="A5" s="14" t="s">
        <v>38</v>
      </c>
      <c r="B5" s="14" t="s">
        <v>288</v>
      </c>
      <c r="C5" s="14" t="s">
        <v>289</v>
      </c>
      <c r="D5" s="14" t="s">
        <v>285</v>
      </c>
      <c r="E5" s="14" t="s">
        <v>286</v>
      </c>
      <c r="F5" s="14" t="s">
        <v>286</v>
      </c>
      <c r="G5" s="14" t="s">
        <v>287</v>
      </c>
      <c r="I5" s="14" t="s">
        <v>287</v>
      </c>
    </row>
    <row r="6" spans="1:9" x14ac:dyDescent="0.25">
      <c r="A6" s="14" t="s">
        <v>290</v>
      </c>
      <c r="B6" s="14" t="s">
        <v>291</v>
      </c>
      <c r="C6" s="14" t="s">
        <v>292</v>
      </c>
      <c r="D6" s="14" t="s">
        <v>285</v>
      </c>
      <c r="E6" s="14" t="s">
        <v>286</v>
      </c>
      <c r="F6" s="14" t="s">
        <v>286</v>
      </c>
      <c r="G6" s="14" t="s">
        <v>287</v>
      </c>
      <c r="I6" s="14" t="s">
        <v>287</v>
      </c>
    </row>
    <row r="7" spans="1:9" x14ac:dyDescent="0.25">
      <c r="A7" s="14" t="s">
        <v>293</v>
      </c>
      <c r="B7" s="14" t="s">
        <v>294</v>
      </c>
      <c r="C7" s="14" t="s">
        <v>295</v>
      </c>
      <c r="D7" s="14" t="s">
        <v>285</v>
      </c>
      <c r="E7" s="14" t="s">
        <v>286</v>
      </c>
      <c r="F7" s="14" t="s">
        <v>286</v>
      </c>
      <c r="G7" s="14" t="s">
        <v>287</v>
      </c>
      <c r="I7" s="14" t="s">
        <v>287</v>
      </c>
    </row>
    <row r="8" spans="1:9" x14ac:dyDescent="0.25">
      <c r="A8" s="14" t="s">
        <v>33</v>
      </c>
      <c r="B8" s="14" t="s">
        <v>296</v>
      </c>
      <c r="C8" s="14" t="s">
        <v>297</v>
      </c>
      <c r="D8" s="14" t="s">
        <v>276</v>
      </c>
      <c r="E8" s="14" t="s">
        <v>276</v>
      </c>
      <c r="F8" s="14" t="s">
        <v>276</v>
      </c>
      <c r="G8" s="14" t="s">
        <v>277</v>
      </c>
      <c r="H8" s="14" t="s">
        <v>278</v>
      </c>
      <c r="I8" s="14" t="s">
        <v>277</v>
      </c>
    </row>
    <row r="9" spans="1:9" x14ac:dyDescent="0.25">
      <c r="A9" s="14" t="s">
        <v>37</v>
      </c>
      <c r="B9" s="14" t="s">
        <v>298</v>
      </c>
      <c r="C9" s="14" t="s">
        <v>299</v>
      </c>
      <c r="D9" s="14" t="s">
        <v>276</v>
      </c>
      <c r="E9" s="14" t="s">
        <v>276</v>
      </c>
      <c r="F9" s="14" t="s">
        <v>276</v>
      </c>
      <c r="G9" s="14" t="s">
        <v>277</v>
      </c>
      <c r="H9" s="14" t="s">
        <v>300</v>
      </c>
      <c r="I9" s="14" t="s">
        <v>277</v>
      </c>
    </row>
    <row r="10" spans="1:9" x14ac:dyDescent="0.25">
      <c r="A10" s="14" t="s">
        <v>301</v>
      </c>
      <c r="B10" s="14" t="s">
        <v>302</v>
      </c>
      <c r="C10" s="14" t="s">
        <v>303</v>
      </c>
      <c r="D10" s="14" t="s">
        <v>276</v>
      </c>
      <c r="E10" s="14" t="s">
        <v>276</v>
      </c>
      <c r="F10" s="14" t="s">
        <v>276</v>
      </c>
      <c r="G10" s="14" t="s">
        <v>277</v>
      </c>
      <c r="H10" s="14" t="s">
        <v>304</v>
      </c>
      <c r="I10" s="14" t="s">
        <v>277</v>
      </c>
    </row>
    <row r="11" spans="1:9" x14ac:dyDescent="0.25">
      <c r="A11" s="14" t="s">
        <v>44</v>
      </c>
      <c r="B11" s="14" t="s">
        <v>305</v>
      </c>
      <c r="C11" s="14" t="s">
        <v>306</v>
      </c>
      <c r="D11" s="14" t="s">
        <v>285</v>
      </c>
      <c r="E11" s="14" t="s">
        <v>307</v>
      </c>
      <c r="F11" s="14" t="s">
        <v>307</v>
      </c>
      <c r="G11" s="14" t="s">
        <v>308</v>
      </c>
      <c r="I11" s="14" t="s">
        <v>308</v>
      </c>
    </row>
    <row r="12" spans="1:9" x14ac:dyDescent="0.25">
      <c r="A12" s="14" t="s">
        <v>309</v>
      </c>
      <c r="B12" s="14" t="s">
        <v>310</v>
      </c>
      <c r="C12" s="14" t="s">
        <v>311</v>
      </c>
      <c r="D12" s="14" t="s">
        <v>285</v>
      </c>
      <c r="E12" s="14" t="s">
        <v>307</v>
      </c>
      <c r="F12" s="14" t="s">
        <v>307</v>
      </c>
      <c r="G12" s="14" t="s">
        <v>308</v>
      </c>
      <c r="I12" s="14" t="s">
        <v>308</v>
      </c>
    </row>
    <row r="13" spans="1:9" x14ac:dyDescent="0.25">
      <c r="A13" s="14" t="s">
        <v>312</v>
      </c>
      <c r="B13" s="14" t="s">
        <v>313</v>
      </c>
      <c r="C13" s="14" t="s">
        <v>314</v>
      </c>
      <c r="D13" s="14" t="s">
        <v>285</v>
      </c>
      <c r="E13" s="14" t="s">
        <v>307</v>
      </c>
      <c r="F13" s="14" t="s">
        <v>307</v>
      </c>
      <c r="G13" s="14" t="s">
        <v>308</v>
      </c>
      <c r="I13" s="14" t="s">
        <v>308</v>
      </c>
    </row>
    <row r="14" spans="1:9" x14ac:dyDescent="0.25">
      <c r="A14" s="14" t="s">
        <v>263</v>
      </c>
      <c r="B14" s="14" t="s">
        <v>315</v>
      </c>
      <c r="C14" s="14" t="s">
        <v>316</v>
      </c>
      <c r="D14" s="14" t="s">
        <v>285</v>
      </c>
      <c r="E14" s="14" t="s">
        <v>307</v>
      </c>
      <c r="F14" s="14" t="s">
        <v>307</v>
      </c>
      <c r="G14" s="14" t="s">
        <v>308</v>
      </c>
      <c r="I14" s="14" t="s">
        <v>308</v>
      </c>
    </row>
    <row r="15" spans="1:9" x14ac:dyDescent="0.25">
      <c r="A15" s="14" t="s">
        <v>317</v>
      </c>
      <c r="B15" s="14" t="s">
        <v>318</v>
      </c>
      <c r="C15" s="14" t="s">
        <v>319</v>
      </c>
      <c r="D15" s="14" t="s">
        <v>285</v>
      </c>
      <c r="E15" s="14" t="s">
        <v>307</v>
      </c>
      <c r="F15" s="14" t="s">
        <v>307</v>
      </c>
      <c r="G15" s="14" t="s">
        <v>308</v>
      </c>
      <c r="I15" s="14" t="s">
        <v>308</v>
      </c>
    </row>
    <row r="16" spans="1:9" x14ac:dyDescent="0.25">
      <c r="A16" s="14" t="s">
        <v>47</v>
      </c>
      <c r="B16" s="14" t="s">
        <v>320</v>
      </c>
      <c r="C16" s="14" t="s">
        <v>321</v>
      </c>
      <c r="D16" s="14" t="s">
        <v>285</v>
      </c>
      <c r="E16" s="14" t="s">
        <v>307</v>
      </c>
      <c r="F16" s="14" t="s">
        <v>307</v>
      </c>
      <c r="G16" s="14" t="s">
        <v>308</v>
      </c>
      <c r="I16" s="14" t="s">
        <v>308</v>
      </c>
    </row>
    <row r="17" spans="1:9" x14ac:dyDescent="0.25">
      <c r="A17" s="14" t="s">
        <v>322</v>
      </c>
      <c r="B17" s="14" t="s">
        <v>323</v>
      </c>
      <c r="C17" s="14" t="s">
        <v>324</v>
      </c>
      <c r="D17" s="14" t="s">
        <v>325</v>
      </c>
      <c r="E17" s="14" t="s">
        <v>325</v>
      </c>
      <c r="F17" s="14" t="s">
        <v>325</v>
      </c>
      <c r="G17" s="14" t="s">
        <v>326</v>
      </c>
      <c r="I17" s="14" t="s">
        <v>326</v>
      </c>
    </row>
    <row r="18" spans="1:9" x14ac:dyDescent="0.25">
      <c r="A18" s="14" t="s">
        <v>327</v>
      </c>
      <c r="B18" s="14" t="s">
        <v>328</v>
      </c>
      <c r="C18" s="14" t="s">
        <v>329</v>
      </c>
      <c r="D18" s="14" t="s">
        <v>325</v>
      </c>
      <c r="E18" s="14" t="s">
        <v>325</v>
      </c>
      <c r="F18" s="14" t="s">
        <v>325</v>
      </c>
      <c r="G18" s="14" t="s">
        <v>326</v>
      </c>
      <c r="I18" s="14" t="s">
        <v>326</v>
      </c>
    </row>
    <row r="19" spans="1:9" x14ac:dyDescent="0.25">
      <c r="A19" s="14" t="s">
        <v>330</v>
      </c>
      <c r="B19" s="14" t="s">
        <v>331</v>
      </c>
      <c r="C19" s="14" t="s">
        <v>332</v>
      </c>
      <c r="D19" s="14" t="s">
        <v>325</v>
      </c>
      <c r="E19" s="14" t="s">
        <v>325</v>
      </c>
      <c r="F19" s="14" t="s">
        <v>325</v>
      </c>
      <c r="G19" s="14" t="s">
        <v>326</v>
      </c>
      <c r="I19" s="14" t="s">
        <v>326</v>
      </c>
    </row>
    <row r="20" spans="1:9" x14ac:dyDescent="0.25">
      <c r="A20" s="14" t="s">
        <v>333</v>
      </c>
      <c r="B20" s="14" t="s">
        <v>334</v>
      </c>
      <c r="C20" s="14" t="s">
        <v>335</v>
      </c>
      <c r="D20" s="14" t="s">
        <v>285</v>
      </c>
      <c r="E20" s="14" t="s">
        <v>307</v>
      </c>
      <c r="F20" s="14" t="s">
        <v>307</v>
      </c>
      <c r="G20" s="14" t="s">
        <v>308</v>
      </c>
      <c r="I20" s="14" t="s">
        <v>308</v>
      </c>
    </row>
    <row r="21" spans="1:9" x14ac:dyDescent="0.25">
      <c r="A21" s="14" t="s">
        <v>336</v>
      </c>
      <c r="B21" s="14" t="s">
        <v>337</v>
      </c>
      <c r="C21" s="14" t="s">
        <v>338</v>
      </c>
      <c r="D21" s="14" t="s">
        <v>276</v>
      </c>
      <c r="E21" s="14" t="s">
        <v>276</v>
      </c>
      <c r="F21" s="14" t="s">
        <v>276</v>
      </c>
      <c r="G21" s="14" t="s">
        <v>277</v>
      </c>
      <c r="H21" s="14" t="s">
        <v>300</v>
      </c>
      <c r="I21" s="14" t="s">
        <v>277</v>
      </c>
    </row>
    <row r="22" spans="1:9" x14ac:dyDescent="0.25">
      <c r="A22" s="14" t="s">
        <v>339</v>
      </c>
      <c r="B22" s="14" t="s">
        <v>340</v>
      </c>
      <c r="C22" s="14" t="s">
        <v>341</v>
      </c>
      <c r="D22" s="14" t="s">
        <v>276</v>
      </c>
      <c r="E22" s="14" t="s">
        <v>276</v>
      </c>
      <c r="F22" s="14" t="s">
        <v>276</v>
      </c>
      <c r="G22" s="14" t="s">
        <v>277</v>
      </c>
      <c r="H22" s="14" t="s">
        <v>278</v>
      </c>
      <c r="I22" s="14" t="s">
        <v>277</v>
      </c>
    </row>
    <row r="23" spans="1:9" x14ac:dyDescent="0.25">
      <c r="A23" s="14" t="s">
        <v>342</v>
      </c>
      <c r="B23" s="14" t="s">
        <v>343</v>
      </c>
      <c r="C23" s="14" t="s">
        <v>344</v>
      </c>
      <c r="D23" s="14" t="s">
        <v>276</v>
      </c>
      <c r="E23" s="14" t="s">
        <v>276</v>
      </c>
      <c r="F23" s="14" t="s">
        <v>276</v>
      </c>
      <c r="G23" s="14" t="s">
        <v>277</v>
      </c>
      <c r="H23" s="14" t="s">
        <v>300</v>
      </c>
      <c r="I23" s="14" t="s">
        <v>277</v>
      </c>
    </row>
    <row r="24" spans="1:9" x14ac:dyDescent="0.25">
      <c r="A24" s="14" t="s">
        <v>345</v>
      </c>
      <c r="B24" s="14" t="s">
        <v>346</v>
      </c>
      <c r="C24" s="14" t="s">
        <v>347</v>
      </c>
      <c r="D24" s="14" t="s">
        <v>348</v>
      </c>
      <c r="E24" s="14" t="s">
        <v>348</v>
      </c>
      <c r="F24" s="14" t="s">
        <v>348</v>
      </c>
      <c r="G24" s="14" t="s">
        <v>349</v>
      </c>
      <c r="H24" s="14" t="s">
        <v>350</v>
      </c>
      <c r="I24" s="24" t="s">
        <v>348</v>
      </c>
    </row>
    <row r="25" spans="1:9" x14ac:dyDescent="0.25">
      <c r="A25" s="14" t="s">
        <v>351</v>
      </c>
      <c r="B25" s="14" t="s">
        <v>352</v>
      </c>
      <c r="C25" s="14" t="s">
        <v>353</v>
      </c>
      <c r="D25" s="14" t="s">
        <v>348</v>
      </c>
      <c r="E25" s="14" t="s">
        <v>348</v>
      </c>
      <c r="F25" s="14" t="s">
        <v>348</v>
      </c>
      <c r="G25" s="14" t="s">
        <v>349</v>
      </c>
      <c r="H25" s="14" t="s">
        <v>350</v>
      </c>
      <c r="I25" s="14" t="s">
        <v>348</v>
      </c>
    </row>
    <row r="26" spans="1:9" x14ac:dyDescent="0.25">
      <c r="A26" s="14" t="s">
        <v>354</v>
      </c>
      <c r="B26" s="14" t="s">
        <v>355</v>
      </c>
      <c r="C26" s="14" t="s">
        <v>356</v>
      </c>
      <c r="D26" s="14" t="s">
        <v>276</v>
      </c>
      <c r="E26" s="14" t="s">
        <v>276</v>
      </c>
      <c r="F26" s="14" t="s">
        <v>276</v>
      </c>
      <c r="G26" s="14" t="s">
        <v>277</v>
      </c>
      <c r="H26" s="14" t="s">
        <v>357</v>
      </c>
      <c r="I26" s="14" t="s">
        <v>277</v>
      </c>
    </row>
    <row r="27" spans="1:9" x14ac:dyDescent="0.25">
      <c r="A27" s="14" t="s">
        <v>358</v>
      </c>
      <c r="B27" s="14" t="s">
        <v>359</v>
      </c>
      <c r="C27" s="14" t="s">
        <v>360</v>
      </c>
      <c r="D27" s="14" t="s">
        <v>348</v>
      </c>
      <c r="E27" s="14" t="s">
        <v>348</v>
      </c>
      <c r="F27" s="14" t="s">
        <v>348</v>
      </c>
      <c r="G27" s="14" t="s">
        <v>349</v>
      </c>
      <c r="I27" s="14" t="s">
        <v>348</v>
      </c>
    </row>
    <row r="28" spans="1:9" x14ac:dyDescent="0.25">
      <c r="A28" s="14" t="s">
        <v>361</v>
      </c>
      <c r="B28" s="14" t="s">
        <v>362</v>
      </c>
      <c r="C28" s="14" t="s">
        <v>363</v>
      </c>
      <c r="D28" s="14" t="s">
        <v>348</v>
      </c>
      <c r="E28" s="14" t="s">
        <v>348</v>
      </c>
      <c r="F28" s="14" t="s">
        <v>348</v>
      </c>
      <c r="G28" s="14" t="s">
        <v>349</v>
      </c>
      <c r="H28" s="14" t="s">
        <v>304</v>
      </c>
      <c r="I28" s="14" t="s">
        <v>348</v>
      </c>
    </row>
    <row r="29" spans="1:9" x14ac:dyDescent="0.25">
      <c r="A29" s="14" t="s">
        <v>364</v>
      </c>
      <c r="B29" s="14" t="s">
        <v>365</v>
      </c>
      <c r="C29" s="14" t="s">
        <v>366</v>
      </c>
      <c r="D29" s="14" t="s">
        <v>325</v>
      </c>
      <c r="E29" s="14" t="s">
        <v>325</v>
      </c>
      <c r="F29" s="14" t="s">
        <v>325</v>
      </c>
      <c r="G29" s="14" t="s">
        <v>326</v>
      </c>
      <c r="I29" s="14" t="s">
        <v>326</v>
      </c>
    </row>
    <row r="30" spans="1:9" x14ac:dyDescent="0.25">
      <c r="A30" s="14" t="s">
        <v>367</v>
      </c>
      <c r="B30" s="14" t="s">
        <v>368</v>
      </c>
      <c r="C30" s="14" t="s">
        <v>369</v>
      </c>
      <c r="D30" s="14" t="s">
        <v>325</v>
      </c>
      <c r="E30" s="14" t="s">
        <v>325</v>
      </c>
      <c r="F30" s="14" t="s">
        <v>325</v>
      </c>
      <c r="G30" s="14" t="s">
        <v>326</v>
      </c>
      <c r="I30" s="14" t="s">
        <v>326</v>
      </c>
    </row>
    <row r="31" spans="1:9" x14ac:dyDescent="0.25">
      <c r="A31" s="14" t="s">
        <v>370</v>
      </c>
      <c r="B31" s="14" t="s">
        <v>371</v>
      </c>
      <c r="C31" s="14" t="s">
        <v>372</v>
      </c>
      <c r="D31" s="14" t="s">
        <v>373</v>
      </c>
      <c r="E31" s="14" t="s">
        <v>374</v>
      </c>
      <c r="F31" s="14" t="s">
        <v>374</v>
      </c>
      <c r="G31" s="14" t="s">
        <v>375</v>
      </c>
      <c r="I31" s="24" t="s">
        <v>1389</v>
      </c>
    </row>
    <row r="32" spans="1:9" x14ac:dyDescent="0.25">
      <c r="A32" s="14" t="s">
        <v>260</v>
      </c>
      <c r="B32" s="14" t="s">
        <v>376</v>
      </c>
      <c r="C32" s="14" t="s">
        <v>377</v>
      </c>
      <c r="D32" s="14" t="s">
        <v>285</v>
      </c>
      <c r="E32" s="14" t="s">
        <v>307</v>
      </c>
      <c r="F32" s="14" t="s">
        <v>307</v>
      </c>
      <c r="G32" s="14" t="s">
        <v>378</v>
      </c>
      <c r="I32" s="14" t="s">
        <v>378</v>
      </c>
    </row>
    <row r="33" spans="1:9" x14ac:dyDescent="0.25">
      <c r="A33" s="14" t="s">
        <v>54</v>
      </c>
      <c r="B33" s="14" t="s">
        <v>379</v>
      </c>
      <c r="C33" s="14" t="s">
        <v>380</v>
      </c>
      <c r="D33" s="14" t="s">
        <v>285</v>
      </c>
      <c r="E33" s="14" t="s">
        <v>307</v>
      </c>
      <c r="F33" s="14" t="s">
        <v>307</v>
      </c>
      <c r="G33" s="14" t="s">
        <v>378</v>
      </c>
      <c r="I33" s="14" t="s">
        <v>378</v>
      </c>
    </row>
    <row r="34" spans="1:9" x14ac:dyDescent="0.25">
      <c r="A34" s="14" t="s">
        <v>381</v>
      </c>
      <c r="B34" s="14" t="s">
        <v>382</v>
      </c>
      <c r="C34" s="14" t="s">
        <v>383</v>
      </c>
      <c r="D34" s="14" t="s">
        <v>285</v>
      </c>
      <c r="E34" s="14" t="s">
        <v>307</v>
      </c>
      <c r="F34" s="14" t="s">
        <v>307</v>
      </c>
      <c r="G34" s="14" t="s">
        <v>378</v>
      </c>
      <c r="I34" s="14" t="s">
        <v>378</v>
      </c>
    </row>
    <row r="35" spans="1:9" x14ac:dyDescent="0.25">
      <c r="A35" s="14" t="s">
        <v>384</v>
      </c>
      <c r="B35" s="14" t="s">
        <v>385</v>
      </c>
      <c r="C35" s="14" t="s">
        <v>386</v>
      </c>
      <c r="D35" s="14" t="s">
        <v>285</v>
      </c>
      <c r="E35" s="14" t="s">
        <v>307</v>
      </c>
      <c r="F35" s="14" t="s">
        <v>307</v>
      </c>
      <c r="G35" s="14" t="s">
        <v>378</v>
      </c>
      <c r="I35" s="14" t="s">
        <v>378</v>
      </c>
    </row>
    <row r="36" spans="1:9" x14ac:dyDescent="0.25">
      <c r="A36" s="14" t="s">
        <v>387</v>
      </c>
      <c r="B36" s="14" t="s">
        <v>388</v>
      </c>
      <c r="C36" s="14" t="s">
        <v>389</v>
      </c>
      <c r="D36" s="14" t="s">
        <v>285</v>
      </c>
      <c r="E36" s="14" t="s">
        <v>307</v>
      </c>
      <c r="F36" s="14" t="s">
        <v>307</v>
      </c>
      <c r="G36" s="14" t="s">
        <v>378</v>
      </c>
      <c r="I36" s="14" t="s">
        <v>378</v>
      </c>
    </row>
    <row r="37" spans="1:9" x14ac:dyDescent="0.25">
      <c r="A37" s="14" t="s">
        <v>390</v>
      </c>
      <c r="B37" s="14" t="s">
        <v>391</v>
      </c>
      <c r="C37" s="14" t="s">
        <v>392</v>
      </c>
      <c r="D37" s="14" t="s">
        <v>285</v>
      </c>
      <c r="E37" s="14" t="s">
        <v>307</v>
      </c>
      <c r="F37" s="14" t="s">
        <v>307</v>
      </c>
      <c r="G37" s="14" t="s">
        <v>378</v>
      </c>
      <c r="I37" s="14" t="s">
        <v>378</v>
      </c>
    </row>
    <row r="38" spans="1:9" x14ac:dyDescent="0.25">
      <c r="A38" s="14" t="s">
        <v>393</v>
      </c>
      <c r="B38" s="14" t="s">
        <v>394</v>
      </c>
      <c r="C38" s="14" t="s">
        <v>395</v>
      </c>
      <c r="D38" s="14" t="s">
        <v>373</v>
      </c>
      <c r="E38" s="14" t="s">
        <v>374</v>
      </c>
      <c r="F38" s="14" t="s">
        <v>374</v>
      </c>
      <c r="G38" s="14" t="s">
        <v>396</v>
      </c>
      <c r="I38" s="24" t="s">
        <v>1389</v>
      </c>
    </row>
    <row r="39" spans="1:9" x14ac:dyDescent="0.25">
      <c r="A39" s="14" t="s">
        <v>397</v>
      </c>
      <c r="B39" s="14" t="s">
        <v>398</v>
      </c>
      <c r="C39" s="14" t="s">
        <v>399</v>
      </c>
      <c r="D39" s="14" t="s">
        <v>373</v>
      </c>
      <c r="E39" s="14" t="s">
        <v>374</v>
      </c>
      <c r="F39" s="14" t="s">
        <v>374</v>
      </c>
      <c r="G39" s="14" t="s">
        <v>396</v>
      </c>
      <c r="I39" s="24" t="s">
        <v>1389</v>
      </c>
    </row>
    <row r="40" spans="1:9" x14ac:dyDescent="0.25">
      <c r="A40" s="14" t="s">
        <v>400</v>
      </c>
      <c r="B40" s="14" t="s">
        <v>401</v>
      </c>
      <c r="C40" s="14" t="s">
        <v>402</v>
      </c>
      <c r="D40" s="14" t="s">
        <v>373</v>
      </c>
      <c r="E40" s="14" t="s">
        <v>374</v>
      </c>
      <c r="F40" s="14" t="s">
        <v>374</v>
      </c>
      <c r="G40" s="14" t="s">
        <v>396</v>
      </c>
      <c r="I40" s="24" t="s">
        <v>1389</v>
      </c>
    </row>
    <row r="41" spans="1:9" x14ac:dyDescent="0.25">
      <c r="A41" s="14" t="s">
        <v>403</v>
      </c>
      <c r="B41" s="14" t="s">
        <v>404</v>
      </c>
      <c r="C41" s="14" t="s">
        <v>405</v>
      </c>
      <c r="D41" s="14" t="s">
        <v>373</v>
      </c>
      <c r="E41" s="14" t="s">
        <v>374</v>
      </c>
      <c r="F41" s="14" t="s">
        <v>374</v>
      </c>
      <c r="G41" s="14" t="s">
        <v>396</v>
      </c>
      <c r="I41" s="24" t="s">
        <v>1389</v>
      </c>
    </row>
    <row r="42" spans="1:9" x14ac:dyDescent="0.25">
      <c r="A42" s="14" t="s">
        <v>406</v>
      </c>
      <c r="B42" s="14" t="s">
        <v>407</v>
      </c>
      <c r="C42" s="14" t="s">
        <v>408</v>
      </c>
      <c r="D42" s="14" t="s">
        <v>373</v>
      </c>
      <c r="E42" s="14" t="s">
        <v>374</v>
      </c>
      <c r="F42" s="14" t="s">
        <v>374</v>
      </c>
      <c r="G42" s="14" t="s">
        <v>396</v>
      </c>
      <c r="I42" s="24" t="s">
        <v>1389</v>
      </c>
    </row>
    <row r="43" spans="1:9" x14ac:dyDescent="0.25">
      <c r="A43" s="14" t="s">
        <v>255</v>
      </c>
      <c r="B43" s="14" t="s">
        <v>409</v>
      </c>
      <c r="C43" s="14" t="s">
        <v>410</v>
      </c>
      <c r="D43" s="14" t="s">
        <v>325</v>
      </c>
      <c r="E43" s="14" t="s">
        <v>325</v>
      </c>
      <c r="F43" s="14" t="s">
        <v>325</v>
      </c>
      <c r="G43" s="14" t="s">
        <v>411</v>
      </c>
      <c r="I43" s="14" t="s">
        <v>411</v>
      </c>
    </row>
    <row r="44" spans="1:9" x14ac:dyDescent="0.25">
      <c r="A44" s="14" t="s">
        <v>36</v>
      </c>
      <c r="B44" s="14" t="s">
        <v>412</v>
      </c>
      <c r="C44" s="14" t="s">
        <v>413</v>
      </c>
      <c r="D44" s="14" t="s">
        <v>285</v>
      </c>
      <c r="E44" s="14" t="s">
        <v>286</v>
      </c>
      <c r="F44" s="14" t="s">
        <v>286</v>
      </c>
      <c r="G44" s="14" t="s">
        <v>287</v>
      </c>
      <c r="I44" s="14" t="s">
        <v>287</v>
      </c>
    </row>
    <row r="45" spans="1:9" x14ac:dyDescent="0.25">
      <c r="A45" s="14" t="s">
        <v>414</v>
      </c>
      <c r="B45" s="14" t="s">
        <v>415</v>
      </c>
      <c r="C45" s="14" t="s">
        <v>416</v>
      </c>
      <c r="D45" s="14" t="s">
        <v>285</v>
      </c>
      <c r="E45" s="14" t="s">
        <v>286</v>
      </c>
      <c r="F45" s="14" t="s">
        <v>286</v>
      </c>
      <c r="G45" s="14" t="s">
        <v>287</v>
      </c>
      <c r="I45" s="14" t="s">
        <v>287</v>
      </c>
    </row>
    <row r="46" spans="1:9" x14ac:dyDescent="0.25">
      <c r="A46" s="14" t="s">
        <v>417</v>
      </c>
      <c r="B46" s="14" t="s">
        <v>418</v>
      </c>
      <c r="C46" s="14" t="s">
        <v>419</v>
      </c>
      <c r="D46" s="14" t="s">
        <v>420</v>
      </c>
      <c r="E46" s="14" t="s">
        <v>420</v>
      </c>
      <c r="F46" s="14" t="s">
        <v>420</v>
      </c>
      <c r="G46" s="14" t="s">
        <v>418</v>
      </c>
      <c r="I46" s="24" t="s">
        <v>2937</v>
      </c>
    </row>
    <row r="47" spans="1:9" x14ac:dyDescent="0.25">
      <c r="A47" s="14" t="s">
        <v>421</v>
      </c>
      <c r="B47" s="14" t="s">
        <v>422</v>
      </c>
      <c r="C47" s="14" t="s">
        <v>423</v>
      </c>
      <c r="D47" s="14" t="s">
        <v>285</v>
      </c>
      <c r="E47" s="14" t="s">
        <v>286</v>
      </c>
      <c r="F47" s="14" t="s">
        <v>286</v>
      </c>
      <c r="G47" s="14" t="s">
        <v>287</v>
      </c>
      <c r="I47" s="14" t="s">
        <v>287</v>
      </c>
    </row>
    <row r="48" spans="1:9" x14ac:dyDescent="0.25">
      <c r="A48" s="14" t="s">
        <v>424</v>
      </c>
      <c r="B48" s="14" t="s">
        <v>425</v>
      </c>
      <c r="C48" s="14" t="s">
        <v>426</v>
      </c>
      <c r="D48" s="14" t="s">
        <v>285</v>
      </c>
      <c r="E48" s="14" t="s">
        <v>286</v>
      </c>
      <c r="F48" s="14" t="s">
        <v>286</v>
      </c>
      <c r="G48" s="14" t="s">
        <v>287</v>
      </c>
      <c r="I48" s="14" t="s">
        <v>287</v>
      </c>
    </row>
    <row r="49" spans="1:9" x14ac:dyDescent="0.25">
      <c r="A49" s="14" t="s">
        <v>427</v>
      </c>
      <c r="B49" s="14" t="s">
        <v>428</v>
      </c>
      <c r="C49" s="14" t="s">
        <v>429</v>
      </c>
      <c r="D49" s="14" t="s">
        <v>325</v>
      </c>
      <c r="E49" s="14" t="s">
        <v>325</v>
      </c>
      <c r="F49" s="14" t="s">
        <v>325</v>
      </c>
      <c r="G49" s="14" t="s">
        <v>326</v>
      </c>
      <c r="I49" s="14" t="s">
        <v>326</v>
      </c>
    </row>
    <row r="50" spans="1:9" x14ac:dyDescent="0.25">
      <c r="A50" s="14" t="s">
        <v>430</v>
      </c>
      <c r="B50" s="14" t="s">
        <v>431</v>
      </c>
      <c r="C50" s="14" t="s">
        <v>432</v>
      </c>
      <c r="D50" s="14" t="s">
        <v>373</v>
      </c>
      <c r="E50" s="14" t="s">
        <v>373</v>
      </c>
      <c r="F50" s="14" t="s">
        <v>373</v>
      </c>
      <c r="G50" s="14" t="s">
        <v>373</v>
      </c>
      <c r="I50" s="14" t="s">
        <v>373</v>
      </c>
    </row>
    <row r="51" spans="1:9" x14ac:dyDescent="0.25">
      <c r="A51" s="14" t="s">
        <v>433</v>
      </c>
      <c r="B51" s="14" t="s">
        <v>434</v>
      </c>
      <c r="C51" s="14" t="s">
        <v>435</v>
      </c>
      <c r="D51" s="14" t="s">
        <v>373</v>
      </c>
      <c r="E51" s="14" t="s">
        <v>373</v>
      </c>
      <c r="F51" s="14" t="s">
        <v>373</v>
      </c>
      <c r="G51" s="14" t="s">
        <v>373</v>
      </c>
      <c r="I51" s="14" t="s">
        <v>373</v>
      </c>
    </row>
    <row r="52" spans="1:9" x14ac:dyDescent="0.25">
      <c r="A52" s="14" t="s">
        <v>436</v>
      </c>
      <c r="B52" s="14" t="s">
        <v>437</v>
      </c>
      <c r="C52" s="14" t="s">
        <v>438</v>
      </c>
      <c r="D52" s="14" t="s">
        <v>373</v>
      </c>
      <c r="E52" s="14" t="s">
        <v>373</v>
      </c>
      <c r="F52" s="14" t="s">
        <v>373</v>
      </c>
      <c r="G52" s="14" t="s">
        <v>439</v>
      </c>
      <c r="I52" s="14" t="s">
        <v>439</v>
      </c>
    </row>
    <row r="53" spans="1:9" x14ac:dyDescent="0.25">
      <c r="A53" s="14" t="s">
        <v>440</v>
      </c>
      <c r="B53" s="14" t="s">
        <v>441</v>
      </c>
      <c r="C53" s="14" t="s">
        <v>442</v>
      </c>
      <c r="D53" s="14" t="s">
        <v>373</v>
      </c>
      <c r="E53" s="14" t="s">
        <v>373</v>
      </c>
      <c r="F53" s="14" t="s">
        <v>373</v>
      </c>
      <c r="G53" s="14" t="s">
        <v>443</v>
      </c>
      <c r="I53" s="14" t="s">
        <v>443</v>
      </c>
    </row>
    <row r="54" spans="1:9" x14ac:dyDescent="0.25">
      <c r="A54" s="14" t="s">
        <v>444</v>
      </c>
      <c r="B54" s="14" t="s">
        <v>445</v>
      </c>
      <c r="C54" s="14" t="s">
        <v>446</v>
      </c>
      <c r="D54" s="14" t="s">
        <v>373</v>
      </c>
      <c r="E54" s="14" t="s">
        <v>373</v>
      </c>
      <c r="F54" s="14" t="s">
        <v>373</v>
      </c>
      <c r="G54" s="14" t="s">
        <v>447</v>
      </c>
      <c r="I54" s="14" t="s">
        <v>447</v>
      </c>
    </row>
    <row r="55" spans="1:9" x14ac:dyDescent="0.25">
      <c r="A55" s="14" t="s">
        <v>448</v>
      </c>
      <c r="B55" s="14" t="s">
        <v>449</v>
      </c>
      <c r="C55" s="14" t="s">
        <v>450</v>
      </c>
      <c r="D55" s="14" t="s">
        <v>276</v>
      </c>
      <c r="E55" s="14" t="s">
        <v>276</v>
      </c>
      <c r="F55" s="14" t="s">
        <v>276</v>
      </c>
      <c r="G55" s="14" t="s">
        <v>443</v>
      </c>
      <c r="I55" s="14" t="s">
        <v>443</v>
      </c>
    </row>
    <row r="56" spans="1:9" x14ac:dyDescent="0.25">
      <c r="A56" s="14" t="s">
        <v>451</v>
      </c>
      <c r="B56" s="14" t="s">
        <v>452</v>
      </c>
      <c r="C56" s="14" t="s">
        <v>453</v>
      </c>
      <c r="D56" s="14" t="s">
        <v>276</v>
      </c>
      <c r="E56" s="14" t="s">
        <v>276</v>
      </c>
      <c r="F56" s="14" t="s">
        <v>276</v>
      </c>
      <c r="G56" s="14" t="s">
        <v>443</v>
      </c>
      <c r="I56" s="14" t="s">
        <v>443</v>
      </c>
    </row>
    <row r="57" spans="1:9" x14ac:dyDescent="0.25">
      <c r="A57" s="14" t="s">
        <v>454</v>
      </c>
      <c r="B57" s="14" t="s">
        <v>455</v>
      </c>
      <c r="C57" s="14" t="s">
        <v>456</v>
      </c>
      <c r="D57" s="14" t="s">
        <v>276</v>
      </c>
      <c r="E57" s="14" t="s">
        <v>276</v>
      </c>
      <c r="F57" s="14" t="s">
        <v>276</v>
      </c>
      <c r="G57" s="14" t="s">
        <v>443</v>
      </c>
      <c r="I57" s="14" t="s">
        <v>443</v>
      </c>
    </row>
    <row r="58" spans="1:9" x14ac:dyDescent="0.25">
      <c r="A58" s="14" t="s">
        <v>457</v>
      </c>
      <c r="B58" s="14" t="s">
        <v>458</v>
      </c>
      <c r="C58" s="14" t="s">
        <v>459</v>
      </c>
      <c r="D58" s="14" t="s">
        <v>285</v>
      </c>
      <c r="E58" s="14" t="s">
        <v>286</v>
      </c>
      <c r="F58" s="14" t="s">
        <v>286</v>
      </c>
      <c r="G58" s="14" t="s">
        <v>460</v>
      </c>
      <c r="I58" s="14" t="s">
        <v>460</v>
      </c>
    </row>
    <row r="59" spans="1:9" x14ac:dyDescent="0.25">
      <c r="A59" s="14" t="s">
        <v>461</v>
      </c>
      <c r="B59" s="14" t="s">
        <v>462</v>
      </c>
      <c r="C59" s="14" t="s">
        <v>463</v>
      </c>
      <c r="D59" s="14" t="s">
        <v>285</v>
      </c>
      <c r="E59" s="14" t="s">
        <v>286</v>
      </c>
      <c r="F59" s="14" t="s">
        <v>286</v>
      </c>
      <c r="G59" s="14" t="s">
        <v>460</v>
      </c>
      <c r="I59" s="14" t="s">
        <v>460</v>
      </c>
    </row>
    <row r="60" spans="1:9" x14ac:dyDescent="0.25">
      <c r="A60" s="14" t="s">
        <v>464</v>
      </c>
      <c r="B60" s="14" t="s">
        <v>465</v>
      </c>
      <c r="C60" s="14" t="s">
        <v>466</v>
      </c>
      <c r="D60" s="14" t="s">
        <v>276</v>
      </c>
      <c r="E60" s="14" t="s">
        <v>276</v>
      </c>
      <c r="F60" s="14" t="s">
        <v>276</v>
      </c>
      <c r="G60" s="14" t="s">
        <v>443</v>
      </c>
      <c r="I60" s="14" t="s">
        <v>443</v>
      </c>
    </row>
    <row r="61" spans="1:9" x14ac:dyDescent="0.25">
      <c r="A61" s="14" t="s">
        <v>467</v>
      </c>
      <c r="B61" s="14" t="s">
        <v>468</v>
      </c>
      <c r="C61" s="14" t="s">
        <v>469</v>
      </c>
      <c r="D61" s="14" t="s">
        <v>276</v>
      </c>
      <c r="E61" s="14" t="s">
        <v>276</v>
      </c>
      <c r="F61" s="14" t="s">
        <v>276</v>
      </c>
      <c r="G61" s="14" t="s">
        <v>443</v>
      </c>
      <c r="I61" s="14" t="s">
        <v>443</v>
      </c>
    </row>
    <row r="62" spans="1:9" x14ac:dyDescent="0.25">
      <c r="A62" s="14" t="s">
        <v>470</v>
      </c>
      <c r="B62" s="14" t="s">
        <v>471</v>
      </c>
      <c r="C62" s="14" t="s">
        <v>472</v>
      </c>
      <c r="D62" s="14" t="s">
        <v>276</v>
      </c>
      <c r="E62" s="14" t="s">
        <v>276</v>
      </c>
      <c r="F62" s="14" t="s">
        <v>276</v>
      </c>
      <c r="G62" s="14" t="s">
        <v>443</v>
      </c>
      <c r="I62" s="14" t="s">
        <v>443</v>
      </c>
    </row>
    <row r="63" spans="1:9" x14ac:dyDescent="0.25">
      <c r="A63" s="14" t="s">
        <v>473</v>
      </c>
      <c r="B63" s="14" t="s">
        <v>474</v>
      </c>
      <c r="C63" s="14" t="s">
        <v>475</v>
      </c>
      <c r="D63" s="14" t="s">
        <v>373</v>
      </c>
      <c r="E63" s="14" t="s">
        <v>374</v>
      </c>
      <c r="F63" s="14" t="s">
        <v>374</v>
      </c>
      <c r="G63" s="14" t="s">
        <v>396</v>
      </c>
      <c r="I63" s="24" t="s">
        <v>1389</v>
      </c>
    </row>
    <row r="64" spans="1:9" x14ac:dyDescent="0.25">
      <c r="A64" s="14" t="s">
        <v>476</v>
      </c>
      <c r="B64" s="14" t="s">
        <v>477</v>
      </c>
      <c r="C64" s="14" t="s">
        <v>478</v>
      </c>
      <c r="D64" s="14" t="s">
        <v>276</v>
      </c>
      <c r="E64" s="14" t="s">
        <v>276</v>
      </c>
      <c r="F64" s="14" t="s">
        <v>276</v>
      </c>
      <c r="G64" s="14" t="s">
        <v>443</v>
      </c>
      <c r="I64" s="14" t="s">
        <v>443</v>
      </c>
    </row>
    <row r="65" spans="1:9" x14ac:dyDescent="0.25">
      <c r="A65" s="14" t="s">
        <v>479</v>
      </c>
      <c r="B65" s="14" t="s">
        <v>480</v>
      </c>
      <c r="C65" s="14" t="s">
        <v>481</v>
      </c>
      <c r="D65" s="14" t="s">
        <v>276</v>
      </c>
      <c r="E65" s="14" t="s">
        <v>276</v>
      </c>
      <c r="F65" s="14" t="s">
        <v>276</v>
      </c>
      <c r="G65" s="14" t="s">
        <v>443</v>
      </c>
      <c r="I65" s="14" t="s">
        <v>443</v>
      </c>
    </row>
    <row r="66" spans="1:9" x14ac:dyDescent="0.25">
      <c r="A66" s="14" t="s">
        <v>482</v>
      </c>
      <c r="B66" s="14" t="s">
        <v>483</v>
      </c>
      <c r="C66" s="14" t="s">
        <v>484</v>
      </c>
      <c r="D66" s="14" t="s">
        <v>285</v>
      </c>
      <c r="E66" s="14" t="s">
        <v>307</v>
      </c>
      <c r="F66" s="14" t="s">
        <v>307</v>
      </c>
      <c r="G66" s="14" t="s">
        <v>378</v>
      </c>
      <c r="I66" s="14" t="s">
        <v>378</v>
      </c>
    </row>
    <row r="67" spans="1:9" x14ac:dyDescent="0.25">
      <c r="A67" s="14" t="s">
        <v>485</v>
      </c>
      <c r="B67" s="14" t="s">
        <v>486</v>
      </c>
      <c r="C67" s="14" t="s">
        <v>487</v>
      </c>
      <c r="D67" s="14" t="s">
        <v>276</v>
      </c>
      <c r="E67" s="14" t="s">
        <v>276</v>
      </c>
      <c r="F67" s="14" t="s">
        <v>276</v>
      </c>
      <c r="G67" s="14" t="s">
        <v>443</v>
      </c>
      <c r="I67" s="14" t="s">
        <v>443</v>
      </c>
    </row>
    <row r="68" spans="1:9" x14ac:dyDescent="0.25">
      <c r="A68" s="14" t="s">
        <v>488</v>
      </c>
      <c r="B68" s="14" t="s">
        <v>489</v>
      </c>
      <c r="C68" s="14" t="s">
        <v>490</v>
      </c>
      <c r="D68" s="14" t="s">
        <v>276</v>
      </c>
      <c r="E68" s="14" t="s">
        <v>276</v>
      </c>
      <c r="F68" s="14" t="s">
        <v>276</v>
      </c>
      <c r="G68" s="14" t="s">
        <v>443</v>
      </c>
      <c r="I68" s="14" t="s">
        <v>443</v>
      </c>
    </row>
    <row r="69" spans="1:9" x14ac:dyDescent="0.25">
      <c r="A69" s="14" t="s">
        <v>491</v>
      </c>
      <c r="B69" s="14" t="s">
        <v>492</v>
      </c>
      <c r="C69" s="14" t="s">
        <v>493</v>
      </c>
      <c r="D69" s="14" t="s">
        <v>373</v>
      </c>
      <c r="E69" s="14" t="s">
        <v>373</v>
      </c>
      <c r="F69" s="14" t="s">
        <v>373</v>
      </c>
      <c r="G69" s="14" t="s">
        <v>373</v>
      </c>
      <c r="I69" s="14" t="s">
        <v>373</v>
      </c>
    </row>
    <row r="70" spans="1:9" x14ac:dyDescent="0.25">
      <c r="A70" s="14" t="s">
        <v>494</v>
      </c>
      <c r="B70" s="14" t="s">
        <v>495</v>
      </c>
      <c r="C70" s="14" t="s">
        <v>496</v>
      </c>
      <c r="D70" s="14" t="s">
        <v>276</v>
      </c>
      <c r="E70" s="14" t="s">
        <v>276</v>
      </c>
      <c r="F70" s="14" t="s">
        <v>276</v>
      </c>
      <c r="G70" s="14" t="s">
        <v>443</v>
      </c>
      <c r="I70" s="14" t="s">
        <v>443</v>
      </c>
    </row>
    <row r="71" spans="1:9" x14ac:dyDescent="0.25">
      <c r="A71" s="14" t="s">
        <v>497</v>
      </c>
      <c r="B71" s="14" t="s">
        <v>498</v>
      </c>
      <c r="C71" s="14" t="s">
        <v>499</v>
      </c>
      <c r="D71" s="14" t="s">
        <v>285</v>
      </c>
      <c r="E71" s="14" t="s">
        <v>286</v>
      </c>
      <c r="F71" s="14" t="s">
        <v>286</v>
      </c>
      <c r="G71" s="14" t="s">
        <v>287</v>
      </c>
      <c r="I71" s="14" t="s">
        <v>287</v>
      </c>
    </row>
    <row r="72" spans="1:9" x14ac:dyDescent="0.25">
      <c r="A72" s="14" t="s">
        <v>500</v>
      </c>
      <c r="B72" s="14" t="s">
        <v>501</v>
      </c>
      <c r="C72" s="14" t="s">
        <v>502</v>
      </c>
      <c r="D72" s="14" t="s">
        <v>373</v>
      </c>
      <c r="E72" s="14" t="s">
        <v>447</v>
      </c>
      <c r="F72" s="14" t="s">
        <v>447</v>
      </c>
      <c r="G72" s="14" t="s">
        <v>447</v>
      </c>
      <c r="I72" s="14" t="s">
        <v>447</v>
      </c>
    </row>
    <row r="73" spans="1:9" x14ac:dyDescent="0.25">
      <c r="A73" s="14" t="s">
        <v>503</v>
      </c>
      <c r="B73" s="14" t="s">
        <v>504</v>
      </c>
      <c r="C73" s="14" t="s">
        <v>505</v>
      </c>
      <c r="D73" s="14" t="s">
        <v>276</v>
      </c>
      <c r="E73" s="14" t="s">
        <v>276</v>
      </c>
      <c r="F73" s="14" t="s">
        <v>276</v>
      </c>
      <c r="G73" s="14" t="s">
        <v>443</v>
      </c>
      <c r="I73" s="14" t="s">
        <v>443</v>
      </c>
    </row>
    <row r="74" spans="1:9" x14ac:dyDescent="0.25">
      <c r="A74" s="14" t="s">
        <v>506</v>
      </c>
      <c r="B74" s="14" t="s">
        <v>507</v>
      </c>
      <c r="C74" s="14" t="s">
        <v>508</v>
      </c>
      <c r="D74" s="14" t="s">
        <v>276</v>
      </c>
      <c r="E74" s="14" t="s">
        <v>276</v>
      </c>
      <c r="F74" s="14" t="s">
        <v>276</v>
      </c>
      <c r="G74" s="14" t="s">
        <v>443</v>
      </c>
      <c r="I74" s="14" t="s">
        <v>443</v>
      </c>
    </row>
    <row r="75" spans="1:9" x14ac:dyDescent="0.25">
      <c r="A75" s="14" t="s">
        <v>509</v>
      </c>
      <c r="B75" s="14" t="s">
        <v>510</v>
      </c>
      <c r="C75" s="14" t="s">
        <v>511</v>
      </c>
      <c r="D75" s="14" t="s">
        <v>285</v>
      </c>
      <c r="E75" s="14" t="s">
        <v>286</v>
      </c>
      <c r="F75" s="14" t="s">
        <v>286</v>
      </c>
      <c r="G75" s="14" t="s">
        <v>460</v>
      </c>
      <c r="I75" s="14" t="s">
        <v>460</v>
      </c>
    </row>
    <row r="76" spans="1:9" x14ac:dyDescent="0.25">
      <c r="A76" s="14" t="s">
        <v>512</v>
      </c>
      <c r="B76" s="14" t="s">
        <v>513</v>
      </c>
      <c r="C76" s="14" t="s">
        <v>514</v>
      </c>
      <c r="D76" s="14" t="s">
        <v>285</v>
      </c>
      <c r="E76" s="14" t="s">
        <v>286</v>
      </c>
      <c r="F76" s="14" t="s">
        <v>286</v>
      </c>
      <c r="G76" s="14" t="s">
        <v>460</v>
      </c>
      <c r="I76" s="14" t="s">
        <v>460</v>
      </c>
    </row>
    <row r="77" spans="1:9" x14ac:dyDescent="0.25">
      <c r="A77" s="14" t="s">
        <v>515</v>
      </c>
      <c r="B77" s="14" t="s">
        <v>516</v>
      </c>
      <c r="C77" s="14" t="s">
        <v>517</v>
      </c>
      <c r="D77" s="14" t="s">
        <v>276</v>
      </c>
      <c r="E77" s="14" t="s">
        <v>276</v>
      </c>
      <c r="F77" s="14" t="s">
        <v>276</v>
      </c>
      <c r="G77" s="14" t="s">
        <v>443</v>
      </c>
      <c r="I77" s="14" t="s">
        <v>443</v>
      </c>
    </row>
    <row r="78" spans="1:9" x14ac:dyDescent="0.25">
      <c r="A78" s="14" t="s">
        <v>518</v>
      </c>
      <c r="B78" s="14" t="s">
        <v>519</v>
      </c>
      <c r="C78" s="14" t="s">
        <v>520</v>
      </c>
      <c r="D78" s="14" t="s">
        <v>285</v>
      </c>
      <c r="E78" s="14" t="s">
        <v>286</v>
      </c>
      <c r="F78" s="14" t="s">
        <v>286</v>
      </c>
      <c r="G78" s="14" t="s">
        <v>460</v>
      </c>
      <c r="I78" s="14" t="s">
        <v>460</v>
      </c>
    </row>
    <row r="79" spans="1:9" x14ac:dyDescent="0.25">
      <c r="A79" s="14" t="s">
        <v>521</v>
      </c>
      <c r="B79" s="14" t="s">
        <v>522</v>
      </c>
      <c r="C79" s="14" t="s">
        <v>523</v>
      </c>
      <c r="D79" s="14" t="s">
        <v>348</v>
      </c>
      <c r="E79" s="14" t="s">
        <v>348</v>
      </c>
      <c r="F79" s="14" t="s">
        <v>348</v>
      </c>
      <c r="G79" s="14" t="s">
        <v>524</v>
      </c>
      <c r="I79" s="14" t="s">
        <v>524</v>
      </c>
    </row>
    <row r="80" spans="1:9" x14ac:dyDescent="0.25">
      <c r="A80" s="14" t="s">
        <v>525</v>
      </c>
      <c r="B80" s="14" t="s">
        <v>526</v>
      </c>
      <c r="C80" s="14" t="s">
        <v>527</v>
      </c>
      <c r="D80" s="14" t="s">
        <v>325</v>
      </c>
      <c r="E80" s="14" t="s">
        <v>325</v>
      </c>
      <c r="F80" s="14" t="s">
        <v>325</v>
      </c>
      <c r="G80" s="14" t="s">
        <v>411</v>
      </c>
      <c r="I80" s="14" t="s">
        <v>411</v>
      </c>
    </row>
    <row r="81" spans="1:9" x14ac:dyDescent="0.25">
      <c r="A81" s="14" t="s">
        <v>528</v>
      </c>
      <c r="B81" s="14" t="s">
        <v>529</v>
      </c>
      <c r="C81" s="14" t="s">
        <v>530</v>
      </c>
      <c r="D81" s="14" t="s">
        <v>325</v>
      </c>
      <c r="E81" s="14" t="s">
        <v>325</v>
      </c>
      <c r="F81" s="14" t="s">
        <v>325</v>
      </c>
      <c r="G81" s="14" t="s">
        <v>411</v>
      </c>
      <c r="I81" s="14" t="s">
        <v>411</v>
      </c>
    </row>
    <row r="82" spans="1:9" x14ac:dyDescent="0.25">
      <c r="A82" s="14" t="s">
        <v>531</v>
      </c>
      <c r="B82" s="14" t="s">
        <v>532</v>
      </c>
      <c r="C82" s="14" t="s">
        <v>533</v>
      </c>
      <c r="D82" s="14" t="s">
        <v>373</v>
      </c>
      <c r="E82" s="14" t="s">
        <v>374</v>
      </c>
      <c r="F82" s="14" t="s">
        <v>374</v>
      </c>
      <c r="G82" s="14" t="s">
        <v>396</v>
      </c>
      <c r="I82" s="24" t="s">
        <v>1389</v>
      </c>
    </row>
    <row r="83" spans="1:9" x14ac:dyDescent="0.25">
      <c r="A83" s="14" t="s">
        <v>534</v>
      </c>
      <c r="B83" s="14" t="s">
        <v>401</v>
      </c>
      <c r="C83" s="14" t="s">
        <v>535</v>
      </c>
      <c r="D83" s="14" t="s">
        <v>373</v>
      </c>
      <c r="E83" s="14" t="s">
        <v>374</v>
      </c>
      <c r="F83" s="14" t="s">
        <v>374</v>
      </c>
      <c r="G83" s="14" t="s">
        <v>396</v>
      </c>
      <c r="I83" s="24" t="s">
        <v>1389</v>
      </c>
    </row>
    <row r="84" spans="1:9" x14ac:dyDescent="0.25">
      <c r="A84" s="14" t="s">
        <v>536</v>
      </c>
      <c r="B84" s="14" t="s">
        <v>407</v>
      </c>
      <c r="C84" s="14" t="s">
        <v>537</v>
      </c>
      <c r="D84" s="14" t="s">
        <v>373</v>
      </c>
      <c r="E84" s="14" t="s">
        <v>374</v>
      </c>
      <c r="F84" s="14" t="s">
        <v>374</v>
      </c>
      <c r="G84" s="14" t="s">
        <v>396</v>
      </c>
      <c r="I84" s="24" t="s">
        <v>1389</v>
      </c>
    </row>
    <row r="85" spans="1:9" x14ac:dyDescent="0.25">
      <c r="A85" s="14" t="s">
        <v>538</v>
      </c>
      <c r="B85" s="14" t="s">
        <v>539</v>
      </c>
      <c r="C85" s="14" t="s">
        <v>540</v>
      </c>
      <c r="D85" s="14" t="s">
        <v>373</v>
      </c>
      <c r="E85" s="14" t="s">
        <v>374</v>
      </c>
      <c r="F85" s="14" t="s">
        <v>374</v>
      </c>
      <c r="G85" s="14" t="s">
        <v>541</v>
      </c>
      <c r="I85" s="24" t="s">
        <v>1389</v>
      </c>
    </row>
    <row r="86" spans="1:9" x14ac:dyDescent="0.25">
      <c r="A86" s="14" t="s">
        <v>542</v>
      </c>
      <c r="B86" s="14" t="s">
        <v>543</v>
      </c>
      <c r="C86" s="14" t="s">
        <v>544</v>
      </c>
      <c r="D86" s="14" t="s">
        <v>373</v>
      </c>
      <c r="E86" s="14" t="s">
        <v>374</v>
      </c>
      <c r="F86" s="14" t="s">
        <v>374</v>
      </c>
      <c r="G86" s="14" t="s">
        <v>541</v>
      </c>
      <c r="I86" s="24" t="s">
        <v>1389</v>
      </c>
    </row>
    <row r="87" spans="1:9" x14ac:dyDescent="0.25">
      <c r="A87" s="14" t="s">
        <v>545</v>
      </c>
      <c r="B87" s="14" t="s">
        <v>546</v>
      </c>
      <c r="C87" s="14" t="s">
        <v>547</v>
      </c>
      <c r="D87" s="14" t="s">
        <v>373</v>
      </c>
      <c r="E87" s="14" t="s">
        <v>374</v>
      </c>
      <c r="F87" s="14" t="s">
        <v>374</v>
      </c>
      <c r="G87" s="14" t="s">
        <v>541</v>
      </c>
      <c r="I87" s="24" t="s">
        <v>1389</v>
      </c>
    </row>
    <row r="88" spans="1:9" x14ac:dyDescent="0.25">
      <c r="A88" s="14" t="s">
        <v>548</v>
      </c>
      <c r="B88" s="14" t="s">
        <v>549</v>
      </c>
      <c r="C88" s="14" t="s">
        <v>550</v>
      </c>
      <c r="D88" s="14" t="s">
        <v>373</v>
      </c>
      <c r="E88" s="14" t="s">
        <v>374</v>
      </c>
      <c r="F88" s="14" t="s">
        <v>374</v>
      </c>
      <c r="G88" s="14" t="s">
        <v>541</v>
      </c>
      <c r="I88" s="24" t="s">
        <v>1389</v>
      </c>
    </row>
    <row r="89" spans="1:9" x14ac:dyDescent="0.25">
      <c r="A89" s="14" t="s">
        <v>551</v>
      </c>
      <c r="B89" s="14" t="s">
        <v>552</v>
      </c>
      <c r="C89" s="14" t="s">
        <v>553</v>
      </c>
      <c r="D89" s="14" t="s">
        <v>285</v>
      </c>
      <c r="E89" s="14" t="s">
        <v>286</v>
      </c>
      <c r="F89" s="14" t="s">
        <v>286</v>
      </c>
      <c r="G89" s="14" t="s">
        <v>460</v>
      </c>
      <c r="I89" s="14" t="s">
        <v>460</v>
      </c>
    </row>
    <row r="90" spans="1:9" x14ac:dyDescent="0.25">
      <c r="A90" s="14" t="s">
        <v>554</v>
      </c>
      <c r="B90" s="14" t="s">
        <v>555</v>
      </c>
      <c r="C90" s="14" t="s">
        <v>556</v>
      </c>
      <c r="D90" s="14" t="s">
        <v>285</v>
      </c>
      <c r="E90" s="14" t="s">
        <v>286</v>
      </c>
      <c r="F90" s="14" t="s">
        <v>286</v>
      </c>
      <c r="G90" s="14" t="s">
        <v>460</v>
      </c>
      <c r="I90" s="14" t="s">
        <v>460</v>
      </c>
    </row>
    <row r="91" spans="1:9" x14ac:dyDescent="0.25">
      <c r="A91" s="14" t="s">
        <v>557</v>
      </c>
      <c r="B91" s="14" t="s">
        <v>558</v>
      </c>
      <c r="C91" s="14" t="s">
        <v>559</v>
      </c>
      <c r="D91" s="14" t="s">
        <v>285</v>
      </c>
      <c r="E91" s="14" t="s">
        <v>286</v>
      </c>
      <c r="F91" s="14" t="s">
        <v>286</v>
      </c>
      <c r="G91" s="14" t="s">
        <v>460</v>
      </c>
      <c r="I91" s="14" t="s">
        <v>460</v>
      </c>
    </row>
    <row r="92" spans="1:9" x14ac:dyDescent="0.25">
      <c r="A92" s="14" t="s">
        <v>560</v>
      </c>
      <c r="B92" s="14" t="s">
        <v>561</v>
      </c>
      <c r="C92" s="14" t="s">
        <v>562</v>
      </c>
      <c r="D92" s="14" t="s">
        <v>285</v>
      </c>
      <c r="E92" s="14" t="s">
        <v>286</v>
      </c>
      <c r="F92" s="14" t="s">
        <v>286</v>
      </c>
      <c r="G92" s="14" t="s">
        <v>460</v>
      </c>
      <c r="I92" s="14" t="s">
        <v>460</v>
      </c>
    </row>
    <row r="93" spans="1:9" x14ac:dyDescent="0.25">
      <c r="A93" s="14" t="s">
        <v>563</v>
      </c>
      <c r="B93" s="14" t="s">
        <v>564</v>
      </c>
      <c r="C93" s="14" t="s">
        <v>565</v>
      </c>
      <c r="D93" s="14" t="s">
        <v>276</v>
      </c>
      <c r="E93" s="14" t="s">
        <v>276</v>
      </c>
      <c r="F93" s="14" t="s">
        <v>276</v>
      </c>
      <c r="G93" s="14" t="s">
        <v>443</v>
      </c>
      <c r="I93" s="14" t="s">
        <v>443</v>
      </c>
    </row>
    <row r="94" spans="1:9" x14ac:dyDescent="0.25">
      <c r="A94" s="14" t="s">
        <v>566</v>
      </c>
      <c r="B94" s="14" t="s">
        <v>567</v>
      </c>
      <c r="C94" s="14" t="s">
        <v>568</v>
      </c>
      <c r="D94" s="14" t="s">
        <v>276</v>
      </c>
      <c r="E94" s="14" t="s">
        <v>276</v>
      </c>
      <c r="F94" s="14" t="s">
        <v>276</v>
      </c>
      <c r="G94" s="14" t="s">
        <v>443</v>
      </c>
      <c r="I94" s="14" t="s">
        <v>443</v>
      </c>
    </row>
    <row r="95" spans="1:9" x14ac:dyDescent="0.25">
      <c r="A95" s="14" t="s">
        <v>569</v>
      </c>
      <c r="B95" s="14" t="s">
        <v>570</v>
      </c>
      <c r="C95" s="14" t="s">
        <v>571</v>
      </c>
      <c r="D95" s="14" t="s">
        <v>276</v>
      </c>
      <c r="E95" s="14" t="s">
        <v>276</v>
      </c>
      <c r="F95" s="14" t="s">
        <v>276</v>
      </c>
      <c r="G95" s="14" t="s">
        <v>443</v>
      </c>
      <c r="I95" s="14" t="s">
        <v>443</v>
      </c>
    </row>
    <row r="96" spans="1:9" x14ac:dyDescent="0.25">
      <c r="A96" s="14" t="s">
        <v>572</v>
      </c>
      <c r="B96" s="14" t="s">
        <v>573</v>
      </c>
      <c r="C96" s="14" t="s">
        <v>574</v>
      </c>
      <c r="D96" s="14" t="s">
        <v>276</v>
      </c>
      <c r="E96" s="14" t="s">
        <v>276</v>
      </c>
      <c r="F96" s="14" t="s">
        <v>276</v>
      </c>
      <c r="G96" s="14" t="s">
        <v>443</v>
      </c>
      <c r="I96" s="14" t="s">
        <v>443</v>
      </c>
    </row>
    <row r="97" spans="1:9" x14ac:dyDescent="0.25">
      <c r="A97" s="14" t="s">
        <v>575</v>
      </c>
      <c r="B97" s="14" t="s">
        <v>576</v>
      </c>
      <c r="C97" s="14" t="s">
        <v>577</v>
      </c>
      <c r="D97" s="14" t="s">
        <v>276</v>
      </c>
      <c r="E97" s="14" t="s">
        <v>276</v>
      </c>
      <c r="F97" s="14" t="s">
        <v>276</v>
      </c>
      <c r="G97" s="14" t="s">
        <v>443</v>
      </c>
      <c r="I97" s="14" t="s">
        <v>443</v>
      </c>
    </row>
    <row r="98" spans="1:9" x14ac:dyDescent="0.25">
      <c r="A98" s="14" t="s">
        <v>578</v>
      </c>
      <c r="B98" s="14" t="s">
        <v>579</v>
      </c>
      <c r="C98" s="14" t="s">
        <v>580</v>
      </c>
      <c r="D98" s="14" t="s">
        <v>276</v>
      </c>
      <c r="E98" s="14" t="s">
        <v>276</v>
      </c>
      <c r="F98" s="14" t="s">
        <v>276</v>
      </c>
      <c r="G98" s="14" t="s">
        <v>443</v>
      </c>
      <c r="I98" s="14" t="s">
        <v>443</v>
      </c>
    </row>
    <row r="99" spans="1:9" x14ac:dyDescent="0.25">
      <c r="A99" s="14" t="s">
        <v>581</v>
      </c>
      <c r="B99" s="14" t="s">
        <v>582</v>
      </c>
      <c r="C99" s="14" t="s">
        <v>583</v>
      </c>
      <c r="D99" s="14" t="s">
        <v>373</v>
      </c>
      <c r="E99" s="14" t="s">
        <v>373</v>
      </c>
      <c r="F99" s="14" t="s">
        <v>373</v>
      </c>
      <c r="G99" s="14" t="s">
        <v>373</v>
      </c>
      <c r="I99" s="14" t="s">
        <v>373</v>
      </c>
    </row>
    <row r="100" spans="1:9" x14ac:dyDescent="0.25">
      <c r="A100" s="14" t="s">
        <v>584</v>
      </c>
      <c r="B100" s="14" t="s">
        <v>585</v>
      </c>
      <c r="C100" s="14" t="s">
        <v>586</v>
      </c>
      <c r="D100" s="14" t="s">
        <v>373</v>
      </c>
      <c r="E100" s="14" t="s">
        <v>373</v>
      </c>
      <c r="F100" s="14" t="s">
        <v>373</v>
      </c>
      <c r="G100" s="14" t="s">
        <v>373</v>
      </c>
      <c r="I100" s="14" t="s">
        <v>373</v>
      </c>
    </row>
    <row r="101" spans="1:9" x14ac:dyDescent="0.25">
      <c r="A101" s="14" t="s">
        <v>587</v>
      </c>
      <c r="B101" s="14" t="s">
        <v>588</v>
      </c>
      <c r="C101" s="14" t="s">
        <v>589</v>
      </c>
      <c r="D101" s="14" t="s">
        <v>373</v>
      </c>
      <c r="E101" s="14" t="s">
        <v>373</v>
      </c>
      <c r="F101" s="14" t="s">
        <v>373</v>
      </c>
      <c r="G101" s="14" t="s">
        <v>373</v>
      </c>
      <c r="I101" s="14" t="s">
        <v>373</v>
      </c>
    </row>
    <row r="102" spans="1:9" x14ac:dyDescent="0.25">
      <c r="A102" s="14" t="s">
        <v>590</v>
      </c>
      <c r="B102" s="14" t="s">
        <v>591</v>
      </c>
      <c r="C102" s="14" t="s">
        <v>592</v>
      </c>
      <c r="D102" s="14" t="s">
        <v>373</v>
      </c>
      <c r="E102" s="14" t="s">
        <v>373</v>
      </c>
      <c r="F102" s="14" t="s">
        <v>373</v>
      </c>
      <c r="G102" s="14" t="s">
        <v>373</v>
      </c>
      <c r="I102" s="14" t="s">
        <v>373</v>
      </c>
    </row>
    <row r="103" spans="1:9" x14ac:dyDescent="0.25">
      <c r="A103" s="14" t="s">
        <v>593</v>
      </c>
      <c r="B103" s="14" t="s">
        <v>594</v>
      </c>
      <c r="C103" s="14" t="s">
        <v>595</v>
      </c>
      <c r="D103" s="14" t="s">
        <v>373</v>
      </c>
      <c r="E103" s="14" t="s">
        <v>373</v>
      </c>
      <c r="F103" s="14" t="s">
        <v>373</v>
      </c>
      <c r="G103" s="14" t="s">
        <v>373</v>
      </c>
      <c r="I103" s="14" t="s">
        <v>373</v>
      </c>
    </row>
    <row r="104" spans="1:9" x14ac:dyDescent="0.25">
      <c r="A104" s="14" t="s">
        <v>596</v>
      </c>
      <c r="B104" s="14" t="s">
        <v>597</v>
      </c>
      <c r="C104" s="14" t="s">
        <v>598</v>
      </c>
      <c r="D104" s="14" t="s">
        <v>373</v>
      </c>
      <c r="E104" s="14" t="s">
        <v>373</v>
      </c>
      <c r="F104" s="14" t="s">
        <v>373</v>
      </c>
      <c r="G104" s="14" t="s">
        <v>373</v>
      </c>
      <c r="I104" s="14" t="s">
        <v>373</v>
      </c>
    </row>
    <row r="105" spans="1:9" x14ac:dyDescent="0.25">
      <c r="A105" s="14" t="s">
        <v>599</v>
      </c>
      <c r="B105" s="14" t="s">
        <v>600</v>
      </c>
      <c r="C105" s="14" t="s">
        <v>601</v>
      </c>
      <c r="D105" s="14" t="s">
        <v>373</v>
      </c>
      <c r="E105" s="14" t="s">
        <v>373</v>
      </c>
      <c r="F105" s="14" t="s">
        <v>373</v>
      </c>
      <c r="G105" s="14" t="s">
        <v>373</v>
      </c>
      <c r="I105" s="14" t="s">
        <v>373</v>
      </c>
    </row>
    <row r="106" spans="1:9" x14ac:dyDescent="0.25">
      <c r="A106" s="14" t="s">
        <v>602</v>
      </c>
      <c r="B106" s="14" t="s">
        <v>603</v>
      </c>
      <c r="C106" s="14" t="s">
        <v>604</v>
      </c>
      <c r="D106" s="14" t="s">
        <v>373</v>
      </c>
      <c r="E106" s="14" t="s">
        <v>373</v>
      </c>
      <c r="F106" s="14" t="s">
        <v>373</v>
      </c>
      <c r="G106" s="14" t="s">
        <v>373</v>
      </c>
      <c r="I106" s="14" t="s">
        <v>373</v>
      </c>
    </row>
    <row r="107" spans="1:9" x14ac:dyDescent="0.25">
      <c r="A107" s="14" t="s">
        <v>605</v>
      </c>
      <c r="B107" s="14" t="s">
        <v>606</v>
      </c>
      <c r="C107" s="14" t="s">
        <v>607</v>
      </c>
      <c r="D107" s="14" t="s">
        <v>373</v>
      </c>
      <c r="E107" s="14" t="s">
        <v>373</v>
      </c>
      <c r="F107" s="14" t="s">
        <v>373</v>
      </c>
      <c r="G107" s="14" t="s">
        <v>373</v>
      </c>
      <c r="I107" s="14" t="s">
        <v>373</v>
      </c>
    </row>
    <row r="108" spans="1:9" x14ac:dyDescent="0.25">
      <c r="A108" s="14" t="s">
        <v>608</v>
      </c>
      <c r="B108" s="14" t="s">
        <v>609</v>
      </c>
      <c r="C108" s="14" t="s">
        <v>610</v>
      </c>
      <c r="D108" s="14" t="s">
        <v>373</v>
      </c>
      <c r="E108" s="14" t="s">
        <v>373</v>
      </c>
      <c r="F108" s="14" t="s">
        <v>373</v>
      </c>
      <c r="G108" s="14" t="s">
        <v>373</v>
      </c>
      <c r="I108" s="14" t="s">
        <v>373</v>
      </c>
    </row>
    <row r="109" spans="1:9" x14ac:dyDescent="0.25">
      <c r="A109" s="14" t="s">
        <v>611</v>
      </c>
      <c r="B109" s="14" t="s">
        <v>612</v>
      </c>
      <c r="C109" s="14" t="s">
        <v>613</v>
      </c>
      <c r="D109" s="14" t="s">
        <v>373</v>
      </c>
      <c r="E109" s="14" t="s">
        <v>373</v>
      </c>
      <c r="F109" s="14" t="s">
        <v>373</v>
      </c>
      <c r="G109" s="14" t="s">
        <v>373</v>
      </c>
      <c r="I109" s="14" t="s">
        <v>373</v>
      </c>
    </row>
    <row r="110" spans="1:9" x14ac:dyDescent="0.25">
      <c r="A110" s="14" t="s">
        <v>614</v>
      </c>
      <c r="B110" s="14" t="s">
        <v>615</v>
      </c>
      <c r="C110" s="14" t="s">
        <v>616</v>
      </c>
      <c r="D110" s="14" t="s">
        <v>373</v>
      </c>
      <c r="E110" s="14" t="s">
        <v>373</v>
      </c>
      <c r="F110" s="14" t="s">
        <v>373</v>
      </c>
      <c r="G110" s="14" t="s">
        <v>373</v>
      </c>
      <c r="I110" s="14" t="s">
        <v>373</v>
      </c>
    </row>
    <row r="111" spans="1:9" x14ac:dyDescent="0.25">
      <c r="A111" s="14" t="s">
        <v>617</v>
      </c>
      <c r="B111" s="14" t="s">
        <v>618</v>
      </c>
      <c r="C111" s="14" t="s">
        <v>619</v>
      </c>
      <c r="D111" s="14" t="s">
        <v>373</v>
      </c>
      <c r="E111" s="14" t="s">
        <v>374</v>
      </c>
      <c r="F111" s="14" t="s">
        <v>374</v>
      </c>
      <c r="G111" s="14" t="s">
        <v>396</v>
      </c>
      <c r="I111" s="24" t="s">
        <v>1389</v>
      </c>
    </row>
    <row r="112" spans="1:9" x14ac:dyDescent="0.25">
      <c r="A112" s="14" t="s">
        <v>620</v>
      </c>
      <c r="B112" s="14" t="s">
        <v>621</v>
      </c>
      <c r="C112" s="14" t="s">
        <v>622</v>
      </c>
      <c r="D112" s="14" t="s">
        <v>373</v>
      </c>
      <c r="E112" s="14" t="s">
        <v>374</v>
      </c>
      <c r="F112" s="14" t="s">
        <v>374</v>
      </c>
      <c r="G112" s="14" t="s">
        <v>541</v>
      </c>
      <c r="I112" s="24" t="s">
        <v>1389</v>
      </c>
    </row>
    <row r="113" spans="1:9" x14ac:dyDescent="0.25">
      <c r="A113" s="14" t="s">
        <v>623</v>
      </c>
      <c r="B113" s="14" t="s">
        <v>624</v>
      </c>
      <c r="C113" s="14" t="s">
        <v>625</v>
      </c>
      <c r="D113" s="14" t="s">
        <v>373</v>
      </c>
      <c r="E113" s="14" t="s">
        <v>373</v>
      </c>
      <c r="F113" s="14" t="s">
        <v>373</v>
      </c>
      <c r="G113" s="14" t="s">
        <v>373</v>
      </c>
      <c r="I113" s="14" t="s">
        <v>373</v>
      </c>
    </row>
    <row r="114" spans="1:9" x14ac:dyDescent="0.25">
      <c r="A114" s="14" t="s">
        <v>626</v>
      </c>
      <c r="B114" s="14" t="s">
        <v>627</v>
      </c>
      <c r="C114" s="14" t="s">
        <v>628</v>
      </c>
      <c r="D114" s="14" t="s">
        <v>373</v>
      </c>
      <c r="E114" s="14" t="s">
        <v>373</v>
      </c>
      <c r="F114" s="14" t="s">
        <v>629</v>
      </c>
      <c r="G114" s="14" t="s">
        <v>629</v>
      </c>
      <c r="I114" s="14" t="s">
        <v>629</v>
      </c>
    </row>
    <row r="115" spans="1:9" x14ac:dyDescent="0.25">
      <c r="A115" s="14" t="s">
        <v>630</v>
      </c>
      <c r="B115" s="14" t="s">
        <v>631</v>
      </c>
      <c r="C115" s="14" t="s">
        <v>632</v>
      </c>
      <c r="D115" s="14" t="s">
        <v>373</v>
      </c>
      <c r="E115" s="14" t="s">
        <v>373</v>
      </c>
      <c r="F115" s="14" t="s">
        <v>633</v>
      </c>
      <c r="G115" s="14" t="s">
        <v>633</v>
      </c>
      <c r="I115" s="14" t="s">
        <v>633</v>
      </c>
    </row>
    <row r="116" spans="1:9" x14ac:dyDescent="0.25">
      <c r="A116" s="14" t="s">
        <v>634</v>
      </c>
      <c r="B116" s="14" t="s">
        <v>635</v>
      </c>
      <c r="C116" s="14" t="s">
        <v>636</v>
      </c>
      <c r="D116" s="14" t="s">
        <v>373</v>
      </c>
      <c r="E116" s="14" t="s">
        <v>373</v>
      </c>
      <c r="F116" s="14" t="s">
        <v>637</v>
      </c>
      <c r="G116" s="14" t="s">
        <v>637</v>
      </c>
      <c r="I116" s="14" t="s">
        <v>637</v>
      </c>
    </row>
    <row r="117" spans="1:9" x14ac:dyDescent="0.25">
      <c r="A117" s="14" t="s">
        <v>638</v>
      </c>
      <c r="B117" s="14" t="s">
        <v>639</v>
      </c>
      <c r="C117" s="14" t="s">
        <v>640</v>
      </c>
      <c r="D117" s="14" t="s">
        <v>373</v>
      </c>
      <c r="E117" s="14" t="s">
        <v>373</v>
      </c>
      <c r="F117" s="14" t="s">
        <v>641</v>
      </c>
      <c r="G117" s="14" t="s">
        <v>641</v>
      </c>
      <c r="I117" s="14" t="s">
        <v>641</v>
      </c>
    </row>
    <row r="118" spans="1:9" x14ac:dyDescent="0.25">
      <c r="A118" s="14" t="s">
        <v>642</v>
      </c>
      <c r="B118" s="14" t="s">
        <v>643</v>
      </c>
      <c r="C118" s="14" t="s">
        <v>644</v>
      </c>
      <c r="D118" s="14" t="s">
        <v>373</v>
      </c>
      <c r="E118" s="14" t="s">
        <v>373</v>
      </c>
      <c r="F118" s="14" t="s">
        <v>645</v>
      </c>
      <c r="G118" s="14" t="s">
        <v>645</v>
      </c>
      <c r="I118" s="14" t="s">
        <v>645</v>
      </c>
    </row>
    <row r="119" spans="1:9" x14ac:dyDescent="0.25">
      <c r="A119" s="14" t="s">
        <v>646</v>
      </c>
      <c r="B119" s="14" t="s">
        <v>647</v>
      </c>
      <c r="C119" s="14" t="s">
        <v>648</v>
      </c>
      <c r="D119" s="14" t="s">
        <v>373</v>
      </c>
      <c r="E119" s="14" t="s">
        <v>373</v>
      </c>
      <c r="F119" s="14" t="s">
        <v>649</v>
      </c>
      <c r="G119" s="14" t="s">
        <v>649</v>
      </c>
      <c r="I119" s="14" t="s">
        <v>649</v>
      </c>
    </row>
    <row r="120" spans="1:9" x14ac:dyDescent="0.25">
      <c r="A120" s="14" t="s">
        <v>650</v>
      </c>
      <c r="B120" s="14" t="s">
        <v>651</v>
      </c>
      <c r="C120" s="14" t="s">
        <v>652</v>
      </c>
      <c r="D120" s="14" t="s">
        <v>373</v>
      </c>
      <c r="E120" s="14" t="s">
        <v>373</v>
      </c>
      <c r="F120" s="14" t="s">
        <v>653</v>
      </c>
      <c r="G120" s="14" t="s">
        <v>653</v>
      </c>
      <c r="I120" s="14" t="s">
        <v>653</v>
      </c>
    </row>
    <row r="121" spans="1:9" x14ac:dyDescent="0.25">
      <c r="A121" s="14" t="s">
        <v>654</v>
      </c>
      <c r="B121" s="14" t="s">
        <v>655</v>
      </c>
      <c r="C121" s="14" t="s">
        <v>656</v>
      </c>
      <c r="D121" s="14" t="s">
        <v>373</v>
      </c>
      <c r="E121" s="14" t="s">
        <v>373</v>
      </c>
      <c r="F121" s="14" t="s">
        <v>657</v>
      </c>
      <c r="G121" s="14" t="s">
        <v>657</v>
      </c>
      <c r="I121" s="14" t="s">
        <v>657</v>
      </c>
    </row>
    <row r="122" spans="1:9" x14ac:dyDescent="0.25">
      <c r="A122" s="14" t="s">
        <v>658</v>
      </c>
      <c r="B122" s="14" t="s">
        <v>659</v>
      </c>
      <c r="C122" s="14" t="s">
        <v>660</v>
      </c>
      <c r="D122" s="14" t="s">
        <v>373</v>
      </c>
      <c r="E122" s="14" t="s">
        <v>373</v>
      </c>
      <c r="F122" s="14" t="s">
        <v>661</v>
      </c>
      <c r="G122" s="14" t="s">
        <v>661</v>
      </c>
      <c r="I122" s="14" t="s">
        <v>661</v>
      </c>
    </row>
    <row r="123" spans="1:9" x14ac:dyDescent="0.25">
      <c r="A123" s="14" t="s">
        <v>662</v>
      </c>
      <c r="B123" s="14" t="s">
        <v>663</v>
      </c>
      <c r="C123" s="14" t="s">
        <v>664</v>
      </c>
      <c r="D123" s="14" t="s">
        <v>373</v>
      </c>
      <c r="E123" s="14" t="s">
        <v>373</v>
      </c>
      <c r="F123" s="14" t="s">
        <v>373</v>
      </c>
      <c r="G123" s="14" t="s">
        <v>373</v>
      </c>
      <c r="I123" s="14" t="s">
        <v>373</v>
      </c>
    </row>
    <row r="124" spans="1:9" x14ac:dyDescent="0.25">
      <c r="A124" s="14" t="s">
        <v>665</v>
      </c>
      <c r="B124" s="14" t="s">
        <v>373</v>
      </c>
      <c r="C124" s="14" t="s">
        <v>666</v>
      </c>
      <c r="D124" s="14" t="s">
        <v>373</v>
      </c>
      <c r="E124" s="14" t="s">
        <v>373</v>
      </c>
      <c r="F124" s="14" t="s">
        <v>373</v>
      </c>
      <c r="G124" s="14" t="s">
        <v>373</v>
      </c>
      <c r="I124" s="14" t="s">
        <v>373</v>
      </c>
    </row>
    <row r="125" spans="1:9" x14ac:dyDescent="0.25">
      <c r="A125" s="14" t="s">
        <v>667</v>
      </c>
      <c r="B125" s="14" t="s">
        <v>668</v>
      </c>
      <c r="C125" s="14" t="s">
        <v>669</v>
      </c>
      <c r="D125" s="14" t="s">
        <v>373</v>
      </c>
      <c r="E125" s="14" t="s">
        <v>373</v>
      </c>
      <c r="F125" s="14" t="s">
        <v>373</v>
      </c>
      <c r="G125" s="14" t="s">
        <v>373</v>
      </c>
      <c r="I125" s="14" t="s">
        <v>373</v>
      </c>
    </row>
    <row r="126" spans="1:9" x14ac:dyDescent="0.25">
      <c r="A126" s="14" t="s">
        <v>670</v>
      </c>
      <c r="B126" s="14" t="s">
        <v>671</v>
      </c>
      <c r="C126" s="14" t="s">
        <v>672</v>
      </c>
      <c r="D126" s="14" t="s">
        <v>373</v>
      </c>
      <c r="E126" s="14" t="s">
        <v>373</v>
      </c>
      <c r="F126" s="14" t="s">
        <v>373</v>
      </c>
      <c r="G126" s="14" t="s">
        <v>373</v>
      </c>
      <c r="I126" s="14" t="s">
        <v>373</v>
      </c>
    </row>
    <row r="127" spans="1:9" x14ac:dyDescent="0.25">
      <c r="A127" s="14" t="s">
        <v>673</v>
      </c>
      <c r="B127" s="14" t="s">
        <v>674</v>
      </c>
      <c r="C127" s="14" t="s">
        <v>675</v>
      </c>
      <c r="D127" s="14" t="s">
        <v>373</v>
      </c>
      <c r="E127" s="14" t="s">
        <v>373</v>
      </c>
      <c r="F127" s="14" t="s">
        <v>373</v>
      </c>
      <c r="G127" s="14" t="s">
        <v>373</v>
      </c>
      <c r="I127" s="14" t="s">
        <v>373</v>
      </c>
    </row>
    <row r="128" spans="1:9" x14ac:dyDescent="0.25">
      <c r="A128" s="14" t="s">
        <v>676</v>
      </c>
      <c r="B128" s="14" t="s">
        <v>677</v>
      </c>
      <c r="C128" s="14" t="s">
        <v>678</v>
      </c>
      <c r="D128" s="14" t="s">
        <v>373</v>
      </c>
      <c r="E128" s="14" t="s">
        <v>373</v>
      </c>
      <c r="F128" s="14" t="s">
        <v>373</v>
      </c>
      <c r="G128" s="14" t="s">
        <v>373</v>
      </c>
      <c r="I128" s="14" t="s">
        <v>373</v>
      </c>
    </row>
    <row r="129" spans="1:9" x14ac:dyDescent="0.25">
      <c r="A129" s="14" t="s">
        <v>679</v>
      </c>
      <c r="B129" s="14" t="s">
        <v>680</v>
      </c>
      <c r="C129" s="14" t="s">
        <v>681</v>
      </c>
      <c r="D129" s="14" t="s">
        <v>373</v>
      </c>
      <c r="E129" s="14" t="s">
        <v>373</v>
      </c>
      <c r="F129" s="14" t="s">
        <v>373</v>
      </c>
      <c r="G129" s="14" t="s">
        <v>373</v>
      </c>
      <c r="I129" s="14" t="s">
        <v>373</v>
      </c>
    </row>
    <row r="130" spans="1:9" x14ac:dyDescent="0.25">
      <c r="A130" s="15" t="s">
        <v>682</v>
      </c>
      <c r="B130" s="14" t="s">
        <v>683</v>
      </c>
      <c r="C130" s="14" t="s">
        <v>684</v>
      </c>
      <c r="D130" s="14" t="s">
        <v>285</v>
      </c>
      <c r="E130" s="14" t="s">
        <v>286</v>
      </c>
      <c r="F130" s="14" t="s">
        <v>286</v>
      </c>
      <c r="G130" s="14" t="s">
        <v>287</v>
      </c>
      <c r="I130" s="14" t="s">
        <v>287</v>
      </c>
    </row>
    <row r="131" spans="1:9" x14ac:dyDescent="0.25">
      <c r="A131" s="14" t="s">
        <v>685</v>
      </c>
      <c r="B131" s="14" t="s">
        <v>686</v>
      </c>
      <c r="C131" s="14" t="s">
        <v>687</v>
      </c>
      <c r="D131" s="14" t="s">
        <v>373</v>
      </c>
      <c r="E131" s="14" t="s">
        <v>373</v>
      </c>
      <c r="F131" s="14" t="s">
        <v>373</v>
      </c>
      <c r="G131" s="14" t="s">
        <v>373</v>
      </c>
      <c r="I131" s="14" t="s">
        <v>373</v>
      </c>
    </row>
    <row r="132" spans="1:9" x14ac:dyDescent="0.25">
      <c r="A132" s="14" t="s">
        <v>688</v>
      </c>
      <c r="B132" s="14" t="s">
        <v>689</v>
      </c>
      <c r="C132" s="14" t="s">
        <v>690</v>
      </c>
      <c r="D132" s="14" t="s">
        <v>285</v>
      </c>
      <c r="E132" s="14" t="s">
        <v>307</v>
      </c>
      <c r="F132" s="14" t="s">
        <v>307</v>
      </c>
      <c r="G132" s="14" t="s">
        <v>378</v>
      </c>
      <c r="I132" s="14" t="s">
        <v>378</v>
      </c>
    </row>
    <row r="133" spans="1:9" x14ac:dyDescent="0.25">
      <c r="A133" s="14" t="s">
        <v>691</v>
      </c>
      <c r="B133" s="14" t="s">
        <v>692</v>
      </c>
      <c r="C133" s="14" t="s">
        <v>693</v>
      </c>
      <c r="D133" s="14" t="s">
        <v>325</v>
      </c>
      <c r="E133" s="14" t="s">
        <v>325</v>
      </c>
      <c r="F133" s="14" t="s">
        <v>325</v>
      </c>
      <c r="G133" s="14" t="s">
        <v>411</v>
      </c>
      <c r="I133" s="14" t="s">
        <v>411</v>
      </c>
    </row>
    <row r="134" spans="1:9" x14ac:dyDescent="0.25">
      <c r="A134" s="14" t="s">
        <v>694</v>
      </c>
      <c r="B134" s="14" t="s">
        <v>695</v>
      </c>
      <c r="C134" s="14" t="s">
        <v>696</v>
      </c>
      <c r="D134" s="14" t="s">
        <v>325</v>
      </c>
      <c r="E134" s="14" t="s">
        <v>325</v>
      </c>
      <c r="F134" s="14" t="s">
        <v>325</v>
      </c>
      <c r="G134" s="14" t="s">
        <v>411</v>
      </c>
      <c r="I134" s="14" t="s">
        <v>411</v>
      </c>
    </row>
    <row r="135" spans="1:9" x14ac:dyDescent="0.25">
      <c r="A135" s="14" t="s">
        <v>697</v>
      </c>
      <c r="B135" s="14" t="s">
        <v>698</v>
      </c>
      <c r="C135" s="14" t="s">
        <v>699</v>
      </c>
      <c r="D135" s="14" t="s">
        <v>325</v>
      </c>
      <c r="E135" s="14" t="s">
        <v>325</v>
      </c>
      <c r="F135" s="14" t="s">
        <v>325</v>
      </c>
      <c r="G135" s="14" t="s">
        <v>411</v>
      </c>
      <c r="I135" s="14" t="s">
        <v>411</v>
      </c>
    </row>
    <row r="136" spans="1:9" x14ac:dyDescent="0.25">
      <c r="A136" s="14" t="s">
        <v>700</v>
      </c>
      <c r="B136" s="14" t="s">
        <v>701</v>
      </c>
      <c r="C136" s="14" t="s">
        <v>702</v>
      </c>
      <c r="D136" s="14" t="s">
        <v>348</v>
      </c>
      <c r="E136" s="14" t="s">
        <v>348</v>
      </c>
      <c r="F136" s="14" t="s">
        <v>348</v>
      </c>
      <c r="G136" s="14" t="s">
        <v>349</v>
      </c>
      <c r="H136" s="14" t="s">
        <v>703</v>
      </c>
      <c r="I136" s="14" t="s">
        <v>348</v>
      </c>
    </row>
    <row r="137" spans="1:9" x14ac:dyDescent="0.25">
      <c r="A137" s="14" t="s">
        <v>50</v>
      </c>
      <c r="B137" s="14" t="s">
        <v>704</v>
      </c>
      <c r="C137" s="14" t="s">
        <v>705</v>
      </c>
      <c r="D137" s="14" t="s">
        <v>285</v>
      </c>
      <c r="E137" s="14" t="s">
        <v>286</v>
      </c>
      <c r="F137" s="14" t="s">
        <v>286</v>
      </c>
      <c r="G137" s="14" t="s">
        <v>287</v>
      </c>
      <c r="I137" s="14" t="s">
        <v>287</v>
      </c>
    </row>
    <row r="138" spans="1:9" x14ac:dyDescent="0.25">
      <c r="A138" s="14" t="s">
        <v>706</v>
      </c>
      <c r="B138" s="14" t="s">
        <v>707</v>
      </c>
      <c r="C138" s="14" t="s">
        <v>708</v>
      </c>
      <c r="D138" s="14" t="s">
        <v>325</v>
      </c>
      <c r="E138" s="14" t="s">
        <v>325</v>
      </c>
      <c r="F138" s="14" t="s">
        <v>325</v>
      </c>
      <c r="G138" s="14" t="s">
        <v>326</v>
      </c>
      <c r="I138" s="14" t="s">
        <v>326</v>
      </c>
    </row>
    <row r="139" spans="1:9" x14ac:dyDescent="0.25">
      <c r="A139" s="14" t="s">
        <v>709</v>
      </c>
      <c r="B139" s="14" t="s">
        <v>710</v>
      </c>
      <c r="C139" s="14" t="s">
        <v>711</v>
      </c>
      <c r="D139" s="14" t="s">
        <v>373</v>
      </c>
      <c r="E139" s="14" t="s">
        <v>373</v>
      </c>
      <c r="F139" s="14" t="s">
        <v>373</v>
      </c>
      <c r="G139" s="14" t="s">
        <v>439</v>
      </c>
      <c r="I139" s="14" t="s">
        <v>439</v>
      </c>
    </row>
    <row r="140" spans="1:9" x14ac:dyDescent="0.25">
      <c r="A140" s="14" t="s">
        <v>712</v>
      </c>
      <c r="B140" s="14" t="s">
        <v>713</v>
      </c>
      <c r="C140" s="14" t="s">
        <v>714</v>
      </c>
      <c r="D140" s="14" t="s">
        <v>373</v>
      </c>
      <c r="E140" s="14" t="s">
        <v>373</v>
      </c>
      <c r="F140" s="14" t="s">
        <v>373</v>
      </c>
      <c r="G140" s="14" t="s">
        <v>373</v>
      </c>
      <c r="I140" s="14" t="s">
        <v>373</v>
      </c>
    </row>
    <row r="141" spans="1:9" x14ac:dyDescent="0.25">
      <c r="A141" s="14" t="s">
        <v>715</v>
      </c>
      <c r="B141" s="14" t="s">
        <v>716</v>
      </c>
      <c r="C141" s="14" t="s">
        <v>717</v>
      </c>
      <c r="D141" s="14" t="s">
        <v>373</v>
      </c>
      <c r="E141" s="14" t="s">
        <v>373</v>
      </c>
      <c r="F141" s="14" t="s">
        <v>373</v>
      </c>
      <c r="G141" s="14" t="s">
        <v>373</v>
      </c>
      <c r="I141" s="14" t="s">
        <v>373</v>
      </c>
    </row>
    <row r="142" spans="1:9" x14ac:dyDescent="0.25">
      <c r="A142" s="14" t="s">
        <v>718</v>
      </c>
      <c r="B142" s="14" t="s">
        <v>719</v>
      </c>
      <c r="C142" s="14" t="s">
        <v>720</v>
      </c>
      <c r="D142" s="14" t="s">
        <v>373</v>
      </c>
      <c r="E142" s="14" t="s">
        <v>373</v>
      </c>
      <c r="F142" s="14" t="s">
        <v>373</v>
      </c>
      <c r="G142" s="14" t="s">
        <v>373</v>
      </c>
      <c r="I142" s="14" t="s">
        <v>373</v>
      </c>
    </row>
    <row r="143" spans="1:9" x14ac:dyDescent="0.25">
      <c r="A143" s="14" t="s">
        <v>721</v>
      </c>
      <c r="B143" s="14" t="s">
        <v>722</v>
      </c>
      <c r="C143" s="14" t="s">
        <v>723</v>
      </c>
      <c r="D143" s="14" t="s">
        <v>276</v>
      </c>
      <c r="E143" s="14" t="s">
        <v>276</v>
      </c>
      <c r="F143" s="14" t="s">
        <v>276</v>
      </c>
      <c r="G143" s="14" t="s">
        <v>277</v>
      </c>
      <c r="H143" s="14" t="s">
        <v>304</v>
      </c>
      <c r="I143" s="14" t="s">
        <v>277</v>
      </c>
    </row>
    <row r="144" spans="1:9" x14ac:dyDescent="0.25">
      <c r="A144" s="14" t="s">
        <v>724</v>
      </c>
      <c r="B144" s="14" t="s">
        <v>725</v>
      </c>
      <c r="C144" s="14" t="s">
        <v>726</v>
      </c>
      <c r="D144" s="14" t="s">
        <v>276</v>
      </c>
      <c r="E144" s="14" t="s">
        <v>276</v>
      </c>
      <c r="F144" s="14" t="s">
        <v>276</v>
      </c>
      <c r="G144" s="14" t="s">
        <v>277</v>
      </c>
      <c r="H144" s="14" t="s">
        <v>727</v>
      </c>
      <c r="I144" s="14" t="s">
        <v>277</v>
      </c>
    </row>
    <row r="145" spans="1:9" x14ac:dyDescent="0.25">
      <c r="A145" s="14" t="s">
        <v>728</v>
      </c>
      <c r="B145" s="14" t="s">
        <v>729</v>
      </c>
      <c r="C145" s="14" t="s">
        <v>730</v>
      </c>
      <c r="D145" s="14" t="s">
        <v>325</v>
      </c>
      <c r="E145" s="14" t="s">
        <v>325</v>
      </c>
      <c r="F145" s="14" t="s">
        <v>325</v>
      </c>
      <c r="G145" s="14" t="s">
        <v>411</v>
      </c>
      <c r="I145" s="14" t="s">
        <v>411</v>
      </c>
    </row>
    <row r="146" spans="1:9" x14ac:dyDescent="0.25">
      <c r="A146" s="14" t="s">
        <v>731</v>
      </c>
      <c r="B146" s="14" t="s">
        <v>732</v>
      </c>
      <c r="C146" s="14" t="s">
        <v>733</v>
      </c>
      <c r="D146" s="14" t="s">
        <v>734</v>
      </c>
      <c r="E146" s="14" t="s">
        <v>734</v>
      </c>
      <c r="F146" s="14" t="s">
        <v>734</v>
      </c>
      <c r="G146" s="14" t="s">
        <v>735</v>
      </c>
      <c r="I146" s="24" t="s">
        <v>734</v>
      </c>
    </row>
    <row r="147" spans="1:9" x14ac:dyDescent="0.25">
      <c r="A147" s="14" t="s">
        <v>736</v>
      </c>
      <c r="B147" s="14" t="s">
        <v>737</v>
      </c>
      <c r="C147" s="14" t="s">
        <v>738</v>
      </c>
      <c r="D147" s="14" t="s">
        <v>373</v>
      </c>
      <c r="E147" s="14" t="s">
        <v>373</v>
      </c>
      <c r="F147" s="14" t="s">
        <v>373</v>
      </c>
      <c r="G147" s="14" t="s">
        <v>373</v>
      </c>
      <c r="I147" s="14" t="s">
        <v>373</v>
      </c>
    </row>
    <row r="148" spans="1:9" x14ac:dyDescent="0.25">
      <c r="A148" s="14" t="s">
        <v>739</v>
      </c>
      <c r="B148" s="14" t="s">
        <v>740</v>
      </c>
      <c r="C148" s="14" t="s">
        <v>741</v>
      </c>
      <c r="D148" s="14" t="s">
        <v>325</v>
      </c>
      <c r="E148" s="14" t="s">
        <v>325</v>
      </c>
      <c r="F148" s="14" t="s">
        <v>325</v>
      </c>
      <c r="G148" s="14" t="s">
        <v>411</v>
      </c>
      <c r="I148" s="14" t="s">
        <v>411</v>
      </c>
    </row>
    <row r="149" spans="1:9" x14ac:dyDescent="0.25">
      <c r="A149" s="14" t="s">
        <v>742</v>
      </c>
      <c r="B149" s="14" t="s">
        <v>743</v>
      </c>
      <c r="C149" s="14" t="s">
        <v>744</v>
      </c>
      <c r="D149" s="14" t="s">
        <v>373</v>
      </c>
      <c r="E149" s="14" t="s">
        <v>447</v>
      </c>
      <c r="F149" s="14" t="s">
        <v>447</v>
      </c>
      <c r="G149" s="14" t="s">
        <v>447</v>
      </c>
      <c r="I149" s="14" t="s">
        <v>447</v>
      </c>
    </row>
    <row r="150" spans="1:9" x14ac:dyDescent="0.25">
      <c r="A150" s="14" t="s">
        <v>745</v>
      </c>
      <c r="B150" s="14" t="s">
        <v>746</v>
      </c>
      <c r="C150" s="14" t="s">
        <v>747</v>
      </c>
      <c r="D150" s="14" t="s">
        <v>373</v>
      </c>
      <c r="E150" s="14" t="s">
        <v>447</v>
      </c>
      <c r="F150" s="14" t="s">
        <v>447</v>
      </c>
      <c r="G150" s="14" t="s">
        <v>447</v>
      </c>
      <c r="I150" s="14" t="s">
        <v>447</v>
      </c>
    </row>
    <row r="151" spans="1:9" x14ac:dyDescent="0.25">
      <c r="A151" s="14" t="s">
        <v>748</v>
      </c>
      <c r="B151" s="14" t="s">
        <v>749</v>
      </c>
      <c r="C151" s="14" t="s">
        <v>750</v>
      </c>
      <c r="D151" s="14" t="s">
        <v>373</v>
      </c>
      <c r="E151" s="14" t="s">
        <v>447</v>
      </c>
      <c r="F151" s="14" t="s">
        <v>447</v>
      </c>
      <c r="G151" s="14" t="s">
        <v>447</v>
      </c>
      <c r="I151" s="14" t="s">
        <v>447</v>
      </c>
    </row>
    <row r="152" spans="1:9" x14ac:dyDescent="0.25">
      <c r="A152" s="14" t="s">
        <v>751</v>
      </c>
      <c r="B152" s="14" t="s">
        <v>752</v>
      </c>
      <c r="C152" s="14" t="s">
        <v>753</v>
      </c>
      <c r="D152" s="14" t="s">
        <v>373</v>
      </c>
      <c r="E152" s="14" t="s">
        <v>447</v>
      </c>
      <c r="F152" s="14" t="s">
        <v>447</v>
      </c>
      <c r="G152" s="14" t="s">
        <v>447</v>
      </c>
      <c r="I152" s="14" t="s">
        <v>447</v>
      </c>
    </row>
    <row r="153" spans="1:9" x14ac:dyDescent="0.25">
      <c r="A153" s="14" t="s">
        <v>754</v>
      </c>
      <c r="B153" s="14" t="s">
        <v>755</v>
      </c>
      <c r="C153" s="14" t="s">
        <v>756</v>
      </c>
      <c r="D153" s="14" t="s">
        <v>325</v>
      </c>
      <c r="E153" s="14" t="s">
        <v>325</v>
      </c>
      <c r="F153" s="14" t="s">
        <v>325</v>
      </c>
      <c r="G153" s="14" t="s">
        <v>411</v>
      </c>
      <c r="I153" s="14" t="s">
        <v>411</v>
      </c>
    </row>
    <row r="154" spans="1:9" x14ac:dyDescent="0.25">
      <c r="A154" s="14" t="s">
        <v>757</v>
      </c>
      <c r="B154" s="14" t="s">
        <v>758</v>
      </c>
      <c r="C154" s="14" t="s">
        <v>759</v>
      </c>
      <c r="D154" s="14" t="s">
        <v>373</v>
      </c>
      <c r="E154" s="14" t="s">
        <v>373</v>
      </c>
      <c r="F154" s="14" t="s">
        <v>373</v>
      </c>
      <c r="G154" s="14" t="s">
        <v>373</v>
      </c>
      <c r="I154" s="14" t="s">
        <v>373</v>
      </c>
    </row>
    <row r="155" spans="1:9" x14ac:dyDescent="0.25">
      <c r="A155" s="14" t="s">
        <v>760</v>
      </c>
      <c r="B155" s="14" t="s">
        <v>761</v>
      </c>
      <c r="C155" s="14" t="s">
        <v>762</v>
      </c>
      <c r="D155" s="14" t="s">
        <v>348</v>
      </c>
      <c r="E155" s="14" t="s">
        <v>348</v>
      </c>
      <c r="F155" s="14" t="s">
        <v>348</v>
      </c>
      <c r="G155" s="14" t="s">
        <v>349</v>
      </c>
      <c r="I155" s="14" t="s">
        <v>348</v>
      </c>
    </row>
    <row r="156" spans="1:9" x14ac:dyDescent="0.25">
      <c r="A156" s="14" t="s">
        <v>763</v>
      </c>
      <c r="B156" s="14" t="s">
        <v>764</v>
      </c>
      <c r="C156" s="14" t="s">
        <v>765</v>
      </c>
      <c r="D156" s="14" t="s">
        <v>325</v>
      </c>
      <c r="E156" s="14" t="s">
        <v>325</v>
      </c>
      <c r="F156" s="14" t="s">
        <v>325</v>
      </c>
      <c r="G156" s="14" t="s">
        <v>326</v>
      </c>
      <c r="I156" s="14" t="s">
        <v>326</v>
      </c>
    </row>
    <row r="157" spans="1:9" x14ac:dyDescent="0.25">
      <c r="A157" s="14" t="s">
        <v>766</v>
      </c>
      <c r="B157" s="14" t="s">
        <v>767</v>
      </c>
      <c r="C157" s="14" t="s">
        <v>768</v>
      </c>
      <c r="D157" s="14" t="s">
        <v>373</v>
      </c>
      <c r="E157" s="14" t="s">
        <v>374</v>
      </c>
      <c r="F157" s="14" t="s">
        <v>374</v>
      </c>
      <c r="G157" s="14" t="s">
        <v>375</v>
      </c>
      <c r="I157" s="24" t="s">
        <v>1389</v>
      </c>
    </row>
    <row r="158" spans="1:9" x14ac:dyDescent="0.25">
      <c r="A158" s="14" t="s">
        <v>769</v>
      </c>
      <c r="B158" s="14" t="s">
        <v>770</v>
      </c>
      <c r="C158" s="14" t="s">
        <v>771</v>
      </c>
      <c r="D158" s="14" t="s">
        <v>373</v>
      </c>
      <c r="E158" s="14" t="s">
        <v>374</v>
      </c>
      <c r="F158" s="14" t="s">
        <v>374</v>
      </c>
      <c r="G158" s="14" t="s">
        <v>375</v>
      </c>
      <c r="I158" s="24" t="s">
        <v>1389</v>
      </c>
    </row>
    <row r="159" spans="1:9" x14ac:dyDescent="0.25">
      <c r="A159" s="14" t="s">
        <v>772</v>
      </c>
      <c r="B159" s="14" t="s">
        <v>773</v>
      </c>
      <c r="C159" s="14" t="s">
        <v>774</v>
      </c>
      <c r="D159" s="14" t="s">
        <v>373</v>
      </c>
      <c r="E159" s="14" t="s">
        <v>374</v>
      </c>
      <c r="F159" s="14" t="s">
        <v>374</v>
      </c>
      <c r="G159" s="14" t="s">
        <v>375</v>
      </c>
      <c r="I159" s="24" t="s">
        <v>1389</v>
      </c>
    </row>
    <row r="160" spans="1:9" x14ac:dyDescent="0.25">
      <c r="A160" s="14" t="s">
        <v>775</v>
      </c>
      <c r="B160" s="14" t="s">
        <v>776</v>
      </c>
      <c r="C160" s="14" t="s">
        <v>777</v>
      </c>
      <c r="D160" s="14" t="s">
        <v>373</v>
      </c>
      <c r="E160" s="14" t="s">
        <v>373</v>
      </c>
      <c r="F160" s="14" t="s">
        <v>373</v>
      </c>
      <c r="G160" s="14" t="s">
        <v>373</v>
      </c>
      <c r="I160" s="14" t="s">
        <v>373</v>
      </c>
    </row>
    <row r="161" spans="1:9" x14ac:dyDescent="0.25">
      <c r="A161" s="14" t="s">
        <v>778</v>
      </c>
      <c r="B161" s="14" t="s">
        <v>779</v>
      </c>
      <c r="C161" s="14" t="s">
        <v>780</v>
      </c>
      <c r="D161" s="14" t="s">
        <v>325</v>
      </c>
      <c r="E161" s="14" t="s">
        <v>325</v>
      </c>
      <c r="F161" s="14" t="s">
        <v>325</v>
      </c>
      <c r="G161" s="14" t="s">
        <v>411</v>
      </c>
      <c r="I161" s="14" t="s">
        <v>411</v>
      </c>
    </row>
    <row r="162" spans="1:9" x14ac:dyDescent="0.25">
      <c r="A162" s="14" t="s">
        <v>781</v>
      </c>
      <c r="B162" s="14" t="s">
        <v>782</v>
      </c>
      <c r="C162" s="14" t="s">
        <v>783</v>
      </c>
      <c r="D162" s="14" t="s">
        <v>373</v>
      </c>
      <c r="E162" s="14" t="s">
        <v>373</v>
      </c>
      <c r="F162" s="14" t="s">
        <v>373</v>
      </c>
      <c r="G162" s="14" t="s">
        <v>373</v>
      </c>
      <c r="I162" s="14" t="s">
        <v>373</v>
      </c>
    </row>
    <row r="163" spans="1:9" x14ac:dyDescent="0.25">
      <c r="A163" s="14" t="s">
        <v>61</v>
      </c>
      <c r="B163" s="14" t="s">
        <v>784</v>
      </c>
      <c r="C163" s="14" t="s">
        <v>785</v>
      </c>
      <c r="D163" s="14" t="s">
        <v>373</v>
      </c>
      <c r="E163" s="14" t="s">
        <v>447</v>
      </c>
      <c r="F163" s="14" t="s">
        <v>447</v>
      </c>
      <c r="G163" s="14" t="s">
        <v>447</v>
      </c>
      <c r="I163" s="14" t="s">
        <v>447</v>
      </c>
    </row>
    <row r="164" spans="1:9" x14ac:dyDescent="0.25">
      <c r="A164" s="14" t="s">
        <v>62</v>
      </c>
      <c r="B164" s="14" t="s">
        <v>786</v>
      </c>
      <c r="C164" s="14" t="s">
        <v>787</v>
      </c>
      <c r="D164" s="14" t="s">
        <v>373</v>
      </c>
      <c r="E164" s="14" t="s">
        <v>447</v>
      </c>
      <c r="F164" s="14" t="s">
        <v>447</v>
      </c>
      <c r="G164" s="14" t="s">
        <v>447</v>
      </c>
      <c r="I164" s="14" t="s">
        <v>447</v>
      </c>
    </row>
    <row r="165" spans="1:9" x14ac:dyDescent="0.25">
      <c r="A165" s="14" t="s">
        <v>788</v>
      </c>
      <c r="B165" s="14" t="s">
        <v>789</v>
      </c>
      <c r="C165" s="14" t="s">
        <v>790</v>
      </c>
      <c r="D165" s="14" t="s">
        <v>373</v>
      </c>
      <c r="E165" s="14" t="s">
        <v>447</v>
      </c>
      <c r="F165" s="14" t="s">
        <v>447</v>
      </c>
      <c r="G165" s="14" t="s">
        <v>447</v>
      </c>
      <c r="I165" s="14" t="s">
        <v>447</v>
      </c>
    </row>
    <row r="166" spans="1:9" x14ac:dyDescent="0.25">
      <c r="A166" s="14" t="s">
        <v>63</v>
      </c>
      <c r="B166" s="14" t="s">
        <v>791</v>
      </c>
      <c r="C166" s="14" t="s">
        <v>792</v>
      </c>
      <c r="D166" s="14" t="s">
        <v>373</v>
      </c>
      <c r="E166" s="14" t="s">
        <v>447</v>
      </c>
      <c r="F166" s="14" t="s">
        <v>447</v>
      </c>
      <c r="G166" s="14" t="s">
        <v>447</v>
      </c>
      <c r="I166" s="14" t="s">
        <v>447</v>
      </c>
    </row>
    <row r="167" spans="1:9" x14ac:dyDescent="0.25">
      <c r="A167" s="14" t="s">
        <v>793</v>
      </c>
      <c r="B167" s="14" t="s">
        <v>794</v>
      </c>
      <c r="C167" s="14" t="s">
        <v>795</v>
      </c>
      <c r="D167" s="14" t="s">
        <v>373</v>
      </c>
      <c r="E167" s="14" t="s">
        <v>447</v>
      </c>
      <c r="F167" s="14" t="s">
        <v>447</v>
      </c>
      <c r="G167" s="14" t="s">
        <v>447</v>
      </c>
      <c r="I167" s="14" t="s">
        <v>447</v>
      </c>
    </row>
    <row r="168" spans="1:9" x14ac:dyDescent="0.25">
      <c r="A168" s="14" t="s">
        <v>796</v>
      </c>
      <c r="B168" s="14" t="s">
        <v>797</v>
      </c>
      <c r="C168" s="14" t="s">
        <v>798</v>
      </c>
      <c r="D168" s="14" t="s">
        <v>325</v>
      </c>
      <c r="E168" s="14" t="s">
        <v>325</v>
      </c>
      <c r="F168" s="14" t="s">
        <v>325</v>
      </c>
      <c r="G168" s="14" t="s">
        <v>326</v>
      </c>
      <c r="I168" s="14" t="s">
        <v>326</v>
      </c>
    </row>
    <row r="169" spans="1:9" x14ac:dyDescent="0.25">
      <c r="A169" s="14" t="s">
        <v>799</v>
      </c>
      <c r="B169" s="14" t="s">
        <v>800</v>
      </c>
      <c r="C169" s="14" t="s">
        <v>801</v>
      </c>
      <c r="D169" s="14" t="s">
        <v>325</v>
      </c>
      <c r="E169" s="14" t="s">
        <v>325</v>
      </c>
      <c r="F169" s="14" t="s">
        <v>325</v>
      </c>
      <c r="G169" s="14" t="s">
        <v>326</v>
      </c>
      <c r="I169" s="14" t="s">
        <v>326</v>
      </c>
    </row>
    <row r="170" spans="1:9" x14ac:dyDescent="0.25">
      <c r="A170" s="14" t="s">
        <v>802</v>
      </c>
      <c r="B170" s="14" t="s">
        <v>803</v>
      </c>
      <c r="C170" s="14" t="s">
        <v>804</v>
      </c>
      <c r="D170" s="14" t="s">
        <v>276</v>
      </c>
      <c r="E170" s="14" t="s">
        <v>276</v>
      </c>
      <c r="F170" s="14" t="s">
        <v>276</v>
      </c>
      <c r="G170" s="14" t="s">
        <v>277</v>
      </c>
      <c r="I170" s="14" t="s">
        <v>277</v>
      </c>
    </row>
    <row r="171" spans="1:9" x14ac:dyDescent="0.25">
      <c r="A171" s="14" t="s">
        <v>261</v>
      </c>
      <c r="B171" s="14" t="s">
        <v>805</v>
      </c>
      <c r="C171" s="14" t="s">
        <v>806</v>
      </c>
      <c r="D171" s="14" t="s">
        <v>285</v>
      </c>
      <c r="E171" s="14" t="s">
        <v>286</v>
      </c>
      <c r="F171" s="14" t="s">
        <v>286</v>
      </c>
      <c r="G171" s="14" t="s">
        <v>287</v>
      </c>
      <c r="I171" s="14" t="s">
        <v>287</v>
      </c>
    </row>
    <row r="172" spans="1:9" x14ac:dyDescent="0.25">
      <c r="A172" s="14" t="s">
        <v>807</v>
      </c>
      <c r="B172" s="14" t="s">
        <v>808</v>
      </c>
      <c r="C172" s="14" t="s">
        <v>809</v>
      </c>
      <c r="D172" s="14" t="s">
        <v>373</v>
      </c>
      <c r="E172" s="14" t="s">
        <v>447</v>
      </c>
      <c r="F172" s="14" t="s">
        <v>447</v>
      </c>
      <c r="G172" s="14" t="s">
        <v>447</v>
      </c>
      <c r="I172" s="14" t="s">
        <v>447</v>
      </c>
    </row>
    <row r="173" spans="1:9" x14ac:dyDescent="0.25">
      <c r="A173" s="14" t="s">
        <v>810</v>
      </c>
      <c r="B173" s="14" t="s">
        <v>811</v>
      </c>
      <c r="C173" s="14" t="s">
        <v>812</v>
      </c>
      <c r="D173" s="14" t="s">
        <v>373</v>
      </c>
      <c r="E173" s="14" t="s">
        <v>373</v>
      </c>
      <c r="F173" s="14" t="s">
        <v>373</v>
      </c>
      <c r="G173" s="14" t="s">
        <v>373</v>
      </c>
      <c r="I173" s="14" t="s">
        <v>373</v>
      </c>
    </row>
    <row r="174" spans="1:9" x14ac:dyDescent="0.25">
      <c r="A174" s="14" t="s">
        <v>813</v>
      </c>
      <c r="B174" s="14" t="s">
        <v>814</v>
      </c>
      <c r="C174" s="14" t="s">
        <v>815</v>
      </c>
      <c r="D174" s="14" t="s">
        <v>373</v>
      </c>
      <c r="E174" s="14" t="s">
        <v>373</v>
      </c>
      <c r="F174" s="14" t="s">
        <v>373</v>
      </c>
      <c r="G174" s="14" t="s">
        <v>373</v>
      </c>
      <c r="I174" s="14" t="s">
        <v>373</v>
      </c>
    </row>
    <row r="175" spans="1:9" x14ac:dyDescent="0.25">
      <c r="A175" s="14" t="s">
        <v>816</v>
      </c>
      <c r="B175" s="14" t="s">
        <v>817</v>
      </c>
      <c r="C175" s="14" t="s">
        <v>818</v>
      </c>
      <c r="D175" s="14" t="s">
        <v>373</v>
      </c>
      <c r="E175" s="14" t="s">
        <v>373</v>
      </c>
      <c r="F175" s="14" t="s">
        <v>373</v>
      </c>
      <c r="G175" s="14" t="s">
        <v>373</v>
      </c>
      <c r="I175" s="14" t="s">
        <v>373</v>
      </c>
    </row>
    <row r="176" spans="1:9" x14ac:dyDescent="0.25">
      <c r="A176" s="14" t="s">
        <v>819</v>
      </c>
      <c r="B176" s="14" t="s">
        <v>820</v>
      </c>
      <c r="C176" s="14" t="s">
        <v>821</v>
      </c>
      <c r="D176" s="14" t="s">
        <v>373</v>
      </c>
      <c r="E176" s="14" t="s">
        <v>373</v>
      </c>
      <c r="F176" s="14" t="s">
        <v>373</v>
      </c>
      <c r="G176" s="14" t="s">
        <v>373</v>
      </c>
      <c r="I176" s="14" t="s">
        <v>373</v>
      </c>
    </row>
    <row r="177" spans="1:9" x14ac:dyDescent="0.25">
      <c r="A177" s="14" t="s">
        <v>822</v>
      </c>
      <c r="B177" s="14" t="s">
        <v>823</v>
      </c>
      <c r="C177" s="14" t="s">
        <v>824</v>
      </c>
      <c r="D177" s="14" t="s">
        <v>373</v>
      </c>
      <c r="E177" s="14" t="s">
        <v>373</v>
      </c>
      <c r="F177" s="14" t="s">
        <v>373</v>
      </c>
      <c r="G177" s="14" t="s">
        <v>373</v>
      </c>
      <c r="I177" s="14" t="s">
        <v>373</v>
      </c>
    </row>
    <row r="178" spans="1:9" x14ac:dyDescent="0.25">
      <c r="A178" s="14" t="s">
        <v>825</v>
      </c>
      <c r="B178" s="14" t="s">
        <v>826</v>
      </c>
      <c r="C178" s="14" t="s">
        <v>827</v>
      </c>
      <c r="D178" s="14" t="s">
        <v>373</v>
      </c>
      <c r="E178" s="14" t="s">
        <v>373</v>
      </c>
      <c r="F178" s="14" t="s">
        <v>373</v>
      </c>
      <c r="G178" s="14" t="s">
        <v>373</v>
      </c>
      <c r="I178" s="14" t="s">
        <v>373</v>
      </c>
    </row>
    <row r="179" spans="1:9" x14ac:dyDescent="0.25">
      <c r="A179" s="14" t="s">
        <v>828</v>
      </c>
      <c r="B179" s="14" t="s">
        <v>829</v>
      </c>
      <c r="C179" s="14" t="s">
        <v>830</v>
      </c>
      <c r="D179" s="14" t="s">
        <v>373</v>
      </c>
      <c r="E179" s="14" t="s">
        <v>373</v>
      </c>
      <c r="F179" s="14" t="s">
        <v>373</v>
      </c>
      <c r="G179" s="14" t="s">
        <v>373</v>
      </c>
      <c r="I179" s="14" t="s">
        <v>373</v>
      </c>
    </row>
    <row r="180" spans="1:9" x14ac:dyDescent="0.25">
      <c r="A180" s="14" t="s">
        <v>53</v>
      </c>
      <c r="B180" s="14" t="s">
        <v>831</v>
      </c>
      <c r="C180" s="14" t="s">
        <v>832</v>
      </c>
      <c r="D180" s="14" t="s">
        <v>285</v>
      </c>
      <c r="E180" s="14" t="s">
        <v>286</v>
      </c>
      <c r="F180" s="14" t="s">
        <v>286</v>
      </c>
      <c r="G180" s="14" t="s">
        <v>287</v>
      </c>
      <c r="I180" s="14" t="s">
        <v>287</v>
      </c>
    </row>
    <row r="181" spans="1:9" x14ac:dyDescent="0.25">
      <c r="A181" s="14" t="s">
        <v>833</v>
      </c>
      <c r="B181" s="14" t="s">
        <v>834</v>
      </c>
      <c r="C181" s="14" t="s">
        <v>835</v>
      </c>
      <c r="D181" s="14" t="s">
        <v>285</v>
      </c>
      <c r="E181" s="14" t="s">
        <v>286</v>
      </c>
      <c r="F181" s="14" t="s">
        <v>286</v>
      </c>
      <c r="G181" s="14" t="s">
        <v>287</v>
      </c>
      <c r="I181" s="14" t="s">
        <v>287</v>
      </c>
    </row>
    <row r="182" spans="1:9" x14ac:dyDescent="0.25">
      <c r="A182" s="14" t="s">
        <v>836</v>
      </c>
      <c r="B182" s="14" t="s">
        <v>837</v>
      </c>
      <c r="C182" s="14" t="s">
        <v>838</v>
      </c>
      <c r="D182" s="14" t="s">
        <v>325</v>
      </c>
      <c r="E182" s="14" t="s">
        <v>325</v>
      </c>
      <c r="F182" s="14" t="s">
        <v>325</v>
      </c>
      <c r="G182" s="14" t="s">
        <v>326</v>
      </c>
      <c r="I182" s="14" t="s">
        <v>326</v>
      </c>
    </row>
    <row r="183" spans="1:9" x14ac:dyDescent="0.25">
      <c r="A183" s="14" t="s">
        <v>839</v>
      </c>
      <c r="B183" s="14" t="s">
        <v>840</v>
      </c>
      <c r="C183" s="14" t="s">
        <v>841</v>
      </c>
      <c r="D183" s="14" t="s">
        <v>325</v>
      </c>
      <c r="E183" s="14" t="s">
        <v>325</v>
      </c>
      <c r="F183" s="14" t="s">
        <v>325</v>
      </c>
      <c r="G183" s="14" t="s">
        <v>326</v>
      </c>
      <c r="I183" s="14" t="s">
        <v>326</v>
      </c>
    </row>
    <row r="184" spans="1:9" x14ac:dyDescent="0.25">
      <c r="A184" s="14" t="s">
        <v>842</v>
      </c>
      <c r="B184" s="14" t="s">
        <v>843</v>
      </c>
      <c r="C184" s="14" t="s">
        <v>844</v>
      </c>
      <c r="D184" s="14" t="s">
        <v>285</v>
      </c>
      <c r="E184" s="14" t="s">
        <v>307</v>
      </c>
      <c r="F184" s="14" t="s">
        <v>307</v>
      </c>
      <c r="G184" s="14" t="s">
        <v>378</v>
      </c>
      <c r="I184" s="14" t="s">
        <v>378</v>
      </c>
    </row>
    <row r="185" spans="1:9" x14ac:dyDescent="0.25">
      <c r="A185" s="14" t="s">
        <v>845</v>
      </c>
      <c r="B185" s="14" t="s">
        <v>846</v>
      </c>
      <c r="C185" s="14" t="s">
        <v>847</v>
      </c>
      <c r="D185" s="14" t="s">
        <v>373</v>
      </c>
      <c r="E185" s="14" t="s">
        <v>374</v>
      </c>
      <c r="F185" s="14" t="s">
        <v>374</v>
      </c>
      <c r="G185" s="14" t="s">
        <v>396</v>
      </c>
      <c r="I185" s="24" t="s">
        <v>1389</v>
      </c>
    </row>
    <row r="186" spans="1:9" x14ac:dyDescent="0.25">
      <c r="A186" s="14" t="s">
        <v>848</v>
      </c>
      <c r="B186" s="14" t="s">
        <v>849</v>
      </c>
      <c r="C186" s="14" t="s">
        <v>850</v>
      </c>
      <c r="D186" s="14" t="s">
        <v>325</v>
      </c>
      <c r="E186" s="14" t="s">
        <v>325</v>
      </c>
      <c r="F186" s="14" t="s">
        <v>325</v>
      </c>
      <c r="G186" s="14" t="s">
        <v>411</v>
      </c>
      <c r="I186" s="14" t="s">
        <v>411</v>
      </c>
    </row>
    <row r="187" spans="1:9" x14ac:dyDescent="0.25">
      <c r="A187" s="14" t="s">
        <v>851</v>
      </c>
      <c r="B187" s="14" t="s">
        <v>852</v>
      </c>
      <c r="C187" s="14" t="s">
        <v>853</v>
      </c>
      <c r="D187" s="14" t="s">
        <v>325</v>
      </c>
      <c r="E187" s="14" t="s">
        <v>325</v>
      </c>
      <c r="F187" s="14" t="s">
        <v>325</v>
      </c>
      <c r="G187" s="14" t="s">
        <v>411</v>
      </c>
      <c r="I187" s="14" t="s">
        <v>411</v>
      </c>
    </row>
    <row r="188" spans="1:9" x14ac:dyDescent="0.25">
      <c r="A188" s="14" t="s">
        <v>264</v>
      </c>
      <c r="B188" s="14" t="s">
        <v>854</v>
      </c>
      <c r="C188" s="14" t="s">
        <v>855</v>
      </c>
      <c r="D188" s="14" t="s">
        <v>285</v>
      </c>
      <c r="E188" s="14" t="s">
        <v>307</v>
      </c>
      <c r="F188" s="14" t="s">
        <v>307</v>
      </c>
      <c r="G188" s="14" t="s">
        <v>308</v>
      </c>
      <c r="I188" s="14" t="s">
        <v>308</v>
      </c>
    </row>
    <row r="189" spans="1:9" x14ac:dyDescent="0.25">
      <c r="A189" s="14" t="s">
        <v>856</v>
      </c>
      <c r="B189" s="14" t="s">
        <v>857</v>
      </c>
      <c r="C189" s="14" t="s">
        <v>858</v>
      </c>
      <c r="D189" s="14" t="s">
        <v>325</v>
      </c>
      <c r="E189" s="14" t="s">
        <v>325</v>
      </c>
      <c r="F189" s="14" t="s">
        <v>325</v>
      </c>
      <c r="G189" s="14" t="s">
        <v>411</v>
      </c>
      <c r="I189" s="14" t="s">
        <v>411</v>
      </c>
    </row>
    <row r="190" spans="1:9" x14ac:dyDescent="0.25">
      <c r="A190" s="14" t="s">
        <v>859</v>
      </c>
      <c r="B190" s="14" t="s">
        <v>860</v>
      </c>
      <c r="C190" s="14" t="s">
        <v>861</v>
      </c>
      <c r="D190" s="14" t="s">
        <v>285</v>
      </c>
      <c r="E190" s="14" t="s">
        <v>307</v>
      </c>
      <c r="F190" s="14" t="s">
        <v>307</v>
      </c>
      <c r="G190" s="14" t="s">
        <v>378</v>
      </c>
      <c r="I190" s="14" t="s">
        <v>378</v>
      </c>
    </row>
    <row r="191" spans="1:9" x14ac:dyDescent="0.25">
      <c r="A191" s="14" t="s">
        <v>862</v>
      </c>
      <c r="B191" s="14" t="s">
        <v>863</v>
      </c>
      <c r="C191" s="14" t="s">
        <v>864</v>
      </c>
      <c r="D191" s="14" t="s">
        <v>325</v>
      </c>
      <c r="E191" s="14" t="s">
        <v>325</v>
      </c>
      <c r="F191" s="14" t="s">
        <v>325</v>
      </c>
      <c r="G191" s="14" t="s">
        <v>326</v>
      </c>
      <c r="I191" s="14" t="s">
        <v>326</v>
      </c>
    </row>
    <row r="192" spans="1:9" x14ac:dyDescent="0.25">
      <c r="A192" s="14" t="s">
        <v>865</v>
      </c>
      <c r="B192" s="14" t="s">
        <v>866</v>
      </c>
      <c r="C192" s="14" t="s">
        <v>867</v>
      </c>
      <c r="D192" s="14" t="s">
        <v>276</v>
      </c>
      <c r="E192" s="14" t="s">
        <v>276</v>
      </c>
      <c r="F192" s="14" t="s">
        <v>276</v>
      </c>
      <c r="G192" s="14" t="s">
        <v>443</v>
      </c>
      <c r="I192" s="14" t="s">
        <v>443</v>
      </c>
    </row>
    <row r="193" spans="1:9" x14ac:dyDescent="0.25">
      <c r="A193" s="14" t="s">
        <v>868</v>
      </c>
      <c r="B193" s="14" t="s">
        <v>869</v>
      </c>
      <c r="C193" s="14" t="s">
        <v>870</v>
      </c>
      <c r="D193" s="14" t="s">
        <v>276</v>
      </c>
      <c r="E193" s="14" t="s">
        <v>276</v>
      </c>
      <c r="F193" s="14" t="s">
        <v>276</v>
      </c>
      <c r="G193" s="14" t="s">
        <v>443</v>
      </c>
      <c r="I193" s="14" t="s">
        <v>443</v>
      </c>
    </row>
    <row r="194" spans="1:9" x14ac:dyDescent="0.25">
      <c r="A194" s="14" t="s">
        <v>871</v>
      </c>
      <c r="B194" s="14" t="s">
        <v>872</v>
      </c>
      <c r="C194" s="14" t="s">
        <v>873</v>
      </c>
      <c r="D194" s="14" t="s">
        <v>276</v>
      </c>
      <c r="E194" s="14" t="s">
        <v>276</v>
      </c>
      <c r="F194" s="14" t="s">
        <v>276</v>
      </c>
      <c r="G194" s="14" t="s">
        <v>443</v>
      </c>
      <c r="I194" s="14" t="s">
        <v>443</v>
      </c>
    </row>
    <row r="195" spans="1:9" x14ac:dyDescent="0.25">
      <c r="A195" s="14" t="s">
        <v>874</v>
      </c>
      <c r="B195" s="14" t="s">
        <v>875</v>
      </c>
      <c r="C195" s="14" t="s">
        <v>876</v>
      </c>
      <c r="D195" s="14" t="s">
        <v>373</v>
      </c>
      <c r="E195" s="14" t="s">
        <v>373</v>
      </c>
      <c r="F195" s="14" t="s">
        <v>373</v>
      </c>
      <c r="G195" s="14" t="s">
        <v>373</v>
      </c>
      <c r="I195" s="14" t="s">
        <v>373</v>
      </c>
    </row>
    <row r="196" spans="1:9" x14ac:dyDescent="0.25">
      <c r="A196" s="14" t="s">
        <v>877</v>
      </c>
      <c r="B196" s="14" t="s">
        <v>878</v>
      </c>
      <c r="C196" s="14" t="s">
        <v>879</v>
      </c>
      <c r="D196" s="14" t="s">
        <v>373</v>
      </c>
      <c r="E196" s="14" t="s">
        <v>373</v>
      </c>
      <c r="F196" s="14" t="s">
        <v>373</v>
      </c>
      <c r="G196" s="14" t="s">
        <v>373</v>
      </c>
      <c r="I196" s="14" t="s">
        <v>373</v>
      </c>
    </row>
    <row r="197" spans="1:9" x14ac:dyDescent="0.25">
      <c r="A197" s="14" t="s">
        <v>880</v>
      </c>
      <c r="B197" s="14" t="s">
        <v>881</v>
      </c>
      <c r="C197" s="14" t="s">
        <v>882</v>
      </c>
      <c r="D197" s="14" t="s">
        <v>373</v>
      </c>
      <c r="E197" s="14" t="s">
        <v>373</v>
      </c>
      <c r="F197" s="14" t="s">
        <v>373</v>
      </c>
      <c r="G197" s="14" t="s">
        <v>373</v>
      </c>
      <c r="I197" s="14" t="s">
        <v>373</v>
      </c>
    </row>
    <row r="198" spans="1:9" x14ac:dyDescent="0.25">
      <c r="A198" s="14" t="s">
        <v>883</v>
      </c>
      <c r="B198" s="14" t="s">
        <v>884</v>
      </c>
      <c r="C198" s="14" t="s">
        <v>885</v>
      </c>
      <c r="D198" s="14" t="s">
        <v>373</v>
      </c>
      <c r="E198" s="14" t="s">
        <v>373</v>
      </c>
      <c r="F198" s="14" t="s">
        <v>373</v>
      </c>
      <c r="G198" s="14" t="s">
        <v>373</v>
      </c>
      <c r="I198" s="14" t="s">
        <v>373</v>
      </c>
    </row>
    <row r="199" spans="1:9" x14ac:dyDescent="0.25">
      <c r="A199" s="14" t="s">
        <v>886</v>
      </c>
      <c r="B199" s="14" t="s">
        <v>887</v>
      </c>
      <c r="C199" s="14" t="s">
        <v>888</v>
      </c>
      <c r="D199" s="14" t="s">
        <v>373</v>
      </c>
      <c r="E199" s="14" t="s">
        <v>373</v>
      </c>
      <c r="F199" s="14" t="s">
        <v>373</v>
      </c>
      <c r="G199" s="14" t="s">
        <v>373</v>
      </c>
      <c r="I199" s="14" t="s">
        <v>373</v>
      </c>
    </row>
    <row r="200" spans="1:9" x14ac:dyDescent="0.25">
      <c r="A200" s="14" t="s">
        <v>889</v>
      </c>
      <c r="B200" s="14" t="s">
        <v>890</v>
      </c>
      <c r="C200" s="14" t="s">
        <v>891</v>
      </c>
      <c r="D200" s="14" t="s">
        <v>373</v>
      </c>
      <c r="E200" s="14" t="s">
        <v>373</v>
      </c>
      <c r="F200" s="14" t="s">
        <v>373</v>
      </c>
      <c r="G200" s="14" t="s">
        <v>373</v>
      </c>
      <c r="I200" s="14" t="s">
        <v>373</v>
      </c>
    </row>
    <row r="201" spans="1:9" x14ac:dyDescent="0.25">
      <c r="A201" s="14" t="s">
        <v>892</v>
      </c>
      <c r="B201" s="14" t="s">
        <v>893</v>
      </c>
      <c r="C201" s="14" t="s">
        <v>894</v>
      </c>
      <c r="D201" s="14" t="s">
        <v>373</v>
      </c>
      <c r="E201" s="14" t="s">
        <v>373</v>
      </c>
      <c r="F201" s="14" t="s">
        <v>373</v>
      </c>
      <c r="G201" s="14" t="s">
        <v>373</v>
      </c>
      <c r="I201" s="14" t="s">
        <v>373</v>
      </c>
    </row>
    <row r="202" spans="1:9" x14ac:dyDescent="0.25">
      <c r="A202" s="14" t="s">
        <v>895</v>
      </c>
      <c r="B202" s="14" t="s">
        <v>896</v>
      </c>
      <c r="C202" s="14" t="s">
        <v>897</v>
      </c>
      <c r="D202" s="14" t="s">
        <v>373</v>
      </c>
      <c r="E202" s="14" t="s">
        <v>373</v>
      </c>
      <c r="F202" s="14" t="s">
        <v>373</v>
      </c>
      <c r="G202" s="14" t="s">
        <v>373</v>
      </c>
      <c r="I202" s="14" t="s">
        <v>373</v>
      </c>
    </row>
    <row r="203" spans="1:9" x14ac:dyDescent="0.25">
      <c r="A203" s="14" t="s">
        <v>898</v>
      </c>
      <c r="B203" s="14" t="s">
        <v>899</v>
      </c>
      <c r="C203" s="14" t="s">
        <v>900</v>
      </c>
      <c r="D203" s="14" t="s">
        <v>373</v>
      </c>
      <c r="E203" s="14" t="s">
        <v>373</v>
      </c>
      <c r="F203" s="14" t="s">
        <v>373</v>
      </c>
      <c r="G203" s="14" t="s">
        <v>373</v>
      </c>
      <c r="I203" s="14" t="s">
        <v>373</v>
      </c>
    </row>
    <row r="204" spans="1:9" x14ac:dyDescent="0.25">
      <c r="A204" s="14" t="s">
        <v>901</v>
      </c>
      <c r="B204" s="14" t="s">
        <v>902</v>
      </c>
      <c r="C204" s="14" t="s">
        <v>903</v>
      </c>
      <c r="D204" s="14" t="s">
        <v>373</v>
      </c>
      <c r="E204" s="14" t="s">
        <v>373</v>
      </c>
      <c r="F204" s="14" t="s">
        <v>373</v>
      </c>
      <c r="G204" s="14" t="s">
        <v>373</v>
      </c>
      <c r="I204" s="14" t="s">
        <v>373</v>
      </c>
    </row>
    <row r="205" spans="1:9" x14ac:dyDescent="0.25">
      <c r="A205" s="14" t="s">
        <v>904</v>
      </c>
      <c r="B205" s="14" t="s">
        <v>905</v>
      </c>
      <c r="C205" s="14" t="s">
        <v>906</v>
      </c>
      <c r="D205" s="14" t="s">
        <v>373</v>
      </c>
      <c r="E205" s="14" t="s">
        <v>373</v>
      </c>
      <c r="F205" s="14" t="s">
        <v>373</v>
      </c>
      <c r="G205" s="14" t="s">
        <v>373</v>
      </c>
      <c r="I205" s="14" t="s">
        <v>373</v>
      </c>
    </row>
    <row r="206" spans="1:9" x14ac:dyDescent="0.25">
      <c r="A206" s="14" t="s">
        <v>907</v>
      </c>
      <c r="B206" s="14" t="s">
        <v>908</v>
      </c>
      <c r="C206" s="14" t="s">
        <v>909</v>
      </c>
      <c r="D206" s="14" t="s">
        <v>373</v>
      </c>
      <c r="E206" s="14" t="s">
        <v>373</v>
      </c>
      <c r="F206" s="14" t="s">
        <v>373</v>
      </c>
      <c r="G206" s="14" t="s">
        <v>373</v>
      </c>
      <c r="I206" s="14" t="s">
        <v>373</v>
      </c>
    </row>
    <row r="207" spans="1:9" x14ac:dyDescent="0.25">
      <c r="A207" s="14" t="s">
        <v>910</v>
      </c>
      <c r="B207" s="14" t="s">
        <v>911</v>
      </c>
      <c r="C207" s="14" t="s">
        <v>912</v>
      </c>
      <c r="D207" s="14" t="s">
        <v>373</v>
      </c>
      <c r="E207" s="14" t="s">
        <v>373</v>
      </c>
      <c r="F207" s="14" t="s">
        <v>373</v>
      </c>
      <c r="G207" s="14" t="s">
        <v>373</v>
      </c>
      <c r="I207" s="14" t="s">
        <v>373</v>
      </c>
    </row>
    <row r="208" spans="1:9" x14ac:dyDescent="0.25">
      <c r="A208" s="14" t="s">
        <v>913</v>
      </c>
      <c r="B208" s="14" t="s">
        <v>914</v>
      </c>
      <c r="C208" s="14" t="s">
        <v>915</v>
      </c>
      <c r="D208" s="14" t="s">
        <v>373</v>
      </c>
      <c r="E208" s="14" t="s">
        <v>374</v>
      </c>
      <c r="F208" s="14" t="s">
        <v>374</v>
      </c>
      <c r="G208" s="14" t="s">
        <v>396</v>
      </c>
      <c r="I208" s="24" t="s">
        <v>1389</v>
      </c>
    </row>
    <row r="209" spans="1:9" x14ac:dyDescent="0.25">
      <c r="A209" s="14" t="s">
        <v>916</v>
      </c>
      <c r="B209" s="14" t="s">
        <v>917</v>
      </c>
      <c r="C209" s="14" t="s">
        <v>918</v>
      </c>
      <c r="D209" s="14" t="s">
        <v>325</v>
      </c>
      <c r="E209" s="14" t="s">
        <v>325</v>
      </c>
      <c r="F209" s="14" t="s">
        <v>325</v>
      </c>
      <c r="G209" s="14" t="s">
        <v>326</v>
      </c>
      <c r="I209" s="14" t="s">
        <v>326</v>
      </c>
    </row>
    <row r="210" spans="1:9" x14ac:dyDescent="0.25">
      <c r="A210" s="14" t="s">
        <v>919</v>
      </c>
      <c r="B210" s="14" t="s">
        <v>920</v>
      </c>
      <c r="C210" s="14" t="s">
        <v>921</v>
      </c>
      <c r="D210" s="14" t="s">
        <v>276</v>
      </c>
      <c r="E210" s="14" t="s">
        <v>276</v>
      </c>
      <c r="F210" s="14" t="s">
        <v>276</v>
      </c>
      <c r="G210" s="14" t="s">
        <v>443</v>
      </c>
      <c r="I210" s="14" t="s">
        <v>443</v>
      </c>
    </row>
    <row r="211" spans="1:9" x14ac:dyDescent="0.25">
      <c r="A211" s="14" t="s">
        <v>922</v>
      </c>
      <c r="B211" s="14" t="s">
        <v>923</v>
      </c>
      <c r="C211" s="14" t="s">
        <v>924</v>
      </c>
      <c r="D211" s="14" t="s">
        <v>373</v>
      </c>
      <c r="E211" s="14" t="s">
        <v>373</v>
      </c>
      <c r="F211" s="14" t="s">
        <v>373</v>
      </c>
      <c r="G211" s="14" t="s">
        <v>925</v>
      </c>
      <c r="I211" s="14" t="s">
        <v>925</v>
      </c>
    </row>
    <row r="212" spans="1:9" x14ac:dyDescent="0.25">
      <c r="A212" s="14" t="s">
        <v>926</v>
      </c>
      <c r="B212" s="14" t="s">
        <v>927</v>
      </c>
      <c r="C212" s="14" t="s">
        <v>928</v>
      </c>
      <c r="D212" s="14" t="s">
        <v>373</v>
      </c>
      <c r="E212" s="14" t="s">
        <v>447</v>
      </c>
      <c r="F212" s="14" t="s">
        <v>447</v>
      </c>
      <c r="G212" s="14" t="s">
        <v>447</v>
      </c>
      <c r="I212" s="14" t="s">
        <v>447</v>
      </c>
    </row>
    <row r="213" spans="1:9" x14ac:dyDescent="0.25">
      <c r="A213" s="14" t="s">
        <v>929</v>
      </c>
      <c r="B213" s="14" t="s">
        <v>930</v>
      </c>
      <c r="C213" s="14" t="s">
        <v>931</v>
      </c>
      <c r="D213" s="14" t="s">
        <v>373</v>
      </c>
      <c r="E213" s="14" t="s">
        <v>447</v>
      </c>
      <c r="F213" s="14" t="s">
        <v>447</v>
      </c>
      <c r="G213" s="14" t="s">
        <v>447</v>
      </c>
      <c r="I213" s="14" t="s">
        <v>447</v>
      </c>
    </row>
    <row r="214" spans="1:9" x14ac:dyDescent="0.25">
      <c r="A214" s="14" t="s">
        <v>932</v>
      </c>
      <c r="B214" s="14" t="s">
        <v>933</v>
      </c>
      <c r="C214" s="14" t="s">
        <v>934</v>
      </c>
      <c r="D214" s="14" t="s">
        <v>373</v>
      </c>
      <c r="E214" s="14" t="s">
        <v>447</v>
      </c>
      <c r="F214" s="14" t="s">
        <v>447</v>
      </c>
      <c r="G214" s="14" t="s">
        <v>447</v>
      </c>
      <c r="I214" s="14" t="s">
        <v>447</v>
      </c>
    </row>
    <row r="215" spans="1:9" x14ac:dyDescent="0.25">
      <c r="A215" s="14" t="s">
        <v>935</v>
      </c>
      <c r="B215" s="14" t="s">
        <v>936</v>
      </c>
      <c r="C215" s="14" t="s">
        <v>937</v>
      </c>
      <c r="D215" s="14" t="s">
        <v>373</v>
      </c>
      <c r="E215" s="14" t="s">
        <v>447</v>
      </c>
      <c r="F215" s="14" t="s">
        <v>447</v>
      </c>
      <c r="G215" s="14" t="s">
        <v>447</v>
      </c>
      <c r="I215" s="14" t="s">
        <v>447</v>
      </c>
    </row>
    <row r="216" spans="1:9" x14ac:dyDescent="0.25">
      <c r="A216" s="14" t="s">
        <v>938</v>
      </c>
      <c r="B216" s="14" t="s">
        <v>939</v>
      </c>
      <c r="C216" s="14" t="s">
        <v>940</v>
      </c>
      <c r="D216" s="14" t="s">
        <v>373</v>
      </c>
      <c r="E216" s="14" t="s">
        <v>447</v>
      </c>
      <c r="F216" s="14" t="s">
        <v>447</v>
      </c>
      <c r="G216" s="14" t="s">
        <v>447</v>
      </c>
      <c r="I216" s="14" t="s">
        <v>447</v>
      </c>
    </row>
    <row r="217" spans="1:9" x14ac:dyDescent="0.25">
      <c r="A217" s="14" t="s">
        <v>941</v>
      </c>
      <c r="B217" s="14" t="s">
        <v>942</v>
      </c>
      <c r="C217" s="14" t="s">
        <v>943</v>
      </c>
      <c r="D217" s="14" t="s">
        <v>373</v>
      </c>
      <c r="E217" s="14" t="s">
        <v>447</v>
      </c>
      <c r="F217" s="14" t="s">
        <v>447</v>
      </c>
      <c r="G217" s="14" t="s">
        <v>447</v>
      </c>
      <c r="I217" s="14" t="s">
        <v>447</v>
      </c>
    </row>
    <row r="218" spans="1:9" x14ac:dyDescent="0.25">
      <c r="A218" s="14" t="s">
        <v>944</v>
      </c>
      <c r="B218" s="14" t="s">
        <v>945</v>
      </c>
      <c r="C218" s="14" t="s">
        <v>946</v>
      </c>
      <c r="D218" s="14" t="s">
        <v>373</v>
      </c>
      <c r="E218" s="14" t="s">
        <v>447</v>
      </c>
      <c r="F218" s="14" t="s">
        <v>447</v>
      </c>
      <c r="G218" s="14" t="s">
        <v>447</v>
      </c>
      <c r="I218" s="14" t="s">
        <v>447</v>
      </c>
    </row>
    <row r="219" spans="1:9" x14ac:dyDescent="0.25">
      <c r="A219" s="14" t="s">
        <v>947</v>
      </c>
      <c r="B219" s="14" t="s">
        <v>948</v>
      </c>
      <c r="C219" s="14" t="s">
        <v>949</v>
      </c>
      <c r="D219" s="14" t="s">
        <v>373</v>
      </c>
      <c r="E219" s="14" t="s">
        <v>447</v>
      </c>
      <c r="F219" s="14" t="s">
        <v>447</v>
      </c>
      <c r="G219" s="14" t="s">
        <v>447</v>
      </c>
      <c r="I219" s="14" t="s">
        <v>447</v>
      </c>
    </row>
    <row r="220" spans="1:9" x14ac:dyDescent="0.25">
      <c r="A220" s="14" t="s">
        <v>950</v>
      </c>
      <c r="B220" s="14" t="s">
        <v>951</v>
      </c>
      <c r="C220" s="14" t="s">
        <v>952</v>
      </c>
      <c r="D220" s="14" t="s">
        <v>373</v>
      </c>
      <c r="E220" s="14" t="s">
        <v>447</v>
      </c>
      <c r="F220" s="14" t="s">
        <v>447</v>
      </c>
      <c r="G220" s="14" t="s">
        <v>447</v>
      </c>
      <c r="I220" s="14" t="s">
        <v>447</v>
      </c>
    </row>
    <row r="221" spans="1:9" x14ac:dyDescent="0.25">
      <c r="A221" s="14" t="s">
        <v>953</v>
      </c>
      <c r="B221" s="14" t="s">
        <v>954</v>
      </c>
      <c r="C221" s="14" t="s">
        <v>955</v>
      </c>
      <c r="D221" s="14" t="s">
        <v>373</v>
      </c>
      <c r="E221" s="14" t="s">
        <v>447</v>
      </c>
      <c r="F221" s="14" t="s">
        <v>447</v>
      </c>
      <c r="G221" s="14" t="s">
        <v>447</v>
      </c>
      <c r="I221" s="14" t="s">
        <v>447</v>
      </c>
    </row>
    <row r="222" spans="1:9" x14ac:dyDescent="0.25">
      <c r="A222" s="14" t="s">
        <v>956</v>
      </c>
      <c r="B222" s="14" t="s">
        <v>957</v>
      </c>
      <c r="C222" s="14" t="s">
        <v>958</v>
      </c>
      <c r="D222" s="14" t="s">
        <v>373</v>
      </c>
      <c r="E222" s="14" t="s">
        <v>447</v>
      </c>
      <c r="F222" s="14" t="s">
        <v>447</v>
      </c>
      <c r="G222" s="14" t="s">
        <v>447</v>
      </c>
      <c r="I222" s="14" t="s">
        <v>447</v>
      </c>
    </row>
    <row r="223" spans="1:9" x14ac:dyDescent="0.25">
      <c r="A223" s="14" t="s">
        <v>959</v>
      </c>
      <c r="B223" s="14" t="s">
        <v>960</v>
      </c>
      <c r="C223" s="14" t="s">
        <v>961</v>
      </c>
      <c r="D223" s="14" t="s">
        <v>373</v>
      </c>
      <c r="E223" s="14" t="s">
        <v>447</v>
      </c>
      <c r="F223" s="14" t="s">
        <v>447</v>
      </c>
      <c r="G223" s="14" t="s">
        <v>447</v>
      </c>
      <c r="I223" s="14" t="s">
        <v>447</v>
      </c>
    </row>
    <row r="224" spans="1:9" x14ac:dyDescent="0.25">
      <c r="A224" s="14" t="s">
        <v>962</v>
      </c>
      <c r="B224" s="14" t="s">
        <v>963</v>
      </c>
      <c r="C224" s="14" t="s">
        <v>964</v>
      </c>
      <c r="D224" s="14" t="s">
        <v>373</v>
      </c>
      <c r="E224" s="14" t="s">
        <v>447</v>
      </c>
      <c r="F224" s="14" t="s">
        <v>447</v>
      </c>
      <c r="G224" s="14" t="s">
        <v>447</v>
      </c>
      <c r="I224" s="14" t="s">
        <v>447</v>
      </c>
    </row>
    <row r="225" spans="1:9" x14ac:dyDescent="0.25">
      <c r="A225" s="14" t="s">
        <v>965</v>
      </c>
      <c r="B225" s="14" t="s">
        <v>966</v>
      </c>
      <c r="C225" s="14" t="s">
        <v>967</v>
      </c>
      <c r="D225" s="14" t="s">
        <v>373</v>
      </c>
      <c r="E225" s="14" t="s">
        <v>447</v>
      </c>
      <c r="F225" s="14" t="s">
        <v>447</v>
      </c>
      <c r="G225" s="14" t="s">
        <v>447</v>
      </c>
      <c r="I225" s="14" t="s">
        <v>447</v>
      </c>
    </row>
    <row r="226" spans="1:9" x14ac:dyDescent="0.25">
      <c r="A226" s="14" t="s">
        <v>968</v>
      </c>
      <c r="B226" s="14" t="s">
        <v>969</v>
      </c>
      <c r="C226" s="14" t="s">
        <v>970</v>
      </c>
      <c r="D226" s="14" t="s">
        <v>373</v>
      </c>
      <c r="E226" s="14" t="s">
        <v>447</v>
      </c>
      <c r="F226" s="14" t="s">
        <v>447</v>
      </c>
      <c r="G226" s="14" t="s">
        <v>447</v>
      </c>
      <c r="I226" s="14" t="s">
        <v>447</v>
      </c>
    </row>
    <row r="227" spans="1:9" x14ac:dyDescent="0.25">
      <c r="A227" s="14" t="s">
        <v>971</v>
      </c>
      <c r="B227" s="14" t="s">
        <v>972</v>
      </c>
      <c r="C227" s="14" t="s">
        <v>973</v>
      </c>
      <c r="D227" s="14" t="s">
        <v>373</v>
      </c>
      <c r="E227" s="14" t="s">
        <v>373</v>
      </c>
      <c r="F227" s="14" t="s">
        <v>373</v>
      </c>
      <c r="G227" s="14" t="s">
        <v>373</v>
      </c>
      <c r="I227" s="14" t="s">
        <v>373</v>
      </c>
    </row>
    <row r="228" spans="1:9" x14ac:dyDescent="0.25">
      <c r="A228" s="14" t="s">
        <v>974</v>
      </c>
      <c r="B228" s="14" t="s">
        <v>975</v>
      </c>
      <c r="C228" s="14" t="s">
        <v>976</v>
      </c>
      <c r="D228" s="14" t="s">
        <v>373</v>
      </c>
      <c r="E228" s="14" t="s">
        <v>373</v>
      </c>
      <c r="F228" s="14" t="s">
        <v>373</v>
      </c>
      <c r="G228" s="14" t="s">
        <v>373</v>
      </c>
      <c r="I228" s="14" t="s">
        <v>373</v>
      </c>
    </row>
    <row r="229" spans="1:9" x14ac:dyDescent="0.25">
      <c r="A229" s="14" t="s">
        <v>977</v>
      </c>
      <c r="B229" s="14" t="s">
        <v>978</v>
      </c>
      <c r="C229" s="14" t="s">
        <v>979</v>
      </c>
      <c r="D229" s="14" t="s">
        <v>373</v>
      </c>
      <c r="E229" s="14" t="s">
        <v>373</v>
      </c>
      <c r="F229" s="14" t="s">
        <v>373</v>
      </c>
      <c r="G229" s="14" t="s">
        <v>373</v>
      </c>
      <c r="I229" s="14" t="s">
        <v>373</v>
      </c>
    </row>
    <row r="230" spans="1:9" x14ac:dyDescent="0.25">
      <c r="A230" s="14" t="s">
        <v>980</v>
      </c>
      <c r="B230" s="14" t="s">
        <v>981</v>
      </c>
      <c r="C230" s="14" t="s">
        <v>982</v>
      </c>
      <c r="D230" s="14" t="s">
        <v>373</v>
      </c>
      <c r="E230" s="14" t="s">
        <v>373</v>
      </c>
      <c r="F230" s="14" t="s">
        <v>373</v>
      </c>
      <c r="G230" s="14" t="s">
        <v>373</v>
      </c>
      <c r="I230" s="14" t="s">
        <v>373</v>
      </c>
    </row>
    <row r="231" spans="1:9" x14ac:dyDescent="0.25">
      <c r="A231" s="14" t="s">
        <v>983</v>
      </c>
      <c r="B231" s="14" t="s">
        <v>984</v>
      </c>
      <c r="C231" s="14" t="s">
        <v>985</v>
      </c>
      <c r="D231" s="14" t="s">
        <v>373</v>
      </c>
      <c r="E231" s="14" t="s">
        <v>373</v>
      </c>
      <c r="F231" s="14" t="s">
        <v>373</v>
      </c>
      <c r="G231" s="14" t="s">
        <v>373</v>
      </c>
      <c r="I231" s="14" t="s">
        <v>373</v>
      </c>
    </row>
    <row r="232" spans="1:9" x14ac:dyDescent="0.25">
      <c r="A232" s="14" t="s">
        <v>986</v>
      </c>
      <c r="B232" s="14" t="s">
        <v>987</v>
      </c>
      <c r="C232" s="14" t="s">
        <v>988</v>
      </c>
      <c r="D232" s="14" t="s">
        <v>373</v>
      </c>
      <c r="E232" s="14" t="s">
        <v>373</v>
      </c>
      <c r="F232" s="14" t="s">
        <v>373</v>
      </c>
      <c r="G232" s="14" t="s">
        <v>373</v>
      </c>
      <c r="I232" s="14" t="s">
        <v>373</v>
      </c>
    </row>
    <row r="233" spans="1:9" x14ac:dyDescent="0.25">
      <c r="A233" s="14" t="s">
        <v>989</v>
      </c>
      <c r="B233" s="14" t="s">
        <v>990</v>
      </c>
      <c r="C233" s="14" t="s">
        <v>991</v>
      </c>
      <c r="D233" s="14" t="s">
        <v>285</v>
      </c>
      <c r="E233" s="14" t="s">
        <v>286</v>
      </c>
      <c r="F233" s="14" t="s">
        <v>286</v>
      </c>
      <c r="G233" s="14" t="s">
        <v>460</v>
      </c>
      <c r="I233" s="14" t="s">
        <v>460</v>
      </c>
    </row>
    <row r="234" spans="1:9" x14ac:dyDescent="0.25">
      <c r="A234" s="14" t="s">
        <v>992</v>
      </c>
      <c r="B234" s="14" t="s">
        <v>993</v>
      </c>
      <c r="C234" s="14" t="s">
        <v>994</v>
      </c>
      <c r="D234" s="14" t="s">
        <v>373</v>
      </c>
      <c r="E234" s="14" t="s">
        <v>447</v>
      </c>
      <c r="F234" s="14" t="s">
        <v>447</v>
      </c>
      <c r="G234" s="14" t="s">
        <v>447</v>
      </c>
      <c r="I234" s="14" t="s">
        <v>447</v>
      </c>
    </row>
    <row r="235" spans="1:9" x14ac:dyDescent="0.25">
      <c r="A235" s="14" t="s">
        <v>995</v>
      </c>
      <c r="B235" s="14" t="s">
        <v>996</v>
      </c>
      <c r="C235" s="14" t="s">
        <v>997</v>
      </c>
      <c r="D235" s="14" t="s">
        <v>373</v>
      </c>
      <c r="E235" s="14" t="s">
        <v>373</v>
      </c>
      <c r="F235" s="14" t="s">
        <v>373</v>
      </c>
      <c r="G235" s="14" t="s">
        <v>373</v>
      </c>
      <c r="I235" s="14" t="s">
        <v>373</v>
      </c>
    </row>
    <row r="236" spans="1:9" x14ac:dyDescent="0.25">
      <c r="A236" s="15" t="s">
        <v>998</v>
      </c>
      <c r="B236" s="14" t="s">
        <v>999</v>
      </c>
      <c r="C236" s="14" t="s">
        <v>1000</v>
      </c>
      <c r="D236" s="14" t="s">
        <v>285</v>
      </c>
      <c r="E236" s="14" t="s">
        <v>286</v>
      </c>
      <c r="F236" s="14" t="s">
        <v>286</v>
      </c>
      <c r="G236" s="14" t="s">
        <v>287</v>
      </c>
      <c r="I236" s="14" t="s">
        <v>287</v>
      </c>
    </row>
    <row r="237" spans="1:9" x14ac:dyDescent="0.25">
      <c r="A237" s="15" t="s">
        <v>1001</v>
      </c>
      <c r="B237" s="14" t="s">
        <v>1002</v>
      </c>
      <c r="C237" s="14" t="s">
        <v>1003</v>
      </c>
      <c r="D237" s="14" t="s">
        <v>325</v>
      </c>
      <c r="E237" s="14" t="s">
        <v>325</v>
      </c>
      <c r="F237" s="14" t="s">
        <v>325</v>
      </c>
      <c r="G237" s="14" t="s">
        <v>326</v>
      </c>
      <c r="I237" s="14" t="s">
        <v>326</v>
      </c>
    </row>
    <row r="238" spans="1:9" x14ac:dyDescent="0.25">
      <c r="A238" s="15" t="s">
        <v>1004</v>
      </c>
      <c r="B238" s="14" t="s">
        <v>1005</v>
      </c>
      <c r="C238" s="14" t="s">
        <v>1006</v>
      </c>
      <c r="D238" s="14" t="s">
        <v>285</v>
      </c>
      <c r="E238" s="14" t="s">
        <v>286</v>
      </c>
      <c r="F238" s="14" t="s">
        <v>286</v>
      </c>
      <c r="G238" s="14" t="s">
        <v>287</v>
      </c>
      <c r="I238" s="14" t="s">
        <v>287</v>
      </c>
    </row>
    <row r="239" spans="1:9" x14ac:dyDescent="0.25">
      <c r="A239" s="15" t="s">
        <v>1007</v>
      </c>
      <c r="B239" s="14" t="s">
        <v>1008</v>
      </c>
      <c r="C239" s="14" t="s">
        <v>1009</v>
      </c>
      <c r="D239" s="14" t="s">
        <v>373</v>
      </c>
      <c r="E239" s="14" t="s">
        <v>373</v>
      </c>
      <c r="F239" s="14" t="s">
        <v>373</v>
      </c>
      <c r="G239" s="14" t="s">
        <v>439</v>
      </c>
      <c r="I239" s="14" t="s">
        <v>439</v>
      </c>
    </row>
    <row r="240" spans="1:9" x14ac:dyDescent="0.25">
      <c r="A240" s="15" t="s">
        <v>1010</v>
      </c>
      <c r="B240" s="14" t="s">
        <v>1011</v>
      </c>
      <c r="C240" s="14" t="s">
        <v>1012</v>
      </c>
      <c r="D240" s="14" t="s">
        <v>373</v>
      </c>
      <c r="E240" s="14" t="s">
        <v>373</v>
      </c>
      <c r="F240" s="14" t="s">
        <v>373</v>
      </c>
      <c r="G240" s="14" t="s">
        <v>1013</v>
      </c>
      <c r="I240" s="14" t="s">
        <v>1013</v>
      </c>
    </row>
    <row r="241" spans="1:9" x14ac:dyDescent="0.25">
      <c r="A241" s="15" t="s">
        <v>1014</v>
      </c>
      <c r="B241" s="14" t="s">
        <v>1015</v>
      </c>
      <c r="C241" s="14" t="s">
        <v>1016</v>
      </c>
      <c r="D241" s="14" t="s">
        <v>276</v>
      </c>
      <c r="E241" s="14" t="s">
        <v>276</v>
      </c>
      <c r="F241" s="14" t="s">
        <v>276</v>
      </c>
      <c r="G241" s="14" t="s">
        <v>443</v>
      </c>
      <c r="I241" s="14" t="s">
        <v>443</v>
      </c>
    </row>
    <row r="242" spans="1:9" x14ac:dyDescent="0.25">
      <c r="A242" s="15" t="s">
        <v>1017</v>
      </c>
      <c r="B242" s="14" t="s">
        <v>1018</v>
      </c>
      <c r="C242" s="14" t="s">
        <v>1019</v>
      </c>
      <c r="D242" s="14" t="s">
        <v>373</v>
      </c>
      <c r="E242" s="14" t="s">
        <v>373</v>
      </c>
      <c r="F242" s="14" t="s">
        <v>373</v>
      </c>
      <c r="G242" s="14" t="s">
        <v>373</v>
      </c>
      <c r="I242" s="14" t="s">
        <v>373</v>
      </c>
    </row>
    <row r="243" spans="1:9" x14ac:dyDescent="0.25">
      <c r="A243" s="15" t="s">
        <v>1020</v>
      </c>
      <c r="B243" s="14" t="s">
        <v>1021</v>
      </c>
      <c r="C243" s="14" t="s">
        <v>1022</v>
      </c>
      <c r="D243" s="14" t="s">
        <v>373</v>
      </c>
      <c r="E243" s="14" t="s">
        <v>373</v>
      </c>
      <c r="F243" s="14" t="s">
        <v>373</v>
      </c>
      <c r="G243" s="14" t="s">
        <v>373</v>
      </c>
      <c r="I243" s="14" t="s">
        <v>373</v>
      </c>
    </row>
    <row r="244" spans="1:9" x14ac:dyDescent="0.25">
      <c r="A244" s="15" t="s">
        <v>1023</v>
      </c>
      <c r="B244" s="14" t="s">
        <v>1024</v>
      </c>
      <c r="C244" s="14" t="s">
        <v>1025</v>
      </c>
      <c r="D244" s="14" t="s">
        <v>373</v>
      </c>
      <c r="E244" s="14" t="s">
        <v>373</v>
      </c>
      <c r="F244" s="14" t="s">
        <v>373</v>
      </c>
      <c r="G244" s="14" t="s">
        <v>373</v>
      </c>
      <c r="I244" s="14" t="s">
        <v>373</v>
      </c>
    </row>
    <row r="245" spans="1:9" x14ac:dyDescent="0.25">
      <c r="A245" s="15" t="s">
        <v>1026</v>
      </c>
      <c r="B245" s="14" t="s">
        <v>1027</v>
      </c>
      <c r="C245" s="14" t="s">
        <v>1028</v>
      </c>
      <c r="D245" s="14" t="s">
        <v>373</v>
      </c>
      <c r="E245" s="14" t="s">
        <v>373</v>
      </c>
      <c r="F245" s="14" t="s">
        <v>373</v>
      </c>
      <c r="G245" s="14" t="s">
        <v>373</v>
      </c>
      <c r="I245" s="14" t="s">
        <v>373</v>
      </c>
    </row>
    <row r="246" spans="1:9" x14ac:dyDescent="0.25">
      <c r="A246" s="15" t="s">
        <v>1029</v>
      </c>
      <c r="B246" s="14" t="s">
        <v>1030</v>
      </c>
      <c r="C246" s="14" t="s">
        <v>1031</v>
      </c>
      <c r="D246" s="14" t="s">
        <v>373</v>
      </c>
      <c r="E246" s="14" t="s">
        <v>373</v>
      </c>
      <c r="F246" s="14" t="s">
        <v>373</v>
      </c>
      <c r="G246" s="14" t="s">
        <v>373</v>
      </c>
      <c r="I246" s="14" t="s">
        <v>373</v>
      </c>
    </row>
    <row r="247" spans="1:9" x14ac:dyDescent="0.25">
      <c r="A247" s="15" t="s">
        <v>1032</v>
      </c>
      <c r="B247" s="14" t="s">
        <v>1033</v>
      </c>
      <c r="C247" s="14" t="s">
        <v>1034</v>
      </c>
      <c r="D247" s="14" t="s">
        <v>373</v>
      </c>
      <c r="E247" s="14" t="s">
        <v>373</v>
      </c>
      <c r="F247" s="14" t="s">
        <v>373</v>
      </c>
      <c r="G247" s="14" t="s">
        <v>373</v>
      </c>
      <c r="I247" s="14" t="s">
        <v>373</v>
      </c>
    </row>
    <row r="248" spans="1:9" x14ac:dyDescent="0.25">
      <c r="A248" s="15" t="s">
        <v>1035</v>
      </c>
      <c r="B248" s="14" t="s">
        <v>1036</v>
      </c>
      <c r="C248" s="14" t="s">
        <v>1037</v>
      </c>
      <c r="D248" s="14" t="s">
        <v>373</v>
      </c>
      <c r="E248" s="14" t="s">
        <v>373</v>
      </c>
      <c r="F248" s="14" t="s">
        <v>373</v>
      </c>
      <c r="G248" s="14" t="s">
        <v>373</v>
      </c>
      <c r="I248" s="14" t="s">
        <v>373</v>
      </c>
    </row>
    <row r="249" spans="1:9" x14ac:dyDescent="0.25">
      <c r="A249" s="15" t="s">
        <v>1038</v>
      </c>
      <c r="B249" s="14" t="s">
        <v>1039</v>
      </c>
      <c r="C249" s="14" t="s">
        <v>1040</v>
      </c>
      <c r="D249" s="14" t="s">
        <v>373</v>
      </c>
      <c r="E249" s="14" t="s">
        <v>373</v>
      </c>
      <c r="F249" s="14" t="s">
        <v>373</v>
      </c>
      <c r="G249" s="14" t="s">
        <v>373</v>
      </c>
      <c r="I249" s="14" t="s">
        <v>373</v>
      </c>
    </row>
    <row r="250" spans="1:9" x14ac:dyDescent="0.25">
      <c r="A250" s="15" t="s">
        <v>1041</v>
      </c>
      <c r="B250" s="14" t="s">
        <v>1042</v>
      </c>
      <c r="C250" s="14" t="s">
        <v>1043</v>
      </c>
      <c r="D250" s="14" t="s">
        <v>373</v>
      </c>
      <c r="E250" s="14" t="s">
        <v>373</v>
      </c>
      <c r="F250" s="14" t="s">
        <v>373</v>
      </c>
      <c r="G250" s="14" t="s">
        <v>373</v>
      </c>
      <c r="I250" s="14" t="s">
        <v>373</v>
      </c>
    </row>
    <row r="251" spans="1:9" x14ac:dyDescent="0.25">
      <c r="A251" s="15" t="s">
        <v>1044</v>
      </c>
      <c r="B251" s="14" t="s">
        <v>1045</v>
      </c>
      <c r="C251" s="14" t="s">
        <v>1046</v>
      </c>
      <c r="D251" s="14" t="s">
        <v>325</v>
      </c>
      <c r="E251" s="14" t="s">
        <v>325</v>
      </c>
      <c r="F251" s="14" t="s">
        <v>325</v>
      </c>
      <c r="G251" s="14" t="s">
        <v>326</v>
      </c>
      <c r="I251" s="14" t="s">
        <v>326</v>
      </c>
    </row>
    <row r="252" spans="1:9" x14ac:dyDescent="0.25">
      <c r="A252" s="14" t="s">
        <v>1047</v>
      </c>
      <c r="B252" s="14" t="s">
        <v>1047</v>
      </c>
      <c r="C252" s="14" t="s">
        <v>1047</v>
      </c>
      <c r="D252" s="14" t="s">
        <v>285</v>
      </c>
      <c r="E252" s="14" t="s">
        <v>307</v>
      </c>
      <c r="F252" s="14" t="s">
        <v>307</v>
      </c>
      <c r="G252" s="14" t="s">
        <v>378</v>
      </c>
      <c r="I252" s="14" t="s">
        <v>378</v>
      </c>
    </row>
    <row r="253" spans="1:9" x14ac:dyDescent="0.25">
      <c r="A253" s="14" t="s">
        <v>1048</v>
      </c>
      <c r="B253" s="14" t="s">
        <v>1048</v>
      </c>
      <c r="C253" s="14" t="s">
        <v>1048</v>
      </c>
      <c r="D253" s="14" t="s">
        <v>325</v>
      </c>
      <c r="E253" s="14" t="s">
        <v>325</v>
      </c>
      <c r="F253" s="14" t="s">
        <v>325</v>
      </c>
      <c r="G253" s="14" t="s">
        <v>411</v>
      </c>
      <c r="I253" s="14" t="s">
        <v>411</v>
      </c>
    </row>
    <row r="254" spans="1:9" x14ac:dyDescent="0.25">
      <c r="A254" s="14" t="s">
        <v>1049</v>
      </c>
      <c r="B254" s="14" t="s">
        <v>1049</v>
      </c>
      <c r="C254" s="14" t="s">
        <v>1049</v>
      </c>
      <c r="D254" s="14" t="s">
        <v>276</v>
      </c>
      <c r="E254" s="14" t="s">
        <v>276</v>
      </c>
      <c r="F254" s="14" t="s">
        <v>276</v>
      </c>
      <c r="G254" s="14" t="s">
        <v>443</v>
      </c>
      <c r="I254" s="14" t="s">
        <v>443</v>
      </c>
    </row>
    <row r="255" spans="1:9" x14ac:dyDescent="0.25">
      <c r="A255" s="14" t="s">
        <v>1050</v>
      </c>
      <c r="B255" s="14" t="s">
        <v>1050</v>
      </c>
      <c r="C255" s="14" t="s">
        <v>1050</v>
      </c>
      <c r="D255" s="14" t="s">
        <v>285</v>
      </c>
      <c r="E255" s="14" t="s">
        <v>307</v>
      </c>
      <c r="F255" s="14" t="s">
        <v>307</v>
      </c>
      <c r="G255" s="14" t="s">
        <v>308</v>
      </c>
      <c r="I255" s="14" t="s">
        <v>308</v>
      </c>
    </row>
    <row r="256" spans="1:9" x14ac:dyDescent="0.25">
      <c r="A256" s="14" t="s">
        <v>1051</v>
      </c>
      <c r="B256" s="14" t="s">
        <v>1052</v>
      </c>
      <c r="C256" s="14" t="s">
        <v>1053</v>
      </c>
      <c r="D256" s="14" t="s">
        <v>276</v>
      </c>
      <c r="E256" s="14" t="s">
        <v>276</v>
      </c>
      <c r="F256" s="14" t="s">
        <v>276</v>
      </c>
      <c r="G256" s="14" t="s">
        <v>277</v>
      </c>
      <c r="H256" s="14" t="s">
        <v>1054</v>
      </c>
      <c r="I256" s="14" t="s">
        <v>277</v>
      </c>
    </row>
    <row r="257" spans="1:9" x14ac:dyDescent="0.25">
      <c r="A257" s="15" t="s">
        <v>1055</v>
      </c>
      <c r="B257" s="14" t="s">
        <v>1056</v>
      </c>
      <c r="C257" s="14" t="s">
        <v>1057</v>
      </c>
      <c r="D257" s="14" t="s">
        <v>373</v>
      </c>
      <c r="E257" s="14" t="s">
        <v>447</v>
      </c>
      <c r="F257" s="14" t="s">
        <v>447</v>
      </c>
      <c r="G257" s="14" t="s">
        <v>447</v>
      </c>
      <c r="I257" s="14" t="s">
        <v>447</v>
      </c>
    </row>
    <row r="258" spans="1:9" x14ac:dyDescent="0.25">
      <c r="A258" s="14" t="s">
        <v>1058</v>
      </c>
      <c r="B258" s="14" t="s">
        <v>1059</v>
      </c>
      <c r="C258" s="14" t="s">
        <v>1060</v>
      </c>
      <c r="D258" s="14" t="s">
        <v>373</v>
      </c>
      <c r="E258" s="14" t="s">
        <v>373</v>
      </c>
      <c r="F258" s="14" t="s">
        <v>1061</v>
      </c>
      <c r="G258" s="14" t="s">
        <v>1061</v>
      </c>
      <c r="I258" s="14" t="s">
        <v>1061</v>
      </c>
    </row>
    <row r="259" spans="1:9" x14ac:dyDescent="0.25">
      <c r="A259" s="14" t="s">
        <v>1062</v>
      </c>
      <c r="B259" s="14" t="s">
        <v>1063</v>
      </c>
      <c r="C259" s="14" t="s">
        <v>1064</v>
      </c>
      <c r="D259" s="14" t="s">
        <v>373</v>
      </c>
      <c r="E259" s="14" t="s">
        <v>373</v>
      </c>
      <c r="F259" s="14" t="s">
        <v>1061</v>
      </c>
      <c r="G259" s="14" t="s">
        <v>1061</v>
      </c>
      <c r="I259" s="14" t="s">
        <v>1061</v>
      </c>
    </row>
    <row r="260" spans="1:9" x14ac:dyDescent="0.25">
      <c r="A260" s="14" t="s">
        <v>1065</v>
      </c>
      <c r="B260" s="14" t="s">
        <v>1066</v>
      </c>
      <c r="C260" s="14" t="s">
        <v>1067</v>
      </c>
      <c r="D260" s="14" t="s">
        <v>373</v>
      </c>
      <c r="E260" s="14" t="s">
        <v>373</v>
      </c>
      <c r="F260" s="14" t="s">
        <v>1061</v>
      </c>
      <c r="G260" s="14" t="s">
        <v>1061</v>
      </c>
      <c r="I260" s="14" t="s">
        <v>1061</v>
      </c>
    </row>
    <row r="261" spans="1:9" x14ac:dyDescent="0.25">
      <c r="A261" s="14" t="s">
        <v>1068</v>
      </c>
      <c r="B261" s="14" t="s">
        <v>1069</v>
      </c>
      <c r="C261" s="14" t="s">
        <v>1070</v>
      </c>
      <c r="D261" s="14" t="s">
        <v>373</v>
      </c>
      <c r="E261" s="14" t="s">
        <v>373</v>
      </c>
      <c r="F261" s="14" t="s">
        <v>1061</v>
      </c>
      <c r="G261" s="14" t="s">
        <v>1061</v>
      </c>
      <c r="I261" s="14" t="s">
        <v>1061</v>
      </c>
    </row>
    <row r="262" spans="1:9" x14ac:dyDescent="0.25">
      <c r="A262" s="14" t="s">
        <v>1071</v>
      </c>
      <c r="B262" s="14" t="s">
        <v>1072</v>
      </c>
      <c r="C262" s="14" t="s">
        <v>1073</v>
      </c>
      <c r="D262" s="14" t="s">
        <v>373</v>
      </c>
      <c r="E262" s="14" t="s">
        <v>373</v>
      </c>
      <c r="F262" s="14" t="s">
        <v>1061</v>
      </c>
      <c r="G262" s="14" t="s">
        <v>1061</v>
      </c>
      <c r="I262" s="14" t="s">
        <v>1061</v>
      </c>
    </row>
    <row r="263" spans="1:9" x14ac:dyDescent="0.25">
      <c r="A263" s="14" t="s">
        <v>1074</v>
      </c>
      <c r="B263" s="14" t="s">
        <v>1075</v>
      </c>
      <c r="C263" s="14" t="s">
        <v>1076</v>
      </c>
      <c r="D263" s="14" t="s">
        <v>373</v>
      </c>
      <c r="E263" s="14" t="s">
        <v>373</v>
      </c>
      <c r="F263" s="14" t="s">
        <v>373</v>
      </c>
      <c r="G263" s="14" t="s">
        <v>373</v>
      </c>
      <c r="I263" s="14" t="s">
        <v>373</v>
      </c>
    </row>
    <row r="264" spans="1:9" x14ac:dyDescent="0.25">
      <c r="A264" s="14" t="s">
        <v>1077</v>
      </c>
      <c r="B264" s="14" t="s">
        <v>1078</v>
      </c>
      <c r="C264" s="14" t="s">
        <v>1079</v>
      </c>
      <c r="D264" s="14" t="s">
        <v>373</v>
      </c>
      <c r="E264" s="14" t="s">
        <v>373</v>
      </c>
      <c r="F264" s="14" t="s">
        <v>373</v>
      </c>
      <c r="G264" s="14" t="s">
        <v>373</v>
      </c>
      <c r="I264" s="14" t="s">
        <v>373</v>
      </c>
    </row>
    <row r="265" spans="1:9" x14ac:dyDescent="0.25">
      <c r="A265" s="14" t="s">
        <v>1080</v>
      </c>
      <c r="B265" s="14" t="s">
        <v>1081</v>
      </c>
      <c r="C265" s="14" t="s">
        <v>1082</v>
      </c>
      <c r="D265" s="14" t="s">
        <v>276</v>
      </c>
      <c r="E265" s="14" t="s">
        <v>276</v>
      </c>
      <c r="F265" s="14" t="s">
        <v>276</v>
      </c>
      <c r="G265" s="14" t="s">
        <v>277</v>
      </c>
      <c r="H265" s="14" t="s">
        <v>300</v>
      </c>
      <c r="I265" s="14" t="s">
        <v>277</v>
      </c>
    </row>
    <row r="266" spans="1:9" x14ac:dyDescent="0.25">
      <c r="A266" s="14" t="s">
        <v>1083</v>
      </c>
      <c r="B266" s="14" t="s">
        <v>1084</v>
      </c>
      <c r="C266" s="14" t="s">
        <v>1085</v>
      </c>
      <c r="D266" s="14" t="s">
        <v>276</v>
      </c>
      <c r="E266" s="14" t="s">
        <v>276</v>
      </c>
      <c r="F266" s="14" t="s">
        <v>276</v>
      </c>
      <c r="G266" s="14" t="s">
        <v>277</v>
      </c>
      <c r="H266" s="14" t="s">
        <v>727</v>
      </c>
      <c r="I266" s="14" t="s">
        <v>277</v>
      </c>
    </row>
    <row r="267" spans="1:9" x14ac:dyDescent="0.25">
      <c r="A267" s="14" t="s">
        <v>1086</v>
      </c>
      <c r="B267" s="14" t="s">
        <v>1087</v>
      </c>
      <c r="C267" s="14" t="s">
        <v>1088</v>
      </c>
      <c r="D267" s="14" t="s">
        <v>276</v>
      </c>
      <c r="E267" s="14" t="s">
        <v>276</v>
      </c>
      <c r="F267" s="14" t="s">
        <v>276</v>
      </c>
      <c r="G267" s="14" t="s">
        <v>277</v>
      </c>
      <c r="H267" s="14" t="s">
        <v>350</v>
      </c>
      <c r="I267" s="14" t="s">
        <v>277</v>
      </c>
    </row>
    <row r="268" spans="1:9" x14ac:dyDescent="0.25">
      <c r="A268" s="14" t="s">
        <v>1089</v>
      </c>
      <c r="B268" s="14" t="s">
        <v>1090</v>
      </c>
      <c r="C268" s="14" t="s">
        <v>1091</v>
      </c>
      <c r="D268" s="14" t="s">
        <v>276</v>
      </c>
      <c r="E268" s="14" t="s">
        <v>276</v>
      </c>
      <c r="F268" s="14" t="s">
        <v>276</v>
      </c>
      <c r="G268" s="14" t="s">
        <v>277</v>
      </c>
      <c r="I268" s="14" t="s">
        <v>277</v>
      </c>
    </row>
    <row r="269" spans="1:9" x14ac:dyDescent="0.25">
      <c r="A269" s="14" t="s">
        <v>1092</v>
      </c>
      <c r="B269" s="14" t="s">
        <v>1093</v>
      </c>
      <c r="C269" s="14" t="s">
        <v>1094</v>
      </c>
      <c r="D269" s="14" t="s">
        <v>325</v>
      </c>
      <c r="E269" s="14" t="s">
        <v>325</v>
      </c>
      <c r="F269" s="14" t="s">
        <v>325</v>
      </c>
      <c r="G269" s="14" t="s">
        <v>326</v>
      </c>
      <c r="I269" s="14" t="s">
        <v>326</v>
      </c>
    </row>
    <row r="270" spans="1:9" x14ac:dyDescent="0.25">
      <c r="A270" s="14" t="s">
        <v>1095</v>
      </c>
      <c r="B270" s="14" t="s">
        <v>1096</v>
      </c>
      <c r="C270" s="14" t="s">
        <v>1097</v>
      </c>
      <c r="D270" s="14" t="s">
        <v>325</v>
      </c>
      <c r="E270" s="14" t="s">
        <v>325</v>
      </c>
      <c r="F270" s="14" t="s">
        <v>325</v>
      </c>
      <c r="G270" s="14" t="s">
        <v>326</v>
      </c>
      <c r="I270" s="14" t="s">
        <v>326</v>
      </c>
    </row>
    <row r="271" spans="1:9" x14ac:dyDescent="0.25">
      <c r="A271" s="14" t="s">
        <v>1098</v>
      </c>
      <c r="B271" s="14" t="s">
        <v>1099</v>
      </c>
      <c r="C271" s="14" t="s">
        <v>1100</v>
      </c>
      <c r="D271" s="14" t="s">
        <v>325</v>
      </c>
      <c r="E271" s="14" t="s">
        <v>325</v>
      </c>
      <c r="F271" s="14" t="s">
        <v>325</v>
      </c>
      <c r="G271" s="14" t="s">
        <v>326</v>
      </c>
      <c r="I271" s="14" t="s">
        <v>326</v>
      </c>
    </row>
    <row r="272" spans="1:9" x14ac:dyDescent="0.25">
      <c r="A272" s="14" t="s">
        <v>1101</v>
      </c>
      <c r="B272" s="14" t="s">
        <v>1102</v>
      </c>
      <c r="C272" s="14" t="s">
        <v>1103</v>
      </c>
      <c r="D272" s="14" t="s">
        <v>373</v>
      </c>
      <c r="E272" s="14" t="s">
        <v>373</v>
      </c>
      <c r="F272" s="14" t="s">
        <v>373</v>
      </c>
      <c r="G272" s="14" t="s">
        <v>373</v>
      </c>
      <c r="I272" s="14" t="s">
        <v>373</v>
      </c>
    </row>
    <row r="273" spans="1:9" x14ac:dyDescent="0.25">
      <c r="A273" s="14" t="s">
        <v>1104</v>
      </c>
      <c r="B273" s="14" t="s">
        <v>1105</v>
      </c>
      <c r="C273" s="14" t="s">
        <v>1106</v>
      </c>
      <c r="D273" s="14" t="s">
        <v>373</v>
      </c>
      <c r="E273" s="14" t="s">
        <v>373</v>
      </c>
      <c r="F273" s="14" t="s">
        <v>373</v>
      </c>
      <c r="G273" s="14" t="s">
        <v>373</v>
      </c>
      <c r="I273" s="14" t="s">
        <v>373</v>
      </c>
    </row>
    <row r="274" spans="1:9" x14ac:dyDescent="0.25">
      <c r="A274" s="14" t="s">
        <v>1107</v>
      </c>
      <c r="B274" s="14" t="s">
        <v>1108</v>
      </c>
      <c r="C274" s="14" t="s">
        <v>1109</v>
      </c>
      <c r="D274" s="14" t="s">
        <v>373</v>
      </c>
      <c r="E274" s="14" t="s">
        <v>373</v>
      </c>
      <c r="F274" s="14" t="s">
        <v>373</v>
      </c>
      <c r="G274" s="14" t="s">
        <v>373</v>
      </c>
      <c r="I274" s="14" t="s">
        <v>373</v>
      </c>
    </row>
    <row r="275" spans="1:9" x14ac:dyDescent="0.25">
      <c r="A275" s="14" t="s">
        <v>1110</v>
      </c>
      <c r="B275" s="14" t="s">
        <v>1111</v>
      </c>
      <c r="C275" s="14" t="s">
        <v>1112</v>
      </c>
      <c r="D275" s="14" t="s">
        <v>373</v>
      </c>
      <c r="E275" s="14" t="s">
        <v>373</v>
      </c>
      <c r="F275" s="14" t="s">
        <v>373</v>
      </c>
      <c r="G275" s="14" t="s">
        <v>439</v>
      </c>
      <c r="I275" s="14" t="s">
        <v>439</v>
      </c>
    </row>
    <row r="276" spans="1:9" x14ac:dyDescent="0.25">
      <c r="A276" s="14" t="s">
        <v>1113</v>
      </c>
      <c r="B276" s="14" t="s">
        <v>1114</v>
      </c>
      <c r="C276" s="14" t="s">
        <v>1115</v>
      </c>
      <c r="D276" s="14" t="s">
        <v>373</v>
      </c>
      <c r="E276" s="14" t="s">
        <v>373</v>
      </c>
      <c r="F276" s="14" t="s">
        <v>373</v>
      </c>
      <c r="G276" s="14" t="s">
        <v>439</v>
      </c>
      <c r="I276" s="14" t="s">
        <v>439</v>
      </c>
    </row>
    <row r="277" spans="1:9" x14ac:dyDescent="0.25">
      <c r="A277" s="14" t="s">
        <v>1116</v>
      </c>
      <c r="B277" s="14" t="s">
        <v>1117</v>
      </c>
      <c r="C277" s="14" t="s">
        <v>1118</v>
      </c>
      <c r="D277" s="14" t="s">
        <v>373</v>
      </c>
      <c r="E277" s="14" t="s">
        <v>373</v>
      </c>
      <c r="F277" s="14" t="s">
        <v>373</v>
      </c>
      <c r="G277" s="14" t="s">
        <v>439</v>
      </c>
      <c r="I277" s="14" t="s">
        <v>439</v>
      </c>
    </row>
    <row r="278" spans="1:9" x14ac:dyDescent="0.25">
      <c r="A278" s="14" t="s">
        <v>1119</v>
      </c>
      <c r="B278" s="14" t="s">
        <v>1120</v>
      </c>
      <c r="C278" s="14" t="s">
        <v>1121</v>
      </c>
      <c r="D278" s="14" t="s">
        <v>373</v>
      </c>
      <c r="E278" s="14" t="s">
        <v>373</v>
      </c>
      <c r="F278" s="14" t="s">
        <v>373</v>
      </c>
      <c r="G278" s="14" t="s">
        <v>439</v>
      </c>
      <c r="I278" s="14" t="s">
        <v>439</v>
      </c>
    </row>
    <row r="279" spans="1:9" x14ac:dyDescent="0.25">
      <c r="A279" s="14" t="s">
        <v>1122</v>
      </c>
      <c r="B279" s="14" t="s">
        <v>1123</v>
      </c>
      <c r="C279" s="14" t="s">
        <v>1124</v>
      </c>
      <c r="D279" s="14" t="s">
        <v>373</v>
      </c>
      <c r="E279" s="14" t="s">
        <v>373</v>
      </c>
      <c r="F279" s="14" t="s">
        <v>373</v>
      </c>
      <c r="G279" s="14" t="s">
        <v>439</v>
      </c>
      <c r="I279" s="14" t="s">
        <v>439</v>
      </c>
    </row>
    <row r="280" spans="1:9" x14ac:dyDescent="0.25">
      <c r="A280" s="14" t="s">
        <v>1125</v>
      </c>
      <c r="B280" s="14" t="s">
        <v>1126</v>
      </c>
      <c r="C280" s="14" t="s">
        <v>1127</v>
      </c>
      <c r="D280" s="14" t="s">
        <v>373</v>
      </c>
      <c r="E280" s="14" t="s">
        <v>373</v>
      </c>
      <c r="F280" s="14" t="s">
        <v>373</v>
      </c>
      <c r="G280" s="14" t="s">
        <v>447</v>
      </c>
      <c r="I280" s="14" t="s">
        <v>447</v>
      </c>
    </row>
    <row r="281" spans="1:9" x14ac:dyDescent="0.25">
      <c r="A281" s="14" t="s">
        <v>1128</v>
      </c>
      <c r="B281" s="14" t="s">
        <v>1129</v>
      </c>
      <c r="C281" s="14" t="s">
        <v>1130</v>
      </c>
      <c r="D281" s="14" t="s">
        <v>373</v>
      </c>
      <c r="E281" s="14" t="s">
        <v>373</v>
      </c>
      <c r="F281" s="14" t="s">
        <v>373</v>
      </c>
      <c r="G281" s="14" t="s">
        <v>443</v>
      </c>
      <c r="I281" s="14" t="s">
        <v>443</v>
      </c>
    </row>
    <row r="282" spans="1:9" x14ac:dyDescent="0.25">
      <c r="A282" s="14" t="s">
        <v>1131</v>
      </c>
      <c r="B282" s="14" t="s">
        <v>1132</v>
      </c>
      <c r="C282" s="14" t="s">
        <v>1133</v>
      </c>
      <c r="D282" s="14" t="s">
        <v>373</v>
      </c>
      <c r="E282" s="14" t="s">
        <v>373</v>
      </c>
      <c r="F282" s="14" t="s">
        <v>373</v>
      </c>
      <c r="G282" s="14" t="s">
        <v>373</v>
      </c>
      <c r="I282" s="14" t="s">
        <v>373</v>
      </c>
    </row>
    <row r="283" spans="1:9" x14ac:dyDescent="0.25">
      <c r="A283" s="14" t="s">
        <v>1134</v>
      </c>
      <c r="B283" s="14" t="s">
        <v>1135</v>
      </c>
      <c r="C283" s="14" t="s">
        <v>1136</v>
      </c>
      <c r="D283" s="14" t="s">
        <v>276</v>
      </c>
      <c r="E283" s="14" t="s">
        <v>276</v>
      </c>
      <c r="F283" s="14" t="s">
        <v>276</v>
      </c>
      <c r="G283" s="14" t="s">
        <v>443</v>
      </c>
      <c r="I283" s="14" t="s">
        <v>443</v>
      </c>
    </row>
    <row r="284" spans="1:9" x14ac:dyDescent="0.25">
      <c r="A284" s="14" t="s">
        <v>1137</v>
      </c>
      <c r="B284" s="14" t="s">
        <v>1138</v>
      </c>
      <c r="C284" s="14" t="s">
        <v>1139</v>
      </c>
      <c r="D284" s="14" t="s">
        <v>276</v>
      </c>
      <c r="E284" s="14" t="s">
        <v>276</v>
      </c>
      <c r="F284" s="14" t="s">
        <v>276</v>
      </c>
      <c r="G284" s="14" t="s">
        <v>443</v>
      </c>
      <c r="I284" s="14" t="s">
        <v>443</v>
      </c>
    </row>
    <row r="285" spans="1:9" x14ac:dyDescent="0.25">
      <c r="A285" s="14" t="s">
        <v>1140</v>
      </c>
      <c r="B285" s="14" t="s">
        <v>1141</v>
      </c>
      <c r="C285" s="14" t="s">
        <v>1142</v>
      </c>
      <c r="D285" s="14" t="s">
        <v>373</v>
      </c>
      <c r="E285" s="14" t="s">
        <v>447</v>
      </c>
      <c r="F285" s="14" t="s">
        <v>447</v>
      </c>
      <c r="G285" s="14" t="s">
        <v>447</v>
      </c>
      <c r="I285" s="14" t="s">
        <v>447</v>
      </c>
    </row>
    <row r="286" spans="1:9" x14ac:dyDescent="0.25">
      <c r="A286" s="14" t="s">
        <v>1143</v>
      </c>
      <c r="B286" s="14" t="s">
        <v>1144</v>
      </c>
      <c r="C286" s="14" t="s">
        <v>1145</v>
      </c>
      <c r="D286" s="14" t="s">
        <v>373</v>
      </c>
      <c r="E286" s="14" t="s">
        <v>447</v>
      </c>
      <c r="F286" s="14" t="s">
        <v>447</v>
      </c>
      <c r="G286" s="14" t="s">
        <v>447</v>
      </c>
      <c r="I286" s="14" t="s">
        <v>447</v>
      </c>
    </row>
    <row r="287" spans="1:9" x14ac:dyDescent="0.25">
      <c r="A287" s="14" t="s">
        <v>1146</v>
      </c>
      <c r="B287" s="14" t="s">
        <v>1147</v>
      </c>
      <c r="C287" s="14" t="s">
        <v>1148</v>
      </c>
      <c r="D287" s="14" t="s">
        <v>276</v>
      </c>
      <c r="E287" s="14" t="s">
        <v>276</v>
      </c>
      <c r="F287" s="14" t="s">
        <v>276</v>
      </c>
      <c r="G287" s="14" t="s">
        <v>443</v>
      </c>
      <c r="I287" s="14" t="s">
        <v>443</v>
      </c>
    </row>
    <row r="288" spans="1:9" x14ac:dyDescent="0.25">
      <c r="A288" s="14" t="s">
        <v>1149</v>
      </c>
      <c r="B288" s="14" t="s">
        <v>1150</v>
      </c>
      <c r="C288" s="14" t="s">
        <v>1151</v>
      </c>
      <c r="D288" s="14" t="s">
        <v>373</v>
      </c>
      <c r="E288" s="14" t="s">
        <v>373</v>
      </c>
      <c r="F288" s="14" t="s">
        <v>373</v>
      </c>
      <c r="G288" s="14" t="s">
        <v>439</v>
      </c>
      <c r="I288" s="14" t="s">
        <v>439</v>
      </c>
    </row>
    <row r="289" spans="1:9" x14ac:dyDescent="0.25">
      <c r="A289" s="14" t="s">
        <v>1152</v>
      </c>
      <c r="B289" s="14" t="s">
        <v>1153</v>
      </c>
      <c r="C289" s="14" t="s">
        <v>1154</v>
      </c>
      <c r="D289" s="14" t="s">
        <v>373</v>
      </c>
      <c r="E289" s="14" t="s">
        <v>373</v>
      </c>
      <c r="F289" s="14" t="s">
        <v>373</v>
      </c>
      <c r="G289" s="14" t="s">
        <v>439</v>
      </c>
      <c r="I289" s="14" t="s">
        <v>439</v>
      </c>
    </row>
    <row r="290" spans="1:9" x14ac:dyDescent="0.25">
      <c r="A290" s="14" t="s">
        <v>1155</v>
      </c>
      <c r="B290" s="14" t="s">
        <v>1156</v>
      </c>
      <c r="C290" s="14" t="s">
        <v>1157</v>
      </c>
      <c r="D290" s="14" t="s">
        <v>373</v>
      </c>
      <c r="E290" s="14" t="s">
        <v>373</v>
      </c>
      <c r="F290" s="14" t="s">
        <v>373</v>
      </c>
      <c r="G290" s="14" t="s">
        <v>439</v>
      </c>
      <c r="I290" s="14" t="s">
        <v>439</v>
      </c>
    </row>
    <row r="291" spans="1:9" x14ac:dyDescent="0.25">
      <c r="A291" s="14" t="s">
        <v>1158</v>
      </c>
      <c r="B291" s="14" t="s">
        <v>1159</v>
      </c>
      <c r="C291" s="14" t="s">
        <v>1160</v>
      </c>
      <c r="D291" s="14" t="s">
        <v>373</v>
      </c>
      <c r="E291" s="14" t="s">
        <v>373</v>
      </c>
      <c r="F291" s="14" t="s">
        <v>373</v>
      </c>
      <c r="G291" s="14" t="s">
        <v>439</v>
      </c>
      <c r="I291" s="14" t="s">
        <v>439</v>
      </c>
    </row>
    <row r="292" spans="1:9" x14ac:dyDescent="0.25">
      <c r="A292" s="14" t="s">
        <v>1161</v>
      </c>
      <c r="B292" s="14" t="s">
        <v>1162</v>
      </c>
      <c r="C292" s="14" t="s">
        <v>1163</v>
      </c>
      <c r="D292" s="14" t="s">
        <v>373</v>
      </c>
      <c r="E292" s="14" t="s">
        <v>373</v>
      </c>
      <c r="F292" s="14" t="s">
        <v>373</v>
      </c>
      <c r="G292" s="14" t="s">
        <v>439</v>
      </c>
      <c r="I292" s="14" t="s">
        <v>439</v>
      </c>
    </row>
    <row r="293" spans="1:9" x14ac:dyDescent="0.25">
      <c r="A293" s="14" t="s">
        <v>1164</v>
      </c>
      <c r="B293" s="14" t="s">
        <v>1165</v>
      </c>
      <c r="C293" s="14" t="s">
        <v>1166</v>
      </c>
      <c r="D293" s="14" t="s">
        <v>373</v>
      </c>
      <c r="E293" s="14" t="s">
        <v>447</v>
      </c>
      <c r="F293" s="14" t="s">
        <v>447</v>
      </c>
      <c r="G293" s="14" t="s">
        <v>447</v>
      </c>
      <c r="I293" s="14" t="s">
        <v>447</v>
      </c>
    </row>
    <row r="294" spans="1:9" x14ac:dyDescent="0.25">
      <c r="A294" s="14" t="s">
        <v>1167</v>
      </c>
      <c r="B294" s="14" t="s">
        <v>1168</v>
      </c>
      <c r="C294" s="14" t="s">
        <v>1169</v>
      </c>
      <c r="D294" s="14" t="s">
        <v>373</v>
      </c>
      <c r="E294" s="14" t="s">
        <v>447</v>
      </c>
      <c r="F294" s="14" t="s">
        <v>447</v>
      </c>
      <c r="G294" s="14" t="s">
        <v>447</v>
      </c>
      <c r="I294" s="14" t="s">
        <v>447</v>
      </c>
    </row>
    <row r="295" spans="1:9" x14ac:dyDescent="0.25">
      <c r="A295" s="14" t="s">
        <v>1170</v>
      </c>
      <c r="B295" s="14" t="s">
        <v>1171</v>
      </c>
      <c r="C295" s="14" t="s">
        <v>1172</v>
      </c>
      <c r="D295" s="14" t="s">
        <v>276</v>
      </c>
      <c r="E295" s="14" t="s">
        <v>276</v>
      </c>
      <c r="F295" s="14" t="s">
        <v>276</v>
      </c>
      <c r="G295" s="14" t="s">
        <v>443</v>
      </c>
      <c r="I295" s="14" t="s">
        <v>443</v>
      </c>
    </row>
    <row r="296" spans="1:9" x14ac:dyDescent="0.25">
      <c r="A296" s="14" t="s">
        <v>1173</v>
      </c>
      <c r="B296" s="14" t="s">
        <v>1174</v>
      </c>
      <c r="C296" s="14" t="s">
        <v>1175</v>
      </c>
      <c r="D296" s="14" t="s">
        <v>276</v>
      </c>
      <c r="E296" s="14" t="s">
        <v>276</v>
      </c>
      <c r="F296" s="14" t="s">
        <v>276</v>
      </c>
      <c r="G296" s="14" t="s">
        <v>443</v>
      </c>
      <c r="I296" s="14" t="s">
        <v>443</v>
      </c>
    </row>
    <row r="297" spans="1:9" x14ac:dyDescent="0.25">
      <c r="A297" s="14" t="s">
        <v>1176</v>
      </c>
      <c r="B297" s="14" t="s">
        <v>1177</v>
      </c>
      <c r="C297" s="14" t="s">
        <v>1178</v>
      </c>
      <c r="D297" s="14" t="s">
        <v>373</v>
      </c>
      <c r="E297" s="14" t="s">
        <v>447</v>
      </c>
      <c r="F297" s="14" t="s">
        <v>447</v>
      </c>
      <c r="G297" s="14" t="s">
        <v>447</v>
      </c>
      <c r="I297" s="14" t="s">
        <v>447</v>
      </c>
    </row>
    <row r="298" spans="1:9" x14ac:dyDescent="0.25">
      <c r="A298" s="14" t="s">
        <v>1179</v>
      </c>
      <c r="B298" s="14" t="s">
        <v>1180</v>
      </c>
      <c r="C298" s="14" t="s">
        <v>1181</v>
      </c>
      <c r="D298" s="14" t="s">
        <v>285</v>
      </c>
      <c r="E298" s="14" t="s">
        <v>286</v>
      </c>
      <c r="F298" s="14" t="s">
        <v>286</v>
      </c>
      <c r="G298" s="14" t="s">
        <v>287</v>
      </c>
      <c r="I298" s="14" t="s">
        <v>287</v>
      </c>
    </row>
    <row r="299" spans="1:9" x14ac:dyDescent="0.25">
      <c r="A299" s="14" t="s">
        <v>1182</v>
      </c>
      <c r="B299" s="14" t="s">
        <v>1183</v>
      </c>
      <c r="C299" s="14" t="s">
        <v>1184</v>
      </c>
      <c r="D299" s="14" t="s">
        <v>276</v>
      </c>
      <c r="E299" s="14" t="s">
        <v>276</v>
      </c>
      <c r="F299" s="14" t="s">
        <v>276</v>
      </c>
      <c r="G299" s="14" t="s">
        <v>443</v>
      </c>
      <c r="I299" s="14" t="s">
        <v>443</v>
      </c>
    </row>
    <row r="300" spans="1:9" x14ac:dyDescent="0.25">
      <c r="A300" s="14" t="s">
        <v>1185</v>
      </c>
      <c r="B300" s="14" t="s">
        <v>1186</v>
      </c>
      <c r="C300" s="14" t="s">
        <v>1187</v>
      </c>
      <c r="D300" s="14" t="s">
        <v>276</v>
      </c>
      <c r="E300" s="14" t="s">
        <v>276</v>
      </c>
      <c r="F300" s="14" t="s">
        <v>276</v>
      </c>
      <c r="G300" s="14" t="s">
        <v>443</v>
      </c>
      <c r="I300" s="14" t="s">
        <v>443</v>
      </c>
    </row>
    <row r="301" spans="1:9" x14ac:dyDescent="0.25">
      <c r="A301" s="14" t="s">
        <v>1188</v>
      </c>
      <c r="B301" s="14" t="s">
        <v>1189</v>
      </c>
      <c r="C301" s="14" t="s">
        <v>1190</v>
      </c>
      <c r="D301" s="14" t="s">
        <v>373</v>
      </c>
      <c r="E301" s="14" t="s">
        <v>447</v>
      </c>
      <c r="F301" s="14" t="s">
        <v>447</v>
      </c>
      <c r="G301" s="14" t="s">
        <v>447</v>
      </c>
      <c r="I301" s="14" t="s">
        <v>447</v>
      </c>
    </row>
    <row r="302" spans="1:9" x14ac:dyDescent="0.25">
      <c r="A302" s="14" t="s">
        <v>1191</v>
      </c>
      <c r="B302" s="14" t="s">
        <v>1192</v>
      </c>
      <c r="C302" s="14" t="s">
        <v>1193</v>
      </c>
      <c r="D302" s="14" t="s">
        <v>373</v>
      </c>
      <c r="E302" s="14" t="s">
        <v>447</v>
      </c>
      <c r="F302" s="14" t="s">
        <v>447</v>
      </c>
      <c r="G302" s="14" t="s">
        <v>447</v>
      </c>
      <c r="I302" s="14" t="s">
        <v>447</v>
      </c>
    </row>
    <row r="303" spans="1:9" x14ac:dyDescent="0.25">
      <c r="A303" s="14" t="s">
        <v>1194</v>
      </c>
      <c r="B303" s="14" t="s">
        <v>1195</v>
      </c>
      <c r="C303" s="14" t="s">
        <v>1196</v>
      </c>
      <c r="D303" s="14" t="s">
        <v>373</v>
      </c>
      <c r="E303" s="14" t="s">
        <v>447</v>
      </c>
      <c r="F303" s="14" t="s">
        <v>447</v>
      </c>
      <c r="G303" s="14" t="s">
        <v>447</v>
      </c>
      <c r="I303" s="14" t="s">
        <v>447</v>
      </c>
    </row>
    <row r="304" spans="1:9" x14ac:dyDescent="0.25">
      <c r="A304" s="14" t="s">
        <v>1197</v>
      </c>
      <c r="B304" s="14" t="s">
        <v>1198</v>
      </c>
      <c r="C304" s="14" t="s">
        <v>1199</v>
      </c>
      <c r="D304" s="14" t="s">
        <v>325</v>
      </c>
      <c r="E304" s="14" t="s">
        <v>325</v>
      </c>
      <c r="F304" s="14" t="s">
        <v>325</v>
      </c>
      <c r="G304" s="14" t="s">
        <v>411</v>
      </c>
      <c r="I304" s="14" t="s">
        <v>411</v>
      </c>
    </row>
    <row r="305" spans="1:9" x14ac:dyDescent="0.25">
      <c r="A305" s="14" t="s">
        <v>1200</v>
      </c>
      <c r="B305" s="14" t="s">
        <v>1201</v>
      </c>
      <c r="C305" s="14" t="s">
        <v>1202</v>
      </c>
      <c r="D305" s="14" t="s">
        <v>373</v>
      </c>
      <c r="E305" s="14" t="s">
        <v>373</v>
      </c>
      <c r="F305" s="14" t="s">
        <v>373</v>
      </c>
      <c r="G305" s="14" t="s">
        <v>373</v>
      </c>
      <c r="I305" s="14" t="s">
        <v>373</v>
      </c>
    </row>
    <row r="306" spans="1:9" x14ac:dyDescent="0.25">
      <c r="A306" s="14" t="s">
        <v>1203</v>
      </c>
      <c r="B306" s="14" t="s">
        <v>1204</v>
      </c>
      <c r="C306" s="14" t="s">
        <v>1205</v>
      </c>
      <c r="D306" s="14" t="s">
        <v>373</v>
      </c>
      <c r="E306" s="14" t="s">
        <v>373</v>
      </c>
      <c r="F306" s="14" t="s">
        <v>373</v>
      </c>
      <c r="G306" s="14" t="s">
        <v>373</v>
      </c>
      <c r="I306" s="14" t="s">
        <v>373</v>
      </c>
    </row>
    <row r="307" spans="1:9" x14ac:dyDescent="0.25">
      <c r="A307" s="14" t="s">
        <v>1206</v>
      </c>
      <c r="B307" s="14" t="s">
        <v>1207</v>
      </c>
      <c r="C307" s="14" t="s">
        <v>1208</v>
      </c>
      <c r="D307" s="14" t="s">
        <v>373</v>
      </c>
      <c r="E307" s="14" t="s">
        <v>373</v>
      </c>
      <c r="F307" s="14" t="s">
        <v>373</v>
      </c>
      <c r="G307" s="14" t="s">
        <v>373</v>
      </c>
      <c r="I307" s="14" t="s">
        <v>373</v>
      </c>
    </row>
    <row r="308" spans="1:9" x14ac:dyDescent="0.25">
      <c r="A308" s="14" t="s">
        <v>1209</v>
      </c>
      <c r="B308" s="14" t="s">
        <v>1210</v>
      </c>
      <c r="C308" s="14" t="s">
        <v>1211</v>
      </c>
      <c r="D308" s="14" t="s">
        <v>373</v>
      </c>
      <c r="E308" s="14" t="s">
        <v>373</v>
      </c>
      <c r="F308" s="14" t="s">
        <v>373</v>
      </c>
      <c r="G308" s="14" t="s">
        <v>373</v>
      </c>
      <c r="I308" s="14" t="s">
        <v>373</v>
      </c>
    </row>
    <row r="309" spans="1:9" x14ac:dyDescent="0.25">
      <c r="A309" s="14" t="s">
        <v>1212</v>
      </c>
      <c r="B309" s="14" t="s">
        <v>1213</v>
      </c>
      <c r="C309" s="14" t="s">
        <v>1214</v>
      </c>
      <c r="D309" s="14" t="s">
        <v>373</v>
      </c>
      <c r="E309" s="14" t="s">
        <v>373</v>
      </c>
      <c r="F309" s="14" t="s">
        <v>373</v>
      </c>
      <c r="G309" s="14" t="s">
        <v>373</v>
      </c>
      <c r="I309" s="14" t="s">
        <v>373</v>
      </c>
    </row>
    <row r="310" spans="1:9" x14ac:dyDescent="0.25">
      <c r="A310" s="14" t="s">
        <v>1215</v>
      </c>
      <c r="B310" s="14" t="s">
        <v>1216</v>
      </c>
      <c r="C310" s="14" t="s">
        <v>1217</v>
      </c>
      <c r="D310" s="14" t="s">
        <v>373</v>
      </c>
      <c r="E310" s="14" t="s">
        <v>373</v>
      </c>
      <c r="F310" s="14" t="s">
        <v>373</v>
      </c>
      <c r="G310" s="14" t="s">
        <v>373</v>
      </c>
      <c r="I310" s="14" t="s">
        <v>373</v>
      </c>
    </row>
    <row r="311" spans="1:9" x14ac:dyDescent="0.25">
      <c r="A311" s="14" t="s">
        <v>1218</v>
      </c>
      <c r="B311" s="14" t="s">
        <v>1219</v>
      </c>
      <c r="C311" s="14" t="s">
        <v>1220</v>
      </c>
      <c r="D311" s="14" t="s">
        <v>373</v>
      </c>
      <c r="E311" s="14" t="s">
        <v>373</v>
      </c>
      <c r="F311" s="14" t="s">
        <v>373</v>
      </c>
      <c r="G311" s="14" t="s">
        <v>373</v>
      </c>
      <c r="I311" s="14" t="s">
        <v>373</v>
      </c>
    </row>
    <row r="312" spans="1:9" x14ac:dyDescent="0.25">
      <c r="A312" s="14" t="s">
        <v>1221</v>
      </c>
      <c r="B312" s="14" t="s">
        <v>1222</v>
      </c>
      <c r="C312" s="14" t="s">
        <v>1223</v>
      </c>
      <c r="D312" s="14" t="s">
        <v>373</v>
      </c>
      <c r="E312" s="14" t="s">
        <v>373</v>
      </c>
      <c r="F312" s="14" t="s">
        <v>373</v>
      </c>
      <c r="G312" s="14" t="s">
        <v>373</v>
      </c>
      <c r="I312" s="14" t="s">
        <v>373</v>
      </c>
    </row>
    <row r="313" spans="1:9" x14ac:dyDescent="0.25">
      <c r="A313" s="14" t="s">
        <v>1224</v>
      </c>
      <c r="B313" s="14" t="s">
        <v>1225</v>
      </c>
      <c r="C313" s="14" t="s">
        <v>1226</v>
      </c>
      <c r="D313" s="14" t="s">
        <v>373</v>
      </c>
      <c r="E313" s="14" t="s">
        <v>373</v>
      </c>
      <c r="F313" s="14" t="s">
        <v>373</v>
      </c>
      <c r="G313" s="14" t="s">
        <v>373</v>
      </c>
      <c r="I313" s="14" t="s">
        <v>373</v>
      </c>
    </row>
    <row r="314" spans="1:9" x14ac:dyDescent="0.25">
      <c r="A314" s="14" t="s">
        <v>1227</v>
      </c>
      <c r="B314" s="14" t="s">
        <v>1228</v>
      </c>
      <c r="C314" s="14" t="s">
        <v>1229</v>
      </c>
      <c r="D314" s="14" t="s">
        <v>373</v>
      </c>
      <c r="E314" s="14" t="s">
        <v>373</v>
      </c>
      <c r="F314" s="14" t="s">
        <v>373</v>
      </c>
      <c r="G314" s="14" t="s">
        <v>373</v>
      </c>
      <c r="I314" s="14" t="s">
        <v>373</v>
      </c>
    </row>
    <row r="315" spans="1:9" x14ac:dyDescent="0.25">
      <c r="A315" s="14" t="s">
        <v>1230</v>
      </c>
      <c r="B315" s="14" t="s">
        <v>1231</v>
      </c>
      <c r="C315" s="14" t="s">
        <v>1232</v>
      </c>
      <c r="D315" s="14" t="s">
        <v>373</v>
      </c>
      <c r="E315" s="14" t="s">
        <v>373</v>
      </c>
      <c r="F315" s="14" t="s">
        <v>373</v>
      </c>
      <c r="G315" s="14" t="s">
        <v>373</v>
      </c>
      <c r="I315" s="14" t="s">
        <v>373</v>
      </c>
    </row>
    <row r="316" spans="1:9" x14ac:dyDescent="0.25">
      <c r="A316" s="14" t="s">
        <v>1233</v>
      </c>
      <c r="B316" s="14" t="s">
        <v>1234</v>
      </c>
      <c r="C316" s="14" t="s">
        <v>1235</v>
      </c>
      <c r="D316" s="14" t="s">
        <v>373</v>
      </c>
      <c r="E316" s="14" t="s">
        <v>373</v>
      </c>
      <c r="F316" s="14" t="s">
        <v>373</v>
      </c>
      <c r="G316" s="14" t="s">
        <v>373</v>
      </c>
      <c r="I316" s="14" t="s">
        <v>373</v>
      </c>
    </row>
    <row r="317" spans="1:9" x14ac:dyDescent="0.25">
      <c r="A317" s="14" t="s">
        <v>1236</v>
      </c>
      <c r="B317" s="14" t="s">
        <v>1237</v>
      </c>
      <c r="C317" s="14" t="s">
        <v>1238</v>
      </c>
      <c r="D317" s="14" t="s">
        <v>373</v>
      </c>
      <c r="E317" s="14" t="s">
        <v>373</v>
      </c>
      <c r="F317" s="14" t="s">
        <v>373</v>
      </c>
      <c r="G317" s="14" t="s">
        <v>373</v>
      </c>
      <c r="I317" s="14" t="s">
        <v>373</v>
      </c>
    </row>
    <row r="318" spans="1:9" x14ac:dyDescent="0.25">
      <c r="A318" s="14" t="s">
        <v>1239</v>
      </c>
      <c r="B318" s="14" t="s">
        <v>1240</v>
      </c>
      <c r="C318" s="14" t="s">
        <v>1241</v>
      </c>
      <c r="D318" s="14" t="s">
        <v>373</v>
      </c>
      <c r="E318" s="14" t="s">
        <v>373</v>
      </c>
      <c r="F318" s="14" t="s">
        <v>373</v>
      </c>
      <c r="G318" s="14" t="s">
        <v>373</v>
      </c>
      <c r="I318" s="14" t="s">
        <v>373</v>
      </c>
    </row>
    <row r="319" spans="1:9" x14ac:dyDescent="0.25">
      <c r="A319" s="14" t="s">
        <v>1242</v>
      </c>
      <c r="B319" s="14" t="s">
        <v>1243</v>
      </c>
      <c r="C319" s="14" t="s">
        <v>1244</v>
      </c>
      <c r="D319" s="14" t="s">
        <v>373</v>
      </c>
      <c r="E319" s="14" t="s">
        <v>373</v>
      </c>
      <c r="F319" s="14" t="s">
        <v>373</v>
      </c>
      <c r="G319" s="14" t="s">
        <v>373</v>
      </c>
      <c r="I319" s="14" t="s">
        <v>373</v>
      </c>
    </row>
    <row r="320" spans="1:9" x14ac:dyDescent="0.25">
      <c r="A320" s="14" t="s">
        <v>1245</v>
      </c>
      <c r="B320" s="14" t="s">
        <v>1246</v>
      </c>
      <c r="C320" s="14" t="s">
        <v>1247</v>
      </c>
      <c r="D320" s="14" t="s">
        <v>373</v>
      </c>
      <c r="E320" s="14" t="s">
        <v>373</v>
      </c>
      <c r="F320" s="14" t="s">
        <v>373</v>
      </c>
      <c r="G320" s="14" t="s">
        <v>373</v>
      </c>
      <c r="I320" s="14" t="s">
        <v>373</v>
      </c>
    </row>
    <row r="321" spans="1:9" x14ac:dyDescent="0.25">
      <c r="A321" s="14" t="s">
        <v>1248</v>
      </c>
      <c r="B321" s="14" t="s">
        <v>1249</v>
      </c>
      <c r="C321" s="14" t="s">
        <v>1250</v>
      </c>
      <c r="D321" s="14" t="s">
        <v>373</v>
      </c>
      <c r="E321" s="14" t="s">
        <v>373</v>
      </c>
      <c r="F321" s="14" t="s">
        <v>373</v>
      </c>
      <c r="G321" s="14" t="s">
        <v>373</v>
      </c>
      <c r="I321" s="14" t="s">
        <v>373</v>
      </c>
    </row>
    <row r="322" spans="1:9" x14ac:dyDescent="0.25">
      <c r="A322" s="14" t="s">
        <v>1251</v>
      </c>
      <c r="B322" s="14" t="s">
        <v>1252</v>
      </c>
      <c r="C322" s="14" t="s">
        <v>1253</v>
      </c>
      <c r="D322" s="14" t="s">
        <v>373</v>
      </c>
      <c r="E322" s="14" t="s">
        <v>373</v>
      </c>
      <c r="F322" s="14" t="s">
        <v>373</v>
      </c>
      <c r="G322" s="14" t="s">
        <v>373</v>
      </c>
      <c r="I322" s="14" t="s">
        <v>373</v>
      </c>
    </row>
    <row r="323" spans="1:9" x14ac:dyDescent="0.25">
      <c r="A323" s="14" t="s">
        <v>1254</v>
      </c>
      <c r="B323" s="14" t="s">
        <v>1255</v>
      </c>
      <c r="C323" s="14" t="s">
        <v>1256</v>
      </c>
      <c r="D323" s="14" t="s">
        <v>373</v>
      </c>
      <c r="E323" s="14" t="s">
        <v>373</v>
      </c>
      <c r="F323" s="14" t="s">
        <v>373</v>
      </c>
      <c r="G323" s="14" t="s">
        <v>373</v>
      </c>
      <c r="I323" s="14" t="s">
        <v>373</v>
      </c>
    </row>
    <row r="324" spans="1:9" x14ac:dyDescent="0.25">
      <c r="A324" s="14" t="s">
        <v>1257</v>
      </c>
      <c r="B324" s="14" t="s">
        <v>1258</v>
      </c>
      <c r="C324" s="14" t="s">
        <v>1259</v>
      </c>
      <c r="D324" s="14" t="s">
        <v>373</v>
      </c>
      <c r="E324" s="14" t="s">
        <v>373</v>
      </c>
      <c r="F324" s="14" t="s">
        <v>373</v>
      </c>
      <c r="G324" s="14" t="s">
        <v>373</v>
      </c>
      <c r="I324" s="14" t="s">
        <v>373</v>
      </c>
    </row>
    <row r="325" spans="1:9" x14ac:dyDescent="0.25">
      <c r="A325" s="14" t="s">
        <v>1260</v>
      </c>
      <c r="B325" s="14" t="s">
        <v>1261</v>
      </c>
      <c r="C325" s="14" t="s">
        <v>1262</v>
      </c>
      <c r="D325" s="14" t="s">
        <v>373</v>
      </c>
      <c r="E325" s="14" t="s">
        <v>373</v>
      </c>
      <c r="F325" s="14" t="s">
        <v>373</v>
      </c>
      <c r="G325" s="14" t="s">
        <v>373</v>
      </c>
      <c r="I325" s="14" t="s">
        <v>373</v>
      </c>
    </row>
    <row r="326" spans="1:9" x14ac:dyDescent="0.25">
      <c r="A326" s="14" t="s">
        <v>1263</v>
      </c>
      <c r="B326" s="14" t="s">
        <v>1264</v>
      </c>
      <c r="C326" s="14" t="s">
        <v>1265</v>
      </c>
      <c r="D326" s="14" t="s">
        <v>373</v>
      </c>
      <c r="E326" s="14" t="s">
        <v>373</v>
      </c>
      <c r="F326" s="14" t="s">
        <v>373</v>
      </c>
      <c r="G326" s="14" t="s">
        <v>373</v>
      </c>
      <c r="I326" s="14" t="s">
        <v>373</v>
      </c>
    </row>
    <row r="327" spans="1:9" x14ac:dyDescent="0.25">
      <c r="A327" s="14" t="s">
        <v>1266</v>
      </c>
      <c r="B327" s="14" t="s">
        <v>1267</v>
      </c>
      <c r="C327" s="14" t="s">
        <v>1268</v>
      </c>
      <c r="D327" s="14" t="s">
        <v>373</v>
      </c>
      <c r="E327" s="14" t="s">
        <v>373</v>
      </c>
      <c r="F327" s="14" t="s">
        <v>373</v>
      </c>
      <c r="G327" s="14" t="s">
        <v>373</v>
      </c>
      <c r="I327" s="14" t="s">
        <v>373</v>
      </c>
    </row>
    <row r="328" spans="1:9" x14ac:dyDescent="0.25">
      <c r="A328" s="14" t="s">
        <v>1269</v>
      </c>
      <c r="B328" s="14" t="s">
        <v>1270</v>
      </c>
      <c r="C328" s="14" t="s">
        <v>1271</v>
      </c>
      <c r="D328" s="14" t="s">
        <v>373</v>
      </c>
      <c r="E328" s="14" t="s">
        <v>373</v>
      </c>
      <c r="F328" s="14" t="s">
        <v>373</v>
      </c>
      <c r="G328" s="14" t="s">
        <v>373</v>
      </c>
      <c r="I328" s="14" t="s">
        <v>373</v>
      </c>
    </row>
    <row r="329" spans="1:9" x14ac:dyDescent="0.25">
      <c r="A329" s="14" t="s">
        <v>1272</v>
      </c>
      <c r="B329" s="14" t="s">
        <v>1273</v>
      </c>
      <c r="C329" s="14" t="s">
        <v>1274</v>
      </c>
      <c r="D329" s="14" t="s">
        <v>373</v>
      </c>
      <c r="E329" s="14" t="s">
        <v>373</v>
      </c>
      <c r="F329" s="14" t="s">
        <v>373</v>
      </c>
      <c r="G329" s="14" t="s">
        <v>373</v>
      </c>
      <c r="I329" s="14" t="s">
        <v>373</v>
      </c>
    </row>
    <row r="330" spans="1:9" x14ac:dyDescent="0.25">
      <c r="A330" s="14" t="s">
        <v>1275</v>
      </c>
      <c r="B330" s="14" t="s">
        <v>1276</v>
      </c>
      <c r="C330" s="14" t="s">
        <v>1277</v>
      </c>
      <c r="D330" s="14" t="s">
        <v>373</v>
      </c>
      <c r="E330" s="14" t="s">
        <v>373</v>
      </c>
      <c r="F330" s="14" t="s">
        <v>373</v>
      </c>
      <c r="G330" s="14" t="s">
        <v>373</v>
      </c>
      <c r="I330" s="14" t="s">
        <v>373</v>
      </c>
    </row>
    <row r="331" spans="1:9" x14ac:dyDescent="0.25">
      <c r="A331" s="14" t="s">
        <v>1278</v>
      </c>
      <c r="B331" s="14" t="s">
        <v>1279</v>
      </c>
      <c r="C331" s="14" t="s">
        <v>1280</v>
      </c>
      <c r="D331" s="14" t="s">
        <v>373</v>
      </c>
      <c r="E331" s="14" t="s">
        <v>373</v>
      </c>
      <c r="F331" s="14" t="s">
        <v>373</v>
      </c>
      <c r="G331" s="14" t="s">
        <v>373</v>
      </c>
      <c r="I331" s="14" t="s">
        <v>373</v>
      </c>
    </row>
    <row r="332" spans="1:9" x14ac:dyDescent="0.25">
      <c r="A332" s="14" t="s">
        <v>1281</v>
      </c>
      <c r="B332" s="14" t="s">
        <v>1282</v>
      </c>
      <c r="C332" s="14" t="s">
        <v>1283</v>
      </c>
      <c r="D332" s="14" t="s">
        <v>373</v>
      </c>
      <c r="E332" s="14" t="s">
        <v>373</v>
      </c>
      <c r="F332" s="14" t="s">
        <v>373</v>
      </c>
      <c r="G332" s="14" t="s">
        <v>373</v>
      </c>
      <c r="I332" s="14" t="s">
        <v>373</v>
      </c>
    </row>
    <row r="333" spans="1:9" x14ac:dyDescent="0.25">
      <c r="A333" s="14" t="s">
        <v>1284</v>
      </c>
      <c r="B333" s="14" t="s">
        <v>1285</v>
      </c>
      <c r="C333" s="14" t="s">
        <v>1286</v>
      </c>
      <c r="D333" s="14" t="s">
        <v>373</v>
      </c>
      <c r="E333" s="14" t="s">
        <v>373</v>
      </c>
      <c r="F333" s="14" t="s">
        <v>373</v>
      </c>
      <c r="G333" s="14" t="s">
        <v>373</v>
      </c>
      <c r="I333" s="14" t="s">
        <v>373</v>
      </c>
    </row>
    <row r="334" spans="1:9" x14ac:dyDescent="0.25">
      <c r="A334" s="14" t="s">
        <v>1287</v>
      </c>
      <c r="B334" s="14" t="s">
        <v>1288</v>
      </c>
      <c r="C334" s="14" t="s">
        <v>1289</v>
      </c>
      <c r="D334" s="14" t="s">
        <v>373</v>
      </c>
      <c r="E334" s="14" t="s">
        <v>373</v>
      </c>
      <c r="F334" s="14" t="s">
        <v>373</v>
      </c>
      <c r="G334" s="14" t="s">
        <v>373</v>
      </c>
      <c r="I334" s="14" t="s">
        <v>373</v>
      </c>
    </row>
    <row r="335" spans="1:9" x14ac:dyDescent="0.25">
      <c r="A335" s="14" t="s">
        <v>1290</v>
      </c>
      <c r="B335" s="14" t="s">
        <v>1291</v>
      </c>
      <c r="C335" s="14" t="s">
        <v>1292</v>
      </c>
      <c r="D335" s="14" t="s">
        <v>373</v>
      </c>
      <c r="E335" s="14" t="s">
        <v>373</v>
      </c>
      <c r="F335" s="14" t="s">
        <v>373</v>
      </c>
      <c r="G335" s="14" t="s">
        <v>373</v>
      </c>
      <c r="I335" s="14" t="s">
        <v>373</v>
      </c>
    </row>
    <row r="336" spans="1:9" x14ac:dyDescent="0.25">
      <c r="A336" s="14" t="s">
        <v>1293</v>
      </c>
      <c r="B336" s="14" t="s">
        <v>1294</v>
      </c>
      <c r="C336" s="14" t="s">
        <v>1295</v>
      </c>
      <c r="D336" s="14" t="s">
        <v>373</v>
      </c>
      <c r="E336" s="14" t="s">
        <v>373</v>
      </c>
      <c r="F336" s="14" t="s">
        <v>373</v>
      </c>
      <c r="G336" s="14" t="s">
        <v>373</v>
      </c>
      <c r="I336" s="14" t="s">
        <v>373</v>
      </c>
    </row>
    <row r="337" spans="1:9" x14ac:dyDescent="0.25">
      <c r="A337" s="14" t="s">
        <v>1296</v>
      </c>
      <c r="B337" s="14" t="s">
        <v>1297</v>
      </c>
      <c r="C337" s="14" t="s">
        <v>1298</v>
      </c>
      <c r="D337" s="14" t="s">
        <v>373</v>
      </c>
      <c r="E337" s="14" t="s">
        <v>373</v>
      </c>
      <c r="F337" s="14" t="s">
        <v>373</v>
      </c>
      <c r="G337" s="14" t="s">
        <v>373</v>
      </c>
      <c r="I337" s="14" t="s">
        <v>373</v>
      </c>
    </row>
    <row r="338" spans="1:9" x14ac:dyDescent="0.25">
      <c r="A338" s="14" t="s">
        <v>1299</v>
      </c>
      <c r="B338" s="14" t="s">
        <v>1300</v>
      </c>
      <c r="C338" s="14" t="s">
        <v>1299</v>
      </c>
      <c r="D338" s="14" t="s">
        <v>373</v>
      </c>
      <c r="E338" s="14" t="s">
        <v>447</v>
      </c>
      <c r="F338" s="14" t="s">
        <v>447</v>
      </c>
      <c r="G338" s="14" t="s">
        <v>447</v>
      </c>
      <c r="I338" s="14" t="s">
        <v>447</v>
      </c>
    </row>
    <row r="339" spans="1:9" x14ac:dyDescent="0.25">
      <c r="A339" s="14" t="s">
        <v>1301</v>
      </c>
      <c r="B339" s="14" t="s">
        <v>1302</v>
      </c>
      <c r="C339" s="14" t="s">
        <v>1302</v>
      </c>
      <c r="D339" s="14" t="s">
        <v>373</v>
      </c>
      <c r="E339" s="14" t="s">
        <v>447</v>
      </c>
      <c r="F339" s="14" t="s">
        <v>447</v>
      </c>
      <c r="G339" s="14" t="s">
        <v>447</v>
      </c>
      <c r="I339" s="14" t="s">
        <v>447</v>
      </c>
    </row>
    <row r="340" spans="1:9" x14ac:dyDescent="0.25">
      <c r="A340" s="14" t="s">
        <v>1303</v>
      </c>
      <c r="B340" s="14" t="s">
        <v>1304</v>
      </c>
      <c r="C340" s="14" t="s">
        <v>1304</v>
      </c>
      <c r="D340" s="14" t="s">
        <v>373</v>
      </c>
      <c r="E340" s="14" t="s">
        <v>447</v>
      </c>
      <c r="F340" s="14" t="s">
        <v>447</v>
      </c>
      <c r="G340" s="14" t="s">
        <v>447</v>
      </c>
      <c r="I340" s="14" t="s">
        <v>447</v>
      </c>
    </row>
    <row r="341" spans="1:9" x14ac:dyDescent="0.25">
      <c r="A341" s="14" t="s">
        <v>1305</v>
      </c>
      <c r="B341" s="14" t="s">
        <v>1306</v>
      </c>
      <c r="C341" s="14" t="s">
        <v>1305</v>
      </c>
      <c r="D341" s="14" t="s">
        <v>373</v>
      </c>
      <c r="E341" s="14" t="s">
        <v>373</v>
      </c>
      <c r="F341" s="14" t="s">
        <v>373</v>
      </c>
      <c r="G341" s="14" t="s">
        <v>373</v>
      </c>
      <c r="I341" s="14" t="s">
        <v>373</v>
      </c>
    </row>
    <row r="342" spans="1:9" x14ac:dyDescent="0.25">
      <c r="A342" s="14" t="s">
        <v>1307</v>
      </c>
      <c r="B342" s="14" t="s">
        <v>1308</v>
      </c>
      <c r="C342" s="14" t="s">
        <v>1307</v>
      </c>
      <c r="D342" s="14" t="s">
        <v>373</v>
      </c>
      <c r="E342" s="14" t="s">
        <v>373</v>
      </c>
      <c r="F342" s="14" t="s">
        <v>373</v>
      </c>
      <c r="G342" s="14" t="s">
        <v>373</v>
      </c>
      <c r="I342" s="14" t="s">
        <v>373</v>
      </c>
    </row>
    <row r="343" spans="1:9" x14ac:dyDescent="0.25">
      <c r="A343" s="14" t="s">
        <v>1309</v>
      </c>
      <c r="B343" s="14" t="s">
        <v>1310</v>
      </c>
      <c r="C343" s="14" t="s">
        <v>1309</v>
      </c>
      <c r="D343" s="14" t="s">
        <v>373</v>
      </c>
      <c r="E343" s="14" t="s">
        <v>373</v>
      </c>
      <c r="F343" s="14" t="s">
        <v>373</v>
      </c>
      <c r="G343" s="14" t="s">
        <v>373</v>
      </c>
      <c r="I343" s="14" t="s">
        <v>373</v>
      </c>
    </row>
    <row r="344" spans="1:9" x14ac:dyDescent="0.25">
      <c r="A344" s="14" t="s">
        <v>1311</v>
      </c>
      <c r="B344" s="14" t="s">
        <v>999</v>
      </c>
      <c r="C344" s="14" t="s">
        <v>1312</v>
      </c>
      <c r="D344" s="14" t="s">
        <v>285</v>
      </c>
      <c r="E344" s="14" t="s">
        <v>286</v>
      </c>
      <c r="F344" s="14" t="s">
        <v>286</v>
      </c>
      <c r="G344" s="14" t="s">
        <v>287</v>
      </c>
      <c r="I344" s="14" t="s">
        <v>287</v>
      </c>
    </row>
    <row r="345" spans="1:9" x14ac:dyDescent="0.25">
      <c r="A345" s="14" t="s">
        <v>1313</v>
      </c>
      <c r="B345" s="14" t="s">
        <v>1314</v>
      </c>
      <c r="C345" s="14" t="s">
        <v>1315</v>
      </c>
      <c r="D345" s="14" t="s">
        <v>348</v>
      </c>
      <c r="E345" s="14" t="s">
        <v>348</v>
      </c>
      <c r="F345" s="14" t="s">
        <v>348</v>
      </c>
      <c r="G345" s="14" t="s">
        <v>349</v>
      </c>
      <c r="H345" s="14" t="s">
        <v>703</v>
      </c>
      <c r="I345" s="14" t="s">
        <v>348</v>
      </c>
    </row>
    <row r="346" spans="1:9" x14ac:dyDescent="0.25">
      <c r="A346" s="14" t="s">
        <v>1316</v>
      </c>
      <c r="B346" s="14" t="s">
        <v>1317</v>
      </c>
      <c r="C346" s="14" t="s">
        <v>1318</v>
      </c>
      <c r="D346" s="14" t="s">
        <v>285</v>
      </c>
      <c r="E346" s="14" t="s">
        <v>286</v>
      </c>
      <c r="F346" s="14" t="s">
        <v>286</v>
      </c>
      <c r="G346" s="14" t="s">
        <v>287</v>
      </c>
      <c r="I346" s="14" t="s">
        <v>287</v>
      </c>
    </row>
    <row r="347" spans="1:9" x14ac:dyDescent="0.25">
      <c r="A347" s="14" t="s">
        <v>1319</v>
      </c>
      <c r="B347" s="14" t="s">
        <v>1320</v>
      </c>
      <c r="C347" s="14" t="s">
        <v>1321</v>
      </c>
      <c r="D347" s="14" t="s">
        <v>373</v>
      </c>
      <c r="E347" s="14" t="s">
        <v>373</v>
      </c>
      <c r="F347" s="14" t="s">
        <v>373</v>
      </c>
      <c r="G347" s="14" t="s">
        <v>373</v>
      </c>
      <c r="I347" s="14" t="s">
        <v>373</v>
      </c>
    </row>
    <row r="348" spans="1:9" x14ac:dyDescent="0.25">
      <c r="A348" s="14" t="s">
        <v>1322</v>
      </c>
      <c r="B348" s="14" t="s">
        <v>1323</v>
      </c>
      <c r="C348" s="14" t="s">
        <v>1324</v>
      </c>
      <c r="D348" s="14" t="s">
        <v>373</v>
      </c>
      <c r="E348" s="14" t="s">
        <v>373</v>
      </c>
      <c r="F348" s="14" t="s">
        <v>373</v>
      </c>
      <c r="G348" s="14" t="s">
        <v>373</v>
      </c>
      <c r="I348" s="14" t="s">
        <v>373</v>
      </c>
    </row>
    <row r="349" spans="1:9" x14ac:dyDescent="0.25">
      <c r="A349" s="14" t="s">
        <v>1325</v>
      </c>
      <c r="B349" s="14" t="s">
        <v>1326</v>
      </c>
      <c r="C349" s="14" t="s">
        <v>1327</v>
      </c>
      <c r="D349" s="14" t="s">
        <v>373</v>
      </c>
      <c r="E349" s="14" t="s">
        <v>373</v>
      </c>
      <c r="F349" s="14" t="s">
        <v>373</v>
      </c>
      <c r="G349" s="14" t="s">
        <v>373</v>
      </c>
      <c r="I349" s="14" t="s">
        <v>373</v>
      </c>
    </row>
    <row r="350" spans="1:9" x14ac:dyDescent="0.25">
      <c r="A350" s="14" t="s">
        <v>1328</v>
      </c>
      <c r="B350" s="14" t="s">
        <v>1329</v>
      </c>
      <c r="C350" s="14" t="s">
        <v>1330</v>
      </c>
      <c r="D350" s="14" t="s">
        <v>373</v>
      </c>
      <c r="E350" s="14" t="s">
        <v>373</v>
      </c>
      <c r="F350" s="14" t="s">
        <v>373</v>
      </c>
      <c r="G350" s="14" t="s">
        <v>373</v>
      </c>
      <c r="I350" s="14" t="s">
        <v>373</v>
      </c>
    </row>
    <row r="351" spans="1:9" x14ac:dyDescent="0.25">
      <c r="A351" s="14" t="s">
        <v>1331</v>
      </c>
      <c r="B351" s="14" t="s">
        <v>1332</v>
      </c>
      <c r="C351" s="14" t="s">
        <v>1333</v>
      </c>
      <c r="D351" s="14" t="s">
        <v>373</v>
      </c>
      <c r="E351" s="14" t="s">
        <v>373</v>
      </c>
      <c r="F351" s="14" t="s">
        <v>373</v>
      </c>
      <c r="G351" s="14" t="s">
        <v>373</v>
      </c>
      <c r="I351" s="14" t="s">
        <v>373</v>
      </c>
    </row>
    <row r="352" spans="1:9" x14ac:dyDescent="0.25">
      <c r="A352" s="14" t="s">
        <v>1334</v>
      </c>
      <c r="B352" s="14" t="s">
        <v>1335</v>
      </c>
      <c r="C352" s="14" t="s">
        <v>1336</v>
      </c>
      <c r="D352" s="14" t="s">
        <v>373</v>
      </c>
      <c r="E352" s="14" t="s">
        <v>373</v>
      </c>
      <c r="F352" s="14" t="s">
        <v>373</v>
      </c>
      <c r="G352" s="14" t="s">
        <v>1337</v>
      </c>
      <c r="I352" s="14" t="s">
        <v>1337</v>
      </c>
    </row>
    <row r="353" spans="1:9" x14ac:dyDescent="0.25">
      <c r="A353" s="14" t="s">
        <v>1338</v>
      </c>
      <c r="B353" s="14" t="s">
        <v>1339</v>
      </c>
      <c r="C353" s="14" t="s">
        <v>1340</v>
      </c>
      <c r="D353" s="14" t="s">
        <v>373</v>
      </c>
      <c r="E353" s="14" t="s">
        <v>373</v>
      </c>
      <c r="F353" s="14" t="s">
        <v>373</v>
      </c>
      <c r="G353" s="14" t="s">
        <v>447</v>
      </c>
      <c r="I353" s="14" t="s">
        <v>447</v>
      </c>
    </row>
    <row r="354" spans="1:9" x14ac:dyDescent="0.25">
      <c r="A354" s="14" t="s">
        <v>1341</v>
      </c>
      <c r="B354" s="14" t="s">
        <v>1342</v>
      </c>
      <c r="C354" s="14" t="s">
        <v>1343</v>
      </c>
      <c r="D354" s="14" t="s">
        <v>373</v>
      </c>
      <c r="E354" s="14" t="s">
        <v>447</v>
      </c>
      <c r="F354" s="14" t="s">
        <v>447</v>
      </c>
      <c r="G354" s="14" t="s">
        <v>447</v>
      </c>
      <c r="I354" s="14" t="s">
        <v>447</v>
      </c>
    </row>
    <row r="355" spans="1:9" x14ac:dyDescent="0.25">
      <c r="A355" s="14" t="s">
        <v>1344</v>
      </c>
      <c r="B355" s="14" t="s">
        <v>1345</v>
      </c>
      <c r="C355" s="14" t="s">
        <v>1346</v>
      </c>
      <c r="D355" s="14" t="s">
        <v>373</v>
      </c>
      <c r="E355" s="14" t="s">
        <v>447</v>
      </c>
      <c r="F355" s="14" t="s">
        <v>447</v>
      </c>
      <c r="G355" s="14" t="s">
        <v>447</v>
      </c>
      <c r="I355" s="14" t="s">
        <v>447</v>
      </c>
    </row>
    <row r="356" spans="1:9" x14ac:dyDescent="0.25">
      <c r="A356" s="14" t="s">
        <v>1347</v>
      </c>
      <c r="B356" s="14" t="s">
        <v>1348</v>
      </c>
      <c r="C356" s="14" t="s">
        <v>1349</v>
      </c>
      <c r="D356" s="14" t="s">
        <v>373</v>
      </c>
      <c r="E356" s="14" t="s">
        <v>373</v>
      </c>
      <c r="F356" s="14" t="s">
        <v>373</v>
      </c>
      <c r="G356" s="14" t="s">
        <v>373</v>
      </c>
      <c r="I356" s="14" t="s">
        <v>373</v>
      </c>
    </row>
    <row r="357" spans="1:9" x14ac:dyDescent="0.25">
      <c r="A357" s="14" t="s">
        <v>1350</v>
      </c>
      <c r="B357" s="14" t="s">
        <v>1351</v>
      </c>
      <c r="C357" s="14" t="s">
        <v>1352</v>
      </c>
      <c r="D357" s="14" t="s">
        <v>373</v>
      </c>
      <c r="E357" s="14" t="s">
        <v>373</v>
      </c>
      <c r="F357" s="14" t="s">
        <v>373</v>
      </c>
      <c r="G357" s="14" t="s">
        <v>373</v>
      </c>
      <c r="I357" s="14" t="s">
        <v>373</v>
      </c>
    </row>
    <row r="358" spans="1:9" x14ac:dyDescent="0.25">
      <c r="A358" s="14" t="s">
        <v>1353</v>
      </c>
      <c r="B358" s="14" t="s">
        <v>1354</v>
      </c>
      <c r="C358" s="14" t="s">
        <v>1355</v>
      </c>
      <c r="D358" s="14" t="s">
        <v>373</v>
      </c>
      <c r="E358" s="14" t="s">
        <v>373</v>
      </c>
      <c r="F358" s="14" t="s">
        <v>373</v>
      </c>
      <c r="G358" s="14" t="s">
        <v>373</v>
      </c>
      <c r="I358" s="14" t="s">
        <v>373</v>
      </c>
    </row>
    <row r="359" spans="1:9" x14ac:dyDescent="0.25">
      <c r="A359" s="14" t="s">
        <v>1356</v>
      </c>
      <c r="B359" s="14" t="s">
        <v>1357</v>
      </c>
      <c r="C359" s="14" t="s">
        <v>1358</v>
      </c>
      <c r="D359" s="14" t="s">
        <v>373</v>
      </c>
      <c r="E359" s="14" t="s">
        <v>373</v>
      </c>
      <c r="F359" s="14" t="s">
        <v>373</v>
      </c>
      <c r="G359" s="14" t="s">
        <v>373</v>
      </c>
      <c r="I359" s="14" t="s">
        <v>373</v>
      </c>
    </row>
    <row r="360" spans="1:9" x14ac:dyDescent="0.25">
      <c r="A360" s="14" t="s">
        <v>1359</v>
      </c>
      <c r="B360" s="14" t="s">
        <v>1360</v>
      </c>
      <c r="C360" s="14" t="s">
        <v>1361</v>
      </c>
      <c r="D360" s="14" t="s">
        <v>373</v>
      </c>
      <c r="E360" s="14" t="s">
        <v>373</v>
      </c>
      <c r="F360" s="14" t="s">
        <v>373</v>
      </c>
      <c r="G360" s="14" t="s">
        <v>373</v>
      </c>
      <c r="I360" s="14" t="s">
        <v>373</v>
      </c>
    </row>
    <row r="361" spans="1:9" x14ac:dyDescent="0.25">
      <c r="A361" s="14" t="s">
        <v>1362</v>
      </c>
      <c r="B361" s="14" t="s">
        <v>1363</v>
      </c>
      <c r="C361" s="14" t="s">
        <v>1364</v>
      </c>
      <c r="D361" s="14" t="s">
        <v>373</v>
      </c>
      <c r="E361" s="14" t="s">
        <v>373</v>
      </c>
      <c r="F361" s="14" t="s">
        <v>373</v>
      </c>
      <c r="G361" s="14" t="s">
        <v>373</v>
      </c>
      <c r="I361" s="14" t="s">
        <v>373</v>
      </c>
    </row>
    <row r="362" spans="1:9" x14ac:dyDescent="0.25">
      <c r="A362" s="14" t="s">
        <v>1365</v>
      </c>
      <c r="B362" s="14" t="s">
        <v>1366</v>
      </c>
      <c r="C362" s="14" t="s">
        <v>1367</v>
      </c>
      <c r="D362" s="14" t="s">
        <v>373</v>
      </c>
      <c r="E362" s="14" t="s">
        <v>373</v>
      </c>
      <c r="F362" s="14" t="s">
        <v>373</v>
      </c>
      <c r="G362" s="14" t="s">
        <v>373</v>
      </c>
      <c r="I362" s="14" t="s">
        <v>373</v>
      </c>
    </row>
    <row r="363" spans="1:9" x14ac:dyDescent="0.25">
      <c r="A363" s="14" t="s">
        <v>1368</v>
      </c>
      <c r="B363" s="14" t="s">
        <v>1369</v>
      </c>
      <c r="C363" s="14" t="s">
        <v>1370</v>
      </c>
      <c r="D363" s="14" t="s">
        <v>373</v>
      </c>
      <c r="E363" s="14" t="s">
        <v>373</v>
      </c>
      <c r="F363" s="14" t="s">
        <v>373</v>
      </c>
      <c r="G363" s="14" t="s">
        <v>373</v>
      </c>
      <c r="I363" s="14" t="s">
        <v>373</v>
      </c>
    </row>
    <row r="364" spans="1:9" x14ac:dyDescent="0.25">
      <c r="A364" s="14" t="s">
        <v>1371</v>
      </c>
      <c r="B364" s="14" t="s">
        <v>1372</v>
      </c>
      <c r="C364" s="14" t="s">
        <v>1373</v>
      </c>
      <c r="D364" s="14" t="s">
        <v>373</v>
      </c>
      <c r="E364" s="14" t="s">
        <v>373</v>
      </c>
      <c r="F364" s="14" t="s">
        <v>373</v>
      </c>
      <c r="G364" s="14" t="s">
        <v>373</v>
      </c>
      <c r="I364" s="14" t="s">
        <v>373</v>
      </c>
    </row>
    <row r="365" spans="1:9" x14ac:dyDescent="0.25">
      <c r="A365" s="14" t="s">
        <v>1374</v>
      </c>
      <c r="B365" s="14" t="s">
        <v>1375</v>
      </c>
      <c r="C365" s="14" t="s">
        <v>1376</v>
      </c>
      <c r="D365" s="14" t="s">
        <v>373</v>
      </c>
      <c r="E365" s="14" t="s">
        <v>373</v>
      </c>
      <c r="F365" s="14" t="s">
        <v>373</v>
      </c>
      <c r="G365" s="14" t="s">
        <v>373</v>
      </c>
      <c r="I365" s="14" t="s">
        <v>373</v>
      </c>
    </row>
    <row r="366" spans="1:9" x14ac:dyDescent="0.25">
      <c r="A366" s="14" t="s">
        <v>1377</v>
      </c>
      <c r="B366" s="14" t="s">
        <v>1378</v>
      </c>
      <c r="C366" s="14" t="s">
        <v>1379</v>
      </c>
      <c r="D366" s="14" t="s">
        <v>373</v>
      </c>
      <c r="E366" s="14" t="s">
        <v>373</v>
      </c>
      <c r="F366" s="14" t="s">
        <v>373</v>
      </c>
      <c r="G366" s="14" t="s">
        <v>373</v>
      </c>
      <c r="I366" s="14" t="s">
        <v>373</v>
      </c>
    </row>
    <row r="367" spans="1:9" x14ac:dyDescent="0.25">
      <c r="A367" s="14" t="s">
        <v>1380</v>
      </c>
      <c r="B367" s="14" t="s">
        <v>1381</v>
      </c>
      <c r="C367" s="14" t="s">
        <v>1382</v>
      </c>
      <c r="D367" s="14" t="s">
        <v>373</v>
      </c>
      <c r="E367" s="14" t="s">
        <v>373</v>
      </c>
      <c r="F367" s="14" t="s">
        <v>373</v>
      </c>
      <c r="G367" s="14" t="s">
        <v>373</v>
      </c>
      <c r="I367" s="14" t="s">
        <v>373</v>
      </c>
    </row>
    <row r="368" spans="1:9" x14ac:dyDescent="0.25">
      <c r="A368" s="14" t="s">
        <v>1383</v>
      </c>
      <c r="B368" s="14" t="s">
        <v>1384</v>
      </c>
      <c r="C368" s="14" t="s">
        <v>1385</v>
      </c>
      <c r="D368" s="14" t="s">
        <v>373</v>
      </c>
      <c r="E368" s="14" t="s">
        <v>373</v>
      </c>
      <c r="F368" s="14" t="s">
        <v>373</v>
      </c>
      <c r="G368" s="14" t="s">
        <v>373</v>
      </c>
      <c r="I368" s="14" t="s">
        <v>373</v>
      </c>
    </row>
    <row r="369" spans="1:9" x14ac:dyDescent="0.25">
      <c r="A369" s="14" t="s">
        <v>1386</v>
      </c>
      <c r="B369" s="14" t="s">
        <v>1387</v>
      </c>
      <c r="C369" s="14" t="s">
        <v>1388</v>
      </c>
      <c r="D369" s="14" t="s">
        <v>373</v>
      </c>
      <c r="E369" s="14" t="s">
        <v>373</v>
      </c>
      <c r="F369" s="14" t="s">
        <v>373</v>
      </c>
      <c r="G369" s="14" t="s">
        <v>373</v>
      </c>
      <c r="I369" s="14" t="s">
        <v>373</v>
      </c>
    </row>
    <row r="370" spans="1:9" x14ac:dyDescent="0.25">
      <c r="A370" s="14" t="s">
        <v>374</v>
      </c>
      <c r="B370" s="14" t="s">
        <v>1389</v>
      </c>
      <c r="C370" s="14" t="s">
        <v>374</v>
      </c>
      <c r="D370" s="14" t="s">
        <v>373</v>
      </c>
      <c r="E370" s="14" t="s">
        <v>374</v>
      </c>
      <c r="F370" s="14" t="s">
        <v>374</v>
      </c>
      <c r="G370" s="14" t="s">
        <v>374</v>
      </c>
      <c r="I370" s="24" t="s">
        <v>1389</v>
      </c>
    </row>
    <row r="371" spans="1:9" x14ac:dyDescent="0.25">
      <c r="A371" s="14" t="s">
        <v>1390</v>
      </c>
      <c r="B371" s="14" t="s">
        <v>1391</v>
      </c>
      <c r="C371" s="14" t="s">
        <v>1390</v>
      </c>
      <c r="D371" s="14" t="s">
        <v>373</v>
      </c>
      <c r="E371" s="14" t="s">
        <v>373</v>
      </c>
      <c r="F371" s="14" t="s">
        <v>373</v>
      </c>
      <c r="G371" s="14" t="s">
        <v>373</v>
      </c>
      <c r="I371" s="14" t="s">
        <v>373</v>
      </c>
    </row>
    <row r="372" spans="1:9" x14ac:dyDescent="0.25">
      <c r="A372" s="14" t="s">
        <v>1392</v>
      </c>
      <c r="B372" s="14" t="s">
        <v>1393</v>
      </c>
      <c r="C372" s="14" t="s">
        <v>1394</v>
      </c>
      <c r="D372" s="14" t="s">
        <v>276</v>
      </c>
      <c r="E372" s="14" t="s">
        <v>276</v>
      </c>
      <c r="F372" s="14" t="s">
        <v>276</v>
      </c>
      <c r="G372" s="14" t="s">
        <v>277</v>
      </c>
      <c r="I372" s="14" t="s">
        <v>277</v>
      </c>
    </row>
    <row r="373" spans="1:9" x14ac:dyDescent="0.25">
      <c r="A373" s="14" t="s">
        <v>1395</v>
      </c>
      <c r="B373" s="14" t="s">
        <v>1396</v>
      </c>
      <c r="C373" s="14" t="s">
        <v>1397</v>
      </c>
      <c r="D373" s="14" t="s">
        <v>276</v>
      </c>
      <c r="E373" s="14" t="s">
        <v>276</v>
      </c>
      <c r="F373" s="14" t="s">
        <v>276</v>
      </c>
      <c r="G373" s="14" t="s">
        <v>277</v>
      </c>
      <c r="H373" s="14" t="s">
        <v>300</v>
      </c>
      <c r="I373" s="14" t="s">
        <v>277</v>
      </c>
    </row>
    <row r="374" spans="1:9" x14ac:dyDescent="0.25">
      <c r="A374" s="14" t="s">
        <v>1398</v>
      </c>
      <c r="B374" s="14" t="s">
        <v>1399</v>
      </c>
      <c r="C374" s="14" t="s">
        <v>1400</v>
      </c>
      <c r="D374" s="14" t="s">
        <v>373</v>
      </c>
      <c r="E374" s="14" t="s">
        <v>373</v>
      </c>
      <c r="F374" s="14" t="s">
        <v>373</v>
      </c>
      <c r="G374" s="14" t="s">
        <v>373</v>
      </c>
      <c r="I374" s="14" t="s">
        <v>373</v>
      </c>
    </row>
    <row r="375" spans="1:9" x14ac:dyDescent="0.25">
      <c r="A375" s="14" t="s">
        <v>1401</v>
      </c>
      <c r="B375" s="14" t="s">
        <v>1402</v>
      </c>
      <c r="C375" s="14" t="s">
        <v>1403</v>
      </c>
      <c r="D375" s="14" t="s">
        <v>373</v>
      </c>
      <c r="E375" s="14" t="s">
        <v>373</v>
      </c>
      <c r="F375" s="14" t="s">
        <v>373</v>
      </c>
      <c r="G375" s="14" t="s">
        <v>373</v>
      </c>
      <c r="I375" s="14" t="s">
        <v>373</v>
      </c>
    </row>
    <row r="376" spans="1:9" x14ac:dyDescent="0.25">
      <c r="A376" s="14" t="s">
        <v>1404</v>
      </c>
      <c r="B376" s="14" t="s">
        <v>1405</v>
      </c>
      <c r="C376" s="14" t="s">
        <v>1406</v>
      </c>
      <c r="D376" s="14" t="s">
        <v>373</v>
      </c>
      <c r="E376" s="14" t="s">
        <v>373</v>
      </c>
      <c r="F376" s="14" t="s">
        <v>373</v>
      </c>
      <c r="G376" s="14" t="s">
        <v>373</v>
      </c>
      <c r="I376" s="14" t="s">
        <v>373</v>
      </c>
    </row>
    <row r="377" spans="1:9" x14ac:dyDescent="0.25">
      <c r="A377" s="14" t="s">
        <v>1407</v>
      </c>
      <c r="B377" s="14" t="s">
        <v>1408</v>
      </c>
      <c r="C377" s="14" t="s">
        <v>1409</v>
      </c>
      <c r="D377" s="14" t="s">
        <v>373</v>
      </c>
      <c r="E377" s="14" t="s">
        <v>373</v>
      </c>
      <c r="F377" s="14" t="s">
        <v>373</v>
      </c>
      <c r="G377" s="14" t="s">
        <v>373</v>
      </c>
      <c r="I377" s="14" t="s">
        <v>373</v>
      </c>
    </row>
    <row r="378" spans="1:9" x14ac:dyDescent="0.25">
      <c r="A378" s="14" t="s">
        <v>1410</v>
      </c>
      <c r="B378" s="14" t="s">
        <v>1411</v>
      </c>
      <c r="C378" s="14" t="s">
        <v>1412</v>
      </c>
      <c r="D378" s="14" t="s">
        <v>373</v>
      </c>
      <c r="E378" s="14" t="s">
        <v>373</v>
      </c>
      <c r="F378" s="14" t="s">
        <v>373</v>
      </c>
      <c r="G378" s="14" t="s">
        <v>373</v>
      </c>
      <c r="I378" s="14" t="s">
        <v>373</v>
      </c>
    </row>
    <row r="379" spans="1:9" x14ac:dyDescent="0.25">
      <c r="A379" s="14" t="s">
        <v>1413</v>
      </c>
      <c r="B379" s="14" t="s">
        <v>1414</v>
      </c>
      <c r="C379" s="14" t="s">
        <v>1413</v>
      </c>
      <c r="D379" s="14" t="s">
        <v>373</v>
      </c>
      <c r="E379" s="14" t="s">
        <v>373</v>
      </c>
      <c r="F379" s="14" t="s">
        <v>373</v>
      </c>
      <c r="G379" s="14" t="s">
        <v>373</v>
      </c>
      <c r="I379" s="14" t="s">
        <v>373</v>
      </c>
    </row>
    <row r="380" spans="1:9" x14ac:dyDescent="0.25">
      <c r="A380" s="14" t="s">
        <v>1415</v>
      </c>
      <c r="B380" s="14" t="s">
        <v>1416</v>
      </c>
      <c r="C380" s="14" t="s">
        <v>1415</v>
      </c>
      <c r="D380" s="14" t="s">
        <v>373</v>
      </c>
      <c r="E380" s="14" t="s">
        <v>373</v>
      </c>
      <c r="F380" s="14" t="s">
        <v>373</v>
      </c>
      <c r="G380" s="14" t="s">
        <v>373</v>
      </c>
      <c r="I380" s="14" t="s">
        <v>373</v>
      </c>
    </row>
    <row r="381" spans="1:9" x14ac:dyDescent="0.25">
      <c r="A381" s="14" t="s">
        <v>1417</v>
      </c>
      <c r="B381" s="14" t="s">
        <v>1418</v>
      </c>
      <c r="C381" s="14" t="s">
        <v>1417</v>
      </c>
      <c r="D381" s="14" t="s">
        <v>373</v>
      </c>
      <c r="E381" s="14" t="s">
        <v>373</v>
      </c>
      <c r="F381" s="14" t="s">
        <v>373</v>
      </c>
      <c r="G381" s="14" t="s">
        <v>373</v>
      </c>
      <c r="I381" s="14" t="s">
        <v>373</v>
      </c>
    </row>
    <row r="382" spans="1:9" x14ac:dyDescent="0.25">
      <c r="A382" s="14" t="s">
        <v>1419</v>
      </c>
      <c r="B382" s="14" t="s">
        <v>1420</v>
      </c>
      <c r="C382" s="14" t="s">
        <v>1419</v>
      </c>
      <c r="D382" s="14" t="s">
        <v>373</v>
      </c>
      <c r="E382" s="14" t="s">
        <v>373</v>
      </c>
      <c r="F382" s="14" t="s">
        <v>373</v>
      </c>
      <c r="G382" s="14" t="s">
        <v>373</v>
      </c>
      <c r="I382" s="14" t="s">
        <v>373</v>
      </c>
    </row>
    <row r="383" spans="1:9" x14ac:dyDescent="0.25">
      <c r="A383" s="14" t="s">
        <v>1421</v>
      </c>
      <c r="B383" s="14" t="s">
        <v>1422</v>
      </c>
      <c r="C383" s="14" t="s">
        <v>1423</v>
      </c>
      <c r="D383" s="14" t="s">
        <v>285</v>
      </c>
      <c r="E383" s="14" t="s">
        <v>307</v>
      </c>
      <c r="F383" s="14" t="s">
        <v>307</v>
      </c>
      <c r="G383" s="14" t="s">
        <v>308</v>
      </c>
      <c r="I383" s="14" t="s">
        <v>308</v>
      </c>
    </row>
    <row r="384" spans="1:9" x14ac:dyDescent="0.25">
      <c r="A384" s="14" t="s">
        <v>1424</v>
      </c>
      <c r="B384" s="14" t="s">
        <v>1425</v>
      </c>
      <c r="C384" s="14" t="s">
        <v>1426</v>
      </c>
      <c r="D384" s="14" t="s">
        <v>285</v>
      </c>
      <c r="E384" s="14" t="s">
        <v>307</v>
      </c>
      <c r="F384" s="14" t="s">
        <v>307</v>
      </c>
      <c r="G384" s="14" t="s">
        <v>308</v>
      </c>
      <c r="I384" s="14" t="s">
        <v>308</v>
      </c>
    </row>
    <row r="385" spans="1:9" x14ac:dyDescent="0.25">
      <c r="A385" s="14" t="s">
        <v>1427</v>
      </c>
      <c r="B385" s="14" t="s">
        <v>1428</v>
      </c>
      <c r="C385" s="14" t="s">
        <v>1429</v>
      </c>
      <c r="D385" s="14" t="s">
        <v>373</v>
      </c>
      <c r="E385" s="14" t="s">
        <v>373</v>
      </c>
      <c r="F385" s="14" t="s">
        <v>373</v>
      </c>
      <c r="G385" s="14" t="s">
        <v>373</v>
      </c>
      <c r="I385" s="14" t="s">
        <v>373</v>
      </c>
    </row>
    <row r="386" spans="1:9" x14ac:dyDescent="0.25">
      <c r="A386" s="14" t="s">
        <v>1430</v>
      </c>
      <c r="B386" s="14" t="s">
        <v>1431</v>
      </c>
      <c r="C386" s="14" t="s">
        <v>1432</v>
      </c>
      <c r="D386" s="14" t="s">
        <v>373</v>
      </c>
      <c r="E386" s="14" t="s">
        <v>373</v>
      </c>
      <c r="F386" s="14" t="s">
        <v>373</v>
      </c>
      <c r="G386" s="14" t="s">
        <v>373</v>
      </c>
      <c r="I386" s="14" t="s">
        <v>373</v>
      </c>
    </row>
    <row r="387" spans="1:9" x14ac:dyDescent="0.25">
      <c r="A387" s="14" t="s">
        <v>1433</v>
      </c>
      <c r="B387" s="14" t="s">
        <v>1434</v>
      </c>
      <c r="C387" s="14" t="s">
        <v>1435</v>
      </c>
      <c r="D387" s="14" t="s">
        <v>373</v>
      </c>
      <c r="E387" s="14" t="s">
        <v>447</v>
      </c>
      <c r="F387" s="14" t="s">
        <v>447</v>
      </c>
      <c r="G387" s="14" t="s">
        <v>447</v>
      </c>
      <c r="I387" s="14" t="s">
        <v>447</v>
      </c>
    </row>
    <row r="388" spans="1:9" x14ac:dyDescent="0.25">
      <c r="A388" s="14" t="s">
        <v>1436</v>
      </c>
      <c r="B388" s="14" t="s">
        <v>1437</v>
      </c>
      <c r="C388" s="14" t="s">
        <v>1438</v>
      </c>
      <c r="D388" s="14" t="s">
        <v>276</v>
      </c>
      <c r="E388" s="14" t="s">
        <v>276</v>
      </c>
      <c r="F388" s="14" t="s">
        <v>276</v>
      </c>
      <c r="G388" s="14" t="s">
        <v>277</v>
      </c>
      <c r="H388" s="14" t="s">
        <v>278</v>
      </c>
      <c r="I388" s="14" t="s">
        <v>277</v>
      </c>
    </row>
    <row r="389" spans="1:9" x14ac:dyDescent="0.25">
      <c r="A389" s="14" t="s">
        <v>1439</v>
      </c>
      <c r="B389" s="14" t="s">
        <v>1440</v>
      </c>
      <c r="C389" s="14" t="s">
        <v>1441</v>
      </c>
      <c r="D389" s="14" t="s">
        <v>373</v>
      </c>
      <c r="E389" s="14" t="s">
        <v>373</v>
      </c>
      <c r="F389" s="14" t="s">
        <v>373</v>
      </c>
      <c r="G389" s="14" t="s">
        <v>443</v>
      </c>
      <c r="I389" s="14" t="s">
        <v>443</v>
      </c>
    </row>
    <row r="390" spans="1:9" x14ac:dyDescent="0.25">
      <c r="A390" s="14" t="s">
        <v>1442</v>
      </c>
      <c r="B390" s="14" t="s">
        <v>1443</v>
      </c>
      <c r="C390" s="14" t="s">
        <v>1444</v>
      </c>
      <c r="D390" s="14" t="s">
        <v>325</v>
      </c>
      <c r="E390" s="14" t="s">
        <v>325</v>
      </c>
      <c r="F390" s="14" t="s">
        <v>325</v>
      </c>
      <c r="G390" s="14" t="s">
        <v>411</v>
      </c>
      <c r="I390" s="14" t="s">
        <v>411</v>
      </c>
    </row>
    <row r="391" spans="1:9" x14ac:dyDescent="0.25">
      <c r="A391" s="14" t="s">
        <v>1445</v>
      </c>
      <c r="B391" s="14" t="s">
        <v>1446</v>
      </c>
      <c r="C391" s="14" t="s">
        <v>1447</v>
      </c>
      <c r="D391" s="14" t="s">
        <v>325</v>
      </c>
      <c r="E391" s="14" t="s">
        <v>325</v>
      </c>
      <c r="F391" s="14" t="s">
        <v>325</v>
      </c>
      <c r="G391" s="14" t="s">
        <v>411</v>
      </c>
      <c r="I391" s="14" t="s">
        <v>411</v>
      </c>
    </row>
    <row r="392" spans="1:9" x14ac:dyDescent="0.25">
      <c r="A392" s="14" t="s">
        <v>1448</v>
      </c>
      <c r="B392" s="14" t="s">
        <v>1449</v>
      </c>
      <c r="C392" s="14" t="s">
        <v>1450</v>
      </c>
      <c r="D392" s="14" t="s">
        <v>373</v>
      </c>
      <c r="E392" s="14" t="s">
        <v>447</v>
      </c>
      <c r="F392" s="14" t="s">
        <v>447</v>
      </c>
      <c r="G392" s="14" t="s">
        <v>447</v>
      </c>
      <c r="I392" s="14" t="s">
        <v>447</v>
      </c>
    </row>
    <row r="393" spans="1:9" x14ac:dyDescent="0.25">
      <c r="A393" s="14" t="s">
        <v>1451</v>
      </c>
      <c r="B393" s="14" t="s">
        <v>1452</v>
      </c>
      <c r="C393" s="14" t="s">
        <v>1453</v>
      </c>
      <c r="D393" s="14" t="s">
        <v>276</v>
      </c>
      <c r="E393" s="14" t="s">
        <v>276</v>
      </c>
      <c r="F393" s="14" t="s">
        <v>276</v>
      </c>
      <c r="G393" s="14" t="s">
        <v>443</v>
      </c>
      <c r="I393" s="14" t="s">
        <v>443</v>
      </c>
    </row>
    <row r="394" spans="1:9" x14ac:dyDescent="0.25">
      <c r="A394" s="14" t="s">
        <v>1454</v>
      </c>
      <c r="B394" s="14" t="s">
        <v>1455</v>
      </c>
      <c r="C394" s="14" t="s">
        <v>1456</v>
      </c>
      <c r="D394" s="14" t="s">
        <v>276</v>
      </c>
      <c r="E394" s="14" t="s">
        <v>276</v>
      </c>
      <c r="F394" s="14" t="s">
        <v>276</v>
      </c>
      <c r="G394" s="14" t="s">
        <v>443</v>
      </c>
      <c r="I394" s="14" t="s">
        <v>443</v>
      </c>
    </row>
    <row r="395" spans="1:9" x14ac:dyDescent="0.25">
      <c r="A395" s="14" t="s">
        <v>1457</v>
      </c>
      <c r="B395" s="14" t="s">
        <v>1458</v>
      </c>
      <c r="C395" s="14" t="s">
        <v>1459</v>
      </c>
      <c r="D395" s="14" t="s">
        <v>373</v>
      </c>
      <c r="E395" s="14" t="s">
        <v>373</v>
      </c>
      <c r="F395" s="14" t="s">
        <v>373</v>
      </c>
      <c r="G395" s="14" t="s">
        <v>373</v>
      </c>
      <c r="I395" s="14" t="s">
        <v>373</v>
      </c>
    </row>
    <row r="396" spans="1:9" x14ac:dyDescent="0.25">
      <c r="A396" s="14" t="s">
        <v>1460</v>
      </c>
      <c r="B396" s="14" t="s">
        <v>1461</v>
      </c>
      <c r="C396" s="14" t="s">
        <v>1462</v>
      </c>
      <c r="D396" s="14" t="s">
        <v>373</v>
      </c>
      <c r="E396" s="14" t="s">
        <v>373</v>
      </c>
      <c r="F396" s="14" t="s">
        <v>373</v>
      </c>
      <c r="G396" s="14" t="s">
        <v>373</v>
      </c>
      <c r="I396" s="14" t="s">
        <v>373</v>
      </c>
    </row>
    <row r="397" spans="1:9" x14ac:dyDescent="0.25">
      <c r="A397" s="14" t="s">
        <v>1463</v>
      </c>
      <c r="B397" s="14" t="s">
        <v>1464</v>
      </c>
      <c r="C397" s="14" t="s">
        <v>1465</v>
      </c>
      <c r="D397" s="14" t="s">
        <v>373</v>
      </c>
      <c r="E397" s="14" t="s">
        <v>373</v>
      </c>
      <c r="F397" s="14" t="s">
        <v>373</v>
      </c>
      <c r="G397" s="14" t="s">
        <v>373</v>
      </c>
      <c r="I397" s="14" t="s">
        <v>373</v>
      </c>
    </row>
    <row r="398" spans="1:9" x14ac:dyDescent="0.25">
      <c r="A398" s="14" t="s">
        <v>1466</v>
      </c>
      <c r="B398" s="14" t="s">
        <v>1467</v>
      </c>
      <c r="C398" s="14" t="s">
        <v>1468</v>
      </c>
      <c r="D398" s="14" t="s">
        <v>373</v>
      </c>
      <c r="E398" s="14" t="s">
        <v>373</v>
      </c>
      <c r="F398" s="14" t="s">
        <v>373</v>
      </c>
      <c r="G398" s="14" t="s">
        <v>373</v>
      </c>
      <c r="I398" s="14" t="s">
        <v>373</v>
      </c>
    </row>
    <row r="399" spans="1:9" x14ac:dyDescent="0.25">
      <c r="A399" s="14" t="s">
        <v>1469</v>
      </c>
      <c r="B399" s="14" t="s">
        <v>1469</v>
      </c>
      <c r="C399" s="14" t="s">
        <v>1469</v>
      </c>
      <c r="D399" s="14" t="s">
        <v>373</v>
      </c>
      <c r="E399" s="14" t="s">
        <v>373</v>
      </c>
      <c r="F399" s="14" t="s">
        <v>373</v>
      </c>
      <c r="G399" s="14" t="s">
        <v>373</v>
      </c>
      <c r="I399" s="14" t="s">
        <v>373</v>
      </c>
    </row>
    <row r="400" spans="1:9" x14ac:dyDescent="0.25">
      <c r="A400" s="14" t="s">
        <v>1470</v>
      </c>
      <c r="B400" s="14" t="s">
        <v>1471</v>
      </c>
      <c r="C400" s="14" t="s">
        <v>1472</v>
      </c>
      <c r="D400" s="14" t="s">
        <v>373</v>
      </c>
      <c r="E400" s="14" t="s">
        <v>373</v>
      </c>
      <c r="F400" s="14" t="s">
        <v>373</v>
      </c>
      <c r="G400" s="14" t="s">
        <v>373</v>
      </c>
      <c r="I400" s="14" t="s">
        <v>373</v>
      </c>
    </row>
    <row r="401" spans="1:9" x14ac:dyDescent="0.25">
      <c r="A401" s="14" t="s">
        <v>1473</v>
      </c>
      <c r="B401" s="14" t="s">
        <v>1474</v>
      </c>
      <c r="C401" s="14" t="s">
        <v>1475</v>
      </c>
      <c r="D401" s="14" t="s">
        <v>734</v>
      </c>
      <c r="E401" s="14" t="s">
        <v>734</v>
      </c>
      <c r="F401" s="14" t="s">
        <v>734</v>
      </c>
      <c r="G401" s="14" t="s">
        <v>735</v>
      </c>
      <c r="I401" s="24" t="s">
        <v>734</v>
      </c>
    </row>
    <row r="402" spans="1:9" x14ac:dyDescent="0.25">
      <c r="A402" s="14" t="s">
        <v>1476</v>
      </c>
      <c r="B402" s="14" t="s">
        <v>1477</v>
      </c>
      <c r="C402" s="14" t="s">
        <v>1478</v>
      </c>
      <c r="D402" s="14" t="s">
        <v>325</v>
      </c>
      <c r="E402" s="14" t="s">
        <v>325</v>
      </c>
      <c r="F402" s="14" t="s">
        <v>325</v>
      </c>
      <c r="G402" s="14" t="s">
        <v>1479</v>
      </c>
      <c r="I402" s="14" t="s">
        <v>1479</v>
      </c>
    </row>
    <row r="403" spans="1:9" x14ac:dyDescent="0.25">
      <c r="A403" s="14" t="s">
        <v>1480</v>
      </c>
      <c r="B403" s="14" t="s">
        <v>1481</v>
      </c>
      <c r="C403" s="14" t="s">
        <v>1482</v>
      </c>
      <c r="D403" s="14" t="s">
        <v>325</v>
      </c>
      <c r="E403" s="14" t="s">
        <v>325</v>
      </c>
      <c r="F403" s="14" t="s">
        <v>325</v>
      </c>
      <c r="G403" s="14" t="s">
        <v>1479</v>
      </c>
      <c r="I403" s="14" t="s">
        <v>1479</v>
      </c>
    </row>
    <row r="404" spans="1:9" x14ac:dyDescent="0.25">
      <c r="A404" s="14" t="s">
        <v>1483</v>
      </c>
      <c r="B404" s="14" t="s">
        <v>1484</v>
      </c>
      <c r="C404" s="14" t="s">
        <v>1485</v>
      </c>
      <c r="D404" s="14" t="s">
        <v>325</v>
      </c>
      <c r="E404" s="14" t="s">
        <v>325</v>
      </c>
      <c r="F404" s="14" t="s">
        <v>325</v>
      </c>
      <c r="G404" s="14" t="s">
        <v>1479</v>
      </c>
      <c r="I404" s="14" t="s">
        <v>1479</v>
      </c>
    </row>
    <row r="405" spans="1:9" x14ac:dyDescent="0.25">
      <c r="A405" s="14" t="s">
        <v>1486</v>
      </c>
      <c r="B405" s="14" t="s">
        <v>1487</v>
      </c>
      <c r="C405" s="14" t="s">
        <v>1488</v>
      </c>
      <c r="D405" s="14" t="s">
        <v>373</v>
      </c>
      <c r="E405" s="14" t="s">
        <v>373</v>
      </c>
      <c r="F405" s="14" t="s">
        <v>373</v>
      </c>
      <c r="G405" s="14" t="s">
        <v>373</v>
      </c>
      <c r="I405" s="14" t="s">
        <v>373</v>
      </c>
    </row>
    <row r="406" spans="1:9" x14ac:dyDescent="0.25">
      <c r="A406" s="14" t="s">
        <v>1489</v>
      </c>
      <c r="B406" s="14" t="s">
        <v>1490</v>
      </c>
      <c r="C406" s="14" t="s">
        <v>1491</v>
      </c>
      <c r="D406" s="14" t="s">
        <v>373</v>
      </c>
      <c r="E406" s="14" t="s">
        <v>373</v>
      </c>
      <c r="F406" s="14" t="s">
        <v>373</v>
      </c>
      <c r="G406" s="14" t="s">
        <v>373</v>
      </c>
      <c r="I406" s="14" t="s">
        <v>373</v>
      </c>
    </row>
    <row r="407" spans="1:9" x14ac:dyDescent="0.25">
      <c r="A407" s="14" t="s">
        <v>1492</v>
      </c>
      <c r="B407" s="14" t="s">
        <v>1396</v>
      </c>
      <c r="C407" s="14" t="s">
        <v>1493</v>
      </c>
      <c r="D407" s="14" t="s">
        <v>276</v>
      </c>
      <c r="E407" s="14" t="s">
        <v>276</v>
      </c>
      <c r="F407" s="14" t="s">
        <v>276</v>
      </c>
      <c r="G407" s="14" t="s">
        <v>277</v>
      </c>
      <c r="H407" s="14" t="s">
        <v>300</v>
      </c>
      <c r="I407" s="14" t="s">
        <v>277</v>
      </c>
    </row>
    <row r="408" spans="1:9" x14ac:dyDescent="0.25">
      <c r="A408" s="14" t="s">
        <v>1494</v>
      </c>
      <c r="B408" s="14" t="s">
        <v>1495</v>
      </c>
      <c r="C408" s="14" t="s">
        <v>1496</v>
      </c>
      <c r="D408" s="14" t="s">
        <v>276</v>
      </c>
      <c r="E408" s="14" t="s">
        <v>276</v>
      </c>
      <c r="F408" s="14" t="s">
        <v>276</v>
      </c>
      <c r="G408" s="14" t="s">
        <v>277</v>
      </c>
      <c r="H408" s="14" t="s">
        <v>300</v>
      </c>
      <c r="I408" s="14" t="s">
        <v>277</v>
      </c>
    </row>
    <row r="409" spans="1:9" x14ac:dyDescent="0.25">
      <c r="A409" s="14" t="s">
        <v>1497</v>
      </c>
      <c r="B409" s="14" t="s">
        <v>1498</v>
      </c>
      <c r="C409" s="14" t="s">
        <v>1498</v>
      </c>
      <c r="D409" s="14" t="s">
        <v>373</v>
      </c>
      <c r="E409" s="14" t="s">
        <v>373</v>
      </c>
      <c r="F409" s="14" t="s">
        <v>373</v>
      </c>
      <c r="G409" s="14" t="s">
        <v>373</v>
      </c>
      <c r="I409" s="14" t="s">
        <v>373</v>
      </c>
    </row>
    <row r="410" spans="1:9" x14ac:dyDescent="0.25">
      <c r="A410" s="14" t="s">
        <v>59</v>
      </c>
      <c r="B410" s="14" t="s">
        <v>1499</v>
      </c>
      <c r="C410" s="14" t="s">
        <v>1500</v>
      </c>
      <c r="D410" s="14" t="s">
        <v>276</v>
      </c>
      <c r="E410" s="14" t="s">
        <v>276</v>
      </c>
      <c r="F410" s="14" t="s">
        <v>276</v>
      </c>
      <c r="G410" s="14" t="s">
        <v>277</v>
      </c>
      <c r="H410" s="14" t="s">
        <v>300</v>
      </c>
      <c r="I410" s="14" t="s">
        <v>277</v>
      </c>
    </row>
    <row r="411" spans="1:9" x14ac:dyDescent="0.25">
      <c r="A411" s="14" t="s">
        <v>1501</v>
      </c>
      <c r="B411" s="14" t="s">
        <v>1502</v>
      </c>
      <c r="C411" s="14" t="s">
        <v>1503</v>
      </c>
      <c r="D411" s="14" t="s">
        <v>276</v>
      </c>
      <c r="E411" s="14" t="s">
        <v>276</v>
      </c>
      <c r="F411" s="14" t="s">
        <v>276</v>
      </c>
      <c r="G411" s="14" t="s">
        <v>443</v>
      </c>
      <c r="I411" s="14" t="s">
        <v>443</v>
      </c>
    </row>
    <row r="412" spans="1:9" x14ac:dyDescent="0.25">
      <c r="A412" s="14" t="s">
        <v>1504</v>
      </c>
      <c r="B412" s="14" t="s">
        <v>1505</v>
      </c>
      <c r="C412" s="14" t="s">
        <v>1506</v>
      </c>
      <c r="D412" s="14" t="s">
        <v>373</v>
      </c>
      <c r="E412" s="14" t="s">
        <v>373</v>
      </c>
      <c r="F412" s="14" t="s">
        <v>373</v>
      </c>
      <c r="G412" s="14" t="s">
        <v>373</v>
      </c>
      <c r="I412" s="14" t="s">
        <v>373</v>
      </c>
    </row>
    <row r="413" spans="1:9" x14ac:dyDescent="0.25">
      <c r="A413" s="14" t="s">
        <v>1507</v>
      </c>
      <c r="B413" s="14" t="s">
        <v>1508</v>
      </c>
      <c r="C413" s="14" t="s">
        <v>1509</v>
      </c>
      <c r="D413" s="14" t="s">
        <v>285</v>
      </c>
      <c r="E413" s="14" t="s">
        <v>286</v>
      </c>
      <c r="F413" s="14" t="s">
        <v>286</v>
      </c>
      <c r="G413" s="14" t="s">
        <v>460</v>
      </c>
      <c r="I413" s="14" t="s">
        <v>460</v>
      </c>
    </row>
    <row r="414" spans="1:9" x14ac:dyDescent="0.25">
      <c r="A414" s="14" t="s">
        <v>1510</v>
      </c>
      <c r="B414" s="14" t="s">
        <v>1511</v>
      </c>
      <c r="C414" s="14" t="s">
        <v>1512</v>
      </c>
      <c r="D414" s="14" t="s">
        <v>373</v>
      </c>
      <c r="E414" s="14" t="s">
        <v>447</v>
      </c>
      <c r="F414" s="14" t="s">
        <v>447</v>
      </c>
      <c r="G414" s="14" t="s">
        <v>447</v>
      </c>
      <c r="I414" s="14" t="s">
        <v>447</v>
      </c>
    </row>
    <row r="415" spans="1:9" x14ac:dyDescent="0.25">
      <c r="A415" s="14" t="s">
        <v>1513</v>
      </c>
      <c r="B415" s="14" t="s">
        <v>1514</v>
      </c>
      <c r="C415" s="14" t="s">
        <v>1515</v>
      </c>
      <c r="D415" s="14" t="s">
        <v>285</v>
      </c>
      <c r="E415" s="14" t="s">
        <v>307</v>
      </c>
      <c r="F415" s="14" t="s">
        <v>307</v>
      </c>
      <c r="G415" s="14" t="s">
        <v>378</v>
      </c>
      <c r="I415" s="14" t="s">
        <v>378</v>
      </c>
    </row>
    <row r="416" spans="1:9" x14ac:dyDescent="0.25">
      <c r="A416" s="14" t="s">
        <v>1516</v>
      </c>
      <c r="B416" s="14" t="s">
        <v>1517</v>
      </c>
      <c r="C416" s="14" t="s">
        <v>1518</v>
      </c>
      <c r="D416" s="14" t="s">
        <v>325</v>
      </c>
      <c r="E416" s="14" t="s">
        <v>325</v>
      </c>
      <c r="F416" s="14" t="s">
        <v>325</v>
      </c>
      <c r="G416" s="14" t="s">
        <v>411</v>
      </c>
      <c r="I416" s="14" t="s">
        <v>411</v>
      </c>
    </row>
    <row r="417" spans="1:9" x14ac:dyDescent="0.25">
      <c r="A417" s="14" t="s">
        <v>1519</v>
      </c>
      <c r="B417" s="14" t="s">
        <v>1520</v>
      </c>
      <c r="C417" s="14" t="s">
        <v>1521</v>
      </c>
      <c r="D417" s="14" t="s">
        <v>325</v>
      </c>
      <c r="E417" s="14" t="s">
        <v>325</v>
      </c>
      <c r="F417" s="14" t="s">
        <v>325</v>
      </c>
      <c r="G417" s="14" t="s">
        <v>411</v>
      </c>
      <c r="I417" s="14" t="s">
        <v>411</v>
      </c>
    </row>
    <row r="418" spans="1:9" x14ac:dyDescent="0.25">
      <c r="A418" s="14" t="s">
        <v>1522</v>
      </c>
      <c r="B418" s="14" t="s">
        <v>1523</v>
      </c>
      <c r="C418" s="14" t="s">
        <v>1524</v>
      </c>
      <c r="D418" s="14" t="s">
        <v>325</v>
      </c>
      <c r="E418" s="14" t="s">
        <v>325</v>
      </c>
      <c r="F418" s="14" t="s">
        <v>325</v>
      </c>
      <c r="G418" s="14" t="s">
        <v>411</v>
      </c>
      <c r="I418" s="14" t="s">
        <v>411</v>
      </c>
    </row>
    <row r="419" spans="1:9" x14ac:dyDescent="0.25">
      <c r="A419" s="14" t="s">
        <v>1525</v>
      </c>
      <c r="B419" s="14" t="s">
        <v>1526</v>
      </c>
      <c r="C419" s="14" t="s">
        <v>1527</v>
      </c>
      <c r="D419" s="14" t="s">
        <v>325</v>
      </c>
      <c r="E419" s="14" t="s">
        <v>325</v>
      </c>
      <c r="F419" s="14" t="s">
        <v>325</v>
      </c>
      <c r="G419" s="14" t="s">
        <v>411</v>
      </c>
      <c r="I419" s="14" t="s">
        <v>411</v>
      </c>
    </row>
    <row r="420" spans="1:9" x14ac:dyDescent="0.25">
      <c r="A420" s="14" t="s">
        <v>1528</v>
      </c>
      <c r="B420" s="14" t="s">
        <v>1529</v>
      </c>
      <c r="C420" s="14" t="s">
        <v>1530</v>
      </c>
      <c r="D420" s="14" t="s">
        <v>325</v>
      </c>
      <c r="E420" s="14" t="s">
        <v>325</v>
      </c>
      <c r="F420" s="14" t="s">
        <v>325</v>
      </c>
      <c r="G420" s="14" t="s">
        <v>411</v>
      </c>
      <c r="I420" s="14" t="s">
        <v>411</v>
      </c>
    </row>
    <row r="421" spans="1:9" x14ac:dyDescent="0.25">
      <c r="A421" s="14" t="s">
        <v>1531</v>
      </c>
      <c r="B421" s="14" t="s">
        <v>1532</v>
      </c>
      <c r="C421" s="14" t="s">
        <v>1533</v>
      </c>
      <c r="D421" s="14" t="s">
        <v>325</v>
      </c>
      <c r="E421" s="14" t="s">
        <v>325</v>
      </c>
      <c r="F421" s="14" t="s">
        <v>325</v>
      </c>
      <c r="G421" s="14" t="s">
        <v>411</v>
      </c>
      <c r="I421" s="14" t="s">
        <v>411</v>
      </c>
    </row>
    <row r="422" spans="1:9" x14ac:dyDescent="0.25">
      <c r="A422" s="14" t="s">
        <v>1534</v>
      </c>
      <c r="B422" s="14" t="s">
        <v>1535</v>
      </c>
      <c r="C422" s="14" t="s">
        <v>1536</v>
      </c>
      <c r="D422" s="14" t="s">
        <v>325</v>
      </c>
      <c r="E422" s="14" t="s">
        <v>325</v>
      </c>
      <c r="F422" s="14" t="s">
        <v>325</v>
      </c>
      <c r="G422" s="14" t="s">
        <v>411</v>
      </c>
      <c r="I422" s="14" t="s">
        <v>411</v>
      </c>
    </row>
    <row r="423" spans="1:9" x14ac:dyDescent="0.25">
      <c r="A423" s="14" t="s">
        <v>1537</v>
      </c>
      <c r="B423" s="14" t="s">
        <v>1538</v>
      </c>
      <c r="C423" s="14" t="s">
        <v>1539</v>
      </c>
      <c r="D423" s="14" t="s">
        <v>373</v>
      </c>
      <c r="E423" s="14" t="s">
        <v>447</v>
      </c>
      <c r="F423" s="14" t="s">
        <v>447</v>
      </c>
      <c r="G423" s="14" t="s">
        <v>447</v>
      </c>
      <c r="I423" s="14" t="s">
        <v>447</v>
      </c>
    </row>
    <row r="424" spans="1:9" x14ac:dyDescent="0.25">
      <c r="A424" s="14" t="s">
        <v>1540</v>
      </c>
      <c r="B424" s="14" t="s">
        <v>1541</v>
      </c>
      <c r="C424" s="14" t="s">
        <v>1542</v>
      </c>
      <c r="D424" s="14" t="s">
        <v>325</v>
      </c>
      <c r="E424" s="14" t="s">
        <v>325</v>
      </c>
      <c r="F424" s="14" t="s">
        <v>325</v>
      </c>
      <c r="G424" s="14" t="s">
        <v>411</v>
      </c>
      <c r="I424" s="14" t="s">
        <v>411</v>
      </c>
    </row>
    <row r="425" spans="1:9" x14ac:dyDescent="0.25">
      <c r="A425" s="14" t="s">
        <v>1543</v>
      </c>
      <c r="B425" s="14" t="s">
        <v>1544</v>
      </c>
      <c r="C425" s="14" t="s">
        <v>1545</v>
      </c>
      <c r="D425" s="14" t="s">
        <v>285</v>
      </c>
      <c r="E425" s="14" t="s">
        <v>286</v>
      </c>
      <c r="F425" s="14" t="s">
        <v>286</v>
      </c>
      <c r="G425" s="14" t="s">
        <v>460</v>
      </c>
      <c r="I425" s="14" t="s">
        <v>460</v>
      </c>
    </row>
    <row r="426" spans="1:9" x14ac:dyDescent="0.25">
      <c r="A426" s="14" t="s">
        <v>1546</v>
      </c>
      <c r="B426" s="14" t="s">
        <v>1547</v>
      </c>
      <c r="C426" s="14" t="s">
        <v>1548</v>
      </c>
      <c r="D426" s="14" t="s">
        <v>285</v>
      </c>
      <c r="E426" s="14" t="s">
        <v>286</v>
      </c>
      <c r="F426" s="14" t="s">
        <v>286</v>
      </c>
      <c r="G426" s="14" t="s">
        <v>460</v>
      </c>
      <c r="I426" s="14" t="s">
        <v>460</v>
      </c>
    </row>
    <row r="427" spans="1:9" x14ac:dyDescent="0.25">
      <c r="A427" s="14" t="s">
        <v>1549</v>
      </c>
      <c r="B427" s="14" t="s">
        <v>1550</v>
      </c>
      <c r="C427" s="14" t="s">
        <v>1551</v>
      </c>
      <c r="D427" s="14" t="s">
        <v>373</v>
      </c>
      <c r="E427" s="14" t="s">
        <v>447</v>
      </c>
      <c r="F427" s="14" t="s">
        <v>447</v>
      </c>
      <c r="G427" s="14" t="s">
        <v>447</v>
      </c>
      <c r="I427" s="14" t="s">
        <v>447</v>
      </c>
    </row>
    <row r="428" spans="1:9" x14ac:dyDescent="0.25">
      <c r="A428" s="14" t="s">
        <v>1552</v>
      </c>
      <c r="B428" s="14" t="s">
        <v>1553</v>
      </c>
      <c r="C428" s="14" t="s">
        <v>1554</v>
      </c>
      <c r="D428" s="14" t="s">
        <v>373</v>
      </c>
      <c r="E428" s="14" t="s">
        <v>447</v>
      </c>
      <c r="F428" s="14" t="s">
        <v>447</v>
      </c>
      <c r="G428" s="14" t="s">
        <v>447</v>
      </c>
      <c r="I428" s="14" t="s">
        <v>447</v>
      </c>
    </row>
    <row r="429" spans="1:9" x14ac:dyDescent="0.25">
      <c r="A429" s="14" t="s">
        <v>1555</v>
      </c>
      <c r="B429" s="14" t="s">
        <v>1556</v>
      </c>
      <c r="C429" s="14" t="s">
        <v>1557</v>
      </c>
      <c r="D429" s="14" t="s">
        <v>373</v>
      </c>
      <c r="E429" s="14" t="s">
        <v>447</v>
      </c>
      <c r="F429" s="14" t="s">
        <v>447</v>
      </c>
      <c r="G429" s="14" t="s">
        <v>447</v>
      </c>
      <c r="I429" s="14" t="s">
        <v>447</v>
      </c>
    </row>
    <row r="430" spans="1:9" x14ac:dyDescent="0.25">
      <c r="A430" s="14" t="s">
        <v>1558</v>
      </c>
      <c r="B430" s="14" t="s">
        <v>1559</v>
      </c>
      <c r="C430" s="14" t="s">
        <v>1560</v>
      </c>
      <c r="D430" s="14" t="s">
        <v>373</v>
      </c>
      <c r="E430" s="14" t="s">
        <v>373</v>
      </c>
      <c r="F430" s="14" t="s">
        <v>373</v>
      </c>
      <c r="G430" s="14" t="s">
        <v>373</v>
      </c>
      <c r="I430" s="14" t="s">
        <v>373</v>
      </c>
    </row>
    <row r="431" spans="1:9" x14ac:dyDescent="0.25">
      <c r="A431" s="14" t="s">
        <v>1561</v>
      </c>
      <c r="B431" s="14" t="s">
        <v>1562</v>
      </c>
      <c r="C431" s="14" t="s">
        <v>1563</v>
      </c>
      <c r="D431" s="14" t="s">
        <v>373</v>
      </c>
      <c r="E431" s="14" t="s">
        <v>373</v>
      </c>
      <c r="F431" s="14" t="s">
        <v>373</v>
      </c>
      <c r="G431" s="14" t="s">
        <v>373</v>
      </c>
      <c r="I431" s="14" t="s">
        <v>373</v>
      </c>
    </row>
    <row r="432" spans="1:9" x14ac:dyDescent="0.25">
      <c r="A432" s="14" t="s">
        <v>1564</v>
      </c>
      <c r="B432" s="14" t="s">
        <v>1565</v>
      </c>
      <c r="C432" s="14" t="s">
        <v>1566</v>
      </c>
      <c r="D432" s="14" t="s">
        <v>373</v>
      </c>
      <c r="E432" s="14" t="s">
        <v>373</v>
      </c>
      <c r="F432" s="14" t="s">
        <v>373</v>
      </c>
      <c r="G432" s="14" t="s">
        <v>373</v>
      </c>
      <c r="I432" s="14" t="s">
        <v>373</v>
      </c>
    </row>
    <row r="433" spans="1:9" x14ac:dyDescent="0.25">
      <c r="A433" s="14" t="s">
        <v>1567</v>
      </c>
      <c r="B433" s="14" t="s">
        <v>1568</v>
      </c>
      <c r="C433" s="14" t="s">
        <v>1569</v>
      </c>
      <c r="D433" s="14" t="s">
        <v>373</v>
      </c>
      <c r="E433" s="14" t="s">
        <v>373</v>
      </c>
      <c r="F433" s="14" t="s">
        <v>373</v>
      </c>
      <c r="G433" s="14" t="s">
        <v>373</v>
      </c>
      <c r="I433" s="14" t="s">
        <v>373</v>
      </c>
    </row>
    <row r="434" spans="1:9" x14ac:dyDescent="0.25">
      <c r="A434" s="14" t="s">
        <v>1570</v>
      </c>
      <c r="B434" s="14" t="s">
        <v>1571</v>
      </c>
      <c r="C434" s="14" t="s">
        <v>1572</v>
      </c>
      <c r="D434" s="14" t="s">
        <v>373</v>
      </c>
      <c r="E434" s="14" t="s">
        <v>373</v>
      </c>
      <c r="F434" s="14" t="s">
        <v>373</v>
      </c>
      <c r="G434" s="14" t="s">
        <v>373</v>
      </c>
      <c r="I434" s="14" t="s">
        <v>373</v>
      </c>
    </row>
    <row r="435" spans="1:9" x14ac:dyDescent="0.25">
      <c r="A435" s="14" t="s">
        <v>1573</v>
      </c>
      <c r="B435" s="14" t="s">
        <v>1574</v>
      </c>
      <c r="C435" s="14" t="s">
        <v>1575</v>
      </c>
      <c r="D435" s="14" t="s">
        <v>285</v>
      </c>
      <c r="E435" s="14" t="s">
        <v>286</v>
      </c>
      <c r="F435" s="14" t="s">
        <v>286</v>
      </c>
      <c r="G435" s="14" t="s">
        <v>287</v>
      </c>
      <c r="I435" s="14" t="s">
        <v>287</v>
      </c>
    </row>
    <row r="436" spans="1:9" x14ac:dyDescent="0.25">
      <c r="A436" s="14" t="s">
        <v>1576</v>
      </c>
      <c r="B436" s="14" t="s">
        <v>1577</v>
      </c>
      <c r="C436" s="14" t="s">
        <v>1578</v>
      </c>
      <c r="D436" s="14" t="s">
        <v>276</v>
      </c>
      <c r="E436" s="14" t="s">
        <v>276</v>
      </c>
      <c r="F436" s="14" t="s">
        <v>276</v>
      </c>
      <c r="G436" s="14" t="s">
        <v>277</v>
      </c>
      <c r="H436" s="14" t="s">
        <v>278</v>
      </c>
      <c r="I436" s="14" t="s">
        <v>277</v>
      </c>
    </row>
    <row r="437" spans="1:9" x14ac:dyDescent="0.25">
      <c r="A437" s="14" t="s">
        <v>1579</v>
      </c>
      <c r="B437" s="14" t="s">
        <v>1580</v>
      </c>
      <c r="C437" s="14" t="s">
        <v>1581</v>
      </c>
      <c r="D437" s="14" t="s">
        <v>373</v>
      </c>
      <c r="E437" s="14" t="s">
        <v>373</v>
      </c>
      <c r="F437" s="14" t="s">
        <v>373</v>
      </c>
      <c r="G437" s="14" t="s">
        <v>373</v>
      </c>
      <c r="I437" s="14" t="s">
        <v>373</v>
      </c>
    </row>
    <row r="438" spans="1:9" x14ac:dyDescent="0.25">
      <c r="A438" s="14" t="s">
        <v>1582</v>
      </c>
      <c r="B438" s="14" t="s">
        <v>1583</v>
      </c>
      <c r="C438" s="14" t="s">
        <v>1584</v>
      </c>
      <c r="D438" s="14" t="s">
        <v>285</v>
      </c>
      <c r="E438" s="14" t="s">
        <v>286</v>
      </c>
      <c r="F438" s="14" t="s">
        <v>286</v>
      </c>
      <c r="G438" s="14" t="s">
        <v>460</v>
      </c>
      <c r="I438" s="14" t="s">
        <v>460</v>
      </c>
    </row>
    <row r="439" spans="1:9" x14ac:dyDescent="0.25">
      <c r="A439" s="14" t="s">
        <v>1585</v>
      </c>
      <c r="B439" s="14" t="s">
        <v>1586</v>
      </c>
      <c r="C439" s="14" t="s">
        <v>1587</v>
      </c>
      <c r="D439" s="14" t="s">
        <v>276</v>
      </c>
      <c r="E439" s="14" t="s">
        <v>276</v>
      </c>
      <c r="F439" s="14" t="s">
        <v>276</v>
      </c>
      <c r="G439" s="14" t="s">
        <v>443</v>
      </c>
      <c r="I439" s="14" t="s">
        <v>443</v>
      </c>
    </row>
    <row r="440" spans="1:9" x14ac:dyDescent="0.25">
      <c r="A440" s="14" t="s">
        <v>1588</v>
      </c>
      <c r="B440" s="14" t="s">
        <v>1589</v>
      </c>
      <c r="C440" s="14" t="s">
        <v>1590</v>
      </c>
      <c r="D440" s="14" t="s">
        <v>325</v>
      </c>
      <c r="E440" s="14" t="s">
        <v>325</v>
      </c>
      <c r="F440" s="14" t="s">
        <v>325</v>
      </c>
      <c r="G440" s="14" t="s">
        <v>411</v>
      </c>
      <c r="I440" s="14" t="s">
        <v>411</v>
      </c>
    </row>
    <row r="441" spans="1:9" x14ac:dyDescent="0.25">
      <c r="A441" s="14" t="s">
        <v>1591</v>
      </c>
      <c r="B441" s="14" t="s">
        <v>1592</v>
      </c>
      <c r="C441" s="14" t="s">
        <v>1593</v>
      </c>
      <c r="D441" s="14" t="s">
        <v>325</v>
      </c>
      <c r="E441" s="14" t="s">
        <v>325</v>
      </c>
      <c r="F441" s="14" t="s">
        <v>325</v>
      </c>
      <c r="G441" s="14" t="s">
        <v>411</v>
      </c>
      <c r="I441" s="14" t="s">
        <v>411</v>
      </c>
    </row>
    <row r="442" spans="1:9" x14ac:dyDescent="0.25">
      <c r="A442" s="14" t="s">
        <v>1594</v>
      </c>
      <c r="B442" s="14" t="s">
        <v>1595</v>
      </c>
      <c r="C442" s="14" t="s">
        <v>1596</v>
      </c>
      <c r="D442" s="14" t="s">
        <v>325</v>
      </c>
      <c r="E442" s="14" t="s">
        <v>325</v>
      </c>
      <c r="F442" s="14" t="s">
        <v>325</v>
      </c>
      <c r="G442" s="14" t="s">
        <v>411</v>
      </c>
      <c r="I442" s="14" t="s">
        <v>411</v>
      </c>
    </row>
    <row r="443" spans="1:9" x14ac:dyDescent="0.25">
      <c r="A443" s="14" t="s">
        <v>257</v>
      </c>
      <c r="B443" s="14" t="s">
        <v>1597</v>
      </c>
      <c r="C443" s="14" t="s">
        <v>1598</v>
      </c>
      <c r="D443" s="14" t="s">
        <v>373</v>
      </c>
      <c r="E443" s="14" t="s">
        <v>447</v>
      </c>
      <c r="F443" s="14" t="s">
        <v>447</v>
      </c>
      <c r="G443" s="14" t="s">
        <v>447</v>
      </c>
      <c r="I443" s="14" t="s">
        <v>447</v>
      </c>
    </row>
    <row r="444" spans="1:9" x14ac:dyDescent="0.25">
      <c r="A444" s="14" t="s">
        <v>1599</v>
      </c>
      <c r="B444" s="14" t="s">
        <v>1600</v>
      </c>
      <c r="C444" s="14" t="s">
        <v>1601</v>
      </c>
      <c r="D444" s="14" t="s">
        <v>373</v>
      </c>
      <c r="E444" s="14" t="s">
        <v>447</v>
      </c>
      <c r="F444" s="14" t="s">
        <v>447</v>
      </c>
      <c r="G444" s="14" t="s">
        <v>447</v>
      </c>
      <c r="I444" s="14" t="s">
        <v>447</v>
      </c>
    </row>
    <row r="445" spans="1:9" x14ac:dyDescent="0.25">
      <c r="A445" s="14" t="s">
        <v>1602</v>
      </c>
      <c r="B445" s="14" t="s">
        <v>1126</v>
      </c>
      <c r="C445" s="14" t="s">
        <v>1603</v>
      </c>
      <c r="D445" s="14" t="s">
        <v>285</v>
      </c>
      <c r="E445" s="14" t="s">
        <v>286</v>
      </c>
      <c r="F445" s="14" t="s">
        <v>286</v>
      </c>
      <c r="G445" s="14" t="s">
        <v>460</v>
      </c>
      <c r="I445" s="14" t="s">
        <v>460</v>
      </c>
    </row>
    <row r="446" spans="1:9" x14ac:dyDescent="0.25">
      <c r="A446" s="14" t="s">
        <v>1604</v>
      </c>
      <c r="B446" s="14" t="s">
        <v>1605</v>
      </c>
      <c r="C446" s="14" t="s">
        <v>1606</v>
      </c>
      <c r="D446" s="14" t="s">
        <v>373</v>
      </c>
      <c r="E446" s="14" t="s">
        <v>447</v>
      </c>
      <c r="F446" s="14" t="s">
        <v>447</v>
      </c>
      <c r="G446" s="14" t="s">
        <v>447</v>
      </c>
      <c r="I446" s="14" t="s">
        <v>447</v>
      </c>
    </row>
    <row r="447" spans="1:9" x14ac:dyDescent="0.25">
      <c r="A447" s="14" t="s">
        <v>1607</v>
      </c>
      <c r="B447" s="14" t="s">
        <v>1608</v>
      </c>
      <c r="C447" s="14" t="s">
        <v>1609</v>
      </c>
      <c r="D447" s="14" t="s">
        <v>373</v>
      </c>
      <c r="E447" s="14" t="s">
        <v>447</v>
      </c>
      <c r="F447" s="14" t="s">
        <v>447</v>
      </c>
      <c r="G447" s="14" t="s">
        <v>447</v>
      </c>
      <c r="I447" s="14" t="s">
        <v>447</v>
      </c>
    </row>
    <row r="448" spans="1:9" x14ac:dyDescent="0.25">
      <c r="A448" s="14" t="s">
        <v>1610</v>
      </c>
      <c r="B448" s="14" t="s">
        <v>1611</v>
      </c>
      <c r="C448" s="14" t="s">
        <v>1612</v>
      </c>
      <c r="D448" s="14" t="s">
        <v>373</v>
      </c>
      <c r="E448" s="14" t="s">
        <v>373</v>
      </c>
      <c r="F448" s="14" t="s">
        <v>373</v>
      </c>
      <c r="G448" s="14" t="s">
        <v>373</v>
      </c>
      <c r="I448" s="14" t="s">
        <v>373</v>
      </c>
    </row>
    <row r="449" spans="1:9" x14ac:dyDescent="0.25">
      <c r="A449" s="14" t="s">
        <v>1613</v>
      </c>
      <c r="B449" s="14" t="s">
        <v>1614</v>
      </c>
      <c r="C449" s="14" t="s">
        <v>1615</v>
      </c>
      <c r="D449" s="14" t="s">
        <v>373</v>
      </c>
      <c r="E449" s="14" t="s">
        <v>373</v>
      </c>
      <c r="F449" s="14" t="s">
        <v>373</v>
      </c>
      <c r="G449" s="14" t="s">
        <v>373</v>
      </c>
      <c r="I449" s="14" t="s">
        <v>373</v>
      </c>
    </row>
    <row r="450" spans="1:9" x14ac:dyDescent="0.25">
      <c r="A450" s="14" t="s">
        <v>1616</v>
      </c>
      <c r="B450" s="14" t="s">
        <v>1617</v>
      </c>
      <c r="C450" s="14" t="s">
        <v>1618</v>
      </c>
      <c r="D450" s="14" t="s">
        <v>373</v>
      </c>
      <c r="E450" s="14" t="s">
        <v>373</v>
      </c>
      <c r="F450" s="14" t="s">
        <v>373</v>
      </c>
      <c r="G450" s="14" t="s">
        <v>373</v>
      </c>
      <c r="I450" s="14" t="s">
        <v>373</v>
      </c>
    </row>
    <row r="451" spans="1:9" x14ac:dyDescent="0.25">
      <c r="A451" s="14" t="s">
        <v>1619</v>
      </c>
      <c r="B451" s="14" t="s">
        <v>1620</v>
      </c>
      <c r="C451" s="14" t="s">
        <v>1621</v>
      </c>
      <c r="D451" s="14" t="s">
        <v>373</v>
      </c>
      <c r="E451" s="14" t="s">
        <v>373</v>
      </c>
      <c r="F451" s="14" t="s">
        <v>373</v>
      </c>
      <c r="G451" s="14" t="s">
        <v>373</v>
      </c>
      <c r="I451" s="14" t="s">
        <v>373</v>
      </c>
    </row>
    <row r="452" spans="1:9" x14ac:dyDescent="0.25">
      <c r="A452" s="14" t="s">
        <v>1622</v>
      </c>
      <c r="B452" s="14" t="s">
        <v>1623</v>
      </c>
      <c r="C452" s="14" t="s">
        <v>1624</v>
      </c>
      <c r="D452" s="14" t="s">
        <v>373</v>
      </c>
      <c r="E452" s="14" t="s">
        <v>373</v>
      </c>
      <c r="F452" s="14" t="s">
        <v>373</v>
      </c>
      <c r="G452" s="14" t="s">
        <v>373</v>
      </c>
      <c r="I452" s="14" t="s">
        <v>373</v>
      </c>
    </row>
    <row r="453" spans="1:9" x14ac:dyDescent="0.25">
      <c r="A453" s="14" t="s">
        <v>1625</v>
      </c>
      <c r="B453" s="14" t="s">
        <v>1626</v>
      </c>
      <c r="C453" s="14" t="s">
        <v>1627</v>
      </c>
      <c r="D453" s="14" t="s">
        <v>373</v>
      </c>
      <c r="E453" s="14" t="s">
        <v>373</v>
      </c>
      <c r="F453" s="14" t="s">
        <v>373</v>
      </c>
      <c r="G453" s="14" t="s">
        <v>373</v>
      </c>
      <c r="I453" s="14" t="s">
        <v>373</v>
      </c>
    </row>
    <row r="454" spans="1:9" x14ac:dyDescent="0.25">
      <c r="A454" s="14" t="s">
        <v>1628</v>
      </c>
      <c r="B454" s="14" t="s">
        <v>1629</v>
      </c>
      <c r="C454" s="14" t="s">
        <v>1630</v>
      </c>
      <c r="D454" s="14" t="s">
        <v>373</v>
      </c>
      <c r="E454" s="14" t="s">
        <v>373</v>
      </c>
      <c r="F454" s="14" t="s">
        <v>373</v>
      </c>
      <c r="G454" s="14" t="s">
        <v>373</v>
      </c>
      <c r="I454" s="14" t="s">
        <v>373</v>
      </c>
    </row>
    <row r="455" spans="1:9" x14ac:dyDescent="0.25">
      <c r="A455" s="14" t="s">
        <v>1631</v>
      </c>
      <c r="B455" s="14" t="s">
        <v>1632</v>
      </c>
      <c r="C455" s="14" t="s">
        <v>1633</v>
      </c>
      <c r="D455" s="14" t="s">
        <v>373</v>
      </c>
      <c r="E455" s="14" t="s">
        <v>373</v>
      </c>
      <c r="F455" s="14" t="s">
        <v>373</v>
      </c>
      <c r="G455" s="14" t="s">
        <v>373</v>
      </c>
      <c r="I455" s="14" t="s">
        <v>373</v>
      </c>
    </row>
    <row r="456" spans="1:9" x14ac:dyDescent="0.25">
      <c r="A456" s="14" t="s">
        <v>1634</v>
      </c>
      <c r="B456" s="14" t="s">
        <v>1635</v>
      </c>
      <c r="C456" s="14" t="s">
        <v>1636</v>
      </c>
      <c r="D456" s="14" t="s">
        <v>373</v>
      </c>
      <c r="E456" s="14" t="s">
        <v>373</v>
      </c>
      <c r="F456" s="14" t="s">
        <v>373</v>
      </c>
      <c r="G456" s="14" t="s">
        <v>373</v>
      </c>
      <c r="I456" s="14" t="s">
        <v>373</v>
      </c>
    </row>
    <row r="457" spans="1:9" x14ac:dyDescent="0.25">
      <c r="A457" s="14" t="s">
        <v>1637</v>
      </c>
      <c r="B457" s="14" t="s">
        <v>1638</v>
      </c>
      <c r="C457" s="14" t="s">
        <v>1639</v>
      </c>
      <c r="D457" s="14" t="s">
        <v>373</v>
      </c>
      <c r="E457" s="14" t="s">
        <v>373</v>
      </c>
      <c r="F457" s="14" t="s">
        <v>373</v>
      </c>
      <c r="G457" s="14" t="s">
        <v>373</v>
      </c>
      <c r="I457" s="14" t="s">
        <v>373</v>
      </c>
    </row>
    <row r="458" spans="1:9" x14ac:dyDescent="0.25">
      <c r="A458" s="15" t="s">
        <v>1640</v>
      </c>
      <c r="B458" s="14" t="s">
        <v>1641</v>
      </c>
      <c r="C458" s="14" t="s">
        <v>1642</v>
      </c>
      <c r="D458" s="14" t="s">
        <v>276</v>
      </c>
      <c r="E458" s="14" t="s">
        <v>276</v>
      </c>
      <c r="F458" s="14" t="s">
        <v>276</v>
      </c>
      <c r="G458" s="14" t="s">
        <v>277</v>
      </c>
      <c r="H458" s="14" t="s">
        <v>278</v>
      </c>
      <c r="I458" s="14" t="s">
        <v>277</v>
      </c>
    </row>
    <row r="459" spans="1:9" x14ac:dyDescent="0.25">
      <c r="A459" s="15" t="s">
        <v>262</v>
      </c>
      <c r="B459" s="14" t="s">
        <v>1643</v>
      </c>
      <c r="C459" s="14" t="s">
        <v>1644</v>
      </c>
      <c r="D459" s="14" t="s">
        <v>373</v>
      </c>
      <c r="E459" s="14" t="s">
        <v>447</v>
      </c>
      <c r="F459" s="14" t="s">
        <v>447</v>
      </c>
      <c r="G459" s="14" t="s">
        <v>447</v>
      </c>
      <c r="I459" s="14" t="s">
        <v>447</v>
      </c>
    </row>
    <row r="460" spans="1:9" x14ac:dyDescent="0.25">
      <c r="A460" s="15" t="s">
        <v>1645</v>
      </c>
      <c r="B460" s="14" t="s">
        <v>1646</v>
      </c>
      <c r="C460" s="14" t="s">
        <v>1647</v>
      </c>
      <c r="D460" s="14" t="s">
        <v>373</v>
      </c>
      <c r="E460" s="14" t="s">
        <v>447</v>
      </c>
      <c r="F460" s="14" t="s">
        <v>447</v>
      </c>
      <c r="G460" s="14" t="s">
        <v>447</v>
      </c>
      <c r="I460" s="14" t="s">
        <v>447</v>
      </c>
    </row>
    <row r="461" spans="1:9" x14ac:dyDescent="0.25">
      <c r="A461" s="15" t="s">
        <v>1648</v>
      </c>
      <c r="B461" s="14" t="s">
        <v>1649</v>
      </c>
      <c r="C461" s="14" t="s">
        <v>1650</v>
      </c>
      <c r="D461" s="14" t="s">
        <v>734</v>
      </c>
      <c r="E461" s="14" t="s">
        <v>734</v>
      </c>
      <c r="F461" s="14" t="s">
        <v>734</v>
      </c>
      <c r="G461" s="14" t="s">
        <v>1651</v>
      </c>
      <c r="I461" s="14" t="s">
        <v>1651</v>
      </c>
    </row>
    <row r="462" spans="1:9" x14ac:dyDescent="0.25">
      <c r="A462" s="15" t="s">
        <v>1652</v>
      </c>
      <c r="B462" s="14" t="s">
        <v>1653</v>
      </c>
      <c r="C462" s="14" t="s">
        <v>1654</v>
      </c>
      <c r="D462" s="14" t="s">
        <v>276</v>
      </c>
      <c r="E462" s="14" t="s">
        <v>276</v>
      </c>
      <c r="F462" s="14" t="s">
        <v>276</v>
      </c>
      <c r="G462" s="14" t="s">
        <v>443</v>
      </c>
      <c r="I462" s="14" t="s">
        <v>443</v>
      </c>
    </row>
    <row r="463" spans="1:9" x14ac:dyDescent="0.25">
      <c r="A463" s="15" t="s">
        <v>1655</v>
      </c>
      <c r="B463" s="14" t="s">
        <v>1656</v>
      </c>
      <c r="C463" s="14" t="s">
        <v>1657</v>
      </c>
      <c r="D463" s="14" t="s">
        <v>373</v>
      </c>
      <c r="E463" s="14" t="s">
        <v>373</v>
      </c>
      <c r="F463" s="14" t="s">
        <v>373</v>
      </c>
      <c r="G463" s="14" t="s">
        <v>373</v>
      </c>
      <c r="I463" s="14" t="s">
        <v>373</v>
      </c>
    </row>
    <row r="464" spans="1:9" x14ac:dyDescent="0.25">
      <c r="A464" s="15" t="s">
        <v>1658</v>
      </c>
      <c r="B464" s="14" t="s">
        <v>1659</v>
      </c>
      <c r="C464" s="14" t="s">
        <v>1660</v>
      </c>
      <c r="D464" s="14" t="s">
        <v>373</v>
      </c>
      <c r="E464" s="14" t="s">
        <v>373</v>
      </c>
      <c r="F464" s="14" t="s">
        <v>373</v>
      </c>
      <c r="G464" s="14" t="s">
        <v>373</v>
      </c>
      <c r="I464" s="14" t="s">
        <v>373</v>
      </c>
    </row>
    <row r="465" spans="1:9" x14ac:dyDescent="0.25">
      <c r="A465" s="15" t="s">
        <v>1661</v>
      </c>
      <c r="B465" s="14" t="s">
        <v>1662</v>
      </c>
      <c r="C465" s="14" t="s">
        <v>1663</v>
      </c>
      <c r="D465" s="14" t="s">
        <v>373</v>
      </c>
      <c r="E465" s="14" t="s">
        <v>373</v>
      </c>
      <c r="F465" s="14" t="s">
        <v>373</v>
      </c>
      <c r="G465" s="14" t="s">
        <v>373</v>
      </c>
      <c r="I465" s="14" t="s">
        <v>373</v>
      </c>
    </row>
    <row r="466" spans="1:9" x14ac:dyDescent="0.25">
      <c r="A466" s="15" t="s">
        <v>1664</v>
      </c>
      <c r="B466" s="14" t="s">
        <v>1665</v>
      </c>
      <c r="C466" s="14" t="s">
        <v>1666</v>
      </c>
      <c r="D466" s="14" t="s">
        <v>373</v>
      </c>
      <c r="E466" s="14" t="s">
        <v>373</v>
      </c>
      <c r="F466" s="14" t="s">
        <v>373</v>
      </c>
      <c r="G466" s="14" t="s">
        <v>373</v>
      </c>
      <c r="I466" s="14" t="s">
        <v>373</v>
      </c>
    </row>
    <row r="467" spans="1:9" x14ac:dyDescent="0.25">
      <c r="A467" s="15" t="s">
        <v>1667</v>
      </c>
      <c r="B467" s="14" t="s">
        <v>1668</v>
      </c>
      <c r="C467" s="14" t="s">
        <v>1669</v>
      </c>
      <c r="D467" s="14" t="s">
        <v>373</v>
      </c>
      <c r="E467" s="14" t="s">
        <v>373</v>
      </c>
      <c r="F467" s="14" t="s">
        <v>373</v>
      </c>
      <c r="G467" s="14" t="s">
        <v>373</v>
      </c>
      <c r="I467" s="14" t="s">
        <v>373</v>
      </c>
    </row>
    <row r="468" spans="1:9" x14ac:dyDescent="0.25">
      <c r="A468" s="14" t="s">
        <v>1670</v>
      </c>
      <c r="B468" s="14" t="s">
        <v>1671</v>
      </c>
      <c r="C468" s="14" t="s">
        <v>1672</v>
      </c>
      <c r="D468" s="14" t="s">
        <v>373</v>
      </c>
      <c r="E468" s="14" t="s">
        <v>447</v>
      </c>
      <c r="F468" s="14" t="s">
        <v>447</v>
      </c>
      <c r="G468" s="14" t="s">
        <v>447</v>
      </c>
      <c r="I468" s="14" t="s">
        <v>447</v>
      </c>
    </row>
    <row r="469" spans="1:9" x14ac:dyDescent="0.25">
      <c r="A469" s="14" t="s">
        <v>1673</v>
      </c>
      <c r="B469" s="14" t="s">
        <v>1674</v>
      </c>
      <c r="C469" s="14" t="s">
        <v>1675</v>
      </c>
      <c r="D469" s="14" t="s">
        <v>325</v>
      </c>
      <c r="E469" s="14" t="s">
        <v>325</v>
      </c>
      <c r="F469" s="14" t="s">
        <v>325</v>
      </c>
      <c r="G469" s="14" t="s">
        <v>326</v>
      </c>
      <c r="I469" s="14" t="s">
        <v>326</v>
      </c>
    </row>
    <row r="470" spans="1:9" x14ac:dyDescent="0.25">
      <c r="A470" s="14" t="s">
        <v>1676</v>
      </c>
      <c r="B470" s="14" t="s">
        <v>1677</v>
      </c>
      <c r="C470" s="14" t="s">
        <v>1678</v>
      </c>
      <c r="D470" s="14" t="s">
        <v>373</v>
      </c>
      <c r="E470" s="14" t="s">
        <v>373</v>
      </c>
      <c r="F470" s="14" t="s">
        <v>373</v>
      </c>
      <c r="G470" s="14" t="s">
        <v>373</v>
      </c>
      <c r="I470" s="14" t="s">
        <v>373</v>
      </c>
    </row>
    <row r="471" spans="1:9" x14ac:dyDescent="0.25">
      <c r="A471" s="14" t="s">
        <v>1679</v>
      </c>
      <c r="B471" s="14" t="s">
        <v>458</v>
      </c>
      <c r="C471" s="14" t="s">
        <v>1680</v>
      </c>
      <c r="D471" s="14" t="s">
        <v>373</v>
      </c>
      <c r="E471" s="14" t="s">
        <v>373</v>
      </c>
      <c r="F471" s="14" t="s">
        <v>373</v>
      </c>
      <c r="G471" s="14" t="s">
        <v>447</v>
      </c>
      <c r="I471" s="14" t="s">
        <v>447</v>
      </c>
    </row>
    <row r="472" spans="1:9" x14ac:dyDescent="0.25">
      <c r="A472" s="14" t="s">
        <v>1681</v>
      </c>
      <c r="B472" s="14" t="s">
        <v>1682</v>
      </c>
      <c r="C472" s="14" t="s">
        <v>1683</v>
      </c>
      <c r="D472" s="14" t="s">
        <v>373</v>
      </c>
      <c r="E472" s="14" t="s">
        <v>373</v>
      </c>
      <c r="F472" s="14" t="s">
        <v>373</v>
      </c>
      <c r="G472" s="14" t="s">
        <v>439</v>
      </c>
      <c r="I472" s="14" t="s">
        <v>439</v>
      </c>
    </row>
    <row r="473" spans="1:9" x14ac:dyDescent="0.25">
      <c r="A473" s="14" t="s">
        <v>1684</v>
      </c>
      <c r="B473" s="14" t="s">
        <v>1685</v>
      </c>
      <c r="C473" s="14" t="s">
        <v>1686</v>
      </c>
      <c r="D473" s="14" t="s">
        <v>373</v>
      </c>
      <c r="E473" s="14" t="s">
        <v>373</v>
      </c>
      <c r="F473" s="14" t="s">
        <v>373</v>
      </c>
      <c r="G473" s="14" t="s">
        <v>1687</v>
      </c>
      <c r="I473" s="14" t="s">
        <v>1687</v>
      </c>
    </row>
    <row r="474" spans="1:9" x14ac:dyDescent="0.25">
      <c r="A474" s="14" t="s">
        <v>1688</v>
      </c>
      <c r="B474" s="14" t="s">
        <v>1689</v>
      </c>
      <c r="C474" s="14" t="s">
        <v>1690</v>
      </c>
      <c r="D474" s="14" t="s">
        <v>373</v>
      </c>
      <c r="E474" s="14" t="s">
        <v>373</v>
      </c>
      <c r="F474" s="14" t="s">
        <v>373</v>
      </c>
      <c r="G474" s="14" t="s">
        <v>1691</v>
      </c>
      <c r="I474" s="14" t="s">
        <v>1691</v>
      </c>
    </row>
    <row r="475" spans="1:9" x14ac:dyDescent="0.25">
      <c r="A475" s="14" t="s">
        <v>1692</v>
      </c>
      <c r="B475" s="14" t="s">
        <v>1693</v>
      </c>
      <c r="C475" s="14" t="s">
        <v>1694</v>
      </c>
      <c r="D475" s="14" t="s">
        <v>373</v>
      </c>
      <c r="E475" s="14" t="s">
        <v>373</v>
      </c>
      <c r="F475" s="14" t="s">
        <v>373</v>
      </c>
      <c r="G475" s="14" t="s">
        <v>447</v>
      </c>
      <c r="I475" s="14" t="s">
        <v>447</v>
      </c>
    </row>
    <row r="476" spans="1:9" x14ac:dyDescent="0.25">
      <c r="A476" s="14" t="s">
        <v>1695</v>
      </c>
      <c r="B476" s="14" t="s">
        <v>1696</v>
      </c>
      <c r="C476" s="14" t="s">
        <v>1697</v>
      </c>
      <c r="D476" s="14" t="s">
        <v>373</v>
      </c>
      <c r="E476" s="14" t="s">
        <v>447</v>
      </c>
      <c r="F476" s="14" t="s">
        <v>447</v>
      </c>
      <c r="G476" s="14" t="s">
        <v>447</v>
      </c>
      <c r="I476" s="14" t="s">
        <v>447</v>
      </c>
    </row>
    <row r="477" spans="1:9" x14ac:dyDescent="0.25">
      <c r="A477" s="14" t="s">
        <v>1698</v>
      </c>
      <c r="B477" s="14" t="s">
        <v>1699</v>
      </c>
      <c r="C477" s="14" t="s">
        <v>1700</v>
      </c>
      <c r="D477" s="14" t="s">
        <v>373</v>
      </c>
      <c r="E477" s="14" t="s">
        <v>373</v>
      </c>
      <c r="F477" s="14" t="s">
        <v>373</v>
      </c>
      <c r="G477" s="14" t="s">
        <v>373</v>
      </c>
      <c r="I477" s="14" t="s">
        <v>373</v>
      </c>
    </row>
    <row r="478" spans="1:9" x14ac:dyDescent="0.25">
      <c r="A478" s="14" t="s">
        <v>1701</v>
      </c>
      <c r="B478" s="14" t="s">
        <v>1702</v>
      </c>
      <c r="C478" s="14" t="s">
        <v>1703</v>
      </c>
      <c r="D478" s="14" t="s">
        <v>373</v>
      </c>
      <c r="E478" s="14" t="s">
        <v>373</v>
      </c>
      <c r="F478" s="14" t="s">
        <v>373</v>
      </c>
      <c r="G478" s="14" t="s">
        <v>373</v>
      </c>
      <c r="I478" s="14" t="s">
        <v>373</v>
      </c>
    </row>
    <row r="479" spans="1:9" x14ac:dyDescent="0.25">
      <c r="A479" s="14" t="s">
        <v>1704</v>
      </c>
      <c r="B479" s="14" t="s">
        <v>1705</v>
      </c>
      <c r="C479" s="14" t="s">
        <v>1706</v>
      </c>
      <c r="D479" s="14" t="s">
        <v>373</v>
      </c>
      <c r="E479" s="14" t="s">
        <v>373</v>
      </c>
      <c r="F479" s="14" t="s">
        <v>373</v>
      </c>
      <c r="G479" s="14" t="s">
        <v>373</v>
      </c>
      <c r="I479" s="14" t="s">
        <v>373</v>
      </c>
    </row>
    <row r="480" spans="1:9" x14ac:dyDescent="0.25">
      <c r="A480" s="14" t="s">
        <v>1707</v>
      </c>
      <c r="B480" s="14" t="s">
        <v>1708</v>
      </c>
      <c r="C480" s="14" t="s">
        <v>1709</v>
      </c>
      <c r="D480" s="14" t="s">
        <v>373</v>
      </c>
      <c r="E480" s="14" t="s">
        <v>373</v>
      </c>
      <c r="F480" s="14" t="s">
        <v>373</v>
      </c>
      <c r="G480" s="14" t="s">
        <v>373</v>
      </c>
      <c r="I480" s="14" t="s">
        <v>373</v>
      </c>
    </row>
    <row r="481" spans="1:9" x14ac:dyDescent="0.25">
      <c r="A481" s="14" t="s">
        <v>1710</v>
      </c>
      <c r="B481" s="14" t="s">
        <v>1711</v>
      </c>
      <c r="C481" s="14" t="s">
        <v>1712</v>
      </c>
      <c r="D481" s="14" t="s">
        <v>373</v>
      </c>
      <c r="E481" s="14" t="s">
        <v>373</v>
      </c>
      <c r="F481" s="14" t="s">
        <v>373</v>
      </c>
      <c r="G481" s="14" t="s">
        <v>373</v>
      </c>
      <c r="I481" s="14" t="s">
        <v>373</v>
      </c>
    </row>
    <row r="482" spans="1:9" x14ac:dyDescent="0.25">
      <c r="A482" s="14" t="s">
        <v>1713</v>
      </c>
      <c r="B482" s="14" t="s">
        <v>1714</v>
      </c>
      <c r="C482" s="14" t="s">
        <v>1715</v>
      </c>
      <c r="D482" s="14" t="s">
        <v>373</v>
      </c>
      <c r="E482" s="14" t="s">
        <v>373</v>
      </c>
      <c r="F482" s="14" t="s">
        <v>373</v>
      </c>
      <c r="G482" s="14" t="s">
        <v>373</v>
      </c>
      <c r="I482" s="14" t="s">
        <v>373</v>
      </c>
    </row>
    <row r="483" spans="1:9" x14ac:dyDescent="0.25">
      <c r="A483" s="14" t="s">
        <v>1716</v>
      </c>
      <c r="B483" s="14" t="s">
        <v>1717</v>
      </c>
      <c r="C483" s="14" t="s">
        <v>1718</v>
      </c>
      <c r="D483" s="14" t="s">
        <v>373</v>
      </c>
      <c r="E483" s="14" t="s">
        <v>373</v>
      </c>
      <c r="F483" s="14" t="s">
        <v>373</v>
      </c>
      <c r="G483" s="14" t="s">
        <v>373</v>
      </c>
      <c r="I483" s="14" t="s">
        <v>373</v>
      </c>
    </row>
    <row r="484" spans="1:9" x14ac:dyDescent="0.25">
      <c r="A484" s="14" t="s">
        <v>1719</v>
      </c>
      <c r="B484" s="14" t="s">
        <v>1720</v>
      </c>
      <c r="C484" s="14" t="s">
        <v>1721</v>
      </c>
      <c r="D484" s="14" t="s">
        <v>373</v>
      </c>
      <c r="E484" s="14" t="s">
        <v>373</v>
      </c>
      <c r="F484" s="14" t="s">
        <v>373</v>
      </c>
      <c r="G484" s="14" t="s">
        <v>373</v>
      </c>
      <c r="I484" s="14" t="s">
        <v>373</v>
      </c>
    </row>
    <row r="485" spans="1:9" x14ac:dyDescent="0.25">
      <c r="A485" s="14" t="s">
        <v>1722</v>
      </c>
      <c r="B485" s="14" t="s">
        <v>1723</v>
      </c>
      <c r="C485" s="14" t="s">
        <v>1724</v>
      </c>
      <c r="D485" s="14" t="s">
        <v>373</v>
      </c>
      <c r="E485" s="14" t="s">
        <v>373</v>
      </c>
      <c r="F485" s="14" t="s">
        <v>373</v>
      </c>
      <c r="G485" s="14" t="s">
        <v>373</v>
      </c>
      <c r="I485" s="14" t="s">
        <v>373</v>
      </c>
    </row>
    <row r="486" spans="1:9" x14ac:dyDescent="0.25">
      <c r="A486" s="14" t="s">
        <v>1725</v>
      </c>
      <c r="B486" s="14" t="s">
        <v>1726</v>
      </c>
      <c r="C486" s="14" t="s">
        <v>1727</v>
      </c>
      <c r="D486" s="14" t="s">
        <v>373</v>
      </c>
      <c r="E486" s="14" t="s">
        <v>373</v>
      </c>
      <c r="F486" s="14" t="s">
        <v>373</v>
      </c>
      <c r="G486" s="14" t="s">
        <v>373</v>
      </c>
      <c r="I486" s="14" t="s">
        <v>373</v>
      </c>
    </row>
    <row r="487" spans="1:9" x14ac:dyDescent="0.25">
      <c r="A487" s="14" t="s">
        <v>1728</v>
      </c>
      <c r="B487" s="14" t="s">
        <v>1729</v>
      </c>
      <c r="C487" s="14" t="s">
        <v>1730</v>
      </c>
      <c r="D487" s="14" t="s">
        <v>373</v>
      </c>
      <c r="E487" s="14" t="s">
        <v>373</v>
      </c>
      <c r="F487" s="14" t="s">
        <v>373</v>
      </c>
      <c r="G487" s="14" t="s">
        <v>373</v>
      </c>
      <c r="I487" s="14" t="s">
        <v>373</v>
      </c>
    </row>
    <row r="488" spans="1:9" x14ac:dyDescent="0.25">
      <c r="A488" s="14" t="s">
        <v>1731</v>
      </c>
      <c r="B488" s="14" t="s">
        <v>1732</v>
      </c>
      <c r="C488" s="14" t="s">
        <v>1733</v>
      </c>
      <c r="D488" s="14" t="s">
        <v>373</v>
      </c>
      <c r="E488" s="14" t="s">
        <v>373</v>
      </c>
      <c r="F488" s="14" t="s">
        <v>373</v>
      </c>
      <c r="G488" s="14" t="s">
        <v>373</v>
      </c>
      <c r="I488" s="14" t="s">
        <v>373</v>
      </c>
    </row>
    <row r="489" spans="1:9" x14ac:dyDescent="0.25">
      <c r="A489" s="14" t="s">
        <v>1734</v>
      </c>
      <c r="B489" s="14" t="s">
        <v>1735</v>
      </c>
      <c r="C489" s="14" t="s">
        <v>1736</v>
      </c>
      <c r="D489" s="14" t="s">
        <v>373</v>
      </c>
      <c r="E489" s="14" t="s">
        <v>373</v>
      </c>
      <c r="F489" s="14" t="s">
        <v>373</v>
      </c>
      <c r="G489" s="14" t="s">
        <v>373</v>
      </c>
      <c r="I489" s="14" t="s">
        <v>373</v>
      </c>
    </row>
    <row r="490" spans="1:9" x14ac:dyDescent="0.25">
      <c r="A490" s="14" t="s">
        <v>1737</v>
      </c>
      <c r="B490" s="14" t="s">
        <v>1738</v>
      </c>
      <c r="C490" s="14" t="s">
        <v>1739</v>
      </c>
      <c r="D490" s="14" t="s">
        <v>373</v>
      </c>
      <c r="E490" s="14" t="s">
        <v>373</v>
      </c>
      <c r="F490" s="14" t="s">
        <v>373</v>
      </c>
      <c r="G490" s="14" t="s">
        <v>373</v>
      </c>
      <c r="I490" s="14" t="s">
        <v>373</v>
      </c>
    </row>
    <row r="491" spans="1:9" x14ac:dyDescent="0.25">
      <c r="A491" s="14" t="s">
        <v>1740</v>
      </c>
      <c r="B491" s="14" t="s">
        <v>1741</v>
      </c>
      <c r="C491" s="14" t="s">
        <v>1742</v>
      </c>
      <c r="D491" s="14" t="s">
        <v>373</v>
      </c>
      <c r="E491" s="14" t="s">
        <v>373</v>
      </c>
      <c r="F491" s="14" t="s">
        <v>373</v>
      </c>
      <c r="G491" s="14" t="s">
        <v>373</v>
      </c>
      <c r="I491" s="14" t="s">
        <v>373</v>
      </c>
    </row>
    <row r="492" spans="1:9" x14ac:dyDescent="0.25">
      <c r="A492" s="14" t="s">
        <v>1743</v>
      </c>
      <c r="B492" s="14" t="s">
        <v>1744</v>
      </c>
      <c r="C492" s="14" t="s">
        <v>1745</v>
      </c>
      <c r="D492" s="14" t="s">
        <v>373</v>
      </c>
      <c r="E492" s="14" t="s">
        <v>373</v>
      </c>
      <c r="F492" s="14" t="s">
        <v>373</v>
      </c>
      <c r="G492" s="14" t="s">
        <v>373</v>
      </c>
      <c r="I492" s="14" t="s">
        <v>373</v>
      </c>
    </row>
    <row r="493" spans="1:9" x14ac:dyDescent="0.25">
      <c r="A493" s="14" t="s">
        <v>1746</v>
      </c>
      <c r="B493" s="14" t="s">
        <v>1747</v>
      </c>
      <c r="C493" s="14" t="s">
        <v>1748</v>
      </c>
      <c r="D493" s="14" t="s">
        <v>373</v>
      </c>
      <c r="E493" s="14" t="s">
        <v>373</v>
      </c>
      <c r="F493" s="14" t="s">
        <v>373</v>
      </c>
      <c r="G493" s="14" t="s">
        <v>373</v>
      </c>
      <c r="I493" s="14" t="s">
        <v>373</v>
      </c>
    </row>
    <row r="494" spans="1:9" x14ac:dyDescent="0.25">
      <c r="A494" s="14" t="s">
        <v>1749</v>
      </c>
      <c r="B494" s="14" t="s">
        <v>1750</v>
      </c>
      <c r="C494" s="14" t="s">
        <v>1751</v>
      </c>
      <c r="D494" s="14" t="s">
        <v>373</v>
      </c>
      <c r="E494" s="14" t="s">
        <v>373</v>
      </c>
      <c r="F494" s="14" t="s">
        <v>373</v>
      </c>
      <c r="G494" s="14" t="s">
        <v>373</v>
      </c>
      <c r="I494" s="14" t="s">
        <v>373</v>
      </c>
    </row>
    <row r="495" spans="1:9" x14ac:dyDescent="0.25">
      <c r="A495" s="14" t="s">
        <v>1752</v>
      </c>
      <c r="B495" s="14" t="s">
        <v>1753</v>
      </c>
      <c r="C495" s="14" t="s">
        <v>1754</v>
      </c>
      <c r="D495" s="14" t="s">
        <v>373</v>
      </c>
      <c r="E495" s="14" t="s">
        <v>373</v>
      </c>
      <c r="F495" s="14" t="s">
        <v>373</v>
      </c>
      <c r="G495" s="14" t="s">
        <v>373</v>
      </c>
      <c r="I495" s="14" t="s">
        <v>373</v>
      </c>
    </row>
    <row r="496" spans="1:9" x14ac:dyDescent="0.25">
      <c r="A496" s="14" t="s">
        <v>1755</v>
      </c>
      <c r="B496" s="14" t="s">
        <v>1756</v>
      </c>
      <c r="C496" s="14" t="s">
        <v>1757</v>
      </c>
      <c r="D496" s="14" t="s">
        <v>373</v>
      </c>
      <c r="E496" s="14" t="s">
        <v>373</v>
      </c>
      <c r="F496" s="14" t="s">
        <v>373</v>
      </c>
      <c r="G496" s="14" t="s">
        <v>373</v>
      </c>
      <c r="I496" s="14" t="s">
        <v>373</v>
      </c>
    </row>
    <row r="497" spans="1:9" x14ac:dyDescent="0.25">
      <c r="A497" s="14" t="s">
        <v>1758</v>
      </c>
      <c r="B497" s="14" t="s">
        <v>1759</v>
      </c>
      <c r="C497" s="14" t="s">
        <v>1760</v>
      </c>
      <c r="D497" s="14" t="s">
        <v>373</v>
      </c>
      <c r="E497" s="14" t="s">
        <v>373</v>
      </c>
      <c r="F497" s="14" t="s">
        <v>373</v>
      </c>
      <c r="G497" s="14" t="s">
        <v>373</v>
      </c>
      <c r="I497" s="14" t="s">
        <v>373</v>
      </c>
    </row>
    <row r="498" spans="1:9" x14ac:dyDescent="0.25">
      <c r="A498" s="14" t="s">
        <v>1761</v>
      </c>
      <c r="B498" s="14" t="s">
        <v>1762</v>
      </c>
      <c r="C498" s="14" t="s">
        <v>1763</v>
      </c>
      <c r="D498" s="14" t="s">
        <v>373</v>
      </c>
      <c r="E498" s="14" t="s">
        <v>373</v>
      </c>
      <c r="F498" s="14" t="s">
        <v>373</v>
      </c>
      <c r="G498" s="14" t="s">
        <v>373</v>
      </c>
      <c r="I498" s="14" t="s">
        <v>373</v>
      </c>
    </row>
    <row r="499" spans="1:9" x14ac:dyDescent="0.25">
      <c r="A499" s="14" t="s">
        <v>1764</v>
      </c>
      <c r="B499" s="14" t="s">
        <v>1765</v>
      </c>
      <c r="C499" s="14" t="s">
        <v>1766</v>
      </c>
      <c r="D499" s="14" t="s">
        <v>373</v>
      </c>
      <c r="E499" s="14" t="s">
        <v>373</v>
      </c>
      <c r="F499" s="14" t="s">
        <v>373</v>
      </c>
      <c r="G499" s="14" t="s">
        <v>373</v>
      </c>
      <c r="I499" s="14" t="s">
        <v>373</v>
      </c>
    </row>
    <row r="500" spans="1:9" x14ac:dyDescent="0.25">
      <c r="A500" s="14" t="s">
        <v>1767</v>
      </c>
      <c r="B500" s="14" t="s">
        <v>1768</v>
      </c>
      <c r="C500" s="14" t="s">
        <v>1769</v>
      </c>
      <c r="D500" s="14" t="s">
        <v>373</v>
      </c>
      <c r="E500" s="14" t="s">
        <v>373</v>
      </c>
      <c r="F500" s="14" t="s">
        <v>373</v>
      </c>
      <c r="G500" s="14" t="s">
        <v>373</v>
      </c>
      <c r="I500" s="14" t="s">
        <v>373</v>
      </c>
    </row>
    <row r="501" spans="1:9" x14ac:dyDescent="0.25">
      <c r="A501" s="14" t="s">
        <v>1770</v>
      </c>
      <c r="B501" s="14" t="s">
        <v>1771</v>
      </c>
      <c r="C501" s="14" t="s">
        <v>1772</v>
      </c>
      <c r="D501" s="14" t="s">
        <v>373</v>
      </c>
      <c r="E501" s="14" t="s">
        <v>373</v>
      </c>
      <c r="F501" s="14" t="s">
        <v>373</v>
      </c>
      <c r="G501" s="14" t="s">
        <v>373</v>
      </c>
      <c r="I501" s="14" t="s">
        <v>373</v>
      </c>
    </row>
    <row r="502" spans="1:9" x14ac:dyDescent="0.25">
      <c r="A502" s="14" t="s">
        <v>1773</v>
      </c>
      <c r="B502" s="14" t="s">
        <v>1774</v>
      </c>
      <c r="C502" s="14" t="s">
        <v>1775</v>
      </c>
      <c r="D502" s="14" t="s">
        <v>373</v>
      </c>
      <c r="E502" s="14" t="s">
        <v>373</v>
      </c>
      <c r="F502" s="14" t="s">
        <v>373</v>
      </c>
      <c r="G502" s="14" t="s">
        <v>373</v>
      </c>
      <c r="I502" s="14" t="s">
        <v>373</v>
      </c>
    </row>
    <row r="503" spans="1:9" x14ac:dyDescent="0.25">
      <c r="A503" s="14" t="s">
        <v>1776</v>
      </c>
      <c r="B503" s="14" t="s">
        <v>1777</v>
      </c>
      <c r="C503" s="14" t="s">
        <v>1778</v>
      </c>
      <c r="D503" s="14" t="s">
        <v>373</v>
      </c>
      <c r="E503" s="14" t="s">
        <v>373</v>
      </c>
      <c r="F503" s="14" t="s">
        <v>373</v>
      </c>
      <c r="G503" s="14" t="s">
        <v>373</v>
      </c>
      <c r="I503" s="14" t="s">
        <v>373</v>
      </c>
    </row>
    <row r="504" spans="1:9" x14ac:dyDescent="0.25">
      <c r="A504" s="14" t="s">
        <v>1779</v>
      </c>
      <c r="B504" s="14" t="s">
        <v>1780</v>
      </c>
      <c r="C504" s="14" t="s">
        <v>1781</v>
      </c>
      <c r="D504" s="14" t="s">
        <v>373</v>
      </c>
      <c r="E504" s="14" t="s">
        <v>373</v>
      </c>
      <c r="F504" s="14" t="s">
        <v>373</v>
      </c>
      <c r="G504" s="14" t="s">
        <v>373</v>
      </c>
      <c r="I504" s="14" t="s">
        <v>373</v>
      </c>
    </row>
    <row r="505" spans="1:9" x14ac:dyDescent="0.25">
      <c r="A505" s="14" t="s">
        <v>1782</v>
      </c>
      <c r="B505" s="14" t="s">
        <v>1783</v>
      </c>
      <c r="C505" s="14" t="s">
        <v>1784</v>
      </c>
      <c r="D505" s="14" t="s">
        <v>373</v>
      </c>
      <c r="E505" s="14" t="s">
        <v>373</v>
      </c>
      <c r="F505" s="14" t="s">
        <v>373</v>
      </c>
      <c r="G505" s="14" t="s">
        <v>373</v>
      </c>
      <c r="I505" s="14" t="s">
        <v>373</v>
      </c>
    </row>
    <row r="506" spans="1:9" x14ac:dyDescent="0.25">
      <c r="A506" s="14" t="s">
        <v>1785</v>
      </c>
      <c r="B506" s="14" t="s">
        <v>1786</v>
      </c>
      <c r="C506" s="14" t="s">
        <v>1787</v>
      </c>
      <c r="D506" s="14" t="s">
        <v>373</v>
      </c>
      <c r="E506" s="14" t="s">
        <v>373</v>
      </c>
      <c r="F506" s="14" t="s">
        <v>373</v>
      </c>
      <c r="G506" s="14" t="s">
        <v>373</v>
      </c>
      <c r="I506" s="14" t="s">
        <v>373</v>
      </c>
    </row>
    <row r="507" spans="1:9" x14ac:dyDescent="0.25">
      <c r="A507" s="14" t="s">
        <v>1788</v>
      </c>
      <c r="B507" s="14" t="s">
        <v>1789</v>
      </c>
      <c r="C507" s="14" t="s">
        <v>1790</v>
      </c>
      <c r="D507" s="14" t="s">
        <v>373</v>
      </c>
      <c r="E507" s="14" t="s">
        <v>373</v>
      </c>
      <c r="F507" s="14" t="s">
        <v>373</v>
      </c>
      <c r="G507" s="14" t="s">
        <v>373</v>
      </c>
      <c r="I507" s="14" t="s">
        <v>373</v>
      </c>
    </row>
    <row r="508" spans="1:9" x14ac:dyDescent="0.25">
      <c r="A508" s="14" t="s">
        <v>1791</v>
      </c>
      <c r="B508" s="14" t="s">
        <v>1792</v>
      </c>
      <c r="C508" s="14" t="s">
        <v>1793</v>
      </c>
      <c r="D508" s="14" t="s">
        <v>373</v>
      </c>
      <c r="E508" s="14" t="s">
        <v>373</v>
      </c>
      <c r="F508" s="14" t="s">
        <v>373</v>
      </c>
      <c r="G508" s="14" t="s">
        <v>373</v>
      </c>
      <c r="I508" s="14" t="s">
        <v>373</v>
      </c>
    </row>
    <row r="509" spans="1:9" x14ac:dyDescent="0.25">
      <c r="A509" s="14" t="s">
        <v>1794</v>
      </c>
      <c r="B509" s="14" t="s">
        <v>1795</v>
      </c>
      <c r="C509" s="14" t="s">
        <v>1796</v>
      </c>
      <c r="D509" s="14" t="s">
        <v>373</v>
      </c>
      <c r="E509" s="14" t="s">
        <v>373</v>
      </c>
      <c r="F509" s="14" t="s">
        <v>373</v>
      </c>
      <c r="G509" s="14" t="s">
        <v>373</v>
      </c>
      <c r="I509" s="14" t="s">
        <v>373</v>
      </c>
    </row>
    <row r="510" spans="1:9" x14ac:dyDescent="0.25">
      <c r="A510" s="14" t="s">
        <v>1797</v>
      </c>
      <c r="B510" s="14" t="s">
        <v>1798</v>
      </c>
      <c r="C510" s="14" t="s">
        <v>1799</v>
      </c>
      <c r="D510" s="14" t="s">
        <v>373</v>
      </c>
      <c r="E510" s="14" t="s">
        <v>373</v>
      </c>
      <c r="F510" s="14" t="s">
        <v>373</v>
      </c>
      <c r="G510" s="14" t="s">
        <v>373</v>
      </c>
      <c r="I510" s="14" t="s">
        <v>373</v>
      </c>
    </row>
    <row r="511" spans="1:9" x14ac:dyDescent="0.25">
      <c r="A511" s="14" t="s">
        <v>1800</v>
      </c>
      <c r="B511" s="14" t="s">
        <v>1801</v>
      </c>
      <c r="C511" s="14" t="s">
        <v>1802</v>
      </c>
      <c r="D511" s="14" t="s">
        <v>373</v>
      </c>
      <c r="E511" s="14" t="s">
        <v>373</v>
      </c>
      <c r="F511" s="14" t="s">
        <v>373</v>
      </c>
      <c r="G511" s="14" t="s">
        <v>373</v>
      </c>
      <c r="I511" s="14" t="s">
        <v>373</v>
      </c>
    </row>
    <row r="512" spans="1:9" x14ac:dyDescent="0.25">
      <c r="A512" s="14" t="s">
        <v>1803</v>
      </c>
      <c r="B512" s="14" t="s">
        <v>1804</v>
      </c>
      <c r="C512" s="14" t="s">
        <v>1805</v>
      </c>
      <c r="D512" s="14" t="s">
        <v>373</v>
      </c>
      <c r="E512" s="14" t="s">
        <v>373</v>
      </c>
      <c r="F512" s="14" t="s">
        <v>373</v>
      </c>
      <c r="G512" s="14" t="s">
        <v>373</v>
      </c>
      <c r="I512" s="14" t="s">
        <v>373</v>
      </c>
    </row>
    <row r="513" spans="1:9" x14ac:dyDescent="0.25">
      <c r="A513" s="14" t="s">
        <v>1806</v>
      </c>
      <c r="B513" s="14" t="s">
        <v>1807</v>
      </c>
      <c r="C513" s="14" t="s">
        <v>1808</v>
      </c>
      <c r="D513" s="14" t="s">
        <v>373</v>
      </c>
      <c r="E513" s="14" t="s">
        <v>373</v>
      </c>
      <c r="F513" s="14" t="s">
        <v>373</v>
      </c>
      <c r="G513" s="14" t="s">
        <v>373</v>
      </c>
      <c r="I513" s="14" t="s">
        <v>373</v>
      </c>
    </row>
    <row r="514" spans="1:9" x14ac:dyDescent="0.25">
      <c r="A514" s="14" t="s">
        <v>1809</v>
      </c>
      <c r="B514" s="14" t="s">
        <v>1810</v>
      </c>
      <c r="C514" s="14" t="s">
        <v>1811</v>
      </c>
      <c r="D514" s="14" t="s">
        <v>373</v>
      </c>
      <c r="E514" s="14" t="s">
        <v>373</v>
      </c>
      <c r="F514" s="14" t="s">
        <v>373</v>
      </c>
      <c r="G514" s="14" t="s">
        <v>373</v>
      </c>
      <c r="I514" s="14" t="s">
        <v>373</v>
      </c>
    </row>
    <row r="515" spans="1:9" x14ac:dyDescent="0.25">
      <c r="A515" s="14" t="s">
        <v>1812</v>
      </c>
      <c r="B515" s="14" t="s">
        <v>1813</v>
      </c>
      <c r="C515" s="14" t="s">
        <v>1814</v>
      </c>
      <c r="D515" s="14" t="s">
        <v>373</v>
      </c>
      <c r="E515" s="14" t="s">
        <v>373</v>
      </c>
      <c r="F515" s="14" t="s">
        <v>373</v>
      </c>
      <c r="G515" s="14" t="s">
        <v>373</v>
      </c>
      <c r="I515" s="14" t="s">
        <v>373</v>
      </c>
    </row>
    <row r="516" spans="1:9" x14ac:dyDescent="0.25">
      <c r="A516" s="14" t="s">
        <v>1815</v>
      </c>
      <c r="B516" s="14" t="s">
        <v>1816</v>
      </c>
      <c r="C516" s="14" t="s">
        <v>1817</v>
      </c>
      <c r="D516" s="14" t="s">
        <v>373</v>
      </c>
      <c r="E516" s="14" t="s">
        <v>373</v>
      </c>
      <c r="F516" s="14" t="s">
        <v>373</v>
      </c>
      <c r="G516" s="14" t="s">
        <v>373</v>
      </c>
      <c r="I516" s="14" t="s">
        <v>373</v>
      </c>
    </row>
    <row r="517" spans="1:9" x14ac:dyDescent="0.25">
      <c r="A517" s="14" t="s">
        <v>1818</v>
      </c>
      <c r="B517" s="14" t="s">
        <v>1819</v>
      </c>
      <c r="C517" s="14" t="s">
        <v>1820</v>
      </c>
      <c r="D517" s="14" t="s">
        <v>373</v>
      </c>
      <c r="E517" s="14" t="s">
        <v>373</v>
      </c>
      <c r="F517" s="14" t="s">
        <v>373</v>
      </c>
      <c r="G517" s="14" t="s">
        <v>373</v>
      </c>
      <c r="I517" s="14" t="s">
        <v>373</v>
      </c>
    </row>
    <row r="518" spans="1:9" x14ac:dyDescent="0.25">
      <c r="A518" s="14" t="s">
        <v>1821</v>
      </c>
      <c r="B518" s="14" t="s">
        <v>1822</v>
      </c>
      <c r="C518" s="14" t="s">
        <v>1823</v>
      </c>
      <c r="D518" s="14" t="s">
        <v>373</v>
      </c>
      <c r="E518" s="14" t="s">
        <v>373</v>
      </c>
      <c r="F518" s="14" t="s">
        <v>373</v>
      </c>
      <c r="G518" s="14" t="s">
        <v>373</v>
      </c>
      <c r="I518" s="14" t="s">
        <v>373</v>
      </c>
    </row>
    <row r="519" spans="1:9" x14ac:dyDescent="0.25">
      <c r="A519" s="14" t="s">
        <v>1824</v>
      </c>
      <c r="B519" s="14" t="s">
        <v>1825</v>
      </c>
      <c r="C519" s="14" t="s">
        <v>1826</v>
      </c>
      <c r="D519" s="14" t="s">
        <v>373</v>
      </c>
      <c r="E519" s="14" t="s">
        <v>373</v>
      </c>
      <c r="F519" s="14" t="s">
        <v>373</v>
      </c>
      <c r="G519" s="14" t="s">
        <v>373</v>
      </c>
      <c r="I519" s="14" t="s">
        <v>373</v>
      </c>
    </row>
    <row r="520" spans="1:9" x14ac:dyDescent="0.25">
      <c r="A520" s="14" t="s">
        <v>1827</v>
      </c>
      <c r="B520" s="14" t="s">
        <v>1828</v>
      </c>
      <c r="C520" s="14" t="s">
        <v>1829</v>
      </c>
      <c r="D520" s="14" t="s">
        <v>373</v>
      </c>
      <c r="E520" s="14" t="s">
        <v>373</v>
      </c>
      <c r="F520" s="14" t="s">
        <v>373</v>
      </c>
      <c r="G520" s="14" t="s">
        <v>373</v>
      </c>
      <c r="I520" s="14" t="s">
        <v>373</v>
      </c>
    </row>
    <row r="521" spans="1:9" x14ac:dyDescent="0.25">
      <c r="A521" s="14" t="s">
        <v>1830</v>
      </c>
      <c r="B521" s="14" t="s">
        <v>1831</v>
      </c>
      <c r="C521" s="14" t="s">
        <v>1832</v>
      </c>
      <c r="D521" s="14" t="s">
        <v>373</v>
      </c>
      <c r="E521" s="14" t="s">
        <v>373</v>
      </c>
      <c r="F521" s="14" t="s">
        <v>373</v>
      </c>
      <c r="G521" s="14" t="s">
        <v>373</v>
      </c>
      <c r="I521" s="14" t="s">
        <v>373</v>
      </c>
    </row>
    <row r="522" spans="1:9" x14ac:dyDescent="0.25">
      <c r="A522" s="14" t="s">
        <v>1833</v>
      </c>
      <c r="B522" s="14" t="s">
        <v>1834</v>
      </c>
      <c r="C522" s="14" t="s">
        <v>1835</v>
      </c>
      <c r="D522" s="14" t="s">
        <v>285</v>
      </c>
      <c r="E522" s="14" t="s">
        <v>286</v>
      </c>
      <c r="F522" s="14" t="s">
        <v>286</v>
      </c>
      <c r="G522" s="14" t="s">
        <v>287</v>
      </c>
      <c r="I522" s="14" t="s">
        <v>287</v>
      </c>
    </row>
    <row r="523" spans="1:9" x14ac:dyDescent="0.25">
      <c r="A523" s="14" t="s">
        <v>1836</v>
      </c>
      <c r="B523" s="14" t="s">
        <v>1837</v>
      </c>
      <c r="C523" s="14" t="s">
        <v>1838</v>
      </c>
      <c r="D523" s="14" t="s">
        <v>373</v>
      </c>
      <c r="E523" s="14" t="s">
        <v>447</v>
      </c>
      <c r="F523" s="14" t="s">
        <v>447</v>
      </c>
      <c r="G523" s="14" t="s">
        <v>447</v>
      </c>
      <c r="I523" s="14" t="s">
        <v>447</v>
      </c>
    </row>
    <row r="524" spans="1:9" x14ac:dyDescent="0.25">
      <c r="A524" s="15" t="s">
        <v>1839</v>
      </c>
      <c r="B524" s="14" t="s">
        <v>1840</v>
      </c>
      <c r="C524" s="14" t="s">
        <v>1841</v>
      </c>
      <c r="D524" s="14" t="s">
        <v>276</v>
      </c>
      <c r="E524" s="14" t="s">
        <v>276</v>
      </c>
      <c r="F524" s="14" t="s">
        <v>276</v>
      </c>
      <c r="G524" s="14" t="s">
        <v>276</v>
      </c>
      <c r="I524" s="14" t="s">
        <v>276</v>
      </c>
    </row>
    <row r="525" spans="1:9" x14ac:dyDescent="0.25">
      <c r="A525" s="15" t="s">
        <v>1842</v>
      </c>
      <c r="B525" s="14" t="s">
        <v>1843</v>
      </c>
      <c r="C525" s="14" t="s">
        <v>1844</v>
      </c>
      <c r="D525" s="14" t="s">
        <v>276</v>
      </c>
      <c r="E525" s="14" t="s">
        <v>276</v>
      </c>
      <c r="F525" s="14" t="s">
        <v>276</v>
      </c>
      <c r="G525" s="14" t="s">
        <v>443</v>
      </c>
      <c r="I525" s="14" t="s">
        <v>443</v>
      </c>
    </row>
    <row r="526" spans="1:9" x14ac:dyDescent="0.25">
      <c r="A526" s="15" t="s">
        <v>1845</v>
      </c>
      <c r="B526" s="14" t="s">
        <v>1846</v>
      </c>
      <c r="C526" s="14" t="s">
        <v>1847</v>
      </c>
      <c r="D526" s="14" t="s">
        <v>373</v>
      </c>
      <c r="E526" s="14" t="s">
        <v>373</v>
      </c>
      <c r="F526" s="14" t="s">
        <v>373</v>
      </c>
      <c r="G526" s="14" t="s">
        <v>373</v>
      </c>
      <c r="I526" s="14" t="s">
        <v>373</v>
      </c>
    </row>
    <row r="527" spans="1:9" x14ac:dyDescent="0.25">
      <c r="A527" s="15" t="s">
        <v>1848</v>
      </c>
      <c r="B527" s="14" t="s">
        <v>1849</v>
      </c>
      <c r="C527" s="14" t="s">
        <v>1850</v>
      </c>
      <c r="D527" s="14" t="s">
        <v>373</v>
      </c>
      <c r="E527" s="14" t="s">
        <v>373</v>
      </c>
      <c r="F527" s="14" t="s">
        <v>373</v>
      </c>
      <c r="G527" s="14" t="s">
        <v>373</v>
      </c>
      <c r="I527" s="14" t="s">
        <v>373</v>
      </c>
    </row>
    <row r="528" spans="1:9" x14ac:dyDescent="0.25">
      <c r="A528" s="15" t="s">
        <v>1851</v>
      </c>
      <c r="B528" s="14" t="s">
        <v>1852</v>
      </c>
      <c r="C528" s="14" t="s">
        <v>1853</v>
      </c>
      <c r="D528" s="14" t="s">
        <v>276</v>
      </c>
      <c r="E528" s="14" t="s">
        <v>276</v>
      </c>
      <c r="F528" s="14" t="s">
        <v>276</v>
      </c>
      <c r="G528" s="14" t="s">
        <v>443</v>
      </c>
      <c r="I528" s="14" t="s">
        <v>443</v>
      </c>
    </row>
    <row r="529" spans="1:9" x14ac:dyDescent="0.25">
      <c r="A529" s="15" t="s">
        <v>1854</v>
      </c>
      <c r="B529" s="14" t="s">
        <v>1855</v>
      </c>
      <c r="C529" s="14" t="s">
        <v>1856</v>
      </c>
      <c r="D529" s="14" t="s">
        <v>373</v>
      </c>
      <c r="E529" s="14" t="s">
        <v>373</v>
      </c>
      <c r="F529" s="14" t="s">
        <v>373</v>
      </c>
      <c r="G529" s="14" t="s">
        <v>373</v>
      </c>
      <c r="I529" s="14" t="s">
        <v>373</v>
      </c>
    </row>
    <row r="530" spans="1:9" x14ac:dyDescent="0.25">
      <c r="A530" s="15" t="s">
        <v>1857</v>
      </c>
      <c r="B530" s="14" t="s">
        <v>1858</v>
      </c>
      <c r="C530" s="14" t="s">
        <v>1859</v>
      </c>
      <c r="D530" s="14" t="s">
        <v>373</v>
      </c>
      <c r="E530" s="14" t="s">
        <v>373</v>
      </c>
      <c r="F530" s="14" t="s">
        <v>373</v>
      </c>
      <c r="G530" s="14" t="s">
        <v>373</v>
      </c>
      <c r="I530" s="14" t="s">
        <v>373</v>
      </c>
    </row>
    <row r="531" spans="1:9" x14ac:dyDescent="0.25">
      <c r="A531" s="15" t="s">
        <v>1860</v>
      </c>
      <c r="B531" s="14" t="s">
        <v>1861</v>
      </c>
      <c r="C531" s="14" t="s">
        <v>1862</v>
      </c>
      <c r="D531" s="14" t="s">
        <v>373</v>
      </c>
      <c r="E531" s="14" t="s">
        <v>373</v>
      </c>
      <c r="F531" s="14" t="s">
        <v>373</v>
      </c>
      <c r="G531" s="14" t="s">
        <v>373</v>
      </c>
      <c r="I531" s="14" t="s">
        <v>373</v>
      </c>
    </row>
    <row r="532" spans="1:9" x14ac:dyDescent="0.25">
      <c r="A532" s="15" t="s">
        <v>1863</v>
      </c>
      <c r="B532" s="14" t="s">
        <v>1864</v>
      </c>
      <c r="C532" s="14" t="s">
        <v>1865</v>
      </c>
      <c r="D532" s="14" t="s">
        <v>373</v>
      </c>
      <c r="E532" s="14" t="s">
        <v>373</v>
      </c>
      <c r="F532" s="14" t="s">
        <v>373</v>
      </c>
      <c r="G532" s="14" t="s">
        <v>373</v>
      </c>
      <c r="I532" s="14" t="s">
        <v>373</v>
      </c>
    </row>
    <row r="533" spans="1:9" x14ac:dyDescent="0.25">
      <c r="A533" s="15" t="s">
        <v>1866</v>
      </c>
      <c r="B533" s="14" t="s">
        <v>1867</v>
      </c>
      <c r="C533" s="14" t="s">
        <v>1868</v>
      </c>
      <c r="D533" s="14" t="s">
        <v>373</v>
      </c>
      <c r="E533" s="14" t="s">
        <v>373</v>
      </c>
      <c r="F533" s="14" t="s">
        <v>373</v>
      </c>
      <c r="G533" s="14" t="s">
        <v>373</v>
      </c>
      <c r="I533" s="14" t="s">
        <v>373</v>
      </c>
    </row>
    <row r="534" spans="1:9" x14ac:dyDescent="0.25">
      <c r="A534" s="15" t="s">
        <v>1869</v>
      </c>
      <c r="B534" s="14" t="s">
        <v>1870</v>
      </c>
      <c r="C534" s="14" t="s">
        <v>1871</v>
      </c>
      <c r="D534" s="14" t="s">
        <v>373</v>
      </c>
      <c r="E534" s="14" t="s">
        <v>373</v>
      </c>
      <c r="F534" s="14" t="s">
        <v>373</v>
      </c>
      <c r="G534" s="14" t="s">
        <v>373</v>
      </c>
      <c r="I534" s="14" t="s">
        <v>373</v>
      </c>
    </row>
    <row r="535" spans="1:9" x14ac:dyDescent="0.25">
      <c r="A535" s="14" t="s">
        <v>1872</v>
      </c>
      <c r="B535" s="14" t="s">
        <v>1873</v>
      </c>
      <c r="C535" s="14" t="s">
        <v>1874</v>
      </c>
      <c r="D535" s="14" t="s">
        <v>373</v>
      </c>
      <c r="E535" s="14" t="s">
        <v>373</v>
      </c>
      <c r="F535" s="14" t="s">
        <v>373</v>
      </c>
      <c r="G535" s="14" t="s">
        <v>373</v>
      </c>
      <c r="I535" s="14" t="s">
        <v>373</v>
      </c>
    </row>
    <row r="536" spans="1:9" x14ac:dyDescent="0.25">
      <c r="A536" s="14" t="s">
        <v>1875</v>
      </c>
      <c r="B536" s="14" t="s">
        <v>1876</v>
      </c>
      <c r="C536" s="14" t="s">
        <v>1877</v>
      </c>
      <c r="D536" s="14" t="s">
        <v>276</v>
      </c>
      <c r="E536" s="14" t="s">
        <v>276</v>
      </c>
      <c r="F536" s="14" t="s">
        <v>276</v>
      </c>
      <c r="G536" s="14" t="s">
        <v>277</v>
      </c>
      <c r="I536" s="14" t="s">
        <v>277</v>
      </c>
    </row>
    <row r="537" spans="1:9" x14ac:dyDescent="0.25">
      <c r="A537" s="14" t="s">
        <v>1878</v>
      </c>
      <c r="B537" s="14" t="s">
        <v>1879</v>
      </c>
      <c r="C537" s="14" t="s">
        <v>1879</v>
      </c>
      <c r="D537" s="14" t="s">
        <v>373</v>
      </c>
      <c r="E537" s="14" t="s">
        <v>373</v>
      </c>
      <c r="F537" s="14" t="s">
        <v>373</v>
      </c>
      <c r="G537" s="14" t="s">
        <v>373</v>
      </c>
      <c r="I537" s="14" t="s">
        <v>373</v>
      </c>
    </row>
    <row r="538" spans="1:9" x14ac:dyDescent="0.25">
      <c r="A538" s="14" t="s">
        <v>1880</v>
      </c>
      <c r="B538" s="14" t="s">
        <v>1881</v>
      </c>
      <c r="C538" s="14" t="s">
        <v>1882</v>
      </c>
      <c r="D538" s="14" t="s">
        <v>348</v>
      </c>
      <c r="E538" s="14" t="s">
        <v>348</v>
      </c>
      <c r="F538" s="14" t="s">
        <v>348</v>
      </c>
      <c r="G538" s="14" t="s">
        <v>349</v>
      </c>
      <c r="I538" s="14" t="s">
        <v>348</v>
      </c>
    </row>
    <row r="539" spans="1:9" x14ac:dyDescent="0.25">
      <c r="A539" s="14" t="s">
        <v>1883</v>
      </c>
      <c r="B539" s="14" t="s">
        <v>1884</v>
      </c>
      <c r="C539" s="14" t="s">
        <v>1885</v>
      </c>
      <c r="D539" s="14" t="s">
        <v>276</v>
      </c>
      <c r="E539" s="14" t="s">
        <v>276</v>
      </c>
      <c r="F539" s="14" t="s">
        <v>276</v>
      </c>
      <c r="G539" s="14" t="s">
        <v>277</v>
      </c>
      <c r="I539" s="14" t="s">
        <v>277</v>
      </c>
    </row>
    <row r="540" spans="1:9" x14ac:dyDescent="0.25">
      <c r="A540" s="14" t="s">
        <v>1886</v>
      </c>
      <c r="B540" s="14" t="s">
        <v>1887</v>
      </c>
      <c r="C540" s="14" t="s">
        <v>1888</v>
      </c>
      <c r="D540" s="14" t="s">
        <v>348</v>
      </c>
      <c r="E540" s="14" t="s">
        <v>348</v>
      </c>
      <c r="F540" s="14" t="s">
        <v>348</v>
      </c>
      <c r="G540" s="14" t="s">
        <v>349</v>
      </c>
      <c r="I540" s="14" t="s">
        <v>348</v>
      </c>
    </row>
    <row r="541" spans="1:9" x14ac:dyDescent="0.25">
      <c r="A541" s="14" t="s">
        <v>1889</v>
      </c>
      <c r="B541" s="14" t="s">
        <v>1890</v>
      </c>
      <c r="C541" s="14" t="s">
        <v>1891</v>
      </c>
      <c r="D541" s="14" t="s">
        <v>373</v>
      </c>
      <c r="E541" s="14" t="s">
        <v>373</v>
      </c>
      <c r="F541" s="14" t="s">
        <v>373</v>
      </c>
      <c r="G541" s="14" t="s">
        <v>373</v>
      </c>
      <c r="I541" s="14" t="s">
        <v>373</v>
      </c>
    </row>
    <row r="542" spans="1:9" x14ac:dyDescent="0.25">
      <c r="A542" s="14" t="s">
        <v>1892</v>
      </c>
      <c r="B542" s="14" t="s">
        <v>1893</v>
      </c>
      <c r="C542" s="14" t="s">
        <v>1894</v>
      </c>
      <c r="D542" s="14" t="s">
        <v>373</v>
      </c>
      <c r="E542" s="14" t="s">
        <v>373</v>
      </c>
      <c r="F542" s="14" t="s">
        <v>373</v>
      </c>
      <c r="G542" s="14" t="s">
        <v>373</v>
      </c>
      <c r="I542" s="14" t="s">
        <v>373</v>
      </c>
    </row>
    <row r="543" spans="1:9" x14ac:dyDescent="0.25">
      <c r="A543" s="14" t="s">
        <v>1895</v>
      </c>
      <c r="B543" s="14" t="s">
        <v>1896</v>
      </c>
      <c r="C543" s="14" t="s">
        <v>1897</v>
      </c>
      <c r="D543" s="14" t="s">
        <v>373</v>
      </c>
      <c r="E543" s="14" t="s">
        <v>373</v>
      </c>
      <c r="F543" s="14" t="s">
        <v>373</v>
      </c>
      <c r="G543" s="14" t="s">
        <v>439</v>
      </c>
      <c r="I543" s="14" t="s">
        <v>439</v>
      </c>
    </row>
    <row r="544" spans="1:9" x14ac:dyDescent="0.25">
      <c r="A544" s="14" t="s">
        <v>1898</v>
      </c>
      <c r="B544" s="14" t="s">
        <v>1899</v>
      </c>
      <c r="C544" s="14" t="s">
        <v>1900</v>
      </c>
      <c r="D544" s="14" t="s">
        <v>276</v>
      </c>
      <c r="E544" s="14" t="s">
        <v>276</v>
      </c>
      <c r="F544" s="14" t="s">
        <v>276</v>
      </c>
      <c r="G544" s="14" t="s">
        <v>443</v>
      </c>
      <c r="I544" s="24" t="s">
        <v>447</v>
      </c>
    </row>
    <row r="545" spans="1:9" x14ac:dyDescent="0.25">
      <c r="A545" s="14" t="s">
        <v>1901</v>
      </c>
      <c r="B545" s="14" t="s">
        <v>1902</v>
      </c>
      <c r="C545" s="14" t="s">
        <v>1903</v>
      </c>
      <c r="D545" s="14" t="s">
        <v>373</v>
      </c>
      <c r="E545" s="14" t="s">
        <v>373</v>
      </c>
      <c r="F545" s="14" t="s">
        <v>373</v>
      </c>
      <c r="G545" s="14" t="s">
        <v>373</v>
      </c>
      <c r="I545" s="14" t="s">
        <v>373</v>
      </c>
    </row>
    <row r="546" spans="1:9" x14ac:dyDescent="0.25">
      <c r="A546" s="14" t="s">
        <v>1904</v>
      </c>
      <c r="B546" s="14" t="s">
        <v>1905</v>
      </c>
      <c r="C546" s="14" t="s">
        <v>1906</v>
      </c>
      <c r="D546" s="14" t="s">
        <v>373</v>
      </c>
      <c r="E546" s="14" t="s">
        <v>373</v>
      </c>
      <c r="F546" s="14" t="s">
        <v>373</v>
      </c>
      <c r="G546" s="14" t="s">
        <v>373</v>
      </c>
      <c r="I546" s="14" t="s">
        <v>373</v>
      </c>
    </row>
    <row r="547" spans="1:9" x14ac:dyDescent="0.25">
      <c r="A547" s="14" t="s">
        <v>1907</v>
      </c>
      <c r="B547" s="14" t="s">
        <v>1908</v>
      </c>
      <c r="C547" s="14" t="s">
        <v>1909</v>
      </c>
      <c r="D547" s="14" t="s">
        <v>373</v>
      </c>
      <c r="E547" s="14" t="s">
        <v>373</v>
      </c>
      <c r="F547" s="14" t="s">
        <v>373</v>
      </c>
      <c r="G547" s="14" t="s">
        <v>373</v>
      </c>
      <c r="I547" s="14" t="s">
        <v>373</v>
      </c>
    </row>
    <row r="548" spans="1:9" x14ac:dyDescent="0.25">
      <c r="A548" s="14" t="s">
        <v>1910</v>
      </c>
      <c r="B548" s="14" t="s">
        <v>1911</v>
      </c>
      <c r="C548" s="14" t="s">
        <v>1912</v>
      </c>
      <c r="D548" s="14" t="s">
        <v>373</v>
      </c>
      <c r="E548" s="14" t="s">
        <v>373</v>
      </c>
      <c r="F548" s="14" t="s">
        <v>373</v>
      </c>
      <c r="G548" s="14" t="s">
        <v>373</v>
      </c>
      <c r="I548" s="14" t="s">
        <v>373</v>
      </c>
    </row>
    <row r="549" spans="1:9" x14ac:dyDescent="0.25">
      <c r="A549" s="14" t="s">
        <v>1913</v>
      </c>
      <c r="B549" s="14" t="s">
        <v>1914</v>
      </c>
      <c r="C549" s="14" t="s">
        <v>1915</v>
      </c>
      <c r="D549" s="14" t="s">
        <v>373</v>
      </c>
      <c r="E549" s="14" t="s">
        <v>373</v>
      </c>
      <c r="F549" s="14" t="s">
        <v>373</v>
      </c>
      <c r="G549" s="14" t="s">
        <v>373</v>
      </c>
      <c r="I549" s="14" t="s">
        <v>373</v>
      </c>
    </row>
    <row r="550" spans="1:9" x14ac:dyDescent="0.25">
      <c r="A550" s="14" t="s">
        <v>1916</v>
      </c>
      <c r="B550" s="14" t="s">
        <v>1917</v>
      </c>
      <c r="C550" s="14" t="s">
        <v>1918</v>
      </c>
      <c r="D550" s="14" t="s">
        <v>373</v>
      </c>
      <c r="E550" s="14" t="s">
        <v>373</v>
      </c>
      <c r="F550" s="14" t="s">
        <v>373</v>
      </c>
      <c r="G550" s="14" t="s">
        <v>373</v>
      </c>
      <c r="I550" s="14" t="s">
        <v>373</v>
      </c>
    </row>
    <row r="551" spans="1:9" x14ac:dyDescent="0.25">
      <c r="A551" s="14" t="s">
        <v>1919</v>
      </c>
      <c r="B551" s="14" t="s">
        <v>1920</v>
      </c>
      <c r="C551" s="14" t="s">
        <v>1921</v>
      </c>
      <c r="D551" s="14" t="s">
        <v>373</v>
      </c>
      <c r="E551" s="14" t="s">
        <v>373</v>
      </c>
      <c r="F551" s="14" t="s">
        <v>373</v>
      </c>
      <c r="G551" s="14" t="s">
        <v>373</v>
      </c>
      <c r="I551" s="14" t="s">
        <v>373</v>
      </c>
    </row>
    <row r="552" spans="1:9" x14ac:dyDescent="0.25">
      <c r="A552" s="14" t="s">
        <v>1922</v>
      </c>
      <c r="B552" s="14" t="s">
        <v>1923</v>
      </c>
      <c r="C552" s="14" t="s">
        <v>1924</v>
      </c>
      <c r="D552" s="14" t="s">
        <v>373</v>
      </c>
      <c r="E552" s="14" t="s">
        <v>373</v>
      </c>
      <c r="F552" s="14" t="s">
        <v>373</v>
      </c>
      <c r="G552" s="14" t="s">
        <v>373</v>
      </c>
      <c r="I552" s="14" t="s">
        <v>373</v>
      </c>
    </row>
    <row r="553" spans="1:9" x14ac:dyDescent="0.25">
      <c r="A553" s="14" t="s">
        <v>60</v>
      </c>
      <c r="B553" s="14" t="s">
        <v>1925</v>
      </c>
      <c r="C553" s="14" t="s">
        <v>1926</v>
      </c>
      <c r="D553" s="14" t="s">
        <v>373</v>
      </c>
      <c r="E553" s="14" t="s">
        <v>447</v>
      </c>
      <c r="F553" s="14" t="s">
        <v>447</v>
      </c>
      <c r="G553" s="14" t="s">
        <v>447</v>
      </c>
      <c r="I553" s="14" t="s">
        <v>447</v>
      </c>
    </row>
    <row r="554" spans="1:9" x14ac:dyDescent="0.25">
      <c r="A554" s="14" t="s">
        <v>1927</v>
      </c>
      <c r="B554" s="14" t="s">
        <v>1928</v>
      </c>
      <c r="C554" s="14" t="s">
        <v>1929</v>
      </c>
      <c r="D554" s="14" t="s">
        <v>373</v>
      </c>
      <c r="E554" s="14" t="s">
        <v>373</v>
      </c>
      <c r="F554" s="14" t="s">
        <v>373</v>
      </c>
      <c r="G554" s="14" t="s">
        <v>373</v>
      </c>
      <c r="I554" s="14" t="s">
        <v>373</v>
      </c>
    </row>
    <row r="555" spans="1:9" x14ac:dyDescent="0.25">
      <c r="A555" s="14" t="s">
        <v>1930</v>
      </c>
      <c r="B555" s="14" t="s">
        <v>1931</v>
      </c>
      <c r="C555" s="14" t="s">
        <v>1932</v>
      </c>
      <c r="D555" s="14" t="s">
        <v>373</v>
      </c>
      <c r="E555" s="14" t="s">
        <v>373</v>
      </c>
      <c r="F555" s="14" t="s">
        <v>373</v>
      </c>
      <c r="G555" s="14" t="s">
        <v>373</v>
      </c>
      <c r="I555" s="14" t="s">
        <v>373</v>
      </c>
    </row>
    <row r="556" spans="1:9" x14ac:dyDescent="0.25">
      <c r="A556" s="14" t="s">
        <v>1933</v>
      </c>
      <c r="B556" s="14" t="s">
        <v>1934</v>
      </c>
      <c r="C556" s="14" t="s">
        <v>1935</v>
      </c>
      <c r="D556" s="14" t="s">
        <v>276</v>
      </c>
      <c r="E556" s="14" t="s">
        <v>276</v>
      </c>
      <c r="F556" s="14" t="s">
        <v>276</v>
      </c>
      <c r="G556" s="14" t="s">
        <v>277</v>
      </c>
      <c r="I556" s="14" t="s">
        <v>277</v>
      </c>
    </row>
    <row r="557" spans="1:9" x14ac:dyDescent="0.25">
      <c r="A557" s="14" t="s">
        <v>1936</v>
      </c>
      <c r="B557" s="14" t="s">
        <v>1937</v>
      </c>
      <c r="C557" s="14" t="s">
        <v>1938</v>
      </c>
      <c r="D557" s="14" t="s">
        <v>373</v>
      </c>
      <c r="E557" s="14" t="s">
        <v>373</v>
      </c>
      <c r="F557" s="14" t="s">
        <v>373</v>
      </c>
      <c r="G557" s="14" t="s">
        <v>1013</v>
      </c>
      <c r="I557" s="14" t="s">
        <v>1013</v>
      </c>
    </row>
    <row r="558" spans="1:9" x14ac:dyDescent="0.25">
      <c r="A558" s="14" t="s">
        <v>1939</v>
      </c>
      <c r="B558" s="14" t="s">
        <v>1940</v>
      </c>
      <c r="C558" s="14" t="s">
        <v>1941</v>
      </c>
      <c r="D558" s="14" t="s">
        <v>373</v>
      </c>
      <c r="E558" s="14" t="s">
        <v>373</v>
      </c>
      <c r="F558" s="14" t="s">
        <v>373</v>
      </c>
      <c r="G558" s="14" t="s">
        <v>1013</v>
      </c>
      <c r="I558" s="14" t="s">
        <v>1013</v>
      </c>
    </row>
    <row r="559" spans="1:9" x14ac:dyDescent="0.25">
      <c r="A559" s="14" t="s">
        <v>1942</v>
      </c>
      <c r="B559" s="14" t="s">
        <v>1943</v>
      </c>
      <c r="C559" s="14" t="s">
        <v>1944</v>
      </c>
      <c r="D559" s="14" t="s">
        <v>373</v>
      </c>
      <c r="E559" s="14" t="s">
        <v>373</v>
      </c>
      <c r="F559" s="14" t="s">
        <v>373</v>
      </c>
      <c r="G559" s="14" t="s">
        <v>1013</v>
      </c>
      <c r="I559" s="14" t="s">
        <v>1013</v>
      </c>
    </row>
    <row r="560" spans="1:9" x14ac:dyDescent="0.25">
      <c r="A560" s="14" t="s">
        <v>1945</v>
      </c>
      <c r="B560" s="14" t="s">
        <v>1946</v>
      </c>
      <c r="C560" s="14" t="s">
        <v>1947</v>
      </c>
      <c r="D560" s="14" t="s">
        <v>373</v>
      </c>
      <c r="E560" s="14" t="s">
        <v>373</v>
      </c>
      <c r="F560" s="14" t="s">
        <v>373</v>
      </c>
      <c r="G560" s="14" t="s">
        <v>1013</v>
      </c>
      <c r="I560" s="14" t="s">
        <v>1013</v>
      </c>
    </row>
    <row r="561" spans="1:9" x14ac:dyDescent="0.25">
      <c r="A561" s="14" t="s">
        <v>1948</v>
      </c>
      <c r="B561" s="14" t="s">
        <v>1949</v>
      </c>
      <c r="C561" s="14" t="s">
        <v>1950</v>
      </c>
      <c r="D561" s="14" t="s">
        <v>373</v>
      </c>
      <c r="E561" s="14" t="s">
        <v>373</v>
      </c>
      <c r="F561" s="14" t="s">
        <v>373</v>
      </c>
      <c r="G561" s="14" t="s">
        <v>1013</v>
      </c>
      <c r="I561" s="14" t="s">
        <v>1013</v>
      </c>
    </row>
    <row r="562" spans="1:9" x14ac:dyDescent="0.25">
      <c r="A562" s="14" t="s">
        <v>1951</v>
      </c>
      <c r="B562" s="14" t="s">
        <v>1952</v>
      </c>
      <c r="C562" s="14" t="s">
        <v>1953</v>
      </c>
      <c r="D562" s="14" t="s">
        <v>373</v>
      </c>
      <c r="E562" s="14" t="s">
        <v>373</v>
      </c>
      <c r="F562" s="14" t="s">
        <v>373</v>
      </c>
      <c r="G562" s="14" t="s">
        <v>1013</v>
      </c>
      <c r="I562" s="14" t="s">
        <v>1013</v>
      </c>
    </row>
    <row r="563" spans="1:9" x14ac:dyDescent="0.25">
      <c r="A563" s="14" t="s">
        <v>1954</v>
      </c>
      <c r="B563" s="14" t="s">
        <v>1955</v>
      </c>
      <c r="C563" s="14" t="s">
        <v>1956</v>
      </c>
      <c r="D563" s="14" t="s">
        <v>373</v>
      </c>
      <c r="E563" s="14" t="s">
        <v>373</v>
      </c>
      <c r="F563" s="14" t="s">
        <v>373</v>
      </c>
      <c r="G563" s="14" t="s">
        <v>1013</v>
      </c>
      <c r="I563" s="14" t="s">
        <v>1013</v>
      </c>
    </row>
    <row r="564" spans="1:9" x14ac:dyDescent="0.25">
      <c r="A564" s="14" t="s">
        <v>1957</v>
      </c>
      <c r="B564" s="14" t="s">
        <v>1958</v>
      </c>
      <c r="C564" s="14" t="s">
        <v>1959</v>
      </c>
      <c r="D564" s="14" t="s">
        <v>373</v>
      </c>
      <c r="E564" s="14" t="s">
        <v>373</v>
      </c>
      <c r="F564" s="14" t="s">
        <v>373</v>
      </c>
      <c r="G564" s="14" t="s">
        <v>1013</v>
      </c>
      <c r="I564" s="14" t="s">
        <v>1013</v>
      </c>
    </row>
    <row r="565" spans="1:9" x14ac:dyDescent="0.25">
      <c r="A565" s="14" t="s">
        <v>1960</v>
      </c>
      <c r="B565" s="14" t="s">
        <v>1961</v>
      </c>
      <c r="C565" s="14" t="s">
        <v>1962</v>
      </c>
      <c r="D565" s="14" t="s">
        <v>373</v>
      </c>
      <c r="E565" s="14" t="s">
        <v>373</v>
      </c>
      <c r="F565" s="14" t="s">
        <v>373</v>
      </c>
      <c r="G565" s="14" t="s">
        <v>1013</v>
      </c>
      <c r="I565" s="14" t="s">
        <v>1013</v>
      </c>
    </row>
    <row r="566" spans="1:9" x14ac:dyDescent="0.25">
      <c r="A566" s="14" t="s">
        <v>1963</v>
      </c>
      <c r="B566" s="14" t="s">
        <v>1964</v>
      </c>
      <c r="C566" s="14" t="s">
        <v>1965</v>
      </c>
      <c r="D566" s="14" t="s">
        <v>373</v>
      </c>
      <c r="E566" s="14" t="s">
        <v>373</v>
      </c>
      <c r="F566" s="14" t="s">
        <v>373</v>
      </c>
      <c r="G566" s="14" t="s">
        <v>1013</v>
      </c>
      <c r="I566" s="14" t="s">
        <v>1013</v>
      </c>
    </row>
    <row r="567" spans="1:9" x14ac:dyDescent="0.25">
      <c r="A567" s="14" t="s">
        <v>1966</v>
      </c>
      <c r="B567" s="14" t="s">
        <v>1967</v>
      </c>
      <c r="C567" s="14" t="s">
        <v>1968</v>
      </c>
      <c r="D567" s="14" t="s">
        <v>373</v>
      </c>
      <c r="E567" s="14" t="s">
        <v>373</v>
      </c>
      <c r="F567" s="14" t="s">
        <v>373</v>
      </c>
      <c r="G567" s="14" t="s">
        <v>460</v>
      </c>
      <c r="I567" s="14" t="s">
        <v>460</v>
      </c>
    </row>
    <row r="568" spans="1:9" x14ac:dyDescent="0.25">
      <c r="A568" s="14" t="s">
        <v>1969</v>
      </c>
      <c r="B568" s="14" t="s">
        <v>1970</v>
      </c>
      <c r="C568" s="14" t="s">
        <v>1971</v>
      </c>
      <c r="D568" s="14" t="s">
        <v>373</v>
      </c>
      <c r="E568" s="14" t="s">
        <v>373</v>
      </c>
      <c r="F568" s="14" t="s">
        <v>373</v>
      </c>
      <c r="G568" s="14" t="s">
        <v>1687</v>
      </c>
      <c r="I568" s="14" t="s">
        <v>1687</v>
      </c>
    </row>
    <row r="569" spans="1:9" x14ac:dyDescent="0.25">
      <c r="A569" s="14" t="s">
        <v>1972</v>
      </c>
      <c r="B569" s="14" t="s">
        <v>1973</v>
      </c>
      <c r="C569" s="14" t="s">
        <v>1974</v>
      </c>
      <c r="D569" s="14" t="s">
        <v>373</v>
      </c>
      <c r="E569" s="14" t="s">
        <v>373</v>
      </c>
      <c r="F569" s="14" t="s">
        <v>373</v>
      </c>
      <c r="G569" s="14" t="s">
        <v>1687</v>
      </c>
      <c r="I569" s="14" t="s">
        <v>1687</v>
      </c>
    </row>
    <row r="570" spans="1:9" x14ac:dyDescent="0.25">
      <c r="A570" s="14" t="s">
        <v>1975</v>
      </c>
      <c r="B570" s="14" t="s">
        <v>1976</v>
      </c>
      <c r="C570" s="14" t="s">
        <v>1977</v>
      </c>
      <c r="D570" s="14" t="s">
        <v>373</v>
      </c>
      <c r="E570" s="14" t="s">
        <v>373</v>
      </c>
      <c r="F570" s="14" t="s">
        <v>373</v>
      </c>
      <c r="G570" s="14" t="s">
        <v>1687</v>
      </c>
      <c r="I570" s="14" t="s">
        <v>1687</v>
      </c>
    </row>
    <row r="571" spans="1:9" x14ac:dyDescent="0.25">
      <c r="A571" s="14" t="s">
        <v>1978</v>
      </c>
      <c r="B571" s="14" t="s">
        <v>1979</v>
      </c>
      <c r="C571" s="14" t="s">
        <v>1980</v>
      </c>
      <c r="D571" s="14" t="s">
        <v>373</v>
      </c>
      <c r="E571" s="14" t="s">
        <v>373</v>
      </c>
      <c r="F571" s="14" t="s">
        <v>373</v>
      </c>
      <c r="G571" s="14" t="s">
        <v>1687</v>
      </c>
      <c r="I571" s="14" t="s">
        <v>1687</v>
      </c>
    </row>
    <row r="572" spans="1:9" x14ac:dyDescent="0.25">
      <c r="A572" s="14" t="s">
        <v>1981</v>
      </c>
      <c r="B572" s="14" t="s">
        <v>1982</v>
      </c>
      <c r="C572" s="14" t="s">
        <v>1983</v>
      </c>
      <c r="D572" s="14" t="s">
        <v>373</v>
      </c>
      <c r="E572" s="14" t="s">
        <v>373</v>
      </c>
      <c r="F572" s="14" t="s">
        <v>373</v>
      </c>
      <c r="G572" s="14" t="s">
        <v>1687</v>
      </c>
      <c r="I572" s="14" t="s">
        <v>1687</v>
      </c>
    </row>
    <row r="573" spans="1:9" x14ac:dyDescent="0.25">
      <c r="A573" s="14" t="s">
        <v>1984</v>
      </c>
      <c r="B573" s="14" t="s">
        <v>1985</v>
      </c>
      <c r="C573" s="14" t="s">
        <v>1986</v>
      </c>
      <c r="D573" s="14" t="s">
        <v>373</v>
      </c>
      <c r="E573" s="14" t="s">
        <v>373</v>
      </c>
      <c r="F573" s="14" t="s">
        <v>373</v>
      </c>
      <c r="G573" s="14" t="s">
        <v>1687</v>
      </c>
      <c r="I573" s="14" t="s">
        <v>1687</v>
      </c>
    </row>
    <row r="574" spans="1:9" x14ac:dyDescent="0.25">
      <c r="A574" s="14" t="s">
        <v>1987</v>
      </c>
      <c r="B574" s="14" t="s">
        <v>1988</v>
      </c>
      <c r="C574" s="14" t="s">
        <v>1989</v>
      </c>
      <c r="D574" s="14" t="s">
        <v>373</v>
      </c>
      <c r="E574" s="14" t="s">
        <v>373</v>
      </c>
      <c r="F574" s="14" t="s">
        <v>373</v>
      </c>
      <c r="G574" s="14" t="s">
        <v>1687</v>
      </c>
      <c r="I574" s="14" t="s">
        <v>1687</v>
      </c>
    </row>
    <row r="575" spans="1:9" x14ac:dyDescent="0.25">
      <c r="A575" s="14" t="s">
        <v>1990</v>
      </c>
      <c r="B575" s="14" t="s">
        <v>1991</v>
      </c>
      <c r="C575" s="14" t="s">
        <v>1992</v>
      </c>
      <c r="D575" s="14" t="s">
        <v>373</v>
      </c>
      <c r="E575" s="14" t="s">
        <v>373</v>
      </c>
      <c r="F575" s="14" t="s">
        <v>373</v>
      </c>
      <c r="G575" s="14" t="s">
        <v>1013</v>
      </c>
      <c r="I575" s="14" t="s">
        <v>1013</v>
      </c>
    </row>
    <row r="576" spans="1:9" x14ac:dyDescent="0.25">
      <c r="A576" s="14" t="s">
        <v>1993</v>
      </c>
      <c r="B576" s="14" t="s">
        <v>1994</v>
      </c>
      <c r="C576" s="14" t="s">
        <v>1995</v>
      </c>
      <c r="D576" s="14" t="s">
        <v>276</v>
      </c>
      <c r="E576" s="14" t="s">
        <v>276</v>
      </c>
      <c r="F576" s="14" t="s">
        <v>276</v>
      </c>
      <c r="G576" s="14" t="s">
        <v>277</v>
      </c>
      <c r="I576" s="14" t="s">
        <v>277</v>
      </c>
    </row>
    <row r="577" spans="1:9" x14ac:dyDescent="0.25">
      <c r="A577" s="14" t="s">
        <v>1996</v>
      </c>
      <c r="B577" s="14" t="s">
        <v>1997</v>
      </c>
      <c r="C577" s="14" t="s">
        <v>1998</v>
      </c>
      <c r="D577" s="14" t="s">
        <v>373</v>
      </c>
      <c r="E577" s="14" t="s">
        <v>373</v>
      </c>
      <c r="F577" s="14" t="s">
        <v>373</v>
      </c>
      <c r="G577" s="14" t="s">
        <v>373</v>
      </c>
      <c r="I577" s="14" t="s">
        <v>373</v>
      </c>
    </row>
    <row r="578" spans="1:9" x14ac:dyDescent="0.25">
      <c r="A578" s="14" t="s">
        <v>1999</v>
      </c>
      <c r="B578" s="14" t="s">
        <v>2000</v>
      </c>
      <c r="C578" s="14" t="s">
        <v>2001</v>
      </c>
      <c r="D578" s="14" t="s">
        <v>373</v>
      </c>
      <c r="E578" s="14" t="s">
        <v>373</v>
      </c>
      <c r="F578" s="14" t="s">
        <v>373</v>
      </c>
      <c r="G578" s="14" t="s">
        <v>373</v>
      </c>
      <c r="I578" s="14" t="s">
        <v>373</v>
      </c>
    </row>
    <row r="579" spans="1:9" x14ac:dyDescent="0.25">
      <c r="A579" s="14" t="s">
        <v>2002</v>
      </c>
      <c r="B579" s="14" t="s">
        <v>2003</v>
      </c>
      <c r="C579" s="14" t="s">
        <v>2004</v>
      </c>
      <c r="D579" s="14" t="s">
        <v>373</v>
      </c>
      <c r="E579" s="14" t="s">
        <v>373</v>
      </c>
      <c r="F579" s="14" t="s">
        <v>373</v>
      </c>
      <c r="G579" s="14" t="s">
        <v>373</v>
      </c>
      <c r="I579" s="14" t="s">
        <v>373</v>
      </c>
    </row>
    <row r="580" spans="1:9" x14ac:dyDescent="0.25">
      <c r="A580" s="14" t="s">
        <v>2005</v>
      </c>
      <c r="B580" s="14" t="s">
        <v>2006</v>
      </c>
      <c r="C580" s="14" t="s">
        <v>2007</v>
      </c>
      <c r="D580" s="14" t="s">
        <v>373</v>
      </c>
      <c r="E580" s="14" t="s">
        <v>373</v>
      </c>
      <c r="F580" s="14" t="s">
        <v>373</v>
      </c>
      <c r="G580" s="14" t="s">
        <v>373</v>
      </c>
      <c r="I580" s="14" t="s">
        <v>373</v>
      </c>
    </row>
    <row r="581" spans="1:9" x14ac:dyDescent="0.25">
      <c r="A581" s="14" t="s">
        <v>2057</v>
      </c>
      <c r="B581" s="14" t="s">
        <v>2062</v>
      </c>
      <c r="C581" s="24" t="s">
        <v>2063</v>
      </c>
      <c r="D581" s="14" t="s">
        <v>373</v>
      </c>
      <c r="E581" s="14" t="s">
        <v>447</v>
      </c>
      <c r="F581" s="14" t="s">
        <v>447</v>
      </c>
      <c r="G581" s="14" t="s">
        <v>447</v>
      </c>
      <c r="I581" s="14" t="s">
        <v>447</v>
      </c>
    </row>
    <row r="582" spans="1:9" x14ac:dyDescent="0.25">
      <c r="A582" s="14" t="s">
        <v>2493</v>
      </c>
      <c r="B582" s="14" t="s">
        <v>2505</v>
      </c>
      <c r="C582" s="14" t="s">
        <v>2506</v>
      </c>
      <c r="D582" s="14" t="s">
        <v>276</v>
      </c>
      <c r="E582" s="14" t="s">
        <v>276</v>
      </c>
      <c r="F582" s="14" t="s">
        <v>276</v>
      </c>
      <c r="G582" s="14" t="s">
        <v>277</v>
      </c>
      <c r="I582" s="14" t="s">
        <v>277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CA2C-4B05-46AF-8ADE-4F5E46AB23FC}">
  <dimension ref="B2:C5"/>
  <sheetViews>
    <sheetView workbookViewId="0">
      <selection activeCell="J32" sqref="J32"/>
    </sheetView>
  </sheetViews>
  <sheetFormatPr defaultRowHeight="13.2" x14ac:dyDescent="0.25"/>
  <cols>
    <col min="2" max="2" width="16.88671875" bestFit="1" customWidth="1"/>
    <col min="3" max="3" width="14" bestFit="1" customWidth="1"/>
  </cols>
  <sheetData>
    <row r="2" spans="2:3" x14ac:dyDescent="0.25">
      <c r="B2" s="76" t="s">
        <v>2856</v>
      </c>
      <c r="C2" s="77">
        <f>SUM(C3:C5)</f>
        <v>104286590.09999999</v>
      </c>
    </row>
    <row r="3" spans="2:3" x14ac:dyDescent="0.25">
      <c r="C3" s="18">
        <v>34762196.699999996</v>
      </c>
    </row>
    <row r="4" spans="2:3" x14ac:dyDescent="0.25">
      <c r="C4" s="18">
        <v>34762196.699999996</v>
      </c>
    </row>
    <row r="5" spans="2:3" x14ac:dyDescent="0.25">
      <c r="C5" s="18">
        <v>34762196.699999996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Working-T05-B2</vt:lpstr>
      <vt:lpstr>GIÁ XUẤT KHO</vt:lpstr>
      <vt:lpstr>WSS03NC</vt:lpstr>
      <vt:lpstr>Sales</vt:lpstr>
      <vt:lpstr>Check-Hóa đơn</vt:lpstr>
      <vt:lpstr>Working-T05-B1</vt:lpstr>
      <vt:lpstr>Nam-Kế hoạch</vt:lpstr>
      <vt:lpstr>&gt;FAGLL03</vt:lpstr>
      <vt:lpstr>PV</vt:lpstr>
      <vt:lpstr>PV_SKU</vt:lpstr>
      <vt:lpstr>PV_Price</vt:lpstr>
      <vt:lpstr>EXR</vt:lpstr>
      <vt:lpstr>Data</vt:lpstr>
      <vt:lpstr>MD-Billing-SO</vt:lpstr>
      <vt:lpstr>MD_SKU</vt:lpstr>
      <vt:lpstr>Làm source</vt:lpstr>
      <vt:lpstr>EXR</vt:lpstr>
      <vt:lpstr>EXR_FC01</vt:lpstr>
      <vt:lpstr>EXR_FC02</vt:lpstr>
      <vt:lpstr>EXR_FC03</vt:lpstr>
      <vt:lpstr>EXR_FC04</vt:lpstr>
      <vt:lpstr>EXR_FC05</vt:lpstr>
      <vt:lpstr>EXR_FC06</vt:lpstr>
      <vt:lpstr>EXR_FC07</vt:lpstr>
      <vt:lpstr>EXR_FC08</vt:lpstr>
      <vt:lpstr>EXR_FC09</vt:lpstr>
      <vt:lpstr>EXR_FC10</vt:lpstr>
      <vt:lpstr>EXR_FC11</vt:lpstr>
      <vt:lpstr>EXR_FC12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Danh, Hoàng Duy</cp:lastModifiedBy>
  <cp:revision>1</cp:revision>
  <dcterms:created xsi:type="dcterms:W3CDTF">2025-12-30T02:57:34Z</dcterms:created>
  <dcterms:modified xsi:type="dcterms:W3CDTF">2026-04-14T14:27:28Z</dcterms:modified>
  <cp:category/>
</cp:coreProperties>
</file>