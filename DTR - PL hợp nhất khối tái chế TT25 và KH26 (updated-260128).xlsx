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danhhd_duytanrecycling_com/Documents/Work/"/>
    </mc:Choice>
  </mc:AlternateContent>
  <xr:revisionPtr revIDLastSave="0" documentId="8_{E31F4B00-89DF-441B-AA77-1C5E1DCEFF43}" xr6:coauthVersionLast="47" xr6:coauthVersionMax="47" xr10:uidLastSave="{00000000-0000-0000-0000-000000000000}"/>
  <bookViews>
    <workbookView xWindow="-120" yWindow="-120" windowWidth="29040" windowHeight="15720" xr2:uid="{06458288-3610-4A86-A42A-6650AEF04604}"/>
  </bookViews>
  <sheets>
    <sheet name="PL-Khối tái chế" sheetId="1" r:id="rId1"/>
  </sheets>
  <definedNames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h2" hidden="1">{"'Sheet1'!$L$16"}</definedName>
    <definedName name="___NSO2" hidden="1">{"'Sheet1'!$L$16"}</definedName>
    <definedName name="___tm2" hidden="1">{#N/A,#N/A,FALSE,"Chi tiÆt"}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cad2" hidden="1">{#N/A,#N/A,TRUE,"BT M200 da 10x20"}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NS03" hidden="1">{"'Sheet1'!$L$16"}</definedName>
    <definedName name="__NSO2" hidden="1">{"'Sheet1'!$L$16"}</definedName>
    <definedName name="__T01" hidden="1">#REF!</definedName>
    <definedName name="__tm2" hidden="1">{#N/A,#N/A,FALSE,"Chi tiÆt"}</definedName>
    <definedName name="__xlfn.BAHTTEXT" hidden="1">#NAME?</definedName>
    <definedName name="_1_" hidden="1">#REF!</definedName>
    <definedName name="_10F" hidden="1">#REF!</definedName>
    <definedName name="_11_0_0_F" hidden="1">#REF!</definedName>
    <definedName name="_12F" hidden="1">#REF!</definedName>
    <definedName name="_14F" hidden="1">#REF!</definedName>
    <definedName name="_15_0_0_F" hidden="1">#REF!</definedName>
    <definedName name="_15F" hidden="1">#REF!</definedName>
    <definedName name="_19_0_0_F" hidden="1">#REF!</definedName>
    <definedName name="_2_0_0_F" hidden="1">#REF!</definedName>
    <definedName name="_20_0_0_F" hidden="1">#REF!</definedName>
    <definedName name="_21_0_0_F" hidden="1">#REF!</definedName>
    <definedName name="_26_0_0_F" hidden="1">#REF!</definedName>
    <definedName name="_27_0_0_F" hidden="1">#REF!</definedName>
    <definedName name="_28_0_0_F" hidden="1">#REF!</definedName>
    <definedName name="_2F" hidden="1">#REF!</definedName>
    <definedName name="_3_0_0_F" hidden="1">#REF!</definedName>
    <definedName name="_300_0_0_F" hidden="1">#REF!</definedName>
    <definedName name="_301_0_0_F" hidden="1">#REF!</definedName>
    <definedName name="_36_0_0_F" hidden="1">#REF!</definedName>
    <definedName name="_37_0_0_F" hidden="1">#REF!</definedName>
    <definedName name="_4_0_0_F" hidden="1">#REF!</definedName>
    <definedName name="_4F" hidden="1">#REF!</definedName>
    <definedName name="_5_0_0_F" hidden="1">#REF!</definedName>
    <definedName name="_5F" hidden="1">#REF!</definedName>
    <definedName name="_6_0_0_F" hidden="1">#REF!</definedName>
    <definedName name="_6F" hidden="1">#REF!</definedName>
    <definedName name="_7_0_0_F" hidden="1">#REF!</definedName>
    <definedName name="_8_0_0_F" hidden="1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Builtin155" hidden="1">#N/A</definedName>
    <definedName name="_cad2" hidden="1">{#N/A,#N/A,TRUE,"BT M200 da 10x20"}</definedName>
    <definedName name="_CD2" hidden="1">{"'Sheet1'!$L$16"}</definedName>
    <definedName name="_f5" hidden="1">{"'Sheet1'!$L$16"}</definedName>
    <definedName name="_Fill" hidden="1">#REF!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oi8" hidden="1">{"'Sheet1'!$L$16"}</definedName>
    <definedName name="_h2" hidden="1">{"'Sheet1'!$L$16"}</definedName>
    <definedName name="_huy1" hidden="1">{"'Sheet1'!$L$16"}</definedName>
    <definedName name="_Key1" hidden="1">#REF!</definedName>
    <definedName name="_Key2" hidden="1">#REF!</definedName>
    <definedName name="_KP300" hidden="1">{"level1",#N/A,FALSE,"1_LEV";"LEVEL1",#N/A,FALSE,"1_LEV"}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0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m2" hidden="1">{#N/A,#N/A,FALSE,"Chi tiÆt"}</definedName>
    <definedName name="_ww2" hidden="1">{#N/A,#N/A,FALSE,"Admin";#N/A,#N/A,FALSE,"Other"}</definedName>
    <definedName name="_Z1" hidden="1">{"'ตัวอย่าง'!$A$1:$O$21"}</definedName>
    <definedName name="â" hidden="1">{"'Sheet1'!$L$16"}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ef" hidden="1">{"'ตัวอย่าง'!$A$1:$O$21"}</definedName>
    <definedName name="afd" hidden="1">{"'ตัวอย่าง'!$A$1:$O$21"}</definedName>
    <definedName name="ai" hidden="1">{"level1",#N/A,FALSE,"1_LEV";"LEVEL1",#N/A,FALSE,"1_LEV"}</definedName>
    <definedName name="anscount" hidden="1">1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a" hidden="1">#REF!</definedName>
    <definedName name="asdf" hidden="1">#REF!</definedName>
    <definedName name="ass" hidden="1">{"revable",#N/A,FALSE,"REVABLE"}</definedName>
    <definedName name="AUGFIX01" hidden="1">{"level1",#N/A,FALSE,"1_LEV";"LEVEL1",#N/A,FALSE,"1_LEV"}</definedName>
    <definedName name="AUGFIX02" hidden="1">{"level1",#N/A,FALSE,"1_LEV";"LEVEL1",#N/A,FALSE,"1_LEV"}</definedName>
    <definedName name="banking1" hidden="1">{"'Sheet1'!$L$16"}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onthak" hidden="1">{"'ตัวอย่าง'!$A$1:$O$21"}</definedName>
    <definedName name="caccccc" hidden="1">{"'Sheet1'!$L$16"}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hidden="1">{"PRINT_EST",#N/A,FALSE,"ESTMON"}</definedName>
    <definedName name="CCÑCangdung10.2" hidden="1">{"'Sheet1'!$L$16"}</definedName>
    <definedName name="Chart3" hidden="1">{"'Sheet1'!$L$16"}</definedName>
    <definedName name="Chiphi" hidden="1">{"'Sheet1'!$L$16"}</definedName>
    <definedName name="CIQWBGuid" hidden="1">"31f98984-787e-48fc-adc8-ee1c3151ce60"</definedName>
    <definedName name="CT" hidden="1">{#N/A,#N/A,TRUE,"BT M200 da 10x20"}</definedName>
    <definedName name="da" hidden="1">{"'Sheet1'!$L$16"}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base.File" hidden="1">#REF!</definedName>
    <definedName name="dd" hidden="1">{"'ตัวอย่าง'!$A$1:$O$21"}</definedName>
    <definedName name="ddd" hidden="1">{"index",#N/A,FALSE,"INDEX"}</definedName>
    <definedName name="del" hidden="1">{"level1",#N/A,FALSE,"1_LEV";"LEVEL1",#N/A,FALSE,"1_LEV"}</definedName>
    <definedName name="DenDK" hidden="1">{"'Sheet1'!$L$16"}</definedName>
    <definedName name="deryhrfm" hidden="1">{"'Sheet1'!$L$16"}</definedName>
    <definedName name="detail" hidden="1">{"index",#N/A,FALSE,"INDEX"}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hidden="1">{#N/A,#N/A,TRUE,"BT M200 da 10x20"}</definedName>
    <definedName name="Discount" hidden="1">#REF!</definedName>
    <definedName name="display_area_2" hidden="1">#REF!</definedName>
    <definedName name="djt" hidden="1">{"'Sheet1'!$L$16"}</definedName>
    <definedName name="DN" hidden="1">#REF!</definedName>
    <definedName name="ds\" hidden="1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hidden="1">{"'Sheet1'!$L$16"}</definedName>
    <definedName name="DWPRICE" hidden="1">#REF!</definedName>
    <definedName name="eee" hidden="1">{"revsale",#N/A,FALSE,"REV-ยุพดี"}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PORT_รายหน่วยงาน" hidden="1">{"'ตัวอย่าง'!$A$1:$O$21"}</definedName>
    <definedName name="FCode" hidden="1">#REF!</definedName>
    <definedName name="fdfdf" hidden="1">{"HK PR",#N/A,FALSE,"HK";"SUMMARY",#N/A,FALSE,"PAYROLL";"SUMMARY",#N/A,FALSE,"PAYROLL";"HK PR",#N/A,FALSE,"HK"}</definedName>
    <definedName name="ff" hidden="1">{"'ตัวอย่าง'!$A$1:$O$21"}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OREVER" hidden="1">{#N/A,#N/A,FALSE,"Chi tiÆt"}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hidden="1">{"HK PR",#N/A,FALSE,"HK";"SUMMARY",#N/A,FALSE,"PAYROLL";"SUMMARY",#N/A,FALSE,"PAYROLL";"HK PR",#N/A,FALSE,"HK"}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JVIF" hidden="1">{"Profit",#N/A,FALSE,"4500(12)";"Capital",#N/A,FALSE,"4500(12)";"Profit",#N/A,FALSE,"Cisco4000";"Capital",#N/A,FALSE,"Cisco4000"}</definedName>
    <definedName name="gnfg" hidden="1">{"HK PR",#N/A,FALSE,"HK";"SUMMARY",#N/A,FALSE,"PAYROLL";"SUMMARY",#N/A,FALSE,"PAYROLL";"HK PR",#N/A,FALSE,"HK"}</definedName>
    <definedName name="GTM" hidden="1">{"'Sheet1'!$L$16"}</definedName>
    <definedName name="hanh" hidden="1">{"'Sheet1'!$L$16"}</definedName>
    <definedName name="hbbbbbb" hidden="1">{"'Sheet1'!$L$16"}</definedName>
    <definedName name="hfgdas" hidden="1">#REF!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U" hidden="1">{"'Sheet1'!$L$16"}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hidden="1">#REF!</definedName>
    <definedName name="info2" hidden="1">{"level1",#N/A,FALSE,"1_LEV";"LEVEL1",#N/A,FALSE,"1_LEV"}</definedName>
    <definedName name="IntroPrintArea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hidden="1">{"HK PR",#N/A,FALSE,"HK";"SUMMARY",#N/A,FALSE,"PAYROLL";"SUMMARY",#N/A,FALSE,"PAYROLL";"HK PR",#N/A,FALSE,"HK"}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hidden="1">{"'Sheet1'!$L$16"}</definedName>
    <definedName name="kk" hidden="1">#REF!</definedName>
    <definedName name="KU" hidden="1">{"'Sheet1'!$L$16"}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ABOR_TAX" hidden="1">#REF!</definedName>
    <definedName name="Lai" hidden="1">{"'Sheet1'!$L$16"}</definedName>
    <definedName name="LAM" hidden="1">{#N/A,#N/A,TRUE,"BT M200 da 10x20"}</definedName>
    <definedName name="lan" hidden="1">{#N/A,#N/A,TRUE,"BT M200 da 10x20"}</definedName>
    <definedName name="limcount" hidden="1">1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oan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co" hidden="1">{"'Sheet1'!$L$16"}</definedName>
    <definedName name="moi" hidden="1">{"'Sheet1'!$L$16"}</definedName>
    <definedName name="mua" hidden="1">{"'Sheet1'!$L$16"}</definedName>
    <definedName name="neww" hidden="1">OFFSET(#REF!,1,0)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tUse" hidden="1">{"'ตัวอย่าง'!$A$1:$O$21"}</definedName>
    <definedName name="NPP" hidden="1">#REF!</definedName>
    <definedName name="nwe" hidden="1">{"'Sheet1'!$L$16"}</definedName>
    <definedName name="ooooo" hidden="1">{"'connew '!$C$40:$C$60"}</definedName>
    <definedName name="OrderTable" hidden="1">#REF!</definedName>
    <definedName name="Ownership" hidden="1">OFFSET(#REF!,1,0)</definedName>
    <definedName name="p" hidden="1">{"'ตัวอย่าง'!$A$1:$O$21"}</definedName>
    <definedName name="PARTS_TAX" hidden="1">#REF!</definedName>
    <definedName name="PC_msg" hidden="1">"Yes"</definedName>
    <definedName name="PHUONG" hidden="1">{#N/A,#N/A,TRUE,"BT M200 da 10x20"}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KTN." hidden="1">{"'Sheet1'!$L$16"}</definedName>
    <definedName name="PKTNN" hidden="1">{"'Sheet1'!$L$16"}</definedName>
    <definedName name="PP" hidden="1">{"'Model'!$A$1:$N$53"}</definedName>
    <definedName name="ProdForm" hidden="1">#REF!</definedName>
    <definedName name="Product" hidden="1">#REF!</definedName>
    <definedName name="PUTA" hidden="1">{"revsale",#N/A,FALSE,"REV-ยุพดี"}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CArea" hidden="1">#REF!</definedName>
    <definedName name="rd" hidden="1">{"'ตัวอย่าง'!$A$1:$O$21"}</definedName>
    <definedName name="rfju" hidden="1">{"'Sheet1'!$L$16"}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ung" hidden="1">"sci"</definedName>
    <definedName name="sad" hidden="1">{0}</definedName>
    <definedName name="SANG" hidden="1">{#N/A,#N/A,FALSE,"sum";#N/A,#N/A,FALSE,"MARTV";#N/A,#N/A,FALSE,"APRTV"}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C" hidden="1">{"'Sheet1'!$L$16"}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EPFIX01" hidden="1">{"income",#N/A,FALSE,"INCOME"}</definedName>
    <definedName name="sfe" hidden="1">{"'ตัวอย่าง'!$A$1:$O$21"}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ow.Acct.Update.Warning" hidden="1">#REF!</definedName>
    <definedName name="Show.MDB.Update.Warning" hidden="1">#REF!</definedName>
    <definedName name="SL" hidden="1">{"Profit",#N/A,FALSE,"Cisco4500";"Capital",#N/A,FALSE,"Cisco4500"}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hidden="1">#REF!</definedName>
    <definedName name="srgsaergfsergaerg" hidden="1">{"month_a",#N/A,FALSE,"ACTUALS";"ytd_a",#N/A,FALSE,"ACTUALS"}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aisan" hidden="1">{"'Sheet1'!$L$16"}</definedName>
    <definedName name="Tan" hidden="1">{"'Sheet1'!$L$16"}</definedName>
    <definedName name="tast" hidden="1">{"'connew '!$C$40:$C$60"}</definedName>
    <definedName name="tbl_ProdInfo" hidden="1">#REF!</definedName>
    <definedName name="test" hidden="1">{"'ตัวอย่าง'!$A$1:$O$21"}</definedName>
    <definedName name="test77" hidden="1">{"'ตัวอย่าง'!$A$1:$O$21"}</definedName>
    <definedName name="test8888" hidden="1">{"'ตัวอย่าง'!$A$1:$O$21"}</definedName>
    <definedName name="testa" hidden="1">{"'ตัวอย่าง'!$A$1:$O$21"}</definedName>
    <definedName name="TextRefCopyRangeCount" hidden="1">5</definedName>
    <definedName name="TH" hidden="1">{"'Sheet1'!$L$16"}</definedName>
    <definedName name="tha" hidden="1">{"'Sheet1'!$L$16"}</definedName>
    <definedName name="thanh" hidden="1">{"'Sheet1'!$L$16"}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u" hidden="1">{"'Sheet1'!$L$16"}</definedName>
    <definedName name="Tonghop" hidden="1">{"'Sheet1'!$L$16"}</definedName>
    <definedName name="trygmdgdh" hidden="1">{"'Sheet1'!$L$16"}</definedName>
    <definedName name="tt" hidden="1">{"'connew '!$C$40:$C$60"}</definedName>
    <definedName name="TTE" hidden="1">{"'ตัวอย่าง'!$A$1:$O$21"}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y" hidden="1">{"'Sheet1'!$L$16"}</definedName>
    <definedName name="UGVG" hidden="1">{#N/A,#N/A,TRUE,"BT M200 da 10x20"}</definedName>
    <definedName name="WEE" hidden="1">{"'ตัวอย่าง'!$A$1:$O$21"}</definedName>
    <definedName name="wf" hidden="1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adas" hidden="1">#REF!</definedName>
    <definedName name="xdfgsg" hidden="1">{"Profit",#N/A,FALSE,"Cisco7000a";"Capital",#N/A,FALSE,"Cisco7000a"}</definedName>
    <definedName name="xkeogjana" hidden="1">{"Reader",#N/A,FALSE,"Summary";"Reader",#N/A,FALSE,"Buildup";"Reader",#N/A,FALSE,"Financials";"Reader",#N/A,FALSE,"Debt &amp; Other"}</definedName>
    <definedName name="xls" hidden="1">{"F3 detail",#N/A,FALSE,"F1";"F3 Presentation",#N/A,FALSE,"F3 "}</definedName>
    <definedName name="xx" hidden="1">#REF!</definedName>
    <definedName name="xxxxx" hidden="1">{"HK PR",#N/A,FALSE,"HK";"SUMMARY",#N/A,FALSE,"PAYROLL";"SUMMARY",#N/A,FALSE,"PAYROLL";"HK PR",#N/A,FALSE,"HK"}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1" l="1"/>
  <c r="AA20" i="1"/>
  <c r="AC20" i="1" s="1"/>
  <c r="N20" i="1"/>
  <c r="R20" i="1" s="1"/>
  <c r="T20" i="1" s="1"/>
  <c r="E20" i="1"/>
  <c r="I20" i="1" s="1"/>
  <c r="K20" i="1" s="1"/>
  <c r="AB18" i="1"/>
  <c r="Z18" i="1"/>
  <c r="Y18" i="1"/>
  <c r="X18" i="1"/>
  <c r="S18" i="1"/>
  <c r="Q18" i="1"/>
  <c r="P18" i="1"/>
  <c r="O18" i="1"/>
  <c r="J18" i="1"/>
  <c r="H18" i="1"/>
  <c r="G18" i="1"/>
  <c r="F18" i="1"/>
  <c r="AA17" i="1"/>
  <c r="AC17" i="1" s="1"/>
  <c r="W17" i="1"/>
  <c r="N17" i="1"/>
  <c r="N18" i="1" s="1"/>
  <c r="M18" i="1"/>
  <c r="E17" i="1"/>
  <c r="I17" i="1" s="1"/>
  <c r="K17" i="1" s="1"/>
  <c r="W16" i="1"/>
  <c r="AA16" i="1" s="1"/>
  <c r="V18" i="1"/>
  <c r="R16" i="1"/>
  <c r="T16" i="1" s="1"/>
  <c r="N16" i="1"/>
  <c r="E16" i="1"/>
  <c r="E18" i="1" s="1"/>
  <c r="D18" i="1"/>
  <c r="AA14" i="1"/>
  <c r="AC14" i="1" s="1"/>
  <c r="W14" i="1"/>
  <c r="N14" i="1"/>
  <c r="R14" i="1"/>
  <c r="T14" i="1" s="1"/>
  <c r="E14" i="1"/>
  <c r="I14" i="1" s="1"/>
  <c r="K14" i="1" s="1"/>
  <c r="W13" i="1"/>
  <c r="AA13" i="1" s="1"/>
  <c r="AC13" i="1" s="1"/>
  <c r="R13" i="1"/>
  <c r="T13" i="1" s="1"/>
  <c r="N13" i="1"/>
  <c r="E13" i="1"/>
  <c r="I13" i="1"/>
  <c r="K13" i="1" s="1"/>
  <c r="W12" i="1"/>
  <c r="AA12" i="1" s="1"/>
  <c r="AC12" i="1" s="1"/>
  <c r="N12" i="1"/>
  <c r="R12" i="1" s="1"/>
  <c r="T12" i="1" s="1"/>
  <c r="I12" i="1"/>
  <c r="K12" i="1" s="1"/>
  <c r="E12" i="1"/>
  <c r="W11" i="1"/>
  <c r="AA11" i="1"/>
  <c r="AC11" i="1" s="1"/>
  <c r="N11" i="1"/>
  <c r="R11" i="1" s="1"/>
  <c r="T11" i="1" s="1"/>
  <c r="E11" i="1"/>
  <c r="I11" i="1" s="1"/>
  <c r="K11" i="1" s="1"/>
  <c r="AA10" i="1"/>
  <c r="AC10" i="1" s="1"/>
  <c r="W10" i="1"/>
  <c r="N10" i="1"/>
  <c r="R10" i="1"/>
  <c r="T10" i="1" s="1"/>
  <c r="E10" i="1"/>
  <c r="I10" i="1" s="1"/>
  <c r="K10" i="1" s="1"/>
  <c r="Z9" i="1"/>
  <c r="Z15" i="1" s="1"/>
  <c r="Z19" i="1" s="1"/>
  <c r="Z21" i="1" s="1"/>
  <c r="Y9" i="1"/>
  <c r="Y15" i="1" s="1"/>
  <c r="Y19" i="1" s="1"/>
  <c r="Y21" i="1" s="1"/>
  <c r="X9" i="1"/>
  <c r="X15" i="1" s="1"/>
  <c r="X19" i="1" s="1"/>
  <c r="X21" i="1" s="1"/>
  <c r="Q9" i="1"/>
  <c r="Q15" i="1" s="1"/>
  <c r="Q19" i="1" s="1"/>
  <c r="Q21" i="1" s="1"/>
  <c r="P9" i="1"/>
  <c r="P15" i="1" s="1"/>
  <c r="P19" i="1" s="1"/>
  <c r="P21" i="1" s="1"/>
  <c r="O9" i="1"/>
  <c r="O15" i="1" s="1"/>
  <c r="O19" i="1" s="1"/>
  <c r="O21" i="1" s="1"/>
  <c r="N9" i="1"/>
  <c r="N15" i="1" s="1"/>
  <c r="N19" i="1" s="1"/>
  <c r="N21" i="1" s="1"/>
  <c r="H9" i="1"/>
  <c r="H15" i="1" s="1"/>
  <c r="H19" i="1" s="1"/>
  <c r="H21" i="1" s="1"/>
  <c r="G9" i="1"/>
  <c r="G15" i="1" s="1"/>
  <c r="G19" i="1" s="1"/>
  <c r="G21" i="1" s="1"/>
  <c r="F9" i="1"/>
  <c r="F15" i="1" s="1"/>
  <c r="F19" i="1" s="1"/>
  <c r="F21" i="1" s="1"/>
  <c r="W8" i="1"/>
  <c r="AA8" i="1"/>
  <c r="N8" i="1"/>
  <c r="R8" i="1"/>
  <c r="E8" i="1"/>
  <c r="I8" i="1" s="1"/>
  <c r="W7" i="1"/>
  <c r="W9" i="1" s="1"/>
  <c r="W15" i="1" s="1"/>
  <c r="AA7" i="1"/>
  <c r="S7" i="1"/>
  <c r="R7" i="1"/>
  <c r="N7" i="1"/>
  <c r="M9" i="1"/>
  <c r="M15" i="1" s="1"/>
  <c r="M19" i="1" s="1"/>
  <c r="M21" i="1" s="1"/>
  <c r="J7" i="1"/>
  <c r="J8" i="1" s="1"/>
  <c r="E7" i="1"/>
  <c r="E9" i="1" s="1"/>
  <c r="E15" i="1" s="1"/>
  <c r="I7" i="1"/>
  <c r="AC6" i="1"/>
  <c r="Z6" i="1"/>
  <c r="Y6" i="1"/>
  <c r="X6" i="1"/>
  <c r="W6" i="1"/>
  <c r="T6" i="1"/>
  <c r="N6" i="1"/>
  <c r="K6" i="1"/>
  <c r="E6" i="1"/>
  <c r="AC5" i="1"/>
  <c r="W5" i="1"/>
  <c r="T5" i="1"/>
  <c r="N5" i="1"/>
  <c r="K5" i="1"/>
  <c r="E5" i="1"/>
  <c r="T18" i="1" l="1"/>
  <c r="K7" i="1"/>
  <c r="I9" i="1"/>
  <c r="I15" i="1" s="1"/>
  <c r="E19" i="1"/>
  <c r="E21" i="1" s="1"/>
  <c r="AA18" i="1"/>
  <c r="AC16" i="1"/>
  <c r="AC18" i="1" s="1"/>
  <c r="R9" i="1"/>
  <c r="R15" i="1" s="1"/>
  <c r="R19" i="1" s="1"/>
  <c r="R21" i="1" s="1"/>
  <c r="S9" i="1"/>
  <c r="S15" i="1" s="1"/>
  <c r="S19" i="1" s="1"/>
  <c r="AC7" i="1"/>
  <c r="AA9" i="1"/>
  <c r="AA15" i="1" s="1"/>
  <c r="AA19" i="1" s="1"/>
  <c r="AA21" i="1" s="1"/>
  <c r="K8" i="1"/>
  <c r="T7" i="1"/>
  <c r="W18" i="1"/>
  <c r="W19" i="1" s="1"/>
  <c r="W21" i="1" s="1"/>
  <c r="J9" i="1"/>
  <c r="J15" i="1" s="1"/>
  <c r="J19" i="1" s="1"/>
  <c r="R17" i="1"/>
  <c r="T17" i="1" s="1"/>
  <c r="AB7" i="1"/>
  <c r="D9" i="1"/>
  <c r="D15" i="1" s="1"/>
  <c r="D19" i="1" s="1"/>
  <c r="D21" i="1" s="1"/>
  <c r="V9" i="1"/>
  <c r="V15" i="1" s="1"/>
  <c r="V19" i="1" s="1"/>
  <c r="V21" i="1" s="1"/>
  <c r="R18" i="1"/>
  <c r="S8" i="1"/>
  <c r="T8" i="1" s="1"/>
  <c r="I16" i="1"/>
  <c r="T9" i="1" l="1"/>
  <c r="T15" i="1" s="1"/>
  <c r="T19" i="1" s="1"/>
  <c r="T21" i="1" s="1"/>
  <c r="AC9" i="1"/>
  <c r="AC15" i="1" s="1"/>
  <c r="AC19" i="1" s="1"/>
  <c r="AC21" i="1" s="1"/>
  <c r="K16" i="1"/>
  <c r="K18" i="1" s="1"/>
  <c r="I18" i="1"/>
  <c r="I19" i="1" s="1"/>
  <c r="I21" i="1" s="1"/>
  <c r="K9" i="1"/>
  <c r="K15" i="1" s="1"/>
  <c r="AB8" i="1"/>
  <c r="AC8" i="1" s="1"/>
  <c r="AB9" i="1"/>
  <c r="AB15" i="1" s="1"/>
  <c r="AB19" i="1" s="1"/>
  <c r="K19" i="1" l="1"/>
  <c r="K21" i="1" s="1"/>
</calcChain>
</file>

<file path=xl/sharedStrings.xml><?xml version="1.0" encoding="utf-8"?>
<sst xmlns="http://schemas.openxmlformats.org/spreadsheetml/2006/main" count="71" uniqueCount="39">
  <si>
    <t>STT</t>
  </si>
  <si>
    <r>
      <t xml:space="preserve">CHỈ TIÊU </t>
    </r>
    <r>
      <rPr>
        <i/>
        <sz val="9"/>
        <color theme="0"/>
        <rFont val="Arial"/>
        <family val="2"/>
      </rPr>
      <t>(Đvt: triệu đồng)</t>
    </r>
  </si>
  <si>
    <t>THÁNG 12/2025</t>
  </si>
  <si>
    <t>CẢ NĂM 2025</t>
  </si>
  <si>
    <t>KẾ HOẠCH 2026</t>
  </si>
  <si>
    <t>DTR</t>
  </si>
  <si>
    <t>3 trạm</t>
  </si>
  <si>
    <t>Đại Lộc</t>
  </si>
  <si>
    <t>Khánh Nga</t>
  </si>
  <si>
    <t>Đồng Lâm</t>
  </si>
  <si>
    <t>Tổng</t>
  </si>
  <si>
    <t>Loại trừ</t>
  </si>
  <si>
    <t>Hợp nhất</t>
  </si>
  <si>
    <t>[1]</t>
  </si>
  <si>
    <t>[2]</t>
  </si>
  <si>
    <t>[2.1]</t>
  </si>
  <si>
    <t>[2.2]</t>
  </si>
  <si>
    <t>[2.3]</t>
  </si>
  <si>
    <t>[3]=[1]+[2]</t>
  </si>
  <si>
    <t>[4]</t>
  </si>
  <si>
    <t>[5]=[3]+[4]</t>
  </si>
  <si>
    <t>Sản lượng bán-Sản phẩm chính (tấn)</t>
  </si>
  <si>
    <t>Sản lượng sản xuất (tấn)</t>
  </si>
  <si>
    <t>Doanh thu thuần</t>
  </si>
  <si>
    <t>Giá vốn hàng bán</t>
  </si>
  <si>
    <t>Lợi nhuận gộp</t>
  </si>
  <si>
    <t>Doanh thu tài chính</t>
  </si>
  <si>
    <t>Chi phí tài chính</t>
  </si>
  <si>
    <t>Trong đó: chi phí lãi vay</t>
  </si>
  <si>
    <t>Chi phí bán hàng</t>
  </si>
  <si>
    <t>Chi phí quản lý doanh nghiệp</t>
  </si>
  <si>
    <t>Lợi nhuận thuần từ hoạt động kinh doanh</t>
  </si>
  <si>
    <t>Thu nhập khác</t>
  </si>
  <si>
    <t>Chi phí khác</t>
  </si>
  <si>
    <t>Lợi nhuận khác</t>
  </si>
  <si>
    <t>Lợi nhuận trước thuế</t>
  </si>
  <si>
    <t>Chi phí thuế TNDN</t>
  </si>
  <si>
    <t>Lợi nhuận sau thuế</t>
  </si>
  <si>
    <r>
      <rPr>
        <i/>
        <u/>
        <sz val="10"/>
        <color theme="0" tint="-0.499984740745262"/>
        <rFont val="Arial"/>
        <family val="2"/>
      </rPr>
      <t>Ghi chú</t>
    </r>
    <r>
      <rPr>
        <i/>
        <sz val="10"/>
        <color theme="0" tint="-0.499984740745262"/>
        <rFont val="Arial"/>
        <family val="2"/>
      </rPr>
      <t>: Giả định số lượng chai/vảy mua từ 3 trạm đã bán ra ngoài hết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</si>
</sst>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name val="Arial"/>
    </font>
    <font>
      <b/>
      <sz val="10"/>
      <color theme="0"/>
      <name val="Arial"/>
      <family val="2"/>
    </font>
    <font>
      <i/>
      <sz val="9"/>
      <color theme="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sz val="10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499984740745262"/>
      <name val="Arial"/>
      <family val="2"/>
    </font>
    <font>
      <i/>
      <sz val="10"/>
      <color theme="0" tint="-0.249977111117893"/>
      <name val="Arial"/>
      <family val="2"/>
    </font>
    <font>
      <i/>
      <sz val="10"/>
      <color theme="0" tint="-0.499984740745262"/>
      <name val="Arial"/>
      <family val="2"/>
    </font>
    <font>
      <i/>
      <u/>
      <sz val="10"/>
      <color theme="0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/>
      <diagonal/>
    </border>
    <border>
      <left/>
      <right/>
      <top/>
      <bottom style="hair">
        <color theme="0" tint="-0.14996795556505021"/>
      </bottom>
      <diagonal/>
    </border>
    <border>
      <left style="thick">
        <color rgb="FFC00000"/>
      </left>
      <right style="thick">
        <color rgb="FFC00000"/>
      </right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ck">
        <color rgb="FFC00000"/>
      </left>
      <right style="thick">
        <color rgb="FFC00000"/>
      </right>
      <top style="hair">
        <color theme="0" tint="-0.1499679555650502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rgb="FFC00000"/>
      </left>
      <right style="thick">
        <color rgb="FFC00000"/>
      </right>
      <top style="thin">
        <color theme="1"/>
      </top>
      <bottom style="thin">
        <color theme="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rgb="FFC00000"/>
      </left>
      <right style="thick">
        <color rgb="FFC00000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top"/>
    </xf>
    <xf numFmtId="1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164" fontId="7" fillId="0" borderId="4" xfId="1" applyNumberFormat="1" applyFont="1" applyBorder="1" applyAlignment="1">
      <alignment vertical="top"/>
    </xf>
    <xf numFmtId="164" fontId="8" fillId="0" borderId="4" xfId="1" applyNumberFormat="1" applyFont="1" applyBorder="1" applyAlignment="1">
      <alignment vertical="top"/>
    </xf>
    <xf numFmtId="164" fontId="7" fillId="0" borderId="5" xfId="1" applyNumberFormat="1" applyFont="1" applyBorder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top"/>
    </xf>
    <xf numFmtId="164" fontId="3" fillId="0" borderId="4" xfId="1" applyNumberFormat="1" applyFont="1" applyBorder="1" applyAlignment="1">
      <alignment vertical="top"/>
    </xf>
    <xf numFmtId="164" fontId="9" fillId="0" borderId="4" xfId="1" applyNumberFormat="1" applyFont="1" applyBorder="1" applyAlignment="1">
      <alignment vertical="top"/>
    </xf>
    <xf numFmtId="164" fontId="3" fillId="0" borderId="5" xfId="1" applyNumberFormat="1" applyFont="1" applyBorder="1" applyAlignment="1">
      <alignment vertical="top"/>
    </xf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vertical="top"/>
    </xf>
    <xf numFmtId="164" fontId="0" fillId="0" borderId="6" xfId="1" applyNumberFormat="1" applyFont="1" applyBorder="1" applyAlignment="1">
      <alignment vertical="top"/>
    </xf>
    <xf numFmtId="164" fontId="8" fillId="0" borderId="6" xfId="1" applyNumberFormat="1" applyFont="1" applyBorder="1" applyAlignment="1">
      <alignment vertical="top"/>
    </xf>
    <xf numFmtId="164" fontId="0" fillId="0" borderId="7" xfId="1" applyNumberFormat="1" applyFont="1" applyBorder="1" applyAlignment="1">
      <alignment vertical="top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top"/>
    </xf>
    <xf numFmtId="164" fontId="3" fillId="0" borderId="8" xfId="1" applyNumberFormat="1" applyFont="1" applyBorder="1" applyAlignment="1">
      <alignment vertical="top"/>
    </xf>
    <xf numFmtId="164" fontId="9" fillId="0" borderId="8" xfId="1" applyNumberFormat="1" applyFont="1" applyBorder="1" applyAlignment="1">
      <alignment vertical="top"/>
    </xf>
    <xf numFmtId="164" fontId="3" fillId="0" borderId="9" xfId="1" applyNumberFormat="1" applyFont="1" applyBorder="1" applyAlignment="1">
      <alignment vertical="top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vertical="top"/>
    </xf>
    <xf numFmtId="164" fontId="0" fillId="0" borderId="5" xfId="1" applyNumberFormat="1" applyFont="1" applyBorder="1" applyAlignment="1">
      <alignment vertical="top"/>
    </xf>
    <xf numFmtId="0" fontId="0" fillId="0" borderId="10" xfId="0" applyBorder="1" applyAlignment="1">
      <alignment horizontal="center" vertical="center"/>
    </xf>
    <xf numFmtId="0" fontId="7" fillId="0" borderId="10" xfId="0" applyFont="1" applyBorder="1" applyAlignment="1">
      <alignment vertical="top"/>
    </xf>
    <xf numFmtId="164" fontId="0" fillId="0" borderId="10" xfId="1" applyNumberFormat="1" applyFont="1" applyBorder="1" applyAlignment="1">
      <alignment vertical="top"/>
    </xf>
    <xf numFmtId="164" fontId="8" fillId="0" borderId="10" xfId="1" applyNumberFormat="1" applyFont="1" applyBorder="1" applyAlignment="1">
      <alignment vertical="top"/>
    </xf>
    <xf numFmtId="164" fontId="0" fillId="0" borderId="11" xfId="1" applyNumberFormat="1" applyFont="1" applyBorder="1" applyAlignment="1">
      <alignment vertical="top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vertical="top"/>
    </xf>
    <xf numFmtId="0" fontId="10" fillId="0" borderId="0" xfId="0" applyFont="1" applyAlignment="1">
      <alignment vertical="top"/>
    </xf>
    <xf numFmtId="164" fontId="10" fillId="0" borderId="10" xfId="1" applyNumberFormat="1" applyFont="1" applyBorder="1" applyAlignment="1">
      <alignment vertical="top"/>
    </xf>
    <xf numFmtId="164" fontId="11" fillId="0" borderId="10" xfId="1" applyNumberFormat="1" applyFont="1" applyBorder="1" applyAlignment="1">
      <alignment vertical="top"/>
    </xf>
    <xf numFmtId="164" fontId="10" fillId="0" borderId="11" xfId="1" applyNumberFormat="1" applyFont="1" applyBorder="1" applyAlignment="1">
      <alignment vertical="top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vertical="top"/>
    </xf>
    <xf numFmtId="164" fontId="3" fillId="0" borderId="10" xfId="1" applyNumberFormat="1" applyFont="1" applyBorder="1" applyAlignment="1">
      <alignment vertical="top"/>
    </xf>
    <xf numFmtId="164" fontId="9" fillId="0" borderId="10" xfId="1" applyNumberFormat="1" applyFont="1" applyBorder="1" applyAlignment="1">
      <alignment vertical="top"/>
    </xf>
    <xf numFmtId="164" fontId="3" fillId="0" borderId="11" xfId="1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0" fillId="0" borderId="12" xfId="0" applyBorder="1" applyAlignment="1">
      <alignment vertical="top"/>
    </xf>
    <xf numFmtId="0" fontId="1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ED0B-E532-4405-9D93-D9089D2384DB}">
  <dimension ref="A1:AC23"/>
  <sheetViews>
    <sheetView showGridLines="0" tabSelected="1" zoomScale="145" zoomScaleNormal="14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S23" sqref="S23"/>
    </sheetView>
  </sheetViews>
  <sheetFormatPr defaultRowHeight="12.75" outlineLevelCol="1" x14ac:dyDescent="0.2"/>
  <cols>
    <col min="1" max="1" width="4.5703125" style="1" bestFit="1" customWidth="1"/>
    <col min="2" max="2" width="39.85546875" style="3" bestFit="1" customWidth="1"/>
    <col min="3" max="3" width="0.7109375" style="3" customWidth="1"/>
    <col min="4" max="4" width="12.42578125" style="3" customWidth="1"/>
    <col min="5" max="5" width="11" style="3" customWidth="1"/>
    <col min="6" max="6" width="9.140625" style="3" hidden="1" customWidth="1" outlineLevel="1"/>
    <col min="7" max="7" width="10.140625" style="3" hidden="1" customWidth="1" outlineLevel="1"/>
    <col min="8" max="8" width="9.42578125" style="3" hidden="1" customWidth="1" outlineLevel="1"/>
    <col min="9" max="9" width="11.7109375" style="3" bestFit="1" customWidth="1" collapsed="1"/>
    <col min="10" max="11" width="11.7109375" style="3" bestFit="1" customWidth="1"/>
    <col min="12" max="12" width="0.7109375" style="3" customWidth="1"/>
    <col min="13" max="13" width="12.42578125" style="3" customWidth="1"/>
    <col min="14" max="14" width="11" style="3" customWidth="1"/>
    <col min="15" max="15" width="9.140625" style="3" hidden="1" customWidth="1" outlineLevel="1"/>
    <col min="16" max="16" width="10.140625" style="3" hidden="1" customWidth="1" outlineLevel="1"/>
    <col min="17" max="17" width="9.42578125" style="3" hidden="1" customWidth="1" outlineLevel="1"/>
    <col min="18" max="18" width="11.7109375" style="3" bestFit="1" customWidth="1" collapsed="1"/>
    <col min="19" max="20" width="11.7109375" style="3" bestFit="1" customWidth="1"/>
    <col min="21" max="21" width="0.7109375" style="3" customWidth="1"/>
    <col min="22" max="22" width="12.42578125" style="3" customWidth="1"/>
    <col min="23" max="23" width="11" style="3" customWidth="1"/>
    <col min="24" max="24" width="9.140625" style="3" hidden="1" customWidth="1" outlineLevel="1"/>
    <col min="25" max="25" width="10.140625" style="3" hidden="1" customWidth="1" outlineLevel="1"/>
    <col min="26" max="26" width="9.42578125" style="3" hidden="1" customWidth="1" outlineLevel="1"/>
    <col min="27" max="27" width="11.7109375" style="3" bestFit="1" customWidth="1" collapsed="1"/>
    <col min="28" max="29" width="11.7109375" style="3" bestFit="1" customWidth="1"/>
    <col min="30" max="16384" width="9.140625" style="3"/>
  </cols>
  <sheetData>
    <row r="1" spans="1:29" x14ac:dyDescent="0.2">
      <c r="B1" s="2"/>
      <c r="F1" s="2"/>
      <c r="O1" s="2"/>
      <c r="X1" s="2"/>
    </row>
    <row r="2" spans="1:29" ht="13.5" thickBot="1" x14ac:dyDescent="0.25">
      <c r="A2" s="62" t="s">
        <v>0</v>
      </c>
      <c r="B2" s="63" t="s">
        <v>1</v>
      </c>
      <c r="D2" s="64" t="s">
        <v>2</v>
      </c>
      <c r="E2" s="64"/>
      <c r="F2" s="64"/>
      <c r="G2" s="64"/>
      <c r="H2" s="64"/>
      <c r="I2" s="64"/>
      <c r="J2" s="64"/>
      <c r="K2" s="65"/>
      <c r="M2" s="66" t="s">
        <v>3</v>
      </c>
      <c r="N2" s="66"/>
      <c r="O2" s="66"/>
      <c r="P2" s="66"/>
      <c r="Q2" s="66"/>
      <c r="R2" s="66"/>
      <c r="S2" s="66"/>
      <c r="T2" s="67"/>
      <c r="V2" s="68" t="s">
        <v>4</v>
      </c>
      <c r="W2" s="68"/>
      <c r="X2" s="68"/>
      <c r="Y2" s="68"/>
      <c r="Z2" s="68"/>
      <c r="AA2" s="68"/>
      <c r="AB2" s="68"/>
      <c r="AC2" s="69"/>
    </row>
    <row r="3" spans="1:29" ht="13.5" thickTop="1" x14ac:dyDescent="0.2">
      <c r="A3" s="62"/>
      <c r="B3" s="63"/>
      <c r="C3" s="4"/>
      <c r="D3" s="5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5" t="s">
        <v>10</v>
      </c>
      <c r="J3" s="5" t="s">
        <v>11</v>
      </c>
      <c r="K3" s="7" t="s">
        <v>12</v>
      </c>
      <c r="L3" s="4"/>
      <c r="M3" s="8" t="s">
        <v>5</v>
      </c>
      <c r="N3" s="8" t="s">
        <v>6</v>
      </c>
      <c r="O3" s="6" t="s">
        <v>7</v>
      </c>
      <c r="P3" s="6" t="s">
        <v>8</v>
      </c>
      <c r="Q3" s="6" t="s">
        <v>9</v>
      </c>
      <c r="R3" s="8" t="s">
        <v>10</v>
      </c>
      <c r="S3" s="8" t="s">
        <v>11</v>
      </c>
      <c r="T3" s="9" t="s">
        <v>12</v>
      </c>
      <c r="U3" s="4"/>
      <c r="V3" s="10" t="s">
        <v>5</v>
      </c>
      <c r="W3" s="10" t="s">
        <v>6</v>
      </c>
      <c r="X3" s="11" t="s">
        <v>7</v>
      </c>
      <c r="Y3" s="11" t="s">
        <v>8</v>
      </c>
      <c r="Z3" s="11" t="s">
        <v>9</v>
      </c>
      <c r="AA3" s="10" t="s">
        <v>10</v>
      </c>
      <c r="AB3" s="10" t="s">
        <v>11</v>
      </c>
      <c r="AC3" s="12" t="s">
        <v>12</v>
      </c>
    </row>
    <row r="4" spans="1:29" s="17" customFormat="1" x14ac:dyDescent="0.2">
      <c r="A4" s="13"/>
      <c r="B4" s="13"/>
      <c r="C4" s="14"/>
      <c r="D4" s="15" t="s">
        <v>13</v>
      </c>
      <c r="E4" s="15" t="s">
        <v>14</v>
      </c>
      <c r="F4" s="15" t="s">
        <v>15</v>
      </c>
      <c r="G4" s="15" t="s">
        <v>16</v>
      </c>
      <c r="H4" s="15" t="s">
        <v>17</v>
      </c>
      <c r="I4" s="15" t="s">
        <v>18</v>
      </c>
      <c r="J4" s="15" t="s">
        <v>19</v>
      </c>
      <c r="K4" s="16" t="s">
        <v>20</v>
      </c>
      <c r="L4" s="14"/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6" t="s">
        <v>20</v>
      </c>
      <c r="U4" s="14"/>
      <c r="V4" s="15" t="s">
        <v>13</v>
      </c>
      <c r="W4" s="15" t="s">
        <v>14</v>
      </c>
      <c r="X4" s="15" t="s">
        <v>15</v>
      </c>
      <c r="Y4" s="15" t="s">
        <v>16</v>
      </c>
      <c r="Z4" s="15" t="s">
        <v>17</v>
      </c>
      <c r="AA4" s="15" t="s">
        <v>18</v>
      </c>
      <c r="AB4" s="15" t="s">
        <v>19</v>
      </c>
      <c r="AC4" s="16" t="s">
        <v>20</v>
      </c>
    </row>
    <row r="5" spans="1:29" s="20" customFormat="1" x14ac:dyDescent="0.2">
      <c r="A5" s="18">
        <v>1</v>
      </c>
      <c r="B5" s="19" t="s">
        <v>21</v>
      </c>
      <c r="D5" s="21">
        <v>2781.1109999999999</v>
      </c>
      <c r="E5" s="21">
        <f t="shared" ref="E5:E6" si="0">SUM(F5:H5)</f>
        <v>1838.802283</v>
      </c>
      <c r="F5" s="22">
        <v>652.81378299999994</v>
      </c>
      <c r="G5" s="22">
        <v>635.89549999999997</v>
      </c>
      <c r="H5" s="22">
        <v>550.09299999999996</v>
      </c>
      <c r="I5" s="21"/>
      <c r="J5" s="21"/>
      <c r="K5" s="23">
        <f>D5</f>
        <v>2781.1109999999999</v>
      </c>
      <c r="M5" s="21">
        <v>46660.437700000002</v>
      </c>
      <c r="N5" s="21">
        <f t="shared" ref="N5:N6" si="1">SUM(O5:Q5)</f>
        <v>21663.407999999999</v>
      </c>
      <c r="O5" s="22">
        <v>9796.5229999999992</v>
      </c>
      <c r="P5" s="22">
        <v>6164.4949999999999</v>
      </c>
      <c r="Q5" s="22">
        <v>5702.39</v>
      </c>
      <c r="R5" s="21"/>
      <c r="S5" s="21"/>
      <c r="T5" s="23">
        <f>M5</f>
        <v>46660.437700000002</v>
      </c>
      <c r="V5" s="21">
        <v>55000</v>
      </c>
      <c r="W5" s="21">
        <f>SUM(X5:Z5)</f>
        <v>29233.917275</v>
      </c>
      <c r="X5" s="22">
        <v>10421.035</v>
      </c>
      <c r="Y5" s="22">
        <v>7116</v>
      </c>
      <c r="Z5" s="22">
        <v>11696.882275</v>
      </c>
      <c r="AA5" s="21"/>
      <c r="AB5" s="21"/>
      <c r="AC5" s="23">
        <f>V5</f>
        <v>55000</v>
      </c>
    </row>
    <row r="6" spans="1:29" s="20" customFormat="1" x14ac:dyDescent="0.2">
      <c r="A6" s="18">
        <v>2</v>
      </c>
      <c r="B6" s="19" t="s">
        <v>22</v>
      </c>
      <c r="D6" s="21">
        <v>3552.8617999999997</v>
      </c>
      <c r="E6" s="21">
        <f t="shared" si="0"/>
        <v>1819.5419999999999</v>
      </c>
      <c r="F6" s="22">
        <v>675.53300000000002</v>
      </c>
      <c r="G6" s="22">
        <v>613.73900000000003</v>
      </c>
      <c r="H6" s="22">
        <v>530.27</v>
      </c>
      <c r="I6" s="21"/>
      <c r="J6" s="21"/>
      <c r="K6" s="23">
        <f>D6</f>
        <v>3552.8617999999997</v>
      </c>
      <c r="M6" s="21">
        <v>45506.346299999997</v>
      </c>
      <c r="N6" s="21">
        <f t="shared" si="1"/>
        <v>23212.051689</v>
      </c>
      <c r="O6" s="22">
        <v>9824.0738890000011</v>
      </c>
      <c r="P6" s="22">
        <v>7096.7008000000005</v>
      </c>
      <c r="Q6" s="22">
        <v>6291.277</v>
      </c>
      <c r="R6" s="21"/>
      <c r="S6" s="21"/>
      <c r="T6" s="23">
        <f>M6</f>
        <v>45506.346299999997</v>
      </c>
      <c r="V6" s="21">
        <v>50000</v>
      </c>
      <c r="W6" s="21">
        <f>SUM(X6:Z6)</f>
        <v>29233.917275</v>
      </c>
      <c r="X6" s="22">
        <f>X5</f>
        <v>10421.035</v>
      </c>
      <c r="Y6" s="22">
        <f t="shared" ref="Y6:Z6" si="2">Y5</f>
        <v>7116</v>
      </c>
      <c r="Z6" s="22">
        <f t="shared" si="2"/>
        <v>11696.882275</v>
      </c>
      <c r="AA6" s="21"/>
      <c r="AB6" s="21"/>
      <c r="AC6" s="23">
        <f>V6</f>
        <v>50000</v>
      </c>
    </row>
    <row r="7" spans="1:29" s="4" customFormat="1" x14ac:dyDescent="0.2">
      <c r="A7" s="24">
        <v>3</v>
      </c>
      <c r="B7" s="25" t="s">
        <v>23</v>
      </c>
      <c r="D7" s="26">
        <v>101435.082581</v>
      </c>
      <c r="E7" s="26">
        <f>SUM(F7:H7)</f>
        <v>26473.02635</v>
      </c>
      <c r="F7" s="27">
        <v>10294.66763</v>
      </c>
      <c r="G7" s="27">
        <v>8694.2317199999998</v>
      </c>
      <c r="H7" s="27">
        <v>7484.1270000000004</v>
      </c>
      <c r="I7" s="26">
        <f>D7+E7</f>
        <v>127908.108931</v>
      </c>
      <c r="J7" s="26">
        <f>-E7-112.675+N("DTR bán phó sản và cung cấp dịch vụ vận chuyển")</f>
        <v>-26585.701349999999</v>
      </c>
      <c r="K7" s="28">
        <f>I7+J7</f>
        <v>101322.40758099999</v>
      </c>
      <c r="M7" s="26">
        <v>1539202.785036</v>
      </c>
      <c r="N7" s="26">
        <f>SUM(O7:Q7)</f>
        <v>372375.40644200001</v>
      </c>
      <c r="O7" s="27">
        <v>173927.68440299999</v>
      </c>
      <c r="P7" s="27">
        <v>102263.015418</v>
      </c>
      <c r="Q7" s="27">
        <v>96184.706621000005</v>
      </c>
      <c r="R7" s="26">
        <f>M7+N7</f>
        <v>1911578.191478</v>
      </c>
      <c r="S7" s="26">
        <f>-N7-490.175+N("DTR bán phó sản và cung cấp dịch vụ vận chuyển")</f>
        <v>-372865.581442</v>
      </c>
      <c r="T7" s="28">
        <f>R7+S7</f>
        <v>1538712.6100360001</v>
      </c>
      <c r="V7" s="26">
        <v>1704388.6999016821</v>
      </c>
      <c r="W7" s="26">
        <f>SUM(X7:Z7)</f>
        <v>500042.97800250002</v>
      </c>
      <c r="X7" s="27">
        <v>181075.815</v>
      </c>
      <c r="Y7" s="27">
        <v>109756</v>
      </c>
      <c r="Z7" s="27">
        <v>209211.16300249999</v>
      </c>
      <c r="AA7" s="26">
        <f>V7+W7</f>
        <v>2204431.6779041821</v>
      </c>
      <c r="AB7" s="26">
        <f>-W7</f>
        <v>-500042.97800250002</v>
      </c>
      <c r="AC7" s="28">
        <f>AA7+AB7</f>
        <v>1704388.6999016821</v>
      </c>
    </row>
    <row r="8" spans="1:29" x14ac:dyDescent="0.2">
      <c r="A8" s="29">
        <v>4</v>
      </c>
      <c r="B8" s="30" t="s">
        <v>24</v>
      </c>
      <c r="C8" s="20"/>
      <c r="D8" s="31">
        <v>66268.508077999999</v>
      </c>
      <c r="E8" s="31">
        <f>SUM(F8:H8)</f>
        <v>24245.493482999998</v>
      </c>
      <c r="F8" s="32">
        <v>10179.013440999999</v>
      </c>
      <c r="G8" s="32">
        <v>7372.9611089999999</v>
      </c>
      <c r="H8" s="32">
        <v>6693.5189330000003</v>
      </c>
      <c r="I8" s="31">
        <f>D8+E8</f>
        <v>90514.001560999997</v>
      </c>
      <c r="J8" s="31">
        <f>J7</f>
        <v>-26585.701349999999</v>
      </c>
      <c r="K8" s="33">
        <f>I8+J8</f>
        <v>63928.300210999994</v>
      </c>
      <c r="L8" s="20"/>
      <c r="M8" s="31">
        <v>1339455.976449</v>
      </c>
      <c r="N8" s="31">
        <f>SUM(O8:Q8)</f>
        <v>355316.90952424309</v>
      </c>
      <c r="O8" s="32">
        <v>173615.12560624306</v>
      </c>
      <c r="P8" s="32">
        <v>92839.155155999993</v>
      </c>
      <c r="Q8" s="32">
        <v>88862.628761999993</v>
      </c>
      <c r="R8" s="31">
        <f>M8+N8</f>
        <v>1694772.885973243</v>
      </c>
      <c r="S8" s="31">
        <f>S7</f>
        <v>-372865.581442</v>
      </c>
      <c r="T8" s="33">
        <f>R8+S8</f>
        <v>1321907.3045312432</v>
      </c>
      <c r="U8" s="20"/>
      <c r="V8" s="31">
        <v>1479316.074401296</v>
      </c>
      <c r="W8" s="31">
        <f>SUM(X8:Z8)</f>
        <v>473465.94717711897</v>
      </c>
      <c r="X8" s="32">
        <v>173315.60462650811</v>
      </c>
      <c r="Y8" s="32">
        <v>101677.93517966114</v>
      </c>
      <c r="Z8" s="32">
        <v>198472.40737094978</v>
      </c>
      <c r="AA8" s="31">
        <f>V8+W8</f>
        <v>1952782.0215784148</v>
      </c>
      <c r="AB8" s="31">
        <f>AB7</f>
        <v>-500042.97800250002</v>
      </c>
      <c r="AC8" s="33">
        <f>AA8+AB8</f>
        <v>1452739.0435759148</v>
      </c>
    </row>
    <row r="9" spans="1:29" s="4" customFormat="1" x14ac:dyDescent="0.2">
      <c r="A9" s="34">
        <v>5</v>
      </c>
      <c r="B9" s="35" t="s">
        <v>25</v>
      </c>
      <c r="D9" s="36">
        <f>D7-D8</f>
        <v>35166.574502999996</v>
      </c>
      <c r="E9" s="36">
        <f t="shared" ref="E9:K9" si="3">E7-E8</f>
        <v>2227.5328670000017</v>
      </c>
      <c r="F9" s="37">
        <f t="shared" si="3"/>
        <v>115.65418900000077</v>
      </c>
      <c r="G9" s="37">
        <f t="shared" si="3"/>
        <v>1321.2706109999999</v>
      </c>
      <c r="H9" s="37">
        <f t="shared" si="3"/>
        <v>790.60806700000012</v>
      </c>
      <c r="I9" s="36">
        <f t="shared" si="3"/>
        <v>37394.107369999998</v>
      </c>
      <c r="J9" s="36">
        <f t="shared" si="3"/>
        <v>0</v>
      </c>
      <c r="K9" s="38">
        <f t="shared" si="3"/>
        <v>37394.107369999998</v>
      </c>
      <c r="M9" s="36">
        <f>M7-M8</f>
        <v>199746.80858700001</v>
      </c>
      <c r="N9" s="36">
        <f t="shared" ref="N9:T9" si="4">N7-N8</f>
        <v>17058.496917756915</v>
      </c>
      <c r="O9" s="37">
        <f t="shared" si="4"/>
        <v>312.55879675692995</v>
      </c>
      <c r="P9" s="37">
        <f t="shared" si="4"/>
        <v>9423.860262000002</v>
      </c>
      <c r="Q9" s="37">
        <f t="shared" si="4"/>
        <v>7322.0778590000118</v>
      </c>
      <c r="R9" s="36">
        <f t="shared" si="4"/>
        <v>216805.30550475698</v>
      </c>
      <c r="S9" s="36">
        <f t="shared" si="4"/>
        <v>0</v>
      </c>
      <c r="T9" s="38">
        <f t="shared" si="4"/>
        <v>216805.30550475698</v>
      </c>
      <c r="V9" s="36">
        <f>V7-V8</f>
        <v>225072.62550038612</v>
      </c>
      <c r="W9" s="36">
        <f t="shared" ref="W9:AC9" si="5">W7-W8</f>
        <v>26577.030825381051</v>
      </c>
      <c r="X9" s="37">
        <f t="shared" si="5"/>
        <v>7760.2103734918928</v>
      </c>
      <c r="Y9" s="37">
        <f t="shared" si="5"/>
        <v>8078.0648203388555</v>
      </c>
      <c r="Z9" s="37">
        <f t="shared" si="5"/>
        <v>10738.755631550215</v>
      </c>
      <c r="AA9" s="36">
        <f t="shared" si="5"/>
        <v>251649.65632576728</v>
      </c>
      <c r="AB9" s="36">
        <f t="shared" si="5"/>
        <v>0</v>
      </c>
      <c r="AC9" s="38">
        <f t="shared" si="5"/>
        <v>251649.65632576728</v>
      </c>
    </row>
    <row r="10" spans="1:29" x14ac:dyDescent="0.2">
      <c r="A10" s="39">
        <v>6</v>
      </c>
      <c r="B10" s="19" t="s">
        <v>26</v>
      </c>
      <c r="C10" s="20"/>
      <c r="D10" s="40">
        <v>680.98245699999995</v>
      </c>
      <c r="E10" s="40">
        <f t="shared" ref="E10:E14" si="6">SUM(F10:H10)</f>
        <v>0</v>
      </c>
      <c r="F10" s="22"/>
      <c r="G10" s="22"/>
      <c r="H10" s="22"/>
      <c r="I10" s="40">
        <f t="shared" ref="I10:I14" si="7">D10+E10</f>
        <v>680.98245699999995</v>
      </c>
      <c r="J10" s="40"/>
      <c r="K10" s="41">
        <f t="shared" ref="K10:K14" si="8">I10+J10</f>
        <v>680.98245699999995</v>
      </c>
      <c r="L10" s="20"/>
      <c r="M10" s="40">
        <v>16906.508752000002</v>
      </c>
      <c r="N10" s="40">
        <f t="shared" ref="N10:N14" si="9">SUM(O10:Q10)</f>
        <v>0</v>
      </c>
      <c r="O10" s="22"/>
      <c r="P10" s="22"/>
      <c r="Q10" s="22"/>
      <c r="R10" s="40">
        <f t="shared" ref="R10:R14" si="10">M10+N10</f>
        <v>16906.508752000002</v>
      </c>
      <c r="S10" s="40"/>
      <c r="T10" s="41">
        <f t="shared" ref="T10:T14" si="11">R10+S10</f>
        <v>16906.508752000002</v>
      </c>
      <c r="U10" s="20"/>
      <c r="V10" s="40">
        <v>0</v>
      </c>
      <c r="W10" s="40">
        <f t="shared" ref="W10:W14" si="12">SUM(X10:Z10)</f>
        <v>162.84</v>
      </c>
      <c r="X10" s="22">
        <v>12.12</v>
      </c>
      <c r="Y10" s="22">
        <v>0.72</v>
      </c>
      <c r="Z10" s="22">
        <v>150</v>
      </c>
      <c r="AA10" s="40">
        <f t="shared" ref="AA10:AA14" si="13">V10+W10</f>
        <v>162.84</v>
      </c>
      <c r="AB10" s="40"/>
      <c r="AC10" s="41">
        <f t="shared" ref="AC10:AC14" si="14">AA10+AB10</f>
        <v>162.84</v>
      </c>
    </row>
    <row r="11" spans="1:29" x14ac:dyDescent="0.2">
      <c r="A11" s="42">
        <v>7</v>
      </c>
      <c r="B11" s="43" t="s">
        <v>27</v>
      </c>
      <c r="C11" s="20"/>
      <c r="D11" s="44">
        <v>2453.8541460000001</v>
      </c>
      <c r="E11" s="44">
        <f t="shared" si="6"/>
        <v>0</v>
      </c>
      <c r="F11" s="45"/>
      <c r="G11" s="45"/>
      <c r="H11" s="45"/>
      <c r="I11" s="44">
        <f t="shared" si="7"/>
        <v>2453.8541460000001</v>
      </c>
      <c r="J11" s="44"/>
      <c r="K11" s="46">
        <f t="shared" si="8"/>
        <v>2453.8541460000001</v>
      </c>
      <c r="L11" s="20"/>
      <c r="M11" s="44">
        <v>18515.490784000001</v>
      </c>
      <c r="N11" s="44">
        <f t="shared" si="9"/>
        <v>0</v>
      </c>
      <c r="O11" s="45"/>
      <c r="P11" s="45"/>
      <c r="Q11" s="45"/>
      <c r="R11" s="44">
        <f t="shared" si="10"/>
        <v>18515.490784000001</v>
      </c>
      <c r="S11" s="44"/>
      <c r="T11" s="46">
        <f t="shared" si="11"/>
        <v>18515.490784000001</v>
      </c>
      <c r="U11" s="20"/>
      <c r="V11" s="44">
        <v>32765.178882768443</v>
      </c>
      <c r="W11" s="44">
        <f t="shared" si="12"/>
        <v>0</v>
      </c>
      <c r="X11" s="45"/>
      <c r="Y11" s="45"/>
      <c r="Z11" s="45"/>
      <c r="AA11" s="44">
        <f t="shared" si="13"/>
        <v>32765.178882768443</v>
      </c>
      <c r="AB11" s="44"/>
      <c r="AC11" s="46">
        <f t="shared" si="14"/>
        <v>32765.178882768443</v>
      </c>
    </row>
    <row r="12" spans="1:29" s="49" customFormat="1" x14ac:dyDescent="0.2">
      <c r="A12" s="47">
        <v>8</v>
      </c>
      <c r="B12" s="48" t="s">
        <v>28</v>
      </c>
      <c r="D12" s="50">
        <v>1256.103396</v>
      </c>
      <c r="E12" s="50">
        <f t="shared" si="6"/>
        <v>0</v>
      </c>
      <c r="F12" s="51"/>
      <c r="G12" s="51"/>
      <c r="H12" s="51"/>
      <c r="I12" s="50">
        <f t="shared" si="7"/>
        <v>1256.103396</v>
      </c>
      <c r="J12" s="50"/>
      <c r="K12" s="52">
        <f t="shared" si="8"/>
        <v>1256.103396</v>
      </c>
      <c r="M12" s="50">
        <v>14263.439054</v>
      </c>
      <c r="N12" s="50">
        <f t="shared" si="9"/>
        <v>0</v>
      </c>
      <c r="O12" s="51"/>
      <c r="P12" s="51"/>
      <c r="Q12" s="51"/>
      <c r="R12" s="50">
        <f t="shared" si="10"/>
        <v>14263.439054</v>
      </c>
      <c r="S12" s="50"/>
      <c r="T12" s="52">
        <f t="shared" si="11"/>
        <v>14263.439054</v>
      </c>
      <c r="V12" s="50">
        <v>32765.178882768443</v>
      </c>
      <c r="W12" s="50">
        <f t="shared" si="12"/>
        <v>0</v>
      </c>
      <c r="X12" s="51"/>
      <c r="Y12" s="51"/>
      <c r="Z12" s="51"/>
      <c r="AA12" s="50">
        <f t="shared" si="13"/>
        <v>32765.178882768443</v>
      </c>
      <c r="AB12" s="50"/>
      <c r="AC12" s="52">
        <f t="shared" si="14"/>
        <v>32765.178882768443</v>
      </c>
    </row>
    <row r="13" spans="1:29" x14ac:dyDescent="0.2">
      <c r="A13" s="42">
        <v>9</v>
      </c>
      <c r="B13" s="43" t="s">
        <v>29</v>
      </c>
      <c r="C13" s="20"/>
      <c r="D13" s="44">
        <v>4717.6856049999997</v>
      </c>
      <c r="E13" s="44">
        <f t="shared" si="6"/>
        <v>545.70000000000005</v>
      </c>
      <c r="F13" s="45">
        <v>214</v>
      </c>
      <c r="G13" s="45">
        <v>138</v>
      </c>
      <c r="H13" s="45">
        <v>193.7</v>
      </c>
      <c r="I13" s="44">
        <f t="shared" si="7"/>
        <v>5263.3856049999995</v>
      </c>
      <c r="J13" s="44"/>
      <c r="K13" s="46">
        <f t="shared" si="8"/>
        <v>5263.3856049999995</v>
      </c>
      <c r="L13" s="20"/>
      <c r="M13" s="44">
        <v>55002.75028</v>
      </c>
      <c r="N13" s="44">
        <f t="shared" si="9"/>
        <v>6639.5</v>
      </c>
      <c r="O13" s="45">
        <v>3127.9</v>
      </c>
      <c r="P13" s="45">
        <v>1386.3</v>
      </c>
      <c r="Q13" s="45">
        <v>2125.3000000000002</v>
      </c>
      <c r="R13" s="44">
        <f t="shared" si="10"/>
        <v>61642.25028</v>
      </c>
      <c r="S13" s="44"/>
      <c r="T13" s="46">
        <f t="shared" si="11"/>
        <v>61642.25028</v>
      </c>
      <c r="U13" s="20"/>
      <c r="V13" s="44">
        <v>56990.079311206333</v>
      </c>
      <c r="W13" s="44">
        <f t="shared" si="12"/>
        <v>8817.7030930793662</v>
      </c>
      <c r="X13" s="45">
        <v>3451.9534222222228</v>
      </c>
      <c r="Y13" s="45">
        <v>1524.8571428571427</v>
      </c>
      <c r="Z13" s="45">
        <v>3840.8925279999999</v>
      </c>
      <c r="AA13" s="44">
        <f t="shared" si="13"/>
        <v>65807.782404285696</v>
      </c>
      <c r="AB13" s="44"/>
      <c r="AC13" s="46">
        <f t="shared" si="14"/>
        <v>65807.782404285696</v>
      </c>
    </row>
    <row r="14" spans="1:29" x14ac:dyDescent="0.2">
      <c r="A14" s="29">
        <v>10</v>
      </c>
      <c r="B14" s="30" t="s">
        <v>30</v>
      </c>
      <c r="C14" s="20"/>
      <c r="D14" s="31">
        <v>10510.637511999999</v>
      </c>
      <c r="E14" s="31">
        <f t="shared" si="6"/>
        <v>1568.2564190000001</v>
      </c>
      <c r="F14" s="32">
        <v>401.98308200000002</v>
      </c>
      <c r="G14" s="32">
        <v>661.14754400000004</v>
      </c>
      <c r="H14" s="32">
        <v>505.12579299999999</v>
      </c>
      <c r="I14" s="31">
        <f t="shared" si="7"/>
        <v>12078.893930999999</v>
      </c>
      <c r="J14" s="31"/>
      <c r="K14" s="33">
        <f t="shared" si="8"/>
        <v>12078.893930999999</v>
      </c>
      <c r="L14" s="20"/>
      <c r="M14" s="31">
        <v>93943.369288000002</v>
      </c>
      <c r="N14" s="31">
        <f t="shared" si="9"/>
        <v>10349.84498</v>
      </c>
      <c r="O14" s="32">
        <v>3920.4741560000002</v>
      </c>
      <c r="P14" s="32">
        <v>4197.2808679999998</v>
      </c>
      <c r="Q14" s="32">
        <v>2232.0899559999998</v>
      </c>
      <c r="R14" s="31">
        <f t="shared" si="10"/>
        <v>104293.214268</v>
      </c>
      <c r="S14" s="31"/>
      <c r="T14" s="33">
        <f t="shared" si="11"/>
        <v>104293.214268</v>
      </c>
      <c r="U14" s="20"/>
      <c r="V14" s="31">
        <v>99923.290565055053</v>
      </c>
      <c r="W14" s="31">
        <f t="shared" si="12"/>
        <v>16330.347816014384</v>
      </c>
      <c r="X14" s="32">
        <v>6204.5554569343003</v>
      </c>
      <c r="Y14" s="32">
        <v>5438.2817444097136</v>
      </c>
      <c r="Z14" s="32">
        <v>4687.5106146703711</v>
      </c>
      <c r="AA14" s="31">
        <f t="shared" si="13"/>
        <v>116253.63838106944</v>
      </c>
      <c r="AB14" s="31"/>
      <c r="AC14" s="33">
        <f t="shared" si="14"/>
        <v>116253.63838106944</v>
      </c>
    </row>
    <row r="15" spans="1:29" s="4" customFormat="1" x14ac:dyDescent="0.2">
      <c r="A15" s="34">
        <v>11</v>
      </c>
      <c r="B15" s="35" t="s">
        <v>31</v>
      </c>
      <c r="D15" s="36">
        <f>D9+D10-D11-D13-D14</f>
        <v>18165.379696999997</v>
      </c>
      <c r="E15" s="36">
        <f t="shared" ref="E15:K15" si="15">E9+E10-E11-E13-E14</f>
        <v>113.57644800000162</v>
      </c>
      <c r="F15" s="37">
        <f t="shared" si="15"/>
        <v>-500.32889299999925</v>
      </c>
      <c r="G15" s="37">
        <f t="shared" si="15"/>
        <v>522.12306699999988</v>
      </c>
      <c r="H15" s="37">
        <f t="shared" si="15"/>
        <v>91.782274000000086</v>
      </c>
      <c r="I15" s="36">
        <f t="shared" si="15"/>
        <v>18278.956145</v>
      </c>
      <c r="J15" s="36">
        <f t="shared" si="15"/>
        <v>0</v>
      </c>
      <c r="K15" s="38">
        <f t="shared" si="15"/>
        <v>18278.956145</v>
      </c>
      <c r="M15" s="36">
        <f>M9+M10-M11-M13-M14</f>
        <v>49191.706986999998</v>
      </c>
      <c r="N15" s="36">
        <f t="shared" ref="N15:T15" si="16">N9+N10-N11-N13-N14</f>
        <v>69.151937756914776</v>
      </c>
      <c r="O15" s="37">
        <f t="shared" si="16"/>
        <v>-6735.8153592430699</v>
      </c>
      <c r="P15" s="37">
        <f t="shared" si="16"/>
        <v>3840.279394000002</v>
      </c>
      <c r="Q15" s="37">
        <f t="shared" si="16"/>
        <v>2964.6879030000118</v>
      </c>
      <c r="R15" s="36">
        <f t="shared" si="16"/>
        <v>49260.858924756976</v>
      </c>
      <c r="S15" s="36">
        <f t="shared" si="16"/>
        <v>0</v>
      </c>
      <c r="T15" s="38">
        <f t="shared" si="16"/>
        <v>49260.858924756976</v>
      </c>
      <c r="V15" s="36">
        <f>V9+V10-V11-V13-V14</f>
        <v>35394.076741356301</v>
      </c>
      <c r="W15" s="36">
        <f t="shared" ref="W15:AC15" si="17">W9+W10-W11-W13-W14</f>
        <v>1591.8199162873007</v>
      </c>
      <c r="X15" s="37">
        <f t="shared" si="17"/>
        <v>-1884.1785056646304</v>
      </c>
      <c r="Y15" s="37">
        <f t="shared" si="17"/>
        <v>1115.6459330719999</v>
      </c>
      <c r="Z15" s="37">
        <f t="shared" si="17"/>
        <v>2360.3524888798438</v>
      </c>
      <c r="AA15" s="36">
        <f t="shared" si="17"/>
        <v>36985.896657643694</v>
      </c>
      <c r="AB15" s="36">
        <f t="shared" si="17"/>
        <v>0</v>
      </c>
      <c r="AC15" s="38">
        <f t="shared" si="17"/>
        <v>36985.896657643694</v>
      </c>
    </row>
    <row r="16" spans="1:29" x14ac:dyDescent="0.2">
      <c r="A16" s="39">
        <v>12</v>
      </c>
      <c r="B16" s="19" t="s">
        <v>32</v>
      </c>
      <c r="C16" s="20"/>
      <c r="D16" s="40">
        <v>42.486460999999998</v>
      </c>
      <c r="E16" s="40">
        <f t="shared" ref="E16:E17" si="18">SUM(F16:H16)</f>
        <v>171.87204800000001</v>
      </c>
      <c r="F16" s="22">
        <v>43.811928000000002</v>
      </c>
      <c r="G16" s="22">
        <v>75.717326999999997</v>
      </c>
      <c r="H16" s="22">
        <v>52.342793</v>
      </c>
      <c r="I16" s="40">
        <f t="shared" ref="I16:I17" si="19">D16+E16</f>
        <v>214.358509</v>
      </c>
      <c r="J16" s="40"/>
      <c r="K16" s="41">
        <f t="shared" ref="K16:K17" si="20">I16+J16</f>
        <v>214.358509</v>
      </c>
      <c r="L16" s="20"/>
      <c r="M16" s="40">
        <v>454.23863299999999</v>
      </c>
      <c r="N16" s="40">
        <f t="shared" ref="N16:N17" si="21">SUM(O16:Q16)</f>
        <v>853.57723400000009</v>
      </c>
      <c r="O16" s="22">
        <v>82.396393000000003</v>
      </c>
      <c r="P16" s="22">
        <v>364.85004600000002</v>
      </c>
      <c r="Q16" s="22">
        <v>406.33079500000002</v>
      </c>
      <c r="R16" s="40">
        <f t="shared" ref="R16:R17" si="22">M16+N16</f>
        <v>1307.815867</v>
      </c>
      <c r="S16" s="40"/>
      <c r="T16" s="41">
        <f t="shared" ref="T16:T17" si="23">R16+S16</f>
        <v>1307.815867</v>
      </c>
      <c r="U16" s="20"/>
      <c r="V16" s="40">
        <v>0</v>
      </c>
      <c r="W16" s="40">
        <f t="shared" ref="W16:W17" si="24">SUM(X16:Z16)</f>
        <v>0</v>
      </c>
      <c r="X16" s="22"/>
      <c r="Y16" s="22"/>
      <c r="Z16" s="22"/>
      <c r="AA16" s="40">
        <f t="shared" ref="AA16:AA17" si="25">V16+W16</f>
        <v>0</v>
      </c>
      <c r="AB16" s="40"/>
      <c r="AC16" s="41">
        <f t="shared" ref="AC16:AC17" si="26">AA16+AB16</f>
        <v>0</v>
      </c>
    </row>
    <row r="17" spans="1:29" x14ac:dyDescent="0.2">
      <c r="A17" s="42">
        <v>13</v>
      </c>
      <c r="B17" s="43" t="s">
        <v>33</v>
      </c>
      <c r="C17" s="20"/>
      <c r="D17" s="44">
        <v>1603.033842</v>
      </c>
      <c r="E17" s="44">
        <f t="shared" si="18"/>
        <v>0</v>
      </c>
      <c r="F17" s="45"/>
      <c r="G17" s="45"/>
      <c r="H17" s="45"/>
      <c r="I17" s="44">
        <f t="shared" si="19"/>
        <v>1603.033842</v>
      </c>
      <c r="J17" s="44"/>
      <c r="K17" s="46">
        <f t="shared" si="20"/>
        <v>1603.033842</v>
      </c>
      <c r="L17" s="20"/>
      <c r="M17" s="44">
        <v>7634.6689219999998</v>
      </c>
      <c r="N17" s="44">
        <f t="shared" si="21"/>
        <v>0</v>
      </c>
      <c r="O17" s="45"/>
      <c r="P17" s="45"/>
      <c r="Q17" s="45"/>
      <c r="R17" s="44">
        <f t="shared" si="22"/>
        <v>7634.6689219999998</v>
      </c>
      <c r="S17" s="44"/>
      <c r="T17" s="46">
        <f t="shared" si="23"/>
        <v>7634.6689219999998</v>
      </c>
      <c r="U17" s="20"/>
      <c r="V17" s="44">
        <v>7585.0000000000018</v>
      </c>
      <c r="W17" s="44">
        <f t="shared" si="24"/>
        <v>0</v>
      </c>
      <c r="X17" s="45"/>
      <c r="Y17" s="45"/>
      <c r="Z17" s="45"/>
      <c r="AA17" s="44">
        <f t="shared" si="25"/>
        <v>7585.0000000000018</v>
      </c>
      <c r="AB17" s="44"/>
      <c r="AC17" s="46">
        <f t="shared" si="26"/>
        <v>7585.0000000000018</v>
      </c>
    </row>
    <row r="18" spans="1:29" x14ac:dyDescent="0.2">
      <c r="A18" s="29">
        <v>14</v>
      </c>
      <c r="B18" s="30" t="s">
        <v>34</v>
      </c>
      <c r="C18" s="20"/>
      <c r="D18" s="31">
        <f>D16-D17</f>
        <v>-1560.5473810000001</v>
      </c>
      <c r="E18" s="31">
        <f t="shared" ref="E18:K18" si="27">E16-E17</f>
        <v>171.87204800000001</v>
      </c>
      <c r="F18" s="32">
        <f t="shared" si="27"/>
        <v>43.811928000000002</v>
      </c>
      <c r="G18" s="32">
        <f t="shared" si="27"/>
        <v>75.717326999999997</v>
      </c>
      <c r="H18" s="32">
        <f t="shared" si="27"/>
        <v>52.342793</v>
      </c>
      <c r="I18" s="31">
        <f t="shared" si="27"/>
        <v>-1388.6753330000001</v>
      </c>
      <c r="J18" s="31">
        <f t="shared" si="27"/>
        <v>0</v>
      </c>
      <c r="K18" s="33">
        <f t="shared" si="27"/>
        <v>-1388.6753330000001</v>
      </c>
      <c r="L18" s="20"/>
      <c r="M18" s="31">
        <f>M16-M17</f>
        <v>-7180.4302889999999</v>
      </c>
      <c r="N18" s="31">
        <f t="shared" ref="N18:T18" si="28">N16-N17</f>
        <v>853.57723400000009</v>
      </c>
      <c r="O18" s="32">
        <f t="shared" si="28"/>
        <v>82.396393000000003</v>
      </c>
      <c r="P18" s="32">
        <f t="shared" si="28"/>
        <v>364.85004600000002</v>
      </c>
      <c r="Q18" s="32">
        <f t="shared" si="28"/>
        <v>406.33079500000002</v>
      </c>
      <c r="R18" s="31">
        <f t="shared" si="28"/>
        <v>-6326.8530549999996</v>
      </c>
      <c r="S18" s="31">
        <f t="shared" si="28"/>
        <v>0</v>
      </c>
      <c r="T18" s="33">
        <f t="shared" si="28"/>
        <v>-6326.8530549999996</v>
      </c>
      <c r="U18" s="20"/>
      <c r="V18" s="31">
        <f>V16-V17</f>
        <v>-7585.0000000000018</v>
      </c>
      <c r="W18" s="31">
        <f t="shared" ref="W18:AC18" si="29">W16-W17</f>
        <v>0</v>
      </c>
      <c r="X18" s="32">
        <f t="shared" si="29"/>
        <v>0</v>
      </c>
      <c r="Y18" s="32">
        <f t="shared" si="29"/>
        <v>0</v>
      </c>
      <c r="Z18" s="32">
        <f t="shared" si="29"/>
        <v>0</v>
      </c>
      <c r="AA18" s="31">
        <f t="shared" si="29"/>
        <v>-7585.0000000000018</v>
      </c>
      <c r="AB18" s="31">
        <f t="shared" si="29"/>
        <v>0</v>
      </c>
      <c r="AC18" s="33">
        <f t="shared" si="29"/>
        <v>-7585.0000000000018</v>
      </c>
    </row>
    <row r="19" spans="1:29" s="4" customFormat="1" x14ac:dyDescent="0.2">
      <c r="A19" s="34">
        <v>15</v>
      </c>
      <c r="B19" s="35" t="s">
        <v>35</v>
      </c>
      <c r="D19" s="36">
        <f>D15+D18</f>
        <v>16604.832315999996</v>
      </c>
      <c r="E19" s="36">
        <f t="shared" ref="E19:K19" si="30">E15+E18</f>
        <v>285.44849600000163</v>
      </c>
      <c r="F19" s="37">
        <f t="shared" si="30"/>
        <v>-456.51696499999923</v>
      </c>
      <c r="G19" s="37">
        <f t="shared" si="30"/>
        <v>597.84039399999983</v>
      </c>
      <c r="H19" s="37">
        <f t="shared" si="30"/>
        <v>144.12506700000009</v>
      </c>
      <c r="I19" s="36">
        <f t="shared" si="30"/>
        <v>16890.280812000001</v>
      </c>
      <c r="J19" s="36">
        <f t="shared" si="30"/>
        <v>0</v>
      </c>
      <c r="K19" s="38">
        <f t="shared" si="30"/>
        <v>16890.280812000001</v>
      </c>
      <c r="M19" s="36">
        <f>M15+M18</f>
        <v>42011.276698000001</v>
      </c>
      <c r="N19" s="36">
        <f t="shared" ref="N19:T19" si="31">N15+N18</f>
        <v>922.72917175691487</v>
      </c>
      <c r="O19" s="37">
        <f t="shared" si="31"/>
        <v>-6653.4189662430699</v>
      </c>
      <c r="P19" s="37">
        <f t="shared" si="31"/>
        <v>4205.1294400000024</v>
      </c>
      <c r="Q19" s="37">
        <f t="shared" si="31"/>
        <v>3371.0186980000117</v>
      </c>
      <c r="R19" s="36">
        <f t="shared" si="31"/>
        <v>42934.005869756977</v>
      </c>
      <c r="S19" s="36">
        <f t="shared" si="31"/>
        <v>0</v>
      </c>
      <c r="T19" s="38">
        <f t="shared" si="31"/>
        <v>42934.005869756977</v>
      </c>
      <c r="V19" s="36">
        <f>V15+V18</f>
        <v>27809.076741356301</v>
      </c>
      <c r="W19" s="36">
        <f t="shared" ref="W19:AC19" si="32">W15+W18</f>
        <v>1591.8199162873007</v>
      </c>
      <c r="X19" s="37">
        <f t="shared" si="32"/>
        <v>-1884.1785056646304</v>
      </c>
      <c r="Y19" s="37">
        <f t="shared" si="32"/>
        <v>1115.6459330719999</v>
      </c>
      <c r="Z19" s="37">
        <f t="shared" si="32"/>
        <v>2360.3524888798438</v>
      </c>
      <c r="AA19" s="36">
        <f t="shared" si="32"/>
        <v>29400.896657643694</v>
      </c>
      <c r="AB19" s="36">
        <f t="shared" si="32"/>
        <v>0</v>
      </c>
      <c r="AC19" s="38">
        <f t="shared" si="32"/>
        <v>29400.896657643694</v>
      </c>
    </row>
    <row r="20" spans="1:29" x14ac:dyDescent="0.2">
      <c r="A20" s="53">
        <v>16</v>
      </c>
      <c r="B20" s="19" t="s">
        <v>36</v>
      </c>
      <c r="C20" s="20"/>
      <c r="D20" s="40">
        <v>2388.4379450000001</v>
      </c>
      <c r="E20" s="40">
        <f>SUM(F20:H20)</f>
        <v>0</v>
      </c>
      <c r="F20" s="22"/>
      <c r="G20" s="22"/>
      <c r="H20" s="22"/>
      <c r="I20" s="40">
        <f>D20+E20</f>
        <v>2388.4379450000001</v>
      </c>
      <c r="J20" s="40"/>
      <c r="K20" s="41">
        <f t="shared" ref="K20" si="33">I20+J20</f>
        <v>2388.4379450000001</v>
      </c>
      <c r="L20" s="20"/>
      <c r="M20" s="40">
        <v>4719.6404009999997</v>
      </c>
      <c r="N20" s="40">
        <f>SUM(O20:Q20)</f>
        <v>0</v>
      </c>
      <c r="O20" s="22"/>
      <c r="P20" s="22"/>
      <c r="Q20" s="22"/>
      <c r="R20" s="40">
        <f>M20+N20</f>
        <v>4719.6404009999997</v>
      </c>
      <c r="S20" s="40"/>
      <c r="T20" s="41">
        <f t="shared" ref="T20" si="34">R20+S20</f>
        <v>4719.6404009999997</v>
      </c>
      <c r="U20" s="20"/>
      <c r="V20" s="40">
        <v>5561.8153482713642</v>
      </c>
      <c r="W20" s="40">
        <f>SUM(X20:Z20)</f>
        <v>0</v>
      </c>
      <c r="X20" s="22"/>
      <c r="Y20" s="22"/>
      <c r="Z20" s="22"/>
      <c r="AA20" s="40">
        <f>V20+W20</f>
        <v>5561.8153482713642</v>
      </c>
      <c r="AB20" s="40"/>
      <c r="AC20" s="41">
        <f t="shared" ref="AC20" si="35">AA20+AB20</f>
        <v>5561.8153482713642</v>
      </c>
    </row>
    <row r="21" spans="1:29" s="4" customFormat="1" x14ac:dyDescent="0.2">
      <c r="A21" s="54">
        <v>17</v>
      </c>
      <c r="B21" s="55" t="s">
        <v>37</v>
      </c>
      <c r="D21" s="56">
        <f>D19-D20</f>
        <v>14216.394370999997</v>
      </c>
      <c r="E21" s="56">
        <f>E19-E20</f>
        <v>285.44849600000163</v>
      </c>
      <c r="F21" s="57">
        <f t="shared" ref="F21:H21" si="36">F19-F20</f>
        <v>-456.51696499999923</v>
      </c>
      <c r="G21" s="57">
        <f t="shared" si="36"/>
        <v>597.84039399999983</v>
      </c>
      <c r="H21" s="57">
        <f t="shared" si="36"/>
        <v>144.12506700000009</v>
      </c>
      <c r="I21" s="56">
        <f>I19-I20</f>
        <v>14501.842867000001</v>
      </c>
      <c r="J21" s="56"/>
      <c r="K21" s="58">
        <f>K19-K20</f>
        <v>14501.842867000001</v>
      </c>
      <c r="M21" s="56">
        <f>M19-M20</f>
        <v>37291.636297000005</v>
      </c>
      <c r="N21" s="56">
        <f>N19-N20</f>
        <v>922.72917175691487</v>
      </c>
      <c r="O21" s="57">
        <f t="shared" ref="O21:Q21" si="37">O19-O20</f>
        <v>-6653.4189662430699</v>
      </c>
      <c r="P21" s="57">
        <f t="shared" si="37"/>
        <v>4205.1294400000024</v>
      </c>
      <c r="Q21" s="57">
        <f t="shared" si="37"/>
        <v>3371.0186980000117</v>
      </c>
      <c r="R21" s="56">
        <f>R19-R20</f>
        <v>38214.36546875698</v>
      </c>
      <c r="S21" s="56"/>
      <c r="T21" s="58">
        <f>T19-T20</f>
        <v>38214.36546875698</v>
      </c>
      <c r="V21" s="56">
        <f>V19-V20</f>
        <v>22247.261393084937</v>
      </c>
      <c r="W21" s="56">
        <f>W19-W20</f>
        <v>1591.8199162873007</v>
      </c>
      <c r="X21" s="57">
        <f t="shared" ref="X21:Z21" si="38">X19-X20</f>
        <v>-1884.1785056646304</v>
      </c>
      <c r="Y21" s="57">
        <f t="shared" si="38"/>
        <v>1115.6459330719999</v>
      </c>
      <c r="Z21" s="57">
        <f t="shared" si="38"/>
        <v>2360.3524888798438</v>
      </c>
      <c r="AA21" s="56">
        <f>AA19-AA20</f>
        <v>23839.08130937233</v>
      </c>
      <c r="AB21" s="56"/>
      <c r="AC21" s="58">
        <f>AC19-AC20</f>
        <v>23839.08130937233</v>
      </c>
    </row>
    <row r="22" spans="1:29" ht="13.5" thickBot="1" x14ac:dyDescent="0.25">
      <c r="F22" s="59"/>
      <c r="G22" s="59"/>
      <c r="H22" s="59"/>
      <c r="K22" s="60"/>
      <c r="O22" s="59"/>
      <c r="P22" s="59"/>
      <c r="Q22" s="59"/>
      <c r="T22" s="60"/>
      <c r="X22" s="59"/>
      <c r="Y22" s="59"/>
      <c r="Z22" s="59"/>
      <c r="AC22" s="60"/>
    </row>
    <row r="23" spans="1:29" ht="13.5" thickTop="1" x14ac:dyDescent="0.2">
      <c r="A23" s="61" t="s">
        <v>38</v>
      </c>
    </row>
  </sheetData>
  <mergeCells count="5">
    <mergeCell ref="A2:A3"/>
    <mergeCell ref="B2:B3"/>
    <mergeCell ref="D2:K2"/>
    <mergeCell ref="M2:T2"/>
    <mergeCell ref="V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PL-Khối tái chế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2026-01-28T07:02:02Z</dcterms:created>
  <dcterms:modified xsi:type="dcterms:W3CDTF">2026-01-28T07:03:15Z</dcterms:modified>
</cp:coreProperties>
</file>