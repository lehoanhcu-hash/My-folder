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13_ncr:1_{5106C43E-A301-455E-858E-5AE17D10769B}" xr6:coauthVersionLast="47" xr6:coauthVersionMax="47" xr10:uidLastSave="{00000000-0000-0000-0000-000000000000}"/>
  <workbookProtection workbookAlgorithmName="SHA-512" workbookHashValue="A2Z/vTkM7uUwYivqDkJs2EhCK/00xW5FW8m2u5o/gVEkAK5JiV/x5VBB3hm3yYnu/RtL7CMffs+4Ug49hMtOSQ==" workbookSaltValue="rh/vcBBT2ooln56A4grS8g==" workbookSpinCount="100000" lockStructure="1"/>
  <bookViews>
    <workbookView xWindow="-110" yWindow="-110" windowWidth="19420" windowHeight="10300" tabRatio="828" firstSheet="4" activeTab="7" xr2:uid="{2DBF856C-5099-43A8-8875-A4F54306818C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r:id="rId12"/>
    <sheet name="Phu luc SX" sheetId="13" r:id="rId13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BLQ'!$A$8:$AE$8</definedName>
    <definedName name="_xlnm._FilterDatabase" localSheetId="6" hidden="1">'Tinh hinh tai chinh'!$B$3:$AY$194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31" i="4" l="1"/>
  <c r="BP14" i="4" l="1"/>
  <c r="BP23" i="3" l="1"/>
  <c r="BP41" i="3" s="1"/>
  <c r="BP44" i="3" s="1"/>
  <c r="BP42" i="3"/>
  <c r="BP32" i="3"/>
  <c r="BP13" i="3"/>
  <c r="BP5" i="3"/>
  <c r="BP23" i="2" l="1"/>
  <c r="BP19" i="2"/>
  <c r="BP20" i="2" s="1"/>
  <c r="BP16" i="2"/>
  <c r="BP9" i="2"/>
  <c r="BP36" i="1"/>
  <c r="BP81" i="1" s="1"/>
  <c r="BP129" i="1"/>
  <c r="BP126" i="1"/>
  <c r="BP114" i="1" s="1"/>
  <c r="BP115" i="1"/>
  <c r="BP83" i="1"/>
  <c r="BP82" i="1" s="1"/>
  <c r="BP51" i="1"/>
  <c r="BP45" i="1"/>
  <c r="BP23" i="1"/>
  <c r="BP15" i="1"/>
  <c r="BP5" i="1"/>
  <c r="R23" i="12"/>
  <c r="R15" i="12"/>
  <c r="R195" i="12"/>
  <c r="R194" i="12"/>
  <c r="R193" i="12"/>
  <c r="R140" i="12"/>
  <c r="R139" i="12"/>
  <c r="R129" i="12"/>
  <c r="BO32" i="3"/>
  <c r="BO13" i="3"/>
  <c r="BO5" i="3"/>
  <c r="BP44" i="1" l="1"/>
  <c r="BP4" i="1"/>
  <c r="BO14" i="4"/>
  <c r="BO23" i="2"/>
  <c r="BO20" i="2"/>
  <c r="BO19" i="2"/>
  <c r="BO16" i="2"/>
  <c r="BO9" i="2"/>
  <c r="BO23" i="1"/>
  <c r="BO129" i="1"/>
  <c r="BO126" i="1"/>
  <c r="BO115" i="1"/>
  <c r="BO114" i="1" s="1"/>
  <c r="BO83" i="1"/>
  <c r="BO82" i="1" s="1"/>
  <c r="BO51" i="1"/>
  <c r="BO45" i="1"/>
  <c r="BO15" i="1"/>
  <c r="BO5" i="1"/>
  <c r="BO44" i="1" l="1"/>
  <c r="BO36" i="1" s="1"/>
  <c r="BO4" i="1"/>
  <c r="BO81" i="1" s="1"/>
  <c r="BN14" i="4" l="1"/>
  <c r="BN19" i="2"/>
  <c r="BN16" i="2"/>
  <c r="BN9" i="2"/>
  <c r="BN23" i="3"/>
  <c r="BN41" i="3" s="1"/>
  <c r="BN44" i="3" s="1"/>
  <c r="BO42" i="3" s="1"/>
  <c r="BN32" i="3"/>
  <c r="BN13" i="3"/>
  <c r="BN129" i="1" l="1"/>
  <c r="BN126" i="1"/>
  <c r="BN115" i="1"/>
  <c r="BN114" i="1" s="1"/>
  <c r="BN83" i="1"/>
  <c r="BN82" i="1" s="1"/>
  <c r="BN81" i="1"/>
  <c r="BN51" i="1"/>
  <c r="BN44" i="1" s="1"/>
  <c r="BN36" i="1" s="1"/>
  <c r="BN45" i="1"/>
  <c r="BN15" i="1"/>
  <c r="BN5" i="1"/>
  <c r="BN20" i="2"/>
  <c r="BN23" i="2" s="1"/>
  <c r="BN4" i="1" l="1"/>
  <c r="D59" i="11" l="1"/>
  <c r="D53" i="11"/>
  <c r="F41" i="10"/>
  <c r="BM14" i="4"/>
  <c r="BM67" i="5"/>
  <c r="BM23" i="2"/>
  <c r="BM20" i="2"/>
  <c r="BM19" i="2"/>
  <c r="BM16" i="2"/>
  <c r="BM9" i="2"/>
  <c r="BM7" i="2"/>
  <c r="BM129" i="1"/>
  <c r="BM114" i="1"/>
  <c r="BM115" i="1"/>
  <c r="BM126" i="1"/>
  <c r="BM82" i="1"/>
  <c r="BM83" i="1"/>
  <c r="BM81" i="1"/>
  <c r="BM51" i="1"/>
  <c r="BM45" i="1"/>
  <c r="BM15" i="1"/>
  <c r="BM5" i="1"/>
  <c r="BM8" i="4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BM44" i="1" l="1"/>
  <c r="BM36" i="1" s="1"/>
  <c r="BM4" i="1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BK24" i="4" l="1"/>
  <c r="BJ24" i="4"/>
  <c r="BI24" i="4"/>
  <c r="BH24" i="4"/>
  <c r="BG24" i="4"/>
  <c r="BF24" i="4"/>
  <c r="BE24" i="4"/>
  <c r="BD24" i="4"/>
  <c r="BC24" i="4"/>
  <c r="BB24" i="4"/>
  <c r="BA24" i="4"/>
  <c r="AZ24" i="4"/>
  <c r="B166" i="9" l="1"/>
  <c r="BL16" i="4" l="1"/>
  <c r="BL16" i="3" l="1"/>
  <c r="BL32" i="3" l="1"/>
  <c r="BL13" i="3"/>
  <c r="BL23" i="3" s="1"/>
  <c r="BL41" i="3" l="1"/>
  <c r="BL44" i="3" s="1"/>
  <c r="BK16" i="3"/>
  <c r="BK23" i="3"/>
  <c r="BK41" i="3" s="1"/>
  <c r="BK44" i="3" l="1"/>
  <c r="BL129" i="1"/>
  <c r="BL83" i="1"/>
  <c r="BL82" i="1" s="1"/>
  <c r="BL81" i="1"/>
  <c r="BL45" i="1"/>
  <c r="BL44" i="1" s="1"/>
  <c r="BL36" i="1" s="1"/>
  <c r="BL30" i="1"/>
  <c r="BL15" i="1"/>
  <c r="BL5" i="1"/>
  <c r="BL4" i="1" l="1"/>
  <c r="BK83" i="1"/>
  <c r="E49" i="11"/>
  <c r="D49" i="11"/>
  <c r="C49" i="11"/>
  <c r="B49" i="11"/>
  <c r="E48" i="11"/>
  <c r="D48" i="11"/>
  <c r="C48" i="11"/>
  <c r="B48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D11" i="11"/>
  <c r="C11" i="11"/>
  <c r="B11" i="11"/>
  <c r="G28" i="10"/>
  <c r="F28" i="10"/>
  <c r="E28" i="10"/>
  <c r="D28" i="10"/>
  <c r="G27" i="10"/>
  <c r="F27" i="10"/>
  <c r="E27" i="10"/>
  <c r="D27" i="10"/>
  <c r="G26" i="10"/>
  <c r="F26" i="10"/>
  <c r="E26" i="10"/>
  <c r="D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D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52" i="9"/>
  <c r="C150" i="9" s="1"/>
  <c r="C151" i="9"/>
  <c r="C149" i="9"/>
  <c r="C148" i="9"/>
  <c r="C147" i="9"/>
  <c r="C146" i="9"/>
  <c r="C145" i="9"/>
  <c r="C144" i="9"/>
  <c r="C143" i="9"/>
  <c r="C142" i="9"/>
  <c r="C141" i="9"/>
  <c r="C140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99" i="9"/>
  <c r="C98" i="9"/>
  <c r="C97" i="9"/>
  <c r="C96" i="9"/>
  <c r="C95" i="9" s="1"/>
  <c r="C93" i="9"/>
  <c r="C92" i="9"/>
  <c r="C91" i="9"/>
  <c r="C90" i="9"/>
  <c r="C89" i="9"/>
  <c r="C88" i="9"/>
  <c r="C85" i="9"/>
  <c r="C84" i="9"/>
  <c r="C81" i="9"/>
  <c r="C80" i="9"/>
  <c r="C79" i="9" s="1"/>
  <c r="C77" i="9"/>
  <c r="C76" i="9"/>
  <c r="C75" i="9"/>
  <c r="C74" i="9"/>
  <c r="C73" i="9"/>
  <c r="C72" i="9"/>
  <c r="C71" i="9"/>
  <c r="C70" i="9"/>
  <c r="C69" i="9" s="1"/>
  <c r="C67" i="9"/>
  <c r="C66" i="9"/>
  <c r="C65" i="9" s="1"/>
  <c r="C64" i="9"/>
  <c r="C63" i="9"/>
  <c r="C61" i="9"/>
  <c r="C60" i="9"/>
  <c r="C59" i="9" s="1"/>
  <c r="C54" i="9"/>
  <c r="C53" i="9"/>
  <c r="C52" i="9"/>
  <c r="C51" i="9"/>
  <c r="C50" i="9"/>
  <c r="C49" i="9"/>
  <c r="C45" i="9"/>
  <c r="C44" i="9"/>
  <c r="C43" i="9"/>
  <c r="C42" i="9"/>
  <c r="C41" i="9"/>
  <c r="C38" i="9"/>
  <c r="C37" i="9"/>
  <c r="C36" i="9"/>
  <c r="C35" i="9" s="1"/>
  <c r="C33" i="9"/>
  <c r="C32" i="9"/>
  <c r="C31" i="9" s="1"/>
  <c r="C29" i="9"/>
  <c r="C28" i="9"/>
  <c r="C27" i="9"/>
  <c r="C26" i="9"/>
  <c r="C22" i="9" s="1"/>
  <c r="C25" i="9"/>
  <c r="C24" i="9"/>
  <c r="C23" i="9"/>
  <c r="C20" i="9"/>
  <c r="C19" i="9"/>
  <c r="C18" i="9"/>
  <c r="C17" i="9"/>
  <c r="C16" i="9"/>
  <c r="C15" i="9"/>
  <c r="C12" i="9"/>
  <c r="C10" i="9" s="1"/>
  <c r="C11" i="9"/>
  <c r="AE279" i="12"/>
  <c r="AE278" i="12"/>
  <c r="AE277" i="12"/>
  <c r="AE276" i="12"/>
  <c r="AE275" i="12"/>
  <c r="AE274" i="12"/>
  <c r="AE273" i="12"/>
  <c r="AE272" i="12"/>
  <c r="AE270" i="12"/>
  <c r="AE269" i="12"/>
  <c r="AE268" i="12"/>
  <c r="AE267" i="12"/>
  <c r="AE266" i="12"/>
  <c r="AE264" i="12"/>
  <c r="AE263" i="12"/>
  <c r="AE262" i="12"/>
  <c r="AE261" i="12"/>
  <c r="AE260" i="12"/>
  <c r="AE259" i="12"/>
  <c r="AE258" i="12"/>
  <c r="AE257" i="12"/>
  <c r="AE256" i="12"/>
  <c r="AE254" i="12"/>
  <c r="AE253" i="12"/>
  <c r="AE252" i="12"/>
  <c r="AE250" i="12"/>
  <c r="AE249" i="12"/>
  <c r="AE248" i="12"/>
  <c r="AE246" i="12"/>
  <c r="AE245" i="12"/>
  <c r="AE244" i="12"/>
  <c r="AE243" i="12"/>
  <c r="AE242" i="12"/>
  <c r="AE241" i="12"/>
  <c r="AE239" i="12"/>
  <c r="AE238" i="12"/>
  <c r="AE237" i="12"/>
  <c r="AE236" i="12"/>
  <c r="AE235" i="12"/>
  <c r="AE234" i="12"/>
  <c r="AE233" i="12"/>
  <c r="AE232" i="12"/>
  <c r="AE230" i="12"/>
  <c r="AE229" i="12"/>
  <c r="AE228" i="12"/>
  <c r="AE227" i="12"/>
  <c r="AE226" i="12"/>
  <c r="AE225" i="12"/>
  <c r="AE224" i="12"/>
  <c r="AE223" i="12"/>
  <c r="AE222" i="12"/>
  <c r="AE221" i="12"/>
  <c r="AE220" i="12"/>
  <c r="AE219" i="12"/>
  <c r="AE218" i="12"/>
  <c r="AE217" i="12"/>
  <c r="AE216" i="12"/>
  <c r="AE215" i="12"/>
  <c r="AE214" i="12"/>
  <c r="AE213" i="12"/>
  <c r="AE212" i="12"/>
  <c r="AE211" i="12"/>
  <c r="AE210" i="12"/>
  <c r="AE209" i="12"/>
  <c r="AE208" i="12"/>
  <c r="AE207" i="12"/>
  <c r="AE206" i="12"/>
  <c r="AE205" i="12"/>
  <c r="AE204" i="12"/>
  <c r="AE203" i="12"/>
  <c r="AE202" i="12"/>
  <c r="AE201" i="12"/>
  <c r="AE200" i="12"/>
  <c r="AE199" i="12"/>
  <c r="AE198" i="12"/>
  <c r="AE197" i="12"/>
  <c r="AE196" i="12"/>
  <c r="AE195" i="12"/>
  <c r="AE194" i="12"/>
  <c r="AE193" i="12"/>
  <c r="AE192" i="12"/>
  <c r="AE191" i="12"/>
  <c r="AE190" i="12"/>
  <c r="AE189" i="12"/>
  <c r="AE188" i="12"/>
  <c r="AE187" i="12"/>
  <c r="AE186" i="12"/>
  <c r="AE185" i="12"/>
  <c r="AE184" i="12"/>
  <c r="AE183" i="12"/>
  <c r="AE182" i="12"/>
  <c r="AE181" i="12"/>
  <c r="AE180" i="12"/>
  <c r="AE179" i="12"/>
  <c r="AE178" i="12"/>
  <c r="AE177" i="12"/>
  <c r="AE176" i="12"/>
  <c r="AE175" i="12"/>
  <c r="AE174" i="12"/>
  <c r="AE173" i="12"/>
  <c r="AE172" i="12"/>
  <c r="AE171" i="12"/>
  <c r="AE170" i="12"/>
  <c r="AE169" i="12"/>
  <c r="AE168" i="12"/>
  <c r="AE167" i="12"/>
  <c r="AE166" i="12"/>
  <c r="AE165" i="12"/>
  <c r="AE164" i="12"/>
  <c r="AE163" i="12"/>
  <c r="AE162" i="12"/>
  <c r="AE161" i="12"/>
  <c r="AE160" i="12"/>
  <c r="AE159" i="12"/>
  <c r="AE158" i="12"/>
  <c r="AE157" i="12"/>
  <c r="AE156" i="12"/>
  <c r="AE155" i="12"/>
  <c r="AE154" i="12"/>
  <c r="AE153" i="12"/>
  <c r="AE152" i="12"/>
  <c r="AE151" i="12"/>
  <c r="AE150" i="12"/>
  <c r="AE149" i="12"/>
  <c r="AE148" i="12"/>
  <c r="AE147" i="12"/>
  <c r="AE146" i="12"/>
  <c r="AE145" i="12"/>
  <c r="AE144" i="12"/>
  <c r="AE143" i="12"/>
  <c r="AE142" i="12"/>
  <c r="AE141" i="12"/>
  <c r="AE140" i="12"/>
  <c r="AE139" i="12"/>
  <c r="AE138" i="12"/>
  <c r="AE137" i="12"/>
  <c r="AE136" i="12"/>
  <c r="AE135" i="12"/>
  <c r="AE134" i="12"/>
  <c r="AE133" i="12"/>
  <c r="AE132" i="12"/>
  <c r="AE131" i="12"/>
  <c r="AE130" i="12"/>
  <c r="AE129" i="12"/>
  <c r="AE128" i="12"/>
  <c r="AE126" i="12"/>
  <c r="AE125" i="12"/>
  <c r="AE124" i="12"/>
  <c r="AE123" i="12"/>
  <c r="AE122" i="12"/>
  <c r="AE121" i="12"/>
  <c r="AE120" i="12"/>
  <c r="AE119" i="12"/>
  <c r="AE118" i="12"/>
  <c r="AE117" i="12"/>
  <c r="AE116" i="12"/>
  <c r="AE115" i="12"/>
  <c r="AE114" i="12"/>
  <c r="AE113" i="12"/>
  <c r="AE112" i="12"/>
  <c r="AE111" i="12"/>
  <c r="AE110" i="12"/>
  <c r="AE109" i="12"/>
  <c r="AE108" i="12"/>
  <c r="AE107" i="12"/>
  <c r="AE106" i="12"/>
  <c r="AE105" i="12"/>
  <c r="AE104" i="12"/>
  <c r="AE103" i="12"/>
  <c r="AE102" i="12"/>
  <c r="AE101" i="12"/>
  <c r="AE100" i="12"/>
  <c r="AE99" i="12"/>
  <c r="AE98" i="12"/>
  <c r="AE97" i="12"/>
  <c r="AE96" i="12"/>
  <c r="AE95" i="12"/>
  <c r="AE94" i="12"/>
  <c r="AE93" i="12"/>
  <c r="AE92" i="12"/>
  <c r="AE91" i="12"/>
  <c r="AE90" i="12"/>
  <c r="AE89" i="12"/>
  <c r="AE88" i="12"/>
  <c r="AE87" i="12"/>
  <c r="AE86" i="12"/>
  <c r="AE85" i="12"/>
  <c r="AE84" i="12"/>
  <c r="AE83" i="12"/>
  <c r="AE82" i="12"/>
  <c r="AE81" i="12"/>
  <c r="AE80" i="12"/>
  <c r="AE79" i="12"/>
  <c r="AE78" i="12"/>
  <c r="AE77" i="12"/>
  <c r="AE76" i="12"/>
  <c r="AE75" i="12"/>
  <c r="AE74" i="12"/>
  <c r="AE73" i="12"/>
  <c r="AE72" i="12"/>
  <c r="AE71" i="12"/>
  <c r="AE70" i="12"/>
  <c r="AE69" i="12"/>
  <c r="AE68" i="12"/>
  <c r="AE67" i="12"/>
  <c r="AE66" i="12"/>
  <c r="AE65" i="12"/>
  <c r="AE64" i="12"/>
  <c r="AE63" i="12"/>
  <c r="AE62" i="12"/>
  <c r="AE61" i="12"/>
  <c r="AE60" i="12"/>
  <c r="AE59" i="12"/>
  <c r="AE58" i="12"/>
  <c r="AE57" i="12"/>
  <c r="AE56" i="12"/>
  <c r="AE55" i="12"/>
  <c r="AE54" i="12"/>
  <c r="AE53" i="12"/>
  <c r="AE52" i="12"/>
  <c r="AE51" i="12"/>
  <c r="AE50" i="12"/>
  <c r="AE49" i="12"/>
  <c r="AE48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4" i="12"/>
  <c r="AE13" i="12"/>
  <c r="AE12" i="12"/>
  <c r="AE11" i="12"/>
  <c r="AE10" i="12"/>
  <c r="AE9" i="12"/>
  <c r="AE8" i="12"/>
  <c r="A1" i="12"/>
  <c r="A59" i="11"/>
  <c r="D52" i="11"/>
  <c r="D9" i="11"/>
  <c r="B9" i="11"/>
  <c r="D8" i="11"/>
  <c r="B8" i="11"/>
  <c r="E7" i="11"/>
  <c r="A6" i="11"/>
  <c r="A2" i="11"/>
  <c r="A1" i="11"/>
  <c r="B41" i="10"/>
  <c r="F34" i="10"/>
  <c r="G29" i="10"/>
  <c r="F29" i="10"/>
  <c r="F9" i="10"/>
  <c r="D9" i="10"/>
  <c r="F8" i="10"/>
  <c r="D8" i="10"/>
  <c r="A5" i="10"/>
  <c r="A2" i="10"/>
  <c r="A1" i="10"/>
  <c r="A166" i="9"/>
  <c r="B159" i="9"/>
  <c r="B157" i="9"/>
  <c r="C137" i="9"/>
  <c r="C121" i="9"/>
  <c r="C87" i="9"/>
  <c r="C83" i="9"/>
  <c r="C62" i="9"/>
  <c r="C56" i="9"/>
  <c r="C48" i="9"/>
  <c r="C40" i="9"/>
  <c r="C14" i="9"/>
  <c r="D7" i="9"/>
  <c r="B147" i="9" s="1"/>
  <c r="C7" i="9"/>
  <c r="C102" i="9" s="1"/>
  <c r="C6" i="9"/>
  <c r="A5" i="9"/>
  <c r="A2" i="9"/>
  <c r="A1" i="9"/>
  <c r="A10" i="8"/>
  <c r="A2" i="8"/>
  <c r="A1" i="8"/>
  <c r="C7" i="6"/>
  <c r="C9" i="11" s="1"/>
  <c r="B73" i="5"/>
  <c r="B62" i="5"/>
  <c r="B55" i="5"/>
  <c r="B64" i="5" s="1"/>
  <c r="B53" i="5"/>
  <c r="B71" i="5" s="1"/>
  <c r="B52" i="5"/>
  <c r="B61" i="5" s="1"/>
  <c r="B51" i="5"/>
  <c r="B60" i="5" s="1"/>
  <c r="B47" i="5"/>
  <c r="B46" i="5"/>
  <c r="B45" i="5"/>
  <c r="B44" i="5"/>
  <c r="B43" i="5"/>
  <c r="B42" i="5"/>
  <c r="B41" i="5"/>
  <c r="B36" i="5"/>
  <c r="B54" i="5" s="1"/>
  <c r="B34" i="5"/>
  <c r="B33" i="5"/>
  <c r="B32" i="5"/>
  <c r="B50" i="5" s="1"/>
  <c r="B29" i="5"/>
  <c r="B28" i="5"/>
  <c r="B27" i="5"/>
  <c r="B26" i="5"/>
  <c r="B25" i="5"/>
  <c r="B24" i="5"/>
  <c r="B23" i="5"/>
  <c r="BL8" i="4"/>
  <c r="BO8" i="4"/>
  <c r="BP8" i="4"/>
  <c r="BQ8" i="4"/>
  <c r="BR8" i="4"/>
  <c r="BS8" i="4"/>
  <c r="BT8" i="4"/>
  <c r="BU8" i="4"/>
  <c r="BV8" i="4"/>
  <c r="BW8" i="4"/>
  <c r="BL9" i="4"/>
  <c r="BM9" i="4"/>
  <c r="BN9" i="4"/>
  <c r="BN11" i="4" s="1"/>
  <c r="BO9" i="4"/>
  <c r="BP9" i="4"/>
  <c r="BP11" i="4" s="1"/>
  <c r="BQ9" i="4"/>
  <c r="BR9" i="4"/>
  <c r="BS9" i="4"/>
  <c r="BT9" i="4"/>
  <c r="BU9" i="4"/>
  <c r="BV9" i="4"/>
  <c r="BW9" i="4"/>
  <c r="BL10" i="4"/>
  <c r="BM10" i="4"/>
  <c r="BN10" i="4"/>
  <c r="BO10" i="4"/>
  <c r="BO11" i="4" s="1"/>
  <c r="BP10" i="4"/>
  <c r="BQ10" i="4"/>
  <c r="BR10" i="4"/>
  <c r="BR11" i="4" s="1"/>
  <c r="BS10" i="4"/>
  <c r="BT10" i="4"/>
  <c r="BT11" i="4" s="1"/>
  <c r="BU10" i="4"/>
  <c r="BU11" i="4" s="1"/>
  <c r="BV10" i="4"/>
  <c r="BW10" i="4"/>
  <c r="BW11" i="4" s="1"/>
  <c r="BQ11" i="4"/>
  <c r="BS11" i="4"/>
  <c r="BV11" i="4"/>
  <c r="BL12" i="4"/>
  <c r="BM12" i="4"/>
  <c r="BM33" i="4" s="1"/>
  <c r="BN12" i="4"/>
  <c r="BN57" i="4" s="1"/>
  <c r="BO12" i="4"/>
  <c r="BP12" i="4"/>
  <c r="BQ12" i="4"/>
  <c r="BR12" i="4"/>
  <c r="BS12" i="4"/>
  <c r="BT12" i="4"/>
  <c r="BU12" i="4"/>
  <c r="BV12" i="4"/>
  <c r="BW12" i="4"/>
  <c r="BL29" i="4"/>
  <c r="BM16" i="4"/>
  <c r="BN16" i="4"/>
  <c r="BO16" i="4"/>
  <c r="BO29" i="4" s="1"/>
  <c r="BP16" i="4"/>
  <c r="BP29" i="4" s="1"/>
  <c r="BQ16" i="4"/>
  <c r="BQ29" i="4" s="1"/>
  <c r="BR16" i="4"/>
  <c r="BS16" i="4"/>
  <c r="BS29" i="4" s="1"/>
  <c r="BT16" i="4"/>
  <c r="BU16" i="4"/>
  <c r="BV16" i="4"/>
  <c r="BV29" i="4" s="1"/>
  <c r="BW16" i="4"/>
  <c r="BM29" i="4"/>
  <c r="BR29" i="4"/>
  <c r="BT29" i="4"/>
  <c r="BU29" i="4"/>
  <c r="BW29" i="4"/>
  <c r="BL30" i="4"/>
  <c r="BL31" i="4" s="1"/>
  <c r="BM30" i="4"/>
  <c r="BM31" i="4" s="1"/>
  <c r="BN30" i="4"/>
  <c r="BO30" i="4"/>
  <c r="BO31" i="4" s="1"/>
  <c r="BP30" i="4"/>
  <c r="BQ30" i="4"/>
  <c r="BQ31" i="4" s="1"/>
  <c r="BR30" i="4"/>
  <c r="BS30" i="4"/>
  <c r="BS31" i="4" s="1"/>
  <c r="BT30" i="4"/>
  <c r="BU30" i="4"/>
  <c r="BV30" i="4"/>
  <c r="BV31" i="4" s="1"/>
  <c r="BW30" i="4"/>
  <c r="BR31" i="4"/>
  <c r="BT31" i="4"/>
  <c r="BU31" i="4"/>
  <c r="BW31" i="4"/>
  <c r="BL32" i="4"/>
  <c r="BL33" i="4" s="1"/>
  <c r="BM32" i="4"/>
  <c r="BN32" i="4"/>
  <c r="BO32" i="4"/>
  <c r="BO33" i="4" s="1"/>
  <c r="BP32" i="4"/>
  <c r="BP33" i="4" s="1"/>
  <c r="BQ32" i="4"/>
  <c r="BQ33" i="4" s="1"/>
  <c r="BR32" i="4"/>
  <c r="BS32" i="4"/>
  <c r="BS33" i="4" s="1"/>
  <c r="BT32" i="4"/>
  <c r="BU32" i="4"/>
  <c r="BV32" i="4"/>
  <c r="BV33" i="4" s="1"/>
  <c r="BW32" i="4"/>
  <c r="BR33" i="4"/>
  <c r="BT33" i="4"/>
  <c r="BU33" i="4"/>
  <c r="BW33" i="4"/>
  <c r="BL34" i="4"/>
  <c r="BL35" i="4" s="1"/>
  <c r="BM34" i="4"/>
  <c r="BM35" i="4" s="1"/>
  <c r="BN34" i="4"/>
  <c r="BN35" i="4" s="1"/>
  <c r="BO34" i="4"/>
  <c r="BO35" i="4" s="1"/>
  <c r="BP34" i="4"/>
  <c r="BP35" i="4" s="1"/>
  <c r="BQ34" i="4"/>
  <c r="BQ35" i="4" s="1"/>
  <c r="BR34" i="4"/>
  <c r="BS34" i="4"/>
  <c r="BS35" i="4" s="1"/>
  <c r="BT34" i="4"/>
  <c r="BU34" i="4"/>
  <c r="BV34" i="4"/>
  <c r="BV35" i="4" s="1"/>
  <c r="BW34" i="4"/>
  <c r="BR35" i="4"/>
  <c r="BT35" i="4"/>
  <c r="BU35" i="4"/>
  <c r="BW35" i="4"/>
  <c r="BL36" i="4"/>
  <c r="BM36" i="4"/>
  <c r="BN36" i="4"/>
  <c r="BO36" i="4"/>
  <c r="BP36" i="4"/>
  <c r="BP37" i="4" s="1"/>
  <c r="BQ36" i="4"/>
  <c r="BQ37" i="4" s="1"/>
  <c r="BR36" i="4"/>
  <c r="BS36" i="4"/>
  <c r="BS37" i="4" s="1"/>
  <c r="BT36" i="4"/>
  <c r="BU36" i="4"/>
  <c r="BV36" i="4"/>
  <c r="BV37" i="4" s="1"/>
  <c r="BW36" i="4"/>
  <c r="BL37" i="4"/>
  <c r="BM37" i="4"/>
  <c r="BO37" i="4"/>
  <c r="BR37" i="4"/>
  <c r="BT37" i="4"/>
  <c r="BU37" i="4"/>
  <c r="BW37" i="4"/>
  <c r="BL38" i="4"/>
  <c r="BL39" i="4" s="1"/>
  <c r="BM38" i="4"/>
  <c r="BN38" i="4"/>
  <c r="BO38" i="4"/>
  <c r="BP38" i="4"/>
  <c r="BP39" i="4" s="1"/>
  <c r="BQ38" i="4"/>
  <c r="BQ39" i="4" s="1"/>
  <c r="BR38" i="4"/>
  <c r="BS38" i="4"/>
  <c r="BS39" i="4" s="1"/>
  <c r="BT38" i="4"/>
  <c r="BU38" i="4"/>
  <c r="BV38" i="4"/>
  <c r="BV39" i="4" s="1"/>
  <c r="BW38" i="4"/>
  <c r="BM39" i="4"/>
  <c r="BO39" i="4"/>
  <c r="BR39" i="4"/>
  <c r="BT39" i="4"/>
  <c r="BU39" i="4"/>
  <c r="BW39" i="4"/>
  <c r="BL40" i="4"/>
  <c r="BM40" i="4"/>
  <c r="BM48" i="4" s="1"/>
  <c r="BN40" i="4"/>
  <c r="BO40" i="4"/>
  <c r="BO48" i="4" s="1"/>
  <c r="BP40" i="4"/>
  <c r="BP48" i="4" s="1"/>
  <c r="BQ40" i="4"/>
  <c r="BQ48" i="4" s="1"/>
  <c r="BR40" i="4"/>
  <c r="BS40" i="4"/>
  <c r="BS48" i="4" s="1"/>
  <c r="BT40" i="4"/>
  <c r="BU40" i="4"/>
  <c r="BV40" i="4"/>
  <c r="BV48" i="4" s="1"/>
  <c r="BW40" i="4"/>
  <c r="BR48" i="4"/>
  <c r="BT48" i="4"/>
  <c r="BU48" i="4"/>
  <c r="BW48" i="4"/>
  <c r="BL49" i="4"/>
  <c r="BL54" i="4" s="1"/>
  <c r="BM49" i="4"/>
  <c r="BN49" i="4"/>
  <c r="BO49" i="4"/>
  <c r="BP49" i="4"/>
  <c r="BP54" i="4" s="1"/>
  <c r="BQ49" i="4"/>
  <c r="BQ54" i="4" s="1"/>
  <c r="BR49" i="4"/>
  <c r="BS49" i="4"/>
  <c r="BS54" i="4" s="1"/>
  <c r="BT49" i="4"/>
  <c r="BU49" i="4"/>
  <c r="BV49" i="4"/>
  <c r="BV54" i="4" s="1"/>
  <c r="BW49" i="4"/>
  <c r="BM54" i="4"/>
  <c r="BO54" i="4"/>
  <c r="BR54" i="4"/>
  <c r="BT54" i="4"/>
  <c r="BU54" i="4"/>
  <c r="BW54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L56" i="4"/>
  <c r="BL57" i="4" s="1"/>
  <c r="BM56" i="4"/>
  <c r="BM57" i="4" s="1"/>
  <c r="BN56" i="4"/>
  <c r="BO56" i="4"/>
  <c r="BO57" i="4" s="1"/>
  <c r="BP56" i="4"/>
  <c r="BQ56" i="4"/>
  <c r="BR56" i="4"/>
  <c r="BR57" i="4" s="1"/>
  <c r="BS56" i="4"/>
  <c r="BT56" i="4"/>
  <c r="BT57" i="4" s="1"/>
  <c r="BU56" i="4"/>
  <c r="BU57" i="4" s="1"/>
  <c r="BV56" i="4"/>
  <c r="BW56" i="4"/>
  <c r="BW57" i="4" s="1"/>
  <c r="BP57" i="4"/>
  <c r="BQ57" i="4"/>
  <c r="BS57" i="4"/>
  <c r="BV57" i="4"/>
  <c r="BK56" i="4"/>
  <c r="BK55" i="4"/>
  <c r="BK49" i="4"/>
  <c r="BK40" i="4"/>
  <c r="BK36" i="4"/>
  <c r="BK30" i="4"/>
  <c r="BK31" i="4" s="1"/>
  <c r="BK16" i="4"/>
  <c r="BK12" i="4"/>
  <c r="BK10" i="4"/>
  <c r="BK9" i="4"/>
  <c r="BK11" i="4" s="1"/>
  <c r="BK8" i="4"/>
  <c r="BK57" i="4"/>
  <c r="BK29" i="4"/>
  <c r="BK16" i="2"/>
  <c r="BK38" i="4" s="1"/>
  <c r="BK39" i="4" s="1"/>
  <c r="BH129" i="1"/>
  <c r="BK126" i="1"/>
  <c r="BK82" i="1"/>
  <c r="BK51" i="1"/>
  <c r="BH51" i="1"/>
  <c r="BK45" i="1"/>
  <c r="BH45" i="1"/>
  <c r="BK30" i="1"/>
  <c r="BH30" i="1"/>
  <c r="BK15" i="1"/>
  <c r="BH15" i="1"/>
  <c r="BK8" i="1"/>
  <c r="BH8" i="1"/>
  <c r="BK5" i="1"/>
  <c r="BH5" i="1"/>
  <c r="BN48" i="4" l="1"/>
  <c r="BN39" i="4"/>
  <c r="BN37" i="4"/>
  <c r="BN54" i="4"/>
  <c r="BN29" i="4"/>
  <c r="BN33" i="4"/>
  <c r="BN31" i="4"/>
  <c r="B12" i="9"/>
  <c r="B18" i="9"/>
  <c r="B24" i="9"/>
  <c r="B28" i="9"/>
  <c r="B36" i="9"/>
  <c r="B42" i="9"/>
  <c r="B49" i="9"/>
  <c r="B53" i="9"/>
  <c r="B63" i="9"/>
  <c r="B70" i="9"/>
  <c r="B74" i="9"/>
  <c r="B80" i="9"/>
  <c r="B88" i="9"/>
  <c r="B92" i="9"/>
  <c r="B98" i="9"/>
  <c r="B107" i="9"/>
  <c r="B111" i="9"/>
  <c r="B115" i="9"/>
  <c r="B119" i="9"/>
  <c r="B125" i="9"/>
  <c r="B129" i="9"/>
  <c r="B133" i="9"/>
  <c r="B141" i="9"/>
  <c r="B145" i="9"/>
  <c r="B149" i="9"/>
  <c r="B7" i="9"/>
  <c r="B137" i="9" s="1"/>
  <c r="B15" i="9"/>
  <c r="B19" i="9"/>
  <c r="B25" i="9"/>
  <c r="B29" i="9"/>
  <c r="B37" i="9"/>
  <c r="B43" i="9"/>
  <c r="B50" i="9"/>
  <c r="B54" i="9"/>
  <c r="B64" i="9"/>
  <c r="B71" i="9"/>
  <c r="B75" i="9"/>
  <c r="B81" i="9"/>
  <c r="B89" i="9"/>
  <c r="B93" i="9"/>
  <c r="B99" i="9"/>
  <c r="B108" i="9"/>
  <c r="B112" i="9"/>
  <c r="B116" i="9"/>
  <c r="B122" i="9"/>
  <c r="B126" i="9"/>
  <c r="B130" i="9"/>
  <c r="B134" i="9"/>
  <c r="B142" i="9"/>
  <c r="B146" i="9"/>
  <c r="B151" i="9"/>
  <c r="B20" i="9"/>
  <c r="B32" i="9"/>
  <c r="B51" i="9"/>
  <c r="B66" i="9"/>
  <c r="B76" i="9"/>
  <c r="B90" i="9"/>
  <c r="B105" i="9"/>
  <c r="B113" i="9"/>
  <c r="B123" i="9"/>
  <c r="B131" i="9"/>
  <c r="B143" i="9"/>
  <c r="B152" i="9"/>
  <c r="B11" i="9"/>
  <c r="B17" i="9"/>
  <c r="B23" i="9"/>
  <c r="B27" i="9"/>
  <c r="B33" i="9"/>
  <c r="B41" i="9"/>
  <c r="B45" i="9"/>
  <c r="B52" i="9"/>
  <c r="B61" i="9"/>
  <c r="B67" i="9"/>
  <c r="B73" i="9"/>
  <c r="B77" i="9"/>
  <c r="B85" i="9"/>
  <c r="B91" i="9"/>
  <c r="B97" i="9"/>
  <c r="B106" i="9"/>
  <c r="B110" i="9"/>
  <c r="B114" i="9"/>
  <c r="B118" i="9"/>
  <c r="B124" i="9"/>
  <c r="B128" i="9"/>
  <c r="B132" i="9"/>
  <c r="B140" i="9"/>
  <c r="B139" i="9" s="1"/>
  <c r="B144" i="9"/>
  <c r="B148" i="9"/>
  <c r="B16" i="9"/>
  <c r="B26" i="9"/>
  <c r="B38" i="9"/>
  <c r="B44" i="9"/>
  <c r="B60" i="9"/>
  <c r="B72" i="9"/>
  <c r="B84" i="9"/>
  <c r="B96" i="9"/>
  <c r="B109" i="9"/>
  <c r="B117" i="9"/>
  <c r="B127" i="9"/>
  <c r="B135" i="9"/>
  <c r="BM11" i="4"/>
  <c r="BK32" i="4"/>
  <c r="BK33" i="4" s="1"/>
  <c r="BK34" i="4"/>
  <c r="BK35" i="4" s="1"/>
  <c r="BK37" i="4"/>
  <c r="BK54" i="4"/>
  <c r="C139" i="9"/>
  <c r="C104" i="9"/>
  <c r="D46" i="11"/>
  <c r="D19" i="11"/>
  <c r="D29" i="11" s="1"/>
  <c r="D38" i="11"/>
  <c r="C19" i="11"/>
  <c r="C29" i="11" s="1"/>
  <c r="C38" i="11"/>
  <c r="E46" i="11"/>
  <c r="B19" i="11"/>
  <c r="B29" i="11" s="1"/>
  <c r="B38" i="11"/>
  <c r="B46" i="11"/>
  <c r="E19" i="11"/>
  <c r="E29" i="11" s="1"/>
  <c r="E38" i="11"/>
  <c r="C46" i="11"/>
  <c r="C103" i="9"/>
  <c r="C8" i="9"/>
  <c r="C58" i="9"/>
  <c r="C47" i="9" s="1"/>
  <c r="C138" i="9"/>
  <c r="E9" i="11"/>
  <c r="E9" i="10"/>
  <c r="G9" i="10"/>
  <c r="BL48" i="4"/>
  <c r="BL11" i="4"/>
  <c r="B59" i="5"/>
  <c r="B68" i="5"/>
  <c r="B72" i="5"/>
  <c r="B63" i="5"/>
  <c r="B70" i="5"/>
  <c r="B69" i="5"/>
  <c r="BK48" i="4"/>
  <c r="BH44" i="1"/>
  <c r="BH36" i="1" s="1"/>
  <c r="BK129" i="1"/>
  <c r="BK4" i="1"/>
  <c r="BK44" i="1"/>
  <c r="BK36" i="1" s="1"/>
  <c r="BH4" i="1"/>
  <c r="B56" i="9" l="1"/>
  <c r="B102" i="9"/>
  <c r="B62" i="9"/>
  <c r="B150" i="9"/>
  <c r="B138" i="9" s="1"/>
  <c r="B79" i="9"/>
  <c r="B59" i="9"/>
  <c r="D47" i="11"/>
  <c r="D50" i="11" s="1"/>
  <c r="E47" i="11"/>
  <c r="E50" i="11" s="1"/>
  <c r="C47" i="11"/>
  <c r="C50" i="11" s="1"/>
  <c r="B95" i="9"/>
  <c r="B47" i="11"/>
  <c r="B50" i="11" s="1"/>
  <c r="B31" i="9"/>
  <c r="B65" i="9"/>
  <c r="B87" i="9"/>
  <c r="B35" i="9"/>
  <c r="B48" i="9"/>
  <c r="B104" i="9"/>
  <c r="B10" i="9"/>
  <c r="B121" i="9"/>
  <c r="B14" i="9"/>
  <c r="C100" i="9"/>
  <c r="B40" i="9"/>
  <c r="B83" i="9"/>
  <c r="B22" i="9"/>
  <c r="C154" i="9"/>
  <c r="BK81" i="1"/>
  <c r="BH81" i="1"/>
  <c r="B58" i="9" l="1"/>
  <c r="B47" i="9" s="1"/>
  <c r="B8" i="9"/>
  <c r="C155" i="9"/>
  <c r="B103" i="9"/>
  <c r="B154" i="9" s="1"/>
  <c r="B100" i="9" l="1"/>
  <c r="B155" i="9" s="1"/>
  <c r="AE15" i="12" l="1"/>
  <c r="BO23" i="3" l="1"/>
  <c r="BO41" i="3" s="1"/>
  <c r="BO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4BC663FA-B757-4A66-AD53-3028E8FA9137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AX29" authorId="0" shapeId="0" xr:uid="{1FD55FAE-F08F-4B45-97C4-636963EA33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sharedStrings.xml><?xml version="1.0" encoding="utf-8"?>
<sst xmlns="http://schemas.openxmlformats.org/spreadsheetml/2006/main" count="1902" uniqueCount="630">
  <si>
    <t>CÔNG TY TNHH MTV ĐỒNG LÂM</t>
  </si>
  <si>
    <t>Địa chỉ: Thửa đất số 838, tờ bản đồ số 6, tổ 4, ấp Tân Thuận, phường Tân Hạnh, tỉnh Vĩnh Long</t>
  </si>
  <si>
    <t>Mã số thuế: 1501075079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</si>
  <si>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</si>
  <si>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</si>
  <si>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</si>
  <si>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</si>
  <si>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</si>
  <si>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Lê Thùy Ngân</t>
  </si>
  <si>
    <t>KẾ TOÁN TRƯỞNG</t>
  </si>
  <si>
    <t>TRƯỞNG TRẠM THU MUA</t>
  </si>
  <si>
    <t>Nguyễn Nhật Bằng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</si>
  <si>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</si>
  <si>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</si>
  <si>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</si>
  <si>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</si>
  <si>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</si>
  <si>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</si>
  <si>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</si>
  <si>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</si>
  <si>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</si>
  <si>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</si>
  <si>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</si>
  <si>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</si>
  <si>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</si>
  <si>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</si>
  <si>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</si>
  <si>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</si>
  <si>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</si>
  <si>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</si>
  <si>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</si>
  <si>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</si>
  <si>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</si>
  <si>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</si>
  <si>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</si>
  <si>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</si>
  <si>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</si>
  <si>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</si>
  <si>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</si>
  <si>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</si>
  <si>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</si>
  <si>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 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</si>
  <si>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</si>
  <si>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</si>
  <si>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</si>
  <si>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</si>
  <si>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</si>
  <si>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</si>
  <si>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</si>
  <si>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</si>
  <si>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 Hàng tồn kho</t>
  </si>
  <si>
    <t>2. 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</si>
  <si>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</si>
  <si>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</si>
  <si>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</si>
  <si>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</si>
  <si>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</si>
  <si>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</si>
  <si>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</si>
  <si>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</si>
  <si>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</si>
  <si>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</si>
  <si>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B. 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</si>
  <si>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</si>
  <si>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</si>
  <si>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</si>
  <si>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</si>
  <si>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</si>
  <si>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</si>
  <si>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</si>
  <si>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</si>
  <si>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</si>
  <si>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</si>
  <si>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</si>
  <si>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2. Tài sản cố định thuê tài chính</t>
  </si>
  <si>
    <t>3. Tài sản cố định vô hình</t>
  </si>
  <si>
    <t>III. 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</si>
  <si>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</si>
  <si>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</si>
  <si>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</si>
  <si>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- Nguyên giá</t>
  </si>
  <si>
    <t>- 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</si>
  <si>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</si>
  <si>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</si>
  <si>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</si>
  <si>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</si>
  <si>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- Giá trị hao mòn luỹ kế (*)</t>
  </si>
  <si>
    <t xml:space="preserve">V. Tài sản dở dang dài hạn </t>
  </si>
  <si>
    <t>1.Chi phí sản xuất, kinh doanh dở dang dài hạn</t>
  </si>
  <si>
    <t>2.Chi phí xây dựng cơ bản dở dang</t>
  </si>
  <si>
    <t>VI. 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</si>
  <si>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</si>
  <si>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</si>
  <si>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</si>
  <si>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</si>
  <si>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</si>
  <si>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</si>
  <si>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 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</si>
  <si>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</si>
  <si>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</si>
  <si>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</si>
  <si>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</si>
  <si>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CỘNG TÀI SẢN</t>
  </si>
  <si>
    <t>NGUỒN VỐN</t>
  </si>
  <si>
    <t>C . NỢ PHẢI TRẢ</t>
  </si>
  <si>
    <t>I. 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</si>
  <si>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</si>
  <si>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</si>
  <si>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</si>
  <si>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</si>
  <si>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</si>
  <si>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</si>
  <si>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</si>
  <si>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</si>
  <si>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</si>
  <si>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</si>
  <si>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</si>
  <si>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</si>
  <si>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</si>
  <si>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</si>
  <si>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</si>
  <si>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 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</si>
  <si>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</si>
  <si>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</si>
  <si>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</si>
  <si>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</si>
  <si>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</si>
  <si>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</si>
  <si>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</si>
  <si>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</si>
  <si>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</si>
  <si>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</si>
  <si>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</si>
  <si>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</si>
  <si>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</si>
  <si>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</si>
  <si>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 . 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</si>
  <si>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</si>
  <si>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</si>
  <si>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</si>
  <si>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</si>
  <si>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</si>
  <si>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</si>
  <si>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</si>
  <si>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</si>
  <si>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</si>
  <si>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</si>
  <si>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</si>
  <si>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</si>
  <si>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</si>
  <si>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</si>
  <si>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TỔNG CỘNG NGUỒN VỐN</t>
  </si>
  <si>
    <t>BÁO CÁO KẾT QUẢ HOẠT ĐỘNG KINH DOANH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</si>
  <si>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</si>
  <si>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</si>
  <si>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</si>
  <si>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</si>
  <si>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</si>
  <si>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</si>
  <si>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</si>
  <si>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</si>
  <si>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</si>
  <si>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</si>
  <si>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</si>
  <si>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</si>
  <si>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</si>
  <si>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</si>
  <si>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</si>
  <si>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</si>
  <si>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</si>
  <si>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</si>
  <si>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</si>
  <si>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</si>
  <si>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</si>
  <si>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</si>
  <si>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</si>
  <si>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</si>
  <si>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</si>
  <si>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</si>
  <si>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</si>
  <si>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</si>
  <si>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</si>
  <si>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</si>
  <si>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</si>
  <si>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</si>
  <si>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</si>
  <si>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</si>
  <si>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</si>
  <si>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</si>
  <si>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</si>
  <si>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</si>
  <si>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</si>
  <si>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</si>
  <si>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</si>
  <si>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BÁO CÁO LƯU CHUYỂN TIỀN TỆ</t>
  </si>
  <si>
    <t>(Theo phương pháp gián tiếp)</t>
  </si>
  <si>
    <t>I. Lưu chuyển tiền từ hoạt động kinh doanh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</si>
  <si>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</si>
  <si>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</si>
  <si>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</si>
  <si>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</si>
  <si>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</si>
  <si>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</si>
  <si>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</si>
  <si>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</si>
  <si>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</si>
  <si>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</si>
  <si>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</si>
  <si>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</si>
  <si>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</si>
  <si>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</si>
  <si>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</si>
  <si>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</si>
  <si>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</si>
  <si>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</si>
  <si>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</si>
  <si>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</si>
  <si>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</si>
  <si>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</si>
  <si>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</si>
  <si>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</si>
  <si>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</si>
  <si>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</si>
  <si>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</si>
  <si>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</si>
  <si>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</si>
  <si>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</si>
  <si>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</si>
  <si>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</si>
  <si>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</si>
  <si>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</si>
  <si>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</si>
  <si>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</si>
  <si>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</si>
  <si>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</si>
  <si>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</si>
  <si>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</si>
  <si>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</si>
  <si>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</si>
  <si>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</si>
  <si>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</si>
  <si>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</si>
  <si>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</si>
  <si>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</si>
  <si>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</si>
  <si>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</si>
  <si>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</si>
  <si>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</si>
  <si>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</si>
  <si>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</si>
  <si>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</si>
  <si>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</si>
  <si>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</si>
  <si>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</si>
  <si>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</si>
  <si>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</si>
  <si>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</si>
  <si>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</si>
  <si>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</si>
  <si>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</si>
  <si>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</si>
  <si>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</si>
  <si>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</si>
  <si>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</si>
  <si>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</si>
  <si>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</si>
  <si>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</si>
  <si>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</si>
  <si>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</si>
  <si>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</si>
  <si>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</si>
  <si>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</si>
  <si>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</si>
  <si>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</si>
  <si>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</si>
  <si>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</si>
  <si>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</si>
  <si>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</si>
  <si>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</si>
  <si>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</si>
  <si>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</si>
  <si>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</si>
  <si>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</si>
  <si>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</si>
  <si>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</si>
  <si>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</si>
  <si>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</si>
  <si>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</si>
  <si>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</si>
  <si>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</si>
  <si>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</si>
  <si>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</si>
  <si>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</si>
  <si>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</si>
  <si>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</si>
  <si>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</si>
  <si>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</si>
  <si>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</si>
  <si>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</si>
  <si>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</si>
  <si>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</si>
  <si>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</si>
  <si>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</si>
  <si>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</si>
  <si>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</si>
  <si>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</si>
  <si>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</si>
  <si>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</si>
  <si>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</si>
  <si>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</si>
  <si>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</si>
  <si>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</si>
  <si>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</si>
  <si>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</si>
  <si>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</si>
  <si>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</si>
  <si>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</si>
  <si>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</si>
  <si>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III.Các khoản phải thu ngắn hạn</t>
  </si>
  <si>
    <t>1.Hàng tồn kho</t>
  </si>
  <si>
    <t>2.Dự phòng giảm giá hàng tồn kho (*)</t>
  </si>
  <si>
    <t>B-TÀI SẢN DÀI HẠN</t>
  </si>
  <si>
    <t>II.Tài sản cố định</t>
  </si>
  <si>
    <t>1.Tài sản cố định hữu hình</t>
  </si>
  <si>
    <t>Nguyên giá TSCĐ HH</t>
  </si>
  <si>
    <t>Giá trị hao mòn luỹ kế TSCĐ HH(*)</t>
  </si>
  <si>
    <t>Nguyên giá TSCĐ thuê tài chính</t>
  </si>
  <si>
    <t>Giá trị hao mòn luỹ kế TSCĐ thuê tài chính</t>
  </si>
  <si>
    <t>Nguyên giá TSCĐ vô hình</t>
  </si>
  <si>
    <t>Giá trị hao mòn luỹ kế TSCĐ vô hình(*)</t>
  </si>
  <si>
    <t>III.Tài sản sinh học dài hạn</t>
  </si>
  <si>
    <t>Nguyên giá</t>
  </si>
  <si>
    <t>Giá trị khấu hao lũy kế (*)</t>
  </si>
  <si>
    <t>Nguyên giá bất động sản đầu tư</t>
  </si>
  <si>
    <t>Giá trị hao mòn luỹ kế BĐSĐT(*)</t>
  </si>
  <si>
    <t>V.Tài sản dở dang dài hạn</t>
  </si>
  <si>
    <t>VI.Đầu tư tài chính dài hạn</t>
  </si>
  <si>
    <t>VII.Tài sản dài hạn khác</t>
  </si>
  <si>
    <t>TỔNG TÀI SẢN</t>
  </si>
  <si>
    <t>C-NỢ PHẢI TRẢ</t>
  </si>
  <si>
    <t>I.Nợ ngắn hạn</t>
  </si>
  <si>
    <t>II.Nợ dài hạn</t>
  </si>
  <si>
    <t xml:space="preserve">9.Vay và nợ thuê tài chính dài hạn </t>
  </si>
  <si>
    <t>D-VỐN CHỦ SỞ HỮU</t>
  </si>
  <si>
    <t>TỔNG NGUỒN VỐN</t>
  </si>
  <si>
    <t>Index PL</t>
  </si>
  <si>
    <t>PHẦN II-KẾT QUẢ HOẠT ĐỘNG KINH DOANH</t>
  </si>
  <si>
    <t>Sản lượng (Tấn)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</si>
  <si>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</si>
  <si>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</si>
  <si>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</si>
  <si>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</si>
  <si>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</si>
  <si>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</si>
  <si>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</si>
  <si>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</si>
  <si>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</si>
  <si>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</si>
  <si>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</si>
  <si>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</si>
  <si>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</si>
  <si>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</si>
  <si>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</si>
  <si>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</si>
  <si>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</si>
  <si>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</si>
  <si>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</si>
  <si>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</si>
  <si>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</si>
  <si>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</si>
  <si>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</si>
  <si>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</si>
  <si>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</si>
  <si>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</si>
  <si>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</si>
  <si>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</si>
  <si>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</si>
  <si>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</si>
  <si>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</si>
  <si>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</si>
  <si>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(Không bao gồm lãi vay phải trả, thuế TNDN phải nộp)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</si>
  <si>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</si>
  <si>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</si>
  <si>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</si>
  <si>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</si>
  <si>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</si>
  <si>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</si>
  <si>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</si>
  <si>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</si>
  <si>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</si>
  <si>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</si>
  <si>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</si>
  <si>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</si>
  <si>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</si>
  <si>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</si>
  <si>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</si>
  <si>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</si>
  <si>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</si>
  <si>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</si>
  <si>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</si>
  <si>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</si>
  <si>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</si>
  <si>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</si>
  <si>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</si>
  <si>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</si>
  <si>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</si>
  <si>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</si>
  <si>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</si>
  <si>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</si>
  <si>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</si>
  <si>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</si>
  <si>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/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</si>
  <si>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</si>
  <si>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</si>
  <si>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</si>
  <si>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</si>
  <si>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</si>
  <si>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</si>
  <si>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</si>
  <si>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</si>
  <si>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</si>
  <si>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</si>
  <si>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</si>
  <si>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</si>
  <si>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</si>
  <si>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</si>
  <si>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</si>
  <si>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</si>
  <si>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</si>
  <si>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</si>
  <si>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</si>
  <si>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</si>
  <si>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</si>
  <si>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</si>
  <si>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</si>
  <si>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</si>
  <si>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</si>
  <si>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</si>
  <si>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</si>
  <si>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</si>
  <si>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</si>
  <si>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</si>
  <si>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</si>
  <si>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</si>
  <si>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</si>
  <si>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</si>
  <si>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</si>
  <si>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</si>
  <si>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</si>
  <si>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</si>
  <si>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</si>
  <si>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</si>
  <si>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</si>
  <si>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</si>
  <si>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</si>
  <si>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</si>
  <si>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</si>
  <si>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</si>
  <si>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</si>
  <si>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</si>
  <si>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</si>
  <si>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</si>
  <si>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</si>
  <si>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</si>
  <si>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</si>
  <si>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</si>
  <si>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</si>
  <si>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</si>
  <si>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</si>
  <si>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</si>
  <si>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</si>
  <si>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</si>
  <si>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</si>
  <si>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</si>
  <si>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</si>
  <si>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</si>
  <si>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</si>
  <si>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</si>
  <si>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</si>
  <si>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</si>
  <si>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Mã số thuế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</si>
  <si>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</si>
  <si>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</si>
  <si>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</si>
  <si>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</si>
  <si>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</si>
  <si>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</si>
  <si>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</si>
  <si>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</si>
  <si>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</si>
  <si>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</si>
  <si>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</si>
  <si>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</si>
  <si>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</si>
  <si>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</si>
  <si>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2026</t>
  </si>
  <si>
    <t>I.</t>
  </si>
  <si>
    <t>DOANH THU BÁN HÀNG VÀ DỊCH VỤ, TÀI SẢN….</t>
  </si>
  <si>
    <t>Công ty TNHH Nhựa Duy Tân</t>
  </si>
  <si>
    <t>0301417196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</si>
  <si>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</si>
  <si>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</si>
  <si>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</si>
  <si>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</si>
  <si>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</si>
  <si>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</si>
  <si>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</si>
  <si>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</si>
  <si>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</si>
  <si>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1100676611</t>
  </si>
  <si>
    <t>Bán nguyên vật liệu</t>
  </si>
  <si>
    <t>Cho thuê máy móc</t>
  </si>
  <si>
    <t>Bán Laptop</t>
  </si>
  <si>
    <t>CP công tác</t>
  </si>
  <si>
    <t>Công ty TNHH Thu mua phế liệu Đại Lộc</t>
  </si>
  <si>
    <t>3603813473</t>
  </si>
  <si>
    <t>Cho thuê nhà xưởng</t>
  </si>
  <si>
    <t>Công ty TNHH MTV Đồng Lâm</t>
  </si>
  <si>
    <t>1501075079</t>
  </si>
  <si>
    <t>Công ty TNHH Thu mua phế liệu Khánh Nga</t>
  </si>
  <si>
    <t>1201638316</t>
  </si>
  <si>
    <t>Chi Phí Hỗ Trợ Kỹ Thuật</t>
  </si>
  <si>
    <t xml:space="preserve">Công ty Cổ phần Tái chế Tân Đại Phát </t>
  </si>
  <si>
    <t>1102066435</t>
  </si>
  <si>
    <t>Cho thuê xe</t>
  </si>
  <si>
    <t>Bán CCDC</t>
  </si>
  <si>
    <t>Công ty Cổ phần Nhựa Tái chế Duy Tân Vĩnh Long</t>
  </si>
  <si>
    <t>1501162229</t>
  </si>
  <si>
    <t>Công ty TNHH Khuôn Chính xác Minh Đạt</t>
  </si>
  <si>
    <t>1100673882</t>
  </si>
  <si>
    <t>Bán khuôn</t>
  </si>
  <si>
    <t>Công ty TNHH MTV Sản Xuất Và XNK Cơ Khí Duy Phong</t>
  </si>
  <si>
    <t>0308309915</t>
  </si>
  <si>
    <t>Công ty TNHH Khuôn Chính Xác Natec</t>
  </si>
  <si>
    <t>0313783944</t>
  </si>
  <si>
    <t>Công ty TNHH Plenma</t>
  </si>
  <si>
    <t>0316224817</t>
  </si>
  <si>
    <t>Plascene Inc</t>
  </si>
  <si>
    <t>45-3042526</t>
  </si>
  <si>
    <t>Công ty Cổ phần Cát Vân</t>
  </si>
  <si>
    <t>0304259773</t>
  </si>
  <si>
    <t>Công ty Cổ phần Tân Bình Group</t>
  </si>
  <si>
    <t>1501147679</t>
  </si>
  <si>
    <t>Công ty TNHH SX &amp; TM Thạnh Phát</t>
  </si>
  <si>
    <t>1100140919</t>
  </si>
  <si>
    <t>Công ty TNHH Nội Thất Tân Lợi Phát</t>
  </si>
  <si>
    <t>1101806126</t>
  </si>
  <si>
    <t>Công ty TNHH MTV Trung tâm Thính học Đà Nẵng</t>
  </si>
  <si>
    <t>0401524699</t>
  </si>
  <si>
    <t>Công ty TNHH SX-TM-XNK Yến Nhất Vương</t>
  </si>
  <si>
    <t>3401182514</t>
  </si>
  <si>
    <t>Công ty Cổ phần Duytan Group</t>
  </si>
  <si>
    <t>0317929753</t>
  </si>
  <si>
    <t>Công ty TNHH Duytan Xanh</t>
  </si>
  <si>
    <t>0318602662</t>
  </si>
  <si>
    <t>Công ty TNHH Duy Tân</t>
  </si>
  <si>
    <t>0303816206</t>
  </si>
  <si>
    <t>Công ty Cổ phần Tập đoàn DTG</t>
  </si>
  <si>
    <t>0317356492</t>
  </si>
  <si>
    <t>II.</t>
  </si>
  <si>
    <t>MUA HÀNG VÀ DỊCH VỤ, TÀI SẢN….</t>
  </si>
  <si>
    <t>Thuê nhà xưởng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</si>
  <si>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</si>
  <si>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</si>
  <si>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</si>
  <si>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</si>
  <si>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</si>
  <si>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</si>
  <si>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</si>
  <si>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</si>
  <si>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</si>
  <si>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</si>
  <si>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</si>
  <si>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Thuê máy móc</t>
  </si>
  <si>
    <t>Phí sửa khuôn</t>
  </si>
  <si>
    <t>Mua thùng giấy</t>
  </si>
  <si>
    <t>151/152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</si>
  <si>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</si>
  <si>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</si>
  <si>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</si>
  <si>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</si>
  <si>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</si>
  <si>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</si>
  <si>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</si>
  <si>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</si>
  <si>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</si>
  <si>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</si>
  <si>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</si>
  <si>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</si>
  <si>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</si>
  <si>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</si>
  <si>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</si>
  <si>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</si>
  <si>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</si>
  <si>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</si>
  <si>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</si>
  <si>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</si>
  <si>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</si>
  <si>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</si>
  <si>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</si>
  <si>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</si>
  <si>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</si>
  <si>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</si>
  <si>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</si>
  <si>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</si>
  <si>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</si>
  <si>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</si>
  <si>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</si>
  <si>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</si>
  <si>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</si>
  <si>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</si>
  <si>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</si>
  <si>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</si>
  <si>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</si>
  <si>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</si>
  <si>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</si>
  <si>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</si>
  <si>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</si>
  <si>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</si>
  <si>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</si>
  <si>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</si>
  <si>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</si>
  <si>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</si>
  <si>
    <t>Lũy kế năm 2025</t>
  </si>
  <si>
    <t>Tháng 1/2025</t>
  </si>
  <si>
    <t>Tháng 1/2026</t>
  </si>
  <si>
    <t xml:space="preserve">   792 444 000</t>
  </si>
  <si>
    <t xml:space="preserve"> THÁNG 05 NĂM 2026</t>
  </si>
  <si>
    <t>Vĩnh Long, Ngày 31 tháng 05 năm 2026</t>
  </si>
  <si>
    <t>Lập, ngày 05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</si>
</sst>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#,##0;[Red]#,##0"/>
    <numFmt numFmtId="168" formatCode="#,##0,,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_-* #,##0.00\ _₫_-;\-* #,##0.00\ _₫_-;_-* &quot;-&quot;??\ _₫_-;_-@_-"/>
    <numFmt numFmtId="173" formatCode="#,###"/>
    <numFmt numFmtId="174" formatCode="_-* #,##0\ _₫_-;\-* #,##0\ _₫_-;_-* &quot;-&quot;??\ _₫_-;_-@_-"/>
    <numFmt numFmtId="175" formatCode="_-* #,##0.0\ _₫_-;\-* #,##0.0\ _₫_-;_-* &quot;-&quot;??\ _₫_-;_-@_-"/>
  </numFmts>
  <fonts count="10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sz val="11"/>
      <color rgb="FFFF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b/>
      <sz val="11"/>
      <color indexed="12"/>
      <name val="Arial Nova"/>
      <family val="2"/>
    </font>
    <font>
      <b/>
      <sz val="11"/>
      <color rgb="FF0000FF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9" fontId="18" fillId="0" borderId="0" applyFont="0" applyFill="0" applyBorder="0" applyAlignment="0" applyProtection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00" fillId="0" borderId="0"/>
    <xf numFmtId="172" fontId="100" fillId="0" borderId="0" applyFont="0" applyFill="0" applyBorder="0" applyAlignment="0" applyProtection="0"/>
    <xf numFmtId="0" fontId="2" fillId="0" borderId="0"/>
    <xf numFmtId="43" fontId="18" fillId="0" borderId="0" applyFont="0" applyFill="0" applyBorder="0" applyAlignment="0" applyProtection="0"/>
  </cellStyleXfs>
  <cellXfs count="617">
    <xf numFmtId="0" fontId="0" fillId="0" borderId="0" xfId="0"/>
    <xf numFmtId="165" fontId="13" fillId="0" borderId="5" xfId="4" applyNumberFormat="1" applyFont="1" applyFill="1" applyBorder="1" applyAlignment="1" applyProtection="1">
      <alignment vertical="top" wrapText="1"/>
      <protection locked="0"/>
    </xf>
    <xf numFmtId="165" fontId="10" fillId="0" borderId="5" xfId="4" applyNumberFormat="1" applyFont="1" applyFill="1" applyBorder="1" applyAlignment="1" applyProtection="1">
      <alignment vertical="top" wrapText="1"/>
      <protection locked="0"/>
    </xf>
    <xf numFmtId="3" fontId="17" fillId="0" borderId="5" xfId="2" applyNumberFormat="1" applyFont="1" applyBorder="1" applyAlignment="1" applyProtection="1">
      <alignment vertical="top" wrapText="1"/>
      <protection locked="0"/>
    </xf>
    <xf numFmtId="3" fontId="19" fillId="0" borderId="5" xfId="2" applyNumberFormat="1" applyFont="1" applyBorder="1" applyAlignment="1" applyProtection="1">
      <alignment vertical="top" wrapText="1"/>
      <protection locked="0"/>
    </xf>
    <xf numFmtId="3" fontId="10" fillId="0" borderId="5" xfId="2" applyNumberFormat="1" applyFont="1" applyBorder="1" applyAlignment="1" applyProtection="1">
      <alignment vertical="top" wrapText="1"/>
      <protection locked="0"/>
    </xf>
    <xf numFmtId="3" fontId="10" fillId="0" borderId="5" xfId="0" applyNumberFormat="1" applyFont="1" applyBorder="1" applyAlignment="1" applyProtection="1">
      <alignment vertical="top" wrapText="1"/>
      <protection locked="0"/>
    </xf>
    <xf numFmtId="3" fontId="13" fillId="0" borderId="5" xfId="2" applyNumberFormat="1" applyFont="1" applyBorder="1" applyAlignment="1" applyProtection="1">
      <alignment vertical="top" wrapText="1"/>
      <protection locked="0"/>
    </xf>
    <xf numFmtId="3" fontId="13" fillId="0" borderId="5" xfId="0" applyNumberFormat="1" applyFont="1" applyBorder="1" applyAlignment="1" applyProtection="1">
      <alignment vertical="top" wrapText="1"/>
      <protection locked="0"/>
    </xf>
    <xf numFmtId="3" fontId="17" fillId="0" borderId="2" xfId="2" applyNumberFormat="1" applyFont="1" applyBorder="1" applyAlignment="1" applyProtection="1">
      <alignment vertical="top" wrapText="1"/>
      <protection locked="0"/>
    </xf>
    <xf numFmtId="3" fontId="25" fillId="3" borderId="5" xfId="2" applyNumberFormat="1" applyFont="1" applyFill="1" applyBorder="1" applyAlignment="1" applyProtection="1">
      <alignment vertical="top" wrapText="1"/>
      <protection locked="0"/>
    </xf>
    <xf numFmtId="3" fontId="25" fillId="3" borderId="5" xfId="0" applyNumberFormat="1" applyFont="1" applyFill="1" applyBorder="1" applyAlignment="1" applyProtection="1">
      <alignment vertical="top" wrapText="1"/>
      <protection locked="0"/>
    </xf>
    <xf numFmtId="3" fontId="17" fillId="0" borderId="5" xfId="0" applyNumberFormat="1" applyFont="1" applyBorder="1" applyAlignment="1" applyProtection="1">
      <alignment vertical="top" wrapText="1"/>
      <protection locked="0"/>
    </xf>
    <xf numFmtId="3" fontId="6" fillId="3" borderId="5" xfId="2" applyNumberFormat="1" applyFont="1" applyFill="1" applyBorder="1" applyAlignment="1" applyProtection="1">
      <alignment vertical="center" wrapText="1"/>
      <protection locked="0"/>
    </xf>
    <xf numFmtId="3" fontId="6" fillId="3" borderId="5" xfId="0" applyNumberFormat="1" applyFont="1" applyFill="1" applyBorder="1" applyAlignment="1" applyProtection="1">
      <alignment vertical="center" wrapText="1"/>
      <protection locked="0"/>
    </xf>
    <xf numFmtId="3" fontId="16" fillId="0" borderId="5" xfId="2" applyNumberFormat="1" applyFont="1" applyBorder="1" applyAlignment="1" applyProtection="1">
      <alignment vertical="top" wrapText="1"/>
      <protection locked="0"/>
    </xf>
    <xf numFmtId="3" fontId="16" fillId="0" borderId="5" xfId="0" applyNumberFormat="1" applyFont="1" applyBorder="1" applyAlignment="1" applyProtection="1">
      <alignment vertical="top" wrapText="1"/>
      <protection locked="0"/>
    </xf>
    <xf numFmtId="3" fontId="11" fillId="0" borderId="5" xfId="2" applyNumberFormat="1" applyFont="1" applyBorder="1" applyAlignment="1" applyProtection="1">
      <alignment vertical="top" wrapText="1"/>
      <protection locked="0"/>
    </xf>
    <xf numFmtId="3" fontId="11" fillId="0" borderId="5" xfId="0" applyNumberFormat="1" applyFont="1" applyBorder="1" applyAlignment="1" applyProtection="1">
      <alignment vertical="top" wrapText="1"/>
      <protection locked="0"/>
    </xf>
    <xf numFmtId="165" fontId="32" fillId="0" borderId="7" xfId="4" applyNumberFormat="1" applyFont="1" applyBorder="1" applyAlignment="1" applyProtection="1">
      <alignment horizontal="center" vertical="top" wrapText="1"/>
      <protection locked="0"/>
    </xf>
    <xf numFmtId="165" fontId="32" fillId="0" borderId="7" xfId="4" applyNumberFormat="1" applyFont="1" applyFill="1" applyBorder="1" applyAlignment="1" applyProtection="1">
      <alignment horizontal="center" vertical="top" wrapText="1"/>
      <protection locked="0"/>
    </xf>
    <xf numFmtId="3" fontId="19" fillId="0" borderId="5" xfId="0" applyNumberFormat="1" applyFont="1" applyBorder="1" applyAlignment="1" applyProtection="1">
      <alignment vertical="top" wrapText="1"/>
      <protection locked="0"/>
    </xf>
    <xf numFmtId="3" fontId="33" fillId="0" borderId="5" xfId="2" applyNumberFormat="1" applyFont="1" applyBorder="1" applyAlignment="1" applyProtection="1">
      <alignment vertical="top" wrapText="1"/>
      <protection locked="0"/>
    </xf>
    <xf numFmtId="3" fontId="33" fillId="0" borderId="5" xfId="0" applyNumberFormat="1" applyFont="1" applyBorder="1" applyAlignment="1" applyProtection="1">
      <alignment vertical="top" wrapText="1"/>
      <protection locked="0"/>
    </xf>
    <xf numFmtId="165" fontId="10" fillId="0" borderId="5" xfId="2" applyNumberFormat="1" applyFont="1" applyBorder="1" applyAlignment="1" applyProtection="1">
      <alignment vertical="top" wrapText="1"/>
      <protection locked="0"/>
    </xf>
    <xf numFmtId="3" fontId="10" fillId="0" borderId="5" xfId="0" applyNumberFormat="1" applyFont="1" applyBorder="1" applyProtection="1">
      <protection locked="0"/>
    </xf>
    <xf numFmtId="0" fontId="22" fillId="0" borderId="5" xfId="0" applyFont="1" applyBorder="1" applyProtection="1">
      <protection locked="0"/>
    </xf>
    <xf numFmtId="165" fontId="8" fillId="0" borderId="5" xfId="4" quotePrefix="1" applyNumberFormat="1" applyFont="1" applyFill="1" applyBorder="1" applyAlignment="1" applyProtection="1">
      <alignment horizontal="left" indent="1"/>
      <protection locked="0"/>
    </xf>
    <xf numFmtId="165" fontId="8" fillId="0" borderId="5" xfId="4" quotePrefix="1" applyNumberFormat="1" applyFont="1" applyFill="1" applyBorder="1" applyAlignment="1" applyProtection="1">
      <alignment horizontal="left" vertical="center"/>
      <protection locked="0"/>
    </xf>
    <xf numFmtId="165" fontId="8" fillId="0" borderId="5" xfId="5" quotePrefix="1" applyNumberFormat="1" applyFont="1" applyFill="1" applyBorder="1" applyAlignment="1" applyProtection="1">
      <alignment horizontal="left" indent="1"/>
      <protection locked="0"/>
    </xf>
    <xf numFmtId="165" fontId="11" fillId="0" borderId="5" xfId="5" quotePrefix="1" applyNumberFormat="1" applyFont="1" applyFill="1" applyBorder="1" applyAlignment="1" applyProtection="1">
      <alignment horizontal="left" vertical="center"/>
      <protection locked="0"/>
    </xf>
    <xf numFmtId="165" fontId="10" fillId="0" borderId="5" xfId="5" applyNumberFormat="1" applyFont="1" applyFill="1" applyBorder="1" applyAlignment="1" applyProtection="1">
      <alignment horizontal="left"/>
      <protection locked="0"/>
    </xf>
    <xf numFmtId="165" fontId="10" fillId="0" borderId="5" xfId="4" applyNumberFormat="1" applyFont="1" applyFill="1" applyBorder="1" applyAlignment="1" applyProtection="1">
      <alignment horizontal="left"/>
      <protection locked="0"/>
    </xf>
    <xf numFmtId="165" fontId="11" fillId="0" borderId="5" xfId="5" applyNumberFormat="1" applyFont="1" applyFill="1" applyBorder="1" applyProtection="1">
      <protection locked="0"/>
    </xf>
    <xf numFmtId="165" fontId="11" fillId="0" borderId="5" xfId="4" applyNumberFormat="1" applyFont="1" applyFill="1" applyBorder="1" applyProtection="1">
      <protection locked="0"/>
    </xf>
    <xf numFmtId="165" fontId="10" fillId="0" borderId="5" xfId="5" applyNumberFormat="1" applyFont="1" applyFill="1" applyBorder="1" applyProtection="1">
      <protection locked="0"/>
    </xf>
    <xf numFmtId="165" fontId="8" fillId="0" borderId="5" xfId="5" quotePrefix="1" applyNumberFormat="1" applyFont="1" applyFill="1" applyBorder="1" applyAlignment="1" applyProtection="1">
      <alignment horizontal="left" vertical="center"/>
      <protection locked="0"/>
    </xf>
    <xf numFmtId="165" fontId="10" fillId="4" borderId="5" xfId="5" applyNumberFormat="1" applyFont="1" applyFill="1" applyBorder="1" applyProtection="1">
      <protection locked="0"/>
    </xf>
    <xf numFmtId="165" fontId="10" fillId="4" borderId="5" xfId="4" applyNumberFormat="1" applyFont="1" applyFill="1" applyBorder="1" applyProtection="1">
      <protection locked="0"/>
    </xf>
    <xf numFmtId="0" fontId="38" fillId="0" borderId="5" xfId="0" applyFont="1" applyBorder="1" applyAlignment="1" applyProtection="1">
      <alignment horizontal="left" indent="1"/>
      <protection locked="0"/>
    </xf>
    <xf numFmtId="0" fontId="38" fillId="0" borderId="5" xfId="2" applyFont="1" applyBorder="1" applyAlignment="1" applyProtection="1">
      <alignment horizontal="left" indent="1"/>
      <protection locked="0"/>
    </xf>
    <xf numFmtId="3" fontId="39" fillId="0" borderId="5" xfId="2" applyNumberFormat="1" applyFont="1" applyBorder="1" applyAlignment="1" applyProtection="1">
      <alignment vertical="top" wrapText="1"/>
      <protection locked="0"/>
    </xf>
    <xf numFmtId="0" fontId="6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4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7" fillId="0" borderId="0" xfId="3"/>
    <xf numFmtId="0" fontId="8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165" fontId="6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/>
    </xf>
    <xf numFmtId="0" fontId="11" fillId="3" borderId="3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3" fillId="0" borderId="5" xfId="4" applyNumberFormat="1" applyFont="1" applyFill="1" applyBorder="1" applyAlignment="1" applyProtection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10" fillId="0" borderId="5" xfId="4" applyNumberFormat="1" applyFont="1" applyFill="1" applyBorder="1" applyAlignment="1" applyProtection="1">
      <alignment horizontal="center" vertical="top" wrapText="1"/>
    </xf>
    <xf numFmtId="0" fontId="14" fillId="0" borderId="2" xfId="2" applyFont="1" applyBorder="1" applyAlignment="1">
      <alignment horizontal="left" vertical="top" wrapText="1" indent="1"/>
    </xf>
    <xf numFmtId="3" fontId="17" fillId="0" borderId="5" xfId="2" applyNumberFormat="1" applyFont="1" applyBorder="1" applyAlignment="1">
      <alignment horizontal="center" vertical="top" wrapText="1"/>
    </xf>
    <xf numFmtId="0" fontId="15" fillId="0" borderId="2" xfId="2" applyFont="1" applyBorder="1" applyAlignment="1">
      <alignment horizontal="left" vertical="top" wrapText="1" indent="2"/>
    </xf>
    <xf numFmtId="3" fontId="19" fillId="0" borderId="5" xfId="2" applyNumberFormat="1" applyFont="1" applyBorder="1" applyAlignment="1">
      <alignment horizontal="center" vertical="top" wrapText="1"/>
    </xf>
    <xf numFmtId="0" fontId="15" fillId="0" borderId="5" xfId="2" applyFont="1" applyBorder="1" applyAlignment="1">
      <alignment horizontal="left" vertical="top" wrapText="1" indent="2"/>
    </xf>
    <xf numFmtId="3" fontId="10" fillId="0" borderId="5" xfId="2" applyNumberFormat="1" applyFont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2"/>
    </xf>
    <xf numFmtId="0" fontId="16" fillId="0" borderId="5" xfId="2" applyFont="1" applyBorder="1" applyAlignment="1">
      <alignment horizontal="left" vertical="top" wrapText="1" indent="2"/>
    </xf>
    <xf numFmtId="3" fontId="13" fillId="0" borderId="5" xfId="2" applyNumberFormat="1" applyFont="1" applyBorder="1" applyAlignment="1">
      <alignment horizontal="center" vertical="top" wrapText="1"/>
    </xf>
    <xf numFmtId="0" fontId="13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 indent="1"/>
    </xf>
    <xf numFmtId="0" fontId="10" fillId="0" borderId="2" xfId="2" applyFont="1" applyBorder="1" applyAlignment="1">
      <alignment horizontal="left" vertical="top" wrapText="1" indent="2"/>
    </xf>
    <xf numFmtId="165" fontId="15" fillId="0" borderId="2" xfId="6" applyNumberFormat="1" applyFont="1" applyFill="1" applyBorder="1" applyAlignment="1" applyProtection="1">
      <alignment horizontal="left" vertical="top" wrapText="1" indent="3"/>
    </xf>
    <xf numFmtId="165" fontId="15" fillId="0" borderId="2" xfId="6" applyNumberFormat="1" applyFont="1" applyFill="1" applyBorder="1" applyAlignment="1" applyProtection="1">
      <alignment horizontal="left" vertical="top" wrapText="1" indent="2"/>
    </xf>
    <xf numFmtId="165" fontId="15" fillId="0" borderId="2" xfId="6" applyNumberFormat="1" applyFont="1" applyFill="1" applyBorder="1" applyAlignment="1" applyProtection="1">
      <alignment horizontal="left" vertical="top" wrapText="1" indent="4"/>
    </xf>
    <xf numFmtId="0" fontId="10" fillId="0" borderId="5" xfId="2" applyFont="1" applyBorder="1" applyAlignment="1">
      <alignment horizontal="left" vertical="top" wrapText="1" indent="1"/>
    </xf>
    <xf numFmtId="0" fontId="23" fillId="0" borderId="0" xfId="3" applyFont="1"/>
    <xf numFmtId="0" fontId="11" fillId="0" borderId="5" xfId="2" applyFont="1" applyBorder="1" applyAlignment="1">
      <alignment horizontal="left" vertical="top" wrapText="1" indent="1"/>
    </xf>
    <xf numFmtId="0" fontId="26" fillId="0" borderId="0" xfId="3" applyFont="1"/>
    <xf numFmtId="3" fontId="25" fillId="3" borderId="5" xfId="2" applyNumberFormat="1" applyFont="1" applyFill="1" applyBorder="1" applyAlignment="1">
      <alignment horizontal="center" vertical="top" wrapText="1"/>
    </xf>
    <xf numFmtId="0" fontId="24" fillId="3" borderId="2" xfId="2" applyFont="1" applyFill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1"/>
    </xf>
    <xf numFmtId="0" fontId="16" fillId="0" borderId="5" xfId="2" applyFont="1" applyBorder="1" applyAlignment="1">
      <alignment horizontal="left" vertical="top" wrapText="1" indent="1"/>
    </xf>
    <xf numFmtId="3" fontId="17" fillId="0" borderId="5" xfId="0" applyNumberFormat="1" applyFont="1" applyBorder="1" applyAlignment="1">
      <alignment horizontal="center" vertical="top" wrapText="1"/>
    </xf>
    <xf numFmtId="0" fontId="27" fillId="0" borderId="2" xfId="2" applyFont="1" applyBorder="1" applyAlignment="1">
      <alignment horizontal="left" vertical="top" wrapText="1" indent="1"/>
    </xf>
    <xf numFmtId="0" fontId="28" fillId="0" borderId="2" xfId="2" applyFont="1" applyBorder="1" applyAlignment="1">
      <alignment horizontal="left" vertical="top" wrapText="1" indent="1"/>
    </xf>
    <xf numFmtId="3" fontId="6" fillId="3" borderId="5" xfId="2" applyNumberFormat="1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43" fontId="2" fillId="0" borderId="0" xfId="6" applyFont="1" applyBorder="1" applyAlignment="1" applyProtection="1">
      <alignment horizontal="center" vertical="top" wrapText="1"/>
    </xf>
    <xf numFmtId="43" fontId="9" fillId="0" borderId="0" xfId="6" applyFont="1" applyBorder="1" applyAlignment="1" applyProtection="1">
      <alignment horizontal="center" vertical="top" wrapText="1"/>
    </xf>
    <xf numFmtId="165" fontId="2" fillId="0" borderId="0" xfId="6" applyNumberFormat="1" applyFont="1" applyBorder="1" applyAlignment="1" applyProtection="1">
      <alignment horizontal="center" vertical="top" wrapText="1"/>
    </xf>
    <xf numFmtId="165" fontId="1" fillId="0" borderId="0" xfId="4" applyNumberFormat="1" applyFont="1" applyFill="1" applyBorder="1" applyAlignment="1" applyProtection="1">
      <alignment horizontal="center" vertical="top" wrapText="1"/>
    </xf>
    <xf numFmtId="167" fontId="34" fillId="0" borderId="0" xfId="2" applyNumberFormat="1" applyFont="1" applyAlignment="1">
      <alignment horizontal="right" vertical="top" wrapText="1" indent="1"/>
    </xf>
    <xf numFmtId="9" fontId="1" fillId="0" borderId="0" xfId="7" applyFont="1" applyFill="1" applyBorder="1" applyAlignment="1" applyProtection="1">
      <alignment horizontal="right" vertical="top" wrapText="1" indent="1"/>
    </xf>
    <xf numFmtId="165" fontId="1" fillId="0" borderId="0" xfId="4" applyNumberFormat="1" applyFont="1" applyFill="1" applyBorder="1" applyAlignment="1" applyProtection="1">
      <alignment horizontal="right" vertical="top" wrapText="1" indent="1"/>
    </xf>
    <xf numFmtId="165" fontId="1" fillId="0" borderId="0" xfId="6" applyNumberFormat="1" applyFont="1" applyFill="1" applyBorder="1" applyAlignment="1" applyProtection="1">
      <alignment horizontal="right" vertical="top" wrapText="1" indent="1"/>
    </xf>
    <xf numFmtId="0" fontId="9" fillId="0" borderId="0" xfId="2" applyFont="1" applyAlignment="1">
      <alignment horizontal="center"/>
    </xf>
    <xf numFmtId="0" fontId="9" fillId="0" borderId="0" xfId="2" applyFont="1"/>
    <xf numFmtId="0" fontId="2" fillId="0" borderId="0" xfId="2"/>
    <xf numFmtId="165" fontId="2" fillId="0" borderId="0" xfId="6" applyNumberFormat="1" applyFont="1" applyAlignment="1" applyProtection="1">
      <alignment horizontal="center"/>
    </xf>
    <xf numFmtId="165" fontId="2" fillId="0" borderId="0" xfId="6" applyNumberFormat="1" applyFont="1" applyProtection="1"/>
    <xf numFmtId="3" fontId="46" fillId="0" borderId="0" xfId="2" applyNumberFormat="1" applyFont="1" applyAlignment="1">
      <alignment horizontal="center"/>
    </xf>
    <xf numFmtId="0" fontId="46" fillId="0" borderId="0" xfId="2" applyFont="1"/>
    <xf numFmtId="0" fontId="46" fillId="0" borderId="0" xfId="2" applyFont="1" applyAlignment="1">
      <alignment horizontal="center" vertical="center"/>
    </xf>
    <xf numFmtId="3" fontId="46" fillId="0" borderId="0" xfId="2" applyNumberFormat="1" applyFont="1"/>
    <xf numFmtId="165" fontId="11" fillId="3" borderId="3" xfId="6" applyNumberFormat="1" applyFont="1" applyFill="1" applyBorder="1" applyAlignment="1" applyProtection="1">
      <alignment horizontal="center" vertical="center" wrapText="1"/>
    </xf>
    <xf numFmtId="3" fontId="10" fillId="2" borderId="2" xfId="2" applyNumberFormat="1" applyFont="1" applyFill="1" applyBorder="1" applyAlignment="1">
      <alignment horizontal="left" vertical="top" wrapText="1"/>
    </xf>
    <xf numFmtId="0" fontId="30" fillId="0" borderId="6" xfId="4" applyNumberFormat="1" applyFont="1" applyFill="1" applyBorder="1" applyAlignment="1" applyProtection="1">
      <alignment horizontal="center" vertical="top" wrapText="1"/>
    </xf>
    <xf numFmtId="3" fontId="29" fillId="0" borderId="2" xfId="2" applyNumberFormat="1" applyFont="1" applyBorder="1" applyAlignment="1">
      <alignment horizontal="left" vertical="top" wrapText="1" indent="1"/>
    </xf>
    <xf numFmtId="0" fontId="30" fillId="0" borderId="5" xfId="4" applyNumberFormat="1" applyFont="1" applyFill="1" applyBorder="1" applyAlignment="1" applyProtection="1">
      <alignment horizontal="center" vertical="top" wrapText="1"/>
    </xf>
    <xf numFmtId="0" fontId="10" fillId="0" borderId="5" xfId="2" applyFont="1" applyBorder="1" applyAlignment="1">
      <alignment horizontal="center" vertical="top" wrapText="1"/>
    </xf>
    <xf numFmtId="3" fontId="14" fillId="0" borderId="2" xfId="2" applyNumberFormat="1" applyFont="1" applyBorder="1" applyAlignment="1">
      <alignment horizontal="left" vertical="top" wrapText="1" indent="1"/>
    </xf>
    <xf numFmtId="0" fontId="17" fillId="0" borderId="5" xfId="2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left" vertical="top" wrapText="1" indent="1"/>
    </xf>
    <xf numFmtId="0" fontId="11" fillId="0" borderId="5" xfId="2" applyFont="1" applyBorder="1" applyAlignment="1">
      <alignment horizontal="center" vertical="top" wrapText="1"/>
    </xf>
    <xf numFmtId="3" fontId="11" fillId="0" borderId="5" xfId="2" applyNumberFormat="1" applyFont="1" applyBorder="1" applyAlignment="1">
      <alignment horizontal="center" vertical="top" wrapText="1"/>
    </xf>
    <xf numFmtId="3" fontId="17" fillId="0" borderId="2" xfId="2" applyNumberFormat="1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3" fontId="19" fillId="0" borderId="5" xfId="0" applyNumberFormat="1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left" vertical="top" wrapText="1" indent="2"/>
    </xf>
    <xf numFmtId="0" fontId="33" fillId="0" borderId="5" xfId="2" applyFont="1" applyBorder="1" applyAlignment="1">
      <alignment horizontal="center" vertical="top" wrapText="1"/>
    </xf>
    <xf numFmtId="3" fontId="8" fillId="0" borderId="2" xfId="2" applyNumberFormat="1" applyFont="1" applyBorder="1" applyAlignment="1">
      <alignment horizontal="left" vertical="top" wrapText="1" indent="1"/>
    </xf>
    <xf numFmtId="0" fontId="16" fillId="0" borderId="5" xfId="2" applyFont="1" applyBorder="1" applyAlignment="1">
      <alignment horizontal="center" vertical="top" wrapText="1"/>
    </xf>
    <xf numFmtId="166" fontId="30" fillId="0" borderId="6" xfId="4" applyNumberFormat="1" applyFont="1" applyFill="1" applyBorder="1" applyAlignment="1" applyProtection="1">
      <alignment horizontal="right" vertical="top" wrapText="1"/>
      <protection locked="0"/>
    </xf>
    <xf numFmtId="166" fontId="30" fillId="0" borderId="5" xfId="4" applyNumberFormat="1" applyFont="1" applyFill="1" applyBorder="1" applyAlignment="1" applyProtection="1">
      <alignment horizontal="right" vertical="top" wrapText="1"/>
      <protection locked="0"/>
    </xf>
    <xf numFmtId="165" fontId="30" fillId="0" borderId="6" xfId="6" applyNumberFormat="1" applyFont="1" applyFill="1" applyBorder="1" applyAlignment="1" applyProtection="1">
      <alignment horizontal="right" vertical="top" wrapText="1"/>
      <protection locked="0"/>
    </xf>
    <xf numFmtId="165" fontId="30" fillId="0" borderId="5" xfId="6" applyNumberFormat="1" applyFont="1" applyFill="1" applyBorder="1" applyAlignment="1" applyProtection="1">
      <alignment horizontal="right" vertical="top" wrapText="1"/>
      <protection locked="0"/>
    </xf>
    <xf numFmtId="0" fontId="10" fillId="2" borderId="5" xfId="2" applyFont="1" applyFill="1" applyBorder="1" applyAlignment="1">
      <alignment horizontal="center" vertical="center" wrapText="1"/>
    </xf>
    <xf numFmtId="0" fontId="14" fillId="0" borderId="5" xfId="2" applyFont="1" applyBorder="1" applyAlignment="1">
      <alignment horizontal="center"/>
    </xf>
    <xf numFmtId="0" fontId="14" fillId="0" borderId="2" xfId="2" applyFont="1" applyBorder="1"/>
    <xf numFmtId="0" fontId="35" fillId="0" borderId="2" xfId="4" applyNumberFormat="1" applyFont="1" applyFill="1" applyBorder="1" applyAlignment="1" applyProtection="1">
      <alignment horizontal="center" vertical="top" wrapText="1"/>
    </xf>
    <xf numFmtId="0" fontId="36" fillId="0" borderId="5" xfId="2" applyFont="1" applyBorder="1" applyAlignment="1">
      <alignment horizontal="center"/>
    </xf>
    <xf numFmtId="0" fontId="36" fillId="0" borderId="2" xfId="2" applyFont="1" applyBorder="1"/>
    <xf numFmtId="0" fontId="22" fillId="0" borderId="5" xfId="0" applyFont="1" applyBorder="1" applyAlignment="1">
      <alignment horizontal="center"/>
    </xf>
    <xf numFmtId="0" fontId="8" fillId="0" borderId="5" xfId="2" quotePrefix="1" applyFont="1" applyBorder="1" applyAlignment="1">
      <alignment horizontal="center"/>
    </xf>
    <xf numFmtId="0" fontId="8" fillId="0" borderId="2" xfId="2" quotePrefix="1" applyFont="1" applyBorder="1" applyAlignment="1">
      <alignment horizontal="left" indent="1"/>
    </xf>
    <xf numFmtId="0" fontId="20" fillId="0" borderId="2" xfId="0" quotePrefix="1" applyFont="1" applyBorder="1" applyAlignment="1">
      <alignment horizontal="center"/>
    </xf>
    <xf numFmtId="0" fontId="8" fillId="0" borderId="5" xfId="2" quotePrefix="1" applyFont="1" applyBorder="1" applyAlignment="1">
      <alignment horizontal="center" vertical="center"/>
    </xf>
    <xf numFmtId="0" fontId="8" fillId="0" borderId="2" xfId="2" quotePrefix="1" applyFont="1" applyBorder="1" applyAlignment="1">
      <alignment horizontal="left" vertical="center" indent="1"/>
    </xf>
    <xf numFmtId="0" fontId="20" fillId="0" borderId="2" xfId="0" quotePrefix="1" applyFont="1" applyBorder="1" applyAlignment="1">
      <alignment horizontal="center" vertical="center"/>
    </xf>
    <xf numFmtId="0" fontId="8" fillId="0" borderId="5" xfId="5" quotePrefix="1" applyNumberFormat="1" applyFont="1" applyFill="1" applyBorder="1" applyAlignment="1" applyProtection="1">
      <alignment horizontal="center"/>
    </xf>
    <xf numFmtId="0" fontId="14" fillId="0" borderId="5" xfId="2" quotePrefix="1" applyFont="1" applyBorder="1" applyAlignment="1">
      <alignment horizontal="center" vertical="center"/>
    </xf>
    <xf numFmtId="0" fontId="14" fillId="0" borderId="2" xfId="2" quotePrefix="1" applyFont="1" applyBorder="1" applyAlignment="1">
      <alignment horizontal="left" vertical="center"/>
    </xf>
    <xf numFmtId="0" fontId="11" fillId="0" borderId="5" xfId="5" quotePrefix="1" applyNumberFormat="1" applyFont="1" applyFill="1" applyBorder="1" applyAlignment="1" applyProtection="1">
      <alignment horizontal="center" vertical="center"/>
    </xf>
    <xf numFmtId="0" fontId="16" fillId="0" borderId="5" xfId="2" quotePrefix="1" applyFont="1" applyBorder="1" applyAlignment="1">
      <alignment horizontal="center"/>
    </xf>
    <xf numFmtId="0" fontId="16" fillId="0" borderId="2" xfId="2" quotePrefix="1" applyFont="1" applyBorder="1" applyAlignment="1">
      <alignment horizontal="left" indent="1"/>
    </xf>
    <xf numFmtId="0" fontId="16" fillId="0" borderId="5" xfId="2" quotePrefix="1" applyFont="1" applyBorder="1" applyAlignment="1">
      <alignment horizontal="center" wrapText="1"/>
    </xf>
    <xf numFmtId="0" fontId="16" fillId="0" borderId="2" xfId="2" quotePrefix="1" applyFont="1" applyBorder="1" applyAlignment="1">
      <alignment horizontal="left" wrapText="1" indent="1"/>
    </xf>
    <xf numFmtId="0" fontId="16" fillId="0" borderId="5" xfId="2" quotePrefix="1" applyFont="1" applyBorder="1" applyAlignment="1">
      <alignment horizontal="center" vertical="center"/>
    </xf>
    <xf numFmtId="0" fontId="16" fillId="0" borderId="2" xfId="2" quotePrefix="1" applyFont="1" applyBorder="1" applyAlignment="1">
      <alignment horizontal="left" vertical="center" indent="1"/>
    </xf>
    <xf numFmtId="0" fontId="20" fillId="0" borderId="5" xfId="0" quotePrefix="1" applyFont="1" applyBorder="1" applyAlignment="1">
      <alignment horizontal="center"/>
    </xf>
    <xf numFmtId="0" fontId="14" fillId="0" borderId="2" xfId="2" applyFont="1" applyBorder="1" applyAlignment="1">
      <alignment horizontal="left"/>
    </xf>
    <xf numFmtId="0" fontId="10" fillId="0" borderId="5" xfId="5" applyNumberFormat="1" applyFont="1" applyFill="1" applyBorder="1" applyAlignment="1" applyProtection="1">
      <alignment horizontal="center"/>
    </xf>
    <xf numFmtId="0" fontId="11" fillId="0" borderId="5" xfId="5" applyNumberFormat="1" applyFont="1" applyFill="1" applyBorder="1" applyAlignment="1" applyProtection="1">
      <alignment horizontal="center"/>
    </xf>
    <xf numFmtId="0" fontId="8" fillId="0" borderId="5" xfId="2" applyFont="1" applyBorder="1" applyAlignment="1">
      <alignment horizontal="center"/>
    </xf>
    <xf numFmtId="0" fontId="8" fillId="0" borderId="2" xfId="2" applyFont="1" applyBorder="1" applyAlignment="1">
      <alignment horizontal="left" indent="1"/>
    </xf>
    <xf numFmtId="0" fontId="8" fillId="0" borderId="5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indent="1"/>
    </xf>
    <xf numFmtId="0" fontId="8" fillId="0" borderId="5" xfId="5" quotePrefix="1" applyNumberFormat="1" applyFont="1" applyFill="1" applyBorder="1" applyAlignment="1" applyProtection="1">
      <alignment horizontal="center" vertical="center"/>
    </xf>
    <xf numFmtId="0" fontId="14" fillId="4" borderId="5" xfId="2" applyFont="1" applyFill="1" applyBorder="1" applyAlignment="1">
      <alignment horizontal="center"/>
    </xf>
    <xf numFmtId="0" fontId="14" fillId="4" borderId="2" xfId="2" applyFont="1" applyFill="1" applyBorder="1"/>
    <xf numFmtId="0" fontId="10" fillId="4" borderId="5" xfId="5" applyNumberFormat="1" applyFont="1" applyFill="1" applyBorder="1" applyAlignment="1" applyProtection="1">
      <alignment horizontal="center"/>
    </xf>
    <xf numFmtId="0" fontId="31" fillId="0" borderId="5" xfId="2" applyFont="1" applyBorder="1" applyAlignment="1">
      <alignment horizontal="center"/>
    </xf>
    <xf numFmtId="0" fontId="31" fillId="0" borderId="2" xfId="2" applyFont="1" applyBorder="1" applyAlignment="1">
      <alignment horizontal="left" indent="1"/>
    </xf>
    <xf numFmtId="0" fontId="38" fillId="0" borderId="5" xfId="0" applyFont="1" applyBorder="1" applyAlignment="1">
      <alignment horizontal="center"/>
    </xf>
    <xf numFmtId="165" fontId="35" fillId="0" borderId="3" xfId="4" applyNumberFormat="1" applyFont="1" applyFill="1" applyBorder="1" applyAlignment="1" applyProtection="1">
      <alignment vertical="top" wrapText="1"/>
      <protection locked="0"/>
    </xf>
    <xf numFmtId="165" fontId="35" fillId="0" borderId="2" xfId="4" applyNumberFormat="1" applyFont="1" applyFill="1" applyBorder="1" applyAlignment="1" applyProtection="1">
      <alignment vertical="top" wrapText="1"/>
      <protection locked="0"/>
    </xf>
    <xf numFmtId="165" fontId="20" fillId="0" borderId="2" xfId="0" quotePrefix="1" applyNumberFormat="1" applyFont="1" applyBorder="1" applyAlignment="1" applyProtection="1">
      <alignment horizontal="right"/>
      <protection locked="0"/>
    </xf>
    <xf numFmtId="3" fontId="21" fillId="0" borderId="5" xfId="0" applyNumberFormat="1" applyFont="1" applyBorder="1" applyAlignment="1" applyProtection="1">
      <alignment vertical="top" wrapText="1"/>
      <protection locked="0"/>
    </xf>
    <xf numFmtId="3" fontId="20" fillId="0" borderId="2" xfId="0" quotePrefix="1" applyNumberFormat="1" applyFont="1" applyBorder="1" applyAlignment="1" applyProtection="1">
      <alignment vertical="center"/>
      <protection locked="0"/>
    </xf>
    <xf numFmtId="3" fontId="20" fillId="0" borderId="2" xfId="0" quotePrefix="1" applyNumberFormat="1" applyFont="1" applyBorder="1" applyProtection="1">
      <protection locked="0"/>
    </xf>
    <xf numFmtId="3" fontId="37" fillId="0" borderId="2" xfId="0" quotePrefix="1" applyNumberFormat="1" applyFont="1" applyBorder="1" applyProtection="1">
      <protection locked="0"/>
    </xf>
    <xf numFmtId="165" fontId="20" fillId="0" borderId="2" xfId="0" quotePrefix="1" applyNumberFormat="1" applyFont="1" applyBorder="1" applyAlignment="1" applyProtection="1">
      <alignment horizontal="right" vertical="center"/>
      <protection locked="0"/>
    </xf>
    <xf numFmtId="3" fontId="20" fillId="0" borderId="5" xfId="0" quotePrefix="1" applyNumberFormat="1" applyFont="1" applyBorder="1" applyAlignment="1" applyProtection="1">
      <alignment horizontal="right"/>
      <protection locked="0"/>
    </xf>
    <xf numFmtId="3" fontId="20" fillId="0" borderId="5" xfId="0" quotePrefix="1" applyNumberFormat="1" applyFont="1" applyBorder="1" applyProtection="1">
      <protection locked="0"/>
    </xf>
    <xf numFmtId="165" fontId="20" fillId="0" borderId="5" xfId="0" quotePrefix="1" applyNumberFormat="1" applyFont="1" applyBorder="1" applyAlignment="1" applyProtection="1">
      <alignment horizontal="right"/>
      <protection locked="0"/>
    </xf>
    <xf numFmtId="0" fontId="40" fillId="2" borderId="10" xfId="2" applyFont="1" applyFill="1" applyBorder="1" applyAlignment="1">
      <alignment horizontal="center" vertical="center" wrapText="1"/>
    </xf>
    <xf numFmtId="0" fontId="40" fillId="2" borderId="2" xfId="2" applyFont="1" applyFill="1" applyBorder="1" applyAlignment="1">
      <alignment horizontal="left" vertical="center" wrapText="1"/>
    </xf>
    <xf numFmtId="0" fontId="41" fillId="3" borderId="3" xfId="3" applyFont="1" applyFill="1" applyBorder="1" applyAlignment="1">
      <alignment horizontal="center" vertical="center" wrapText="1"/>
    </xf>
    <xf numFmtId="168" fontId="41" fillId="3" borderId="3" xfId="3" applyNumberFormat="1" applyFont="1" applyFill="1" applyBorder="1" applyAlignment="1">
      <alignment horizontal="center" vertical="center" wrapText="1"/>
    </xf>
    <xf numFmtId="0" fontId="42" fillId="0" borderId="5" xfId="2" applyFont="1" applyBorder="1" applyAlignment="1">
      <alignment horizontal="center" vertical="center" wrapText="1"/>
    </xf>
    <xf numFmtId="0" fontId="42" fillId="0" borderId="2" xfId="2" applyFont="1" applyBorder="1" applyAlignment="1">
      <alignment horizontal="left" vertical="center" wrapText="1" indent="2"/>
    </xf>
    <xf numFmtId="0" fontId="43" fillId="0" borderId="2" xfId="3" applyFont="1" applyBorder="1" applyAlignment="1">
      <alignment horizontal="center"/>
    </xf>
    <xf numFmtId="0" fontId="41" fillId="0" borderId="5" xfId="2" applyFont="1" applyBorder="1" applyAlignment="1">
      <alignment horizontal="center" vertical="center" wrapText="1"/>
    </xf>
    <xf numFmtId="0" fontId="41" fillId="0" borderId="2" xfId="2" applyFont="1" applyBorder="1" applyAlignment="1">
      <alignment horizontal="left" vertical="center" wrapText="1" indent="1"/>
    </xf>
    <xf numFmtId="0" fontId="44" fillId="0" borderId="2" xfId="2" applyFont="1" applyBorder="1" applyAlignment="1">
      <alignment horizontal="center"/>
    </xf>
    <xf numFmtId="0" fontId="45" fillId="0" borderId="5" xfId="2" applyFont="1" applyBorder="1" applyAlignment="1">
      <alignment horizontal="center" vertical="center" wrapText="1"/>
    </xf>
    <xf numFmtId="0" fontId="45" fillId="0" borderId="2" xfId="2" applyFont="1" applyBorder="1" applyAlignment="1">
      <alignment horizontal="left" vertical="center" wrapText="1" indent="1"/>
    </xf>
    <xf numFmtId="0" fontId="46" fillId="0" borderId="2" xfId="2" applyFont="1" applyBorder="1" applyAlignment="1">
      <alignment horizontal="center"/>
    </xf>
    <xf numFmtId="0" fontId="46" fillId="0" borderId="2" xfId="1" applyNumberFormat="1" applyFont="1" applyBorder="1" applyAlignment="1" applyProtection="1">
      <alignment horizontal="center"/>
    </xf>
    <xf numFmtId="0" fontId="47" fillId="0" borderId="2" xfId="2" applyFont="1" applyBorder="1" applyAlignment="1">
      <alignment horizontal="center"/>
    </xf>
    <xf numFmtId="0" fontId="43" fillId="0" borderId="2" xfId="2" applyFont="1" applyBorder="1" applyAlignment="1">
      <alignment horizontal="center"/>
    </xf>
    <xf numFmtId="0" fontId="42" fillId="0" borderId="5" xfId="2" applyFont="1" applyBorder="1" applyAlignment="1">
      <alignment horizontal="center" vertical="center"/>
    </xf>
    <xf numFmtId="0" fontId="47" fillId="0" borderId="2" xfId="1" applyNumberFormat="1" applyFont="1" applyBorder="1" applyAlignment="1" applyProtection="1">
      <alignment horizontal="center"/>
    </xf>
    <xf numFmtId="0" fontId="41" fillId="0" borderId="5" xfId="2" applyFont="1" applyBorder="1" applyAlignment="1">
      <alignment horizontal="center" vertical="center"/>
    </xf>
    <xf numFmtId="0" fontId="41" fillId="0" borderId="2" xfId="2" applyFont="1" applyBorder="1" applyAlignment="1">
      <alignment horizontal="left" vertical="center" indent="1"/>
    </xf>
    <xf numFmtId="0" fontId="42" fillId="0" borderId="2" xfId="2" applyFont="1" applyBorder="1" applyAlignment="1">
      <alignment horizontal="left" vertical="center" indent="2"/>
    </xf>
    <xf numFmtId="0" fontId="45" fillId="0" borderId="5" xfId="2" applyFont="1" applyBorder="1" applyAlignment="1">
      <alignment horizontal="center" vertical="center"/>
    </xf>
    <xf numFmtId="0" fontId="45" fillId="0" borderId="2" xfId="2" applyFont="1" applyBorder="1" applyAlignment="1">
      <alignment horizontal="left" vertical="center" indent="1"/>
    </xf>
    <xf numFmtId="0" fontId="45" fillId="0" borderId="11" xfId="2" applyFont="1" applyBorder="1" applyAlignment="1">
      <alignment horizontal="center" vertical="center"/>
    </xf>
    <xf numFmtId="3" fontId="43" fillId="0" borderId="2" xfId="3" applyNumberFormat="1" applyFont="1" applyBorder="1" applyProtection="1">
      <protection locked="0"/>
    </xf>
    <xf numFmtId="3" fontId="44" fillId="0" borderId="2" xfId="2" applyNumberFormat="1" applyFont="1" applyBorder="1" applyProtection="1">
      <protection locked="0"/>
    </xf>
    <xf numFmtId="3" fontId="46" fillId="0" borderId="2" xfId="2" applyNumberFormat="1" applyFont="1" applyBorder="1" applyProtection="1">
      <protection locked="0"/>
    </xf>
    <xf numFmtId="169" fontId="46" fillId="0" borderId="2" xfId="1" applyNumberFormat="1" applyFont="1" applyBorder="1" applyProtection="1">
      <protection locked="0"/>
    </xf>
    <xf numFmtId="3" fontId="47" fillId="0" borderId="2" xfId="2" applyNumberFormat="1" applyFont="1" applyBorder="1" applyProtection="1">
      <protection locked="0"/>
    </xf>
    <xf numFmtId="3" fontId="43" fillId="0" borderId="2" xfId="2" applyNumberFormat="1" applyFont="1" applyBorder="1" applyProtection="1">
      <protection locked="0"/>
    </xf>
    <xf numFmtId="169" fontId="47" fillId="0" borderId="2" xfId="1" applyNumberFormat="1" applyFont="1" applyBorder="1" applyProtection="1">
      <protection locked="0"/>
    </xf>
    <xf numFmtId="0" fontId="40" fillId="2" borderId="12" xfId="2" applyFont="1" applyFill="1" applyBorder="1" applyAlignment="1">
      <alignment horizontal="center" vertical="center" wrapText="1"/>
    </xf>
    <xf numFmtId="0" fontId="40" fillId="2" borderId="12" xfId="2" applyFont="1" applyFill="1" applyBorder="1" applyAlignment="1">
      <alignment horizontal="left" vertical="center" wrapText="1"/>
    </xf>
    <xf numFmtId="0" fontId="11" fillId="3" borderId="13" xfId="2" applyFont="1" applyFill="1" applyBorder="1" applyAlignment="1">
      <alignment horizontal="center" vertical="center" wrapText="1"/>
    </xf>
    <xf numFmtId="3" fontId="11" fillId="3" borderId="12" xfId="2" applyNumberFormat="1" applyFont="1" applyFill="1" applyBorder="1" applyAlignment="1">
      <alignment horizontal="center" vertical="center" wrapText="1"/>
    </xf>
    <xf numFmtId="0" fontId="48" fillId="0" borderId="8" xfId="2" applyFont="1" applyBorder="1" applyAlignment="1">
      <alignment horizontal="center"/>
    </xf>
    <xf numFmtId="0" fontId="48" fillId="0" borderId="8" xfId="2" applyFont="1" applyBorder="1"/>
    <xf numFmtId="0" fontId="9" fillId="0" borderId="8" xfId="2" applyFont="1" applyBorder="1" applyAlignment="1">
      <alignment horizontal="center"/>
    </xf>
    <xf numFmtId="0" fontId="9" fillId="0" borderId="0" xfId="2" applyFont="1" applyAlignment="1">
      <alignment horizontal="left" indent="1"/>
    </xf>
    <xf numFmtId="0" fontId="48" fillId="0" borderId="0" xfId="2" applyFont="1" applyAlignment="1">
      <alignment horizontal="center"/>
    </xf>
    <xf numFmtId="0" fontId="48" fillId="0" borderId="0" xfId="2" applyFont="1"/>
    <xf numFmtId="0" fontId="48" fillId="0" borderId="9" xfId="2" applyFont="1" applyBorder="1" applyAlignment="1">
      <alignment horizontal="center"/>
    </xf>
    <xf numFmtId="0" fontId="48" fillId="0" borderId="9" xfId="2" applyFont="1" applyBorder="1"/>
    <xf numFmtId="3" fontId="48" fillId="0" borderId="8" xfId="2" applyNumberFormat="1" applyFont="1" applyBorder="1" applyProtection="1">
      <protection locked="0"/>
    </xf>
    <xf numFmtId="3" fontId="9" fillId="0" borderId="0" xfId="2" applyNumberFormat="1" applyFont="1" applyProtection="1">
      <protection locked="0"/>
    </xf>
    <xf numFmtId="3" fontId="48" fillId="0" borderId="9" xfId="2" applyNumberFormat="1" applyFont="1" applyBorder="1" applyProtection="1">
      <protection locked="0"/>
    </xf>
    <xf numFmtId="0" fontId="9" fillId="0" borderId="0" xfId="2" applyFont="1" applyProtection="1">
      <protection locked="0"/>
    </xf>
    <xf numFmtId="0" fontId="53" fillId="5" borderId="0" xfId="3" applyFont="1" applyFill="1"/>
    <xf numFmtId="0" fontId="54" fillId="5" borderId="0" xfId="3" applyFont="1" applyFill="1"/>
    <xf numFmtId="0" fontId="54" fillId="0" borderId="0" xfId="3" applyFont="1"/>
    <xf numFmtId="0" fontId="53" fillId="0" borderId="0" xfId="3" applyFont="1" applyAlignment="1">
      <alignment horizontal="right"/>
    </xf>
    <xf numFmtId="0" fontId="54" fillId="5" borderId="14" xfId="3" applyFont="1" applyFill="1" applyBorder="1"/>
    <xf numFmtId="0" fontId="54" fillId="0" borderId="14" xfId="3" applyFont="1" applyBorder="1"/>
    <xf numFmtId="0" fontId="55" fillId="0" borderId="14" xfId="3" applyFont="1" applyBorder="1" applyAlignment="1">
      <alignment horizontal="right"/>
    </xf>
    <xf numFmtId="0" fontId="54" fillId="5" borderId="0" xfId="3" quotePrefix="1" applyFont="1" applyFill="1"/>
    <xf numFmtId="0" fontId="55" fillId="0" borderId="0" xfId="3" applyFont="1" applyAlignment="1">
      <alignment horizontal="right"/>
    </xf>
    <xf numFmtId="0" fontId="56" fillId="0" borderId="0" xfId="3" applyFont="1"/>
    <xf numFmtId="0" fontId="9" fillId="0" borderId="0" xfId="3" applyFont="1"/>
    <xf numFmtId="0" fontId="9" fillId="5" borderId="0" xfId="3" applyFont="1" applyFill="1"/>
    <xf numFmtId="0" fontId="48" fillId="0" borderId="0" xfId="3" applyFont="1"/>
    <xf numFmtId="0" fontId="48" fillId="5" borderId="0" xfId="3" applyFont="1" applyFill="1" applyAlignment="1">
      <alignment horizontal="center"/>
    </xf>
    <xf numFmtId="14" fontId="9" fillId="0" borderId="0" xfId="3" applyNumberFormat="1" applyFont="1" applyAlignment="1">
      <alignment vertical="center"/>
    </xf>
    <xf numFmtId="0" fontId="22" fillId="0" borderId="0" xfId="3" applyFont="1" applyAlignment="1">
      <alignment horizontal="left"/>
    </xf>
    <xf numFmtId="0" fontId="8" fillId="5" borderId="0" xfId="3" applyFont="1" applyFill="1" applyAlignment="1">
      <alignment horizontal="left"/>
    </xf>
    <xf numFmtId="0" fontId="8" fillId="5" borderId="0" xfId="3" applyFont="1" applyFill="1"/>
    <xf numFmtId="0" fontId="57" fillId="0" borderId="0" xfId="3" applyFont="1" applyAlignment="1">
      <alignment horizontal="right"/>
    </xf>
    <xf numFmtId="0" fontId="20" fillId="0" borderId="0" xfId="3" applyFont="1"/>
    <xf numFmtId="0" fontId="57" fillId="0" borderId="0" xfId="3" applyFont="1"/>
    <xf numFmtId="0" fontId="57" fillId="0" borderId="0" xfId="3" applyFont="1" applyAlignment="1">
      <alignment horizontal="centerContinuous"/>
    </xf>
    <xf numFmtId="0" fontId="57" fillId="0" borderId="0" xfId="3" applyFont="1" applyAlignment="1">
      <alignment horizontal="centerContinuous" wrapText="1"/>
    </xf>
    <xf numFmtId="0" fontId="20" fillId="0" borderId="0" xfId="3" applyFont="1" applyAlignment="1">
      <alignment horizontal="centerContinuous"/>
    </xf>
    <xf numFmtId="0" fontId="61" fillId="0" borderId="0" xfId="3" applyFont="1"/>
    <xf numFmtId="0" fontId="62" fillId="0" borderId="0" xfId="3" applyFont="1" applyAlignment="1">
      <alignment horizontal="centerContinuous"/>
    </xf>
    <xf numFmtId="0" fontId="53" fillId="0" borderId="0" xfId="3" applyFont="1"/>
    <xf numFmtId="0" fontId="64" fillId="0" borderId="0" xfId="3" applyFont="1"/>
    <xf numFmtId="0" fontId="32" fillId="0" borderId="0" xfId="3" applyFont="1"/>
    <xf numFmtId="0" fontId="65" fillId="0" borderId="0" xfId="3" applyFont="1"/>
    <xf numFmtId="0" fontId="64" fillId="0" borderId="0" xfId="3" applyFont="1" applyAlignment="1">
      <alignment horizontal="right"/>
    </xf>
    <xf numFmtId="0" fontId="66" fillId="0" borderId="0" xfId="3" applyFont="1"/>
    <xf numFmtId="49" fontId="66" fillId="0" borderId="0" xfId="3" applyNumberFormat="1" applyFont="1" applyAlignment="1">
      <alignment horizontal="right"/>
    </xf>
    <xf numFmtId="0" fontId="67" fillId="0" borderId="0" xfId="3" quotePrefix="1" applyFont="1" applyAlignment="1">
      <alignment horizontal="left" indent="1"/>
    </xf>
    <xf numFmtId="0" fontId="68" fillId="0" borderId="0" xfId="3" applyFont="1"/>
    <xf numFmtId="49" fontId="68" fillId="0" borderId="0" xfId="3" applyNumberFormat="1" applyFont="1" applyAlignment="1">
      <alignment horizontal="right"/>
    </xf>
    <xf numFmtId="0" fontId="69" fillId="0" borderId="0" xfId="3" quotePrefix="1" applyFont="1" applyAlignment="1">
      <alignment horizontal="left" indent="1"/>
    </xf>
    <xf numFmtId="0" fontId="70" fillId="0" borderId="0" xfId="3" applyFont="1"/>
    <xf numFmtId="49" fontId="70" fillId="0" borderId="0" xfId="3" applyNumberFormat="1" applyFont="1" applyAlignment="1">
      <alignment horizontal="right"/>
    </xf>
    <xf numFmtId="0" fontId="71" fillId="0" borderId="0" xfId="3" quotePrefix="1" applyFont="1" applyAlignment="1">
      <alignment horizontal="left" indent="1"/>
    </xf>
    <xf numFmtId="0" fontId="72" fillId="0" borderId="0" xfId="3" applyFont="1"/>
    <xf numFmtId="49" fontId="72" fillId="0" borderId="0" xfId="3" applyNumberFormat="1" applyFont="1" applyAlignment="1">
      <alignment horizontal="right"/>
    </xf>
    <xf numFmtId="0" fontId="73" fillId="0" borderId="0" xfId="3" quotePrefix="1" applyFont="1" applyAlignment="1">
      <alignment horizontal="left" indent="1"/>
    </xf>
    <xf numFmtId="49" fontId="32" fillId="0" borderId="0" xfId="3" applyNumberFormat="1" applyFont="1" applyAlignment="1">
      <alignment horizontal="right"/>
    </xf>
    <xf numFmtId="0" fontId="74" fillId="0" borderId="0" xfId="3" applyFont="1"/>
    <xf numFmtId="170" fontId="75" fillId="0" borderId="0" xfId="3" applyNumberFormat="1" applyFont="1"/>
    <xf numFmtId="0" fontId="75" fillId="0" borderId="0" xfId="3" applyFont="1"/>
    <xf numFmtId="0" fontId="76" fillId="0" borderId="14" xfId="3" applyFont="1" applyBorder="1"/>
    <xf numFmtId="170" fontId="75" fillId="0" borderId="14" xfId="3" applyNumberFormat="1" applyFont="1" applyBorder="1"/>
    <xf numFmtId="0" fontId="16" fillId="0" borderId="0" xfId="3" applyFont="1"/>
    <xf numFmtId="0" fontId="16" fillId="0" borderId="0" xfId="9" applyFont="1"/>
    <xf numFmtId="170" fontId="16" fillId="0" borderId="0" xfId="9" applyNumberFormat="1" applyFont="1"/>
    <xf numFmtId="170" fontId="79" fillId="0" borderId="0" xfId="9" applyNumberFormat="1" applyFont="1" applyAlignment="1">
      <alignment horizontal="right"/>
    </xf>
    <xf numFmtId="0" fontId="74" fillId="0" borderId="15" xfId="10" applyFont="1" applyBorder="1" applyAlignment="1">
      <alignment horizontal="center" vertical="center" wrapText="1"/>
    </xf>
    <xf numFmtId="170" fontId="74" fillId="0" borderId="15" xfId="10" applyNumberFormat="1" applyFont="1" applyBorder="1" applyAlignment="1">
      <alignment horizontal="center" vertical="center" wrapText="1"/>
    </xf>
    <xf numFmtId="14" fontId="74" fillId="0" borderId="15" xfId="10" applyNumberFormat="1" applyFont="1" applyBorder="1" applyAlignment="1">
      <alignment horizontal="center" vertical="center" wrapText="1"/>
    </xf>
    <xf numFmtId="0" fontId="22" fillId="6" borderId="0" xfId="3" applyFont="1" applyFill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11" fillId="0" borderId="16" xfId="10" applyFont="1" applyBorder="1" applyAlignment="1">
      <alignment horizontal="left" wrapText="1"/>
    </xf>
    <xf numFmtId="3" fontId="80" fillId="0" borderId="16" xfId="10" applyNumberFormat="1" applyFont="1" applyBorder="1" applyAlignment="1" applyProtection="1">
      <alignment horizontal="right" vertical="center"/>
      <protection hidden="1"/>
    </xf>
    <xf numFmtId="170" fontId="38" fillId="0" borderId="0" xfId="3" applyNumberFormat="1" applyFont="1"/>
    <xf numFmtId="0" fontId="38" fillId="0" borderId="0" xfId="3" applyFont="1"/>
    <xf numFmtId="0" fontId="16" fillId="0" borderId="17" xfId="10" applyFont="1" applyBorder="1"/>
    <xf numFmtId="3" fontId="81" fillId="0" borderId="17" xfId="10" applyNumberFormat="1" applyFont="1" applyBorder="1" applyProtection="1">
      <protection hidden="1"/>
    </xf>
    <xf numFmtId="0" fontId="74" fillId="0" borderId="17" xfId="10" applyFont="1" applyBorder="1"/>
    <xf numFmtId="3" fontId="82" fillId="0" borderId="17" xfId="10" applyNumberFormat="1" applyFont="1" applyBorder="1" applyProtection="1">
      <protection hidden="1"/>
    </xf>
    <xf numFmtId="16" fontId="16" fillId="0" borderId="0" xfId="3" applyNumberFormat="1" applyFont="1"/>
    <xf numFmtId="0" fontId="16" fillId="0" borderId="17" xfId="10" applyFont="1" applyBorder="1" applyAlignment="1">
      <alignment horizontal="left" wrapText="1"/>
    </xf>
    <xf numFmtId="0" fontId="8" fillId="0" borderId="17" xfId="10" applyFont="1" applyBorder="1"/>
    <xf numFmtId="9" fontId="16" fillId="0" borderId="0" xfId="11" applyFont="1"/>
    <xf numFmtId="3" fontId="2" fillId="0" borderId="17" xfId="10" applyNumberFormat="1" applyBorder="1" applyProtection="1">
      <protection hidden="1"/>
    </xf>
    <xf numFmtId="0" fontId="11" fillId="0" borderId="17" xfId="10" applyFont="1" applyBorder="1" applyAlignment="1">
      <alignment horizontal="left" wrapText="1"/>
    </xf>
    <xf numFmtId="3" fontId="80" fillId="0" borderId="17" xfId="10" applyNumberFormat="1" applyFont="1" applyBorder="1" applyAlignment="1" applyProtection="1">
      <alignment horizontal="right" vertical="center"/>
      <protection hidden="1"/>
    </xf>
    <xf numFmtId="3" fontId="82" fillId="0" borderId="17" xfId="10" applyNumberFormat="1" applyFont="1" applyBorder="1" applyAlignment="1" applyProtection="1">
      <alignment horizontal="right"/>
      <protection hidden="1"/>
    </xf>
    <xf numFmtId="0" fontId="16" fillId="0" borderId="18" xfId="10" applyFont="1" applyBorder="1"/>
    <xf numFmtId="3" fontId="81" fillId="0" borderId="19" xfId="10" applyNumberFormat="1" applyFont="1" applyBorder="1" applyProtection="1">
      <protection hidden="1"/>
    </xf>
    <xf numFmtId="0" fontId="16" fillId="0" borderId="0" xfId="10" applyFont="1"/>
    <xf numFmtId="3" fontId="81" fillId="0" borderId="0" xfId="10" applyNumberFormat="1" applyFont="1" applyProtection="1">
      <protection hidden="1"/>
    </xf>
    <xf numFmtId="3" fontId="74" fillId="0" borderId="15" xfId="10" applyNumberFormat="1" applyFont="1" applyBorder="1" applyAlignment="1" applyProtection="1">
      <alignment horizontal="center" vertical="center" wrapText="1"/>
      <protection hidden="1"/>
    </xf>
    <xf numFmtId="0" fontId="83" fillId="0" borderId="0" xfId="3" applyFont="1"/>
    <xf numFmtId="0" fontId="22" fillId="0" borderId="16" xfId="10" applyFont="1" applyBorder="1"/>
    <xf numFmtId="3" fontId="81" fillId="0" borderId="16" xfId="10" applyNumberFormat="1" applyFont="1" applyBorder="1" applyProtection="1">
      <protection hidden="1"/>
    </xf>
    <xf numFmtId="3" fontId="81" fillId="0" borderId="17" xfId="10" applyNumberFormat="1" applyFont="1" applyBorder="1" applyAlignment="1" applyProtection="1">
      <alignment horizontal="right"/>
      <protection hidden="1"/>
    </xf>
    <xf numFmtId="165" fontId="81" fillId="0" borderId="17" xfId="10" applyNumberFormat="1" applyFont="1" applyBorder="1" applyAlignment="1" applyProtection="1">
      <alignment horizontal="right"/>
      <protection hidden="1"/>
    </xf>
    <xf numFmtId="170" fontId="16" fillId="0" borderId="0" xfId="3" applyNumberFormat="1" applyFont="1"/>
    <xf numFmtId="0" fontId="16" fillId="0" borderId="17" xfId="10" applyFont="1" applyBorder="1" applyAlignment="1">
      <alignment horizontal="left" indent="1"/>
    </xf>
    <xf numFmtId="0" fontId="16" fillId="0" borderId="17" xfId="10" quotePrefix="1" applyFont="1" applyBorder="1" applyAlignment="1">
      <alignment horizontal="left" indent="2"/>
    </xf>
    <xf numFmtId="0" fontId="16" fillId="0" borderId="17" xfId="10" quotePrefix="1" applyFont="1" applyBorder="1"/>
    <xf numFmtId="0" fontId="16" fillId="0" borderId="19" xfId="10" applyFont="1" applyBorder="1"/>
    <xf numFmtId="0" fontId="10" fillId="0" borderId="15" xfId="10" applyFont="1" applyBorder="1"/>
    <xf numFmtId="3" fontId="84" fillId="0" borderId="15" xfId="10" applyNumberFormat="1" applyFont="1" applyBorder="1" applyProtection="1">
      <protection hidden="1"/>
    </xf>
    <xf numFmtId="3" fontId="16" fillId="0" borderId="0" xfId="3" applyNumberFormat="1" applyFont="1" applyProtection="1">
      <protection hidden="1"/>
    </xf>
    <xf numFmtId="0" fontId="11" fillId="0" borderId="17" xfId="10" applyFont="1" applyBorder="1"/>
    <xf numFmtId="3" fontId="80" fillId="0" borderId="17" xfId="10" applyNumberFormat="1" applyFont="1" applyBorder="1" applyProtection="1">
      <protection hidden="1"/>
    </xf>
    <xf numFmtId="3" fontId="16" fillId="0" borderId="0" xfId="10" applyNumberFormat="1" applyFont="1" applyProtection="1">
      <protection hidden="1"/>
    </xf>
    <xf numFmtId="3" fontId="85" fillId="0" borderId="0" xfId="10" applyNumberFormat="1" applyFont="1" applyAlignment="1" applyProtection="1">
      <alignment horizontal="right"/>
      <protection hidden="1"/>
    </xf>
    <xf numFmtId="3" fontId="81" fillId="0" borderId="17" xfId="10" applyNumberFormat="1" applyFont="1" applyBorder="1" applyAlignment="1" applyProtection="1">
      <alignment vertical="top"/>
      <protection hidden="1"/>
    </xf>
    <xf numFmtId="171" fontId="81" fillId="0" borderId="17" xfId="10" applyNumberFormat="1" applyFont="1" applyBorder="1" applyProtection="1">
      <protection hidden="1"/>
    </xf>
    <xf numFmtId="3" fontId="16" fillId="0" borderId="0" xfId="3" applyNumberFormat="1" applyFont="1"/>
    <xf numFmtId="0" fontId="86" fillId="0" borderId="17" xfId="10" applyFont="1" applyBorder="1" applyAlignment="1">
      <alignment horizontal="left" indent="1"/>
    </xf>
    <xf numFmtId="165" fontId="87" fillId="0" borderId="17" xfId="10" applyNumberFormat="1" applyFont="1" applyBorder="1" applyAlignment="1" applyProtection="1">
      <alignment vertical="center"/>
      <protection hidden="1"/>
    </xf>
    <xf numFmtId="0" fontId="16" fillId="0" borderId="16" xfId="10" applyFont="1" applyBorder="1"/>
    <xf numFmtId="168" fontId="16" fillId="0" borderId="0" xfId="3" applyNumberFormat="1" applyFont="1" applyProtection="1">
      <protection hidden="1"/>
    </xf>
    <xf numFmtId="0" fontId="16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88" fillId="0" borderId="0" xfId="3" applyFont="1" applyAlignment="1">
      <alignment horizontal="center"/>
    </xf>
    <xf numFmtId="0" fontId="89" fillId="0" borderId="0" xfId="3" applyFont="1"/>
    <xf numFmtId="0" fontId="22" fillId="0" borderId="0" xfId="3" applyFont="1"/>
    <xf numFmtId="0" fontId="16" fillId="0" borderId="14" xfId="3" applyFont="1" applyBorder="1"/>
    <xf numFmtId="170" fontId="86" fillId="0" borderId="0" xfId="3" applyNumberFormat="1" applyFont="1" applyAlignment="1">
      <alignment horizontal="right"/>
    </xf>
    <xf numFmtId="170" fontId="79" fillId="0" borderId="0" xfId="10" applyNumberFormat="1" applyFont="1" applyAlignment="1">
      <alignment horizontal="right"/>
    </xf>
    <xf numFmtId="170" fontId="89" fillId="0" borderId="28" xfId="3" applyNumberFormat="1" applyFont="1" applyBorder="1" applyAlignment="1">
      <alignment horizontal="center" vertical="center"/>
    </xf>
    <xf numFmtId="0" fontId="22" fillId="0" borderId="29" xfId="3" applyFont="1" applyBorder="1" applyAlignment="1">
      <alignment vertical="center"/>
    </xf>
    <xf numFmtId="3" fontId="91" fillId="0" borderId="32" xfId="3" applyNumberFormat="1" applyFont="1" applyBorder="1" applyAlignment="1" applyProtection="1">
      <alignment vertical="center"/>
      <protection hidden="1"/>
    </xf>
    <xf numFmtId="0" fontId="16" fillId="0" borderId="33" xfId="3" applyFont="1" applyBorder="1" applyAlignment="1">
      <alignment vertical="center"/>
    </xf>
    <xf numFmtId="0" fontId="16" fillId="0" borderId="34" xfId="3" applyFont="1" applyBorder="1" applyAlignment="1">
      <alignment vertical="center"/>
    </xf>
    <xf numFmtId="0" fontId="16" fillId="0" borderId="35" xfId="3" applyFont="1" applyBorder="1" applyAlignment="1">
      <alignment vertical="center"/>
    </xf>
    <xf numFmtId="3" fontId="92" fillId="0" borderId="7" xfId="3" applyNumberFormat="1" applyFont="1" applyBorder="1" applyAlignment="1" applyProtection="1">
      <alignment vertical="center"/>
      <protection hidden="1"/>
    </xf>
    <xf numFmtId="0" fontId="10" fillId="0" borderId="33" xfId="3" applyFont="1" applyBorder="1" applyAlignment="1">
      <alignment vertical="center"/>
    </xf>
    <xf numFmtId="3" fontId="93" fillId="0" borderId="7" xfId="3" applyNumberFormat="1" applyFont="1" applyBorder="1" applyAlignment="1" applyProtection="1">
      <alignment horizontal="right" vertical="center"/>
      <protection hidden="1"/>
    </xf>
    <xf numFmtId="0" fontId="33" fillId="0" borderId="0" xfId="3" applyFont="1"/>
    <xf numFmtId="0" fontId="22" fillId="0" borderId="33" xfId="3" applyFont="1" applyBorder="1" applyAlignment="1">
      <alignment vertical="center"/>
    </xf>
    <xf numFmtId="0" fontId="22" fillId="0" borderId="34" xfId="3" applyFont="1" applyBorder="1" applyAlignment="1">
      <alignment vertical="center"/>
    </xf>
    <xf numFmtId="0" fontId="22" fillId="0" borderId="35" xfId="3" applyFont="1" applyBorder="1" applyAlignment="1">
      <alignment vertical="center"/>
    </xf>
    <xf numFmtId="3" fontId="91" fillId="0" borderId="7" xfId="3" applyNumberFormat="1" applyFont="1" applyBorder="1" applyAlignment="1" applyProtection="1">
      <alignment vertical="center"/>
      <protection hidden="1"/>
    </xf>
    <xf numFmtId="171" fontId="93" fillId="0" borderId="7" xfId="3" applyNumberFormat="1" applyFont="1" applyBorder="1" applyAlignment="1" applyProtection="1">
      <alignment horizontal="right" vertical="center"/>
      <protection hidden="1"/>
    </xf>
    <xf numFmtId="165" fontId="92" fillId="0" borderId="7" xfId="3" applyNumberFormat="1" applyFont="1" applyBorder="1" applyAlignment="1" applyProtection="1">
      <alignment vertical="center"/>
      <protection hidden="1"/>
    </xf>
    <xf numFmtId="0" fontId="86" fillId="0" borderId="33" xfId="3" applyFont="1" applyBorder="1" applyAlignment="1">
      <alignment vertical="center"/>
    </xf>
    <xf numFmtId="0" fontId="86" fillId="0" borderId="34" xfId="3" applyFont="1" applyBorder="1" applyAlignment="1">
      <alignment vertical="center"/>
    </xf>
    <xf numFmtId="0" fontId="86" fillId="0" borderId="35" xfId="3" applyFont="1" applyBorder="1" applyAlignment="1">
      <alignment vertical="center"/>
    </xf>
    <xf numFmtId="0" fontId="86" fillId="0" borderId="0" xfId="3" applyFont="1"/>
    <xf numFmtId="0" fontId="10" fillId="0" borderId="33" xfId="3" applyFont="1" applyBorder="1" applyAlignment="1">
      <alignment horizontal="left" vertical="center"/>
    </xf>
    <xf numFmtId="171" fontId="91" fillId="0" borderId="7" xfId="3" applyNumberFormat="1" applyFont="1" applyBorder="1" applyAlignment="1" applyProtection="1">
      <alignment vertical="center"/>
      <protection hidden="1"/>
    </xf>
    <xf numFmtId="0" fontId="10" fillId="0" borderId="34" xfId="3" applyFont="1" applyBorder="1" applyAlignment="1">
      <alignment vertical="center"/>
    </xf>
    <xf numFmtId="0" fontId="10" fillId="0" borderId="35" xfId="3" applyFont="1" applyBorder="1" applyAlignment="1">
      <alignment vertical="center"/>
    </xf>
    <xf numFmtId="171" fontId="93" fillId="0" borderId="7" xfId="3" applyNumberFormat="1" applyFont="1" applyBorder="1" applyAlignment="1" applyProtection="1">
      <alignment vertical="center"/>
      <protection hidden="1"/>
    </xf>
    <xf numFmtId="171" fontId="94" fillId="0" borderId="7" xfId="3" applyNumberFormat="1" applyFont="1" applyBorder="1" applyAlignment="1" applyProtection="1">
      <alignment vertical="center"/>
      <protection hidden="1"/>
    </xf>
    <xf numFmtId="0" fontId="10" fillId="0" borderId="29" xfId="3" quotePrefix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36" xfId="3" applyFont="1" applyBorder="1" applyAlignment="1">
      <alignment vertical="center"/>
    </xf>
    <xf numFmtId="171" fontId="93" fillId="0" borderId="32" xfId="3" applyNumberFormat="1" applyFont="1" applyBorder="1" applyAlignment="1" applyProtection="1">
      <alignment vertical="center"/>
      <protection hidden="1"/>
    </xf>
    <xf numFmtId="0" fontId="22" fillId="0" borderId="29" xfId="3" quotePrefix="1" applyFont="1" applyBorder="1" applyAlignment="1">
      <alignment vertical="top"/>
    </xf>
    <xf numFmtId="0" fontId="22" fillId="0" borderId="36" xfId="3" applyFont="1" applyBorder="1"/>
    <xf numFmtId="165" fontId="91" fillId="0" borderId="32" xfId="12" applyNumberFormat="1" applyFont="1" applyBorder="1" applyProtection="1">
      <protection hidden="1"/>
    </xf>
    <xf numFmtId="0" fontId="16" fillId="0" borderId="32" xfId="3" applyFont="1" applyBorder="1" applyProtection="1">
      <protection hidden="1"/>
    </xf>
    <xf numFmtId="170" fontId="91" fillId="0" borderId="32" xfId="3" applyNumberFormat="1" applyFont="1" applyBorder="1" applyProtection="1">
      <protection hidden="1"/>
    </xf>
    <xf numFmtId="0" fontId="16" fillId="0" borderId="25" xfId="3" applyFont="1" applyBorder="1"/>
    <xf numFmtId="0" fontId="16" fillId="0" borderId="26" xfId="3" applyFont="1" applyBorder="1"/>
    <xf numFmtId="0" fontId="16" fillId="0" borderId="27" xfId="3" applyFont="1" applyBorder="1"/>
    <xf numFmtId="10" fontId="16" fillId="0" borderId="37" xfId="11" applyNumberFormat="1" applyFont="1" applyBorder="1" applyProtection="1">
      <protection hidden="1"/>
    </xf>
    <xf numFmtId="0" fontId="16" fillId="0" borderId="37" xfId="3" applyFont="1" applyBorder="1" applyProtection="1">
      <protection hidden="1"/>
    </xf>
    <xf numFmtId="0" fontId="86" fillId="0" borderId="0" xfId="3" applyFont="1" applyAlignment="1">
      <alignment horizontal="center"/>
    </xf>
    <xf numFmtId="0" fontId="16" fillId="0" borderId="0" xfId="3" applyFont="1" applyAlignment="1">
      <alignment vertical="center"/>
    </xf>
    <xf numFmtId="170" fontId="16" fillId="0" borderId="0" xfId="3" applyNumberFormat="1" applyFont="1" applyAlignment="1">
      <alignment horizontal="center" vertical="center"/>
    </xf>
    <xf numFmtId="0" fontId="8" fillId="0" borderId="0" xfId="3" applyFont="1"/>
    <xf numFmtId="0" fontId="95" fillId="0" borderId="0" xfId="3" applyFont="1" applyAlignment="1">
      <alignment horizontal="centerContinuous"/>
    </xf>
    <xf numFmtId="170" fontId="79" fillId="0" borderId="0" xfId="3" applyNumberFormat="1" applyFont="1" applyAlignment="1">
      <alignment horizontal="right"/>
    </xf>
    <xf numFmtId="0" fontId="96" fillId="0" borderId="0" xfId="3" applyFont="1" applyAlignment="1">
      <alignment horizontal="center" vertical="center" wrapText="1"/>
    </xf>
    <xf numFmtId="170" fontId="89" fillId="0" borderId="38" xfId="3" applyNumberFormat="1" applyFont="1" applyBorder="1" applyAlignment="1">
      <alignment horizontal="center" vertical="center"/>
    </xf>
    <xf numFmtId="0" fontId="97" fillId="0" borderId="29" xfId="3" applyFont="1" applyBorder="1" applyAlignment="1">
      <alignment vertical="center"/>
    </xf>
    <xf numFmtId="173" fontId="8" fillId="0" borderId="32" xfId="12" applyNumberFormat="1" applyFont="1" applyBorder="1" applyAlignment="1" applyProtection="1">
      <alignment vertical="center"/>
      <protection hidden="1"/>
    </xf>
    <xf numFmtId="0" fontId="98" fillId="0" borderId="33" xfId="3" applyFont="1" applyBorder="1" applyAlignment="1">
      <alignment vertical="center"/>
    </xf>
    <xf numFmtId="171" fontId="98" fillId="0" borderId="7" xfId="12" applyNumberFormat="1" applyFont="1" applyBorder="1" applyAlignment="1" applyProtection="1">
      <alignment vertical="center"/>
      <protection hidden="1"/>
    </xf>
    <xf numFmtId="0" fontId="98" fillId="0" borderId="0" xfId="3" applyFont="1"/>
    <xf numFmtId="0" fontId="8" fillId="0" borderId="33" xfId="3" quotePrefix="1" applyFont="1" applyBorder="1" applyAlignment="1">
      <alignment horizontal="left" vertical="center"/>
    </xf>
    <xf numFmtId="171" fontId="8" fillId="0" borderId="7" xfId="12" applyNumberFormat="1" applyFont="1" applyBorder="1" applyAlignment="1" applyProtection="1">
      <alignment vertical="center"/>
      <protection hidden="1"/>
    </xf>
    <xf numFmtId="168" fontId="8" fillId="0" borderId="0" xfId="12" applyNumberFormat="1" applyFont="1"/>
    <xf numFmtId="0" fontId="8" fillId="0" borderId="33" xfId="3" quotePrefix="1" applyFont="1" applyBorder="1" applyAlignment="1">
      <alignment horizontal="justify" vertical="center" wrapText="1"/>
    </xf>
    <xf numFmtId="0" fontId="98" fillId="0" borderId="33" xfId="3" applyFont="1" applyBorder="1" applyAlignment="1">
      <alignment horizontal="left" vertical="center" wrapText="1"/>
    </xf>
    <xf numFmtId="171" fontId="98" fillId="0" borderId="7" xfId="12" applyNumberFormat="1" applyFont="1" applyBorder="1" applyAlignment="1" applyProtection="1">
      <alignment horizontal="right" vertical="center"/>
      <protection hidden="1"/>
    </xf>
    <xf numFmtId="0" fontId="99" fillId="0" borderId="0" xfId="3" applyFont="1"/>
    <xf numFmtId="0" fontId="16" fillId="0" borderId="33" xfId="3" quotePrefix="1" applyFont="1" applyBorder="1" applyAlignment="1">
      <alignment horizontal="left" vertical="center"/>
    </xf>
    <xf numFmtId="0" fontId="16" fillId="0" borderId="33" xfId="3" quotePrefix="1" applyFont="1" applyBorder="1" applyAlignment="1">
      <alignment horizontal="left" vertical="center" wrapText="1"/>
    </xf>
    <xf numFmtId="0" fontId="97" fillId="0" borderId="33" xfId="3" applyFont="1" applyBorder="1" applyAlignment="1">
      <alignment vertical="center"/>
    </xf>
    <xf numFmtId="171" fontId="97" fillId="0" borderId="7" xfId="12" applyNumberFormat="1" applyFont="1" applyBorder="1" applyAlignment="1" applyProtection="1">
      <alignment vertical="center"/>
      <protection hidden="1"/>
    </xf>
    <xf numFmtId="0" fontId="8" fillId="0" borderId="33" xfId="3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0" fontId="8" fillId="0" borderId="33" xfId="3" applyFont="1" applyBorder="1" applyAlignment="1">
      <alignment horizontal="left" vertical="center"/>
    </xf>
    <xf numFmtId="171" fontId="10" fillId="0" borderId="7" xfId="12" applyNumberFormat="1" applyFont="1" applyBorder="1" applyAlignment="1" applyProtection="1">
      <alignment vertical="center"/>
      <protection hidden="1"/>
    </xf>
    <xf numFmtId="0" fontId="8" fillId="0" borderId="33" xfId="3" applyFont="1" applyBorder="1" applyAlignment="1">
      <alignment horizontal="justify" vertical="center" wrapText="1"/>
    </xf>
    <xf numFmtId="0" fontId="8" fillId="0" borderId="33" xfId="3" applyFont="1" applyBorder="1" applyAlignment="1">
      <alignment vertical="center"/>
    </xf>
    <xf numFmtId="0" fontId="98" fillId="0" borderId="33" xfId="3" applyFont="1" applyBorder="1" applyAlignment="1">
      <alignment horizontal="left" vertical="center"/>
    </xf>
    <xf numFmtId="171" fontId="98" fillId="0" borderId="7" xfId="12" applyNumberFormat="1" applyFont="1" applyFill="1" applyBorder="1" applyAlignment="1" applyProtection="1">
      <alignment vertical="center"/>
      <protection hidden="1"/>
    </xf>
    <xf numFmtId="0" fontId="10" fillId="0" borderId="25" xfId="3" applyFont="1" applyBorder="1" applyAlignment="1">
      <alignment vertical="center"/>
    </xf>
    <xf numFmtId="171" fontId="10" fillId="0" borderId="37" xfId="12" applyNumberFormat="1" applyFont="1" applyBorder="1" applyAlignment="1" applyProtection="1">
      <alignment vertical="center"/>
      <protection hidden="1"/>
    </xf>
    <xf numFmtId="165" fontId="33" fillId="0" borderId="0" xfId="3" applyNumberFormat="1" applyFont="1"/>
    <xf numFmtId="0" fontId="97" fillId="0" borderId="0" xfId="3" applyFont="1"/>
    <xf numFmtId="168" fontId="97" fillId="0" borderId="0" xfId="12" applyNumberFormat="1" applyFont="1" applyBorder="1" applyProtection="1">
      <protection hidden="1"/>
    </xf>
    <xf numFmtId="165" fontId="8" fillId="0" borderId="0" xfId="12" applyNumberFormat="1" applyFont="1"/>
    <xf numFmtId="0" fontId="101" fillId="0" borderId="0" xfId="13" applyFont="1" applyAlignment="1">
      <alignment horizontal="left"/>
    </xf>
    <xf numFmtId="0" fontId="1" fillId="0" borderId="0" xfId="13" applyFont="1"/>
    <xf numFmtId="174" fontId="1" fillId="0" borderId="0" xfId="14" applyNumberFormat="1" applyFont="1"/>
    <xf numFmtId="0" fontId="102" fillId="0" borderId="0" xfId="13" applyFont="1" applyAlignment="1">
      <alignment horizontal="center"/>
    </xf>
    <xf numFmtId="0" fontId="103" fillId="0" borderId="0" xfId="13" applyFont="1" applyAlignment="1">
      <alignment vertical="center"/>
    </xf>
    <xf numFmtId="0" fontId="101" fillId="0" borderId="0" xfId="13" applyFont="1" applyAlignment="1">
      <alignment horizontal="center"/>
    </xf>
    <xf numFmtId="0" fontId="101" fillId="7" borderId="0" xfId="13" applyFont="1" applyFill="1"/>
    <xf numFmtId="0" fontId="101" fillId="0" borderId="0" xfId="13" applyFont="1"/>
    <xf numFmtId="174" fontId="102" fillId="8" borderId="0" xfId="14" applyNumberFormat="1" applyFont="1" applyFill="1" applyAlignment="1">
      <alignment horizontal="centerContinuous"/>
    </xf>
    <xf numFmtId="0" fontId="1" fillId="8" borderId="0" xfId="13" applyFont="1" applyFill="1" applyAlignment="1">
      <alignment horizontal="centerContinuous"/>
    </xf>
    <xf numFmtId="174" fontId="1" fillId="0" borderId="0" xfId="14" applyNumberFormat="1" applyFont="1" applyAlignment="1">
      <alignment horizontal="centerContinuous"/>
    </xf>
    <xf numFmtId="0" fontId="1" fillId="0" borderId="0" xfId="13" applyFont="1" applyAlignment="1">
      <alignment vertical="top"/>
    </xf>
    <xf numFmtId="0" fontId="101" fillId="0" borderId="39" xfId="13" applyFont="1" applyBorder="1" applyAlignment="1">
      <alignment horizontal="center"/>
    </xf>
    <xf numFmtId="0" fontId="1" fillId="0" borderId="40" xfId="13" applyFont="1" applyBorder="1" applyAlignment="1">
      <alignment horizontal="center"/>
    </xf>
    <xf numFmtId="0" fontId="2" fillId="0" borderId="40" xfId="13" applyFont="1" applyBorder="1"/>
    <xf numFmtId="0" fontId="1" fillId="0" borderId="40" xfId="13" applyFont="1" applyBorder="1"/>
    <xf numFmtId="0" fontId="1" fillId="0" borderId="40" xfId="13" applyFont="1" applyBorder="1" applyAlignment="1">
      <alignment horizontal="left"/>
    </xf>
    <xf numFmtId="3" fontId="1" fillId="0" borderId="40" xfId="13" quotePrefix="1" applyNumberFormat="1" applyFont="1" applyBorder="1"/>
    <xf numFmtId="3" fontId="1" fillId="0" borderId="40" xfId="13" applyNumberFormat="1" applyFont="1" applyBorder="1"/>
    <xf numFmtId="174" fontId="1" fillId="0" borderId="40" xfId="14" applyNumberFormat="1" applyFont="1" applyBorder="1"/>
    <xf numFmtId="0" fontId="1" fillId="0" borderId="41" xfId="13" applyFont="1" applyBorder="1" applyAlignment="1">
      <alignment horizontal="center"/>
    </xf>
    <xf numFmtId="0" fontId="1" fillId="0" borderId="42" xfId="13" applyFont="1" applyBorder="1"/>
    <xf numFmtId="2" fontId="1" fillId="0" borderId="43" xfId="13" applyNumberFormat="1" applyFont="1" applyBorder="1"/>
    <xf numFmtId="3" fontId="2" fillId="0" borderId="40" xfId="13" applyNumberFormat="1" applyFont="1" applyBorder="1" applyAlignment="1">
      <alignment horizontal="left"/>
    </xf>
    <xf numFmtId="0" fontId="1" fillId="0" borderId="44" xfId="13" applyFont="1" applyBorder="1"/>
    <xf numFmtId="0" fontId="1" fillId="0" borderId="42" xfId="13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2" fontId="1" fillId="0" borderId="42" xfId="13" applyNumberFormat="1" applyFont="1" applyBorder="1"/>
    <xf numFmtId="3" fontId="2" fillId="0" borderId="42" xfId="13" applyNumberFormat="1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2" fontId="1" fillId="0" borderId="47" xfId="13" applyNumberFormat="1" applyFont="1" applyBorder="1"/>
    <xf numFmtId="3" fontId="2" fillId="0" borderId="44" xfId="13" quotePrefix="1" applyNumberFormat="1" applyFont="1" applyBorder="1" applyAlignment="1">
      <alignment horizontal="left"/>
    </xf>
    <xf numFmtId="3" fontId="1" fillId="0" borderId="46" xfId="13" quotePrefix="1" applyNumberFormat="1" applyFont="1" applyBorder="1"/>
    <xf numFmtId="174" fontId="1" fillId="0" borderId="46" xfId="14" applyNumberFormat="1" applyFont="1" applyBorder="1"/>
    <xf numFmtId="2" fontId="104" fillId="0" borderId="42" xfId="13" applyNumberFormat="1" applyFont="1" applyBorder="1"/>
    <xf numFmtId="3" fontId="1" fillId="0" borderId="42" xfId="13" applyNumberFormat="1" applyFont="1" applyBorder="1"/>
    <xf numFmtId="3" fontId="1" fillId="0" borderId="42" xfId="13" quotePrefix="1" applyNumberFormat="1" applyFont="1" applyBorder="1"/>
    <xf numFmtId="0" fontId="1" fillId="0" borderId="42" xfId="13" applyFont="1" applyBorder="1" applyAlignment="1">
      <alignment horizontal="center"/>
    </xf>
    <xf numFmtId="2" fontId="1" fillId="0" borderId="40" xfId="13" applyNumberFormat="1" applyFont="1" applyBorder="1"/>
    <xf numFmtId="0" fontId="1" fillId="0" borderId="44" xfId="13" applyFont="1" applyBorder="1" applyAlignment="1">
      <alignment horizontal="center"/>
    </xf>
    <xf numFmtId="2" fontId="104" fillId="0" borderId="44" xfId="13" applyNumberFormat="1" applyFont="1" applyBorder="1"/>
    <xf numFmtId="2" fontId="1" fillId="0" borderId="48" xfId="13" applyNumberFormat="1" applyFont="1" applyBorder="1"/>
    <xf numFmtId="3" fontId="1" fillId="0" borderId="44" xfId="13" quotePrefix="1" applyNumberFormat="1" applyFont="1" applyBorder="1"/>
    <xf numFmtId="174" fontId="1" fillId="0" borderId="48" xfId="14" applyNumberFormat="1" applyFont="1" applyBorder="1"/>
    <xf numFmtId="0" fontId="2" fillId="0" borderId="44" xfId="13" quotePrefix="1" applyFont="1" applyBorder="1" applyAlignment="1">
      <alignment horizontal="left"/>
    </xf>
    <xf numFmtId="174" fontId="1" fillId="0" borderId="0" xfId="13" applyNumberFormat="1" applyFont="1"/>
    <xf numFmtId="2" fontId="2" fillId="0" borderId="42" xfId="13" applyNumberFormat="1" applyFont="1" applyBorder="1"/>
    <xf numFmtId="0" fontId="1" fillId="0" borderId="48" xfId="13" applyFont="1" applyBorder="1" applyAlignment="1">
      <alignment horizontal="center"/>
    </xf>
    <xf numFmtId="2" fontId="2" fillId="0" borderId="44" xfId="13" applyNumberFormat="1" applyFont="1" applyBorder="1"/>
    <xf numFmtId="2" fontId="1" fillId="0" borderId="44" xfId="13" applyNumberFormat="1" applyFont="1" applyBorder="1"/>
    <xf numFmtId="2" fontId="2" fillId="0" borderId="40" xfId="13" applyNumberFormat="1" applyFont="1" applyBorder="1"/>
    <xf numFmtId="3" fontId="2" fillId="0" borderId="40" xfId="13" quotePrefix="1" applyNumberFormat="1" applyFont="1" applyBorder="1" applyAlignment="1">
      <alignment horizontal="left"/>
    </xf>
    <xf numFmtId="2" fontId="2" fillId="0" borderId="49" xfId="13" applyNumberFormat="1" applyFont="1" applyBorder="1"/>
    <xf numFmtId="174" fontId="1" fillId="0" borderId="42" xfId="14" applyNumberFormat="1" applyFont="1" applyBorder="1"/>
    <xf numFmtId="3" fontId="2" fillId="0" borderId="44" xfId="13" applyNumberFormat="1" applyFont="1" applyBorder="1" applyAlignment="1">
      <alignment horizontal="left"/>
    </xf>
    <xf numFmtId="2" fontId="1" fillId="0" borderId="49" xfId="13" applyNumberFormat="1" applyFont="1" applyBorder="1"/>
    <xf numFmtId="3" fontId="2" fillId="0" borderId="49" xfId="13" applyNumberFormat="1" applyFont="1" applyBorder="1" applyAlignment="1">
      <alignment horizontal="left"/>
    </xf>
    <xf numFmtId="0" fontId="2" fillId="0" borderId="48" xfId="13" applyFont="1" applyBorder="1" applyAlignment="1">
      <alignment horizontal="left"/>
    </xf>
    <xf numFmtId="0" fontId="1" fillId="0" borderId="49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6" xfId="13" applyNumberFormat="1" applyFont="1" applyBorder="1"/>
    <xf numFmtId="0" fontId="2" fillId="0" borderId="46" xfId="13" applyFont="1" applyBorder="1" applyAlignment="1">
      <alignment horizontal="left"/>
    </xf>
    <xf numFmtId="0" fontId="2" fillId="0" borderId="44" xfId="13" applyFont="1" applyBorder="1" applyAlignment="1">
      <alignment horizontal="left"/>
    </xf>
    <xf numFmtId="2" fontId="1" fillId="0" borderId="46" xfId="13" applyNumberFormat="1" applyFont="1" applyBorder="1"/>
    <xf numFmtId="3" fontId="1" fillId="0" borderId="44" xfId="13" applyNumberFormat="1" applyFont="1" applyBorder="1"/>
    <xf numFmtId="0" fontId="2" fillId="0" borderId="49" xfId="13" applyFont="1" applyBorder="1" applyAlignment="1">
      <alignment horizontal="left"/>
    </xf>
    <xf numFmtId="0" fontId="1" fillId="0" borderId="47" xfId="13" applyFont="1" applyBorder="1" applyAlignment="1">
      <alignment horizontal="center"/>
    </xf>
    <xf numFmtId="0" fontId="1" fillId="0" borderId="47" xfId="13" applyFont="1" applyBorder="1"/>
    <xf numFmtId="175" fontId="1" fillId="0" borderId="42" xfId="14" applyNumberFormat="1" applyFont="1" applyBorder="1"/>
    <xf numFmtId="0" fontId="1" fillId="0" borderId="46" xfId="13" applyFont="1" applyBorder="1" applyAlignment="1">
      <alignment horizontal="left"/>
    </xf>
    <xf numFmtId="175" fontId="1" fillId="0" borderId="46" xfId="14" applyNumberFormat="1" applyFont="1" applyBorder="1"/>
    <xf numFmtId="0" fontId="2" fillId="0" borderId="40" xfId="13" applyFont="1" applyBorder="1" applyAlignment="1">
      <alignment horizontal="left"/>
    </xf>
    <xf numFmtId="0" fontId="2" fillId="0" borderId="42" xfId="13" applyFont="1" applyBorder="1" applyAlignment="1">
      <alignment horizontal="left"/>
    </xf>
    <xf numFmtId="3" fontId="1" fillId="0" borderId="48" xfId="13" applyNumberFormat="1" applyFont="1" applyBorder="1"/>
    <xf numFmtId="3" fontId="1" fillId="0" borderId="46" xfId="13" applyNumberFormat="1" applyFont="1" applyBorder="1"/>
    <xf numFmtId="174" fontId="1" fillId="0" borderId="44" xfId="14" applyNumberFormat="1" applyFont="1" applyBorder="1"/>
    <xf numFmtId="0" fontId="102" fillId="0" borderId="42" xfId="13" applyFont="1" applyBorder="1" applyAlignment="1">
      <alignment horizontal="center"/>
    </xf>
    <xf numFmtId="0" fontId="1" fillId="0" borderId="42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40" xfId="13" applyFont="1" applyBorder="1" applyAlignment="1">
      <alignment horizontal="left" vertical="center"/>
    </xf>
    <xf numFmtId="0" fontId="1" fillId="0" borderId="40" xfId="13" applyFont="1" applyBorder="1" applyAlignment="1">
      <alignment vertical="center"/>
    </xf>
    <xf numFmtId="0" fontId="1" fillId="0" borderId="42" xfId="13" applyFont="1" applyBorder="1" applyAlignment="1">
      <alignment vertical="center"/>
    </xf>
    <xf numFmtId="0" fontId="102" fillId="0" borderId="46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46" xfId="13" applyFont="1" applyBorder="1" applyAlignment="1">
      <alignment horizontal="left" vertical="center"/>
    </xf>
    <xf numFmtId="0" fontId="102" fillId="0" borderId="48" xfId="13" applyFont="1" applyBorder="1" applyAlignment="1">
      <alignment horizontal="center"/>
    </xf>
    <xf numFmtId="0" fontId="1" fillId="0" borderId="48" xfId="13" applyFont="1" applyBorder="1"/>
    <xf numFmtId="174" fontId="1" fillId="0" borderId="46" xfId="14" applyNumberFormat="1" applyFont="1" applyFill="1" applyBorder="1"/>
    <xf numFmtId="174" fontId="1" fillId="0" borderId="40" xfId="14" applyNumberFormat="1" applyFont="1" applyFill="1" applyBorder="1"/>
    <xf numFmtId="0" fontId="102" fillId="0" borderId="44" xfId="13" applyFont="1" applyBorder="1" applyAlignment="1">
      <alignment horizontal="center"/>
    </xf>
    <xf numFmtId="0" fontId="2" fillId="0" borderId="48" xfId="13" applyFont="1" applyBorder="1"/>
    <xf numFmtId="0" fontId="1" fillId="0" borderId="44" xfId="13" applyFont="1" applyBorder="1" applyAlignment="1">
      <alignment horizontal="left" vertical="center"/>
    </xf>
    <xf numFmtId="174" fontId="1" fillId="0" borderId="42" xfId="14" applyNumberFormat="1" applyFont="1" applyFill="1" applyBorder="1"/>
    <xf numFmtId="0" fontId="102" fillId="0" borderId="8" xfId="13" applyFont="1" applyBorder="1" applyAlignment="1">
      <alignment horizontal="center"/>
    </xf>
    <xf numFmtId="0" fontId="1" fillId="0" borderId="47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0" fontId="2" fillId="0" borderId="47" xfId="13" applyFont="1" applyBorder="1" applyAlignment="1">
      <alignment horizontal="center"/>
    </xf>
    <xf numFmtId="0" fontId="2" fillId="0" borderId="47" xfId="13" applyFont="1" applyBorder="1"/>
    <xf numFmtId="0" fontId="1" fillId="0" borderId="47" xfId="13" applyFont="1" applyBorder="1" applyAlignment="1">
      <alignment horizontal="left"/>
    </xf>
    <xf numFmtId="3" fontId="1" fillId="0" borderId="50" xfId="13" applyNumberFormat="1" applyFont="1" applyBorder="1"/>
    <xf numFmtId="3" fontId="1" fillId="0" borderId="47" xfId="13" applyNumberFormat="1" applyFont="1" applyBorder="1"/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3" fontId="1" fillId="0" borderId="51" xfId="13" applyNumberFormat="1" applyFont="1" applyBorder="1"/>
    <xf numFmtId="0" fontId="1" fillId="0" borderId="44" xfId="13" applyFont="1" applyBorder="1" applyAlignment="1">
      <alignment horizontal="left"/>
    </xf>
    <xf numFmtId="0" fontId="2" fillId="0" borderId="42" xfId="13" applyFont="1" applyBorder="1" applyAlignment="1">
      <alignment horizontal="center"/>
    </xf>
    <xf numFmtId="0" fontId="2" fillId="0" borderId="42" xfId="13" applyFont="1" applyBorder="1"/>
    <xf numFmtId="0" fontId="1" fillId="0" borderId="43" xfId="13" applyFont="1" applyBorder="1"/>
    <xf numFmtId="0" fontId="1" fillId="0" borderId="52" xfId="13" applyFont="1" applyBorder="1"/>
    <xf numFmtId="0" fontId="102" fillId="0" borderId="42" xfId="13" applyFont="1" applyBorder="1"/>
    <xf numFmtId="0" fontId="102" fillId="0" borderId="42" xfId="13" applyFont="1" applyBorder="1" applyAlignment="1">
      <alignment horizontal="left"/>
    </xf>
    <xf numFmtId="0" fontId="105" fillId="0" borderId="42" xfId="13" applyFont="1" applyBorder="1"/>
    <xf numFmtId="0" fontId="102" fillId="0" borderId="53" xfId="13" applyFont="1" applyBorder="1" applyAlignment="1">
      <alignment horizontal="center"/>
    </xf>
    <xf numFmtId="2" fontId="104" fillId="0" borderId="40" xfId="13" applyNumberFormat="1" applyFont="1" applyBorder="1"/>
    <xf numFmtId="2" fontId="104" fillId="0" borderId="48" xfId="13" applyNumberFormat="1" applyFont="1" applyBorder="1"/>
    <xf numFmtId="2" fontId="2" fillId="0" borderId="48" xfId="13" applyNumberFormat="1" applyFont="1" applyBorder="1"/>
    <xf numFmtId="2" fontId="2" fillId="0" borderId="47" xfId="13" applyNumberFormat="1" applyFont="1" applyBorder="1"/>
    <xf numFmtId="0" fontId="101" fillId="0" borderId="48" xfId="13" applyFont="1" applyBorder="1"/>
    <xf numFmtId="0" fontId="2" fillId="0" borderId="44" xfId="13" applyFont="1" applyBorder="1"/>
    <xf numFmtId="0" fontId="2" fillId="0" borderId="0" xfId="13" applyFont="1" applyAlignment="1">
      <alignment horizontal="left"/>
    </xf>
    <xf numFmtId="0" fontId="2" fillId="0" borderId="43" xfId="13" applyFont="1" applyBorder="1" applyAlignment="1">
      <alignment horizontal="left"/>
    </xf>
    <xf numFmtId="0" fontId="2" fillId="0" borderId="54" xfId="13" applyFont="1" applyBorder="1"/>
    <xf numFmtId="3" fontId="9" fillId="0" borderId="9" xfId="2" applyNumberFormat="1" applyFont="1" applyBorder="1" applyProtection="1">
      <protection locked="0"/>
    </xf>
    <xf numFmtId="0" fontId="102" fillId="0" borderId="4" xfId="13" applyFont="1" applyBorder="1" applyAlignment="1">
      <alignment horizontal="center" vertical="top"/>
    </xf>
    <xf numFmtId="0" fontId="80" fillId="0" borderId="4" xfId="13" applyFont="1" applyBorder="1" applyAlignment="1">
      <alignment vertical="top"/>
    </xf>
    <xf numFmtId="0" fontId="80" fillId="0" borderId="4" xfId="13" applyFont="1" applyBorder="1" applyAlignment="1">
      <alignment horizontal="center" vertical="top" wrapText="1"/>
    </xf>
    <xf numFmtId="16" fontId="1" fillId="9" borderId="4" xfId="13" applyNumberFormat="1" applyFont="1" applyFill="1" applyBorder="1" applyAlignment="1">
      <alignment horizontal="centerContinuous" vertical="center"/>
    </xf>
    <xf numFmtId="174" fontId="80" fillId="0" borderId="4" xfId="14" applyNumberFormat="1" applyFont="1" applyBorder="1" applyAlignment="1">
      <alignment horizontal="center" vertical="center"/>
    </xf>
    <xf numFmtId="0" fontId="101" fillId="0" borderId="4" xfId="13" applyFont="1" applyBorder="1"/>
    <xf numFmtId="0" fontId="80" fillId="0" borderId="4" xfId="13" applyFont="1" applyBorder="1" applyAlignment="1">
      <alignment vertical="top" wrapText="1"/>
    </xf>
    <xf numFmtId="0" fontId="1" fillId="0" borderId="4" xfId="13" applyFont="1" applyBorder="1" applyAlignment="1">
      <alignment horizontal="center" vertical="top" wrapText="1"/>
    </xf>
    <xf numFmtId="174" fontId="80" fillId="0" borderId="4" xfId="14" applyNumberFormat="1" applyFont="1" applyBorder="1" applyAlignment="1">
      <alignment horizontal="center" vertical="top"/>
    </xf>
    <xf numFmtId="0" fontId="1" fillId="0" borderId="55" xfId="13" applyFont="1" applyBorder="1" applyAlignment="1">
      <alignment horizontal="center"/>
    </xf>
    <xf numFmtId="2" fontId="2" fillId="0" borderId="55" xfId="13" applyNumberFormat="1" applyFont="1" applyBorder="1"/>
    <xf numFmtId="2" fontId="1" fillId="0" borderId="55" xfId="13" applyNumberFormat="1" applyFont="1" applyBorder="1"/>
    <xf numFmtId="3" fontId="2" fillId="0" borderId="55" xfId="13" applyNumberFormat="1" applyFont="1" applyBorder="1" applyAlignment="1">
      <alignment horizontal="left"/>
    </xf>
    <xf numFmtId="3" fontId="1" fillId="0" borderId="55" xfId="13" quotePrefix="1" applyNumberFormat="1" applyFont="1" applyBorder="1"/>
    <xf numFmtId="174" fontId="1" fillId="0" borderId="55" xfId="14" applyNumberFormat="1" applyFont="1" applyBorder="1"/>
    <xf numFmtId="3" fontId="1" fillId="0" borderId="55" xfId="13" applyNumberFormat="1" applyFont="1" applyBorder="1"/>
    <xf numFmtId="3" fontId="2" fillId="0" borderId="55" xfId="13" quotePrefix="1" applyNumberFormat="1" applyFont="1" applyBorder="1" applyAlignment="1">
      <alignment horizontal="left"/>
    </xf>
    <xf numFmtId="0" fontId="101" fillId="0" borderId="4" xfId="13" applyFont="1" applyBorder="1" applyAlignment="1">
      <alignment horizontal="center"/>
    </xf>
    <xf numFmtId="174" fontId="1" fillId="0" borderId="4" xfId="14" applyNumberFormat="1" applyFont="1" applyBorder="1"/>
    <xf numFmtId="0" fontId="1" fillId="0" borderId="4" xfId="13" applyFont="1" applyBorder="1"/>
    <xf numFmtId="0" fontId="2" fillId="0" borderId="55" xfId="13" applyFont="1" applyBorder="1" applyAlignment="1">
      <alignment horizontal="left"/>
    </xf>
    <xf numFmtId="0" fontId="1" fillId="0" borderId="55" xfId="13" applyFont="1" applyBorder="1"/>
    <xf numFmtId="0" fontId="1" fillId="0" borderId="55" xfId="13" applyFont="1" applyBorder="1" applyAlignment="1">
      <alignment horizontal="left"/>
    </xf>
    <xf numFmtId="0" fontId="2" fillId="0" borderId="55" xfId="13" applyFont="1" applyBorder="1"/>
    <xf numFmtId="0" fontId="2" fillId="0" borderId="56" xfId="13" applyFont="1" applyBorder="1"/>
    <xf numFmtId="2" fontId="1" fillId="0" borderId="56" xfId="13" applyNumberFormat="1" applyFont="1" applyBorder="1"/>
    <xf numFmtId="0" fontId="80" fillId="0" borderId="4" xfId="13" applyFont="1" applyBorder="1" applyAlignment="1">
      <alignment horizontal="center"/>
    </xf>
    <xf numFmtId="0" fontId="80" fillId="0" borderId="4" xfId="13" applyFont="1" applyBorder="1"/>
    <xf numFmtId="0" fontId="102" fillId="0" borderId="55" xfId="13" applyFont="1" applyBorder="1" applyAlignment="1">
      <alignment horizontal="center"/>
    </xf>
    <xf numFmtId="0" fontId="1" fillId="0" borderId="55" xfId="13" applyFont="1" applyBorder="1" applyAlignment="1">
      <alignment horizontal="left" vertical="center"/>
    </xf>
    <xf numFmtId="0" fontId="101" fillId="0" borderId="55" xfId="13" applyFont="1" applyBorder="1" applyAlignment="1">
      <alignment horizontal="center"/>
    </xf>
    <xf numFmtId="0" fontId="101" fillId="0" borderId="55" xfId="13" applyFont="1" applyBorder="1"/>
    <xf numFmtId="0" fontId="102" fillId="0" borderId="55" xfId="13" applyFont="1" applyBorder="1"/>
    <xf numFmtId="16" fontId="1" fillId="9" borderId="4" xfId="13" applyNumberFormat="1" applyFont="1" applyFill="1" applyBorder="1" applyAlignment="1">
      <alignment horizontal="centerContinuous"/>
    </xf>
    <xf numFmtId="0" fontId="2" fillId="0" borderId="55" xfId="13" applyFont="1" applyBorder="1" applyAlignment="1">
      <alignment horizontal="center"/>
    </xf>
    <xf numFmtId="3" fontId="1" fillId="0" borderId="56" xfId="13" applyNumberFormat="1" applyFont="1" applyBorder="1"/>
    <xf numFmtId="0" fontId="1" fillId="0" borderId="57" xfId="13" applyFont="1" applyBorder="1"/>
    <xf numFmtId="0" fontId="102" fillId="0" borderId="58" xfId="13" applyFont="1" applyBorder="1" applyAlignment="1">
      <alignment horizontal="center"/>
    </xf>
    <xf numFmtId="3" fontId="1" fillId="0" borderId="59" xfId="13" applyNumberFormat="1" applyFont="1" applyBorder="1"/>
    <xf numFmtId="165" fontId="1" fillId="0" borderId="42" xfId="16" applyNumberFormat="1" applyFont="1" applyBorder="1"/>
    <xf numFmtId="174" fontId="1" fillId="0" borderId="59" xfId="14" applyNumberFormat="1" applyFont="1" applyBorder="1"/>
    <xf numFmtId="0" fontId="1" fillId="0" borderId="59" xfId="13" applyFont="1" applyBorder="1"/>
    <xf numFmtId="165" fontId="1" fillId="0" borderId="59" xfId="16" applyNumberFormat="1" applyFont="1" applyBorder="1"/>
    <xf numFmtId="3" fontId="1" fillId="0" borderId="60" xfId="13" applyNumberFormat="1" applyFont="1" applyBorder="1"/>
    <xf numFmtId="3" fontId="1" fillId="0" borderId="61" xfId="13" applyNumberFormat="1" applyFont="1" applyBorder="1"/>
    <xf numFmtId="0" fontId="58" fillId="0" borderId="0" xfId="3" applyFont="1" applyAlignment="1">
      <alignment horizontal="center"/>
    </xf>
    <xf numFmtId="0" fontId="59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60" fillId="0" borderId="0" xfId="3" applyFont="1" applyAlignment="1">
      <alignment horizontal="center"/>
    </xf>
    <xf numFmtId="0" fontId="63" fillId="0" borderId="0" xfId="3" applyFont="1" applyAlignment="1">
      <alignment horizontal="center"/>
    </xf>
    <xf numFmtId="0" fontId="66" fillId="0" borderId="0" xfId="3" applyFont="1" applyAlignment="1">
      <alignment horizontal="center"/>
    </xf>
    <xf numFmtId="0" fontId="77" fillId="0" borderId="0" xfId="9" applyFont="1" applyAlignment="1">
      <alignment horizontal="center"/>
    </xf>
    <xf numFmtId="0" fontId="78" fillId="0" borderId="0" xfId="9" applyFont="1" applyAlignment="1">
      <alignment horizontal="center"/>
    </xf>
    <xf numFmtId="0" fontId="16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165" fontId="16" fillId="0" borderId="0" xfId="12" applyNumberFormat="1" applyFont="1" applyAlignment="1">
      <alignment horizontal="center"/>
    </xf>
    <xf numFmtId="0" fontId="90" fillId="0" borderId="0" xfId="3" applyFont="1" applyAlignment="1">
      <alignment horizontal="center"/>
    </xf>
    <xf numFmtId="0" fontId="78" fillId="0" borderId="0" xfId="3" applyFont="1" applyAlignment="1">
      <alignment horizontal="center"/>
    </xf>
    <xf numFmtId="0" fontId="89" fillId="0" borderId="20" xfId="3" applyFont="1" applyBorder="1" applyAlignment="1">
      <alignment horizontal="center" vertical="center" wrapText="1"/>
    </xf>
    <xf numFmtId="0" fontId="89" fillId="0" borderId="21" xfId="3" applyFont="1" applyBorder="1" applyAlignment="1">
      <alignment horizontal="center" vertical="center" wrapText="1"/>
    </xf>
    <xf numFmtId="0" fontId="89" fillId="0" borderId="22" xfId="3" applyFont="1" applyBorder="1" applyAlignment="1">
      <alignment horizontal="center" vertical="center" wrapText="1"/>
    </xf>
    <xf numFmtId="0" fontId="89" fillId="0" borderId="25" xfId="3" applyFont="1" applyBorder="1" applyAlignment="1">
      <alignment horizontal="center" vertical="center" wrapText="1"/>
    </xf>
    <xf numFmtId="0" fontId="89" fillId="0" borderId="26" xfId="3" applyFont="1" applyBorder="1" applyAlignment="1">
      <alignment horizontal="center" vertical="center" wrapText="1"/>
    </xf>
    <xf numFmtId="0" fontId="89" fillId="0" borderId="27" xfId="3" applyFont="1" applyBorder="1" applyAlignment="1">
      <alignment horizontal="center" vertical="center" wrapText="1"/>
    </xf>
    <xf numFmtId="1" fontId="89" fillId="0" borderId="23" xfId="3" applyNumberFormat="1" applyFont="1" applyBorder="1" applyAlignment="1">
      <alignment horizontal="center" vertical="center"/>
    </xf>
    <xf numFmtId="1" fontId="89" fillId="0" borderId="24" xfId="3" applyNumberFormat="1" applyFont="1" applyBorder="1" applyAlignment="1">
      <alignment horizontal="center" vertical="center"/>
    </xf>
    <xf numFmtId="170" fontId="89" fillId="0" borderId="23" xfId="3" applyNumberFormat="1" applyFont="1" applyBorder="1" applyAlignment="1">
      <alignment horizontal="center" vertical="center"/>
    </xf>
    <xf numFmtId="170" fontId="89" fillId="0" borderId="24" xfId="3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10" fillId="0" borderId="34" xfId="3" applyFont="1" applyBorder="1" applyAlignment="1">
      <alignment horizontal="left" vertical="center" wrapText="1"/>
    </xf>
    <xf numFmtId="0" fontId="10" fillId="0" borderId="35" xfId="3" applyFont="1" applyBorder="1" applyAlignment="1">
      <alignment horizontal="left" vertical="center" wrapText="1"/>
    </xf>
    <xf numFmtId="0" fontId="86" fillId="0" borderId="0" xfId="3" applyFont="1" applyAlignment="1">
      <alignment horizontal="right"/>
    </xf>
    <xf numFmtId="0" fontId="22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79" fillId="0" borderId="0" xfId="3" applyFont="1" applyAlignment="1">
      <alignment horizontal="center"/>
    </xf>
    <xf numFmtId="0" fontId="89" fillId="0" borderId="0" xfId="3" applyFont="1" applyAlignment="1">
      <alignment horizontal="center"/>
    </xf>
    <xf numFmtId="0" fontId="89" fillId="0" borderId="28" xfId="3" applyFont="1" applyBorder="1" applyAlignment="1">
      <alignment horizontal="center" vertical="center" wrapText="1"/>
    </xf>
    <xf numFmtId="0" fontId="89" fillId="0" borderId="37" xfId="3" applyFont="1" applyBorder="1" applyAlignment="1">
      <alignment horizontal="center" vertical="center" wrapText="1"/>
    </xf>
    <xf numFmtId="0" fontId="86" fillId="0" borderId="0" xfId="3" applyFont="1" applyAlignment="1">
      <alignment horizontal="center"/>
    </xf>
    <xf numFmtId="170" fontId="22" fillId="0" borderId="0" xfId="3" applyNumberFormat="1" applyFont="1" applyAlignment="1">
      <alignment horizontal="center"/>
    </xf>
  </cellXfs>
  <cellStyles count="17">
    <cellStyle name="Comma" xfId="16" builtinId="3"/>
    <cellStyle name="Comma 2" xfId="8" xr:uid="{C7BCB83B-C3F4-48D6-BD3D-3CE8F9321BBB}"/>
    <cellStyle name="Comma 3" xfId="6" xr:uid="{4E6A641F-B8DC-41DB-808F-74420D5CB9BA}"/>
    <cellStyle name="Comma 3 2" xfId="14" xr:uid="{64B06EC9-AEFC-4A43-93A2-2FC34E30FBA4}"/>
    <cellStyle name="Comma 4" xfId="12" xr:uid="{FC0B2B9D-EECA-4841-AB89-18C46387F8E7}"/>
    <cellStyle name="Comma 5" xfId="5" xr:uid="{C4DEA431-4E27-4421-9FAB-850DCE346923}"/>
    <cellStyle name="Comma 5 2" xfId="4" xr:uid="{B2E01F46-B7C5-4A9F-A798-57E7DE73AEF2}"/>
    <cellStyle name="Normal" xfId="0" builtinId="0"/>
    <cellStyle name="Normal 2" xfId="2" xr:uid="{44B14F83-4774-4B89-8A5B-2470F8BFB62C}"/>
    <cellStyle name="Normal 2 2" xfId="15" xr:uid="{815C291A-85F4-47FA-8814-4746C82C6932}"/>
    <cellStyle name="Normal 3" xfId="3" xr:uid="{45A0AA8D-EC7C-4D98-9A4E-C63FE57DD346}"/>
    <cellStyle name="Normal 4" xfId="13" xr:uid="{96944CCF-D7BB-4C36-B162-906FFEE483F0}"/>
    <cellStyle name="Normal_2010_09_BCTC_CTCP" xfId="9" xr:uid="{9E6A33D3-1E59-485B-93A0-6AD88314B95C}"/>
    <cellStyle name="Normal_2010_09_BCTC_CTCP 2" xfId="10" xr:uid="{0D538239-C15F-4776-8125-FFB205AD3E38}"/>
    <cellStyle name="Percent" xfId="1" builtinId="5"/>
    <cellStyle name="Percent 2" xfId="11" xr:uid="{EFEA5EF9-310D-482F-979C-D23DE3B690BB}"/>
    <cellStyle name="Percent 2 2" xfId="7" xr:uid="{B9A82644-DBAB-40B6-B4AA-261E40546D45}"/>
  </cellStyles>
  <dxfs count="3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00B0F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6" formatCode="#.##0"/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3" formatCode="#,##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numFmt numFmtId="168" formatCode="#,##0,,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382BB75-DDB4-473B-B369-9AEC303EF2E2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E02AB3D-8C8A-4847-820A-38A29DCD4301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26</xdr:row>
      <xdr:rowOff>247650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7C582A86-D578-439F-B2AB-51D5359257EC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207C0AB-C565-4EDA-9A96-599AA4A63F19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B92C8924-BE03-43BD-AEA4-CBBCFA0D8199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B76CF9AE-FD00-473C-B547-AFC2C350C72F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26</xdr:row>
      <xdr:rowOff>247650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92480228-964D-45EA-AA23-9E65299DCBAA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0</xdr:row>
      <xdr:rowOff>161925</xdr:rowOff>
    </xdr:from>
    <xdr:to>
      <xdr:col>10</xdr:col>
      <xdr:colOff>476250</xdr:colOff>
      <xdr:row>4</xdr:row>
      <xdr:rowOff>361950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9E0B551B-D32C-4B2A-91FC-2CF41B4D49C7}"/>
            </a:ext>
          </a:extLst>
        </xdr:cNvPr>
        <xdr:cNvSpPr txBox="1">
          <a:spLocks noChangeArrowheads="1"/>
        </xdr:cNvSpPr>
      </xdr:nvSpPr>
      <xdr:spPr bwMode="auto">
        <a:xfrm>
          <a:off x="1962150" y="161925"/>
          <a:ext cx="4391025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vi-VN" sz="1400" b="1" i="0" u="none" strike="noStrike" spc="-20" baseline="0">
              <a:solidFill>
                <a:srgbClr val="000080"/>
              </a:solidFill>
              <a:latin typeface="Arial"/>
              <a:cs typeface="Arial"/>
            </a:rPr>
            <a:t>CÔNG TY TNHH MTV ĐỒNG LÂM</a:t>
          </a:r>
          <a:endParaRPr lang="vi-VN" sz="1400" b="0" i="0" u="none" strike="noStrike" spc="-20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Địa chỉ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Thửa đất số 838, tờ bản đồ số 6, tổ 4, ấp Tân Thuận, phường Tân Hạnh, tỉnh Vĩnh Long</a:t>
          </a:r>
          <a:endParaRPr lang="vi-VN" sz="1000" b="0" i="0" u="none" strike="noStrike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Mã số thuế: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1501075079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 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 CE"/>
            </a:rPr>
            <a:t>Đ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iện thoại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– Fax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Website: 		 – Email:  </a:t>
          </a: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9527</xdr:colOff>
      <xdr:row>21</xdr:row>
      <xdr:rowOff>142875</xdr:rowOff>
    </xdr:from>
    <xdr:to>
      <xdr:col>8</xdr:col>
      <xdr:colOff>266701</xdr:colOff>
      <xdr:row>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1F2D1E4-B2CF-42E2-95D1-81D2E1705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7" y="4381500"/>
          <a:ext cx="391477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</xdr:row>
      <xdr:rowOff>66677</xdr:rowOff>
    </xdr:from>
    <xdr:to>
      <xdr:col>3</xdr:col>
      <xdr:colOff>19050</xdr:colOff>
      <xdr:row>3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4E746A-5D7A-4AEC-B8F6-9836E8E7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47652"/>
          <a:ext cx="1714499" cy="3333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19BAE-9112-4AB0-8FBB-B4C80E91AA25}" name="Data_BS" displayName="Data_BS" ref="A3:BW129" totalsRowShown="0" headerRowDxfId="309" dataDxfId="308" headerRowCellStyle="Normal 2" dataCellStyle="Normal 2">
  <tableColumns count="75">
    <tableColumn id="1" xr3:uid="{1FABB67F-4C7B-4F95-9F03-006963AC1F25}" name="Index BS" dataDxfId="307" dataCellStyle="Normal 2"/>
    <tableColumn id="2" xr3:uid="{B2038AA6-DEB0-42A1-B941-59B71843A823}" name="PHẦN I-BÁO CÁO TÌNH HÌNH TÀI CHÍNH" dataDxfId="306" dataCellStyle="Normal 2"/>
    <tableColumn id="3" xr3:uid="{43B832B5-EC86-42B3-BF5A-ACC2875E9A01}" name="TenCongTyID" dataDxfId="305" dataCellStyle="Normal 2"/>
    <tableColumn id="4" xr3:uid="{9A72A15F-8C2B-4986-9E25-4EB85FDC5F73}" name="T1.2021" dataDxfId="304" dataCellStyle="Normal 2"/>
    <tableColumn id="5" xr3:uid="{67250C18-58E7-417A-9004-12B49E428E18}" name="T02.2021" dataDxfId="303" dataCellStyle="Normal 2"/>
    <tableColumn id="6" xr3:uid="{33EF5BB8-8064-439C-995B-89D510BE5B1E}" name="T03.2021" dataDxfId="302" dataCellStyle="Normal 2"/>
    <tableColumn id="7" xr3:uid="{48BB658A-6815-4BC8-B0C1-88C1F7D30F93}" name="T04.2021" dataDxfId="301" dataCellStyle="Normal 2"/>
    <tableColumn id="8" xr3:uid="{10EA9208-9E21-4508-A481-712CDDC4B3A1}" name="T05.2021" dataDxfId="300" dataCellStyle="Normal 2"/>
    <tableColumn id="9" xr3:uid="{75DFDA28-E4CB-46F0-AD74-CD19BE7012E3}" name="T06.2021" dataDxfId="299" dataCellStyle="Normal 2"/>
    <tableColumn id="10" xr3:uid="{9A3064E8-4530-4339-AE82-7B7C51D6C0AE}" name="T07.2021" dataDxfId="298" dataCellStyle="Normal 2"/>
    <tableColumn id="11" xr3:uid="{F5DDBD3F-3126-48DE-9297-81627D134319}" name="T08.2021" dataDxfId="297" dataCellStyle="Normal 2"/>
    <tableColumn id="12" xr3:uid="{B0FA5856-089C-46C3-A340-C23556E453BD}" name="T09.2021" dataDxfId="296" dataCellStyle="Normal 2"/>
    <tableColumn id="13" xr3:uid="{58D3EE40-CA17-4C75-A94B-12DAD4BDFDFF}" name="T10.2021" dataDxfId="295" dataCellStyle="Normal 2"/>
    <tableColumn id="14" xr3:uid="{797FCB5F-8BC6-485B-863D-0D977EEC7160}" name="T11.2021" dataDxfId="294" dataCellStyle="Normal 2"/>
    <tableColumn id="15" xr3:uid="{5A562D98-D3AE-4CE1-9A99-221035C2885E}" name="T12.2021" dataDxfId="293" dataCellStyle="Normal 2"/>
    <tableColumn id="16" xr3:uid="{121BDA46-34F0-4D41-A220-86D2310B9E52}" name="T1.2022" dataDxfId="292" dataCellStyle="Normal 2"/>
    <tableColumn id="17" xr3:uid="{693F902C-0963-4F4B-A6DF-136A831880E2}" name="T02.2022" dataDxfId="291" dataCellStyle="Normal 2"/>
    <tableColumn id="18" xr3:uid="{A4FED449-344E-4C52-A6D7-C58D77FE407B}" name="T03.2022" dataDxfId="290" dataCellStyle="Normal 2"/>
    <tableColumn id="19" xr3:uid="{4461B5A3-5E10-45E2-ACB5-6F08512D95D2}" name="T04.2022" dataDxfId="289" dataCellStyle="Normal 2"/>
    <tableColumn id="20" xr3:uid="{A7EC21CF-821C-491B-9CB1-CC1DC4556D5A}" name="T05.2022" dataDxfId="288" dataCellStyle="Normal 2"/>
    <tableColumn id="21" xr3:uid="{2B100439-FC62-4AED-83B6-376E808FB86C}" name="T06.2022" dataDxfId="287" dataCellStyle="Normal 2"/>
    <tableColumn id="22" xr3:uid="{142707AA-71AC-41F2-BD96-6B724DF3A661}" name="T07.2022" dataDxfId="286" dataCellStyle="Normal 2"/>
    <tableColumn id="23" xr3:uid="{0840C3B2-39E3-4F16-87DE-2622C07B8BDA}" name="T08.2022" dataDxfId="285" dataCellStyle="Normal 2"/>
    <tableColumn id="24" xr3:uid="{AB557C16-1995-400F-BCE0-EFE4A237D317}" name="T09.2022" dataDxfId="284" dataCellStyle="Normal 2"/>
    <tableColumn id="25" xr3:uid="{A1BE4FE0-6F02-4D6A-9E5A-A8026469ACA1}" name="T10.2022" dataDxfId="283" dataCellStyle="Normal 2"/>
    <tableColumn id="26" xr3:uid="{3AB094C5-1DDF-491A-B80C-AD3DA4A1534A}" name="T11.2022" dataDxfId="282" dataCellStyle="Normal 2"/>
    <tableColumn id="27" xr3:uid="{71A2F6A1-3504-4C74-BBA2-806A7F018A22}" name="T12.2022" dataDxfId="281" dataCellStyle="Normal 2"/>
    <tableColumn id="28" xr3:uid="{E5529C7F-8999-4825-9F42-4B8BA1F40F70}" name="T1.2023" dataDxfId="280" dataCellStyle="Normal 2"/>
    <tableColumn id="29" xr3:uid="{D0123365-2E88-4335-8F75-1213A1D7D0E8}" name="T02.2023" dataDxfId="279" dataCellStyle="Normal 2"/>
    <tableColumn id="30" xr3:uid="{FD4C2C5C-A28B-413B-816A-0DB5B1F1D93E}" name="T03.2023" dataDxfId="278" dataCellStyle="Normal 2"/>
    <tableColumn id="31" xr3:uid="{BDBB3878-77F8-40E5-86E4-FCA88556D20F}" name="T04.2023" dataDxfId="277" dataCellStyle="Normal 2"/>
    <tableColumn id="32" xr3:uid="{804E908D-ACB9-488A-B4CE-410140DC68E0}" name="T05.2023" dataDxfId="276" dataCellStyle="Normal 2"/>
    <tableColumn id="33" xr3:uid="{A49989C8-6444-435D-843A-D3D7ABA38D4D}" name="T06.2023" dataDxfId="275" dataCellStyle="Normal 2"/>
    <tableColumn id="34" xr3:uid="{564EABD5-181F-4E48-BD1F-36B7FDE052A7}" name="T07.2023" dataDxfId="274" dataCellStyle="Normal 2"/>
    <tableColumn id="35" xr3:uid="{D1095F48-8699-4FBC-B072-B45503FECE5D}" name="T08.2023" dataDxfId="273" dataCellStyle="Normal 2"/>
    <tableColumn id="36" xr3:uid="{1BDEB1A5-F0EB-4102-A6E3-79C134370069}" name="T09.2023" dataDxfId="272" dataCellStyle="Normal 2"/>
    <tableColumn id="37" xr3:uid="{0F26B162-810B-4D17-AAB9-98E53609D35C}" name="T10.2023" dataDxfId="271" dataCellStyle="Normal 2"/>
    <tableColumn id="38" xr3:uid="{D4020AF2-B6C5-49C4-BA81-449F05479851}" name="T11.2023" dataDxfId="270" dataCellStyle="Normal 2"/>
    <tableColumn id="39" xr3:uid="{A029C37B-4F5D-412E-92BC-7A896099B10F}" name="T12.2023" dataDxfId="269" dataCellStyle="Normal 2"/>
    <tableColumn id="40" xr3:uid="{728831D4-D9D3-4C56-8D0A-4A5945C3D049}" name="T01.2024" dataDxfId="268" dataCellStyle="Normal 2"/>
    <tableColumn id="41" xr3:uid="{3482B4DA-386E-4517-A4B9-ADC0383696D1}" name="T02.2024" dataDxfId="267" dataCellStyle="Normal 2"/>
    <tableColumn id="42" xr3:uid="{E8137E07-4ADF-4E43-BB6A-FD16D297533D}" name="T03.2024" dataDxfId="266" dataCellStyle="Normal 2"/>
    <tableColumn id="43" xr3:uid="{ACF86400-F6AA-4551-A88C-69F2FFC5236C}" name="T04.2024" dataDxfId="265" dataCellStyle="Normal 2"/>
    <tableColumn id="44" xr3:uid="{7C357C7B-AE24-43EB-9455-AE0FDA6ADBBA}" name="T05.2024" dataDxfId="264" dataCellStyle="Normal 2"/>
    <tableColumn id="45" xr3:uid="{E2265788-1112-488F-842F-0F37266FE0A4}" name="T06.2024" dataDxfId="263" dataCellStyle="Normal 2"/>
    <tableColumn id="46" xr3:uid="{6B15FD80-B9FD-4158-A432-B23E842D598F}" name="T07.2024" dataDxfId="262" dataCellStyle="Normal 2"/>
    <tableColumn id="47" xr3:uid="{6A9AE2BA-2461-4C40-BFA2-492BE6843627}" name="T08.2024" dataDxfId="261" dataCellStyle="Normal 2"/>
    <tableColumn id="48" xr3:uid="{6CF7BDA3-8A61-47DC-A42D-258FA4A033DE}" name="T09.2024" dataDxfId="260" dataCellStyle="Normal 2"/>
    <tableColumn id="49" xr3:uid="{63105E74-FF26-4239-A7ED-B4B883E36E80}" name="T10.2024" dataDxfId="259" dataCellStyle="Normal 2"/>
    <tableColumn id="50" xr3:uid="{CCBECB6B-213B-4427-81AC-F41BA1AFAC04}" name="T11.2024" dataDxfId="258" dataCellStyle="Normal 2"/>
    <tableColumn id="51" xr3:uid="{A7C8EBC9-5467-4BEB-8532-3CC453E9F5F7}" name="T12.2024" dataDxfId="257" dataCellStyle="Normal 2"/>
    <tableColumn id="52" xr3:uid="{1F87DAB3-6DE3-4A64-A942-0712B7B6D64F}" name="T01.2025" dataDxfId="256" dataCellStyle="Normal 2"/>
    <tableColumn id="53" xr3:uid="{ED000244-7351-44B7-9C02-2BE2C4DF3161}" name="T02.2025" dataDxfId="255" dataCellStyle="Normal 2"/>
    <tableColumn id="54" xr3:uid="{8E6F2A27-CC81-4CBE-A56E-311514ACD2E5}" name="T03.2025" dataDxfId="254" dataCellStyle="Normal 2"/>
    <tableColumn id="55" xr3:uid="{90A71C13-DD3F-4EC6-8AF8-A581BA0B5B47}" name="T04.2025" dataDxfId="253" dataCellStyle="Normal 2"/>
    <tableColumn id="56" xr3:uid="{115B9FE0-27BF-467C-B8C5-8BA0045783FA}" name="T05.2025" dataDxfId="252" dataCellStyle="Normal 2"/>
    <tableColumn id="57" xr3:uid="{42183439-B6D0-4A51-8426-3E503DBEC1A0}" name="T06.2025" dataDxfId="251" dataCellStyle="Normal 2"/>
    <tableColumn id="58" xr3:uid="{635FD007-7152-45B3-9F89-532613942918}" name="T07.2025" dataDxfId="250" dataCellStyle="Normal 2"/>
    <tableColumn id="59" xr3:uid="{735377CA-3679-4439-90F5-2CF4D48570DD}" name="T08.2025" dataDxfId="249" dataCellStyle="Normal 2"/>
    <tableColumn id="60" xr3:uid="{755F6ACC-6B4E-421B-AEA4-382846BE8484}" name="T09.2025" dataDxfId="248" dataCellStyle="Normal 2"/>
    <tableColumn id="61" xr3:uid="{9541F22A-A485-4DC2-8EE8-0EA8E1B33610}" name="T10.2025" dataDxfId="247" dataCellStyle="Normal 2"/>
    <tableColumn id="62" xr3:uid="{E7DEED84-0A1F-47CD-92C1-66B9F07FFA52}" name="T11.2025" dataDxfId="246" dataCellStyle="Normal 2"/>
    <tableColumn id="63" xr3:uid="{4682A43F-8F27-4F09-9C8B-09BE4143804A}" name="T12.2025" dataDxfId="245" dataCellStyle="Normal 2"/>
    <tableColumn id="64" xr3:uid="{7E1B5A8C-A9E0-4023-8829-6634BCD5F135}" name="T01.2026" dataDxfId="244" dataCellStyle="Normal 2"/>
    <tableColumn id="65" xr3:uid="{236245ED-1E54-42DD-A14E-889B35F43B5C}" name="T02.2026" dataDxfId="243" dataCellStyle="Normal 2"/>
    <tableColumn id="66" xr3:uid="{127E30DE-18CA-42E9-B6C2-D35820DE8EEC}" name="T03.2026" dataDxfId="242" dataCellStyle="Normal 2"/>
    <tableColumn id="67" xr3:uid="{3B7862A7-432A-4D92-8BFD-F388ADADE09F}" name="T04.2026" dataDxfId="241" dataCellStyle="Normal 2"/>
    <tableColumn id="68" xr3:uid="{093B3036-3691-4812-A656-4B22E9654A03}" name="T05.2026" dataDxfId="240" dataCellStyle="Normal 2"/>
    <tableColumn id="69" xr3:uid="{752C005A-CDC7-48B8-B236-B62436C0F5D2}" name="T06.2026" dataDxfId="239" dataCellStyle="Normal 2"/>
    <tableColumn id="70" xr3:uid="{AD6129EC-736C-45A5-BDA8-655F9809A56A}" name="T07.2026" dataDxfId="238" dataCellStyle="Normal 2"/>
    <tableColumn id="71" xr3:uid="{50E57578-40BC-4101-8940-E2B1CCC48960}" name="T08.2026" dataDxfId="237" dataCellStyle="Normal 2"/>
    <tableColumn id="72" xr3:uid="{7244214B-9FBE-4565-8C2E-B7827624B834}" name="T09.2026" dataDxfId="236" dataCellStyle="Normal 2"/>
    <tableColumn id="73" xr3:uid="{5DCFDBD4-B33B-4DFF-8AD2-2C26A44417F7}" name="T10.2026" dataDxfId="235" dataCellStyle="Normal 2"/>
    <tableColumn id="74" xr3:uid="{A500AE02-394E-4A3B-93BD-E826BB47D916}" name="T11.2026" dataDxfId="234" dataCellStyle="Normal 2"/>
    <tableColumn id="75" xr3:uid="{B62C061F-4936-429B-A6CF-75CC6BF0097D}" name="T12.2026" dataDxfId="23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F48C6C-C8BA-4E89-8FBF-553BE67ED848}" name="Data_PL" displayName="Data_PL" ref="A3:BW23" totalsRowShown="0" headerRowDxfId="232" dataDxfId="231" headerRowCellStyle="Comma 3">
  <tableColumns count="75">
    <tableColumn id="1" xr3:uid="{9F4061D5-4928-4292-8DC3-4CF36C249BE4}" name="Index PL" dataDxfId="230" dataCellStyle="Normal 2"/>
    <tableColumn id="2" xr3:uid="{52734182-F09C-4E74-BDB9-CB18BCD2C145}" name="PHẦN II-KẾT QUẢ HOẠT ĐỘNG KINH DOANH" dataDxfId="229" dataCellStyle="Normal 2"/>
    <tableColumn id="3" xr3:uid="{824CB8FC-8950-4FB9-BBC7-0E6B21AB7048}" name="TenCongTyID" dataDxfId="228"/>
    <tableColumn id="4" xr3:uid="{A64D90FD-1D86-4BEF-BF71-17F26AC704F3}" name="T1.2021" dataDxfId="227"/>
    <tableColumn id="5" xr3:uid="{D7FF28AA-0704-4172-A2BF-84F8F37ACDC3}" name="T02.2021" dataDxfId="226"/>
    <tableColumn id="6" xr3:uid="{8EEC498A-0603-40F7-9162-0E0DCE4840EA}" name="T03.2021" dataDxfId="225"/>
    <tableColumn id="7" xr3:uid="{6472E76F-667B-440F-B90F-39BFD2243156}" name="T04.2021" dataDxfId="224"/>
    <tableColumn id="8" xr3:uid="{CBDA37AC-95FD-452A-897D-D995046B1CBC}" name="T05.2021" dataDxfId="223"/>
    <tableColumn id="9" xr3:uid="{CE8DE4A8-13B4-4B5C-A1A6-DE50FFF02B8A}" name="T06.2021" dataDxfId="222"/>
    <tableColumn id="10" xr3:uid="{26848F54-2C88-474A-8420-70240D8209D9}" name="T07.2021" dataDxfId="221"/>
    <tableColumn id="11" xr3:uid="{228B4BBF-8A33-4644-9328-9AFBC34F2E72}" name="T08.2021" dataDxfId="220"/>
    <tableColumn id="12" xr3:uid="{2691DF72-2323-465A-A8EE-D57BDF93A138}" name="T09.2021" dataDxfId="219"/>
    <tableColumn id="13" xr3:uid="{5661E37C-6A76-4D15-9D48-0CC4A75170E9}" name="T10.2021" dataDxfId="218"/>
    <tableColumn id="14" xr3:uid="{8F97931E-15C0-4D83-B69D-57C2E948C636}" name="T11.2021" dataDxfId="217"/>
    <tableColumn id="15" xr3:uid="{F8C534C8-8113-4B9B-A220-B2A5AD2099F1}" name="T12.2021" dataDxfId="216"/>
    <tableColumn id="16" xr3:uid="{BC4D7A33-7D7C-4653-B6D6-55C9138317B7}" name="T1.2022" dataDxfId="215"/>
    <tableColumn id="17" xr3:uid="{35EB889A-A202-49E3-BB12-AA5C43597B99}" name="T02.2022" dataDxfId="214"/>
    <tableColumn id="18" xr3:uid="{EB546E3D-95B6-4CC2-9F73-5FE57E3D3CF3}" name="T03.2022" dataDxfId="213"/>
    <tableColumn id="19" xr3:uid="{00A29D60-1D71-4BFB-A984-53059CAD942A}" name="T04.2022" dataDxfId="212"/>
    <tableColumn id="20" xr3:uid="{E5EBA71E-2EFF-4A33-A3AB-2AAA0D498C89}" name="T05.2022" dataDxfId="211"/>
    <tableColumn id="21" xr3:uid="{E894FC94-7699-4216-9389-4458CFAC8731}" name="T06.2022" dataDxfId="210"/>
    <tableColumn id="22" xr3:uid="{75322230-C606-4BBD-BA5B-A2ECB7523F39}" name="T07.2022" dataDxfId="209"/>
    <tableColumn id="23" xr3:uid="{7BC0A646-A1DF-4450-B9DA-F8A35648AEED}" name="T08.2022" dataDxfId="208"/>
    <tableColumn id="24" xr3:uid="{4A8E5280-4946-4532-8108-E446C9488594}" name="T09.2022" dataDxfId="207"/>
    <tableColumn id="25" xr3:uid="{40D77BF3-1E0A-485B-B066-794B33A2348E}" name="T10.2022" dataDxfId="206"/>
    <tableColumn id="26" xr3:uid="{E7077252-0E1C-4D84-955F-0C6053380B67}" name="T11.2022" dataDxfId="205"/>
    <tableColumn id="27" xr3:uid="{D2920068-80D7-4F7E-ACD6-2C907B1B3E26}" name="T12.2022" dataDxfId="204"/>
    <tableColumn id="28" xr3:uid="{9945E073-09D8-498B-A523-945848FAA87A}" name="T1.2023" dataDxfId="203"/>
    <tableColumn id="29" xr3:uid="{62FE2A6E-01AC-45B7-9B97-0CF5D38CE7E8}" name="T02.2023" dataDxfId="202"/>
    <tableColumn id="30" xr3:uid="{07D81F2E-5818-4623-AF71-D4A38BC9D622}" name="T03.2023" dataDxfId="201"/>
    <tableColumn id="31" xr3:uid="{1CC353D6-E84E-490F-AF51-17068C6076C3}" name="T04.2023" dataDxfId="200"/>
    <tableColumn id="32" xr3:uid="{F484748B-187B-426C-85BE-00931106CED3}" name="T05.2023" dataDxfId="199"/>
    <tableColumn id="33" xr3:uid="{FA15B4F3-5B21-4293-AA1C-0EF2BF5B121C}" name="T06.2023" dataDxfId="198"/>
    <tableColumn id="34" xr3:uid="{11B6C0A0-3A3A-46B4-9696-8626F6424486}" name="T07.2023" dataDxfId="197"/>
    <tableColumn id="35" xr3:uid="{6634BF47-1CA7-43B2-9D81-7AB181FCB5BC}" name="T08.2023" dataDxfId="196"/>
    <tableColumn id="36" xr3:uid="{AD0FB245-B8E8-49F1-8C92-9D072411D573}" name="T09.2023" dataDxfId="195"/>
    <tableColumn id="37" xr3:uid="{69404919-D135-4BD4-8689-B907493DCB62}" name="T10.2023" dataDxfId="194"/>
    <tableColumn id="38" xr3:uid="{93079C91-F498-484B-85FF-B2FCBA5D4B37}" name="T11.2023" dataDxfId="193"/>
    <tableColumn id="39" xr3:uid="{28AA9E15-2DDE-4868-B772-A88E9BBA6AE7}" name="T12.2023" dataDxfId="192"/>
    <tableColumn id="40" xr3:uid="{07CF5EA2-302E-4317-934E-797873843D45}" name="T01.2024" dataDxfId="191"/>
    <tableColumn id="41" xr3:uid="{0F2465E0-257B-4AF6-A529-68E38ED5C590}" name="T02.2024" dataDxfId="190"/>
    <tableColumn id="42" xr3:uid="{99B73F55-56C4-43CB-8CCE-63A71E3A2C10}" name="T03.2024" dataDxfId="189"/>
    <tableColumn id="43" xr3:uid="{C11124D1-F65D-47D6-8AAE-13284B4BB52A}" name="T04.2024" dataDxfId="188"/>
    <tableColumn id="44" xr3:uid="{2725464B-8F37-456F-9F09-120C98C9D667}" name="T05.2024" dataDxfId="187"/>
    <tableColumn id="45" xr3:uid="{5F6F69BB-A725-4773-A24C-774D5A0362C2}" name="T06.2024" dataDxfId="186"/>
    <tableColumn id="46" xr3:uid="{FD56ACEC-D8B2-49C7-835A-BC177EAADC85}" name="T07.2024" dataDxfId="185"/>
    <tableColumn id="47" xr3:uid="{E350CAB2-BAE2-4A2F-9F05-3489D9AC5317}" name="T08.2024" dataDxfId="184"/>
    <tableColumn id="48" xr3:uid="{D5C41A70-ED08-47B5-B8C7-3CB73B8D743F}" name="T09.2024" dataDxfId="183"/>
    <tableColumn id="49" xr3:uid="{70482E2F-DBAD-4056-B4C5-B1015D024273}" name="T10.2024" dataDxfId="182"/>
    <tableColumn id="50" xr3:uid="{AA680EEE-F5FB-4BC4-A376-62CB56C7A2B2}" name="T11.2024" dataDxfId="181"/>
    <tableColumn id="51" xr3:uid="{24398AD5-098B-4760-ACC2-181A64738603}" name="T12.2024" dataDxfId="180"/>
    <tableColumn id="52" xr3:uid="{AE78DAE6-72AD-4CB2-A3A9-06D4EA766F57}" name="T01.2025" dataDxfId="179"/>
    <tableColumn id="53" xr3:uid="{9560995A-6A7B-4CF1-979F-7DEA1ADEDD75}" name="T02.2025" dataDxfId="178"/>
    <tableColumn id="54" xr3:uid="{4C0020B3-5B47-40D6-98C2-E4F79DD139FE}" name="T03.2025" dataDxfId="177"/>
    <tableColumn id="55" xr3:uid="{9FAA2BA8-1BBD-4F96-8593-73234FCED5BF}" name="T04.2025" dataDxfId="176"/>
    <tableColumn id="56" xr3:uid="{093C1181-9F11-4107-884B-D6AD310EA3E8}" name="T05.2025" dataDxfId="175"/>
    <tableColumn id="57" xr3:uid="{B93B3438-60B0-4A56-8D67-15E3172A3903}" name="T06.2025" dataDxfId="174"/>
    <tableColumn id="58" xr3:uid="{2BDFD8B6-5837-46CD-AD3F-033EB8799463}" name="T07.2025" dataDxfId="173"/>
    <tableColumn id="59" xr3:uid="{F4DDB0C7-1140-4AF3-83F3-35CC4C5A2201}" name="T08.2025" dataDxfId="172"/>
    <tableColumn id="60" xr3:uid="{9635E3C4-FFDF-4ECE-920E-C0C7DEFD3609}" name="T09.2025" dataDxfId="171"/>
    <tableColumn id="61" xr3:uid="{3904ABB9-074B-496D-BE52-A5EB7C6A6843}" name="T10.2025" dataDxfId="170"/>
    <tableColumn id="62" xr3:uid="{6148B0EC-F185-4916-BA99-7947101C87BF}" name="T11.2025" dataDxfId="169"/>
    <tableColumn id="63" xr3:uid="{B6A5FE84-8A9A-4C30-B0F4-7DE4FB132C45}" name="T12.2025" dataDxfId="168"/>
    <tableColumn id="64" xr3:uid="{915902E5-D998-49A2-90B6-47CF11C8BC5D}" name="T01.2026" dataDxfId="167"/>
    <tableColumn id="65" xr3:uid="{3FA92FF9-A1EE-4783-A383-40D68DA32B57}" name="T02.2026" dataDxfId="166"/>
    <tableColumn id="66" xr3:uid="{146794D5-7495-4B8B-93A0-73A1EB05474F}" name="T03.2026" dataDxfId="165"/>
    <tableColumn id="67" xr3:uid="{615C7926-51BB-44C4-9140-82DDE0230770}" name="T04.2026" dataDxfId="164"/>
    <tableColumn id="68" xr3:uid="{753F660C-209F-493D-904A-ED27298D6D3E}" name="T05.2026" dataDxfId="163"/>
    <tableColumn id="69" xr3:uid="{C79A446C-8247-4E29-A898-653182F810F9}" name="T06.2026" dataDxfId="162"/>
    <tableColumn id="70" xr3:uid="{5A0CCFD3-2C4E-4AB8-8FA6-3BB518EB54F6}" name="T07.2026" dataDxfId="161"/>
    <tableColumn id="71" xr3:uid="{3EAFCBCD-8BBD-4762-A52A-AEE6CEA07095}" name="T08.2026" dataDxfId="160"/>
    <tableColumn id="72" xr3:uid="{8AFCCB05-E8F4-4DEF-A421-D18D2F39561C}" name="T09.2026" dataDxfId="159"/>
    <tableColumn id="73" xr3:uid="{954DEE59-E495-4748-9D3C-82D7EF531BF6}" name="T10.2026" dataDxfId="158"/>
    <tableColumn id="74" xr3:uid="{100A5A55-B3B6-40F8-A6BA-FF19FE823286}" name="T11.2026" dataDxfId="157"/>
    <tableColumn id="75" xr3:uid="{86DA4871-03EC-4388-857B-DDA945BBF715}" name="T12.2026" dataDxfId="1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FBDE3F-4EFF-43FD-9635-F65AF73894F2}" name="Data_CF" displayName="Data_CF" ref="A3:BW44" totalsRowShown="0" headerRowDxfId="155" dataDxfId="154" headerRowCellStyle="Normal 2" dataCellStyle="Comma 5">
  <tableColumns count="75">
    <tableColumn id="1" xr3:uid="{1F2C5ADA-E984-4C28-AA2D-63334668F79F}" name="Index CF" dataDxfId="153" dataCellStyle="Normal 2"/>
    <tableColumn id="2" xr3:uid="{9DC39059-71AC-40FF-9F97-6DB9C06D15BE}" name="PHẦN III- LƯU CHUYỂN TIỀN TỆ" dataDxfId="152" dataCellStyle="Normal 2"/>
    <tableColumn id="3" xr3:uid="{19684DDF-82BD-4078-9807-AB5224CEEE1B}" name="TenCongTyID" dataDxfId="151" dataCellStyle="Comma 5"/>
    <tableColumn id="4" xr3:uid="{89D7734A-B3E8-4E29-9B0F-1CB2039EB05B}" name="T1.2021" dataDxfId="150" dataCellStyle="Comma 5"/>
    <tableColumn id="5" xr3:uid="{D3070EF6-E2CE-43CA-B65C-97A80ABE33C6}" name="T02.2021" dataDxfId="149" dataCellStyle="Comma 5"/>
    <tableColumn id="6" xr3:uid="{12D0B7DB-CE76-4E81-BC65-068BEAA8AB43}" name="T03.2021" dataDxfId="148" dataCellStyle="Comma 5"/>
    <tableColumn id="7" xr3:uid="{971B80A6-55EE-4FB9-95B0-2DEDB610C3AD}" name="T04.2021" dataDxfId="147" dataCellStyle="Comma 5"/>
    <tableColumn id="8" xr3:uid="{AE63DE2D-9397-4C65-9E96-0F822D82CF37}" name="T05.2021" dataDxfId="146" dataCellStyle="Comma 5"/>
    <tableColumn id="9" xr3:uid="{313B8678-4725-492E-9754-5CB6ACE8AF2A}" name="T06.2021" dataDxfId="145" dataCellStyle="Comma 5"/>
    <tableColumn id="10" xr3:uid="{7C35308A-118B-4468-9AA6-8DAE29FD90B9}" name="T07.2021" dataDxfId="144" dataCellStyle="Comma 5"/>
    <tableColumn id="11" xr3:uid="{8C307E8E-BE2C-42B3-8B0C-93FFD013E0A4}" name="T08.2021" dataDxfId="143" dataCellStyle="Comma 5"/>
    <tableColumn id="12" xr3:uid="{103C0C2D-61F4-44CB-A0D1-1787F15F43E5}" name="T09.2021" dataDxfId="142" dataCellStyle="Comma 5"/>
    <tableColumn id="13" xr3:uid="{DF72605F-DC70-4BFE-969F-95CF3C82E062}" name="T10.2021" dataDxfId="141" dataCellStyle="Comma 5"/>
    <tableColumn id="14" xr3:uid="{06352F23-4AAB-4463-9AF7-F76789B94497}" name="T11.2021" dataDxfId="140" dataCellStyle="Comma 5"/>
    <tableColumn id="15" xr3:uid="{471E65D1-4D57-4BDA-9FD1-95A55A259A05}" name="T12.2021" dataDxfId="139" dataCellStyle="Comma 5"/>
    <tableColumn id="16" xr3:uid="{14AFA836-5EA0-4777-8E4F-F779C6CEAA09}" name="T1.2022" dataDxfId="138" dataCellStyle="Comma 5"/>
    <tableColumn id="17" xr3:uid="{A9CFAB8D-C578-431F-9514-9C9D21971D3D}" name="T02.2022" dataDxfId="137" dataCellStyle="Comma 5"/>
    <tableColumn id="18" xr3:uid="{B973B9B3-B79D-420B-8E22-DBFFEDDA6A3E}" name="T03.2022" dataDxfId="136" dataCellStyle="Comma 5"/>
    <tableColumn id="19" xr3:uid="{6D84693A-9C16-4A7C-A6C4-F4581E980BF0}" name="T04.2022" dataDxfId="135" dataCellStyle="Comma 5"/>
    <tableColumn id="20" xr3:uid="{0ECEBE11-B6B2-41FC-992C-B55C40EB4A52}" name="T05.2022" dataDxfId="134" dataCellStyle="Comma 5"/>
    <tableColumn id="21" xr3:uid="{586CD598-4071-45DC-A554-A36070DF4612}" name="T06.2022" dataDxfId="133" dataCellStyle="Comma 5"/>
    <tableColumn id="22" xr3:uid="{83EB78D0-FFEC-4C82-99D3-7BDE384D5C18}" name="T07.2022" dataDxfId="132" dataCellStyle="Comma 5"/>
    <tableColumn id="23" xr3:uid="{4D5BA58D-CD21-4428-9178-EE9E5858C801}" name="T08.2022" dataDxfId="131" dataCellStyle="Comma 5"/>
    <tableColumn id="24" xr3:uid="{0F414304-2163-4B62-84DD-62B905765DA1}" name="T09.2022" dataDxfId="130" dataCellStyle="Comma 5"/>
    <tableColumn id="25" xr3:uid="{BF0514B9-B802-41D9-8321-3BF7113A2359}" name="T10.2022" dataDxfId="129" dataCellStyle="Comma 5"/>
    <tableColumn id="26" xr3:uid="{6B5FB2FA-F971-4463-95C2-58563524EAED}" name="T11.2022" dataDxfId="128" dataCellStyle="Comma 5"/>
    <tableColumn id="27" xr3:uid="{3B79A8D6-98A2-47CC-9BC6-D797BD369F8E}" name="T12.2022" dataDxfId="127" dataCellStyle="Comma 5"/>
    <tableColumn id="28" xr3:uid="{4A161111-338E-43A8-91C0-AE46CE664E0A}" name="T1.2023" dataDxfId="126" dataCellStyle="Comma 5"/>
    <tableColumn id="29" xr3:uid="{DF1A8B44-85D8-4A91-B70F-8F452F3A26FA}" name="T02.2023" dataDxfId="125" dataCellStyle="Comma 5"/>
    <tableColumn id="30" xr3:uid="{12D47593-162F-42C5-8CAB-091908E0E2BB}" name="T03.2023" dataDxfId="124" dataCellStyle="Comma 5"/>
    <tableColumn id="31" xr3:uid="{8AA5C2A7-46AC-49CE-BBC5-87B7B87F02E1}" name="T04.2023" dataDxfId="123" dataCellStyle="Comma 5"/>
    <tableColumn id="32" xr3:uid="{C32D184E-5E32-4E5B-AF56-B19D71ECBCB3}" name="T05.2023" dataDxfId="122" dataCellStyle="Comma 5"/>
    <tableColumn id="33" xr3:uid="{533B9909-09BC-43A1-AE15-C1FF17CB963A}" name="T06.2023" dataDxfId="121" dataCellStyle="Comma 5"/>
    <tableColumn id="34" xr3:uid="{B2459A84-2621-4524-AB8F-28220AD733BE}" name="T07.2023" dataDxfId="120" dataCellStyle="Comma 5"/>
    <tableColumn id="35" xr3:uid="{212BB636-B05D-41FB-B26F-A5DF09E463A5}" name="T08.2023" dataDxfId="119" dataCellStyle="Comma 5"/>
    <tableColumn id="36" xr3:uid="{FAAA9FAB-1466-4CAD-8DBD-1DC4A8003104}" name="T09.2023" dataDxfId="118" dataCellStyle="Comma 5"/>
    <tableColumn id="37" xr3:uid="{E3D8B809-7C6C-494E-8D02-7BDE734A5C11}" name="T10.2023" dataDxfId="117" dataCellStyle="Comma 5"/>
    <tableColumn id="38" xr3:uid="{69D63F51-9435-417E-A69E-27B8E5276608}" name="T11.2023" dataDxfId="116" dataCellStyle="Comma 5"/>
    <tableColumn id="39" xr3:uid="{383CAB27-5956-4167-89B2-C6F0076BF473}" name="T12.2023" dataDxfId="115" dataCellStyle="Comma 5"/>
    <tableColumn id="40" xr3:uid="{17F7501A-FED5-443D-87C3-14C985E32F57}" name="T01.2024" dataDxfId="114" dataCellStyle="Comma 5"/>
    <tableColumn id="41" xr3:uid="{AD9377C4-1B9E-4ACC-9165-45543AE1D264}" name="T02.2024" dataDxfId="113" dataCellStyle="Comma 5"/>
    <tableColumn id="42" xr3:uid="{ABC6881C-F50C-46EE-9B88-F844C79BC10B}" name="T03.2024" dataDxfId="112" dataCellStyle="Comma 5"/>
    <tableColumn id="43" xr3:uid="{36C64110-8301-44C2-84EF-72001677F500}" name="T04.2024" dataDxfId="111" dataCellStyle="Comma 5"/>
    <tableColumn id="44" xr3:uid="{8CC7EF3A-437E-4CC5-8696-5AFD25032754}" name="T05.2024" dataDxfId="110" dataCellStyle="Comma 5"/>
    <tableColumn id="45" xr3:uid="{4335B476-A54D-4673-A963-7F29EB0A1F06}" name="T06.2024" dataDxfId="109" dataCellStyle="Comma 5"/>
    <tableColumn id="46" xr3:uid="{1787660E-8776-4648-9BF2-F79CA9646B74}" name="T07.2024" dataDxfId="108" dataCellStyle="Comma 5"/>
    <tableColumn id="47" xr3:uid="{FFAC4AFD-E445-4744-B47A-A4981F93527D}" name="T08.2024" dataDxfId="107" dataCellStyle="Comma 5"/>
    <tableColumn id="48" xr3:uid="{78A197AD-4BA0-481D-95DA-F38D9DE6689D}" name="T09.2024" dataDxfId="106" dataCellStyle="Comma 5"/>
    <tableColumn id="49" xr3:uid="{2DFE9239-42A3-45A3-BCE9-FE819079DEBF}" name="T10.2024" dataDxfId="105" dataCellStyle="Comma 5"/>
    <tableColumn id="50" xr3:uid="{5A8386BC-E0BB-4B4B-962B-0A0CB879CA62}" name="T11.2024" dataDxfId="104" dataCellStyle="Comma 5"/>
    <tableColumn id="51" xr3:uid="{D9F5F0FA-06D0-455F-A2E7-8FBD3BE6CF16}" name="T12.2024" dataDxfId="103" dataCellStyle="Comma 5"/>
    <tableColumn id="52" xr3:uid="{46B8E337-513D-4C41-9DE4-A20E134BBBDB}" name="T01.2025" dataDxfId="102" dataCellStyle="Comma 5"/>
    <tableColumn id="53" xr3:uid="{C757F5E4-410A-4A8F-A9F9-E87295857D0F}" name="T02.2025" dataDxfId="101" dataCellStyle="Comma 5"/>
    <tableColumn id="54" xr3:uid="{71B9D52C-E457-4CF3-B09E-D438ADCD3ACC}" name="T03.2025" dataDxfId="100" dataCellStyle="Comma 5"/>
    <tableColumn id="55" xr3:uid="{DBADB82E-98F0-479D-872A-D5C72865712E}" name="T04.2025" dataDxfId="99" dataCellStyle="Comma 5"/>
    <tableColumn id="56" xr3:uid="{930BA09F-5987-43BA-9F44-D4E279ADDF8B}" name="T05.2025" dataDxfId="98" dataCellStyle="Comma 5"/>
    <tableColumn id="57" xr3:uid="{A7C7D948-8046-4B31-8B3A-6210B6503A10}" name="T06.2025" dataDxfId="97" dataCellStyle="Comma 5"/>
    <tableColumn id="58" xr3:uid="{1BB42F15-9197-4BA3-A49B-2A1105EC7823}" name="T07.2025" dataDxfId="96" dataCellStyle="Comma 5"/>
    <tableColumn id="59" xr3:uid="{A26E811A-752E-458D-8BD4-63DB93D2FB4D}" name="T08.2025" dataDxfId="95" dataCellStyle="Comma 5"/>
    <tableColumn id="60" xr3:uid="{8A85AFB8-2694-473D-AAEC-1568A22EF3F8}" name="T09.2025" dataDxfId="94" dataCellStyle="Comma 5"/>
    <tableColumn id="61" xr3:uid="{06C63846-B4C2-41C7-A964-3B5395E66167}" name="T10.2025" dataDxfId="93" dataCellStyle="Comma 5"/>
    <tableColumn id="62" xr3:uid="{473FE5B8-86AE-4A19-AA9B-16605398DFF6}" name="T11.2025" dataDxfId="92" dataCellStyle="Comma 5"/>
    <tableColumn id="63" xr3:uid="{FB4997DE-48C3-482D-B824-31CB9DCBA688}" name="T12.2025" dataDxfId="91" dataCellStyle="Comma 5"/>
    <tableColumn id="64" xr3:uid="{73A8B297-B5C4-4CFE-97E1-77D9E3BD5DD6}" name="T01.2026" dataDxfId="90" dataCellStyle="Comma 5"/>
    <tableColumn id="65" xr3:uid="{F192F70D-8A2E-4772-B7C2-92313FAA33AF}" name="T02.2026" dataDxfId="89" dataCellStyle="Comma 5"/>
    <tableColumn id="66" xr3:uid="{C4697CED-3B27-4C8B-9871-7D9C58262957}" name="T03.2026" dataDxfId="88" dataCellStyle="Comma 5"/>
    <tableColumn id="67" xr3:uid="{F20F88C1-73E6-45DE-97D3-588E799A0FF6}" name="T04.2026" dataDxfId="87" dataCellStyle="Comma 5"/>
    <tableColumn id="68" xr3:uid="{70B6596B-DD40-436C-8523-06187AC55136}" name="T05.2026" dataDxfId="86" dataCellStyle="Comma 5"/>
    <tableColumn id="69" xr3:uid="{0BA8588C-6780-4A46-84AD-44EF72034E85}" name="T06.2026" dataDxfId="85" dataCellStyle="Comma 5"/>
    <tableColumn id="70" xr3:uid="{CD0D55E6-4303-490D-A683-8BFF46394450}" name="T07.2026" dataDxfId="84" dataCellStyle="Comma 5"/>
    <tableColumn id="71" xr3:uid="{02FB3FFC-1164-431D-840F-8D2682BF218E}" name="T08.2026" dataDxfId="83" dataCellStyle="Comma 5"/>
    <tableColumn id="72" xr3:uid="{6D86151B-3FC4-4274-A911-6DA67EBDB5FC}" name="T09.2026" dataDxfId="82" dataCellStyle="Comma 5"/>
    <tableColumn id="73" xr3:uid="{3E667622-7AE5-46DC-B361-1DED42E13BA1}" name="T10.2026" dataDxfId="81" dataCellStyle="Comma 5"/>
    <tableColumn id="74" xr3:uid="{847152EF-694F-4A1E-9413-3080C6DDBB91}" name="T11.2026" dataDxfId="80" dataCellStyle="Comma 5"/>
    <tableColumn id="75" xr3:uid="{06D9FF17-47E6-4BB4-A6DE-57899A3B6443}" name="T12.2026" dataDxfId="79" dataCellStyle="Comma 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4B18D3-106A-4CB9-ADDE-29C53695957D}" name="Data_PL_Element" displayName="Data_PL_Element" ref="A3:BW57" totalsRowShown="0" headerRowDxfId="387" dataDxfId="385" headerRowBorderDxfId="386" headerRowCellStyle="Normal 3">
  <tableColumns count="75">
    <tableColumn id="1" xr3:uid="{F8206E3F-EC83-43BC-B985-DD4644EBD075}" name="Index PL Element" dataDxfId="384"/>
    <tableColumn id="2" xr3:uid="{196E7307-9C31-4E11-B9D8-250BB9F5DCD7}" name="PHẦN IV: CHI PHÍ THEO YẾU TỐ" dataDxfId="383"/>
    <tableColumn id="3" xr3:uid="{1C6F1382-0CC0-44E3-9DD2-D83CED3C44FE}" name="TenCongTyID" dataDxfId="382" dataCellStyle="Normal 2"/>
    <tableColumn id="4" xr3:uid="{11364E6A-E3EA-41C4-84BD-0068DA1FE39F}" name="T1.2021" dataDxfId="381"/>
    <tableColumn id="5" xr3:uid="{6D9B6C6C-8B86-4CCC-9DC6-028AC31174A9}" name="T02.2021" dataDxfId="380"/>
    <tableColumn id="6" xr3:uid="{E620B24F-AD05-4A07-AEBE-4C49826755DE}" name="T03.2021" dataDxfId="379"/>
    <tableColumn id="7" xr3:uid="{F2CA829A-16A3-4156-A65F-862507AC1339}" name="T04.2021" dataDxfId="378"/>
    <tableColumn id="8" xr3:uid="{028B7CE6-08BA-4891-AE2E-FDA05647AA88}" name="T05.2021" dataDxfId="377"/>
    <tableColumn id="9" xr3:uid="{270B1E9B-A977-485A-9F84-79D3BB49593C}" name="T06.2021" dataDxfId="376"/>
    <tableColumn id="10" xr3:uid="{040DAABE-AC79-4BAE-BA32-A55254C486C6}" name="T07.2021" dataDxfId="375"/>
    <tableColumn id="11" xr3:uid="{9A025C5F-58E9-4B59-8399-C500CFDAB067}" name="T08.2021" dataDxfId="374"/>
    <tableColumn id="12" xr3:uid="{E5FA1E4C-D00A-41A6-99BD-63A8131A7407}" name="T09.2021" dataDxfId="373"/>
    <tableColumn id="13" xr3:uid="{2107A0BD-86EE-40C9-A6D7-D0B8EF20D25B}" name="T10.2021" dataDxfId="372"/>
    <tableColumn id="14" xr3:uid="{A02E7D42-7A35-454F-8037-DD1052D769FD}" name="T11.2021" dataDxfId="371"/>
    <tableColumn id="15" xr3:uid="{F7ACE6AF-3D70-42E1-B5D3-AFDA985319E7}" name="T12.2021" dataDxfId="370"/>
    <tableColumn id="16" xr3:uid="{CB1A0F43-20EA-40F6-83B7-668918EC9F8B}" name="T1.2022" dataDxfId="369"/>
    <tableColumn id="17" xr3:uid="{8C2709EE-CC2A-4FDB-BD4B-FE3FAA9EE77F}" name="T02.2022" dataDxfId="368"/>
    <tableColumn id="18" xr3:uid="{120217BC-F16C-43FF-9F2B-1B7B0C7A425A}" name="T03.2022" dataDxfId="367"/>
    <tableColumn id="19" xr3:uid="{3BC326E6-854B-4FCD-867C-8912C1854EDC}" name="T04.2022" dataDxfId="366"/>
    <tableColumn id="20" xr3:uid="{75F32560-A8A2-4644-8AF1-669201CF0E42}" name="T05.2022" dataDxfId="365"/>
    <tableColumn id="21" xr3:uid="{D09CAF86-3786-4691-B3FC-B0E639819CF0}" name="T06.2022" dataDxfId="364"/>
    <tableColumn id="22" xr3:uid="{42327FE6-7681-45F3-93FA-D9743526D831}" name="T07.2022" dataDxfId="363"/>
    <tableColumn id="23" xr3:uid="{B7122BF0-66E6-4984-8272-D2AF499FCB15}" name="T08.2022" dataDxfId="362"/>
    <tableColumn id="24" xr3:uid="{E09EE5E5-B36E-4F3C-8F2B-B6FFED93174A}" name="T09.2022" dataDxfId="361"/>
    <tableColumn id="25" xr3:uid="{DACFF6F1-3D97-4575-AE36-9D03E4E46E72}" name="T10.2022" dataDxfId="360"/>
    <tableColumn id="26" xr3:uid="{677F422C-9A46-41B7-B727-0F7AF773F19D}" name="T11.2022" dataDxfId="359"/>
    <tableColumn id="27" xr3:uid="{CEA6F0CD-35F0-4007-97D7-0C9CB862404B}" name="T12.2022" dataDxfId="358"/>
    <tableColumn id="28" xr3:uid="{B2AAAE0C-4E54-4428-B4AE-61E26A3A8F63}" name="T1.2023" dataDxfId="357"/>
    <tableColumn id="29" xr3:uid="{A182AB63-DEE4-4E5E-A274-8328567CC238}" name="T02.2023" dataDxfId="356"/>
    <tableColumn id="30" xr3:uid="{03FBA172-F029-4B92-BB01-D49C9529880C}" name="T03.2023" dataDxfId="355"/>
    <tableColumn id="31" xr3:uid="{82E0E020-D881-4F89-A3A4-9F03F84ED61F}" name="T04.2023" dataDxfId="354"/>
    <tableColumn id="32" xr3:uid="{F9681DFF-E530-4821-9A22-A6B2B4179EF5}" name="T05.2023" dataDxfId="353"/>
    <tableColumn id="33" xr3:uid="{06A2C373-FCDF-4039-A1C9-B88712087037}" name="T06.2023" dataDxfId="352"/>
    <tableColumn id="34" xr3:uid="{BEBE9BA7-AE75-4741-84F7-93129BEDA10A}" name="T07.2023" dataDxfId="351"/>
    <tableColumn id="35" xr3:uid="{F25396BD-A5F1-4B8E-8FFB-59DEA76BCF4C}" name="T08.2023" dataDxfId="350"/>
    <tableColumn id="36" xr3:uid="{3A13A82F-1141-4B26-95AE-5C4A1C01752A}" name="T09.2023" dataDxfId="349"/>
    <tableColumn id="37" xr3:uid="{EC141AF5-072A-458F-BE89-57D5FBADCA25}" name="T10.2023" dataDxfId="348"/>
    <tableColumn id="38" xr3:uid="{D81511BA-57CE-4321-B2FE-32FD8A89F474}" name="T11.2023" dataDxfId="347"/>
    <tableColumn id="39" xr3:uid="{E42E9D89-386A-4C81-8FD4-1C2802939A86}" name="T12.2023" dataDxfId="346"/>
    <tableColumn id="40" xr3:uid="{568D9D52-47AA-4997-B63F-A36CF292DDCC}" name="T01.2024" dataDxfId="345"/>
    <tableColumn id="41" xr3:uid="{18B52479-63A0-4C3F-A677-93E32550D39B}" name="T02.2024" dataDxfId="344"/>
    <tableColumn id="42" xr3:uid="{48723BEF-BEE3-49C8-97F0-CF6B387A2564}" name="T03.2024" dataDxfId="343"/>
    <tableColumn id="43" xr3:uid="{6046ACBA-924F-4FED-8155-B7685B0D4584}" name="T04.2024" dataDxfId="342"/>
    <tableColumn id="44" xr3:uid="{0EF0C384-A0B4-4A44-A713-8F7F3CF1A12A}" name="T05.2024" dataDxfId="341"/>
    <tableColumn id="45" xr3:uid="{42957D20-8EE4-41A6-BE7C-7FADF1A31D3A}" name="T06.2024" dataDxfId="340"/>
    <tableColumn id="46" xr3:uid="{227E98B4-659F-4356-8C7D-498F19D0DF1A}" name="T07.2024" dataDxfId="339"/>
    <tableColumn id="47" xr3:uid="{7FCC88E9-DB89-4121-8B4C-5070C4C2E129}" name="T08.2024" dataDxfId="338"/>
    <tableColumn id="48" xr3:uid="{99F283EF-E691-41D0-ABCF-9243BE48EC81}" name="T09.2024" dataDxfId="337"/>
    <tableColumn id="49" xr3:uid="{11CF3E59-F609-47A8-A5DA-104F6758BCE7}" name="T10.2024" dataDxfId="336"/>
    <tableColumn id="50" xr3:uid="{053DD184-4285-4443-A239-39D515D5A12A}" name="T11.2024" dataDxfId="335"/>
    <tableColumn id="51" xr3:uid="{A6FE51A0-0E30-4BF7-84D3-2B254D12AEB5}" name="T12.2024" dataDxfId="334"/>
    <tableColumn id="52" xr3:uid="{A435BC96-AAB6-4605-A99A-D354BF023BDA}" name="T01.2025" dataDxfId="333"/>
    <tableColumn id="53" xr3:uid="{CDC06EE3-D2BD-4986-B029-3C9DB4F9DEB3}" name="T02.2025" dataDxfId="332"/>
    <tableColumn id="54" xr3:uid="{2BB517C7-091A-42DB-8677-4DD107F7508B}" name="T03.2025" dataDxfId="331"/>
    <tableColumn id="55" xr3:uid="{15187DEB-CC81-43E5-9DE3-E1CC757A8CF2}" name="T04.2025" dataDxfId="330"/>
    <tableColumn id="56" xr3:uid="{210F0181-B14E-4AE8-A974-395F9C9F4910}" name="T05.2025" dataDxfId="329"/>
    <tableColumn id="57" xr3:uid="{52633C7E-F7EC-4897-A9DC-4AE0D62496F4}" name="T06.2025" dataDxfId="328"/>
    <tableColumn id="58" xr3:uid="{E89897A3-CE56-4A08-867F-339BD6889E52}" name="T07.2025" dataDxfId="327"/>
    <tableColumn id="59" xr3:uid="{8D300BCC-163D-4B48-9D0C-6A79DA024640}" name="T08.2025" dataDxfId="326"/>
    <tableColumn id="60" xr3:uid="{7C17EC77-542C-4C80-A127-518258C7514E}" name="T09.2025" dataDxfId="325"/>
    <tableColumn id="61" xr3:uid="{0B828E3B-FFA2-473D-8167-8AB452C1675C}" name="T10.2025" dataDxfId="324"/>
    <tableColumn id="62" xr3:uid="{7310C727-ADB4-4F79-B24D-61A6F4684CDC}" name="T11.2025" dataDxfId="323"/>
    <tableColumn id="63" xr3:uid="{6E139D90-83D4-4925-A7A1-0215ED1E5176}" name="T12.2025" dataDxfId="322"/>
    <tableColumn id="64" xr3:uid="{69F29291-3860-40A7-93FD-C8B34D769E61}" name="T01.2026" dataDxfId="321"/>
    <tableColumn id="65" xr3:uid="{5EA996E4-DA00-4589-9897-74A1197519AF}" name="T02.2026" dataDxfId="320"/>
    <tableColumn id="66" xr3:uid="{48A085CD-C128-4262-8CC0-4ED8EA4ED1A8}" name="T03.2026" dataDxfId="319"/>
    <tableColumn id="67" xr3:uid="{A59CBC11-6306-464E-A6A3-B4F0D1D87D52}" name="T04.2026" dataDxfId="318"/>
    <tableColumn id="68" xr3:uid="{3A8382AD-C84F-4210-9BFD-B00E0C3E4CDC}" name="T05.2026" dataDxfId="317"/>
    <tableColumn id="69" xr3:uid="{2D64A950-3C53-4A32-80B4-672E7600D5EB}" name="T06.2026" dataDxfId="316"/>
    <tableColumn id="70" xr3:uid="{950B7CD0-AB93-46AA-B3A7-7C074DA5807A}" name="T07.2026" dataDxfId="315"/>
    <tableColumn id="71" xr3:uid="{FE958186-AAA1-40DB-9D4F-D81B590FEDFF}" name="T08.2026" dataDxfId="314"/>
    <tableColumn id="72" xr3:uid="{30EA0D8C-EA87-4899-A437-2F16707DAB5D}" name="T09.2026" dataDxfId="313"/>
    <tableColumn id="73" xr3:uid="{6E614FC3-5191-47C7-B43A-606C4BF205D7}" name="T10.2026" dataDxfId="312"/>
    <tableColumn id="74" xr3:uid="{8A51F2DB-995E-41C5-8B6D-D2B1792FD1A4}" name="T11.2026" dataDxfId="311"/>
    <tableColumn id="75" xr3:uid="{2ADE80A1-D9E9-4E61-9DA3-D06E2753D584}" name="T12.2026" dataDxfId="3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A06B79-06BE-4A86-A7DA-0E59834619D1}" name="Data_Loan" displayName="Data_Loan" ref="A3:BW74" totalsRowShown="0" headerRowDxfId="78" dataDxfId="76" headerRowBorderDxfId="77" tableBorderDxfId="75" headerRowCellStyle="Normal 2" dataCellStyle="Normal 2">
  <tableColumns count="75">
    <tableColumn id="1" xr3:uid="{F23E3292-798D-4A3C-BF09-6F5C74A406A7}" name="Index Loan" dataDxfId="74" dataCellStyle="Normal 2"/>
    <tableColumn id="2" xr3:uid="{D77C4DB3-6031-4C91-8C26-4D552A89742B}" name="PHẦN V: CHI TIẾT NỢ VAY NGÂN HÀNG" dataDxfId="73" dataCellStyle="Normal 2"/>
    <tableColumn id="3" xr3:uid="{8421C358-926E-4317-880B-94ECE5DDC0C4}" name="TenCongTyID" dataDxfId="72" dataCellStyle="Normal 2"/>
    <tableColumn id="4" xr3:uid="{550142F4-6FF4-4456-9EAE-E841D643F44D}" name="T1.2021" dataDxfId="71" dataCellStyle="Normal 2"/>
    <tableColumn id="5" xr3:uid="{3008E067-A9DD-47D8-87F2-46416A3BD5D3}" name="T02.2021" dataDxfId="70" dataCellStyle="Normal 2"/>
    <tableColumn id="6" xr3:uid="{F18A97DF-8C92-4730-9418-FA5F5D998411}" name="T03.2021" dataDxfId="69" dataCellStyle="Normal 2"/>
    <tableColumn id="7" xr3:uid="{DEAE91A6-94AC-4C3B-92D9-98F0800E75C6}" name="T04.2021" dataDxfId="68" dataCellStyle="Normal 2"/>
    <tableColumn id="8" xr3:uid="{3103D072-2B1E-4948-899D-7DA5B88004CD}" name="T05.2021" dataDxfId="67" dataCellStyle="Normal 2"/>
    <tableColumn id="9" xr3:uid="{3DEC1130-58FE-42C5-9DBF-FF7B5DFD0A29}" name="T06.2021" dataDxfId="66" dataCellStyle="Normal 2"/>
    <tableColumn id="10" xr3:uid="{CD9E6587-1EB7-492D-9B4B-DAB3916B84DF}" name="T07.2021" dataDxfId="65" dataCellStyle="Normal 2"/>
    <tableColumn id="11" xr3:uid="{962316F1-DB93-4786-8643-7C83560706FB}" name="T08.2021" dataDxfId="64" dataCellStyle="Normal 2"/>
    <tableColumn id="12" xr3:uid="{95EB66C7-10A1-45E4-885E-B09F279C3F85}" name="T09.2021" dataDxfId="63" dataCellStyle="Normal 2"/>
    <tableColumn id="13" xr3:uid="{01521782-DF33-4756-A05F-95C482F1EA8F}" name="T10.2021" dataDxfId="62" dataCellStyle="Normal 2"/>
    <tableColumn id="14" xr3:uid="{C61D45C3-3EF6-4738-822E-5438FA738138}" name="T11.2021" dataDxfId="61" dataCellStyle="Normal 2"/>
    <tableColumn id="15" xr3:uid="{DEB82603-9ACD-4FC8-AFFA-44A0395D507B}" name="T12.2021" dataDxfId="60" dataCellStyle="Normal 2"/>
    <tableColumn id="16" xr3:uid="{D3E870F6-9174-40E7-8630-C7AA4100B051}" name="T1.2022" dataDxfId="59" dataCellStyle="Normal 2"/>
    <tableColumn id="17" xr3:uid="{295981D7-9EDE-4E99-9127-2CCDBB64EB7A}" name="T02.2022" dataDxfId="58" dataCellStyle="Normal 2"/>
    <tableColumn id="18" xr3:uid="{8AA370B9-9DF0-44B4-89FC-F17B384BAF8F}" name="T03.2022" dataDxfId="57" dataCellStyle="Normal 2"/>
    <tableColumn id="19" xr3:uid="{56CC5810-0806-4BA2-BC8C-5628B79F8D53}" name="T04.2022" dataDxfId="56" dataCellStyle="Normal 2"/>
    <tableColumn id="20" xr3:uid="{3EAA5C88-4058-41E7-A072-855C23D78B75}" name="T05.2022" dataDxfId="55" dataCellStyle="Normal 2"/>
    <tableColumn id="21" xr3:uid="{2697F061-DAEA-426E-B10E-B51AA74FFFE9}" name="T06.2022" dataDxfId="54" dataCellStyle="Normal 2"/>
    <tableColumn id="22" xr3:uid="{F5295724-7A57-4088-BAEC-4F86429EB17B}" name="T07.2022" dataDxfId="53" dataCellStyle="Normal 2"/>
    <tableColumn id="23" xr3:uid="{1622594D-011E-4899-AC1D-393D86EC760D}" name="T08.2022" dataDxfId="52" dataCellStyle="Normal 2"/>
    <tableColumn id="24" xr3:uid="{9C8FE140-1124-4E66-AEB6-79F2D619F5D2}" name="T09.2022" dataDxfId="51" dataCellStyle="Normal 2"/>
    <tableColumn id="25" xr3:uid="{31BFF6B2-8898-428F-ABDF-504071DBA24F}" name="T10.2022" dataDxfId="50" dataCellStyle="Normal 2"/>
    <tableColumn id="26" xr3:uid="{998E1A9D-E2DE-4037-88A3-D4DDD3C3ED01}" name="T11.2022" dataDxfId="49" dataCellStyle="Normal 2"/>
    <tableColumn id="27" xr3:uid="{A64A4285-926B-4C94-81EF-08E8B2EEE864}" name="T12.2022" dataDxfId="48" dataCellStyle="Normal 2"/>
    <tableColumn id="28" xr3:uid="{DC8EBC95-A57E-431D-AF8D-097C7F4C815E}" name="T1.2023" dataDxfId="47" dataCellStyle="Normal 2"/>
    <tableColumn id="29" xr3:uid="{83B4AB4F-31AC-47BA-9638-B22128054E67}" name="T02.2023" dataDxfId="46" dataCellStyle="Normal 2"/>
    <tableColumn id="30" xr3:uid="{8D1E16F1-1503-460D-8BB7-6E4C79B5FD8F}" name="T03.2023" dataDxfId="45" dataCellStyle="Normal 2"/>
    <tableColumn id="31" xr3:uid="{CE1B26B8-9B83-49FE-8168-996C83C1D6E0}" name="T04.2023" dataDxfId="44" dataCellStyle="Normal 2"/>
    <tableColumn id="32" xr3:uid="{74C8CFAC-6033-4705-8FD3-0BCC639F9A2D}" name="T05.2023" dataDxfId="43" dataCellStyle="Normal 2"/>
    <tableColumn id="33" xr3:uid="{02286CF3-56C5-4367-B0A3-22E1013764F3}" name="T06.2023" dataDxfId="42" dataCellStyle="Normal 2"/>
    <tableColumn id="34" xr3:uid="{EC8B46F5-AD41-42E2-B6CB-3C29252BA06F}" name="T07.2023" dataDxfId="41" dataCellStyle="Normal 2"/>
    <tableColumn id="35" xr3:uid="{3CA26DCF-FB82-4B00-9EB6-5FF673AF13A9}" name="T08.2023" dataDxfId="40" dataCellStyle="Normal 2"/>
    <tableColumn id="36" xr3:uid="{933CEAFD-82D7-46A9-9E5E-81A8EFF262D4}" name="T09.2023" dataDxfId="39" dataCellStyle="Normal 2"/>
    <tableColumn id="37" xr3:uid="{F40AB3F4-2356-43BD-AB70-B7092EC7AE1D}" name="T10.2023" dataDxfId="38" dataCellStyle="Normal 2"/>
    <tableColumn id="38" xr3:uid="{D6BC85C4-671D-4BE4-BCD3-AA75DC1BADFE}" name="T11.2023" dataDxfId="37" dataCellStyle="Normal 2"/>
    <tableColumn id="39" xr3:uid="{03304D79-E50A-4381-9CD3-D0FCF80CCF43}" name="T12.2023" dataDxfId="36" dataCellStyle="Normal 2"/>
    <tableColumn id="40" xr3:uid="{271C7CD2-C77E-4486-962C-CC57A2E0B3B5}" name="T01.2024" dataDxfId="35" dataCellStyle="Normal 2"/>
    <tableColumn id="41" xr3:uid="{7D691578-88B0-4478-9B6F-05A86A8F8CE7}" name="T02.2024" dataDxfId="34" dataCellStyle="Normal 2"/>
    <tableColumn id="42" xr3:uid="{C9E2806B-6D53-4D68-992A-1C4850B6BA73}" name="T03.2024" dataDxfId="33" dataCellStyle="Normal 2"/>
    <tableColumn id="43" xr3:uid="{0F84D84C-05CB-45AA-8F68-60FFD2C42A5B}" name="T04.2024" dataDxfId="32" dataCellStyle="Normal 2"/>
    <tableColumn id="44" xr3:uid="{7F0B4584-703D-4E9B-B63D-87541116042A}" name="T05.2024" dataDxfId="31" dataCellStyle="Normal 2"/>
    <tableColumn id="45" xr3:uid="{0CFDA8FA-1868-4353-8D1A-47E68EBC85EB}" name="T06.2024" dataDxfId="30" dataCellStyle="Normal 2"/>
    <tableColumn id="46" xr3:uid="{D44C3A01-3463-4080-A5DC-A56BDF026BB5}" name="T07.2024" dataDxfId="29" dataCellStyle="Normal 2"/>
    <tableColumn id="47" xr3:uid="{E2F6ADB3-C25D-454C-BAE8-9663CED3AE32}" name="T08.2024" dataDxfId="28" dataCellStyle="Normal 2"/>
    <tableColumn id="48" xr3:uid="{009A1039-F808-4F96-86A2-19A3D4976253}" name="T09.2024" dataDxfId="27" dataCellStyle="Normal 2"/>
    <tableColumn id="49" xr3:uid="{92AEE9E6-F258-448D-B85D-C2F1C7C479C1}" name="T10.2024" dataDxfId="26" dataCellStyle="Normal 2"/>
    <tableColumn id="50" xr3:uid="{0B91BCC0-8E88-4326-A075-2DC32E70E996}" name="T11.2024" dataDxfId="25" dataCellStyle="Normal 2"/>
    <tableColumn id="51" xr3:uid="{BF5B873A-C31C-4DA8-B949-42F527784BF9}" name="T12.2024" dataDxfId="24" dataCellStyle="Normal 2"/>
    <tableColumn id="52" xr3:uid="{8FD2A55F-1CD6-4D77-B880-BCC8C0FD54B8}" name="T01.2025" dataDxfId="23" dataCellStyle="Normal 2"/>
    <tableColumn id="53" xr3:uid="{4B1A9562-6766-4C66-B35D-A9FA2D4FE995}" name="T02.2025" dataDxfId="22" dataCellStyle="Normal 2"/>
    <tableColumn id="54" xr3:uid="{A977DC67-2A75-49EE-98FD-F5006E268558}" name="T03.2025" dataDxfId="21" dataCellStyle="Normal 2"/>
    <tableColumn id="55" xr3:uid="{81E03CC2-1D9E-46C9-B118-A2C8462D2FBC}" name="T04.2025" dataDxfId="20" dataCellStyle="Normal 2"/>
    <tableColumn id="56" xr3:uid="{EBAD13FD-0B9A-49FB-A981-4448D789C985}" name="T05.2025" dataDxfId="19" dataCellStyle="Normal 2"/>
    <tableColumn id="57" xr3:uid="{E58B111B-65BF-4991-9DB5-A28774CDF214}" name="T06.2025" dataDxfId="18" dataCellStyle="Normal 2"/>
    <tableColumn id="58" xr3:uid="{E54021FA-4548-4A65-BC91-3A9A1F87F14E}" name="T07.2025" dataDxfId="17" dataCellStyle="Normal 2"/>
    <tableColumn id="59" xr3:uid="{DA528875-1C04-4A38-ADB1-5658C0E799F0}" name="T08.2025" dataDxfId="16" dataCellStyle="Normal 2"/>
    <tableColumn id="60" xr3:uid="{64C41EDC-4F42-4F4E-A3F8-65FD2F79C5A0}" name="T09.2025" dataDxfId="15" dataCellStyle="Normal 2"/>
    <tableColumn id="61" xr3:uid="{D1B14810-84A1-49EB-8F25-6F4357A51862}" name="T10.2025" dataDxfId="14" dataCellStyle="Normal 2"/>
    <tableColumn id="62" xr3:uid="{5A8C0B2E-CABD-4A2E-8B8E-F0BCE5740934}" name="T11.2025" dataDxfId="13" dataCellStyle="Normal 2"/>
    <tableColumn id="63" xr3:uid="{E352FEC8-5DA0-419E-9F66-3586EF597F82}" name="T12.2025" dataDxfId="12" dataCellStyle="Normal 2"/>
    <tableColumn id="64" xr3:uid="{497F4129-FBC8-47FC-ACA5-B38D8B10AF1F}" name="T01.2026" dataDxfId="11" dataCellStyle="Normal 2"/>
    <tableColumn id="65" xr3:uid="{09EAEFDF-E953-4217-A7B0-071BF086D046}" name="T02.2026" dataDxfId="10" dataCellStyle="Normal 2"/>
    <tableColumn id="66" xr3:uid="{D81DB946-08D7-4535-ABDF-54463CDAC417}" name="T03.2026" dataDxfId="9" dataCellStyle="Normal 2"/>
    <tableColumn id="67" xr3:uid="{BB6C8979-392A-4F43-8C00-B2B88AE7DCCC}" name="T04.2026" dataDxfId="8" dataCellStyle="Normal 2"/>
    <tableColumn id="68" xr3:uid="{BBC7E742-3BFF-482F-B2C9-215B0FF2B1C1}" name="T05.2026" dataDxfId="7" dataCellStyle="Normal 2"/>
    <tableColumn id="69" xr3:uid="{6A9FA8C1-21A5-4CF7-A63B-7B53B1E70E80}" name="T06.2026" dataDxfId="6" dataCellStyle="Normal 2"/>
    <tableColumn id="70" xr3:uid="{BCC1C9E2-E644-4974-A548-5EF31E530116}" name="T07.2026" dataDxfId="5" dataCellStyle="Normal 2"/>
    <tableColumn id="71" xr3:uid="{4FF2BFFB-BBAE-421D-BB8F-9431F4E38E5B}" name="T08.2026" dataDxfId="4" dataCellStyle="Normal 2"/>
    <tableColumn id="72" xr3:uid="{ECB74112-5257-4BBF-B804-F9A08488349B}" name="T09.2026" dataDxfId="3" dataCellStyle="Normal 2"/>
    <tableColumn id="73" xr3:uid="{03F40920-A5D8-478E-B6F6-426C9CE9C6F1}" name="T10.2026" dataDxfId="2" dataCellStyle="Normal 2"/>
    <tableColumn id="74" xr3:uid="{87B1E850-27C8-46E9-A196-6BCE1C53923A}" name="T11.2026" dataDxfId="1" dataCellStyle="Normal 2"/>
    <tableColumn id="75" xr3:uid="{C5C1F1CF-730B-4959-A3B2-A18EF7B1F727}" name="T12.2026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7375-060F-4A3D-983C-C3C67E4B6DE7}">
  <sheetPr>
    <tabColor theme="9" tint="0.59999389629810485"/>
  </sheetPr>
  <dimension ref="A1:J19"/>
  <sheetViews>
    <sheetView showGridLines="0" workbookViewId="0">
      <selection activeCell="C10" sqref="C10"/>
    </sheetView>
  </sheetViews>
  <sheetFormatPr defaultColWidth="9.08984375" defaultRowHeight="13"/>
  <cols>
    <col min="1" max="1" width="12.6328125" style="231" customWidth="1"/>
    <col min="2" max="2" width="19.54296875" style="231" bestFit="1" customWidth="1"/>
    <col min="3" max="3" width="11.36328125" style="231" customWidth="1"/>
    <col min="4" max="16384" width="9.08984375" style="231"/>
  </cols>
  <sheetData>
    <row r="1" spans="1:10" s="223" customFormat="1" ht="15.5">
      <c r="A1" s="221" t="s">
        <v>0</v>
      </c>
      <c r="B1" s="222"/>
      <c r="C1" s="222"/>
      <c r="D1" s="222"/>
      <c r="E1" s="222"/>
      <c r="J1" s="224"/>
    </row>
    <row r="2" spans="1:10" s="223" customFormat="1" ht="16" thickBot="1">
      <c r="A2" s="225" t="s">
        <v>1</v>
      </c>
      <c r="B2" s="225"/>
      <c r="C2" s="225"/>
      <c r="D2" s="225"/>
      <c r="E2" s="225"/>
      <c r="F2" s="226"/>
      <c r="G2" s="226"/>
      <c r="H2" s="226"/>
      <c r="I2" s="226"/>
      <c r="J2" s="227"/>
    </row>
    <row r="3" spans="1:10" s="223" customFormat="1" ht="15.5">
      <c r="A3" s="222" t="s">
        <v>2</v>
      </c>
      <c r="B3" s="228"/>
      <c r="J3" s="229"/>
    </row>
    <row r="4" spans="1:10">
      <c r="A4" s="230" t="s">
        <v>3</v>
      </c>
    </row>
    <row r="6" spans="1:10">
      <c r="B6" s="231" t="s">
        <v>4</v>
      </c>
      <c r="C6" s="232">
        <v>2026</v>
      </c>
    </row>
    <row r="7" spans="1:10">
      <c r="B7" s="231" t="s">
        <v>5</v>
      </c>
      <c r="C7" s="231">
        <f>C6-1</f>
        <v>2025</v>
      </c>
    </row>
    <row r="9" spans="1:10">
      <c r="B9" s="233" t="s">
        <v>6</v>
      </c>
      <c r="C9" s="234">
        <v>5</v>
      </c>
      <c r="F9" s="235"/>
    </row>
    <row r="10" spans="1:10">
      <c r="B10" s="233"/>
    </row>
    <row r="12" spans="1:10" ht="14">
      <c r="B12" s="236" t="s">
        <v>7</v>
      </c>
    </row>
    <row r="13" spans="1:10" ht="14">
      <c r="B13" s="237" t="s">
        <v>8</v>
      </c>
    </row>
    <row r="15" spans="1:10" ht="14">
      <c r="B15" s="236" t="s">
        <v>9</v>
      </c>
    </row>
    <row r="16" spans="1:10" ht="14">
      <c r="B16" s="237" t="s">
        <v>8</v>
      </c>
    </row>
    <row r="18" spans="2:2" ht="14">
      <c r="B18" s="236" t="s">
        <v>10</v>
      </c>
    </row>
    <row r="19" spans="2:2" ht="14">
      <c r="B19" s="238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1EFA-F1B7-4A2B-95F4-B3B14647466C}">
  <sheetPr>
    <tabColor theme="9" tint="0.59999389629810485"/>
  </sheetPr>
  <dimension ref="A3:J50"/>
  <sheetViews>
    <sheetView showGridLines="0" showZeros="0" topLeftCell="A27" workbookViewId="0">
      <selection activeCell="N35" sqref="N35"/>
    </sheetView>
  </sheetViews>
  <sheetFormatPr defaultColWidth="9.08984375" defaultRowHeight="14"/>
  <cols>
    <col min="1" max="9" width="9.08984375" style="240"/>
    <col min="10" max="10" width="5.90625" style="240" customWidth="1"/>
    <col min="11" max="11" width="11" style="240" customWidth="1"/>
    <col min="12" max="16384" width="9.08984375" style="240"/>
  </cols>
  <sheetData>
    <row r="3" spans="9:9">
      <c r="I3" s="239"/>
    </row>
    <row r="4" spans="9:9" ht="24" customHeight="1"/>
    <row r="5" spans="9:9" ht="31.5" customHeight="1"/>
    <row r="6" spans="9:9" ht="21.75" customHeight="1"/>
    <row r="26" spans="1:10" ht="24" customHeight="1">
      <c r="B26" s="241"/>
    </row>
    <row r="27" spans="1:10" ht="20">
      <c r="A27" s="581"/>
      <c r="B27" s="581"/>
      <c r="C27" s="581"/>
      <c r="D27" s="581"/>
      <c r="E27" s="581"/>
      <c r="F27" s="581"/>
      <c r="G27" s="581"/>
      <c r="H27" s="581"/>
      <c r="I27" s="581"/>
      <c r="J27" s="581"/>
    </row>
    <row r="28" spans="1:10" ht="6.75" customHeight="1"/>
    <row r="29" spans="1:10" ht="22.5" customHeight="1">
      <c r="A29" s="242"/>
      <c r="B29" s="582" t="s">
        <v>627</v>
      </c>
      <c r="C29" s="583"/>
      <c r="D29" s="582"/>
      <c r="E29" s="583"/>
      <c r="F29" s="583"/>
      <c r="G29" s="583"/>
      <c r="H29" s="583"/>
      <c r="I29" s="583"/>
      <c r="J29" s="583"/>
    </row>
    <row r="30" spans="1:10" ht="15.9" customHeight="1">
      <c r="A30" s="243"/>
      <c r="B30" s="244"/>
      <c r="C30" s="244"/>
      <c r="D30" s="244"/>
      <c r="E30" s="244"/>
      <c r="F30" s="244"/>
      <c r="G30" s="244"/>
      <c r="H30" s="244"/>
      <c r="I30" s="244"/>
      <c r="J30" s="244"/>
    </row>
    <row r="31" spans="1:10" ht="15.9" customHeight="1">
      <c r="A31" s="242"/>
      <c r="B31" s="244"/>
      <c r="C31" s="244"/>
      <c r="D31" s="244"/>
      <c r="E31" s="244"/>
      <c r="F31" s="244"/>
      <c r="G31" s="244"/>
      <c r="H31" s="244"/>
      <c r="I31" s="244"/>
      <c r="J31" s="244"/>
    </row>
    <row r="34" spans="1:10" ht="15" customHeight="1">
      <c r="B34" s="584"/>
      <c r="C34" s="584"/>
      <c r="D34" s="584"/>
      <c r="E34" s="584"/>
      <c r="F34" s="584"/>
      <c r="G34" s="584"/>
      <c r="H34" s="584"/>
      <c r="I34" s="584"/>
      <c r="J34" s="584"/>
    </row>
    <row r="45" spans="1:10" ht="3" customHeight="1"/>
    <row r="46" spans="1:10" ht="16.5" customHeight="1">
      <c r="A46" s="245"/>
    </row>
    <row r="47" spans="1:10" ht="22.5" customHeight="1">
      <c r="A47" s="246"/>
      <c r="B47" s="244"/>
      <c r="C47" s="244"/>
      <c r="D47" s="244"/>
      <c r="E47" s="244"/>
      <c r="F47" s="244"/>
      <c r="G47" s="244"/>
      <c r="H47" s="244"/>
      <c r="I47" s="244"/>
      <c r="J47" s="244"/>
    </row>
    <row r="48" spans="1:10">
      <c r="A48" s="246"/>
      <c r="B48" s="244"/>
      <c r="C48" s="244"/>
      <c r="D48" s="244"/>
      <c r="E48" s="244"/>
      <c r="F48" s="244"/>
      <c r="G48" s="244"/>
      <c r="H48" s="244"/>
      <c r="I48" s="244"/>
      <c r="J48" s="244"/>
    </row>
    <row r="49" spans="1:10">
      <c r="A49" s="246"/>
      <c r="B49" s="244"/>
      <c r="C49" s="244"/>
      <c r="D49" s="244"/>
      <c r="E49" s="244"/>
      <c r="F49" s="244"/>
      <c r="G49" s="244"/>
      <c r="H49" s="244"/>
      <c r="I49" s="244"/>
      <c r="J49" s="244"/>
    </row>
    <row r="50" spans="1:10" ht="15" customHeight="1">
      <c r="B50" s="585" t="s">
        <v>628</v>
      </c>
      <c r="C50" s="585"/>
      <c r="D50" s="585"/>
      <c r="E50" s="585"/>
      <c r="F50" s="585"/>
      <c r="G50" s="585"/>
      <c r="H50" s="585"/>
      <c r="I50" s="585"/>
      <c r="J50" s="585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0872-5499-4F58-8A28-3616A9284286}">
  <sheetPr>
    <tabColor theme="8" tint="0.59999389629810485"/>
  </sheetPr>
  <dimension ref="A1:I31"/>
  <sheetViews>
    <sheetView showGridLines="0" showZeros="0" zoomScaleNormal="100" workbookViewId="0">
      <selection activeCell="E6" sqref="E6"/>
    </sheetView>
  </sheetViews>
  <sheetFormatPr defaultColWidth="9.08984375" defaultRowHeight="15.5"/>
  <cols>
    <col min="1" max="5" width="9.08984375" style="249"/>
    <col min="6" max="6" width="12.08984375" style="249" customWidth="1"/>
    <col min="7" max="8" width="9.08984375" style="249"/>
    <col min="9" max="9" width="26.36328125" style="249" customWidth="1"/>
    <col min="10" max="16384" width="9.08984375" style="249"/>
  </cols>
  <sheetData>
    <row r="1" spans="1:9" s="223" customFormat="1">
      <c r="A1" s="247" t="str">
        <f>'Thong tin'!A1</f>
        <v>CÔNG TY TNHH MTV ĐỒNG LÂM</v>
      </c>
      <c r="I1" s="224" t="s">
        <v>12</v>
      </c>
    </row>
    <row r="2" spans="1:9" s="223" customFormat="1" ht="16" thickBot="1">
      <c r="A2" s="226" t="str">
        <f>'Thong tin'!A2</f>
        <v>Địa chỉ: Thửa đất số 838, tờ bản đồ số 6, tổ 4, ấp Tân Thuận, phường Tân Hạnh, tỉnh Vĩnh Long</v>
      </c>
      <c r="B2" s="226"/>
      <c r="C2" s="226"/>
      <c r="D2" s="226"/>
      <c r="E2" s="226"/>
      <c r="F2" s="226"/>
      <c r="G2" s="226"/>
      <c r="H2" s="226"/>
      <c r="I2" s="227"/>
    </row>
    <row r="5" spans="1:9">
      <c r="A5" s="248"/>
    </row>
    <row r="10" spans="1:9" ht="20">
      <c r="A10" s="250" t="str">
        <f>"BÁO CÁO TÀI CHÍNH THÁNG "&amp;'Thong tin'!C9&amp;" NĂM 2026"</f>
        <v>BÁO CÁO TÀI CHÍNH THÁNG 5 NĂM 2026</v>
      </c>
      <c r="I10" s="251" t="s">
        <v>13</v>
      </c>
    </row>
    <row r="11" spans="1:9" ht="20">
      <c r="A11" s="250"/>
    </row>
    <row r="12" spans="1:9" s="252" customFormat="1" ht="24.9" hidden="1" customHeight="1">
      <c r="A12" s="252" t="s">
        <v>14</v>
      </c>
      <c r="I12" s="253" t="s">
        <v>15</v>
      </c>
    </row>
    <row r="13" spans="1:9" s="252" customFormat="1" ht="24.9" hidden="1" customHeight="1">
      <c r="A13" s="252" t="s">
        <v>16</v>
      </c>
      <c r="I13" s="253" t="s">
        <v>17</v>
      </c>
    </row>
    <row r="14" spans="1:9" s="255" customFormat="1" ht="27" customHeight="1">
      <c r="A14" s="254" t="s">
        <v>18</v>
      </c>
      <c r="I14" s="256" t="s">
        <v>19</v>
      </c>
    </row>
    <row r="15" spans="1:9" s="258" customFormat="1" ht="25.5" customHeight="1">
      <c r="A15" s="257" t="s">
        <v>20</v>
      </c>
      <c r="I15" s="259" t="s">
        <v>21</v>
      </c>
    </row>
    <row r="16" spans="1:9" s="261" customFormat="1" ht="27.75" customHeight="1">
      <c r="A16" s="260" t="s">
        <v>22</v>
      </c>
      <c r="I16" s="262" t="s">
        <v>23</v>
      </c>
    </row>
    <row r="17" spans="1:9" ht="27" hidden="1" customHeight="1">
      <c r="A17" s="263" t="s">
        <v>24</v>
      </c>
      <c r="I17" s="264" t="s">
        <v>25</v>
      </c>
    </row>
    <row r="30" spans="1:9" s="252" customFormat="1">
      <c r="A30" s="586" t="s">
        <v>26</v>
      </c>
      <c r="B30" s="586"/>
      <c r="C30" s="586"/>
      <c r="D30" s="586"/>
      <c r="E30" s="586"/>
      <c r="F30" s="586"/>
      <c r="G30" s="586"/>
      <c r="H30" s="586"/>
      <c r="I30" s="586"/>
    </row>
    <row r="31" spans="1:9" s="252" customFormat="1">
      <c r="A31" s="586" t="s">
        <v>27</v>
      </c>
      <c r="B31" s="586"/>
      <c r="C31" s="586"/>
      <c r="D31" s="586"/>
      <c r="E31" s="586"/>
      <c r="F31" s="586"/>
      <c r="G31" s="586"/>
      <c r="H31" s="586"/>
      <c r="I31" s="586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37F0-1288-4887-9CAA-89B26856604D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152" activePane="bottomRight" state="frozen"/>
      <selection pane="topRight" activeCell="D8" sqref="D8:E8"/>
      <selection pane="bottomLeft" activeCell="D8" sqref="D8:E8"/>
      <selection pane="bottomRight" activeCell="B157" sqref="B157:C157"/>
    </sheetView>
  </sheetViews>
  <sheetFormatPr defaultColWidth="9.08984375" defaultRowHeight="14"/>
  <cols>
    <col min="1" max="1" width="57.54296875" style="270" customWidth="1"/>
    <col min="2" max="2" width="20" style="305" customWidth="1"/>
    <col min="3" max="3" width="20" style="305" bestFit="1" customWidth="1"/>
    <col min="4" max="4" width="6.54296875" style="270" hidden="1" customWidth="1"/>
    <col min="5" max="5" width="16.36328125" style="270" bestFit="1" customWidth="1"/>
    <col min="6" max="16384" width="9.08984375" style="270"/>
  </cols>
  <sheetData>
    <row r="1" spans="1:10" s="267" customFormat="1" ht="15">
      <c r="A1" s="265" t="str">
        <f>'Thong tin'!$A$1</f>
        <v>CÔNG TY TNHH MTV ĐỒNG LÂM</v>
      </c>
      <c r="B1" s="266"/>
      <c r="C1" s="224"/>
    </row>
    <row r="2" spans="1:10" s="267" customFormat="1" ht="16" thickBot="1">
      <c r="A2" s="268" t="str">
        <f>'Thong tin'!$A$2</f>
        <v>Địa chỉ: Thửa đất số 838, tờ bản đồ số 6, tổ 4, ấp Tân Thuận, phường Tân Hạnh, tỉnh Vĩnh Long</v>
      </c>
      <c r="B2" s="269"/>
      <c r="C2" s="227"/>
    </row>
    <row r="3" spans="1:10" s="267" customFormat="1" ht="15.5">
      <c r="A3" s="270"/>
      <c r="B3" s="266"/>
      <c r="C3" s="229"/>
    </row>
    <row r="4" spans="1:10" ht="20">
      <c r="A4" s="587" t="s">
        <v>28</v>
      </c>
      <c r="B4" s="587"/>
      <c r="C4" s="587"/>
    </row>
    <row r="5" spans="1:10" ht="15">
      <c r="A5" s="588" t="str">
        <f>"Năm " &amp; 'Thong tin'!$C$6</f>
        <v>Năm 2026</v>
      </c>
      <c r="B5" s="588"/>
      <c r="C5" s="588"/>
    </row>
    <row r="6" spans="1:10">
      <c r="A6" s="271"/>
      <c r="B6" s="272"/>
      <c r="C6" s="273" t="str">
        <f>'KQKD in'!G6</f>
        <v>ĐVT: VNĐ</v>
      </c>
    </row>
    <row r="7" spans="1:10" s="278" customFormat="1" ht="30" customHeight="1">
      <c r="A7" s="274" t="s">
        <v>29</v>
      </c>
      <c r="B7" s="275" t="str">
        <f>"Số cuối tháng"&amp;" "&amp;$D$7</f>
        <v>Số cuối tháng 5</v>
      </c>
      <c r="C7" s="276" t="str">
        <f>"Số dư đầu năm " &amp; 'Thong tin'!$C$6</f>
        <v>Số dư đầu năm 2026</v>
      </c>
      <c r="D7" s="277">
        <f>'Thong tin'!C9</f>
        <v>5</v>
      </c>
    </row>
    <row r="8" spans="1:10" s="282" customFormat="1">
      <c r="A8" s="279" t="s">
        <v>30</v>
      </c>
      <c r="B8" s="280">
        <f ca="1">B10+B14+B22+B31+B40</f>
        <v>18251786628</v>
      </c>
      <c r="C8" s="280">
        <f>C10+C14+C22+C31+C40</f>
        <v>16064654830</v>
      </c>
      <c r="D8" s="281"/>
      <c r="E8" s="281"/>
    </row>
    <row r="9" spans="1:10">
      <c r="A9" s="283"/>
      <c r="B9" s="284"/>
      <c r="C9" s="284"/>
    </row>
    <row r="10" spans="1:10" s="267" customFormat="1">
      <c r="A10" s="285" t="s">
        <v>31</v>
      </c>
      <c r="B10" s="286">
        <f t="shared" ref="B10:C10" ca="1" si="0">SUM(B11:B12)</f>
        <v>11568161626</v>
      </c>
      <c r="C10" s="286">
        <f t="shared" si="0"/>
        <v>12687250516</v>
      </c>
    </row>
    <row r="11" spans="1:10">
      <c r="A11" s="283" t="s">
        <v>32</v>
      </c>
      <c r="B11" s="284">
        <f ca="1">OFFSET('Tinh hinh tai chinh'!$BL6,0,'THTC in'!$D$7 - 1)</f>
        <v>4568161626</v>
      </c>
      <c r="C11" s="284">
        <f>'Tinh hinh tai chinh'!BK6</f>
        <v>3687250516</v>
      </c>
    </row>
    <row r="12" spans="1:10">
      <c r="A12" s="283" t="s">
        <v>33</v>
      </c>
      <c r="B12" s="284">
        <f ca="1">OFFSET('Tinh hinh tai chinh'!$BL7,0,'THTC in'!$D$7 - 1)</f>
        <v>7000000000</v>
      </c>
      <c r="C12" s="284">
        <f>'Tinh hinh tai chinh'!BK7</f>
        <v>9000000000</v>
      </c>
    </row>
    <row r="13" spans="1:10">
      <c r="A13" s="283"/>
      <c r="B13" s="284"/>
      <c r="C13" s="284"/>
      <c r="J13" s="287"/>
    </row>
    <row r="14" spans="1:10" s="267" customFormat="1">
      <c r="A14" s="285" t="s">
        <v>34</v>
      </c>
      <c r="B14" s="286">
        <f ca="1">SUM(B15:B20)</f>
        <v>0</v>
      </c>
      <c r="C14" s="286">
        <f>SUM(C15:C20)</f>
        <v>0</v>
      </c>
    </row>
    <row r="15" spans="1:10">
      <c r="A15" s="283" t="s">
        <v>35</v>
      </c>
      <c r="B15" s="284">
        <f ca="1">OFFSET('Tinh hinh tai chinh'!$BL9,0,'THTC in'!$D$7 - 1)</f>
        <v>0</v>
      </c>
      <c r="C15" s="284">
        <f>'Tinh hinh tai chinh'!BK9</f>
        <v>0</v>
      </c>
      <c r="J15" s="287"/>
    </row>
    <row r="16" spans="1:10" ht="17.25" customHeight="1">
      <c r="A16" s="288" t="s">
        <v>36</v>
      </c>
      <c r="B16" s="284">
        <f ca="1">OFFSET('Tinh hinh tai chinh'!$BL10,0,'THTC in'!$D$7 - 1)</f>
        <v>0</v>
      </c>
      <c r="C16" s="284">
        <f>'Tinh hinh tai chinh'!BK10</f>
        <v>0</v>
      </c>
    </row>
    <row r="17" spans="1:6" ht="18" customHeight="1">
      <c r="A17" s="289" t="s">
        <v>37</v>
      </c>
      <c r="B17" s="284">
        <f ca="1">OFFSET('Tinh hinh tai chinh'!$BL11,0,'THTC in'!$D$7 - 1)</f>
        <v>0</v>
      </c>
      <c r="C17" s="284">
        <f>'Tinh hinh tai chinh'!BK11</f>
        <v>0</v>
      </c>
    </row>
    <row r="18" spans="1:6" ht="18" customHeight="1">
      <c r="A18" s="289" t="s">
        <v>38</v>
      </c>
      <c r="B18" s="284">
        <f ca="1">OFFSET('Tinh hinh tai chinh'!$BL12,0,'THTC in'!$D$7 - 1)</f>
        <v>0</v>
      </c>
      <c r="C18" s="284">
        <f>'Tinh hinh tai chinh'!BK12</f>
        <v>0</v>
      </c>
    </row>
    <row r="19" spans="1:6" ht="18" customHeight="1">
      <c r="A19" s="289" t="s">
        <v>39</v>
      </c>
      <c r="B19" s="284">
        <f ca="1">OFFSET('Tinh hinh tai chinh'!$BL13,0,'THTC in'!$D$7 - 1)</f>
        <v>0</v>
      </c>
      <c r="C19" s="284">
        <f>'Tinh hinh tai chinh'!BK13</f>
        <v>0</v>
      </c>
    </row>
    <row r="20" spans="1:6" ht="18" customHeight="1">
      <c r="A20" s="289" t="s">
        <v>40</v>
      </c>
      <c r="B20" s="284">
        <f ca="1">OFFSET('Tinh hinh tai chinh'!$BL14,0,'THTC in'!$D$7 - 1)</f>
        <v>0</v>
      </c>
      <c r="C20" s="284">
        <f>'Tinh hinh tai chinh'!BK14</f>
        <v>0</v>
      </c>
    </row>
    <row r="21" spans="1:6" ht="15" customHeight="1">
      <c r="A21" s="289"/>
      <c r="B21" s="284"/>
      <c r="C21" s="284"/>
    </row>
    <row r="22" spans="1:6" s="267" customFormat="1">
      <c r="A22" s="285" t="s">
        <v>41</v>
      </c>
      <c r="B22" s="286">
        <f ca="1">SUM(B23:B29)</f>
        <v>4342502789</v>
      </c>
      <c r="C22" s="286">
        <f>SUM(C23:C29)</f>
        <v>1464039070</v>
      </c>
    </row>
    <row r="23" spans="1:6">
      <c r="A23" s="283" t="s">
        <v>42</v>
      </c>
      <c r="B23" s="284">
        <f ca="1">OFFSET('Tinh hinh tai chinh'!$BL16,0,'THTC in'!$D$7 - 1)</f>
        <v>3596125006</v>
      </c>
      <c r="C23" s="284">
        <f>'Tinh hinh tai chinh'!BK16</f>
        <v>1352106540</v>
      </c>
      <c r="D23" s="290"/>
      <c r="F23" s="290"/>
    </row>
    <row r="24" spans="1:6">
      <c r="A24" s="283" t="s">
        <v>43</v>
      </c>
      <c r="B24" s="284">
        <f ca="1">OFFSET('Tinh hinh tai chinh'!$BL17,0,'THTC in'!$D$7 - 1)</f>
        <v>672134512</v>
      </c>
      <c r="C24" s="284">
        <f>'Tinh hinh tai chinh'!BK17</f>
        <v>111932530</v>
      </c>
    </row>
    <row r="25" spans="1:6">
      <c r="A25" s="283" t="s">
        <v>44</v>
      </c>
      <c r="B25" s="284">
        <f ca="1">OFFSET('Tinh hinh tai chinh'!$BL18,0,'THTC in'!$D$7 - 1)</f>
        <v>0</v>
      </c>
      <c r="C25" s="284">
        <f>'Tinh hinh tai chinh'!BK18</f>
        <v>0</v>
      </c>
    </row>
    <row r="26" spans="1:6" ht="16.5" customHeight="1">
      <c r="A26" s="288" t="s">
        <v>45</v>
      </c>
      <c r="B26" s="284">
        <f ca="1">OFFSET('Tinh hinh tai chinh'!$BL19,0,'THTC in'!$D$7 - 1)</f>
        <v>0</v>
      </c>
      <c r="C26" s="284">
        <f>'Tinh hinh tai chinh'!BK19</f>
        <v>0</v>
      </c>
    </row>
    <row r="27" spans="1:6">
      <c r="A27" s="283" t="s">
        <v>46</v>
      </c>
      <c r="B27" s="284">
        <f ca="1">OFFSET('Tinh hinh tai chinh'!$BL20,0,'THTC in'!$D$7 - 1)</f>
        <v>74243271</v>
      </c>
      <c r="C27" s="284">
        <f>'Tinh hinh tai chinh'!BK20</f>
        <v>0</v>
      </c>
    </row>
    <row r="28" spans="1:6">
      <c r="A28" s="283" t="s">
        <v>47</v>
      </c>
      <c r="B28" s="284">
        <f ca="1">OFFSET('Tinh hinh tai chinh'!$BL21,0,'THTC in'!$D$7 - 1)</f>
        <v>0</v>
      </c>
      <c r="C28" s="284">
        <f>'Tinh hinh tai chinh'!BK21</f>
        <v>0</v>
      </c>
    </row>
    <row r="29" spans="1:6">
      <c r="A29" s="289" t="s">
        <v>48</v>
      </c>
      <c r="B29" s="284">
        <f ca="1">OFFSET('Tinh hinh tai chinh'!$BL22,0,'THTC in'!$D$7 - 1)</f>
        <v>0</v>
      </c>
      <c r="C29" s="284">
        <f>'Tinh hinh tai chinh'!BK22</f>
        <v>0</v>
      </c>
    </row>
    <row r="30" spans="1:6" ht="15" customHeight="1">
      <c r="A30" s="289"/>
      <c r="B30" s="284"/>
      <c r="C30" s="284"/>
    </row>
    <row r="31" spans="1:6" s="267" customFormat="1">
      <c r="A31" s="285" t="s">
        <v>49</v>
      </c>
      <c r="B31" s="286">
        <f t="shared" ref="B31:C31" ca="1" si="1">SUM(B32:B33)</f>
        <v>1736750227</v>
      </c>
      <c r="C31" s="286">
        <f t="shared" si="1"/>
        <v>1493486657</v>
      </c>
    </row>
    <row r="32" spans="1:6">
      <c r="A32" s="283" t="s">
        <v>50</v>
      </c>
      <c r="B32" s="291">
        <f ca="1">OFFSET('Tinh hinh tai chinh'!$BL24,0,'THTC in'!$D$7 - 1)</f>
        <v>1736750227</v>
      </c>
      <c r="C32" s="284">
        <f>'Tinh hinh tai chinh'!BK24</f>
        <v>1493486657</v>
      </c>
    </row>
    <row r="33" spans="1:3">
      <c r="A33" s="283" t="s">
        <v>51</v>
      </c>
      <c r="B33" s="291">
        <f ca="1">OFFSET('Tinh hinh tai chinh'!$BL25,0,'THTC in'!$D$7 - 1)</f>
        <v>0</v>
      </c>
      <c r="C33" s="284">
        <f>'Tinh hinh tai chinh'!BK25</f>
        <v>0</v>
      </c>
    </row>
    <row r="34" spans="1:3">
      <c r="A34" s="283"/>
      <c r="B34" s="291"/>
      <c r="C34" s="284"/>
    </row>
    <row r="35" spans="1:3">
      <c r="A35" s="285" t="s">
        <v>52</v>
      </c>
      <c r="B35" s="291">
        <f ca="1">SUM(B36:B38)</f>
        <v>0</v>
      </c>
      <c r="C35" s="284">
        <f>SUM(C36:C38)</f>
        <v>0</v>
      </c>
    </row>
    <row r="36" spans="1:3">
      <c r="A36" s="283" t="s">
        <v>53</v>
      </c>
      <c r="B36" s="291">
        <f ca="1">OFFSET('Tinh hinh tai chinh'!$BL27,0,'THTC in'!$D$7 - 1)</f>
        <v>0</v>
      </c>
      <c r="C36" s="284">
        <f>'Tinh hinh tai chinh'!BK27</f>
        <v>0</v>
      </c>
    </row>
    <row r="37" spans="1:3">
      <c r="A37" s="283" t="s">
        <v>54</v>
      </c>
      <c r="B37" s="291">
        <f ca="1">OFFSET('Tinh hinh tai chinh'!$BL28,0,'THTC in'!$D$7 - 1)</f>
        <v>0</v>
      </c>
      <c r="C37" s="284">
        <f>'Tinh hinh tai chinh'!BK28</f>
        <v>0</v>
      </c>
    </row>
    <row r="38" spans="1:3">
      <c r="A38" s="283" t="s">
        <v>55</v>
      </c>
      <c r="B38" s="291">
        <f ca="1">OFFSET('Tinh hinh tai chinh'!$BL29,0,'THTC in'!$D$7 - 1)</f>
        <v>0</v>
      </c>
      <c r="C38" s="284">
        <f>'Tinh hinh tai chinh'!BK29</f>
        <v>0</v>
      </c>
    </row>
    <row r="39" spans="1:3">
      <c r="A39" s="283"/>
      <c r="B39" s="284"/>
      <c r="C39" s="284"/>
    </row>
    <row r="40" spans="1:3" s="267" customFormat="1">
      <c r="A40" s="285" t="s">
        <v>56</v>
      </c>
      <c r="B40" s="286">
        <f t="shared" ref="B40:C40" ca="1" si="2">SUM(B41:B45)</f>
        <v>604371986</v>
      </c>
      <c r="C40" s="286">
        <f t="shared" si="2"/>
        <v>419878587</v>
      </c>
    </row>
    <row r="41" spans="1:3">
      <c r="A41" s="283" t="s">
        <v>57</v>
      </c>
      <c r="B41" s="284">
        <f ca="1">OFFSET('Tinh hinh tai chinh'!$BL31,0,'THTC in'!$D$7 - 1)</f>
        <v>604371986</v>
      </c>
      <c r="C41" s="284">
        <f>'Tinh hinh tai chinh'!BK31</f>
        <v>419878587</v>
      </c>
    </row>
    <row r="42" spans="1:3">
      <c r="A42" s="283" t="s">
        <v>58</v>
      </c>
      <c r="B42" s="284">
        <f ca="1">OFFSET('Tinh hinh tai chinh'!$BL32,0,'THTC in'!$D$7 - 1)</f>
        <v>0</v>
      </c>
      <c r="C42" s="284">
        <f>'Tinh hinh tai chinh'!BK32</f>
        <v>0</v>
      </c>
    </row>
    <row r="43" spans="1:3">
      <c r="A43" s="283" t="s">
        <v>59</v>
      </c>
      <c r="B43" s="284">
        <f ca="1">OFFSET('Tinh hinh tai chinh'!$BL33,0,'THTC in'!$D$7 - 1)</f>
        <v>0</v>
      </c>
      <c r="C43" s="284">
        <f>'Tinh hinh tai chinh'!BK33</f>
        <v>0</v>
      </c>
    </row>
    <row r="44" spans="1:3">
      <c r="A44" s="289" t="s">
        <v>60</v>
      </c>
      <c r="B44" s="284">
        <f ca="1">OFFSET('Tinh hinh tai chinh'!$BL34,0,'THTC in'!$D$7 - 1)</f>
        <v>0</v>
      </c>
      <c r="C44" s="284">
        <f>'Tinh hinh tai chinh'!BK34</f>
        <v>0</v>
      </c>
    </row>
    <row r="45" spans="1:3">
      <c r="A45" s="283" t="s">
        <v>61</v>
      </c>
      <c r="B45" s="284">
        <f ca="1">OFFSET('Tinh hinh tai chinh'!$BL35,0,'THTC in'!$D$7 - 1)</f>
        <v>0</v>
      </c>
      <c r="C45" s="284">
        <f>'Tinh hinh tai chinh'!BK35</f>
        <v>0</v>
      </c>
    </row>
    <row r="46" spans="1:3" ht="15" customHeight="1">
      <c r="A46" s="283"/>
      <c r="B46" s="284"/>
      <c r="C46" s="284"/>
    </row>
    <row r="47" spans="1:3" s="282" customFormat="1">
      <c r="A47" s="292" t="s">
        <v>62</v>
      </c>
      <c r="B47" s="293">
        <f ca="1">B48+B58+B79+B87+B95+B83</f>
        <v>22268064535</v>
      </c>
      <c r="C47" s="293">
        <f>C48+C58+C79+C87+C95+C83</f>
        <v>20953553366</v>
      </c>
    </row>
    <row r="48" spans="1:3" s="267" customFormat="1">
      <c r="A48" s="285" t="s">
        <v>63</v>
      </c>
      <c r="B48" s="294">
        <f ca="1">SUM(B49:B54)</f>
        <v>0</v>
      </c>
      <c r="C48" s="294">
        <f>SUM(C49:C54)</f>
        <v>0</v>
      </c>
    </row>
    <row r="49" spans="1:4">
      <c r="A49" s="283" t="s">
        <v>64</v>
      </c>
      <c r="B49" s="284">
        <f ca="1">OFFSET('Tinh hinh tai chinh'!$BL38,0,'THTC in'!$D$7 - 1)</f>
        <v>0</v>
      </c>
      <c r="C49" s="284">
        <f>'Tinh hinh tai chinh'!BK38</f>
        <v>0</v>
      </c>
    </row>
    <row r="50" spans="1:4">
      <c r="A50" s="283" t="s">
        <v>65</v>
      </c>
      <c r="B50" s="284">
        <f ca="1">OFFSET('Tinh hinh tai chinh'!$BL39,0,'THTC in'!$D$7 - 1)</f>
        <v>0</v>
      </c>
      <c r="C50" s="284">
        <f>'Tinh hinh tai chinh'!BK39</f>
        <v>0</v>
      </c>
    </row>
    <row r="51" spans="1:4">
      <c r="A51" s="283" t="s">
        <v>66</v>
      </c>
      <c r="B51" s="284">
        <f ca="1">OFFSET('Tinh hinh tai chinh'!$BL40,0,'THTC in'!$D$7 - 1)</f>
        <v>0</v>
      </c>
      <c r="C51" s="284">
        <f>'Tinh hinh tai chinh'!BK40</f>
        <v>0</v>
      </c>
    </row>
    <row r="52" spans="1:4">
      <c r="A52" s="283" t="s">
        <v>67</v>
      </c>
      <c r="B52" s="284">
        <f ca="1">OFFSET('Tinh hinh tai chinh'!$BL41,0,'THTC in'!$D$7 - 1)</f>
        <v>0</v>
      </c>
      <c r="C52" s="284">
        <f>'Tinh hinh tai chinh'!BK41</f>
        <v>0</v>
      </c>
    </row>
    <row r="53" spans="1:4">
      <c r="A53" s="283" t="s">
        <v>68</v>
      </c>
      <c r="B53" s="284">
        <f ca="1">OFFSET('Tinh hinh tai chinh'!$BL42,0,'THTC in'!$D$7 - 1)</f>
        <v>0</v>
      </c>
      <c r="C53" s="284">
        <f>'Tinh hinh tai chinh'!BK42</f>
        <v>0</v>
      </c>
    </row>
    <row r="54" spans="1:4">
      <c r="A54" s="295" t="s">
        <v>69</v>
      </c>
      <c r="B54" s="296">
        <f ca="1">OFFSET('Tinh hinh tai chinh'!$BL43,0,'THTC in'!$D$7 - 1)</f>
        <v>0</v>
      </c>
      <c r="C54" s="296">
        <f>'Tinh hinh tai chinh'!BK43</f>
        <v>0</v>
      </c>
    </row>
    <row r="55" spans="1:4">
      <c r="A55" s="297"/>
      <c r="B55" s="298"/>
      <c r="C55" s="298"/>
    </row>
    <row r="56" spans="1:4" s="300" customFormat="1" ht="32.25" customHeight="1">
      <c r="A56" s="274" t="s">
        <v>29</v>
      </c>
      <c r="B56" s="299" t="str">
        <f>B7</f>
        <v>Số cuối tháng 5</v>
      </c>
      <c r="C56" s="299" t="str">
        <f>C7</f>
        <v>Số dư đầu năm 2026</v>
      </c>
    </row>
    <row r="57" spans="1:4">
      <c r="A57" s="301"/>
      <c r="B57" s="302"/>
      <c r="C57" s="302"/>
    </row>
    <row r="58" spans="1:4" s="267" customFormat="1">
      <c r="A58" s="285" t="s">
        <v>70</v>
      </c>
      <c r="B58" s="294">
        <f t="shared" ref="B58:C58" ca="1" si="3">B59+B62+B65</f>
        <v>20392945024</v>
      </c>
      <c r="C58" s="294">
        <f t="shared" si="3"/>
        <v>20429544542</v>
      </c>
    </row>
    <row r="59" spans="1:4">
      <c r="A59" s="283" t="s">
        <v>71</v>
      </c>
      <c r="B59" s="303">
        <f t="shared" ref="B59:C59" ca="1" si="4">SUM(B60:B61)</f>
        <v>20146653357</v>
      </c>
      <c r="C59" s="303">
        <f t="shared" si="4"/>
        <v>20429544542</v>
      </c>
    </row>
    <row r="60" spans="1:4" s="267" customFormat="1">
      <c r="A60" s="283" t="s">
        <v>72</v>
      </c>
      <c r="B60" s="303">
        <f ca="1">OFFSET('Tinh hinh tai chinh'!$BL46,0,'THTC in'!$D$7 - 1)</f>
        <v>34157498354</v>
      </c>
      <c r="C60" s="303">
        <f>'Tinh hinh tai chinh'!BK46</f>
        <v>33543469154</v>
      </c>
      <c r="D60" s="266"/>
    </row>
    <row r="61" spans="1:4">
      <c r="A61" s="283" t="s">
        <v>73</v>
      </c>
      <c r="B61" s="304">
        <f ca="1">OFFSET('Tinh hinh tai chinh'!$BL47,0,'THTC in'!$D$7 - 1)</f>
        <v>-14010844997</v>
      </c>
      <c r="C61" s="304">
        <f>'Tinh hinh tai chinh'!BK47</f>
        <v>-13113924612</v>
      </c>
      <c r="D61" s="305"/>
    </row>
    <row r="62" spans="1:4">
      <c r="A62" s="283" t="s">
        <v>74</v>
      </c>
      <c r="B62" s="303">
        <f ca="1">SUM(B63:B64)</f>
        <v>0</v>
      </c>
      <c r="C62" s="303">
        <f>SUM(C63:C64)</f>
        <v>0</v>
      </c>
    </row>
    <row r="63" spans="1:4">
      <c r="A63" s="283" t="s">
        <v>72</v>
      </c>
      <c r="B63" s="304">
        <f ca="1">OFFSET('Tinh hinh tai chinh'!$BL49,0,'THTC in'!$D$7 - 1)</f>
        <v>0</v>
      </c>
      <c r="C63" s="303">
        <f>'Tinh hinh tai chinh'!BK49</f>
        <v>0</v>
      </c>
    </row>
    <row r="64" spans="1:4">
      <c r="A64" s="283" t="s">
        <v>73</v>
      </c>
      <c r="B64" s="304">
        <f ca="1">OFFSET('Tinh hinh tai chinh'!$BL50,0,'THTC in'!$D$7 - 1)</f>
        <v>0</v>
      </c>
      <c r="C64" s="304">
        <f>'Tinh hinh tai chinh'!BK50</f>
        <v>0</v>
      </c>
    </row>
    <row r="65" spans="1:4">
      <c r="A65" s="283" t="s">
        <v>75</v>
      </c>
      <c r="B65" s="303">
        <f t="shared" ref="B65" ca="1" si="5">SUM(B66:B67)</f>
        <v>246291667</v>
      </c>
      <c r="C65" s="303">
        <f>SUM(C66:C67)</f>
        <v>0</v>
      </c>
    </row>
    <row r="66" spans="1:4">
      <c r="A66" s="283" t="s">
        <v>72</v>
      </c>
      <c r="B66" s="304">
        <f ca="1">OFFSET('Tinh hinh tai chinh'!$BL52,0,'THTC in'!$D$7 - 1)</f>
        <v>312000000</v>
      </c>
      <c r="C66" s="303">
        <f>'Tinh hinh tai chinh'!BK52</f>
        <v>55000000</v>
      </c>
      <c r="D66" s="305"/>
    </row>
    <row r="67" spans="1:4">
      <c r="A67" s="283" t="s">
        <v>73</v>
      </c>
      <c r="B67" s="304">
        <f ca="1">OFFSET('Tinh hinh tai chinh'!$BL53,0,'THTC in'!$D$7 - 1)</f>
        <v>-65708333</v>
      </c>
      <c r="C67" s="304">
        <f>'Tinh hinh tai chinh'!BK53</f>
        <v>-55000000</v>
      </c>
    </row>
    <row r="68" spans="1:4">
      <c r="A68" s="283"/>
      <c r="B68" s="284"/>
      <c r="C68" s="284"/>
    </row>
    <row r="69" spans="1:4">
      <c r="A69" s="285" t="s">
        <v>76</v>
      </c>
      <c r="B69" s="284"/>
      <c r="C69" s="284">
        <f>SUM(C70,C75:C77)</f>
        <v>0</v>
      </c>
    </row>
    <row r="70" spans="1:4">
      <c r="A70" s="283" t="s">
        <v>77</v>
      </c>
      <c r="B70" s="284">
        <f ca="1">OFFSET('Tinh hinh tai chinh'!$BL55,0,'THTC in'!$D$7 - 1)</f>
        <v>0</v>
      </c>
      <c r="C70" s="284">
        <f>'Tinh hinh tai chinh'!BK55</f>
        <v>0</v>
      </c>
    </row>
    <row r="71" spans="1:4">
      <c r="A71" s="306" t="s">
        <v>78</v>
      </c>
      <c r="B71" s="284">
        <f ca="1">OFFSET('Tinh hinh tai chinh'!$BL56,0,'THTC in'!$D$7 - 1)</f>
        <v>0</v>
      </c>
      <c r="C71" s="284">
        <f>'Tinh hinh tai chinh'!BK56</f>
        <v>0</v>
      </c>
    </row>
    <row r="72" spans="1:4">
      <c r="A72" s="306" t="s">
        <v>79</v>
      </c>
      <c r="B72" s="284">
        <f ca="1">OFFSET('Tinh hinh tai chinh'!$BL57,0,'THTC in'!$D$7 - 1)</f>
        <v>0</v>
      </c>
      <c r="C72" s="284">
        <f>'Tinh hinh tai chinh'!BK57</f>
        <v>0</v>
      </c>
    </row>
    <row r="73" spans="1:4">
      <c r="A73" s="307" t="s">
        <v>80</v>
      </c>
      <c r="B73" s="284">
        <f ca="1">OFFSET('Tinh hinh tai chinh'!$BL58,0,'THTC in'!$D$7 - 1)</f>
        <v>0</v>
      </c>
      <c r="C73" s="284">
        <f>'Tinh hinh tai chinh'!BK58</f>
        <v>0</v>
      </c>
    </row>
    <row r="74" spans="1:4">
      <c r="A74" s="307" t="s">
        <v>81</v>
      </c>
      <c r="B74" s="284">
        <f ca="1">OFFSET('Tinh hinh tai chinh'!$BL59,0,'THTC in'!$D$7 - 1)</f>
        <v>0</v>
      </c>
      <c r="C74" s="284">
        <f>'Tinh hinh tai chinh'!BK59</f>
        <v>0</v>
      </c>
    </row>
    <row r="75" spans="1:4">
      <c r="A75" s="283" t="s">
        <v>82</v>
      </c>
      <c r="B75" s="284">
        <f ca="1">OFFSET('Tinh hinh tai chinh'!$BL60,0,'THTC in'!$D$7 - 1)</f>
        <v>0</v>
      </c>
      <c r="C75" s="284">
        <f>'Tinh hinh tai chinh'!BK60</f>
        <v>0</v>
      </c>
    </row>
    <row r="76" spans="1:4">
      <c r="A76" s="283" t="s">
        <v>83</v>
      </c>
      <c r="B76" s="284">
        <f ca="1">OFFSET('Tinh hinh tai chinh'!$BL61,0,'THTC in'!$D$7 - 1)</f>
        <v>0</v>
      </c>
      <c r="C76" s="284">
        <f>'Tinh hinh tai chinh'!BK61</f>
        <v>0</v>
      </c>
    </row>
    <row r="77" spans="1:4">
      <c r="A77" s="283" t="s">
        <v>84</v>
      </c>
      <c r="B77" s="284">
        <f ca="1">OFFSET('Tinh hinh tai chinh'!$BL62,0,'THTC in'!$D$7 - 1)</f>
        <v>0</v>
      </c>
      <c r="C77" s="284">
        <f>'Tinh hinh tai chinh'!BK62</f>
        <v>0</v>
      </c>
    </row>
    <row r="78" spans="1:4">
      <c r="A78" s="283"/>
      <c r="B78" s="284"/>
      <c r="C78" s="284"/>
    </row>
    <row r="79" spans="1:4">
      <c r="A79" s="285" t="s">
        <v>85</v>
      </c>
      <c r="B79" s="286">
        <f ca="1">SUM(B80:B81)</f>
        <v>0</v>
      </c>
      <c r="C79" s="286">
        <f>SUM(C80:C81)</f>
        <v>0</v>
      </c>
    </row>
    <row r="80" spans="1:4" ht="18" customHeight="1">
      <c r="A80" s="308" t="s">
        <v>80</v>
      </c>
      <c r="B80" s="303">
        <f ca="1">OFFSET('Tinh hinh tai chinh'!$BL64,0,'THTC in'!$D$7 - 1)</f>
        <v>0</v>
      </c>
      <c r="C80" s="284">
        <f>'Tinh hinh tai chinh'!BK64</f>
        <v>0</v>
      </c>
    </row>
    <row r="81" spans="1:4" s="267" customFormat="1" ht="18" customHeight="1">
      <c r="A81" s="283" t="s">
        <v>86</v>
      </c>
      <c r="B81" s="303">
        <f ca="1">OFFSET('Tinh hinh tai chinh'!$BL65,0,'THTC in'!$D$7 - 1)</f>
        <v>0</v>
      </c>
      <c r="C81" s="284">
        <f>'Tinh hinh tai chinh'!BK65</f>
        <v>0</v>
      </c>
    </row>
    <row r="82" spans="1:4" s="267" customFormat="1">
      <c r="A82" s="283"/>
      <c r="B82" s="284"/>
      <c r="C82" s="284"/>
    </row>
    <row r="83" spans="1:4" s="267" customFormat="1">
      <c r="A83" s="285" t="s">
        <v>87</v>
      </c>
      <c r="B83" s="294">
        <f t="shared" ref="B83:C83" ca="1" si="6">SUM(B84:B85)</f>
        <v>928578104</v>
      </c>
      <c r="C83" s="294">
        <f t="shared" si="6"/>
        <v>0</v>
      </c>
    </row>
    <row r="84" spans="1:4" s="267" customFormat="1" ht="18" customHeight="1">
      <c r="A84" s="308" t="s">
        <v>88</v>
      </c>
      <c r="B84" s="284">
        <f ca="1">OFFSET('Tinh hinh tai chinh'!$BL67,0,'THTC in'!$D$7 - 1)</f>
        <v>0</v>
      </c>
      <c r="C84" s="284">
        <f>'Tinh hinh tai chinh'!BK67</f>
        <v>0</v>
      </c>
    </row>
    <row r="85" spans="1:4" s="267" customFormat="1" ht="18" customHeight="1">
      <c r="A85" s="283" t="s">
        <v>89</v>
      </c>
      <c r="B85" s="284">
        <f ca="1">OFFSET('Tinh hinh tai chinh'!$BL68,0,'THTC in'!$D$7 - 1)</f>
        <v>928578104</v>
      </c>
      <c r="C85" s="284">
        <f>'Tinh hinh tai chinh'!BK68</f>
        <v>0</v>
      </c>
      <c r="D85" s="266"/>
    </row>
    <row r="86" spans="1:4">
      <c r="A86" s="283"/>
      <c r="B86" s="284"/>
      <c r="C86" s="284"/>
    </row>
    <row r="87" spans="1:4">
      <c r="A87" s="285" t="s">
        <v>90</v>
      </c>
      <c r="B87" s="286">
        <f t="shared" ref="B87" ca="1" si="7">SUM(B88:B92)</f>
        <v>0</v>
      </c>
      <c r="C87" s="286">
        <f>SUM(C88:C93)</f>
        <v>0</v>
      </c>
    </row>
    <row r="88" spans="1:4" ht="18" customHeight="1">
      <c r="A88" s="283" t="s">
        <v>91</v>
      </c>
      <c r="B88" s="284">
        <f ca="1">OFFSET('Tinh hinh tai chinh'!$BL70,0,'THTC in'!$D$7 - 1)</f>
        <v>0</v>
      </c>
      <c r="C88" s="284">
        <f>'Tinh hinh tai chinh'!BK70</f>
        <v>0</v>
      </c>
    </row>
    <row r="89" spans="1:4" s="267" customFormat="1" ht="18" customHeight="1">
      <c r="A89" s="283" t="s">
        <v>92</v>
      </c>
      <c r="B89" s="284">
        <f ca="1">OFFSET('Tinh hinh tai chinh'!$BL71,0,'THTC in'!$D$7 - 1)</f>
        <v>0</v>
      </c>
      <c r="C89" s="284">
        <f>'Tinh hinh tai chinh'!BK71</f>
        <v>0</v>
      </c>
    </row>
    <row r="90" spans="1:4" ht="18" customHeight="1">
      <c r="A90" s="283" t="s">
        <v>93</v>
      </c>
      <c r="B90" s="284">
        <f ca="1">OFFSET('Tinh hinh tai chinh'!$BL72,0,'THTC in'!$D$7 - 1)</f>
        <v>0</v>
      </c>
      <c r="C90" s="284">
        <f>'Tinh hinh tai chinh'!BK72</f>
        <v>0</v>
      </c>
    </row>
    <row r="91" spans="1:4" ht="18" customHeight="1">
      <c r="A91" s="288" t="s">
        <v>94</v>
      </c>
      <c r="B91" s="284">
        <f ca="1">OFFSET('Tinh hinh tai chinh'!$BL73,0,'THTC in'!$D$7 - 1)</f>
        <v>0</v>
      </c>
      <c r="C91" s="284">
        <f>'Tinh hinh tai chinh'!BK73</f>
        <v>0</v>
      </c>
    </row>
    <row r="92" spans="1:4" ht="18" customHeight="1">
      <c r="A92" s="288" t="s">
        <v>95</v>
      </c>
      <c r="B92" s="284">
        <f ca="1">OFFSET('Tinh hinh tai chinh'!$BL74,0,'THTC in'!$D$7 - 1)</f>
        <v>0</v>
      </c>
      <c r="C92" s="284">
        <f>'Tinh hinh tai chinh'!BK74</f>
        <v>0</v>
      </c>
    </row>
    <row r="93" spans="1:4" ht="18" customHeight="1">
      <c r="A93" s="288" t="s">
        <v>96</v>
      </c>
      <c r="B93" s="284">
        <f ca="1">OFFSET('Tinh hinh tai chinh'!$BL75,0,'THTC in'!$D$7 - 1)</f>
        <v>0</v>
      </c>
      <c r="C93" s="284">
        <f>'Tinh hinh tai chinh'!BK75</f>
        <v>0</v>
      </c>
    </row>
    <row r="94" spans="1:4">
      <c r="A94" s="288"/>
      <c r="B94" s="284"/>
      <c r="C94" s="284"/>
    </row>
    <row r="95" spans="1:4">
      <c r="A95" s="285" t="s">
        <v>97</v>
      </c>
      <c r="B95" s="286">
        <f t="shared" ref="B95:C95" ca="1" si="8">SUM(B96:B99)</f>
        <v>946541407</v>
      </c>
      <c r="C95" s="286">
        <f t="shared" si="8"/>
        <v>524008824</v>
      </c>
    </row>
    <row r="96" spans="1:4" ht="18" customHeight="1">
      <c r="A96" s="283" t="s">
        <v>98</v>
      </c>
      <c r="B96" s="284">
        <f ca="1">OFFSET('Tinh hinh tai chinh'!$BL77,0,'THTC in'!$D$7 - 1)</f>
        <v>946541407</v>
      </c>
      <c r="C96" s="284">
        <f>'Tinh hinh tai chinh'!BK77</f>
        <v>524008824</v>
      </c>
    </row>
    <row r="97" spans="1:5" s="267" customFormat="1" ht="18" customHeight="1">
      <c r="A97" s="283" t="s">
        <v>99</v>
      </c>
      <c r="B97" s="284">
        <f ca="1">OFFSET('Tinh hinh tai chinh'!$BL78,0,'THTC in'!$D$7 - 1)</f>
        <v>0</v>
      </c>
      <c r="C97" s="284">
        <f>'Tinh hinh tai chinh'!BK78</f>
        <v>0</v>
      </c>
    </row>
    <row r="98" spans="1:5" ht="18" customHeight="1">
      <c r="A98" s="283" t="s">
        <v>100</v>
      </c>
      <c r="B98" s="284">
        <f ca="1">OFFSET('Tinh hinh tai chinh'!$BL79,0,'THTC in'!$D$7 - 1)</f>
        <v>0</v>
      </c>
      <c r="C98" s="284">
        <f>'Tinh hinh tai chinh'!BK79</f>
        <v>0</v>
      </c>
    </row>
    <row r="99" spans="1:5" ht="18" customHeight="1">
      <c r="A99" s="309" t="s">
        <v>101</v>
      </c>
      <c r="B99" s="284">
        <f ca="1">OFFSET('Tinh hinh tai chinh'!$BL80,0,'THTC in'!$D$7 - 1)</f>
        <v>0</v>
      </c>
      <c r="C99" s="284">
        <f>'Tinh hinh tai chinh'!BK80</f>
        <v>0</v>
      </c>
    </row>
    <row r="100" spans="1:5" ht="21.75" customHeight="1">
      <c r="A100" s="310" t="s">
        <v>102</v>
      </c>
      <c r="B100" s="311">
        <f ca="1">B8+B47</f>
        <v>40519851163</v>
      </c>
      <c r="C100" s="311">
        <f>C8+C47</f>
        <v>37018208196</v>
      </c>
      <c r="E100" s="305"/>
    </row>
    <row r="101" spans="1:5" ht="16.5" customHeight="1">
      <c r="B101" s="312"/>
      <c r="C101" s="312"/>
    </row>
    <row r="102" spans="1:5" s="267" customFormat="1" ht="30" customHeight="1">
      <c r="A102" s="274" t="s">
        <v>103</v>
      </c>
      <c r="B102" s="299" t="str">
        <f>B7</f>
        <v>Số cuối tháng 5</v>
      </c>
      <c r="C102" s="299" t="str">
        <f>C7</f>
        <v>Số dư đầu năm 2026</v>
      </c>
    </row>
    <row r="103" spans="1:5" s="282" customFormat="1">
      <c r="A103" s="313" t="s">
        <v>104</v>
      </c>
      <c r="B103" s="314">
        <f t="shared" ref="B103:C103" ca="1" si="9">B104+B121</f>
        <v>2511504919</v>
      </c>
      <c r="C103" s="314">
        <f t="shared" si="9"/>
        <v>1784212493</v>
      </c>
    </row>
    <row r="104" spans="1:5" s="267" customFormat="1" ht="18" customHeight="1">
      <c r="A104" s="285" t="s">
        <v>105</v>
      </c>
      <c r="B104" s="286">
        <f t="shared" ref="B104:C104" ca="1" si="10">SUM(B105:B119)</f>
        <v>2511504919</v>
      </c>
      <c r="C104" s="286">
        <f t="shared" si="10"/>
        <v>1784212493</v>
      </c>
    </row>
    <row r="105" spans="1:5" ht="18" customHeight="1">
      <c r="A105" s="283" t="s">
        <v>106</v>
      </c>
      <c r="B105" s="284">
        <f ca="1">OFFSET('Tinh hinh tai chinh'!$BL84,0,'THTC in'!$D$7 - 1)</f>
        <v>1058235468</v>
      </c>
      <c r="C105" s="284">
        <f>'Tinh hinh tai chinh'!BK84</f>
        <v>868547044</v>
      </c>
      <c r="D105" s="290"/>
    </row>
    <row r="106" spans="1:5" ht="18" customHeight="1">
      <c r="A106" s="283" t="s">
        <v>107</v>
      </c>
      <c r="B106" s="284">
        <f ca="1">OFFSET('Tinh hinh tai chinh'!$BL85,0,'THTC in'!$D$7 - 1)</f>
        <v>0</v>
      </c>
      <c r="C106" s="284">
        <f>'Tinh hinh tai chinh'!BK85</f>
        <v>0</v>
      </c>
    </row>
    <row r="107" spans="1:5" ht="18" customHeight="1">
      <c r="A107" s="283" t="s">
        <v>108</v>
      </c>
      <c r="B107" s="284">
        <f ca="1">OFFSET('Tinh hinh tai chinh'!$BL86,0,'THTC in'!$D$7 - 1)</f>
        <v>0</v>
      </c>
      <c r="C107" s="284">
        <f>'Tinh hinh tai chinh'!BK86</f>
        <v>0</v>
      </c>
    </row>
    <row r="108" spans="1:5" ht="18" customHeight="1">
      <c r="A108" s="283" t="s">
        <v>109</v>
      </c>
      <c r="B108" s="284">
        <f ca="1">OFFSET('Tinh hinh tai chinh'!$BL87,0,'THTC in'!$D$7 - 1)</f>
        <v>713388407</v>
      </c>
      <c r="C108" s="284">
        <f>'Tinh hinh tai chinh'!BK87</f>
        <v>284156251</v>
      </c>
    </row>
    <row r="109" spans="1:5" ht="18" customHeight="1">
      <c r="A109" s="283" t="s">
        <v>110</v>
      </c>
      <c r="B109" s="284">
        <f ca="1">OFFSET('Tinh hinh tai chinh'!$BL88,0,'THTC in'!$D$7 - 1)</f>
        <v>397803093</v>
      </c>
      <c r="C109" s="284">
        <f>'Tinh hinh tai chinh'!BK88</f>
        <v>610918101</v>
      </c>
    </row>
    <row r="110" spans="1:5" ht="18" customHeight="1">
      <c r="A110" s="283" t="s">
        <v>111</v>
      </c>
      <c r="B110" s="284">
        <f ca="1">OFFSET('Tinh hinh tai chinh'!$BL89,0,'THTC in'!$D$7 - 1)</f>
        <v>267747725</v>
      </c>
      <c r="C110" s="284">
        <f>'Tinh hinh tai chinh'!BK89</f>
        <v>20591097</v>
      </c>
    </row>
    <row r="111" spans="1:5" ht="18" customHeight="1">
      <c r="A111" s="283" t="s">
        <v>112</v>
      </c>
      <c r="B111" s="284">
        <f ca="1">OFFSET('Tinh hinh tai chinh'!$BL90,0,'THTC in'!$D$7 - 1)</f>
        <v>0</v>
      </c>
      <c r="C111" s="284">
        <f>'Tinh hinh tai chinh'!BK90</f>
        <v>0</v>
      </c>
    </row>
    <row r="112" spans="1:5" ht="18" customHeight="1">
      <c r="A112" s="283" t="s">
        <v>113</v>
      </c>
      <c r="B112" s="284">
        <f ca="1">OFFSET('Tinh hinh tai chinh'!$BL91,0,'THTC in'!$D$7 - 1)</f>
        <v>0</v>
      </c>
      <c r="C112" s="284">
        <f>'Tinh hinh tai chinh'!BK91</f>
        <v>0</v>
      </c>
    </row>
    <row r="113" spans="1:3" ht="18" customHeight="1">
      <c r="A113" s="288" t="s">
        <v>114</v>
      </c>
      <c r="B113" s="284">
        <f ca="1">OFFSET('Tinh hinh tai chinh'!$BL92,0,'THTC in'!$D$7 - 1)</f>
        <v>0</v>
      </c>
      <c r="C113" s="284">
        <f>'Tinh hinh tai chinh'!BK92</f>
        <v>0</v>
      </c>
    </row>
    <row r="114" spans="1:3" ht="18" customHeight="1">
      <c r="A114" s="283" t="s">
        <v>115</v>
      </c>
      <c r="B114" s="284">
        <f ca="1">OFFSET('Tinh hinh tai chinh'!$BL93,0,'THTC in'!$D$7 - 1)</f>
        <v>74330226</v>
      </c>
      <c r="C114" s="284">
        <f>'Tinh hinh tai chinh'!BK93</f>
        <v>0</v>
      </c>
    </row>
    <row r="115" spans="1:3" ht="18" customHeight="1">
      <c r="A115" s="283" t="s">
        <v>116</v>
      </c>
      <c r="B115" s="284">
        <f ca="1">OFFSET('Tinh hinh tai chinh'!$BL94,0,'THTC in'!$D$7 - 1)</f>
        <v>0</v>
      </c>
      <c r="C115" s="284">
        <f>'Tinh hinh tai chinh'!BK94</f>
        <v>0</v>
      </c>
    </row>
    <row r="116" spans="1:3" ht="18" customHeight="1">
      <c r="A116" s="283" t="s">
        <v>117</v>
      </c>
      <c r="B116" s="284">
        <f ca="1">OFFSET('Tinh hinh tai chinh'!$BL95,0,'THTC in'!$D$7 - 1)</f>
        <v>0</v>
      </c>
      <c r="C116" s="284">
        <f>'Tinh hinh tai chinh'!BK95</f>
        <v>0</v>
      </c>
    </row>
    <row r="117" spans="1:3" ht="18" customHeight="1">
      <c r="A117" s="283" t="s">
        <v>118</v>
      </c>
      <c r="B117" s="284">
        <f ca="1">OFFSET('Tinh hinh tai chinh'!$BL96,0,'THTC in'!$D$7 - 1)</f>
        <v>0</v>
      </c>
      <c r="C117" s="284">
        <f>'Tinh hinh tai chinh'!BK96</f>
        <v>0</v>
      </c>
    </row>
    <row r="118" spans="1:3" ht="18" customHeight="1">
      <c r="A118" s="283" t="s">
        <v>119</v>
      </c>
      <c r="B118" s="284">
        <f ca="1">OFFSET('Tinh hinh tai chinh'!$BL97,0,'THTC in'!$D$7 - 1)</f>
        <v>0</v>
      </c>
      <c r="C118" s="284">
        <f>'Tinh hinh tai chinh'!BK97</f>
        <v>0</v>
      </c>
    </row>
    <row r="119" spans="1:3" ht="18" customHeight="1">
      <c r="A119" s="283" t="s">
        <v>120</v>
      </c>
      <c r="B119" s="284">
        <f ca="1">OFFSET('Tinh hinh tai chinh'!$BL98,0,'THTC in'!$D$7 - 1)</f>
        <v>0</v>
      </c>
      <c r="C119" s="284">
        <f>'Tinh hinh tai chinh'!BK98</f>
        <v>0</v>
      </c>
    </row>
    <row r="120" spans="1:3" ht="9.75" customHeight="1">
      <c r="A120" s="283"/>
      <c r="B120" s="284"/>
      <c r="C120" s="284"/>
    </row>
    <row r="121" spans="1:3" s="267" customFormat="1" ht="14.25" customHeight="1">
      <c r="A121" s="285" t="s">
        <v>121</v>
      </c>
      <c r="B121" s="286">
        <f t="shared" ref="B121:C121" ca="1" si="11">SUM(B122:B135)</f>
        <v>0</v>
      </c>
      <c r="C121" s="286">
        <f t="shared" si="11"/>
        <v>0</v>
      </c>
    </row>
    <row r="122" spans="1:3" ht="18.75" customHeight="1">
      <c r="A122" s="283" t="s">
        <v>122</v>
      </c>
      <c r="B122" s="284">
        <f ca="1">OFFSET('Tinh hinh tai chinh'!$BL100,0,'THTC in'!$D$7 - 1)</f>
        <v>0</v>
      </c>
      <c r="C122" s="284">
        <f>'Tinh hinh tai chinh'!BK100</f>
        <v>0</v>
      </c>
    </row>
    <row r="123" spans="1:3" ht="18" customHeight="1">
      <c r="A123" s="283" t="s">
        <v>123</v>
      </c>
      <c r="B123" s="284">
        <f ca="1">OFFSET('Tinh hinh tai chinh'!$BL101,0,'THTC in'!$D$7 - 1)</f>
        <v>0</v>
      </c>
      <c r="C123" s="284">
        <f>'Tinh hinh tai chinh'!BK101</f>
        <v>0</v>
      </c>
    </row>
    <row r="124" spans="1:3" ht="18" customHeight="1">
      <c r="A124" s="283" t="s">
        <v>124</v>
      </c>
      <c r="B124" s="284">
        <f ca="1">OFFSET('Tinh hinh tai chinh'!$BL102,0,'THTC in'!$D$7 - 1)</f>
        <v>0</v>
      </c>
      <c r="C124" s="284">
        <f>'Tinh hinh tai chinh'!BK102</f>
        <v>0</v>
      </c>
    </row>
    <row r="125" spans="1:3" ht="18" customHeight="1">
      <c r="A125" s="283" t="s">
        <v>125</v>
      </c>
      <c r="B125" s="284">
        <f ca="1">OFFSET('Tinh hinh tai chinh'!$BL103,0,'THTC in'!$D$7 - 1)</f>
        <v>0</v>
      </c>
      <c r="C125" s="284">
        <f>'Tinh hinh tai chinh'!BK103</f>
        <v>0</v>
      </c>
    </row>
    <row r="126" spans="1:3" ht="18" customHeight="1">
      <c r="A126" s="283" t="s">
        <v>126</v>
      </c>
      <c r="B126" s="284">
        <f ca="1">OFFSET('Tinh hinh tai chinh'!$BL104,0,'THTC in'!$D$7 - 1)</f>
        <v>0</v>
      </c>
      <c r="C126" s="284">
        <f>'Tinh hinh tai chinh'!BK104</f>
        <v>0</v>
      </c>
    </row>
    <row r="127" spans="1:3" ht="18" customHeight="1">
      <c r="A127" s="283" t="s">
        <v>127</v>
      </c>
      <c r="B127" s="284">
        <f ca="1">OFFSET('Tinh hinh tai chinh'!$BL105,0,'THTC in'!$D$7 - 1)</f>
        <v>0</v>
      </c>
      <c r="C127" s="284">
        <f>'Tinh hinh tai chinh'!BK105</f>
        <v>0</v>
      </c>
    </row>
    <row r="128" spans="1:3" ht="18" customHeight="1">
      <c r="A128" s="283" t="s">
        <v>128</v>
      </c>
      <c r="B128" s="284">
        <f ca="1">OFFSET('Tinh hinh tai chinh'!$BL106,0,'THTC in'!$D$7 - 1)</f>
        <v>0</v>
      </c>
      <c r="C128" s="284">
        <f>'Tinh hinh tai chinh'!BK106</f>
        <v>0</v>
      </c>
    </row>
    <row r="129" spans="1:3" ht="18" customHeight="1">
      <c r="A129" s="283" t="s">
        <v>129</v>
      </c>
      <c r="B129" s="284">
        <f ca="1">OFFSET('Tinh hinh tai chinh'!$BL107,0,'THTC in'!$D$7 - 1)</f>
        <v>0</v>
      </c>
      <c r="C129" s="284">
        <f>'Tinh hinh tai chinh'!BK107</f>
        <v>0</v>
      </c>
    </row>
    <row r="130" spans="1:3" ht="18" customHeight="1">
      <c r="A130" s="283" t="s">
        <v>130</v>
      </c>
      <c r="B130" s="284">
        <f ca="1">OFFSET('Tinh hinh tai chinh'!$BL108,0,'THTC in'!$D$7 - 1)</f>
        <v>0</v>
      </c>
      <c r="C130" s="284">
        <f>'Tinh hinh tai chinh'!BK108</f>
        <v>0</v>
      </c>
    </row>
    <row r="131" spans="1:3" ht="18" customHeight="1">
      <c r="A131" s="283" t="s">
        <v>131</v>
      </c>
      <c r="B131" s="284">
        <f ca="1">OFFSET('Tinh hinh tai chinh'!$BL109,0,'THTC in'!$D$7 - 1)</f>
        <v>0</v>
      </c>
      <c r="C131" s="284">
        <f>'Tinh hinh tai chinh'!BK109</f>
        <v>0</v>
      </c>
    </row>
    <row r="132" spans="1:3" ht="18" customHeight="1">
      <c r="A132" s="283" t="s">
        <v>132</v>
      </c>
      <c r="B132" s="284">
        <f ca="1">OFFSET('Tinh hinh tai chinh'!$BL110,0,'THTC in'!$D$7 - 1)</f>
        <v>0</v>
      </c>
      <c r="C132" s="284">
        <f>'Tinh hinh tai chinh'!BK110</f>
        <v>0</v>
      </c>
    </row>
    <row r="133" spans="1:3" ht="18" customHeight="1">
      <c r="A133" s="283" t="s">
        <v>133</v>
      </c>
      <c r="B133" s="284">
        <f ca="1">OFFSET('Tinh hinh tai chinh'!$BL111,0,'THTC in'!$D$7 - 1)</f>
        <v>0</v>
      </c>
      <c r="C133" s="284">
        <f>'Tinh hinh tai chinh'!BK111</f>
        <v>0</v>
      </c>
    </row>
    <row r="134" spans="1:3" ht="18" customHeight="1">
      <c r="A134" s="283" t="s">
        <v>134</v>
      </c>
      <c r="B134" s="284">
        <f ca="1">OFFSET('Tinh hinh tai chinh'!$BL112,0,'THTC in'!$D$7 - 1)</f>
        <v>0</v>
      </c>
      <c r="C134" s="284">
        <f>'Tinh hinh tai chinh'!BK112</f>
        <v>0</v>
      </c>
    </row>
    <row r="135" spans="1:3" ht="18" customHeight="1">
      <c r="A135" s="309" t="s">
        <v>135</v>
      </c>
      <c r="B135" s="296">
        <f ca="1">OFFSET('Tinh hinh tai chinh'!$BL113,0,'THTC in'!$D$7 - 1)</f>
        <v>0</v>
      </c>
      <c r="C135" s="296">
        <f>'Tinh hinh tai chinh'!BK113</f>
        <v>0</v>
      </c>
    </row>
    <row r="136" spans="1:3">
      <c r="A136" s="297"/>
      <c r="B136" s="315"/>
      <c r="C136" s="316"/>
    </row>
    <row r="137" spans="1:3" s="267" customFormat="1" ht="30" customHeight="1">
      <c r="A137" s="274" t="s">
        <v>103</v>
      </c>
      <c r="B137" s="299" t="str">
        <f>B7</f>
        <v>Số cuối tháng 5</v>
      </c>
      <c r="C137" s="299" t="str">
        <f>C7</f>
        <v>Số dư đầu năm 2026</v>
      </c>
    </row>
    <row r="138" spans="1:3" s="282" customFormat="1">
      <c r="A138" s="313" t="s">
        <v>136</v>
      </c>
      <c r="B138" s="314">
        <f ca="1">B139+SUM(B142:B150)</f>
        <v>38008346244</v>
      </c>
      <c r="C138" s="314">
        <f>C139+SUM(C142:C150)</f>
        <v>35233995407</v>
      </c>
    </row>
    <row r="139" spans="1:3" ht="18" customHeight="1">
      <c r="A139" s="283" t="s">
        <v>137</v>
      </c>
      <c r="B139" s="317">
        <f ca="1">B140</f>
        <v>47000000000</v>
      </c>
      <c r="C139" s="317">
        <f>SUM(C140:C141)</f>
        <v>47000000000</v>
      </c>
    </row>
    <row r="140" spans="1:3" ht="18" customHeight="1">
      <c r="A140" s="283" t="s">
        <v>138</v>
      </c>
      <c r="B140" s="317">
        <f ca="1">OFFSET('Tinh hinh tai chinh'!$BL116,0,'THTC in'!$D$7 - 1)</f>
        <v>47000000000</v>
      </c>
      <c r="C140" s="317">
        <f>'Tinh hinh tai chinh'!BK116</f>
        <v>47000000000</v>
      </c>
    </row>
    <row r="141" spans="1:3" ht="18" customHeight="1">
      <c r="A141" s="283" t="s">
        <v>139</v>
      </c>
      <c r="B141" s="317">
        <f ca="1">OFFSET('Tinh hinh tai chinh'!$BL117,0,'THTC in'!$D$7 - 1)</f>
        <v>0</v>
      </c>
      <c r="C141" s="317">
        <f>'Tinh hinh tai chinh'!BK117</f>
        <v>0</v>
      </c>
    </row>
    <row r="142" spans="1:3" ht="18" customHeight="1">
      <c r="A142" s="283" t="s">
        <v>140</v>
      </c>
      <c r="B142" s="317">
        <f ca="1">OFFSET('Tinh hinh tai chinh'!$BL118,0,'THTC in'!$D$7 - 1)</f>
        <v>0</v>
      </c>
      <c r="C142" s="317">
        <f>'Tinh hinh tai chinh'!BK118</f>
        <v>0</v>
      </c>
    </row>
    <row r="143" spans="1:3" ht="18" customHeight="1">
      <c r="A143" s="283" t="s">
        <v>141</v>
      </c>
      <c r="B143" s="317">
        <f ca="1">OFFSET('Tinh hinh tai chinh'!$BL119,0,'THTC in'!$D$7 - 1)</f>
        <v>0</v>
      </c>
      <c r="C143" s="317">
        <f>'Tinh hinh tai chinh'!BK119</f>
        <v>0</v>
      </c>
    </row>
    <row r="144" spans="1:3" ht="18" customHeight="1">
      <c r="A144" s="283" t="s">
        <v>142</v>
      </c>
      <c r="B144" s="317">
        <f ca="1">OFFSET('Tinh hinh tai chinh'!$BL120,0,'THTC in'!$D$7 - 1)</f>
        <v>0</v>
      </c>
      <c r="C144" s="317">
        <f>'Tinh hinh tai chinh'!BK120</f>
        <v>0</v>
      </c>
    </row>
    <row r="145" spans="1:5" ht="18" customHeight="1">
      <c r="A145" s="283" t="s">
        <v>143</v>
      </c>
      <c r="B145" s="317">
        <f ca="1">OFFSET('Tinh hinh tai chinh'!$BL121,0,'THTC in'!$D$7 - 1)</f>
        <v>0</v>
      </c>
      <c r="C145" s="317">
        <f>'Tinh hinh tai chinh'!BK121</f>
        <v>0</v>
      </c>
    </row>
    <row r="146" spans="1:5" ht="18" customHeight="1">
      <c r="A146" s="283" t="s">
        <v>144</v>
      </c>
      <c r="B146" s="317">
        <f ca="1">OFFSET('Tinh hinh tai chinh'!$BL122,0,'THTC in'!$D$7 - 1)</f>
        <v>0</v>
      </c>
      <c r="C146" s="317">
        <f>'Tinh hinh tai chinh'!BK122</f>
        <v>0</v>
      </c>
    </row>
    <row r="147" spans="1:5" ht="18" customHeight="1">
      <c r="A147" s="283" t="s">
        <v>145</v>
      </c>
      <c r="B147" s="317">
        <f ca="1">OFFSET('Tinh hinh tai chinh'!$BL123,0,'THTC in'!$D$7 - 1)</f>
        <v>0</v>
      </c>
      <c r="C147" s="317">
        <f>'Tinh hinh tai chinh'!BK123</f>
        <v>0</v>
      </c>
    </row>
    <row r="148" spans="1:5" ht="18" customHeight="1">
      <c r="A148" s="283" t="s">
        <v>146</v>
      </c>
      <c r="B148" s="317">
        <f ca="1">OFFSET('Tinh hinh tai chinh'!$BL124,0,'THTC in'!$D$7 - 1)</f>
        <v>0</v>
      </c>
      <c r="C148" s="317">
        <f>'Tinh hinh tai chinh'!BK124</f>
        <v>0</v>
      </c>
    </row>
    <row r="149" spans="1:5" ht="18" customHeight="1">
      <c r="A149" s="283" t="s">
        <v>147</v>
      </c>
      <c r="B149" s="317">
        <f ca="1">OFFSET('Tinh hinh tai chinh'!$BL125,0,'THTC in'!$D$7 - 1)</f>
        <v>0</v>
      </c>
      <c r="C149" s="317">
        <f>'Tinh hinh tai chinh'!BK125</f>
        <v>0</v>
      </c>
    </row>
    <row r="150" spans="1:5" ht="18" customHeight="1">
      <c r="A150" s="283" t="s">
        <v>148</v>
      </c>
      <c r="B150" s="318">
        <f t="shared" ref="B150" ca="1" si="12">B151+B152</f>
        <v>-8991653756</v>
      </c>
      <c r="C150" s="318">
        <f>C151+C152</f>
        <v>-11766004593</v>
      </c>
      <c r="D150" s="319"/>
      <c r="E150" s="305"/>
    </row>
    <row r="151" spans="1:5" ht="18" customHeight="1">
      <c r="A151" s="320" t="s">
        <v>149</v>
      </c>
      <c r="B151" s="321">
        <f ca="1">OFFSET('Tinh hinh tai chinh'!$BL127,0,'THTC in'!$D$7 - 1)</f>
        <v>-10148551125</v>
      </c>
      <c r="C151" s="321">
        <f>'Tinh hinh tai chinh'!BK127</f>
        <v>-15137023292</v>
      </c>
      <c r="D151" s="319"/>
    </row>
    <row r="152" spans="1:5" ht="18" customHeight="1">
      <c r="A152" s="320" t="s">
        <v>150</v>
      </c>
      <c r="B152" s="321">
        <f ca="1">OFFSET('Tinh hinh tai chinh'!$BL128,0,'THTC in'!$D$7 - 1)</f>
        <v>1156897369</v>
      </c>
      <c r="C152" s="321">
        <f>'Tinh hinh tai chinh'!BK128</f>
        <v>3371018699</v>
      </c>
      <c r="D152" s="319"/>
    </row>
    <row r="153" spans="1:5">
      <c r="A153" s="322"/>
      <c r="B153" s="302"/>
      <c r="C153" s="302"/>
    </row>
    <row r="154" spans="1:5" ht="22.5" customHeight="1">
      <c r="A154" s="310" t="s">
        <v>151</v>
      </c>
      <c r="B154" s="311">
        <f ca="1">B138+B103</f>
        <v>40519851163</v>
      </c>
      <c r="C154" s="311">
        <f>C103+C138</f>
        <v>37018207900</v>
      </c>
      <c r="E154" s="305"/>
    </row>
    <row r="155" spans="1:5">
      <c r="B155" s="323">
        <f ca="1">+B154-B100</f>
        <v>0</v>
      </c>
      <c r="C155" s="323">
        <f>+C154-C100</f>
        <v>-296</v>
      </c>
    </row>
    <row r="156" spans="1:5">
      <c r="B156" s="323">
        <v>0</v>
      </c>
      <c r="C156" s="323"/>
    </row>
    <row r="157" spans="1:5">
      <c r="B157" s="589" t="str">
        <f>'KQKD in'!F32</f>
        <v>Lập, ngày 05 tháng 06 năm 2026</v>
      </c>
      <c r="C157" s="589"/>
    </row>
    <row r="158" spans="1:5" ht="6.75" customHeight="1">
      <c r="B158" s="324"/>
      <c r="C158" s="324"/>
    </row>
    <row r="159" spans="1:5">
      <c r="A159" s="325" t="s">
        <v>9</v>
      </c>
      <c r="B159" s="590" t="str">
        <f>'Thong tin'!B18</f>
        <v>TRƯỞNG TRẠM THU MUA</v>
      </c>
      <c r="C159" s="590"/>
    </row>
    <row r="160" spans="1:5">
      <c r="A160" s="324"/>
      <c r="B160" s="270"/>
      <c r="C160" s="270"/>
    </row>
    <row r="161" spans="1:3">
      <c r="A161" s="324"/>
      <c r="B161" s="319"/>
      <c r="C161" s="270"/>
    </row>
    <row r="162" spans="1:3">
      <c r="A162" s="324"/>
      <c r="B162" s="270"/>
      <c r="C162" s="270"/>
    </row>
    <row r="163" spans="1:3">
      <c r="A163" s="324"/>
      <c r="B163" s="270"/>
      <c r="C163" s="270"/>
    </row>
    <row r="164" spans="1:3">
      <c r="A164" s="324"/>
      <c r="B164" s="270"/>
      <c r="C164" s="270"/>
    </row>
    <row r="165" spans="1:3" ht="15.5">
      <c r="A165" s="326"/>
      <c r="B165" s="270"/>
      <c r="C165" s="270"/>
    </row>
    <row r="166" spans="1:3">
      <c r="A166" s="324" t="str">
        <f>'Thong tin'!B13</f>
        <v>Lê Thùy Ngân</v>
      </c>
      <c r="B166" s="589" t="str">
        <f>'Thong tin'!B19</f>
        <v>Nguyễn Nhật Bằng</v>
      </c>
      <c r="C166" s="589"/>
    </row>
    <row r="167" spans="1:3">
      <c r="B167" s="270"/>
      <c r="C167" s="270"/>
    </row>
    <row r="168" spans="1:3">
      <c r="B168" s="270"/>
      <c r="C168" s="270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79B5-ED52-4886-B80F-95CF01CFF445}">
  <sheetPr>
    <tabColor theme="8" tint="0.59999389629810485"/>
  </sheetPr>
  <dimension ref="A1:G48"/>
  <sheetViews>
    <sheetView showGridLines="0" showZeros="0" zoomScaleNormal="100" workbookViewId="0">
      <pane xSplit="3" ySplit="9" topLeftCell="D19" activePane="bottomRight" state="frozen"/>
      <selection pane="topRight" activeCell="D8" sqref="D8:E8"/>
      <selection pane="bottomLeft" activeCell="D8" sqref="D8:E8"/>
      <selection pane="bottomRight" activeCell="K28" sqref="K28"/>
    </sheetView>
  </sheetViews>
  <sheetFormatPr defaultColWidth="9.08984375" defaultRowHeight="14"/>
  <cols>
    <col min="1" max="1" width="3.54296875" style="270" customWidth="1"/>
    <col min="2" max="2" width="21.6328125" style="270" customWidth="1"/>
    <col min="3" max="3" width="18.453125" style="270" customWidth="1"/>
    <col min="4" max="4" width="14.36328125" style="305" customWidth="1"/>
    <col min="5" max="5" width="14.36328125" style="270" customWidth="1"/>
    <col min="6" max="6" width="15.08984375" style="305" customWidth="1"/>
    <col min="7" max="7" width="15.08984375" style="270" customWidth="1"/>
    <col min="8" max="8" width="5.90625" style="270" customWidth="1"/>
    <col min="9" max="16384" width="9.08984375" style="270"/>
  </cols>
  <sheetData>
    <row r="1" spans="1:7" ht="15">
      <c r="A1" s="327" t="str">
        <f>'Thong tin'!$A$1</f>
        <v>CÔNG TY TNHH MTV ĐỒNG LÂM</v>
      </c>
      <c r="B1" s="328"/>
      <c r="D1" s="270"/>
      <c r="E1" s="224"/>
      <c r="F1" s="270"/>
      <c r="G1" s="224"/>
    </row>
    <row r="2" spans="1:7" ht="16" thickBot="1">
      <c r="A2" s="268" t="str">
        <f>'Thong tin'!$A$2</f>
        <v>Địa chỉ: Thửa đất số 838, tờ bản đồ số 6, tổ 4, ấp Tân Thuận, phường Tân Hạnh, tỉnh Vĩnh Long</v>
      </c>
      <c r="B2" s="329"/>
      <c r="C2" s="329"/>
      <c r="D2" s="329"/>
      <c r="E2" s="227"/>
      <c r="F2" s="329"/>
      <c r="G2" s="227"/>
    </row>
    <row r="3" spans="1:7" ht="15.5">
      <c r="D3" s="270"/>
      <c r="E3" s="229"/>
      <c r="F3" s="270"/>
      <c r="G3" s="229"/>
    </row>
    <row r="4" spans="1:7" ht="18.75" customHeight="1">
      <c r="A4" s="592" t="s">
        <v>152</v>
      </c>
      <c r="B4" s="592"/>
      <c r="C4" s="592"/>
      <c r="D4" s="592"/>
      <c r="E4" s="592"/>
      <c r="F4" s="592"/>
      <c r="G4" s="592"/>
    </row>
    <row r="5" spans="1:7" ht="15">
      <c r="A5" s="593" t="str">
        <f>"Năm " &amp; 'Thong tin'!$C$6</f>
        <v>Năm 2026</v>
      </c>
      <c r="B5" s="593"/>
      <c r="C5" s="593"/>
      <c r="D5" s="593"/>
      <c r="E5" s="593"/>
      <c r="F5" s="593"/>
      <c r="G5" s="593"/>
    </row>
    <row r="6" spans="1:7">
      <c r="E6" s="330"/>
      <c r="G6" s="331" t="s">
        <v>153</v>
      </c>
    </row>
    <row r="7" spans="1:7" ht="5.15" customHeight="1"/>
    <row r="8" spans="1:7" ht="18.75" customHeight="1">
      <c r="A8" s="594" t="s">
        <v>154</v>
      </c>
      <c r="B8" s="595"/>
      <c r="C8" s="596"/>
      <c r="D8" s="600" t="str">
        <f>"Tháng "&amp;'Thong tin'!$C$9</f>
        <v>Tháng 5</v>
      </c>
      <c r="E8" s="601"/>
      <c r="F8" s="602" t="str">
        <f>"Lũy kế"&amp;" "&amp;'Thong tin'!$C$9 &amp;" "&amp;"tháng"</f>
        <v>Lũy kế 5 tháng</v>
      </c>
      <c r="G8" s="603"/>
    </row>
    <row r="9" spans="1:7" ht="18.75" customHeight="1">
      <c r="A9" s="597"/>
      <c r="B9" s="598"/>
      <c r="C9" s="599"/>
      <c r="D9" s="332" t="str">
        <f>"Năm " &amp; 'Thong tin'!$C$6</f>
        <v>Năm 2026</v>
      </c>
      <c r="E9" s="332" t="str">
        <f>"Năm " &amp; 'Thong tin'!$C$7</f>
        <v>Năm 2025</v>
      </c>
      <c r="F9" s="332" t="str">
        <f>"Năm " &amp; 'Thong tin'!$C$6</f>
        <v>Năm 2026</v>
      </c>
      <c r="G9" s="332" t="str">
        <f>"Năm " &amp; 'Thong tin'!$C$7</f>
        <v>Năm 2025</v>
      </c>
    </row>
    <row r="10" spans="1:7" ht="28.5" customHeight="1">
      <c r="A10" s="333" t="s">
        <v>155</v>
      </c>
      <c r="B10" s="604" t="s">
        <v>156</v>
      </c>
      <c r="C10" s="605"/>
      <c r="D10" s="334">
        <f ca="1">OFFSET('Ket qua kinh doanh'!$BL5,0,'Thong tin'!$C$9 - 1)</f>
        <v>11024894520</v>
      </c>
      <c r="E10" s="334">
        <f ca="1">OFFSET('Ket qua kinh doanh'!$AZ5,0,'Thong tin'!$C$9 - 1)</f>
        <v>7380147015</v>
      </c>
      <c r="F10" s="334">
        <f ca="1">SUM(OFFSET('Ket qua kinh doanh'!$BL5,0,0,1,'Thong tin'!$C$9))</f>
        <v>39568213997</v>
      </c>
      <c r="G10" s="334">
        <f ca="1">SUM(OFFSET('Ket qua kinh doanh'!$AZ5,0,0,1,'Thong tin'!$C$9))</f>
        <v>28611079762</v>
      </c>
    </row>
    <row r="11" spans="1:7" ht="18" customHeight="1">
      <c r="A11" s="335" t="s">
        <v>157</v>
      </c>
      <c r="B11" s="336" t="s">
        <v>158</v>
      </c>
      <c r="C11" s="337"/>
      <c r="D11" s="338">
        <f ca="1">OFFSET('Ket qua kinh doanh'!$BL6,0,'Thong tin'!$C$9 - 1)</f>
        <v>0</v>
      </c>
      <c r="E11" s="338">
        <f ca="1">OFFSET('Ket qua kinh doanh'!$AZ6,0,'Thong tin'!$C$9 - 1)</f>
        <v>0</v>
      </c>
      <c r="F11" s="338">
        <f ca="1">SUM(OFFSET('Ket qua kinh doanh'!$BL6,0,0,1,'Thong tin'!$C$9))</f>
        <v>0</v>
      </c>
      <c r="G11" s="338">
        <f ca="1">SUM(OFFSET('Ket qua kinh doanh'!$AZ6,0,0,1,'Thong tin'!$C$9))</f>
        <v>0</v>
      </c>
    </row>
    <row r="12" spans="1:7" s="341" customFormat="1" ht="29.25" customHeight="1">
      <c r="A12" s="339" t="s">
        <v>159</v>
      </c>
      <c r="B12" s="606" t="s">
        <v>160</v>
      </c>
      <c r="C12" s="607"/>
      <c r="D12" s="340">
        <f ca="1">OFFSET('Ket qua kinh doanh'!$BL7,0,'Thong tin'!$C$9 - 1)</f>
        <v>11024894520</v>
      </c>
      <c r="E12" s="340">
        <f ca="1">OFFSET('Ket qua kinh doanh'!$AZ7,0,'Thong tin'!$C$9 - 1)</f>
        <v>7380147015</v>
      </c>
      <c r="F12" s="340">
        <f ca="1">SUM(OFFSET('Ket qua kinh doanh'!$BL7,0,0,1,'Thong tin'!$C$9))</f>
        <v>39568213997</v>
      </c>
      <c r="G12" s="340">
        <f ca="1">SUM(OFFSET('Ket qua kinh doanh'!$AZ7,0,0,1,'Thong tin'!$C$9))</f>
        <v>28611079762</v>
      </c>
    </row>
    <row r="13" spans="1:7" ht="18" customHeight="1">
      <c r="A13" s="342" t="s">
        <v>161</v>
      </c>
      <c r="B13" s="343" t="s">
        <v>162</v>
      </c>
      <c r="C13" s="344"/>
      <c r="D13" s="345">
        <f ca="1">OFFSET('Ket qua kinh doanh'!$BL8,0,'Thong tin'!$C$9 - 1)</f>
        <v>9397938637</v>
      </c>
      <c r="E13" s="345">
        <f ca="1">OFFSET('Ket qua kinh doanh'!$AZ8,0,'Thong tin'!$C$9 - 1)</f>
        <v>7126741795</v>
      </c>
      <c r="F13" s="345">
        <f ca="1">SUM(OFFSET('Ket qua kinh doanh'!$BL8,0,0,1,'Thong tin'!$C$9))</f>
        <v>34534160005</v>
      </c>
      <c r="G13" s="334">
        <f ca="1">SUM(OFFSET('Ket qua kinh doanh'!$AZ8,0,0,1,'Thong tin'!$C$9))</f>
        <v>27645430459</v>
      </c>
    </row>
    <row r="14" spans="1:7" s="341" customFormat="1" ht="28.5" customHeight="1">
      <c r="A14" s="339" t="s">
        <v>163</v>
      </c>
      <c r="B14" s="606" t="s">
        <v>164</v>
      </c>
      <c r="C14" s="607"/>
      <c r="D14" s="346">
        <f ca="1">OFFSET('Ket qua kinh doanh'!$BL9,0,'Thong tin'!$C$9 - 1)</f>
        <v>1626955883</v>
      </c>
      <c r="E14" s="346">
        <f ca="1">OFFSET('Ket qua kinh doanh'!$AZ9,0,'Thong tin'!$C$9 - 1)</f>
        <v>253405220</v>
      </c>
      <c r="F14" s="346">
        <f ca="1">SUM(OFFSET('Ket qua kinh doanh'!$BL9,0,0,1,'Thong tin'!$C$9))</f>
        <v>5034053992</v>
      </c>
      <c r="G14" s="346">
        <f ca="1">SUM(OFFSET('Ket qua kinh doanh'!$AZ9,0,0,1,'Thong tin'!$C$9))</f>
        <v>965649303</v>
      </c>
    </row>
    <row r="15" spans="1:7" s="341" customFormat="1" ht="28.5" customHeight="1">
      <c r="A15" s="339" t="s">
        <v>165</v>
      </c>
      <c r="B15" s="606" t="s">
        <v>166</v>
      </c>
      <c r="C15" s="607"/>
      <c r="D15" s="346">
        <f ca="1">OFFSET('Ket qua kinh doanh'!$BL10,0,'Thong tin'!$C$9 - 1)</f>
        <v>0</v>
      </c>
      <c r="E15" s="346">
        <f ca="1">OFFSET('Ket qua kinh doanh'!$AZ10,0,'Thong tin'!$C$9 - 1)</f>
        <v>0</v>
      </c>
      <c r="F15" s="346">
        <f ca="1">SUM(OFFSET('Ket qua kinh doanh'!$BL10,0,0,1,'Thong tin'!$C$9))</f>
        <v>0</v>
      </c>
      <c r="G15" s="346">
        <f ca="1">SUM(OFFSET('Ket qua kinh doanh'!$AZ10,0,0,1,'Thong tin'!$C$9))</f>
        <v>0</v>
      </c>
    </row>
    <row r="16" spans="1:7" ht="18" customHeight="1">
      <c r="A16" s="335" t="s">
        <v>167</v>
      </c>
      <c r="B16" s="336" t="s">
        <v>168</v>
      </c>
      <c r="C16" s="337"/>
      <c r="D16" s="347">
        <f ca="1">OFFSET('Ket qua kinh doanh'!$BL11,0,'Thong tin'!$C$9 - 1)</f>
        <v>11002030</v>
      </c>
      <c r="E16" s="347">
        <f ca="1">OFFSET('Ket qua kinh doanh'!$AZ11,0,'Thong tin'!$C$9 - 1)</f>
        <v>11106781</v>
      </c>
      <c r="F16" s="338">
        <f ca="1">SUM(OFFSET('Ket qua kinh doanh'!$BL11,0,0,1,'Thong tin'!$C$9))</f>
        <v>173991944</v>
      </c>
      <c r="G16" s="338">
        <f ca="1">SUM(OFFSET('Ket qua kinh doanh'!$AZ11,0,0,1,'Thong tin'!$C$9))</f>
        <v>146895095</v>
      </c>
    </row>
    <row r="17" spans="1:7" ht="18" customHeight="1">
      <c r="A17" s="335" t="s">
        <v>169</v>
      </c>
      <c r="B17" s="336" t="s">
        <v>170</v>
      </c>
      <c r="C17" s="337"/>
      <c r="D17" s="347">
        <f ca="1">OFFSET('Ket qua kinh doanh'!$BL12,0,'Thong tin'!$C$9 - 1)</f>
        <v>0</v>
      </c>
      <c r="E17" s="338">
        <f ca="1">OFFSET('Ket qua kinh doanh'!$AZ12,0,'Thong tin'!$C$9 - 1)</f>
        <v>0</v>
      </c>
      <c r="F17" s="338">
        <f ca="1">SUM(OFFSET('Ket qua kinh doanh'!$BL12,0,0,1,'Thong tin'!$C$9))</f>
        <v>0</v>
      </c>
      <c r="G17" s="338">
        <f ca="1">SUM(OFFSET('Ket qua kinh doanh'!$AZ12,0,0,1,'Thong tin'!$C$9))</f>
        <v>0</v>
      </c>
    </row>
    <row r="18" spans="1:7" s="351" customFormat="1" ht="18" customHeight="1">
      <c r="A18" s="348"/>
      <c r="B18" s="349" t="s">
        <v>171</v>
      </c>
      <c r="C18" s="350"/>
      <c r="D18" s="338">
        <f ca="1">OFFSET('Ket qua kinh doanh'!$BL13,0,'Thong tin'!$C$9 - 1)</f>
        <v>0</v>
      </c>
      <c r="E18" s="338">
        <f ca="1">OFFSET('Ket qua kinh doanh'!$AZ13,0,'Thong tin'!$C$9 - 1)</f>
        <v>0</v>
      </c>
      <c r="F18" s="338">
        <f ca="1">SUM(OFFSET('Ket qua kinh doanh'!$BL13,0,0,1,'Thong tin'!$C$9))</f>
        <v>0</v>
      </c>
      <c r="G18" s="338">
        <f ca="1">SUM(OFFSET('Ket qua kinh doanh'!$AZ13,0,0,1,'Thong tin'!$C$9))</f>
        <v>0</v>
      </c>
    </row>
    <row r="19" spans="1:7" ht="18" customHeight="1">
      <c r="A19" s="335" t="s">
        <v>172</v>
      </c>
      <c r="B19" s="336" t="s">
        <v>173</v>
      </c>
      <c r="C19" s="337"/>
      <c r="D19" s="347">
        <f ca="1">OFFSET('Ket qua kinh doanh'!$BL14,0,'Thong tin'!$C$9 - 1)</f>
        <v>262800000</v>
      </c>
      <c r="E19" s="347">
        <f ca="1">OFFSET('Ket qua kinh doanh'!$AZ14,0,'Thong tin'!$C$9 - 1)</f>
        <v>157100000</v>
      </c>
      <c r="F19" s="338">
        <f ca="1">SUM(OFFSET('Ket qua kinh doanh'!$BL14,0,0,1,'Thong tin'!$C$9))</f>
        <v>1047100000</v>
      </c>
      <c r="G19" s="338">
        <f ca="1">SUM(OFFSET('Ket qua kinh doanh'!$AZ14,0,0,1,'Thong tin'!$C$9))</f>
        <v>618500000</v>
      </c>
    </row>
    <row r="20" spans="1:7" ht="18" customHeight="1">
      <c r="A20" s="335" t="s">
        <v>174</v>
      </c>
      <c r="B20" s="336" t="s">
        <v>175</v>
      </c>
      <c r="C20" s="337"/>
      <c r="D20" s="338">
        <f ca="1">OFFSET('Ket qua kinh doanh'!$BL15,0,'Thong tin'!$C$9 - 1)</f>
        <v>245121655</v>
      </c>
      <c r="E20" s="338">
        <f ca="1">OFFSET('Ket qua kinh doanh'!$AZ15,0,'Thong tin'!$C$9 - 1)</f>
        <v>142223547</v>
      </c>
      <c r="F20" s="338">
        <f ca="1">SUM(OFFSET('Ket qua kinh doanh'!$BL15,0,0,1,'Thong tin'!$C$9))</f>
        <v>1444229086</v>
      </c>
      <c r="G20" s="338">
        <f ca="1">SUM(OFFSET('Ket qua kinh doanh'!$AZ15,0,0,1,'Thong tin'!$C$9))</f>
        <v>681764206</v>
      </c>
    </row>
    <row r="21" spans="1:7" s="341" customFormat="1" ht="18" customHeight="1">
      <c r="A21" s="352" t="s">
        <v>176</v>
      </c>
      <c r="B21" s="606" t="s">
        <v>177</v>
      </c>
      <c r="C21" s="607"/>
      <c r="D21" s="346">
        <f ca="1">OFFSET('Ket qua kinh doanh'!$BL16,0,'Thong tin'!$C$9 - 1)</f>
        <v>1130036258</v>
      </c>
      <c r="E21" s="346">
        <f ca="1">OFFSET('Ket qua kinh doanh'!$AZ16,0,'Thong tin'!$C$9 - 1)</f>
        <v>-34811546</v>
      </c>
      <c r="F21" s="346">
        <f ca="1">SUM(OFFSET('Ket qua kinh doanh'!$BL16,0,0,1,'Thong tin'!$C$9))</f>
        <v>2716716850</v>
      </c>
      <c r="G21" s="346">
        <f ca="1">SUM(OFFSET('Ket qua kinh doanh'!$AZ16,0,0,1,'Thong tin'!$C$9))</f>
        <v>-187719808</v>
      </c>
    </row>
    <row r="22" spans="1:7" ht="18" customHeight="1">
      <c r="A22" s="335" t="s">
        <v>178</v>
      </c>
      <c r="B22" s="336" t="s">
        <v>179</v>
      </c>
      <c r="C22" s="337"/>
      <c r="D22" s="338">
        <f ca="1">OFFSET('Ket qua kinh doanh'!$BL17,0,'Thong tin'!$C$9 - 1)</f>
        <v>26861111</v>
      </c>
      <c r="E22" s="338">
        <f ca="1">OFFSET('Ket qua kinh doanh'!$AZ17,0,'Thong tin'!$C$9 - 1)</f>
        <v>0</v>
      </c>
      <c r="F22" s="338">
        <f ca="1">SUM(OFFSET('Ket qua kinh doanh'!$BL17,0,0,1,'Thong tin'!$C$9))</f>
        <v>80425162</v>
      </c>
      <c r="G22" s="338">
        <f ca="1">SUM(OFFSET('Ket qua kinh doanh'!$AZ17,0,0,1,'Thong tin'!$C$9))</f>
        <v>96212726</v>
      </c>
    </row>
    <row r="23" spans="1:7" ht="18" customHeight="1">
      <c r="A23" s="335" t="s">
        <v>180</v>
      </c>
      <c r="B23" s="336" t="s">
        <v>181</v>
      </c>
      <c r="C23" s="337"/>
      <c r="D23" s="338">
        <f ca="1">OFFSET('Ket qua kinh doanh'!$BL18,0,'Thong tin'!$C$9 - 1)</f>
        <v>0</v>
      </c>
      <c r="E23" s="338">
        <f ca="1">OFFSET('Ket qua kinh doanh'!$AZ18,0,'Thong tin'!$C$9 - 1)</f>
        <v>0</v>
      </c>
      <c r="F23" s="338">
        <f ca="1">SUM(OFFSET('Ket qua kinh doanh'!$BL18,0,0,1,'Thong tin'!$C$9))</f>
        <v>22020396</v>
      </c>
      <c r="G23" s="338">
        <f ca="1">SUM(OFFSET('Ket qua kinh doanh'!$AZ18,0,0,1,'Thong tin'!$C$9))</f>
        <v>42339675</v>
      </c>
    </row>
    <row r="24" spans="1:7" ht="18" customHeight="1">
      <c r="A24" s="342" t="s">
        <v>182</v>
      </c>
      <c r="B24" s="343" t="s">
        <v>183</v>
      </c>
      <c r="C24" s="344"/>
      <c r="D24" s="353">
        <f ca="1">OFFSET('Ket qua kinh doanh'!$BL19,0,'Thong tin'!$C$9 - 1)</f>
        <v>26861111</v>
      </c>
      <c r="E24" s="353">
        <f ca="1">OFFSET('Ket qua kinh doanh'!$AZ19,0,'Thong tin'!$C$9 - 1)</f>
        <v>0</v>
      </c>
      <c r="F24" s="353">
        <f ca="1">SUM(OFFSET('Ket qua kinh doanh'!$BL19,0,0,1,'Thong tin'!$C$9))</f>
        <v>58404766</v>
      </c>
      <c r="G24" s="353">
        <f ca="1">SUM(OFFSET('Ket qua kinh doanh'!$AZ19,0,0,1,'Thong tin'!$C$9))</f>
        <v>53873051</v>
      </c>
    </row>
    <row r="25" spans="1:7" s="341" customFormat="1" ht="18" customHeight="1">
      <c r="A25" s="339" t="s">
        <v>184</v>
      </c>
      <c r="B25" s="354" t="s">
        <v>185</v>
      </c>
      <c r="C25" s="355"/>
      <c r="D25" s="356">
        <f ca="1">OFFSET('Ket qua kinh doanh'!$BL20,0,'Thong tin'!$C$9 - 1)</f>
        <v>1156897369</v>
      </c>
      <c r="E25" s="356">
        <f ca="1">OFFSET('Ket qua kinh doanh'!$AZ20,0,'Thong tin'!$C$9 - 1)</f>
        <v>-34811546</v>
      </c>
      <c r="F25" s="356">
        <f ca="1">SUM(OFFSET('Ket qua kinh doanh'!$BL20,0,0,1,'Thong tin'!$C$9))</f>
        <v>2775121616</v>
      </c>
      <c r="G25" s="356">
        <f ca="1">SUM(OFFSET('Ket qua kinh doanh'!$AZ20,0,0,1,'Thong tin'!$C$9))</f>
        <v>-133846757</v>
      </c>
    </row>
    <row r="26" spans="1:7" ht="18" customHeight="1">
      <c r="A26" s="335" t="s">
        <v>186</v>
      </c>
      <c r="B26" s="336" t="s">
        <v>187</v>
      </c>
      <c r="C26" s="337"/>
      <c r="D26" s="357">
        <f ca="1">OFFSET('Ket qua kinh doanh'!$BL21,0,'Thong tin'!$C$9 - 1)</f>
        <v>0</v>
      </c>
      <c r="E26" s="347">
        <f ca="1">OFFSET('Ket qua kinh doanh'!$AZ21,0,'Thong tin'!$C$9 - 1)</f>
        <v>0</v>
      </c>
      <c r="F26" s="338">
        <f ca="1">SUM(OFFSET('Ket qua kinh doanh'!$BL21,0,0,1,'Thong tin'!$C$9))</f>
        <v>0</v>
      </c>
      <c r="G26" s="338">
        <f ca="1">SUM(OFFSET('Ket qua kinh doanh'!$AZ21,0,0,1,'Thong tin'!$C$9))</f>
        <v>0</v>
      </c>
    </row>
    <row r="27" spans="1:7" ht="18" customHeight="1">
      <c r="A27" s="335" t="s">
        <v>188</v>
      </c>
      <c r="B27" s="336" t="s">
        <v>189</v>
      </c>
      <c r="C27" s="337"/>
      <c r="D27" s="357">
        <f ca="1">OFFSET('Ket qua kinh doanh'!$BL22,0,'Thong tin'!$C$9 - 1)</f>
        <v>0</v>
      </c>
      <c r="E27" s="347">
        <f ca="1">OFFSET('Ket qua kinh doanh'!$AZ22,0,'Thong tin'!$C$9 - 1)</f>
        <v>0</v>
      </c>
      <c r="F27" s="357">
        <f ca="1">SUM(OFFSET('Ket qua kinh doanh'!$BL22,0,0,1,'Thong tin'!$C$9))</f>
        <v>0</v>
      </c>
      <c r="G27" s="338">
        <f ca="1">SUM(OFFSET('Ket qua kinh doanh'!$AZ22,0,0,1,'Thong tin'!$C$9))</f>
        <v>0</v>
      </c>
    </row>
    <row r="28" spans="1:7" s="341" customFormat="1" ht="18" customHeight="1">
      <c r="A28" s="358" t="s">
        <v>190</v>
      </c>
      <c r="B28" s="359" t="s">
        <v>191</v>
      </c>
      <c r="C28" s="360"/>
      <c r="D28" s="361">
        <f ca="1">OFFSET('Ket qua kinh doanh'!$BL23,0,'Thong tin'!$C$9 - 1)</f>
        <v>1156897369</v>
      </c>
      <c r="E28" s="361">
        <f ca="1">OFFSET('Ket qua kinh doanh'!$AZ23,0,'Thong tin'!$C$9 - 1)</f>
        <v>-34811546</v>
      </c>
      <c r="F28" s="361">
        <f ca="1">SUM(OFFSET('Ket qua kinh doanh'!$BL23,0,0,1,'Thong tin'!$C$9))</f>
        <v>2775121616</v>
      </c>
      <c r="G28" s="361">
        <f ca="1">SUM(OFFSET('Ket qua kinh doanh'!$AZ23,0,0,1,'Thong tin'!$C$9))</f>
        <v>-133846757</v>
      </c>
    </row>
    <row r="29" spans="1:7" hidden="1">
      <c r="A29" s="362" t="s">
        <v>192</v>
      </c>
      <c r="B29" s="328" t="s">
        <v>193</v>
      </c>
      <c r="C29" s="363"/>
      <c r="D29" s="364"/>
      <c r="E29" s="365"/>
      <c r="F29" s="366" t="e">
        <f>#REF!+#REF!+#REF!+#REF!+#REF!+#REF!+#REF!+#REF!+#REF!+#REF!+#REF!+D29</f>
        <v>#REF!</v>
      </c>
      <c r="G29" s="366" t="e">
        <f>#REF!+#REF!+#REF!+#REF!+#REF!+#REF!+#REF!+#REF!+#REF!+#REF!+#REF!+E29</f>
        <v>#REF!</v>
      </c>
    </row>
    <row r="30" spans="1:7" ht="6" customHeight="1">
      <c r="A30" s="367"/>
      <c r="B30" s="368"/>
      <c r="C30" s="369"/>
      <c r="D30" s="370"/>
      <c r="E30" s="371"/>
      <c r="F30" s="370"/>
      <c r="G30" s="371"/>
    </row>
    <row r="31" spans="1:7" ht="11.25" customHeight="1">
      <c r="D31" s="323">
        <v>0</v>
      </c>
      <c r="E31" s="323">
        <v>0</v>
      </c>
      <c r="F31" s="323">
        <v>0</v>
      </c>
      <c r="G31" s="323">
        <v>0</v>
      </c>
    </row>
    <row r="32" spans="1:7">
      <c r="D32" s="608"/>
      <c r="E32" s="608"/>
      <c r="F32" s="591" t="s">
        <v>629</v>
      </c>
      <c r="G32" s="591"/>
    </row>
    <row r="33" spans="2:7">
      <c r="D33" s="372"/>
      <c r="E33" s="372"/>
      <c r="F33" s="372"/>
      <c r="G33" s="372"/>
    </row>
    <row r="34" spans="2:7">
      <c r="B34" s="609" t="s">
        <v>9</v>
      </c>
      <c r="C34" s="609"/>
      <c r="D34" s="609"/>
      <c r="E34" s="609"/>
      <c r="F34" s="590" t="str">
        <f>'Thong tin'!B18</f>
        <v>TRƯỞNG TRẠM THU MUA</v>
      </c>
      <c r="G34" s="590"/>
    </row>
    <row r="35" spans="2:7" ht="15" customHeight="1">
      <c r="B35" s="373"/>
      <c r="D35" s="374"/>
    </row>
    <row r="36" spans="2:7" ht="15" customHeight="1">
      <c r="B36" s="373"/>
      <c r="D36" s="374"/>
    </row>
    <row r="37" spans="2:7" ht="15" customHeight="1">
      <c r="B37" s="373"/>
      <c r="D37" s="374"/>
    </row>
    <row r="38" spans="2:7" ht="15" customHeight="1">
      <c r="B38" s="373"/>
      <c r="D38" s="374"/>
    </row>
    <row r="39" spans="2:7" ht="15" customHeight="1">
      <c r="B39" s="373"/>
      <c r="D39" s="374"/>
    </row>
    <row r="40" spans="2:7" ht="15" customHeight="1">
      <c r="B40" s="373"/>
      <c r="D40" s="374"/>
    </row>
    <row r="41" spans="2:7" ht="15" customHeight="1">
      <c r="B41" s="610" t="str">
        <f>'Thong tin'!B13</f>
        <v>Lê Thùy Ngân</v>
      </c>
      <c r="C41" s="610"/>
      <c r="D41" s="610"/>
      <c r="E41" s="610"/>
      <c r="F41" s="589" t="str">
        <f>'Thong tin'!B19</f>
        <v>Nguyễn Nhật Bằng</v>
      </c>
      <c r="G41" s="589"/>
    </row>
    <row r="42" spans="2:7" ht="15" customHeight="1"/>
    <row r="43" spans="2:7" ht="15" customHeight="1"/>
    <row r="44" spans="2:7" ht="15" customHeight="1"/>
    <row r="45" spans="2:7" ht="15" customHeight="1"/>
    <row r="46" spans="2:7" ht="15" customHeight="1"/>
    <row r="48" spans="2:7" ht="15" customHeight="1"/>
  </sheetData>
  <mergeCells count="18">
    <mergeCell ref="B34:C34"/>
    <mergeCell ref="D34:E34"/>
    <mergeCell ref="F34:G34"/>
    <mergeCell ref="B41:C41"/>
    <mergeCell ref="D41:E41"/>
    <mergeCell ref="F41:G41"/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A8CD-F068-4F34-90CB-06A8EC42F599}">
  <sheetPr>
    <tabColor theme="8" tint="0.59999389629810485"/>
  </sheetPr>
  <dimension ref="A1:G59"/>
  <sheetViews>
    <sheetView showGridLines="0" showZeros="0" zoomScaleNormal="100" workbookViewId="0">
      <pane xSplit="1" ySplit="9" topLeftCell="B48" activePane="bottomRight" state="frozen"/>
      <selection pane="topRight" activeCell="D8" sqref="D8:E8"/>
      <selection pane="bottomLeft" activeCell="D8" sqref="D8:E8"/>
      <selection pane="bottomRight" activeCell="G13" sqref="G13"/>
    </sheetView>
  </sheetViews>
  <sheetFormatPr defaultColWidth="9.08984375" defaultRowHeight="14"/>
  <cols>
    <col min="1" max="1" width="38.54296875" style="375" customWidth="1"/>
    <col min="2" max="2" width="16.453125" style="375" customWidth="1"/>
    <col min="3" max="3" width="16.6328125" style="409" customWidth="1"/>
    <col min="4" max="4" width="16.453125" style="375" customWidth="1"/>
    <col min="5" max="5" width="16.6328125" style="409" customWidth="1"/>
    <col min="6" max="6" width="12" style="375" bestFit="1" customWidth="1"/>
    <col min="7" max="7" width="17.90625" style="375" bestFit="1" customWidth="1"/>
    <col min="8" max="16384" width="9.08984375" style="375"/>
  </cols>
  <sheetData>
    <row r="1" spans="1:7" ht="15">
      <c r="A1" s="327" t="str">
        <f>'Thong tin'!$A$1</f>
        <v>CÔNG TY TNHH MTV ĐỒNG LÂM</v>
      </c>
      <c r="B1" s="270"/>
      <c r="C1" s="224"/>
      <c r="D1" s="270"/>
      <c r="E1" s="224"/>
    </row>
    <row r="2" spans="1:7" ht="16" thickBot="1">
      <c r="A2" s="268" t="str">
        <f>'Thong tin'!$A$2</f>
        <v>Địa chỉ: Thửa đất số 838, tờ bản đồ số 6, tổ 4, ấp Tân Thuận, phường Tân Hạnh, tỉnh Vĩnh Long</v>
      </c>
      <c r="B2" s="329"/>
      <c r="C2" s="227"/>
      <c r="D2" s="329"/>
      <c r="E2" s="227"/>
    </row>
    <row r="3" spans="1:7" ht="27" customHeight="1">
      <c r="A3" s="270"/>
      <c r="B3" s="270"/>
      <c r="C3" s="229"/>
      <c r="D3" s="270"/>
      <c r="E3" s="229"/>
    </row>
    <row r="4" spans="1:7" ht="20">
      <c r="A4" s="592" t="s">
        <v>194</v>
      </c>
      <c r="B4" s="592"/>
      <c r="C4" s="592"/>
      <c r="D4" s="592"/>
      <c r="E4" s="592"/>
    </row>
    <row r="5" spans="1:7" ht="12" customHeight="1">
      <c r="A5" s="611" t="s">
        <v>195</v>
      </c>
      <c r="B5" s="611"/>
      <c r="C5" s="611"/>
      <c r="D5" s="611"/>
      <c r="E5" s="611"/>
    </row>
    <row r="6" spans="1:7" ht="12.75" customHeight="1">
      <c r="A6" s="612" t="str">
        <f>"Năm " &amp; 'Thong tin'!$C$6</f>
        <v>Năm 2026</v>
      </c>
      <c r="B6" s="612"/>
      <c r="C6" s="612"/>
      <c r="D6" s="612"/>
      <c r="E6" s="612"/>
    </row>
    <row r="7" spans="1:7" ht="12" customHeight="1">
      <c r="B7" s="376"/>
      <c r="C7" s="330"/>
      <c r="D7" s="376"/>
      <c r="E7" s="377" t="str">
        <f>'KQKD in'!G6</f>
        <v>ĐVT: VNĐ</v>
      </c>
    </row>
    <row r="8" spans="1:7" s="378" customFormat="1" ht="14.25" customHeight="1">
      <c r="A8" s="613" t="s">
        <v>154</v>
      </c>
      <c r="B8" s="600" t="str">
        <f>"Tháng " &amp; 'Thong tin'!$C$9</f>
        <v>Tháng 5</v>
      </c>
      <c r="C8" s="601"/>
      <c r="D8" s="602" t="str">
        <f>"Lũy kế"&amp;" "&amp; 'Thong tin'!$C$9 &amp;" "&amp;"tháng"</f>
        <v>Lũy kế 5 tháng</v>
      </c>
      <c r="E8" s="603"/>
    </row>
    <row r="9" spans="1:7">
      <c r="A9" s="614"/>
      <c r="B9" s="379" t="str">
        <f>"Năm " &amp; 'Thong tin'!$C$6</f>
        <v>Năm 2026</v>
      </c>
      <c r="C9" s="379" t="str">
        <f>"Năm " &amp; 'Thong tin'!$C$7</f>
        <v>Năm 2025</v>
      </c>
      <c r="D9" s="379" t="str">
        <f>"Năm " &amp; 'Thong tin'!$C$6</f>
        <v>Năm 2026</v>
      </c>
      <c r="E9" s="379" t="str">
        <f>"Năm " &amp; 'Thong tin'!$C$7</f>
        <v>Năm 2025</v>
      </c>
    </row>
    <row r="10" spans="1:7" ht="18" customHeight="1">
      <c r="A10" s="380" t="s">
        <v>196</v>
      </c>
      <c r="B10" s="381"/>
      <c r="C10" s="381"/>
      <c r="D10" s="381"/>
      <c r="E10" s="381"/>
    </row>
    <row r="11" spans="1:7" s="384" customFormat="1" ht="17.149999999999999" customHeight="1">
      <c r="A11" s="382" t="s">
        <v>197</v>
      </c>
      <c r="B11" s="383">
        <f ca="1">OFFSET('Luu chuyen tien te'!$BL5,0,'Thong tin'!$C$9 - 1)</f>
        <v>1156897369</v>
      </c>
      <c r="C11" s="383">
        <f ca="1">OFFSET('Luu chuyen tien te'!$AZ5,0,'Thong tin'!$C$9 - 1)</f>
        <v>-34811546</v>
      </c>
      <c r="D11" s="383">
        <f ca="1">SUM(OFFSET('Luu chuyen tien te'!$BL5,0,0,1,'Thong tin'!$C$9))</f>
        <v>2775121616</v>
      </c>
      <c r="E11" s="383">
        <f ca="1">SUM(OFFSET('Luu chuyen tien te'!$AZ5,0,0,1,'Thong tin'!$C$9))</f>
        <v>-133846757</v>
      </c>
    </row>
    <row r="12" spans="1:7" s="384" customFormat="1" ht="17.149999999999999" customHeight="1">
      <c r="A12" s="382" t="s">
        <v>198</v>
      </c>
      <c r="B12" s="383"/>
      <c r="C12" s="383"/>
      <c r="D12" s="383"/>
      <c r="E12" s="383"/>
    </row>
    <row r="13" spans="1:7">
      <c r="A13" s="385" t="s">
        <v>199</v>
      </c>
      <c r="B13" s="386">
        <f ca="1">OFFSET('Luu chuyen tien te'!$BL7,0,'Thong tin'!$C$9 - 1)</f>
        <v>200168654</v>
      </c>
      <c r="C13" s="386">
        <f ca="1">OFFSET('Luu chuyen tien te'!$AZ7,0,'Thong tin'!$C$9 - 1)</f>
        <v>329551584</v>
      </c>
      <c r="D13" s="386">
        <f ca="1">SUM(OFFSET('Luu chuyen tien te'!$BL7,0,0,1,'Thong tin'!$C$9))</f>
        <v>1009643443</v>
      </c>
      <c r="E13" s="386">
        <f ca="1">SUM(OFFSET('Luu chuyen tien te'!$AZ7,0,0,1,'Thong tin'!$C$9))</f>
        <v>1638527130</v>
      </c>
    </row>
    <row r="14" spans="1:7">
      <c r="A14" s="385" t="s">
        <v>200</v>
      </c>
      <c r="B14" s="386">
        <f ca="1">OFFSET('Luu chuyen tien te'!$BL8,0,'Thong tin'!$C$9 - 1)</f>
        <v>0</v>
      </c>
      <c r="C14" s="386">
        <f ca="1">OFFSET('Luu chuyen tien te'!$AZ8,0,'Thong tin'!$C$9 - 1)</f>
        <v>0</v>
      </c>
      <c r="D14" s="386">
        <f ca="1">SUM(OFFSET('Luu chuyen tien te'!$BL8,0,0,1,'Thong tin'!$C$9))</f>
        <v>0</v>
      </c>
      <c r="E14" s="386">
        <f ca="1">SUM(OFFSET('Luu chuyen tien te'!$AZ8,0,0,1,'Thong tin'!$C$9))</f>
        <v>0</v>
      </c>
      <c r="G14" s="387"/>
    </row>
    <row r="15" spans="1:7" ht="29.25" customHeight="1">
      <c r="A15" s="388" t="s">
        <v>201</v>
      </c>
      <c r="B15" s="386">
        <f ca="1">OFFSET('Luu chuyen tien te'!$BL9,0,'Thong tin'!$C$9 - 1)</f>
        <v>0</v>
      </c>
      <c r="C15" s="386">
        <f ca="1">OFFSET('Luu chuyen tien te'!$AZ9,0,'Thong tin'!$C$9 - 1)</f>
        <v>0</v>
      </c>
      <c r="D15" s="386">
        <f ca="1">SUM(OFFSET('Luu chuyen tien te'!$BL9,0,0,1,'Thong tin'!$C$9))</f>
        <v>0</v>
      </c>
      <c r="E15" s="386">
        <f ca="1">SUM(OFFSET('Luu chuyen tien te'!$AZ9,0,0,1,'Thong tin'!$C$9))</f>
        <v>0</v>
      </c>
    </row>
    <row r="16" spans="1:7">
      <c r="A16" s="385" t="s">
        <v>202</v>
      </c>
      <c r="B16" s="386">
        <f ca="1">OFFSET('Luu chuyen tien te'!$BL10,0,'Thong tin'!$C$9 - 1)</f>
        <v>-11002030</v>
      </c>
      <c r="C16" s="386">
        <f ca="1">OFFSET('Luu chuyen tien te'!$AZ10,0,'Thong tin'!$C$9 - 1)</f>
        <v>-11106781</v>
      </c>
      <c r="D16" s="386">
        <f ca="1">SUM(OFFSET('Luu chuyen tien te'!$BL10,0,0,1,'Thong tin'!$C$9))</f>
        <v>-173991944</v>
      </c>
      <c r="E16" s="386">
        <f ca="1">SUM(OFFSET('Luu chuyen tien te'!$AZ10,0,0,1,'Thong tin'!$C$9))</f>
        <v>-146895155</v>
      </c>
    </row>
    <row r="17" spans="1:5">
      <c r="A17" s="385" t="s">
        <v>203</v>
      </c>
      <c r="B17" s="386">
        <f ca="1">OFFSET('Luu chuyen tien te'!$BL11,0,'Thong tin'!$C$9 - 1)</f>
        <v>0</v>
      </c>
      <c r="C17" s="386">
        <f ca="1">OFFSET('Luu chuyen tien te'!$AZ11,0,'Thong tin'!$C$9 - 1)</f>
        <v>0</v>
      </c>
      <c r="D17" s="386">
        <f ca="1">SUM(OFFSET('Luu chuyen tien te'!$BL11,0,0,1,'Thong tin'!$C$9))</f>
        <v>0</v>
      </c>
      <c r="E17" s="386">
        <f ca="1">SUM(OFFSET('Luu chuyen tien te'!$AZ11,0,0,1,'Thong tin'!$C$9))</f>
        <v>0</v>
      </c>
    </row>
    <row r="18" spans="1:5">
      <c r="A18" s="385" t="s">
        <v>204</v>
      </c>
      <c r="B18" s="386">
        <f ca="1">OFFSET('Luu chuyen tien te'!$BL12,0,'Thong tin'!$C$9 - 1)</f>
        <v>0</v>
      </c>
      <c r="C18" s="386">
        <f ca="1">OFFSET('Luu chuyen tien te'!$AZ12,0,'Thong tin'!$C$9 - 1)</f>
        <v>0</v>
      </c>
      <c r="D18" s="386">
        <f ca="1">SUM(OFFSET('Luu chuyen tien te'!$BL12,0,0,1,'Thong tin'!$C$9))</f>
        <v>0</v>
      </c>
      <c r="E18" s="386">
        <f ca="1">SUM(OFFSET('Luu chuyen tien te'!$AZ12,0,0,1,'Thong tin'!$C$9))</f>
        <v>0</v>
      </c>
    </row>
    <row r="19" spans="1:5" s="391" customFormat="1" ht="32.25" customHeight="1">
      <c r="A19" s="389" t="s">
        <v>205</v>
      </c>
      <c r="B19" s="390">
        <f t="shared" ref="B19:D19" ca="1" si="0">SUM(B11:B18)</f>
        <v>1346063993</v>
      </c>
      <c r="C19" s="390">
        <f t="shared" ref="C19" ca="1" si="1">SUM(C11:C18)</f>
        <v>283633257</v>
      </c>
      <c r="D19" s="390">
        <f t="shared" ca="1" si="0"/>
        <v>3610773115</v>
      </c>
      <c r="E19" s="390">
        <f t="shared" ref="E19" ca="1" si="2">SUM(E11:E18)</f>
        <v>1357785218</v>
      </c>
    </row>
    <row r="20" spans="1:5" s="391" customFormat="1">
      <c r="A20" s="392" t="s">
        <v>206</v>
      </c>
      <c r="B20" s="386">
        <f ca="1">OFFSET('Luu chuyen tien te'!$BL14,0,'Thong tin'!$C$9 - 1)</f>
        <v>-1577587338</v>
      </c>
      <c r="C20" s="386">
        <f ca="1">OFFSET('Luu chuyen tien te'!$AZ14,0,'Thong tin'!$C$9 - 1)</f>
        <v>281268289</v>
      </c>
      <c r="D20" s="386">
        <f ca="1">SUM(OFFSET('Luu chuyen tien te'!$BL14,0,0,1,'Thong tin'!$C$9))</f>
        <v>-2054330042</v>
      </c>
      <c r="E20" s="386">
        <f ca="1">SUM(OFFSET('Luu chuyen tien te'!$AZ14,0,0,1,'Thong tin'!$C$9))</f>
        <v>73324796</v>
      </c>
    </row>
    <row r="21" spans="1:5" s="391" customFormat="1">
      <c r="A21" s="392" t="s">
        <v>207</v>
      </c>
      <c r="B21" s="386">
        <f ca="1">OFFSET('Luu chuyen tien te'!$BL15,0,'Thong tin'!$C$9 - 1)</f>
        <v>590599954</v>
      </c>
      <c r="C21" s="386">
        <f ca="1">OFFSET('Luu chuyen tien te'!$AZ15,0,'Thong tin'!$C$9 - 1)</f>
        <v>-1013857236</v>
      </c>
      <c r="D21" s="386">
        <f ca="1">SUM(OFFSET('Luu chuyen tien te'!$BL15,0,0,1,'Thong tin'!$C$9))</f>
        <v>-243263570</v>
      </c>
      <c r="E21" s="386">
        <f ca="1">SUM(OFFSET('Luu chuyen tien te'!$AZ15,0,0,1,'Thong tin'!$C$9))</f>
        <v>-2947987348</v>
      </c>
    </row>
    <row r="22" spans="1:5" s="391" customFormat="1" ht="30" customHeight="1">
      <c r="A22" s="393" t="s">
        <v>208</v>
      </c>
      <c r="B22" s="386">
        <f ca="1">OFFSET('Luu chuyen tien te'!$BL16,0,'Thong tin'!$C$9 - 1)</f>
        <v>311349763</v>
      </c>
      <c r="C22" s="386">
        <f ca="1">OFFSET('Luu chuyen tien te'!$AZ16,0,'Thong tin'!$C$9 - 1)</f>
        <v>105251008</v>
      </c>
      <c r="D22" s="386">
        <f ca="1">SUM(OFFSET('Luu chuyen tien te'!$BL16,0,0,1,'Thong tin'!$C$9))</f>
        <v>48780636</v>
      </c>
      <c r="E22" s="386">
        <f ca="1">SUM(OFFSET('Luu chuyen tien te'!$AZ16,0,0,1,'Thong tin'!$C$9))</f>
        <v>-153232421</v>
      </c>
    </row>
    <row r="23" spans="1:5" s="391" customFormat="1">
      <c r="A23" s="392" t="s">
        <v>209</v>
      </c>
      <c r="B23" s="386">
        <f ca="1">OFFSET('Luu chuyen tien te'!$BL17,0,'Thong tin'!$C$9 - 1)</f>
        <v>-261200000</v>
      </c>
      <c r="C23" s="386">
        <f ca="1">OFFSET('Luu chuyen tien te'!$AZ17,0,'Thong tin'!$C$9 - 1)</f>
        <v>-537700000</v>
      </c>
      <c r="D23" s="386">
        <f ca="1">SUM(OFFSET('Luu chuyen tien te'!$BL17,0,0,1,'Thong tin'!$C$9))</f>
        <v>-752647869</v>
      </c>
      <c r="E23" s="386">
        <f ca="1">SUM(OFFSET('Luu chuyen tien te'!$AZ17,0,0,1,'Thong tin'!$C$9))</f>
        <v>-1008878143</v>
      </c>
    </row>
    <row r="24" spans="1:5" s="391" customFormat="1">
      <c r="A24" s="392" t="s">
        <v>210</v>
      </c>
      <c r="B24" s="386">
        <f ca="1">OFFSET('Luu chuyen tien te'!$BL18,0,'Thong tin'!$C$9 - 1)</f>
        <v>0</v>
      </c>
      <c r="C24" s="386">
        <f ca="1">OFFSET('Luu chuyen tien te'!$AZ18,0,'Thong tin'!$C$9 - 1)</f>
        <v>0</v>
      </c>
      <c r="D24" s="386">
        <f ca="1">SUM(OFFSET('Luu chuyen tien te'!$BL18,0,0,1,'Thong tin'!$C$9))</f>
        <v>0</v>
      </c>
      <c r="E24" s="386">
        <f ca="1">SUM(OFFSET('Luu chuyen tien te'!$AZ18,0,0,1,'Thong tin'!$C$9))</f>
        <v>0</v>
      </c>
    </row>
    <row r="25" spans="1:5" s="391" customFormat="1">
      <c r="A25" s="392" t="s">
        <v>211</v>
      </c>
      <c r="B25" s="386">
        <f ca="1">OFFSET('Luu chuyen tien te'!$BL19,0,'Thong tin'!$C$9 - 1)</f>
        <v>0</v>
      </c>
      <c r="C25" s="386">
        <f ca="1">OFFSET('Luu chuyen tien te'!$AZ19,0,'Thong tin'!$C$9 - 1)</f>
        <v>0</v>
      </c>
      <c r="D25" s="386">
        <f ca="1">SUM(OFFSET('Luu chuyen tien te'!$BL19,0,0,1,'Thong tin'!$C$9))</f>
        <v>0</v>
      </c>
      <c r="E25" s="386">
        <f ca="1">SUM(OFFSET('Luu chuyen tien te'!$AZ19,0,0,1,'Thong tin'!$C$9))</f>
        <v>0</v>
      </c>
    </row>
    <row r="26" spans="1:5" s="391" customFormat="1">
      <c r="A26" s="392" t="s">
        <v>212</v>
      </c>
      <c r="B26" s="386">
        <f ca="1">OFFSET('Luu chuyen tien te'!$BL20,0,'Thong tin'!$C$9 - 1)</f>
        <v>0</v>
      </c>
      <c r="C26" s="386">
        <f ca="1">OFFSET('Luu chuyen tien te'!$AZ20,0,'Thong tin'!$C$9 - 1)</f>
        <v>0</v>
      </c>
      <c r="D26" s="386">
        <f ca="1">SUM(OFFSET('Luu chuyen tien te'!$BL20,0,0,1,'Thong tin'!$C$9))</f>
        <v>0</v>
      </c>
      <c r="E26" s="386">
        <f ca="1">SUM(OFFSET('Luu chuyen tien te'!$AZ20,0,0,1,'Thong tin'!$C$9))</f>
        <v>0</v>
      </c>
    </row>
    <row r="27" spans="1:5" s="391" customFormat="1">
      <c r="A27" s="392" t="s">
        <v>213</v>
      </c>
      <c r="B27" s="386">
        <f ca="1">OFFSET('Luu chuyen tien te'!$BL21,0,'Thong tin'!$C$9 - 1)</f>
        <v>0</v>
      </c>
      <c r="C27" s="386">
        <f ca="1">OFFSET('Luu chuyen tien te'!$AZ21,0,'Thong tin'!$C$9 - 1)</f>
        <v>0</v>
      </c>
      <c r="D27" s="386">
        <f ca="1">SUM(OFFSET('Luu chuyen tien te'!$BL21,0,0,1,'Thong tin'!$C$9))</f>
        <v>0</v>
      </c>
      <c r="E27" s="386">
        <f ca="1">SUM(OFFSET('Luu chuyen tien te'!$AZ21,0,0,1,'Thong tin'!$C$9))</f>
        <v>0</v>
      </c>
    </row>
    <row r="28" spans="1:5" s="391" customFormat="1">
      <c r="A28" s="392" t="s">
        <v>214</v>
      </c>
      <c r="B28" s="386">
        <f ca="1">OFFSET('Luu chuyen tien te'!$BL22,0,'Thong tin'!$C$9 - 1)</f>
        <v>0</v>
      </c>
      <c r="C28" s="386">
        <f ca="1">OFFSET('Luu chuyen tien te'!$AZ22,0,'Thong tin'!$C$9 - 1)</f>
        <v>0</v>
      </c>
      <c r="D28" s="386">
        <f ca="1">SUM(OFFSET('Luu chuyen tien te'!$BL22,0,0,1,'Thong tin'!$C$9))</f>
        <v>0</v>
      </c>
      <c r="E28" s="386">
        <f ca="1">SUM(OFFSET('Luu chuyen tien te'!$AZ22,0,0,1,'Thong tin'!$C$9))</f>
        <v>0</v>
      </c>
    </row>
    <row r="29" spans="1:5" s="391" customFormat="1" ht="29.25" customHeight="1">
      <c r="A29" s="389" t="s">
        <v>215</v>
      </c>
      <c r="B29" s="383">
        <f ca="1">SUM(B19:B28)</f>
        <v>409226372</v>
      </c>
      <c r="C29" s="383">
        <f t="shared" ref="C29:E29" ca="1" si="3">SUM(C19:C28)</f>
        <v>-881404682</v>
      </c>
      <c r="D29" s="383">
        <f t="shared" ca="1" si="3"/>
        <v>609312270</v>
      </c>
      <c r="E29" s="383">
        <f t="shared" ca="1" si="3"/>
        <v>-2678987898</v>
      </c>
    </row>
    <row r="30" spans="1:5" ht="18.75" customHeight="1">
      <c r="A30" s="394" t="s">
        <v>216</v>
      </c>
      <c r="B30" s="395"/>
      <c r="C30" s="395"/>
      <c r="D30" s="395"/>
      <c r="E30" s="395"/>
    </row>
    <row r="31" spans="1:5" s="397" customFormat="1" ht="30" customHeight="1">
      <c r="A31" s="396" t="s">
        <v>217</v>
      </c>
      <c r="B31" s="386">
        <f ca="1">OFFSET('Luu chuyen tien te'!$BL25,0,'Thong tin'!$C$9 - 1)</f>
        <v>-928578104</v>
      </c>
      <c r="C31" s="386">
        <f ca="1">OFFSET('Luu chuyen tien te'!$AZ25,0,'Thong tin'!$C$9 - 1)</f>
        <v>0</v>
      </c>
      <c r="D31" s="386">
        <f ca="1">SUM(OFFSET('Luu chuyen tien te'!$BL25,0,0,1,'Thong tin'!$C$9))</f>
        <v>-1902393104</v>
      </c>
      <c r="E31" s="386">
        <f ca="1">SUM(OFFSET('Luu chuyen tien te'!$AZ25,0,0,1,'Thong tin'!$C$9))</f>
        <v>-332455515</v>
      </c>
    </row>
    <row r="32" spans="1:5" s="397" customFormat="1" ht="30" customHeight="1">
      <c r="A32" s="396" t="s">
        <v>218</v>
      </c>
      <c r="B32" s="386">
        <f ca="1">OFFSET('Luu chuyen tien te'!$BL26,0,'Thong tin'!$C$9 - 1)</f>
        <v>0</v>
      </c>
      <c r="C32" s="386">
        <f ca="1">OFFSET('Luu chuyen tien te'!$AZ26,0,'Thong tin'!$C$9 - 1)</f>
        <v>0</v>
      </c>
      <c r="D32" s="386">
        <f ca="1">SUM(OFFSET('Luu chuyen tien te'!$BL26,0,0,1,'Thong tin'!$C$9))</f>
        <v>0</v>
      </c>
      <c r="E32" s="386">
        <f ca="1">SUM(OFFSET('Luu chuyen tien te'!$AZ26,0,0,1,'Thong tin'!$C$9))</f>
        <v>0</v>
      </c>
    </row>
    <row r="33" spans="1:5" ht="30" customHeight="1">
      <c r="A33" s="396" t="s">
        <v>219</v>
      </c>
      <c r="B33" s="386">
        <f ca="1">OFFSET('Luu chuyen tien te'!$BL27,0,'Thong tin'!$C$9 - 1)</f>
        <v>0</v>
      </c>
      <c r="C33" s="386">
        <f ca="1">OFFSET('Luu chuyen tien te'!$AZ27,0,'Thong tin'!$C$9 - 1)</f>
        <v>0</v>
      </c>
      <c r="D33" s="386">
        <f ca="1">SUM(OFFSET('Luu chuyen tien te'!$BL27,0,0,1,'Thong tin'!$C$9))</f>
        <v>0</v>
      </c>
      <c r="E33" s="386">
        <f ca="1">SUM(OFFSET('Luu chuyen tien te'!$AZ27,0,0,1,'Thong tin'!$C$9))</f>
        <v>0</v>
      </c>
    </row>
    <row r="34" spans="1:5" ht="29.25" customHeight="1">
      <c r="A34" s="396" t="s">
        <v>220</v>
      </c>
      <c r="B34" s="386">
        <f ca="1">OFFSET('Luu chuyen tien te'!$BL28,0,'Thong tin'!$C$9 - 1)</f>
        <v>0</v>
      </c>
      <c r="C34" s="386">
        <f ca="1">OFFSET('Luu chuyen tien te'!$AZ28,0,'Thong tin'!$C$9 - 1)</f>
        <v>0</v>
      </c>
      <c r="D34" s="386">
        <f ca="1">SUM(OFFSET('Luu chuyen tien te'!$BL28,0,0,1,'Thong tin'!$C$9))</f>
        <v>0</v>
      </c>
      <c r="E34" s="386">
        <f ca="1">SUM(OFFSET('Luu chuyen tien te'!$AZ28,0,0,1,'Thong tin'!$C$9))</f>
        <v>0</v>
      </c>
    </row>
    <row r="35" spans="1:5" ht="18" customHeight="1">
      <c r="A35" s="398" t="s">
        <v>221</v>
      </c>
      <c r="B35" s="386">
        <f ca="1">OFFSET('Luu chuyen tien te'!$BL29,0,'Thong tin'!$C$9 - 1)</f>
        <v>0</v>
      </c>
      <c r="C35" s="386">
        <f ca="1">OFFSET('Luu chuyen tien te'!$AZ29,0,'Thong tin'!$C$9 - 1)</f>
        <v>0</v>
      </c>
      <c r="D35" s="386">
        <f ca="1">SUM(OFFSET('Luu chuyen tien te'!$BL29,0,0,1,'Thong tin'!$C$9))</f>
        <v>0</v>
      </c>
      <c r="E35" s="386">
        <f ca="1">SUM(OFFSET('Luu chuyen tien te'!$AZ29,0,0,1,'Thong tin'!$C$9))</f>
        <v>0</v>
      </c>
    </row>
    <row r="36" spans="1:5" ht="18" customHeight="1">
      <c r="A36" s="398" t="s">
        <v>222</v>
      </c>
      <c r="B36" s="386">
        <f ca="1">OFFSET('Luu chuyen tien te'!$BL30,0,'Thong tin'!$C$9 - 1)</f>
        <v>0</v>
      </c>
      <c r="C36" s="386">
        <f ca="1">OFFSET('Luu chuyen tien te'!$AZ30,0,'Thong tin'!$C$9 - 1)</f>
        <v>0</v>
      </c>
      <c r="D36" s="386">
        <f ca="1">SUM(OFFSET('Luu chuyen tien te'!$BL30,0,0,1,'Thong tin'!$C$9))</f>
        <v>0</v>
      </c>
      <c r="E36" s="386">
        <f ca="1">SUM(OFFSET('Luu chuyen tien te'!$AZ30,0,0,1,'Thong tin'!$C$9))</f>
        <v>0</v>
      </c>
    </row>
    <row r="37" spans="1:5" s="397" customFormat="1" ht="30" customHeight="1">
      <c r="A37" s="396" t="s">
        <v>223</v>
      </c>
      <c r="B37" s="386">
        <f ca="1">OFFSET('Luu chuyen tien te'!$BL31,0,'Thong tin'!$C$9 - 1)</f>
        <v>11002030</v>
      </c>
      <c r="C37" s="386">
        <f ca="1">OFFSET('Luu chuyen tien te'!$AZ31,0,'Thong tin'!$C$9 - 1)</f>
        <v>11106781</v>
      </c>
      <c r="D37" s="386">
        <f ca="1">SUM(OFFSET('Luu chuyen tien te'!$BL31,0,0,1,'Thong tin'!$C$9))</f>
        <v>173991944</v>
      </c>
      <c r="E37" s="386">
        <f ca="1">SUM(OFFSET('Luu chuyen tien te'!$AZ31,0,0,1,'Thong tin'!$C$9))</f>
        <v>146895155</v>
      </c>
    </row>
    <row r="38" spans="1:5" s="391" customFormat="1" ht="18" customHeight="1">
      <c r="A38" s="382" t="s">
        <v>224</v>
      </c>
      <c r="B38" s="399">
        <f t="shared" ref="B38:D38" ca="1" si="4">SUM(B31:B37)</f>
        <v>-917576074</v>
      </c>
      <c r="C38" s="399">
        <f t="shared" ca="1" si="4"/>
        <v>11106781</v>
      </c>
      <c r="D38" s="399">
        <f t="shared" ca="1" si="4"/>
        <v>-1728401160</v>
      </c>
      <c r="E38" s="399">
        <f t="shared" ref="E38" ca="1" si="5">SUM(E31:E37)</f>
        <v>-185560360</v>
      </c>
    </row>
    <row r="39" spans="1:5" ht="20.25" customHeight="1">
      <c r="A39" s="394" t="s">
        <v>225</v>
      </c>
      <c r="B39" s="395"/>
      <c r="C39" s="395"/>
      <c r="D39" s="395"/>
      <c r="E39" s="395"/>
    </row>
    <row r="40" spans="1:5" ht="30" customHeight="1">
      <c r="A40" s="400" t="s">
        <v>226</v>
      </c>
      <c r="B40" s="386">
        <f ca="1">OFFSET('Luu chuyen tien te'!$BL34,0,'Thong tin'!$C$9 - 1)</f>
        <v>0</v>
      </c>
      <c r="C40" s="386">
        <f ca="1">OFFSET('Luu chuyen tien te'!$AZ34,0,'Thong tin'!$C$9 - 1)</f>
        <v>0</v>
      </c>
      <c r="D40" s="386">
        <f ca="1">SUM(OFFSET('Luu chuyen tien te'!$BL34,0,0,1,'Thong tin'!$C$9))</f>
        <v>0</v>
      </c>
      <c r="E40" s="386">
        <f ca="1">SUM(OFFSET('Luu chuyen tien te'!$AZ34,0,0,1,'Thong tin'!$C$9))</f>
        <v>0</v>
      </c>
    </row>
    <row r="41" spans="1:5" s="397" customFormat="1" ht="30" customHeight="1">
      <c r="A41" s="400" t="s">
        <v>227</v>
      </c>
      <c r="B41" s="386">
        <f ca="1">OFFSET('Luu chuyen tien te'!$BL35,0,'Thong tin'!$C$9 - 1)</f>
        <v>0</v>
      </c>
      <c r="C41" s="386">
        <f ca="1">OFFSET('Luu chuyen tien te'!$AZ35,0,'Thong tin'!$C$9 - 1)</f>
        <v>0</v>
      </c>
      <c r="D41" s="386">
        <f ca="1">SUM(OFFSET('Luu chuyen tien te'!$BL35,0,0,1,'Thong tin'!$C$9))</f>
        <v>0</v>
      </c>
      <c r="E41" s="386">
        <f ca="1">SUM(OFFSET('Luu chuyen tien te'!$AZ35,0,0,1,'Thong tin'!$C$9))</f>
        <v>0</v>
      </c>
    </row>
    <row r="42" spans="1:5">
      <c r="A42" s="401" t="s">
        <v>228</v>
      </c>
      <c r="B42" s="386">
        <f ca="1">OFFSET('Luu chuyen tien te'!$BL36,0,'Thong tin'!$C$9 - 1)</f>
        <v>0</v>
      </c>
      <c r="C42" s="386">
        <f ca="1">OFFSET('Luu chuyen tien te'!$AZ36,0,'Thong tin'!$C$9 - 1)</f>
        <v>0</v>
      </c>
      <c r="D42" s="386">
        <f ca="1">SUM(OFFSET('Luu chuyen tien te'!$BL36,0,0,1,'Thong tin'!$C$9))</f>
        <v>0</v>
      </c>
      <c r="E42" s="386">
        <f ca="1">SUM(OFFSET('Luu chuyen tien te'!$AZ36,0,0,1,'Thong tin'!$C$9))</f>
        <v>0</v>
      </c>
    </row>
    <row r="43" spans="1:5">
      <c r="A43" s="401" t="s">
        <v>229</v>
      </c>
      <c r="B43" s="386">
        <f ca="1">OFFSET('Luu chuyen tien te'!$BL37,0,'Thong tin'!$C$9 - 1)</f>
        <v>0</v>
      </c>
      <c r="C43" s="386">
        <f ca="1">OFFSET('Luu chuyen tien te'!$AZ37,0,'Thong tin'!$C$9 - 1)</f>
        <v>0</v>
      </c>
      <c r="D43" s="386">
        <f ca="1">SUM(OFFSET('Luu chuyen tien te'!$BL37,0,0,1,'Thong tin'!$C$9))</f>
        <v>0</v>
      </c>
      <c r="E43" s="386">
        <f ca="1">SUM(OFFSET('Luu chuyen tien te'!$AZ37,0,0,1,'Thong tin'!$C$9))</f>
        <v>0</v>
      </c>
    </row>
    <row r="44" spans="1:5">
      <c r="A44" s="401" t="s">
        <v>230</v>
      </c>
      <c r="B44" s="386">
        <f ca="1">OFFSET('Luu chuyen tien te'!$BL38,0,'Thong tin'!$C$9 - 1)</f>
        <v>0</v>
      </c>
      <c r="C44" s="386">
        <f ca="1">OFFSET('Luu chuyen tien te'!$AZ38,0,'Thong tin'!$C$9 - 1)</f>
        <v>0</v>
      </c>
      <c r="D44" s="386">
        <f ca="1">SUM(OFFSET('Luu chuyen tien te'!$BL38,0,0,1,'Thong tin'!$C$9))</f>
        <v>0</v>
      </c>
      <c r="E44" s="386">
        <f ca="1">SUM(OFFSET('Luu chuyen tien te'!$AZ38,0,0,1,'Thong tin'!$C$9))</f>
        <v>0</v>
      </c>
    </row>
    <row r="45" spans="1:5">
      <c r="A45" s="401" t="s">
        <v>231</v>
      </c>
      <c r="B45" s="386">
        <f ca="1">OFFSET('Luu chuyen tien te'!$BL39,0,'Thong tin'!$C$9 - 1)</f>
        <v>0</v>
      </c>
      <c r="C45" s="386">
        <f ca="1">OFFSET('Luu chuyen tien te'!$AZ39,0,'Thong tin'!$C$9 - 1)</f>
        <v>0</v>
      </c>
      <c r="D45" s="386">
        <f ca="1">SUM(OFFSET('Luu chuyen tien te'!$BL39,0,0,1,'Thong tin'!$C$9))</f>
        <v>0</v>
      </c>
      <c r="E45" s="386">
        <f ca="1">SUM(OFFSET('Luu chuyen tien te'!$AZ39,0,0,1,'Thong tin'!$C$9))</f>
        <v>0</v>
      </c>
    </row>
    <row r="46" spans="1:5" s="391" customFormat="1" ht="18" customHeight="1">
      <c r="A46" s="402" t="s">
        <v>232</v>
      </c>
      <c r="B46" s="383">
        <f t="shared" ref="B46:E46" ca="1" si="6">SUM(B40:B45)</f>
        <v>0</v>
      </c>
      <c r="C46" s="383">
        <f t="shared" ca="1" si="6"/>
        <v>0</v>
      </c>
      <c r="D46" s="383">
        <f t="shared" ca="1" si="6"/>
        <v>0</v>
      </c>
      <c r="E46" s="383">
        <f t="shared" ca="1" si="6"/>
        <v>0</v>
      </c>
    </row>
    <row r="47" spans="1:5" s="391" customFormat="1" ht="18" customHeight="1">
      <c r="A47" s="402" t="s">
        <v>233</v>
      </c>
      <c r="B47" s="383">
        <f ca="1">SUM(B29,B38,B46)</f>
        <v>-508349702</v>
      </c>
      <c r="C47" s="383">
        <f t="shared" ref="C47:E47" ca="1" si="7">SUM(C29,C38,C46)</f>
        <v>-870297901</v>
      </c>
      <c r="D47" s="383">
        <f t="shared" ca="1" si="7"/>
        <v>-1119088890</v>
      </c>
      <c r="E47" s="383">
        <f t="shared" ca="1" si="7"/>
        <v>-2864548258</v>
      </c>
    </row>
    <row r="48" spans="1:5" s="391" customFormat="1" ht="18" customHeight="1">
      <c r="A48" s="402" t="s">
        <v>234</v>
      </c>
      <c r="B48" s="403">
        <f ca="1">OFFSET('Luu chuyen tien te'!$BL42,0,'Thong tin'!$C$9 - 1)</f>
        <v>12076511328</v>
      </c>
      <c r="C48" s="403">
        <f ca="1">OFFSET('Luu chuyen tien te'!$AZ42,0,'Thong tin'!$C$9 - 1)</f>
        <v>9077992753</v>
      </c>
      <c r="D48" s="383">
        <f>'Luu chuyen tien te'!BL42</f>
        <v>12687250516</v>
      </c>
      <c r="E48" s="403">
        <f>'Luu chuyen tien te'!AZ42</f>
        <v>11072243110</v>
      </c>
    </row>
    <row r="49" spans="1:6" ht="30" customHeight="1">
      <c r="A49" s="400" t="s">
        <v>235</v>
      </c>
      <c r="B49" s="386">
        <f ca="1">OFFSET('Luu chuyen tien te'!$BL43,0,'Thong tin'!$C$9 - 1)</f>
        <v>0</v>
      </c>
      <c r="C49" s="386">
        <f ca="1">OFFSET('Luu chuyen tien te'!$AZ43,0,'Thong tin'!$C$9 - 1)</f>
        <v>0</v>
      </c>
      <c r="D49" s="386">
        <f ca="1">SUM(OFFSET('Luu chuyen tien te'!$BL43,0,0,1,'Thong tin'!$C$9))</f>
        <v>0</v>
      </c>
      <c r="E49" s="386">
        <f ca="1">SUM(OFFSET('Luu chuyen tien te'!$AZ43,0,0,1,'Thong tin'!$C$9))</f>
        <v>0</v>
      </c>
    </row>
    <row r="50" spans="1:6" s="341" customFormat="1" ht="18" customHeight="1">
      <c r="A50" s="404" t="s">
        <v>236</v>
      </c>
      <c r="B50" s="405">
        <f ca="1">SUM(B47:B49)</f>
        <v>11568161626</v>
      </c>
      <c r="C50" s="405">
        <f t="shared" ref="C50:E50" ca="1" si="8">SUM(C47:C49)</f>
        <v>8207694852</v>
      </c>
      <c r="D50" s="405">
        <f t="shared" ca="1" si="8"/>
        <v>11568161626</v>
      </c>
      <c r="E50" s="405">
        <f t="shared" ca="1" si="8"/>
        <v>8207694852</v>
      </c>
      <c r="F50" s="406"/>
    </row>
    <row r="51" spans="1:6" ht="17.25" customHeight="1">
      <c r="A51" s="407"/>
      <c r="B51" s="408">
        <v>0</v>
      </c>
      <c r="C51" s="408">
        <v>0</v>
      </c>
      <c r="D51" s="408">
        <v>0</v>
      </c>
      <c r="E51" s="408">
        <v>0</v>
      </c>
    </row>
    <row r="52" spans="1:6">
      <c r="B52" s="615"/>
      <c r="C52" s="615"/>
      <c r="D52" s="615" t="str">
        <f>'KQKD in'!F32</f>
        <v>Lập, ngày 05 tháng 06 năm 2026</v>
      </c>
      <c r="E52" s="615"/>
    </row>
    <row r="53" spans="1:6" ht="22.5" customHeight="1">
      <c r="A53" s="325" t="s">
        <v>9</v>
      </c>
      <c r="D53" s="616" t="str">
        <f>'Thong tin'!B18</f>
        <v>TRƯỞNG TRẠM THU MUA</v>
      </c>
      <c r="E53" s="616"/>
    </row>
    <row r="54" spans="1:6">
      <c r="C54" s="375"/>
    </row>
    <row r="55" spans="1:6">
      <c r="C55" s="375"/>
    </row>
    <row r="56" spans="1:6">
      <c r="C56" s="375"/>
    </row>
    <row r="57" spans="1:6">
      <c r="C57" s="375"/>
    </row>
    <row r="58" spans="1:6">
      <c r="C58" s="375"/>
    </row>
    <row r="59" spans="1:6" s="270" customFormat="1">
      <c r="A59" s="324" t="str">
        <f>'Thong tin'!B13</f>
        <v>Lê Thùy Ngân</v>
      </c>
      <c r="B59" s="589"/>
      <c r="C59" s="589"/>
      <c r="D59" s="589" t="str">
        <f>'Thong tin'!B19</f>
        <v>Nguyễn Nhật Bằng</v>
      </c>
      <c r="E59" s="589"/>
    </row>
  </sheetData>
  <mergeCells count="11">
    <mergeCell ref="B52:C52"/>
    <mergeCell ref="D52:E52"/>
    <mergeCell ref="D53:E53"/>
    <mergeCell ref="B59:C59"/>
    <mergeCell ref="D59:E59"/>
    <mergeCell ref="A4:E4"/>
    <mergeCell ref="A5:E5"/>
    <mergeCell ref="A6:E6"/>
    <mergeCell ref="A8:A9"/>
    <mergeCell ref="B8:C8"/>
    <mergeCell ref="D8:E8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24C4-CDB9-42F6-98EF-F8CA5774C3A5}">
  <sheetPr>
    <tabColor theme="9" tint="0.59999389629810485"/>
    <outlinePr summaryBelow="0" summaryRight="0"/>
  </sheetPr>
  <dimension ref="A1:BW250"/>
  <sheetViews>
    <sheetView showGridLines="0" showZeros="0" zoomScale="80" zoomScaleNormal="80" workbookViewId="0">
      <pane xSplit="2" ySplit="3" topLeftCell="BM114" activePane="bottomRight" state="frozenSplit"/>
      <selection pane="topRight" activeCell="AZ4" sqref="AZ4"/>
      <selection pane="bottomLeft" activeCell="AZ4" sqref="AZ4"/>
      <selection pane="bottomRight" activeCell="BP68" sqref="BP68"/>
    </sheetView>
  </sheetViews>
  <sheetFormatPr defaultColWidth="9.36328125" defaultRowHeight="15" customHeight="1"/>
  <cols>
    <col min="1" max="1" width="15.54296875" style="94" hidden="1" customWidth="1"/>
    <col min="2" max="2" width="49.90625" style="95" customWidth="1"/>
    <col min="3" max="3" width="8.36328125" style="96" hidden="1" customWidth="1"/>
    <col min="4" max="51" width="18.36328125" style="95" customWidth="1"/>
    <col min="52" max="75" width="18.36328125" style="95" bestFit="1" customWidth="1"/>
    <col min="76" max="16384" width="9.36328125" style="46"/>
  </cols>
  <sheetData>
    <row r="1" spans="1:75" ht="19.5" customHeight="1">
      <c r="A1" s="42"/>
      <c r="B1" s="43" t="s">
        <v>0</v>
      </c>
      <c r="C1" s="44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5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</row>
    <row r="2" spans="1:75" ht="19.5" customHeight="1">
      <c r="A2" s="42"/>
      <c r="B2" s="47" t="s">
        <v>237</v>
      </c>
      <c r="C2" s="48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5"/>
      <c r="AO2" s="42"/>
      <c r="AP2" s="42"/>
      <c r="AQ2" s="42"/>
      <c r="AR2" s="42"/>
      <c r="AS2" s="42"/>
      <c r="AT2" s="42"/>
      <c r="AU2" s="42"/>
      <c r="AV2" s="49"/>
      <c r="AW2" s="42"/>
      <c r="AX2" s="42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</row>
    <row r="3" spans="1:75" ht="28">
      <c r="A3" s="51" t="s">
        <v>238</v>
      </c>
      <c r="B3" s="52" t="s">
        <v>239</v>
      </c>
      <c r="C3" s="53" t="s">
        <v>240</v>
      </c>
      <c r="D3" s="51" t="s">
        <v>241</v>
      </c>
      <c r="E3" s="51" t="s">
        <v>242</v>
      </c>
      <c r="F3" s="51" t="s">
        <v>243</v>
      </c>
      <c r="G3" s="51" t="s">
        <v>244</v>
      </c>
      <c r="H3" s="51" t="s">
        <v>245</v>
      </c>
      <c r="I3" s="51" t="s">
        <v>246</v>
      </c>
      <c r="J3" s="51" t="s">
        <v>247</v>
      </c>
      <c r="K3" s="51" t="s">
        <v>248</v>
      </c>
      <c r="L3" s="51" t="s">
        <v>249</v>
      </c>
      <c r="M3" s="51" t="s">
        <v>250</v>
      </c>
      <c r="N3" s="51" t="s">
        <v>251</v>
      </c>
      <c r="O3" s="51" t="s">
        <v>252</v>
      </c>
      <c r="P3" s="51" t="s">
        <v>253</v>
      </c>
      <c r="Q3" s="51" t="s">
        <v>254</v>
      </c>
      <c r="R3" s="51" t="s">
        <v>255</v>
      </c>
      <c r="S3" s="51" t="s">
        <v>256</v>
      </c>
      <c r="T3" s="51" t="s">
        <v>257</v>
      </c>
      <c r="U3" s="51" t="s">
        <v>258</v>
      </c>
      <c r="V3" s="51" t="s">
        <v>259</v>
      </c>
      <c r="W3" s="51" t="s">
        <v>260</v>
      </c>
      <c r="X3" s="51" t="s">
        <v>261</v>
      </c>
      <c r="Y3" s="51" t="s">
        <v>262</v>
      </c>
      <c r="Z3" s="51" t="s">
        <v>263</v>
      </c>
      <c r="AA3" s="51" t="s">
        <v>264</v>
      </c>
      <c r="AB3" s="51" t="s">
        <v>265</v>
      </c>
      <c r="AC3" s="51" t="s">
        <v>266</v>
      </c>
      <c r="AD3" s="51" t="s">
        <v>267</v>
      </c>
      <c r="AE3" s="51" t="s">
        <v>268</v>
      </c>
      <c r="AF3" s="51" t="s">
        <v>269</v>
      </c>
      <c r="AG3" s="51" t="s">
        <v>270</v>
      </c>
      <c r="AH3" s="51" t="s">
        <v>271</v>
      </c>
      <c r="AI3" s="51" t="s">
        <v>272</v>
      </c>
      <c r="AJ3" s="51" t="s">
        <v>273</v>
      </c>
      <c r="AK3" s="51" t="s">
        <v>274</v>
      </c>
      <c r="AL3" s="51" t="s">
        <v>275</v>
      </c>
      <c r="AM3" s="51" t="s">
        <v>276</v>
      </c>
      <c r="AN3" s="53" t="s">
        <v>277</v>
      </c>
      <c r="AO3" s="51" t="s">
        <v>278</v>
      </c>
      <c r="AP3" s="53" t="s">
        <v>279</v>
      </c>
      <c r="AQ3" s="53" t="s">
        <v>280</v>
      </c>
      <c r="AR3" s="53" t="s">
        <v>281</v>
      </c>
      <c r="AS3" s="53" t="s">
        <v>282</v>
      </c>
      <c r="AT3" s="53" t="s">
        <v>283</v>
      </c>
      <c r="AU3" s="51" t="s">
        <v>284</v>
      </c>
      <c r="AV3" s="54" t="s">
        <v>285</v>
      </c>
      <c r="AW3" s="54" t="s">
        <v>286</v>
      </c>
      <c r="AX3" s="54" t="s">
        <v>287</v>
      </c>
      <c r="AY3" s="54" t="s">
        <v>288</v>
      </c>
      <c r="AZ3" s="54" t="s">
        <v>289</v>
      </c>
      <c r="BA3" s="54" t="s">
        <v>290</v>
      </c>
      <c r="BB3" s="54" t="s">
        <v>291</v>
      </c>
      <c r="BC3" s="54" t="s">
        <v>292</v>
      </c>
      <c r="BD3" s="54" t="s">
        <v>293</v>
      </c>
      <c r="BE3" s="54" t="s">
        <v>294</v>
      </c>
      <c r="BF3" s="54" t="s">
        <v>295</v>
      </c>
      <c r="BG3" s="54" t="s">
        <v>296</v>
      </c>
      <c r="BH3" s="54" t="s">
        <v>297</v>
      </c>
      <c r="BI3" s="54" t="s">
        <v>298</v>
      </c>
      <c r="BJ3" s="54" t="s">
        <v>299</v>
      </c>
      <c r="BK3" s="54" t="s">
        <v>300</v>
      </c>
      <c r="BL3" s="54" t="s">
        <v>301</v>
      </c>
      <c r="BM3" s="54" t="s">
        <v>302</v>
      </c>
      <c r="BN3" s="54" t="s">
        <v>303</v>
      </c>
      <c r="BO3" s="54" t="s">
        <v>304</v>
      </c>
      <c r="BP3" s="54" t="s">
        <v>305</v>
      </c>
      <c r="BQ3" s="54" t="s">
        <v>306</v>
      </c>
      <c r="BR3" s="54" t="s">
        <v>307</v>
      </c>
      <c r="BS3" s="54" t="s">
        <v>308</v>
      </c>
      <c r="BT3" s="54" t="s">
        <v>309</v>
      </c>
      <c r="BU3" s="54" t="s">
        <v>310</v>
      </c>
      <c r="BV3" s="54" t="s">
        <v>311</v>
      </c>
      <c r="BW3" s="54" t="s">
        <v>312</v>
      </c>
    </row>
    <row r="4" spans="1:75" ht="15" customHeight="1">
      <c r="A4" s="55">
        <v>1</v>
      </c>
      <c r="B4" s="56" t="s">
        <v>313</v>
      </c>
      <c r="C4" s="55">
        <v>8</v>
      </c>
      <c r="D4" s="1">
        <v>3358139575</v>
      </c>
      <c r="E4" s="1">
        <v>3953893142</v>
      </c>
      <c r="F4" s="1">
        <v>4528675513</v>
      </c>
      <c r="G4" s="1">
        <v>4640575502</v>
      </c>
      <c r="H4" s="1">
        <v>4703591381</v>
      </c>
      <c r="I4" s="1">
        <v>4530310202</v>
      </c>
      <c r="J4" s="1">
        <v>4519407013</v>
      </c>
      <c r="K4" s="1">
        <v>4509037112</v>
      </c>
      <c r="L4" s="1">
        <v>4182253135</v>
      </c>
      <c r="M4" s="1">
        <v>4167597972</v>
      </c>
      <c r="N4" s="1">
        <v>4348764088</v>
      </c>
      <c r="O4" s="1">
        <v>3976721052</v>
      </c>
      <c r="P4" s="1">
        <v>6201576506</v>
      </c>
      <c r="Q4" s="1">
        <v>6063724026</v>
      </c>
      <c r="R4" s="1">
        <v>7737636665</v>
      </c>
      <c r="S4" s="1">
        <v>12729463995</v>
      </c>
      <c r="T4" s="1">
        <v>15373589270</v>
      </c>
      <c r="U4" s="1">
        <v>14642410791</v>
      </c>
      <c r="V4" s="1">
        <v>14411380496</v>
      </c>
      <c r="W4" s="1">
        <v>18979581426</v>
      </c>
      <c r="X4" s="1">
        <v>18489393195</v>
      </c>
      <c r="Y4" s="1">
        <v>18081772557</v>
      </c>
      <c r="Z4" s="1">
        <v>20108069630</v>
      </c>
      <c r="AA4" s="1">
        <v>21430716975</v>
      </c>
      <c r="AB4" s="1">
        <v>18530493258</v>
      </c>
      <c r="AC4" s="1">
        <v>18016844387</v>
      </c>
      <c r="AD4" s="1">
        <v>16407079840</v>
      </c>
      <c r="AE4" s="1">
        <v>16621096157</v>
      </c>
      <c r="AF4" s="1">
        <v>15142789981</v>
      </c>
      <c r="AG4" s="1">
        <v>14842951388</v>
      </c>
      <c r="AH4" s="1">
        <v>13698033966</v>
      </c>
      <c r="AI4" s="1">
        <v>12815219742</v>
      </c>
      <c r="AJ4" s="1">
        <v>16417153221</v>
      </c>
      <c r="AK4" s="1">
        <v>18590520353</v>
      </c>
      <c r="AL4" s="1">
        <v>18749491220</v>
      </c>
      <c r="AM4" s="1">
        <v>19380683843</v>
      </c>
      <c r="AN4" s="1">
        <v>16655400779</v>
      </c>
      <c r="AO4" s="1">
        <v>16751161881</v>
      </c>
      <c r="AP4" s="1">
        <v>17586132451</v>
      </c>
      <c r="AQ4" s="1">
        <v>17633864126</v>
      </c>
      <c r="AR4" s="1">
        <v>15585930850</v>
      </c>
      <c r="AS4" s="1">
        <v>16387350398</v>
      </c>
      <c r="AT4" s="1">
        <v>14173712873</v>
      </c>
      <c r="AU4" s="1">
        <v>14449371716</v>
      </c>
      <c r="AV4" s="1">
        <v>14971331225</v>
      </c>
      <c r="AW4" s="1">
        <v>14580386925</v>
      </c>
      <c r="AX4" s="1">
        <v>14685617205</v>
      </c>
      <c r="AY4" s="1">
        <v>14580396486</v>
      </c>
      <c r="AZ4" s="1">
        <v>13204501927</v>
      </c>
      <c r="BA4" s="1">
        <v>13786486984</v>
      </c>
      <c r="BB4" s="1">
        <v>14537779420</v>
      </c>
      <c r="BC4" s="1">
        <v>14891446290</v>
      </c>
      <c r="BD4" s="1">
        <v>15269133452</v>
      </c>
      <c r="BE4" s="1">
        <v>16512169198</v>
      </c>
      <c r="BF4" s="1">
        <v>17559193747</v>
      </c>
      <c r="BG4" s="1">
        <v>18810005297</v>
      </c>
      <c r="BH4" s="1">
        <f>+BH5+BH8+BH15+BH23+BH30</f>
        <v>18824545028</v>
      </c>
      <c r="BI4" s="1">
        <v>18730252258</v>
      </c>
      <c r="BJ4" s="1">
        <v>19454271459</v>
      </c>
      <c r="BK4" s="1">
        <f t="shared" ref="BK4:BP4" si="0">+BK5+BK8+BK15+BK23+BK30</f>
        <v>16064654830</v>
      </c>
      <c r="BL4" s="1">
        <f t="shared" si="0"/>
        <v>16812894889</v>
      </c>
      <c r="BM4" s="1">
        <f t="shared" si="0"/>
        <v>16132611614</v>
      </c>
      <c r="BN4" s="1">
        <f t="shared" si="0"/>
        <v>16844274503</v>
      </c>
      <c r="BO4" s="1">
        <f t="shared" si="0"/>
        <v>18289517798</v>
      </c>
      <c r="BP4" s="1">
        <f t="shared" si="0"/>
        <v>18251786628</v>
      </c>
      <c r="BQ4" s="1"/>
      <c r="BR4" s="1"/>
      <c r="BS4" s="1"/>
      <c r="BT4" s="1"/>
      <c r="BU4" s="1"/>
      <c r="BV4" s="1"/>
      <c r="BW4" s="1"/>
    </row>
    <row r="5" spans="1:75" ht="15" customHeight="1">
      <c r="A5" s="57">
        <v>2</v>
      </c>
      <c r="B5" s="58" t="s">
        <v>314</v>
      </c>
      <c r="C5" s="57">
        <v>8</v>
      </c>
      <c r="D5" s="2">
        <v>483768379</v>
      </c>
      <c r="E5" s="2">
        <v>720643553</v>
      </c>
      <c r="F5" s="2">
        <v>1773031343</v>
      </c>
      <c r="G5" s="2">
        <v>941288593</v>
      </c>
      <c r="H5" s="2">
        <v>1138189869</v>
      </c>
      <c r="I5" s="2">
        <v>308909807</v>
      </c>
      <c r="J5" s="2">
        <v>308359216</v>
      </c>
      <c r="K5" s="2">
        <v>835835371</v>
      </c>
      <c r="L5" s="2">
        <v>586813513</v>
      </c>
      <c r="M5" s="2">
        <v>479311301</v>
      </c>
      <c r="N5" s="2">
        <v>436629811</v>
      </c>
      <c r="O5" s="2">
        <v>212801747</v>
      </c>
      <c r="P5" s="2">
        <v>1518099189</v>
      </c>
      <c r="Q5" s="2">
        <v>717217893</v>
      </c>
      <c r="R5" s="2">
        <v>309531290</v>
      </c>
      <c r="S5" s="2">
        <v>3671852274</v>
      </c>
      <c r="T5" s="2">
        <v>4662736487</v>
      </c>
      <c r="U5" s="2">
        <v>2221627111</v>
      </c>
      <c r="V5" s="2">
        <v>1709697401</v>
      </c>
      <c r="W5" s="2">
        <v>8145220924</v>
      </c>
      <c r="X5" s="2">
        <v>7183858614</v>
      </c>
      <c r="Y5" s="2">
        <v>5627545425</v>
      </c>
      <c r="Z5" s="2">
        <v>5579005246</v>
      </c>
      <c r="AA5" s="2">
        <v>9150314701</v>
      </c>
      <c r="AB5" s="2">
        <v>8510233118</v>
      </c>
      <c r="AC5" s="2">
        <v>7792581184</v>
      </c>
      <c r="AD5" s="2">
        <v>7118800065</v>
      </c>
      <c r="AE5" s="2">
        <v>7030817990</v>
      </c>
      <c r="AF5" s="2">
        <v>7635882179</v>
      </c>
      <c r="AG5" s="2">
        <v>8088495327</v>
      </c>
      <c r="AH5" s="2">
        <v>7886638739</v>
      </c>
      <c r="AI5" s="2">
        <v>8466261018</v>
      </c>
      <c r="AJ5" s="2">
        <v>7021827102</v>
      </c>
      <c r="AK5" s="2">
        <v>6715619944</v>
      </c>
      <c r="AL5" s="2">
        <v>6638736449</v>
      </c>
      <c r="AM5" s="2">
        <v>7453392869</v>
      </c>
      <c r="AN5" s="2">
        <v>10090383500</v>
      </c>
      <c r="AO5" s="2">
        <v>9523101882</v>
      </c>
      <c r="AP5" s="2">
        <v>11009714369</v>
      </c>
      <c r="AQ5" s="2">
        <v>11029278425</v>
      </c>
      <c r="AR5" s="2">
        <v>10496124461</v>
      </c>
      <c r="AS5" s="2">
        <v>11384579309</v>
      </c>
      <c r="AT5" s="2">
        <v>11426602174</v>
      </c>
      <c r="AU5" s="2">
        <v>11746075725</v>
      </c>
      <c r="AV5" s="2">
        <v>10269138389</v>
      </c>
      <c r="AW5" s="2">
        <v>10626766582</v>
      </c>
      <c r="AX5" s="2">
        <v>9858519374</v>
      </c>
      <c r="AY5" s="2">
        <v>11072243110</v>
      </c>
      <c r="AZ5" s="2">
        <v>8834035774</v>
      </c>
      <c r="BA5" s="2">
        <v>7848966637</v>
      </c>
      <c r="BB5" s="2">
        <v>8280510070</v>
      </c>
      <c r="BC5" s="2">
        <v>9077992753</v>
      </c>
      <c r="BD5" s="2">
        <v>8207694852</v>
      </c>
      <c r="BE5" s="2">
        <v>9403068379</v>
      </c>
      <c r="BF5" s="2">
        <v>7536622429</v>
      </c>
      <c r="BG5" s="2">
        <v>10513571407</v>
      </c>
      <c r="BH5" s="2">
        <f>+SUM(BH6:BH7)</f>
        <v>14815035663</v>
      </c>
      <c r="BI5" s="2">
        <v>14386677390</v>
      </c>
      <c r="BJ5" s="2">
        <v>13730084874</v>
      </c>
      <c r="BK5" s="2">
        <f t="shared" ref="BK5:BP5" si="1">+SUM(BK6:BK7)</f>
        <v>12687250516</v>
      </c>
      <c r="BL5" s="2">
        <f t="shared" si="1"/>
        <v>12325362581</v>
      </c>
      <c r="BM5" s="2">
        <f t="shared" si="1"/>
        <v>10597287304</v>
      </c>
      <c r="BN5" s="2">
        <f t="shared" si="1"/>
        <v>10977840408</v>
      </c>
      <c r="BO5" s="2">
        <f t="shared" si="1"/>
        <v>12076511328</v>
      </c>
      <c r="BP5" s="2">
        <f t="shared" si="1"/>
        <v>11568161626</v>
      </c>
      <c r="BQ5" s="2"/>
      <c r="BR5" s="2"/>
      <c r="BS5" s="2"/>
      <c r="BT5" s="2"/>
      <c r="BU5" s="2"/>
      <c r="BV5" s="2"/>
      <c r="BW5" s="2"/>
    </row>
    <row r="6" spans="1:75" ht="15" customHeight="1">
      <c r="A6" s="59">
        <v>3</v>
      </c>
      <c r="B6" s="60" t="s">
        <v>315</v>
      </c>
      <c r="C6" s="59">
        <v>8</v>
      </c>
      <c r="D6" s="3">
        <v>483768379</v>
      </c>
      <c r="E6" s="3">
        <v>720643553</v>
      </c>
      <c r="F6" s="3">
        <v>1773031343</v>
      </c>
      <c r="G6" s="3">
        <v>941288593</v>
      </c>
      <c r="H6" s="3">
        <v>1138189869</v>
      </c>
      <c r="I6" s="3">
        <v>308909807</v>
      </c>
      <c r="J6" s="3">
        <v>308359216</v>
      </c>
      <c r="K6" s="3">
        <v>835835371</v>
      </c>
      <c r="L6" s="3">
        <v>586813513</v>
      </c>
      <c r="M6" s="3">
        <v>479311301</v>
      </c>
      <c r="N6" s="3">
        <v>436629811</v>
      </c>
      <c r="O6" s="3">
        <v>212801747</v>
      </c>
      <c r="P6" s="3">
        <v>1518099189</v>
      </c>
      <c r="Q6" s="3">
        <v>717217893</v>
      </c>
      <c r="R6" s="3">
        <v>309531290</v>
      </c>
      <c r="S6" s="3">
        <v>3671852274</v>
      </c>
      <c r="T6" s="3">
        <v>4662736487</v>
      </c>
      <c r="U6" s="3">
        <v>2221627111</v>
      </c>
      <c r="V6" s="3">
        <v>1709697401</v>
      </c>
      <c r="W6" s="3">
        <v>8145220924</v>
      </c>
      <c r="X6" s="3">
        <v>7183858614</v>
      </c>
      <c r="Y6" s="3">
        <v>5627545425</v>
      </c>
      <c r="Z6" s="3">
        <v>5579005246</v>
      </c>
      <c r="AA6" s="3">
        <v>9150314701</v>
      </c>
      <c r="AB6" s="3">
        <v>8510233118</v>
      </c>
      <c r="AC6" s="3">
        <v>7792581184</v>
      </c>
      <c r="AD6" s="3">
        <v>7118800065</v>
      </c>
      <c r="AE6" s="3">
        <v>7030817990</v>
      </c>
      <c r="AF6" s="3">
        <v>7635882179</v>
      </c>
      <c r="AG6" s="3">
        <v>8088495327</v>
      </c>
      <c r="AH6" s="3">
        <v>7886638739</v>
      </c>
      <c r="AI6" s="3">
        <v>8466261018</v>
      </c>
      <c r="AJ6" s="3">
        <v>7021827102</v>
      </c>
      <c r="AK6" s="3">
        <v>6715619944</v>
      </c>
      <c r="AL6" s="3">
        <v>2638736449</v>
      </c>
      <c r="AM6" s="3">
        <v>3453392869</v>
      </c>
      <c r="AN6" s="3">
        <v>6090383500</v>
      </c>
      <c r="AO6" s="3">
        <v>5523101882</v>
      </c>
      <c r="AP6" s="3">
        <v>7009714369</v>
      </c>
      <c r="AQ6" s="3">
        <v>3029278425</v>
      </c>
      <c r="AR6" s="3">
        <v>2496124461</v>
      </c>
      <c r="AS6" s="3">
        <v>7384579309</v>
      </c>
      <c r="AT6" s="3">
        <v>4426602174</v>
      </c>
      <c r="AU6" s="3">
        <v>4746075725</v>
      </c>
      <c r="AV6" s="3">
        <v>3269138389</v>
      </c>
      <c r="AW6" s="3">
        <v>3626766582</v>
      </c>
      <c r="AX6" s="3">
        <v>2858519374</v>
      </c>
      <c r="AY6" s="3">
        <v>4072243110</v>
      </c>
      <c r="AZ6" s="3">
        <v>1834035774</v>
      </c>
      <c r="BA6" s="3">
        <v>848966637</v>
      </c>
      <c r="BB6" s="3">
        <v>1280510070</v>
      </c>
      <c r="BC6" s="3">
        <v>2077992753</v>
      </c>
      <c r="BD6" s="3">
        <v>1207694852</v>
      </c>
      <c r="BE6" s="3">
        <v>2403068379</v>
      </c>
      <c r="BF6" s="3">
        <v>1536622429</v>
      </c>
      <c r="BG6" s="3">
        <v>4513571407</v>
      </c>
      <c r="BH6" s="3">
        <v>8815035663</v>
      </c>
      <c r="BI6" s="3">
        <v>5386677390</v>
      </c>
      <c r="BJ6" s="3">
        <v>4730084874</v>
      </c>
      <c r="BK6" s="3">
        <v>3687250516</v>
      </c>
      <c r="BL6" s="3">
        <v>3325362581</v>
      </c>
      <c r="BM6" s="3">
        <v>1597287304</v>
      </c>
      <c r="BN6" s="3">
        <v>3977840408</v>
      </c>
      <c r="BO6" s="3">
        <v>5076511328</v>
      </c>
      <c r="BP6" s="3">
        <v>4568161626</v>
      </c>
      <c r="BQ6" s="3"/>
      <c r="BR6" s="3"/>
      <c r="BS6" s="3"/>
      <c r="BT6" s="3"/>
      <c r="BU6" s="3"/>
      <c r="BV6" s="3"/>
      <c r="BW6" s="3"/>
    </row>
    <row r="7" spans="1:75" ht="15" customHeight="1">
      <c r="A7" s="59">
        <v>4</v>
      </c>
      <c r="B7" s="60" t="s">
        <v>316</v>
      </c>
      <c r="C7" s="59">
        <v>8</v>
      </c>
      <c r="D7" s="3">
        <v>0</v>
      </c>
      <c r="E7" s="3">
        <v>0</v>
      </c>
      <c r="F7" s="3"/>
      <c r="G7" s="3"/>
      <c r="H7" s="3"/>
      <c r="I7" s="3"/>
      <c r="J7" s="3"/>
      <c r="K7" s="3">
        <v>0</v>
      </c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/>
      <c r="AE7" s="3"/>
      <c r="AF7" s="3"/>
      <c r="AG7" s="3"/>
      <c r="AH7" s="3"/>
      <c r="AI7" s="3">
        <v>0</v>
      </c>
      <c r="AJ7" s="3"/>
      <c r="AK7" s="3"/>
      <c r="AL7" s="3">
        <v>4000000000</v>
      </c>
      <c r="AM7" s="3">
        <v>4000000000</v>
      </c>
      <c r="AN7" s="3">
        <v>4000000000</v>
      </c>
      <c r="AO7" s="3">
        <v>4000000000</v>
      </c>
      <c r="AP7" s="3">
        <v>4000000000</v>
      </c>
      <c r="AQ7" s="3">
        <v>8000000000</v>
      </c>
      <c r="AR7" s="3">
        <v>8000000000</v>
      </c>
      <c r="AS7" s="3">
        <v>4000000000</v>
      </c>
      <c r="AT7" s="3">
        <v>7000000000</v>
      </c>
      <c r="AU7" s="3">
        <v>7000000000</v>
      </c>
      <c r="AV7" s="3">
        <v>7000000000</v>
      </c>
      <c r="AW7" s="3">
        <v>7000000000</v>
      </c>
      <c r="AX7" s="3">
        <v>7000000000</v>
      </c>
      <c r="AY7" s="3">
        <v>7000000000</v>
      </c>
      <c r="AZ7" s="3">
        <v>7000000000</v>
      </c>
      <c r="BA7" s="3">
        <v>7000000000</v>
      </c>
      <c r="BB7" s="3">
        <v>7000000000</v>
      </c>
      <c r="BC7" s="3">
        <v>7000000000</v>
      </c>
      <c r="BD7" s="3">
        <v>7000000000</v>
      </c>
      <c r="BE7" s="3">
        <v>7000000000</v>
      </c>
      <c r="BF7" s="3">
        <v>6000000000</v>
      </c>
      <c r="BG7" s="3">
        <v>6000000000</v>
      </c>
      <c r="BH7" s="3">
        <v>6000000000</v>
      </c>
      <c r="BI7" s="3">
        <v>9000000000</v>
      </c>
      <c r="BJ7" s="3">
        <v>9000000000</v>
      </c>
      <c r="BK7" s="3">
        <v>9000000000</v>
      </c>
      <c r="BL7" s="3">
        <v>9000000000</v>
      </c>
      <c r="BM7" s="3">
        <v>9000000000</v>
      </c>
      <c r="BN7" s="3">
        <v>7000000000</v>
      </c>
      <c r="BO7" s="3">
        <v>7000000000</v>
      </c>
      <c r="BP7" s="3">
        <v>7000000000</v>
      </c>
      <c r="BQ7" s="3"/>
      <c r="BR7" s="3"/>
      <c r="BS7" s="3"/>
      <c r="BT7" s="3"/>
      <c r="BU7" s="3"/>
      <c r="BV7" s="3"/>
      <c r="BW7" s="3"/>
    </row>
    <row r="8" spans="1:75" ht="15" customHeight="1">
      <c r="A8" s="61">
        <v>5</v>
      </c>
      <c r="B8" s="58" t="s">
        <v>317</v>
      </c>
      <c r="C8" s="61">
        <v>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f>SUM(BH9:BH11)</f>
        <v>0</v>
      </c>
      <c r="BI8" s="4">
        <v>0</v>
      </c>
      <c r="BJ8" s="4">
        <v>0</v>
      </c>
      <c r="BK8" s="4">
        <f>SUM(BK9:BK11)</f>
        <v>0</v>
      </c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</row>
    <row r="9" spans="1:75" ht="15" customHeight="1">
      <c r="A9" s="59">
        <v>6</v>
      </c>
      <c r="B9" s="60" t="s">
        <v>35</v>
      </c>
      <c r="C9" s="59">
        <v>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ht="15" customHeight="1">
      <c r="A10" s="59">
        <v>7</v>
      </c>
      <c r="B10" s="60" t="s">
        <v>36</v>
      </c>
      <c r="C10" s="59">
        <v>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ht="15" customHeight="1">
      <c r="A11" s="59">
        <v>8</v>
      </c>
      <c r="B11" s="62" t="s">
        <v>37</v>
      </c>
      <c r="C11" s="59">
        <v>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5" ht="15" customHeight="1">
      <c r="A12" s="59">
        <v>9</v>
      </c>
      <c r="B12" s="62" t="s">
        <v>38</v>
      </c>
      <c r="C12" s="59">
        <v>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ht="15" customHeight="1">
      <c r="A13" s="59">
        <v>10</v>
      </c>
      <c r="B13" s="62" t="s">
        <v>39</v>
      </c>
      <c r="C13" s="59">
        <v>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ht="15" customHeight="1">
      <c r="A14" s="59">
        <v>11</v>
      </c>
      <c r="B14" s="62" t="s">
        <v>40</v>
      </c>
      <c r="C14" s="59">
        <v>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ht="15" customHeight="1">
      <c r="A15" s="63">
        <v>12</v>
      </c>
      <c r="B15" s="58" t="s">
        <v>318</v>
      </c>
      <c r="C15" s="63">
        <v>8</v>
      </c>
      <c r="D15" s="5">
        <v>1620513181</v>
      </c>
      <c r="E15" s="5">
        <v>1676539681</v>
      </c>
      <c r="F15" s="5">
        <v>371080000</v>
      </c>
      <c r="G15" s="5">
        <v>788198265</v>
      </c>
      <c r="H15" s="5">
        <v>758537475</v>
      </c>
      <c r="I15" s="5">
        <v>1420772311</v>
      </c>
      <c r="J15" s="5">
        <v>1420772311</v>
      </c>
      <c r="K15" s="5">
        <v>893331936</v>
      </c>
      <c r="L15" s="5">
        <v>794331936</v>
      </c>
      <c r="M15" s="5">
        <v>888557056</v>
      </c>
      <c r="N15" s="5">
        <v>904855060</v>
      </c>
      <c r="O15" s="5">
        <v>724170160</v>
      </c>
      <c r="P15" s="5">
        <v>1157804097</v>
      </c>
      <c r="Q15" s="5">
        <v>1764286737</v>
      </c>
      <c r="R15" s="5">
        <v>3547746882</v>
      </c>
      <c r="S15" s="5">
        <v>3457809087</v>
      </c>
      <c r="T15" s="5">
        <v>3068972654</v>
      </c>
      <c r="U15" s="5">
        <v>4106540884</v>
      </c>
      <c r="V15" s="5">
        <v>4015593184</v>
      </c>
      <c r="W15" s="5">
        <v>2386106456</v>
      </c>
      <c r="X15" s="5">
        <v>3445399070</v>
      </c>
      <c r="Y15" s="5">
        <v>4719147561</v>
      </c>
      <c r="Z15" s="5">
        <v>6167567568</v>
      </c>
      <c r="AA15" s="5">
        <v>5594151818</v>
      </c>
      <c r="AB15" s="5">
        <v>4868537401</v>
      </c>
      <c r="AC15" s="5">
        <v>5357599517</v>
      </c>
      <c r="AD15" s="5">
        <v>4805024644</v>
      </c>
      <c r="AE15" s="5">
        <v>5362894813</v>
      </c>
      <c r="AF15" s="5">
        <v>3016973436</v>
      </c>
      <c r="AG15" s="5">
        <v>3427138278</v>
      </c>
      <c r="AH15" s="5">
        <v>2681215478</v>
      </c>
      <c r="AI15" s="5">
        <v>873006738</v>
      </c>
      <c r="AJ15" s="5">
        <v>1948685648</v>
      </c>
      <c r="AK15" s="5">
        <v>1942332768</v>
      </c>
      <c r="AL15" s="5">
        <v>2270482320</v>
      </c>
      <c r="AM15" s="5">
        <v>3160096224</v>
      </c>
      <c r="AN15" s="5">
        <v>1382816904</v>
      </c>
      <c r="AO15" s="5">
        <v>2457182868</v>
      </c>
      <c r="AP15" s="5">
        <v>1724128692</v>
      </c>
      <c r="AQ15" s="5">
        <v>1980030480</v>
      </c>
      <c r="AR15" s="5">
        <v>2622074235</v>
      </c>
      <c r="AS15" s="5">
        <v>2890771785</v>
      </c>
      <c r="AT15" s="5">
        <v>1272281064</v>
      </c>
      <c r="AU15" s="5">
        <v>1255041564</v>
      </c>
      <c r="AV15" s="5">
        <v>2974642944</v>
      </c>
      <c r="AW15" s="5">
        <v>2454597412</v>
      </c>
      <c r="AX15" s="5">
        <v>3051282906</v>
      </c>
      <c r="AY15" s="6">
        <v>2434139806</v>
      </c>
      <c r="AZ15" s="6">
        <v>2320323901</v>
      </c>
      <c r="BA15" s="6">
        <v>3462927557</v>
      </c>
      <c r="BB15" s="6">
        <v>3547552868</v>
      </c>
      <c r="BC15" s="6">
        <v>2705857308</v>
      </c>
      <c r="BD15" s="6">
        <v>2949268036</v>
      </c>
      <c r="BE15" s="6">
        <v>2421836654</v>
      </c>
      <c r="BF15" s="6">
        <v>2276842655</v>
      </c>
      <c r="BG15" s="6">
        <v>2493646152</v>
      </c>
      <c r="BH15" s="6">
        <f>+SUM(BH16:BH22)</f>
        <v>1854175027</v>
      </c>
      <c r="BI15" s="6">
        <v>3404777351</v>
      </c>
      <c r="BJ15" s="6">
        <v>4007416939</v>
      </c>
      <c r="BK15" s="6">
        <f t="shared" ref="BK15:BP15" si="2">+SUM(BK16:BK22)</f>
        <v>1464039070</v>
      </c>
      <c r="BL15" s="6">
        <f t="shared" si="2"/>
        <v>1058678135</v>
      </c>
      <c r="BM15" s="6">
        <f t="shared" si="2"/>
        <v>2036498915</v>
      </c>
      <c r="BN15" s="6">
        <f t="shared" si="2"/>
        <v>3753577563</v>
      </c>
      <c r="BO15" s="6">
        <f t="shared" si="2"/>
        <v>3216666112</v>
      </c>
      <c r="BP15" s="6">
        <f t="shared" si="2"/>
        <v>4342502789</v>
      </c>
      <c r="BQ15" s="6"/>
      <c r="BR15" s="6"/>
      <c r="BS15" s="6"/>
      <c r="BT15" s="6"/>
      <c r="BU15" s="6"/>
      <c r="BV15" s="6"/>
      <c r="BW15" s="6"/>
    </row>
    <row r="16" spans="1:75" ht="15" customHeight="1">
      <c r="A16" s="59">
        <v>13</v>
      </c>
      <c r="B16" s="64" t="s">
        <v>42</v>
      </c>
      <c r="C16" s="59">
        <v>8</v>
      </c>
      <c r="D16" s="3"/>
      <c r="E16" s="3"/>
      <c r="F16" s="3"/>
      <c r="G16" s="3">
        <v>405266565</v>
      </c>
      <c r="H16" s="3">
        <v>515509775</v>
      </c>
      <c r="I16" s="3">
        <v>527440375</v>
      </c>
      <c r="J16" s="3">
        <v>527440375</v>
      </c>
      <c r="K16" s="3">
        <v>0</v>
      </c>
      <c r="L16" s="3"/>
      <c r="M16" s="3">
        <v>94225120</v>
      </c>
      <c r="N16" s="3">
        <v>204013260</v>
      </c>
      <c r="O16" s="3">
        <v>23892000</v>
      </c>
      <c r="P16" s="3"/>
      <c r="Q16" s="3"/>
      <c r="R16" s="3"/>
      <c r="S16" s="3">
        <v>127595180</v>
      </c>
      <c r="T16" s="3">
        <v>196037940</v>
      </c>
      <c r="U16" s="3">
        <v>683022780</v>
      </c>
      <c r="V16" s="3">
        <v>601075080</v>
      </c>
      <c r="W16" s="3">
        <v>990668388</v>
      </c>
      <c r="X16" s="3">
        <v>1394411268</v>
      </c>
      <c r="Y16" s="3">
        <v>2131276368</v>
      </c>
      <c r="Z16" s="3">
        <v>4131439608</v>
      </c>
      <c r="AA16" s="3">
        <v>4140163218</v>
      </c>
      <c r="AB16" s="3">
        <v>3685443413</v>
      </c>
      <c r="AC16" s="3">
        <v>4375012188</v>
      </c>
      <c r="AD16" s="3">
        <v>3862327288</v>
      </c>
      <c r="AE16" s="3">
        <v>3999014813</v>
      </c>
      <c r="AF16" s="3">
        <v>2359708378</v>
      </c>
      <c r="AG16" s="3">
        <v>2539128278</v>
      </c>
      <c r="AH16" s="3">
        <v>2490735478</v>
      </c>
      <c r="AI16" s="3">
        <v>807376738</v>
      </c>
      <c r="AJ16" s="3">
        <v>1883055648</v>
      </c>
      <c r="AK16" s="3">
        <v>1837302768</v>
      </c>
      <c r="AL16" s="3">
        <v>2165452320</v>
      </c>
      <c r="AM16" s="3">
        <v>3175592088</v>
      </c>
      <c r="AN16" s="3">
        <v>1398312768</v>
      </c>
      <c r="AO16" s="3">
        <v>2472678732</v>
      </c>
      <c r="AP16" s="3">
        <v>1686062460</v>
      </c>
      <c r="AQ16" s="3">
        <v>1875004248</v>
      </c>
      <c r="AR16" s="3">
        <v>2366025168</v>
      </c>
      <c r="AS16" s="3">
        <v>2622382608</v>
      </c>
      <c r="AT16" s="3">
        <v>1287776928</v>
      </c>
      <c r="AU16" s="3">
        <v>1270537428</v>
      </c>
      <c r="AV16" s="3">
        <v>2990138808</v>
      </c>
      <c r="AW16" s="3">
        <v>2460093276</v>
      </c>
      <c r="AX16" s="3">
        <v>2890298106</v>
      </c>
      <c r="AY16" s="3">
        <v>2171167146</v>
      </c>
      <c r="AZ16" s="3">
        <v>2194075101</v>
      </c>
      <c r="BA16" s="3">
        <v>3245574757</v>
      </c>
      <c r="BB16" s="3">
        <v>3302720868</v>
      </c>
      <c r="BC16" s="3">
        <v>2333761308</v>
      </c>
      <c r="BD16" s="3">
        <v>2356378858</v>
      </c>
      <c r="BE16" s="3">
        <v>1646925454</v>
      </c>
      <c r="BF16" s="3">
        <v>1921224140</v>
      </c>
      <c r="BG16" s="3">
        <v>1204904597</v>
      </c>
      <c r="BH16" s="3"/>
      <c r="BI16" s="3">
        <v>1042368852</v>
      </c>
      <c r="BJ16" s="3">
        <v>1705247640</v>
      </c>
      <c r="BK16" s="3">
        <v>1352106540</v>
      </c>
      <c r="BL16" s="3">
        <v>916040092</v>
      </c>
      <c r="BM16" s="3">
        <v>1884129790</v>
      </c>
      <c r="BN16" s="3">
        <v>2974309886</v>
      </c>
      <c r="BO16" s="3">
        <v>2369221764</v>
      </c>
      <c r="BP16" s="3">
        <v>3596125006</v>
      </c>
      <c r="BQ16" s="3"/>
      <c r="BR16" s="3"/>
      <c r="BS16" s="3"/>
      <c r="BT16" s="3"/>
      <c r="BU16" s="3"/>
      <c r="BV16" s="3"/>
      <c r="BW16" s="3"/>
    </row>
    <row r="17" spans="1:75" ht="15" customHeight="1">
      <c r="A17" s="59">
        <v>14</v>
      </c>
      <c r="B17" s="64" t="s">
        <v>43</v>
      </c>
      <c r="C17" s="59">
        <v>8</v>
      </c>
      <c r="D17" s="3">
        <v>1610513181</v>
      </c>
      <c r="E17" s="3">
        <v>1666539681</v>
      </c>
      <c r="F17" s="3">
        <v>201080000</v>
      </c>
      <c r="G17" s="3">
        <v>201080000</v>
      </c>
      <c r="H17" s="3">
        <v>135080000</v>
      </c>
      <c r="I17" s="3">
        <v>785387000</v>
      </c>
      <c r="J17" s="3">
        <v>785387000</v>
      </c>
      <c r="K17" s="3">
        <v>785387000</v>
      </c>
      <c r="L17" s="3">
        <v>686387000</v>
      </c>
      <c r="M17" s="3">
        <v>686387000</v>
      </c>
      <c r="N17" s="3">
        <v>640208864</v>
      </c>
      <c r="O17" s="3">
        <v>639645224</v>
      </c>
      <c r="P17" s="3">
        <v>1105179861</v>
      </c>
      <c r="Q17" s="3">
        <v>1313060853</v>
      </c>
      <c r="R17" s="3">
        <v>3098040212</v>
      </c>
      <c r="S17" s="3">
        <v>2905076977</v>
      </c>
      <c r="T17" s="3">
        <v>2438689766</v>
      </c>
      <c r="U17" s="3">
        <v>2989273156</v>
      </c>
      <c r="V17" s="3">
        <v>2980273156</v>
      </c>
      <c r="W17" s="3">
        <v>961193120</v>
      </c>
      <c r="X17" s="3">
        <v>1588844360</v>
      </c>
      <c r="Y17" s="3">
        <v>2098527960</v>
      </c>
      <c r="Z17" s="3">
        <v>1988127960</v>
      </c>
      <c r="AA17" s="3">
        <v>1433988600</v>
      </c>
      <c r="AB17" s="3">
        <v>1163093988</v>
      </c>
      <c r="AC17" s="3">
        <v>962587329</v>
      </c>
      <c r="AD17" s="3">
        <v>922697356</v>
      </c>
      <c r="AE17" s="3">
        <v>1343880000</v>
      </c>
      <c r="AF17" s="3">
        <v>637265058</v>
      </c>
      <c r="AG17" s="3">
        <v>868010000</v>
      </c>
      <c r="AH17" s="3">
        <v>190480000</v>
      </c>
      <c r="AI17" s="3">
        <v>65630000</v>
      </c>
      <c r="AJ17" s="3">
        <v>65630000</v>
      </c>
      <c r="AK17" s="3">
        <v>105030000</v>
      </c>
      <c r="AL17" s="3">
        <v>105030000</v>
      </c>
      <c r="AM17" s="3">
        <v>105030000</v>
      </c>
      <c r="AN17" s="3">
        <v>105030000</v>
      </c>
      <c r="AO17" s="3">
        <v>105030000</v>
      </c>
      <c r="AP17" s="3">
        <v>158592096</v>
      </c>
      <c r="AQ17" s="3">
        <v>225552096</v>
      </c>
      <c r="AR17" s="3">
        <v>376574931</v>
      </c>
      <c r="AS17" s="3">
        <v>376574931</v>
      </c>
      <c r="AT17" s="3">
        <v>105030000</v>
      </c>
      <c r="AU17" s="3">
        <v>105030000</v>
      </c>
      <c r="AV17" s="3">
        <v>105030000</v>
      </c>
      <c r="AW17" s="3">
        <v>105030000</v>
      </c>
      <c r="AX17" s="3">
        <v>160984800</v>
      </c>
      <c r="AY17" s="3">
        <v>244060800</v>
      </c>
      <c r="AZ17" s="3">
        <v>124904800</v>
      </c>
      <c r="BA17" s="3">
        <v>217352800</v>
      </c>
      <c r="BB17" s="3">
        <v>244832000</v>
      </c>
      <c r="BC17" s="3">
        <v>372096000</v>
      </c>
      <c r="BD17" s="3">
        <v>592889178</v>
      </c>
      <c r="BE17" s="3">
        <v>773567200</v>
      </c>
      <c r="BF17" s="3">
        <v>355570515</v>
      </c>
      <c r="BG17" s="3">
        <v>1288693555</v>
      </c>
      <c r="BH17" s="3">
        <v>1854127027</v>
      </c>
      <c r="BI17" s="3">
        <v>2362360499</v>
      </c>
      <c r="BJ17" s="3">
        <v>2302121299</v>
      </c>
      <c r="BK17" s="3">
        <v>111932530</v>
      </c>
      <c r="BL17" s="3">
        <v>142638043</v>
      </c>
      <c r="BM17" s="3">
        <v>140569125</v>
      </c>
      <c r="BN17" s="3">
        <v>779267677</v>
      </c>
      <c r="BO17" s="3">
        <v>772967077</v>
      </c>
      <c r="BP17" s="3">
        <v>672134512</v>
      </c>
      <c r="BQ17" s="3"/>
      <c r="BR17" s="3"/>
      <c r="BS17" s="3"/>
      <c r="BT17" s="3"/>
      <c r="BU17" s="3"/>
      <c r="BV17" s="3"/>
      <c r="BW17" s="3"/>
    </row>
    <row r="18" spans="1:75" ht="15" customHeight="1">
      <c r="A18" s="59">
        <v>15</v>
      </c>
      <c r="B18" s="64" t="s">
        <v>44</v>
      </c>
      <c r="C18" s="59">
        <v>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</v>
      </c>
      <c r="BA18" s="3"/>
      <c r="BB18" s="3"/>
      <c r="BC18" s="3"/>
      <c r="BD18" s="3"/>
      <c r="BE18" s="3"/>
      <c r="BF18" s="3"/>
      <c r="BG18" s="3">
        <v>0</v>
      </c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5" customHeight="1">
      <c r="A19" s="59">
        <v>16</v>
      </c>
      <c r="B19" s="64" t="s">
        <v>45</v>
      </c>
      <c r="C19" s="59">
        <v>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0</v>
      </c>
      <c r="BA19" s="3"/>
      <c r="BB19" s="3"/>
      <c r="BC19" s="3"/>
      <c r="BD19" s="3"/>
      <c r="BE19" s="3"/>
      <c r="BF19" s="3"/>
      <c r="BG19" s="3">
        <v>0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5" customHeight="1">
      <c r="A20" s="59">
        <v>17</v>
      </c>
      <c r="B20" s="64" t="s">
        <v>46</v>
      </c>
      <c r="C20" s="59">
        <v>8</v>
      </c>
      <c r="D20" s="3">
        <v>10000000</v>
      </c>
      <c r="E20" s="3">
        <v>10000000</v>
      </c>
      <c r="F20" s="3">
        <v>170000000</v>
      </c>
      <c r="G20" s="3">
        <v>181851700</v>
      </c>
      <c r="H20" s="3">
        <v>107947700</v>
      </c>
      <c r="I20" s="3">
        <v>107944936</v>
      </c>
      <c r="J20" s="3">
        <v>107944936</v>
      </c>
      <c r="K20" s="3">
        <v>107944936</v>
      </c>
      <c r="L20" s="3">
        <v>107944936</v>
      </c>
      <c r="M20" s="3">
        <v>107944936</v>
      </c>
      <c r="N20" s="3">
        <v>60632936</v>
      </c>
      <c r="O20" s="3">
        <v>60632936</v>
      </c>
      <c r="P20" s="3">
        <v>52624236</v>
      </c>
      <c r="Q20" s="3">
        <v>451225884</v>
      </c>
      <c r="R20" s="3">
        <v>449706670</v>
      </c>
      <c r="S20" s="3">
        <v>425136930</v>
      </c>
      <c r="T20" s="3">
        <v>434244948</v>
      </c>
      <c r="U20" s="3">
        <v>434244948</v>
      </c>
      <c r="V20" s="3">
        <v>434244948</v>
      </c>
      <c r="W20" s="3">
        <v>434244948</v>
      </c>
      <c r="X20" s="3">
        <v>462143442</v>
      </c>
      <c r="Y20" s="3">
        <v>489343233</v>
      </c>
      <c r="Z20" s="3">
        <v>48000000</v>
      </c>
      <c r="AA20" s="3">
        <v>20000000</v>
      </c>
      <c r="AB20" s="3">
        <v>20000000</v>
      </c>
      <c r="AC20" s="3">
        <v>20000000</v>
      </c>
      <c r="AD20" s="3">
        <v>20000000</v>
      </c>
      <c r="AE20" s="3">
        <v>20000000</v>
      </c>
      <c r="AF20" s="3">
        <v>20000000</v>
      </c>
      <c r="AG20" s="3">
        <v>20000000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12340110</v>
      </c>
      <c r="AT20" s="3">
        <v>0</v>
      </c>
      <c r="AU20" s="3"/>
      <c r="AV20" s="3"/>
      <c r="AW20" s="3">
        <v>10000000</v>
      </c>
      <c r="AX20" s="3"/>
      <c r="AY20" s="3">
        <v>18911860</v>
      </c>
      <c r="AZ20" s="3">
        <v>1344000</v>
      </c>
      <c r="BA20" s="3"/>
      <c r="BB20" s="3"/>
      <c r="BC20" s="3"/>
      <c r="BD20" s="3"/>
      <c r="BE20" s="3">
        <v>1344000</v>
      </c>
      <c r="BF20" s="3">
        <v>48000</v>
      </c>
      <c r="BG20" s="3">
        <v>48000</v>
      </c>
      <c r="BH20" s="3">
        <v>48000</v>
      </c>
      <c r="BI20" s="3">
        <v>48000</v>
      </c>
      <c r="BJ20" s="3">
        <v>48000</v>
      </c>
      <c r="BK20" s="3"/>
      <c r="BL20" s="3"/>
      <c r="BM20" s="3">
        <v>11800000</v>
      </c>
      <c r="BN20" s="3"/>
      <c r="BO20" s="3">
        <v>74477271</v>
      </c>
      <c r="BP20" s="3">
        <v>74243271</v>
      </c>
      <c r="BQ20" s="3"/>
      <c r="BR20" s="3"/>
      <c r="BS20" s="3"/>
      <c r="BT20" s="3"/>
      <c r="BU20" s="3"/>
      <c r="BV20" s="3"/>
      <c r="BW20" s="3"/>
    </row>
    <row r="21" spans="1:75" ht="15" customHeight="1">
      <c r="A21" s="59">
        <v>18</v>
      </c>
      <c r="B21" s="64" t="s">
        <v>47</v>
      </c>
      <c r="C21" s="59">
        <v>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>
        <v>-120525864</v>
      </c>
      <c r="AN21" s="3">
        <v>-120525864</v>
      </c>
      <c r="AO21" s="3">
        <v>-120525864</v>
      </c>
      <c r="AP21" s="3">
        <v>-120525864</v>
      </c>
      <c r="AQ21" s="3">
        <v>-120525864</v>
      </c>
      <c r="AR21" s="3">
        <v>-120525864</v>
      </c>
      <c r="AS21" s="3">
        <v>-120525864</v>
      </c>
      <c r="AT21" s="3">
        <v>-120525864</v>
      </c>
      <c r="AU21" s="3">
        <v>-120525864</v>
      </c>
      <c r="AV21" s="3">
        <v>-120525864</v>
      </c>
      <c r="AW21" s="3">
        <v>-120525864</v>
      </c>
      <c r="AX21" s="3"/>
      <c r="AY21" s="3"/>
      <c r="AZ21" s="3"/>
      <c r="BA21" s="3"/>
      <c r="BB21" s="3"/>
      <c r="BC21" s="3"/>
      <c r="BD21" s="3"/>
      <c r="BE21" s="3"/>
      <c r="BF21" s="3"/>
      <c r="BG21" s="3">
        <v>0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5" customHeight="1">
      <c r="A22" s="59">
        <v>19</v>
      </c>
      <c r="B22" s="65" t="s">
        <v>48</v>
      </c>
      <c r="C22" s="59">
        <v>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>
        <v>0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ht="15" customHeight="1">
      <c r="A23" s="63">
        <v>20</v>
      </c>
      <c r="B23" s="58" t="s">
        <v>49</v>
      </c>
      <c r="C23" s="63">
        <v>8</v>
      </c>
      <c r="D23" s="5">
        <v>711870500</v>
      </c>
      <c r="E23" s="5">
        <v>953822000</v>
      </c>
      <c r="F23" s="5">
        <v>1538030650</v>
      </c>
      <c r="G23" s="5">
        <v>1981940079</v>
      </c>
      <c r="H23" s="5">
        <v>1648090578</v>
      </c>
      <c r="I23" s="5">
        <v>1637240383</v>
      </c>
      <c r="J23" s="5">
        <v>1637240383</v>
      </c>
      <c r="K23" s="5">
        <v>1637240383</v>
      </c>
      <c r="L23" s="5">
        <v>1637240383</v>
      </c>
      <c r="M23" s="5">
        <v>1637240383</v>
      </c>
      <c r="N23" s="5">
        <v>1688913810</v>
      </c>
      <c r="O23" s="5">
        <v>1678041697</v>
      </c>
      <c r="P23" s="5">
        <v>1894091453</v>
      </c>
      <c r="Q23" s="5">
        <v>1916852841</v>
      </c>
      <c r="R23" s="5">
        <v>2144015083</v>
      </c>
      <c r="S23" s="5">
        <v>3320714997</v>
      </c>
      <c r="T23" s="5">
        <v>5190756285</v>
      </c>
      <c r="U23" s="5">
        <v>5961038428</v>
      </c>
      <c r="V23" s="5">
        <v>6392317595</v>
      </c>
      <c r="W23" s="5">
        <v>6090374727</v>
      </c>
      <c r="X23" s="5">
        <v>5600679519</v>
      </c>
      <c r="Y23" s="5">
        <v>5666269379</v>
      </c>
      <c r="Z23" s="5">
        <v>6665345158</v>
      </c>
      <c r="AA23" s="5">
        <v>5403066856</v>
      </c>
      <c r="AB23" s="5">
        <v>3920064141</v>
      </c>
      <c r="AC23" s="5">
        <v>3757138672</v>
      </c>
      <c r="AD23" s="5">
        <v>3689623706</v>
      </c>
      <c r="AE23" s="5">
        <v>3885652180</v>
      </c>
      <c r="AF23" s="5">
        <v>4308462957</v>
      </c>
      <c r="AG23" s="5">
        <v>3183711263</v>
      </c>
      <c r="AH23" s="5">
        <v>2984669311</v>
      </c>
      <c r="AI23" s="5">
        <v>3330147871</v>
      </c>
      <c r="AJ23" s="5">
        <v>7317099506</v>
      </c>
      <c r="AK23" s="5">
        <v>9819214405</v>
      </c>
      <c r="AL23" s="5">
        <v>9740798637</v>
      </c>
      <c r="AM23" s="5">
        <v>8670066410</v>
      </c>
      <c r="AN23" s="5">
        <v>5097334928</v>
      </c>
      <c r="AO23" s="5">
        <v>4689521975</v>
      </c>
      <c r="AP23" s="5">
        <v>4782382935</v>
      </c>
      <c r="AQ23" s="5">
        <v>4564558366</v>
      </c>
      <c r="AR23" s="5">
        <v>2418620233</v>
      </c>
      <c r="AS23" s="5">
        <v>2070065742</v>
      </c>
      <c r="AT23" s="5">
        <v>1435461347</v>
      </c>
      <c r="AU23" s="5">
        <v>1414948155</v>
      </c>
      <c r="AV23" s="5">
        <v>1662924313</v>
      </c>
      <c r="AW23" s="5">
        <v>1439296958</v>
      </c>
      <c r="AX23" s="5">
        <v>1723787677</v>
      </c>
      <c r="AY23" s="6">
        <v>1028919593</v>
      </c>
      <c r="AZ23" s="6">
        <v>2008806177</v>
      </c>
      <c r="BA23" s="6">
        <v>2407229278</v>
      </c>
      <c r="BB23" s="6">
        <v>2554142549</v>
      </c>
      <c r="BC23" s="6">
        <v>2963049705</v>
      </c>
      <c r="BD23" s="6">
        <v>3976906941</v>
      </c>
      <c r="BE23" s="6">
        <v>4554776839</v>
      </c>
      <c r="BF23" s="6">
        <v>7623270646</v>
      </c>
      <c r="BG23" s="6">
        <v>5690293381</v>
      </c>
      <c r="BH23" s="6">
        <v>2045402963</v>
      </c>
      <c r="BI23" s="6">
        <v>805983164</v>
      </c>
      <c r="BJ23" s="6">
        <v>1594635760</v>
      </c>
      <c r="BK23" s="6">
        <v>1493486657</v>
      </c>
      <c r="BL23" s="6">
        <v>3037172503</v>
      </c>
      <c r="BM23" s="6">
        <v>3123184784</v>
      </c>
      <c r="BN23" s="6">
        <v>1754219302</v>
      </c>
      <c r="BO23" s="6">
        <f>BO24</f>
        <v>2327350181</v>
      </c>
      <c r="BP23" s="6">
        <f>BP24</f>
        <v>1736750227</v>
      </c>
      <c r="BQ23" s="6"/>
      <c r="BR23" s="6"/>
      <c r="BS23" s="6"/>
      <c r="BT23" s="6"/>
      <c r="BU23" s="6"/>
      <c r="BV23" s="6"/>
      <c r="BW23" s="6"/>
    </row>
    <row r="24" spans="1:75" ht="15" customHeight="1">
      <c r="A24" s="59">
        <v>21</v>
      </c>
      <c r="B24" s="60" t="s">
        <v>319</v>
      </c>
      <c r="C24" s="59">
        <v>8</v>
      </c>
      <c r="D24" s="3">
        <v>711870500</v>
      </c>
      <c r="E24" s="3">
        <v>953822000</v>
      </c>
      <c r="F24" s="3">
        <v>1538030650</v>
      </c>
      <c r="G24" s="3">
        <v>1981940079</v>
      </c>
      <c r="H24" s="3">
        <v>1648090578</v>
      </c>
      <c r="I24" s="3">
        <v>1637240383</v>
      </c>
      <c r="J24" s="3">
        <v>1637240383</v>
      </c>
      <c r="K24" s="3">
        <v>1637240383</v>
      </c>
      <c r="L24" s="3">
        <v>1637240383</v>
      </c>
      <c r="M24" s="3">
        <v>1637240383</v>
      </c>
      <c r="N24" s="3">
        <v>1688913810</v>
      </c>
      <c r="O24" s="3">
        <v>1678041697</v>
      </c>
      <c r="P24" s="3">
        <v>1894091453</v>
      </c>
      <c r="Q24" s="3">
        <v>1916852841</v>
      </c>
      <c r="R24" s="3">
        <v>2144015083</v>
      </c>
      <c r="S24" s="3">
        <v>3320714997</v>
      </c>
      <c r="T24" s="3">
        <v>5190756285</v>
      </c>
      <c r="U24" s="3">
        <v>5961038428</v>
      </c>
      <c r="V24" s="3">
        <v>6392317595</v>
      </c>
      <c r="W24" s="3">
        <v>6090374727</v>
      </c>
      <c r="X24" s="3">
        <v>5600679519</v>
      </c>
      <c r="Y24" s="3">
        <v>5666269379</v>
      </c>
      <c r="Z24" s="3">
        <v>6665345158</v>
      </c>
      <c r="AA24" s="3">
        <v>5403066856</v>
      </c>
      <c r="AB24" s="3">
        <v>3920064141</v>
      </c>
      <c r="AC24" s="3">
        <v>3757138672</v>
      </c>
      <c r="AD24" s="3">
        <v>3689623706</v>
      </c>
      <c r="AE24" s="3">
        <v>3885652180</v>
      </c>
      <c r="AF24" s="3">
        <v>4308462957</v>
      </c>
      <c r="AG24" s="3">
        <v>3183711263</v>
      </c>
      <c r="AH24" s="3">
        <v>2984669311</v>
      </c>
      <c r="AI24" s="3">
        <v>3330147871</v>
      </c>
      <c r="AJ24" s="3">
        <v>7317099506</v>
      </c>
      <c r="AK24" s="3">
        <v>9819214405</v>
      </c>
      <c r="AL24" s="3">
        <v>9740798637</v>
      </c>
      <c r="AM24" s="3">
        <v>8670066410</v>
      </c>
      <c r="AN24" s="3">
        <v>5097334928</v>
      </c>
      <c r="AO24" s="3">
        <v>4689521975</v>
      </c>
      <c r="AP24" s="3">
        <v>4782382935</v>
      </c>
      <c r="AQ24" s="3">
        <v>4564558366</v>
      </c>
      <c r="AR24" s="3">
        <v>2418620233</v>
      </c>
      <c r="AS24" s="3">
        <v>2070065742</v>
      </c>
      <c r="AT24" s="3">
        <v>1435461347</v>
      </c>
      <c r="AU24" s="3">
        <v>1414948155</v>
      </c>
      <c r="AV24" s="3">
        <v>1662924313</v>
      </c>
      <c r="AW24" s="3">
        <v>1439296958</v>
      </c>
      <c r="AX24" s="3">
        <v>1723787677</v>
      </c>
      <c r="AY24" s="3">
        <v>1028919593</v>
      </c>
      <c r="AZ24" s="3">
        <v>2008806177</v>
      </c>
      <c r="BA24" s="3">
        <v>2407229278</v>
      </c>
      <c r="BB24" s="3">
        <v>2554142549</v>
      </c>
      <c r="BC24" s="3">
        <v>2963049705</v>
      </c>
      <c r="BD24" s="3">
        <v>3976906941</v>
      </c>
      <c r="BE24" s="3">
        <v>4554776839</v>
      </c>
      <c r="BF24" s="3">
        <v>7623270646</v>
      </c>
      <c r="BG24" s="3">
        <v>5690293381</v>
      </c>
      <c r="BH24" s="3">
        <v>2045402963</v>
      </c>
      <c r="BI24" s="3">
        <v>805983164</v>
      </c>
      <c r="BJ24" s="3">
        <v>1594635760</v>
      </c>
      <c r="BK24" s="3">
        <v>1493486657</v>
      </c>
      <c r="BL24" s="3">
        <v>3037172503</v>
      </c>
      <c r="BM24" s="3">
        <v>3123184784</v>
      </c>
      <c r="BN24" s="3">
        <v>1754219302</v>
      </c>
      <c r="BO24" s="3">
        <v>2327350181</v>
      </c>
      <c r="BP24" s="3">
        <v>1736750227</v>
      </c>
      <c r="BQ24" s="3"/>
      <c r="BR24" s="3"/>
      <c r="BS24" s="3"/>
      <c r="BT24" s="3"/>
      <c r="BU24" s="3"/>
      <c r="BV24" s="3"/>
      <c r="BW24" s="3"/>
    </row>
    <row r="25" spans="1:75" ht="15" customHeight="1">
      <c r="A25" s="59">
        <v>22</v>
      </c>
      <c r="B25" s="60" t="s">
        <v>320</v>
      </c>
      <c r="C25" s="59">
        <v>8</v>
      </c>
      <c r="D25" s="3">
        <v>0</v>
      </c>
      <c r="E25" s="3">
        <v>0</v>
      </c>
      <c r="F25" s="3"/>
      <c r="G25" s="3"/>
      <c r="H25" s="3"/>
      <c r="I25" s="3"/>
      <c r="J25" s="3"/>
      <c r="K25" s="3">
        <v>0</v>
      </c>
      <c r="L25" s="3"/>
      <c r="M25" s="3"/>
      <c r="N25" s="3"/>
      <c r="O25" s="3"/>
      <c r="P25" s="3">
        <v>0</v>
      </c>
      <c r="Q25" s="3">
        <v>0</v>
      </c>
      <c r="R25" s="3"/>
      <c r="S25" s="3"/>
      <c r="T25" s="3"/>
      <c r="U25" s="3"/>
      <c r="V25" s="3"/>
      <c r="W25" s="3">
        <v>0</v>
      </c>
      <c r="X25" s="3"/>
      <c r="Y25" s="3"/>
      <c r="Z25" s="3"/>
      <c r="AA25" s="3"/>
      <c r="AB25" s="3">
        <v>0</v>
      </c>
      <c r="AC25" s="3">
        <v>0</v>
      </c>
      <c r="AD25" s="3"/>
      <c r="AE25" s="3"/>
      <c r="AF25" s="3"/>
      <c r="AG25" s="3"/>
      <c r="AH25" s="3"/>
      <c r="AI25" s="3">
        <v>0</v>
      </c>
      <c r="AJ25" s="3"/>
      <c r="AK25" s="3"/>
      <c r="AL25" s="3"/>
      <c r="AM25" s="3"/>
      <c r="AN25" s="3">
        <v>0</v>
      </c>
      <c r="AO25" s="3">
        <v>0</v>
      </c>
      <c r="AP25" s="3"/>
      <c r="AQ25" s="3"/>
      <c r="AR25" s="3"/>
      <c r="AS25" s="3"/>
      <c r="AT25" s="3"/>
      <c r="AU25" s="3">
        <v>0</v>
      </c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5" customHeight="1">
      <c r="A26" s="59">
        <v>23</v>
      </c>
      <c r="B26" s="58" t="s">
        <v>52</v>
      </c>
      <c r="C26" s="63">
        <v>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ht="15" customHeight="1">
      <c r="A27" s="59">
        <v>24</v>
      </c>
      <c r="B27" s="60" t="s">
        <v>53</v>
      </c>
      <c r="C27" s="59">
        <v>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ht="15" customHeight="1">
      <c r="A28" s="59">
        <v>25</v>
      </c>
      <c r="B28" s="60" t="s">
        <v>54</v>
      </c>
      <c r="C28" s="59">
        <v>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ht="15" customHeight="1">
      <c r="A29" s="59">
        <v>26</v>
      </c>
      <c r="B29" s="60" t="s">
        <v>55</v>
      </c>
      <c r="C29" s="59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ht="15" customHeight="1">
      <c r="A30" s="63">
        <v>27</v>
      </c>
      <c r="B30" s="58" t="s">
        <v>56</v>
      </c>
      <c r="C30" s="63">
        <v>8</v>
      </c>
      <c r="D30" s="5">
        <v>541987515</v>
      </c>
      <c r="E30" s="5">
        <v>602887908</v>
      </c>
      <c r="F30" s="5">
        <v>846533520</v>
      </c>
      <c r="G30" s="5">
        <v>929148565</v>
      </c>
      <c r="H30" s="5">
        <v>1158773459</v>
      </c>
      <c r="I30" s="5">
        <v>1163387701</v>
      </c>
      <c r="J30" s="5">
        <v>1153035103</v>
      </c>
      <c r="K30" s="5">
        <v>1142629422</v>
      </c>
      <c r="L30" s="5">
        <v>1163867303</v>
      </c>
      <c r="M30" s="5">
        <v>1162489232</v>
      </c>
      <c r="N30" s="5">
        <v>1318365407</v>
      </c>
      <c r="O30" s="5">
        <v>1361707448</v>
      </c>
      <c r="P30" s="5">
        <v>1631581767</v>
      </c>
      <c r="Q30" s="5">
        <v>1665366555</v>
      </c>
      <c r="R30" s="5">
        <v>1736343410</v>
      </c>
      <c r="S30" s="5">
        <v>2279087637</v>
      </c>
      <c r="T30" s="5">
        <v>2451123844</v>
      </c>
      <c r="U30" s="5">
        <v>2353204368</v>
      </c>
      <c r="V30" s="5">
        <v>2293772316</v>
      </c>
      <c r="W30" s="5">
        <v>2357879319</v>
      </c>
      <c r="X30" s="5">
        <v>2259455992</v>
      </c>
      <c r="Y30" s="5">
        <v>2068810192</v>
      </c>
      <c r="Z30" s="5">
        <v>1696151658</v>
      </c>
      <c r="AA30" s="5">
        <v>1283183600</v>
      </c>
      <c r="AB30" s="5">
        <v>1231658598</v>
      </c>
      <c r="AC30" s="5">
        <v>1109525014</v>
      </c>
      <c r="AD30" s="5">
        <v>793631425</v>
      </c>
      <c r="AE30" s="5">
        <v>341731174</v>
      </c>
      <c r="AF30" s="5">
        <v>181471409</v>
      </c>
      <c r="AG30" s="5">
        <v>143606520</v>
      </c>
      <c r="AH30" s="5">
        <v>145510438</v>
      </c>
      <c r="AI30" s="5">
        <v>145804115</v>
      </c>
      <c r="AJ30" s="5">
        <v>129540965</v>
      </c>
      <c r="AK30" s="5">
        <v>113353236</v>
      </c>
      <c r="AL30" s="5">
        <v>99473814</v>
      </c>
      <c r="AM30" s="5">
        <v>97128340</v>
      </c>
      <c r="AN30" s="5">
        <v>84865447</v>
      </c>
      <c r="AO30" s="5">
        <v>81355156</v>
      </c>
      <c r="AP30" s="5">
        <v>69906455</v>
      </c>
      <c r="AQ30" s="5">
        <v>59996855</v>
      </c>
      <c r="AR30" s="5">
        <v>49111921</v>
      </c>
      <c r="AS30" s="5">
        <v>41933562</v>
      </c>
      <c r="AT30" s="5">
        <v>39368288</v>
      </c>
      <c r="AU30" s="5">
        <v>33306272</v>
      </c>
      <c r="AV30" s="5">
        <v>64625579</v>
      </c>
      <c r="AW30" s="5">
        <v>59725973</v>
      </c>
      <c r="AX30" s="5">
        <v>52027248</v>
      </c>
      <c r="AY30" s="6">
        <v>45093977</v>
      </c>
      <c r="AZ30" s="6">
        <v>41336075</v>
      </c>
      <c r="BA30" s="6">
        <v>67363512</v>
      </c>
      <c r="BB30" s="6">
        <v>155573933</v>
      </c>
      <c r="BC30" s="6">
        <v>144546524</v>
      </c>
      <c r="BD30" s="6">
        <v>135263623</v>
      </c>
      <c r="BE30" s="6">
        <v>132487326</v>
      </c>
      <c r="BF30" s="6">
        <v>122458017</v>
      </c>
      <c r="BG30" s="6">
        <v>112494357</v>
      </c>
      <c r="BH30" s="6">
        <f>+SUM(BH31:BH35)</f>
        <v>109931375</v>
      </c>
      <c r="BI30" s="6">
        <v>132814353</v>
      </c>
      <c r="BJ30" s="6">
        <v>122133886</v>
      </c>
      <c r="BK30" s="6">
        <f>+SUM(BK31:BK35)</f>
        <v>419878587</v>
      </c>
      <c r="BL30" s="6">
        <f>+SUM(BL31:BL35)</f>
        <v>391681670</v>
      </c>
      <c r="BM30" s="6">
        <v>375640611</v>
      </c>
      <c r="BN30" s="6">
        <v>358637230</v>
      </c>
      <c r="BO30" s="6">
        <v>668990177</v>
      </c>
      <c r="BP30" s="6">
        <v>604371986</v>
      </c>
      <c r="BQ30" s="6"/>
      <c r="BR30" s="6"/>
      <c r="BS30" s="6"/>
      <c r="BT30" s="6"/>
      <c r="BU30" s="6"/>
      <c r="BV30" s="6"/>
      <c r="BW30" s="6"/>
    </row>
    <row r="31" spans="1:75" ht="15" customHeight="1">
      <c r="A31" s="59">
        <v>28</v>
      </c>
      <c r="B31" s="64" t="s">
        <v>57</v>
      </c>
      <c r="C31" s="59">
        <v>8</v>
      </c>
      <c r="D31" s="3">
        <v>50716667</v>
      </c>
      <c r="E31" s="3">
        <v>60436223</v>
      </c>
      <c r="F31" s="3">
        <v>54587208</v>
      </c>
      <c r="G31" s="3">
        <v>48738193</v>
      </c>
      <c r="H31" s="3">
        <v>174732942</v>
      </c>
      <c r="I31" s="3">
        <v>164327261</v>
      </c>
      <c r="J31" s="3">
        <v>153921580</v>
      </c>
      <c r="K31" s="3">
        <v>143515899</v>
      </c>
      <c r="L31" s="3">
        <v>133110218</v>
      </c>
      <c r="M31" s="3">
        <v>122704537</v>
      </c>
      <c r="N31" s="3">
        <v>112298856</v>
      </c>
      <c r="O31" s="3">
        <v>133092352</v>
      </c>
      <c r="P31" s="3">
        <v>174213556</v>
      </c>
      <c r="Q31" s="3">
        <v>203230871</v>
      </c>
      <c r="R31" s="3">
        <v>199666662</v>
      </c>
      <c r="S31" s="3">
        <v>197878158</v>
      </c>
      <c r="T31" s="3">
        <v>203150030</v>
      </c>
      <c r="U31" s="3">
        <v>174973496</v>
      </c>
      <c r="V31" s="3">
        <v>176146008</v>
      </c>
      <c r="W31" s="3">
        <v>190426401</v>
      </c>
      <c r="X31" s="3">
        <v>173539941</v>
      </c>
      <c r="Y31" s="3">
        <v>225086052</v>
      </c>
      <c r="Z31" s="3">
        <v>211606193</v>
      </c>
      <c r="AA31" s="3">
        <v>187439886</v>
      </c>
      <c r="AB31" s="3">
        <v>165835550</v>
      </c>
      <c r="AC31" s="3">
        <v>159353959</v>
      </c>
      <c r="AD31" s="3">
        <v>155028734</v>
      </c>
      <c r="AE31" s="3">
        <v>144744365</v>
      </c>
      <c r="AF31" s="3">
        <v>147661856</v>
      </c>
      <c r="AG31" s="3">
        <v>143606520</v>
      </c>
      <c r="AH31" s="3">
        <v>145510438</v>
      </c>
      <c r="AI31" s="3">
        <v>145804115</v>
      </c>
      <c r="AJ31" s="3">
        <v>129540965</v>
      </c>
      <c r="AK31" s="3">
        <v>113353236</v>
      </c>
      <c r="AL31" s="3">
        <v>99473814</v>
      </c>
      <c r="AM31" s="3">
        <v>97128340</v>
      </c>
      <c r="AN31" s="3">
        <v>84865447</v>
      </c>
      <c r="AO31" s="3">
        <v>81355156</v>
      </c>
      <c r="AP31" s="3">
        <v>69906455</v>
      </c>
      <c r="AQ31" s="3">
        <v>59996855</v>
      </c>
      <c r="AR31" s="3">
        <v>49111921</v>
      </c>
      <c r="AS31" s="3">
        <v>41933562</v>
      </c>
      <c r="AT31" s="3">
        <v>39222693</v>
      </c>
      <c r="AU31" s="3">
        <v>33306272</v>
      </c>
      <c r="AV31" s="3">
        <v>64625579</v>
      </c>
      <c r="AW31" s="3">
        <v>59725973</v>
      </c>
      <c r="AX31" s="3">
        <v>52027248</v>
      </c>
      <c r="AY31" s="3">
        <v>45093977</v>
      </c>
      <c r="AZ31" s="3">
        <v>41336075</v>
      </c>
      <c r="BA31" s="3">
        <v>67363512</v>
      </c>
      <c r="BB31" s="3">
        <v>155573933</v>
      </c>
      <c r="BC31" s="3">
        <v>144546524</v>
      </c>
      <c r="BD31" s="3">
        <v>135263623</v>
      </c>
      <c r="BE31" s="3">
        <v>132487326</v>
      </c>
      <c r="BF31" s="3">
        <v>122458017</v>
      </c>
      <c r="BG31" s="3">
        <v>112494357</v>
      </c>
      <c r="BH31" s="3">
        <v>109931375</v>
      </c>
      <c r="BI31" s="3">
        <v>132814353</v>
      </c>
      <c r="BJ31" s="3">
        <v>122133886</v>
      </c>
      <c r="BK31" s="3">
        <v>419878587</v>
      </c>
      <c r="BL31" s="3">
        <v>391681670</v>
      </c>
      <c r="BM31" s="3">
        <v>375640611</v>
      </c>
      <c r="BN31" s="3">
        <v>358637230</v>
      </c>
      <c r="BO31" s="3">
        <v>668990177</v>
      </c>
      <c r="BP31" s="3">
        <v>604371986</v>
      </c>
      <c r="BQ31" s="3"/>
      <c r="BR31" s="3"/>
      <c r="BS31" s="3"/>
      <c r="BT31" s="3"/>
      <c r="BU31" s="3"/>
      <c r="BV31" s="3"/>
      <c r="BW31" s="3"/>
    </row>
    <row r="32" spans="1:75" ht="15" customHeight="1">
      <c r="A32" s="59">
        <v>29</v>
      </c>
      <c r="B32" s="64" t="s">
        <v>58</v>
      </c>
      <c r="C32" s="59">
        <v>8</v>
      </c>
      <c r="D32" s="3">
        <v>491270848</v>
      </c>
      <c r="E32" s="3">
        <v>542451685</v>
      </c>
      <c r="F32" s="3">
        <v>791946312</v>
      </c>
      <c r="G32" s="3">
        <v>880410372</v>
      </c>
      <c r="H32" s="3">
        <v>984040517</v>
      </c>
      <c r="I32" s="3">
        <v>999060440</v>
      </c>
      <c r="J32" s="3">
        <v>999113523</v>
      </c>
      <c r="K32" s="3">
        <v>999113523</v>
      </c>
      <c r="L32" s="3">
        <v>1030757085</v>
      </c>
      <c r="M32" s="3">
        <v>1039784695</v>
      </c>
      <c r="N32" s="3">
        <v>1206066551</v>
      </c>
      <c r="O32" s="3">
        <v>1228615096</v>
      </c>
      <c r="P32" s="3">
        <v>1457368211</v>
      </c>
      <c r="Q32" s="3">
        <v>1462135684</v>
      </c>
      <c r="R32" s="3">
        <v>1536676748</v>
      </c>
      <c r="S32" s="3">
        <v>2081209479</v>
      </c>
      <c r="T32" s="3">
        <v>2247973814</v>
      </c>
      <c r="U32" s="3">
        <v>2178230872</v>
      </c>
      <c r="V32" s="3">
        <v>2117626308</v>
      </c>
      <c r="W32" s="3">
        <v>2167452918</v>
      </c>
      <c r="X32" s="3">
        <v>2085916051</v>
      </c>
      <c r="Y32" s="3">
        <v>1843724140</v>
      </c>
      <c r="Z32" s="3">
        <v>1484545465</v>
      </c>
      <c r="AA32" s="3">
        <v>1095743714</v>
      </c>
      <c r="AB32" s="3">
        <v>1065823048</v>
      </c>
      <c r="AC32" s="3">
        <v>950171055</v>
      </c>
      <c r="AD32" s="3">
        <v>638602691</v>
      </c>
      <c r="AE32" s="3">
        <v>196986809</v>
      </c>
      <c r="AF32" s="3">
        <v>33809553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 spans="1:75" ht="14">
      <c r="A33" s="59">
        <v>30</v>
      </c>
      <c r="B33" s="64" t="s">
        <v>59</v>
      </c>
      <c r="C33" s="59">
        <v>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145595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 ht="15" customHeight="1">
      <c r="A34" s="59">
        <v>31</v>
      </c>
      <c r="B34" s="64" t="s">
        <v>60</v>
      </c>
      <c r="C34" s="59">
        <v>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ht="15" customHeight="1">
      <c r="A35" s="59">
        <v>32</v>
      </c>
      <c r="B35" s="64" t="s">
        <v>61</v>
      </c>
      <c r="C35" s="59">
        <v>8</v>
      </c>
      <c r="D35" s="3">
        <v>0</v>
      </c>
      <c r="E35" s="3">
        <v>0</v>
      </c>
      <c r="F35" s="3"/>
      <c r="G35" s="3"/>
      <c r="H35" s="3"/>
      <c r="I35" s="3"/>
      <c r="J35" s="3"/>
      <c r="K35" s="3">
        <v>0</v>
      </c>
      <c r="L35" s="3"/>
      <c r="M35" s="3"/>
      <c r="N35" s="3"/>
      <c r="O35" s="3"/>
      <c r="P35" s="3">
        <v>0</v>
      </c>
      <c r="Q35" s="3">
        <v>0</v>
      </c>
      <c r="R35" s="3"/>
      <c r="S35" s="3"/>
      <c r="T35" s="3"/>
      <c r="U35" s="3"/>
      <c r="V35" s="3"/>
      <c r="W35" s="3">
        <v>0</v>
      </c>
      <c r="X35" s="3"/>
      <c r="Y35" s="3"/>
      <c r="Z35" s="3"/>
      <c r="AA35" s="3"/>
      <c r="AB35" s="3">
        <v>0</v>
      </c>
      <c r="AC35" s="3">
        <v>0</v>
      </c>
      <c r="AD35" s="3"/>
      <c r="AE35" s="3"/>
      <c r="AF35" s="3"/>
      <c r="AG35" s="3"/>
      <c r="AH35" s="3"/>
      <c r="AI35" s="3">
        <v>0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ht="15" customHeight="1">
      <c r="A36" s="66">
        <v>33</v>
      </c>
      <c r="B36" s="67" t="s">
        <v>321</v>
      </c>
      <c r="C36" s="66">
        <v>8</v>
      </c>
      <c r="D36" s="7">
        <v>4179790347</v>
      </c>
      <c r="E36" s="7">
        <v>4369315410</v>
      </c>
      <c r="F36" s="7">
        <v>6452597462</v>
      </c>
      <c r="G36" s="7">
        <v>7252406264</v>
      </c>
      <c r="H36" s="7">
        <v>8043234945</v>
      </c>
      <c r="I36" s="7">
        <v>9048983532</v>
      </c>
      <c r="J36" s="7">
        <v>8986993443</v>
      </c>
      <c r="K36" s="7">
        <v>8925003354</v>
      </c>
      <c r="L36" s="7">
        <v>9156902154</v>
      </c>
      <c r="M36" s="7">
        <v>9175283322</v>
      </c>
      <c r="N36" s="7">
        <v>10760402300</v>
      </c>
      <c r="O36" s="7">
        <v>10728148450</v>
      </c>
      <c r="P36" s="7">
        <v>12816934360</v>
      </c>
      <c r="Q36" s="7">
        <v>12656822396</v>
      </c>
      <c r="R36" s="7">
        <v>13544851463</v>
      </c>
      <c r="S36" s="7">
        <v>20138783540</v>
      </c>
      <c r="T36" s="7">
        <v>21862217640</v>
      </c>
      <c r="U36" s="7">
        <v>21732650101</v>
      </c>
      <c r="V36" s="7">
        <v>21553803062</v>
      </c>
      <c r="W36" s="7">
        <v>23955581543</v>
      </c>
      <c r="X36" s="7">
        <v>24219203444</v>
      </c>
      <c r="Y36" s="7">
        <v>24024814449</v>
      </c>
      <c r="Z36" s="7">
        <v>21664052554</v>
      </c>
      <c r="AA36" s="7">
        <v>18892233961</v>
      </c>
      <c r="AB36" s="7">
        <v>20356591250</v>
      </c>
      <c r="AC36" s="7">
        <v>20376737250</v>
      </c>
      <c r="AD36" s="7">
        <v>21169533878</v>
      </c>
      <c r="AE36" s="7">
        <v>21142346060</v>
      </c>
      <c r="AF36" s="7">
        <v>22720175413</v>
      </c>
      <c r="AG36" s="7">
        <v>22560604485</v>
      </c>
      <c r="AH36" s="7">
        <v>23514574025</v>
      </c>
      <c r="AI36" s="7">
        <v>23686399540</v>
      </c>
      <c r="AJ36" s="7">
        <v>23365623530</v>
      </c>
      <c r="AK36" s="7">
        <v>23111600551</v>
      </c>
      <c r="AL36" s="7">
        <v>22830714249</v>
      </c>
      <c r="AM36" s="7">
        <v>22499311030</v>
      </c>
      <c r="AN36" s="7">
        <v>22132533800</v>
      </c>
      <c r="AO36" s="7">
        <v>21790111666</v>
      </c>
      <c r="AP36" s="7">
        <v>21512401507</v>
      </c>
      <c r="AQ36" s="7">
        <v>21227139295</v>
      </c>
      <c r="AR36" s="7">
        <v>21133588259</v>
      </c>
      <c r="AS36" s="7">
        <v>20726411945</v>
      </c>
      <c r="AT36" s="7">
        <v>20828470590</v>
      </c>
      <c r="AU36" s="7">
        <v>20410787535</v>
      </c>
      <c r="AV36" s="7">
        <v>20061663202</v>
      </c>
      <c r="AW36" s="7">
        <v>19708125425</v>
      </c>
      <c r="AX36" s="7">
        <v>19332199051</v>
      </c>
      <c r="AY36" s="8">
        <v>18990831461</v>
      </c>
      <c r="AZ36" s="8">
        <v>18815372886</v>
      </c>
      <c r="BA36" s="8">
        <v>18629807582</v>
      </c>
      <c r="BB36" s="8">
        <v>18536622943</v>
      </c>
      <c r="BC36" s="8">
        <v>18143782320</v>
      </c>
      <c r="BD36" s="8">
        <v>18284200867</v>
      </c>
      <c r="BE36" s="8">
        <v>18217638950</v>
      </c>
      <c r="BF36" s="8">
        <v>18256713289</v>
      </c>
      <c r="BG36" s="8">
        <v>18516644378</v>
      </c>
      <c r="BH36" s="8">
        <f>+BH37+BH44+BH63+BH69+BH76+BH66</f>
        <v>18100976603</v>
      </c>
      <c r="BI36" s="8">
        <v>17761288602</v>
      </c>
      <c r="BJ36" s="8">
        <v>18430227552</v>
      </c>
      <c r="BK36" s="8">
        <f t="shared" ref="BK36:BP36" si="3">+BK37+BK44+BK63+BK69+BK76+BK66</f>
        <v>20953553366</v>
      </c>
      <c r="BL36" s="8">
        <f t="shared" si="3"/>
        <v>21065864079</v>
      </c>
      <c r="BM36" s="8">
        <f t="shared" si="3"/>
        <v>21432606556</v>
      </c>
      <c r="BN36" s="8">
        <f t="shared" si="3"/>
        <v>21246677146</v>
      </c>
      <c r="BO36" s="8">
        <f t="shared" si="3"/>
        <v>21026520918</v>
      </c>
      <c r="BP36" s="8">
        <f t="shared" si="3"/>
        <v>22268064535</v>
      </c>
      <c r="BQ36" s="8"/>
      <c r="BR36" s="8"/>
      <c r="BS36" s="8"/>
      <c r="BT36" s="8"/>
      <c r="BU36" s="8"/>
      <c r="BV36" s="8"/>
      <c r="BW36" s="8"/>
    </row>
    <row r="37" spans="1:75" ht="15" customHeight="1">
      <c r="A37" s="63">
        <v>34</v>
      </c>
      <c r="B37" s="58" t="s">
        <v>63</v>
      </c>
      <c r="C37" s="63">
        <v>8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/>
      <c r="BI37" s="6">
        <v>0</v>
      </c>
      <c r="BJ37" s="6">
        <v>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</row>
    <row r="38" spans="1:75" ht="15" customHeight="1">
      <c r="A38" s="59">
        <v>35</v>
      </c>
      <c r="B38" s="60" t="s">
        <v>64</v>
      </c>
      <c r="C38" s="59">
        <v>8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>
        <v>0</v>
      </c>
      <c r="L38" s="3"/>
      <c r="M38" s="3"/>
      <c r="N38" s="3"/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/>
      <c r="AG38" s="3"/>
      <c r="AH38" s="3"/>
      <c r="AI38" s="3">
        <v>0</v>
      </c>
      <c r="AJ38" s="3"/>
      <c r="AK38" s="3"/>
      <c r="AL38" s="3"/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ht="15" customHeight="1">
      <c r="A39" s="59">
        <v>36</v>
      </c>
      <c r="B39" s="60" t="s">
        <v>65</v>
      </c>
      <c r="C39" s="59">
        <v>8</v>
      </c>
      <c r="D39" s="3">
        <v>0</v>
      </c>
      <c r="E39" s="3">
        <v>0</v>
      </c>
      <c r="F39" s="3"/>
      <c r="G39" s="3"/>
      <c r="H39" s="3"/>
      <c r="I39" s="3"/>
      <c r="J39" s="3"/>
      <c r="K39" s="3">
        <v>0</v>
      </c>
      <c r="L39" s="3"/>
      <c r="M39" s="3"/>
      <c r="N39" s="3"/>
      <c r="O39" s="3"/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/>
      <c r="AE39" s="3"/>
      <c r="AF39" s="3"/>
      <c r="AG39" s="3"/>
      <c r="AH39" s="3"/>
      <c r="AI39" s="3">
        <v>0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ht="15" customHeight="1">
      <c r="A40" s="59">
        <v>37</v>
      </c>
      <c r="B40" s="60" t="s">
        <v>66</v>
      </c>
      <c r="C40" s="59">
        <v>8</v>
      </c>
      <c r="D40" s="3">
        <v>0</v>
      </c>
      <c r="E40" s="3">
        <v>0</v>
      </c>
      <c r="F40" s="3"/>
      <c r="G40" s="3"/>
      <c r="H40" s="3"/>
      <c r="I40" s="3"/>
      <c r="J40" s="3"/>
      <c r="K40" s="3">
        <v>0</v>
      </c>
      <c r="L40" s="3"/>
      <c r="M40" s="3"/>
      <c r="N40" s="3"/>
      <c r="O40" s="3"/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/>
      <c r="AE40" s="3"/>
      <c r="AF40" s="3"/>
      <c r="AG40" s="3"/>
      <c r="AH40" s="3"/>
      <c r="AI40" s="3">
        <v>0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ht="15" customHeight="1">
      <c r="A41" s="59">
        <v>38</v>
      </c>
      <c r="B41" s="60" t="s">
        <v>67</v>
      </c>
      <c r="C41" s="59">
        <v>8</v>
      </c>
      <c r="D41" s="3">
        <v>0</v>
      </c>
      <c r="E41" s="3">
        <v>0</v>
      </c>
      <c r="F41" s="3"/>
      <c r="G41" s="3"/>
      <c r="H41" s="3"/>
      <c r="I41" s="3"/>
      <c r="J41" s="3"/>
      <c r="K41" s="3">
        <v>0</v>
      </c>
      <c r="L41" s="3"/>
      <c r="M41" s="3"/>
      <c r="N41" s="3"/>
      <c r="O41" s="3"/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/>
      <c r="AE41" s="3"/>
      <c r="AF41" s="3"/>
      <c r="AG41" s="3"/>
      <c r="AH41" s="3"/>
      <c r="AI41" s="3">
        <v>0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ht="15" customHeight="1">
      <c r="A42" s="59">
        <v>39</v>
      </c>
      <c r="B42" s="60" t="s">
        <v>68</v>
      </c>
      <c r="C42" s="59">
        <v>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ht="15" customHeight="1">
      <c r="A43" s="59">
        <v>40</v>
      </c>
      <c r="B43" s="60" t="s">
        <v>69</v>
      </c>
      <c r="C43" s="59">
        <v>8</v>
      </c>
      <c r="D43" s="3">
        <v>0</v>
      </c>
      <c r="E43" s="3">
        <v>0</v>
      </c>
      <c r="F43" s="3"/>
      <c r="G43" s="3"/>
      <c r="H43" s="3"/>
      <c r="I43" s="3"/>
      <c r="J43" s="3"/>
      <c r="K43" s="3">
        <v>0</v>
      </c>
      <c r="L43" s="3"/>
      <c r="M43" s="3"/>
      <c r="N43" s="3"/>
      <c r="O43" s="3"/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/>
      <c r="AE43" s="3"/>
      <c r="AF43" s="3"/>
      <c r="AG43" s="3"/>
      <c r="AH43" s="3"/>
      <c r="AI43" s="3">
        <v>0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ht="15" customHeight="1">
      <c r="A44" s="63">
        <v>41</v>
      </c>
      <c r="B44" s="68" t="s">
        <v>322</v>
      </c>
      <c r="C44" s="63">
        <v>8</v>
      </c>
      <c r="D44" s="5">
        <v>3445726409</v>
      </c>
      <c r="E44" s="5">
        <v>3409044737</v>
      </c>
      <c r="F44" s="5">
        <v>3633658764</v>
      </c>
      <c r="G44" s="5">
        <v>3592560425</v>
      </c>
      <c r="H44" s="5">
        <v>3551462086</v>
      </c>
      <c r="I44" s="5">
        <v>3510363747</v>
      </c>
      <c r="J44" s="5">
        <v>3469265408</v>
      </c>
      <c r="K44" s="5">
        <v>3428167069</v>
      </c>
      <c r="L44" s="5">
        <v>3387068730</v>
      </c>
      <c r="M44" s="5">
        <v>3345970391</v>
      </c>
      <c r="N44" s="5">
        <v>3304872052</v>
      </c>
      <c r="O44" s="5">
        <v>3390547875</v>
      </c>
      <c r="P44" s="5">
        <v>11564760054</v>
      </c>
      <c r="Q44" s="5">
        <v>11429303383</v>
      </c>
      <c r="R44" s="5">
        <v>11520166187</v>
      </c>
      <c r="S44" s="5">
        <v>17180881963</v>
      </c>
      <c r="T44" s="5">
        <v>20048371993</v>
      </c>
      <c r="U44" s="5">
        <v>19883906537</v>
      </c>
      <c r="V44" s="5">
        <v>19719441081</v>
      </c>
      <c r="W44" s="5">
        <v>23277592744</v>
      </c>
      <c r="X44" s="5">
        <v>23471853824</v>
      </c>
      <c r="Y44" s="5">
        <v>23244013864</v>
      </c>
      <c r="Z44" s="5">
        <v>20874989736</v>
      </c>
      <c r="AA44" s="5">
        <v>18202594366</v>
      </c>
      <c r="AB44" s="5">
        <v>18317624150</v>
      </c>
      <c r="AC44" s="5">
        <v>18347244176</v>
      </c>
      <c r="AD44" s="5">
        <v>18201114518</v>
      </c>
      <c r="AE44" s="5">
        <v>18159833193</v>
      </c>
      <c r="AF44" s="5">
        <v>22364014011</v>
      </c>
      <c r="AG44" s="5">
        <v>22235229310</v>
      </c>
      <c r="AH44" s="5">
        <v>22951409924</v>
      </c>
      <c r="AI44" s="5">
        <v>22846411386</v>
      </c>
      <c r="AJ44" s="5">
        <v>22572229099</v>
      </c>
      <c r="AK44" s="5">
        <v>22548996812</v>
      </c>
      <c r="AL44" s="5">
        <v>22316951609</v>
      </c>
      <c r="AM44" s="5">
        <v>22043937047</v>
      </c>
      <c r="AN44" s="5">
        <v>21712687091</v>
      </c>
      <c r="AO44" s="5">
        <v>21381437135</v>
      </c>
      <c r="AP44" s="5">
        <v>21109353846</v>
      </c>
      <c r="AQ44" s="5">
        <v>20836260054</v>
      </c>
      <c r="AR44" s="5">
        <v>20575384952</v>
      </c>
      <c r="AS44" s="5">
        <v>20128143185</v>
      </c>
      <c r="AT44" s="5">
        <v>20281572127</v>
      </c>
      <c r="AU44" s="5">
        <v>19949031359</v>
      </c>
      <c r="AV44" s="5">
        <v>19620722871</v>
      </c>
      <c r="AW44" s="5">
        <v>19295786682</v>
      </c>
      <c r="AX44" s="5">
        <v>18970850493</v>
      </c>
      <c r="AY44" s="6">
        <v>18645914304</v>
      </c>
      <c r="AZ44" s="6">
        <v>18320978115</v>
      </c>
      <c r="BA44" s="6">
        <v>18328350341</v>
      </c>
      <c r="BB44" s="6">
        <v>17998798757</v>
      </c>
      <c r="BC44" s="6">
        <v>17669247173</v>
      </c>
      <c r="BD44" s="6">
        <v>17339695589</v>
      </c>
      <c r="BE44" s="6">
        <v>17272684746</v>
      </c>
      <c r="BF44" s="6">
        <v>16935688718</v>
      </c>
      <c r="BG44" s="6">
        <v>16823576172</v>
      </c>
      <c r="BH44" s="6">
        <f>+BH45+BH51+BH48</f>
        <v>16481442463</v>
      </c>
      <c r="BI44" s="6">
        <v>16139308754</v>
      </c>
      <c r="BJ44" s="6">
        <v>17712503047</v>
      </c>
      <c r="BK44" s="6">
        <f t="shared" ref="BK44:BP44" si="4">+BK45+BK51+BK48</f>
        <v>20429544542</v>
      </c>
      <c r="BL44" s="6">
        <f t="shared" si="4"/>
        <v>20568014740</v>
      </c>
      <c r="BM44" s="6">
        <f t="shared" si="4"/>
        <v>20958416702</v>
      </c>
      <c r="BN44" s="6">
        <f t="shared" si="4"/>
        <v>20795904073</v>
      </c>
      <c r="BO44" s="6">
        <f t="shared" si="4"/>
        <v>20593113678</v>
      </c>
      <c r="BP44" s="6">
        <f t="shared" si="4"/>
        <v>20392945024</v>
      </c>
      <c r="BQ44" s="6"/>
      <c r="BR44" s="6"/>
      <c r="BS44" s="6"/>
      <c r="BT44" s="6"/>
      <c r="BU44" s="6"/>
      <c r="BV44" s="6"/>
      <c r="BW44" s="6"/>
    </row>
    <row r="45" spans="1:75" ht="15" customHeight="1">
      <c r="A45" s="63">
        <v>42</v>
      </c>
      <c r="B45" s="69" t="s">
        <v>323</v>
      </c>
      <c r="C45" s="63">
        <v>8</v>
      </c>
      <c r="D45" s="5">
        <v>3390903828</v>
      </c>
      <c r="E45" s="5">
        <v>3355138823</v>
      </c>
      <c r="F45" s="5">
        <v>3580669517</v>
      </c>
      <c r="G45" s="5">
        <v>3540487845</v>
      </c>
      <c r="H45" s="5">
        <v>3500306173</v>
      </c>
      <c r="I45" s="5">
        <v>3460124501</v>
      </c>
      <c r="J45" s="5">
        <v>3419942829</v>
      </c>
      <c r="K45" s="5">
        <v>3379761157</v>
      </c>
      <c r="L45" s="5">
        <v>3339579485</v>
      </c>
      <c r="M45" s="5">
        <v>3299397813</v>
      </c>
      <c r="N45" s="5">
        <v>3259216141</v>
      </c>
      <c r="O45" s="5">
        <v>3345808631</v>
      </c>
      <c r="P45" s="5">
        <v>11520937477</v>
      </c>
      <c r="Q45" s="5">
        <v>11386397473</v>
      </c>
      <c r="R45" s="5">
        <v>11478176944</v>
      </c>
      <c r="S45" s="5">
        <v>17139809387</v>
      </c>
      <c r="T45" s="5">
        <v>20008216084</v>
      </c>
      <c r="U45" s="5">
        <v>19844667295</v>
      </c>
      <c r="V45" s="5">
        <v>19681118506</v>
      </c>
      <c r="W45" s="5">
        <v>23240186836</v>
      </c>
      <c r="X45" s="5">
        <v>23435364583</v>
      </c>
      <c r="Y45" s="5">
        <v>23208441290</v>
      </c>
      <c r="Z45" s="5">
        <v>20840333829</v>
      </c>
      <c r="AA45" s="5">
        <v>18168855126</v>
      </c>
      <c r="AB45" s="5">
        <v>18284801577</v>
      </c>
      <c r="AC45" s="5">
        <v>18315338270</v>
      </c>
      <c r="AD45" s="5">
        <v>18170125279</v>
      </c>
      <c r="AE45" s="5">
        <v>18129760621</v>
      </c>
      <c r="AF45" s="5">
        <v>22334858106</v>
      </c>
      <c r="AG45" s="5">
        <v>22206990072</v>
      </c>
      <c r="AH45" s="5">
        <v>22924087353</v>
      </c>
      <c r="AI45" s="5">
        <v>22820005482</v>
      </c>
      <c r="AJ45" s="5">
        <v>22546739862</v>
      </c>
      <c r="AK45" s="5">
        <v>22524424242</v>
      </c>
      <c r="AL45" s="5">
        <v>22293295706</v>
      </c>
      <c r="AM45" s="5">
        <v>22021197811</v>
      </c>
      <c r="AN45" s="5">
        <v>21691143507</v>
      </c>
      <c r="AO45" s="5">
        <v>21361089203</v>
      </c>
      <c r="AP45" s="5">
        <v>21090201566</v>
      </c>
      <c r="AQ45" s="5">
        <v>20818303426</v>
      </c>
      <c r="AR45" s="5">
        <v>20558623976</v>
      </c>
      <c r="AS45" s="5">
        <v>20112577861</v>
      </c>
      <c r="AT45" s="5">
        <v>20267202455</v>
      </c>
      <c r="AU45" s="5">
        <v>19935857339</v>
      </c>
      <c r="AV45" s="5">
        <v>19608744503</v>
      </c>
      <c r="AW45" s="5">
        <v>19285003966</v>
      </c>
      <c r="AX45" s="5">
        <v>18961263429</v>
      </c>
      <c r="AY45" s="6">
        <v>18637522892</v>
      </c>
      <c r="AZ45" s="6">
        <v>18313782355</v>
      </c>
      <c r="BA45" s="6">
        <v>18322350233</v>
      </c>
      <c r="BB45" s="6">
        <v>17993994301</v>
      </c>
      <c r="BC45" s="6">
        <v>17665638369</v>
      </c>
      <c r="BD45" s="6">
        <v>17337282437</v>
      </c>
      <c r="BE45" s="6">
        <v>17271467246</v>
      </c>
      <c r="BF45" s="6">
        <v>16935666870</v>
      </c>
      <c r="BG45" s="6">
        <v>16823576172</v>
      </c>
      <c r="BH45" s="6">
        <f>+SUM(BH46:BH47)</f>
        <v>16481442463</v>
      </c>
      <c r="BI45" s="6">
        <v>16139308754</v>
      </c>
      <c r="BJ45" s="6">
        <v>17712503047</v>
      </c>
      <c r="BK45" s="6">
        <f t="shared" ref="BK45:BP45" si="5">+SUM(BK46:BK47)</f>
        <v>20429544542</v>
      </c>
      <c r="BL45" s="6">
        <f t="shared" si="5"/>
        <v>20568014740</v>
      </c>
      <c r="BM45" s="6">
        <f t="shared" si="5"/>
        <v>20704093785</v>
      </c>
      <c r="BN45" s="6">
        <f t="shared" si="5"/>
        <v>20544258240</v>
      </c>
      <c r="BO45" s="6">
        <f t="shared" si="5"/>
        <v>20344144928</v>
      </c>
      <c r="BP45" s="6">
        <f t="shared" si="5"/>
        <v>20146653357</v>
      </c>
      <c r="BQ45" s="6"/>
      <c r="BR45" s="6"/>
      <c r="BS45" s="6"/>
      <c r="BT45" s="6"/>
      <c r="BU45" s="6"/>
      <c r="BV45" s="6"/>
      <c r="BW45" s="6"/>
    </row>
    <row r="46" spans="1:75" ht="15" customHeight="1">
      <c r="A46" s="59">
        <v>43</v>
      </c>
      <c r="B46" s="70" t="s">
        <v>324</v>
      </c>
      <c r="C46" s="59">
        <v>8</v>
      </c>
      <c r="D46" s="3">
        <v>3425897798</v>
      </c>
      <c r="E46" s="3">
        <v>3425897798</v>
      </c>
      <c r="F46" s="3">
        <v>3690897798</v>
      </c>
      <c r="G46" s="3">
        <v>3690897798</v>
      </c>
      <c r="H46" s="3">
        <v>3690897798</v>
      </c>
      <c r="I46" s="3">
        <v>3690897798</v>
      </c>
      <c r="J46" s="3">
        <v>3690897798</v>
      </c>
      <c r="K46" s="3">
        <v>3690897798</v>
      </c>
      <c r="L46" s="3">
        <v>3690897798</v>
      </c>
      <c r="M46" s="3">
        <v>3690897798</v>
      </c>
      <c r="N46" s="3">
        <v>3690897798</v>
      </c>
      <c r="O46" s="3">
        <v>3819329138</v>
      </c>
      <c r="P46" s="3">
        <v>12100216590</v>
      </c>
      <c r="Q46" s="3">
        <v>12100216590</v>
      </c>
      <c r="R46" s="3">
        <v>12329869740</v>
      </c>
      <c r="S46" s="3">
        <v>18129869740</v>
      </c>
      <c r="T46" s="3">
        <v>21151617509</v>
      </c>
      <c r="U46" s="3">
        <v>21151617509</v>
      </c>
      <c r="V46" s="3">
        <v>21151617509</v>
      </c>
      <c r="W46" s="3">
        <v>24913308608</v>
      </c>
      <c r="X46" s="3">
        <v>25335137787</v>
      </c>
      <c r="Y46" s="3">
        <v>25335137787</v>
      </c>
      <c r="Z46" s="3">
        <v>23196386488</v>
      </c>
      <c r="AA46" s="3">
        <v>20766829392</v>
      </c>
      <c r="AB46" s="3">
        <v>21079729392</v>
      </c>
      <c r="AC46" s="3">
        <v>21307762570</v>
      </c>
      <c r="AD46" s="3">
        <v>21362312570</v>
      </c>
      <c r="AE46" s="3">
        <v>21524412570</v>
      </c>
      <c r="AF46" s="3">
        <v>25960766671</v>
      </c>
      <c r="AG46" s="3">
        <v>26080072371</v>
      </c>
      <c r="AH46" s="3">
        <v>27053572371</v>
      </c>
      <c r="AI46" s="3">
        <v>27216849671</v>
      </c>
      <c r="AJ46" s="3">
        <v>27216849671</v>
      </c>
      <c r="AK46" s="3">
        <v>27468849671</v>
      </c>
      <c r="AL46" s="3">
        <v>27512399671</v>
      </c>
      <c r="AM46" s="3">
        <v>27512399671</v>
      </c>
      <c r="AN46" s="3">
        <v>27512399671</v>
      </c>
      <c r="AO46" s="3">
        <v>27512399671</v>
      </c>
      <c r="AP46" s="3">
        <v>27572399671</v>
      </c>
      <c r="AQ46" s="3">
        <v>27496063171</v>
      </c>
      <c r="AR46" s="3">
        <v>27586063171</v>
      </c>
      <c r="AS46" s="3">
        <v>27433063171</v>
      </c>
      <c r="AT46" s="3">
        <v>27918745123</v>
      </c>
      <c r="AU46" s="3">
        <v>27918745123</v>
      </c>
      <c r="AV46" s="3">
        <v>27918745123</v>
      </c>
      <c r="AW46" s="3">
        <v>27918745123</v>
      </c>
      <c r="AX46" s="3">
        <v>27918745123</v>
      </c>
      <c r="AY46" s="3">
        <v>27918745123</v>
      </c>
      <c r="AZ46" s="3">
        <v>27721540123</v>
      </c>
      <c r="BA46" s="3">
        <v>28053848538</v>
      </c>
      <c r="BB46" s="3">
        <v>28053848538</v>
      </c>
      <c r="BC46" s="3">
        <v>28053848538</v>
      </c>
      <c r="BD46" s="3">
        <v>28053848538</v>
      </c>
      <c r="BE46" s="3">
        <v>28321848538</v>
      </c>
      <c r="BF46" s="3">
        <v>28321848538</v>
      </c>
      <c r="BG46" s="3">
        <v>28549848538</v>
      </c>
      <c r="BH46" s="3">
        <v>28549848538</v>
      </c>
      <c r="BI46" s="3">
        <v>28549848538</v>
      </c>
      <c r="BJ46" s="3">
        <v>30470952960</v>
      </c>
      <c r="BK46" s="3">
        <v>33543469154</v>
      </c>
      <c r="BL46" s="3">
        <v>33779498354</v>
      </c>
      <c r="BM46" s="3">
        <v>34117498354</v>
      </c>
      <c r="BN46" s="3">
        <v>34157498354</v>
      </c>
      <c r="BO46" s="3">
        <v>34157498354</v>
      </c>
      <c r="BP46" s="3">
        <v>34157498354</v>
      </c>
      <c r="BQ46" s="3"/>
      <c r="BR46" s="3"/>
      <c r="BS46" s="3"/>
      <c r="BT46" s="3"/>
      <c r="BU46" s="3"/>
      <c r="BV46" s="3"/>
      <c r="BW46" s="3"/>
    </row>
    <row r="47" spans="1:75" ht="15" customHeight="1">
      <c r="A47" s="59">
        <v>44</v>
      </c>
      <c r="B47" s="70" t="s">
        <v>325</v>
      </c>
      <c r="C47" s="59">
        <v>8</v>
      </c>
      <c r="D47" s="3">
        <v>-34993970</v>
      </c>
      <c r="E47" s="3">
        <v>-70758975</v>
      </c>
      <c r="F47" s="3">
        <v>-110228281</v>
      </c>
      <c r="G47" s="3">
        <v>-150409953</v>
      </c>
      <c r="H47" s="3">
        <v>-190591625</v>
      </c>
      <c r="I47" s="3">
        <v>-230773297</v>
      </c>
      <c r="J47" s="3">
        <v>-270954969</v>
      </c>
      <c r="K47" s="3">
        <v>-311136641</v>
      </c>
      <c r="L47" s="3">
        <v>-351318313</v>
      </c>
      <c r="M47" s="3">
        <v>-391499985</v>
      </c>
      <c r="N47" s="3">
        <v>-431681657</v>
      </c>
      <c r="O47" s="3">
        <v>-473520507</v>
      </c>
      <c r="P47" s="3">
        <v>-579279113</v>
      </c>
      <c r="Q47" s="3">
        <v>-713819117</v>
      </c>
      <c r="R47" s="3">
        <v>-851692796</v>
      </c>
      <c r="S47" s="3">
        <v>-990060353</v>
      </c>
      <c r="T47" s="3">
        <v>-1143401425</v>
      </c>
      <c r="U47" s="3">
        <v>-1306950214</v>
      </c>
      <c r="V47" s="3">
        <v>-1470499003</v>
      </c>
      <c r="W47" s="3">
        <v>-1673121772</v>
      </c>
      <c r="X47" s="3">
        <v>-1899773204</v>
      </c>
      <c r="Y47" s="3">
        <v>-2126696497</v>
      </c>
      <c r="Z47" s="3">
        <v>-2356052659</v>
      </c>
      <c r="AA47" s="3">
        <v>-2597974266</v>
      </c>
      <c r="AB47" s="3">
        <v>-2794927815</v>
      </c>
      <c r="AC47" s="3">
        <v>-2992424300</v>
      </c>
      <c r="AD47" s="3">
        <v>-3192187291</v>
      </c>
      <c r="AE47" s="3">
        <v>-3394651949</v>
      </c>
      <c r="AF47" s="3">
        <v>-3625908565</v>
      </c>
      <c r="AG47" s="3">
        <v>-3873082299</v>
      </c>
      <c r="AH47" s="3">
        <v>-4129485018</v>
      </c>
      <c r="AI47" s="3">
        <v>-4396844189</v>
      </c>
      <c r="AJ47" s="3">
        <v>-4670109809</v>
      </c>
      <c r="AK47" s="3">
        <v>-4944425429</v>
      </c>
      <c r="AL47" s="3">
        <v>-5219103965</v>
      </c>
      <c r="AM47" s="3">
        <v>-5491201860</v>
      </c>
      <c r="AN47" s="3">
        <v>-5821256164</v>
      </c>
      <c r="AO47" s="3">
        <v>-6151310468</v>
      </c>
      <c r="AP47" s="3">
        <v>-6482198105</v>
      </c>
      <c r="AQ47" s="3">
        <v>-6677759745</v>
      </c>
      <c r="AR47" s="3">
        <v>-7027439195</v>
      </c>
      <c r="AS47" s="3">
        <v>-7320485310</v>
      </c>
      <c r="AT47" s="3">
        <v>-7651542668</v>
      </c>
      <c r="AU47" s="3">
        <v>-7982887784</v>
      </c>
      <c r="AV47" s="3">
        <v>-8310000620</v>
      </c>
      <c r="AW47" s="3">
        <v>-8633741157</v>
      </c>
      <c r="AX47" s="3">
        <v>-8957481694</v>
      </c>
      <c r="AY47" s="3">
        <v>-9281222231</v>
      </c>
      <c r="AZ47" s="3">
        <v>-9407757768</v>
      </c>
      <c r="BA47" s="3">
        <v>-9731498305</v>
      </c>
      <c r="BB47" s="3">
        <v>-10059854237</v>
      </c>
      <c r="BC47" s="3">
        <v>-10388210169</v>
      </c>
      <c r="BD47" s="3">
        <v>-10716566101</v>
      </c>
      <c r="BE47" s="3">
        <v>-11050381292</v>
      </c>
      <c r="BF47" s="3">
        <v>-11386181668</v>
      </c>
      <c r="BG47" s="3">
        <v>-11726272366</v>
      </c>
      <c r="BH47" s="3">
        <v>-12068406075</v>
      </c>
      <c r="BI47" s="3">
        <v>-12410539784</v>
      </c>
      <c r="BJ47" s="3">
        <v>-12758449913</v>
      </c>
      <c r="BK47" s="3">
        <v>-13113924612</v>
      </c>
      <c r="BL47" s="3">
        <v>-13211483614</v>
      </c>
      <c r="BM47" s="3">
        <v>-13413404569</v>
      </c>
      <c r="BN47" s="3">
        <v>-13613240114</v>
      </c>
      <c r="BO47" s="3">
        <v>-13813353426</v>
      </c>
      <c r="BP47" s="3">
        <v>-14010844997</v>
      </c>
      <c r="BQ47" s="3"/>
      <c r="BR47" s="3"/>
      <c r="BS47" s="3"/>
      <c r="BT47" s="3"/>
      <c r="BU47" s="3"/>
      <c r="BV47" s="3"/>
      <c r="BW47" s="3"/>
    </row>
    <row r="48" spans="1:75" ht="15" customHeight="1">
      <c r="A48" s="63">
        <v>45</v>
      </c>
      <c r="B48" s="69" t="s">
        <v>74</v>
      </c>
      <c r="C48" s="63">
        <v>8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21543584</v>
      </c>
      <c r="AO48" s="5">
        <v>20347932</v>
      </c>
      <c r="AP48" s="5">
        <v>19152280</v>
      </c>
      <c r="AQ48" s="5">
        <v>17956628</v>
      </c>
      <c r="AR48" s="5">
        <v>16760976</v>
      </c>
      <c r="AS48" s="5">
        <v>15565324</v>
      </c>
      <c r="AT48" s="5">
        <v>14369672</v>
      </c>
      <c r="AU48" s="5">
        <v>13174020</v>
      </c>
      <c r="AV48" s="5">
        <v>11978368</v>
      </c>
      <c r="AW48" s="5">
        <v>10782716</v>
      </c>
      <c r="AX48" s="5">
        <v>9587064</v>
      </c>
      <c r="AY48" s="6">
        <v>8391412</v>
      </c>
      <c r="AZ48" s="6">
        <v>0</v>
      </c>
      <c r="BA48" s="6">
        <v>0</v>
      </c>
      <c r="BB48" s="6"/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/>
      <c r="BI48" s="6">
        <v>0</v>
      </c>
      <c r="BJ48" s="6">
        <v>0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</row>
    <row r="49" spans="1:75" ht="15" customHeight="1">
      <c r="A49" s="59">
        <v>46</v>
      </c>
      <c r="B49" s="70" t="s">
        <v>326</v>
      </c>
      <c r="C49" s="59">
        <v>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>
        <v>55000000</v>
      </c>
      <c r="AO49" s="3">
        <v>55000000</v>
      </c>
      <c r="AP49" s="3">
        <v>55000000</v>
      </c>
      <c r="AQ49" s="3">
        <v>55000000</v>
      </c>
      <c r="AR49" s="3">
        <v>55000000</v>
      </c>
      <c r="AS49" s="3">
        <v>55000000</v>
      </c>
      <c r="AT49" s="3">
        <v>55000000</v>
      </c>
      <c r="AU49" s="3">
        <v>55000000</v>
      </c>
      <c r="AV49" s="3">
        <v>55000000</v>
      </c>
      <c r="AW49" s="3">
        <v>55000000</v>
      </c>
      <c r="AX49" s="3">
        <v>55000000</v>
      </c>
      <c r="AY49" s="3">
        <v>55000000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 ht="15" customHeight="1">
      <c r="A50" s="59">
        <v>47</v>
      </c>
      <c r="B50" s="70" t="s">
        <v>327</v>
      </c>
      <c r="C50" s="59">
        <v>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>
        <v>-33456416</v>
      </c>
      <c r="AO50" s="3">
        <v>-34652068</v>
      </c>
      <c r="AP50" s="3">
        <v>-35847720</v>
      </c>
      <c r="AQ50" s="3">
        <v>-37043372</v>
      </c>
      <c r="AR50" s="3">
        <v>-38239024</v>
      </c>
      <c r="AS50" s="3">
        <v>-39434676</v>
      </c>
      <c r="AT50" s="3">
        <v>-40630328</v>
      </c>
      <c r="AU50" s="3">
        <v>-41825980</v>
      </c>
      <c r="AV50" s="3">
        <v>-43021632</v>
      </c>
      <c r="AW50" s="3">
        <v>-44217284</v>
      </c>
      <c r="AX50" s="3">
        <v>-45412936</v>
      </c>
      <c r="AY50" s="3">
        <v>-46608588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 ht="15" customHeight="1">
      <c r="A51" s="63">
        <v>48</v>
      </c>
      <c r="B51" s="69" t="s">
        <v>75</v>
      </c>
      <c r="C51" s="63">
        <v>8</v>
      </c>
      <c r="D51" s="5">
        <v>54822581</v>
      </c>
      <c r="E51" s="5">
        <v>53905914</v>
      </c>
      <c r="F51" s="5">
        <v>52989247</v>
      </c>
      <c r="G51" s="5">
        <v>52072580</v>
      </c>
      <c r="H51" s="5">
        <v>51155913</v>
      </c>
      <c r="I51" s="5">
        <v>50239246</v>
      </c>
      <c r="J51" s="5">
        <v>49322579</v>
      </c>
      <c r="K51" s="5">
        <v>48405912</v>
      </c>
      <c r="L51" s="5">
        <v>47489245</v>
      </c>
      <c r="M51" s="5">
        <v>46572578</v>
      </c>
      <c r="N51" s="5">
        <v>45655911</v>
      </c>
      <c r="O51" s="5">
        <v>44739244</v>
      </c>
      <c r="P51" s="5">
        <v>43822577</v>
      </c>
      <c r="Q51" s="5">
        <v>42905910</v>
      </c>
      <c r="R51" s="5">
        <v>41989243</v>
      </c>
      <c r="S51" s="5">
        <v>41072576</v>
      </c>
      <c r="T51" s="5">
        <v>40155909</v>
      </c>
      <c r="U51" s="5">
        <v>39239242</v>
      </c>
      <c r="V51" s="5">
        <v>38322575</v>
      </c>
      <c r="W51" s="5">
        <v>37405908</v>
      </c>
      <c r="X51" s="5">
        <v>36489241</v>
      </c>
      <c r="Y51" s="5">
        <v>35572574</v>
      </c>
      <c r="Z51" s="5">
        <v>34655907</v>
      </c>
      <c r="AA51" s="5">
        <v>33739240</v>
      </c>
      <c r="AB51" s="5">
        <v>32822573</v>
      </c>
      <c r="AC51" s="5">
        <v>31905906</v>
      </c>
      <c r="AD51" s="5">
        <v>30989239</v>
      </c>
      <c r="AE51" s="5">
        <v>30072572</v>
      </c>
      <c r="AF51" s="5">
        <v>29155905</v>
      </c>
      <c r="AG51" s="5">
        <v>28239238</v>
      </c>
      <c r="AH51" s="5">
        <v>27322571</v>
      </c>
      <c r="AI51" s="5">
        <v>26405904</v>
      </c>
      <c r="AJ51" s="5">
        <v>25489237</v>
      </c>
      <c r="AK51" s="5">
        <v>24572570</v>
      </c>
      <c r="AL51" s="5">
        <v>23655903</v>
      </c>
      <c r="AM51" s="5">
        <v>22739236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6">
        <v>0</v>
      </c>
      <c r="AZ51" s="6">
        <v>7195760</v>
      </c>
      <c r="BA51" s="6">
        <v>6000108</v>
      </c>
      <c r="BB51" s="6">
        <v>4804456</v>
      </c>
      <c r="BC51" s="6">
        <v>3608804</v>
      </c>
      <c r="BD51" s="6">
        <v>2413152</v>
      </c>
      <c r="BE51" s="6">
        <v>1217500</v>
      </c>
      <c r="BF51" s="6">
        <v>21848</v>
      </c>
      <c r="BG51" s="6">
        <v>0</v>
      </c>
      <c r="BH51" s="6">
        <f>+SUM(BH52:BH53)</f>
        <v>0</v>
      </c>
      <c r="BI51" s="6">
        <v>0</v>
      </c>
      <c r="BJ51" s="6">
        <v>0</v>
      </c>
      <c r="BK51" s="6">
        <f>+SUM(BK52:BK53)</f>
        <v>0</v>
      </c>
      <c r="BL51" s="6"/>
      <c r="BM51" s="6">
        <f>+SUM(BM52:BM53)</f>
        <v>254322917</v>
      </c>
      <c r="BN51" s="6">
        <f>+SUM(BN52:BN53)</f>
        <v>251645833</v>
      </c>
      <c r="BO51" s="6">
        <f>+SUM(BO52:BO53)</f>
        <v>248968750</v>
      </c>
      <c r="BP51" s="6">
        <f>+SUM(BP52:BP53)</f>
        <v>246291667</v>
      </c>
      <c r="BQ51" s="6"/>
      <c r="BR51" s="6"/>
      <c r="BS51" s="6"/>
      <c r="BT51" s="6"/>
      <c r="BU51" s="6"/>
      <c r="BV51" s="6"/>
      <c r="BW51" s="6"/>
    </row>
    <row r="52" spans="1:75" ht="15" customHeight="1">
      <c r="A52" s="59">
        <v>49</v>
      </c>
      <c r="B52" s="70" t="s">
        <v>328</v>
      </c>
      <c r="C52" s="59">
        <v>8</v>
      </c>
      <c r="D52" s="3">
        <v>55000000</v>
      </c>
      <c r="E52" s="3">
        <v>55000000</v>
      </c>
      <c r="F52" s="3">
        <v>55000000</v>
      </c>
      <c r="G52" s="3">
        <v>55000000</v>
      </c>
      <c r="H52" s="3">
        <v>55000000</v>
      </c>
      <c r="I52" s="3">
        <v>55000000</v>
      </c>
      <c r="J52" s="3">
        <v>55000000</v>
      </c>
      <c r="K52" s="3">
        <v>55000000</v>
      </c>
      <c r="L52" s="3">
        <v>55000000</v>
      </c>
      <c r="M52" s="3">
        <v>55000000</v>
      </c>
      <c r="N52" s="3">
        <v>55000000</v>
      </c>
      <c r="O52" s="3">
        <v>55000000</v>
      </c>
      <c r="P52" s="3">
        <v>55000000</v>
      </c>
      <c r="Q52" s="3">
        <v>55000000</v>
      </c>
      <c r="R52" s="3">
        <v>55000000</v>
      </c>
      <c r="S52" s="3">
        <v>55000000</v>
      </c>
      <c r="T52" s="3">
        <v>55000000</v>
      </c>
      <c r="U52" s="3">
        <v>55000000</v>
      </c>
      <c r="V52" s="3">
        <v>55000000</v>
      </c>
      <c r="W52" s="3">
        <v>55000000</v>
      </c>
      <c r="X52" s="3">
        <v>55000000</v>
      </c>
      <c r="Y52" s="3">
        <v>55000000</v>
      </c>
      <c r="Z52" s="3">
        <v>55000000</v>
      </c>
      <c r="AA52" s="3">
        <v>55000000</v>
      </c>
      <c r="AB52" s="3">
        <v>55000000</v>
      </c>
      <c r="AC52" s="3">
        <v>55000000</v>
      </c>
      <c r="AD52" s="3">
        <v>55000000</v>
      </c>
      <c r="AE52" s="3">
        <v>55000000</v>
      </c>
      <c r="AF52" s="3">
        <v>55000000</v>
      </c>
      <c r="AG52" s="3">
        <v>55000000</v>
      </c>
      <c r="AH52" s="3">
        <v>55000000</v>
      </c>
      <c r="AI52" s="3">
        <v>55000000</v>
      </c>
      <c r="AJ52" s="3">
        <v>55000000</v>
      </c>
      <c r="AK52" s="3">
        <v>55000000</v>
      </c>
      <c r="AL52" s="3">
        <v>55000000</v>
      </c>
      <c r="AM52" s="3">
        <v>55000000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55000000</v>
      </c>
      <c r="BA52" s="3">
        <v>55000000</v>
      </c>
      <c r="BB52" s="3">
        <v>55000000</v>
      </c>
      <c r="BC52" s="3">
        <v>55000000</v>
      </c>
      <c r="BD52" s="3">
        <v>55000000</v>
      </c>
      <c r="BE52" s="3">
        <v>55000000</v>
      </c>
      <c r="BF52" s="3">
        <v>55000000</v>
      </c>
      <c r="BG52" s="3">
        <v>55000000</v>
      </c>
      <c r="BH52" s="3">
        <v>55000000</v>
      </c>
      <c r="BI52" s="3">
        <v>55000000</v>
      </c>
      <c r="BJ52" s="3">
        <v>55000000</v>
      </c>
      <c r="BK52" s="3">
        <v>55000000</v>
      </c>
      <c r="BL52" s="3">
        <v>55000000</v>
      </c>
      <c r="BM52" s="3">
        <v>312000000</v>
      </c>
      <c r="BN52" s="3">
        <v>312000000</v>
      </c>
      <c r="BO52" s="3">
        <v>312000000</v>
      </c>
      <c r="BP52" s="3">
        <v>312000000</v>
      </c>
      <c r="BQ52" s="3"/>
      <c r="BR52" s="3"/>
      <c r="BS52" s="3"/>
      <c r="BT52" s="3"/>
      <c r="BU52" s="3"/>
      <c r="BV52" s="3"/>
      <c r="BW52" s="3"/>
    </row>
    <row r="53" spans="1:75" ht="15" customHeight="1">
      <c r="A53" s="59">
        <v>50</v>
      </c>
      <c r="B53" s="70" t="s">
        <v>329</v>
      </c>
      <c r="C53" s="59">
        <v>8</v>
      </c>
      <c r="D53" s="3">
        <v>-177419</v>
      </c>
      <c r="E53" s="3">
        <v>-1094086</v>
      </c>
      <c r="F53" s="3">
        <v>-2010753</v>
      </c>
      <c r="G53" s="3">
        <v>-2927420</v>
      </c>
      <c r="H53" s="3">
        <v>-3844087</v>
      </c>
      <c r="I53" s="3">
        <v>-4760754</v>
      </c>
      <c r="J53" s="3">
        <v>-5677421</v>
      </c>
      <c r="K53" s="3">
        <v>-6594088</v>
      </c>
      <c r="L53" s="3">
        <v>-7510755</v>
      </c>
      <c r="M53" s="3">
        <v>-8427422</v>
      </c>
      <c r="N53" s="3">
        <v>-9344089</v>
      </c>
      <c r="O53" s="3">
        <v>-10260756</v>
      </c>
      <c r="P53" s="3">
        <v>-11177423</v>
      </c>
      <c r="Q53" s="3">
        <v>-12094090</v>
      </c>
      <c r="R53" s="3">
        <v>-13010757</v>
      </c>
      <c r="S53" s="3">
        <v>-13927424</v>
      </c>
      <c r="T53" s="3">
        <v>-14844091</v>
      </c>
      <c r="U53" s="3">
        <v>-15760758</v>
      </c>
      <c r="V53" s="3">
        <v>-16677425</v>
      </c>
      <c r="W53" s="3">
        <v>-17594092</v>
      </c>
      <c r="X53" s="3">
        <v>-18510759</v>
      </c>
      <c r="Y53" s="3">
        <v>-19427426</v>
      </c>
      <c r="Z53" s="3">
        <v>-20344093</v>
      </c>
      <c r="AA53" s="3">
        <v>-21260760</v>
      </c>
      <c r="AB53" s="3">
        <v>-22177427</v>
      </c>
      <c r="AC53" s="3">
        <v>-23094094</v>
      </c>
      <c r="AD53" s="3">
        <v>-24010761</v>
      </c>
      <c r="AE53" s="3">
        <v>-24927428</v>
      </c>
      <c r="AF53" s="3">
        <v>-25844095</v>
      </c>
      <c r="AG53" s="3">
        <v>-26760762</v>
      </c>
      <c r="AH53" s="3">
        <v>-27677429</v>
      </c>
      <c r="AI53" s="3">
        <v>-28594096</v>
      </c>
      <c r="AJ53" s="3">
        <v>-29510763</v>
      </c>
      <c r="AK53" s="3">
        <v>-30427430</v>
      </c>
      <c r="AL53" s="3">
        <v>-31344097</v>
      </c>
      <c r="AM53" s="3">
        <v>-32260764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-47804240</v>
      </c>
      <c r="BA53" s="3">
        <v>-48999892</v>
      </c>
      <c r="BB53" s="3">
        <v>-50195544</v>
      </c>
      <c r="BC53" s="3">
        <v>-51391196</v>
      </c>
      <c r="BD53" s="3">
        <v>-52586848</v>
      </c>
      <c r="BE53" s="3">
        <v>-53782500</v>
      </c>
      <c r="BF53" s="3">
        <v>-54978152</v>
      </c>
      <c r="BG53" s="3">
        <v>-55000000</v>
      </c>
      <c r="BH53" s="3">
        <v>-55000000</v>
      </c>
      <c r="BI53" s="3">
        <v>-55000000</v>
      </c>
      <c r="BJ53" s="3">
        <v>-55000000</v>
      </c>
      <c r="BK53" s="3">
        <v>-55000000</v>
      </c>
      <c r="BL53" s="3">
        <v>-55000000</v>
      </c>
      <c r="BM53" s="3">
        <v>-57677083</v>
      </c>
      <c r="BN53" s="3">
        <v>-60354167</v>
      </c>
      <c r="BO53" s="3">
        <v>-63031250</v>
      </c>
      <c r="BP53" s="3">
        <v>-65708333</v>
      </c>
      <c r="BQ53" s="3"/>
      <c r="BR53" s="3"/>
      <c r="BS53" s="3"/>
      <c r="BT53" s="3"/>
      <c r="BU53" s="3"/>
      <c r="BV53" s="3"/>
      <c r="BW53" s="3"/>
    </row>
    <row r="54" spans="1:75" ht="15" customHeight="1">
      <c r="A54" s="59">
        <v>51</v>
      </c>
      <c r="B54" s="68" t="s">
        <v>330</v>
      </c>
      <c r="C54" s="63">
        <v>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spans="1:75" ht="15" customHeight="1">
      <c r="A55" s="59">
        <v>52</v>
      </c>
      <c r="B55" s="71" t="s">
        <v>77</v>
      </c>
      <c r="C55" s="59">
        <v>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ht="15" customHeight="1">
      <c r="A56" s="59">
        <v>53</v>
      </c>
      <c r="B56" s="70" t="s">
        <v>78</v>
      </c>
      <c r="C56" s="59">
        <v>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ht="15" customHeight="1">
      <c r="A57" s="59">
        <v>54</v>
      </c>
      <c r="B57" s="70" t="s">
        <v>79</v>
      </c>
      <c r="C57" s="59">
        <v>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ht="15" customHeight="1">
      <c r="A58" s="59">
        <v>55</v>
      </c>
      <c r="B58" s="72" t="s">
        <v>331</v>
      </c>
      <c r="C58" s="59">
        <v>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ht="15" customHeight="1">
      <c r="A59" s="59">
        <v>56</v>
      </c>
      <c r="B59" s="72" t="s">
        <v>332</v>
      </c>
      <c r="C59" s="59">
        <v>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ht="15" customHeight="1">
      <c r="A60" s="59">
        <v>57</v>
      </c>
      <c r="B60" s="71" t="s">
        <v>82</v>
      </c>
      <c r="C60" s="59">
        <v>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ht="15" customHeight="1">
      <c r="A61" s="59">
        <v>58</v>
      </c>
      <c r="B61" s="71" t="s">
        <v>83</v>
      </c>
      <c r="C61" s="59">
        <v>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ht="15" customHeight="1">
      <c r="A62" s="59">
        <v>59</v>
      </c>
      <c r="B62" s="71" t="s">
        <v>84</v>
      </c>
      <c r="C62" s="59">
        <v>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ht="15" customHeight="1">
      <c r="A63" s="61">
        <v>60</v>
      </c>
      <c r="B63" s="68" t="s">
        <v>85</v>
      </c>
      <c r="C63" s="61">
        <v>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/>
      <c r="BI63" s="4">
        <v>0</v>
      </c>
      <c r="BJ63" s="4">
        <v>0</v>
      </c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 spans="1:75" ht="15" customHeight="1">
      <c r="A64" s="59">
        <v>61</v>
      </c>
      <c r="B64" s="60" t="s">
        <v>333</v>
      </c>
      <c r="C64" s="59">
        <v>8</v>
      </c>
      <c r="D64" s="3">
        <v>0</v>
      </c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>
        <v>0</v>
      </c>
      <c r="AO64" s="3">
        <v>0</v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0</v>
      </c>
      <c r="BA64" s="3">
        <v>0</v>
      </c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ht="15" customHeight="1">
      <c r="A65" s="59">
        <v>62</v>
      </c>
      <c r="B65" s="60" t="s">
        <v>334</v>
      </c>
      <c r="C65" s="59">
        <v>8</v>
      </c>
      <c r="D65" s="3">
        <v>0</v>
      </c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>
        <v>0</v>
      </c>
      <c r="AO65" s="3">
        <v>0</v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0</v>
      </c>
      <c r="BA65" s="3">
        <v>0</v>
      </c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ht="15" customHeight="1">
      <c r="A66" s="63">
        <v>63</v>
      </c>
      <c r="B66" s="68" t="s">
        <v>335</v>
      </c>
      <c r="C66" s="63">
        <v>8</v>
      </c>
      <c r="D66" s="5">
        <v>0</v>
      </c>
      <c r="E66" s="5">
        <v>247098485</v>
      </c>
      <c r="F66" s="5">
        <v>2126658260</v>
      </c>
      <c r="G66" s="5">
        <v>2988457151</v>
      </c>
      <c r="H66" s="5">
        <v>3841275921</v>
      </c>
      <c r="I66" s="5">
        <v>4909014597</v>
      </c>
      <c r="J66" s="5">
        <v>4909014597</v>
      </c>
      <c r="K66" s="5">
        <v>4909014597</v>
      </c>
      <c r="L66" s="5">
        <v>4909014597</v>
      </c>
      <c r="M66" s="5">
        <v>4997719187</v>
      </c>
      <c r="N66" s="5">
        <v>6653161587</v>
      </c>
      <c r="O66" s="5">
        <v>6564456997</v>
      </c>
      <c r="P66" s="5">
        <v>508255811</v>
      </c>
      <c r="Q66" s="5">
        <v>512825601</v>
      </c>
      <c r="R66" s="5">
        <v>1339216947</v>
      </c>
      <c r="S66" s="5">
        <v>2301658331</v>
      </c>
      <c r="T66" s="5">
        <v>1186827484</v>
      </c>
      <c r="U66" s="5">
        <v>1250950484</v>
      </c>
      <c r="V66" s="5">
        <v>1265793984</v>
      </c>
      <c r="W66" s="5">
        <v>138645885</v>
      </c>
      <c r="X66" s="5">
        <v>237231789</v>
      </c>
      <c r="Y66" s="5">
        <v>275028789</v>
      </c>
      <c r="Z66" s="5">
        <v>283767917</v>
      </c>
      <c r="AA66" s="5">
        <v>170760013</v>
      </c>
      <c r="AB66" s="5">
        <v>1556612193</v>
      </c>
      <c r="AC66" s="5">
        <v>1556612193</v>
      </c>
      <c r="AD66" s="5">
        <v>2534444972</v>
      </c>
      <c r="AE66" s="5">
        <v>2587444972</v>
      </c>
      <c r="AF66" s="5">
        <v>0</v>
      </c>
      <c r="AG66" s="5">
        <v>0</v>
      </c>
      <c r="AH66" s="5">
        <v>277000000</v>
      </c>
      <c r="AI66" s="5">
        <v>529000000</v>
      </c>
      <c r="AJ66" s="5">
        <v>529000000</v>
      </c>
      <c r="AK66" s="5">
        <v>277000000</v>
      </c>
      <c r="AL66" s="5">
        <v>277000000</v>
      </c>
      <c r="AM66" s="5">
        <v>0</v>
      </c>
      <c r="AN66" s="5">
        <v>419846709</v>
      </c>
      <c r="AO66" s="5">
        <v>408674531</v>
      </c>
      <c r="AP66" s="5">
        <v>403047661</v>
      </c>
      <c r="AQ66" s="5">
        <v>390879241</v>
      </c>
      <c r="AR66" s="5">
        <v>558203307</v>
      </c>
      <c r="AS66" s="5">
        <v>598268760</v>
      </c>
      <c r="AT66" s="5">
        <v>546898463</v>
      </c>
      <c r="AU66" s="5">
        <v>461756176</v>
      </c>
      <c r="AV66" s="5">
        <v>440940331</v>
      </c>
      <c r="AW66" s="5">
        <v>412338743</v>
      </c>
      <c r="AX66" s="5">
        <v>361348558</v>
      </c>
      <c r="AY66" s="6">
        <v>344917157</v>
      </c>
      <c r="AZ66" s="6">
        <v>159999948</v>
      </c>
      <c r="BA66" s="6">
        <v>0</v>
      </c>
      <c r="BB66" s="6">
        <v>0</v>
      </c>
      <c r="BC66" s="6">
        <v>0</v>
      </c>
      <c r="BD66" s="6">
        <v>0</v>
      </c>
      <c r="BE66" s="6">
        <v>6052200</v>
      </c>
      <c r="BF66" s="6">
        <v>436804422</v>
      </c>
      <c r="BG66" s="6">
        <v>831804422</v>
      </c>
      <c r="BH66" s="6">
        <v>831804422</v>
      </c>
      <c r="BI66" s="6">
        <v>831804422</v>
      </c>
      <c r="BJ66" s="6">
        <v>0</v>
      </c>
      <c r="BK66" s="6"/>
      <c r="BL66" s="6"/>
      <c r="BM66" s="6"/>
      <c r="BN66" s="6"/>
      <c r="BO66" s="6"/>
      <c r="BP66" s="6">
        <v>928578104</v>
      </c>
      <c r="BQ66" s="6"/>
      <c r="BR66" s="6"/>
      <c r="BS66" s="6"/>
      <c r="BT66" s="6"/>
      <c r="BU66" s="6"/>
      <c r="BV66" s="6"/>
      <c r="BW66" s="6"/>
    </row>
    <row r="67" spans="1:75" ht="15" customHeight="1">
      <c r="A67" s="59">
        <v>64</v>
      </c>
      <c r="B67" s="60" t="s">
        <v>88</v>
      </c>
      <c r="C67" s="59">
        <v>8</v>
      </c>
      <c r="D67" s="3">
        <v>0</v>
      </c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>
        <v>0</v>
      </c>
      <c r="Q67" s="3">
        <v>0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0</v>
      </c>
      <c r="AC67" s="3">
        <v>0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>
        <v>419846709</v>
      </c>
      <c r="AO67" s="3">
        <v>408674531</v>
      </c>
      <c r="AP67" s="3">
        <v>403047661</v>
      </c>
      <c r="AQ67" s="3">
        <v>390879241</v>
      </c>
      <c r="AR67" s="3">
        <v>460263307</v>
      </c>
      <c r="AS67" s="3">
        <v>598268760</v>
      </c>
      <c r="AT67" s="3">
        <v>546898463</v>
      </c>
      <c r="AU67" s="3">
        <v>461756176</v>
      </c>
      <c r="AV67" s="3">
        <v>440940331</v>
      </c>
      <c r="AW67" s="3">
        <v>412338743</v>
      </c>
      <c r="AX67" s="3">
        <v>361348558</v>
      </c>
      <c r="AY67" s="3">
        <v>344917157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 ht="15" customHeight="1">
      <c r="A68" s="59">
        <v>65</v>
      </c>
      <c r="B68" s="60" t="s">
        <v>89</v>
      </c>
      <c r="C68" s="59">
        <v>8</v>
      </c>
      <c r="D68" s="3"/>
      <c r="E68" s="3">
        <v>247098485</v>
      </c>
      <c r="F68" s="3">
        <v>2126658260</v>
      </c>
      <c r="G68" s="3">
        <v>2988457151</v>
      </c>
      <c r="H68" s="3">
        <v>3841275921</v>
      </c>
      <c r="I68" s="3">
        <v>4909014597</v>
      </c>
      <c r="J68" s="3">
        <v>4909014597</v>
      </c>
      <c r="K68" s="3">
        <v>4909014597</v>
      </c>
      <c r="L68" s="3">
        <v>4909014597</v>
      </c>
      <c r="M68" s="3">
        <v>4997719187</v>
      </c>
      <c r="N68" s="3">
        <v>6653161587</v>
      </c>
      <c r="O68" s="3">
        <v>6564456997</v>
      </c>
      <c r="P68" s="3">
        <v>508255811</v>
      </c>
      <c r="Q68" s="3">
        <v>512825601</v>
      </c>
      <c r="R68" s="3">
        <v>1339216947</v>
      </c>
      <c r="S68" s="3">
        <v>2301658331</v>
      </c>
      <c r="T68" s="3">
        <v>1186827484</v>
      </c>
      <c r="U68" s="3">
        <v>1250950484</v>
      </c>
      <c r="V68" s="3">
        <v>1265793984</v>
      </c>
      <c r="W68" s="3">
        <v>138645885</v>
      </c>
      <c r="X68" s="3">
        <v>237231789</v>
      </c>
      <c r="Y68" s="3">
        <v>275028789</v>
      </c>
      <c r="Z68" s="3">
        <v>283767917</v>
      </c>
      <c r="AA68" s="3">
        <v>170760013</v>
      </c>
      <c r="AB68" s="3">
        <v>1556612193</v>
      </c>
      <c r="AC68" s="3">
        <v>1556612193</v>
      </c>
      <c r="AD68" s="3">
        <v>2534444972</v>
      </c>
      <c r="AE68" s="3">
        <v>2587444972</v>
      </c>
      <c r="AF68" s="3"/>
      <c r="AG68" s="3"/>
      <c r="AH68" s="3">
        <v>277000000</v>
      </c>
      <c r="AI68" s="3">
        <v>529000000</v>
      </c>
      <c r="AJ68" s="3">
        <v>529000000</v>
      </c>
      <c r="AK68" s="3">
        <v>277000000</v>
      </c>
      <c r="AL68" s="3">
        <v>277000000</v>
      </c>
      <c r="AM68" s="3"/>
      <c r="AN68" s="3"/>
      <c r="AO68" s="3"/>
      <c r="AP68" s="3"/>
      <c r="AQ68" s="3"/>
      <c r="AR68" s="3">
        <v>97940000</v>
      </c>
      <c r="AS68" s="3">
        <v>0</v>
      </c>
      <c r="AT68" s="3"/>
      <c r="AU68" s="3"/>
      <c r="AV68" s="3"/>
      <c r="AW68" s="3"/>
      <c r="AX68" s="3"/>
      <c r="AY68" s="3"/>
      <c r="AZ68" s="3">
        <v>159999948</v>
      </c>
      <c r="BA68" s="3"/>
      <c r="BB68" s="3"/>
      <c r="BC68" s="3"/>
      <c r="BD68" s="3"/>
      <c r="BE68" s="3">
        <v>6052200</v>
      </c>
      <c r="BF68" s="3">
        <v>436804422</v>
      </c>
      <c r="BG68" s="3">
        <v>831804422</v>
      </c>
      <c r="BH68" s="3">
        <v>831804422</v>
      </c>
      <c r="BI68" s="3">
        <v>831804422</v>
      </c>
      <c r="BJ68" s="3"/>
      <c r="BK68" s="3"/>
      <c r="BL68" s="3"/>
      <c r="BM68" s="3"/>
      <c r="BN68" s="3"/>
      <c r="BO68" s="3"/>
      <c r="BP68" s="3">
        <v>928578104</v>
      </c>
      <c r="BQ68" s="3"/>
      <c r="BR68" s="3"/>
      <c r="BS68" s="3"/>
      <c r="BT68" s="3"/>
      <c r="BU68" s="3"/>
      <c r="BV68" s="3"/>
      <c r="BW68" s="3"/>
    </row>
    <row r="69" spans="1:75" ht="15" customHeight="1">
      <c r="A69" s="63">
        <v>66</v>
      </c>
      <c r="B69" s="73" t="s">
        <v>336</v>
      </c>
      <c r="C69" s="63">
        <v>8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/>
      <c r="BI69" s="5">
        <v>0</v>
      </c>
      <c r="BJ69" s="5">
        <v>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15" customHeight="1">
      <c r="A70" s="59">
        <v>67</v>
      </c>
      <c r="B70" s="60" t="s">
        <v>91</v>
      </c>
      <c r="C70" s="59">
        <v>8</v>
      </c>
      <c r="D70" s="3">
        <v>0</v>
      </c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>
        <v>0</v>
      </c>
      <c r="AO70" s="3">
        <v>0</v>
      </c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0</v>
      </c>
      <c r="BA70" s="3">
        <v>0</v>
      </c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ht="15" customHeight="1">
      <c r="A71" s="59">
        <v>68</v>
      </c>
      <c r="B71" s="60" t="s">
        <v>92</v>
      </c>
      <c r="C71" s="59">
        <v>8</v>
      </c>
      <c r="D71" s="3">
        <v>0</v>
      </c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>
        <v>0</v>
      </c>
      <c r="AO71" s="3">
        <v>0</v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0</v>
      </c>
      <c r="BA71" s="3">
        <v>0</v>
      </c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s="74" customFormat="1" ht="15" customHeight="1">
      <c r="A72" s="59">
        <v>69</v>
      </c>
      <c r="B72" s="60" t="s">
        <v>93</v>
      </c>
      <c r="C72" s="59">
        <v>8</v>
      </c>
      <c r="D72" s="3">
        <v>0</v>
      </c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>
        <v>0</v>
      </c>
      <c r="AO72" s="3">
        <v>0</v>
      </c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0</v>
      </c>
      <c r="BA72" s="3">
        <v>0</v>
      </c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ht="15" customHeight="1">
      <c r="A73" s="59">
        <v>70</v>
      </c>
      <c r="B73" s="60" t="s">
        <v>94</v>
      </c>
      <c r="C73" s="59">
        <v>8</v>
      </c>
      <c r="D73" s="3">
        <v>0</v>
      </c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>
        <v>0</v>
      </c>
      <c r="AO73" s="3">
        <v>0</v>
      </c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0</v>
      </c>
      <c r="BA73" s="3">
        <v>0</v>
      </c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ht="15" customHeight="1">
      <c r="A74" s="59">
        <v>71</v>
      </c>
      <c r="B74" s="62" t="s">
        <v>95</v>
      </c>
      <c r="C74" s="59">
        <v>8</v>
      </c>
      <c r="D74" s="3">
        <v>0</v>
      </c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>
        <v>0</v>
      </c>
      <c r="AO74" s="3">
        <v>0</v>
      </c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0</v>
      </c>
      <c r="BA74" s="3">
        <v>0</v>
      </c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ht="15" customHeight="1">
      <c r="A75" s="59">
        <v>72</v>
      </c>
      <c r="B75" s="62" t="s">
        <v>96</v>
      </c>
      <c r="C75" s="59">
        <v>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ht="15" customHeight="1">
      <c r="A76" s="63">
        <v>73</v>
      </c>
      <c r="B76" s="75" t="s">
        <v>337</v>
      </c>
      <c r="C76" s="63">
        <v>8</v>
      </c>
      <c r="D76" s="5">
        <v>734063938</v>
      </c>
      <c r="E76" s="5">
        <v>713172188</v>
      </c>
      <c r="F76" s="5">
        <v>692280438</v>
      </c>
      <c r="G76" s="5">
        <v>671388688</v>
      </c>
      <c r="H76" s="5">
        <v>650496938</v>
      </c>
      <c r="I76" s="5">
        <v>629605188</v>
      </c>
      <c r="J76" s="5">
        <v>608713438</v>
      </c>
      <c r="K76" s="5">
        <v>587821688</v>
      </c>
      <c r="L76" s="5">
        <v>860818827</v>
      </c>
      <c r="M76" s="5">
        <v>831593744</v>
      </c>
      <c r="N76" s="5">
        <v>802368661</v>
      </c>
      <c r="O76" s="5">
        <v>773143578</v>
      </c>
      <c r="P76" s="5">
        <v>743918495</v>
      </c>
      <c r="Q76" s="5">
        <v>714693412</v>
      </c>
      <c r="R76" s="5">
        <v>685468329</v>
      </c>
      <c r="S76" s="5">
        <v>656243246</v>
      </c>
      <c r="T76" s="5">
        <v>627018163</v>
      </c>
      <c r="U76" s="5">
        <v>597793080</v>
      </c>
      <c r="V76" s="5">
        <v>568567997</v>
      </c>
      <c r="W76" s="5">
        <v>539342914</v>
      </c>
      <c r="X76" s="5">
        <v>510117831</v>
      </c>
      <c r="Y76" s="5">
        <v>505771796</v>
      </c>
      <c r="Z76" s="5">
        <v>505294901</v>
      </c>
      <c r="AA76" s="5">
        <v>518879582</v>
      </c>
      <c r="AB76" s="5">
        <v>482354907</v>
      </c>
      <c r="AC76" s="5">
        <v>472880881</v>
      </c>
      <c r="AD76" s="5">
        <v>433974388</v>
      </c>
      <c r="AE76" s="5">
        <v>395067895</v>
      </c>
      <c r="AF76" s="5">
        <v>356161402</v>
      </c>
      <c r="AG76" s="5">
        <v>325375175</v>
      </c>
      <c r="AH76" s="5">
        <v>286164101</v>
      </c>
      <c r="AI76" s="5">
        <v>310988154</v>
      </c>
      <c r="AJ76" s="5">
        <v>264394431</v>
      </c>
      <c r="AK76" s="5">
        <v>285603739</v>
      </c>
      <c r="AL76" s="5">
        <v>236762640</v>
      </c>
      <c r="AM76" s="5">
        <v>455373983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6">
        <v>0</v>
      </c>
      <c r="AZ76" s="6">
        <v>334394823</v>
      </c>
      <c r="BA76" s="6">
        <v>301457241</v>
      </c>
      <c r="BB76" s="6">
        <v>537824186</v>
      </c>
      <c r="BC76" s="6">
        <v>474535147</v>
      </c>
      <c r="BD76" s="6">
        <v>944505278</v>
      </c>
      <c r="BE76" s="6">
        <v>938902004</v>
      </c>
      <c r="BF76" s="6">
        <v>884220149</v>
      </c>
      <c r="BG76" s="6">
        <v>861263784</v>
      </c>
      <c r="BH76" s="6">
        <v>787729718</v>
      </c>
      <c r="BI76" s="6">
        <v>790175426</v>
      </c>
      <c r="BJ76" s="6">
        <v>717724505</v>
      </c>
      <c r="BK76" s="6">
        <v>524008824</v>
      </c>
      <c r="BL76" s="6">
        <v>497849339</v>
      </c>
      <c r="BM76" s="6">
        <v>474189854</v>
      </c>
      <c r="BN76" s="6">
        <v>450773073</v>
      </c>
      <c r="BO76" s="6">
        <v>433407240</v>
      </c>
      <c r="BP76" s="6">
        <v>946541407</v>
      </c>
      <c r="BQ76" s="6"/>
      <c r="BR76" s="6"/>
      <c r="BS76" s="6"/>
      <c r="BT76" s="6"/>
      <c r="BU76" s="6"/>
      <c r="BV76" s="6"/>
      <c r="BW76" s="6"/>
    </row>
    <row r="77" spans="1:75" ht="15" customHeight="1">
      <c r="A77" s="59">
        <v>74</v>
      </c>
      <c r="B77" s="64" t="s">
        <v>98</v>
      </c>
      <c r="C77" s="59">
        <v>8</v>
      </c>
      <c r="D77" s="3">
        <v>734063938</v>
      </c>
      <c r="E77" s="3">
        <v>713172188</v>
      </c>
      <c r="F77" s="3">
        <v>692280438</v>
      </c>
      <c r="G77" s="3">
        <v>671388688</v>
      </c>
      <c r="H77" s="3">
        <v>650496938</v>
      </c>
      <c r="I77" s="3">
        <v>629605188</v>
      </c>
      <c r="J77" s="3">
        <v>608713438</v>
      </c>
      <c r="K77" s="3">
        <v>587821688</v>
      </c>
      <c r="L77" s="3">
        <v>860818827</v>
      </c>
      <c r="M77" s="3">
        <v>831593744</v>
      </c>
      <c r="N77" s="3">
        <v>802368661</v>
      </c>
      <c r="O77" s="3">
        <v>773143578</v>
      </c>
      <c r="P77" s="3">
        <v>743918495</v>
      </c>
      <c r="Q77" s="3">
        <v>714693412</v>
      </c>
      <c r="R77" s="3">
        <v>685468329</v>
      </c>
      <c r="S77" s="3">
        <v>656243246</v>
      </c>
      <c r="T77" s="3">
        <v>627018163</v>
      </c>
      <c r="U77" s="3">
        <v>597793080</v>
      </c>
      <c r="V77" s="3">
        <v>568567997</v>
      </c>
      <c r="W77" s="3">
        <v>539342914</v>
      </c>
      <c r="X77" s="3">
        <v>510117831</v>
      </c>
      <c r="Y77" s="3">
        <v>505771796</v>
      </c>
      <c r="Z77" s="3">
        <v>505294901</v>
      </c>
      <c r="AA77" s="3">
        <v>518879582</v>
      </c>
      <c r="AB77" s="3">
        <v>482354907</v>
      </c>
      <c r="AC77" s="3">
        <v>472880881</v>
      </c>
      <c r="AD77" s="3">
        <v>433974388</v>
      </c>
      <c r="AE77" s="3">
        <v>395067895</v>
      </c>
      <c r="AF77" s="3">
        <v>356161402</v>
      </c>
      <c r="AG77" s="3">
        <v>325375175</v>
      </c>
      <c r="AH77" s="3">
        <v>286164101</v>
      </c>
      <c r="AI77" s="3">
        <v>310988154</v>
      </c>
      <c r="AJ77" s="3">
        <v>264394431</v>
      </c>
      <c r="AK77" s="3">
        <v>285603739</v>
      </c>
      <c r="AL77" s="3">
        <v>236762640</v>
      </c>
      <c r="AM77" s="3">
        <v>455373983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334394823</v>
      </c>
      <c r="BA77" s="3">
        <v>301457241</v>
      </c>
      <c r="BB77" s="3">
        <v>537824186</v>
      </c>
      <c r="BC77" s="3">
        <v>474535147</v>
      </c>
      <c r="BD77" s="3">
        <v>944505278</v>
      </c>
      <c r="BE77" s="3">
        <v>938902004</v>
      </c>
      <c r="BF77" s="3">
        <v>884220149</v>
      </c>
      <c r="BG77" s="3">
        <v>861263784</v>
      </c>
      <c r="BH77" s="3">
        <v>787729718</v>
      </c>
      <c r="BI77" s="3">
        <v>790175426</v>
      </c>
      <c r="BJ77" s="3">
        <v>717724505</v>
      </c>
      <c r="BK77" s="3">
        <v>524008824</v>
      </c>
      <c r="BL77" s="3">
        <v>497849339</v>
      </c>
      <c r="BM77" s="3">
        <v>474189854</v>
      </c>
      <c r="BN77" s="3">
        <v>450773073</v>
      </c>
      <c r="BO77" s="3">
        <v>433407240</v>
      </c>
      <c r="BP77" s="3">
        <v>946541407</v>
      </c>
      <c r="BQ77" s="3"/>
      <c r="BR77" s="3"/>
      <c r="BS77" s="3"/>
      <c r="BT77" s="3"/>
      <c r="BU77" s="3"/>
      <c r="BV77" s="3"/>
      <c r="BW77" s="3"/>
    </row>
    <row r="78" spans="1:75" s="76" customFormat="1" ht="15" customHeight="1">
      <c r="A78" s="59">
        <v>75</v>
      </c>
      <c r="B78" s="64" t="s">
        <v>99</v>
      </c>
      <c r="C78" s="59">
        <v>8</v>
      </c>
      <c r="D78" s="3">
        <v>0</v>
      </c>
      <c r="E78" s="3"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>
        <v>0</v>
      </c>
      <c r="Q78" s="3">
        <v>0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0</v>
      </c>
      <c r="AC78" s="3">
        <v>0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ht="15" customHeight="1">
      <c r="A79" s="59">
        <v>76</v>
      </c>
      <c r="B79" s="64" t="s">
        <v>100</v>
      </c>
      <c r="C79" s="59">
        <v>8</v>
      </c>
      <c r="D79" s="3">
        <v>0</v>
      </c>
      <c r="E79" s="3"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v>0</v>
      </c>
      <c r="Q79" s="3">
        <v>0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0</v>
      </c>
      <c r="AC79" s="3">
        <v>0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ht="15" customHeight="1">
      <c r="A80" s="59">
        <v>77</v>
      </c>
      <c r="B80" s="64" t="s">
        <v>101</v>
      </c>
      <c r="C80" s="59">
        <v>8</v>
      </c>
      <c r="D80" s="3">
        <v>0</v>
      </c>
      <c r="E80" s="3">
        <v>0</v>
      </c>
      <c r="F80" s="3">
        <v>0</v>
      </c>
      <c r="G80" s="3">
        <v>0</v>
      </c>
      <c r="H80" s="3"/>
      <c r="I80" s="3"/>
      <c r="J80" s="3"/>
      <c r="K80" s="3"/>
      <c r="L80" s="3"/>
      <c r="M80" s="3">
        <v>0</v>
      </c>
      <c r="N80" s="3"/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/>
      <c r="U80" s="3"/>
      <c r="V80" s="3"/>
      <c r="W80" s="3"/>
      <c r="X80" s="3"/>
      <c r="Y80" s="3">
        <v>0</v>
      </c>
      <c r="Z80" s="3"/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/>
      <c r="AG80" s="3"/>
      <c r="AH80" s="3"/>
      <c r="AI80" s="3"/>
      <c r="AJ80" s="3"/>
      <c r="AK80" s="3">
        <v>0</v>
      </c>
      <c r="AL80" s="3"/>
      <c r="AM80" s="3">
        <v>0</v>
      </c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ht="15" customHeight="1">
      <c r="A81" s="77">
        <v>78</v>
      </c>
      <c r="B81" s="78" t="s">
        <v>338</v>
      </c>
      <c r="C81" s="77">
        <v>8</v>
      </c>
      <c r="D81" s="10">
        <v>7537929922</v>
      </c>
      <c r="E81" s="10">
        <v>8323208552</v>
      </c>
      <c r="F81" s="10">
        <v>10981272975</v>
      </c>
      <c r="G81" s="10">
        <v>11892981766</v>
      </c>
      <c r="H81" s="10">
        <v>12746826326</v>
      </c>
      <c r="I81" s="10">
        <v>13579293734</v>
      </c>
      <c r="J81" s="10">
        <v>13506400456</v>
      </c>
      <c r="K81" s="10">
        <v>13434040466</v>
      </c>
      <c r="L81" s="10">
        <v>13339155289</v>
      </c>
      <c r="M81" s="10">
        <v>13342881294</v>
      </c>
      <c r="N81" s="10">
        <v>15109166388</v>
      </c>
      <c r="O81" s="10">
        <v>14704869502</v>
      </c>
      <c r="P81" s="10">
        <v>19018510866</v>
      </c>
      <c r="Q81" s="10">
        <v>18720546422</v>
      </c>
      <c r="R81" s="10">
        <v>21282488128</v>
      </c>
      <c r="S81" s="10">
        <v>32868247535</v>
      </c>
      <c r="T81" s="10">
        <v>37235806910</v>
      </c>
      <c r="U81" s="10">
        <v>36375060892</v>
      </c>
      <c r="V81" s="10">
        <v>35965183558</v>
      </c>
      <c r="W81" s="10">
        <v>42935162969</v>
      </c>
      <c r="X81" s="10">
        <v>42708596639</v>
      </c>
      <c r="Y81" s="10">
        <v>42106587006</v>
      </c>
      <c r="Z81" s="10">
        <v>41772122184</v>
      </c>
      <c r="AA81" s="10">
        <v>40322950936</v>
      </c>
      <c r="AB81" s="10">
        <v>38887084508</v>
      </c>
      <c r="AC81" s="10">
        <v>38393581637</v>
      </c>
      <c r="AD81" s="10">
        <v>37576613718</v>
      </c>
      <c r="AE81" s="10">
        <v>37763442217</v>
      </c>
      <c r="AF81" s="10">
        <v>37862965394</v>
      </c>
      <c r="AG81" s="10">
        <v>37403555873</v>
      </c>
      <c r="AH81" s="10">
        <v>37212607991</v>
      </c>
      <c r="AI81" s="10">
        <v>36501619282</v>
      </c>
      <c r="AJ81" s="10">
        <v>39782776751</v>
      </c>
      <c r="AK81" s="10">
        <v>41702120904</v>
      </c>
      <c r="AL81" s="10">
        <v>41580205469</v>
      </c>
      <c r="AM81" s="10">
        <v>41879994873</v>
      </c>
      <c r="AN81" s="10">
        <v>38787934579</v>
      </c>
      <c r="AO81" s="10">
        <v>38541273547</v>
      </c>
      <c r="AP81" s="10">
        <v>39098533958</v>
      </c>
      <c r="AQ81" s="10">
        <v>38861003421</v>
      </c>
      <c r="AR81" s="10">
        <v>36719519109</v>
      </c>
      <c r="AS81" s="10">
        <v>37113762343</v>
      </c>
      <c r="AT81" s="10">
        <v>35002183463</v>
      </c>
      <c r="AU81" s="10">
        <v>34860159251</v>
      </c>
      <c r="AV81" s="10">
        <v>35032994427</v>
      </c>
      <c r="AW81" s="10">
        <v>34288512350</v>
      </c>
      <c r="AX81" s="10">
        <v>34017816256</v>
      </c>
      <c r="AY81" s="11">
        <v>33571227947</v>
      </c>
      <c r="AZ81" s="11">
        <v>32019874813</v>
      </c>
      <c r="BA81" s="11">
        <v>32416294566</v>
      </c>
      <c r="BB81" s="11">
        <v>33074402363</v>
      </c>
      <c r="BC81" s="11">
        <v>33035228610</v>
      </c>
      <c r="BD81" s="11">
        <v>33553334319</v>
      </c>
      <c r="BE81" s="11">
        <v>34729808148</v>
      </c>
      <c r="BF81" s="11">
        <v>35815907036</v>
      </c>
      <c r="BG81" s="11">
        <v>37326649675</v>
      </c>
      <c r="BH81" s="11">
        <f>+BH36+BH4</f>
        <v>36925521631</v>
      </c>
      <c r="BI81" s="11">
        <v>36491540860</v>
      </c>
      <c r="BJ81" s="11">
        <v>37884499011</v>
      </c>
      <c r="BK81" s="11">
        <f t="shared" ref="BK81:BP81" si="6">+BK36+BK4</f>
        <v>37018208196</v>
      </c>
      <c r="BL81" s="11">
        <f t="shared" si="6"/>
        <v>37878758968</v>
      </c>
      <c r="BM81" s="11">
        <f t="shared" si="6"/>
        <v>37565218170</v>
      </c>
      <c r="BN81" s="11">
        <f t="shared" si="6"/>
        <v>38090951649</v>
      </c>
      <c r="BO81" s="11">
        <f t="shared" si="6"/>
        <v>39316038716</v>
      </c>
      <c r="BP81" s="11">
        <f t="shared" si="6"/>
        <v>40519851163</v>
      </c>
      <c r="BQ81" s="11"/>
      <c r="BR81" s="11"/>
      <c r="BS81" s="11"/>
      <c r="BT81" s="11"/>
      <c r="BU81" s="11"/>
      <c r="BV81" s="11"/>
      <c r="BW81" s="11"/>
    </row>
    <row r="82" spans="1:75" ht="15" customHeight="1">
      <c r="A82" s="66">
        <v>79</v>
      </c>
      <c r="B82" s="56" t="s">
        <v>339</v>
      </c>
      <c r="C82" s="66">
        <v>8</v>
      </c>
      <c r="D82" s="7">
        <v>2808782500</v>
      </c>
      <c r="E82" s="7">
        <v>3757500000</v>
      </c>
      <c r="F82" s="7">
        <v>6580751472</v>
      </c>
      <c r="G82" s="7">
        <v>2658316767</v>
      </c>
      <c r="H82" s="7">
        <v>3682354168</v>
      </c>
      <c r="I82" s="7">
        <v>4661526352</v>
      </c>
      <c r="J82" s="7">
        <v>4701526352</v>
      </c>
      <c r="K82" s="7">
        <v>4721526352</v>
      </c>
      <c r="L82" s="7">
        <v>4771526352</v>
      </c>
      <c r="M82" s="7">
        <v>4887148130</v>
      </c>
      <c r="N82" s="7">
        <v>6820209988</v>
      </c>
      <c r="O82" s="7">
        <v>6955035363</v>
      </c>
      <c r="P82" s="7">
        <v>11615264844</v>
      </c>
      <c r="Q82" s="7">
        <v>11649848580</v>
      </c>
      <c r="R82" s="7">
        <v>14512951165</v>
      </c>
      <c r="S82" s="7">
        <v>430564850</v>
      </c>
      <c r="T82" s="7">
        <v>5126360114</v>
      </c>
      <c r="U82" s="7">
        <v>4639944689</v>
      </c>
      <c r="V82" s="7">
        <v>608352024</v>
      </c>
      <c r="W82" s="7">
        <v>876537385</v>
      </c>
      <c r="X82" s="7">
        <v>1072507064</v>
      </c>
      <c r="Y82" s="7">
        <v>824969724</v>
      </c>
      <c r="Z82" s="7">
        <v>1352402194</v>
      </c>
      <c r="AA82" s="7">
        <v>1076097378</v>
      </c>
      <c r="AB82" s="7">
        <v>691520336</v>
      </c>
      <c r="AC82" s="7">
        <v>731435551</v>
      </c>
      <c r="AD82" s="7">
        <v>648926509</v>
      </c>
      <c r="AE82" s="7">
        <v>801692374</v>
      </c>
      <c r="AF82" s="7">
        <v>1365839917</v>
      </c>
      <c r="AG82" s="7">
        <v>1091590202</v>
      </c>
      <c r="AH82" s="7">
        <v>1370870840</v>
      </c>
      <c r="AI82" s="7">
        <v>969858797</v>
      </c>
      <c r="AJ82" s="7">
        <v>4710979906</v>
      </c>
      <c r="AK82" s="7">
        <v>6735994157</v>
      </c>
      <c r="AL82" s="7">
        <v>7052340748</v>
      </c>
      <c r="AM82" s="7">
        <v>6838726183</v>
      </c>
      <c r="AN82" s="7">
        <v>3936386342</v>
      </c>
      <c r="AO82" s="7">
        <v>3864858581</v>
      </c>
      <c r="AP82" s="7">
        <v>4371797206</v>
      </c>
      <c r="AQ82" s="7">
        <v>4275714051</v>
      </c>
      <c r="AR82" s="7">
        <v>2132171066</v>
      </c>
      <c r="AS82" s="7">
        <v>2722076002</v>
      </c>
      <c r="AT82" s="7">
        <v>1005099940</v>
      </c>
      <c r="AU82" s="7">
        <v>1264043621</v>
      </c>
      <c r="AV82" s="7">
        <v>1743954252</v>
      </c>
      <c r="AW82" s="7">
        <v>1236264505</v>
      </c>
      <c r="AX82" s="7">
        <v>1852970591</v>
      </c>
      <c r="AY82" s="8">
        <v>1683206539</v>
      </c>
      <c r="AZ82" s="8">
        <v>577412396</v>
      </c>
      <c r="BA82" s="8">
        <v>1023712770</v>
      </c>
      <c r="BB82" s="8">
        <v>1601294792</v>
      </c>
      <c r="BC82" s="8">
        <v>1271317763</v>
      </c>
      <c r="BD82" s="8">
        <v>1824676018</v>
      </c>
      <c r="BE82" s="8">
        <v>2382206605</v>
      </c>
      <c r="BF82" s="8">
        <v>2498009441</v>
      </c>
      <c r="BG82" s="8">
        <v>2504220745</v>
      </c>
      <c r="BH82" s="8">
        <v>2148019975</v>
      </c>
      <c r="BI82" s="8">
        <v>1510088883</v>
      </c>
      <c r="BJ82" s="8">
        <v>2794628671</v>
      </c>
      <c r="BK82" s="8">
        <f t="shared" ref="BK82:BP82" si="7">+BK83+BK99</f>
        <v>1784212493</v>
      </c>
      <c r="BL82" s="8">
        <f t="shared" si="7"/>
        <v>2213658693</v>
      </c>
      <c r="BM82" s="8">
        <f t="shared" si="7"/>
        <v>1916714800</v>
      </c>
      <c r="BN82" s="8">
        <f t="shared" si="7"/>
        <v>1728359241</v>
      </c>
      <c r="BO82" s="8">
        <f t="shared" si="7"/>
        <v>2464589841</v>
      </c>
      <c r="BP82" s="8">
        <f t="shared" si="7"/>
        <v>2511504919</v>
      </c>
      <c r="BQ82" s="8"/>
      <c r="BR82" s="8"/>
      <c r="BS82" s="8"/>
      <c r="BT82" s="8"/>
      <c r="BU82" s="8"/>
      <c r="BV82" s="8"/>
      <c r="BW82" s="8"/>
    </row>
    <row r="83" spans="1:75" ht="15" customHeight="1">
      <c r="A83" s="63">
        <v>80</v>
      </c>
      <c r="B83" s="58" t="s">
        <v>340</v>
      </c>
      <c r="C83" s="63">
        <v>8</v>
      </c>
      <c r="D83" s="5">
        <v>2808782500</v>
      </c>
      <c r="E83" s="5">
        <v>3757500000</v>
      </c>
      <c r="F83" s="5">
        <v>6580751472</v>
      </c>
      <c r="G83" s="5">
        <v>2658316767</v>
      </c>
      <c r="H83" s="5">
        <v>3682354168</v>
      </c>
      <c r="I83" s="5">
        <v>4661526352</v>
      </c>
      <c r="J83" s="5">
        <v>4701526352</v>
      </c>
      <c r="K83" s="5">
        <v>4721526352</v>
      </c>
      <c r="L83" s="5">
        <v>4771526352</v>
      </c>
      <c r="M83" s="5">
        <v>4887148130</v>
      </c>
      <c r="N83" s="5">
        <v>6820209988</v>
      </c>
      <c r="O83" s="5">
        <v>6955035363</v>
      </c>
      <c r="P83" s="5">
        <v>11615264844</v>
      </c>
      <c r="Q83" s="5">
        <v>11649848580</v>
      </c>
      <c r="R83" s="5">
        <v>14512951165</v>
      </c>
      <c r="S83" s="5">
        <v>430564850</v>
      </c>
      <c r="T83" s="5">
        <v>5126360114</v>
      </c>
      <c r="U83" s="5">
        <v>4639944689</v>
      </c>
      <c r="V83" s="5">
        <v>608352024</v>
      </c>
      <c r="W83" s="5">
        <v>876537385</v>
      </c>
      <c r="X83" s="5">
        <v>1072507064</v>
      </c>
      <c r="Y83" s="5">
        <v>824969724</v>
      </c>
      <c r="Z83" s="5">
        <v>1352402194</v>
      </c>
      <c r="AA83" s="5">
        <v>1076097378</v>
      </c>
      <c r="AB83" s="5">
        <v>691520336</v>
      </c>
      <c r="AC83" s="5">
        <v>731435551</v>
      </c>
      <c r="AD83" s="5">
        <v>648926509</v>
      </c>
      <c r="AE83" s="5">
        <v>801692374</v>
      </c>
      <c r="AF83" s="5">
        <v>1365839917</v>
      </c>
      <c r="AG83" s="5">
        <v>1091590202</v>
      </c>
      <c r="AH83" s="5">
        <v>1370870840</v>
      </c>
      <c r="AI83" s="5">
        <v>969858797</v>
      </c>
      <c r="AJ83" s="5">
        <v>4710979906</v>
      </c>
      <c r="AK83" s="5">
        <v>6735994157</v>
      </c>
      <c r="AL83" s="5">
        <v>7052340748</v>
      </c>
      <c r="AM83" s="5">
        <v>6838726183</v>
      </c>
      <c r="AN83" s="5">
        <v>3936386342</v>
      </c>
      <c r="AO83" s="5">
        <v>3864858581</v>
      </c>
      <c r="AP83" s="5">
        <v>4371797206</v>
      </c>
      <c r="AQ83" s="5">
        <v>4275714051</v>
      </c>
      <c r="AR83" s="5">
        <v>2132171066</v>
      </c>
      <c r="AS83" s="5">
        <v>2722076002</v>
      </c>
      <c r="AT83" s="5">
        <v>1005099940</v>
      </c>
      <c r="AU83" s="5">
        <v>1264043621</v>
      </c>
      <c r="AV83" s="5">
        <v>1743954252</v>
      </c>
      <c r="AW83" s="5">
        <v>1236264505</v>
      </c>
      <c r="AX83" s="5">
        <v>1852970591</v>
      </c>
      <c r="AY83" s="6">
        <v>1683206539</v>
      </c>
      <c r="AZ83" s="6">
        <v>577412396</v>
      </c>
      <c r="BA83" s="6">
        <v>1023712770</v>
      </c>
      <c r="BB83" s="6">
        <v>1601294792</v>
      </c>
      <c r="BC83" s="6">
        <v>1271317763</v>
      </c>
      <c r="BD83" s="6">
        <v>1824676018</v>
      </c>
      <c r="BE83" s="6">
        <v>2382206605</v>
      </c>
      <c r="BF83" s="6">
        <v>2498009441</v>
      </c>
      <c r="BG83" s="6">
        <v>2504220745</v>
      </c>
      <c r="BH83" s="6">
        <v>2148019975</v>
      </c>
      <c r="BI83" s="6">
        <v>1510088883</v>
      </c>
      <c r="BJ83" s="6">
        <v>2794628671</v>
      </c>
      <c r="BK83" s="6">
        <f t="shared" ref="BK83:BP83" si="8">+SUM(BK84:BK98)</f>
        <v>1784212493</v>
      </c>
      <c r="BL83" s="6">
        <f t="shared" si="8"/>
        <v>2213658693</v>
      </c>
      <c r="BM83" s="6">
        <f t="shared" si="8"/>
        <v>1916714800</v>
      </c>
      <c r="BN83" s="6">
        <f t="shared" si="8"/>
        <v>1728359241</v>
      </c>
      <c r="BO83" s="6">
        <f t="shared" si="8"/>
        <v>2464589841</v>
      </c>
      <c r="BP83" s="6">
        <f t="shared" si="8"/>
        <v>2511504919</v>
      </c>
      <c r="BQ83" s="6"/>
      <c r="BR83" s="6"/>
      <c r="BS83" s="6"/>
      <c r="BT83" s="6"/>
      <c r="BU83" s="6"/>
      <c r="BV83" s="6"/>
      <c r="BW83" s="6"/>
    </row>
    <row r="84" spans="1:75" ht="15" customHeight="1">
      <c r="A84" s="59">
        <v>81</v>
      </c>
      <c r="B84" s="79" t="s">
        <v>106</v>
      </c>
      <c r="C84" s="59">
        <v>8</v>
      </c>
      <c r="D84" s="3">
        <v>166782500</v>
      </c>
      <c r="E84" s="3">
        <v>27500000</v>
      </c>
      <c r="F84" s="3">
        <v>270751472</v>
      </c>
      <c r="G84" s="3">
        <v>143172352</v>
      </c>
      <c r="H84" s="3">
        <v>101526352</v>
      </c>
      <c r="I84" s="3">
        <v>101526352</v>
      </c>
      <c r="J84" s="3">
        <v>101526352</v>
      </c>
      <c r="K84" s="3">
        <v>101526352</v>
      </c>
      <c r="L84" s="3">
        <v>101526352</v>
      </c>
      <c r="M84" s="3">
        <v>178582210</v>
      </c>
      <c r="N84" s="3">
        <v>0</v>
      </c>
      <c r="O84" s="3">
        <v>838510363</v>
      </c>
      <c r="P84" s="3">
        <v>439198826</v>
      </c>
      <c r="Q84" s="3">
        <v>339375639</v>
      </c>
      <c r="R84" s="3">
        <v>435377197</v>
      </c>
      <c r="S84" s="3">
        <v>258945000</v>
      </c>
      <c r="T84" s="3">
        <v>1082108054</v>
      </c>
      <c r="U84" s="3">
        <v>485097487</v>
      </c>
      <c r="V84" s="3">
        <v>444658437</v>
      </c>
      <c r="W84" s="3">
        <v>679721134</v>
      </c>
      <c r="X84" s="3">
        <v>903034513</v>
      </c>
      <c r="Y84" s="3">
        <v>638413274</v>
      </c>
      <c r="Z84" s="3">
        <v>1160623513</v>
      </c>
      <c r="AA84" s="3">
        <v>718335349</v>
      </c>
      <c r="AB84" s="3">
        <v>456412598</v>
      </c>
      <c r="AC84" s="3">
        <v>498229813</v>
      </c>
      <c r="AD84" s="3">
        <v>293443463</v>
      </c>
      <c r="AE84" s="3">
        <v>479299328</v>
      </c>
      <c r="AF84" s="3">
        <v>1018140530</v>
      </c>
      <c r="AG84" s="3">
        <v>348522690</v>
      </c>
      <c r="AH84" s="3">
        <v>816775521</v>
      </c>
      <c r="AI84" s="3">
        <v>427131802</v>
      </c>
      <c r="AJ84" s="3">
        <v>3907577645</v>
      </c>
      <c r="AK84" s="3">
        <v>6251178188</v>
      </c>
      <c r="AL84" s="3">
        <v>6362914570</v>
      </c>
      <c r="AM84" s="3">
        <v>6018131570</v>
      </c>
      <c r="AN84" s="3">
        <v>2902521573</v>
      </c>
      <c r="AO84" s="3">
        <v>2654525710</v>
      </c>
      <c r="AP84" s="3">
        <v>2664441478</v>
      </c>
      <c r="AQ84" s="3">
        <v>3467038162</v>
      </c>
      <c r="AR84" s="3">
        <v>572986270</v>
      </c>
      <c r="AS84" s="3">
        <v>701595791</v>
      </c>
      <c r="AT84" s="3">
        <v>336633370</v>
      </c>
      <c r="AU84" s="3">
        <v>516721275</v>
      </c>
      <c r="AV84" s="3">
        <v>443498798</v>
      </c>
      <c r="AW84" s="3">
        <v>463157229</v>
      </c>
      <c r="AX84" s="3">
        <v>714994052</v>
      </c>
      <c r="AY84" s="3">
        <v>261517734</v>
      </c>
      <c r="AZ84" s="3">
        <v>181580633</v>
      </c>
      <c r="BA84" s="3">
        <v>367187933</v>
      </c>
      <c r="BB84" s="3">
        <v>800699696</v>
      </c>
      <c r="BC84" s="3">
        <v>578926254</v>
      </c>
      <c r="BD84" s="3">
        <v>882812093</v>
      </c>
      <c r="BE84" s="3">
        <v>1129429236</v>
      </c>
      <c r="BF84" s="3">
        <v>1072757451</v>
      </c>
      <c r="BG84" s="3">
        <v>956780815</v>
      </c>
      <c r="BH84" s="3">
        <v>558323168</v>
      </c>
      <c r="BI84" s="3">
        <v>431648954</v>
      </c>
      <c r="BJ84" s="3">
        <v>1839261630</v>
      </c>
      <c r="BK84" s="3">
        <v>868547044</v>
      </c>
      <c r="BL84" s="3">
        <v>953036907</v>
      </c>
      <c r="BM84" s="3">
        <v>1087866674</v>
      </c>
      <c r="BN84" s="3">
        <v>596441713</v>
      </c>
      <c r="BO84" s="3">
        <v>1408919564</v>
      </c>
      <c r="BP84" s="3">
        <v>1058235468</v>
      </c>
      <c r="BQ84" s="3"/>
      <c r="BR84" s="3"/>
      <c r="BS84" s="3"/>
      <c r="BT84" s="3"/>
      <c r="BU84" s="3"/>
      <c r="BV84" s="3"/>
      <c r="BW84" s="3"/>
    </row>
    <row r="85" spans="1:75" ht="15" customHeight="1">
      <c r="A85" s="59">
        <v>82</v>
      </c>
      <c r="B85" s="79" t="s">
        <v>107</v>
      </c>
      <c r="C85" s="59">
        <v>8</v>
      </c>
      <c r="D85" s="3">
        <v>0</v>
      </c>
      <c r="E85" s="3"/>
      <c r="F85" s="3"/>
      <c r="G85" s="3">
        <v>78302000</v>
      </c>
      <c r="H85" s="3">
        <v>2764</v>
      </c>
      <c r="I85" s="3"/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56525000</v>
      </c>
      <c r="P85" s="3">
        <v>0</v>
      </c>
      <c r="Q85" s="3">
        <v>0</v>
      </c>
      <c r="R85" s="3">
        <v>2813164860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0</v>
      </c>
      <c r="BA85" s="3">
        <v>0</v>
      </c>
      <c r="BB85" s="3"/>
      <c r="BC85" s="3">
        <v>0</v>
      </c>
      <c r="BD85" s="3"/>
      <c r="BE85" s="3"/>
      <c r="BF85" s="3">
        <v>0</v>
      </c>
      <c r="BG85" s="3">
        <v>0</v>
      </c>
      <c r="BH85" s="3">
        <v>253351429</v>
      </c>
      <c r="BI85" s="3">
        <v>0</v>
      </c>
      <c r="BJ85" s="3">
        <v>0</v>
      </c>
      <c r="BK85" s="3"/>
      <c r="BL85" s="3"/>
      <c r="BM85" s="3"/>
      <c r="BN85" s="3"/>
      <c r="BO85" s="3">
        <v>0</v>
      </c>
      <c r="BP85" s="3"/>
      <c r="BQ85" s="3"/>
      <c r="BR85" s="3"/>
      <c r="BS85" s="3"/>
      <c r="BT85" s="3"/>
      <c r="BU85" s="3"/>
      <c r="BV85" s="3"/>
      <c r="BW85" s="3"/>
    </row>
    <row r="86" spans="1:75" ht="15" customHeight="1">
      <c r="A86" s="59">
        <v>83</v>
      </c>
      <c r="B86" s="79" t="s">
        <v>108</v>
      </c>
      <c r="C86" s="59">
        <v>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ht="15" customHeight="1">
      <c r="A87" s="59">
        <v>84</v>
      </c>
      <c r="B87" s="79" t="s">
        <v>109</v>
      </c>
      <c r="C87" s="59">
        <v>8</v>
      </c>
      <c r="D87" s="3">
        <v>2000000</v>
      </c>
      <c r="E87" s="3"/>
      <c r="F87" s="3"/>
      <c r="G87" s="3">
        <v>36842415</v>
      </c>
      <c r="H87" s="3">
        <v>90825052</v>
      </c>
      <c r="I87" s="3"/>
      <c r="J87" s="3">
        <v>0</v>
      </c>
      <c r="K87" s="3">
        <v>0</v>
      </c>
      <c r="L87" s="3">
        <v>0</v>
      </c>
      <c r="M87" s="3">
        <v>8565920</v>
      </c>
      <c r="N87" s="3">
        <v>58782140</v>
      </c>
      <c r="O87" s="3">
        <v>0</v>
      </c>
      <c r="P87" s="3">
        <v>10645090</v>
      </c>
      <c r="Q87" s="3">
        <v>10944998</v>
      </c>
      <c r="R87" s="3">
        <v>383612</v>
      </c>
      <c r="S87" s="3">
        <v>414912</v>
      </c>
      <c r="T87" s="3">
        <v>52050</v>
      </c>
      <c r="U87" s="3">
        <v>850202</v>
      </c>
      <c r="V87" s="3">
        <v>1090587</v>
      </c>
      <c r="W87" s="3">
        <v>588251</v>
      </c>
      <c r="X87" s="3">
        <v>859551</v>
      </c>
      <c r="Y87" s="3">
        <v>249450</v>
      </c>
      <c r="Z87" s="3">
        <v>5518681</v>
      </c>
      <c r="AA87" s="3">
        <v>8263029</v>
      </c>
      <c r="AB87" s="3">
        <v>766738</v>
      </c>
      <c r="AC87" s="3">
        <v>1041738</v>
      </c>
      <c r="AD87" s="3">
        <v>1284046</v>
      </c>
      <c r="AE87" s="3">
        <v>1599046</v>
      </c>
      <c r="AF87" s="3">
        <v>590000</v>
      </c>
      <c r="AG87" s="3">
        <v>385548990</v>
      </c>
      <c r="AH87" s="3">
        <v>153745877</v>
      </c>
      <c r="AI87" s="3">
        <v>365662695</v>
      </c>
      <c r="AJ87" s="3">
        <v>361726566</v>
      </c>
      <c r="AK87" s="3">
        <v>90492512</v>
      </c>
      <c r="AL87" s="3">
        <v>268068666</v>
      </c>
      <c r="AM87" s="3">
        <v>710096068</v>
      </c>
      <c r="AN87" s="3">
        <v>658895392</v>
      </c>
      <c r="AO87" s="3">
        <v>957807482</v>
      </c>
      <c r="AP87" s="3">
        <v>1392777746</v>
      </c>
      <c r="AQ87" s="3">
        <v>443777953</v>
      </c>
      <c r="AR87" s="3">
        <v>1156485595</v>
      </c>
      <c r="AS87" s="3">
        <v>1630934489</v>
      </c>
      <c r="AT87" s="3">
        <v>280826404</v>
      </c>
      <c r="AU87" s="3">
        <v>552450273</v>
      </c>
      <c r="AV87" s="3">
        <v>853613141</v>
      </c>
      <c r="AW87" s="3">
        <v>327354511</v>
      </c>
      <c r="AX87" s="3">
        <v>685158863</v>
      </c>
      <c r="AY87" s="3">
        <v>961055713</v>
      </c>
      <c r="AZ87" s="3">
        <v>155434766</v>
      </c>
      <c r="BA87" s="3">
        <v>363233924</v>
      </c>
      <c r="BB87" s="3">
        <v>453195163</v>
      </c>
      <c r="BC87" s="3">
        <v>579293716</v>
      </c>
      <c r="BD87" s="3">
        <v>505416556</v>
      </c>
      <c r="BE87" s="3">
        <v>777629887</v>
      </c>
      <c r="BF87" s="3">
        <v>941686826</v>
      </c>
      <c r="BG87" s="3">
        <v>989716828</v>
      </c>
      <c r="BH87" s="3">
        <v>727904519</v>
      </c>
      <c r="BI87" s="3">
        <v>500492257</v>
      </c>
      <c r="BJ87" s="3">
        <v>338357274</v>
      </c>
      <c r="BK87" s="3">
        <v>284156251</v>
      </c>
      <c r="BL87" s="3">
        <v>532906432</v>
      </c>
      <c r="BM87" s="3">
        <v>343081666</v>
      </c>
      <c r="BN87" s="3">
        <v>632459233</v>
      </c>
      <c r="BO87" s="3">
        <v>409771433</v>
      </c>
      <c r="BP87" s="3">
        <v>713388407</v>
      </c>
      <c r="BQ87" s="3"/>
      <c r="BR87" s="3"/>
      <c r="BS87" s="3"/>
      <c r="BT87" s="3"/>
      <c r="BU87" s="3"/>
      <c r="BV87" s="3"/>
      <c r="BW87" s="3"/>
    </row>
    <row r="88" spans="1:75" ht="15" customHeight="1">
      <c r="A88" s="59">
        <v>85</v>
      </c>
      <c r="B88" s="79" t="s">
        <v>110</v>
      </c>
      <c r="C88" s="59">
        <v>8</v>
      </c>
      <c r="D88" s="3">
        <v>0</v>
      </c>
      <c r="E88" s="3"/>
      <c r="F88" s="3"/>
      <c r="G88" s="3">
        <v>0</v>
      </c>
      <c r="H88" s="3">
        <v>0</v>
      </c>
      <c r="I88" s="3"/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123239515</v>
      </c>
      <c r="R88" s="3">
        <v>91989568</v>
      </c>
      <c r="S88" s="3">
        <v>89002000</v>
      </c>
      <c r="T88" s="3">
        <v>127418000</v>
      </c>
      <c r="U88" s="3">
        <v>153997000</v>
      </c>
      <c r="V88" s="3">
        <v>162603000</v>
      </c>
      <c r="W88" s="3">
        <v>196228000</v>
      </c>
      <c r="X88" s="3">
        <v>168613000</v>
      </c>
      <c r="Y88" s="3">
        <v>186307000</v>
      </c>
      <c r="Z88" s="3">
        <v>186260000</v>
      </c>
      <c r="AA88" s="3">
        <v>349499000</v>
      </c>
      <c r="AB88" s="3">
        <v>217779000</v>
      </c>
      <c r="AC88" s="3">
        <v>196800000</v>
      </c>
      <c r="AD88" s="3">
        <v>221771000</v>
      </c>
      <c r="AE88" s="3">
        <v>235774000</v>
      </c>
      <c r="AF88" s="3">
        <v>241004387</v>
      </c>
      <c r="AG88" s="3">
        <v>241859522</v>
      </c>
      <c r="AH88" s="3">
        <v>260320442</v>
      </c>
      <c r="AI88" s="3">
        <v>0</v>
      </c>
      <c r="AJ88" s="3">
        <v>215170595</v>
      </c>
      <c r="AK88" s="3">
        <v>183049157</v>
      </c>
      <c r="AL88" s="3">
        <v>186952212</v>
      </c>
      <c r="AM88" s="3"/>
      <c r="AN88" s="3">
        <v>238366968</v>
      </c>
      <c r="AO88" s="3">
        <v>200237766</v>
      </c>
      <c r="AP88" s="3">
        <v>237626648</v>
      </c>
      <c r="AQ88" s="3">
        <v>264173796</v>
      </c>
      <c r="AR88" s="3">
        <v>268769935</v>
      </c>
      <c r="AS88" s="3">
        <v>240493495</v>
      </c>
      <c r="AT88" s="3">
        <v>217268506</v>
      </c>
      <c r="AU88" s="3"/>
      <c r="AV88" s="3">
        <v>225861547</v>
      </c>
      <c r="AW88" s="3">
        <v>204354773</v>
      </c>
      <c r="AX88" s="3">
        <v>190731219</v>
      </c>
      <c r="AY88" s="3">
        <v>328386424</v>
      </c>
      <c r="AZ88" s="3">
        <v>208437848</v>
      </c>
      <c r="BA88" s="3">
        <v>218467619</v>
      </c>
      <c r="BB88" s="3">
        <v>259807632</v>
      </c>
      <c r="BC88" s="3">
        <v>1390814</v>
      </c>
      <c r="BD88" s="3">
        <v>301719934</v>
      </c>
      <c r="BE88" s="3">
        <v>299041666</v>
      </c>
      <c r="BF88" s="3">
        <v>291625815</v>
      </c>
      <c r="BG88" s="3">
        <v>322997419</v>
      </c>
      <c r="BH88" s="3">
        <v>355582789</v>
      </c>
      <c r="BI88" s="3">
        <v>289720214</v>
      </c>
      <c r="BJ88" s="3">
        <v>292328376</v>
      </c>
      <c r="BK88" s="3">
        <v>610918101</v>
      </c>
      <c r="BL88" s="3">
        <v>629065780</v>
      </c>
      <c r="BM88" s="3">
        <v>351247511</v>
      </c>
      <c r="BN88" s="3">
        <v>344761315</v>
      </c>
      <c r="BO88" s="3">
        <v>370514028</v>
      </c>
      <c r="BP88" s="3">
        <v>397803093</v>
      </c>
      <c r="BQ88" s="3"/>
      <c r="BR88" s="3"/>
      <c r="BS88" s="3"/>
      <c r="BT88" s="3"/>
      <c r="BU88" s="3"/>
      <c r="BV88" s="3"/>
      <c r="BW88" s="3"/>
    </row>
    <row r="89" spans="1:75" ht="15" customHeight="1">
      <c r="A89" s="59">
        <v>86</v>
      </c>
      <c r="B89" s="79" t="s">
        <v>111</v>
      </c>
      <c r="C89" s="59">
        <v>8</v>
      </c>
      <c r="D89" s="3">
        <v>140000000</v>
      </c>
      <c r="E89" s="3">
        <v>230000000</v>
      </c>
      <c r="F89" s="3">
        <v>310000000</v>
      </c>
      <c r="G89" s="3">
        <v>400000000</v>
      </c>
      <c r="H89" s="3">
        <v>490000000</v>
      </c>
      <c r="I89" s="3">
        <v>560000000</v>
      </c>
      <c r="J89" s="3">
        <v>600000000</v>
      </c>
      <c r="K89" s="3">
        <v>620000000</v>
      </c>
      <c r="L89" s="3">
        <v>670000000</v>
      </c>
      <c r="M89" s="3">
        <v>700000000</v>
      </c>
      <c r="N89" s="3">
        <v>761427848</v>
      </c>
      <c r="O89" s="3">
        <v>60000000</v>
      </c>
      <c r="P89" s="3">
        <v>165420928</v>
      </c>
      <c r="Q89" s="3">
        <v>165420928</v>
      </c>
      <c r="R89" s="3">
        <v>165420928</v>
      </c>
      <c r="S89" s="3">
        <v>82202938</v>
      </c>
      <c r="T89" s="3">
        <v>-83217990</v>
      </c>
      <c r="U89" s="3">
        <v>0</v>
      </c>
      <c r="V89" s="3">
        <v>0</v>
      </c>
      <c r="W89" s="3"/>
      <c r="X89" s="3"/>
      <c r="Y89" s="3"/>
      <c r="Z89" s="3"/>
      <c r="AA89" s="3"/>
      <c r="AB89" s="3">
        <v>16562000</v>
      </c>
      <c r="AC89" s="3">
        <v>35364000</v>
      </c>
      <c r="AD89" s="3">
        <v>89260000</v>
      </c>
      <c r="AE89" s="3">
        <v>85020000</v>
      </c>
      <c r="AF89" s="3">
        <v>106105000</v>
      </c>
      <c r="AG89" s="3">
        <v>115659000</v>
      </c>
      <c r="AH89" s="3">
        <v>140029000</v>
      </c>
      <c r="AI89" s="3">
        <v>177064300</v>
      </c>
      <c r="AJ89" s="3">
        <v>226505100</v>
      </c>
      <c r="AK89" s="3">
        <v>211274300</v>
      </c>
      <c r="AL89" s="3">
        <v>234405300</v>
      </c>
      <c r="AM89" s="3">
        <v>110498545</v>
      </c>
      <c r="AN89" s="3">
        <v>136602409</v>
      </c>
      <c r="AO89" s="3">
        <v>52287623</v>
      </c>
      <c r="AP89" s="3">
        <v>76951334</v>
      </c>
      <c r="AQ89" s="3">
        <v>100724140</v>
      </c>
      <c r="AR89" s="3">
        <v>133929266</v>
      </c>
      <c r="AS89" s="3">
        <v>149052227</v>
      </c>
      <c r="AT89" s="3">
        <v>170371660</v>
      </c>
      <c r="AU89" s="3">
        <v>194872073</v>
      </c>
      <c r="AV89" s="3">
        <v>220980766</v>
      </c>
      <c r="AW89" s="3">
        <v>241397992</v>
      </c>
      <c r="AX89" s="3">
        <v>262086457</v>
      </c>
      <c r="AY89" s="3">
        <v>132246668</v>
      </c>
      <c r="AZ89" s="3">
        <v>24629409</v>
      </c>
      <c r="BA89" s="3">
        <v>66296654</v>
      </c>
      <c r="BB89" s="3">
        <v>77958161</v>
      </c>
      <c r="BC89" s="3">
        <v>105574139</v>
      </c>
      <c r="BD89" s="3">
        <v>134682735</v>
      </c>
      <c r="BE89" s="3">
        <v>170865616</v>
      </c>
      <c r="BF89" s="3">
        <v>190726549</v>
      </c>
      <c r="BG89" s="3">
        <v>234725683</v>
      </c>
      <c r="BH89" s="3">
        <v>252858070</v>
      </c>
      <c r="BI89" s="3">
        <v>288227458</v>
      </c>
      <c r="BJ89" s="3">
        <v>324681391</v>
      </c>
      <c r="BK89" s="3">
        <v>20591097</v>
      </c>
      <c r="BL89" s="3">
        <v>83534774</v>
      </c>
      <c r="BM89" s="3">
        <v>127720619</v>
      </c>
      <c r="BN89" s="3">
        <v>148029291</v>
      </c>
      <c r="BO89" s="3">
        <v>201352745</v>
      </c>
      <c r="BP89" s="3">
        <v>267747725</v>
      </c>
      <c r="BQ89" s="3"/>
      <c r="BR89" s="3"/>
      <c r="BS89" s="3"/>
      <c r="BT89" s="3"/>
      <c r="BU89" s="3"/>
      <c r="BV89" s="3"/>
      <c r="BW89" s="3"/>
    </row>
    <row r="90" spans="1:75" ht="15" customHeight="1">
      <c r="A90" s="59">
        <v>87</v>
      </c>
      <c r="B90" s="79" t="s">
        <v>112</v>
      </c>
      <c r="C90" s="59">
        <v>8</v>
      </c>
      <c r="D90" s="3"/>
      <c r="E90" s="3"/>
      <c r="F90" s="3"/>
      <c r="G90" s="3"/>
      <c r="H90" s="3"/>
      <c r="I90" s="3"/>
      <c r="J90" s="3"/>
      <c r="K90" s="3">
        <v>0</v>
      </c>
      <c r="L90" s="3">
        <v>0</v>
      </c>
      <c r="M90" s="3"/>
      <c r="N90" s="3">
        <v>0</v>
      </c>
      <c r="O90" s="3"/>
      <c r="P90" s="3">
        <v>0</v>
      </c>
      <c r="Q90" s="3"/>
      <c r="R90" s="3">
        <v>0</v>
      </c>
      <c r="S90" s="3"/>
      <c r="T90" s="3"/>
      <c r="U90" s="3"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0</v>
      </c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ht="15" customHeight="1">
      <c r="A91" s="59">
        <v>88</v>
      </c>
      <c r="B91" s="79" t="s">
        <v>113</v>
      </c>
      <c r="C91" s="59">
        <v>8</v>
      </c>
      <c r="D91" s="3"/>
      <c r="E91" s="3"/>
      <c r="F91" s="3"/>
      <c r="G91" s="3"/>
      <c r="H91" s="3"/>
      <c r="I91" s="3"/>
      <c r="J91" s="3"/>
      <c r="K91" s="3">
        <v>0</v>
      </c>
      <c r="L91" s="3">
        <v>0</v>
      </c>
      <c r="M91" s="3"/>
      <c r="N91" s="3">
        <v>0</v>
      </c>
      <c r="O91" s="3"/>
      <c r="P91" s="3">
        <v>0</v>
      </c>
      <c r="Q91" s="3"/>
      <c r="R91" s="3">
        <v>0</v>
      </c>
      <c r="S91" s="3"/>
      <c r="T91" s="3"/>
      <c r="U91" s="3"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ht="15" customHeight="1">
      <c r="A92" s="59">
        <v>89</v>
      </c>
      <c r="B92" s="79" t="s">
        <v>114</v>
      </c>
      <c r="C92" s="59">
        <v>8</v>
      </c>
      <c r="D92" s="3"/>
      <c r="E92" s="3"/>
      <c r="F92" s="3"/>
      <c r="G92" s="3"/>
      <c r="H92" s="3"/>
      <c r="I92" s="3"/>
      <c r="J92" s="3"/>
      <c r="K92" s="3">
        <v>0</v>
      </c>
      <c r="L92" s="3">
        <v>0</v>
      </c>
      <c r="M92" s="3"/>
      <c r="N92" s="3">
        <v>0</v>
      </c>
      <c r="O92" s="3"/>
      <c r="P92" s="3">
        <v>0</v>
      </c>
      <c r="Q92" s="3"/>
      <c r="R92" s="3">
        <v>0</v>
      </c>
      <c r="S92" s="3"/>
      <c r="T92" s="3"/>
      <c r="U92" s="3">
        <v>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ht="15" customHeight="1">
      <c r="A93" s="59">
        <v>90</v>
      </c>
      <c r="B93" s="79" t="s">
        <v>115</v>
      </c>
      <c r="C93" s="59">
        <v>8</v>
      </c>
      <c r="D93" s="3">
        <v>2500000000</v>
      </c>
      <c r="E93" s="3">
        <v>3500000000</v>
      </c>
      <c r="F93" s="3">
        <v>6000000000</v>
      </c>
      <c r="G93" s="3">
        <v>2000000000</v>
      </c>
      <c r="H93" s="3">
        <v>3000000000</v>
      </c>
      <c r="I93" s="3">
        <v>4000000000</v>
      </c>
      <c r="J93" s="3">
        <v>4000000000</v>
      </c>
      <c r="K93" s="3">
        <v>4000000000</v>
      </c>
      <c r="L93" s="3">
        <v>4000000000</v>
      </c>
      <c r="M93" s="3">
        <v>4000000000</v>
      </c>
      <c r="N93" s="3">
        <v>6000000000</v>
      </c>
      <c r="O93" s="3">
        <v>6000000000</v>
      </c>
      <c r="P93" s="3">
        <v>11000000000</v>
      </c>
      <c r="Q93" s="3">
        <v>11010867500</v>
      </c>
      <c r="R93" s="3">
        <v>11006615000</v>
      </c>
      <c r="S93" s="3"/>
      <c r="T93" s="3">
        <v>4000000000</v>
      </c>
      <c r="U93" s="3">
        <v>4000000000</v>
      </c>
      <c r="V93" s="3"/>
      <c r="W93" s="3"/>
      <c r="X93" s="3"/>
      <c r="Y93" s="3"/>
      <c r="Z93" s="3"/>
      <c r="AA93" s="3"/>
      <c r="AB93" s="3"/>
      <c r="AC93" s="3"/>
      <c r="AD93" s="3">
        <v>43168000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7329740</v>
      </c>
      <c r="BA93" s="3">
        <v>8526640</v>
      </c>
      <c r="BB93" s="3">
        <v>9634140</v>
      </c>
      <c r="BC93" s="3">
        <v>6132840</v>
      </c>
      <c r="BD93" s="3">
        <v>44700</v>
      </c>
      <c r="BE93" s="3">
        <v>5240200</v>
      </c>
      <c r="BF93" s="3">
        <v>1212800</v>
      </c>
      <c r="BG93" s="3"/>
      <c r="BH93" s="3"/>
      <c r="BI93" s="3"/>
      <c r="BJ93" s="3"/>
      <c r="BK93" s="3"/>
      <c r="BL93" s="3">
        <v>15114800</v>
      </c>
      <c r="BM93" s="3">
        <v>6798330</v>
      </c>
      <c r="BN93" s="3">
        <v>6667689</v>
      </c>
      <c r="BO93" s="3">
        <v>74032071</v>
      </c>
      <c r="BP93" s="3">
        <v>74330226</v>
      </c>
      <c r="BQ93" s="3"/>
      <c r="BR93" s="3"/>
      <c r="BS93" s="3"/>
      <c r="BT93" s="3"/>
      <c r="BU93" s="3"/>
      <c r="BV93" s="3"/>
      <c r="BW93" s="3"/>
    </row>
    <row r="94" spans="1:75" ht="15" customHeight="1">
      <c r="A94" s="59">
        <v>91</v>
      </c>
      <c r="B94" s="79" t="s">
        <v>116</v>
      </c>
      <c r="C94" s="59">
        <v>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 ht="15" customHeight="1">
      <c r="A95" s="59">
        <v>92</v>
      </c>
      <c r="B95" s="79" t="s">
        <v>117</v>
      </c>
      <c r="C95" s="59">
        <v>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ht="15" customHeight="1">
      <c r="A96" s="59">
        <v>93</v>
      </c>
      <c r="B96" s="79" t="s">
        <v>118</v>
      </c>
      <c r="C96" s="59">
        <v>8</v>
      </c>
      <c r="D96" s="3">
        <v>0</v>
      </c>
      <c r="E96" s="3">
        <v>0</v>
      </c>
      <c r="F96" s="3"/>
      <c r="G96" s="3"/>
      <c r="H96" s="3"/>
      <c r="I96" s="3"/>
      <c r="J96" s="3"/>
      <c r="K96" s="3">
        <v>0</v>
      </c>
      <c r="L96" s="3"/>
      <c r="M96" s="3"/>
      <c r="N96" s="3"/>
      <c r="O96" s="3"/>
      <c r="P96" s="3">
        <v>0</v>
      </c>
      <c r="Q96" s="3">
        <v>0</v>
      </c>
      <c r="R96" s="3"/>
      <c r="S96" s="3"/>
      <c r="T96" s="3"/>
      <c r="U96" s="3"/>
      <c r="V96" s="3"/>
      <c r="W96" s="3">
        <v>0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 ht="15" customHeight="1">
      <c r="A97" s="59">
        <v>94</v>
      </c>
      <c r="B97" s="80" t="s">
        <v>119</v>
      </c>
      <c r="C97" s="59">
        <v>8</v>
      </c>
      <c r="D97" s="3">
        <v>0</v>
      </c>
      <c r="E97" s="3">
        <v>0</v>
      </c>
      <c r="F97" s="3"/>
      <c r="G97" s="3"/>
      <c r="H97" s="3"/>
      <c r="I97" s="3"/>
      <c r="J97" s="3"/>
      <c r="K97" s="3">
        <v>0</v>
      </c>
      <c r="L97" s="3"/>
      <c r="M97" s="3"/>
      <c r="N97" s="3"/>
      <c r="O97" s="3"/>
      <c r="P97" s="3">
        <v>0</v>
      </c>
      <c r="Q97" s="3">
        <v>0</v>
      </c>
      <c r="R97" s="3"/>
      <c r="S97" s="3"/>
      <c r="T97" s="3"/>
      <c r="U97" s="3"/>
      <c r="V97" s="3"/>
      <c r="W97" s="3">
        <v>0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ht="15" customHeight="1">
      <c r="A98" s="59">
        <v>95</v>
      </c>
      <c r="B98" s="80" t="s">
        <v>120</v>
      </c>
      <c r="C98" s="59">
        <v>8</v>
      </c>
      <c r="D98" s="3">
        <v>0</v>
      </c>
      <c r="E98" s="3">
        <v>0</v>
      </c>
      <c r="F98" s="3"/>
      <c r="G98" s="3"/>
      <c r="H98" s="3"/>
      <c r="I98" s="3"/>
      <c r="J98" s="3"/>
      <c r="K98" s="3">
        <v>0</v>
      </c>
      <c r="L98" s="3"/>
      <c r="M98" s="3"/>
      <c r="N98" s="3"/>
      <c r="O98" s="3"/>
      <c r="P98" s="3">
        <v>0</v>
      </c>
      <c r="Q98" s="3">
        <v>0</v>
      </c>
      <c r="R98" s="3"/>
      <c r="S98" s="3"/>
      <c r="T98" s="3"/>
      <c r="U98" s="3"/>
      <c r="V98" s="3"/>
      <c r="W98" s="3">
        <v>0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15" customHeight="1">
      <c r="A99" s="63">
        <v>96</v>
      </c>
      <c r="B99" s="68" t="s">
        <v>341</v>
      </c>
      <c r="C99" s="63">
        <v>8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</row>
    <row r="100" spans="1:75" ht="15" customHeight="1">
      <c r="A100" s="59">
        <v>97</v>
      </c>
      <c r="B100" s="79" t="s">
        <v>122</v>
      </c>
      <c r="C100" s="59">
        <v>8</v>
      </c>
      <c r="D100" s="3">
        <v>0</v>
      </c>
      <c r="E100" s="3">
        <v>0</v>
      </c>
      <c r="F100" s="3"/>
      <c r="G100" s="3"/>
      <c r="H100" s="3"/>
      <c r="I100" s="3"/>
      <c r="J100" s="3"/>
      <c r="K100" s="3">
        <v>0</v>
      </c>
      <c r="L100" s="3"/>
      <c r="M100" s="3"/>
      <c r="N100" s="3"/>
      <c r="O100" s="3"/>
      <c r="P100" s="3">
        <v>0</v>
      </c>
      <c r="Q100" s="3">
        <v>0</v>
      </c>
      <c r="R100" s="3"/>
      <c r="S100" s="3"/>
      <c r="T100" s="3"/>
      <c r="U100" s="3"/>
      <c r="V100" s="3"/>
      <c r="W100" s="3">
        <v>0</v>
      </c>
      <c r="X100" s="3"/>
      <c r="Y100" s="3"/>
      <c r="Z100" s="3"/>
      <c r="AA100" s="3"/>
      <c r="AB100" s="3">
        <v>0</v>
      </c>
      <c r="AC100" s="3">
        <v>0</v>
      </c>
      <c r="AD100" s="3"/>
      <c r="AE100" s="3"/>
      <c r="AF100" s="3"/>
      <c r="AG100" s="3"/>
      <c r="AH100" s="3"/>
      <c r="AI100" s="3">
        <v>0</v>
      </c>
      <c r="AJ100" s="3"/>
      <c r="AK100" s="3"/>
      <c r="AL100" s="3"/>
      <c r="AM100" s="3"/>
      <c r="AN100" s="3">
        <v>0</v>
      </c>
      <c r="AO100" s="3">
        <v>0</v>
      </c>
      <c r="AP100" s="3"/>
      <c r="AQ100" s="3"/>
      <c r="AR100" s="3"/>
      <c r="AS100" s="3"/>
      <c r="AT100" s="3"/>
      <c r="AU100" s="3">
        <v>0</v>
      </c>
      <c r="AV100" s="3"/>
      <c r="AW100" s="3"/>
      <c r="AX100" s="3"/>
      <c r="AY100" s="3"/>
      <c r="AZ100" s="3">
        <v>0</v>
      </c>
      <c r="BA100" s="3">
        <v>0</v>
      </c>
      <c r="BB100" s="3"/>
      <c r="BC100" s="3"/>
      <c r="BD100" s="3"/>
      <c r="BE100" s="3"/>
      <c r="BF100" s="3"/>
      <c r="BG100" s="3">
        <v>0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15" customHeight="1">
      <c r="A101" s="59">
        <v>98</v>
      </c>
      <c r="B101" s="79" t="s">
        <v>123</v>
      </c>
      <c r="C101" s="59">
        <v>8</v>
      </c>
      <c r="D101" s="3">
        <v>0</v>
      </c>
      <c r="E101" s="3">
        <v>0</v>
      </c>
      <c r="F101" s="3"/>
      <c r="G101" s="3"/>
      <c r="H101" s="3"/>
      <c r="I101" s="3"/>
      <c r="J101" s="3"/>
      <c r="K101" s="3">
        <v>0</v>
      </c>
      <c r="L101" s="3"/>
      <c r="M101" s="3"/>
      <c r="N101" s="3"/>
      <c r="O101" s="3"/>
      <c r="P101" s="3">
        <v>0</v>
      </c>
      <c r="Q101" s="3">
        <v>0</v>
      </c>
      <c r="R101" s="3"/>
      <c r="S101" s="3"/>
      <c r="T101" s="3"/>
      <c r="U101" s="3"/>
      <c r="V101" s="3"/>
      <c r="W101" s="3">
        <v>0</v>
      </c>
      <c r="X101" s="3"/>
      <c r="Y101" s="3"/>
      <c r="Z101" s="3"/>
      <c r="AA101" s="3"/>
      <c r="AB101" s="3">
        <v>0</v>
      </c>
      <c r="AC101" s="3">
        <v>0</v>
      </c>
      <c r="AD101" s="3"/>
      <c r="AE101" s="3"/>
      <c r="AF101" s="3"/>
      <c r="AG101" s="3"/>
      <c r="AH101" s="3"/>
      <c r="AI101" s="3">
        <v>0</v>
      </c>
      <c r="AJ101" s="3"/>
      <c r="AK101" s="3"/>
      <c r="AL101" s="3"/>
      <c r="AM101" s="3"/>
      <c r="AN101" s="3">
        <v>0</v>
      </c>
      <c r="AO101" s="3">
        <v>0</v>
      </c>
      <c r="AP101" s="3"/>
      <c r="AQ101" s="3"/>
      <c r="AR101" s="3"/>
      <c r="AS101" s="3"/>
      <c r="AT101" s="3"/>
      <c r="AU101" s="3">
        <v>0</v>
      </c>
      <c r="AV101" s="3"/>
      <c r="AW101" s="3"/>
      <c r="AX101" s="3"/>
      <c r="AY101" s="3"/>
      <c r="AZ101" s="3">
        <v>0</v>
      </c>
      <c r="BA101" s="3">
        <v>0</v>
      </c>
      <c r="BB101" s="3"/>
      <c r="BC101" s="3"/>
      <c r="BD101" s="3"/>
      <c r="BE101" s="3"/>
      <c r="BF101" s="3"/>
      <c r="BG101" s="3">
        <v>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15" customHeight="1">
      <c r="A102" s="59">
        <v>99</v>
      </c>
      <c r="B102" s="79" t="s">
        <v>124</v>
      </c>
      <c r="C102" s="59">
        <v>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15" customHeight="1">
      <c r="A103" s="59">
        <v>100</v>
      </c>
      <c r="B103" s="79" t="s">
        <v>125</v>
      </c>
      <c r="C103" s="59">
        <v>8</v>
      </c>
      <c r="D103" s="3">
        <v>0</v>
      </c>
      <c r="E103" s="3">
        <v>0</v>
      </c>
      <c r="F103" s="3"/>
      <c r="G103" s="3"/>
      <c r="H103" s="3"/>
      <c r="I103" s="3"/>
      <c r="J103" s="3"/>
      <c r="K103" s="3">
        <v>0</v>
      </c>
      <c r="L103" s="3"/>
      <c r="M103" s="3"/>
      <c r="N103" s="3"/>
      <c r="O103" s="3"/>
      <c r="P103" s="3">
        <v>0</v>
      </c>
      <c r="Q103" s="3">
        <v>0</v>
      </c>
      <c r="R103" s="3"/>
      <c r="S103" s="3"/>
      <c r="T103" s="3"/>
      <c r="U103" s="3"/>
      <c r="V103" s="3"/>
      <c r="W103" s="3">
        <v>0</v>
      </c>
      <c r="X103" s="3"/>
      <c r="Y103" s="3"/>
      <c r="Z103" s="3"/>
      <c r="AA103" s="3"/>
      <c r="AB103" s="3">
        <v>0</v>
      </c>
      <c r="AC103" s="3">
        <v>0</v>
      </c>
      <c r="AD103" s="3"/>
      <c r="AE103" s="3"/>
      <c r="AF103" s="3"/>
      <c r="AG103" s="3"/>
      <c r="AH103" s="3"/>
      <c r="AI103" s="3">
        <v>0</v>
      </c>
      <c r="AJ103" s="3"/>
      <c r="AK103" s="3"/>
      <c r="AL103" s="3"/>
      <c r="AM103" s="3"/>
      <c r="AN103" s="3">
        <v>0</v>
      </c>
      <c r="AO103" s="3">
        <v>0</v>
      </c>
      <c r="AP103" s="3"/>
      <c r="AQ103" s="3"/>
      <c r="AR103" s="3"/>
      <c r="AS103" s="3"/>
      <c r="AT103" s="3"/>
      <c r="AU103" s="3">
        <v>0</v>
      </c>
      <c r="AV103" s="3"/>
      <c r="AW103" s="3"/>
      <c r="AX103" s="3"/>
      <c r="AY103" s="3"/>
      <c r="AZ103" s="3">
        <v>0</v>
      </c>
      <c r="BA103" s="3">
        <v>0</v>
      </c>
      <c r="BB103" s="3"/>
      <c r="BC103" s="3"/>
      <c r="BD103" s="3"/>
      <c r="BE103" s="3"/>
      <c r="BF103" s="3"/>
      <c r="BG103" s="3">
        <v>0</v>
      </c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15" customHeight="1">
      <c r="A104" s="59">
        <v>101</v>
      </c>
      <c r="B104" s="79" t="s">
        <v>126</v>
      </c>
      <c r="C104" s="59">
        <v>8</v>
      </c>
      <c r="D104" s="3">
        <v>0</v>
      </c>
      <c r="E104" s="3">
        <v>0</v>
      </c>
      <c r="F104" s="3"/>
      <c r="G104" s="3"/>
      <c r="H104" s="3"/>
      <c r="I104" s="3"/>
      <c r="J104" s="3"/>
      <c r="K104" s="3">
        <v>0</v>
      </c>
      <c r="L104" s="3"/>
      <c r="M104" s="3"/>
      <c r="N104" s="3"/>
      <c r="O104" s="3"/>
      <c r="P104" s="3">
        <v>0</v>
      </c>
      <c r="Q104" s="3">
        <v>0</v>
      </c>
      <c r="R104" s="3"/>
      <c r="S104" s="3"/>
      <c r="T104" s="3"/>
      <c r="U104" s="3"/>
      <c r="V104" s="3"/>
      <c r="W104" s="3">
        <v>0</v>
      </c>
      <c r="X104" s="3"/>
      <c r="Y104" s="3"/>
      <c r="Z104" s="3"/>
      <c r="AA104" s="3"/>
      <c r="AB104" s="3">
        <v>0</v>
      </c>
      <c r="AC104" s="3">
        <v>0</v>
      </c>
      <c r="AD104" s="3"/>
      <c r="AE104" s="3"/>
      <c r="AF104" s="3"/>
      <c r="AG104" s="3"/>
      <c r="AH104" s="3"/>
      <c r="AI104" s="3">
        <v>0</v>
      </c>
      <c r="AJ104" s="3"/>
      <c r="AK104" s="3"/>
      <c r="AL104" s="3"/>
      <c r="AM104" s="3"/>
      <c r="AN104" s="3">
        <v>0</v>
      </c>
      <c r="AO104" s="3">
        <v>0</v>
      </c>
      <c r="AP104" s="3"/>
      <c r="AQ104" s="3"/>
      <c r="AR104" s="3"/>
      <c r="AS104" s="3"/>
      <c r="AT104" s="3"/>
      <c r="AU104" s="3">
        <v>0</v>
      </c>
      <c r="AV104" s="3"/>
      <c r="AW104" s="3"/>
      <c r="AX104" s="3"/>
      <c r="AY104" s="3"/>
      <c r="AZ104" s="3">
        <v>0</v>
      </c>
      <c r="BA104" s="3">
        <v>0</v>
      </c>
      <c r="BB104" s="3"/>
      <c r="BC104" s="3"/>
      <c r="BD104" s="3"/>
      <c r="BE104" s="3"/>
      <c r="BF104" s="3"/>
      <c r="BG104" s="3">
        <v>0</v>
      </c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15" customHeight="1">
      <c r="A105" s="59">
        <v>102</v>
      </c>
      <c r="B105" s="79" t="s">
        <v>127</v>
      </c>
      <c r="C105" s="59">
        <v>8</v>
      </c>
      <c r="D105" s="3">
        <v>0</v>
      </c>
      <c r="E105" s="3">
        <v>0</v>
      </c>
      <c r="F105" s="3"/>
      <c r="G105" s="3"/>
      <c r="H105" s="3"/>
      <c r="I105" s="3"/>
      <c r="J105" s="3"/>
      <c r="K105" s="3">
        <v>0</v>
      </c>
      <c r="L105" s="3"/>
      <c r="M105" s="3"/>
      <c r="N105" s="3"/>
      <c r="O105" s="3"/>
      <c r="P105" s="3">
        <v>0</v>
      </c>
      <c r="Q105" s="3">
        <v>0</v>
      </c>
      <c r="R105" s="3"/>
      <c r="S105" s="3"/>
      <c r="T105" s="3"/>
      <c r="U105" s="3"/>
      <c r="V105" s="3"/>
      <c r="W105" s="3">
        <v>0</v>
      </c>
      <c r="X105" s="3"/>
      <c r="Y105" s="3"/>
      <c r="Z105" s="3"/>
      <c r="AA105" s="3"/>
      <c r="AB105" s="3">
        <v>0</v>
      </c>
      <c r="AC105" s="3">
        <v>0</v>
      </c>
      <c r="AD105" s="3"/>
      <c r="AE105" s="3"/>
      <c r="AF105" s="3"/>
      <c r="AG105" s="3"/>
      <c r="AH105" s="3"/>
      <c r="AI105" s="3">
        <v>0</v>
      </c>
      <c r="AJ105" s="3"/>
      <c r="AK105" s="3"/>
      <c r="AL105" s="3"/>
      <c r="AM105" s="3"/>
      <c r="AN105" s="3">
        <v>0</v>
      </c>
      <c r="AO105" s="3">
        <v>0</v>
      </c>
      <c r="AP105" s="3"/>
      <c r="AQ105" s="3"/>
      <c r="AR105" s="3"/>
      <c r="AS105" s="3"/>
      <c r="AT105" s="3"/>
      <c r="AU105" s="3">
        <v>0</v>
      </c>
      <c r="AV105" s="3"/>
      <c r="AW105" s="3"/>
      <c r="AX105" s="3"/>
      <c r="AY105" s="3"/>
      <c r="AZ105" s="3">
        <v>0</v>
      </c>
      <c r="BA105" s="3">
        <v>0</v>
      </c>
      <c r="BB105" s="3"/>
      <c r="BC105" s="3"/>
      <c r="BD105" s="3"/>
      <c r="BE105" s="3"/>
      <c r="BF105" s="3"/>
      <c r="BG105" s="3">
        <v>0</v>
      </c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15" customHeight="1">
      <c r="A106" s="59">
        <v>103</v>
      </c>
      <c r="B106" s="79" t="s">
        <v>128</v>
      </c>
      <c r="C106" s="59">
        <v>8</v>
      </c>
      <c r="D106" s="3">
        <v>0</v>
      </c>
      <c r="E106" s="3">
        <v>0</v>
      </c>
      <c r="F106" s="3"/>
      <c r="G106" s="3"/>
      <c r="H106" s="3"/>
      <c r="I106" s="3"/>
      <c r="J106" s="3"/>
      <c r="K106" s="3">
        <v>0</v>
      </c>
      <c r="L106" s="3"/>
      <c r="M106" s="3"/>
      <c r="N106" s="3"/>
      <c r="O106" s="3"/>
      <c r="P106" s="3">
        <v>0</v>
      </c>
      <c r="Q106" s="3">
        <v>0</v>
      </c>
      <c r="R106" s="3"/>
      <c r="S106" s="3"/>
      <c r="T106" s="3"/>
      <c r="U106" s="3"/>
      <c r="V106" s="3"/>
      <c r="W106" s="3">
        <v>0</v>
      </c>
      <c r="X106" s="3"/>
      <c r="Y106" s="3"/>
      <c r="Z106" s="3"/>
      <c r="AA106" s="3"/>
      <c r="AB106" s="3">
        <v>0</v>
      </c>
      <c r="AC106" s="3">
        <v>0</v>
      </c>
      <c r="AD106" s="3"/>
      <c r="AE106" s="3"/>
      <c r="AF106" s="3"/>
      <c r="AG106" s="3"/>
      <c r="AH106" s="3"/>
      <c r="AI106" s="3">
        <v>0</v>
      </c>
      <c r="AJ106" s="3"/>
      <c r="AK106" s="3"/>
      <c r="AL106" s="3"/>
      <c r="AM106" s="3"/>
      <c r="AN106" s="3">
        <v>0</v>
      </c>
      <c r="AO106" s="3">
        <v>0</v>
      </c>
      <c r="AP106" s="3"/>
      <c r="AQ106" s="3"/>
      <c r="AR106" s="3"/>
      <c r="AS106" s="3"/>
      <c r="AT106" s="3"/>
      <c r="AU106" s="3">
        <v>0</v>
      </c>
      <c r="AV106" s="3"/>
      <c r="AW106" s="3"/>
      <c r="AX106" s="3"/>
      <c r="AY106" s="3"/>
      <c r="AZ106" s="3">
        <v>0</v>
      </c>
      <c r="BA106" s="3">
        <v>0</v>
      </c>
      <c r="BB106" s="3"/>
      <c r="BC106" s="3"/>
      <c r="BD106" s="3"/>
      <c r="BE106" s="3"/>
      <c r="BF106" s="3"/>
      <c r="BG106" s="3">
        <v>0</v>
      </c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15" customHeight="1">
      <c r="A107" s="59">
        <v>104</v>
      </c>
      <c r="B107" s="79" t="s">
        <v>129</v>
      </c>
      <c r="C107" s="59">
        <v>8</v>
      </c>
      <c r="D107" s="3">
        <v>0</v>
      </c>
      <c r="E107" s="3">
        <v>0</v>
      </c>
      <c r="F107" s="3"/>
      <c r="G107" s="3"/>
      <c r="H107" s="3"/>
      <c r="I107" s="3"/>
      <c r="J107" s="3"/>
      <c r="K107" s="3">
        <v>0</v>
      </c>
      <c r="L107" s="3"/>
      <c r="M107" s="3"/>
      <c r="N107" s="3"/>
      <c r="O107" s="3"/>
      <c r="P107" s="3">
        <v>0</v>
      </c>
      <c r="Q107" s="3">
        <v>0</v>
      </c>
      <c r="R107" s="3"/>
      <c r="S107" s="3"/>
      <c r="T107" s="3"/>
      <c r="U107" s="3"/>
      <c r="V107" s="3"/>
      <c r="W107" s="3">
        <v>0</v>
      </c>
      <c r="X107" s="3"/>
      <c r="Y107" s="3"/>
      <c r="Z107" s="3"/>
      <c r="AA107" s="3"/>
      <c r="AB107" s="3">
        <v>0</v>
      </c>
      <c r="AC107" s="3">
        <v>0</v>
      </c>
      <c r="AD107" s="3"/>
      <c r="AE107" s="3"/>
      <c r="AF107" s="3"/>
      <c r="AG107" s="3"/>
      <c r="AH107" s="3"/>
      <c r="AI107" s="3">
        <v>0</v>
      </c>
      <c r="AJ107" s="3"/>
      <c r="AK107" s="3"/>
      <c r="AL107" s="3"/>
      <c r="AM107" s="3"/>
      <c r="AN107" s="3">
        <v>0</v>
      </c>
      <c r="AO107" s="3">
        <v>0</v>
      </c>
      <c r="AP107" s="3"/>
      <c r="AQ107" s="3"/>
      <c r="AR107" s="3"/>
      <c r="AS107" s="3"/>
      <c r="AT107" s="3"/>
      <c r="AU107" s="3">
        <v>0</v>
      </c>
      <c r="AV107" s="3"/>
      <c r="AW107" s="3"/>
      <c r="AX107" s="3"/>
      <c r="AY107" s="3"/>
      <c r="AZ107" s="3">
        <v>0</v>
      </c>
      <c r="BA107" s="3">
        <v>0</v>
      </c>
      <c r="BB107" s="3"/>
      <c r="BC107" s="3"/>
      <c r="BD107" s="3"/>
      <c r="BE107" s="3"/>
      <c r="BF107" s="3"/>
      <c r="BG107" s="3">
        <v>0</v>
      </c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15" customHeight="1">
      <c r="A108" s="59">
        <v>105</v>
      </c>
      <c r="B108" s="79" t="s">
        <v>342</v>
      </c>
      <c r="C108" s="59">
        <v>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15" customHeight="1">
      <c r="A109" s="59">
        <v>106</v>
      </c>
      <c r="B109" s="79" t="s">
        <v>131</v>
      </c>
      <c r="C109" s="59">
        <v>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15" customHeight="1">
      <c r="A110" s="59">
        <v>107</v>
      </c>
      <c r="B110" s="79" t="s">
        <v>132</v>
      </c>
      <c r="C110" s="59">
        <v>8</v>
      </c>
      <c r="D110" s="3">
        <v>0</v>
      </c>
      <c r="E110" s="3">
        <v>0</v>
      </c>
      <c r="F110" s="3"/>
      <c r="G110" s="3"/>
      <c r="H110" s="3"/>
      <c r="I110" s="3"/>
      <c r="J110" s="3"/>
      <c r="K110" s="3">
        <v>0</v>
      </c>
      <c r="L110" s="3"/>
      <c r="M110" s="3"/>
      <c r="N110" s="3"/>
      <c r="O110" s="3"/>
      <c r="P110" s="3">
        <v>0</v>
      </c>
      <c r="Q110" s="3">
        <v>0</v>
      </c>
      <c r="R110" s="3"/>
      <c r="S110" s="3"/>
      <c r="T110" s="3"/>
      <c r="U110" s="3"/>
      <c r="V110" s="3"/>
      <c r="W110" s="3">
        <v>0</v>
      </c>
      <c r="X110" s="3"/>
      <c r="Y110" s="3"/>
      <c r="Z110" s="3"/>
      <c r="AA110" s="3"/>
      <c r="AB110" s="3">
        <v>0</v>
      </c>
      <c r="AC110" s="3">
        <v>0</v>
      </c>
      <c r="AD110" s="3"/>
      <c r="AE110" s="3"/>
      <c r="AF110" s="3"/>
      <c r="AG110" s="3"/>
      <c r="AH110" s="3"/>
      <c r="AI110" s="3">
        <v>0</v>
      </c>
      <c r="AJ110" s="3"/>
      <c r="AK110" s="3"/>
      <c r="AL110" s="3"/>
      <c r="AM110" s="3"/>
      <c r="AN110" s="3">
        <v>0</v>
      </c>
      <c r="AO110" s="3">
        <v>0</v>
      </c>
      <c r="AP110" s="3"/>
      <c r="AQ110" s="3"/>
      <c r="AR110" s="3"/>
      <c r="AS110" s="3"/>
      <c r="AT110" s="3"/>
      <c r="AU110" s="3">
        <v>0</v>
      </c>
      <c r="AV110" s="3"/>
      <c r="AW110" s="3"/>
      <c r="AX110" s="3"/>
      <c r="AY110" s="3"/>
      <c r="AZ110" s="3">
        <v>0</v>
      </c>
      <c r="BA110" s="3">
        <v>0</v>
      </c>
      <c r="BB110" s="3"/>
      <c r="BC110" s="3"/>
      <c r="BD110" s="3"/>
      <c r="BE110" s="3"/>
      <c r="BF110" s="3"/>
      <c r="BG110" s="3">
        <v>0</v>
      </c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15" customHeight="1">
      <c r="A111" s="59">
        <v>108</v>
      </c>
      <c r="B111" s="79" t="s">
        <v>133</v>
      </c>
      <c r="C111" s="59">
        <v>8</v>
      </c>
      <c r="D111" s="3">
        <v>0</v>
      </c>
      <c r="E111" s="3">
        <v>0</v>
      </c>
      <c r="F111" s="3"/>
      <c r="G111" s="3"/>
      <c r="H111" s="3"/>
      <c r="I111" s="3"/>
      <c r="J111" s="3"/>
      <c r="K111" s="3">
        <v>0</v>
      </c>
      <c r="L111" s="3"/>
      <c r="M111" s="3"/>
      <c r="N111" s="3"/>
      <c r="O111" s="3"/>
      <c r="P111" s="3">
        <v>0</v>
      </c>
      <c r="Q111" s="3">
        <v>0</v>
      </c>
      <c r="R111" s="3"/>
      <c r="S111" s="3"/>
      <c r="T111" s="3"/>
      <c r="U111" s="3"/>
      <c r="V111" s="3"/>
      <c r="W111" s="3">
        <v>0</v>
      </c>
      <c r="X111" s="3"/>
      <c r="Y111" s="3"/>
      <c r="Z111" s="3"/>
      <c r="AA111" s="3"/>
      <c r="AB111" s="3">
        <v>0</v>
      </c>
      <c r="AC111" s="3">
        <v>0</v>
      </c>
      <c r="AD111" s="3"/>
      <c r="AE111" s="3"/>
      <c r="AF111" s="3"/>
      <c r="AG111" s="3"/>
      <c r="AH111" s="3"/>
      <c r="AI111" s="3">
        <v>0</v>
      </c>
      <c r="AJ111" s="3"/>
      <c r="AK111" s="3"/>
      <c r="AL111" s="3"/>
      <c r="AM111" s="3"/>
      <c r="AN111" s="3">
        <v>0</v>
      </c>
      <c r="AO111" s="3">
        <v>0</v>
      </c>
      <c r="AP111" s="3"/>
      <c r="AQ111" s="3"/>
      <c r="AR111" s="3"/>
      <c r="AS111" s="3"/>
      <c r="AT111" s="3"/>
      <c r="AU111" s="3">
        <v>0</v>
      </c>
      <c r="AV111" s="3"/>
      <c r="AW111" s="3"/>
      <c r="AX111" s="3"/>
      <c r="AY111" s="3"/>
      <c r="AZ111" s="3">
        <v>0</v>
      </c>
      <c r="BA111" s="3">
        <v>0</v>
      </c>
      <c r="BB111" s="3"/>
      <c r="BC111" s="3"/>
      <c r="BD111" s="3"/>
      <c r="BE111" s="3"/>
      <c r="BF111" s="3"/>
      <c r="BG111" s="3">
        <v>0</v>
      </c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15" customHeight="1">
      <c r="A112" s="59">
        <v>109</v>
      </c>
      <c r="B112" s="79" t="s">
        <v>134</v>
      </c>
      <c r="C112" s="59">
        <v>8</v>
      </c>
      <c r="D112" s="3">
        <v>0</v>
      </c>
      <c r="E112" s="3">
        <v>0</v>
      </c>
      <c r="F112" s="3"/>
      <c r="G112" s="3"/>
      <c r="H112" s="3"/>
      <c r="I112" s="3"/>
      <c r="J112" s="3"/>
      <c r="K112" s="3">
        <v>0</v>
      </c>
      <c r="L112" s="3"/>
      <c r="M112" s="3"/>
      <c r="N112" s="3"/>
      <c r="O112" s="3"/>
      <c r="P112" s="3">
        <v>0</v>
      </c>
      <c r="Q112" s="3">
        <v>0</v>
      </c>
      <c r="R112" s="3"/>
      <c r="S112" s="3"/>
      <c r="T112" s="3"/>
      <c r="U112" s="3"/>
      <c r="V112" s="3"/>
      <c r="W112" s="3">
        <v>0</v>
      </c>
      <c r="X112" s="3"/>
      <c r="Y112" s="3"/>
      <c r="Z112" s="3"/>
      <c r="AA112" s="3"/>
      <c r="AB112" s="3">
        <v>0</v>
      </c>
      <c r="AC112" s="3">
        <v>0</v>
      </c>
      <c r="AD112" s="3"/>
      <c r="AE112" s="3"/>
      <c r="AF112" s="3"/>
      <c r="AG112" s="3"/>
      <c r="AH112" s="3"/>
      <c r="AI112" s="3">
        <v>0</v>
      </c>
      <c r="AJ112" s="3"/>
      <c r="AK112" s="3"/>
      <c r="AL112" s="3"/>
      <c r="AM112" s="3"/>
      <c r="AN112" s="3">
        <v>0</v>
      </c>
      <c r="AO112" s="3">
        <v>0</v>
      </c>
      <c r="AP112" s="3"/>
      <c r="AQ112" s="3"/>
      <c r="AR112" s="3"/>
      <c r="AS112" s="3"/>
      <c r="AT112" s="3"/>
      <c r="AU112" s="3">
        <v>0</v>
      </c>
      <c r="AV112" s="3"/>
      <c r="AW112" s="3"/>
      <c r="AX112" s="3"/>
      <c r="AY112" s="3"/>
      <c r="AZ112" s="3">
        <v>0</v>
      </c>
      <c r="BA112" s="3">
        <v>0</v>
      </c>
      <c r="BB112" s="3"/>
      <c r="BC112" s="3"/>
      <c r="BD112" s="3"/>
      <c r="BE112" s="3"/>
      <c r="BF112" s="3"/>
      <c r="BG112" s="3">
        <v>0</v>
      </c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15" customHeight="1">
      <c r="A113" s="59">
        <v>110</v>
      </c>
      <c r="B113" s="79" t="s">
        <v>135</v>
      </c>
      <c r="C113" s="59">
        <v>8</v>
      </c>
      <c r="D113" s="3">
        <v>0</v>
      </c>
      <c r="E113" s="3">
        <v>0</v>
      </c>
      <c r="F113" s="3"/>
      <c r="G113" s="3"/>
      <c r="H113" s="3"/>
      <c r="I113" s="3"/>
      <c r="J113" s="3"/>
      <c r="K113" s="3">
        <v>0</v>
      </c>
      <c r="L113" s="3"/>
      <c r="M113" s="3"/>
      <c r="N113" s="3"/>
      <c r="O113" s="3"/>
      <c r="P113" s="3">
        <v>0</v>
      </c>
      <c r="Q113" s="3">
        <v>0</v>
      </c>
      <c r="R113" s="3"/>
      <c r="S113" s="3"/>
      <c r="T113" s="3"/>
      <c r="U113" s="3"/>
      <c r="V113" s="3"/>
      <c r="W113" s="3">
        <v>0</v>
      </c>
      <c r="X113" s="3"/>
      <c r="Y113" s="3"/>
      <c r="Z113" s="3"/>
      <c r="AA113" s="3"/>
      <c r="AB113" s="3">
        <v>0</v>
      </c>
      <c r="AC113" s="3">
        <v>0</v>
      </c>
      <c r="AD113" s="3"/>
      <c r="AE113" s="3"/>
      <c r="AF113" s="3"/>
      <c r="AG113" s="3"/>
      <c r="AH113" s="3"/>
      <c r="AI113" s="3">
        <v>0</v>
      </c>
      <c r="AJ113" s="3"/>
      <c r="AK113" s="3"/>
      <c r="AL113" s="3"/>
      <c r="AM113" s="3"/>
      <c r="AN113" s="3">
        <v>0</v>
      </c>
      <c r="AO113" s="3">
        <v>0</v>
      </c>
      <c r="AP113" s="3"/>
      <c r="AQ113" s="3"/>
      <c r="AR113" s="3"/>
      <c r="AS113" s="3"/>
      <c r="AT113" s="3"/>
      <c r="AU113" s="3">
        <v>0</v>
      </c>
      <c r="AV113" s="3"/>
      <c r="AW113" s="3"/>
      <c r="AX113" s="3"/>
      <c r="AY113" s="3"/>
      <c r="AZ113" s="3">
        <v>0</v>
      </c>
      <c r="BA113" s="3">
        <v>0</v>
      </c>
      <c r="BB113" s="3"/>
      <c r="BC113" s="3"/>
      <c r="BD113" s="3"/>
      <c r="BE113" s="3"/>
      <c r="BF113" s="3"/>
      <c r="BG113" s="3">
        <v>0</v>
      </c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15" customHeight="1">
      <c r="A114" s="66">
        <v>111</v>
      </c>
      <c r="B114" s="56" t="s">
        <v>343</v>
      </c>
      <c r="C114" s="66">
        <v>8</v>
      </c>
      <c r="D114" s="7">
        <v>4729147422</v>
      </c>
      <c r="E114" s="7">
        <v>4565708552</v>
      </c>
      <c r="F114" s="7">
        <v>4400521503</v>
      </c>
      <c r="G114" s="7">
        <v>9234664999</v>
      </c>
      <c r="H114" s="7">
        <v>9064472158</v>
      </c>
      <c r="I114" s="7">
        <v>8917767382</v>
      </c>
      <c r="J114" s="7">
        <v>8804874104</v>
      </c>
      <c r="K114" s="7">
        <v>8712514114</v>
      </c>
      <c r="L114" s="7">
        <v>8567628937</v>
      </c>
      <c r="M114" s="7">
        <v>8455733164</v>
      </c>
      <c r="N114" s="7">
        <v>8288956400</v>
      </c>
      <c r="O114" s="7">
        <v>7749834139</v>
      </c>
      <c r="P114" s="7">
        <v>7403246022</v>
      </c>
      <c r="Q114" s="7">
        <v>7070697842</v>
      </c>
      <c r="R114" s="7">
        <v>6769536963</v>
      </c>
      <c r="S114" s="7">
        <v>32437682685</v>
      </c>
      <c r="T114" s="7">
        <v>32109446796</v>
      </c>
      <c r="U114" s="7">
        <v>31735116203</v>
      </c>
      <c r="V114" s="7">
        <v>35356831534</v>
      </c>
      <c r="W114" s="7">
        <v>42058625584</v>
      </c>
      <c r="X114" s="7">
        <v>41636089575</v>
      </c>
      <c r="Y114" s="7">
        <v>41281617282</v>
      </c>
      <c r="Z114" s="7">
        <v>40419719990</v>
      </c>
      <c r="AA114" s="7">
        <v>39246853558</v>
      </c>
      <c r="AB114" s="7">
        <v>38195564172</v>
      </c>
      <c r="AC114" s="7">
        <v>37662146086</v>
      </c>
      <c r="AD114" s="7">
        <v>36927687209</v>
      </c>
      <c r="AE114" s="7">
        <v>36961749843</v>
      </c>
      <c r="AF114" s="7">
        <v>36497125477</v>
      </c>
      <c r="AG114" s="7">
        <v>36311965671</v>
      </c>
      <c r="AH114" s="7">
        <v>35841737151</v>
      </c>
      <c r="AI114" s="7">
        <v>35531760485</v>
      </c>
      <c r="AJ114" s="7">
        <v>35071796845</v>
      </c>
      <c r="AK114" s="7">
        <v>34966126747</v>
      </c>
      <c r="AL114" s="7">
        <v>34527864721</v>
      </c>
      <c r="AM114" s="7">
        <v>35041268690</v>
      </c>
      <c r="AN114" s="7">
        <v>34851548237</v>
      </c>
      <c r="AO114" s="7">
        <v>34676414966</v>
      </c>
      <c r="AP114" s="7">
        <v>34726736752</v>
      </c>
      <c r="AQ114" s="7">
        <v>34585289370</v>
      </c>
      <c r="AR114" s="7">
        <v>34587348043</v>
      </c>
      <c r="AS114" s="7">
        <v>34391686341</v>
      </c>
      <c r="AT114" s="7">
        <v>33997083523</v>
      </c>
      <c r="AU114" s="7">
        <v>33596115630</v>
      </c>
      <c r="AV114" s="7">
        <v>33289040175</v>
      </c>
      <c r="AW114" s="7">
        <v>33052247845</v>
      </c>
      <c r="AX114" s="7">
        <v>32164845665</v>
      </c>
      <c r="AY114" s="8">
        <v>31888021408</v>
      </c>
      <c r="AZ114" s="8">
        <v>31442462417</v>
      </c>
      <c r="BA114" s="8">
        <v>31392581796</v>
      </c>
      <c r="BB114" s="8">
        <v>31473107571</v>
      </c>
      <c r="BC114" s="8">
        <v>31763910847</v>
      </c>
      <c r="BD114" s="8">
        <v>31728658301</v>
      </c>
      <c r="BE114" s="8">
        <v>32347601543</v>
      </c>
      <c r="BF114" s="8">
        <v>33317897595</v>
      </c>
      <c r="BG114" s="8">
        <v>34822428930</v>
      </c>
      <c r="BH114" s="8">
        <v>34777501656</v>
      </c>
      <c r="BI114" s="8">
        <v>34981451977</v>
      </c>
      <c r="BJ114" s="8">
        <v>35089870340</v>
      </c>
      <c r="BK114" s="8">
        <v>35233995407</v>
      </c>
      <c r="BL114" s="8">
        <v>35665100275</v>
      </c>
      <c r="BM114" s="8">
        <f>SUM(BM115,BM118:BM126)</f>
        <v>35648503370</v>
      </c>
      <c r="BN114" s="8">
        <f>SUM(BN115,BN118:BN126)</f>
        <v>36362592408</v>
      </c>
      <c r="BO114" s="8">
        <f>SUM(BO115,BO118:BO126)</f>
        <v>36851448875</v>
      </c>
      <c r="BP114" s="8">
        <f>SUM(BP115,BP118:BP126)</f>
        <v>38008346244</v>
      </c>
      <c r="BQ114" s="8"/>
      <c r="BR114" s="8"/>
      <c r="BS114" s="8"/>
      <c r="BT114" s="8"/>
      <c r="BU114" s="8"/>
      <c r="BV114" s="8"/>
      <c r="BW114" s="8"/>
    </row>
    <row r="115" spans="1:75" ht="15" customHeight="1">
      <c r="A115" s="59">
        <v>112</v>
      </c>
      <c r="B115" s="79" t="s">
        <v>137</v>
      </c>
      <c r="C115" s="59">
        <v>8</v>
      </c>
      <c r="D115" s="3">
        <v>5000000000</v>
      </c>
      <c r="E115" s="3">
        <v>5000000000</v>
      </c>
      <c r="F115" s="3">
        <v>5000000000</v>
      </c>
      <c r="G115" s="3">
        <v>10000000000</v>
      </c>
      <c r="H115" s="3">
        <v>10000000000</v>
      </c>
      <c r="I115" s="3">
        <v>10000000000</v>
      </c>
      <c r="J115" s="3">
        <v>10000000000</v>
      </c>
      <c r="K115" s="3">
        <v>10000000000</v>
      </c>
      <c r="L115" s="3">
        <v>10000000000</v>
      </c>
      <c r="M115" s="3">
        <v>10000000000</v>
      </c>
      <c r="N115" s="3">
        <v>10000000000</v>
      </c>
      <c r="O115" s="3">
        <v>10000000000</v>
      </c>
      <c r="P115" s="3">
        <v>10000000000</v>
      </c>
      <c r="Q115" s="3">
        <v>10000000000</v>
      </c>
      <c r="R115" s="3">
        <v>10000000000</v>
      </c>
      <c r="S115" s="3">
        <v>36000000000</v>
      </c>
      <c r="T115" s="3">
        <v>36000000000</v>
      </c>
      <c r="U115" s="3">
        <v>36000000000</v>
      </c>
      <c r="V115" s="3">
        <v>40000000000</v>
      </c>
      <c r="W115" s="3">
        <v>47000000000</v>
      </c>
      <c r="X115" s="3">
        <v>47000000000</v>
      </c>
      <c r="Y115" s="3">
        <v>47000000000</v>
      </c>
      <c r="Z115" s="3">
        <v>47000000000</v>
      </c>
      <c r="AA115" s="3">
        <v>47000000000</v>
      </c>
      <c r="AB115" s="3">
        <v>47000000000</v>
      </c>
      <c r="AC115" s="3">
        <v>47000000000</v>
      </c>
      <c r="AD115" s="3">
        <v>47000000000</v>
      </c>
      <c r="AE115" s="3">
        <v>47000000000</v>
      </c>
      <c r="AF115" s="3">
        <v>47000000000</v>
      </c>
      <c r="AG115" s="3">
        <v>47000000000</v>
      </c>
      <c r="AH115" s="3">
        <v>47000000000</v>
      </c>
      <c r="AI115" s="3">
        <v>47000000000</v>
      </c>
      <c r="AJ115" s="3">
        <v>47000000000</v>
      </c>
      <c r="AK115" s="3">
        <v>47000000000</v>
      </c>
      <c r="AL115" s="3">
        <v>47000000000</v>
      </c>
      <c r="AM115" s="3">
        <v>47000000000</v>
      </c>
      <c r="AN115" s="3">
        <v>47000000000</v>
      </c>
      <c r="AO115" s="3">
        <v>47000000000</v>
      </c>
      <c r="AP115" s="3">
        <v>47000000000</v>
      </c>
      <c r="AQ115" s="3">
        <v>47000000000</v>
      </c>
      <c r="AR115" s="3">
        <v>47000000000</v>
      </c>
      <c r="AS115" s="3">
        <v>47000000000</v>
      </c>
      <c r="AT115" s="3">
        <v>47000000000</v>
      </c>
      <c r="AU115" s="3">
        <v>47000000000</v>
      </c>
      <c r="AV115" s="3">
        <v>47000000000</v>
      </c>
      <c r="AW115" s="3">
        <v>47000000000</v>
      </c>
      <c r="AX115" s="3">
        <v>47000000000</v>
      </c>
      <c r="AY115" s="3">
        <v>47000000000</v>
      </c>
      <c r="AZ115" s="3">
        <v>47000000000</v>
      </c>
      <c r="BA115" s="3">
        <v>47000000000</v>
      </c>
      <c r="BB115" s="3">
        <v>47000000000</v>
      </c>
      <c r="BC115" s="3">
        <v>47000000000</v>
      </c>
      <c r="BD115" s="3">
        <v>47000000000</v>
      </c>
      <c r="BE115" s="3">
        <v>47000000000</v>
      </c>
      <c r="BF115" s="3">
        <v>47000000000</v>
      </c>
      <c r="BG115" s="3">
        <v>47000000000</v>
      </c>
      <c r="BH115" s="3">
        <v>47000000000</v>
      </c>
      <c r="BI115" s="3">
        <v>47000000000</v>
      </c>
      <c r="BJ115" s="3">
        <v>47000000000</v>
      </c>
      <c r="BK115" s="3">
        <v>47000000000</v>
      </c>
      <c r="BL115" s="3">
        <v>47000000000</v>
      </c>
      <c r="BM115" s="3">
        <f>SUM(BM116:BM117)</f>
        <v>47000000000</v>
      </c>
      <c r="BN115" s="3">
        <f>SUM(BN116:BN117)</f>
        <v>47000000000</v>
      </c>
      <c r="BO115" s="3">
        <f>SUM(BO116:BO117)</f>
        <v>47000000000</v>
      </c>
      <c r="BP115" s="3">
        <f>SUM(BP116:BP117)</f>
        <v>47000000000</v>
      </c>
      <c r="BQ115" s="3"/>
      <c r="BR115" s="3"/>
      <c r="BS115" s="3"/>
      <c r="BT115" s="3"/>
      <c r="BU115" s="3"/>
      <c r="BV115" s="3"/>
      <c r="BW115" s="3"/>
    </row>
    <row r="116" spans="1:75" ht="15" customHeight="1">
      <c r="A116" s="59">
        <v>113</v>
      </c>
      <c r="B116" s="79" t="s">
        <v>138</v>
      </c>
      <c r="C116" s="59">
        <v>8</v>
      </c>
      <c r="D116" s="3">
        <v>5000000000</v>
      </c>
      <c r="E116" s="3">
        <v>5000000000</v>
      </c>
      <c r="F116" s="3">
        <v>5000000000</v>
      </c>
      <c r="G116" s="3">
        <v>10000000000</v>
      </c>
      <c r="H116" s="3">
        <v>10000000000</v>
      </c>
      <c r="I116" s="3">
        <v>10000000000</v>
      </c>
      <c r="J116" s="3">
        <v>10000000000</v>
      </c>
      <c r="K116" s="3">
        <v>10000000000</v>
      </c>
      <c r="L116" s="3">
        <v>10000000000</v>
      </c>
      <c r="M116" s="3">
        <v>10000000000</v>
      </c>
      <c r="N116" s="3">
        <v>10000000000</v>
      </c>
      <c r="O116" s="3">
        <v>10000000000</v>
      </c>
      <c r="P116" s="3">
        <v>10000000000</v>
      </c>
      <c r="Q116" s="3">
        <v>10000000000</v>
      </c>
      <c r="R116" s="3">
        <v>10000000000</v>
      </c>
      <c r="S116" s="3">
        <v>36000000000</v>
      </c>
      <c r="T116" s="3">
        <v>36000000000</v>
      </c>
      <c r="U116" s="3">
        <v>36000000000</v>
      </c>
      <c r="V116" s="3">
        <v>40000000000</v>
      </c>
      <c r="W116" s="3">
        <v>47000000000</v>
      </c>
      <c r="X116" s="3">
        <v>47000000000</v>
      </c>
      <c r="Y116" s="3">
        <v>47000000000</v>
      </c>
      <c r="Z116" s="3">
        <v>47000000000</v>
      </c>
      <c r="AA116" s="3">
        <v>47000000000</v>
      </c>
      <c r="AB116" s="3">
        <v>47000000000</v>
      </c>
      <c r="AC116" s="3">
        <v>47000000000</v>
      </c>
      <c r="AD116" s="3">
        <v>47000000000</v>
      </c>
      <c r="AE116" s="3">
        <v>47000000000</v>
      </c>
      <c r="AF116" s="3">
        <v>47000000000</v>
      </c>
      <c r="AG116" s="3">
        <v>47000000000</v>
      </c>
      <c r="AH116" s="3">
        <v>47000000000</v>
      </c>
      <c r="AI116" s="3">
        <v>47000000000</v>
      </c>
      <c r="AJ116" s="3">
        <v>47000000000</v>
      </c>
      <c r="AK116" s="3">
        <v>47000000000</v>
      </c>
      <c r="AL116" s="3">
        <v>47000000000</v>
      </c>
      <c r="AM116" s="3">
        <v>47000000000</v>
      </c>
      <c r="AN116" s="3">
        <v>47000000000</v>
      </c>
      <c r="AO116" s="3">
        <v>47000000000</v>
      </c>
      <c r="AP116" s="3">
        <v>47000000000</v>
      </c>
      <c r="AQ116" s="3">
        <v>47000000000</v>
      </c>
      <c r="AR116" s="3">
        <v>47000000000</v>
      </c>
      <c r="AS116" s="3">
        <v>47000000000</v>
      </c>
      <c r="AT116" s="3">
        <v>47000000000</v>
      </c>
      <c r="AU116" s="3">
        <v>47000000000</v>
      </c>
      <c r="AV116" s="3">
        <v>47000000000</v>
      </c>
      <c r="AW116" s="3">
        <v>47000000000</v>
      </c>
      <c r="AX116" s="3">
        <v>47000000000</v>
      </c>
      <c r="AY116" s="3">
        <v>47000000000</v>
      </c>
      <c r="AZ116" s="3">
        <v>47000000000</v>
      </c>
      <c r="BA116" s="3">
        <v>47000000000</v>
      </c>
      <c r="BB116" s="3">
        <v>47000000000</v>
      </c>
      <c r="BC116" s="3">
        <v>47000000000</v>
      </c>
      <c r="BD116" s="3">
        <v>47000000000</v>
      </c>
      <c r="BE116" s="3">
        <v>47000000000</v>
      </c>
      <c r="BF116" s="3">
        <v>47000000000</v>
      </c>
      <c r="BG116" s="3">
        <v>47000000000</v>
      </c>
      <c r="BH116" s="3">
        <v>47000000000</v>
      </c>
      <c r="BI116" s="3">
        <v>47000000000</v>
      </c>
      <c r="BJ116" s="3">
        <v>47000000000</v>
      </c>
      <c r="BK116" s="3">
        <v>47000000000</v>
      </c>
      <c r="BL116" s="3">
        <v>47000000000</v>
      </c>
      <c r="BM116" s="3">
        <v>47000000000</v>
      </c>
      <c r="BN116" s="3">
        <v>47000000000</v>
      </c>
      <c r="BO116" s="3">
        <v>47000000000</v>
      </c>
      <c r="BP116" s="3">
        <v>47000000000</v>
      </c>
      <c r="BQ116" s="3"/>
      <c r="BR116" s="3"/>
      <c r="BS116" s="3"/>
      <c r="BT116" s="3"/>
      <c r="BU116" s="3"/>
      <c r="BV116" s="3"/>
      <c r="BW116" s="3"/>
    </row>
    <row r="117" spans="1:75" ht="15" customHeight="1">
      <c r="A117" s="59">
        <v>114</v>
      </c>
      <c r="B117" s="79" t="s">
        <v>139</v>
      </c>
      <c r="C117" s="59">
        <v>8</v>
      </c>
      <c r="D117" s="3">
        <v>0</v>
      </c>
      <c r="E117" s="3"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15" customHeight="1">
      <c r="A118" s="59">
        <v>115</v>
      </c>
      <c r="B118" s="79" t="s">
        <v>140</v>
      </c>
      <c r="C118" s="59">
        <v>8</v>
      </c>
      <c r="D118" s="3">
        <v>0</v>
      </c>
      <c r="E118" s="3"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15" customHeight="1">
      <c r="A119" s="59">
        <v>116</v>
      </c>
      <c r="B119" s="79" t="s">
        <v>141</v>
      </c>
      <c r="C119" s="59">
        <v>8</v>
      </c>
      <c r="D119" s="3">
        <v>0</v>
      </c>
      <c r="E119" s="3"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15" customHeight="1">
      <c r="A120" s="59">
        <v>117</v>
      </c>
      <c r="B120" s="79" t="s">
        <v>142</v>
      </c>
      <c r="C120" s="59">
        <v>8</v>
      </c>
      <c r="D120" s="3">
        <v>0</v>
      </c>
      <c r="E120" s="3"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>
        <v>0</v>
      </c>
      <c r="Q120" s="3">
        <v>0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0</v>
      </c>
      <c r="AC120" s="3">
        <v>0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>
        <v>0</v>
      </c>
      <c r="AO120" s="3">
        <v>0</v>
      </c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0</v>
      </c>
      <c r="BA120" s="3">
        <v>0</v>
      </c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15" customHeight="1">
      <c r="A121" s="59">
        <v>118</v>
      </c>
      <c r="B121" s="79" t="s">
        <v>143</v>
      </c>
      <c r="C121" s="59">
        <v>8</v>
      </c>
      <c r="D121" s="3">
        <v>0</v>
      </c>
      <c r="E121" s="3"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>
        <v>0</v>
      </c>
      <c r="Q121" s="3">
        <v>0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0</v>
      </c>
      <c r="AC121" s="3">
        <v>0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>
        <v>0</v>
      </c>
      <c r="AO121" s="3">
        <v>0</v>
      </c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0</v>
      </c>
      <c r="BA121" s="3">
        <v>0</v>
      </c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15" customHeight="1">
      <c r="A122" s="59">
        <v>119</v>
      </c>
      <c r="B122" s="79" t="s">
        <v>144</v>
      </c>
      <c r="C122" s="59">
        <v>8</v>
      </c>
      <c r="D122" s="3">
        <v>0</v>
      </c>
      <c r="E122" s="3"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>
        <v>0</v>
      </c>
      <c r="Q122" s="3">
        <v>0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0</v>
      </c>
      <c r="AC122" s="3">
        <v>0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>
        <v>0</v>
      </c>
      <c r="AO122" s="3">
        <v>0</v>
      </c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0</v>
      </c>
      <c r="BA122" s="3">
        <v>0</v>
      </c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15" customHeight="1">
      <c r="A123" s="59">
        <v>120</v>
      </c>
      <c r="B123" s="79" t="s">
        <v>145</v>
      </c>
      <c r="C123" s="59">
        <v>8</v>
      </c>
      <c r="D123" s="3">
        <v>0</v>
      </c>
      <c r="E123" s="3"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>
        <v>0</v>
      </c>
      <c r="Q123" s="3">
        <v>0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0</v>
      </c>
      <c r="AC123" s="3">
        <v>0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>
        <v>0</v>
      </c>
      <c r="AO123" s="3">
        <v>0</v>
      </c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0</v>
      </c>
      <c r="BA123" s="3">
        <v>0</v>
      </c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15" customHeight="1">
      <c r="A124" s="59">
        <v>121</v>
      </c>
      <c r="B124" s="79" t="s">
        <v>146</v>
      </c>
      <c r="C124" s="59">
        <v>8</v>
      </c>
      <c r="D124" s="3">
        <v>0</v>
      </c>
      <c r="E124" s="3"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>
        <v>0</v>
      </c>
      <c r="Q124" s="3">
        <v>0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0</v>
      </c>
      <c r="AC124" s="3">
        <v>0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>
        <v>0</v>
      </c>
      <c r="AO124" s="3">
        <v>0</v>
      </c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0</v>
      </c>
      <c r="BA124" s="3">
        <v>0</v>
      </c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15" customHeight="1">
      <c r="A125" s="59">
        <v>122</v>
      </c>
      <c r="B125" s="79" t="s">
        <v>147</v>
      </c>
      <c r="C125" s="59">
        <v>8</v>
      </c>
      <c r="D125" s="3">
        <v>0</v>
      </c>
      <c r="E125" s="3"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>
        <v>0</v>
      </c>
      <c r="Q125" s="3">
        <v>0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0</v>
      </c>
      <c r="AC125" s="3">
        <v>0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>
        <v>0</v>
      </c>
      <c r="AO125" s="3">
        <v>0</v>
      </c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0</v>
      </c>
      <c r="BA125" s="3">
        <v>0</v>
      </c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15" customHeight="1">
      <c r="A126" s="81">
        <v>123</v>
      </c>
      <c r="B126" s="82" t="s">
        <v>148</v>
      </c>
      <c r="C126" s="81">
        <v>8</v>
      </c>
      <c r="D126" s="12">
        <v>-270852578</v>
      </c>
      <c r="E126" s="12">
        <v>-434291448</v>
      </c>
      <c r="F126" s="12">
        <v>-599478497</v>
      </c>
      <c r="G126" s="12">
        <v>-765335001</v>
      </c>
      <c r="H126" s="12">
        <v>-935527842</v>
      </c>
      <c r="I126" s="12">
        <v>-1082232618</v>
      </c>
      <c r="J126" s="12">
        <v>-1195125896</v>
      </c>
      <c r="K126" s="12">
        <v>-1287485886</v>
      </c>
      <c r="L126" s="12">
        <v>-1432371063</v>
      </c>
      <c r="M126" s="12">
        <v>-1544266836</v>
      </c>
      <c r="N126" s="12">
        <v>-1711043600</v>
      </c>
      <c r="O126" s="12">
        <v>-2250165861</v>
      </c>
      <c r="P126" s="12">
        <v>-2596753978</v>
      </c>
      <c r="Q126" s="12">
        <v>-2929302158</v>
      </c>
      <c r="R126" s="12">
        <v>-3230463037</v>
      </c>
      <c r="S126" s="12">
        <v>-3562317315</v>
      </c>
      <c r="T126" s="12">
        <v>-3890553204</v>
      </c>
      <c r="U126" s="12">
        <v>-4264883797</v>
      </c>
      <c r="V126" s="12">
        <v>-4643168466</v>
      </c>
      <c r="W126" s="12">
        <v>-4941374416</v>
      </c>
      <c r="X126" s="12">
        <v>-5363910425</v>
      </c>
      <c r="Y126" s="12">
        <v>-5718382718</v>
      </c>
      <c r="Z126" s="12">
        <v>-6580280010</v>
      </c>
      <c r="AA126" s="12">
        <v>-7753146442</v>
      </c>
      <c r="AB126" s="12">
        <v>-8804435828</v>
      </c>
      <c r="AC126" s="12">
        <v>-9337853914</v>
      </c>
      <c r="AD126" s="12">
        <v>-10072312791</v>
      </c>
      <c r="AE126" s="12">
        <v>-10038250157</v>
      </c>
      <c r="AF126" s="12">
        <v>-10502874523</v>
      </c>
      <c r="AG126" s="12">
        <v>-10688034329</v>
      </c>
      <c r="AH126" s="12">
        <v>-11158262849</v>
      </c>
      <c r="AI126" s="12">
        <v>-11468239515</v>
      </c>
      <c r="AJ126" s="12">
        <v>-11928203155</v>
      </c>
      <c r="AK126" s="12">
        <v>-12033873253</v>
      </c>
      <c r="AL126" s="12">
        <v>-12472135279</v>
      </c>
      <c r="AM126" s="12">
        <v>-11958731310</v>
      </c>
      <c r="AN126" s="12">
        <v>-12148451763</v>
      </c>
      <c r="AO126" s="12">
        <v>-12323585034</v>
      </c>
      <c r="AP126" s="12">
        <v>-12273263248</v>
      </c>
      <c r="AQ126" s="12">
        <v>-12414710630</v>
      </c>
      <c r="AR126" s="12">
        <v>-12412651957</v>
      </c>
      <c r="AS126" s="12">
        <v>-12608313659</v>
      </c>
      <c r="AT126" s="12">
        <v>-13002916477</v>
      </c>
      <c r="AU126" s="12">
        <v>-13403884370</v>
      </c>
      <c r="AV126" s="12">
        <v>-13710959825</v>
      </c>
      <c r="AW126" s="12">
        <v>-13947752155</v>
      </c>
      <c r="AX126" s="12">
        <v>-14835154335</v>
      </c>
      <c r="AY126" s="12">
        <v>-15111978592</v>
      </c>
      <c r="AZ126" s="12">
        <v>-15557537583</v>
      </c>
      <c r="BA126" s="12">
        <v>-15607418204</v>
      </c>
      <c r="BB126" s="12">
        <v>-15526892429</v>
      </c>
      <c r="BC126" s="12">
        <v>-15236089153</v>
      </c>
      <c r="BD126" s="12">
        <v>-15271341699</v>
      </c>
      <c r="BE126" s="12">
        <v>-14652398457</v>
      </c>
      <c r="BF126" s="12">
        <v>-13682102405</v>
      </c>
      <c r="BG126" s="12">
        <v>-12177571070</v>
      </c>
      <c r="BH126" s="12">
        <v>-12222498344</v>
      </c>
      <c r="BI126" s="12">
        <v>-12018548023</v>
      </c>
      <c r="BJ126" s="12">
        <v>-11910129660</v>
      </c>
      <c r="BK126" s="12">
        <f>BK127+BK128</f>
        <v>-11766004593</v>
      </c>
      <c r="BL126" s="12">
        <v>-11334899725</v>
      </c>
      <c r="BM126" s="12">
        <f>BM127+BM128</f>
        <v>-11351496630</v>
      </c>
      <c r="BN126" s="12">
        <f>BN127+BN128</f>
        <v>-10637407592</v>
      </c>
      <c r="BO126" s="12">
        <f>BO127+BO128</f>
        <v>-10148551125</v>
      </c>
      <c r="BP126" s="12">
        <f>BP127+BP128</f>
        <v>-8991653756</v>
      </c>
      <c r="BQ126" s="12"/>
      <c r="BR126" s="12"/>
      <c r="BS126" s="12"/>
      <c r="BT126" s="12"/>
      <c r="BU126" s="12"/>
      <c r="BV126" s="12"/>
      <c r="BW126" s="12"/>
    </row>
    <row r="127" spans="1:75" ht="15" customHeight="1">
      <c r="A127" s="59">
        <v>124</v>
      </c>
      <c r="B127" s="83" t="s">
        <v>149</v>
      </c>
      <c r="C127" s="59">
        <v>8</v>
      </c>
      <c r="D127" s="3">
        <v>-49017598</v>
      </c>
      <c r="E127" s="3">
        <v>-270852578</v>
      </c>
      <c r="F127" s="3">
        <v>-434291448</v>
      </c>
      <c r="G127" s="3">
        <v>-599478497</v>
      </c>
      <c r="H127" s="3">
        <v>-765335001</v>
      </c>
      <c r="I127" s="3">
        <v>-935527842</v>
      </c>
      <c r="J127" s="3">
        <v>-1082232618</v>
      </c>
      <c r="K127" s="3">
        <v>-1195125896</v>
      </c>
      <c r="L127" s="3">
        <v>-1287485886</v>
      </c>
      <c r="M127" s="3">
        <v>-1432371063</v>
      </c>
      <c r="N127" s="3">
        <v>-1544266836</v>
      </c>
      <c r="O127" s="3">
        <v>-1711043600</v>
      </c>
      <c r="P127" s="3">
        <v>-2250165861</v>
      </c>
      <c r="Q127" s="3">
        <v>-2596753978</v>
      </c>
      <c r="R127" s="3">
        <v>-2929302158</v>
      </c>
      <c r="S127" s="3">
        <v>-3230463037</v>
      </c>
      <c r="T127" s="3">
        <v>-3562317315</v>
      </c>
      <c r="U127" s="3">
        <v>-3890553204</v>
      </c>
      <c r="V127" s="3">
        <v>-4264883797</v>
      </c>
      <c r="W127" s="3">
        <v>-4643168466</v>
      </c>
      <c r="X127" s="3">
        <v>-4941374416</v>
      </c>
      <c r="Y127" s="3">
        <v>-5363910425</v>
      </c>
      <c r="Z127" s="3">
        <v>-5718382718</v>
      </c>
      <c r="AA127" s="3">
        <v>-6580280010</v>
      </c>
      <c r="AB127" s="3">
        <v>-7753146442</v>
      </c>
      <c r="AC127" s="3">
        <v>-8804435828</v>
      </c>
      <c r="AD127" s="3">
        <v>-9337853914</v>
      </c>
      <c r="AE127" s="3">
        <v>-10072312791</v>
      </c>
      <c r="AF127" s="3">
        <v>-10038250157</v>
      </c>
      <c r="AG127" s="3">
        <v>-10502874523</v>
      </c>
      <c r="AH127" s="3">
        <v>-10688034329</v>
      </c>
      <c r="AI127" s="3">
        <v>-11158262849</v>
      </c>
      <c r="AJ127" s="3">
        <v>-11468239515</v>
      </c>
      <c r="AK127" s="3">
        <v>-11928203155</v>
      </c>
      <c r="AL127" s="3">
        <v>-12033873253</v>
      </c>
      <c r="AM127" s="3">
        <v>-12472135279</v>
      </c>
      <c r="AN127" s="3">
        <v>-11958731310</v>
      </c>
      <c r="AO127" s="3">
        <v>-11958731310</v>
      </c>
      <c r="AP127" s="3">
        <v>-11958731310</v>
      </c>
      <c r="AQ127" s="3">
        <v>-11958731310</v>
      </c>
      <c r="AR127" s="3">
        <v>-11958731310</v>
      </c>
      <c r="AS127" s="3">
        <v>-11958731310</v>
      </c>
      <c r="AT127" s="3">
        <v>-11958731310</v>
      </c>
      <c r="AU127" s="3">
        <v>-11958731310</v>
      </c>
      <c r="AV127" s="3">
        <v>-11958731310</v>
      </c>
      <c r="AW127" s="3">
        <v>-11958731310</v>
      </c>
      <c r="AX127" s="3">
        <v>-11958731310</v>
      </c>
      <c r="AY127" s="3">
        <v>-11958731310</v>
      </c>
      <c r="AZ127" s="3">
        <v>-15137023292</v>
      </c>
      <c r="BA127" s="3">
        <v>-15137023292</v>
      </c>
      <c r="BB127" s="3">
        <v>-15137023292</v>
      </c>
      <c r="BC127" s="3">
        <v>-15137023292</v>
      </c>
      <c r="BD127" s="3">
        <v>-15137023292</v>
      </c>
      <c r="BE127" s="3">
        <v>-15137023292</v>
      </c>
      <c r="BF127" s="3">
        <v>-15137023292</v>
      </c>
      <c r="BG127" s="3">
        <v>-15137023292</v>
      </c>
      <c r="BH127" s="3">
        <v>-15137023292</v>
      </c>
      <c r="BI127" s="3">
        <v>-15137023292</v>
      </c>
      <c r="BJ127" s="3">
        <v>-15137023292</v>
      </c>
      <c r="BK127" s="3">
        <v>-15137023292</v>
      </c>
      <c r="BL127" s="3">
        <v>-11766775372</v>
      </c>
      <c r="BM127" s="3">
        <v>-11334899725</v>
      </c>
      <c r="BN127" s="3">
        <v>-11351496630</v>
      </c>
      <c r="BO127" s="3">
        <v>-10637407592</v>
      </c>
      <c r="BP127" s="3">
        <v>-10148551125</v>
      </c>
      <c r="BQ127" s="3"/>
      <c r="BR127" s="3"/>
      <c r="BS127" s="3"/>
      <c r="BT127" s="3"/>
      <c r="BU127" s="3"/>
      <c r="BV127" s="3"/>
      <c r="BW127" s="3"/>
    </row>
    <row r="128" spans="1:75" ht="15" customHeight="1">
      <c r="A128" s="59">
        <v>125</v>
      </c>
      <c r="B128" s="83" t="s">
        <v>150</v>
      </c>
      <c r="C128" s="59">
        <v>8</v>
      </c>
      <c r="D128" s="3">
        <v>-221834980</v>
      </c>
      <c r="E128" s="3">
        <v>-163438870</v>
      </c>
      <c r="F128" s="3">
        <v>-165187049</v>
      </c>
      <c r="G128" s="3">
        <v>-165856504</v>
      </c>
      <c r="H128" s="3">
        <v>-170192841</v>
      </c>
      <c r="I128" s="3">
        <v>-146704776</v>
      </c>
      <c r="J128" s="3">
        <v>-112893278</v>
      </c>
      <c r="K128" s="3">
        <v>-92359990</v>
      </c>
      <c r="L128" s="3">
        <v>-144885177</v>
      </c>
      <c r="M128" s="3">
        <v>-111895773</v>
      </c>
      <c r="N128" s="3">
        <v>-166776764</v>
      </c>
      <c r="O128" s="3">
        <v>-539122261</v>
      </c>
      <c r="P128" s="3">
        <v>-346588117</v>
      </c>
      <c r="Q128" s="3">
        <v>-332548180</v>
      </c>
      <c r="R128" s="3">
        <v>-301160879</v>
      </c>
      <c r="S128" s="3">
        <v>-331854278</v>
      </c>
      <c r="T128" s="3">
        <v>-328235889</v>
      </c>
      <c r="U128" s="3">
        <v>-374330593</v>
      </c>
      <c r="V128" s="3">
        <v>-378284669</v>
      </c>
      <c r="W128" s="3">
        <v>-298205950</v>
      </c>
      <c r="X128" s="3">
        <v>-422536009</v>
      </c>
      <c r="Y128" s="3">
        <v>-354472293</v>
      </c>
      <c r="Z128" s="3">
        <v>-861897292</v>
      </c>
      <c r="AA128" s="3">
        <v>-1172866432</v>
      </c>
      <c r="AB128" s="3">
        <v>-1051289386</v>
      </c>
      <c r="AC128" s="3">
        <v>-533418086</v>
      </c>
      <c r="AD128" s="3">
        <v>-734458877</v>
      </c>
      <c r="AE128" s="3">
        <v>34062634</v>
      </c>
      <c r="AF128" s="3">
        <v>-464624366</v>
      </c>
      <c r="AG128" s="3">
        <v>-185159806</v>
      </c>
      <c r="AH128" s="3">
        <v>-470228520</v>
      </c>
      <c r="AI128" s="3">
        <v>-309976666</v>
      </c>
      <c r="AJ128" s="3">
        <v>-459963640</v>
      </c>
      <c r="AK128" s="3">
        <v>-105670098</v>
      </c>
      <c r="AL128" s="3">
        <v>-438262026</v>
      </c>
      <c r="AM128" s="3">
        <v>513403969</v>
      </c>
      <c r="AN128" s="3">
        <v>-189720453</v>
      </c>
      <c r="AO128" s="3">
        <v>-364853724</v>
      </c>
      <c r="AP128" s="3">
        <v>-314531938</v>
      </c>
      <c r="AQ128" s="3">
        <v>-455979320</v>
      </c>
      <c r="AR128" s="3">
        <v>-453920647</v>
      </c>
      <c r="AS128" s="3">
        <v>-649582349</v>
      </c>
      <c r="AT128" s="3">
        <v>-1044185167</v>
      </c>
      <c r="AU128" s="3">
        <v>-1445153060</v>
      </c>
      <c r="AV128" s="3">
        <v>-1752228515</v>
      </c>
      <c r="AW128" s="3">
        <v>-1989020845</v>
      </c>
      <c r="AX128" s="3">
        <v>-2876423025</v>
      </c>
      <c r="AY128" s="3">
        <v>-3153247282</v>
      </c>
      <c r="AZ128" s="3">
        <v>-420514291</v>
      </c>
      <c r="BA128" s="3">
        <v>-470394912</v>
      </c>
      <c r="BB128" s="3">
        <v>-389869137</v>
      </c>
      <c r="BC128" s="3">
        <v>-99065861</v>
      </c>
      <c r="BD128" s="3">
        <v>-134318407</v>
      </c>
      <c r="BE128" s="3">
        <v>484624835</v>
      </c>
      <c r="BF128" s="3">
        <v>1454920887</v>
      </c>
      <c r="BG128" s="3">
        <v>2959452222</v>
      </c>
      <c r="BH128" s="3">
        <v>2914524948</v>
      </c>
      <c r="BI128" s="3">
        <v>3118475269</v>
      </c>
      <c r="BJ128" s="3">
        <v>3226893632</v>
      </c>
      <c r="BK128" s="3">
        <v>3371018699</v>
      </c>
      <c r="BL128" s="3">
        <v>431875647</v>
      </c>
      <c r="BM128" s="3">
        <v>-16596905</v>
      </c>
      <c r="BN128" s="3">
        <v>714089038</v>
      </c>
      <c r="BO128" s="3">
        <v>488856467</v>
      </c>
      <c r="BP128" s="3">
        <v>1156897369</v>
      </c>
      <c r="BQ128" s="3"/>
      <c r="BR128" s="3"/>
      <c r="BS128" s="3"/>
      <c r="BT128" s="3"/>
      <c r="BU128" s="3"/>
      <c r="BV128" s="3"/>
      <c r="BW128" s="3"/>
    </row>
    <row r="129" spans="1:75" ht="15" customHeight="1">
      <c r="A129" s="84">
        <v>126</v>
      </c>
      <c r="B129" s="85" t="s">
        <v>344</v>
      </c>
      <c r="C129" s="84">
        <v>8</v>
      </c>
      <c r="D129" s="13">
        <v>7537929922</v>
      </c>
      <c r="E129" s="13">
        <v>8323208552</v>
      </c>
      <c r="F129" s="13">
        <v>10981272975</v>
      </c>
      <c r="G129" s="13">
        <v>11892981766</v>
      </c>
      <c r="H129" s="13">
        <v>12746826326</v>
      </c>
      <c r="I129" s="13">
        <v>13579293734</v>
      </c>
      <c r="J129" s="13">
        <v>13506400456</v>
      </c>
      <c r="K129" s="13">
        <v>13434040466</v>
      </c>
      <c r="L129" s="13">
        <v>13339155289</v>
      </c>
      <c r="M129" s="13">
        <v>13342881294</v>
      </c>
      <c r="N129" s="13">
        <v>15109166388</v>
      </c>
      <c r="O129" s="13">
        <v>14704869502</v>
      </c>
      <c r="P129" s="13">
        <v>19018510866</v>
      </c>
      <c r="Q129" s="13">
        <v>18720546422</v>
      </c>
      <c r="R129" s="13">
        <v>21282488128</v>
      </c>
      <c r="S129" s="13">
        <v>32868247535</v>
      </c>
      <c r="T129" s="13">
        <v>37235806910</v>
      </c>
      <c r="U129" s="13">
        <v>36375060892</v>
      </c>
      <c r="V129" s="13">
        <v>35965183558</v>
      </c>
      <c r="W129" s="13">
        <v>42935162969</v>
      </c>
      <c r="X129" s="13">
        <v>42708596639</v>
      </c>
      <c r="Y129" s="13">
        <v>42106587006</v>
      </c>
      <c r="Z129" s="13">
        <v>41772122184</v>
      </c>
      <c r="AA129" s="13">
        <v>40322950936</v>
      </c>
      <c r="AB129" s="13">
        <v>38887084508</v>
      </c>
      <c r="AC129" s="13">
        <v>38393581637</v>
      </c>
      <c r="AD129" s="13">
        <v>37576613718</v>
      </c>
      <c r="AE129" s="13">
        <v>37763442217</v>
      </c>
      <c r="AF129" s="13">
        <v>37862965394</v>
      </c>
      <c r="AG129" s="13">
        <v>37403555873</v>
      </c>
      <c r="AH129" s="13">
        <v>37212607991</v>
      </c>
      <c r="AI129" s="13">
        <v>36501619282</v>
      </c>
      <c r="AJ129" s="13">
        <v>39782776751</v>
      </c>
      <c r="AK129" s="13">
        <v>41702120904</v>
      </c>
      <c r="AL129" s="13">
        <v>41580205469</v>
      </c>
      <c r="AM129" s="13">
        <v>41879994873</v>
      </c>
      <c r="AN129" s="13">
        <v>38787934579</v>
      </c>
      <c r="AO129" s="13">
        <v>38541273547</v>
      </c>
      <c r="AP129" s="13">
        <v>39098533958</v>
      </c>
      <c r="AQ129" s="13">
        <v>38861003421</v>
      </c>
      <c r="AR129" s="13">
        <v>36719519109</v>
      </c>
      <c r="AS129" s="13">
        <v>37113762343</v>
      </c>
      <c r="AT129" s="13">
        <v>35002183463</v>
      </c>
      <c r="AU129" s="13">
        <v>34860159251</v>
      </c>
      <c r="AV129" s="13">
        <v>35032994427</v>
      </c>
      <c r="AW129" s="13">
        <v>34288512350</v>
      </c>
      <c r="AX129" s="13">
        <v>34017816256</v>
      </c>
      <c r="AY129" s="14">
        <v>33571227947</v>
      </c>
      <c r="AZ129" s="14">
        <v>32019874813</v>
      </c>
      <c r="BA129" s="14">
        <v>32416294566</v>
      </c>
      <c r="BB129" s="14">
        <v>33074402363</v>
      </c>
      <c r="BC129" s="14">
        <v>33035228610</v>
      </c>
      <c r="BD129" s="14">
        <v>33553334319</v>
      </c>
      <c r="BE129" s="14">
        <v>34729808148</v>
      </c>
      <c r="BF129" s="14">
        <v>35815907036</v>
      </c>
      <c r="BG129" s="14">
        <v>37326649675</v>
      </c>
      <c r="BH129" s="14">
        <f>+BH114+BH82</f>
        <v>36925521631</v>
      </c>
      <c r="BI129" s="14">
        <v>36491540860</v>
      </c>
      <c r="BJ129" s="14">
        <v>37884499011</v>
      </c>
      <c r="BK129" s="14">
        <f t="shared" ref="BK129:BP129" si="9">+BK114+BK82</f>
        <v>37018207900</v>
      </c>
      <c r="BL129" s="14">
        <f t="shared" si="9"/>
        <v>37878758968</v>
      </c>
      <c r="BM129" s="14">
        <f t="shared" si="9"/>
        <v>37565218170</v>
      </c>
      <c r="BN129" s="14">
        <f t="shared" si="9"/>
        <v>38090951649</v>
      </c>
      <c r="BO129" s="14">
        <f t="shared" si="9"/>
        <v>39316038716</v>
      </c>
      <c r="BP129" s="14">
        <f t="shared" si="9"/>
        <v>40519851163</v>
      </c>
      <c r="BQ129" s="14"/>
      <c r="BR129" s="14"/>
      <c r="BS129" s="14"/>
      <c r="BT129" s="14"/>
      <c r="BU129" s="14"/>
      <c r="BV129" s="14"/>
      <c r="BW129" s="14"/>
    </row>
    <row r="130" spans="1:75" ht="15" customHeight="1">
      <c r="A130" s="86"/>
      <c r="B130" s="87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</row>
    <row r="151" spans="1:75" ht="15" customHeight="1">
      <c r="A151" s="89"/>
      <c r="B151" s="90"/>
      <c r="C151" s="91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</row>
    <row r="155" spans="1:75" ht="13"/>
    <row r="159" spans="1:75" ht="13"/>
    <row r="162" ht="13"/>
    <row r="171" ht="13"/>
    <row r="172" ht="13"/>
    <row r="173" ht="13"/>
    <row r="174" ht="13"/>
    <row r="180" ht="13"/>
    <row r="181" ht="13"/>
    <row r="194" spans="1:75" ht="15" customHeight="1">
      <c r="A194" s="97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</row>
    <row r="250" spans="1:75" ht="15" customHeight="1">
      <c r="A250" s="99"/>
      <c r="B250" s="100"/>
      <c r="C250" s="101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</row>
  </sheetData>
  <sheetProtection algorithmName="SHA-512" hashValue="fiZRS/b/dQI3nkOOc/1cSuyiDDaQ1UevGZUd1x6UIL0Vjfl5noAD9bhTbNVNbcitysaKeUmbearuwXJomnUAlw==" saltValue="RLIiwv1TsahvMWuEEmKCtA==" spinCount="100000" sheet="1" objects="1" scenarios="1"/>
  <protectedRanges>
    <protectedRange sqref="D4:BW129" name="BS"/>
  </protectedRanges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DA3B-D72C-489E-999D-121BF21F8D09}">
  <sheetPr>
    <tabColor theme="9" tint="0.59999389629810485"/>
  </sheetPr>
  <dimension ref="A1:BW23"/>
  <sheetViews>
    <sheetView showGridLines="0" tabSelected="1" zoomScale="80" zoomScaleNormal="80" workbookViewId="0">
      <pane xSplit="3" ySplit="3" topLeftCell="BL4" activePane="bottomRight" state="frozen"/>
      <selection pane="topRight" activeCell="AZ4" sqref="AZ4"/>
      <selection pane="bottomLeft" activeCell="AZ4" sqref="AZ4"/>
      <selection pane="bottomRight" activeCell="BP9" sqref="BP9"/>
    </sheetView>
  </sheetViews>
  <sheetFormatPr defaultRowHeight="14.5"/>
  <cols>
    <col min="1" max="1" width="7.6328125" hidden="1" customWidth="1"/>
    <col min="2" max="2" width="55.90625" customWidth="1"/>
    <col min="3" max="3" width="15.54296875" hidden="1" customWidth="1"/>
    <col min="4" max="4" width="14.90625" customWidth="1"/>
    <col min="5" max="10" width="14.453125" customWidth="1"/>
    <col min="11" max="11" width="14.36328125" customWidth="1"/>
    <col min="12" max="15" width="14.453125" customWidth="1"/>
    <col min="16" max="16" width="14.90625" customWidth="1"/>
    <col min="17" max="22" width="14.453125" customWidth="1"/>
    <col min="23" max="26" width="15.54296875" customWidth="1"/>
    <col min="27" max="28" width="16.36328125" customWidth="1"/>
    <col min="29" max="42" width="15.54296875" customWidth="1"/>
    <col min="43" max="51" width="15.453125" customWidth="1"/>
    <col min="52" max="57" width="15.453125" bestFit="1" customWidth="1"/>
    <col min="58" max="59" width="16.54296875" bestFit="1" customWidth="1"/>
    <col min="60" max="75" width="15.453125" bestFit="1" customWidth="1"/>
  </cols>
  <sheetData>
    <row r="1" spans="1:75" ht="17.5">
      <c r="B1" s="43" t="s">
        <v>0</v>
      </c>
    </row>
    <row r="2" spans="1:75">
      <c r="B2" s="47" t="s">
        <v>237</v>
      </c>
    </row>
    <row r="3" spans="1:75" ht="28">
      <c r="A3" s="103" t="s">
        <v>345</v>
      </c>
      <c r="B3" s="104" t="s">
        <v>346</v>
      </c>
      <c r="C3" s="103" t="s">
        <v>240</v>
      </c>
      <c r="D3" s="103" t="s">
        <v>241</v>
      </c>
      <c r="E3" s="103" t="s">
        <v>242</v>
      </c>
      <c r="F3" s="103" t="s">
        <v>243</v>
      </c>
      <c r="G3" s="103" t="s">
        <v>244</v>
      </c>
      <c r="H3" s="103" t="s">
        <v>245</v>
      </c>
      <c r="I3" s="103" t="s">
        <v>246</v>
      </c>
      <c r="J3" s="103" t="s">
        <v>247</v>
      </c>
      <c r="K3" s="103" t="s">
        <v>248</v>
      </c>
      <c r="L3" s="103" t="s">
        <v>249</v>
      </c>
      <c r="M3" s="103" t="s">
        <v>250</v>
      </c>
      <c r="N3" s="103" t="s">
        <v>251</v>
      </c>
      <c r="O3" s="103" t="s">
        <v>252</v>
      </c>
      <c r="P3" s="103" t="s">
        <v>253</v>
      </c>
      <c r="Q3" s="103" t="s">
        <v>254</v>
      </c>
      <c r="R3" s="103" t="s">
        <v>255</v>
      </c>
      <c r="S3" s="103" t="s">
        <v>256</v>
      </c>
      <c r="T3" s="103" t="s">
        <v>257</v>
      </c>
      <c r="U3" s="103" t="s">
        <v>258</v>
      </c>
      <c r="V3" s="103" t="s">
        <v>259</v>
      </c>
      <c r="W3" s="103" t="s">
        <v>260</v>
      </c>
      <c r="X3" s="103" t="s">
        <v>261</v>
      </c>
      <c r="Y3" s="103" t="s">
        <v>262</v>
      </c>
      <c r="Z3" s="103" t="s">
        <v>263</v>
      </c>
      <c r="AA3" s="103" t="s">
        <v>264</v>
      </c>
      <c r="AB3" s="103" t="s">
        <v>265</v>
      </c>
      <c r="AC3" s="103" t="s">
        <v>266</v>
      </c>
      <c r="AD3" s="103" t="s">
        <v>267</v>
      </c>
      <c r="AE3" s="103" t="s">
        <v>268</v>
      </c>
      <c r="AF3" s="103" t="s">
        <v>269</v>
      </c>
      <c r="AG3" s="103" t="s">
        <v>270</v>
      </c>
      <c r="AH3" s="103" t="s">
        <v>271</v>
      </c>
      <c r="AI3" s="103" t="s">
        <v>272</v>
      </c>
      <c r="AJ3" s="103" t="s">
        <v>273</v>
      </c>
      <c r="AK3" s="103" t="s">
        <v>274</v>
      </c>
      <c r="AL3" s="103" t="s">
        <v>275</v>
      </c>
      <c r="AM3" s="103" t="s">
        <v>276</v>
      </c>
      <c r="AN3" s="103" t="s">
        <v>277</v>
      </c>
      <c r="AO3" s="103" t="s">
        <v>278</v>
      </c>
      <c r="AP3" s="103" t="s">
        <v>279</v>
      </c>
      <c r="AQ3" s="103" t="s">
        <v>280</v>
      </c>
      <c r="AR3" s="103" t="s">
        <v>281</v>
      </c>
      <c r="AS3" s="103" t="s">
        <v>282</v>
      </c>
      <c r="AT3" s="103" t="s">
        <v>283</v>
      </c>
      <c r="AU3" s="103" t="s">
        <v>284</v>
      </c>
      <c r="AV3" s="103" t="s">
        <v>285</v>
      </c>
      <c r="AW3" s="103" t="s">
        <v>286</v>
      </c>
      <c r="AX3" s="103" t="s">
        <v>287</v>
      </c>
      <c r="AY3" s="103" t="s">
        <v>288</v>
      </c>
      <c r="AZ3" s="103" t="s">
        <v>289</v>
      </c>
      <c r="BA3" s="103" t="s">
        <v>290</v>
      </c>
      <c r="BB3" s="103" t="s">
        <v>291</v>
      </c>
      <c r="BC3" s="103" t="s">
        <v>292</v>
      </c>
      <c r="BD3" s="103" t="s">
        <v>293</v>
      </c>
      <c r="BE3" s="103" t="s">
        <v>294</v>
      </c>
      <c r="BF3" s="103" t="s">
        <v>295</v>
      </c>
      <c r="BG3" s="103" t="s">
        <v>296</v>
      </c>
      <c r="BH3" s="103" t="s">
        <v>297</v>
      </c>
      <c r="BI3" s="103" t="s">
        <v>298</v>
      </c>
      <c r="BJ3" s="103" t="s">
        <v>299</v>
      </c>
      <c r="BK3" s="103" t="s">
        <v>300</v>
      </c>
      <c r="BL3" s="103" t="s">
        <v>301</v>
      </c>
      <c r="BM3" s="103" t="s">
        <v>302</v>
      </c>
      <c r="BN3" s="103" t="s">
        <v>303</v>
      </c>
      <c r="BO3" s="103" t="s">
        <v>304</v>
      </c>
      <c r="BP3" s="103" t="s">
        <v>305</v>
      </c>
      <c r="BQ3" s="103" t="s">
        <v>306</v>
      </c>
      <c r="BR3" s="103" t="s">
        <v>307</v>
      </c>
      <c r="BS3" s="103" t="s">
        <v>308</v>
      </c>
      <c r="BT3" s="103" t="s">
        <v>309</v>
      </c>
      <c r="BU3" s="103" t="s">
        <v>310</v>
      </c>
      <c r="BV3" s="103" t="s">
        <v>311</v>
      </c>
      <c r="BW3" s="103" t="s">
        <v>312</v>
      </c>
    </row>
    <row r="4" spans="1:75">
      <c r="A4" s="105">
        <v>1</v>
      </c>
      <c r="B4" s="106" t="s">
        <v>347</v>
      </c>
      <c r="C4" s="107">
        <v>8</v>
      </c>
      <c r="D4" s="121">
        <v>0</v>
      </c>
      <c r="E4" s="121">
        <v>0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>
        <v>13.776</v>
      </c>
      <c r="Q4" s="121">
        <v>0</v>
      </c>
      <c r="R4" s="121">
        <v>21.242999999999999</v>
      </c>
      <c r="S4" s="121">
        <v>18.384</v>
      </c>
      <c r="T4" s="121">
        <v>69.305999999999997</v>
      </c>
      <c r="U4" s="121">
        <v>57.128</v>
      </c>
      <c r="V4" s="121">
        <v>45.009</v>
      </c>
      <c r="W4" s="121">
        <v>133.15100000000001</v>
      </c>
      <c r="X4" s="121">
        <v>87.34</v>
      </c>
      <c r="Y4" s="121">
        <v>200.28399999999999</v>
      </c>
      <c r="Z4" s="121">
        <v>162.75049999999999</v>
      </c>
      <c r="AA4" s="121">
        <v>200.149</v>
      </c>
      <c r="AB4" s="121">
        <v>177.0275</v>
      </c>
      <c r="AC4" s="121">
        <v>116.39700000000001</v>
      </c>
      <c r="AD4" s="121">
        <v>313</v>
      </c>
      <c r="AE4" s="121">
        <v>367</v>
      </c>
      <c r="AF4" s="121">
        <v>260</v>
      </c>
      <c r="AG4" s="121">
        <v>320</v>
      </c>
      <c r="AH4" s="121">
        <v>273</v>
      </c>
      <c r="AI4" s="121">
        <v>241</v>
      </c>
      <c r="AJ4" s="121">
        <v>225</v>
      </c>
      <c r="AK4" s="121">
        <v>267</v>
      </c>
      <c r="AL4" s="121">
        <v>161</v>
      </c>
      <c r="AM4" s="121">
        <v>411.80099999999999</v>
      </c>
      <c r="AN4" s="122">
        <v>573</v>
      </c>
      <c r="AO4" s="121">
        <v>269</v>
      </c>
      <c r="AP4" s="121">
        <v>385</v>
      </c>
      <c r="AQ4" s="121">
        <v>393</v>
      </c>
      <c r="AR4" s="121">
        <v>627.69200000000001</v>
      </c>
      <c r="AS4" s="121">
        <v>379</v>
      </c>
      <c r="AT4" s="121">
        <v>289.90899999999999</v>
      </c>
      <c r="AU4" s="121">
        <v>249.529</v>
      </c>
      <c r="AV4" s="121">
        <v>256.07</v>
      </c>
      <c r="AW4" s="121">
        <v>285.92700000000002</v>
      </c>
      <c r="AX4" s="123">
        <v>301.60300000000001</v>
      </c>
      <c r="AY4" s="124">
        <v>231.24799999999999</v>
      </c>
      <c r="AZ4" s="122">
        <v>136.81700000000001</v>
      </c>
      <c r="BA4" s="121">
        <v>284.58600000000001</v>
      </c>
      <c r="BB4" s="121">
        <v>355.69799999999998</v>
      </c>
      <c r="BC4" s="121">
        <v>421.53300000000002</v>
      </c>
      <c r="BD4" s="121">
        <v>410.44900000000001</v>
      </c>
      <c r="BE4" s="121">
        <v>572.58600000000001</v>
      </c>
      <c r="BF4" s="121">
        <v>681.43200000000002</v>
      </c>
      <c r="BG4" s="121">
        <v>736.18600000000004</v>
      </c>
      <c r="BH4" s="121">
        <v>660.12800000000004</v>
      </c>
      <c r="BI4" s="121">
        <v>493.928</v>
      </c>
      <c r="BJ4" s="121">
        <v>419.82400000000001</v>
      </c>
      <c r="BK4" s="121">
        <v>530.27</v>
      </c>
      <c r="BL4" s="121">
        <v>513.46100000000001</v>
      </c>
      <c r="BM4" s="121">
        <v>321.709</v>
      </c>
      <c r="BN4" s="121">
        <v>698.89099999999996</v>
      </c>
      <c r="BO4" s="121">
        <v>493.24</v>
      </c>
      <c r="BP4" s="121">
        <v>710.76800000000003</v>
      </c>
      <c r="BQ4" s="121"/>
      <c r="BR4" s="121"/>
      <c r="BS4" s="121"/>
      <c r="BT4" s="121"/>
      <c r="BU4" s="121"/>
      <c r="BV4" s="121"/>
      <c r="BW4" s="121"/>
    </row>
    <row r="5" spans="1:75">
      <c r="A5" s="108">
        <v>2</v>
      </c>
      <c r="B5" s="109" t="s">
        <v>348</v>
      </c>
      <c r="C5" s="63">
        <v>8</v>
      </c>
      <c r="D5" s="5"/>
      <c r="E5" s="5"/>
      <c r="F5" s="5"/>
      <c r="G5" s="5">
        <v>368424150</v>
      </c>
      <c r="H5" s="5">
        <v>539826374</v>
      </c>
      <c r="I5" s="5">
        <v>10846000</v>
      </c>
      <c r="J5" s="5"/>
      <c r="K5" s="5"/>
      <c r="L5" s="5"/>
      <c r="M5" s="5">
        <v>85659200</v>
      </c>
      <c r="N5" s="5">
        <v>502162200</v>
      </c>
      <c r="O5" s="5">
        <v>21720000</v>
      </c>
      <c r="P5" s="5">
        <v>106450910</v>
      </c>
      <c r="Q5" s="5"/>
      <c r="R5" s="5">
        <v>265207910</v>
      </c>
      <c r="S5" s="5">
        <v>235390963</v>
      </c>
      <c r="T5" s="5">
        <v>549971500</v>
      </c>
      <c r="U5" s="5">
        <v>1004388000</v>
      </c>
      <c r="V5" s="5">
        <v>811042500</v>
      </c>
      <c r="W5" s="5">
        <v>2190311943</v>
      </c>
      <c r="X5" s="5">
        <v>1430897000</v>
      </c>
      <c r="Y5" s="5">
        <v>3280888000</v>
      </c>
      <c r="Z5" s="5">
        <v>2548509050</v>
      </c>
      <c r="AA5" s="5">
        <v>2627327757</v>
      </c>
      <c r="AB5" s="5">
        <v>1822423459</v>
      </c>
      <c r="AC5" s="5">
        <v>1503889814</v>
      </c>
      <c r="AD5" s="5">
        <v>4340539454</v>
      </c>
      <c r="AE5" s="5">
        <v>5632467285</v>
      </c>
      <c r="AF5" s="5">
        <v>3711774521</v>
      </c>
      <c r="AG5" s="5">
        <v>4642198050</v>
      </c>
      <c r="AH5" s="5">
        <v>3681484099</v>
      </c>
      <c r="AI5" s="5">
        <v>3500109250</v>
      </c>
      <c r="AJ5" s="5">
        <v>3283780279</v>
      </c>
      <c r="AK5" s="5">
        <v>4161593000</v>
      </c>
      <c r="AL5" s="5">
        <v>2393981900</v>
      </c>
      <c r="AM5" s="5">
        <v>5807772500</v>
      </c>
      <c r="AN5" s="5">
        <v>8400713900</v>
      </c>
      <c r="AO5" s="5">
        <v>3931174800</v>
      </c>
      <c r="AP5" s="5">
        <v>5768669300</v>
      </c>
      <c r="AQ5" s="5">
        <v>5809292600</v>
      </c>
      <c r="AR5" s="5">
        <v>9485730900</v>
      </c>
      <c r="AS5" s="5">
        <v>6180931000</v>
      </c>
      <c r="AT5" s="5">
        <v>4176102000</v>
      </c>
      <c r="AU5" s="5">
        <v>3625752000</v>
      </c>
      <c r="AV5" s="5">
        <v>3921219000</v>
      </c>
      <c r="AW5" s="5">
        <v>4329468100</v>
      </c>
      <c r="AX5" s="5">
        <v>4671750950</v>
      </c>
      <c r="AY5" s="5">
        <v>3649641000</v>
      </c>
      <c r="AZ5" s="5">
        <v>2184030270</v>
      </c>
      <c r="BA5" s="5">
        <v>4906179695</v>
      </c>
      <c r="BB5" s="5">
        <v>6333654608</v>
      </c>
      <c r="BC5" s="5">
        <v>7807068174</v>
      </c>
      <c r="BD5" s="5">
        <v>7380147015</v>
      </c>
      <c r="BE5" s="5">
        <v>10556762949</v>
      </c>
      <c r="BF5" s="5">
        <v>12875151030</v>
      </c>
      <c r="BG5" s="5">
        <v>13763220740</v>
      </c>
      <c r="BH5" s="5">
        <v>9904916640</v>
      </c>
      <c r="BI5" s="5">
        <v>7003708500</v>
      </c>
      <c r="BJ5" s="5">
        <v>5985740000</v>
      </c>
      <c r="BK5" s="5">
        <v>7484127000</v>
      </c>
      <c r="BL5" s="5">
        <v>7320017770</v>
      </c>
      <c r="BM5" s="5">
        <v>4596489350</v>
      </c>
      <c r="BN5" s="5">
        <v>9617317135</v>
      </c>
      <c r="BO5" s="5">
        <v>7009495222</v>
      </c>
      <c r="BP5" s="5">
        <v>11024894520</v>
      </c>
      <c r="BQ5" s="5"/>
      <c r="BR5" s="5"/>
      <c r="BS5" s="5"/>
      <c r="BT5" s="5"/>
      <c r="BU5" s="5"/>
      <c r="BV5" s="5"/>
      <c r="BW5" s="5"/>
    </row>
    <row r="6" spans="1:75">
      <c r="A6" s="110">
        <v>3</v>
      </c>
      <c r="B6" s="111" t="s">
        <v>349</v>
      </c>
      <c r="C6" s="59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5"/>
      <c r="AR6" s="15"/>
      <c r="AS6" s="15"/>
      <c r="AT6" s="15"/>
      <c r="AU6" s="15"/>
      <c r="AV6" s="15"/>
      <c r="AW6" s="15"/>
      <c r="AX6" s="15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</row>
    <row r="7" spans="1:75">
      <c r="A7" s="112">
        <v>4</v>
      </c>
      <c r="B7" s="109" t="s">
        <v>350</v>
      </c>
      <c r="C7" s="113">
        <v>8</v>
      </c>
      <c r="D7" s="17">
        <v>0</v>
      </c>
      <c r="E7" s="17">
        <v>0</v>
      </c>
      <c r="F7" s="17">
        <v>0</v>
      </c>
      <c r="G7" s="17">
        <v>368424150</v>
      </c>
      <c r="H7" s="17">
        <v>539826374</v>
      </c>
      <c r="I7" s="17">
        <v>10846000</v>
      </c>
      <c r="J7" s="17">
        <v>0</v>
      </c>
      <c r="K7" s="17">
        <v>0</v>
      </c>
      <c r="L7" s="17">
        <v>0</v>
      </c>
      <c r="M7" s="17">
        <v>85659200</v>
      </c>
      <c r="N7" s="17">
        <v>502162200</v>
      </c>
      <c r="O7" s="17">
        <v>21720000</v>
      </c>
      <c r="P7" s="17">
        <v>106450910</v>
      </c>
      <c r="Q7" s="17">
        <v>0</v>
      </c>
      <c r="R7" s="17">
        <v>265207910</v>
      </c>
      <c r="S7" s="17">
        <v>235390963</v>
      </c>
      <c r="T7" s="17">
        <v>549971500</v>
      </c>
      <c r="U7" s="17">
        <v>1004388000</v>
      </c>
      <c r="V7" s="17">
        <v>811042500</v>
      </c>
      <c r="W7" s="17">
        <v>2190311943</v>
      </c>
      <c r="X7" s="17">
        <v>1430897000</v>
      </c>
      <c r="Y7" s="17">
        <v>3280888000</v>
      </c>
      <c r="Z7" s="17">
        <v>2548509050</v>
      </c>
      <c r="AA7" s="17">
        <v>2627327757</v>
      </c>
      <c r="AB7" s="17">
        <v>1822423459</v>
      </c>
      <c r="AC7" s="17">
        <v>1503889814</v>
      </c>
      <c r="AD7" s="17">
        <v>4340539454</v>
      </c>
      <c r="AE7" s="17">
        <v>5632467285</v>
      </c>
      <c r="AF7" s="17">
        <v>3711774521</v>
      </c>
      <c r="AG7" s="17">
        <v>4642198050</v>
      </c>
      <c r="AH7" s="17">
        <v>3681484099</v>
      </c>
      <c r="AI7" s="17">
        <v>3500109250</v>
      </c>
      <c r="AJ7" s="17">
        <v>3283780279</v>
      </c>
      <c r="AK7" s="17">
        <v>4161593000</v>
      </c>
      <c r="AL7" s="17">
        <v>2393981900</v>
      </c>
      <c r="AM7" s="17">
        <v>5807772500</v>
      </c>
      <c r="AN7" s="17">
        <v>8400713900</v>
      </c>
      <c r="AO7" s="17">
        <v>3931174800</v>
      </c>
      <c r="AP7" s="17">
        <v>5768669300</v>
      </c>
      <c r="AQ7" s="17">
        <v>5809292600</v>
      </c>
      <c r="AR7" s="17">
        <v>9485730900</v>
      </c>
      <c r="AS7" s="17">
        <v>6180931000</v>
      </c>
      <c r="AT7" s="17">
        <v>4176102000</v>
      </c>
      <c r="AU7" s="17">
        <v>3625752000</v>
      </c>
      <c r="AV7" s="17">
        <v>3921219000</v>
      </c>
      <c r="AW7" s="17">
        <v>4329468100</v>
      </c>
      <c r="AX7" s="17">
        <v>4671750950</v>
      </c>
      <c r="AY7" s="18">
        <v>3649641000</v>
      </c>
      <c r="AZ7" s="18">
        <v>2184030270</v>
      </c>
      <c r="BA7" s="18">
        <v>4906179695</v>
      </c>
      <c r="BB7" s="18">
        <v>6333654608</v>
      </c>
      <c r="BC7" s="18">
        <v>7807068174</v>
      </c>
      <c r="BD7" s="18">
        <v>7380147015</v>
      </c>
      <c r="BE7" s="18">
        <v>10556762949</v>
      </c>
      <c r="BF7" s="18">
        <v>12875151030</v>
      </c>
      <c r="BG7" s="18">
        <v>13763220740</v>
      </c>
      <c r="BH7" s="18">
        <v>9904916640</v>
      </c>
      <c r="BI7" s="18">
        <v>7003708500</v>
      </c>
      <c r="BJ7" s="18">
        <v>5985740000</v>
      </c>
      <c r="BK7" s="18">
        <v>7484127000</v>
      </c>
      <c r="BL7" s="18">
        <v>7320017770</v>
      </c>
      <c r="BM7" s="18">
        <f>BM5-BM6</f>
        <v>4596489350</v>
      </c>
      <c r="BN7" s="18">
        <v>9617317135</v>
      </c>
      <c r="BO7" s="18">
        <v>7009495222</v>
      </c>
      <c r="BP7" s="18">
        <v>11024894520</v>
      </c>
      <c r="BQ7" s="18"/>
      <c r="BR7" s="18"/>
      <c r="BS7" s="18"/>
      <c r="BT7" s="18"/>
      <c r="BU7" s="18"/>
      <c r="BV7" s="18"/>
      <c r="BW7" s="18"/>
    </row>
    <row r="8" spans="1:75" ht="15.5">
      <c r="A8" s="110">
        <v>5</v>
      </c>
      <c r="B8" s="111" t="s">
        <v>351</v>
      </c>
      <c r="C8" s="114">
        <v>8</v>
      </c>
      <c r="D8" s="3"/>
      <c r="E8" s="3"/>
      <c r="F8" s="3"/>
      <c r="G8" s="3">
        <v>356035081</v>
      </c>
      <c r="H8" s="3">
        <v>539685001</v>
      </c>
      <c r="I8" s="3">
        <v>10850195</v>
      </c>
      <c r="J8" s="3"/>
      <c r="K8" s="3"/>
      <c r="L8" s="3"/>
      <c r="M8" s="3">
        <v>84649200</v>
      </c>
      <c r="N8" s="3">
        <v>465251111</v>
      </c>
      <c r="O8" s="3">
        <v>15974935</v>
      </c>
      <c r="P8" s="3">
        <v>168407744</v>
      </c>
      <c r="Q8" s="3">
        <v>5395812</v>
      </c>
      <c r="R8" s="3">
        <v>236779308</v>
      </c>
      <c r="S8" s="3">
        <v>207650748</v>
      </c>
      <c r="T8" s="3">
        <v>435137862</v>
      </c>
      <c r="U8" s="3">
        <v>918387357</v>
      </c>
      <c r="V8" s="3">
        <v>738967733</v>
      </c>
      <c r="W8" s="3">
        <v>1857317418</v>
      </c>
      <c r="X8" s="3">
        <v>1276370111</v>
      </c>
      <c r="Y8" s="3">
        <v>2962185705</v>
      </c>
      <c r="Z8" s="3">
        <v>2312380906</v>
      </c>
      <c r="AA8" s="3">
        <v>2612701467</v>
      </c>
      <c r="AB8" s="3">
        <v>2339926056</v>
      </c>
      <c r="AC8" s="3">
        <v>1617373611</v>
      </c>
      <c r="AD8" s="3">
        <v>4386031675</v>
      </c>
      <c r="AE8" s="3">
        <v>4924018381</v>
      </c>
      <c r="AF8" s="3">
        <v>3584096913</v>
      </c>
      <c r="AG8" s="3">
        <v>4175851308</v>
      </c>
      <c r="AH8" s="3">
        <v>3523205486</v>
      </c>
      <c r="AI8" s="3">
        <v>3237017132</v>
      </c>
      <c r="AJ8" s="3">
        <v>3209996558</v>
      </c>
      <c r="AK8" s="3">
        <v>3747756710</v>
      </c>
      <c r="AL8" s="3">
        <v>2368686966</v>
      </c>
      <c r="AM8" s="3">
        <v>4587732653</v>
      </c>
      <c r="AN8" s="9">
        <v>8360095204</v>
      </c>
      <c r="AO8" s="3">
        <v>3915335812</v>
      </c>
      <c r="AP8" s="3">
        <v>5491561659</v>
      </c>
      <c r="AQ8" s="19">
        <v>5777251201</v>
      </c>
      <c r="AR8" s="19">
        <v>9281674213</v>
      </c>
      <c r="AS8" s="19">
        <v>6197150720</v>
      </c>
      <c r="AT8" s="19">
        <v>4472052819</v>
      </c>
      <c r="AU8" s="19">
        <v>3843795589</v>
      </c>
      <c r="AV8" s="19">
        <v>4098228510</v>
      </c>
      <c r="AW8" s="19">
        <v>4453562079</v>
      </c>
      <c r="AX8" s="20">
        <v>4802207565</v>
      </c>
      <c r="AY8" s="19">
        <v>3764356934</v>
      </c>
      <c r="AZ8" s="19">
        <v>2508077713</v>
      </c>
      <c r="BA8" s="19">
        <v>4740440112</v>
      </c>
      <c r="BB8" s="19">
        <v>6014198762</v>
      </c>
      <c r="BC8" s="19">
        <v>7255972077</v>
      </c>
      <c r="BD8" s="19">
        <v>7126741795</v>
      </c>
      <c r="BE8" s="19">
        <v>9609629830</v>
      </c>
      <c r="BF8" s="19">
        <v>11568387569</v>
      </c>
      <c r="BG8" s="19">
        <v>11854114403</v>
      </c>
      <c r="BH8" s="19">
        <v>9491382430</v>
      </c>
      <c r="BI8" s="19">
        <v>6472207694</v>
      </c>
      <c r="BJ8" s="19">
        <v>5524770244</v>
      </c>
      <c r="BK8" s="19">
        <v>6694289988</v>
      </c>
      <c r="BL8" s="19">
        <v>6508047485</v>
      </c>
      <c r="BM8" s="19">
        <v>4138247394</v>
      </c>
      <c r="BN8" s="19">
        <v>8386341981</v>
      </c>
      <c r="BO8" s="19">
        <v>6103584508</v>
      </c>
      <c r="BP8" s="19">
        <v>9397938637</v>
      </c>
      <c r="BQ8" s="19"/>
      <c r="BR8" s="19"/>
      <c r="BS8" s="19"/>
      <c r="BT8" s="19"/>
      <c r="BU8" s="19"/>
      <c r="BV8" s="19"/>
      <c r="BW8" s="19"/>
    </row>
    <row r="9" spans="1:75">
      <c r="A9" s="115">
        <v>6</v>
      </c>
      <c r="B9" s="109" t="s">
        <v>352</v>
      </c>
      <c r="C9" s="116">
        <v>8</v>
      </c>
      <c r="D9" s="21">
        <v>0</v>
      </c>
      <c r="E9" s="21">
        <v>0</v>
      </c>
      <c r="F9" s="21">
        <v>0</v>
      </c>
      <c r="G9" s="21">
        <v>12389069</v>
      </c>
      <c r="H9" s="21">
        <v>141373</v>
      </c>
      <c r="I9" s="21">
        <v>-4195</v>
      </c>
      <c r="J9" s="21">
        <v>0</v>
      </c>
      <c r="K9" s="21">
        <v>0</v>
      </c>
      <c r="L9" s="21">
        <v>0</v>
      </c>
      <c r="M9" s="21">
        <v>1010000</v>
      </c>
      <c r="N9" s="21">
        <v>36911089</v>
      </c>
      <c r="O9" s="21">
        <v>5745065</v>
      </c>
      <c r="P9" s="21">
        <v>-61956834</v>
      </c>
      <c r="Q9" s="21">
        <v>-5395812</v>
      </c>
      <c r="R9" s="21">
        <v>28428602</v>
      </c>
      <c r="S9" s="21">
        <v>27740215</v>
      </c>
      <c r="T9" s="21">
        <v>114833638</v>
      </c>
      <c r="U9" s="21">
        <v>86000643</v>
      </c>
      <c r="V9" s="21">
        <v>72074767</v>
      </c>
      <c r="W9" s="21">
        <v>332994525</v>
      </c>
      <c r="X9" s="21">
        <v>154526889</v>
      </c>
      <c r="Y9" s="21">
        <v>318702295</v>
      </c>
      <c r="Z9" s="21">
        <v>236128144</v>
      </c>
      <c r="AA9" s="21">
        <v>14626290</v>
      </c>
      <c r="AB9" s="21">
        <v>-517502597</v>
      </c>
      <c r="AC9" s="21">
        <v>-113483797</v>
      </c>
      <c r="AD9" s="21">
        <v>-45492221</v>
      </c>
      <c r="AE9" s="21">
        <v>708448904</v>
      </c>
      <c r="AF9" s="21">
        <v>127677608</v>
      </c>
      <c r="AG9" s="21">
        <v>466346742</v>
      </c>
      <c r="AH9" s="21">
        <v>158278613</v>
      </c>
      <c r="AI9" s="21">
        <v>263092118</v>
      </c>
      <c r="AJ9" s="21">
        <v>73783721</v>
      </c>
      <c r="AK9" s="21">
        <v>413836290</v>
      </c>
      <c r="AL9" s="21">
        <v>25294934</v>
      </c>
      <c r="AM9" s="21">
        <v>1220039847</v>
      </c>
      <c r="AN9" s="21">
        <v>40618696</v>
      </c>
      <c r="AO9" s="21">
        <v>15838988</v>
      </c>
      <c r="AP9" s="21">
        <v>277107641</v>
      </c>
      <c r="AQ9" s="21">
        <v>32041399</v>
      </c>
      <c r="AR9" s="21">
        <v>204056687</v>
      </c>
      <c r="AS9" s="21">
        <v>-16219720</v>
      </c>
      <c r="AT9" s="21">
        <v>-295950819</v>
      </c>
      <c r="AU9" s="21">
        <v>-218043589</v>
      </c>
      <c r="AV9" s="21">
        <v>-177009510</v>
      </c>
      <c r="AW9" s="21">
        <v>-124093979</v>
      </c>
      <c r="AX9" s="21">
        <v>-130456615</v>
      </c>
      <c r="AY9" s="21">
        <v>-114715934</v>
      </c>
      <c r="AZ9" s="21">
        <v>-324047443</v>
      </c>
      <c r="BA9" s="21">
        <v>165739583</v>
      </c>
      <c r="BB9" s="21">
        <v>319455846</v>
      </c>
      <c r="BC9" s="21">
        <v>551096097</v>
      </c>
      <c r="BD9" s="21">
        <v>253405220</v>
      </c>
      <c r="BE9" s="21">
        <v>947133119</v>
      </c>
      <c r="BF9" s="21">
        <v>1306763461</v>
      </c>
      <c r="BG9" s="21">
        <v>1909106337</v>
      </c>
      <c r="BH9" s="21">
        <v>413534210</v>
      </c>
      <c r="BI9" s="21">
        <v>531500806</v>
      </c>
      <c r="BJ9" s="21">
        <v>460969756</v>
      </c>
      <c r="BK9" s="21">
        <v>789837012</v>
      </c>
      <c r="BL9" s="21">
        <v>811970285</v>
      </c>
      <c r="BM9" s="21">
        <f>BM7-BM8</f>
        <v>458241956</v>
      </c>
      <c r="BN9" s="21">
        <f>BN7-BN8</f>
        <v>1230975154</v>
      </c>
      <c r="BO9" s="21">
        <f>BO7-BO8</f>
        <v>905910714</v>
      </c>
      <c r="BP9" s="21">
        <f>BP7-BP8</f>
        <v>1626955883</v>
      </c>
      <c r="BQ9" s="21"/>
      <c r="BR9" s="21"/>
      <c r="BS9" s="21"/>
      <c r="BT9" s="21"/>
      <c r="BU9" s="21"/>
      <c r="BV9" s="21"/>
      <c r="BW9" s="21"/>
    </row>
    <row r="10" spans="1:75">
      <c r="A10" s="115">
        <v>7</v>
      </c>
      <c r="B10" s="109" t="s">
        <v>353</v>
      </c>
      <c r="C10" s="116">
        <v>8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>
      <c r="A11" s="110">
        <v>8</v>
      </c>
      <c r="B11" s="111" t="s">
        <v>354</v>
      </c>
      <c r="C11" s="59">
        <v>8</v>
      </c>
      <c r="D11" s="3">
        <v>107454</v>
      </c>
      <c r="E11" s="3">
        <v>56525</v>
      </c>
      <c r="F11" s="3">
        <v>64648</v>
      </c>
      <c r="G11" s="3">
        <v>175348</v>
      </c>
      <c r="H11" s="3">
        <v>109741</v>
      </c>
      <c r="I11" s="3">
        <v>71964</v>
      </c>
      <c r="J11" s="3">
        <v>33319</v>
      </c>
      <c r="K11" s="3">
        <v>35780</v>
      </c>
      <c r="L11" s="3">
        <v>57304</v>
      </c>
      <c r="M11" s="3">
        <v>40536</v>
      </c>
      <c r="N11" s="3">
        <v>27652</v>
      </c>
      <c r="O11" s="3">
        <v>30221</v>
      </c>
      <c r="P11" s="3">
        <v>100771</v>
      </c>
      <c r="Q11" s="3">
        <v>22232</v>
      </c>
      <c r="R11" s="3">
        <v>9940</v>
      </c>
      <c r="S11" s="3">
        <v>18461</v>
      </c>
      <c r="T11" s="3">
        <v>51784</v>
      </c>
      <c r="U11" s="3">
        <v>65299</v>
      </c>
      <c r="V11" s="3">
        <v>28201</v>
      </c>
      <c r="W11" s="3">
        <v>103587</v>
      </c>
      <c r="X11" s="3">
        <v>134052</v>
      </c>
      <c r="Y11" s="3">
        <v>100634</v>
      </c>
      <c r="Z11" s="3">
        <v>1758913</v>
      </c>
      <c r="AA11" s="3">
        <v>2200453</v>
      </c>
      <c r="AB11" s="3">
        <v>3773270</v>
      </c>
      <c r="AC11" s="3">
        <v>3236864</v>
      </c>
      <c r="AD11" s="3">
        <v>2346303</v>
      </c>
      <c r="AE11" s="3">
        <v>1424265</v>
      </c>
      <c r="AF11" s="3">
        <v>777811</v>
      </c>
      <c r="AG11" s="3">
        <v>307201</v>
      </c>
      <c r="AH11" s="3">
        <v>328719</v>
      </c>
      <c r="AI11" s="3">
        <v>368024</v>
      </c>
      <c r="AJ11" s="3">
        <v>352533</v>
      </c>
      <c r="AK11" s="3">
        <v>313627</v>
      </c>
      <c r="AL11" s="3">
        <v>161478</v>
      </c>
      <c r="AM11" s="3">
        <v>13833550</v>
      </c>
      <c r="AN11" s="3">
        <v>9382459</v>
      </c>
      <c r="AO11" s="3">
        <v>10579719</v>
      </c>
      <c r="AP11" s="3">
        <v>9899400</v>
      </c>
      <c r="AQ11" s="15">
        <v>10580906</v>
      </c>
      <c r="AR11" s="15">
        <v>10872809</v>
      </c>
      <c r="AS11" s="15">
        <v>12253869</v>
      </c>
      <c r="AT11" s="15">
        <v>32961164</v>
      </c>
      <c r="AU11" s="15">
        <v>10484107</v>
      </c>
      <c r="AV11" s="15">
        <v>10990062</v>
      </c>
      <c r="AW11" s="15">
        <v>51973968</v>
      </c>
      <c r="AX11" s="15">
        <v>11239032</v>
      </c>
      <c r="AY11" s="16">
        <v>10871181</v>
      </c>
      <c r="AZ11" s="16">
        <v>56610291</v>
      </c>
      <c r="BA11" s="16">
        <v>11478700</v>
      </c>
      <c r="BB11" s="16">
        <v>10596772</v>
      </c>
      <c r="BC11" s="16">
        <v>57102551</v>
      </c>
      <c r="BD11" s="16">
        <v>11106781</v>
      </c>
      <c r="BE11" s="16">
        <v>10419655</v>
      </c>
      <c r="BF11" s="16">
        <v>56496007</v>
      </c>
      <c r="BG11" s="16">
        <v>7319275</v>
      </c>
      <c r="BH11" s="16">
        <v>7346208</v>
      </c>
      <c r="BI11" s="16">
        <v>52495236</v>
      </c>
      <c r="BJ11" s="16">
        <v>19072961</v>
      </c>
      <c r="BK11" s="16">
        <v>18946348</v>
      </c>
      <c r="BL11" s="16">
        <v>65571081</v>
      </c>
      <c r="BM11" s="16">
        <v>20192380</v>
      </c>
      <c r="BN11" s="16">
        <v>18234753</v>
      </c>
      <c r="BO11" s="16">
        <v>58991700</v>
      </c>
      <c r="BP11" s="16">
        <v>11002030</v>
      </c>
      <c r="BQ11" s="16"/>
      <c r="BR11" s="16"/>
      <c r="BS11" s="16"/>
      <c r="BT11" s="16"/>
      <c r="BU11" s="16"/>
      <c r="BV11" s="16"/>
      <c r="BW11" s="16"/>
    </row>
    <row r="12" spans="1:75">
      <c r="A12" s="108">
        <v>9</v>
      </c>
      <c r="B12" s="109" t="s">
        <v>355</v>
      </c>
      <c r="C12" s="63">
        <v>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6"/>
      <c r="AZ12" s="6"/>
      <c r="BA12" s="6"/>
      <c r="BB12" s="6"/>
      <c r="BC12" s="6"/>
      <c r="BD12" s="6"/>
      <c r="BE12" s="6"/>
      <c r="BF12" s="6">
        <v>3187200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</row>
    <row r="13" spans="1:75">
      <c r="A13" s="110">
        <v>10</v>
      </c>
      <c r="B13" s="117" t="s">
        <v>356</v>
      </c>
      <c r="C13" s="59">
        <v>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15"/>
      <c r="AR13" s="15"/>
      <c r="AS13" s="15"/>
      <c r="AT13" s="15"/>
      <c r="AU13" s="15"/>
      <c r="AV13" s="15"/>
      <c r="AW13" s="15"/>
      <c r="AX13" s="15"/>
      <c r="AY13" s="16"/>
      <c r="AZ13" s="16"/>
      <c r="BA13" s="16"/>
      <c r="BB13" s="16"/>
      <c r="BC13" s="16"/>
      <c r="BD13" s="16"/>
      <c r="BE13" s="16"/>
      <c r="BF13" s="16">
        <v>3187200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</row>
    <row r="14" spans="1:75">
      <c r="A14" s="110">
        <v>11</v>
      </c>
      <c r="B14" s="111" t="s">
        <v>357</v>
      </c>
      <c r="C14" s="59">
        <v>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4154275</v>
      </c>
      <c r="Q14" s="3">
        <v>111551042</v>
      </c>
      <c r="R14" s="3">
        <v>110233410</v>
      </c>
      <c r="S14" s="3">
        <v>127730395</v>
      </c>
      <c r="T14" s="3">
        <v>186833035</v>
      </c>
      <c r="U14" s="3">
        <v>196635214</v>
      </c>
      <c r="V14" s="3">
        <v>194194095</v>
      </c>
      <c r="W14" s="3">
        <v>278805851</v>
      </c>
      <c r="X14" s="3">
        <v>297860980</v>
      </c>
      <c r="Y14" s="3">
        <v>356552796</v>
      </c>
      <c r="Z14" s="3">
        <v>391895076</v>
      </c>
      <c r="AA14" s="3">
        <v>648279108</v>
      </c>
      <c r="AB14" s="3">
        <v>366527895</v>
      </c>
      <c r="AC14" s="3">
        <v>316438292</v>
      </c>
      <c r="AD14" s="3">
        <v>474659267</v>
      </c>
      <c r="AE14" s="3">
        <v>500360421</v>
      </c>
      <c r="AF14" s="3">
        <v>442222030</v>
      </c>
      <c r="AG14" s="3">
        <v>537898379</v>
      </c>
      <c r="AH14" s="3">
        <v>496904815</v>
      </c>
      <c r="AI14" s="3">
        <v>432396059</v>
      </c>
      <c r="AJ14" s="3">
        <v>375069710</v>
      </c>
      <c r="AK14" s="3">
        <v>355199519</v>
      </c>
      <c r="AL14" s="3">
        <v>319486926</v>
      </c>
      <c r="AM14" s="3">
        <v>441146680</v>
      </c>
      <c r="AN14" s="3">
        <v>80500000</v>
      </c>
      <c r="AO14" s="3">
        <v>92396800</v>
      </c>
      <c r="AP14" s="3">
        <v>121389600</v>
      </c>
      <c r="AQ14" s="15">
        <v>78000000</v>
      </c>
      <c r="AR14" s="15">
        <v>146000000</v>
      </c>
      <c r="AS14" s="15">
        <v>115500000</v>
      </c>
      <c r="AT14" s="15">
        <v>64000000</v>
      </c>
      <c r="AU14" s="15">
        <v>54000000</v>
      </c>
      <c r="AV14" s="15">
        <v>57900000</v>
      </c>
      <c r="AW14" s="15">
        <v>75900000</v>
      </c>
      <c r="AX14" s="15">
        <v>79200000</v>
      </c>
      <c r="AY14" s="15">
        <v>75900000</v>
      </c>
      <c r="AZ14" s="15">
        <v>46200000</v>
      </c>
      <c r="BA14" s="15">
        <v>111100000</v>
      </c>
      <c r="BB14" s="15">
        <v>142500000</v>
      </c>
      <c r="BC14" s="15">
        <v>161600000</v>
      </c>
      <c r="BD14" s="15">
        <v>157100000</v>
      </c>
      <c r="BE14" s="15">
        <v>207400000</v>
      </c>
      <c r="BF14" s="15">
        <v>261000000</v>
      </c>
      <c r="BG14" s="15">
        <v>278300000</v>
      </c>
      <c r="BH14" s="15">
        <v>246900000</v>
      </c>
      <c r="BI14" s="15">
        <v>175300000</v>
      </c>
      <c r="BJ14" s="15">
        <v>144200000</v>
      </c>
      <c r="BK14" s="15">
        <v>193700000</v>
      </c>
      <c r="BL14" s="15">
        <v>195900000</v>
      </c>
      <c r="BM14" s="15">
        <v>121800000</v>
      </c>
      <c r="BN14" s="15">
        <v>271300000</v>
      </c>
      <c r="BO14" s="15">
        <v>195300000</v>
      </c>
      <c r="BP14" s="15">
        <v>262800000</v>
      </c>
      <c r="BQ14" s="15"/>
      <c r="BR14" s="15"/>
      <c r="BS14" s="15"/>
      <c r="BT14" s="15"/>
      <c r="BU14" s="15"/>
      <c r="BV14" s="15"/>
      <c r="BW14" s="15"/>
    </row>
    <row r="15" spans="1:75">
      <c r="A15" s="110">
        <v>12</v>
      </c>
      <c r="B15" s="111" t="s">
        <v>358</v>
      </c>
      <c r="C15" s="59">
        <v>8</v>
      </c>
      <c r="D15" s="3">
        <v>221942434</v>
      </c>
      <c r="E15" s="3">
        <v>160995395</v>
      </c>
      <c r="F15" s="3">
        <v>164451697</v>
      </c>
      <c r="G15" s="3">
        <v>178420921</v>
      </c>
      <c r="H15" s="3">
        <v>170443955</v>
      </c>
      <c r="I15" s="3">
        <v>146772545</v>
      </c>
      <c r="J15" s="3">
        <v>112926597</v>
      </c>
      <c r="K15" s="3">
        <v>92395770</v>
      </c>
      <c r="L15" s="3">
        <v>144942481</v>
      </c>
      <c r="M15" s="3">
        <v>112946309</v>
      </c>
      <c r="N15" s="3">
        <v>203715505</v>
      </c>
      <c r="O15" s="3">
        <v>162583369</v>
      </c>
      <c r="P15" s="3">
        <v>280578279</v>
      </c>
      <c r="Q15" s="3">
        <v>215624058</v>
      </c>
      <c r="R15" s="3">
        <v>219366011</v>
      </c>
      <c r="S15" s="3">
        <v>231890562</v>
      </c>
      <c r="T15" s="3">
        <v>256308230</v>
      </c>
      <c r="U15" s="3">
        <v>263761631</v>
      </c>
      <c r="V15" s="3">
        <v>256193542</v>
      </c>
      <c r="W15" s="3">
        <v>352498211</v>
      </c>
      <c r="X15" s="3">
        <v>279335970</v>
      </c>
      <c r="Y15" s="3">
        <v>316719998</v>
      </c>
      <c r="Z15" s="3">
        <v>313644325</v>
      </c>
      <c r="AA15" s="3">
        <v>314893729</v>
      </c>
      <c r="AB15" s="3">
        <v>171041154</v>
      </c>
      <c r="AC15" s="3">
        <v>106732861</v>
      </c>
      <c r="AD15" s="3">
        <v>216653690</v>
      </c>
      <c r="AE15" s="3">
        <v>175450114</v>
      </c>
      <c r="AF15" s="3">
        <v>150767254</v>
      </c>
      <c r="AG15" s="3">
        <v>113915370</v>
      </c>
      <c r="AH15" s="3">
        <v>131931037</v>
      </c>
      <c r="AI15" s="3">
        <v>141040749</v>
      </c>
      <c r="AJ15" s="3">
        <v>159030184</v>
      </c>
      <c r="AK15" s="3">
        <v>164620496</v>
      </c>
      <c r="AL15" s="3">
        <v>144231512</v>
      </c>
      <c r="AM15" s="3">
        <v>279322748</v>
      </c>
      <c r="AN15" s="3">
        <v>159221608</v>
      </c>
      <c r="AO15" s="3">
        <v>104655178</v>
      </c>
      <c r="AP15" s="3">
        <v>115295655</v>
      </c>
      <c r="AQ15" s="15">
        <v>106050997</v>
      </c>
      <c r="AR15" s="15">
        <v>66870820</v>
      </c>
      <c r="AS15" s="15">
        <v>76195851</v>
      </c>
      <c r="AT15" s="15">
        <v>68152514</v>
      </c>
      <c r="AU15" s="15">
        <v>139408411</v>
      </c>
      <c r="AV15" s="15">
        <v>83156007</v>
      </c>
      <c r="AW15" s="15">
        <v>88772319</v>
      </c>
      <c r="AX15" s="15">
        <v>552891636</v>
      </c>
      <c r="AY15" s="15">
        <v>97079504</v>
      </c>
      <c r="AZ15" s="15">
        <v>147069830</v>
      </c>
      <c r="BA15" s="15">
        <v>115999204</v>
      </c>
      <c r="BB15" s="15">
        <v>120706843</v>
      </c>
      <c r="BC15" s="15">
        <v>155764782</v>
      </c>
      <c r="BD15" s="15">
        <v>142223547</v>
      </c>
      <c r="BE15" s="15">
        <v>131398532</v>
      </c>
      <c r="BF15" s="15">
        <v>129629381</v>
      </c>
      <c r="BG15" s="15">
        <v>133594277</v>
      </c>
      <c r="BH15" s="15">
        <v>218907692</v>
      </c>
      <c r="BI15" s="15">
        <v>204745721</v>
      </c>
      <c r="BJ15" s="15">
        <v>227424354</v>
      </c>
      <c r="BK15" s="15">
        <v>505125793</v>
      </c>
      <c r="BL15" s="15">
        <v>282752757</v>
      </c>
      <c r="BM15" s="15">
        <v>375736155</v>
      </c>
      <c r="BN15" s="15">
        <v>268709308</v>
      </c>
      <c r="BO15" s="15">
        <v>271909211</v>
      </c>
      <c r="BP15" s="15">
        <v>245121655</v>
      </c>
      <c r="BQ15" s="15"/>
      <c r="BR15" s="15"/>
      <c r="BS15" s="15"/>
      <c r="BT15" s="15"/>
      <c r="BU15" s="15"/>
      <c r="BV15" s="15"/>
      <c r="BW15" s="15"/>
    </row>
    <row r="16" spans="1:75">
      <c r="A16" s="108">
        <v>13</v>
      </c>
      <c r="B16" s="109" t="s">
        <v>359</v>
      </c>
      <c r="C16" s="63">
        <v>8</v>
      </c>
      <c r="D16" s="5">
        <v>-221834980</v>
      </c>
      <c r="E16" s="5">
        <v>-160938870</v>
      </c>
      <c r="F16" s="5">
        <v>-164387049</v>
      </c>
      <c r="G16" s="5">
        <v>-165856504</v>
      </c>
      <c r="H16" s="5">
        <v>-170192841</v>
      </c>
      <c r="I16" s="5">
        <v>-146704776</v>
      </c>
      <c r="J16" s="5">
        <v>-112893278</v>
      </c>
      <c r="K16" s="5">
        <v>-92359990</v>
      </c>
      <c r="L16" s="5">
        <v>-144885177</v>
      </c>
      <c r="M16" s="5">
        <v>-111895773</v>
      </c>
      <c r="N16" s="5">
        <v>-166776764</v>
      </c>
      <c r="O16" s="5">
        <v>-156808083</v>
      </c>
      <c r="P16" s="5">
        <v>-346588617</v>
      </c>
      <c r="Q16" s="5">
        <v>-332548680</v>
      </c>
      <c r="R16" s="5">
        <v>-301160879</v>
      </c>
      <c r="S16" s="5">
        <v>-331862281</v>
      </c>
      <c r="T16" s="5">
        <v>-328255843</v>
      </c>
      <c r="U16" s="5">
        <v>-374330903</v>
      </c>
      <c r="V16" s="5">
        <v>-378284669</v>
      </c>
      <c r="W16" s="5">
        <v>-298205950</v>
      </c>
      <c r="X16" s="5">
        <v>-422536009</v>
      </c>
      <c r="Y16" s="5">
        <v>-354469865</v>
      </c>
      <c r="Z16" s="5">
        <v>-467652344</v>
      </c>
      <c r="AA16" s="5">
        <v>-946346094</v>
      </c>
      <c r="AB16" s="5">
        <v>-1051298376</v>
      </c>
      <c r="AC16" s="5">
        <v>-533418086</v>
      </c>
      <c r="AD16" s="5">
        <v>-734458875</v>
      </c>
      <c r="AE16" s="5">
        <v>34062634</v>
      </c>
      <c r="AF16" s="5">
        <v>-464533865</v>
      </c>
      <c r="AG16" s="5">
        <v>-185159806</v>
      </c>
      <c r="AH16" s="5">
        <v>-470228520</v>
      </c>
      <c r="AI16" s="5">
        <v>-309976666</v>
      </c>
      <c r="AJ16" s="5">
        <v>-459963640</v>
      </c>
      <c r="AK16" s="5">
        <v>-105670098</v>
      </c>
      <c r="AL16" s="5">
        <v>-438262026</v>
      </c>
      <c r="AM16" s="5">
        <v>513403969</v>
      </c>
      <c r="AN16" s="5">
        <v>-189720453</v>
      </c>
      <c r="AO16" s="5">
        <v>-170633271</v>
      </c>
      <c r="AP16" s="5">
        <v>50321786</v>
      </c>
      <c r="AQ16" s="5">
        <v>-141428692</v>
      </c>
      <c r="AR16" s="5">
        <v>2058676</v>
      </c>
      <c r="AS16" s="5">
        <v>-195661702</v>
      </c>
      <c r="AT16" s="5">
        <v>-395142169</v>
      </c>
      <c r="AU16" s="5">
        <v>-400967893</v>
      </c>
      <c r="AV16" s="5">
        <v>-307075455</v>
      </c>
      <c r="AW16" s="5">
        <v>-236792330</v>
      </c>
      <c r="AX16" s="5">
        <v>-751309219</v>
      </c>
      <c r="AY16" s="6">
        <v>-276824257</v>
      </c>
      <c r="AZ16" s="6">
        <v>-460706982</v>
      </c>
      <c r="BA16" s="6">
        <v>-49880921</v>
      </c>
      <c r="BB16" s="6">
        <v>66845775</v>
      </c>
      <c r="BC16" s="6">
        <v>290833866</v>
      </c>
      <c r="BD16" s="6">
        <v>-34811546</v>
      </c>
      <c r="BE16" s="6">
        <v>618754242</v>
      </c>
      <c r="BF16" s="6">
        <v>969442887</v>
      </c>
      <c r="BG16" s="6">
        <v>1504531335</v>
      </c>
      <c r="BH16" s="6">
        <v>-44927274</v>
      </c>
      <c r="BI16" s="6">
        <v>203950321</v>
      </c>
      <c r="BJ16" s="6">
        <v>108418363</v>
      </c>
      <c r="BK16" s="6">
        <f>+BK9+BK11-BK12-BK14-BK15</f>
        <v>109957567</v>
      </c>
      <c r="BL16" s="6">
        <v>398888609</v>
      </c>
      <c r="BM16" s="6">
        <f>SUM(BM9:BM11)-BM12-BM14-BM15</f>
        <v>-19101819</v>
      </c>
      <c r="BN16" s="6">
        <f>SUM(BN9:BN11)-BN12-BN14-BN15</f>
        <v>709200599</v>
      </c>
      <c r="BO16" s="6">
        <f>SUM(BO9:BO11)-BO12-BO14-BO15</f>
        <v>497693203</v>
      </c>
      <c r="BP16" s="6">
        <f>SUM(BP9:BP11)-BP12-BP14-BP15</f>
        <v>1130036258</v>
      </c>
      <c r="BQ16" s="6"/>
      <c r="BR16" s="6"/>
      <c r="BS16" s="6"/>
      <c r="BT16" s="6"/>
      <c r="BU16" s="6"/>
      <c r="BV16" s="6"/>
      <c r="BW16" s="6"/>
    </row>
    <row r="17" spans="1:75">
      <c r="A17" s="110">
        <v>14</v>
      </c>
      <c r="B17" s="111" t="s">
        <v>360</v>
      </c>
      <c r="C17" s="59">
        <v>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500</v>
      </c>
      <c r="Q17" s="3">
        <v>500</v>
      </c>
      <c r="R17" s="3"/>
      <c r="S17" s="3">
        <v>8003</v>
      </c>
      <c r="T17" s="3">
        <v>20000</v>
      </c>
      <c r="U17" s="3">
        <v>310</v>
      </c>
      <c r="V17" s="3"/>
      <c r="W17" s="3"/>
      <c r="X17" s="3"/>
      <c r="Y17" s="3"/>
      <c r="Z17" s="3">
        <v>2683400000</v>
      </c>
      <c r="AA17" s="3">
        <v>3497668000</v>
      </c>
      <c r="AB17" s="3">
        <v>9000</v>
      </c>
      <c r="AC17" s="3"/>
      <c r="AD17" s="3"/>
      <c r="AE17" s="3"/>
      <c r="AF17" s="3"/>
      <c r="AG17" s="3"/>
      <c r="AH17" s="3"/>
      <c r="AI17" s="3"/>
      <c r="AJ17" s="3">
        <v>1</v>
      </c>
      <c r="AK17" s="3"/>
      <c r="AL17" s="3"/>
      <c r="AM17" s="3"/>
      <c r="AN17" s="3"/>
      <c r="AO17" s="3"/>
      <c r="AP17" s="3"/>
      <c r="AQ17" s="15">
        <v>81700000</v>
      </c>
      <c r="AR17" s="15"/>
      <c r="AS17" s="15"/>
      <c r="AT17" s="15">
        <v>539351</v>
      </c>
      <c r="AU17" s="15"/>
      <c r="AV17" s="15"/>
      <c r="AW17" s="15"/>
      <c r="AX17" s="15"/>
      <c r="AY17" s="16"/>
      <c r="AZ17" s="16">
        <v>76532366</v>
      </c>
      <c r="BA17" s="16">
        <v>300</v>
      </c>
      <c r="BB17" s="16">
        <v>13680000</v>
      </c>
      <c r="BC17" s="16">
        <v>6000060</v>
      </c>
      <c r="BD17" s="16"/>
      <c r="BE17" s="16"/>
      <c r="BF17" s="16">
        <v>70515</v>
      </c>
      <c r="BG17" s="16"/>
      <c r="BH17" s="16"/>
      <c r="BI17" s="16"/>
      <c r="BJ17" s="16"/>
      <c r="BK17" s="16">
        <v>33444721</v>
      </c>
      <c r="BL17" s="16">
        <v>32987038</v>
      </c>
      <c r="BM17" s="16">
        <v>2504914</v>
      </c>
      <c r="BN17" s="16">
        <v>4888889</v>
      </c>
      <c r="BO17" s="16">
        <v>13183210</v>
      </c>
      <c r="BP17" s="16">
        <v>26861111</v>
      </c>
      <c r="BQ17" s="16"/>
      <c r="BR17" s="16"/>
      <c r="BS17" s="16"/>
      <c r="BT17" s="16"/>
      <c r="BU17" s="16"/>
      <c r="BV17" s="16"/>
      <c r="BW17" s="16"/>
    </row>
    <row r="18" spans="1:75">
      <c r="A18" s="110">
        <v>15</v>
      </c>
      <c r="B18" s="111" t="s">
        <v>361</v>
      </c>
      <c r="C18" s="59">
        <v>8</v>
      </c>
      <c r="D18" s="3"/>
      <c r="E18" s="3">
        <v>2500000</v>
      </c>
      <c r="F18" s="3">
        <v>800000</v>
      </c>
      <c r="G18" s="3"/>
      <c r="H18" s="3"/>
      <c r="I18" s="3"/>
      <c r="J18" s="3"/>
      <c r="K18" s="3"/>
      <c r="L18" s="3"/>
      <c r="M18" s="3"/>
      <c r="N18" s="3"/>
      <c r="O18" s="3">
        <v>382314178</v>
      </c>
      <c r="P18" s="3"/>
      <c r="Q18" s="3"/>
      <c r="R18" s="3"/>
      <c r="S18" s="3"/>
      <c r="T18" s="3">
        <v>46</v>
      </c>
      <c r="U18" s="3"/>
      <c r="V18" s="3"/>
      <c r="W18" s="3"/>
      <c r="X18" s="3"/>
      <c r="Y18" s="3">
        <v>2428</v>
      </c>
      <c r="Z18" s="3">
        <v>3077644948</v>
      </c>
      <c r="AA18" s="3">
        <v>3724188338</v>
      </c>
      <c r="AB18" s="3">
        <v>10</v>
      </c>
      <c r="AC18" s="3"/>
      <c r="AD18" s="3"/>
      <c r="AE18" s="3"/>
      <c r="AF18" s="3">
        <v>90501</v>
      </c>
      <c r="AG18" s="3"/>
      <c r="AH18" s="3"/>
      <c r="AI18" s="3">
        <v>1</v>
      </c>
      <c r="AJ18" s="3">
        <v>1</v>
      </c>
      <c r="AK18" s="3"/>
      <c r="AL18" s="3"/>
      <c r="AM18" s="3"/>
      <c r="AN18" s="3"/>
      <c r="AO18" s="3">
        <v>4500000</v>
      </c>
      <c r="AP18" s="3"/>
      <c r="AQ18" s="15">
        <v>81718690</v>
      </c>
      <c r="AR18" s="15"/>
      <c r="AS18" s="15"/>
      <c r="AT18" s="15"/>
      <c r="AU18" s="15"/>
      <c r="AV18" s="15"/>
      <c r="AW18" s="15"/>
      <c r="AX18" s="15">
        <v>136092961</v>
      </c>
      <c r="AY18" s="16"/>
      <c r="AZ18" s="16">
        <v>36339675</v>
      </c>
      <c r="BA18" s="16"/>
      <c r="BB18" s="16"/>
      <c r="BC18" s="16">
        <v>6000000</v>
      </c>
      <c r="BD18" s="16"/>
      <c r="BE18" s="16"/>
      <c r="BF18" s="16"/>
      <c r="BG18" s="16"/>
      <c r="BH18" s="16"/>
      <c r="BI18" s="16"/>
      <c r="BJ18" s="16"/>
      <c r="BK18" s="16">
        <v>48000</v>
      </c>
      <c r="BL18" s="16">
        <v>0</v>
      </c>
      <c r="BM18" s="16"/>
      <c r="BN18" s="16">
        <v>450</v>
      </c>
      <c r="BO18" s="16">
        <v>22019946</v>
      </c>
      <c r="BP18" s="16"/>
      <c r="BQ18" s="16"/>
      <c r="BR18" s="16"/>
      <c r="BS18" s="16"/>
      <c r="BT18" s="16"/>
      <c r="BU18" s="16"/>
      <c r="BV18" s="16"/>
      <c r="BW18" s="16"/>
    </row>
    <row r="19" spans="1:75">
      <c r="A19" s="108">
        <v>16</v>
      </c>
      <c r="B19" s="109" t="s">
        <v>362</v>
      </c>
      <c r="C19" s="63">
        <v>8</v>
      </c>
      <c r="D19" s="5">
        <v>0</v>
      </c>
      <c r="E19" s="5">
        <v>-2500000</v>
      </c>
      <c r="F19" s="5">
        <v>-800000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-382314178</v>
      </c>
      <c r="P19" s="5">
        <v>500</v>
      </c>
      <c r="Q19" s="5">
        <v>500</v>
      </c>
      <c r="R19" s="5">
        <v>0</v>
      </c>
      <c r="S19" s="5">
        <v>8003</v>
      </c>
      <c r="T19" s="5">
        <v>19954</v>
      </c>
      <c r="U19" s="5">
        <v>310</v>
      </c>
      <c r="V19" s="5">
        <v>0</v>
      </c>
      <c r="W19" s="5">
        <v>0</v>
      </c>
      <c r="X19" s="5">
        <v>0</v>
      </c>
      <c r="Y19" s="5">
        <v>-2428</v>
      </c>
      <c r="Z19" s="5">
        <v>-394244948</v>
      </c>
      <c r="AA19" s="5">
        <v>-226520338</v>
      </c>
      <c r="AB19" s="5">
        <v>8990</v>
      </c>
      <c r="AC19" s="5">
        <v>0</v>
      </c>
      <c r="AD19" s="5">
        <v>0</v>
      </c>
      <c r="AE19" s="5">
        <v>0</v>
      </c>
      <c r="AF19" s="5">
        <v>-90501</v>
      </c>
      <c r="AG19" s="5">
        <v>0</v>
      </c>
      <c r="AH19" s="5">
        <v>0</v>
      </c>
      <c r="AI19" s="5">
        <v>-1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-4500000</v>
      </c>
      <c r="AP19" s="5">
        <v>0</v>
      </c>
      <c r="AQ19" s="5">
        <v>-18690</v>
      </c>
      <c r="AR19" s="5">
        <v>0</v>
      </c>
      <c r="AS19" s="5">
        <v>0</v>
      </c>
      <c r="AT19" s="5">
        <v>539351</v>
      </c>
      <c r="AU19" s="5">
        <v>0</v>
      </c>
      <c r="AV19" s="5">
        <v>0</v>
      </c>
      <c r="AW19" s="5">
        <v>0</v>
      </c>
      <c r="AX19" s="5">
        <v>-136092961</v>
      </c>
      <c r="AY19" s="6">
        <v>0</v>
      </c>
      <c r="AZ19" s="6">
        <v>40192691</v>
      </c>
      <c r="BA19" s="6">
        <v>300</v>
      </c>
      <c r="BB19" s="6">
        <v>13680000</v>
      </c>
      <c r="BC19" s="6">
        <v>60</v>
      </c>
      <c r="BD19" s="6">
        <v>0</v>
      </c>
      <c r="BE19" s="6">
        <v>0</v>
      </c>
      <c r="BF19" s="6">
        <v>70515</v>
      </c>
      <c r="BG19" s="6">
        <v>0</v>
      </c>
      <c r="BH19" s="6">
        <v>0</v>
      </c>
      <c r="BI19" s="6">
        <v>0</v>
      </c>
      <c r="BJ19" s="6">
        <v>0</v>
      </c>
      <c r="BK19" s="6">
        <v>33396721</v>
      </c>
      <c r="BL19" s="6">
        <v>32987038</v>
      </c>
      <c r="BM19" s="6">
        <f>BM17-BM18</f>
        <v>2504914</v>
      </c>
      <c r="BN19" s="6">
        <f>BN17-BN18</f>
        <v>4888439</v>
      </c>
      <c r="BO19" s="6">
        <f>BO17-BO18</f>
        <v>-8836736</v>
      </c>
      <c r="BP19" s="6">
        <f>BP17-BP18</f>
        <v>26861111</v>
      </c>
      <c r="BQ19" s="6"/>
      <c r="BR19" s="6"/>
      <c r="BS19" s="6"/>
      <c r="BT19" s="6"/>
      <c r="BU19" s="6"/>
      <c r="BV19" s="6"/>
      <c r="BW19" s="6"/>
    </row>
    <row r="20" spans="1:75">
      <c r="A20" s="112">
        <v>17</v>
      </c>
      <c r="B20" s="109" t="s">
        <v>363</v>
      </c>
      <c r="C20" s="113">
        <v>8</v>
      </c>
      <c r="D20" s="17">
        <v>-221834980</v>
      </c>
      <c r="E20" s="17">
        <v>-163438870</v>
      </c>
      <c r="F20" s="17">
        <v>-165187049</v>
      </c>
      <c r="G20" s="17">
        <v>-165856504</v>
      </c>
      <c r="H20" s="17">
        <v>-170192841</v>
      </c>
      <c r="I20" s="17">
        <v>-146704776</v>
      </c>
      <c r="J20" s="17">
        <v>-112893278</v>
      </c>
      <c r="K20" s="17">
        <v>-92359990</v>
      </c>
      <c r="L20" s="17">
        <v>-144885177</v>
      </c>
      <c r="M20" s="17">
        <v>-111895773</v>
      </c>
      <c r="N20" s="17">
        <v>-166776764</v>
      </c>
      <c r="O20" s="17">
        <v>-539122261</v>
      </c>
      <c r="P20" s="17">
        <v>-346588117</v>
      </c>
      <c r="Q20" s="17">
        <v>-332548180</v>
      </c>
      <c r="R20" s="17">
        <v>-301160879</v>
      </c>
      <c r="S20" s="17">
        <v>-331854278</v>
      </c>
      <c r="T20" s="17">
        <v>-328235889</v>
      </c>
      <c r="U20" s="17">
        <v>-374330593</v>
      </c>
      <c r="V20" s="17">
        <v>-378284669</v>
      </c>
      <c r="W20" s="17">
        <v>-298205950</v>
      </c>
      <c r="X20" s="17">
        <v>-422536009</v>
      </c>
      <c r="Y20" s="17">
        <v>-354472293</v>
      </c>
      <c r="Z20" s="17">
        <v>-861897292</v>
      </c>
      <c r="AA20" s="17">
        <v>-1172866432</v>
      </c>
      <c r="AB20" s="17">
        <v>-1051289386</v>
      </c>
      <c r="AC20" s="17">
        <v>-533418086</v>
      </c>
      <c r="AD20" s="17">
        <v>-734458875</v>
      </c>
      <c r="AE20" s="17">
        <v>34062634</v>
      </c>
      <c r="AF20" s="17">
        <v>-464624366</v>
      </c>
      <c r="AG20" s="17">
        <v>-185159806</v>
      </c>
      <c r="AH20" s="17">
        <v>-470228520</v>
      </c>
      <c r="AI20" s="17">
        <v>-309976667</v>
      </c>
      <c r="AJ20" s="17">
        <v>-459963640</v>
      </c>
      <c r="AK20" s="17">
        <v>-105670098</v>
      </c>
      <c r="AL20" s="17">
        <v>-438262026</v>
      </c>
      <c r="AM20" s="17">
        <v>513403969</v>
      </c>
      <c r="AN20" s="17">
        <v>-189720453</v>
      </c>
      <c r="AO20" s="17">
        <v>-175133271</v>
      </c>
      <c r="AP20" s="17">
        <v>50321786</v>
      </c>
      <c r="AQ20" s="17">
        <v>-141447382</v>
      </c>
      <c r="AR20" s="17">
        <v>2058676</v>
      </c>
      <c r="AS20" s="17">
        <v>-195661702</v>
      </c>
      <c r="AT20" s="17">
        <v>-394602818</v>
      </c>
      <c r="AU20" s="17">
        <v>-400967893</v>
      </c>
      <c r="AV20" s="17">
        <v>-307075455</v>
      </c>
      <c r="AW20" s="17">
        <v>-236792330</v>
      </c>
      <c r="AX20" s="17">
        <v>-887402180</v>
      </c>
      <c r="AY20" s="18">
        <v>-276824257</v>
      </c>
      <c r="AZ20" s="18">
        <v>-420514291</v>
      </c>
      <c r="BA20" s="18">
        <v>-49880621</v>
      </c>
      <c r="BB20" s="18">
        <v>80525775</v>
      </c>
      <c r="BC20" s="18">
        <v>290833926</v>
      </c>
      <c r="BD20" s="18">
        <v>-34811546</v>
      </c>
      <c r="BE20" s="18">
        <v>618754242</v>
      </c>
      <c r="BF20" s="18">
        <v>969513402</v>
      </c>
      <c r="BG20" s="18">
        <v>1504531335</v>
      </c>
      <c r="BH20" s="18">
        <v>-44927274</v>
      </c>
      <c r="BI20" s="18">
        <v>203950321</v>
      </c>
      <c r="BJ20" s="18">
        <v>108418363</v>
      </c>
      <c r="BK20" s="18">
        <v>143354288</v>
      </c>
      <c r="BL20" s="18">
        <v>431875647</v>
      </c>
      <c r="BM20" s="18">
        <f>BM16+BM19</f>
        <v>-16596905</v>
      </c>
      <c r="BN20" s="18">
        <f>BN16+BN19</f>
        <v>714089038</v>
      </c>
      <c r="BO20" s="18">
        <f>BO16+BO19</f>
        <v>488856467</v>
      </c>
      <c r="BP20" s="18">
        <f>BP16+BP19</f>
        <v>1156897369</v>
      </c>
      <c r="BQ20" s="18"/>
      <c r="BR20" s="18"/>
      <c r="BS20" s="18"/>
      <c r="BT20" s="18"/>
      <c r="BU20" s="18"/>
      <c r="BV20" s="18"/>
      <c r="BW20" s="18"/>
    </row>
    <row r="21" spans="1:75">
      <c r="A21" s="118">
        <v>18</v>
      </c>
      <c r="B21" s="119" t="s">
        <v>364</v>
      </c>
      <c r="C21" s="59">
        <v>8</v>
      </c>
      <c r="D21" s="22">
        <v>0</v>
      </c>
      <c r="E21" s="22">
        <v>0</v>
      </c>
      <c r="F21" s="22"/>
      <c r="G21" s="22"/>
      <c r="H21" s="22"/>
      <c r="I21" s="22"/>
      <c r="J21" s="22"/>
      <c r="K21" s="22">
        <v>0</v>
      </c>
      <c r="L21" s="22"/>
      <c r="M21" s="22"/>
      <c r="N21" s="22"/>
      <c r="O21" s="22"/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/>
      <c r="AB21" s="22">
        <v>0</v>
      </c>
      <c r="AC21" s="22">
        <v>0</v>
      </c>
      <c r="AD21" s="22"/>
      <c r="AE21" s="22"/>
      <c r="AF21" s="22"/>
      <c r="AG21" s="22"/>
      <c r="AH21" s="22"/>
      <c r="AI21" s="22">
        <v>0</v>
      </c>
      <c r="AJ21" s="22"/>
      <c r="AK21" s="22"/>
      <c r="AL21" s="22"/>
      <c r="AM21" s="22"/>
      <c r="AN21" s="3">
        <v>0</v>
      </c>
      <c r="AO21" s="22">
        <v>0</v>
      </c>
      <c r="AP21" s="22"/>
      <c r="AQ21" s="22"/>
      <c r="AR21" s="22"/>
      <c r="AS21" s="22"/>
      <c r="AT21" s="22"/>
      <c r="AU21" s="22">
        <v>0</v>
      </c>
      <c r="AV21" s="22"/>
      <c r="AW21" s="22"/>
      <c r="AX21" s="22"/>
      <c r="AY21" s="23"/>
      <c r="AZ21" s="23">
        <v>0</v>
      </c>
      <c r="BA21" s="23">
        <v>0</v>
      </c>
      <c r="BB21" s="23"/>
      <c r="BC21" s="23"/>
      <c r="BD21" s="23"/>
      <c r="BE21" s="23"/>
      <c r="BF21" s="23"/>
      <c r="BG21" s="23">
        <v>0</v>
      </c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</row>
    <row r="22" spans="1:75">
      <c r="A22" s="120">
        <v>19</v>
      </c>
      <c r="B22" s="111" t="s">
        <v>365</v>
      </c>
      <c r="C22" s="59">
        <v>8</v>
      </c>
      <c r="D22" s="15">
        <v>0</v>
      </c>
      <c r="E22" s="15">
        <v>0</v>
      </c>
      <c r="F22" s="15"/>
      <c r="G22" s="15"/>
      <c r="H22" s="15"/>
      <c r="I22" s="15"/>
      <c r="J22" s="15"/>
      <c r="K22" s="15">
        <v>0</v>
      </c>
      <c r="L22" s="15"/>
      <c r="M22" s="15"/>
      <c r="N22" s="15"/>
      <c r="O22" s="15"/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/>
      <c r="AE22" s="15"/>
      <c r="AF22" s="15"/>
      <c r="AG22" s="15"/>
      <c r="AH22" s="15"/>
      <c r="AI22" s="15">
        <v>0</v>
      </c>
      <c r="AJ22" s="15"/>
      <c r="AK22" s="15"/>
      <c r="AL22" s="15"/>
      <c r="AM22" s="15"/>
      <c r="AN22" s="3">
        <v>0</v>
      </c>
      <c r="AO22" s="15">
        <v>0</v>
      </c>
      <c r="AP22" s="15"/>
      <c r="AQ22" s="15"/>
      <c r="AR22" s="15"/>
      <c r="AS22" s="15"/>
      <c r="AT22" s="15"/>
      <c r="AU22" s="15">
        <v>0</v>
      </c>
      <c r="AV22" s="15"/>
      <c r="AW22" s="15"/>
      <c r="AX22" s="15"/>
      <c r="AY22" s="16"/>
      <c r="AZ22" s="16">
        <v>0</v>
      </c>
      <c r="BA22" s="16">
        <v>0</v>
      </c>
      <c r="BB22" s="16"/>
      <c r="BC22" s="16"/>
      <c r="BD22" s="16"/>
      <c r="BE22" s="16"/>
      <c r="BF22" s="16"/>
      <c r="BG22" s="16">
        <v>0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</row>
    <row r="23" spans="1:75">
      <c r="A23" s="115">
        <v>20</v>
      </c>
      <c r="B23" s="109" t="s">
        <v>366</v>
      </c>
      <c r="C23" s="116">
        <v>8</v>
      </c>
      <c r="D23" s="21">
        <v>-221834980</v>
      </c>
      <c r="E23" s="21">
        <v>-163438870</v>
      </c>
      <c r="F23" s="21">
        <v>-165187049</v>
      </c>
      <c r="G23" s="21">
        <v>-165856504</v>
      </c>
      <c r="H23" s="21">
        <v>-170192841</v>
      </c>
      <c r="I23" s="21">
        <v>-146704776</v>
      </c>
      <c r="J23" s="21">
        <v>-112893278</v>
      </c>
      <c r="K23" s="21">
        <v>-92359990</v>
      </c>
      <c r="L23" s="21">
        <v>-144885177</v>
      </c>
      <c r="M23" s="21">
        <v>-111895773</v>
      </c>
      <c r="N23" s="21">
        <v>-166776764</v>
      </c>
      <c r="O23" s="21">
        <v>-539122261</v>
      </c>
      <c r="P23" s="21">
        <v>-346588117</v>
      </c>
      <c r="Q23" s="21">
        <v>-332548180</v>
      </c>
      <c r="R23" s="21">
        <v>-301160879</v>
      </c>
      <c r="S23" s="21">
        <v>-331854278</v>
      </c>
      <c r="T23" s="21">
        <v>-328235889</v>
      </c>
      <c r="U23" s="21">
        <v>-374330593</v>
      </c>
      <c r="V23" s="21">
        <v>-378284669</v>
      </c>
      <c r="W23" s="21">
        <v>-298205950</v>
      </c>
      <c r="X23" s="21">
        <v>-422536009</v>
      </c>
      <c r="Y23" s="21">
        <v>-354472293</v>
      </c>
      <c r="Z23" s="21">
        <v>-861897292</v>
      </c>
      <c r="AA23" s="21">
        <v>-1172866432</v>
      </c>
      <c r="AB23" s="21">
        <v>-1051289386</v>
      </c>
      <c r="AC23" s="21">
        <v>-533418086</v>
      </c>
      <c r="AD23" s="21">
        <v>-734458875</v>
      </c>
      <c r="AE23" s="21">
        <v>34062634</v>
      </c>
      <c r="AF23" s="21">
        <v>-464624366</v>
      </c>
      <c r="AG23" s="21">
        <v>-185159806</v>
      </c>
      <c r="AH23" s="21">
        <v>-470228520</v>
      </c>
      <c r="AI23" s="21">
        <v>-309976667</v>
      </c>
      <c r="AJ23" s="21">
        <v>-459963640</v>
      </c>
      <c r="AK23" s="21">
        <v>-105670098</v>
      </c>
      <c r="AL23" s="21">
        <v>-438262026</v>
      </c>
      <c r="AM23" s="21">
        <v>513403969</v>
      </c>
      <c r="AN23" s="21">
        <v>-189720453</v>
      </c>
      <c r="AO23" s="21">
        <v>-175133271</v>
      </c>
      <c r="AP23" s="21">
        <v>50321786</v>
      </c>
      <c r="AQ23" s="21">
        <v>-141447382</v>
      </c>
      <c r="AR23" s="21">
        <v>2058676</v>
      </c>
      <c r="AS23" s="21">
        <v>-195661702</v>
      </c>
      <c r="AT23" s="21">
        <v>-394602818</v>
      </c>
      <c r="AU23" s="21">
        <v>-400967893</v>
      </c>
      <c r="AV23" s="21">
        <v>-307075455</v>
      </c>
      <c r="AW23" s="21">
        <v>-236792330</v>
      </c>
      <c r="AX23" s="21">
        <v>-887402180</v>
      </c>
      <c r="AY23" s="21">
        <v>-276824257</v>
      </c>
      <c r="AZ23" s="21">
        <v>-420514291</v>
      </c>
      <c r="BA23" s="21">
        <v>-49880621</v>
      </c>
      <c r="BB23" s="21">
        <v>80525775</v>
      </c>
      <c r="BC23" s="21">
        <v>290833926</v>
      </c>
      <c r="BD23" s="21">
        <v>-34811546</v>
      </c>
      <c r="BE23" s="21">
        <v>618754242</v>
      </c>
      <c r="BF23" s="21">
        <v>969513402</v>
      </c>
      <c r="BG23" s="21">
        <v>1504531335</v>
      </c>
      <c r="BH23" s="21">
        <v>-44927274</v>
      </c>
      <c r="BI23" s="21">
        <v>203950321</v>
      </c>
      <c r="BJ23" s="21">
        <v>108418363</v>
      </c>
      <c r="BK23" s="21">
        <v>143354288</v>
      </c>
      <c r="BL23" s="21">
        <v>431875647</v>
      </c>
      <c r="BM23" s="21">
        <f>SUM(BM20:BM22)</f>
        <v>-16596905</v>
      </c>
      <c r="BN23" s="21">
        <f>SUM(BN20:BN22)</f>
        <v>714089038</v>
      </c>
      <c r="BO23" s="21">
        <f>SUM(BO20:BO22)</f>
        <v>488856467</v>
      </c>
      <c r="BP23" s="21">
        <f>SUM(BP20:BP22)</f>
        <v>1156897369</v>
      </c>
      <c r="BQ23" s="21"/>
      <c r="BR23" s="21"/>
      <c r="BS23" s="21"/>
      <c r="BT23" s="21"/>
      <c r="BU23" s="21"/>
      <c r="BV23" s="21"/>
      <c r="BW23" s="21"/>
    </row>
  </sheetData>
  <sheetProtection algorithmName="SHA-512" hashValue="ToEnsBIjYNnHmgVt9wIIMEkzY7bZbdsWAzpPdrODKLZCQAO5pgovm92bWvVS1XGvZx+n7Qr+IuOVnZ5acBrjRQ==" saltValue="yohJGDWgYs1wM2ut/SCFMQ==" spinCount="100000" sheet="1" objects="1" scenarios="1"/>
  <protectedRanges>
    <protectedRange sqref="D4:BW23" name="PL"/>
  </protectedRange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29C7-08A8-4652-83B5-F732547025A0}">
  <sheetPr>
    <tabColor theme="9" tint="0.59999389629810485"/>
  </sheetPr>
  <dimension ref="A1:BW44"/>
  <sheetViews>
    <sheetView showGridLines="0" zoomScale="80" zoomScaleNormal="80" workbookViewId="0">
      <pane xSplit="3" ySplit="3" topLeftCell="BL25" activePane="bottomRight" state="frozen"/>
      <selection pane="topRight" activeCell="AZ4" sqref="AZ4"/>
      <selection pane="bottomLeft" activeCell="AZ4" sqref="AZ4"/>
      <selection pane="bottomRight" activeCell="BQ49" sqref="BQ49"/>
    </sheetView>
  </sheetViews>
  <sheetFormatPr defaultRowHeight="14.5"/>
  <cols>
    <col min="1" max="1" width="8" hidden="1" customWidth="1"/>
    <col min="2" max="2" width="61.6328125" customWidth="1"/>
    <col min="3" max="3" width="15" hidden="1" customWidth="1"/>
    <col min="4" max="5" width="15.90625" customWidth="1"/>
    <col min="6" max="7" width="17.6328125" customWidth="1"/>
    <col min="8" max="8" width="17" customWidth="1"/>
    <col min="9" max="9" width="17.6328125" customWidth="1"/>
    <col min="10" max="10" width="14.54296875" customWidth="1"/>
    <col min="11" max="11" width="15.08984375" customWidth="1"/>
    <col min="12" max="13" width="15.90625" customWidth="1"/>
    <col min="14" max="14" width="17.6328125" customWidth="1"/>
    <col min="15" max="15" width="15.08984375" customWidth="1"/>
    <col min="16" max="16" width="17.6328125" customWidth="1"/>
    <col min="17" max="17" width="15.90625" customWidth="1"/>
    <col min="18" max="18" width="17.6328125" customWidth="1"/>
    <col min="19" max="19" width="19.08984375" customWidth="1"/>
    <col min="20" max="23" width="17.6328125" customWidth="1"/>
    <col min="24" max="24" width="15.90625" customWidth="1"/>
    <col min="25" max="26" width="17.6328125" customWidth="1"/>
    <col min="27" max="27" width="17" customWidth="1"/>
    <col min="28" max="28" width="17.6328125" customWidth="1"/>
    <col min="29" max="29" width="15.90625" customWidth="1"/>
    <col min="30" max="30" width="17.6328125" customWidth="1"/>
    <col min="31" max="31" width="15.90625" customWidth="1"/>
    <col min="32" max="32" width="17.6328125" customWidth="1"/>
    <col min="33" max="33" width="17" customWidth="1"/>
    <col min="34" max="34" width="17.6328125" customWidth="1"/>
    <col min="35" max="35" width="17" customWidth="1"/>
    <col min="36" max="37" width="17.6328125" customWidth="1"/>
    <col min="38" max="38" width="15.90625" customWidth="1"/>
    <col min="39" max="41" width="17.6328125" customWidth="1"/>
    <col min="42" max="43" width="16.90625" customWidth="1"/>
    <col min="44" max="44" width="17.6328125" customWidth="1"/>
    <col min="45" max="47" width="16.90625" customWidth="1"/>
    <col min="48" max="48" width="17.6328125" customWidth="1"/>
    <col min="49" max="51" width="16.90625" customWidth="1"/>
    <col min="52" max="52" width="16.90625" bestFit="1" customWidth="1"/>
    <col min="53" max="55" width="15.90625" bestFit="1" customWidth="1"/>
    <col min="56" max="56" width="17.6328125" bestFit="1" customWidth="1"/>
    <col min="57" max="57" width="15.90625" bestFit="1" customWidth="1"/>
    <col min="58" max="58" width="17.6328125" bestFit="1" customWidth="1"/>
    <col min="59" max="60" width="17" bestFit="1" customWidth="1"/>
    <col min="61" max="75" width="17.6328125" bestFit="1" customWidth="1"/>
  </cols>
  <sheetData>
    <row r="1" spans="1:75" ht="17.5">
      <c r="B1" s="43" t="s">
        <v>0</v>
      </c>
    </row>
    <row r="2" spans="1:75">
      <c r="B2" s="47" t="s">
        <v>237</v>
      </c>
    </row>
    <row r="3" spans="1:75" ht="28">
      <c r="A3" s="125" t="s">
        <v>367</v>
      </c>
      <c r="B3" s="52" t="s">
        <v>368</v>
      </c>
      <c r="C3" s="53" t="s">
        <v>240</v>
      </c>
      <c r="D3" s="51" t="s">
        <v>241</v>
      </c>
      <c r="E3" s="51" t="s">
        <v>242</v>
      </c>
      <c r="F3" s="51" t="s">
        <v>243</v>
      </c>
      <c r="G3" s="51" t="s">
        <v>244</v>
      </c>
      <c r="H3" s="51" t="s">
        <v>245</v>
      </c>
      <c r="I3" s="51" t="s">
        <v>246</v>
      </c>
      <c r="J3" s="51" t="s">
        <v>247</v>
      </c>
      <c r="K3" s="51" t="s">
        <v>248</v>
      </c>
      <c r="L3" s="51" t="s">
        <v>249</v>
      </c>
      <c r="M3" s="51" t="s">
        <v>250</v>
      </c>
      <c r="N3" s="51" t="s">
        <v>251</v>
      </c>
      <c r="O3" s="51" t="s">
        <v>252</v>
      </c>
      <c r="P3" s="51" t="s">
        <v>253</v>
      </c>
      <c r="Q3" s="51" t="s">
        <v>254</v>
      </c>
      <c r="R3" s="51" t="s">
        <v>255</v>
      </c>
      <c r="S3" s="51" t="s">
        <v>256</v>
      </c>
      <c r="T3" s="51" t="s">
        <v>257</v>
      </c>
      <c r="U3" s="51" t="s">
        <v>258</v>
      </c>
      <c r="V3" s="51" t="s">
        <v>259</v>
      </c>
      <c r="W3" s="51" t="s">
        <v>260</v>
      </c>
      <c r="X3" s="51" t="s">
        <v>261</v>
      </c>
      <c r="Y3" s="51" t="s">
        <v>262</v>
      </c>
      <c r="Z3" s="51" t="s">
        <v>263</v>
      </c>
      <c r="AA3" s="51" t="s">
        <v>264</v>
      </c>
      <c r="AB3" s="51" t="s">
        <v>265</v>
      </c>
      <c r="AC3" s="51" t="s">
        <v>266</v>
      </c>
      <c r="AD3" s="51" t="s">
        <v>267</v>
      </c>
      <c r="AE3" s="51" t="s">
        <v>268</v>
      </c>
      <c r="AF3" s="51" t="s">
        <v>269</v>
      </c>
      <c r="AG3" s="51" t="s">
        <v>270</v>
      </c>
      <c r="AH3" s="51" t="s">
        <v>271</v>
      </c>
      <c r="AI3" s="51" t="s">
        <v>272</v>
      </c>
      <c r="AJ3" s="51" t="s">
        <v>273</v>
      </c>
      <c r="AK3" s="51" t="s">
        <v>274</v>
      </c>
      <c r="AL3" s="51" t="s">
        <v>275</v>
      </c>
      <c r="AM3" s="51" t="s">
        <v>276</v>
      </c>
      <c r="AN3" s="53" t="s">
        <v>277</v>
      </c>
      <c r="AO3" s="51" t="s">
        <v>278</v>
      </c>
      <c r="AP3" s="51" t="s">
        <v>279</v>
      </c>
      <c r="AQ3" s="53" t="s">
        <v>280</v>
      </c>
      <c r="AR3" s="53" t="s">
        <v>281</v>
      </c>
      <c r="AS3" s="53" t="s">
        <v>282</v>
      </c>
      <c r="AT3" s="53" t="s">
        <v>283</v>
      </c>
      <c r="AU3" s="51" t="s">
        <v>284</v>
      </c>
      <c r="AV3" s="51" t="s">
        <v>285</v>
      </c>
      <c r="AW3" s="51" t="s">
        <v>286</v>
      </c>
      <c r="AX3" s="51" t="s">
        <v>287</v>
      </c>
      <c r="AY3" s="53" t="s">
        <v>288</v>
      </c>
      <c r="AZ3" s="53" t="s">
        <v>289</v>
      </c>
      <c r="BA3" s="51" t="s">
        <v>290</v>
      </c>
      <c r="BB3" s="51" t="s">
        <v>291</v>
      </c>
      <c r="BC3" s="53" t="s">
        <v>292</v>
      </c>
      <c r="BD3" s="53" t="s">
        <v>293</v>
      </c>
      <c r="BE3" s="53" t="s">
        <v>294</v>
      </c>
      <c r="BF3" s="53" t="s">
        <v>295</v>
      </c>
      <c r="BG3" s="51" t="s">
        <v>296</v>
      </c>
      <c r="BH3" s="51" t="s">
        <v>297</v>
      </c>
      <c r="BI3" s="51" t="s">
        <v>298</v>
      </c>
      <c r="BJ3" s="51" t="s">
        <v>299</v>
      </c>
      <c r="BK3" s="51" t="s">
        <v>300</v>
      </c>
      <c r="BL3" s="51" t="s">
        <v>301</v>
      </c>
      <c r="BM3" s="51" t="s">
        <v>302</v>
      </c>
      <c r="BN3" s="51" t="s">
        <v>303</v>
      </c>
      <c r="BO3" s="51" t="s">
        <v>304</v>
      </c>
      <c r="BP3" s="51" t="s">
        <v>305</v>
      </c>
      <c r="BQ3" s="51" t="s">
        <v>306</v>
      </c>
      <c r="BR3" s="51" t="s">
        <v>307</v>
      </c>
      <c r="BS3" s="51" t="s">
        <v>308</v>
      </c>
      <c r="BT3" s="51" t="s">
        <v>309</v>
      </c>
      <c r="BU3" s="51" t="s">
        <v>310</v>
      </c>
      <c r="BV3" s="51" t="s">
        <v>311</v>
      </c>
      <c r="BW3" s="51" t="s">
        <v>312</v>
      </c>
    </row>
    <row r="4" spans="1:75">
      <c r="A4" s="126">
        <v>1</v>
      </c>
      <c r="B4" s="127" t="s">
        <v>196</v>
      </c>
      <c r="C4" s="128">
        <v>8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4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4"/>
      <c r="AZ4" s="164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</row>
    <row r="5" spans="1:75">
      <c r="A5" s="126">
        <v>2</v>
      </c>
      <c r="B5" s="127" t="s">
        <v>369</v>
      </c>
      <c r="C5" s="108">
        <v>8</v>
      </c>
      <c r="D5" s="24">
        <v>-221834980</v>
      </c>
      <c r="E5" s="24">
        <v>-163438870</v>
      </c>
      <c r="F5" s="24">
        <v>-165187049</v>
      </c>
      <c r="G5" s="24">
        <v>-165856504</v>
      </c>
      <c r="H5" s="24">
        <v>-170192841</v>
      </c>
      <c r="I5" s="24">
        <v>-146704776</v>
      </c>
      <c r="J5" s="24">
        <v>-112893278</v>
      </c>
      <c r="K5" s="24">
        <v>-92359990</v>
      </c>
      <c r="L5" s="24">
        <v>-144885177</v>
      </c>
      <c r="M5" s="24">
        <v>-111895773</v>
      </c>
      <c r="N5" s="24">
        <v>-166776764</v>
      </c>
      <c r="O5" s="24">
        <v>-539122261</v>
      </c>
      <c r="P5" s="24">
        <v>-346588117</v>
      </c>
      <c r="Q5" s="24">
        <v>-332548180</v>
      </c>
      <c r="R5" s="24">
        <v>-301160879</v>
      </c>
      <c r="S5" s="24">
        <v>-331854278</v>
      </c>
      <c r="T5" s="24">
        <v>-328235889</v>
      </c>
      <c r="U5" s="24">
        <v>-374330593</v>
      </c>
      <c r="V5" s="24">
        <v>-378284669</v>
      </c>
      <c r="W5" s="24">
        <v>-298205950</v>
      </c>
      <c r="X5" s="24">
        <v>-422536009</v>
      </c>
      <c r="Y5" s="24">
        <v>-354472293</v>
      </c>
      <c r="Z5" s="24">
        <v>-861897292</v>
      </c>
      <c r="AA5" s="24">
        <v>-1172866432</v>
      </c>
      <c r="AB5" s="24">
        <v>-1051289386</v>
      </c>
      <c r="AC5" s="24">
        <v>-533418086</v>
      </c>
      <c r="AD5" s="24">
        <v>-734458875</v>
      </c>
      <c r="AE5" s="24">
        <v>34062634</v>
      </c>
      <c r="AF5" s="24">
        <v>-464624366</v>
      </c>
      <c r="AG5" s="24">
        <v>-185159806</v>
      </c>
      <c r="AH5" s="24">
        <v>-470228520</v>
      </c>
      <c r="AI5" s="24">
        <v>-309976667</v>
      </c>
      <c r="AJ5" s="24">
        <v>-459963640</v>
      </c>
      <c r="AK5" s="24">
        <v>-105670098</v>
      </c>
      <c r="AL5" s="24">
        <v>-438262026</v>
      </c>
      <c r="AM5" s="24">
        <v>513403969</v>
      </c>
      <c r="AN5" s="24">
        <v>-189720453</v>
      </c>
      <c r="AO5" s="24">
        <v>-175133271</v>
      </c>
      <c r="AP5" s="24">
        <v>50321786</v>
      </c>
      <c r="AQ5" s="24">
        <v>-141447382</v>
      </c>
      <c r="AR5" s="24">
        <v>2058676</v>
      </c>
      <c r="AS5" s="24">
        <v>-195661702</v>
      </c>
      <c r="AT5" s="24">
        <v>-394602818</v>
      </c>
      <c r="AU5" s="24">
        <v>-400967893</v>
      </c>
      <c r="AV5" s="24">
        <v>-307075455</v>
      </c>
      <c r="AW5" s="24">
        <v>-236792330</v>
      </c>
      <c r="AX5" s="24">
        <v>-887402180</v>
      </c>
      <c r="AY5" s="25">
        <v>-276824257</v>
      </c>
      <c r="AZ5" s="25">
        <v>-420514291</v>
      </c>
      <c r="BA5" s="25">
        <v>-49880621</v>
      </c>
      <c r="BB5" s="25">
        <v>80525775</v>
      </c>
      <c r="BC5" s="25">
        <v>290833926</v>
      </c>
      <c r="BD5" s="25">
        <v>-34811546</v>
      </c>
      <c r="BE5" s="25">
        <v>618754242</v>
      </c>
      <c r="BF5" s="25">
        <v>969513402</v>
      </c>
      <c r="BG5" s="25">
        <v>1504531335</v>
      </c>
      <c r="BH5" s="25">
        <v>-44927274</v>
      </c>
      <c r="BI5" s="25">
        <v>203950321</v>
      </c>
      <c r="BJ5" s="25">
        <v>108418363</v>
      </c>
      <c r="BK5" s="25">
        <v>143354288</v>
      </c>
      <c r="BL5" s="25">
        <v>431875647</v>
      </c>
      <c r="BM5" s="25">
        <v>-16596905</v>
      </c>
      <c r="BN5" s="25">
        <v>714089038</v>
      </c>
      <c r="BO5" s="25">
        <f>'Ket qua kinh doanh'!BO23</f>
        <v>488856467</v>
      </c>
      <c r="BP5" s="25">
        <f>'Ket qua kinh doanh'!BP23</f>
        <v>1156897369</v>
      </c>
      <c r="BQ5" s="25"/>
      <c r="BR5" s="25"/>
      <c r="BS5" s="25"/>
      <c r="BT5" s="25"/>
      <c r="BU5" s="25"/>
      <c r="BV5" s="25"/>
      <c r="BW5" s="25"/>
    </row>
    <row r="6" spans="1:75">
      <c r="A6" s="129">
        <v>3</v>
      </c>
      <c r="B6" s="130" t="s">
        <v>370</v>
      </c>
      <c r="C6" s="131">
        <v>8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75">
      <c r="A7" s="132">
        <v>4</v>
      </c>
      <c r="B7" s="133" t="s">
        <v>371</v>
      </c>
      <c r="C7" s="134">
        <v>8</v>
      </c>
      <c r="D7" s="165">
        <v>35171389</v>
      </c>
      <c r="E7" s="165">
        <v>36681672</v>
      </c>
      <c r="F7" s="165">
        <v>40385973</v>
      </c>
      <c r="G7" s="165">
        <v>41098339</v>
      </c>
      <c r="H7" s="165">
        <v>41098339</v>
      </c>
      <c r="I7" s="165">
        <v>41098339</v>
      </c>
      <c r="J7" s="165">
        <v>41098339</v>
      </c>
      <c r="K7" s="165">
        <v>41098339</v>
      </c>
      <c r="L7" s="165">
        <v>41098339</v>
      </c>
      <c r="M7" s="165">
        <v>41098339</v>
      </c>
      <c r="N7" s="165">
        <v>41098339</v>
      </c>
      <c r="O7" s="165">
        <v>42755517</v>
      </c>
      <c r="P7" s="165">
        <v>106675273</v>
      </c>
      <c r="Q7" s="165">
        <v>135456671</v>
      </c>
      <c r="R7" s="165">
        <v>138790346</v>
      </c>
      <c r="S7" s="165">
        <v>139284224</v>
      </c>
      <c r="T7" s="165">
        <v>154257739</v>
      </c>
      <c r="U7" s="165">
        <v>164465456</v>
      </c>
      <c r="V7" s="165">
        <v>164465456</v>
      </c>
      <c r="W7" s="165">
        <v>203539436</v>
      </c>
      <c r="X7" s="165">
        <v>227568099</v>
      </c>
      <c r="Y7" s="165">
        <v>227839960</v>
      </c>
      <c r="Z7" s="165">
        <v>230272829</v>
      </c>
      <c r="AA7" s="165">
        <v>242838274</v>
      </c>
      <c r="AB7" s="165">
        <v>255999227</v>
      </c>
      <c r="AC7" s="165">
        <v>253950587</v>
      </c>
      <c r="AD7" s="165">
        <v>256146831</v>
      </c>
      <c r="AE7" s="165">
        <v>259372187</v>
      </c>
      <c r="AF7" s="165">
        <v>287962285</v>
      </c>
      <c r="AG7" s="165">
        <v>307245964</v>
      </c>
      <c r="AH7" s="165">
        <v>320855815</v>
      </c>
      <c r="AI7" s="165">
        <v>334660835</v>
      </c>
      <c r="AJ7" s="165">
        <v>342132975</v>
      </c>
      <c r="AK7" s="165">
        <v>342338073</v>
      </c>
      <c r="AL7" s="165">
        <v>340575724</v>
      </c>
      <c r="AM7" s="165">
        <v>345675257</v>
      </c>
      <c r="AN7" s="165">
        <v>331249956</v>
      </c>
      <c r="AO7" s="165">
        <v>331249956</v>
      </c>
      <c r="AP7" s="165">
        <v>332083289</v>
      </c>
      <c r="AQ7" s="165">
        <v>336375102</v>
      </c>
      <c r="AR7" s="165">
        <v>350875102</v>
      </c>
      <c r="AS7" s="166">
        <v>328075101</v>
      </c>
      <c r="AT7" s="166">
        <v>332253010</v>
      </c>
      <c r="AU7" s="166">
        <v>332540768</v>
      </c>
      <c r="AV7" s="166">
        <v>328308488</v>
      </c>
      <c r="AW7" s="166">
        <v>324936189</v>
      </c>
      <c r="AX7" s="166">
        <v>324936189</v>
      </c>
      <c r="AY7" s="166">
        <v>324936189</v>
      </c>
      <c r="AZ7" s="166">
        <v>324936189</v>
      </c>
      <c r="BA7" s="166">
        <v>324936189</v>
      </c>
      <c r="BB7" s="166">
        <v>329551584</v>
      </c>
      <c r="BC7" s="166">
        <v>329551584</v>
      </c>
      <c r="BD7" s="166">
        <v>329551584</v>
      </c>
      <c r="BE7" s="166">
        <v>335010843</v>
      </c>
      <c r="BF7" s="166">
        <v>336996028</v>
      </c>
      <c r="BG7" s="166">
        <v>340112546</v>
      </c>
      <c r="BH7" s="166">
        <v>342133709</v>
      </c>
      <c r="BI7" s="166">
        <v>342133709</v>
      </c>
      <c r="BJ7" s="166">
        <v>347910129</v>
      </c>
      <c r="BK7" s="166">
        <v>355474699</v>
      </c>
      <c r="BL7" s="166">
        <v>199573727</v>
      </c>
      <c r="BM7" s="166">
        <v>204598038</v>
      </c>
      <c r="BN7" s="166">
        <v>202512629</v>
      </c>
      <c r="BO7" s="166">
        <v>202790395</v>
      </c>
      <c r="BP7" s="166">
        <v>200168654</v>
      </c>
      <c r="BQ7" s="166"/>
      <c r="BR7" s="166"/>
      <c r="BS7" s="166"/>
      <c r="BT7" s="166"/>
      <c r="BU7" s="166"/>
      <c r="BV7" s="166"/>
      <c r="BW7" s="166"/>
    </row>
    <row r="8" spans="1:75">
      <c r="A8" s="132">
        <v>5</v>
      </c>
      <c r="B8" s="133" t="s">
        <v>372</v>
      </c>
      <c r="C8" s="134">
        <v>8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>
        <v>120525864</v>
      </c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>
      <c r="A9" s="135">
        <v>6</v>
      </c>
      <c r="B9" s="136" t="s">
        <v>373</v>
      </c>
      <c r="C9" s="137">
        <v>8</v>
      </c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</row>
    <row r="10" spans="1:75">
      <c r="A10" s="132">
        <v>7</v>
      </c>
      <c r="B10" s="133" t="s">
        <v>374</v>
      </c>
      <c r="C10" s="134">
        <v>8</v>
      </c>
      <c r="D10" s="165">
        <v>-107454</v>
      </c>
      <c r="E10" s="165">
        <v>-56525</v>
      </c>
      <c r="F10" s="165">
        <v>-64648</v>
      </c>
      <c r="G10" s="165">
        <v>-175348</v>
      </c>
      <c r="H10" s="165">
        <v>-109741</v>
      </c>
      <c r="I10" s="165">
        <v>-71964</v>
      </c>
      <c r="J10" s="165">
        <v>-33319</v>
      </c>
      <c r="K10" s="165">
        <v>-35780</v>
      </c>
      <c r="L10" s="165">
        <v>-57304</v>
      </c>
      <c r="M10" s="165">
        <v>-40536</v>
      </c>
      <c r="N10" s="165">
        <v>-27652</v>
      </c>
      <c r="O10" s="165">
        <v>-30221</v>
      </c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>
        <v>-3773270</v>
      </c>
      <c r="AC10" s="165">
        <v>-3236864</v>
      </c>
      <c r="AD10" s="165">
        <v>-2346303</v>
      </c>
      <c r="AE10" s="165">
        <v>-1424265</v>
      </c>
      <c r="AF10" s="165">
        <v>-777811</v>
      </c>
      <c r="AG10" s="165">
        <v>-307201</v>
      </c>
      <c r="AH10" s="165">
        <v>-328719</v>
      </c>
      <c r="AI10" s="165">
        <v>-368024</v>
      </c>
      <c r="AJ10" s="165">
        <v>-352533</v>
      </c>
      <c r="AK10" s="165">
        <v>-313627</v>
      </c>
      <c r="AL10" s="165">
        <v>-161478</v>
      </c>
      <c r="AM10" s="165">
        <v>-13833550</v>
      </c>
      <c r="AN10" s="165">
        <v>-9382459</v>
      </c>
      <c r="AO10" s="165">
        <v>-10579719</v>
      </c>
      <c r="AP10" s="165">
        <v>-9899400</v>
      </c>
      <c r="AQ10" s="165">
        <v>-10580906</v>
      </c>
      <c r="AR10" s="165">
        <v>-10872809</v>
      </c>
      <c r="AS10" s="165">
        <v>-12253869</v>
      </c>
      <c r="AT10" s="166">
        <v>-32961164</v>
      </c>
      <c r="AU10" s="166">
        <v>-10484107</v>
      </c>
      <c r="AV10" s="166">
        <v>-10990062</v>
      </c>
      <c r="AW10" s="165">
        <v>-51973968</v>
      </c>
      <c r="AX10" s="165">
        <v>-11239032</v>
      </c>
      <c r="AY10" s="165">
        <v>-10871181</v>
      </c>
      <c r="AZ10" s="165">
        <v>-56610291</v>
      </c>
      <c r="BA10" s="165">
        <v>-11478700</v>
      </c>
      <c r="BB10" s="165">
        <v>-10596772</v>
      </c>
      <c r="BC10" s="165">
        <v>-57102611</v>
      </c>
      <c r="BD10" s="165">
        <v>-11106781</v>
      </c>
      <c r="BE10" s="165">
        <v>-10419655</v>
      </c>
      <c r="BF10" s="165">
        <v>-56496007</v>
      </c>
      <c r="BG10" s="165">
        <v>-7319275</v>
      </c>
      <c r="BH10" s="165">
        <v>-7346208</v>
      </c>
      <c r="BI10" s="165">
        <v>-52495236</v>
      </c>
      <c r="BJ10" s="165">
        <v>19072961</v>
      </c>
      <c r="BK10" s="165">
        <v>-18175569</v>
      </c>
      <c r="BL10" s="165">
        <v>-65571081</v>
      </c>
      <c r="BM10" s="165">
        <v>-20192380</v>
      </c>
      <c r="BN10" s="165">
        <v>-18234753</v>
      </c>
      <c r="BO10" s="165">
        <v>-58991700</v>
      </c>
      <c r="BP10" s="165">
        <v>-11002030</v>
      </c>
      <c r="BQ10" s="165"/>
      <c r="BR10" s="165"/>
      <c r="BS10" s="165"/>
      <c r="BT10" s="165"/>
      <c r="BU10" s="165"/>
      <c r="BV10" s="165"/>
      <c r="BW10" s="165"/>
    </row>
    <row r="11" spans="1:75">
      <c r="A11" s="132">
        <v>8</v>
      </c>
      <c r="B11" s="133" t="s">
        <v>375</v>
      </c>
      <c r="C11" s="134">
        <v>8</v>
      </c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>
        <v>-100771</v>
      </c>
      <c r="Q11" s="168">
        <v>-22232</v>
      </c>
      <c r="R11" s="168">
        <v>-9940</v>
      </c>
      <c r="S11" s="168">
        <v>-18461</v>
      </c>
      <c r="T11" s="168">
        <v>-51784</v>
      </c>
      <c r="U11" s="168">
        <v>-65299</v>
      </c>
      <c r="V11" s="168">
        <v>-28201</v>
      </c>
      <c r="W11" s="168">
        <v>-103587</v>
      </c>
      <c r="X11" s="168">
        <v>-134052</v>
      </c>
      <c r="Y11" s="168">
        <v>-100634</v>
      </c>
      <c r="Z11" s="168">
        <v>-1758913</v>
      </c>
      <c r="AA11" s="168">
        <v>-2200453</v>
      </c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9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</row>
    <row r="12" spans="1:75">
      <c r="A12" s="132">
        <v>9</v>
      </c>
      <c r="B12" s="133" t="s">
        <v>376</v>
      </c>
      <c r="C12" s="138">
        <v>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>
      <c r="A13" s="139">
        <v>10</v>
      </c>
      <c r="B13" s="140" t="s">
        <v>377</v>
      </c>
      <c r="C13" s="141">
        <v>8</v>
      </c>
      <c r="D13" s="30">
        <v>-186771045</v>
      </c>
      <c r="E13" s="30">
        <v>-126813723</v>
      </c>
      <c r="F13" s="30">
        <v>-124865724</v>
      </c>
      <c r="G13" s="30">
        <v>-124933513</v>
      </c>
      <c r="H13" s="30">
        <v>-129204243</v>
      </c>
      <c r="I13" s="30">
        <v>-105678401</v>
      </c>
      <c r="J13" s="30">
        <v>-71828258</v>
      </c>
      <c r="K13" s="30">
        <v>-51297431</v>
      </c>
      <c r="L13" s="30">
        <v>-103844142</v>
      </c>
      <c r="M13" s="30">
        <v>-70837970</v>
      </c>
      <c r="N13" s="30">
        <v>-125706077</v>
      </c>
      <c r="O13" s="30">
        <v>-496396965</v>
      </c>
      <c r="P13" s="30">
        <v>-240013615</v>
      </c>
      <c r="Q13" s="30">
        <v>-197113741</v>
      </c>
      <c r="R13" s="30">
        <v>-162380473</v>
      </c>
      <c r="S13" s="30">
        <v>-192588515</v>
      </c>
      <c r="T13" s="30">
        <v>-174029934</v>
      </c>
      <c r="U13" s="30">
        <v>-209930436</v>
      </c>
      <c r="V13" s="30">
        <v>-213847414</v>
      </c>
      <c r="W13" s="30">
        <v>-94770101</v>
      </c>
      <c r="X13" s="30">
        <v>-195101962</v>
      </c>
      <c r="Y13" s="30">
        <v>-126732967</v>
      </c>
      <c r="Z13" s="30">
        <v>-633383376</v>
      </c>
      <c r="AA13" s="30">
        <v>-932228611</v>
      </c>
      <c r="AB13" s="30">
        <v>-799063429</v>
      </c>
      <c r="AC13" s="30">
        <v>-282704363</v>
      </c>
      <c r="AD13" s="30">
        <v>-480658347</v>
      </c>
      <c r="AE13" s="30">
        <v>292010556</v>
      </c>
      <c r="AF13" s="30">
        <v>-177439892</v>
      </c>
      <c r="AG13" s="30">
        <v>121778957</v>
      </c>
      <c r="AH13" s="30">
        <v>-149701424</v>
      </c>
      <c r="AI13" s="30">
        <v>24316144</v>
      </c>
      <c r="AJ13" s="30">
        <v>-118183198</v>
      </c>
      <c r="AK13" s="30">
        <v>236354348</v>
      </c>
      <c r="AL13" s="30">
        <v>-97847780</v>
      </c>
      <c r="AM13" s="30">
        <v>965771540</v>
      </c>
      <c r="AN13" s="30">
        <v>132147044</v>
      </c>
      <c r="AO13" s="30">
        <v>145536966</v>
      </c>
      <c r="AP13" s="30">
        <v>372505675</v>
      </c>
      <c r="AQ13" s="30">
        <v>184346814</v>
      </c>
      <c r="AR13" s="30">
        <v>342060969</v>
      </c>
      <c r="AS13" s="30">
        <v>120159530</v>
      </c>
      <c r="AT13" s="30">
        <v>-95310972</v>
      </c>
      <c r="AU13" s="30">
        <v>-78911232</v>
      </c>
      <c r="AV13" s="30">
        <v>10242971</v>
      </c>
      <c r="AW13" s="30">
        <v>36169891</v>
      </c>
      <c r="AX13" s="30">
        <v>-573705023</v>
      </c>
      <c r="AY13" s="30">
        <v>37240751</v>
      </c>
      <c r="AZ13" s="30">
        <v>-152188393</v>
      </c>
      <c r="BA13" s="30">
        <v>263576868</v>
      </c>
      <c r="BB13" s="30">
        <v>399480587</v>
      </c>
      <c r="BC13" s="30">
        <v>563282899</v>
      </c>
      <c r="BD13" s="30">
        <v>283633257</v>
      </c>
      <c r="BE13" s="30">
        <v>943345430</v>
      </c>
      <c r="BF13" s="30">
        <v>1250013423</v>
      </c>
      <c r="BG13" s="30">
        <v>1837324606</v>
      </c>
      <c r="BH13" s="30">
        <v>289860227</v>
      </c>
      <c r="BI13" s="30">
        <v>493588794</v>
      </c>
      <c r="BJ13" s="30">
        <v>475401453</v>
      </c>
      <c r="BK13" s="30">
        <v>480653418</v>
      </c>
      <c r="BL13" s="30">
        <f>SUM(BL5:BL12)</f>
        <v>565878293</v>
      </c>
      <c r="BM13" s="30">
        <v>167808753</v>
      </c>
      <c r="BN13" s="30">
        <f>BN5+BN7+BN10</f>
        <v>898366914</v>
      </c>
      <c r="BO13" s="30">
        <f>BO5+BO7+BO10</f>
        <v>632655162</v>
      </c>
      <c r="BP13" s="30">
        <f>BP5+BP7+BP10</f>
        <v>1346063993</v>
      </c>
      <c r="BQ13" s="30"/>
      <c r="BR13" s="30"/>
      <c r="BS13" s="30"/>
      <c r="BT13" s="30"/>
      <c r="BU13" s="30"/>
      <c r="BV13" s="30"/>
      <c r="BW13" s="30"/>
    </row>
    <row r="14" spans="1:75">
      <c r="A14" s="142">
        <v>11</v>
      </c>
      <c r="B14" s="143" t="s">
        <v>378</v>
      </c>
      <c r="C14" s="134">
        <v>8</v>
      </c>
      <c r="D14" s="165">
        <v>40090745</v>
      </c>
      <c r="E14" s="165">
        <v>-107207337</v>
      </c>
      <c r="F14" s="165">
        <v>1055965054</v>
      </c>
      <c r="G14" s="165">
        <v>-505582325</v>
      </c>
      <c r="H14" s="165">
        <v>-73969355</v>
      </c>
      <c r="I14" s="165">
        <v>-677254759</v>
      </c>
      <c r="J14" s="165">
        <v>-53083</v>
      </c>
      <c r="K14" s="165">
        <v>527440375</v>
      </c>
      <c r="L14" s="165">
        <v>67356438</v>
      </c>
      <c r="M14" s="165">
        <v>-103252730</v>
      </c>
      <c r="N14" s="165">
        <v>-182579860</v>
      </c>
      <c r="O14" s="165">
        <v>158136355</v>
      </c>
      <c r="P14" s="165">
        <v>-646040053</v>
      </c>
      <c r="Q14" s="165">
        <v>-611250113</v>
      </c>
      <c r="R14" s="165">
        <v>-1858001209</v>
      </c>
      <c r="S14" s="165">
        <v>-454594936</v>
      </c>
      <c r="T14" s="165">
        <v>138854108</v>
      </c>
      <c r="U14" s="165">
        <v>-1074818798</v>
      </c>
      <c r="V14" s="165">
        <v>151552264</v>
      </c>
      <c r="W14" s="165">
        <v>1579660118</v>
      </c>
      <c r="X14" s="165">
        <v>-977755747</v>
      </c>
      <c r="Y14" s="165">
        <v>-1031556580</v>
      </c>
      <c r="Z14" s="165">
        <v>-1089241332</v>
      </c>
      <c r="AA14" s="165">
        <v>962217501</v>
      </c>
      <c r="AB14" s="165">
        <v>755535083</v>
      </c>
      <c r="AC14" s="165">
        <v>-373410123</v>
      </c>
      <c r="AD14" s="165">
        <v>864143235</v>
      </c>
      <c r="AE14" s="165">
        <v>-116254287</v>
      </c>
      <c r="AF14" s="165">
        <v>2427098633</v>
      </c>
      <c r="AG14" s="165">
        <v>-376355289</v>
      </c>
      <c r="AH14" s="165">
        <v>745922800</v>
      </c>
      <c r="AI14" s="165">
        <v>1293715021</v>
      </c>
      <c r="AJ14" s="165">
        <v>2404766933</v>
      </c>
      <c r="AK14" s="165">
        <v>2389353423</v>
      </c>
      <c r="AL14" s="165">
        <v>-216413170</v>
      </c>
      <c r="AM14" s="165">
        <v>-1354922768</v>
      </c>
      <c r="AN14" s="165">
        <v>-1338330678</v>
      </c>
      <c r="AO14" s="165">
        <v>-1322361827</v>
      </c>
      <c r="AP14" s="165">
        <v>796532040</v>
      </c>
      <c r="AQ14" s="165">
        <v>613673586</v>
      </c>
      <c r="AR14" s="165">
        <v>-2757367295</v>
      </c>
      <c r="AS14" s="165">
        <v>-76926816</v>
      </c>
      <c r="AT14" s="165">
        <v>981983369</v>
      </c>
      <c r="AU14" s="165">
        <v>197327405</v>
      </c>
      <c r="AV14" s="165">
        <v>-1792823857</v>
      </c>
      <c r="AW14" s="165">
        <v>539703963</v>
      </c>
      <c r="AX14" s="165">
        <v>-168368007</v>
      </c>
      <c r="AY14" s="165">
        <v>265654642</v>
      </c>
      <c r="AZ14" s="165">
        <v>-102845055</v>
      </c>
      <c r="BA14" s="165">
        <v>-853392056</v>
      </c>
      <c r="BB14" s="165">
        <v>1107500</v>
      </c>
      <c r="BC14" s="165">
        <v>747186118</v>
      </c>
      <c r="BD14" s="165">
        <v>281268289</v>
      </c>
      <c r="BE14" s="165">
        <v>956070547</v>
      </c>
      <c r="BF14" s="165">
        <v>-330956411</v>
      </c>
      <c r="BG14" s="165">
        <v>600342907</v>
      </c>
      <c r="BH14" s="165">
        <v>800647078</v>
      </c>
      <c r="BI14" s="165">
        <v>-1163243194</v>
      </c>
      <c r="BJ14" s="165">
        <v>744733888</v>
      </c>
      <c r="BK14" s="165">
        <v>-617573486</v>
      </c>
      <c r="BL14" s="165">
        <v>520556311</v>
      </c>
      <c r="BM14" s="165">
        <v>-845059931</v>
      </c>
      <c r="BN14" s="165">
        <v>-1569805057</v>
      </c>
      <c r="BO14" s="165">
        <v>1417565973</v>
      </c>
      <c r="BP14" s="165">
        <v>-1577587338</v>
      </c>
      <c r="BQ14" s="165"/>
      <c r="BR14" s="165"/>
      <c r="BS14" s="165"/>
      <c r="BT14" s="165"/>
      <c r="BU14" s="165"/>
      <c r="BV14" s="165"/>
      <c r="BW14" s="165"/>
    </row>
    <row r="15" spans="1:75">
      <c r="A15" s="144">
        <v>12</v>
      </c>
      <c r="B15" s="145" t="s">
        <v>379</v>
      </c>
      <c r="C15" s="134">
        <v>8</v>
      </c>
      <c r="D15" s="165">
        <v>-184872727</v>
      </c>
      <c r="E15" s="165">
        <v>-241951500</v>
      </c>
      <c r="F15" s="165">
        <v>-584208650</v>
      </c>
      <c r="G15" s="165">
        <v>-443909429</v>
      </c>
      <c r="H15" s="165">
        <v>333849501</v>
      </c>
      <c r="I15" s="165">
        <v>10850195</v>
      </c>
      <c r="J15" s="165">
        <v>0</v>
      </c>
      <c r="K15" s="165">
        <v>0</v>
      </c>
      <c r="L15" s="165">
        <v>0</v>
      </c>
      <c r="M15" s="165">
        <v>0</v>
      </c>
      <c r="N15" s="165">
        <v>-51673427</v>
      </c>
      <c r="O15" s="165">
        <v>10872113</v>
      </c>
      <c r="P15" s="165">
        <v>-216049756</v>
      </c>
      <c r="Q15" s="165">
        <v>-22761388</v>
      </c>
      <c r="R15" s="165">
        <v>-227162242</v>
      </c>
      <c r="S15" s="165">
        <v>-1176699914</v>
      </c>
      <c r="T15" s="165">
        <v>-1870041288</v>
      </c>
      <c r="U15" s="165">
        <v>-770282143</v>
      </c>
      <c r="V15" s="165">
        <v>-431279167</v>
      </c>
      <c r="W15" s="165">
        <v>301942868</v>
      </c>
      <c r="X15" s="165">
        <v>489695208</v>
      </c>
      <c r="Y15" s="165">
        <v>-65589860</v>
      </c>
      <c r="Z15" s="165">
        <v>-999588684</v>
      </c>
      <c r="AA15" s="165">
        <v>1262278302</v>
      </c>
      <c r="AB15" s="165">
        <v>1483002715</v>
      </c>
      <c r="AC15" s="165">
        <v>162925469</v>
      </c>
      <c r="AD15" s="165">
        <v>67514966</v>
      </c>
      <c r="AE15" s="165">
        <v>-196028474</v>
      </c>
      <c r="AF15" s="165">
        <v>-422810777</v>
      </c>
      <c r="AG15" s="165">
        <v>1124751694</v>
      </c>
      <c r="AH15" s="165">
        <v>199041952</v>
      </c>
      <c r="AI15" s="165">
        <v>-345478560</v>
      </c>
      <c r="AJ15" s="165">
        <v>-3986951635</v>
      </c>
      <c r="AK15" s="165">
        <v>-2502114899</v>
      </c>
      <c r="AL15" s="165">
        <v>78415768</v>
      </c>
      <c r="AM15" s="165">
        <v>1070732227</v>
      </c>
      <c r="AN15" s="165">
        <v>3572731482</v>
      </c>
      <c r="AO15" s="165">
        <v>407812953</v>
      </c>
      <c r="AP15" s="165">
        <v>-92860960</v>
      </c>
      <c r="AQ15" s="165">
        <v>217824569</v>
      </c>
      <c r="AR15" s="165">
        <v>2145938130</v>
      </c>
      <c r="AS15" s="165">
        <v>348554491</v>
      </c>
      <c r="AT15" s="165">
        <v>634604395</v>
      </c>
      <c r="AU15" s="165">
        <v>20513192</v>
      </c>
      <c r="AV15" s="165">
        <v>-247976158</v>
      </c>
      <c r="AW15" s="165">
        <v>223627355</v>
      </c>
      <c r="AX15" s="165">
        <v>-284490719</v>
      </c>
      <c r="AY15" s="165">
        <v>694868084</v>
      </c>
      <c r="AZ15" s="165">
        <v>-979886584</v>
      </c>
      <c r="BA15" s="165">
        <v>-398423101</v>
      </c>
      <c r="BB15" s="165">
        <v>-146913271</v>
      </c>
      <c r="BC15" s="165">
        <v>-408907156</v>
      </c>
      <c r="BD15" s="165">
        <v>-1013857236</v>
      </c>
      <c r="BE15" s="165">
        <v>-577869898</v>
      </c>
      <c r="BF15" s="165">
        <v>-3068507866</v>
      </c>
      <c r="BG15" s="165">
        <v>1932977265</v>
      </c>
      <c r="BH15" s="165">
        <v>3644890418</v>
      </c>
      <c r="BI15" s="165">
        <v>1239419799</v>
      </c>
      <c r="BJ15" s="165">
        <v>-788652596</v>
      </c>
      <c r="BK15" s="165">
        <v>101149103</v>
      </c>
      <c r="BL15" s="165">
        <v>-1543685846</v>
      </c>
      <c r="BM15" s="165">
        <v>-86012281</v>
      </c>
      <c r="BN15" s="165">
        <v>1368965482</v>
      </c>
      <c r="BO15" s="165">
        <v>-573130879</v>
      </c>
      <c r="BP15" s="165">
        <v>590599954</v>
      </c>
      <c r="BQ15" s="165"/>
      <c r="BR15" s="165"/>
      <c r="BS15" s="165"/>
      <c r="BT15" s="165"/>
      <c r="BU15" s="165"/>
      <c r="BV15" s="165"/>
      <c r="BW15" s="165"/>
    </row>
    <row r="16" spans="1:75">
      <c r="A16" s="146">
        <v>13</v>
      </c>
      <c r="B16" s="147" t="s">
        <v>380</v>
      </c>
      <c r="C16" s="137">
        <v>8</v>
      </c>
      <c r="D16" s="170">
        <v>308782500</v>
      </c>
      <c r="E16" s="170">
        <v>948717500</v>
      </c>
      <c r="F16" s="170">
        <v>2823251472</v>
      </c>
      <c r="G16" s="170">
        <v>-3922434705</v>
      </c>
      <c r="H16" s="170">
        <v>1024037401</v>
      </c>
      <c r="I16" s="170">
        <v>979172184</v>
      </c>
      <c r="J16" s="170">
        <v>40000000</v>
      </c>
      <c r="K16" s="170">
        <v>20000000</v>
      </c>
      <c r="L16" s="170">
        <v>50000000</v>
      </c>
      <c r="M16" s="170">
        <v>115621778</v>
      </c>
      <c r="N16" s="170">
        <v>1933061858</v>
      </c>
      <c r="O16" s="170">
        <v>134825375</v>
      </c>
      <c r="P16" s="170">
        <v>4643882482</v>
      </c>
      <c r="Q16" s="170">
        <v>34583736</v>
      </c>
      <c r="R16" s="170">
        <v>2863102585</v>
      </c>
      <c r="S16" s="170">
        <v>-14082386315</v>
      </c>
      <c r="T16" s="170">
        <v>779013254</v>
      </c>
      <c r="U16" s="170">
        <v>-379421915</v>
      </c>
      <c r="V16" s="170">
        <v>-4031592665</v>
      </c>
      <c r="W16" s="170">
        <v>268185361</v>
      </c>
      <c r="X16" s="170">
        <v>195969679</v>
      </c>
      <c r="Y16" s="170">
        <v>-247537340</v>
      </c>
      <c r="Z16" s="170">
        <v>527945375</v>
      </c>
      <c r="AA16" s="170">
        <v>-276304816</v>
      </c>
      <c r="AB16" s="170">
        <v>-384577042</v>
      </c>
      <c r="AC16" s="170">
        <v>39915215</v>
      </c>
      <c r="AD16" s="170">
        <v>-82509042</v>
      </c>
      <c r="AE16" s="170">
        <v>152765865</v>
      </c>
      <c r="AF16" s="170">
        <v>646147543</v>
      </c>
      <c r="AG16" s="170">
        <v>-274249715</v>
      </c>
      <c r="AH16" s="170">
        <v>279280638</v>
      </c>
      <c r="AI16" s="170">
        <v>113481677</v>
      </c>
      <c r="AJ16" s="170">
        <v>260675266</v>
      </c>
      <c r="AK16" s="170">
        <v>-357986292</v>
      </c>
      <c r="AL16" s="170">
        <v>204610209</v>
      </c>
      <c r="AM16" s="170">
        <v>131168435</v>
      </c>
      <c r="AN16" s="170">
        <v>213270157</v>
      </c>
      <c r="AO16" s="170">
        <v>176468102</v>
      </c>
      <c r="AP16" s="170">
        <v>443460761</v>
      </c>
      <c r="AQ16" s="170">
        <v>-965639839</v>
      </c>
      <c r="AR16" s="170">
        <v>-117817709</v>
      </c>
      <c r="AS16" s="170">
        <v>497957974</v>
      </c>
      <c r="AT16" s="170">
        <v>-980268208</v>
      </c>
      <c r="AU16" s="170">
        <v>175152671</v>
      </c>
      <c r="AV16" s="170">
        <v>645099646</v>
      </c>
      <c r="AW16" s="170">
        <v>-446703303</v>
      </c>
      <c r="AX16" s="170">
        <v>252737509</v>
      </c>
      <c r="AY16" s="170">
        <v>228539078</v>
      </c>
      <c r="AZ16" s="170">
        <v>-865266637</v>
      </c>
      <c r="BA16" s="170">
        <v>207954895</v>
      </c>
      <c r="BB16" s="170">
        <v>556217702</v>
      </c>
      <c r="BC16" s="170">
        <v>-157389389</v>
      </c>
      <c r="BD16" s="170">
        <v>105251008</v>
      </c>
      <c r="BE16" s="170">
        <v>224010973</v>
      </c>
      <c r="BF16" s="170">
        <v>686306587</v>
      </c>
      <c r="BG16" s="170">
        <v>-712475489</v>
      </c>
      <c r="BH16" s="170">
        <v>-428044511</v>
      </c>
      <c r="BI16" s="170">
        <v>-947227556</v>
      </c>
      <c r="BJ16" s="170">
        <v>10164739</v>
      </c>
      <c r="BK16" s="170">
        <f>2239955583+296</f>
        <v>2239955879</v>
      </c>
      <c r="BL16" s="170">
        <f>11299620+381540013</f>
        <v>392839633</v>
      </c>
      <c r="BM16" s="170">
        <v>-361740587</v>
      </c>
      <c r="BN16" s="170">
        <v>-257269079</v>
      </c>
      <c r="BO16" s="170">
        <v>-36399094</v>
      </c>
      <c r="BP16" s="170">
        <v>311349763</v>
      </c>
      <c r="BQ16" s="170"/>
      <c r="BR16" s="170"/>
      <c r="BS16" s="170"/>
      <c r="BT16" s="170"/>
      <c r="BU16" s="170"/>
      <c r="BV16" s="170"/>
      <c r="BW16" s="170"/>
    </row>
    <row r="17" spans="1:75">
      <c r="A17" s="142">
        <v>14</v>
      </c>
      <c r="B17" s="143" t="s">
        <v>381</v>
      </c>
      <c r="C17" s="134">
        <v>8</v>
      </c>
      <c r="D17" s="165">
        <v>-184780605</v>
      </c>
      <c r="E17" s="165">
        <v>11172194</v>
      </c>
      <c r="F17" s="165">
        <v>26740765</v>
      </c>
      <c r="G17" s="165">
        <v>26740765</v>
      </c>
      <c r="H17" s="165">
        <v>-105102999</v>
      </c>
      <c r="I17" s="165">
        <v>31297431</v>
      </c>
      <c r="J17" s="165">
        <v>31297431</v>
      </c>
      <c r="K17" s="165">
        <v>31297431</v>
      </c>
      <c r="L17" s="165">
        <v>-262591458</v>
      </c>
      <c r="M17" s="165">
        <v>39630764</v>
      </c>
      <c r="N17" s="165">
        <v>39630764</v>
      </c>
      <c r="O17" s="165">
        <v>8431587</v>
      </c>
      <c r="P17" s="165">
        <v>-11896121</v>
      </c>
      <c r="Q17" s="165">
        <v>207768</v>
      </c>
      <c r="R17" s="165">
        <v>32789292</v>
      </c>
      <c r="S17" s="165">
        <v>31013587</v>
      </c>
      <c r="T17" s="165">
        <v>23953211</v>
      </c>
      <c r="U17" s="165">
        <v>57401617</v>
      </c>
      <c r="V17" s="165">
        <v>28052571</v>
      </c>
      <c r="W17" s="165">
        <v>14944690</v>
      </c>
      <c r="X17" s="165">
        <v>46111543</v>
      </c>
      <c r="Y17" s="165">
        <v>-47200076</v>
      </c>
      <c r="Z17" s="165">
        <v>13956754</v>
      </c>
      <c r="AA17" s="165">
        <v>10581626</v>
      </c>
      <c r="AB17" s="165">
        <v>0</v>
      </c>
      <c r="AC17" s="165">
        <v>-39581818</v>
      </c>
      <c r="AD17" s="165">
        <v>-12235455</v>
      </c>
      <c r="AE17" s="165">
        <v>-6800000</v>
      </c>
      <c r="AF17" s="165">
        <v>-19800000</v>
      </c>
      <c r="AG17" s="165">
        <v>-24314000</v>
      </c>
      <c r="AH17" s="165">
        <v>-26229273</v>
      </c>
      <c r="AI17" s="165">
        <v>-91502727</v>
      </c>
      <c r="AJ17" s="165">
        <v>-5093815</v>
      </c>
      <c r="AK17" s="165">
        <v>-72127365</v>
      </c>
      <c r="AL17" s="165">
        <v>-2260000</v>
      </c>
      <c r="AM17" s="165">
        <v>-288926564</v>
      </c>
      <c r="AN17" s="165">
        <v>47790167</v>
      </c>
      <c r="AO17" s="165">
        <v>14682469</v>
      </c>
      <c r="AP17" s="165">
        <v>17075571</v>
      </c>
      <c r="AQ17" s="165">
        <v>22078020</v>
      </c>
      <c r="AR17" s="165">
        <v>58499132</v>
      </c>
      <c r="AS17" s="165">
        <v>-29484200</v>
      </c>
      <c r="AT17" s="165">
        <v>-46264931</v>
      </c>
      <c r="AU17" s="165">
        <v>-5092592</v>
      </c>
      <c r="AV17" s="166">
        <v>-102470000</v>
      </c>
      <c r="AW17" s="170">
        <v>-47143681</v>
      </c>
      <c r="AX17" s="170">
        <v>-5660000</v>
      </c>
      <c r="AY17" s="170">
        <v>-23450000</v>
      </c>
      <c r="AZ17" s="170">
        <v>-34483910</v>
      </c>
      <c r="BA17" s="170">
        <v>-43955976</v>
      </c>
      <c r="BB17" s="170">
        <v>-388945857</v>
      </c>
      <c r="BC17" s="170">
        <v>-3792400</v>
      </c>
      <c r="BD17" s="170">
        <v>-537700000</v>
      </c>
      <c r="BE17" s="170">
        <v>-86550980</v>
      </c>
      <c r="BF17" s="170">
        <v>-29045468</v>
      </c>
      <c r="BG17" s="170">
        <v>-65539586</v>
      </c>
      <c r="BH17" s="170">
        <v>-13235164</v>
      </c>
      <c r="BI17" s="170">
        <v>-103391352</v>
      </c>
      <c r="BJ17" s="170">
        <v>-8940000</v>
      </c>
      <c r="BK17" s="170">
        <v>-193449426</v>
      </c>
      <c r="BL17" s="170">
        <v>-24232407</v>
      </c>
      <c r="BM17" s="170">
        <v>-28263611</v>
      </c>
      <c r="BN17" s="170">
        <v>-37939909</v>
      </c>
      <c r="BO17" s="170">
        <v>-401011942</v>
      </c>
      <c r="BP17" s="170">
        <v>-261200000</v>
      </c>
      <c r="BQ17" s="170"/>
      <c r="BR17" s="170"/>
      <c r="BS17" s="170"/>
      <c r="BT17" s="170"/>
      <c r="BU17" s="170"/>
      <c r="BV17" s="170"/>
      <c r="BW17" s="170"/>
    </row>
    <row r="18" spans="1:75">
      <c r="A18" s="142">
        <v>15</v>
      </c>
      <c r="B18" s="143" t="s">
        <v>382</v>
      </c>
      <c r="C18" s="134">
        <v>8</v>
      </c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>
        <v>0</v>
      </c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</row>
    <row r="19" spans="1:75">
      <c r="A19" s="142">
        <v>16</v>
      </c>
      <c r="B19" s="143" t="s">
        <v>383</v>
      </c>
      <c r="C19" s="134">
        <v>8</v>
      </c>
      <c r="D19" s="165"/>
      <c r="E19" s="165"/>
      <c r="F19" s="165"/>
      <c r="G19" s="165"/>
      <c r="H19" s="165"/>
      <c r="I19" s="165"/>
      <c r="J19" s="165"/>
      <c r="K19" s="165">
        <v>0</v>
      </c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>
        <v>0</v>
      </c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>
        <v>0</v>
      </c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>
        <v>0</v>
      </c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</row>
    <row r="20" spans="1:75">
      <c r="A20" s="142">
        <v>17</v>
      </c>
      <c r="B20" s="143" t="s">
        <v>384</v>
      </c>
      <c r="C20" s="134">
        <v>8</v>
      </c>
      <c r="D20" s="165">
        <v>0</v>
      </c>
      <c r="E20" s="165">
        <v>0</v>
      </c>
      <c r="F20" s="165"/>
      <c r="G20" s="165"/>
      <c r="H20" s="165"/>
      <c r="I20" s="165"/>
      <c r="J20" s="165"/>
      <c r="K20" s="165">
        <v>0</v>
      </c>
      <c r="L20" s="165"/>
      <c r="M20" s="165"/>
      <c r="N20" s="165"/>
      <c r="O20" s="165"/>
      <c r="P20" s="165">
        <v>0</v>
      </c>
      <c r="Q20" s="165">
        <v>0</v>
      </c>
      <c r="R20" s="165"/>
      <c r="S20" s="165"/>
      <c r="T20" s="165"/>
      <c r="U20" s="165"/>
      <c r="V20" s="165"/>
      <c r="W20" s="165">
        <v>0</v>
      </c>
      <c r="X20" s="165"/>
      <c r="Y20" s="165"/>
      <c r="Z20" s="165"/>
      <c r="AA20" s="165"/>
      <c r="AB20" s="165">
        <v>0</v>
      </c>
      <c r="AC20" s="165">
        <v>0</v>
      </c>
      <c r="AD20" s="165"/>
      <c r="AE20" s="165"/>
      <c r="AF20" s="165"/>
      <c r="AG20" s="165"/>
      <c r="AH20" s="165"/>
      <c r="AI20" s="165">
        <v>0</v>
      </c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>
        <v>0</v>
      </c>
      <c r="BI20" s="165">
        <v>0</v>
      </c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</row>
    <row r="21" spans="1:75">
      <c r="A21" s="142">
        <v>18</v>
      </c>
      <c r="B21" s="143" t="s">
        <v>385</v>
      </c>
      <c r="C21" s="148">
        <v>8</v>
      </c>
      <c r="D21" s="171">
        <v>0</v>
      </c>
      <c r="E21" s="171">
        <v>0</v>
      </c>
      <c r="F21" s="171"/>
      <c r="G21" s="171"/>
      <c r="H21" s="171"/>
      <c r="I21" s="171"/>
      <c r="J21" s="171"/>
      <c r="K21" s="171">
        <v>0</v>
      </c>
      <c r="L21" s="171"/>
      <c r="M21" s="171"/>
      <c r="N21" s="171"/>
      <c r="O21" s="171"/>
      <c r="P21" s="171">
        <v>0</v>
      </c>
      <c r="Q21" s="171">
        <v>0</v>
      </c>
      <c r="R21" s="171"/>
      <c r="S21" s="171"/>
      <c r="T21" s="171"/>
      <c r="U21" s="171"/>
      <c r="V21" s="171"/>
      <c r="W21" s="171">
        <v>0</v>
      </c>
      <c r="X21" s="171"/>
      <c r="Y21" s="171"/>
      <c r="Z21" s="171"/>
      <c r="AA21" s="171"/>
      <c r="AB21" s="171">
        <v>0</v>
      </c>
      <c r="AC21" s="171">
        <v>0</v>
      </c>
      <c r="AD21" s="171"/>
      <c r="AE21" s="171"/>
      <c r="AF21" s="171"/>
      <c r="AG21" s="171"/>
      <c r="AH21" s="171"/>
      <c r="AI21" s="171">
        <v>0</v>
      </c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</row>
    <row r="22" spans="1:75">
      <c r="A22" s="142">
        <v>19</v>
      </c>
      <c r="B22" s="143" t="s">
        <v>386</v>
      </c>
      <c r="C22" s="138">
        <v>8</v>
      </c>
      <c r="D22" s="29">
        <v>0</v>
      </c>
      <c r="E22" s="29">
        <v>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>
        <v>0</v>
      </c>
      <c r="Q22" s="29">
        <v>0</v>
      </c>
      <c r="R22" s="29"/>
      <c r="S22" s="29"/>
      <c r="T22" s="29">
        <v>0</v>
      </c>
      <c r="U22" s="29"/>
      <c r="V22" s="29"/>
      <c r="W22" s="29"/>
      <c r="X22" s="29"/>
      <c r="Y22" s="29"/>
      <c r="Z22" s="29"/>
      <c r="AA22" s="29"/>
      <c r="AB22" s="29">
        <v>0</v>
      </c>
      <c r="AC22" s="29">
        <v>0</v>
      </c>
      <c r="AD22" s="29"/>
      <c r="AE22" s="29"/>
      <c r="AF22" s="29">
        <v>0</v>
      </c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v>0</v>
      </c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spans="1:75">
      <c r="A23" s="126">
        <v>20</v>
      </c>
      <c r="B23" s="149" t="s">
        <v>215</v>
      </c>
      <c r="C23" s="150">
        <v>8</v>
      </c>
      <c r="D23" s="31">
        <v>-207551132</v>
      </c>
      <c r="E23" s="31">
        <v>483917134</v>
      </c>
      <c r="F23" s="31">
        <v>3196882917</v>
      </c>
      <c r="G23" s="31">
        <v>-4970119207</v>
      </c>
      <c r="H23" s="31">
        <v>1049610305</v>
      </c>
      <c r="I23" s="31">
        <v>238386650</v>
      </c>
      <c r="J23" s="31">
        <v>-583910</v>
      </c>
      <c r="K23" s="31">
        <v>527440375</v>
      </c>
      <c r="L23" s="31">
        <v>-249079162</v>
      </c>
      <c r="M23" s="31">
        <v>-18838158</v>
      </c>
      <c r="N23" s="31">
        <v>1612733258</v>
      </c>
      <c r="O23" s="31">
        <v>-184131535</v>
      </c>
      <c r="P23" s="31">
        <v>3529882937</v>
      </c>
      <c r="Q23" s="31">
        <v>-796333738</v>
      </c>
      <c r="R23" s="31">
        <v>648347953</v>
      </c>
      <c r="S23" s="31">
        <v>-15875256093</v>
      </c>
      <c r="T23" s="31">
        <v>-1102250649</v>
      </c>
      <c r="U23" s="31">
        <v>-2377051675</v>
      </c>
      <c r="V23" s="31">
        <v>-4497114411</v>
      </c>
      <c r="W23" s="31">
        <v>2069962936</v>
      </c>
      <c r="X23" s="31">
        <v>-441081279</v>
      </c>
      <c r="Y23" s="31">
        <v>-1518616823</v>
      </c>
      <c r="Z23" s="31">
        <v>-2180311263</v>
      </c>
      <c r="AA23" s="31">
        <v>1026544002</v>
      </c>
      <c r="AB23" s="31">
        <v>1054897327</v>
      </c>
      <c r="AC23" s="31">
        <v>-492855620</v>
      </c>
      <c r="AD23" s="31">
        <v>356255357</v>
      </c>
      <c r="AE23" s="31">
        <v>125693660</v>
      </c>
      <c r="AF23" s="31">
        <v>2453195507</v>
      </c>
      <c r="AG23" s="31">
        <v>571611647</v>
      </c>
      <c r="AH23" s="31">
        <v>1048314693</v>
      </c>
      <c r="AI23" s="31">
        <v>994531555</v>
      </c>
      <c r="AJ23" s="31">
        <v>-1444786449</v>
      </c>
      <c r="AK23" s="31">
        <v>-306520785</v>
      </c>
      <c r="AL23" s="31">
        <v>-33494973</v>
      </c>
      <c r="AM23" s="31">
        <v>523822870</v>
      </c>
      <c r="AN23" s="31">
        <v>2627608172</v>
      </c>
      <c r="AO23" s="31">
        <v>-577861337</v>
      </c>
      <c r="AP23" s="31">
        <v>1536713087</v>
      </c>
      <c r="AQ23" s="31">
        <v>72283150</v>
      </c>
      <c r="AR23" s="31">
        <v>-328686773</v>
      </c>
      <c r="AS23" s="31">
        <v>860260979</v>
      </c>
      <c r="AT23" s="31">
        <v>494743653</v>
      </c>
      <c r="AU23" s="31">
        <v>308989444</v>
      </c>
      <c r="AV23" s="31">
        <v>-1487927398</v>
      </c>
      <c r="AW23" s="31">
        <v>305654225</v>
      </c>
      <c r="AX23" s="31">
        <v>-779486240</v>
      </c>
      <c r="AY23" s="32">
        <v>1202852555</v>
      </c>
      <c r="AZ23" s="32">
        <v>-2134670579</v>
      </c>
      <c r="BA23" s="32">
        <v>-824239370</v>
      </c>
      <c r="BB23" s="32">
        <v>420946661</v>
      </c>
      <c r="BC23" s="32">
        <v>740380072</v>
      </c>
      <c r="BD23" s="32">
        <v>-881404682</v>
      </c>
      <c r="BE23" s="32">
        <v>1459006072</v>
      </c>
      <c r="BF23" s="32">
        <v>-1492189735</v>
      </c>
      <c r="BG23" s="32">
        <v>3592629703</v>
      </c>
      <c r="BH23" s="32">
        <v>4294118048</v>
      </c>
      <c r="BI23" s="32">
        <v>-480853509</v>
      </c>
      <c r="BJ23" s="32">
        <v>432707484</v>
      </c>
      <c r="BK23" s="32">
        <f>SUM(BK13:BK22)</f>
        <v>2010735488</v>
      </c>
      <c r="BL23" s="32">
        <f>SUM(BL13:BL22)</f>
        <v>-88644016</v>
      </c>
      <c r="BM23" s="32">
        <v>-1153267657</v>
      </c>
      <c r="BN23" s="32">
        <f>SUM(BN13:BN22)</f>
        <v>402318351</v>
      </c>
      <c r="BO23" s="32">
        <f>SUM(BO13:BO22)</f>
        <v>1039679220</v>
      </c>
      <c r="BP23" s="32">
        <f>SUM(BP13:BP22)</f>
        <v>409226372</v>
      </c>
      <c r="BQ23" s="32"/>
      <c r="BR23" s="32"/>
      <c r="BS23" s="32"/>
      <c r="BT23" s="32"/>
      <c r="BU23" s="32"/>
      <c r="BV23" s="32"/>
      <c r="BW23" s="32"/>
    </row>
    <row r="24" spans="1:75">
      <c r="A24" s="126">
        <v>21</v>
      </c>
      <c r="B24" s="127" t="s">
        <v>216</v>
      </c>
      <c r="C24" s="151">
        <v>8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</row>
    <row r="25" spans="1:75">
      <c r="A25" s="152">
        <v>22</v>
      </c>
      <c r="B25" s="153" t="s">
        <v>387</v>
      </c>
      <c r="C25" s="137">
        <v>8</v>
      </c>
      <c r="D25" s="170">
        <v>-157785800</v>
      </c>
      <c r="E25" s="170">
        <v>-247098485</v>
      </c>
      <c r="F25" s="170">
        <v>-2144559775</v>
      </c>
      <c r="G25" s="170">
        <v>-861798891</v>
      </c>
      <c r="H25" s="170">
        <v>-852818770</v>
      </c>
      <c r="I25" s="170">
        <v>-1067738676</v>
      </c>
      <c r="J25" s="170"/>
      <c r="K25" s="170"/>
      <c r="L25" s="170"/>
      <c r="M25" s="170">
        <v>-88704590</v>
      </c>
      <c r="N25" s="170">
        <v>-1655442400</v>
      </c>
      <c r="O25" s="170">
        <v>-39726750</v>
      </c>
      <c r="P25" s="170">
        <v>-2224686266</v>
      </c>
      <c r="Q25" s="170">
        <v>-4569790</v>
      </c>
      <c r="R25" s="170">
        <v>-1056044496</v>
      </c>
      <c r="S25" s="170">
        <v>-6762441384</v>
      </c>
      <c r="T25" s="170">
        <v>-1906916922</v>
      </c>
      <c r="U25" s="170">
        <v>-64123000</v>
      </c>
      <c r="V25" s="170">
        <v>-14843500</v>
      </c>
      <c r="W25" s="170">
        <v>-2634543000</v>
      </c>
      <c r="X25" s="170">
        <v>-520415083</v>
      </c>
      <c r="Y25" s="170">
        <v>-37797000</v>
      </c>
      <c r="Z25" s="170">
        <v>-553387829</v>
      </c>
      <c r="AA25" s="170">
        <v>-955085000</v>
      </c>
      <c r="AB25" s="170">
        <v>-1698752180</v>
      </c>
      <c r="AC25" s="170">
        <v>-228033178</v>
      </c>
      <c r="AD25" s="170">
        <v>-1032382779</v>
      </c>
      <c r="AE25" s="170">
        <v>-215100000</v>
      </c>
      <c r="AF25" s="170">
        <v>-1848909129</v>
      </c>
      <c r="AG25" s="170">
        <v>-119305700</v>
      </c>
      <c r="AH25" s="170">
        <v>-1250500000</v>
      </c>
      <c r="AI25" s="170">
        <v>-415277300</v>
      </c>
      <c r="AJ25" s="170">
        <v>0</v>
      </c>
      <c r="AK25" s="170">
        <v>0</v>
      </c>
      <c r="AL25" s="170">
        <v>-43550000</v>
      </c>
      <c r="AM25" s="170">
        <v>277000000</v>
      </c>
      <c r="AN25" s="170"/>
      <c r="AO25" s="170"/>
      <c r="AP25" s="170">
        <v>-60000000</v>
      </c>
      <c r="AQ25" s="170">
        <v>-145000000</v>
      </c>
      <c r="AR25" s="170">
        <v>-215340000</v>
      </c>
      <c r="AS25" s="170">
        <v>15940000</v>
      </c>
      <c r="AT25" s="170">
        <v>-485681952</v>
      </c>
      <c r="AU25" s="170"/>
      <c r="AV25" s="170"/>
      <c r="AW25" s="170"/>
      <c r="AX25" s="170"/>
      <c r="AY25" s="170"/>
      <c r="AZ25" s="170">
        <v>-160147048</v>
      </c>
      <c r="BA25" s="170">
        <v>-172308467</v>
      </c>
      <c r="BB25" s="170"/>
      <c r="BC25" s="170"/>
      <c r="BD25" s="170"/>
      <c r="BE25" s="170">
        <v>-274052200</v>
      </c>
      <c r="BF25" s="170">
        <v>-430752222</v>
      </c>
      <c r="BG25" s="170">
        <v>-623000000</v>
      </c>
      <c r="BH25" s="170"/>
      <c r="BI25" s="170"/>
      <c r="BJ25" s="170">
        <v>-1089300000</v>
      </c>
      <c r="BK25" s="170">
        <v>-3072516194</v>
      </c>
      <c r="BL25" s="170">
        <v>-338815000</v>
      </c>
      <c r="BM25" s="170">
        <v>-595000000</v>
      </c>
      <c r="BN25" s="170">
        <v>-40000000</v>
      </c>
      <c r="BO25" s="170"/>
      <c r="BP25" s="170">
        <v>-928578104</v>
      </c>
      <c r="BQ25" s="170"/>
      <c r="BR25" s="170"/>
      <c r="BS25" s="170"/>
      <c r="BT25" s="170"/>
      <c r="BU25" s="170"/>
      <c r="BV25" s="170"/>
      <c r="BW25" s="170"/>
    </row>
    <row r="26" spans="1:75">
      <c r="A26" s="152">
        <v>23</v>
      </c>
      <c r="B26" s="153" t="s">
        <v>388</v>
      </c>
      <c r="C26" s="148">
        <v>8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>
        <v>2683400000</v>
      </c>
      <c r="AA26" s="172">
        <v>3497650000</v>
      </c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>
        <v>81700000</v>
      </c>
      <c r="AR26" s="172"/>
      <c r="AS26" s="172"/>
      <c r="AT26" s="172"/>
      <c r="AU26" s="172"/>
      <c r="AV26" s="172"/>
      <c r="AW26" s="172"/>
      <c r="AX26" s="172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>
      <c r="A27" s="152">
        <v>24</v>
      </c>
      <c r="B27" s="153" t="s">
        <v>389</v>
      </c>
      <c r="C27" s="148">
        <v>8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173"/>
      <c r="BP27" s="173"/>
      <c r="BQ27" s="173"/>
      <c r="BR27" s="173"/>
      <c r="BS27" s="173"/>
      <c r="BT27" s="173"/>
      <c r="BU27" s="173"/>
      <c r="BV27" s="173"/>
      <c r="BW27" s="173"/>
    </row>
    <row r="28" spans="1:75">
      <c r="A28" s="152">
        <v>25</v>
      </c>
      <c r="B28" s="153" t="s">
        <v>390</v>
      </c>
      <c r="C28" s="148">
        <v>8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>
      <c r="A29" s="152">
        <v>26</v>
      </c>
      <c r="B29" s="153" t="s">
        <v>391</v>
      </c>
      <c r="C29" s="134">
        <v>8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>
        <v>0</v>
      </c>
      <c r="BI29" s="165">
        <v>0</v>
      </c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</row>
    <row r="30" spans="1:75">
      <c r="A30" s="152">
        <v>27</v>
      </c>
      <c r="B30" s="153" t="s">
        <v>392</v>
      </c>
      <c r="C30" s="148">
        <v>8</v>
      </c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>
      <c r="A31" s="152">
        <v>28</v>
      </c>
      <c r="B31" s="153" t="s">
        <v>393</v>
      </c>
      <c r="C31" s="134">
        <v>8</v>
      </c>
      <c r="D31" s="165">
        <v>107454</v>
      </c>
      <c r="E31" s="165">
        <v>56525</v>
      </c>
      <c r="F31" s="165">
        <v>64648</v>
      </c>
      <c r="G31" s="165">
        <v>175348</v>
      </c>
      <c r="H31" s="165">
        <v>109741</v>
      </c>
      <c r="I31" s="165">
        <v>71964</v>
      </c>
      <c r="J31" s="165">
        <v>33319</v>
      </c>
      <c r="K31" s="165">
        <v>35780</v>
      </c>
      <c r="L31" s="165">
        <v>57304</v>
      </c>
      <c r="M31" s="165">
        <v>40536</v>
      </c>
      <c r="N31" s="165">
        <v>27652</v>
      </c>
      <c r="O31" s="165">
        <v>30221</v>
      </c>
      <c r="P31" s="165">
        <v>100771</v>
      </c>
      <c r="Q31" s="165">
        <v>22232</v>
      </c>
      <c r="R31" s="165">
        <v>9940</v>
      </c>
      <c r="S31" s="165">
        <v>18461</v>
      </c>
      <c r="T31" s="165">
        <v>51784</v>
      </c>
      <c r="U31" s="165">
        <v>65299</v>
      </c>
      <c r="V31" s="165">
        <v>28201</v>
      </c>
      <c r="W31" s="165">
        <v>103587</v>
      </c>
      <c r="X31" s="165">
        <v>134052</v>
      </c>
      <c r="Y31" s="165">
        <v>100634</v>
      </c>
      <c r="Z31" s="165">
        <v>1758913</v>
      </c>
      <c r="AA31" s="165">
        <v>2200453</v>
      </c>
      <c r="AB31" s="165">
        <v>3773270</v>
      </c>
      <c r="AC31" s="165">
        <v>3236864</v>
      </c>
      <c r="AD31" s="165">
        <v>2346303</v>
      </c>
      <c r="AE31" s="165">
        <v>1424265</v>
      </c>
      <c r="AF31" s="165">
        <v>777811</v>
      </c>
      <c r="AG31" s="165">
        <v>307201</v>
      </c>
      <c r="AH31" s="165">
        <v>328719</v>
      </c>
      <c r="AI31" s="165">
        <v>368024</v>
      </c>
      <c r="AJ31" s="165">
        <v>352533</v>
      </c>
      <c r="AK31" s="165">
        <v>313627</v>
      </c>
      <c r="AL31" s="165">
        <v>161478</v>
      </c>
      <c r="AM31" s="165">
        <v>13833550</v>
      </c>
      <c r="AN31" s="165">
        <v>9382459</v>
      </c>
      <c r="AO31" s="165">
        <v>10579719</v>
      </c>
      <c r="AP31" s="165">
        <v>9899400</v>
      </c>
      <c r="AQ31" s="165">
        <v>10580906</v>
      </c>
      <c r="AR31" s="165">
        <v>10872809</v>
      </c>
      <c r="AS31" s="165">
        <v>12253869</v>
      </c>
      <c r="AT31" s="165">
        <v>32961164</v>
      </c>
      <c r="AU31" s="165">
        <v>10484107</v>
      </c>
      <c r="AV31" s="165">
        <v>10990062</v>
      </c>
      <c r="AW31" s="165">
        <v>51973968</v>
      </c>
      <c r="AX31" s="165">
        <v>11239032</v>
      </c>
      <c r="AY31" s="165">
        <v>10871181</v>
      </c>
      <c r="AZ31" s="165">
        <v>56610291</v>
      </c>
      <c r="BA31" s="165">
        <v>11478700</v>
      </c>
      <c r="BB31" s="165">
        <v>10596772</v>
      </c>
      <c r="BC31" s="165">
        <v>57102611</v>
      </c>
      <c r="BD31" s="165">
        <v>11106781</v>
      </c>
      <c r="BE31" s="165">
        <v>10419655</v>
      </c>
      <c r="BF31" s="165">
        <v>56496007</v>
      </c>
      <c r="BG31" s="165">
        <v>7319275</v>
      </c>
      <c r="BH31" s="165">
        <v>7346208</v>
      </c>
      <c r="BI31" s="165">
        <v>52495236</v>
      </c>
      <c r="BJ31" s="165"/>
      <c r="BK31" s="165">
        <v>18946348</v>
      </c>
      <c r="BL31" s="165">
        <v>65571081</v>
      </c>
      <c r="BM31" s="165">
        <v>20192380</v>
      </c>
      <c r="BN31" s="165">
        <v>18234753</v>
      </c>
      <c r="BO31" s="165">
        <v>58991700</v>
      </c>
      <c r="BP31" s="165">
        <v>11002030</v>
      </c>
      <c r="BQ31" s="165"/>
      <c r="BR31" s="165"/>
      <c r="BS31" s="165"/>
      <c r="BT31" s="165"/>
      <c r="BU31" s="165"/>
      <c r="BV31" s="165"/>
      <c r="BW31" s="165"/>
    </row>
    <row r="32" spans="1:75">
      <c r="A32" s="126">
        <v>29</v>
      </c>
      <c r="B32" s="127" t="s">
        <v>224</v>
      </c>
      <c r="C32" s="150">
        <v>8</v>
      </c>
      <c r="D32" s="35">
        <v>-157678346</v>
      </c>
      <c r="E32" s="35">
        <v>-247041960</v>
      </c>
      <c r="F32" s="35">
        <v>-2144495127</v>
      </c>
      <c r="G32" s="35">
        <v>-861623543</v>
      </c>
      <c r="H32" s="35">
        <v>-852709029</v>
      </c>
      <c r="I32" s="35">
        <v>-1067666712</v>
      </c>
      <c r="J32" s="35">
        <v>33319</v>
      </c>
      <c r="K32" s="35">
        <v>35780</v>
      </c>
      <c r="L32" s="35">
        <v>57304</v>
      </c>
      <c r="M32" s="35">
        <v>-88664054</v>
      </c>
      <c r="N32" s="35">
        <v>-1655414748</v>
      </c>
      <c r="O32" s="35">
        <v>-39696529</v>
      </c>
      <c r="P32" s="35">
        <v>-2224585495</v>
      </c>
      <c r="Q32" s="35">
        <v>-4547558</v>
      </c>
      <c r="R32" s="35">
        <v>-1056034556</v>
      </c>
      <c r="S32" s="35">
        <v>-6762422923</v>
      </c>
      <c r="T32" s="35">
        <v>-1906865138</v>
      </c>
      <c r="U32" s="35">
        <v>-64057701</v>
      </c>
      <c r="V32" s="35">
        <v>-14815299</v>
      </c>
      <c r="W32" s="35">
        <v>-2634439413</v>
      </c>
      <c r="X32" s="35">
        <v>-520281031</v>
      </c>
      <c r="Y32" s="35">
        <v>-37696366</v>
      </c>
      <c r="Z32" s="35">
        <v>2131771084</v>
      </c>
      <c r="AA32" s="35">
        <v>2544765453</v>
      </c>
      <c r="AB32" s="35">
        <v>-1694978910</v>
      </c>
      <c r="AC32" s="35">
        <v>-224796314</v>
      </c>
      <c r="AD32" s="35">
        <v>-1030036476</v>
      </c>
      <c r="AE32" s="35">
        <v>-213675735</v>
      </c>
      <c r="AF32" s="35">
        <v>-1848131318</v>
      </c>
      <c r="AG32" s="35">
        <v>-118998499</v>
      </c>
      <c r="AH32" s="35">
        <v>-1250171281</v>
      </c>
      <c r="AI32" s="35">
        <v>-414909276</v>
      </c>
      <c r="AJ32" s="35">
        <v>352533</v>
      </c>
      <c r="AK32" s="35">
        <v>313627</v>
      </c>
      <c r="AL32" s="35">
        <v>-43388522</v>
      </c>
      <c r="AM32" s="35">
        <v>290833550</v>
      </c>
      <c r="AN32" s="35">
        <v>9382459</v>
      </c>
      <c r="AO32" s="35">
        <v>10579719</v>
      </c>
      <c r="AP32" s="35">
        <v>-50100600</v>
      </c>
      <c r="AQ32" s="35">
        <v>-52719094</v>
      </c>
      <c r="AR32" s="35">
        <v>-204467191</v>
      </c>
      <c r="AS32" s="35">
        <v>28193869</v>
      </c>
      <c r="AT32" s="35">
        <v>-452720788</v>
      </c>
      <c r="AU32" s="35">
        <v>10484107</v>
      </c>
      <c r="AV32" s="35">
        <v>10990062</v>
      </c>
      <c r="AW32" s="35">
        <v>51973968</v>
      </c>
      <c r="AX32" s="35">
        <v>11239032</v>
      </c>
      <c r="AY32" s="35">
        <v>10871181</v>
      </c>
      <c r="AZ32" s="35">
        <v>-103536757</v>
      </c>
      <c r="BA32" s="35">
        <v>-160829767</v>
      </c>
      <c r="BB32" s="35">
        <v>10596772</v>
      </c>
      <c r="BC32" s="35">
        <v>57102611</v>
      </c>
      <c r="BD32" s="35">
        <v>11106781</v>
      </c>
      <c r="BE32" s="35">
        <v>-263632545</v>
      </c>
      <c r="BF32" s="35">
        <v>-374256215</v>
      </c>
      <c r="BG32" s="35">
        <v>-615680725</v>
      </c>
      <c r="BH32" s="35">
        <v>7346208</v>
      </c>
      <c r="BI32" s="35">
        <v>52495236</v>
      </c>
      <c r="BJ32" s="35">
        <v>-1089300000</v>
      </c>
      <c r="BK32" s="35">
        <v>-3053569846</v>
      </c>
      <c r="BL32" s="35">
        <f>SUM(BL25:BL31)</f>
        <v>-273243919</v>
      </c>
      <c r="BM32" s="35">
        <v>-574807620</v>
      </c>
      <c r="BN32" s="35">
        <f>SUM(BN25:BN31)</f>
        <v>-21765247</v>
      </c>
      <c r="BO32" s="35">
        <f>SUM(BO25:BO31)</f>
        <v>58991700</v>
      </c>
      <c r="BP32" s="35">
        <f>SUM(BP25:BP31)</f>
        <v>-917576074</v>
      </c>
      <c r="BQ32" s="35"/>
      <c r="BR32" s="35"/>
      <c r="BS32" s="35"/>
      <c r="BT32" s="35"/>
      <c r="BU32" s="35"/>
      <c r="BV32" s="35"/>
      <c r="BW32" s="35"/>
    </row>
    <row r="33" spans="1:75">
      <c r="A33" s="126">
        <v>30</v>
      </c>
      <c r="B33" s="127" t="s">
        <v>225</v>
      </c>
      <c r="C33" s="151">
        <v>8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</row>
    <row r="34" spans="1:75">
      <c r="A34" s="152">
        <v>31</v>
      </c>
      <c r="B34" s="153" t="s">
        <v>394</v>
      </c>
      <c r="C34" s="138">
        <v>8</v>
      </c>
      <c r="D34" s="29"/>
      <c r="E34" s="29"/>
      <c r="F34" s="29"/>
      <c r="G34" s="29">
        <v>5000000000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>
      <c r="A35" s="154">
        <v>32</v>
      </c>
      <c r="B35" s="155" t="s">
        <v>395</v>
      </c>
      <c r="C35" s="156">
        <v>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>
        <v>26000000000</v>
      </c>
      <c r="T35" s="36">
        <v>4000000000</v>
      </c>
      <c r="U35" s="36"/>
      <c r="V35" s="36">
        <v>4000000000</v>
      </c>
      <c r="W35" s="36">
        <v>7000000000</v>
      </c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</row>
    <row r="36" spans="1:75">
      <c r="A36" s="152">
        <v>33</v>
      </c>
      <c r="B36" s="153" t="s">
        <v>396</v>
      </c>
      <c r="C36" s="134">
        <v>8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65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</row>
    <row r="37" spans="1:75">
      <c r="A37" s="152">
        <v>34</v>
      </c>
      <c r="B37" s="153" t="s">
        <v>397</v>
      </c>
      <c r="C37" s="134">
        <v>8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</row>
    <row r="38" spans="1:75">
      <c r="A38" s="152">
        <v>35</v>
      </c>
      <c r="B38" s="153" t="s">
        <v>398</v>
      </c>
      <c r="C38" s="134">
        <v>8</v>
      </c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</row>
    <row r="39" spans="1:75">
      <c r="A39" s="152">
        <v>36</v>
      </c>
      <c r="B39" s="153" t="s">
        <v>399</v>
      </c>
      <c r="C39" s="138">
        <v>8</v>
      </c>
      <c r="D39" s="29">
        <v>0</v>
      </c>
      <c r="E39" s="29">
        <v>0</v>
      </c>
      <c r="F39" s="29"/>
      <c r="G39" s="29"/>
      <c r="H39" s="29"/>
      <c r="I39" s="29"/>
      <c r="J39" s="29"/>
      <c r="K39" s="29">
        <v>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</row>
    <row r="40" spans="1:75">
      <c r="A40" s="126">
        <v>37</v>
      </c>
      <c r="B40" s="127" t="s">
        <v>400</v>
      </c>
      <c r="C40" s="150">
        <v>8</v>
      </c>
      <c r="D40" s="35">
        <v>0</v>
      </c>
      <c r="E40" s="35">
        <v>0</v>
      </c>
      <c r="F40" s="35">
        <v>0</v>
      </c>
      <c r="G40" s="35">
        <v>5000000000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26000000000</v>
      </c>
      <c r="T40" s="35">
        <v>4000000000</v>
      </c>
      <c r="U40" s="35">
        <v>0</v>
      </c>
      <c r="V40" s="35">
        <v>4000000000</v>
      </c>
      <c r="W40" s="35">
        <v>7000000000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>
        <v>0</v>
      </c>
      <c r="AM40" s="35">
        <v>0</v>
      </c>
      <c r="AN40" s="35">
        <v>0</v>
      </c>
      <c r="AO40" s="35">
        <v>0</v>
      </c>
      <c r="AP40" s="35">
        <v>0</v>
      </c>
      <c r="AQ40" s="35">
        <v>0</v>
      </c>
      <c r="AR40" s="35">
        <v>0</v>
      </c>
      <c r="AS40" s="35">
        <v>0</v>
      </c>
      <c r="AT40" s="35">
        <v>0</v>
      </c>
      <c r="AU40" s="35">
        <v>0</v>
      </c>
      <c r="AV40" s="35">
        <v>0</v>
      </c>
      <c r="AW40" s="35">
        <v>0</v>
      </c>
      <c r="AX40" s="35">
        <v>0</v>
      </c>
      <c r="AY40" s="35">
        <v>0</v>
      </c>
      <c r="AZ40" s="35">
        <v>0</v>
      </c>
      <c r="BA40" s="35">
        <v>0</v>
      </c>
      <c r="BB40" s="35">
        <v>0</v>
      </c>
      <c r="BC40" s="35">
        <v>0</v>
      </c>
      <c r="BD40" s="35">
        <v>0</v>
      </c>
      <c r="BE40" s="35">
        <v>0</v>
      </c>
      <c r="BF40" s="35">
        <v>0</v>
      </c>
      <c r="BG40" s="35">
        <v>0</v>
      </c>
      <c r="BH40" s="35">
        <v>0</v>
      </c>
      <c r="BI40" s="35">
        <v>0</v>
      </c>
      <c r="BJ40" s="35">
        <v>0</v>
      </c>
      <c r="BK40" s="35">
        <v>0</v>
      </c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</row>
    <row r="41" spans="1:75">
      <c r="A41" s="157">
        <v>38</v>
      </c>
      <c r="B41" s="158" t="s">
        <v>233</v>
      </c>
      <c r="C41" s="159">
        <v>8</v>
      </c>
      <c r="D41" s="37">
        <v>-365229478</v>
      </c>
      <c r="E41" s="37">
        <v>236875174</v>
      </c>
      <c r="F41" s="37">
        <v>1052387790</v>
      </c>
      <c r="G41" s="37">
        <v>-831742750</v>
      </c>
      <c r="H41" s="37">
        <v>196901276</v>
      </c>
      <c r="I41" s="37">
        <v>-829280062</v>
      </c>
      <c r="J41" s="37">
        <v>-550591</v>
      </c>
      <c r="K41" s="37">
        <v>527476155</v>
      </c>
      <c r="L41" s="37">
        <v>-249021858</v>
      </c>
      <c r="M41" s="37">
        <v>-107502212</v>
      </c>
      <c r="N41" s="37">
        <v>-42681490</v>
      </c>
      <c r="O41" s="37">
        <v>-223828064</v>
      </c>
      <c r="P41" s="37">
        <v>1305297442</v>
      </c>
      <c r="Q41" s="37">
        <v>-800881296</v>
      </c>
      <c r="R41" s="37">
        <v>-407686603</v>
      </c>
      <c r="S41" s="37">
        <v>3362320984</v>
      </c>
      <c r="T41" s="37">
        <v>990884213</v>
      </c>
      <c r="U41" s="37">
        <v>-2441109376</v>
      </c>
      <c r="V41" s="37">
        <v>-511929710</v>
      </c>
      <c r="W41" s="37">
        <v>6435523523</v>
      </c>
      <c r="X41" s="37">
        <v>-961362310</v>
      </c>
      <c r="Y41" s="37">
        <v>-1556313189</v>
      </c>
      <c r="Z41" s="37">
        <v>-48540179</v>
      </c>
      <c r="AA41" s="37">
        <v>3571309455</v>
      </c>
      <c r="AB41" s="37">
        <v>-640081583</v>
      </c>
      <c r="AC41" s="37">
        <v>-717651934</v>
      </c>
      <c r="AD41" s="37">
        <v>-673781119</v>
      </c>
      <c r="AE41" s="37">
        <v>-87982075</v>
      </c>
      <c r="AF41" s="37">
        <v>605064189</v>
      </c>
      <c r="AG41" s="37">
        <v>452613148</v>
      </c>
      <c r="AH41" s="37">
        <v>-201856588</v>
      </c>
      <c r="AI41" s="37">
        <v>579622279</v>
      </c>
      <c r="AJ41" s="37">
        <v>-1444433916</v>
      </c>
      <c r="AK41" s="37">
        <v>-306207158</v>
      </c>
      <c r="AL41" s="37">
        <v>-76883495</v>
      </c>
      <c r="AM41" s="37">
        <v>814656420</v>
      </c>
      <c r="AN41" s="37">
        <v>2636990631</v>
      </c>
      <c r="AO41" s="37">
        <v>-567281618</v>
      </c>
      <c r="AP41" s="37">
        <v>1486612487</v>
      </c>
      <c r="AQ41" s="37">
        <v>19564056</v>
      </c>
      <c r="AR41" s="37">
        <v>-533153964</v>
      </c>
      <c r="AS41" s="37">
        <v>888454848</v>
      </c>
      <c r="AT41" s="37">
        <v>42022865</v>
      </c>
      <c r="AU41" s="37">
        <v>319473551</v>
      </c>
      <c r="AV41" s="37">
        <v>-1476937336</v>
      </c>
      <c r="AW41" s="37">
        <v>357628193</v>
      </c>
      <c r="AX41" s="37">
        <v>-768247208</v>
      </c>
      <c r="AY41" s="38">
        <v>1213723736</v>
      </c>
      <c r="AZ41" s="38">
        <v>-2238207336</v>
      </c>
      <c r="BA41" s="38">
        <v>-985069137</v>
      </c>
      <c r="BB41" s="38">
        <v>431543433</v>
      </c>
      <c r="BC41" s="38">
        <v>797482683</v>
      </c>
      <c r="BD41" s="38">
        <v>-870297901</v>
      </c>
      <c r="BE41" s="38">
        <v>1195373527</v>
      </c>
      <c r="BF41" s="38">
        <v>-1866445950</v>
      </c>
      <c r="BG41" s="38">
        <v>2976948978</v>
      </c>
      <c r="BH41" s="38">
        <v>4301464256</v>
      </c>
      <c r="BI41" s="38">
        <v>-428358273</v>
      </c>
      <c r="BJ41" s="38">
        <v>-656592516</v>
      </c>
      <c r="BK41" s="38">
        <f>BK23+BK32</f>
        <v>-1042834358</v>
      </c>
      <c r="BL41" s="38">
        <f>BL23+BL32</f>
        <v>-361887935</v>
      </c>
      <c r="BM41" s="38">
        <v>-1728075277</v>
      </c>
      <c r="BN41" s="38">
        <f>BN23+BN32</f>
        <v>380553104</v>
      </c>
      <c r="BO41" s="38">
        <f>BO23+BO32</f>
        <v>1098670920</v>
      </c>
      <c r="BP41" s="38">
        <f>BP23+BP32</f>
        <v>-508349702</v>
      </c>
      <c r="BQ41" s="38"/>
      <c r="BR41" s="38"/>
      <c r="BS41" s="38"/>
      <c r="BT41" s="38"/>
      <c r="BU41" s="38"/>
      <c r="BV41" s="38"/>
      <c r="BW41" s="38"/>
    </row>
    <row r="42" spans="1:75">
      <c r="A42" s="126">
        <v>39</v>
      </c>
      <c r="B42" s="127" t="s">
        <v>234</v>
      </c>
      <c r="C42" s="150">
        <v>8</v>
      </c>
      <c r="D42" s="35">
        <v>848997857</v>
      </c>
      <c r="E42" s="35">
        <v>483768379</v>
      </c>
      <c r="F42" s="35">
        <v>720643553</v>
      </c>
      <c r="G42" s="35">
        <v>1773031343</v>
      </c>
      <c r="H42" s="35">
        <v>941288593</v>
      </c>
      <c r="I42" s="35">
        <v>1138189869</v>
      </c>
      <c r="J42" s="35">
        <v>308909807</v>
      </c>
      <c r="K42" s="35">
        <v>308359216</v>
      </c>
      <c r="L42" s="35">
        <v>835835371</v>
      </c>
      <c r="M42" s="35">
        <v>586813513</v>
      </c>
      <c r="N42" s="35">
        <v>479311301</v>
      </c>
      <c r="O42" s="35">
        <v>436629811</v>
      </c>
      <c r="P42" s="35">
        <v>212801747</v>
      </c>
      <c r="Q42" s="35">
        <v>1518099189</v>
      </c>
      <c r="R42" s="35">
        <v>717217893</v>
      </c>
      <c r="S42" s="35">
        <v>309531290</v>
      </c>
      <c r="T42" s="35">
        <v>3671852274</v>
      </c>
      <c r="U42" s="35">
        <v>4662736487</v>
      </c>
      <c r="V42" s="35">
        <v>2221627111</v>
      </c>
      <c r="W42" s="35">
        <v>1709697401</v>
      </c>
      <c r="X42" s="35">
        <v>8145220924</v>
      </c>
      <c r="Y42" s="35">
        <v>7183858614</v>
      </c>
      <c r="Z42" s="35">
        <v>5627545425</v>
      </c>
      <c r="AA42" s="35">
        <v>5579005246</v>
      </c>
      <c r="AB42" s="35">
        <v>9150314701</v>
      </c>
      <c r="AC42" s="35">
        <v>8510233118</v>
      </c>
      <c r="AD42" s="35">
        <v>7792581184</v>
      </c>
      <c r="AE42" s="35">
        <v>7118800065</v>
      </c>
      <c r="AF42" s="35">
        <v>7030817990</v>
      </c>
      <c r="AG42" s="35">
        <v>7635882179</v>
      </c>
      <c r="AH42" s="35">
        <v>8088495327</v>
      </c>
      <c r="AI42" s="35">
        <v>7886638739</v>
      </c>
      <c r="AJ42" s="35">
        <v>8466261018</v>
      </c>
      <c r="AK42" s="35">
        <v>7021827102</v>
      </c>
      <c r="AL42" s="35">
        <v>6715619944</v>
      </c>
      <c r="AM42" s="35">
        <v>6638736449</v>
      </c>
      <c r="AN42" s="35">
        <v>7453392869</v>
      </c>
      <c r="AO42" s="35">
        <v>10090383500</v>
      </c>
      <c r="AP42" s="35">
        <v>9523101882</v>
      </c>
      <c r="AQ42" s="35">
        <v>11009714369</v>
      </c>
      <c r="AR42" s="35">
        <v>11029278425</v>
      </c>
      <c r="AS42" s="35">
        <v>10496124461</v>
      </c>
      <c r="AT42" s="35">
        <v>11384579309</v>
      </c>
      <c r="AU42" s="35">
        <v>11426602174</v>
      </c>
      <c r="AV42" s="35">
        <v>11746075725</v>
      </c>
      <c r="AW42" s="35">
        <v>10269138389</v>
      </c>
      <c r="AX42" s="35">
        <v>10626766582</v>
      </c>
      <c r="AY42" s="35">
        <v>9858519374</v>
      </c>
      <c r="AZ42" s="35">
        <v>11072243110</v>
      </c>
      <c r="BA42" s="35">
        <v>8834035774</v>
      </c>
      <c r="BB42" s="35">
        <v>7848966637</v>
      </c>
      <c r="BC42" s="35">
        <v>8280510070</v>
      </c>
      <c r="BD42" s="35">
        <v>9077992753</v>
      </c>
      <c r="BE42" s="35">
        <v>8207694852</v>
      </c>
      <c r="BF42" s="35">
        <v>9403068379</v>
      </c>
      <c r="BG42" s="35">
        <v>7536622429</v>
      </c>
      <c r="BH42" s="35">
        <v>10513571407</v>
      </c>
      <c r="BI42" s="35">
        <v>14815035663</v>
      </c>
      <c r="BJ42" s="35">
        <v>14386677390</v>
      </c>
      <c r="BK42" s="35">
        <v>13730084874</v>
      </c>
      <c r="BL42" s="35">
        <v>12687250516</v>
      </c>
      <c r="BM42" s="35">
        <v>12325362581</v>
      </c>
      <c r="BN42" s="35">
        <v>10597287304</v>
      </c>
      <c r="BO42" s="35">
        <f>BN44</f>
        <v>10977840408</v>
      </c>
      <c r="BP42" s="35">
        <f>BO44</f>
        <v>12076511328</v>
      </c>
      <c r="BQ42" s="35"/>
      <c r="BR42" s="35"/>
      <c r="BS42" s="35"/>
      <c r="BT42" s="35"/>
      <c r="BU42" s="35"/>
      <c r="BV42" s="35"/>
      <c r="BW42" s="35"/>
    </row>
    <row r="43" spans="1:75">
      <c r="A43" s="160">
        <v>40</v>
      </c>
      <c r="B43" s="161" t="s">
        <v>235</v>
      </c>
      <c r="C43" s="162">
        <v>8</v>
      </c>
      <c r="D43" s="39">
        <v>0</v>
      </c>
      <c r="E43" s="39">
        <v>0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>
        <v>0</v>
      </c>
      <c r="AO43" s="39">
        <v>0</v>
      </c>
      <c r="AP43" s="39"/>
      <c r="AQ43" s="39"/>
      <c r="AR43" s="39"/>
      <c r="AS43" s="39"/>
      <c r="AT43" s="39"/>
      <c r="AU43" s="39"/>
      <c r="AV43" s="39"/>
      <c r="AW43" s="39"/>
      <c r="AX43" s="39"/>
      <c r="AY43" s="40"/>
      <c r="AZ43" s="41">
        <v>0</v>
      </c>
      <c r="BA43" s="40">
        <v>0</v>
      </c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</row>
    <row r="44" spans="1:75">
      <c r="A44" s="126">
        <v>41</v>
      </c>
      <c r="B44" s="127" t="s">
        <v>236</v>
      </c>
      <c r="C44" s="150">
        <v>8</v>
      </c>
      <c r="D44" s="35">
        <v>483768379</v>
      </c>
      <c r="E44" s="35">
        <v>720643553</v>
      </c>
      <c r="F44" s="35">
        <v>1773031343</v>
      </c>
      <c r="G44" s="35">
        <v>941288593</v>
      </c>
      <c r="H44" s="35">
        <v>1138189869</v>
      </c>
      <c r="I44" s="35">
        <v>308909807</v>
      </c>
      <c r="J44" s="35">
        <v>308359216</v>
      </c>
      <c r="K44" s="35">
        <v>835835371</v>
      </c>
      <c r="L44" s="35">
        <v>586813513</v>
      </c>
      <c r="M44" s="35">
        <v>479311301</v>
      </c>
      <c r="N44" s="35">
        <v>436629811</v>
      </c>
      <c r="O44" s="35">
        <v>212801747</v>
      </c>
      <c r="P44" s="35">
        <v>1518099189</v>
      </c>
      <c r="Q44" s="35">
        <v>717217893</v>
      </c>
      <c r="R44" s="35">
        <v>309531290</v>
      </c>
      <c r="S44" s="35">
        <v>3671852274</v>
      </c>
      <c r="T44" s="35">
        <v>4662736487</v>
      </c>
      <c r="U44" s="35">
        <v>2221627111</v>
      </c>
      <c r="V44" s="35">
        <v>1709697401</v>
      </c>
      <c r="W44" s="35">
        <v>8145220924</v>
      </c>
      <c r="X44" s="35">
        <v>7183858614</v>
      </c>
      <c r="Y44" s="35">
        <v>5627545425</v>
      </c>
      <c r="Z44" s="35">
        <v>5579005246</v>
      </c>
      <c r="AA44" s="35">
        <v>9150314701</v>
      </c>
      <c r="AB44" s="35">
        <v>8510233118</v>
      </c>
      <c r="AC44" s="35">
        <v>7792581184</v>
      </c>
      <c r="AD44" s="35">
        <v>7118800065</v>
      </c>
      <c r="AE44" s="35">
        <v>7030817990</v>
      </c>
      <c r="AF44" s="35">
        <v>7635882179</v>
      </c>
      <c r="AG44" s="35">
        <v>8088495327</v>
      </c>
      <c r="AH44" s="35">
        <v>7886638739</v>
      </c>
      <c r="AI44" s="35">
        <v>8466261018</v>
      </c>
      <c r="AJ44" s="35">
        <v>7021827102</v>
      </c>
      <c r="AK44" s="35">
        <v>6715619944</v>
      </c>
      <c r="AL44" s="35">
        <v>6638736449</v>
      </c>
      <c r="AM44" s="35">
        <v>7453392869</v>
      </c>
      <c r="AN44" s="35">
        <v>10090383500</v>
      </c>
      <c r="AO44" s="35">
        <v>9523101882</v>
      </c>
      <c r="AP44" s="35">
        <v>11009714369</v>
      </c>
      <c r="AQ44" s="35">
        <v>11029278425</v>
      </c>
      <c r="AR44" s="35">
        <v>10496124461</v>
      </c>
      <c r="AS44" s="35">
        <v>11384579309</v>
      </c>
      <c r="AT44" s="35">
        <v>11426602174</v>
      </c>
      <c r="AU44" s="35">
        <v>11746075725</v>
      </c>
      <c r="AV44" s="35">
        <v>10269138389</v>
      </c>
      <c r="AW44" s="35">
        <v>10626766582</v>
      </c>
      <c r="AX44" s="35">
        <v>9858519374</v>
      </c>
      <c r="AY44" s="35">
        <v>11072243110</v>
      </c>
      <c r="AZ44" s="35">
        <v>8834035774</v>
      </c>
      <c r="BA44" s="35">
        <v>7848966637</v>
      </c>
      <c r="BB44" s="35">
        <v>8280510070</v>
      </c>
      <c r="BC44" s="35">
        <v>9077992753</v>
      </c>
      <c r="BD44" s="35">
        <v>8207694852</v>
      </c>
      <c r="BE44" s="35">
        <v>9403068379</v>
      </c>
      <c r="BF44" s="35">
        <v>7536622429</v>
      </c>
      <c r="BG44" s="35">
        <v>10513571407</v>
      </c>
      <c r="BH44" s="35">
        <v>14815035663</v>
      </c>
      <c r="BI44" s="35">
        <v>14386677390</v>
      </c>
      <c r="BJ44" s="35">
        <v>13730084874</v>
      </c>
      <c r="BK44" s="35">
        <f>BK41+BK42</f>
        <v>12687250516</v>
      </c>
      <c r="BL44" s="35">
        <f>BL41+BL42</f>
        <v>12325362581</v>
      </c>
      <c r="BM44" s="35">
        <v>10597287304</v>
      </c>
      <c r="BN44" s="35">
        <f>BN41+BN42</f>
        <v>10977840408</v>
      </c>
      <c r="BO44" s="35">
        <f>BO41+BO42</f>
        <v>12076511328</v>
      </c>
      <c r="BP44" s="35">
        <f>BP41+BP42</f>
        <v>11568161626</v>
      </c>
      <c r="BQ44" s="35"/>
      <c r="BR44" s="35"/>
      <c r="BS44" s="35"/>
      <c r="BT44" s="35"/>
      <c r="BU44" s="35"/>
      <c r="BV44" s="35"/>
      <c r="BW44" s="35"/>
    </row>
  </sheetData>
  <sheetProtection algorithmName="SHA-512" hashValue="9r/zrJh2iOhqQRnojT3FypCiVVzeytCsCtOj0gIewkNSvPZCAVIBexCYDhPv+x9ji4F589wmSveZFyMxRIDxYQ==" saltValue="b4RprewqBGgoPsrdPmkv9w==" spinCount="100000" sheet="1" objects="1" scenarios="1"/>
  <protectedRanges>
    <protectedRange sqref="D4:BW44" name="CF"/>
  </protectedRange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D16E-86FB-4F88-A3C5-768F1673EE74}">
  <sheetPr>
    <tabColor theme="9" tint="0.59999389629810485"/>
  </sheetPr>
  <dimension ref="A1:BW57"/>
  <sheetViews>
    <sheetView showGridLines="0" zoomScale="80" zoomScaleNormal="80" workbookViewId="0">
      <pane xSplit="3" ySplit="3" topLeftCell="BL4" activePane="bottomRight" state="frozen"/>
      <selection pane="topRight" activeCell="AZ4" sqref="AZ4"/>
      <selection pane="bottomLeft" activeCell="AZ4" sqref="AZ4"/>
      <selection pane="bottomRight" activeCell="BO23" sqref="BO23"/>
    </sheetView>
  </sheetViews>
  <sheetFormatPr defaultRowHeight="14.5"/>
  <cols>
    <col min="1" max="1" width="10.6328125" hidden="1" customWidth="1"/>
    <col min="2" max="2" width="55" customWidth="1"/>
    <col min="3" max="3" width="13.6328125" hidden="1" customWidth="1"/>
    <col min="4" max="26" width="13.6328125" customWidth="1"/>
    <col min="27" max="28" width="14.453125" customWidth="1"/>
    <col min="29" max="51" width="13.6328125" customWidth="1"/>
    <col min="52" max="56" width="13.6328125" bestFit="1" customWidth="1"/>
    <col min="57" max="59" width="14.90625" bestFit="1" customWidth="1"/>
    <col min="60" max="63" width="13.6328125" bestFit="1" customWidth="1"/>
    <col min="64" max="64" width="13.90625" bestFit="1" customWidth="1"/>
    <col min="65" max="75" width="13.6328125" bestFit="1" customWidth="1"/>
  </cols>
  <sheetData>
    <row r="1" spans="1:75" ht="17.5">
      <c r="B1" s="43" t="s">
        <v>0</v>
      </c>
    </row>
    <row r="2" spans="1:75">
      <c r="B2" s="47" t="s">
        <v>237</v>
      </c>
    </row>
    <row r="3" spans="1:75" ht="28">
      <c r="A3" s="174" t="s">
        <v>401</v>
      </c>
      <c r="B3" s="175" t="s">
        <v>402</v>
      </c>
      <c r="C3" s="176" t="s">
        <v>240</v>
      </c>
      <c r="D3" s="177" t="s">
        <v>241</v>
      </c>
      <c r="E3" s="177" t="s">
        <v>242</v>
      </c>
      <c r="F3" s="177" t="s">
        <v>243</v>
      </c>
      <c r="G3" s="177" t="s">
        <v>244</v>
      </c>
      <c r="H3" s="177" t="s">
        <v>245</v>
      </c>
      <c r="I3" s="177" t="s">
        <v>246</v>
      </c>
      <c r="J3" s="177" t="s">
        <v>247</v>
      </c>
      <c r="K3" s="177" t="s">
        <v>248</v>
      </c>
      <c r="L3" s="177" t="s">
        <v>249</v>
      </c>
      <c r="M3" s="177" t="s">
        <v>250</v>
      </c>
      <c r="N3" s="177" t="s">
        <v>251</v>
      </c>
      <c r="O3" s="177" t="s">
        <v>252</v>
      </c>
      <c r="P3" s="177" t="s">
        <v>253</v>
      </c>
      <c r="Q3" s="177" t="s">
        <v>254</v>
      </c>
      <c r="R3" s="177" t="s">
        <v>255</v>
      </c>
      <c r="S3" s="177" t="s">
        <v>256</v>
      </c>
      <c r="T3" s="177" t="s">
        <v>257</v>
      </c>
      <c r="U3" s="177" t="s">
        <v>258</v>
      </c>
      <c r="V3" s="177" t="s">
        <v>259</v>
      </c>
      <c r="W3" s="177" t="s">
        <v>260</v>
      </c>
      <c r="X3" s="177" t="s">
        <v>261</v>
      </c>
      <c r="Y3" s="177" t="s">
        <v>262</v>
      </c>
      <c r="Z3" s="177" t="s">
        <v>263</v>
      </c>
      <c r="AA3" s="177" t="s">
        <v>264</v>
      </c>
      <c r="AB3" s="177" t="s">
        <v>265</v>
      </c>
      <c r="AC3" s="177" t="s">
        <v>266</v>
      </c>
      <c r="AD3" s="177" t="s">
        <v>267</v>
      </c>
      <c r="AE3" s="177" t="s">
        <v>268</v>
      </c>
      <c r="AF3" s="177" t="s">
        <v>269</v>
      </c>
      <c r="AG3" s="177" t="s">
        <v>270</v>
      </c>
      <c r="AH3" s="177" t="s">
        <v>271</v>
      </c>
      <c r="AI3" s="177" t="s">
        <v>272</v>
      </c>
      <c r="AJ3" s="177" t="s">
        <v>273</v>
      </c>
      <c r="AK3" s="177" t="s">
        <v>274</v>
      </c>
      <c r="AL3" s="177" t="s">
        <v>275</v>
      </c>
      <c r="AM3" s="177" t="s">
        <v>276</v>
      </c>
      <c r="AN3" s="177" t="s">
        <v>277</v>
      </c>
      <c r="AO3" s="177" t="s">
        <v>278</v>
      </c>
      <c r="AP3" s="177" t="s">
        <v>279</v>
      </c>
      <c r="AQ3" s="177" t="s">
        <v>280</v>
      </c>
      <c r="AR3" s="177" t="s">
        <v>281</v>
      </c>
      <c r="AS3" s="177" t="s">
        <v>282</v>
      </c>
      <c r="AT3" s="177" t="s">
        <v>283</v>
      </c>
      <c r="AU3" s="177" t="s">
        <v>284</v>
      </c>
      <c r="AV3" s="177" t="s">
        <v>285</v>
      </c>
      <c r="AW3" s="177" t="s">
        <v>286</v>
      </c>
      <c r="AX3" s="177" t="s">
        <v>287</v>
      </c>
      <c r="AY3" s="177" t="s">
        <v>288</v>
      </c>
      <c r="AZ3" s="177" t="s">
        <v>289</v>
      </c>
      <c r="BA3" s="177" t="s">
        <v>290</v>
      </c>
      <c r="BB3" s="177" t="s">
        <v>291</v>
      </c>
      <c r="BC3" s="177" t="s">
        <v>292</v>
      </c>
      <c r="BD3" s="177" t="s">
        <v>293</v>
      </c>
      <c r="BE3" s="177" t="s">
        <v>294</v>
      </c>
      <c r="BF3" s="177" t="s">
        <v>295</v>
      </c>
      <c r="BG3" s="177" t="s">
        <v>296</v>
      </c>
      <c r="BH3" s="177" t="s">
        <v>297</v>
      </c>
      <c r="BI3" s="177" t="s">
        <v>298</v>
      </c>
      <c r="BJ3" s="177" t="s">
        <v>299</v>
      </c>
      <c r="BK3" s="177" t="s">
        <v>300</v>
      </c>
      <c r="BL3" s="177" t="s">
        <v>301</v>
      </c>
      <c r="BM3" s="177" t="s">
        <v>302</v>
      </c>
      <c r="BN3" s="177" t="s">
        <v>303</v>
      </c>
      <c r="BO3" s="177" t="s">
        <v>304</v>
      </c>
      <c r="BP3" s="177" t="s">
        <v>305</v>
      </c>
      <c r="BQ3" s="177" t="s">
        <v>306</v>
      </c>
      <c r="BR3" s="177" t="s">
        <v>307</v>
      </c>
      <c r="BS3" s="177" t="s">
        <v>308</v>
      </c>
      <c r="BT3" s="177" t="s">
        <v>309</v>
      </c>
      <c r="BU3" s="177" t="s">
        <v>310</v>
      </c>
      <c r="BV3" s="177" t="s">
        <v>311</v>
      </c>
      <c r="BW3" s="177" t="s">
        <v>312</v>
      </c>
    </row>
    <row r="4" spans="1:75">
      <c r="A4" s="178">
        <v>1</v>
      </c>
      <c r="B4" s="179" t="s">
        <v>403</v>
      </c>
      <c r="C4" s="180">
        <v>8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>
        <v>32</v>
      </c>
      <c r="BA4" s="198">
        <v>37</v>
      </c>
      <c r="BB4" s="198">
        <v>38</v>
      </c>
      <c r="BC4" s="198">
        <v>49</v>
      </c>
      <c r="BD4" s="198">
        <v>50</v>
      </c>
      <c r="BE4" s="198">
        <v>49</v>
      </c>
      <c r="BF4" s="198">
        <v>55</v>
      </c>
      <c r="BG4" s="198">
        <v>61</v>
      </c>
      <c r="BH4" s="198">
        <v>64</v>
      </c>
      <c r="BI4" s="198">
        <v>56</v>
      </c>
      <c r="BJ4" s="198">
        <v>51</v>
      </c>
      <c r="BK4" s="198">
        <v>52</v>
      </c>
      <c r="BL4" s="198">
        <v>54</v>
      </c>
      <c r="BM4" s="198">
        <v>55</v>
      </c>
      <c r="BN4" s="198">
        <v>54</v>
      </c>
      <c r="BO4" s="198">
        <v>52</v>
      </c>
      <c r="BP4" s="198">
        <v>54</v>
      </c>
      <c r="BQ4" s="198"/>
      <c r="BR4" s="198"/>
      <c r="BS4" s="198"/>
      <c r="BT4" s="198"/>
      <c r="BU4" s="198"/>
      <c r="BV4" s="198"/>
      <c r="BW4" s="198"/>
    </row>
    <row r="5" spans="1:75">
      <c r="A5" s="178">
        <v>2</v>
      </c>
      <c r="B5" s="179" t="s">
        <v>404</v>
      </c>
      <c r="C5" s="180">
        <v>8</v>
      </c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>
        <v>25</v>
      </c>
      <c r="BA5" s="198">
        <v>29</v>
      </c>
      <c r="BB5" s="198">
        <v>30</v>
      </c>
      <c r="BC5" s="198">
        <v>41</v>
      </c>
      <c r="BD5" s="198">
        <v>40</v>
      </c>
      <c r="BE5" s="198">
        <v>38</v>
      </c>
      <c r="BF5" s="198">
        <v>44</v>
      </c>
      <c r="BG5" s="198">
        <v>50</v>
      </c>
      <c r="BH5" s="198">
        <v>53</v>
      </c>
      <c r="BI5" s="198">
        <v>45</v>
      </c>
      <c r="BJ5" s="198">
        <v>40</v>
      </c>
      <c r="BK5" s="198">
        <v>41</v>
      </c>
      <c r="BL5" s="198">
        <v>42</v>
      </c>
      <c r="BM5" s="198">
        <v>43</v>
      </c>
      <c r="BN5" s="198">
        <v>42</v>
      </c>
      <c r="BO5" s="198">
        <v>40</v>
      </c>
      <c r="BP5" s="198">
        <v>41</v>
      </c>
      <c r="BQ5" s="198"/>
      <c r="BR5" s="198"/>
      <c r="BS5" s="198"/>
      <c r="BT5" s="198"/>
      <c r="BU5" s="198"/>
      <c r="BV5" s="198"/>
      <c r="BW5" s="198"/>
    </row>
    <row r="6" spans="1:75">
      <c r="A6" s="178">
        <v>3</v>
      </c>
      <c r="B6" s="179" t="s">
        <v>405</v>
      </c>
      <c r="C6" s="180">
        <v>8</v>
      </c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>
        <v>25</v>
      </c>
      <c r="BA6" s="198">
        <v>20</v>
      </c>
      <c r="BB6" s="198">
        <v>24</v>
      </c>
      <c r="BC6" s="198">
        <v>26</v>
      </c>
      <c r="BD6" s="198">
        <v>23</v>
      </c>
      <c r="BE6" s="198">
        <v>27</v>
      </c>
      <c r="BF6" s="198">
        <v>26</v>
      </c>
      <c r="BG6" s="198">
        <v>26</v>
      </c>
      <c r="BH6" s="198">
        <v>25</v>
      </c>
      <c r="BI6" s="198">
        <v>26</v>
      </c>
      <c r="BJ6" s="198">
        <v>26</v>
      </c>
      <c r="BK6" s="198">
        <v>26</v>
      </c>
      <c r="BL6" s="198">
        <v>26</v>
      </c>
      <c r="BM6" s="198">
        <v>19</v>
      </c>
      <c r="BN6" s="198">
        <v>24</v>
      </c>
      <c r="BO6" s="198">
        <v>27</v>
      </c>
      <c r="BP6" s="198">
        <v>25</v>
      </c>
      <c r="BQ6" s="198"/>
      <c r="BR6" s="198"/>
      <c r="BS6" s="198"/>
      <c r="BT6" s="198"/>
      <c r="BU6" s="198"/>
      <c r="BV6" s="198"/>
      <c r="BW6" s="198"/>
    </row>
    <row r="7" spans="1:75">
      <c r="A7" s="178">
        <v>4</v>
      </c>
      <c r="B7" s="179" t="s">
        <v>406</v>
      </c>
      <c r="C7" s="180">
        <v>8</v>
      </c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>
        <v>182.06399999999999</v>
      </c>
      <c r="BA7" s="198">
        <v>299.67</v>
      </c>
      <c r="BB7" s="198">
        <v>406.40600000000001</v>
      </c>
      <c r="BC7" s="198">
        <v>446.48</v>
      </c>
      <c r="BD7" s="198">
        <v>546.68200000000002</v>
      </c>
      <c r="BE7" s="198">
        <v>568.61900000000003</v>
      </c>
      <c r="BF7" s="198">
        <v>747.35199999999998</v>
      </c>
      <c r="BG7" s="198">
        <v>830.97500000000002</v>
      </c>
      <c r="BH7" s="198">
        <v>685.803</v>
      </c>
      <c r="BI7" s="198">
        <v>535.44899999999996</v>
      </c>
      <c r="BJ7" s="198">
        <v>491.68400000000003</v>
      </c>
      <c r="BK7" s="198">
        <v>550.09299999999996</v>
      </c>
      <c r="BL7" s="198">
        <v>613.80200000000002</v>
      </c>
      <c r="BM7" s="198">
        <v>382.70499999999998</v>
      </c>
      <c r="BN7" s="198">
        <v>806.39700000000005</v>
      </c>
      <c r="BO7" s="198">
        <v>518.66899999999998</v>
      </c>
      <c r="BP7" s="198">
        <v>823.22299999999996</v>
      </c>
      <c r="BQ7" s="198"/>
      <c r="BR7" s="198"/>
      <c r="BS7" s="198"/>
      <c r="BT7" s="198"/>
      <c r="BU7" s="198"/>
      <c r="BV7" s="198"/>
      <c r="BW7" s="198"/>
    </row>
    <row r="8" spans="1:75">
      <c r="A8" s="178">
        <v>5</v>
      </c>
      <c r="B8" s="179" t="s">
        <v>407</v>
      </c>
      <c r="C8" s="180">
        <v>8</v>
      </c>
      <c r="D8" s="198">
        <v>0</v>
      </c>
      <c r="E8" s="198">
        <v>0</v>
      </c>
      <c r="F8" s="198">
        <v>0</v>
      </c>
      <c r="G8" s="198">
        <v>0</v>
      </c>
      <c r="H8" s="198">
        <v>0</v>
      </c>
      <c r="I8" s="198">
        <v>0</v>
      </c>
      <c r="J8" s="198">
        <v>0</v>
      </c>
      <c r="K8" s="198">
        <v>0</v>
      </c>
      <c r="L8" s="198">
        <v>0</v>
      </c>
      <c r="M8" s="198">
        <v>0</v>
      </c>
      <c r="N8" s="198">
        <v>0</v>
      </c>
      <c r="O8" s="198">
        <v>0</v>
      </c>
      <c r="P8" s="198">
        <v>13.776</v>
      </c>
      <c r="Q8" s="198">
        <v>0</v>
      </c>
      <c r="R8" s="198">
        <v>21.242999999999999</v>
      </c>
      <c r="S8" s="198">
        <v>18.384</v>
      </c>
      <c r="T8" s="198">
        <v>69.305999999999997</v>
      </c>
      <c r="U8" s="198">
        <v>57.128</v>
      </c>
      <c r="V8" s="198">
        <v>45.009</v>
      </c>
      <c r="W8" s="198">
        <v>133.15100000000001</v>
      </c>
      <c r="X8" s="198">
        <v>87.34</v>
      </c>
      <c r="Y8" s="198">
        <v>200.28399999999999</v>
      </c>
      <c r="Z8" s="198">
        <v>162.75049999999999</v>
      </c>
      <c r="AA8" s="198">
        <v>200.149</v>
      </c>
      <c r="AB8" s="198">
        <v>177.0275</v>
      </c>
      <c r="AC8" s="198">
        <v>116.39700000000001</v>
      </c>
      <c r="AD8" s="198">
        <v>313</v>
      </c>
      <c r="AE8" s="198">
        <v>367</v>
      </c>
      <c r="AF8" s="198">
        <v>260</v>
      </c>
      <c r="AG8" s="198">
        <v>320</v>
      </c>
      <c r="AH8" s="198">
        <v>273</v>
      </c>
      <c r="AI8" s="198">
        <v>241</v>
      </c>
      <c r="AJ8" s="198">
        <v>225</v>
      </c>
      <c r="AK8" s="198">
        <v>267</v>
      </c>
      <c r="AL8" s="198">
        <v>161</v>
      </c>
      <c r="AM8" s="198">
        <v>411.80099999999999</v>
      </c>
      <c r="AN8" s="198">
        <v>573</v>
      </c>
      <c r="AO8" s="198">
        <v>269</v>
      </c>
      <c r="AP8" s="198">
        <v>385</v>
      </c>
      <c r="AQ8" s="198">
        <v>393</v>
      </c>
      <c r="AR8" s="198">
        <v>627.69200000000001</v>
      </c>
      <c r="AS8" s="198">
        <v>379</v>
      </c>
      <c r="AT8" s="198">
        <v>289.90899999999999</v>
      </c>
      <c r="AU8" s="198">
        <v>249.529</v>
      </c>
      <c r="AV8" s="198">
        <v>256.07</v>
      </c>
      <c r="AW8" s="198">
        <v>285.92700000000002</v>
      </c>
      <c r="AX8" s="198">
        <v>301.60300000000001</v>
      </c>
      <c r="AY8" s="198">
        <v>231.24799999999999</v>
      </c>
      <c r="AZ8" s="198">
        <v>136.81700000000001</v>
      </c>
      <c r="BA8" s="198">
        <v>284.58600000000001</v>
      </c>
      <c r="BB8" s="198">
        <v>355.69799999999998</v>
      </c>
      <c r="BC8" s="198">
        <v>421.53300000000002</v>
      </c>
      <c r="BD8" s="198">
        <v>410.44900000000001</v>
      </c>
      <c r="BE8" s="198">
        <v>572.58600000000001</v>
      </c>
      <c r="BF8" s="198">
        <v>681.43200000000002</v>
      </c>
      <c r="BG8" s="198">
        <v>736.18600000000004</v>
      </c>
      <c r="BH8" s="198">
        <v>660.12800000000004</v>
      </c>
      <c r="BI8" s="198">
        <v>493.928</v>
      </c>
      <c r="BJ8" s="198">
        <v>419.82400000000001</v>
      </c>
      <c r="BK8" s="198">
        <f>'Ket qua kinh doanh'!BK4</f>
        <v>530.27</v>
      </c>
      <c r="BL8" s="198">
        <f>'Ket qua kinh doanh'!BL4</f>
        <v>513.46100000000001</v>
      </c>
      <c r="BM8" s="198">
        <f>'Ket qua kinh doanh'!BM4</f>
        <v>321.709</v>
      </c>
      <c r="BN8" s="198">
        <v>698.89099999999996</v>
      </c>
      <c r="BO8" s="198">
        <f>'Ket qua kinh doanh'!BO4</f>
        <v>493.24</v>
      </c>
      <c r="BP8" s="198">
        <f>'Ket qua kinh doanh'!BP4</f>
        <v>710.76800000000003</v>
      </c>
      <c r="BQ8" s="198">
        <f>'Ket qua kinh doanh'!BQ4</f>
        <v>0</v>
      </c>
      <c r="BR8" s="198">
        <f>'Ket qua kinh doanh'!BR4</f>
        <v>0</v>
      </c>
      <c r="BS8" s="198">
        <f>'Ket qua kinh doanh'!BS4</f>
        <v>0</v>
      </c>
      <c r="BT8" s="198">
        <f>'Ket qua kinh doanh'!BT4</f>
        <v>0</v>
      </c>
      <c r="BU8" s="198">
        <f>'Ket qua kinh doanh'!BU4</f>
        <v>0</v>
      </c>
      <c r="BV8" s="198">
        <f>'Ket qua kinh doanh'!BV4</f>
        <v>0</v>
      </c>
      <c r="BW8" s="198">
        <f>'Ket qua kinh doanh'!BW4</f>
        <v>0</v>
      </c>
    </row>
    <row r="9" spans="1:75">
      <c r="A9" s="181">
        <v>6</v>
      </c>
      <c r="B9" s="182" t="s">
        <v>408</v>
      </c>
      <c r="C9" s="183">
        <v>8</v>
      </c>
      <c r="D9" s="199">
        <v>0</v>
      </c>
      <c r="E9" s="199">
        <v>0</v>
      </c>
      <c r="F9" s="199">
        <v>0</v>
      </c>
      <c r="G9" s="199">
        <v>368424150</v>
      </c>
      <c r="H9" s="199">
        <v>539826374</v>
      </c>
      <c r="I9" s="199">
        <v>10846000</v>
      </c>
      <c r="J9" s="199">
        <v>0</v>
      </c>
      <c r="K9" s="199">
        <v>0</v>
      </c>
      <c r="L9" s="199">
        <v>0</v>
      </c>
      <c r="M9" s="199">
        <v>85659200</v>
      </c>
      <c r="N9" s="199">
        <v>502162200</v>
      </c>
      <c r="O9" s="199">
        <v>21720000</v>
      </c>
      <c r="P9" s="199">
        <v>106450910</v>
      </c>
      <c r="Q9" s="199">
        <v>0</v>
      </c>
      <c r="R9" s="199">
        <v>265207910</v>
      </c>
      <c r="S9" s="199">
        <v>235390963</v>
      </c>
      <c r="T9" s="199">
        <v>549971500</v>
      </c>
      <c r="U9" s="199">
        <v>1004388000</v>
      </c>
      <c r="V9" s="199">
        <v>811042500</v>
      </c>
      <c r="W9" s="199">
        <v>2190311943</v>
      </c>
      <c r="X9" s="199">
        <v>1430897000</v>
      </c>
      <c r="Y9" s="199">
        <v>3280888000</v>
      </c>
      <c r="Z9" s="199">
        <v>2548509050</v>
      </c>
      <c r="AA9" s="199">
        <v>2627327757</v>
      </c>
      <c r="AB9" s="199">
        <v>1822423459</v>
      </c>
      <c r="AC9" s="199">
        <v>1503889814</v>
      </c>
      <c r="AD9" s="199">
        <v>4340539454</v>
      </c>
      <c r="AE9" s="199">
        <v>5632467285</v>
      </c>
      <c r="AF9" s="199">
        <v>3711774521</v>
      </c>
      <c r="AG9" s="199">
        <v>4642198050</v>
      </c>
      <c r="AH9" s="199">
        <v>3681484099</v>
      </c>
      <c r="AI9" s="199">
        <v>3500109250</v>
      </c>
      <c r="AJ9" s="199">
        <v>3283780279</v>
      </c>
      <c r="AK9" s="199">
        <v>4161593000</v>
      </c>
      <c r="AL9" s="199">
        <v>2393981900</v>
      </c>
      <c r="AM9" s="199">
        <v>5807772500</v>
      </c>
      <c r="AN9" s="199">
        <v>8400713900</v>
      </c>
      <c r="AO9" s="199">
        <v>3931174800</v>
      </c>
      <c r="AP9" s="199">
        <v>5768669300</v>
      </c>
      <c r="AQ9" s="199">
        <v>5809292600</v>
      </c>
      <c r="AR9" s="199">
        <v>9485730900</v>
      </c>
      <c r="AS9" s="199">
        <v>6180931000</v>
      </c>
      <c r="AT9" s="199">
        <v>4176102000</v>
      </c>
      <c r="AU9" s="199">
        <v>3625752000</v>
      </c>
      <c r="AV9" s="199">
        <v>3921219000</v>
      </c>
      <c r="AW9" s="199">
        <v>4329468100</v>
      </c>
      <c r="AX9" s="199">
        <v>4671750950</v>
      </c>
      <c r="AY9" s="199">
        <v>3649641000</v>
      </c>
      <c r="AZ9" s="199">
        <v>2184030270</v>
      </c>
      <c r="BA9" s="199">
        <v>4906179695</v>
      </c>
      <c r="BB9" s="199">
        <v>6333654608</v>
      </c>
      <c r="BC9" s="199">
        <v>7807068174</v>
      </c>
      <c r="BD9" s="199">
        <v>7380147015</v>
      </c>
      <c r="BE9" s="199">
        <v>10556762949</v>
      </c>
      <c r="BF9" s="199">
        <v>12875151030</v>
      </c>
      <c r="BG9" s="199">
        <v>13763220740</v>
      </c>
      <c r="BH9" s="199">
        <v>9904916640</v>
      </c>
      <c r="BI9" s="199">
        <v>7003708500</v>
      </c>
      <c r="BJ9" s="199">
        <v>5985740000</v>
      </c>
      <c r="BK9" s="199">
        <f>'Ket qua kinh doanh'!BK5</f>
        <v>7484127000</v>
      </c>
      <c r="BL9" s="199">
        <f>'Ket qua kinh doanh'!BL5</f>
        <v>7320017770</v>
      </c>
      <c r="BM9" s="199">
        <f>'Ket qua kinh doanh'!BM5</f>
        <v>4596489350</v>
      </c>
      <c r="BN9" s="199">
        <f>'Ket qua kinh doanh'!BN5</f>
        <v>9617317135</v>
      </c>
      <c r="BO9" s="199">
        <f>'Ket qua kinh doanh'!BO5</f>
        <v>7009495222</v>
      </c>
      <c r="BP9" s="199">
        <f>'Ket qua kinh doanh'!BP5</f>
        <v>11024894520</v>
      </c>
      <c r="BQ9" s="199">
        <f>'Ket qua kinh doanh'!BQ5</f>
        <v>0</v>
      </c>
      <c r="BR9" s="199">
        <f>'Ket qua kinh doanh'!BR5</f>
        <v>0</v>
      </c>
      <c r="BS9" s="199">
        <f>'Ket qua kinh doanh'!BS5</f>
        <v>0</v>
      </c>
      <c r="BT9" s="199">
        <f>'Ket qua kinh doanh'!BT5</f>
        <v>0</v>
      </c>
      <c r="BU9" s="199">
        <f>'Ket qua kinh doanh'!BU5</f>
        <v>0</v>
      </c>
      <c r="BV9" s="199">
        <f>'Ket qua kinh doanh'!BV5</f>
        <v>0</v>
      </c>
      <c r="BW9" s="199">
        <f>'Ket qua kinh doanh'!BW5</f>
        <v>0</v>
      </c>
    </row>
    <row r="10" spans="1:75">
      <c r="A10" s="184">
        <v>7</v>
      </c>
      <c r="B10" s="185" t="s">
        <v>409</v>
      </c>
      <c r="C10" s="186">
        <v>8</v>
      </c>
      <c r="D10" s="200">
        <v>0</v>
      </c>
      <c r="E10" s="200">
        <v>0</v>
      </c>
      <c r="F10" s="200">
        <v>0</v>
      </c>
      <c r="G10" s="200">
        <v>0</v>
      </c>
      <c r="H10" s="200">
        <v>0</v>
      </c>
      <c r="I10" s="200">
        <v>0</v>
      </c>
      <c r="J10" s="200">
        <v>0</v>
      </c>
      <c r="K10" s="200">
        <v>0</v>
      </c>
      <c r="L10" s="200">
        <v>0</v>
      </c>
      <c r="M10" s="200">
        <v>0</v>
      </c>
      <c r="N10" s="200">
        <v>0</v>
      </c>
      <c r="O10" s="200">
        <v>0</v>
      </c>
      <c r="P10" s="200">
        <v>0</v>
      </c>
      <c r="Q10" s="200">
        <v>0</v>
      </c>
      <c r="R10" s="200">
        <v>0</v>
      </c>
      <c r="S10" s="200">
        <v>0</v>
      </c>
      <c r="T10" s="200">
        <v>0</v>
      </c>
      <c r="U10" s="200">
        <v>0</v>
      </c>
      <c r="V10" s="200">
        <v>0</v>
      </c>
      <c r="W10" s="200">
        <v>0</v>
      </c>
      <c r="X10" s="200">
        <v>0</v>
      </c>
      <c r="Y10" s="200">
        <v>0</v>
      </c>
      <c r="Z10" s="200">
        <v>0</v>
      </c>
      <c r="AA10" s="200">
        <v>0</v>
      </c>
      <c r="AB10" s="200">
        <v>0</v>
      </c>
      <c r="AC10" s="200">
        <v>0</v>
      </c>
      <c r="AD10" s="200">
        <v>0</v>
      </c>
      <c r="AE10" s="200">
        <v>0</v>
      </c>
      <c r="AF10" s="200">
        <v>0</v>
      </c>
      <c r="AG10" s="200">
        <v>0</v>
      </c>
      <c r="AH10" s="200">
        <v>0</v>
      </c>
      <c r="AI10" s="200">
        <v>0</v>
      </c>
      <c r="AJ10" s="200">
        <v>0</v>
      </c>
      <c r="AK10" s="200">
        <v>0</v>
      </c>
      <c r="AL10" s="200">
        <v>0</v>
      </c>
      <c r="AM10" s="200">
        <v>0</v>
      </c>
      <c r="AN10" s="200">
        <v>0</v>
      </c>
      <c r="AO10" s="200">
        <v>0</v>
      </c>
      <c r="AP10" s="200">
        <v>0</v>
      </c>
      <c r="AQ10" s="200">
        <v>0</v>
      </c>
      <c r="AR10" s="200">
        <v>0</v>
      </c>
      <c r="AS10" s="200">
        <v>0</v>
      </c>
      <c r="AT10" s="200">
        <v>0</v>
      </c>
      <c r="AU10" s="200">
        <v>0</v>
      </c>
      <c r="AV10" s="200">
        <v>0</v>
      </c>
      <c r="AW10" s="200">
        <v>0</v>
      </c>
      <c r="AX10" s="200">
        <v>0</v>
      </c>
      <c r="AY10" s="200">
        <v>0</v>
      </c>
      <c r="AZ10" s="200">
        <v>0</v>
      </c>
      <c r="BA10" s="200">
        <v>0</v>
      </c>
      <c r="BB10" s="200">
        <v>0</v>
      </c>
      <c r="BC10" s="200">
        <v>0</v>
      </c>
      <c r="BD10" s="200">
        <v>0</v>
      </c>
      <c r="BE10" s="200">
        <v>0</v>
      </c>
      <c r="BF10" s="200">
        <v>0</v>
      </c>
      <c r="BG10" s="200">
        <v>0</v>
      </c>
      <c r="BH10" s="200">
        <v>0</v>
      </c>
      <c r="BI10" s="200">
        <v>0</v>
      </c>
      <c r="BJ10" s="200">
        <v>0</v>
      </c>
      <c r="BK10" s="200">
        <f>'Ket qua kinh doanh'!BK6</f>
        <v>0</v>
      </c>
      <c r="BL10" s="200">
        <f>'Ket qua kinh doanh'!BL6</f>
        <v>0</v>
      </c>
      <c r="BM10" s="200">
        <f>'Ket qua kinh doanh'!BM6</f>
        <v>0</v>
      </c>
      <c r="BN10" s="200">
        <f>'Ket qua kinh doanh'!BN6</f>
        <v>0</v>
      </c>
      <c r="BO10" s="200">
        <f>'Ket qua kinh doanh'!BO6</f>
        <v>0</v>
      </c>
      <c r="BP10" s="200">
        <f>'Ket qua kinh doanh'!BP6</f>
        <v>0</v>
      </c>
      <c r="BQ10" s="200">
        <f>'Ket qua kinh doanh'!BQ6</f>
        <v>0</v>
      </c>
      <c r="BR10" s="200">
        <f>'Ket qua kinh doanh'!BR6</f>
        <v>0</v>
      </c>
      <c r="BS10" s="200">
        <f>'Ket qua kinh doanh'!BS6</f>
        <v>0</v>
      </c>
      <c r="BT10" s="200">
        <f>'Ket qua kinh doanh'!BT6</f>
        <v>0</v>
      </c>
      <c r="BU10" s="200">
        <f>'Ket qua kinh doanh'!BU6</f>
        <v>0</v>
      </c>
      <c r="BV10" s="200">
        <f>'Ket qua kinh doanh'!BV6</f>
        <v>0</v>
      </c>
      <c r="BW10" s="200">
        <f>'Ket qua kinh doanh'!BW6</f>
        <v>0</v>
      </c>
    </row>
    <row r="11" spans="1:75">
      <c r="A11" s="184">
        <v>8</v>
      </c>
      <c r="B11" s="185" t="s">
        <v>410</v>
      </c>
      <c r="C11" s="187">
        <v>8</v>
      </c>
      <c r="D11" s="201" t="s">
        <v>411</v>
      </c>
      <c r="E11" s="201" t="s">
        <v>411</v>
      </c>
      <c r="F11" s="201" t="s">
        <v>411</v>
      </c>
      <c r="G11" s="201">
        <v>0</v>
      </c>
      <c r="H11" s="201">
        <v>0</v>
      </c>
      <c r="I11" s="201">
        <v>0</v>
      </c>
      <c r="J11" s="201" t="s">
        <v>411</v>
      </c>
      <c r="K11" s="201" t="s">
        <v>411</v>
      </c>
      <c r="L11" s="201" t="s">
        <v>411</v>
      </c>
      <c r="M11" s="201">
        <v>0</v>
      </c>
      <c r="N11" s="201">
        <v>0</v>
      </c>
      <c r="O11" s="201">
        <v>0</v>
      </c>
      <c r="P11" s="201">
        <v>0</v>
      </c>
      <c r="Q11" s="201" t="s">
        <v>411</v>
      </c>
      <c r="R11" s="201">
        <v>0</v>
      </c>
      <c r="S11" s="201">
        <v>0</v>
      </c>
      <c r="T11" s="201">
        <v>0</v>
      </c>
      <c r="U11" s="201">
        <v>0</v>
      </c>
      <c r="V11" s="201">
        <v>0</v>
      </c>
      <c r="W11" s="201">
        <v>0</v>
      </c>
      <c r="X11" s="201">
        <v>0</v>
      </c>
      <c r="Y11" s="201">
        <v>0</v>
      </c>
      <c r="Z11" s="201">
        <v>0</v>
      </c>
      <c r="AA11" s="201">
        <v>0</v>
      </c>
      <c r="AB11" s="201">
        <v>0</v>
      </c>
      <c r="AC11" s="201">
        <v>0</v>
      </c>
      <c r="AD11" s="201">
        <v>0</v>
      </c>
      <c r="AE11" s="201">
        <v>0</v>
      </c>
      <c r="AF11" s="201">
        <v>0</v>
      </c>
      <c r="AG11" s="201">
        <v>0</v>
      </c>
      <c r="AH11" s="201">
        <v>0</v>
      </c>
      <c r="AI11" s="201">
        <v>0</v>
      </c>
      <c r="AJ11" s="201">
        <v>0</v>
      </c>
      <c r="AK11" s="201">
        <v>0</v>
      </c>
      <c r="AL11" s="201">
        <v>0</v>
      </c>
      <c r="AM11" s="201">
        <v>0</v>
      </c>
      <c r="AN11" s="201">
        <v>0</v>
      </c>
      <c r="AO11" s="201">
        <v>0</v>
      </c>
      <c r="AP11" s="201">
        <v>0</v>
      </c>
      <c r="AQ11" s="201">
        <v>0</v>
      </c>
      <c r="AR11" s="201">
        <v>0</v>
      </c>
      <c r="AS11" s="201">
        <v>0</v>
      </c>
      <c r="AT11" s="201">
        <v>0</v>
      </c>
      <c r="AU11" s="201">
        <v>0</v>
      </c>
      <c r="AV11" s="201">
        <v>0</v>
      </c>
      <c r="AW11" s="201">
        <v>0</v>
      </c>
      <c r="AX11" s="201">
        <v>0</v>
      </c>
      <c r="AY11" s="201">
        <v>0</v>
      </c>
      <c r="AZ11" s="201">
        <v>0</v>
      </c>
      <c r="BA11" s="201">
        <v>0</v>
      </c>
      <c r="BB11" s="201">
        <v>0</v>
      </c>
      <c r="BC11" s="201">
        <v>0</v>
      </c>
      <c r="BD11" s="201">
        <v>0</v>
      </c>
      <c r="BE11" s="201">
        <v>0</v>
      </c>
      <c r="BF11" s="201">
        <v>0</v>
      </c>
      <c r="BG11" s="201">
        <v>0</v>
      </c>
      <c r="BH11" s="201">
        <v>0</v>
      </c>
      <c r="BI11" s="201">
        <v>0</v>
      </c>
      <c r="BJ11" s="201">
        <v>0</v>
      </c>
      <c r="BK11" s="201">
        <f t="shared" ref="BK11:BW11" si="0">IFERROR(BK10/BK9,"")</f>
        <v>0</v>
      </c>
      <c r="BL11" s="201">
        <f t="shared" si="0"/>
        <v>0</v>
      </c>
      <c r="BM11" s="201">
        <f t="shared" si="0"/>
        <v>0</v>
      </c>
      <c r="BN11" s="201">
        <f t="shared" si="0"/>
        <v>0</v>
      </c>
      <c r="BO11" s="201">
        <f t="shared" si="0"/>
        <v>0</v>
      </c>
      <c r="BP11" s="201">
        <f t="shared" si="0"/>
        <v>0</v>
      </c>
      <c r="BQ11" s="201" t="str">
        <f t="shared" si="0"/>
        <v/>
      </c>
      <c r="BR11" s="201" t="str">
        <f t="shared" si="0"/>
        <v/>
      </c>
      <c r="BS11" s="201" t="str">
        <f t="shared" si="0"/>
        <v/>
      </c>
      <c r="BT11" s="201" t="str">
        <f t="shared" si="0"/>
        <v/>
      </c>
      <c r="BU11" s="201" t="str">
        <f t="shared" si="0"/>
        <v/>
      </c>
      <c r="BV11" s="201" t="str">
        <f t="shared" si="0"/>
        <v/>
      </c>
      <c r="BW11" s="201" t="str">
        <f t="shared" si="0"/>
        <v/>
      </c>
    </row>
    <row r="12" spans="1:75">
      <c r="A12" s="181">
        <v>9</v>
      </c>
      <c r="B12" s="182" t="s">
        <v>412</v>
      </c>
      <c r="C12" s="188">
        <v>8</v>
      </c>
      <c r="D12" s="202">
        <v>0</v>
      </c>
      <c r="E12" s="202">
        <v>0</v>
      </c>
      <c r="F12" s="202">
        <v>0</v>
      </c>
      <c r="G12" s="202">
        <v>368424150</v>
      </c>
      <c r="H12" s="202">
        <v>539826374</v>
      </c>
      <c r="I12" s="202">
        <v>10846000</v>
      </c>
      <c r="J12" s="202">
        <v>0</v>
      </c>
      <c r="K12" s="202">
        <v>0</v>
      </c>
      <c r="L12" s="202">
        <v>0</v>
      </c>
      <c r="M12" s="202">
        <v>85659200</v>
      </c>
      <c r="N12" s="202">
        <v>502162200</v>
      </c>
      <c r="O12" s="202">
        <v>21720000</v>
      </c>
      <c r="P12" s="202">
        <v>106450910</v>
      </c>
      <c r="Q12" s="202">
        <v>0</v>
      </c>
      <c r="R12" s="202">
        <v>265207910</v>
      </c>
      <c r="S12" s="202">
        <v>235390963</v>
      </c>
      <c r="T12" s="202">
        <v>549971500</v>
      </c>
      <c r="U12" s="202">
        <v>1004388000</v>
      </c>
      <c r="V12" s="202">
        <v>811042500</v>
      </c>
      <c r="W12" s="202">
        <v>2190311943</v>
      </c>
      <c r="X12" s="202">
        <v>1430897000</v>
      </c>
      <c r="Y12" s="202">
        <v>3280888000</v>
      </c>
      <c r="Z12" s="202">
        <v>2548509050</v>
      </c>
      <c r="AA12" s="202">
        <v>2627327757</v>
      </c>
      <c r="AB12" s="202">
        <v>1822423459</v>
      </c>
      <c r="AC12" s="202">
        <v>1503889814</v>
      </c>
      <c r="AD12" s="202">
        <v>4340539454</v>
      </c>
      <c r="AE12" s="202">
        <v>5632467285</v>
      </c>
      <c r="AF12" s="202">
        <v>3711774521</v>
      </c>
      <c r="AG12" s="202">
        <v>4642198050</v>
      </c>
      <c r="AH12" s="202">
        <v>3681484099</v>
      </c>
      <c r="AI12" s="202">
        <v>3500109250</v>
      </c>
      <c r="AJ12" s="202">
        <v>3283780279</v>
      </c>
      <c r="AK12" s="202">
        <v>4161593000</v>
      </c>
      <c r="AL12" s="202">
        <v>2393981900</v>
      </c>
      <c r="AM12" s="202">
        <v>5807772500</v>
      </c>
      <c r="AN12" s="202">
        <v>8400713900</v>
      </c>
      <c r="AO12" s="202">
        <v>3931174800</v>
      </c>
      <c r="AP12" s="202">
        <v>5768669300</v>
      </c>
      <c r="AQ12" s="202">
        <v>5809292600</v>
      </c>
      <c r="AR12" s="202">
        <v>9485730900</v>
      </c>
      <c r="AS12" s="202">
        <v>6180931000</v>
      </c>
      <c r="AT12" s="202">
        <v>4176102000</v>
      </c>
      <c r="AU12" s="202">
        <v>3625752000</v>
      </c>
      <c r="AV12" s="202">
        <v>3921219000</v>
      </c>
      <c r="AW12" s="202">
        <v>4329468100</v>
      </c>
      <c r="AX12" s="202">
        <v>4671750950</v>
      </c>
      <c r="AY12" s="202">
        <v>3649641000</v>
      </c>
      <c r="AZ12" s="202">
        <v>2184030270</v>
      </c>
      <c r="BA12" s="202">
        <v>4906179695</v>
      </c>
      <c r="BB12" s="202">
        <v>6333654608</v>
      </c>
      <c r="BC12" s="202">
        <v>7807068174</v>
      </c>
      <c r="BD12" s="202">
        <v>7380147015</v>
      </c>
      <c r="BE12" s="202">
        <v>10556762949</v>
      </c>
      <c r="BF12" s="202">
        <v>12875151030</v>
      </c>
      <c r="BG12" s="202">
        <v>13763220740</v>
      </c>
      <c r="BH12" s="202">
        <v>9904916640</v>
      </c>
      <c r="BI12" s="202">
        <v>7003708500</v>
      </c>
      <c r="BJ12" s="202">
        <v>5985740000</v>
      </c>
      <c r="BK12" s="202">
        <f>'Ket qua kinh doanh'!BK7</f>
        <v>7484127000</v>
      </c>
      <c r="BL12" s="202">
        <f>'Ket qua kinh doanh'!BL7</f>
        <v>7320017770</v>
      </c>
      <c r="BM12" s="202">
        <f>'Ket qua kinh doanh'!BM7</f>
        <v>4596489350</v>
      </c>
      <c r="BN12" s="202">
        <f>'Ket qua kinh doanh'!BN7</f>
        <v>9617317135</v>
      </c>
      <c r="BO12" s="202">
        <f>'Ket qua kinh doanh'!BO7</f>
        <v>7009495222</v>
      </c>
      <c r="BP12" s="202">
        <f>'Ket qua kinh doanh'!BP7</f>
        <v>11024894520</v>
      </c>
      <c r="BQ12" s="202">
        <f>'Ket qua kinh doanh'!BQ7</f>
        <v>0</v>
      </c>
      <c r="BR12" s="202">
        <f>'Ket qua kinh doanh'!BR7</f>
        <v>0</v>
      </c>
      <c r="BS12" s="202">
        <f>'Ket qua kinh doanh'!BS7</f>
        <v>0</v>
      </c>
      <c r="BT12" s="202">
        <f>'Ket qua kinh doanh'!BT7</f>
        <v>0</v>
      </c>
      <c r="BU12" s="202">
        <f>'Ket qua kinh doanh'!BU7</f>
        <v>0</v>
      </c>
      <c r="BV12" s="202">
        <f>'Ket qua kinh doanh'!BV7</f>
        <v>0</v>
      </c>
      <c r="BW12" s="202">
        <f>'Ket qua kinh doanh'!BW7</f>
        <v>0</v>
      </c>
    </row>
    <row r="13" spans="1:75">
      <c r="A13" s="178">
        <v>10</v>
      </c>
      <c r="B13" s="179" t="s">
        <v>413</v>
      </c>
      <c r="C13" s="189">
        <v>8</v>
      </c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</row>
    <row r="14" spans="1:75">
      <c r="A14" s="178">
        <v>11</v>
      </c>
      <c r="B14" s="179" t="s">
        <v>414</v>
      </c>
      <c r="C14" s="189">
        <v>8</v>
      </c>
      <c r="D14" s="203"/>
      <c r="E14" s="203"/>
      <c r="F14" s="203"/>
      <c r="G14" s="203">
        <v>368424150</v>
      </c>
      <c r="H14" s="203">
        <v>539826374</v>
      </c>
      <c r="I14" s="203">
        <v>10846000</v>
      </c>
      <c r="J14" s="203">
        <v>0</v>
      </c>
      <c r="K14" s="203">
        <v>0</v>
      </c>
      <c r="L14" s="203">
        <v>0</v>
      </c>
      <c r="M14" s="203">
        <v>85659200</v>
      </c>
      <c r="N14" s="203">
        <v>502162200</v>
      </c>
      <c r="O14" s="203">
        <v>21720000</v>
      </c>
      <c r="P14" s="203">
        <v>106450910</v>
      </c>
      <c r="Q14" s="203">
        <v>0</v>
      </c>
      <c r="R14" s="203">
        <v>265207910</v>
      </c>
      <c r="S14" s="203">
        <v>235390963</v>
      </c>
      <c r="T14" s="203">
        <v>549971500</v>
      </c>
      <c r="U14" s="203">
        <v>1004388000</v>
      </c>
      <c r="V14" s="203">
        <v>811042500</v>
      </c>
      <c r="W14" s="203">
        <v>2190311943</v>
      </c>
      <c r="X14" s="203">
        <v>1430897000</v>
      </c>
      <c r="Y14" s="203">
        <v>3280888000</v>
      </c>
      <c r="Z14" s="203">
        <v>2548509050</v>
      </c>
      <c r="AA14" s="203">
        <v>2627327757</v>
      </c>
      <c r="AB14" s="203">
        <v>1822423459</v>
      </c>
      <c r="AC14" s="203">
        <v>1503889814</v>
      </c>
      <c r="AD14" s="203">
        <v>4340539454</v>
      </c>
      <c r="AE14" s="203">
        <v>5632467285</v>
      </c>
      <c r="AF14" s="203">
        <v>3711774521</v>
      </c>
      <c r="AG14" s="203">
        <v>4642198050</v>
      </c>
      <c r="AH14" s="203">
        <v>3681484099</v>
      </c>
      <c r="AI14" s="203">
        <v>3500109250</v>
      </c>
      <c r="AJ14" s="203">
        <v>3283780279</v>
      </c>
      <c r="AK14" s="203">
        <v>4161593000</v>
      </c>
      <c r="AL14" s="203">
        <v>2393981900</v>
      </c>
      <c r="AM14" s="203">
        <v>5807772500</v>
      </c>
      <c r="AN14" s="203">
        <v>8400713900</v>
      </c>
      <c r="AO14" s="203">
        <v>3931174800</v>
      </c>
      <c r="AP14" s="203">
        <v>5768669300</v>
      </c>
      <c r="AQ14" s="203">
        <v>5809292600</v>
      </c>
      <c r="AR14" s="203">
        <v>9485730900</v>
      </c>
      <c r="AS14" s="203">
        <v>6180931000</v>
      </c>
      <c r="AT14" s="203">
        <v>4176102000</v>
      </c>
      <c r="AU14" s="203">
        <v>3625752000</v>
      </c>
      <c r="AV14" s="203">
        <v>3921219000</v>
      </c>
      <c r="AW14" s="203">
        <v>4329468100</v>
      </c>
      <c r="AX14" s="203">
        <v>4671750950</v>
      </c>
      <c r="AY14" s="203">
        <v>3649641000</v>
      </c>
      <c r="AZ14" s="203">
        <v>2184030270</v>
      </c>
      <c r="BA14" s="203">
        <v>4906179695</v>
      </c>
      <c r="BB14" s="203">
        <v>6333654608</v>
      </c>
      <c r="BC14" s="203">
        <v>7807068174</v>
      </c>
      <c r="BD14" s="203">
        <v>7380147015</v>
      </c>
      <c r="BE14" s="203">
        <v>10556762949</v>
      </c>
      <c r="BF14" s="203">
        <v>12875151030</v>
      </c>
      <c r="BG14" s="203">
        <v>13763220740</v>
      </c>
      <c r="BH14" s="203">
        <v>9904916640</v>
      </c>
      <c r="BI14" s="203">
        <v>7003708500</v>
      </c>
      <c r="BJ14" s="203">
        <v>5985740000</v>
      </c>
      <c r="BK14" s="203">
        <v>7484127000</v>
      </c>
      <c r="BL14" s="203">
        <v>7320017770</v>
      </c>
      <c r="BM14" s="203">
        <f>BM12</f>
        <v>4596489350</v>
      </c>
      <c r="BN14" s="203">
        <f>BN9</f>
        <v>9617317135</v>
      </c>
      <c r="BO14" s="203">
        <f>BO9</f>
        <v>7009495222</v>
      </c>
      <c r="BP14" s="203">
        <f>BP9</f>
        <v>11024894520</v>
      </c>
      <c r="BQ14" s="203"/>
      <c r="BR14" s="203"/>
      <c r="BS14" s="203"/>
      <c r="BT14" s="203"/>
      <c r="BU14" s="203"/>
      <c r="BV14" s="203"/>
      <c r="BW14" s="203"/>
    </row>
    <row r="15" spans="1:75">
      <c r="A15" s="178">
        <v>12</v>
      </c>
      <c r="B15" s="179" t="s">
        <v>415</v>
      </c>
      <c r="C15" s="189">
        <v>8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</row>
    <row r="16" spans="1:75">
      <c r="A16" s="181">
        <v>13</v>
      </c>
      <c r="B16" s="182" t="s">
        <v>416</v>
      </c>
      <c r="C16" s="183">
        <v>8</v>
      </c>
      <c r="D16" s="199">
        <v>0</v>
      </c>
      <c r="E16" s="199">
        <v>0</v>
      </c>
      <c r="F16" s="199">
        <v>0</v>
      </c>
      <c r="G16" s="199">
        <v>356035081</v>
      </c>
      <c r="H16" s="199">
        <v>539685001</v>
      </c>
      <c r="I16" s="199">
        <v>10850195</v>
      </c>
      <c r="J16" s="199">
        <v>0</v>
      </c>
      <c r="K16" s="199">
        <v>0</v>
      </c>
      <c r="L16" s="199">
        <v>0</v>
      </c>
      <c r="M16" s="199">
        <v>84649200</v>
      </c>
      <c r="N16" s="199">
        <v>465251111</v>
      </c>
      <c r="O16" s="199">
        <v>15974935</v>
      </c>
      <c r="P16" s="199">
        <v>168407744</v>
      </c>
      <c r="Q16" s="199">
        <v>5395812</v>
      </c>
      <c r="R16" s="199">
        <v>236779308</v>
      </c>
      <c r="S16" s="199">
        <v>207650748</v>
      </c>
      <c r="T16" s="199">
        <v>435137862</v>
      </c>
      <c r="U16" s="199">
        <v>918387357</v>
      </c>
      <c r="V16" s="199">
        <v>738967733</v>
      </c>
      <c r="W16" s="199">
        <v>1857317418</v>
      </c>
      <c r="X16" s="199">
        <v>1276370111</v>
      </c>
      <c r="Y16" s="199">
        <v>2962185705</v>
      </c>
      <c r="Z16" s="199">
        <v>2312380906</v>
      </c>
      <c r="AA16" s="199">
        <v>2612701467</v>
      </c>
      <c r="AB16" s="199">
        <v>2339926056</v>
      </c>
      <c r="AC16" s="199">
        <v>1617373611</v>
      </c>
      <c r="AD16" s="199">
        <v>4386031675</v>
      </c>
      <c r="AE16" s="199">
        <v>4924018381</v>
      </c>
      <c r="AF16" s="199">
        <v>3584096913</v>
      </c>
      <c r="AG16" s="199">
        <v>4175851308</v>
      </c>
      <c r="AH16" s="199">
        <v>3523205486</v>
      </c>
      <c r="AI16" s="199">
        <v>3237017132</v>
      </c>
      <c r="AJ16" s="199">
        <v>3209996558</v>
      </c>
      <c r="AK16" s="199">
        <v>3747756710</v>
      </c>
      <c r="AL16" s="199">
        <v>2368686966</v>
      </c>
      <c r="AM16" s="199">
        <v>4587732653</v>
      </c>
      <c r="AN16" s="199">
        <v>8360095204</v>
      </c>
      <c r="AO16" s="199">
        <v>3915335812</v>
      </c>
      <c r="AP16" s="199">
        <v>5491561659</v>
      </c>
      <c r="AQ16" s="199">
        <v>5777251201</v>
      </c>
      <c r="AR16" s="199">
        <v>9281674213</v>
      </c>
      <c r="AS16" s="199">
        <v>6197150720</v>
      </c>
      <c r="AT16" s="199">
        <v>4472052819</v>
      </c>
      <c r="AU16" s="199">
        <v>3843795589</v>
      </c>
      <c r="AV16" s="199">
        <v>4098228510</v>
      </c>
      <c r="AW16" s="199">
        <v>4453562079</v>
      </c>
      <c r="AX16" s="199">
        <v>4802207565</v>
      </c>
      <c r="AY16" s="199">
        <v>3764356934</v>
      </c>
      <c r="AZ16" s="199">
        <v>2508077713</v>
      </c>
      <c r="BA16" s="199">
        <v>4740440112</v>
      </c>
      <c r="BB16" s="199">
        <v>6014198762</v>
      </c>
      <c r="BC16" s="199">
        <v>7255972077</v>
      </c>
      <c r="BD16" s="199">
        <v>7126741795</v>
      </c>
      <c r="BE16" s="199">
        <v>9609629830</v>
      </c>
      <c r="BF16" s="199">
        <v>11568387569</v>
      </c>
      <c r="BG16" s="199">
        <v>11854114403</v>
      </c>
      <c r="BH16" s="199">
        <v>9491382430</v>
      </c>
      <c r="BI16" s="199">
        <v>6472207694</v>
      </c>
      <c r="BJ16" s="199">
        <v>5524770244</v>
      </c>
      <c r="BK16" s="199">
        <f>'Ket qua kinh doanh'!BK8</f>
        <v>6694289988</v>
      </c>
      <c r="BL16" s="199">
        <f>'Ket qua kinh doanh'!BL8</f>
        <v>6508047485</v>
      </c>
      <c r="BM16" s="199">
        <f>'Ket qua kinh doanh'!BM8</f>
        <v>4138247394</v>
      </c>
      <c r="BN16" s="199">
        <f>'Ket qua kinh doanh'!BN8</f>
        <v>8386341981</v>
      </c>
      <c r="BO16" s="199">
        <f>'Ket qua kinh doanh'!BO8</f>
        <v>6103584508</v>
      </c>
      <c r="BP16" s="199">
        <f>'Ket qua kinh doanh'!BP8</f>
        <v>9397938637</v>
      </c>
      <c r="BQ16" s="199">
        <f>'Ket qua kinh doanh'!BQ8</f>
        <v>0</v>
      </c>
      <c r="BR16" s="199">
        <f>'Ket qua kinh doanh'!BR8</f>
        <v>0</v>
      </c>
      <c r="BS16" s="199">
        <f>'Ket qua kinh doanh'!BS8</f>
        <v>0</v>
      </c>
      <c r="BT16" s="199">
        <f>'Ket qua kinh doanh'!BT8</f>
        <v>0</v>
      </c>
      <c r="BU16" s="199">
        <f>'Ket qua kinh doanh'!BU8</f>
        <v>0</v>
      </c>
      <c r="BV16" s="199">
        <f>'Ket qua kinh doanh'!BV8</f>
        <v>0</v>
      </c>
      <c r="BW16" s="199">
        <f>'Ket qua kinh doanh'!BW8</f>
        <v>0</v>
      </c>
    </row>
    <row r="17" spans="1:75">
      <c r="A17" s="178">
        <v>14</v>
      </c>
      <c r="B17" s="179" t="s">
        <v>417</v>
      </c>
      <c r="C17" s="189">
        <v>8</v>
      </c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>
        <v>1872397513</v>
      </c>
      <c r="BA17" s="203">
        <v>4071157664</v>
      </c>
      <c r="BB17" s="203">
        <v>5290595481</v>
      </c>
      <c r="BC17" s="203">
        <v>6408889885</v>
      </c>
      <c r="BD17" s="203">
        <v>6270983502</v>
      </c>
      <c r="BE17" s="203">
        <v>8705715509</v>
      </c>
      <c r="BF17" s="203">
        <v>10603834723</v>
      </c>
      <c r="BG17" s="203">
        <v>10770564134</v>
      </c>
      <c r="BH17" s="203">
        <v>8426566336</v>
      </c>
      <c r="BI17" s="203">
        <v>5574646568</v>
      </c>
      <c r="BJ17" s="203">
        <v>4672677150</v>
      </c>
      <c r="BK17" s="203">
        <v>5670717766</v>
      </c>
      <c r="BL17" s="203">
        <v>5578831855</v>
      </c>
      <c r="BM17" s="203">
        <v>3437777528</v>
      </c>
      <c r="BN17" s="203">
        <v>7441576343</v>
      </c>
      <c r="BO17" s="203">
        <v>5155085629</v>
      </c>
      <c r="BP17" s="203">
        <v>8229832952</v>
      </c>
      <c r="BQ17" s="203"/>
      <c r="BR17" s="203"/>
      <c r="BS17" s="203"/>
      <c r="BT17" s="203"/>
      <c r="BU17" s="203"/>
      <c r="BV17" s="203"/>
      <c r="BW17" s="203"/>
    </row>
    <row r="18" spans="1:75">
      <c r="A18" s="178">
        <v>15</v>
      </c>
      <c r="B18" s="179" t="s">
        <v>418</v>
      </c>
      <c r="C18" s="189">
        <v>8</v>
      </c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>
        <v>14966664</v>
      </c>
      <c r="BA18" s="203">
        <v>21292373</v>
      </c>
      <c r="BB18" s="203">
        <v>25117015</v>
      </c>
      <c r="BC18" s="203">
        <v>32094081</v>
      </c>
      <c r="BD18" s="203">
        <v>37969299</v>
      </c>
      <c r="BE18" s="203">
        <v>37177652</v>
      </c>
      <c r="BF18" s="203">
        <v>43890267</v>
      </c>
      <c r="BG18" s="203">
        <v>52273770</v>
      </c>
      <c r="BH18" s="203">
        <v>44157689</v>
      </c>
      <c r="BI18" s="203">
        <v>36272022</v>
      </c>
      <c r="BJ18" s="203">
        <v>33333020</v>
      </c>
      <c r="BK18" s="203">
        <v>45631278</v>
      </c>
      <c r="BL18" s="203">
        <v>61880687</v>
      </c>
      <c r="BM18" s="203">
        <v>41859427</v>
      </c>
      <c r="BN18" s="203">
        <v>126170721</v>
      </c>
      <c r="BO18" s="203">
        <v>111184654</v>
      </c>
      <c r="BP18" s="203">
        <v>128822938</v>
      </c>
      <c r="BQ18" s="203"/>
      <c r="BR18" s="203"/>
      <c r="BS18" s="203"/>
      <c r="BT18" s="203"/>
      <c r="BU18" s="203"/>
      <c r="BV18" s="203"/>
      <c r="BW18" s="203"/>
    </row>
    <row r="19" spans="1:75">
      <c r="A19" s="178">
        <v>16</v>
      </c>
      <c r="B19" s="179" t="s">
        <v>419</v>
      </c>
      <c r="C19" s="189">
        <v>8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>
        <v>70120287</v>
      </c>
      <c r="BM19" s="203">
        <v>42511997</v>
      </c>
      <c r="BN19" s="203">
        <v>45937482</v>
      </c>
      <c r="BO19" s="203">
        <v>12683752</v>
      </c>
      <c r="BP19" s="203">
        <v>34383473</v>
      </c>
      <c r="BQ19" s="203"/>
      <c r="BR19" s="203"/>
      <c r="BS19" s="203"/>
      <c r="BT19" s="203"/>
      <c r="BU19" s="203"/>
      <c r="BV19" s="203"/>
      <c r="BW19" s="203"/>
    </row>
    <row r="20" spans="1:75">
      <c r="A20" s="178">
        <v>17</v>
      </c>
      <c r="B20" s="179" t="s">
        <v>420</v>
      </c>
      <c r="C20" s="189">
        <v>8</v>
      </c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>
        <v>2567554212</v>
      </c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>
        <v>2554916743</v>
      </c>
      <c r="AZ20" s="203">
        <v>138876280</v>
      </c>
      <c r="BA20" s="203">
        <v>155783986</v>
      </c>
      <c r="BB20" s="203">
        <v>177334366</v>
      </c>
      <c r="BC20" s="203">
        <v>255561933</v>
      </c>
      <c r="BD20" s="203">
        <v>252261421</v>
      </c>
      <c r="BE20" s="203">
        <v>251285364</v>
      </c>
      <c r="BF20" s="203">
        <v>284518616</v>
      </c>
      <c r="BG20" s="203">
        <v>342793696</v>
      </c>
      <c r="BH20" s="203">
        <v>348910620</v>
      </c>
      <c r="BI20" s="203">
        <v>262787069</v>
      </c>
      <c r="BJ20" s="203">
        <v>224219843</v>
      </c>
      <c r="BK20" s="203">
        <v>262655694</v>
      </c>
      <c r="BL20" s="203">
        <v>255919621</v>
      </c>
      <c r="BM20" s="203">
        <v>200142773</v>
      </c>
      <c r="BN20" s="203">
        <v>203330611</v>
      </c>
      <c r="BO20" s="203">
        <v>189184907</v>
      </c>
      <c r="BP20" s="203">
        <v>198620967</v>
      </c>
      <c r="BQ20" s="203"/>
      <c r="BR20" s="203"/>
      <c r="BS20" s="203"/>
      <c r="BT20" s="203"/>
      <c r="BU20" s="203"/>
      <c r="BV20" s="203"/>
      <c r="BW20" s="203"/>
    </row>
    <row r="21" spans="1:75">
      <c r="A21" s="178">
        <v>18</v>
      </c>
      <c r="B21" s="179" t="s">
        <v>421</v>
      </c>
      <c r="C21" s="189">
        <v>8</v>
      </c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>
        <v>42747065</v>
      </c>
      <c r="BA21" s="203">
        <v>49557123</v>
      </c>
      <c r="BB21" s="203">
        <v>62361238</v>
      </c>
      <c r="BC21" s="203">
        <v>81764340</v>
      </c>
      <c r="BD21" s="203">
        <v>94171572</v>
      </c>
      <c r="BE21" s="203">
        <v>90055394</v>
      </c>
      <c r="BF21" s="203">
        <v>91341488</v>
      </c>
      <c r="BG21" s="203">
        <v>116936417</v>
      </c>
      <c r="BH21" s="203">
        <v>104715596</v>
      </c>
      <c r="BI21" s="203">
        <v>77095616</v>
      </c>
      <c r="BJ21" s="203">
        <v>82173071</v>
      </c>
      <c r="BK21" s="203">
        <v>94297821</v>
      </c>
      <c r="BL21" s="203">
        <v>82892288</v>
      </c>
      <c r="BM21" s="203">
        <v>78882902</v>
      </c>
      <c r="BN21" s="203">
        <v>91031904</v>
      </c>
      <c r="BO21" s="203">
        <v>134220248</v>
      </c>
      <c r="BP21" s="203">
        <v>132848351</v>
      </c>
      <c r="BQ21" s="203"/>
      <c r="BR21" s="203"/>
      <c r="BS21" s="203"/>
      <c r="BT21" s="203"/>
      <c r="BU21" s="203"/>
      <c r="BV21" s="203"/>
      <c r="BW21" s="203"/>
    </row>
    <row r="22" spans="1:75">
      <c r="A22" s="178">
        <v>19</v>
      </c>
      <c r="B22" s="179" t="s">
        <v>422</v>
      </c>
      <c r="C22" s="189">
        <v>8</v>
      </c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>
        <v>366098300</v>
      </c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>
        <v>530657837</v>
      </c>
      <c r="AZ22" s="203">
        <v>41628449</v>
      </c>
      <c r="BA22" s="203">
        <v>43918951</v>
      </c>
      <c r="BB22" s="203">
        <v>41498338</v>
      </c>
      <c r="BC22" s="203">
        <v>52608481</v>
      </c>
      <c r="BD22" s="203">
        <v>41902386</v>
      </c>
      <c r="BE22" s="203">
        <v>49927420</v>
      </c>
      <c r="BF22" s="203">
        <v>51791818</v>
      </c>
      <c r="BG22" s="203">
        <v>56172918</v>
      </c>
      <c r="BH22" s="203">
        <v>53336155</v>
      </c>
      <c r="BI22" s="203">
        <v>53336155</v>
      </c>
      <c r="BJ22" s="203">
        <v>53336155</v>
      </c>
      <c r="BK22" s="203">
        <v>57749643</v>
      </c>
      <c r="BL22" s="203">
        <v>72926760</v>
      </c>
      <c r="BM22" s="203">
        <v>68324453</v>
      </c>
      <c r="BN22" s="203">
        <v>76025467</v>
      </c>
      <c r="BO22" s="203">
        <v>94711640</v>
      </c>
      <c r="BP22" s="203">
        <v>98717031</v>
      </c>
      <c r="BQ22" s="203"/>
      <c r="BR22" s="203"/>
      <c r="BS22" s="203"/>
      <c r="BT22" s="203"/>
      <c r="BU22" s="203"/>
      <c r="BV22" s="203"/>
      <c r="BW22" s="203"/>
    </row>
    <row r="23" spans="1:75">
      <c r="A23" s="178">
        <v>20</v>
      </c>
      <c r="B23" s="179" t="s">
        <v>423</v>
      </c>
      <c r="C23" s="189">
        <v>8</v>
      </c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>
        <v>29790529</v>
      </c>
      <c r="BA23" s="203">
        <v>31147069</v>
      </c>
      <c r="BB23" s="203">
        <v>32600037</v>
      </c>
      <c r="BC23" s="203">
        <v>30039927</v>
      </c>
      <c r="BD23" s="203">
        <v>29971651</v>
      </c>
      <c r="BE23" s="203">
        <v>30683042</v>
      </c>
      <c r="BF23" s="203">
        <v>35081043</v>
      </c>
      <c r="BG23" s="203">
        <v>35466177</v>
      </c>
      <c r="BH23" s="203">
        <v>47274482</v>
      </c>
      <c r="BI23" s="203">
        <v>47153838</v>
      </c>
      <c r="BJ23" s="203">
        <v>43342284</v>
      </c>
      <c r="BK23" s="203">
        <v>71691581</v>
      </c>
      <c r="BL23" s="203">
        <v>21230749</v>
      </c>
      <c r="BM23" s="203">
        <v>20637476</v>
      </c>
      <c r="BN23" s="203">
        <v>42593978</v>
      </c>
      <c r="BO23" s="203">
        <v>16233064</v>
      </c>
      <c r="BP23" s="203">
        <v>9202432</v>
      </c>
      <c r="BQ23" s="203"/>
      <c r="BR23" s="203"/>
      <c r="BS23" s="203"/>
      <c r="BT23" s="203"/>
      <c r="BU23" s="203"/>
      <c r="BV23" s="203"/>
      <c r="BW23" s="203"/>
    </row>
    <row r="24" spans="1:75">
      <c r="A24" s="190">
        <v>21</v>
      </c>
      <c r="B24" s="179" t="s">
        <v>424</v>
      </c>
      <c r="C24" s="189">
        <v>8</v>
      </c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>
        <f>AZ16-(SUM(AZ17:AZ23)+AZ25)</f>
        <v>58811522</v>
      </c>
      <c r="BA24" s="203">
        <f t="shared" ref="BA24:BK24" si="1">BA16-(SUM(BA17:BA23)+BA25)</f>
        <v>58723255</v>
      </c>
      <c r="BB24" s="203">
        <f t="shared" si="1"/>
        <v>71217201</v>
      </c>
      <c r="BC24" s="203">
        <f t="shared" si="1"/>
        <v>81538344</v>
      </c>
      <c r="BD24" s="203">
        <f t="shared" si="1"/>
        <v>86006878</v>
      </c>
      <c r="BE24" s="203">
        <f t="shared" si="1"/>
        <v>125851104</v>
      </c>
      <c r="BF24" s="203">
        <f t="shared" si="1"/>
        <v>137010084</v>
      </c>
      <c r="BG24" s="203">
        <f t="shared" si="1"/>
        <v>154697439</v>
      </c>
      <c r="BH24" s="203">
        <f t="shared" si="1"/>
        <v>139168689</v>
      </c>
      <c r="BI24" s="203">
        <f t="shared" si="1"/>
        <v>93663563</v>
      </c>
      <c r="BJ24" s="203">
        <f t="shared" si="1"/>
        <v>82659438</v>
      </c>
      <c r="BK24" s="203">
        <f t="shared" si="1"/>
        <v>150952352</v>
      </c>
      <c r="BL24" s="203">
        <v>149448407</v>
      </c>
      <c r="BM24" s="203">
        <v>33732451</v>
      </c>
      <c r="BN24" s="203">
        <v>129027573</v>
      </c>
      <c r="BO24" s="203">
        <v>168989775</v>
      </c>
      <c r="BP24" s="203">
        <v>322778250</v>
      </c>
      <c r="BQ24" s="203"/>
      <c r="BR24" s="203"/>
      <c r="BS24" s="203"/>
      <c r="BT24" s="203"/>
      <c r="BU24" s="203"/>
      <c r="BV24" s="203"/>
      <c r="BW24" s="203"/>
    </row>
    <row r="25" spans="1:75">
      <c r="A25" s="178">
        <v>22</v>
      </c>
      <c r="B25" s="179" t="s">
        <v>425</v>
      </c>
      <c r="C25" s="189">
        <v>8</v>
      </c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>
        <v>308859691</v>
      </c>
      <c r="BA25" s="203">
        <v>308859691</v>
      </c>
      <c r="BB25" s="203">
        <v>313475086</v>
      </c>
      <c r="BC25" s="203">
        <v>313475086</v>
      </c>
      <c r="BD25" s="203">
        <v>313475086</v>
      </c>
      <c r="BE25" s="203">
        <v>318934345</v>
      </c>
      <c r="BF25" s="203">
        <v>320919530</v>
      </c>
      <c r="BG25" s="203">
        <v>325209852</v>
      </c>
      <c r="BH25" s="203">
        <v>327252863</v>
      </c>
      <c r="BI25" s="203">
        <v>327252863</v>
      </c>
      <c r="BJ25" s="203">
        <v>333029283</v>
      </c>
      <c r="BK25" s="203">
        <v>340593853</v>
      </c>
      <c r="BL25" s="203">
        <v>184887525</v>
      </c>
      <c r="BM25" s="203">
        <v>187234749</v>
      </c>
      <c r="BN25" s="203">
        <v>185149342</v>
      </c>
      <c r="BO25" s="203">
        <v>185427109</v>
      </c>
      <c r="BP25" s="203">
        <v>185427110</v>
      </c>
      <c r="BQ25" s="203"/>
      <c r="BR25" s="203"/>
      <c r="BS25" s="203"/>
      <c r="BT25" s="203"/>
      <c r="BU25" s="203"/>
      <c r="BV25" s="203"/>
      <c r="BW25" s="203"/>
    </row>
    <row r="26" spans="1:75">
      <c r="A26" s="178">
        <v>23</v>
      </c>
      <c r="B26" s="179" t="s">
        <v>426</v>
      </c>
      <c r="C26" s="189">
        <v>8</v>
      </c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>
        <v>0</v>
      </c>
      <c r="BM26" s="203">
        <v>0</v>
      </c>
      <c r="BN26" s="203">
        <v>0</v>
      </c>
      <c r="BO26" s="203">
        <v>0</v>
      </c>
      <c r="BP26" s="203">
        <v>0</v>
      </c>
      <c r="BQ26" s="203"/>
      <c r="BR26" s="203"/>
      <c r="BS26" s="203"/>
      <c r="BT26" s="203"/>
      <c r="BU26" s="203"/>
      <c r="BV26" s="203"/>
      <c r="BW26" s="203"/>
    </row>
    <row r="27" spans="1:75">
      <c r="A27" s="178">
        <v>24</v>
      </c>
      <c r="B27" s="179" t="s">
        <v>427</v>
      </c>
      <c r="C27" s="189">
        <v>8</v>
      </c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>
        <v>7564583</v>
      </c>
      <c r="BM27" s="203">
        <v>7564583</v>
      </c>
      <c r="BN27" s="203">
        <v>7564583</v>
      </c>
      <c r="BO27" s="203">
        <v>7564583</v>
      </c>
      <c r="BP27" s="203">
        <v>7564583</v>
      </c>
      <c r="BQ27" s="203"/>
      <c r="BR27" s="203"/>
      <c r="BS27" s="203"/>
      <c r="BT27" s="203"/>
      <c r="BU27" s="203"/>
      <c r="BV27" s="203"/>
      <c r="BW27" s="203"/>
    </row>
    <row r="28" spans="1:75">
      <c r="A28" s="178">
        <v>25</v>
      </c>
      <c r="B28" s="179" t="s">
        <v>428</v>
      </c>
      <c r="C28" s="189">
        <v>8</v>
      </c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>
        <v>22344723</v>
      </c>
      <c r="BM28" s="203">
        <v>19579055</v>
      </c>
      <c r="BN28" s="203">
        <v>37933977</v>
      </c>
      <c r="BO28" s="203">
        <v>28299147</v>
      </c>
      <c r="BP28" s="203">
        <v>49740550</v>
      </c>
      <c r="BQ28" s="203"/>
      <c r="BR28" s="203"/>
      <c r="BS28" s="203"/>
      <c r="BT28" s="203"/>
      <c r="BU28" s="203"/>
      <c r="BV28" s="203"/>
      <c r="BW28" s="203"/>
    </row>
    <row r="29" spans="1:75">
      <c r="A29" s="184">
        <v>26</v>
      </c>
      <c r="B29" s="185" t="s">
        <v>429</v>
      </c>
      <c r="C29" s="191">
        <v>8</v>
      </c>
      <c r="D29" s="204" t="s">
        <v>411</v>
      </c>
      <c r="E29" s="204" t="s">
        <v>411</v>
      </c>
      <c r="F29" s="204" t="s">
        <v>411</v>
      </c>
      <c r="G29" s="204">
        <v>0.96637280970859263</v>
      </c>
      <c r="H29" s="204">
        <v>0.99973811394402157</v>
      </c>
      <c r="I29" s="204">
        <v>1.0003867785358658</v>
      </c>
      <c r="J29" s="204" t="s">
        <v>411</v>
      </c>
      <c r="K29" s="204" t="s">
        <v>411</v>
      </c>
      <c r="L29" s="204" t="s">
        <v>411</v>
      </c>
      <c r="M29" s="204">
        <v>0.98820908904122384</v>
      </c>
      <c r="N29" s="204">
        <v>0.92649568406383431</v>
      </c>
      <c r="O29" s="204">
        <v>0.73549424493554327</v>
      </c>
      <c r="P29" s="204">
        <v>1.5820225867491411</v>
      </c>
      <c r="Q29" s="204" t="s">
        <v>411</v>
      </c>
      <c r="R29" s="204">
        <v>0.89280635709545764</v>
      </c>
      <c r="S29" s="204">
        <v>0.8821525913889906</v>
      </c>
      <c r="T29" s="204">
        <v>0.79120074767510684</v>
      </c>
      <c r="U29" s="204">
        <v>0.91437507915267802</v>
      </c>
      <c r="V29" s="204">
        <v>0.91113318106017871</v>
      </c>
      <c r="W29" s="204">
        <v>0.8479693606820643</v>
      </c>
      <c r="X29" s="204">
        <v>0.89200697953801011</v>
      </c>
      <c r="Y29" s="204">
        <v>0.90286096477539013</v>
      </c>
      <c r="Z29" s="204">
        <v>0.9073465546453523</v>
      </c>
      <c r="AA29" s="204">
        <v>0.99443301660364558</v>
      </c>
      <c r="AB29" s="204">
        <v>1.2839639681130772</v>
      </c>
      <c r="AC29" s="204">
        <v>1.0754601806219828</v>
      </c>
      <c r="AD29" s="204">
        <v>1.0104807758303123</v>
      </c>
      <c r="AE29" s="204">
        <v>0.87422050264070017</v>
      </c>
      <c r="AF29" s="204">
        <v>0.96560200322577727</v>
      </c>
      <c r="AG29" s="204">
        <v>0.8995418254505535</v>
      </c>
      <c r="AH29" s="204">
        <v>0.95700684595025332</v>
      </c>
      <c r="AI29" s="204">
        <v>0.92483316970748841</v>
      </c>
      <c r="AJ29" s="204">
        <v>0.9775308593355494</v>
      </c>
      <c r="AK29" s="204">
        <v>0.90055820211154713</v>
      </c>
      <c r="AL29" s="204">
        <v>0.98943394935442075</v>
      </c>
      <c r="AM29" s="204">
        <v>0.78992981439958265</v>
      </c>
      <c r="AN29" s="204">
        <v>0.99516485188240966</v>
      </c>
      <c r="AO29" s="204">
        <v>0.99597092757106598</v>
      </c>
      <c r="AP29" s="204">
        <v>0.95196333390093968</v>
      </c>
      <c r="AQ29" s="204">
        <v>0.9944844577117703</v>
      </c>
      <c r="AR29" s="204">
        <v>0.97848803754278968</v>
      </c>
      <c r="AS29" s="204">
        <v>1.0026241548401043</v>
      </c>
      <c r="AT29" s="204">
        <v>1.0708677180298758</v>
      </c>
      <c r="AU29" s="204">
        <v>1.0601374801696311</v>
      </c>
      <c r="AV29" s="204">
        <v>1.0451414496359424</v>
      </c>
      <c r="AW29" s="204">
        <v>1.0286626384890099</v>
      </c>
      <c r="AX29" s="204">
        <v>1.027924565413745</v>
      </c>
      <c r="AY29" s="204">
        <v>1.0314321145559249</v>
      </c>
      <c r="AZ29" s="204">
        <v>1.1483713149268759</v>
      </c>
      <c r="BA29" s="204">
        <v>0.9662181996373046</v>
      </c>
      <c r="BB29" s="204">
        <v>0.94956216185257447</v>
      </c>
      <c r="BC29" s="204">
        <v>0.92941062064305724</v>
      </c>
      <c r="BD29" s="204">
        <v>0.96566393332206535</v>
      </c>
      <c r="BE29" s="204">
        <v>0.91028186162977942</v>
      </c>
      <c r="BF29" s="204">
        <v>0.89850499943999496</v>
      </c>
      <c r="BG29" s="204">
        <v>0.8612892742865359</v>
      </c>
      <c r="BH29" s="204">
        <v>0.95824960218948396</v>
      </c>
      <c r="BI29" s="204">
        <v>0.92411151806218095</v>
      </c>
      <c r="BJ29" s="204">
        <v>0.92298867708921539</v>
      </c>
      <c r="BK29" s="204">
        <f t="shared" ref="BK29:BW29" si="2">IFERROR(BK16/BK12,"")</f>
        <v>0.89446504421958628</v>
      </c>
      <c r="BL29" s="204">
        <f t="shared" si="2"/>
        <v>0.88907536695774991</v>
      </c>
      <c r="BM29" s="204">
        <f t="shared" si="2"/>
        <v>0.90030609860980093</v>
      </c>
      <c r="BN29" s="204">
        <f t="shared" si="2"/>
        <v>0.87200430881912472</v>
      </c>
      <c r="BO29" s="204">
        <f t="shared" si="2"/>
        <v>0.87075949332889069</v>
      </c>
      <c r="BP29" s="204">
        <f t="shared" si="2"/>
        <v>0.85242889353285167</v>
      </c>
      <c r="BQ29" s="204" t="str">
        <f t="shared" si="2"/>
        <v/>
      </c>
      <c r="BR29" s="204" t="str">
        <f t="shared" si="2"/>
        <v/>
      </c>
      <c r="BS29" s="204" t="str">
        <f t="shared" si="2"/>
        <v/>
      </c>
      <c r="BT29" s="204" t="str">
        <f t="shared" si="2"/>
        <v/>
      </c>
      <c r="BU29" s="204" t="str">
        <f t="shared" si="2"/>
        <v/>
      </c>
      <c r="BV29" s="204" t="str">
        <f t="shared" si="2"/>
        <v/>
      </c>
      <c r="BW29" s="204" t="str">
        <f t="shared" si="2"/>
        <v/>
      </c>
    </row>
    <row r="30" spans="1:75">
      <c r="A30" s="181">
        <v>27</v>
      </c>
      <c r="B30" s="182" t="s">
        <v>430</v>
      </c>
      <c r="C30" s="183">
        <v>8</v>
      </c>
      <c r="D30" s="199">
        <v>0</v>
      </c>
      <c r="E30" s="199">
        <v>0</v>
      </c>
      <c r="F30" s="199">
        <v>0</v>
      </c>
      <c r="G30" s="199">
        <v>12389069</v>
      </c>
      <c r="H30" s="199">
        <v>141373</v>
      </c>
      <c r="I30" s="199">
        <v>-4195</v>
      </c>
      <c r="J30" s="199">
        <v>0</v>
      </c>
      <c r="K30" s="199">
        <v>0</v>
      </c>
      <c r="L30" s="199">
        <v>0</v>
      </c>
      <c r="M30" s="199">
        <v>1010000</v>
      </c>
      <c r="N30" s="199">
        <v>36911089</v>
      </c>
      <c r="O30" s="199">
        <v>5745065</v>
      </c>
      <c r="P30" s="199">
        <v>-61956834</v>
      </c>
      <c r="Q30" s="199">
        <v>-5395812</v>
      </c>
      <c r="R30" s="199">
        <v>28428602</v>
      </c>
      <c r="S30" s="199">
        <v>27740215</v>
      </c>
      <c r="T30" s="199">
        <v>114833638</v>
      </c>
      <c r="U30" s="199">
        <v>86000643</v>
      </c>
      <c r="V30" s="199">
        <v>72074767</v>
      </c>
      <c r="W30" s="199">
        <v>332994525</v>
      </c>
      <c r="X30" s="199">
        <v>154526889</v>
      </c>
      <c r="Y30" s="199">
        <v>318702295</v>
      </c>
      <c r="Z30" s="199">
        <v>236128144</v>
      </c>
      <c r="AA30" s="199">
        <v>14626290</v>
      </c>
      <c r="AB30" s="199">
        <v>-517502597</v>
      </c>
      <c r="AC30" s="199">
        <v>-113483797</v>
      </c>
      <c r="AD30" s="199">
        <v>-45492221</v>
      </c>
      <c r="AE30" s="199">
        <v>708448904</v>
      </c>
      <c r="AF30" s="199">
        <v>127677608</v>
      </c>
      <c r="AG30" s="199">
        <v>466346742</v>
      </c>
      <c r="AH30" s="199">
        <v>158278613</v>
      </c>
      <c r="AI30" s="199">
        <v>263092118</v>
      </c>
      <c r="AJ30" s="199">
        <v>73783721</v>
      </c>
      <c r="AK30" s="199">
        <v>413836290</v>
      </c>
      <c r="AL30" s="199">
        <v>25294934</v>
      </c>
      <c r="AM30" s="199">
        <v>1220039847</v>
      </c>
      <c r="AN30" s="199">
        <v>40618696</v>
      </c>
      <c r="AO30" s="199">
        <v>15838988</v>
      </c>
      <c r="AP30" s="199">
        <v>277107641</v>
      </c>
      <c r="AQ30" s="199">
        <v>32041399</v>
      </c>
      <c r="AR30" s="199">
        <v>204056687</v>
      </c>
      <c r="AS30" s="199">
        <v>-16219720</v>
      </c>
      <c r="AT30" s="199">
        <v>-295950819</v>
      </c>
      <c r="AU30" s="199">
        <v>-218043589</v>
      </c>
      <c r="AV30" s="199">
        <v>-177009510</v>
      </c>
      <c r="AW30" s="199">
        <v>-124093979</v>
      </c>
      <c r="AX30" s="199">
        <v>-130456615</v>
      </c>
      <c r="AY30" s="199">
        <v>-114715934</v>
      </c>
      <c r="AZ30" s="199">
        <v>-324047443</v>
      </c>
      <c r="BA30" s="199">
        <v>165739583</v>
      </c>
      <c r="BB30" s="199">
        <v>319455846</v>
      </c>
      <c r="BC30" s="199">
        <v>551096097</v>
      </c>
      <c r="BD30" s="199">
        <v>253405220</v>
      </c>
      <c r="BE30" s="199">
        <v>947133119</v>
      </c>
      <c r="BF30" s="199">
        <v>1306763461</v>
      </c>
      <c r="BG30" s="199">
        <v>1909106337</v>
      </c>
      <c r="BH30" s="199">
        <v>413534210</v>
      </c>
      <c r="BI30" s="199">
        <v>531500806</v>
      </c>
      <c r="BJ30" s="199">
        <v>460969756</v>
      </c>
      <c r="BK30" s="199">
        <f>'Ket qua kinh doanh'!BK9</f>
        <v>789837012</v>
      </c>
      <c r="BL30" s="199">
        <f>'Ket qua kinh doanh'!BL9</f>
        <v>811970285</v>
      </c>
      <c r="BM30" s="199">
        <f>'Ket qua kinh doanh'!BM9</f>
        <v>458241956</v>
      </c>
      <c r="BN30" s="199">
        <f>'Ket qua kinh doanh'!BN9</f>
        <v>1230975154</v>
      </c>
      <c r="BO30" s="199">
        <f>'Ket qua kinh doanh'!BO9</f>
        <v>905910714</v>
      </c>
      <c r="BP30" s="199">
        <f>'Ket qua kinh doanh'!BP9</f>
        <v>1626955883</v>
      </c>
      <c r="BQ30" s="199">
        <f>'Ket qua kinh doanh'!BQ9</f>
        <v>0</v>
      </c>
      <c r="BR30" s="199">
        <f>'Ket qua kinh doanh'!BR9</f>
        <v>0</v>
      </c>
      <c r="BS30" s="199">
        <f>'Ket qua kinh doanh'!BS9</f>
        <v>0</v>
      </c>
      <c r="BT30" s="199">
        <f>'Ket qua kinh doanh'!BT9</f>
        <v>0</v>
      </c>
      <c r="BU30" s="199">
        <f>'Ket qua kinh doanh'!BU9</f>
        <v>0</v>
      </c>
      <c r="BV30" s="199">
        <f>'Ket qua kinh doanh'!BV9</f>
        <v>0</v>
      </c>
      <c r="BW30" s="199">
        <f>'Ket qua kinh doanh'!BW9</f>
        <v>0</v>
      </c>
    </row>
    <row r="31" spans="1:75">
      <c r="A31" s="184">
        <v>28</v>
      </c>
      <c r="B31" s="185" t="s">
        <v>431</v>
      </c>
      <c r="C31" s="187">
        <v>8</v>
      </c>
      <c r="D31" s="201" t="s">
        <v>411</v>
      </c>
      <c r="E31" s="201" t="s">
        <v>411</v>
      </c>
      <c r="F31" s="201" t="s">
        <v>411</v>
      </c>
      <c r="G31" s="201">
        <v>3.3627190291407337E-2</v>
      </c>
      <c r="H31" s="201">
        <v>2.6188605597843577E-4</v>
      </c>
      <c r="I31" s="201">
        <v>-3.8677853586575694E-4</v>
      </c>
      <c r="J31" s="201" t="s">
        <v>411</v>
      </c>
      <c r="K31" s="201" t="s">
        <v>411</v>
      </c>
      <c r="L31" s="201" t="s">
        <v>411</v>
      </c>
      <c r="M31" s="201">
        <v>1.1790910958776173E-2</v>
      </c>
      <c r="N31" s="201">
        <v>7.3504315936165646E-2</v>
      </c>
      <c r="O31" s="201">
        <v>0.26450575506445673</v>
      </c>
      <c r="P31" s="201">
        <v>-0.58202258674914098</v>
      </c>
      <c r="Q31" s="201" t="s">
        <v>411</v>
      </c>
      <c r="R31" s="201">
        <v>0.10719364290454232</v>
      </c>
      <c r="S31" s="201">
        <v>0.11784740861100942</v>
      </c>
      <c r="T31" s="201">
        <v>0.20879925232489319</v>
      </c>
      <c r="U31" s="201">
        <v>8.5624920847321956E-2</v>
      </c>
      <c r="V31" s="201">
        <v>8.8866818939821277E-2</v>
      </c>
      <c r="W31" s="201">
        <v>0.15203063931793573</v>
      </c>
      <c r="X31" s="201">
        <v>0.10799302046198993</v>
      </c>
      <c r="Y31" s="201">
        <v>9.7139035224609926E-2</v>
      </c>
      <c r="Z31" s="201">
        <v>9.2653445354647646E-2</v>
      </c>
      <c r="AA31" s="201">
        <v>5.5669833963543818E-3</v>
      </c>
      <c r="AB31" s="201">
        <v>-0.28396396811307728</v>
      </c>
      <c r="AC31" s="201">
        <v>-7.5460180621982717E-2</v>
      </c>
      <c r="AD31" s="201">
        <v>-1.0480775830312266E-2</v>
      </c>
      <c r="AE31" s="201">
        <v>0.1257794973592998</v>
      </c>
      <c r="AF31" s="201">
        <v>3.43979967742227E-2</v>
      </c>
      <c r="AG31" s="201">
        <v>0.10045817454944646</v>
      </c>
      <c r="AH31" s="201">
        <v>4.2993154049746719E-2</v>
      </c>
      <c r="AI31" s="201">
        <v>7.5166830292511588E-2</v>
      </c>
      <c r="AJ31" s="201">
        <v>2.2469140664450649E-2</v>
      </c>
      <c r="AK31" s="201">
        <v>9.944179788845281E-2</v>
      </c>
      <c r="AL31" s="201">
        <v>1.0566050645579233E-2</v>
      </c>
      <c r="AM31" s="201">
        <v>0.21007018560041738</v>
      </c>
      <c r="AN31" s="201">
        <v>4.8351481175903394E-3</v>
      </c>
      <c r="AO31" s="201">
        <v>4.0290724289339663E-3</v>
      </c>
      <c r="AP31" s="201">
        <v>4.8036666099060314E-2</v>
      </c>
      <c r="AQ31" s="201">
        <v>5.515542288229724E-3</v>
      </c>
      <c r="AR31" s="201">
        <v>2.1511962457210335E-2</v>
      </c>
      <c r="AS31" s="201">
        <v>-2.6241548401041851E-3</v>
      </c>
      <c r="AT31" s="201">
        <v>-7.0867718029875709E-2</v>
      </c>
      <c r="AU31" s="201">
        <v>-6.0137480169631018E-2</v>
      </c>
      <c r="AV31" s="201">
        <v>-4.5141449635942292E-2</v>
      </c>
      <c r="AW31" s="201">
        <v>-2.8662638489009771E-2</v>
      </c>
      <c r="AX31" s="201">
        <v>-2.7924565413744926E-2</v>
      </c>
      <c r="AY31" s="201">
        <v>-3.1432114555924817E-2</v>
      </c>
      <c r="AZ31" s="201">
        <v>-0.148371314926876</v>
      </c>
      <c r="BA31" s="201">
        <v>3.3781800362695437E-2</v>
      </c>
      <c r="BB31" s="201">
        <v>5.043783814742555E-2</v>
      </c>
      <c r="BC31" s="201">
        <v>7.0589379356942705E-2</v>
      </c>
      <c r="BD31" s="201">
        <v>3.4336066677934603E-2</v>
      </c>
      <c r="BE31" s="201">
        <v>8.9718138370220593E-2</v>
      </c>
      <c r="BF31" s="201">
        <v>0.10149500056000509</v>
      </c>
      <c r="BG31" s="201">
        <v>0.13871072571346407</v>
      </c>
      <c r="BH31" s="201">
        <v>4.1750397810516052E-2</v>
      </c>
      <c r="BI31" s="201">
        <v>7.588848193781908E-2</v>
      </c>
      <c r="BJ31" s="201">
        <v>7.7011322910784635E-2</v>
      </c>
      <c r="BK31" s="201">
        <f t="shared" ref="BK31:BW31" si="3">IFERROR(BK30/BK12,"")</f>
        <v>0.10553495578041366</v>
      </c>
      <c r="BL31" s="201">
        <f t="shared" si="3"/>
        <v>0.11092463304225011</v>
      </c>
      <c r="BM31" s="201">
        <f t="shared" si="3"/>
        <v>9.9693901390199027E-2</v>
      </c>
      <c r="BN31" s="201">
        <f t="shared" si="3"/>
        <v>0.12799569118087525</v>
      </c>
      <c r="BO31" s="201">
        <f t="shared" si="3"/>
        <v>0.12924050667110934</v>
      </c>
      <c r="BP31" s="201">
        <f>IFERROR(BP30/BP12,"")</f>
        <v>0.1475711064671483</v>
      </c>
      <c r="BQ31" s="201" t="str">
        <f t="shared" si="3"/>
        <v/>
      </c>
      <c r="BR31" s="201" t="str">
        <f t="shared" si="3"/>
        <v/>
      </c>
      <c r="BS31" s="201" t="str">
        <f t="shared" si="3"/>
        <v/>
      </c>
      <c r="BT31" s="201" t="str">
        <f t="shared" si="3"/>
        <v/>
      </c>
      <c r="BU31" s="201" t="str">
        <f t="shared" si="3"/>
        <v/>
      </c>
      <c r="BV31" s="201" t="str">
        <f t="shared" si="3"/>
        <v/>
      </c>
      <c r="BW31" s="201" t="str">
        <f t="shared" si="3"/>
        <v/>
      </c>
    </row>
    <row r="32" spans="1:75">
      <c r="A32" s="181">
        <v>29</v>
      </c>
      <c r="B32" s="182" t="s">
        <v>432</v>
      </c>
      <c r="C32" s="183">
        <v>8</v>
      </c>
      <c r="D32" s="199">
        <v>-221834980</v>
      </c>
      <c r="E32" s="199">
        <v>-163438870</v>
      </c>
      <c r="F32" s="199">
        <v>-165187049</v>
      </c>
      <c r="G32" s="199">
        <v>-165856504</v>
      </c>
      <c r="H32" s="199">
        <v>-170192841</v>
      </c>
      <c r="I32" s="199">
        <v>-146704776</v>
      </c>
      <c r="J32" s="199">
        <v>-112893278</v>
      </c>
      <c r="K32" s="199">
        <v>-92359990</v>
      </c>
      <c r="L32" s="199">
        <v>-144885177</v>
      </c>
      <c r="M32" s="199">
        <v>-111895773</v>
      </c>
      <c r="N32" s="199">
        <v>-166776764</v>
      </c>
      <c r="O32" s="199">
        <v>-539122261</v>
      </c>
      <c r="P32" s="199">
        <v>-346588117</v>
      </c>
      <c r="Q32" s="199">
        <v>-332548180</v>
      </c>
      <c r="R32" s="199">
        <v>-301160879</v>
      </c>
      <c r="S32" s="199">
        <v>-331854278</v>
      </c>
      <c r="T32" s="199">
        <v>-328235889</v>
      </c>
      <c r="U32" s="199">
        <v>-374330593</v>
      </c>
      <c r="V32" s="199">
        <v>-378284669</v>
      </c>
      <c r="W32" s="199">
        <v>-298205950</v>
      </c>
      <c r="X32" s="199">
        <v>-422536009</v>
      </c>
      <c r="Y32" s="199">
        <v>-354472293</v>
      </c>
      <c r="Z32" s="199">
        <v>-861897292</v>
      </c>
      <c r="AA32" s="199">
        <v>-1172866432</v>
      </c>
      <c r="AB32" s="199">
        <v>-1051289386</v>
      </c>
      <c r="AC32" s="199">
        <v>-533418086</v>
      </c>
      <c r="AD32" s="199">
        <v>-734458875</v>
      </c>
      <c r="AE32" s="199">
        <v>34062634</v>
      </c>
      <c r="AF32" s="199">
        <v>-464624366</v>
      </c>
      <c r="AG32" s="199">
        <v>-185159806</v>
      </c>
      <c r="AH32" s="199">
        <v>-470228520</v>
      </c>
      <c r="AI32" s="199">
        <v>-309976667</v>
      </c>
      <c r="AJ32" s="199">
        <v>-459963640</v>
      </c>
      <c r="AK32" s="199">
        <v>-105670098</v>
      </c>
      <c r="AL32" s="199">
        <v>-438262026</v>
      </c>
      <c r="AM32" s="199">
        <v>513403969</v>
      </c>
      <c r="AN32" s="199">
        <v>-189720453</v>
      </c>
      <c r="AO32" s="199">
        <v>-175133271</v>
      </c>
      <c r="AP32" s="199">
        <v>50321786</v>
      </c>
      <c r="AQ32" s="199">
        <v>-141447382</v>
      </c>
      <c r="AR32" s="199">
        <v>2058676</v>
      </c>
      <c r="AS32" s="199">
        <v>-195661702</v>
      </c>
      <c r="AT32" s="199">
        <v>-394602818</v>
      </c>
      <c r="AU32" s="199">
        <v>-400967893</v>
      </c>
      <c r="AV32" s="199">
        <v>-307075455</v>
      </c>
      <c r="AW32" s="199">
        <v>-236792330</v>
      </c>
      <c r="AX32" s="199">
        <v>-887402180</v>
      </c>
      <c r="AY32" s="199">
        <v>-276824257</v>
      </c>
      <c r="AZ32" s="199">
        <v>-420514291</v>
      </c>
      <c r="BA32" s="199">
        <v>-49880621</v>
      </c>
      <c r="BB32" s="199">
        <v>80525775</v>
      </c>
      <c r="BC32" s="199">
        <v>290833926</v>
      </c>
      <c r="BD32" s="199">
        <v>-34811546</v>
      </c>
      <c r="BE32" s="199">
        <v>618754242</v>
      </c>
      <c r="BF32" s="199">
        <v>969513402</v>
      </c>
      <c r="BG32" s="199">
        <v>1504531335</v>
      </c>
      <c r="BH32" s="199">
        <v>-44927274</v>
      </c>
      <c r="BI32" s="199">
        <v>203950321</v>
      </c>
      <c r="BJ32" s="199">
        <v>108418363</v>
      </c>
      <c r="BK32" s="199">
        <f>'Ket qua kinh doanh'!BK20</f>
        <v>143354288</v>
      </c>
      <c r="BL32" s="199">
        <f>'Ket qua kinh doanh'!BL20</f>
        <v>431875647</v>
      </c>
      <c r="BM32" s="199">
        <f>'Ket qua kinh doanh'!BM20</f>
        <v>-16596905</v>
      </c>
      <c r="BN32" s="199">
        <f>'Ket qua kinh doanh'!BN20</f>
        <v>714089038</v>
      </c>
      <c r="BO32" s="199">
        <f>'Ket qua kinh doanh'!BO20</f>
        <v>488856467</v>
      </c>
      <c r="BP32" s="199">
        <f>'Ket qua kinh doanh'!BP20</f>
        <v>1156897369</v>
      </c>
      <c r="BQ32" s="199">
        <f>'Ket qua kinh doanh'!BQ20</f>
        <v>0</v>
      </c>
      <c r="BR32" s="199">
        <f>'Ket qua kinh doanh'!BR20</f>
        <v>0</v>
      </c>
      <c r="BS32" s="199">
        <f>'Ket qua kinh doanh'!BS20</f>
        <v>0</v>
      </c>
      <c r="BT32" s="199">
        <f>'Ket qua kinh doanh'!BT20</f>
        <v>0</v>
      </c>
      <c r="BU32" s="199">
        <f>'Ket qua kinh doanh'!BU20</f>
        <v>0</v>
      </c>
      <c r="BV32" s="199">
        <f>'Ket qua kinh doanh'!BV20</f>
        <v>0</v>
      </c>
      <c r="BW32" s="199">
        <f>'Ket qua kinh doanh'!BW20</f>
        <v>0</v>
      </c>
    </row>
    <row r="33" spans="1:75">
      <c r="A33" s="184">
        <v>30</v>
      </c>
      <c r="B33" s="185" t="s">
        <v>433</v>
      </c>
      <c r="C33" s="187">
        <v>8</v>
      </c>
      <c r="D33" s="201" t="s">
        <v>411</v>
      </c>
      <c r="E33" s="201" t="s">
        <v>411</v>
      </c>
      <c r="F33" s="201" t="s">
        <v>411</v>
      </c>
      <c r="G33" s="201">
        <v>-0.45017815471651357</v>
      </c>
      <c r="H33" s="201">
        <v>-0.31527329748435001</v>
      </c>
      <c r="I33" s="201">
        <v>-13.526164115803061</v>
      </c>
      <c r="J33" s="201" t="s">
        <v>411</v>
      </c>
      <c r="K33" s="201" t="s">
        <v>411</v>
      </c>
      <c r="L33" s="201" t="s">
        <v>411</v>
      </c>
      <c r="M33" s="201">
        <v>-1.3062901941647833</v>
      </c>
      <c r="N33" s="201">
        <v>-0.33211731986198884</v>
      </c>
      <c r="O33" s="201">
        <v>-24.821466896869246</v>
      </c>
      <c r="P33" s="201">
        <v>-3.2558492642289294</v>
      </c>
      <c r="Q33" s="201" t="s">
        <v>411</v>
      </c>
      <c r="R33" s="201">
        <v>-1.1355652212635738</v>
      </c>
      <c r="S33" s="201">
        <v>-1.4098004178690582</v>
      </c>
      <c r="T33" s="201">
        <v>-0.59682345176068219</v>
      </c>
      <c r="U33" s="201">
        <v>-0.37269520643416687</v>
      </c>
      <c r="V33" s="201">
        <v>-0.46641781287663719</v>
      </c>
      <c r="W33" s="201">
        <v>-0.13614770761444914</v>
      </c>
      <c r="X33" s="201">
        <v>-0.29529449638932781</v>
      </c>
      <c r="Y33" s="201">
        <v>-0.10804157075767293</v>
      </c>
      <c r="Z33" s="201">
        <v>-0.33819667699433908</v>
      </c>
      <c r="AA33" s="201">
        <v>-0.44641039888347667</v>
      </c>
      <c r="AB33" s="201">
        <v>-0.57686339626952754</v>
      </c>
      <c r="AC33" s="201">
        <v>-0.35469226603858095</v>
      </c>
      <c r="AD33" s="201">
        <v>-0.16920912314785286</v>
      </c>
      <c r="AE33" s="201">
        <v>6.0475511488035216E-3</v>
      </c>
      <c r="AF33" s="201">
        <v>-0.12517580563455782</v>
      </c>
      <c r="AG33" s="201">
        <v>-3.9886235788669122E-2</v>
      </c>
      <c r="AH33" s="201">
        <v>-0.1277279779987989</v>
      </c>
      <c r="AI33" s="201">
        <v>-8.856199760050347E-2</v>
      </c>
      <c r="AJ33" s="201">
        <v>-0.14007138143239942</v>
      </c>
      <c r="AK33" s="201">
        <v>-2.5391742537052519E-2</v>
      </c>
      <c r="AL33" s="201">
        <v>-0.18306822871133654</v>
      </c>
      <c r="AM33" s="201">
        <v>8.8399462788874741E-2</v>
      </c>
      <c r="AN33" s="201">
        <v>-2.2583848855988298E-2</v>
      </c>
      <c r="AO33" s="201">
        <v>-4.4549855936194954E-2</v>
      </c>
      <c r="AP33" s="201">
        <v>8.7232918690624203E-3</v>
      </c>
      <c r="AQ33" s="201">
        <v>-2.4348469209486884E-2</v>
      </c>
      <c r="AR33" s="201">
        <v>2.1702871625843824E-4</v>
      </c>
      <c r="AS33" s="201">
        <v>-3.1655700735051077E-2</v>
      </c>
      <c r="AT33" s="201">
        <v>-9.4490704010582113E-2</v>
      </c>
      <c r="AU33" s="201">
        <v>-0.11058889107694073</v>
      </c>
      <c r="AV33" s="201">
        <v>-7.8311222862074273E-2</v>
      </c>
      <c r="AW33" s="201">
        <v>-5.4693168890654259E-2</v>
      </c>
      <c r="AX33" s="201">
        <v>-0.18995066079025466</v>
      </c>
      <c r="AY33" s="201">
        <v>-7.5849722479553475E-2</v>
      </c>
      <c r="AZ33" s="201">
        <v>-0.19254050494455829</v>
      </c>
      <c r="BA33" s="201">
        <v>-1.0166896465458548E-2</v>
      </c>
      <c r="BB33" s="201">
        <v>1.2713951104673184E-2</v>
      </c>
      <c r="BC33" s="201">
        <v>3.7252643312193523E-2</v>
      </c>
      <c r="BD33" s="201">
        <v>-4.7169176886647695E-3</v>
      </c>
      <c r="BE33" s="201">
        <v>5.8612118600106684E-2</v>
      </c>
      <c r="BF33" s="201">
        <v>7.5301128487034144E-2</v>
      </c>
      <c r="BG33" s="201">
        <v>0.10931535310099226</v>
      </c>
      <c r="BH33" s="201">
        <v>-4.5358558413874745E-3</v>
      </c>
      <c r="BI33" s="201">
        <v>2.9120332606646891E-2</v>
      </c>
      <c r="BJ33" s="201">
        <v>1.811277519571515E-2</v>
      </c>
      <c r="BK33" s="201">
        <f t="shared" ref="BK33:BW33" si="4">IFERROR(BK32/BK12,"")</f>
        <v>1.9154443530955582E-2</v>
      </c>
      <c r="BL33" s="201">
        <f t="shared" si="4"/>
        <v>5.8999262101518096E-2</v>
      </c>
      <c r="BM33" s="201">
        <f t="shared" si="4"/>
        <v>-3.610778517304734E-3</v>
      </c>
      <c r="BN33" s="201">
        <f t="shared" si="4"/>
        <v>7.4250336967805516E-2</v>
      </c>
      <c r="BO33" s="201">
        <f t="shared" si="4"/>
        <v>6.9742035840993977E-2</v>
      </c>
      <c r="BP33" s="201">
        <f t="shared" si="4"/>
        <v>0.10493500567296131</v>
      </c>
      <c r="BQ33" s="201" t="str">
        <f t="shared" si="4"/>
        <v/>
      </c>
      <c r="BR33" s="201" t="str">
        <f t="shared" si="4"/>
        <v/>
      </c>
      <c r="BS33" s="201" t="str">
        <f t="shared" si="4"/>
        <v/>
      </c>
      <c r="BT33" s="201" t="str">
        <f t="shared" si="4"/>
        <v/>
      </c>
      <c r="BU33" s="201" t="str">
        <f t="shared" si="4"/>
        <v/>
      </c>
      <c r="BV33" s="201" t="str">
        <f t="shared" si="4"/>
        <v/>
      </c>
      <c r="BW33" s="201" t="str">
        <f t="shared" si="4"/>
        <v/>
      </c>
    </row>
    <row r="34" spans="1:75">
      <c r="A34" s="181">
        <v>31</v>
      </c>
      <c r="B34" s="182" t="s">
        <v>434</v>
      </c>
      <c r="C34" s="183">
        <v>8</v>
      </c>
      <c r="D34" s="199">
        <v>-186663591</v>
      </c>
      <c r="E34" s="199">
        <v>-126757198</v>
      </c>
      <c r="F34" s="199">
        <v>-124801076</v>
      </c>
      <c r="G34" s="199">
        <v>-124758165</v>
      </c>
      <c r="H34" s="199">
        <v>-129094502</v>
      </c>
      <c r="I34" s="199">
        <v>-105606437</v>
      </c>
      <c r="J34" s="199">
        <v>-71794939</v>
      </c>
      <c r="K34" s="199">
        <v>-51261651</v>
      </c>
      <c r="L34" s="199">
        <v>-103786838</v>
      </c>
      <c r="M34" s="199">
        <v>-70797434</v>
      </c>
      <c r="N34" s="199">
        <v>-125678425</v>
      </c>
      <c r="O34" s="199">
        <v>-496366744</v>
      </c>
      <c r="P34" s="199">
        <v>-239912844</v>
      </c>
      <c r="Q34" s="199">
        <v>-197091509</v>
      </c>
      <c r="R34" s="199">
        <v>-162370533</v>
      </c>
      <c r="S34" s="199">
        <v>-192570054</v>
      </c>
      <c r="T34" s="199">
        <v>-173978150</v>
      </c>
      <c r="U34" s="199">
        <v>-209865137</v>
      </c>
      <c r="V34" s="199">
        <v>-213819213</v>
      </c>
      <c r="W34" s="199">
        <v>-94666514</v>
      </c>
      <c r="X34" s="199">
        <v>-194967910</v>
      </c>
      <c r="Y34" s="199">
        <v>-126632333</v>
      </c>
      <c r="Z34" s="199">
        <v>-631624463</v>
      </c>
      <c r="AA34" s="199">
        <v>-930028158</v>
      </c>
      <c r="AB34" s="199">
        <v>-795290159</v>
      </c>
      <c r="AC34" s="199">
        <v>-279467499</v>
      </c>
      <c r="AD34" s="199">
        <v>-478312044</v>
      </c>
      <c r="AE34" s="199">
        <v>293434821</v>
      </c>
      <c r="AF34" s="199">
        <v>-176662081</v>
      </c>
      <c r="AG34" s="199">
        <v>122086158</v>
      </c>
      <c r="AH34" s="199">
        <v>-149372705</v>
      </c>
      <c r="AI34" s="199">
        <v>24684168</v>
      </c>
      <c r="AJ34" s="199">
        <v>-117830665</v>
      </c>
      <c r="AK34" s="199">
        <v>236667975</v>
      </c>
      <c r="AL34" s="199">
        <v>-97686302</v>
      </c>
      <c r="AM34" s="199">
        <v>859079226</v>
      </c>
      <c r="AN34" s="199">
        <v>141529503</v>
      </c>
      <c r="AO34" s="199">
        <v>156116685</v>
      </c>
      <c r="AP34" s="199">
        <v>382405075</v>
      </c>
      <c r="AQ34" s="199">
        <v>194927720</v>
      </c>
      <c r="AR34" s="199">
        <v>352933778</v>
      </c>
      <c r="AS34" s="199">
        <v>132413399</v>
      </c>
      <c r="AT34" s="199">
        <v>-62349808</v>
      </c>
      <c r="AU34" s="199">
        <v>-68427125</v>
      </c>
      <c r="AV34" s="199">
        <v>21233033</v>
      </c>
      <c r="AW34" s="199">
        <v>88143859</v>
      </c>
      <c r="AX34" s="199">
        <v>-562465991</v>
      </c>
      <c r="AY34" s="199">
        <v>48111932</v>
      </c>
      <c r="AZ34" s="199">
        <v>-95578102</v>
      </c>
      <c r="BA34" s="199">
        <v>275055568</v>
      </c>
      <c r="BB34" s="199">
        <v>410077359</v>
      </c>
      <c r="BC34" s="199">
        <v>620385510</v>
      </c>
      <c r="BD34" s="199">
        <v>294740038</v>
      </c>
      <c r="BE34" s="199">
        <v>953765085</v>
      </c>
      <c r="BF34" s="199">
        <v>1309696630</v>
      </c>
      <c r="BG34" s="199">
        <v>1844643881</v>
      </c>
      <c r="BH34" s="199">
        <v>297206435</v>
      </c>
      <c r="BI34" s="199">
        <v>546084030</v>
      </c>
      <c r="BJ34" s="199">
        <v>456328492</v>
      </c>
      <c r="BK34" s="199">
        <f>'Ket qua kinh doanh'!BK20+'Ket qua kinh doanh'!BK13+'Luu chuyen tien te'!BK7</f>
        <v>498828987</v>
      </c>
      <c r="BL34" s="199">
        <f>'Ket qua kinh doanh'!BL20+'Ket qua kinh doanh'!BL13+'Luu chuyen tien te'!BL7</f>
        <v>631449374</v>
      </c>
      <c r="BM34" s="199">
        <f>'Ket qua kinh doanh'!BM20+'Ket qua kinh doanh'!BM13+'Luu chuyen tien te'!BM7</f>
        <v>188001133</v>
      </c>
      <c r="BN34" s="199">
        <f>'Ket qua kinh doanh'!BN20+'Ket qua kinh doanh'!BN13+'Luu chuyen tien te'!BN7</f>
        <v>916601667</v>
      </c>
      <c r="BO34" s="199">
        <f>'Ket qua kinh doanh'!BO20+'Ket qua kinh doanh'!BO13+'Luu chuyen tien te'!BO7</f>
        <v>691646862</v>
      </c>
      <c r="BP34" s="199">
        <f>'Ket qua kinh doanh'!BP20+'Ket qua kinh doanh'!BP13+'Luu chuyen tien te'!BP7</f>
        <v>1357066023</v>
      </c>
      <c r="BQ34" s="199">
        <f>'Ket qua kinh doanh'!BQ20+'Ket qua kinh doanh'!BQ13+'Luu chuyen tien te'!BQ7</f>
        <v>0</v>
      </c>
      <c r="BR34" s="199">
        <f>'Ket qua kinh doanh'!BR20+'Ket qua kinh doanh'!BR13+'Luu chuyen tien te'!BR7</f>
        <v>0</v>
      </c>
      <c r="BS34" s="199">
        <f>'Ket qua kinh doanh'!BS20+'Ket qua kinh doanh'!BS13+'Luu chuyen tien te'!BS7</f>
        <v>0</v>
      </c>
      <c r="BT34" s="199">
        <f>'Ket qua kinh doanh'!BT20+'Ket qua kinh doanh'!BT13+'Luu chuyen tien te'!BT7</f>
        <v>0</v>
      </c>
      <c r="BU34" s="199">
        <f>'Ket qua kinh doanh'!BU20+'Ket qua kinh doanh'!BU13+'Luu chuyen tien te'!BU7</f>
        <v>0</v>
      </c>
      <c r="BV34" s="199">
        <f>'Ket qua kinh doanh'!BV20+'Ket qua kinh doanh'!BV13+'Luu chuyen tien te'!BV7</f>
        <v>0</v>
      </c>
      <c r="BW34" s="199">
        <f>'Ket qua kinh doanh'!BW20+'Ket qua kinh doanh'!BW13+'Luu chuyen tien te'!BW7</f>
        <v>0</v>
      </c>
    </row>
    <row r="35" spans="1:75">
      <c r="A35" s="184">
        <v>32</v>
      </c>
      <c r="B35" s="185" t="s">
        <v>435</v>
      </c>
      <c r="C35" s="187">
        <v>8</v>
      </c>
      <c r="D35" s="201" t="s">
        <v>411</v>
      </c>
      <c r="E35" s="201" t="s">
        <v>411</v>
      </c>
      <c r="F35" s="201" t="s">
        <v>411</v>
      </c>
      <c r="G35" s="201">
        <v>-0.33862645811899139</v>
      </c>
      <c r="H35" s="201">
        <v>-0.23914078344012143</v>
      </c>
      <c r="I35" s="201">
        <v>-9.7369018071178317</v>
      </c>
      <c r="J35" s="201" t="s">
        <v>411</v>
      </c>
      <c r="K35" s="201" t="s">
        <v>411</v>
      </c>
      <c r="L35" s="201" t="s">
        <v>411</v>
      </c>
      <c r="M35" s="201">
        <v>-0.82650122812260685</v>
      </c>
      <c r="N35" s="201">
        <v>-0.25027456268114168</v>
      </c>
      <c r="O35" s="201">
        <v>-22.852980847145488</v>
      </c>
      <c r="P35" s="201">
        <v>-2.2537415978877022</v>
      </c>
      <c r="Q35" s="201" t="s">
        <v>411</v>
      </c>
      <c r="R35" s="201">
        <v>-0.61223865080042295</v>
      </c>
      <c r="S35" s="201">
        <v>-0.81808601122890179</v>
      </c>
      <c r="T35" s="201">
        <v>-0.31634030127015672</v>
      </c>
      <c r="U35" s="201">
        <v>-0.20894827198254062</v>
      </c>
      <c r="V35" s="201">
        <v>-0.26363502899046598</v>
      </c>
      <c r="W35" s="201">
        <v>-4.3220562396394692E-2</v>
      </c>
      <c r="X35" s="201">
        <v>-0.13625572630315111</v>
      </c>
      <c r="Y35" s="201">
        <v>-3.8596969174199178E-2</v>
      </c>
      <c r="Z35" s="201">
        <v>-0.24784077694368006</v>
      </c>
      <c r="AA35" s="201">
        <v>-0.3539825419657377</v>
      </c>
      <c r="AB35" s="201">
        <v>-0.43639152858380759</v>
      </c>
      <c r="AC35" s="201">
        <v>-0.18582977050471597</v>
      </c>
      <c r="AD35" s="201">
        <v>-0.11019645117134327</v>
      </c>
      <c r="AE35" s="201">
        <v>5.2097030688745494E-2</v>
      </c>
      <c r="AF35" s="201">
        <v>-4.7595046520337921E-2</v>
      </c>
      <c r="AG35" s="201">
        <v>2.6299213580514947E-2</v>
      </c>
      <c r="AH35" s="201">
        <v>-4.0574045950809358E-2</v>
      </c>
      <c r="AI35" s="201">
        <v>7.0523992929649266E-3</v>
      </c>
      <c r="AJ35" s="201">
        <v>-3.5882627639107031E-2</v>
      </c>
      <c r="AK35" s="201">
        <v>5.6869562929387857E-2</v>
      </c>
      <c r="AL35" s="201">
        <v>-4.0804945935472611E-2</v>
      </c>
      <c r="AM35" s="201">
        <v>0.14791888387501403</v>
      </c>
      <c r="AN35" s="201">
        <v>1.6847318535630644E-2</v>
      </c>
      <c r="AO35" s="201">
        <v>3.9712476026250471E-2</v>
      </c>
      <c r="AP35" s="201">
        <v>6.6289997764302416E-2</v>
      </c>
      <c r="AQ35" s="201">
        <v>3.3554467543948467E-2</v>
      </c>
      <c r="AR35" s="201">
        <v>3.7206809018796853E-2</v>
      </c>
      <c r="AS35" s="201">
        <v>2.142288904373791E-2</v>
      </c>
      <c r="AT35" s="201">
        <v>-1.4930144905464474E-2</v>
      </c>
      <c r="AU35" s="201">
        <v>-1.8872533201388292E-2</v>
      </c>
      <c r="AV35" s="201">
        <v>5.414906180960564E-3</v>
      </c>
      <c r="AW35" s="201">
        <v>2.0359050341541955E-2</v>
      </c>
      <c r="AX35" s="201">
        <v>-0.12039725512337082</v>
      </c>
      <c r="AY35" s="201">
        <v>1.318264782755345E-2</v>
      </c>
      <c r="AZ35" s="201">
        <v>-4.3762260675993286E-2</v>
      </c>
      <c r="BA35" s="201">
        <v>5.6063084741946045E-2</v>
      </c>
      <c r="BB35" s="201">
        <v>6.474577228793528E-2</v>
      </c>
      <c r="BC35" s="201">
        <v>7.9464594925157631E-2</v>
      </c>
      <c r="BD35" s="201">
        <v>3.9936878953894389E-2</v>
      </c>
      <c r="BE35" s="201">
        <v>9.0346358027329418E-2</v>
      </c>
      <c r="BF35" s="201">
        <v>0.10172281683906585</v>
      </c>
      <c r="BG35" s="201">
        <v>0.13402705048818392</v>
      </c>
      <c r="BH35" s="201">
        <v>3.0005950156083292E-2</v>
      </c>
      <c r="BI35" s="201">
        <v>7.7970696524562663E-2</v>
      </c>
      <c r="BJ35" s="201">
        <v>7.6235936074737623E-2</v>
      </c>
      <c r="BK35" s="201">
        <f t="shared" ref="BK35:BW35" si="5">IFERROR(BK34/BK12,"")</f>
        <v>6.6651593031491846E-2</v>
      </c>
      <c r="BL35" s="201">
        <f t="shared" si="5"/>
        <v>8.6263366270489264E-2</v>
      </c>
      <c r="BM35" s="201">
        <f t="shared" si="5"/>
        <v>4.0901026562804935E-2</v>
      </c>
      <c r="BN35" s="201">
        <f t="shared" si="5"/>
        <v>9.530741828864521E-2</v>
      </c>
      <c r="BO35" s="201">
        <f t="shared" si="5"/>
        <v>9.8672848770792701E-2</v>
      </c>
      <c r="BP35" s="201">
        <f t="shared" si="5"/>
        <v>0.12309106636241994</v>
      </c>
      <c r="BQ35" s="201" t="str">
        <f t="shared" si="5"/>
        <v/>
      </c>
      <c r="BR35" s="201" t="str">
        <f t="shared" si="5"/>
        <v/>
      </c>
      <c r="BS35" s="201" t="str">
        <f t="shared" si="5"/>
        <v/>
      </c>
      <c r="BT35" s="201" t="str">
        <f t="shared" si="5"/>
        <v/>
      </c>
      <c r="BU35" s="201" t="str">
        <f t="shared" si="5"/>
        <v/>
      </c>
      <c r="BV35" s="201" t="str">
        <f t="shared" si="5"/>
        <v/>
      </c>
      <c r="BW35" s="201" t="str">
        <f t="shared" si="5"/>
        <v/>
      </c>
    </row>
    <row r="36" spans="1:75">
      <c r="A36" s="181">
        <v>33</v>
      </c>
      <c r="B36" s="182" t="s">
        <v>436</v>
      </c>
      <c r="C36" s="183">
        <v>8</v>
      </c>
      <c r="D36" s="199">
        <v>0</v>
      </c>
      <c r="E36" s="199">
        <v>0</v>
      </c>
      <c r="F36" s="199">
        <v>0</v>
      </c>
      <c r="G36" s="199">
        <v>0</v>
      </c>
      <c r="H36" s="199">
        <v>0</v>
      </c>
      <c r="I36" s="199">
        <v>0</v>
      </c>
      <c r="J36" s="199">
        <v>0</v>
      </c>
      <c r="K36" s="199">
        <v>0</v>
      </c>
      <c r="L36" s="199">
        <v>0</v>
      </c>
      <c r="M36" s="199">
        <v>0</v>
      </c>
      <c r="N36" s="199">
        <v>0</v>
      </c>
      <c r="O36" s="199">
        <v>0</v>
      </c>
      <c r="P36" s="199">
        <v>0</v>
      </c>
      <c r="Q36" s="199">
        <v>0</v>
      </c>
      <c r="R36" s="199">
        <v>0</v>
      </c>
      <c r="S36" s="199">
        <v>0</v>
      </c>
      <c r="T36" s="199">
        <v>0</v>
      </c>
      <c r="U36" s="199">
        <v>0</v>
      </c>
      <c r="V36" s="199">
        <v>0</v>
      </c>
      <c r="W36" s="199">
        <v>0</v>
      </c>
      <c r="X36" s="199">
        <v>0</v>
      </c>
      <c r="Y36" s="199">
        <v>0</v>
      </c>
      <c r="Z36" s="199">
        <v>0</v>
      </c>
      <c r="AA36" s="199">
        <v>0</v>
      </c>
      <c r="AB36" s="199">
        <v>0</v>
      </c>
      <c r="AC36" s="199">
        <v>0</v>
      </c>
      <c r="AD36" s="199">
        <v>0</v>
      </c>
      <c r="AE36" s="199">
        <v>0</v>
      </c>
      <c r="AF36" s="199">
        <v>0</v>
      </c>
      <c r="AG36" s="199">
        <v>0</v>
      </c>
      <c r="AH36" s="199">
        <v>0</v>
      </c>
      <c r="AI36" s="199">
        <v>0</v>
      </c>
      <c r="AJ36" s="199">
        <v>0</v>
      </c>
      <c r="AK36" s="199">
        <v>0</v>
      </c>
      <c r="AL36" s="199">
        <v>0</v>
      </c>
      <c r="AM36" s="199">
        <v>0</v>
      </c>
      <c r="AN36" s="199">
        <v>0</v>
      </c>
      <c r="AO36" s="199">
        <v>0</v>
      </c>
      <c r="AP36" s="199">
        <v>0</v>
      </c>
      <c r="AQ36" s="199">
        <v>0</v>
      </c>
      <c r="AR36" s="199">
        <v>0</v>
      </c>
      <c r="AS36" s="199">
        <v>0</v>
      </c>
      <c r="AT36" s="199">
        <v>0</v>
      </c>
      <c r="AU36" s="199">
        <v>0</v>
      </c>
      <c r="AV36" s="199">
        <v>0</v>
      </c>
      <c r="AW36" s="199">
        <v>0</v>
      </c>
      <c r="AX36" s="199">
        <v>0</v>
      </c>
      <c r="AY36" s="199">
        <v>0</v>
      </c>
      <c r="AZ36" s="199">
        <v>0</v>
      </c>
      <c r="BA36" s="199">
        <v>0</v>
      </c>
      <c r="BB36" s="199">
        <v>0</v>
      </c>
      <c r="BC36" s="199">
        <v>0</v>
      </c>
      <c r="BD36" s="199">
        <v>0</v>
      </c>
      <c r="BE36" s="199">
        <v>0</v>
      </c>
      <c r="BF36" s="199">
        <v>0</v>
      </c>
      <c r="BG36" s="199">
        <v>0</v>
      </c>
      <c r="BH36" s="199">
        <v>0</v>
      </c>
      <c r="BI36" s="199">
        <v>0</v>
      </c>
      <c r="BJ36" s="199">
        <v>0</v>
      </c>
      <c r="BK36" s="199">
        <f>'Ket qua kinh doanh'!BK21+'Ket qua kinh doanh'!BK22</f>
        <v>0</v>
      </c>
      <c r="BL36" s="199">
        <f>'Ket qua kinh doanh'!BL21+'Ket qua kinh doanh'!BL22</f>
        <v>0</v>
      </c>
      <c r="BM36" s="199">
        <f>'Ket qua kinh doanh'!BM21+'Ket qua kinh doanh'!BM22</f>
        <v>0</v>
      </c>
      <c r="BN36" s="199">
        <f>'Ket qua kinh doanh'!BN21+'Ket qua kinh doanh'!BN22</f>
        <v>0</v>
      </c>
      <c r="BO36" s="199">
        <f>'Ket qua kinh doanh'!BO21+'Ket qua kinh doanh'!BO22</f>
        <v>0</v>
      </c>
      <c r="BP36" s="199">
        <f>'Ket qua kinh doanh'!BP21+'Ket qua kinh doanh'!BP22</f>
        <v>0</v>
      </c>
      <c r="BQ36" s="199">
        <f>'Ket qua kinh doanh'!BQ21+'Ket qua kinh doanh'!BQ22</f>
        <v>0</v>
      </c>
      <c r="BR36" s="199">
        <f>'Ket qua kinh doanh'!BR21+'Ket qua kinh doanh'!BR22</f>
        <v>0</v>
      </c>
      <c r="BS36" s="199">
        <f>'Ket qua kinh doanh'!BS21+'Ket qua kinh doanh'!BS22</f>
        <v>0</v>
      </c>
      <c r="BT36" s="199">
        <f>'Ket qua kinh doanh'!BT21+'Ket qua kinh doanh'!BT22</f>
        <v>0</v>
      </c>
      <c r="BU36" s="199">
        <f>'Ket qua kinh doanh'!BU21+'Ket qua kinh doanh'!BU22</f>
        <v>0</v>
      </c>
      <c r="BV36" s="199">
        <f>'Ket qua kinh doanh'!BV21+'Ket qua kinh doanh'!BV22</f>
        <v>0</v>
      </c>
      <c r="BW36" s="199">
        <f>'Ket qua kinh doanh'!BW21+'Ket qua kinh doanh'!BW22</f>
        <v>0</v>
      </c>
    </row>
    <row r="37" spans="1:75">
      <c r="A37" s="184">
        <v>34</v>
      </c>
      <c r="B37" s="185" t="s">
        <v>437</v>
      </c>
      <c r="C37" s="187">
        <v>8</v>
      </c>
      <c r="D37" s="201" t="s">
        <v>411</v>
      </c>
      <c r="E37" s="201" t="s">
        <v>411</v>
      </c>
      <c r="F37" s="201" t="s">
        <v>411</v>
      </c>
      <c r="G37" s="201">
        <v>0</v>
      </c>
      <c r="H37" s="201">
        <v>0</v>
      </c>
      <c r="I37" s="201">
        <v>0</v>
      </c>
      <c r="J37" s="201" t="s">
        <v>411</v>
      </c>
      <c r="K37" s="201" t="s">
        <v>411</v>
      </c>
      <c r="L37" s="201" t="s">
        <v>411</v>
      </c>
      <c r="M37" s="201">
        <v>0</v>
      </c>
      <c r="N37" s="201">
        <v>0</v>
      </c>
      <c r="O37" s="201">
        <v>0</v>
      </c>
      <c r="P37" s="201">
        <v>0</v>
      </c>
      <c r="Q37" s="201" t="s">
        <v>411</v>
      </c>
      <c r="R37" s="201">
        <v>0</v>
      </c>
      <c r="S37" s="201">
        <v>0</v>
      </c>
      <c r="T37" s="201">
        <v>0</v>
      </c>
      <c r="U37" s="201">
        <v>0</v>
      </c>
      <c r="V37" s="201">
        <v>0</v>
      </c>
      <c r="W37" s="201">
        <v>0</v>
      </c>
      <c r="X37" s="201">
        <v>0</v>
      </c>
      <c r="Y37" s="201">
        <v>0</v>
      </c>
      <c r="Z37" s="201">
        <v>0</v>
      </c>
      <c r="AA37" s="201">
        <v>0</v>
      </c>
      <c r="AB37" s="201">
        <v>0</v>
      </c>
      <c r="AC37" s="201">
        <v>0</v>
      </c>
      <c r="AD37" s="201">
        <v>0</v>
      </c>
      <c r="AE37" s="201">
        <v>0</v>
      </c>
      <c r="AF37" s="201">
        <v>0</v>
      </c>
      <c r="AG37" s="201">
        <v>0</v>
      </c>
      <c r="AH37" s="201">
        <v>0</v>
      </c>
      <c r="AI37" s="201">
        <v>0</v>
      </c>
      <c r="AJ37" s="201">
        <v>0</v>
      </c>
      <c r="AK37" s="201">
        <v>0</v>
      </c>
      <c r="AL37" s="201">
        <v>0</v>
      </c>
      <c r="AM37" s="201">
        <v>0</v>
      </c>
      <c r="AN37" s="201">
        <v>0</v>
      </c>
      <c r="AO37" s="201">
        <v>0</v>
      </c>
      <c r="AP37" s="201">
        <v>0</v>
      </c>
      <c r="AQ37" s="201">
        <v>0</v>
      </c>
      <c r="AR37" s="201">
        <v>0</v>
      </c>
      <c r="AS37" s="201">
        <v>0</v>
      </c>
      <c r="AT37" s="201">
        <v>0</v>
      </c>
      <c r="AU37" s="201">
        <v>0</v>
      </c>
      <c r="AV37" s="201">
        <v>0</v>
      </c>
      <c r="AW37" s="201">
        <v>0</v>
      </c>
      <c r="AX37" s="201">
        <v>0</v>
      </c>
      <c r="AY37" s="201">
        <v>0</v>
      </c>
      <c r="AZ37" s="201">
        <v>0</v>
      </c>
      <c r="BA37" s="201">
        <v>0</v>
      </c>
      <c r="BB37" s="201">
        <v>0</v>
      </c>
      <c r="BC37" s="201">
        <v>0</v>
      </c>
      <c r="BD37" s="201">
        <v>0</v>
      </c>
      <c r="BE37" s="201">
        <v>0</v>
      </c>
      <c r="BF37" s="201">
        <v>0</v>
      </c>
      <c r="BG37" s="201">
        <v>0</v>
      </c>
      <c r="BH37" s="201">
        <v>0</v>
      </c>
      <c r="BI37" s="201">
        <v>0</v>
      </c>
      <c r="BJ37" s="201">
        <v>0</v>
      </c>
      <c r="BK37" s="201">
        <f t="shared" ref="BK37:BW37" si="6">IFERROR(BK36/BK12,"")</f>
        <v>0</v>
      </c>
      <c r="BL37" s="201">
        <f t="shared" si="6"/>
        <v>0</v>
      </c>
      <c r="BM37" s="201">
        <f t="shared" si="6"/>
        <v>0</v>
      </c>
      <c r="BN37" s="201">
        <f t="shared" si="6"/>
        <v>0</v>
      </c>
      <c r="BO37" s="201">
        <f t="shared" si="6"/>
        <v>0</v>
      </c>
      <c r="BP37" s="201">
        <f t="shared" si="6"/>
        <v>0</v>
      </c>
      <c r="BQ37" s="201" t="str">
        <f t="shared" si="6"/>
        <v/>
      </c>
      <c r="BR37" s="201" t="str">
        <f t="shared" si="6"/>
        <v/>
      </c>
      <c r="BS37" s="201" t="str">
        <f t="shared" si="6"/>
        <v/>
      </c>
      <c r="BT37" s="201" t="str">
        <f t="shared" si="6"/>
        <v/>
      </c>
      <c r="BU37" s="201" t="str">
        <f t="shared" si="6"/>
        <v/>
      </c>
      <c r="BV37" s="201" t="str">
        <f t="shared" si="6"/>
        <v/>
      </c>
      <c r="BW37" s="201" t="str">
        <f t="shared" si="6"/>
        <v/>
      </c>
    </row>
    <row r="38" spans="1:75">
      <c r="A38" s="181">
        <v>35</v>
      </c>
      <c r="B38" s="182" t="s">
        <v>438</v>
      </c>
      <c r="C38" s="183">
        <v>8</v>
      </c>
      <c r="D38" s="199">
        <v>-221834980</v>
      </c>
      <c r="E38" s="199">
        <v>-163438870</v>
      </c>
      <c r="F38" s="199">
        <v>-165187049</v>
      </c>
      <c r="G38" s="199">
        <v>-165856504</v>
      </c>
      <c r="H38" s="199">
        <v>-170192841</v>
      </c>
      <c r="I38" s="199">
        <v>-146704776</v>
      </c>
      <c r="J38" s="199">
        <v>-112893278</v>
      </c>
      <c r="K38" s="199">
        <v>-92359990</v>
      </c>
      <c r="L38" s="199">
        <v>-144885177</v>
      </c>
      <c r="M38" s="199">
        <v>-111895773</v>
      </c>
      <c r="N38" s="199">
        <v>-166776764</v>
      </c>
      <c r="O38" s="199">
        <v>-539122261</v>
      </c>
      <c r="P38" s="199">
        <v>-346588117</v>
      </c>
      <c r="Q38" s="199">
        <v>-332548180</v>
      </c>
      <c r="R38" s="199">
        <v>-301160879</v>
      </c>
      <c r="S38" s="199">
        <v>-331854278</v>
      </c>
      <c r="T38" s="199">
        <v>-328235889</v>
      </c>
      <c r="U38" s="199">
        <v>-374330593</v>
      </c>
      <c r="V38" s="199">
        <v>-378284669</v>
      </c>
      <c r="W38" s="199">
        <v>-298205950</v>
      </c>
      <c r="X38" s="199">
        <v>-422536009</v>
      </c>
      <c r="Y38" s="199">
        <v>-354472293</v>
      </c>
      <c r="Z38" s="199">
        <v>-861897292</v>
      </c>
      <c r="AA38" s="199">
        <v>-1172866432</v>
      </c>
      <c r="AB38" s="199">
        <v>-1051289386</v>
      </c>
      <c r="AC38" s="199">
        <v>-533418086</v>
      </c>
      <c r="AD38" s="199">
        <v>-734458875</v>
      </c>
      <c r="AE38" s="199">
        <v>34062634</v>
      </c>
      <c r="AF38" s="199">
        <v>-464624366</v>
      </c>
      <c r="AG38" s="199">
        <v>-185159806</v>
      </c>
      <c r="AH38" s="199">
        <v>-470228520</v>
      </c>
      <c r="AI38" s="199">
        <v>-309976667</v>
      </c>
      <c r="AJ38" s="199">
        <v>-459963640</v>
      </c>
      <c r="AK38" s="199">
        <v>-105670098</v>
      </c>
      <c r="AL38" s="199">
        <v>-438262026</v>
      </c>
      <c r="AM38" s="199">
        <v>513403969</v>
      </c>
      <c r="AN38" s="199">
        <v>-189720453</v>
      </c>
      <c r="AO38" s="199">
        <v>-175133271</v>
      </c>
      <c r="AP38" s="199">
        <v>50321786</v>
      </c>
      <c r="AQ38" s="199">
        <v>-141447382</v>
      </c>
      <c r="AR38" s="199">
        <v>2058676</v>
      </c>
      <c r="AS38" s="199">
        <v>-195661702</v>
      </c>
      <c r="AT38" s="199">
        <v>-394602818</v>
      </c>
      <c r="AU38" s="199">
        <v>-400967893</v>
      </c>
      <c r="AV38" s="199">
        <v>-307075455</v>
      </c>
      <c r="AW38" s="199">
        <v>-236792330</v>
      </c>
      <c r="AX38" s="199">
        <v>-887402180</v>
      </c>
      <c r="AY38" s="199">
        <v>-276824257</v>
      </c>
      <c r="AZ38" s="199">
        <v>-420514291</v>
      </c>
      <c r="BA38" s="199">
        <v>-49880621</v>
      </c>
      <c r="BB38" s="199">
        <v>80525775</v>
      </c>
      <c r="BC38" s="199">
        <v>290833926</v>
      </c>
      <c r="BD38" s="199">
        <v>-34811546</v>
      </c>
      <c r="BE38" s="199">
        <v>618754242</v>
      </c>
      <c r="BF38" s="199">
        <v>969513402</v>
      </c>
      <c r="BG38" s="199">
        <v>1504531335</v>
      </c>
      <c r="BH38" s="199">
        <v>-44927274</v>
      </c>
      <c r="BI38" s="199">
        <v>203950321</v>
      </c>
      <c r="BJ38" s="199">
        <v>108418363</v>
      </c>
      <c r="BK38" s="199">
        <f>'Ket qua kinh doanh'!BK23</f>
        <v>143354288</v>
      </c>
      <c r="BL38" s="199">
        <f>'Ket qua kinh doanh'!BL23</f>
        <v>431875647</v>
      </c>
      <c r="BM38" s="199">
        <f>'Ket qua kinh doanh'!BM23</f>
        <v>-16596905</v>
      </c>
      <c r="BN38" s="199">
        <f>'Ket qua kinh doanh'!BN23</f>
        <v>714089038</v>
      </c>
      <c r="BO38" s="199">
        <f>'Ket qua kinh doanh'!BO23</f>
        <v>488856467</v>
      </c>
      <c r="BP38" s="199">
        <f>'Ket qua kinh doanh'!BP23</f>
        <v>1156897369</v>
      </c>
      <c r="BQ38" s="199">
        <f>'Ket qua kinh doanh'!BQ23</f>
        <v>0</v>
      </c>
      <c r="BR38" s="199">
        <f>'Ket qua kinh doanh'!BR23</f>
        <v>0</v>
      </c>
      <c r="BS38" s="199">
        <f>'Ket qua kinh doanh'!BS23</f>
        <v>0</v>
      </c>
      <c r="BT38" s="199">
        <f>'Ket qua kinh doanh'!BT23</f>
        <v>0</v>
      </c>
      <c r="BU38" s="199">
        <f>'Ket qua kinh doanh'!BU23</f>
        <v>0</v>
      </c>
      <c r="BV38" s="199">
        <f>'Ket qua kinh doanh'!BV23</f>
        <v>0</v>
      </c>
      <c r="BW38" s="199">
        <f>'Ket qua kinh doanh'!BW23</f>
        <v>0</v>
      </c>
    </row>
    <row r="39" spans="1:75">
      <c r="A39" s="184">
        <v>36</v>
      </c>
      <c r="B39" s="185" t="s">
        <v>439</v>
      </c>
      <c r="C39" s="187">
        <v>8</v>
      </c>
      <c r="D39" s="201" t="s">
        <v>411</v>
      </c>
      <c r="E39" s="201" t="s">
        <v>411</v>
      </c>
      <c r="F39" s="201" t="s">
        <v>411</v>
      </c>
      <c r="G39" s="201">
        <v>-0.45017815471651357</v>
      </c>
      <c r="H39" s="201">
        <v>-0.31527329748435001</v>
      </c>
      <c r="I39" s="201">
        <v>-13.526164115803061</v>
      </c>
      <c r="J39" s="201" t="s">
        <v>411</v>
      </c>
      <c r="K39" s="201" t="s">
        <v>411</v>
      </c>
      <c r="L39" s="201" t="s">
        <v>411</v>
      </c>
      <c r="M39" s="201">
        <v>-1.3062901941647833</v>
      </c>
      <c r="N39" s="201">
        <v>-0.33211731986198884</v>
      </c>
      <c r="O39" s="201">
        <v>-24.821466896869246</v>
      </c>
      <c r="P39" s="201">
        <v>-3.2558492642289294</v>
      </c>
      <c r="Q39" s="201" t="s">
        <v>411</v>
      </c>
      <c r="R39" s="201">
        <v>-1.1355652212635738</v>
      </c>
      <c r="S39" s="201">
        <v>-1.4098004178690582</v>
      </c>
      <c r="T39" s="201">
        <v>-0.59682345176068219</v>
      </c>
      <c r="U39" s="201">
        <v>-0.37269520643416687</v>
      </c>
      <c r="V39" s="201">
        <v>-0.46641781287663719</v>
      </c>
      <c r="W39" s="201">
        <v>-0.13614770761444914</v>
      </c>
      <c r="X39" s="201">
        <v>-0.29529449638932781</v>
      </c>
      <c r="Y39" s="201">
        <v>-0.10804157075767293</v>
      </c>
      <c r="Z39" s="201">
        <v>-0.33819667699433908</v>
      </c>
      <c r="AA39" s="201">
        <v>-0.44641039888347667</v>
      </c>
      <c r="AB39" s="201">
        <v>-0.57686339626952754</v>
      </c>
      <c r="AC39" s="201">
        <v>-0.35469226603858095</v>
      </c>
      <c r="AD39" s="201">
        <v>-0.16920912314785286</v>
      </c>
      <c r="AE39" s="201">
        <v>6.0475511488035216E-3</v>
      </c>
      <c r="AF39" s="201">
        <v>-0.12517580563455782</v>
      </c>
      <c r="AG39" s="201">
        <v>-3.9886235788669122E-2</v>
      </c>
      <c r="AH39" s="201">
        <v>-0.1277279779987989</v>
      </c>
      <c r="AI39" s="201">
        <v>-8.856199760050347E-2</v>
      </c>
      <c r="AJ39" s="201">
        <v>-0.14007138143239942</v>
      </c>
      <c r="AK39" s="201">
        <v>-2.5391742537052519E-2</v>
      </c>
      <c r="AL39" s="201">
        <v>-0.18306822871133654</v>
      </c>
      <c r="AM39" s="201">
        <v>8.8399462788874741E-2</v>
      </c>
      <c r="AN39" s="201">
        <v>-2.2583848855988298E-2</v>
      </c>
      <c r="AO39" s="201">
        <v>-4.4549855936194954E-2</v>
      </c>
      <c r="AP39" s="201">
        <v>8.7232918690624203E-3</v>
      </c>
      <c r="AQ39" s="201">
        <v>-2.4348469209486884E-2</v>
      </c>
      <c r="AR39" s="201">
        <v>2.1702871625843824E-4</v>
      </c>
      <c r="AS39" s="201">
        <v>-3.1655700735051077E-2</v>
      </c>
      <c r="AT39" s="201">
        <v>-9.4490704010582113E-2</v>
      </c>
      <c r="AU39" s="201">
        <v>-0.11058889107694073</v>
      </c>
      <c r="AV39" s="201">
        <v>-7.8311222862074273E-2</v>
      </c>
      <c r="AW39" s="201">
        <v>-5.4693168890654259E-2</v>
      </c>
      <c r="AX39" s="201">
        <v>-0.18995066079025466</v>
      </c>
      <c r="AY39" s="201">
        <v>-7.5849722479553475E-2</v>
      </c>
      <c r="AZ39" s="201">
        <v>-0.19254050494455829</v>
      </c>
      <c r="BA39" s="201">
        <v>-1.0166896465458548E-2</v>
      </c>
      <c r="BB39" s="201">
        <v>1.2713951104673184E-2</v>
      </c>
      <c r="BC39" s="201">
        <v>3.7252643312193523E-2</v>
      </c>
      <c r="BD39" s="201">
        <v>-4.7169176886647695E-3</v>
      </c>
      <c r="BE39" s="201">
        <v>5.8612118600106684E-2</v>
      </c>
      <c r="BF39" s="201">
        <v>7.5301128487034144E-2</v>
      </c>
      <c r="BG39" s="201">
        <v>0.10931535310099226</v>
      </c>
      <c r="BH39" s="201">
        <v>-4.5358558413874745E-3</v>
      </c>
      <c r="BI39" s="201">
        <v>2.9120332606646891E-2</v>
      </c>
      <c r="BJ39" s="201">
        <v>1.811277519571515E-2</v>
      </c>
      <c r="BK39" s="201">
        <f t="shared" ref="BK39:BW39" si="7">IFERROR(BK38/BK12,"")</f>
        <v>1.9154443530955582E-2</v>
      </c>
      <c r="BL39" s="201">
        <f t="shared" si="7"/>
        <v>5.8999262101518096E-2</v>
      </c>
      <c r="BM39" s="201">
        <f t="shared" si="7"/>
        <v>-3.610778517304734E-3</v>
      </c>
      <c r="BN39" s="201">
        <f t="shared" si="7"/>
        <v>7.4250336967805516E-2</v>
      </c>
      <c r="BO39" s="201">
        <f t="shared" si="7"/>
        <v>6.9742035840993977E-2</v>
      </c>
      <c r="BP39" s="201">
        <f t="shared" si="7"/>
        <v>0.10493500567296131</v>
      </c>
      <c r="BQ39" s="201" t="str">
        <f t="shared" si="7"/>
        <v/>
      </c>
      <c r="BR39" s="201" t="str">
        <f t="shared" si="7"/>
        <v/>
      </c>
      <c r="BS39" s="201" t="str">
        <f t="shared" si="7"/>
        <v/>
      </c>
      <c r="BT39" s="201" t="str">
        <f t="shared" si="7"/>
        <v/>
      </c>
      <c r="BU39" s="201" t="str">
        <f t="shared" si="7"/>
        <v/>
      </c>
      <c r="BV39" s="201" t="str">
        <f t="shared" si="7"/>
        <v/>
      </c>
      <c r="BW39" s="201" t="str">
        <f t="shared" si="7"/>
        <v/>
      </c>
    </row>
    <row r="40" spans="1:75">
      <c r="A40" s="192">
        <v>37</v>
      </c>
      <c r="B40" s="193" t="s">
        <v>440</v>
      </c>
      <c r="C40" s="183">
        <v>8</v>
      </c>
      <c r="D40" s="199">
        <v>0</v>
      </c>
      <c r="E40" s="199">
        <v>0</v>
      </c>
      <c r="F40" s="199">
        <v>0</v>
      </c>
      <c r="G40" s="199">
        <v>0</v>
      </c>
      <c r="H40" s="199">
        <v>0</v>
      </c>
      <c r="I40" s="199">
        <v>0</v>
      </c>
      <c r="J40" s="199">
        <v>0</v>
      </c>
      <c r="K40" s="199">
        <v>0</v>
      </c>
      <c r="L40" s="199">
        <v>0</v>
      </c>
      <c r="M40" s="199">
        <v>0</v>
      </c>
      <c r="N40" s="199">
        <v>0</v>
      </c>
      <c r="O40" s="199">
        <v>0</v>
      </c>
      <c r="P40" s="199">
        <v>4154275</v>
      </c>
      <c r="Q40" s="199">
        <v>111551042</v>
      </c>
      <c r="R40" s="199">
        <v>110233410</v>
      </c>
      <c r="S40" s="199">
        <v>127730395</v>
      </c>
      <c r="T40" s="199">
        <v>186833035</v>
      </c>
      <c r="U40" s="199">
        <v>196635214</v>
      </c>
      <c r="V40" s="199">
        <v>194194095</v>
      </c>
      <c r="W40" s="199">
        <v>278805851</v>
      </c>
      <c r="X40" s="199">
        <v>297860980</v>
      </c>
      <c r="Y40" s="199">
        <v>356552796</v>
      </c>
      <c r="Z40" s="199">
        <v>391895076</v>
      </c>
      <c r="AA40" s="199">
        <v>648279108</v>
      </c>
      <c r="AB40" s="199">
        <v>366527895</v>
      </c>
      <c r="AC40" s="199">
        <v>316438292</v>
      </c>
      <c r="AD40" s="199">
        <v>474659267</v>
      </c>
      <c r="AE40" s="199">
        <v>500360421</v>
      </c>
      <c r="AF40" s="199">
        <v>442222030</v>
      </c>
      <c r="AG40" s="199">
        <v>537898379</v>
      </c>
      <c r="AH40" s="199">
        <v>496904815</v>
      </c>
      <c r="AI40" s="199">
        <v>432396059</v>
      </c>
      <c r="AJ40" s="199">
        <v>375069710</v>
      </c>
      <c r="AK40" s="199">
        <v>355199519</v>
      </c>
      <c r="AL40" s="199">
        <v>319486926</v>
      </c>
      <c r="AM40" s="199">
        <v>441146680</v>
      </c>
      <c r="AN40" s="199">
        <v>80500000</v>
      </c>
      <c r="AO40" s="199">
        <v>92396800</v>
      </c>
      <c r="AP40" s="199">
        <v>121389600</v>
      </c>
      <c r="AQ40" s="199">
        <v>78000000</v>
      </c>
      <c r="AR40" s="199">
        <v>146000000</v>
      </c>
      <c r="AS40" s="199">
        <v>115500000</v>
      </c>
      <c r="AT40" s="199">
        <v>64000000</v>
      </c>
      <c r="AU40" s="199">
        <v>54000000</v>
      </c>
      <c r="AV40" s="199">
        <v>57900000</v>
      </c>
      <c r="AW40" s="199">
        <v>75900000</v>
      </c>
      <c r="AX40" s="199">
        <v>79200000</v>
      </c>
      <c r="AY40" s="199">
        <v>75900000</v>
      </c>
      <c r="AZ40" s="199">
        <v>46200000</v>
      </c>
      <c r="BA40" s="199">
        <v>111100000</v>
      </c>
      <c r="BB40" s="199">
        <v>142500000</v>
      </c>
      <c r="BC40" s="199">
        <v>161600000</v>
      </c>
      <c r="BD40" s="199">
        <v>157100000</v>
      </c>
      <c r="BE40" s="199">
        <v>207400000</v>
      </c>
      <c r="BF40" s="199">
        <v>261000000</v>
      </c>
      <c r="BG40" s="199">
        <v>278300000</v>
      </c>
      <c r="BH40" s="199">
        <v>246900000</v>
      </c>
      <c r="BI40" s="199">
        <v>175300000</v>
      </c>
      <c r="BJ40" s="199">
        <v>144200000</v>
      </c>
      <c r="BK40" s="199">
        <f>'Ket qua kinh doanh'!BK14</f>
        <v>193700000</v>
      </c>
      <c r="BL40" s="199">
        <f>'Ket qua kinh doanh'!BL14</f>
        <v>195900000</v>
      </c>
      <c r="BM40" s="199">
        <f>'Ket qua kinh doanh'!BM14</f>
        <v>121800000</v>
      </c>
      <c r="BN40" s="199">
        <f>'Ket qua kinh doanh'!BN14</f>
        <v>271300000</v>
      </c>
      <c r="BO40" s="199">
        <f>'Ket qua kinh doanh'!BO14</f>
        <v>195300000</v>
      </c>
      <c r="BP40" s="199">
        <f>'Ket qua kinh doanh'!BP14</f>
        <v>262800000</v>
      </c>
      <c r="BQ40" s="199">
        <f>'Ket qua kinh doanh'!BQ14</f>
        <v>0</v>
      </c>
      <c r="BR40" s="199">
        <f>'Ket qua kinh doanh'!BR14</f>
        <v>0</v>
      </c>
      <c r="BS40" s="199">
        <f>'Ket qua kinh doanh'!BS14</f>
        <v>0</v>
      </c>
      <c r="BT40" s="199">
        <f>'Ket qua kinh doanh'!BT14</f>
        <v>0</v>
      </c>
      <c r="BU40" s="199">
        <f>'Ket qua kinh doanh'!BU14</f>
        <v>0</v>
      </c>
      <c r="BV40" s="199">
        <f>'Ket qua kinh doanh'!BV14</f>
        <v>0</v>
      </c>
      <c r="BW40" s="199">
        <f>'Ket qua kinh doanh'!BW14</f>
        <v>0</v>
      </c>
    </row>
    <row r="41" spans="1:75">
      <c r="A41" s="190">
        <v>38</v>
      </c>
      <c r="B41" s="194" t="s">
        <v>441</v>
      </c>
      <c r="C41" s="189">
        <v>8</v>
      </c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</row>
    <row r="42" spans="1:75">
      <c r="A42" s="190">
        <v>39</v>
      </c>
      <c r="B42" s="194" t="s">
        <v>442</v>
      </c>
      <c r="C42" s="189">
        <v>8</v>
      </c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</row>
    <row r="43" spans="1:75">
      <c r="A43" s="190">
        <v>40</v>
      </c>
      <c r="B43" s="194" t="s">
        <v>443</v>
      </c>
      <c r="C43" s="189">
        <v>8</v>
      </c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</row>
    <row r="44" spans="1:75">
      <c r="A44" s="190">
        <v>41</v>
      </c>
      <c r="B44" s="194" t="s">
        <v>444</v>
      </c>
      <c r="C44" s="189">
        <v>8</v>
      </c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>
        <v>46200000</v>
      </c>
      <c r="BA44" s="203">
        <v>111100000</v>
      </c>
      <c r="BB44" s="203">
        <v>142500000</v>
      </c>
      <c r="BC44" s="203">
        <v>161600000</v>
      </c>
      <c r="BD44" s="203">
        <v>157100000</v>
      </c>
      <c r="BE44" s="203">
        <v>207400000</v>
      </c>
      <c r="BF44" s="203">
        <v>261000000</v>
      </c>
      <c r="BG44" s="203">
        <v>278300000</v>
      </c>
      <c r="BH44" s="203">
        <v>246900000</v>
      </c>
      <c r="BI44" s="203">
        <v>175300000</v>
      </c>
      <c r="BJ44" s="203">
        <v>144200000</v>
      </c>
      <c r="BK44" s="203">
        <v>193700000</v>
      </c>
      <c r="BL44" s="203">
        <v>195900000</v>
      </c>
      <c r="BM44" s="203">
        <v>121800000</v>
      </c>
      <c r="BN44" s="203">
        <v>271300000</v>
      </c>
      <c r="BO44" s="203">
        <v>195300000</v>
      </c>
      <c r="BP44" s="203">
        <v>262800000</v>
      </c>
      <c r="BQ44" s="203"/>
      <c r="BR44" s="203"/>
      <c r="BS44" s="203"/>
      <c r="BT44" s="203"/>
      <c r="BU44" s="203"/>
      <c r="BV44" s="203"/>
      <c r="BW44" s="203"/>
    </row>
    <row r="45" spans="1:75">
      <c r="A45" s="190">
        <v>42</v>
      </c>
      <c r="B45" s="194" t="s">
        <v>445</v>
      </c>
      <c r="C45" s="189">
        <v>8</v>
      </c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</row>
    <row r="46" spans="1:75">
      <c r="A46" s="190">
        <v>43</v>
      </c>
      <c r="B46" s="194" t="s">
        <v>446</v>
      </c>
      <c r="C46" s="189">
        <v>8</v>
      </c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</row>
    <row r="47" spans="1:75">
      <c r="A47" s="190">
        <v>44</v>
      </c>
      <c r="B47" s="194" t="s">
        <v>447</v>
      </c>
      <c r="C47" s="189">
        <v>8</v>
      </c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</row>
    <row r="48" spans="1:75">
      <c r="A48" s="195">
        <v>45</v>
      </c>
      <c r="B48" s="196" t="s">
        <v>448</v>
      </c>
      <c r="C48" s="187">
        <v>8</v>
      </c>
      <c r="D48" s="201" t="s">
        <v>411</v>
      </c>
      <c r="E48" s="201" t="s">
        <v>411</v>
      </c>
      <c r="F48" s="201" t="s">
        <v>411</v>
      </c>
      <c r="G48" s="201">
        <v>0</v>
      </c>
      <c r="H48" s="201">
        <v>0</v>
      </c>
      <c r="I48" s="201">
        <v>0</v>
      </c>
      <c r="J48" s="201" t="s">
        <v>411</v>
      </c>
      <c r="K48" s="201" t="s">
        <v>411</v>
      </c>
      <c r="L48" s="201" t="s">
        <v>411</v>
      </c>
      <c r="M48" s="201">
        <v>0</v>
      </c>
      <c r="N48" s="201">
        <v>0</v>
      </c>
      <c r="O48" s="201">
        <v>0</v>
      </c>
      <c r="P48" s="201">
        <v>3.9025265260766676E-2</v>
      </c>
      <c r="Q48" s="201" t="s">
        <v>411</v>
      </c>
      <c r="R48" s="201">
        <v>0.41564902796451281</v>
      </c>
      <c r="S48" s="201">
        <v>0.54263083583204508</v>
      </c>
      <c r="T48" s="201">
        <v>0.33971403063613298</v>
      </c>
      <c r="U48" s="201">
        <v>0.19577614826142886</v>
      </c>
      <c r="V48" s="201">
        <v>0.23943763119688549</v>
      </c>
      <c r="W48" s="201">
        <v>0.12729047654195255</v>
      </c>
      <c r="X48" s="201">
        <v>0.20816381612373216</v>
      </c>
      <c r="Y48" s="201">
        <v>0.10867569877423429</v>
      </c>
      <c r="Z48" s="201">
        <v>0.15377425322464522</v>
      </c>
      <c r="AA48" s="201">
        <v>0.24674466528692027</v>
      </c>
      <c r="AB48" s="201">
        <v>0.20112114623520108</v>
      </c>
      <c r="AC48" s="201">
        <v>0.21041321581821684</v>
      </c>
      <c r="AD48" s="201">
        <v>0.10935490208770718</v>
      </c>
      <c r="AE48" s="201">
        <v>8.8835033686307505E-2</v>
      </c>
      <c r="AF48" s="201">
        <v>0.11914032695091072</v>
      </c>
      <c r="AG48" s="201">
        <v>0.11587148441458675</v>
      </c>
      <c r="AH48" s="201">
        <v>0.13497404895351145</v>
      </c>
      <c r="AI48" s="201">
        <v>0.12353787499633047</v>
      </c>
      <c r="AJ48" s="201">
        <v>0.11421888132972736</v>
      </c>
      <c r="AK48" s="201">
        <v>8.5351815759013433E-2</v>
      </c>
      <c r="AL48" s="201">
        <v>0.1334541944531828</v>
      </c>
      <c r="AM48" s="201">
        <v>7.5957982169583951E-2</v>
      </c>
      <c r="AN48" s="201">
        <v>9.5825189333016095E-3</v>
      </c>
      <c r="AO48" s="201">
        <v>2.3503610167627243E-2</v>
      </c>
      <c r="AP48" s="201">
        <v>2.1042911924245684E-2</v>
      </c>
      <c r="AQ48" s="201">
        <v>1.3426763871387715E-2</v>
      </c>
      <c r="AR48" s="201">
        <v>1.5391539306686425E-2</v>
      </c>
      <c r="AS48" s="201">
        <v>1.8686505317726407E-2</v>
      </c>
      <c r="AT48" s="201">
        <v>1.5325296173321437E-2</v>
      </c>
      <c r="AU48" s="201">
        <v>1.489346210110344E-2</v>
      </c>
      <c r="AV48" s="201">
        <v>1.4765816446365276E-2</v>
      </c>
      <c r="AW48" s="201">
        <v>1.7531021882341621E-2</v>
      </c>
      <c r="AX48" s="201">
        <v>1.6952958504776457E-2</v>
      </c>
      <c r="AY48" s="201">
        <v>2.0796566018411126E-2</v>
      </c>
      <c r="AZ48" s="201">
        <v>2.1153552967926585E-2</v>
      </c>
      <c r="BA48" s="201">
        <v>2.2644910481616595E-2</v>
      </c>
      <c r="BB48" s="201">
        <v>2.249885868736971E-2</v>
      </c>
      <c r="BC48" s="201">
        <v>2.0699191604113178E-2</v>
      </c>
      <c r="BD48" s="201">
        <v>2.1286838823223631E-2</v>
      </c>
      <c r="BE48" s="201">
        <v>1.9646173832069059E-2</v>
      </c>
      <c r="BF48" s="201">
        <v>2.0271606864405069E-2</v>
      </c>
      <c r="BG48" s="201">
        <v>2.0220557764591952E-2</v>
      </c>
      <c r="BH48" s="201">
        <v>2.4927014428664591E-2</v>
      </c>
      <c r="BI48" s="201">
        <v>2.5029596820027561E-2</v>
      </c>
      <c r="BJ48" s="201">
        <v>2.4090588632316137E-2</v>
      </c>
      <c r="BK48" s="201">
        <f t="shared" ref="BK48:BW48" si="8">IFERROR(BK40/BK12,"")</f>
        <v>2.5881442150834693E-2</v>
      </c>
      <c r="BL48" s="201">
        <f t="shared" si="8"/>
        <v>2.6762230114094381E-2</v>
      </c>
      <c r="BM48" s="201">
        <f t="shared" si="8"/>
        <v>2.6498484109399711E-2</v>
      </c>
      <c r="BN48" s="201">
        <f t="shared" si="8"/>
        <v>2.8209530391034569E-2</v>
      </c>
      <c r="BO48" s="201">
        <f t="shared" si="8"/>
        <v>2.786220602405598E-2</v>
      </c>
      <c r="BP48" s="201">
        <f t="shared" si="8"/>
        <v>2.3836962750370151E-2</v>
      </c>
      <c r="BQ48" s="201" t="str">
        <f t="shared" si="8"/>
        <v/>
      </c>
      <c r="BR48" s="201" t="str">
        <f t="shared" si="8"/>
        <v/>
      </c>
      <c r="BS48" s="201" t="str">
        <f t="shared" si="8"/>
        <v/>
      </c>
      <c r="BT48" s="201" t="str">
        <f t="shared" si="8"/>
        <v/>
      </c>
      <c r="BU48" s="201" t="str">
        <f t="shared" si="8"/>
        <v/>
      </c>
      <c r="BV48" s="201" t="str">
        <f t="shared" si="8"/>
        <v/>
      </c>
      <c r="BW48" s="201" t="str">
        <f t="shared" si="8"/>
        <v/>
      </c>
    </row>
    <row r="49" spans="1:75">
      <c r="A49" s="192">
        <v>46</v>
      </c>
      <c r="B49" s="193" t="s">
        <v>449</v>
      </c>
      <c r="C49" s="183">
        <v>8</v>
      </c>
      <c r="D49" s="199">
        <v>221942434</v>
      </c>
      <c r="E49" s="199">
        <v>160995395</v>
      </c>
      <c r="F49" s="199">
        <v>164451697</v>
      </c>
      <c r="G49" s="199">
        <v>178420921</v>
      </c>
      <c r="H49" s="199">
        <v>170443955</v>
      </c>
      <c r="I49" s="199">
        <v>146772545</v>
      </c>
      <c r="J49" s="199">
        <v>112926597</v>
      </c>
      <c r="K49" s="199">
        <v>92395770</v>
      </c>
      <c r="L49" s="199">
        <v>144942481</v>
      </c>
      <c r="M49" s="199">
        <v>112946309</v>
      </c>
      <c r="N49" s="199">
        <v>203715505</v>
      </c>
      <c r="O49" s="199">
        <v>162583369</v>
      </c>
      <c r="P49" s="199">
        <v>280578279</v>
      </c>
      <c r="Q49" s="199">
        <v>215624058</v>
      </c>
      <c r="R49" s="199">
        <v>219366011</v>
      </c>
      <c r="S49" s="199">
        <v>231890562</v>
      </c>
      <c r="T49" s="199">
        <v>256308230</v>
      </c>
      <c r="U49" s="199">
        <v>263761631</v>
      </c>
      <c r="V49" s="199">
        <v>256193542</v>
      </c>
      <c r="W49" s="199">
        <v>352498211</v>
      </c>
      <c r="X49" s="199">
        <v>279335970</v>
      </c>
      <c r="Y49" s="199">
        <v>316719998</v>
      </c>
      <c r="Z49" s="199">
        <v>313644325</v>
      </c>
      <c r="AA49" s="199">
        <v>314893729</v>
      </c>
      <c r="AB49" s="199">
        <v>171041154</v>
      </c>
      <c r="AC49" s="199">
        <v>106732861</v>
      </c>
      <c r="AD49" s="199">
        <v>216653690</v>
      </c>
      <c r="AE49" s="199">
        <v>175450114</v>
      </c>
      <c r="AF49" s="199">
        <v>150767254</v>
      </c>
      <c r="AG49" s="199">
        <v>113915370</v>
      </c>
      <c r="AH49" s="199">
        <v>131931037</v>
      </c>
      <c r="AI49" s="199">
        <v>141040749</v>
      </c>
      <c r="AJ49" s="199">
        <v>159030184</v>
      </c>
      <c r="AK49" s="199">
        <v>164620496</v>
      </c>
      <c r="AL49" s="199">
        <v>144231512</v>
      </c>
      <c r="AM49" s="199">
        <v>279322748</v>
      </c>
      <c r="AN49" s="199">
        <v>159221608</v>
      </c>
      <c r="AO49" s="199">
        <v>104655178</v>
      </c>
      <c r="AP49" s="199">
        <v>115295655</v>
      </c>
      <c r="AQ49" s="199">
        <v>106050997</v>
      </c>
      <c r="AR49" s="199">
        <v>66870820</v>
      </c>
      <c r="AS49" s="199">
        <v>76195851</v>
      </c>
      <c r="AT49" s="199">
        <v>68152514</v>
      </c>
      <c r="AU49" s="199">
        <v>139408411</v>
      </c>
      <c r="AV49" s="199">
        <v>83156007</v>
      </c>
      <c r="AW49" s="199">
        <v>88772319</v>
      </c>
      <c r="AX49" s="199">
        <v>552891636</v>
      </c>
      <c r="AY49" s="199">
        <v>97079504</v>
      </c>
      <c r="AZ49" s="199">
        <v>147069830</v>
      </c>
      <c r="BA49" s="199">
        <v>115999204</v>
      </c>
      <c r="BB49" s="199">
        <v>120706843</v>
      </c>
      <c r="BC49" s="199">
        <v>155764782</v>
      </c>
      <c r="BD49" s="199">
        <v>142223547</v>
      </c>
      <c r="BE49" s="199">
        <v>131398532</v>
      </c>
      <c r="BF49" s="199">
        <v>129629381</v>
      </c>
      <c r="BG49" s="199">
        <v>133594277</v>
      </c>
      <c r="BH49" s="199">
        <v>218907692</v>
      </c>
      <c r="BI49" s="199">
        <v>204745721</v>
      </c>
      <c r="BJ49" s="199">
        <v>227424354</v>
      </c>
      <c r="BK49" s="199">
        <f>'Ket qua kinh doanh'!BK15</f>
        <v>505125793</v>
      </c>
      <c r="BL49" s="199">
        <f>'Ket qua kinh doanh'!BL15</f>
        <v>282752757</v>
      </c>
      <c r="BM49" s="199">
        <f>'Ket qua kinh doanh'!BM15</f>
        <v>375736155</v>
      </c>
      <c r="BN49" s="199">
        <f>'Ket qua kinh doanh'!BN15</f>
        <v>268709308</v>
      </c>
      <c r="BO49" s="199">
        <f>'Ket qua kinh doanh'!BO15</f>
        <v>271909211</v>
      </c>
      <c r="BP49" s="199">
        <f>'Ket qua kinh doanh'!BP15</f>
        <v>245121655</v>
      </c>
      <c r="BQ49" s="199">
        <f>'Ket qua kinh doanh'!BQ15</f>
        <v>0</v>
      </c>
      <c r="BR49" s="199">
        <f>'Ket qua kinh doanh'!BR15</f>
        <v>0</v>
      </c>
      <c r="BS49" s="199">
        <f>'Ket qua kinh doanh'!BS15</f>
        <v>0</v>
      </c>
      <c r="BT49" s="199">
        <f>'Ket qua kinh doanh'!BT15</f>
        <v>0</v>
      </c>
      <c r="BU49" s="199">
        <f>'Ket qua kinh doanh'!BU15</f>
        <v>0</v>
      </c>
      <c r="BV49" s="199">
        <f>'Ket qua kinh doanh'!BV15</f>
        <v>0</v>
      </c>
      <c r="BW49" s="199">
        <f>'Ket qua kinh doanh'!BW15</f>
        <v>0</v>
      </c>
    </row>
    <row r="50" spans="1:75">
      <c r="A50" s="190">
        <v>47</v>
      </c>
      <c r="B50" s="194" t="s">
        <v>450</v>
      </c>
      <c r="C50" s="189">
        <v>8</v>
      </c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>
        <v>477220589</v>
      </c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>
        <v>398094539</v>
      </c>
      <c r="AZ50" s="203">
        <v>43361768</v>
      </c>
      <c r="BA50" s="203">
        <v>46497535</v>
      </c>
      <c r="BB50" s="203">
        <v>57437552</v>
      </c>
      <c r="BC50" s="203">
        <v>62680284</v>
      </c>
      <c r="BD50" s="203">
        <v>58743640</v>
      </c>
      <c r="BE50" s="203">
        <v>63136088</v>
      </c>
      <c r="BF50" s="203">
        <v>56472912</v>
      </c>
      <c r="BG50" s="203">
        <v>64106193</v>
      </c>
      <c r="BH50" s="203">
        <v>124392019</v>
      </c>
      <c r="BI50" s="203">
        <v>118734835</v>
      </c>
      <c r="BJ50" s="203">
        <v>123035797</v>
      </c>
      <c r="BK50" s="203">
        <v>123468812</v>
      </c>
      <c r="BL50" s="203">
        <v>131933731</v>
      </c>
      <c r="BM50" s="203">
        <v>135391073</v>
      </c>
      <c r="BN50" s="203">
        <v>120791923</v>
      </c>
      <c r="BO50" s="203">
        <v>134710639</v>
      </c>
      <c r="BP50" s="203">
        <v>112464115</v>
      </c>
      <c r="BQ50" s="203"/>
      <c r="BR50" s="203"/>
      <c r="BS50" s="203"/>
      <c r="BT50" s="203"/>
      <c r="BU50" s="203"/>
      <c r="BV50" s="203"/>
      <c r="BW50" s="203"/>
    </row>
    <row r="51" spans="1:75">
      <c r="A51" s="190">
        <v>48</v>
      </c>
      <c r="B51" s="194" t="s">
        <v>451</v>
      </c>
      <c r="C51" s="189">
        <v>8</v>
      </c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>
        <v>50982500</v>
      </c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>
        <v>109839875</v>
      </c>
      <c r="AZ51" s="203">
        <v>14540046</v>
      </c>
      <c r="BA51" s="203">
        <v>16025969</v>
      </c>
      <c r="BB51" s="203">
        <v>17504243</v>
      </c>
      <c r="BC51" s="203">
        <v>20987497</v>
      </c>
      <c r="BD51" s="203">
        <v>20556196</v>
      </c>
      <c r="BE51" s="203">
        <v>20556197</v>
      </c>
      <c r="BF51" s="203">
        <v>20550802</v>
      </c>
      <c r="BG51" s="203">
        <v>20570118</v>
      </c>
      <c r="BH51" s="203">
        <v>41182392</v>
      </c>
      <c r="BI51" s="203">
        <v>41237858</v>
      </c>
      <c r="BJ51" s="203">
        <v>41237858</v>
      </c>
      <c r="BK51" s="203">
        <v>228657014</v>
      </c>
      <c r="BL51" s="203">
        <v>55968862</v>
      </c>
      <c r="BM51" s="203">
        <v>48407272</v>
      </c>
      <c r="BN51" s="203">
        <v>49217499</v>
      </c>
      <c r="BO51" s="203">
        <v>44186190</v>
      </c>
      <c r="BP51" s="203">
        <v>42931190</v>
      </c>
      <c r="BQ51" s="203"/>
      <c r="BR51" s="203"/>
      <c r="BS51" s="203"/>
      <c r="BT51" s="203"/>
      <c r="BU51" s="203"/>
      <c r="BV51" s="203"/>
      <c r="BW51" s="203"/>
    </row>
    <row r="52" spans="1:75">
      <c r="A52" s="190">
        <v>49</v>
      </c>
      <c r="B52" s="194" t="s">
        <v>452</v>
      </c>
      <c r="C52" s="189">
        <v>8</v>
      </c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>
        <v>16076498</v>
      </c>
      <c r="BA52" s="203">
        <v>16076498</v>
      </c>
      <c r="BB52" s="203">
        <v>16076498</v>
      </c>
      <c r="BC52" s="203">
        <v>16076498</v>
      </c>
      <c r="BD52" s="203">
        <v>16076498</v>
      </c>
      <c r="BE52" s="203">
        <v>16076498</v>
      </c>
      <c r="BF52" s="203">
        <v>16076498</v>
      </c>
      <c r="BG52" s="203">
        <v>14902694</v>
      </c>
      <c r="BH52" s="203">
        <v>14880846</v>
      </c>
      <c r="BI52" s="203">
        <v>14880846</v>
      </c>
      <c r="BJ52" s="203">
        <v>14880846</v>
      </c>
      <c r="BK52" s="203">
        <v>14880846</v>
      </c>
      <c r="BL52" s="203">
        <v>14686202</v>
      </c>
      <c r="BM52" s="203">
        <v>17363289</v>
      </c>
      <c r="BN52" s="203">
        <v>17363287</v>
      </c>
      <c r="BO52" s="203">
        <v>17363286</v>
      </c>
      <c r="BP52" s="203">
        <v>14741544</v>
      </c>
      <c r="BQ52" s="203"/>
      <c r="BR52" s="203"/>
      <c r="BS52" s="203"/>
      <c r="BT52" s="203"/>
      <c r="BU52" s="203"/>
      <c r="BV52" s="203"/>
      <c r="BW52" s="203"/>
    </row>
    <row r="53" spans="1:75">
      <c r="A53" s="190">
        <v>50</v>
      </c>
      <c r="B53" s="194" t="s">
        <v>453</v>
      </c>
      <c r="C53" s="189">
        <v>8</v>
      </c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>
        <v>73091518</v>
      </c>
      <c r="BA53" s="203">
        <v>37399202</v>
      </c>
      <c r="BB53" s="203">
        <v>29688550</v>
      </c>
      <c r="BC53" s="203">
        <v>56020503</v>
      </c>
      <c r="BD53" s="203">
        <v>46847213</v>
      </c>
      <c r="BE53" s="203">
        <v>31629749</v>
      </c>
      <c r="BF53" s="203">
        <v>36529169</v>
      </c>
      <c r="BG53" s="203">
        <v>34015272</v>
      </c>
      <c r="BH53" s="203">
        <v>38452435</v>
      </c>
      <c r="BI53" s="203">
        <v>29892182</v>
      </c>
      <c r="BJ53" s="203">
        <v>48269853</v>
      </c>
      <c r="BK53" s="203">
        <v>138119121</v>
      </c>
      <c r="BL53" s="203">
        <v>80163962</v>
      </c>
      <c r="BM53" s="203">
        <v>174574521</v>
      </c>
      <c r="BN53" s="203">
        <v>81336599</v>
      </c>
      <c r="BO53" s="203">
        <v>75649096</v>
      </c>
      <c r="BP53" s="203">
        <v>74984806</v>
      </c>
      <c r="BQ53" s="203"/>
      <c r="BR53" s="203"/>
      <c r="BS53" s="203"/>
      <c r="BT53" s="203"/>
      <c r="BU53" s="203"/>
      <c r="BV53" s="203"/>
      <c r="BW53" s="203"/>
    </row>
    <row r="54" spans="1:75">
      <c r="A54" s="195">
        <v>51</v>
      </c>
      <c r="B54" s="196" t="s">
        <v>454</v>
      </c>
      <c r="C54" s="187">
        <v>8</v>
      </c>
      <c r="D54" s="201" t="s">
        <v>411</v>
      </c>
      <c r="E54" s="201" t="s">
        <v>411</v>
      </c>
      <c r="F54" s="201" t="s">
        <v>411</v>
      </c>
      <c r="G54" s="201">
        <v>0.48428128557804911</v>
      </c>
      <c r="H54" s="201">
        <v>0.31573847297798013</v>
      </c>
      <c r="I54" s="201">
        <v>13.532412410105108</v>
      </c>
      <c r="J54" s="201" t="s">
        <v>411</v>
      </c>
      <c r="K54" s="201" t="s">
        <v>411</v>
      </c>
      <c r="L54" s="201" t="s">
        <v>411</v>
      </c>
      <c r="M54" s="201">
        <v>1.3185543292489306</v>
      </c>
      <c r="N54" s="201">
        <v>0.40567670167129266</v>
      </c>
      <c r="O54" s="201">
        <v>7.4854221454880294</v>
      </c>
      <c r="P54" s="201">
        <v>2.6357527521371118</v>
      </c>
      <c r="Q54" s="201" t="s">
        <v>411</v>
      </c>
      <c r="R54" s="201">
        <v>0.82714731623200832</v>
      </c>
      <c r="S54" s="201">
        <v>0.98512941637440854</v>
      </c>
      <c r="T54" s="201">
        <v>0.46603911293585215</v>
      </c>
      <c r="U54" s="201">
        <v>0.26260930138552036</v>
      </c>
      <c r="V54" s="201">
        <v>0.31588177191700806</v>
      </c>
      <c r="W54" s="201">
        <v>0.16093516365399282</v>
      </c>
      <c r="X54" s="201">
        <v>0.1952173846195778</v>
      </c>
      <c r="Y54" s="201">
        <v>9.6534839957962595E-2</v>
      </c>
      <c r="Z54" s="201">
        <v>0.12306973169273226</v>
      </c>
      <c r="AA54" s="201">
        <v>0.11985323420765732</v>
      </c>
      <c r="AB54" s="201">
        <v>9.3853683212492059E-2</v>
      </c>
      <c r="AC54" s="201">
        <v>7.097119749492499E-2</v>
      </c>
      <c r="AD54" s="201">
        <v>4.9914000850826042E-2</v>
      </c>
      <c r="AE54" s="201">
        <v>3.1149779505554642E-2</v>
      </c>
      <c r="AF54" s="201">
        <v>4.0618645649677383E-2</v>
      </c>
      <c r="AG54" s="201">
        <v>2.4539101686969173E-2</v>
      </c>
      <c r="AH54" s="201">
        <v>3.5836372900764767E-2</v>
      </c>
      <c r="AI54" s="201">
        <v>4.0296099043194152E-2</v>
      </c>
      <c r="AJ54" s="201">
        <v>4.842899661009871E-2</v>
      </c>
      <c r="AK54" s="201">
        <v>3.9557086913592943E-2</v>
      </c>
      <c r="AL54" s="201">
        <v>6.0247536541525232E-2</v>
      </c>
      <c r="AM54" s="201">
        <v>4.8094643514359423E-2</v>
      </c>
      <c r="AN54" s="201">
        <v>1.8953342524853752E-2</v>
      </c>
      <c r="AO54" s="201">
        <v>2.6621858178374567E-2</v>
      </c>
      <c r="AP54" s="201">
        <v>1.9986525315292384E-2</v>
      </c>
      <c r="AQ54" s="201">
        <v>1.8255406346721112E-2</v>
      </c>
      <c r="AR54" s="201">
        <v>7.0496222910983062E-3</v>
      </c>
      <c r="AS54" s="201">
        <v>1.232756861385445E-2</v>
      </c>
      <c r="AT54" s="201">
        <v>1.6319647843850558E-2</v>
      </c>
      <c r="AU54" s="201">
        <v>3.8449516403769479E-2</v>
      </c>
      <c r="AV54" s="201">
        <v>2.1206672465883696E-2</v>
      </c>
      <c r="AW54" s="201">
        <v>2.0504209050529788E-2</v>
      </c>
      <c r="AX54" s="201">
        <v>0.11834784043871174</v>
      </c>
      <c r="AY54" s="201">
        <v>2.6599740632023808E-2</v>
      </c>
      <c r="AZ54" s="201">
        <v>6.7338732443483942E-2</v>
      </c>
      <c r="BA54" s="201">
        <v>2.3643488663535387E-2</v>
      </c>
      <c r="BB54" s="201">
        <v>1.9058008443898398E-2</v>
      </c>
      <c r="BC54" s="201">
        <v>1.9951764033359649E-2</v>
      </c>
      <c r="BD54" s="201">
        <v>1.9271099438931707E-2</v>
      </c>
      <c r="BE54" s="201">
        <v>1.2446858249521162E-2</v>
      </c>
      <c r="BF54" s="201">
        <v>1.006818333221525E-2</v>
      </c>
      <c r="BG54" s="201">
        <v>9.706614427227445E-3</v>
      </c>
      <c r="BH54" s="201">
        <v>2.2100912098135538E-2</v>
      </c>
      <c r="BI54" s="201">
        <v>2.9233901011157162E-2</v>
      </c>
      <c r="BJ54" s="201">
        <v>3.7994358926381699E-2</v>
      </c>
      <c r="BK54" s="201">
        <f t="shared" ref="BK54:BW54" si="9">IFERROR(BK49/BK12,"")</f>
        <v>6.7492947808074341E-2</v>
      </c>
      <c r="BL54" s="201">
        <f t="shared" si="9"/>
        <v>3.8627332048129716E-2</v>
      </c>
      <c r="BM54" s="201">
        <f t="shared" si="9"/>
        <v>8.1744158724092339E-2</v>
      </c>
      <c r="BN54" s="201">
        <f t="shared" si="9"/>
        <v>2.7940152563139947E-2</v>
      </c>
      <c r="BO54" s="201">
        <f t="shared" si="9"/>
        <v>3.8791553797852062E-2</v>
      </c>
      <c r="BP54" s="201">
        <f t="shared" si="9"/>
        <v>2.2233469404657851E-2</v>
      </c>
      <c r="BQ54" s="201" t="str">
        <f t="shared" si="9"/>
        <v/>
      </c>
      <c r="BR54" s="201" t="str">
        <f t="shared" si="9"/>
        <v/>
      </c>
      <c r="BS54" s="201" t="str">
        <f t="shared" si="9"/>
        <v/>
      </c>
      <c r="BT54" s="201" t="str">
        <f t="shared" si="9"/>
        <v/>
      </c>
      <c r="BU54" s="201" t="str">
        <f t="shared" si="9"/>
        <v/>
      </c>
      <c r="BV54" s="201" t="str">
        <f t="shared" si="9"/>
        <v/>
      </c>
      <c r="BW54" s="201" t="str">
        <f t="shared" si="9"/>
        <v/>
      </c>
    </row>
    <row r="55" spans="1:75">
      <c r="A55" s="192">
        <v>52</v>
      </c>
      <c r="B55" s="193" t="s">
        <v>455</v>
      </c>
      <c r="C55" s="186">
        <v>8</v>
      </c>
      <c r="D55" s="200">
        <v>0</v>
      </c>
      <c r="E55" s="200">
        <v>0</v>
      </c>
      <c r="F55" s="200">
        <v>0</v>
      </c>
      <c r="G55" s="200">
        <v>0</v>
      </c>
      <c r="H55" s="200">
        <v>0</v>
      </c>
      <c r="I55" s="200">
        <v>0</v>
      </c>
      <c r="J55" s="200">
        <v>0</v>
      </c>
      <c r="K55" s="200">
        <v>0</v>
      </c>
      <c r="L55" s="200">
        <v>0</v>
      </c>
      <c r="M55" s="200">
        <v>0</v>
      </c>
      <c r="N55" s="200">
        <v>0</v>
      </c>
      <c r="O55" s="200">
        <v>0</v>
      </c>
      <c r="P55" s="200">
        <v>0</v>
      </c>
      <c r="Q55" s="200">
        <v>0</v>
      </c>
      <c r="R55" s="200">
        <v>0</v>
      </c>
      <c r="S55" s="200">
        <v>0</v>
      </c>
      <c r="T55" s="200">
        <v>0</v>
      </c>
      <c r="U55" s="200">
        <v>0</v>
      </c>
      <c r="V55" s="200">
        <v>0</v>
      </c>
      <c r="W55" s="200">
        <v>0</v>
      </c>
      <c r="X55" s="200">
        <v>0</v>
      </c>
      <c r="Y55" s="200">
        <v>0</v>
      </c>
      <c r="Z55" s="200">
        <v>0</v>
      </c>
      <c r="AA55" s="200">
        <v>0</v>
      </c>
      <c r="AB55" s="200">
        <v>0</v>
      </c>
      <c r="AC55" s="200">
        <v>0</v>
      </c>
      <c r="AD55" s="200">
        <v>0</v>
      </c>
      <c r="AE55" s="200">
        <v>0</v>
      </c>
      <c r="AF55" s="200">
        <v>0</v>
      </c>
      <c r="AG55" s="200">
        <v>0</v>
      </c>
      <c r="AH55" s="200">
        <v>0</v>
      </c>
      <c r="AI55" s="200">
        <v>0</v>
      </c>
      <c r="AJ55" s="200">
        <v>0</v>
      </c>
      <c r="AK55" s="200">
        <v>0</v>
      </c>
      <c r="AL55" s="200">
        <v>0</v>
      </c>
      <c r="AM55" s="200">
        <v>0</v>
      </c>
      <c r="AN55" s="200">
        <v>0</v>
      </c>
      <c r="AO55" s="200">
        <v>0</v>
      </c>
      <c r="AP55" s="200">
        <v>0</v>
      </c>
      <c r="AQ55" s="200">
        <v>0</v>
      </c>
      <c r="AR55" s="200">
        <v>0</v>
      </c>
      <c r="AS55" s="200">
        <v>0</v>
      </c>
      <c r="AT55" s="200">
        <v>0</v>
      </c>
      <c r="AU55" s="200">
        <v>0</v>
      </c>
      <c r="AV55" s="200">
        <v>0</v>
      </c>
      <c r="AW55" s="200">
        <v>0</v>
      </c>
      <c r="AX55" s="200">
        <v>0</v>
      </c>
      <c r="AY55" s="200">
        <v>0</v>
      </c>
      <c r="AZ55" s="200">
        <v>0</v>
      </c>
      <c r="BA55" s="200">
        <v>0</v>
      </c>
      <c r="BB55" s="200">
        <v>0</v>
      </c>
      <c r="BC55" s="200">
        <v>0</v>
      </c>
      <c r="BD55" s="200">
        <v>0</v>
      </c>
      <c r="BE55" s="200">
        <v>0</v>
      </c>
      <c r="BF55" s="200">
        <v>3187200</v>
      </c>
      <c r="BG55" s="200">
        <v>0</v>
      </c>
      <c r="BH55" s="200">
        <v>0</v>
      </c>
      <c r="BI55" s="200">
        <v>0</v>
      </c>
      <c r="BJ55" s="200">
        <v>0</v>
      </c>
      <c r="BK55" s="200">
        <f>'Ket qua kinh doanh'!BK12</f>
        <v>0</v>
      </c>
      <c r="BL55" s="200">
        <f>'Ket qua kinh doanh'!BL12</f>
        <v>0</v>
      </c>
      <c r="BM55" s="200">
        <f>'Ket qua kinh doanh'!BM12</f>
        <v>0</v>
      </c>
      <c r="BN55" s="200">
        <f>'Ket qua kinh doanh'!BN12</f>
        <v>0</v>
      </c>
      <c r="BO55" s="200">
        <f>'Ket qua kinh doanh'!BO12</f>
        <v>0</v>
      </c>
      <c r="BP55" s="200">
        <f>'Ket qua kinh doanh'!BP12</f>
        <v>0</v>
      </c>
      <c r="BQ55" s="200">
        <f>'Ket qua kinh doanh'!BQ12</f>
        <v>0</v>
      </c>
      <c r="BR55" s="200">
        <f>'Ket qua kinh doanh'!BR12</f>
        <v>0</v>
      </c>
      <c r="BS55" s="200">
        <f>'Ket qua kinh doanh'!BS12</f>
        <v>0</v>
      </c>
      <c r="BT55" s="200">
        <f>'Ket qua kinh doanh'!BT12</f>
        <v>0</v>
      </c>
      <c r="BU55" s="200">
        <f>'Ket qua kinh doanh'!BU12</f>
        <v>0</v>
      </c>
      <c r="BV55" s="200">
        <f>'Ket qua kinh doanh'!BV12</f>
        <v>0</v>
      </c>
      <c r="BW55" s="200">
        <f>'Ket qua kinh doanh'!BW12</f>
        <v>0</v>
      </c>
    </row>
    <row r="56" spans="1:75">
      <c r="A56" s="178">
        <v>53</v>
      </c>
      <c r="B56" s="179" t="s">
        <v>456</v>
      </c>
      <c r="C56" s="189">
        <v>8</v>
      </c>
      <c r="D56" s="203">
        <v>0</v>
      </c>
      <c r="E56" s="203">
        <v>0</v>
      </c>
      <c r="F56" s="203">
        <v>0</v>
      </c>
      <c r="G56" s="203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0</v>
      </c>
      <c r="W56" s="203">
        <v>0</v>
      </c>
      <c r="X56" s="203">
        <v>0</v>
      </c>
      <c r="Y56" s="203">
        <v>0</v>
      </c>
      <c r="Z56" s="203">
        <v>0</v>
      </c>
      <c r="AA56" s="203">
        <v>0</v>
      </c>
      <c r="AB56" s="203">
        <v>0</v>
      </c>
      <c r="AC56" s="203">
        <v>0</v>
      </c>
      <c r="AD56" s="203">
        <v>0</v>
      </c>
      <c r="AE56" s="203">
        <v>0</v>
      </c>
      <c r="AF56" s="203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3">
        <v>0</v>
      </c>
      <c r="AY56" s="203">
        <v>0</v>
      </c>
      <c r="AZ56" s="203">
        <v>0</v>
      </c>
      <c r="BA56" s="203">
        <v>0</v>
      </c>
      <c r="BB56" s="203">
        <v>0</v>
      </c>
      <c r="BC56" s="203">
        <v>0</v>
      </c>
      <c r="BD56" s="203">
        <v>0</v>
      </c>
      <c r="BE56" s="203">
        <v>0</v>
      </c>
      <c r="BF56" s="203">
        <v>3187200</v>
      </c>
      <c r="BG56" s="203">
        <v>0</v>
      </c>
      <c r="BH56" s="203">
        <v>0</v>
      </c>
      <c r="BI56" s="203">
        <v>0</v>
      </c>
      <c r="BJ56" s="203">
        <v>0</v>
      </c>
      <c r="BK56" s="203">
        <f>'Ket qua kinh doanh'!BK13</f>
        <v>0</v>
      </c>
      <c r="BL56" s="203">
        <f>'Ket qua kinh doanh'!BL13</f>
        <v>0</v>
      </c>
      <c r="BM56" s="203">
        <f>'Ket qua kinh doanh'!BM13</f>
        <v>0</v>
      </c>
      <c r="BN56" s="203">
        <f>'Ket qua kinh doanh'!BN13</f>
        <v>0</v>
      </c>
      <c r="BO56" s="203">
        <f>'Ket qua kinh doanh'!BO13</f>
        <v>0</v>
      </c>
      <c r="BP56" s="203">
        <f>'Ket qua kinh doanh'!BP13</f>
        <v>0</v>
      </c>
      <c r="BQ56" s="203">
        <f>'Ket qua kinh doanh'!BQ13</f>
        <v>0</v>
      </c>
      <c r="BR56" s="203">
        <f>'Ket qua kinh doanh'!BR13</f>
        <v>0</v>
      </c>
      <c r="BS56" s="203">
        <f>'Ket qua kinh doanh'!BS13</f>
        <v>0</v>
      </c>
      <c r="BT56" s="203">
        <f>'Ket qua kinh doanh'!BT13</f>
        <v>0</v>
      </c>
      <c r="BU56" s="203">
        <f>'Ket qua kinh doanh'!BU13</f>
        <v>0</v>
      </c>
      <c r="BV56" s="203">
        <f>'Ket qua kinh doanh'!BV13</f>
        <v>0</v>
      </c>
      <c r="BW56" s="203">
        <f>'Ket qua kinh doanh'!BW13</f>
        <v>0</v>
      </c>
    </row>
    <row r="57" spans="1:75">
      <c r="A57" s="197">
        <v>54</v>
      </c>
      <c r="B57" s="196" t="s">
        <v>457</v>
      </c>
      <c r="C57" s="187">
        <v>8</v>
      </c>
      <c r="D57" s="201" t="s">
        <v>411</v>
      </c>
      <c r="E57" s="201" t="s">
        <v>411</v>
      </c>
      <c r="F57" s="201" t="s">
        <v>411</v>
      </c>
      <c r="G57" s="201">
        <v>0</v>
      </c>
      <c r="H57" s="201">
        <v>0</v>
      </c>
      <c r="I57" s="201">
        <v>0</v>
      </c>
      <c r="J57" s="201" t="s">
        <v>411</v>
      </c>
      <c r="K57" s="201" t="s">
        <v>411</v>
      </c>
      <c r="L57" s="201" t="s">
        <v>411</v>
      </c>
      <c r="M57" s="201">
        <v>0</v>
      </c>
      <c r="N57" s="201">
        <v>0</v>
      </c>
      <c r="O57" s="201">
        <v>0</v>
      </c>
      <c r="P57" s="201">
        <v>0</v>
      </c>
      <c r="Q57" s="201" t="s">
        <v>411</v>
      </c>
      <c r="R57" s="201">
        <v>0</v>
      </c>
      <c r="S57" s="201">
        <v>0</v>
      </c>
      <c r="T57" s="201">
        <v>0</v>
      </c>
      <c r="U57" s="201">
        <v>0</v>
      </c>
      <c r="V57" s="201">
        <v>0</v>
      </c>
      <c r="W57" s="201">
        <v>0</v>
      </c>
      <c r="X57" s="201">
        <v>0</v>
      </c>
      <c r="Y57" s="201">
        <v>0</v>
      </c>
      <c r="Z57" s="201">
        <v>0</v>
      </c>
      <c r="AA57" s="201">
        <v>0</v>
      </c>
      <c r="AB57" s="201">
        <v>0</v>
      </c>
      <c r="AC57" s="201">
        <v>0</v>
      </c>
      <c r="AD57" s="201">
        <v>0</v>
      </c>
      <c r="AE57" s="201">
        <v>0</v>
      </c>
      <c r="AF57" s="201">
        <v>0</v>
      </c>
      <c r="AG57" s="201">
        <v>0</v>
      </c>
      <c r="AH57" s="201">
        <v>0</v>
      </c>
      <c r="AI57" s="201">
        <v>0</v>
      </c>
      <c r="AJ57" s="201">
        <v>0</v>
      </c>
      <c r="AK57" s="201">
        <v>0</v>
      </c>
      <c r="AL57" s="201">
        <v>0</v>
      </c>
      <c r="AM57" s="201">
        <v>0</v>
      </c>
      <c r="AN57" s="201">
        <v>0</v>
      </c>
      <c r="AO57" s="201">
        <v>0</v>
      </c>
      <c r="AP57" s="201">
        <v>0</v>
      </c>
      <c r="AQ57" s="201">
        <v>0</v>
      </c>
      <c r="AR57" s="201">
        <v>0</v>
      </c>
      <c r="AS57" s="201">
        <v>0</v>
      </c>
      <c r="AT57" s="201">
        <v>0</v>
      </c>
      <c r="AU57" s="201">
        <v>0</v>
      </c>
      <c r="AV57" s="201">
        <v>0</v>
      </c>
      <c r="AW57" s="201">
        <v>0</v>
      </c>
      <c r="AX57" s="201">
        <v>0</v>
      </c>
      <c r="AY57" s="201">
        <v>0</v>
      </c>
      <c r="AZ57" s="201">
        <v>0</v>
      </c>
      <c r="BA57" s="201">
        <v>0</v>
      </c>
      <c r="BB57" s="201">
        <v>0</v>
      </c>
      <c r="BC57" s="201">
        <v>0</v>
      </c>
      <c r="BD57" s="201">
        <v>0</v>
      </c>
      <c r="BE57" s="201">
        <v>0</v>
      </c>
      <c r="BF57" s="201">
        <v>2.4754661072119477E-4</v>
      </c>
      <c r="BG57" s="201">
        <v>0</v>
      </c>
      <c r="BH57" s="201">
        <v>0</v>
      </c>
      <c r="BI57" s="201">
        <v>0</v>
      </c>
      <c r="BJ57" s="201">
        <v>0</v>
      </c>
      <c r="BK57" s="201">
        <f t="shared" ref="BK57:BW57" si="10">IFERROR(BK56/BK12,"")</f>
        <v>0</v>
      </c>
      <c r="BL57" s="201">
        <f t="shared" si="10"/>
        <v>0</v>
      </c>
      <c r="BM57" s="201">
        <f t="shared" si="10"/>
        <v>0</v>
      </c>
      <c r="BN57" s="201">
        <f t="shared" si="10"/>
        <v>0</v>
      </c>
      <c r="BO57" s="201">
        <f t="shared" si="10"/>
        <v>0</v>
      </c>
      <c r="BP57" s="201">
        <f t="shared" si="10"/>
        <v>0</v>
      </c>
      <c r="BQ57" s="201" t="str">
        <f t="shared" si="10"/>
        <v/>
      </c>
      <c r="BR57" s="201" t="str">
        <f t="shared" si="10"/>
        <v/>
      </c>
      <c r="BS57" s="201" t="str">
        <f t="shared" si="10"/>
        <v/>
      </c>
      <c r="BT57" s="201" t="str">
        <f t="shared" si="10"/>
        <v/>
      </c>
      <c r="BU57" s="201" t="str">
        <f t="shared" si="10"/>
        <v/>
      </c>
      <c r="BV57" s="201" t="str">
        <f t="shared" si="10"/>
        <v/>
      </c>
      <c r="BW57" s="201" t="str">
        <f t="shared" si="10"/>
        <v/>
      </c>
    </row>
  </sheetData>
  <sheetProtection algorithmName="SHA-512" hashValue="koxQUzGD5WObvUzWRi8O8bPozDO16inC0e+Fq4J7BPvPp3rKldnVt6xqhN1MyT5IOActx8J5afauBOo0Kw24zg==" saltValue="hwmFLm8tNK1lIMZEOSSkAg==" spinCount="100000" sheet="1" objects="1" scenarios="1"/>
  <protectedRanges>
    <protectedRange sqref="D4:BW57" name="Element"/>
  </protectedRange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30DB-5975-447B-BA20-D322AA4F62AC}">
  <sheetPr>
    <tabColor theme="9" tint="0.59999389629810485"/>
  </sheetPr>
  <dimension ref="A1:BW74"/>
  <sheetViews>
    <sheetView showGridLines="0" zoomScale="80" zoomScaleNormal="80" workbookViewId="0">
      <pane xSplit="3" ySplit="3" topLeftCell="BI63" activePane="bottomRight" state="frozen"/>
      <selection pane="topRight" activeCell="AZ4" sqref="AZ4"/>
      <selection pane="bottomLeft" activeCell="AZ4" sqref="AZ4"/>
      <selection pane="bottomRight" activeCell="BP57" sqref="BP57"/>
    </sheetView>
  </sheetViews>
  <sheetFormatPr defaultRowHeight="14.5"/>
  <cols>
    <col min="1" max="1" width="7.36328125" hidden="1" customWidth="1"/>
    <col min="2" max="2" width="43.54296875" customWidth="1"/>
    <col min="3" max="3" width="9.08984375" hidden="1" customWidth="1"/>
    <col min="4" max="75" width="14.36328125" bestFit="1" customWidth="1"/>
  </cols>
  <sheetData>
    <row r="1" spans="1:75" ht="17.5">
      <c r="B1" s="43" t="s">
        <v>0</v>
      </c>
    </row>
    <row r="2" spans="1:75">
      <c r="B2" s="47" t="s">
        <v>237</v>
      </c>
    </row>
    <row r="3" spans="1:75" ht="28">
      <c r="A3" s="205" t="s">
        <v>458</v>
      </c>
      <c r="B3" s="206" t="s">
        <v>459</v>
      </c>
      <c r="C3" s="207" t="s">
        <v>240</v>
      </c>
      <c r="D3" s="208" t="s">
        <v>241</v>
      </c>
      <c r="E3" s="208" t="s">
        <v>242</v>
      </c>
      <c r="F3" s="208" t="s">
        <v>243</v>
      </c>
      <c r="G3" s="208" t="s">
        <v>244</v>
      </c>
      <c r="H3" s="208" t="s">
        <v>245</v>
      </c>
      <c r="I3" s="208" t="s">
        <v>246</v>
      </c>
      <c r="J3" s="208" t="s">
        <v>247</v>
      </c>
      <c r="K3" s="208" t="s">
        <v>248</v>
      </c>
      <c r="L3" s="208" t="s">
        <v>249</v>
      </c>
      <c r="M3" s="208" t="s">
        <v>250</v>
      </c>
      <c r="N3" s="208" t="s">
        <v>251</v>
      </c>
      <c r="O3" s="208" t="s">
        <v>252</v>
      </c>
      <c r="P3" s="208" t="s">
        <v>253</v>
      </c>
      <c r="Q3" s="208" t="s">
        <v>254</v>
      </c>
      <c r="R3" s="208" t="s">
        <v>255</v>
      </c>
      <c r="S3" s="208" t="s">
        <v>256</v>
      </c>
      <c r="T3" s="208" t="s">
        <v>257</v>
      </c>
      <c r="U3" s="208" t="s">
        <v>258</v>
      </c>
      <c r="V3" s="208" t="s">
        <v>259</v>
      </c>
      <c r="W3" s="208" t="s">
        <v>260</v>
      </c>
      <c r="X3" s="208" t="s">
        <v>261</v>
      </c>
      <c r="Y3" s="208" t="s">
        <v>262</v>
      </c>
      <c r="Z3" s="208" t="s">
        <v>263</v>
      </c>
      <c r="AA3" s="208" t="s">
        <v>264</v>
      </c>
      <c r="AB3" s="208" t="s">
        <v>265</v>
      </c>
      <c r="AC3" s="208" t="s">
        <v>266</v>
      </c>
      <c r="AD3" s="208" t="s">
        <v>267</v>
      </c>
      <c r="AE3" s="208" t="s">
        <v>268</v>
      </c>
      <c r="AF3" s="208" t="s">
        <v>269</v>
      </c>
      <c r="AG3" s="208" t="s">
        <v>270</v>
      </c>
      <c r="AH3" s="208" t="s">
        <v>271</v>
      </c>
      <c r="AI3" s="208" t="s">
        <v>272</v>
      </c>
      <c r="AJ3" s="208" t="s">
        <v>273</v>
      </c>
      <c r="AK3" s="208" t="s">
        <v>274</v>
      </c>
      <c r="AL3" s="208" t="s">
        <v>275</v>
      </c>
      <c r="AM3" s="208" t="s">
        <v>276</v>
      </c>
      <c r="AN3" s="208" t="s">
        <v>277</v>
      </c>
      <c r="AO3" s="208" t="s">
        <v>278</v>
      </c>
      <c r="AP3" s="208" t="s">
        <v>279</v>
      </c>
      <c r="AQ3" s="208" t="s">
        <v>280</v>
      </c>
      <c r="AR3" s="208" t="s">
        <v>281</v>
      </c>
      <c r="AS3" s="208" t="s">
        <v>282</v>
      </c>
      <c r="AT3" s="208" t="s">
        <v>283</v>
      </c>
      <c r="AU3" s="208" t="s">
        <v>284</v>
      </c>
      <c r="AV3" s="208" t="s">
        <v>285</v>
      </c>
      <c r="AW3" s="208" t="s">
        <v>286</v>
      </c>
      <c r="AX3" s="208" t="s">
        <v>287</v>
      </c>
      <c r="AY3" s="208" t="s">
        <v>288</v>
      </c>
      <c r="AZ3" s="208" t="s">
        <v>289</v>
      </c>
      <c r="BA3" s="208" t="s">
        <v>290</v>
      </c>
      <c r="BB3" s="208" t="s">
        <v>291</v>
      </c>
      <c r="BC3" s="208" t="s">
        <v>292</v>
      </c>
      <c r="BD3" s="208" t="s">
        <v>293</v>
      </c>
      <c r="BE3" s="208" t="s">
        <v>294</v>
      </c>
      <c r="BF3" s="208" t="s">
        <v>295</v>
      </c>
      <c r="BG3" s="208" t="s">
        <v>296</v>
      </c>
      <c r="BH3" s="208" t="s">
        <v>297</v>
      </c>
      <c r="BI3" s="208" t="s">
        <v>298</v>
      </c>
      <c r="BJ3" s="208" t="s">
        <v>299</v>
      </c>
      <c r="BK3" s="208" t="s">
        <v>300</v>
      </c>
      <c r="BL3" s="208" t="s">
        <v>301</v>
      </c>
      <c r="BM3" s="208" t="s">
        <v>302</v>
      </c>
      <c r="BN3" s="208" t="s">
        <v>303</v>
      </c>
      <c r="BO3" s="208" t="s">
        <v>304</v>
      </c>
      <c r="BP3" s="208" t="s">
        <v>305</v>
      </c>
      <c r="BQ3" s="208" t="s">
        <v>306</v>
      </c>
      <c r="BR3" s="208" t="s">
        <v>307</v>
      </c>
      <c r="BS3" s="208" t="s">
        <v>308</v>
      </c>
      <c r="BT3" s="208" t="s">
        <v>309</v>
      </c>
      <c r="BU3" s="208" t="s">
        <v>310</v>
      </c>
      <c r="BV3" s="208" t="s">
        <v>311</v>
      </c>
      <c r="BW3" s="208" t="s">
        <v>312</v>
      </c>
    </row>
    <row r="4" spans="1:75">
      <c r="A4" s="209">
        <v>1</v>
      </c>
      <c r="B4" s="210" t="s">
        <v>460</v>
      </c>
      <c r="C4" s="211">
        <v>8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</row>
    <row r="5" spans="1:75">
      <c r="A5" s="94">
        <v>2</v>
      </c>
      <c r="B5" s="212" t="s">
        <v>461</v>
      </c>
      <c r="C5" s="94">
        <v>8</v>
      </c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</row>
    <row r="6" spans="1:75">
      <c r="A6" s="94">
        <v>3</v>
      </c>
      <c r="B6" s="212" t="s">
        <v>462</v>
      </c>
      <c r="C6" s="94">
        <v>8</v>
      </c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</row>
    <row r="7" spans="1:75">
      <c r="A7" s="94">
        <v>4</v>
      </c>
      <c r="B7" s="212" t="s">
        <v>463</v>
      </c>
      <c r="C7" s="94">
        <v>8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8"/>
      <c r="BQ7" s="218"/>
      <c r="BR7" s="218"/>
      <c r="BS7" s="218"/>
      <c r="BT7" s="218"/>
      <c r="BU7" s="218"/>
      <c r="BV7" s="218"/>
      <c r="BW7" s="218"/>
    </row>
    <row r="8" spans="1:75">
      <c r="A8" s="94">
        <v>5</v>
      </c>
      <c r="B8" s="212" t="s">
        <v>464</v>
      </c>
      <c r="C8" s="94">
        <v>8</v>
      </c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8"/>
      <c r="AT8" s="218"/>
      <c r="AU8" s="218"/>
      <c r="AV8" s="218"/>
      <c r="AW8" s="218"/>
      <c r="AX8" s="218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/>
      <c r="BK8" s="218"/>
      <c r="BL8" s="218"/>
      <c r="BM8" s="218"/>
      <c r="BN8" s="218"/>
      <c r="BO8" s="218"/>
      <c r="BP8" s="218"/>
      <c r="BQ8" s="218"/>
      <c r="BR8" s="218"/>
      <c r="BS8" s="218"/>
      <c r="BT8" s="218"/>
      <c r="BU8" s="218"/>
      <c r="BV8" s="218"/>
      <c r="BW8" s="218"/>
    </row>
    <row r="9" spans="1:75">
      <c r="A9" s="94">
        <v>6</v>
      </c>
      <c r="B9" s="212" t="s">
        <v>465</v>
      </c>
      <c r="C9" s="94">
        <v>8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</row>
    <row r="10" spans="1:75">
      <c r="A10" s="94">
        <v>7</v>
      </c>
      <c r="B10" s="212" t="s">
        <v>466</v>
      </c>
      <c r="C10" s="94">
        <v>8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18"/>
      <c r="BM10" s="218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</row>
    <row r="11" spans="1:75">
      <c r="A11" s="94">
        <v>8</v>
      </c>
      <c r="B11" s="212" t="s">
        <v>467</v>
      </c>
      <c r="C11" s="94">
        <v>8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  <c r="BU11" s="218"/>
      <c r="BV11" s="218"/>
      <c r="BW11" s="218"/>
    </row>
    <row r="12" spans="1:75">
      <c r="A12" s="94">
        <v>9</v>
      </c>
      <c r="B12" s="95"/>
      <c r="C12" s="94">
        <v>8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</row>
    <row r="13" spans="1:75">
      <c r="A13" s="209">
        <v>10</v>
      </c>
      <c r="B13" s="210" t="s">
        <v>468</v>
      </c>
      <c r="C13" s="211">
        <v>8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</row>
    <row r="14" spans="1:75">
      <c r="A14" s="94">
        <v>11</v>
      </c>
      <c r="B14" s="212" t="s">
        <v>461</v>
      </c>
      <c r="C14" s="94">
        <v>8</v>
      </c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18"/>
      <c r="BU14" s="218"/>
      <c r="BV14" s="218"/>
      <c r="BW14" s="218"/>
    </row>
    <row r="15" spans="1:75">
      <c r="A15" s="94">
        <v>12</v>
      </c>
      <c r="B15" s="212" t="s">
        <v>462</v>
      </c>
      <c r="C15" s="94">
        <v>8</v>
      </c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</row>
    <row r="16" spans="1:75">
      <c r="A16" s="94">
        <v>13</v>
      </c>
      <c r="B16" s="212" t="s">
        <v>463</v>
      </c>
      <c r="C16" s="94">
        <v>8</v>
      </c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  <c r="BU16" s="218"/>
      <c r="BV16" s="218"/>
      <c r="BW16" s="218"/>
    </row>
    <row r="17" spans="1:75">
      <c r="A17" s="94">
        <v>14</v>
      </c>
      <c r="B17" s="212" t="s">
        <v>464</v>
      </c>
      <c r="C17" s="94">
        <v>8</v>
      </c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</row>
    <row r="18" spans="1:75">
      <c r="A18" s="94">
        <v>15</v>
      </c>
      <c r="B18" s="212" t="s">
        <v>465</v>
      </c>
      <c r="C18" s="94">
        <v>8</v>
      </c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  <c r="BU18" s="218"/>
      <c r="BV18" s="218"/>
      <c r="BW18" s="218"/>
    </row>
    <row r="19" spans="1:75">
      <c r="A19" s="94">
        <v>16</v>
      </c>
      <c r="B19" s="212" t="s">
        <v>466</v>
      </c>
      <c r="C19" s="94">
        <v>8</v>
      </c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218"/>
    </row>
    <row r="20" spans="1:75">
      <c r="A20" s="94">
        <v>17</v>
      </c>
      <c r="B20" s="212" t="s">
        <v>467</v>
      </c>
      <c r="C20" s="94">
        <v>8</v>
      </c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</row>
    <row r="21" spans="1:75">
      <c r="A21" s="94">
        <v>18</v>
      </c>
      <c r="B21" s="95"/>
      <c r="C21" s="94">
        <v>8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</row>
    <row r="22" spans="1:75">
      <c r="A22" s="213">
        <v>19</v>
      </c>
      <c r="B22" s="214" t="s">
        <v>469</v>
      </c>
      <c r="C22" s="94">
        <v>8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  <c r="BU22" s="218"/>
      <c r="BV22" s="218"/>
      <c r="BW22" s="218"/>
    </row>
    <row r="23" spans="1:75">
      <c r="A23" s="94">
        <v>20</v>
      </c>
      <c r="B23" s="212" t="str">
        <f t="shared" ref="B23:B29" si="0">B14</f>
        <v>ACB</v>
      </c>
      <c r="C23" s="94">
        <v>8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  <c r="BU23" s="218"/>
      <c r="BV23" s="218"/>
      <c r="BW23" s="218"/>
    </row>
    <row r="24" spans="1:75">
      <c r="A24" s="94">
        <v>21</v>
      </c>
      <c r="B24" s="212" t="str">
        <f t="shared" si="0"/>
        <v>VietinBank</v>
      </c>
      <c r="C24" s="94">
        <v>8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18"/>
      <c r="BU24" s="218"/>
      <c r="BV24" s="218"/>
      <c r="BW24" s="218"/>
    </row>
    <row r="25" spans="1:75">
      <c r="A25" s="94">
        <v>22</v>
      </c>
      <c r="B25" s="212" t="str">
        <f t="shared" si="0"/>
        <v>Vietcombank</v>
      </c>
      <c r="C25" s="94">
        <v>8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</row>
    <row r="26" spans="1:75">
      <c r="A26" s="94">
        <v>23</v>
      </c>
      <c r="B26" s="212" t="str">
        <f t="shared" si="0"/>
        <v>BIDV</v>
      </c>
      <c r="C26" s="94">
        <v>8</v>
      </c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</row>
    <row r="27" spans="1:75">
      <c r="A27" s="94">
        <v>24</v>
      </c>
      <c r="B27" s="212" t="str">
        <f t="shared" si="0"/>
        <v>Standard Chartered</v>
      </c>
      <c r="C27" s="94">
        <v>8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</row>
    <row r="28" spans="1:75">
      <c r="A28" s="94">
        <v>25</v>
      </c>
      <c r="B28" s="212" t="str">
        <f t="shared" si="0"/>
        <v>VILC</v>
      </c>
      <c r="C28" s="94">
        <v>8</v>
      </c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</row>
    <row r="29" spans="1:75">
      <c r="A29" s="94">
        <v>26</v>
      </c>
      <c r="B29" s="212" t="str">
        <f t="shared" si="0"/>
        <v>IVB</v>
      </c>
      <c r="C29" s="94">
        <v>8</v>
      </c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18"/>
      <c r="BU29" s="218"/>
      <c r="BV29" s="218"/>
      <c r="BW29" s="218"/>
    </row>
    <row r="30" spans="1:75">
      <c r="A30" s="94">
        <v>27</v>
      </c>
      <c r="B30" s="212"/>
      <c r="C30" s="94">
        <v>8</v>
      </c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</row>
    <row r="31" spans="1:75">
      <c r="A31" s="209">
        <v>28</v>
      </c>
      <c r="B31" s="210" t="s">
        <v>470</v>
      </c>
      <c r="C31" s="209">
        <v>8</v>
      </c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</row>
    <row r="32" spans="1:75">
      <c r="A32" s="94">
        <v>29</v>
      </c>
      <c r="B32" s="212" t="str">
        <f>B14</f>
        <v>ACB</v>
      </c>
      <c r="C32" s="94">
        <v>8</v>
      </c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  <c r="BU32" s="218"/>
      <c r="BV32" s="218"/>
      <c r="BW32" s="218"/>
    </row>
    <row r="33" spans="1:75">
      <c r="A33" s="94">
        <v>30</v>
      </c>
      <c r="B33" s="212" t="str">
        <f>B15</f>
        <v>VietinBank</v>
      </c>
      <c r="C33" s="94">
        <v>8</v>
      </c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18"/>
      <c r="BU33" s="218"/>
      <c r="BV33" s="218"/>
      <c r="BW33" s="218"/>
    </row>
    <row r="34" spans="1:75">
      <c r="A34" s="94">
        <v>31</v>
      </c>
      <c r="B34" s="212" t="str">
        <f>B16</f>
        <v>Vietcombank</v>
      </c>
      <c r="C34" s="94">
        <v>8</v>
      </c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18"/>
      <c r="BU34" s="218"/>
      <c r="BV34" s="218"/>
      <c r="BW34" s="218"/>
    </row>
    <row r="35" spans="1:75">
      <c r="A35" s="94">
        <v>32</v>
      </c>
      <c r="B35" s="212" t="s">
        <v>464</v>
      </c>
      <c r="C35" s="94">
        <v>8</v>
      </c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</row>
    <row r="36" spans="1:75">
      <c r="A36" s="94">
        <v>33</v>
      </c>
      <c r="B36" s="212" t="str">
        <f>B18</f>
        <v>Standard Chartered</v>
      </c>
      <c r="C36" s="94">
        <v>8</v>
      </c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  <c r="BU36" s="218"/>
      <c r="BV36" s="218"/>
      <c r="BW36" s="218"/>
    </row>
    <row r="37" spans="1:75">
      <c r="A37" s="94">
        <v>34</v>
      </c>
      <c r="B37" s="212" t="s">
        <v>466</v>
      </c>
      <c r="C37" s="94">
        <v>8</v>
      </c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</row>
    <row r="38" spans="1:75">
      <c r="A38" s="94">
        <v>35</v>
      </c>
      <c r="B38" s="212" t="s">
        <v>467</v>
      </c>
      <c r="C38" s="94">
        <v>8</v>
      </c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</row>
    <row r="39" spans="1:75">
      <c r="A39" s="94">
        <v>36</v>
      </c>
      <c r="B39" s="95"/>
      <c r="C39" s="94">
        <v>8</v>
      </c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  <c r="BU39" s="218"/>
      <c r="BV39" s="218"/>
      <c r="BW39" s="218"/>
    </row>
    <row r="40" spans="1:75">
      <c r="A40" s="213">
        <v>37</v>
      </c>
      <c r="B40" s="214" t="s">
        <v>471</v>
      </c>
      <c r="C40" s="94">
        <v>8</v>
      </c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  <c r="BL40" s="218"/>
      <c r="BM40" s="218"/>
      <c r="BN40" s="218"/>
      <c r="BO40" s="218"/>
      <c r="BP40" s="218"/>
      <c r="BQ40" s="218"/>
      <c r="BR40" s="218"/>
      <c r="BS40" s="218"/>
      <c r="BT40" s="218"/>
      <c r="BU40" s="218"/>
      <c r="BV40" s="218"/>
      <c r="BW40" s="218"/>
    </row>
    <row r="41" spans="1:75">
      <c r="A41" s="94">
        <v>38</v>
      </c>
      <c r="B41" s="212" t="str">
        <f t="shared" ref="B41:B47" si="1">B32</f>
        <v>ACB</v>
      </c>
      <c r="C41" s="94">
        <v>8</v>
      </c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</row>
    <row r="42" spans="1:75">
      <c r="A42" s="94">
        <v>39</v>
      </c>
      <c r="B42" s="212" t="str">
        <f t="shared" si="1"/>
        <v>VietinBank</v>
      </c>
      <c r="C42" s="94">
        <v>8</v>
      </c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</row>
    <row r="43" spans="1:75">
      <c r="A43" s="94">
        <v>40</v>
      </c>
      <c r="B43" s="212" t="str">
        <f t="shared" si="1"/>
        <v>Vietcombank</v>
      </c>
      <c r="C43" s="94">
        <v>8</v>
      </c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18"/>
      <c r="BU43" s="218"/>
      <c r="BV43" s="218"/>
      <c r="BW43" s="218"/>
    </row>
    <row r="44" spans="1:75">
      <c r="A44" s="94">
        <v>41</v>
      </c>
      <c r="B44" s="212" t="str">
        <f t="shared" si="1"/>
        <v>BIDV</v>
      </c>
      <c r="C44" s="94">
        <v>8</v>
      </c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</row>
    <row r="45" spans="1:75">
      <c r="A45" s="94">
        <v>42</v>
      </c>
      <c r="B45" s="212" t="str">
        <f t="shared" si="1"/>
        <v>Standard Chartered</v>
      </c>
      <c r="C45" s="94">
        <v>8</v>
      </c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</row>
    <row r="46" spans="1:75">
      <c r="A46" s="94">
        <v>43</v>
      </c>
      <c r="B46" s="212" t="str">
        <f t="shared" si="1"/>
        <v>VILC</v>
      </c>
      <c r="C46" s="94">
        <v>8</v>
      </c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18"/>
      <c r="BU46" s="218"/>
      <c r="BV46" s="218"/>
      <c r="BW46" s="218"/>
    </row>
    <row r="47" spans="1:75">
      <c r="A47" s="94">
        <v>44</v>
      </c>
      <c r="B47" s="212" t="str">
        <f t="shared" si="1"/>
        <v>IVB</v>
      </c>
      <c r="C47" s="94">
        <v>8</v>
      </c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</row>
    <row r="48" spans="1:75">
      <c r="A48" s="94">
        <v>45</v>
      </c>
      <c r="B48" s="212"/>
      <c r="C48" s="94">
        <v>8</v>
      </c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  <c r="BU48" s="218"/>
      <c r="BV48" s="218"/>
      <c r="BW48" s="218"/>
    </row>
    <row r="49" spans="1:75" ht="15" thickBot="1">
      <c r="A49" s="215">
        <v>46</v>
      </c>
      <c r="B49" s="216" t="s">
        <v>472</v>
      </c>
      <c r="C49" s="215">
        <v>8</v>
      </c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219"/>
      <c r="AU49" s="21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19"/>
      <c r="BR49" s="219"/>
      <c r="BS49" s="219"/>
      <c r="BT49" s="219"/>
      <c r="BU49" s="219"/>
      <c r="BV49" s="219"/>
      <c r="BW49" s="219"/>
    </row>
    <row r="50" spans="1:75" ht="15" thickTop="1">
      <c r="A50" s="94">
        <v>47</v>
      </c>
      <c r="B50" s="212" t="str">
        <f t="shared" ref="B50:B55" si="2">B32</f>
        <v>ACB</v>
      </c>
      <c r="C50" s="94">
        <v>8</v>
      </c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  <c r="BU50" s="218"/>
      <c r="BV50" s="218"/>
      <c r="BW50" s="218"/>
    </row>
    <row r="51" spans="1:75">
      <c r="A51" s="94">
        <v>48</v>
      </c>
      <c r="B51" s="212" t="str">
        <f t="shared" si="2"/>
        <v>VietinBank</v>
      </c>
      <c r="C51" s="94">
        <v>8</v>
      </c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</row>
    <row r="52" spans="1:75">
      <c r="A52" s="94">
        <v>49</v>
      </c>
      <c r="B52" s="212" t="str">
        <f t="shared" si="2"/>
        <v>Vietcombank</v>
      </c>
      <c r="C52" s="94">
        <v>8</v>
      </c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  <c r="BU52" s="218"/>
      <c r="BV52" s="218"/>
      <c r="BW52" s="218"/>
    </row>
    <row r="53" spans="1:75">
      <c r="A53" s="94">
        <v>50</v>
      </c>
      <c r="B53" s="212" t="str">
        <f t="shared" si="2"/>
        <v>BIDV</v>
      </c>
      <c r="C53" s="94">
        <v>8</v>
      </c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</row>
    <row r="54" spans="1:75">
      <c r="A54" s="94">
        <v>51</v>
      </c>
      <c r="B54" s="212" t="str">
        <f t="shared" si="2"/>
        <v>Standard Chartered</v>
      </c>
      <c r="C54" s="94">
        <v>8</v>
      </c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218"/>
      <c r="BU54" s="218"/>
      <c r="BV54" s="218"/>
      <c r="BW54" s="218"/>
    </row>
    <row r="55" spans="1:75">
      <c r="A55" s="94">
        <v>52</v>
      </c>
      <c r="B55" s="212" t="str">
        <f t="shared" si="2"/>
        <v>VILC</v>
      </c>
      <c r="C55" s="94">
        <v>8</v>
      </c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</row>
    <row r="56" spans="1:75">
      <c r="A56" s="94">
        <v>53</v>
      </c>
      <c r="B56" s="212" t="s">
        <v>467</v>
      </c>
      <c r="C56" s="94">
        <v>8</v>
      </c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218"/>
      <c r="BU56" s="218"/>
      <c r="BV56" s="218"/>
      <c r="BW56" s="218"/>
    </row>
    <row r="57" spans="1:75">
      <c r="A57" s="94">
        <v>54</v>
      </c>
      <c r="B57" s="95"/>
      <c r="C57" s="94">
        <v>8</v>
      </c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  <c r="BB57" s="220"/>
      <c r="BC57" s="220"/>
      <c r="BD57" s="220"/>
      <c r="BE57" s="220"/>
      <c r="BF57" s="220"/>
      <c r="BG57" s="220"/>
      <c r="BH57" s="220"/>
      <c r="BI57" s="220"/>
      <c r="BJ57" s="220"/>
      <c r="BK57" s="220"/>
      <c r="BL57" s="220"/>
      <c r="BM57" s="220"/>
      <c r="BN57" s="220"/>
      <c r="BO57" s="220"/>
      <c r="BP57" s="220"/>
      <c r="BQ57" s="220"/>
      <c r="BR57" s="220"/>
      <c r="BS57" s="220"/>
      <c r="BT57" s="220"/>
      <c r="BU57" s="220"/>
      <c r="BV57" s="220"/>
      <c r="BW57" s="220"/>
    </row>
    <row r="58" spans="1:75" ht="15" thickBot="1">
      <c r="A58" s="215">
        <v>55</v>
      </c>
      <c r="B58" s="216" t="s">
        <v>473</v>
      </c>
      <c r="C58" s="94">
        <v>8</v>
      </c>
      <c r="D58" s="535"/>
      <c r="E58" s="535"/>
      <c r="F58" s="535"/>
      <c r="G58" s="535"/>
      <c r="H58" s="535"/>
      <c r="I58" s="535"/>
      <c r="J58" s="535"/>
      <c r="K58" s="535"/>
      <c r="L58" s="535"/>
      <c r="M58" s="535"/>
      <c r="N58" s="535"/>
      <c r="O58" s="535"/>
      <c r="P58" s="535"/>
      <c r="Q58" s="535"/>
      <c r="R58" s="535"/>
      <c r="S58" s="535"/>
      <c r="T58" s="535"/>
      <c r="U58" s="535"/>
      <c r="V58" s="535"/>
      <c r="W58" s="535"/>
      <c r="X58" s="535"/>
      <c r="Y58" s="535"/>
      <c r="Z58" s="535"/>
      <c r="AA58" s="535"/>
      <c r="AB58" s="535"/>
      <c r="AC58" s="535"/>
      <c r="AD58" s="535"/>
      <c r="AE58" s="535"/>
      <c r="AF58" s="535"/>
      <c r="AG58" s="535"/>
      <c r="AH58" s="535"/>
      <c r="AI58" s="535"/>
      <c r="AJ58" s="535"/>
      <c r="AK58" s="535"/>
      <c r="AL58" s="535"/>
      <c r="AM58" s="535"/>
      <c r="AN58" s="535"/>
      <c r="AO58" s="535"/>
      <c r="AP58" s="535"/>
      <c r="AQ58" s="535"/>
      <c r="AR58" s="535"/>
      <c r="AS58" s="535"/>
      <c r="AT58" s="535"/>
      <c r="AU58" s="535"/>
      <c r="AV58" s="535"/>
      <c r="AW58" s="535"/>
      <c r="AX58" s="535"/>
      <c r="AY58" s="535"/>
      <c r="AZ58" s="535">
        <f>SUM(AZ59:AZ65)</f>
        <v>1803244812</v>
      </c>
      <c r="BA58" s="535">
        <f t="shared" ref="BA58:BL58" si="3">SUM(BA59:BA65)</f>
        <v>844858603</v>
      </c>
      <c r="BB58" s="535">
        <f t="shared" si="3"/>
        <v>1264760236</v>
      </c>
      <c r="BC58" s="535">
        <f t="shared" si="3"/>
        <v>2070087049</v>
      </c>
      <c r="BD58" s="535">
        <f t="shared" si="3"/>
        <v>1205178148</v>
      </c>
      <c r="BE58" s="535">
        <f t="shared" si="3"/>
        <v>2402723675</v>
      </c>
      <c r="BF58" s="535">
        <f t="shared" si="3"/>
        <v>1533229725</v>
      </c>
      <c r="BG58" s="535">
        <f t="shared" si="3"/>
        <v>4510478703</v>
      </c>
      <c r="BH58" s="535">
        <f t="shared" si="3"/>
        <v>8812481959</v>
      </c>
      <c r="BI58" s="535">
        <f t="shared" si="3"/>
        <v>5384123686</v>
      </c>
      <c r="BJ58" s="535">
        <f t="shared" si="3"/>
        <v>4724531170</v>
      </c>
      <c r="BK58" s="535">
        <f t="shared" si="3"/>
        <v>3665776516</v>
      </c>
      <c r="BL58" s="535">
        <f t="shared" si="3"/>
        <v>3295562581</v>
      </c>
      <c r="BM58" s="535">
        <v>1574155304</v>
      </c>
      <c r="BN58" s="535">
        <v>3967583408</v>
      </c>
      <c r="BO58" s="535">
        <v>5058954328</v>
      </c>
      <c r="BP58" s="535">
        <v>4545650295</v>
      </c>
      <c r="BQ58" s="535"/>
      <c r="BR58" s="535"/>
      <c r="BS58" s="535"/>
      <c r="BT58" s="535"/>
      <c r="BU58" s="535"/>
      <c r="BV58" s="535"/>
      <c r="BW58" s="535"/>
    </row>
    <row r="59" spans="1:75" ht="15" thickTop="1">
      <c r="A59" s="94">
        <v>56</v>
      </c>
      <c r="B59" s="212" t="str">
        <f t="shared" ref="B59:B64" si="4">B50</f>
        <v>ACB</v>
      </c>
      <c r="C59" s="94">
        <v>8</v>
      </c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>
        <v>1803244812</v>
      </c>
      <c r="BA59" s="218">
        <v>844858603</v>
      </c>
      <c r="BB59" s="218">
        <v>1264760236</v>
      </c>
      <c r="BC59" s="218">
        <v>2070087049</v>
      </c>
      <c r="BD59" s="218">
        <v>1205178148</v>
      </c>
      <c r="BE59" s="218">
        <v>2402723675</v>
      </c>
      <c r="BF59" s="218">
        <v>1533229725</v>
      </c>
      <c r="BG59" s="218">
        <v>4510478703</v>
      </c>
      <c r="BH59" s="218">
        <v>8812481959</v>
      </c>
      <c r="BI59" s="218">
        <v>5384123686</v>
      </c>
      <c r="BJ59" s="218">
        <v>4724531170</v>
      </c>
      <c r="BK59" s="218">
        <v>3665776516</v>
      </c>
      <c r="BL59" s="218">
        <v>3295562581</v>
      </c>
      <c r="BM59" s="218">
        <v>1574155304</v>
      </c>
      <c r="BN59" s="218">
        <v>3967583408</v>
      </c>
      <c r="BO59" s="218">
        <v>5058954328</v>
      </c>
      <c r="BP59" s="218">
        <v>4545650295</v>
      </c>
      <c r="BQ59" s="218"/>
      <c r="BR59" s="218"/>
      <c r="BS59" s="218"/>
      <c r="BT59" s="218"/>
      <c r="BU59" s="218"/>
      <c r="BV59" s="218"/>
      <c r="BW59" s="218"/>
    </row>
    <row r="60" spans="1:75">
      <c r="A60" s="94">
        <v>57</v>
      </c>
      <c r="B60" s="212" t="str">
        <f t="shared" si="4"/>
        <v>VietinBank</v>
      </c>
      <c r="C60" s="94">
        <v>8</v>
      </c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  <c r="BU60" s="218"/>
      <c r="BV60" s="218"/>
      <c r="BW60" s="218"/>
    </row>
    <row r="61" spans="1:75">
      <c r="A61" s="94">
        <v>58</v>
      </c>
      <c r="B61" s="212" t="str">
        <f t="shared" si="4"/>
        <v>Vietcombank</v>
      </c>
      <c r="C61" s="94">
        <v>8</v>
      </c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218"/>
      <c r="BU61" s="218"/>
      <c r="BV61" s="218"/>
      <c r="BW61" s="218"/>
    </row>
    <row r="62" spans="1:75">
      <c r="A62" s="94">
        <v>59</v>
      </c>
      <c r="B62" s="212" t="str">
        <f t="shared" si="4"/>
        <v>BIDV</v>
      </c>
      <c r="C62" s="94">
        <v>8</v>
      </c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</row>
    <row r="63" spans="1:75">
      <c r="A63" s="94">
        <v>60</v>
      </c>
      <c r="B63" s="212" t="str">
        <f t="shared" si="4"/>
        <v>Standard Chartered</v>
      </c>
      <c r="C63" s="94">
        <v>8</v>
      </c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  <c r="BM63" s="218"/>
      <c r="BN63" s="218"/>
      <c r="BO63" s="218"/>
      <c r="BP63" s="218"/>
      <c r="BQ63" s="218"/>
      <c r="BR63" s="218"/>
      <c r="BS63" s="218"/>
      <c r="BT63" s="218"/>
      <c r="BU63" s="218"/>
      <c r="BV63" s="218"/>
      <c r="BW63" s="218"/>
    </row>
    <row r="64" spans="1:75">
      <c r="A64" s="94">
        <v>61</v>
      </c>
      <c r="B64" s="212" t="str">
        <f t="shared" si="4"/>
        <v>VILC</v>
      </c>
      <c r="C64" s="94">
        <v>8</v>
      </c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  <c r="BL64" s="218"/>
      <c r="BM64" s="218"/>
      <c r="BN64" s="218"/>
      <c r="BO64" s="218"/>
      <c r="BP64" s="218"/>
      <c r="BQ64" s="218"/>
      <c r="BR64" s="218"/>
      <c r="BS64" s="218"/>
      <c r="BT64" s="218"/>
      <c r="BU64" s="218"/>
      <c r="BV64" s="218"/>
      <c r="BW64" s="218"/>
    </row>
    <row r="65" spans="1:75">
      <c r="A65" s="94">
        <v>62</v>
      </c>
      <c r="B65" s="212" t="s">
        <v>467</v>
      </c>
      <c r="C65" s="94">
        <v>8</v>
      </c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  <c r="BL65" s="218"/>
      <c r="BM65" s="218"/>
      <c r="BN65" s="218"/>
      <c r="BO65" s="218"/>
      <c r="BP65" s="218"/>
      <c r="BQ65" s="218"/>
      <c r="BR65" s="218"/>
      <c r="BS65" s="218"/>
      <c r="BT65" s="218"/>
      <c r="BU65" s="218"/>
      <c r="BV65" s="218"/>
      <c r="BW65" s="218"/>
    </row>
    <row r="66" spans="1:75">
      <c r="A66" s="94">
        <v>63</v>
      </c>
      <c r="B66" s="212"/>
      <c r="C66" s="94">
        <v>8</v>
      </c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  <c r="BL66" s="218"/>
      <c r="BM66" s="218"/>
      <c r="BN66" s="218"/>
      <c r="BO66" s="218"/>
      <c r="BP66" s="218"/>
      <c r="BQ66" s="218"/>
      <c r="BR66" s="218"/>
      <c r="BS66" s="218"/>
      <c r="BT66" s="218"/>
      <c r="BU66" s="218"/>
      <c r="BV66" s="218"/>
      <c r="BW66" s="218"/>
    </row>
    <row r="67" spans="1:75" ht="15" thickBot="1">
      <c r="A67" s="215">
        <v>64</v>
      </c>
      <c r="B67" s="216" t="s">
        <v>474</v>
      </c>
      <c r="C67" s="94">
        <v>8</v>
      </c>
      <c r="D67" s="535"/>
      <c r="E67" s="535"/>
      <c r="F67" s="535"/>
      <c r="G67" s="535"/>
      <c r="H67" s="535"/>
      <c r="I67" s="535"/>
      <c r="J67" s="535"/>
      <c r="K67" s="535"/>
      <c r="L67" s="535"/>
      <c r="M67" s="535"/>
      <c r="N67" s="535"/>
      <c r="O67" s="535"/>
      <c r="P67" s="535"/>
      <c r="Q67" s="535"/>
      <c r="R67" s="535"/>
      <c r="S67" s="535"/>
      <c r="T67" s="535"/>
      <c r="U67" s="535"/>
      <c r="V67" s="535"/>
      <c r="W67" s="535"/>
      <c r="X67" s="535"/>
      <c r="Y67" s="535"/>
      <c r="Z67" s="535"/>
      <c r="AA67" s="535"/>
      <c r="AB67" s="535"/>
      <c r="AC67" s="535"/>
      <c r="AD67" s="535"/>
      <c r="AE67" s="535"/>
      <c r="AF67" s="535"/>
      <c r="AG67" s="535"/>
      <c r="AH67" s="535"/>
      <c r="AI67" s="535"/>
      <c r="AJ67" s="535"/>
      <c r="AK67" s="535"/>
      <c r="AL67" s="535"/>
      <c r="AM67" s="535"/>
      <c r="AN67" s="535"/>
      <c r="AO67" s="535"/>
      <c r="AP67" s="535"/>
      <c r="AQ67" s="535"/>
      <c r="AR67" s="535"/>
      <c r="AS67" s="535"/>
      <c r="AT67" s="535"/>
      <c r="AU67" s="535"/>
      <c r="AV67" s="535"/>
      <c r="AW67" s="535"/>
      <c r="AX67" s="535"/>
      <c r="AY67" s="535"/>
      <c r="AZ67" s="535">
        <f>SUM(AZ68:AZ74)</f>
        <v>7000000000</v>
      </c>
      <c r="BA67" s="535">
        <f t="shared" ref="BA67:BM67" si="5">SUM(BA68:BA74)</f>
        <v>7000000000</v>
      </c>
      <c r="BB67" s="535">
        <f t="shared" si="5"/>
        <v>7000000000</v>
      </c>
      <c r="BC67" s="535">
        <f t="shared" si="5"/>
        <v>7000000000</v>
      </c>
      <c r="BD67" s="535">
        <f t="shared" si="5"/>
        <v>7000000000</v>
      </c>
      <c r="BE67" s="535">
        <f t="shared" si="5"/>
        <v>7000000000</v>
      </c>
      <c r="BF67" s="535">
        <f t="shared" si="5"/>
        <v>6000000000</v>
      </c>
      <c r="BG67" s="535">
        <f t="shared" si="5"/>
        <v>6000000000</v>
      </c>
      <c r="BH67" s="535">
        <f t="shared" si="5"/>
        <v>6000000000</v>
      </c>
      <c r="BI67" s="535">
        <f t="shared" si="5"/>
        <v>9000000000</v>
      </c>
      <c r="BJ67" s="535">
        <f t="shared" si="5"/>
        <v>9000000000</v>
      </c>
      <c r="BK67" s="535">
        <f t="shared" si="5"/>
        <v>9000000000</v>
      </c>
      <c r="BL67" s="535">
        <f t="shared" si="5"/>
        <v>9000000000</v>
      </c>
      <c r="BM67" s="535">
        <f t="shared" si="5"/>
        <v>9000000000</v>
      </c>
      <c r="BN67" s="535">
        <v>7000000000</v>
      </c>
      <c r="BO67" s="535">
        <v>7000000000</v>
      </c>
      <c r="BP67" s="535">
        <v>7000000000</v>
      </c>
      <c r="BQ67" s="535"/>
      <c r="BR67" s="535"/>
      <c r="BS67" s="535"/>
      <c r="BT67" s="535"/>
      <c r="BU67" s="535"/>
      <c r="BV67" s="535"/>
      <c r="BW67" s="535"/>
    </row>
    <row r="68" spans="1:75" ht="15" thickTop="1">
      <c r="A68" s="94">
        <v>65</v>
      </c>
      <c r="B68" s="212" t="str">
        <f t="shared" ref="B68:B73" si="6">B50</f>
        <v>ACB</v>
      </c>
      <c r="C68" s="94">
        <v>8</v>
      </c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>
        <v>7000000000</v>
      </c>
      <c r="BA68" s="218">
        <v>7000000000</v>
      </c>
      <c r="BB68" s="218">
        <v>7000000000</v>
      </c>
      <c r="BC68" s="218">
        <v>7000000000</v>
      </c>
      <c r="BD68" s="218">
        <v>7000000000</v>
      </c>
      <c r="BE68" s="218">
        <v>7000000000</v>
      </c>
      <c r="BF68" s="218">
        <v>6000000000</v>
      </c>
      <c r="BG68" s="218">
        <v>6000000000</v>
      </c>
      <c r="BH68" s="218">
        <v>6000000000</v>
      </c>
      <c r="BI68" s="218">
        <v>9000000000</v>
      </c>
      <c r="BJ68" s="218">
        <v>9000000000</v>
      </c>
      <c r="BK68" s="218">
        <v>9000000000</v>
      </c>
      <c r="BL68" s="218">
        <v>9000000000</v>
      </c>
      <c r="BM68" s="218">
        <v>9000000000</v>
      </c>
      <c r="BN68" s="218">
        <v>7000000000</v>
      </c>
      <c r="BO68" s="218">
        <v>7000000000</v>
      </c>
      <c r="BP68" s="218">
        <v>7000000000</v>
      </c>
      <c r="BQ68" s="218"/>
      <c r="BR68" s="218"/>
      <c r="BS68" s="218"/>
      <c r="BT68" s="218"/>
      <c r="BU68" s="218"/>
      <c r="BV68" s="218"/>
      <c r="BW68" s="218"/>
    </row>
    <row r="69" spans="1:75">
      <c r="A69" s="94">
        <v>66</v>
      </c>
      <c r="B69" s="212" t="str">
        <f t="shared" si="6"/>
        <v>VietinBank</v>
      </c>
      <c r="C69" s="94">
        <v>8</v>
      </c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  <c r="BL69" s="218"/>
      <c r="BM69" s="218"/>
      <c r="BN69" s="218"/>
      <c r="BO69" s="218"/>
      <c r="BP69" s="218"/>
      <c r="BQ69" s="218"/>
      <c r="BR69" s="218"/>
      <c r="BS69" s="218"/>
      <c r="BT69" s="218"/>
      <c r="BU69" s="218"/>
      <c r="BV69" s="218"/>
      <c r="BW69" s="218"/>
    </row>
    <row r="70" spans="1:75">
      <c r="A70" s="94">
        <v>67</v>
      </c>
      <c r="B70" s="212" t="str">
        <f t="shared" si="6"/>
        <v>Vietcombank</v>
      </c>
      <c r="C70" s="94">
        <v>8</v>
      </c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  <c r="BL70" s="218"/>
      <c r="BM70" s="218"/>
      <c r="BN70" s="218"/>
      <c r="BO70" s="218"/>
      <c r="BP70" s="218"/>
      <c r="BQ70" s="218"/>
      <c r="BR70" s="218"/>
      <c r="BS70" s="218"/>
      <c r="BT70" s="218"/>
      <c r="BU70" s="218"/>
      <c r="BV70" s="218"/>
      <c r="BW70" s="218"/>
    </row>
    <row r="71" spans="1:75">
      <c r="A71" s="94">
        <v>68</v>
      </c>
      <c r="B71" s="212" t="str">
        <f t="shared" si="6"/>
        <v>BIDV</v>
      </c>
      <c r="C71" s="94">
        <v>8</v>
      </c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</row>
    <row r="72" spans="1:75">
      <c r="A72" s="94">
        <v>69</v>
      </c>
      <c r="B72" s="212" t="str">
        <f t="shared" si="6"/>
        <v>Standard Chartered</v>
      </c>
      <c r="C72" s="94">
        <v>8</v>
      </c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  <c r="BO72" s="218"/>
      <c r="BP72" s="218"/>
      <c r="BQ72" s="218"/>
      <c r="BR72" s="218"/>
      <c r="BS72" s="218"/>
      <c r="BT72" s="218"/>
      <c r="BU72" s="218"/>
      <c r="BV72" s="218"/>
      <c r="BW72" s="218"/>
    </row>
    <row r="73" spans="1:75">
      <c r="A73" s="94">
        <v>70</v>
      </c>
      <c r="B73" s="212" t="str">
        <f t="shared" si="6"/>
        <v>VILC</v>
      </c>
      <c r="C73" s="94">
        <v>8</v>
      </c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8"/>
      <c r="BN73" s="218"/>
      <c r="BO73" s="218"/>
      <c r="BP73" s="218"/>
      <c r="BQ73" s="218"/>
      <c r="BR73" s="218"/>
      <c r="BS73" s="218"/>
      <c r="BT73" s="218"/>
      <c r="BU73" s="218"/>
      <c r="BV73" s="218"/>
      <c r="BW73" s="218"/>
    </row>
    <row r="74" spans="1:75">
      <c r="A74" s="94">
        <v>71</v>
      </c>
      <c r="B74" s="212" t="s">
        <v>467</v>
      </c>
      <c r="C74" s="94">
        <v>8</v>
      </c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218"/>
      <c r="BU74" s="218"/>
      <c r="BV74" s="218"/>
      <c r="BW74" s="218"/>
    </row>
  </sheetData>
  <sheetProtection algorithmName="SHA-512" hashValue="++nLSvmOZSX4QncM4/3SjD+oYSdHoWMCrIltLWs+cCwugAS3eH6otmwO0g15y5fMkEtlTX+D4e5RG7i0A2bptQ==" saltValue="e/S4OzEgEPztSWSGeAtCGw==" spinCount="100000" sheet="1" objects="1" scenarios="1"/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AB6B-866B-45C9-9BE3-6C0B66B6E870}">
  <sheetPr>
    <tabColor theme="9" tint="0.59999389629810485"/>
  </sheetPr>
  <dimension ref="A1:AG481"/>
  <sheetViews>
    <sheetView showGridLines="0" zoomScale="92" zoomScaleNormal="92" workbookViewId="0">
      <pane xSplit="5" ySplit="6" topLeftCell="S283" activePane="bottomRight" state="frozen"/>
      <selection pane="topRight" activeCell="D8" sqref="D8:E8"/>
      <selection pane="bottomLeft" activeCell="D8" sqref="D8:E8"/>
      <selection pane="bottomRight" activeCell="S297" sqref="S297"/>
    </sheetView>
  </sheetViews>
  <sheetFormatPr defaultColWidth="8.6328125" defaultRowHeight="13"/>
  <cols>
    <col min="1" max="1" width="3.453125" style="413" customWidth="1"/>
    <col min="2" max="2" width="49.90625" style="411" customWidth="1"/>
    <col min="3" max="3" width="12.08984375" style="411" bestFit="1" customWidth="1"/>
    <col min="4" max="4" width="25" style="411" bestFit="1" customWidth="1"/>
    <col min="5" max="5" width="7.90625" style="411" customWidth="1"/>
    <col min="6" max="6" width="13.54296875" style="412" bestFit="1" customWidth="1"/>
    <col min="7" max="7" width="13.54296875" style="411" bestFit="1" customWidth="1"/>
    <col min="8" max="8" width="14.08984375" style="411" customWidth="1"/>
    <col min="9" max="9" width="13.54296875" style="411" bestFit="1" customWidth="1"/>
    <col min="10" max="10" width="12.6328125" style="411" bestFit="1" customWidth="1"/>
    <col min="11" max="13" width="13.81640625" style="411" bestFit="1" customWidth="1"/>
    <col min="14" max="17" width="12.6328125" style="411" bestFit="1" customWidth="1"/>
    <col min="18" max="18" width="17.6328125" style="412" bestFit="1" customWidth="1"/>
    <col min="19" max="19" width="13.54296875" style="412" bestFit="1" customWidth="1"/>
    <col min="20" max="20" width="13.54296875" style="411" bestFit="1" customWidth="1"/>
    <col min="21" max="21" width="14.08984375" style="411" customWidth="1"/>
    <col min="22" max="22" width="13.54296875" style="411" bestFit="1" customWidth="1"/>
    <col min="23" max="23" width="14.90625" style="411" customWidth="1"/>
    <col min="24" max="30" width="11.453125" style="411" customWidth="1"/>
    <col min="31" max="31" width="17.6328125" style="412" bestFit="1" customWidth="1"/>
    <col min="32" max="32" width="16.36328125" style="411" customWidth="1"/>
    <col min="33" max="33" width="11.36328125" style="411" bestFit="1" customWidth="1"/>
    <col min="34" max="16384" width="8.6328125" style="411"/>
  </cols>
  <sheetData>
    <row r="1" spans="1:31">
      <c r="A1" s="410" t="str">
        <f>'Thong tin'!$A$1</f>
        <v>CÔNG TY TNHH MTV ĐỒNG LÂM</v>
      </c>
    </row>
    <row r="2" spans="1:31" ht="13.4" customHeight="1">
      <c r="B2" s="414" t="s">
        <v>475</v>
      </c>
      <c r="C2" s="414"/>
      <c r="D2" s="414"/>
      <c r="E2" s="414"/>
    </row>
    <row r="4" spans="1:31">
      <c r="A4" s="415" t="s">
        <v>476</v>
      </c>
      <c r="B4" s="416" t="s">
        <v>477</v>
      </c>
      <c r="C4" s="416"/>
      <c r="D4" s="417"/>
      <c r="E4" s="417"/>
    </row>
    <row r="5" spans="1:31">
      <c r="F5" s="418" t="s">
        <v>478</v>
      </c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20"/>
      <c r="S5" s="418" t="s">
        <v>478</v>
      </c>
      <c r="T5" s="419"/>
      <c r="U5" s="419"/>
      <c r="V5" s="419"/>
      <c r="W5" s="419"/>
      <c r="X5" s="419"/>
      <c r="Y5" s="419"/>
      <c r="Z5" s="419"/>
      <c r="AA5" s="419"/>
      <c r="AB5" s="419"/>
      <c r="AC5" s="419"/>
      <c r="AD5" s="419"/>
      <c r="AE5" s="420"/>
    </row>
    <row r="6" spans="1:31" s="421" customFormat="1" ht="26.25" customHeight="1">
      <c r="A6" s="536"/>
      <c r="B6" s="537" t="s">
        <v>479</v>
      </c>
      <c r="C6" s="537" t="s">
        <v>480</v>
      </c>
      <c r="D6" s="537" t="s">
        <v>481</v>
      </c>
      <c r="E6" s="538" t="s">
        <v>482</v>
      </c>
      <c r="F6" s="539" t="s">
        <v>483</v>
      </c>
      <c r="G6" s="539" t="s">
        <v>484</v>
      </c>
      <c r="H6" s="539" t="s">
        <v>485</v>
      </c>
      <c r="I6" s="539" t="s">
        <v>486</v>
      </c>
      <c r="J6" s="539" t="s">
        <v>487</v>
      </c>
      <c r="K6" s="539" t="s">
        <v>488</v>
      </c>
      <c r="L6" s="539" t="s">
        <v>489</v>
      </c>
      <c r="M6" s="539" t="s">
        <v>490</v>
      </c>
      <c r="N6" s="539" t="s">
        <v>491</v>
      </c>
      <c r="O6" s="539" t="s">
        <v>492</v>
      </c>
      <c r="P6" s="539" t="s">
        <v>493</v>
      </c>
      <c r="Q6" s="539" t="s">
        <v>494</v>
      </c>
      <c r="R6" s="540" t="s">
        <v>623</v>
      </c>
      <c r="S6" s="539" t="s">
        <v>483</v>
      </c>
      <c r="T6" s="539" t="s">
        <v>484</v>
      </c>
      <c r="U6" s="539" t="s">
        <v>485</v>
      </c>
      <c r="V6" s="539" t="s">
        <v>486</v>
      </c>
      <c r="W6" s="539" t="s">
        <v>487</v>
      </c>
      <c r="X6" s="539" t="s">
        <v>488</v>
      </c>
      <c r="Y6" s="539" t="s">
        <v>489</v>
      </c>
      <c r="Z6" s="539" t="s">
        <v>490</v>
      </c>
      <c r="AA6" s="539" t="s">
        <v>491</v>
      </c>
      <c r="AB6" s="539" t="s">
        <v>492</v>
      </c>
      <c r="AC6" s="539" t="s">
        <v>493</v>
      </c>
      <c r="AD6" s="539" t="s">
        <v>494</v>
      </c>
      <c r="AE6" s="540" t="s">
        <v>495</v>
      </c>
    </row>
    <row r="7" spans="1:31" s="421" customFormat="1">
      <c r="A7" s="422" t="s">
        <v>496</v>
      </c>
      <c r="B7" s="541" t="s">
        <v>497</v>
      </c>
      <c r="C7" s="541"/>
      <c r="D7" s="537"/>
      <c r="E7" s="542"/>
      <c r="F7" s="543"/>
      <c r="G7" s="543"/>
      <c r="H7" s="543"/>
      <c r="I7" s="543"/>
      <c r="J7" s="543"/>
      <c r="K7" s="543"/>
      <c r="L7" s="543"/>
      <c r="M7" s="543"/>
      <c r="N7" s="543"/>
      <c r="O7" s="543"/>
      <c r="P7" s="543"/>
      <c r="Q7" s="543"/>
      <c r="R7" s="544"/>
      <c r="S7" s="543"/>
      <c r="T7" s="543"/>
      <c r="U7" s="543"/>
      <c r="V7" s="543"/>
      <c r="W7" s="543"/>
      <c r="X7" s="543"/>
      <c r="Y7" s="543"/>
      <c r="Z7" s="543"/>
      <c r="AA7" s="543"/>
      <c r="AB7" s="543"/>
      <c r="AC7" s="543"/>
      <c r="AD7" s="543"/>
      <c r="AE7" s="544"/>
    </row>
    <row r="8" spans="1:31" ht="12.5">
      <c r="A8" s="423">
        <v>1</v>
      </c>
      <c r="B8" s="424" t="s">
        <v>498</v>
      </c>
      <c r="C8" s="424" t="s">
        <v>499</v>
      </c>
      <c r="D8" s="425" t="s">
        <v>500</v>
      </c>
      <c r="E8" s="426">
        <v>511</v>
      </c>
      <c r="F8" s="427"/>
      <c r="G8" s="427"/>
      <c r="H8" s="427"/>
      <c r="I8" s="427"/>
      <c r="J8" s="428"/>
      <c r="K8" s="427"/>
      <c r="L8" s="427"/>
      <c r="M8" s="427"/>
      <c r="N8" s="427"/>
      <c r="O8" s="427"/>
      <c r="P8" s="427"/>
      <c r="Q8" s="427"/>
      <c r="R8" s="429"/>
      <c r="S8" s="427"/>
      <c r="T8" s="427"/>
      <c r="U8" s="427"/>
      <c r="V8" s="427"/>
      <c r="W8" s="428"/>
      <c r="X8" s="427"/>
      <c r="Y8" s="427"/>
      <c r="Z8" s="427"/>
      <c r="AA8" s="427"/>
      <c r="AB8" s="427"/>
      <c r="AC8" s="427"/>
      <c r="AD8" s="427"/>
      <c r="AE8" s="429">
        <f>SUM(S8:AD8)</f>
        <v>0</v>
      </c>
    </row>
    <row r="9" spans="1:31" ht="12.5">
      <c r="A9" s="430"/>
      <c r="B9" s="431"/>
      <c r="C9" s="431"/>
      <c r="D9" s="432" t="s">
        <v>501</v>
      </c>
      <c r="E9" s="433">
        <v>511</v>
      </c>
      <c r="F9" s="427"/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9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9">
        <f t="shared" ref="AE9:AE80" si="0">SUM(S9:AD9)</f>
        <v>0</v>
      </c>
    </row>
    <row r="10" spans="1:31" ht="12.5">
      <c r="A10" s="430"/>
      <c r="B10" s="431"/>
      <c r="C10" s="434"/>
      <c r="D10" s="434" t="s">
        <v>502</v>
      </c>
      <c r="E10" s="435">
        <v>711</v>
      </c>
      <c r="F10" s="427"/>
      <c r="G10" s="427"/>
      <c r="H10" s="427"/>
      <c r="I10" s="427"/>
      <c r="J10" s="427"/>
      <c r="K10" s="427"/>
      <c r="L10" s="427"/>
      <c r="M10" s="427"/>
      <c r="N10" s="427"/>
      <c r="O10" s="427"/>
      <c r="P10" s="427"/>
      <c r="Q10" s="427"/>
      <c r="R10" s="429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9">
        <f t="shared" si="0"/>
        <v>0</v>
      </c>
    </row>
    <row r="11" spans="1:31" ht="12.5">
      <c r="A11" s="436"/>
      <c r="B11" s="431"/>
      <c r="C11" s="431"/>
      <c r="D11" s="431" t="s">
        <v>503</v>
      </c>
      <c r="E11" s="435">
        <v>515</v>
      </c>
      <c r="F11" s="427"/>
      <c r="G11" s="427"/>
      <c r="H11" s="427"/>
      <c r="I11" s="427"/>
      <c r="J11" s="427"/>
      <c r="K11" s="427"/>
      <c r="L11" s="427"/>
      <c r="M11" s="427"/>
      <c r="N11" s="427"/>
      <c r="O11" s="427"/>
      <c r="P11" s="427"/>
      <c r="Q11" s="427"/>
      <c r="R11" s="429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9">
        <f t="shared" si="0"/>
        <v>0</v>
      </c>
    </row>
    <row r="12" spans="1:31" ht="12.5">
      <c r="A12" s="436"/>
      <c r="B12" s="431"/>
      <c r="C12" s="431"/>
      <c r="D12" s="431" t="s">
        <v>504</v>
      </c>
      <c r="E12" s="435">
        <v>112</v>
      </c>
      <c r="F12" s="427"/>
      <c r="G12" s="427"/>
      <c r="H12" s="427"/>
      <c r="I12" s="427"/>
      <c r="J12" s="427"/>
      <c r="K12" s="427"/>
      <c r="L12" s="427"/>
      <c r="M12" s="427"/>
      <c r="N12" s="427"/>
      <c r="O12" s="427"/>
      <c r="P12" s="427"/>
      <c r="Q12" s="427"/>
      <c r="R12" s="429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9">
        <f t="shared" si="0"/>
        <v>0</v>
      </c>
    </row>
    <row r="13" spans="1:31" ht="12.5">
      <c r="A13" s="436"/>
      <c r="B13" s="431"/>
      <c r="C13" s="431"/>
      <c r="D13" s="437" t="s">
        <v>505</v>
      </c>
      <c r="E13" s="438">
        <v>511</v>
      </c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9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9">
        <f t="shared" si="0"/>
        <v>0</v>
      </c>
    </row>
    <row r="14" spans="1:31" ht="12.5">
      <c r="A14" s="439"/>
      <c r="B14" s="440"/>
      <c r="C14" s="479"/>
      <c r="D14" s="441" t="s">
        <v>506</v>
      </c>
      <c r="E14" s="442" t="s">
        <v>507</v>
      </c>
      <c r="F14" s="443"/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4"/>
      <c r="S14" s="443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4">
        <f t="shared" si="0"/>
        <v>0</v>
      </c>
    </row>
    <row r="15" spans="1:31" ht="12.5">
      <c r="A15" s="545">
        <v>2</v>
      </c>
      <c r="B15" s="546" t="s">
        <v>508</v>
      </c>
      <c r="C15" s="546" t="s">
        <v>509</v>
      </c>
      <c r="D15" s="547" t="s">
        <v>500</v>
      </c>
      <c r="E15" s="548">
        <v>511</v>
      </c>
      <c r="F15" s="427">
        <v>1855026270</v>
      </c>
      <c r="G15" s="427">
        <v>4906179695</v>
      </c>
      <c r="H15" s="427">
        <v>6333654608</v>
      </c>
      <c r="I15" s="427">
        <v>7807068174</v>
      </c>
      <c r="J15" s="428">
        <v>7380147015</v>
      </c>
      <c r="K15" s="427">
        <v>10556762949</v>
      </c>
      <c r="L15" s="427">
        <v>12875151030</v>
      </c>
      <c r="M15" s="427">
        <v>13763220740</v>
      </c>
      <c r="N15" s="427">
        <v>9904916640</v>
      </c>
      <c r="O15" s="427">
        <v>7003708500</v>
      </c>
      <c r="P15" s="427">
        <v>5985740000</v>
      </c>
      <c r="Q15" s="427">
        <v>7484127000</v>
      </c>
      <c r="R15" s="429">
        <f>SUM(E15:Q15)</f>
        <v>95855703132</v>
      </c>
      <c r="S15" s="427">
        <v>7318017770</v>
      </c>
      <c r="T15" s="427">
        <v>4594489350</v>
      </c>
      <c r="U15" s="427">
        <v>9615317135</v>
      </c>
      <c r="V15" s="427">
        <v>6932513020</v>
      </c>
      <c r="W15" s="428">
        <v>11022894520</v>
      </c>
      <c r="X15" s="427"/>
      <c r="Y15" s="427"/>
      <c r="Z15" s="427"/>
      <c r="AA15" s="427"/>
      <c r="AB15" s="427"/>
      <c r="AC15" s="427"/>
      <c r="AD15" s="427"/>
      <c r="AE15" s="429">
        <f t="shared" si="0"/>
        <v>39483231795</v>
      </c>
    </row>
    <row r="16" spans="1:31" ht="12.5">
      <c r="A16" s="423"/>
      <c r="B16" s="445"/>
      <c r="C16" s="445"/>
      <c r="D16" s="437" t="s">
        <v>510</v>
      </c>
      <c r="E16" s="433">
        <v>511</v>
      </c>
      <c r="F16" s="446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29"/>
      <c r="S16" s="446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29">
        <f t="shared" si="0"/>
        <v>0</v>
      </c>
    </row>
    <row r="17" spans="1:31" ht="12.5">
      <c r="A17" s="423"/>
      <c r="B17" s="445"/>
      <c r="C17" s="445"/>
      <c r="D17" s="437" t="s">
        <v>501</v>
      </c>
      <c r="E17" s="433">
        <v>511</v>
      </c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29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29">
        <f t="shared" si="0"/>
        <v>0</v>
      </c>
    </row>
    <row r="18" spans="1:31" ht="12.5">
      <c r="A18" s="448"/>
      <c r="B18" s="445"/>
      <c r="C18" s="445"/>
      <c r="D18" s="437" t="s">
        <v>511</v>
      </c>
      <c r="E18" s="438">
        <v>511</v>
      </c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29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29">
        <f t="shared" si="0"/>
        <v>0</v>
      </c>
    </row>
    <row r="19" spans="1:31" ht="12.5">
      <c r="A19" s="448"/>
      <c r="B19" s="445"/>
      <c r="C19" s="445"/>
      <c r="D19" s="437" t="s">
        <v>512</v>
      </c>
      <c r="E19" s="438">
        <v>511</v>
      </c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29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29">
        <f t="shared" si="0"/>
        <v>0</v>
      </c>
    </row>
    <row r="20" spans="1:31" ht="12.5">
      <c r="A20" s="448"/>
      <c r="B20" s="445"/>
      <c r="C20" s="445"/>
      <c r="D20" s="437" t="s">
        <v>502</v>
      </c>
      <c r="E20" s="438">
        <v>711</v>
      </c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29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29">
        <f t="shared" si="0"/>
        <v>0</v>
      </c>
    </row>
    <row r="21" spans="1:31" ht="12.5">
      <c r="A21" s="448"/>
      <c r="B21" s="445"/>
      <c r="C21" s="526"/>
      <c r="D21" s="449" t="s">
        <v>513</v>
      </c>
      <c r="E21" s="433">
        <v>511</v>
      </c>
      <c r="F21" s="447"/>
      <c r="G21" s="447"/>
      <c r="H21" s="447"/>
      <c r="I21" s="447"/>
      <c r="J21" s="447"/>
      <c r="K21" s="447"/>
      <c r="L21" s="447"/>
      <c r="M21" s="447"/>
      <c r="N21" s="447"/>
      <c r="O21" s="447"/>
      <c r="P21" s="447"/>
      <c r="Q21" s="447"/>
      <c r="R21" s="429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29">
        <f t="shared" si="0"/>
        <v>0</v>
      </c>
    </row>
    <row r="22" spans="1:31" ht="12.5">
      <c r="A22" s="450"/>
      <c r="B22" s="451"/>
      <c r="C22" s="527"/>
      <c r="D22" s="452" t="s">
        <v>506</v>
      </c>
      <c r="E22" s="442" t="s">
        <v>507</v>
      </c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4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4">
        <f t="shared" si="0"/>
        <v>0</v>
      </c>
    </row>
    <row r="23" spans="1:31" ht="12.5">
      <c r="A23" s="545">
        <v>3</v>
      </c>
      <c r="B23" s="546" t="s">
        <v>514</v>
      </c>
      <c r="C23" s="546" t="s">
        <v>515</v>
      </c>
      <c r="D23" s="547" t="s">
        <v>500</v>
      </c>
      <c r="E23" s="548">
        <v>511</v>
      </c>
      <c r="F23" s="549">
        <v>329004000</v>
      </c>
      <c r="G23" s="549"/>
      <c r="H23" s="549"/>
      <c r="I23" s="549"/>
      <c r="J23" s="549"/>
      <c r="K23" s="549"/>
      <c r="L23" s="549"/>
      <c r="M23" s="549"/>
      <c r="N23" s="549"/>
      <c r="O23" s="549"/>
      <c r="P23" s="549"/>
      <c r="Q23" s="549"/>
      <c r="R23" s="429">
        <f>SUM(E23:Q23)</f>
        <v>329004511</v>
      </c>
      <c r="S23" s="549"/>
      <c r="T23" s="549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50">
        <f t="shared" si="0"/>
        <v>0</v>
      </c>
    </row>
    <row r="24" spans="1:31" ht="12.5">
      <c r="A24" s="448"/>
      <c r="B24" s="445"/>
      <c r="C24" s="445"/>
      <c r="D24" s="437" t="s">
        <v>510</v>
      </c>
      <c r="E24" s="433">
        <v>511</v>
      </c>
      <c r="F24" s="446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29"/>
      <c r="S24" s="446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29">
        <f t="shared" si="0"/>
        <v>0</v>
      </c>
    </row>
    <row r="25" spans="1:31" ht="12.5">
      <c r="A25" s="448"/>
      <c r="B25" s="445"/>
      <c r="C25" s="445"/>
      <c r="D25" s="437" t="s">
        <v>501</v>
      </c>
      <c r="E25" s="433">
        <v>511</v>
      </c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29"/>
      <c r="S25" s="447"/>
      <c r="T25" s="447"/>
      <c r="U25" s="447"/>
      <c r="V25" s="447"/>
      <c r="W25" s="447"/>
      <c r="X25" s="447"/>
      <c r="Y25" s="447"/>
      <c r="Z25" s="447"/>
      <c r="AA25" s="447"/>
      <c r="AB25" s="447"/>
      <c r="AC25" s="447"/>
      <c r="AD25" s="447"/>
      <c r="AE25" s="429">
        <f t="shared" si="0"/>
        <v>0</v>
      </c>
    </row>
    <row r="26" spans="1:31" ht="12.5">
      <c r="A26" s="448"/>
      <c r="B26" s="445"/>
      <c r="C26" s="445"/>
      <c r="D26" s="437" t="s">
        <v>516</v>
      </c>
      <c r="E26" s="438">
        <v>511</v>
      </c>
      <c r="F26" s="447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29"/>
      <c r="S26" s="447"/>
      <c r="T26" s="447"/>
      <c r="U26" s="447"/>
      <c r="V26" s="447"/>
      <c r="W26" s="447"/>
      <c r="X26" s="447"/>
      <c r="Y26" s="447"/>
      <c r="Z26" s="447"/>
      <c r="AA26" s="447"/>
      <c r="AB26" s="447"/>
      <c r="AC26" s="447"/>
      <c r="AD26" s="447"/>
      <c r="AE26" s="429">
        <f t="shared" si="0"/>
        <v>0</v>
      </c>
    </row>
    <row r="27" spans="1:31" ht="12.5">
      <c r="A27" s="448"/>
      <c r="B27" s="445"/>
      <c r="C27" s="445"/>
      <c r="D27" s="437" t="s">
        <v>512</v>
      </c>
      <c r="E27" s="438">
        <v>511</v>
      </c>
      <c r="F27" s="447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29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  <c r="AC27" s="447"/>
      <c r="AD27" s="447"/>
      <c r="AE27" s="429">
        <f t="shared" si="0"/>
        <v>0</v>
      </c>
    </row>
    <row r="28" spans="1:31" ht="12.5">
      <c r="A28" s="448"/>
      <c r="B28" s="445"/>
      <c r="C28" s="445"/>
      <c r="D28" s="437" t="s">
        <v>506</v>
      </c>
      <c r="E28" s="438">
        <v>711</v>
      </c>
      <c r="F28" s="447"/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29"/>
      <c r="S28" s="447"/>
      <c r="T28" s="447"/>
      <c r="U28" s="447"/>
      <c r="V28" s="447"/>
      <c r="W28" s="447"/>
      <c r="X28" s="447"/>
      <c r="Y28" s="447"/>
      <c r="Z28" s="447"/>
      <c r="AA28" s="447"/>
      <c r="AB28" s="447"/>
      <c r="AC28" s="447"/>
      <c r="AD28" s="447"/>
      <c r="AE28" s="429">
        <f t="shared" si="0"/>
        <v>0</v>
      </c>
    </row>
    <row r="29" spans="1:31" ht="12.5">
      <c r="A29" s="545">
        <v>4</v>
      </c>
      <c r="B29" s="546" t="s">
        <v>517</v>
      </c>
      <c r="C29" s="546" t="s">
        <v>518</v>
      </c>
      <c r="D29" s="547" t="s">
        <v>500</v>
      </c>
      <c r="E29" s="548">
        <v>511</v>
      </c>
      <c r="F29" s="549"/>
      <c r="G29" s="549"/>
      <c r="H29" s="549"/>
      <c r="I29" s="549"/>
      <c r="J29" s="549"/>
      <c r="K29" s="549"/>
      <c r="L29" s="549"/>
      <c r="M29" s="549"/>
      <c r="N29" s="549"/>
      <c r="O29" s="549"/>
      <c r="P29" s="549"/>
      <c r="Q29" s="549"/>
      <c r="R29" s="550"/>
      <c r="S29" s="549"/>
      <c r="T29" s="549"/>
      <c r="U29" s="549"/>
      <c r="V29" s="549"/>
      <c r="W29" s="549"/>
      <c r="X29" s="549"/>
      <c r="Y29" s="549"/>
      <c r="Z29" s="549"/>
      <c r="AA29" s="549"/>
      <c r="AB29" s="549"/>
      <c r="AC29" s="549"/>
      <c r="AD29" s="549"/>
      <c r="AE29" s="550">
        <f t="shared" si="0"/>
        <v>0</v>
      </c>
    </row>
    <row r="30" spans="1:31" ht="12.5">
      <c r="A30" s="448"/>
      <c r="B30" s="445"/>
      <c r="C30" s="445"/>
      <c r="D30" s="437" t="s">
        <v>510</v>
      </c>
      <c r="E30" s="438">
        <v>511</v>
      </c>
      <c r="F30" s="447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29"/>
      <c r="S30" s="447"/>
      <c r="T30" s="447"/>
      <c r="U30" s="447"/>
      <c r="V30" s="447"/>
      <c r="W30" s="447"/>
      <c r="X30" s="447"/>
      <c r="Y30" s="447"/>
      <c r="Z30" s="447"/>
      <c r="AA30" s="447"/>
      <c r="AB30" s="447"/>
      <c r="AC30" s="447"/>
      <c r="AD30" s="447"/>
      <c r="AE30" s="429">
        <f t="shared" si="0"/>
        <v>0</v>
      </c>
    </row>
    <row r="31" spans="1:31" ht="12.5">
      <c r="A31" s="448"/>
      <c r="B31" s="445"/>
      <c r="C31" s="445"/>
      <c r="D31" s="437" t="s">
        <v>501</v>
      </c>
      <c r="E31" s="438">
        <v>511</v>
      </c>
      <c r="F31" s="447"/>
      <c r="G31" s="447"/>
      <c r="H31" s="447"/>
      <c r="I31" s="447"/>
      <c r="J31" s="447"/>
      <c r="K31" s="447"/>
      <c r="L31" s="447"/>
      <c r="M31" s="447"/>
      <c r="N31" s="447"/>
      <c r="O31" s="447"/>
      <c r="P31" s="447"/>
      <c r="Q31" s="447"/>
      <c r="R31" s="429"/>
      <c r="S31" s="447"/>
      <c r="T31" s="447"/>
      <c r="U31" s="447"/>
      <c r="V31" s="447"/>
      <c r="W31" s="447"/>
      <c r="X31" s="447"/>
      <c r="Y31" s="447"/>
      <c r="Z31" s="447"/>
      <c r="AA31" s="447"/>
      <c r="AB31" s="447"/>
      <c r="AC31" s="447"/>
      <c r="AD31" s="447"/>
      <c r="AE31" s="429">
        <f t="shared" si="0"/>
        <v>0</v>
      </c>
    </row>
    <row r="32" spans="1:31" ht="12.5">
      <c r="A32" s="448"/>
      <c r="B32" s="445"/>
      <c r="C32" s="445"/>
      <c r="D32" s="437" t="s">
        <v>511</v>
      </c>
      <c r="E32" s="438">
        <v>511</v>
      </c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29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29">
        <f t="shared" si="0"/>
        <v>0</v>
      </c>
    </row>
    <row r="33" spans="1:32" ht="12.5">
      <c r="A33" s="448"/>
      <c r="B33" s="445"/>
      <c r="C33" s="445"/>
      <c r="D33" s="437" t="s">
        <v>513</v>
      </c>
      <c r="E33" s="438">
        <v>511</v>
      </c>
      <c r="F33" s="447"/>
      <c r="G33" s="447"/>
      <c r="H33" s="447"/>
      <c r="I33" s="447"/>
      <c r="J33" s="447"/>
      <c r="K33" s="447"/>
      <c r="L33" s="447"/>
      <c r="M33" s="447"/>
      <c r="N33" s="447"/>
      <c r="O33" s="447"/>
      <c r="P33" s="447"/>
      <c r="Q33" s="447"/>
      <c r="R33" s="429"/>
      <c r="S33" s="447"/>
      <c r="T33" s="447"/>
      <c r="U33" s="447"/>
      <c r="V33" s="447"/>
      <c r="W33" s="447"/>
      <c r="X33" s="447"/>
      <c r="Y33" s="447"/>
      <c r="Z33" s="447"/>
      <c r="AA33" s="447"/>
      <c r="AB33" s="447"/>
      <c r="AC33" s="447"/>
      <c r="AD33" s="447"/>
      <c r="AE33" s="429">
        <f t="shared" si="0"/>
        <v>0</v>
      </c>
    </row>
    <row r="34" spans="1:32" ht="12.5">
      <c r="A34" s="448"/>
      <c r="B34" s="445"/>
      <c r="C34" s="445"/>
      <c r="D34" s="437" t="s">
        <v>502</v>
      </c>
      <c r="E34" s="438">
        <v>711</v>
      </c>
      <c r="F34" s="446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29"/>
      <c r="S34" s="446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29">
        <f t="shared" si="0"/>
        <v>0</v>
      </c>
    </row>
    <row r="35" spans="1:32" ht="12.5">
      <c r="A35" s="450"/>
      <c r="B35" s="445"/>
      <c r="C35" s="445"/>
      <c r="D35" s="437" t="s">
        <v>506</v>
      </c>
      <c r="E35" s="455">
        <v>7118</v>
      </c>
      <c r="F35" s="447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29"/>
      <c r="S35" s="447"/>
      <c r="T35" s="447"/>
      <c r="U35" s="447"/>
      <c r="V35" s="447"/>
      <c r="W35" s="447"/>
      <c r="X35" s="447"/>
      <c r="Y35" s="447"/>
      <c r="Z35" s="447"/>
      <c r="AA35" s="447"/>
      <c r="AB35" s="447"/>
      <c r="AC35" s="447"/>
      <c r="AD35" s="447"/>
      <c r="AE35" s="429">
        <f t="shared" si="0"/>
        <v>0</v>
      </c>
    </row>
    <row r="36" spans="1:32" ht="12.5">
      <c r="A36" s="545">
        <v>5</v>
      </c>
      <c r="B36" s="546" t="s">
        <v>519</v>
      </c>
      <c r="C36" s="546" t="s">
        <v>520</v>
      </c>
      <c r="D36" s="547" t="s">
        <v>500</v>
      </c>
      <c r="E36" s="548">
        <v>511</v>
      </c>
      <c r="F36" s="551"/>
      <c r="G36" s="549"/>
      <c r="H36" s="549"/>
      <c r="I36" s="549"/>
      <c r="J36" s="549"/>
      <c r="K36" s="549"/>
      <c r="L36" s="549"/>
      <c r="M36" s="549"/>
      <c r="N36" s="549"/>
      <c r="O36" s="549"/>
      <c r="P36" s="549"/>
      <c r="Q36" s="549"/>
      <c r="R36" s="550"/>
      <c r="S36" s="551"/>
      <c r="T36" s="549"/>
      <c r="U36" s="549"/>
      <c r="V36" s="549"/>
      <c r="W36" s="549"/>
      <c r="X36" s="549"/>
      <c r="Y36" s="549"/>
      <c r="Z36" s="549"/>
      <c r="AA36" s="549"/>
      <c r="AB36" s="549"/>
      <c r="AC36" s="549"/>
      <c r="AD36" s="549"/>
      <c r="AE36" s="550">
        <f t="shared" si="0"/>
        <v>0</v>
      </c>
    </row>
    <row r="37" spans="1:32" ht="12.5">
      <c r="A37" s="450"/>
      <c r="B37" s="445"/>
      <c r="C37" s="445"/>
      <c r="D37" s="437" t="s">
        <v>510</v>
      </c>
      <c r="E37" s="438">
        <v>511</v>
      </c>
      <c r="F37" s="446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29"/>
      <c r="S37" s="446"/>
      <c r="T37" s="447"/>
      <c r="U37" s="447"/>
      <c r="V37" s="447"/>
      <c r="W37" s="447"/>
      <c r="X37" s="447"/>
      <c r="Y37" s="447"/>
      <c r="Z37" s="447"/>
      <c r="AA37" s="447"/>
      <c r="AB37" s="447"/>
      <c r="AC37" s="447"/>
      <c r="AD37" s="447"/>
      <c r="AE37" s="429">
        <f t="shared" si="0"/>
        <v>0</v>
      </c>
    </row>
    <row r="38" spans="1:32" ht="12.5">
      <c r="A38" s="450"/>
      <c r="B38" s="445"/>
      <c r="C38" s="445"/>
      <c r="D38" s="437" t="s">
        <v>502</v>
      </c>
      <c r="E38" s="438">
        <v>711</v>
      </c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29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29">
        <f t="shared" si="0"/>
        <v>0</v>
      </c>
    </row>
    <row r="39" spans="1:32" ht="12.5">
      <c r="A39" s="450"/>
      <c r="B39" s="445"/>
      <c r="C39" s="445"/>
      <c r="D39" s="437" t="s">
        <v>501</v>
      </c>
      <c r="E39" s="438">
        <v>511</v>
      </c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29"/>
      <c r="S39" s="447"/>
      <c r="T39" s="447"/>
      <c r="U39" s="447"/>
      <c r="V39" s="447"/>
      <c r="W39" s="447"/>
      <c r="X39" s="447"/>
      <c r="Y39" s="447"/>
      <c r="Z39" s="447"/>
      <c r="AA39" s="447"/>
      <c r="AB39" s="447"/>
      <c r="AC39" s="447"/>
      <c r="AD39" s="447"/>
      <c r="AE39" s="429">
        <f t="shared" si="0"/>
        <v>0</v>
      </c>
    </row>
    <row r="40" spans="1:32" ht="12.5">
      <c r="A40" s="450"/>
      <c r="B40" s="445"/>
      <c r="C40" s="445"/>
      <c r="D40" s="437" t="s">
        <v>513</v>
      </c>
      <c r="E40" s="438">
        <v>511</v>
      </c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29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29">
        <f t="shared" si="0"/>
        <v>0</v>
      </c>
    </row>
    <row r="41" spans="1:32" ht="12.5">
      <c r="A41" s="450"/>
      <c r="B41" s="445"/>
      <c r="C41" s="445"/>
      <c r="D41" s="437" t="s">
        <v>511</v>
      </c>
      <c r="E41" s="438">
        <v>511</v>
      </c>
      <c r="F41" s="447"/>
      <c r="G41" s="447"/>
      <c r="H41" s="447"/>
      <c r="I41" s="447"/>
      <c r="J41" s="447"/>
      <c r="K41" s="447"/>
      <c r="L41" s="447"/>
      <c r="M41" s="447"/>
      <c r="N41" s="447"/>
      <c r="O41" s="447"/>
      <c r="P41" s="447"/>
      <c r="Q41" s="447"/>
      <c r="R41" s="429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29">
        <f t="shared" si="0"/>
        <v>0</v>
      </c>
    </row>
    <row r="42" spans="1:32" ht="12.5">
      <c r="A42" s="450"/>
      <c r="B42" s="445"/>
      <c r="C42" s="445"/>
      <c r="D42" s="437" t="s">
        <v>521</v>
      </c>
      <c r="E42" s="438">
        <v>711</v>
      </c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29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29">
        <f t="shared" si="0"/>
        <v>0</v>
      </c>
    </row>
    <row r="43" spans="1:32" ht="12.5">
      <c r="A43" s="450"/>
      <c r="B43" s="445"/>
      <c r="C43" s="445"/>
      <c r="D43" s="437" t="s">
        <v>506</v>
      </c>
      <c r="E43" s="438" t="s">
        <v>507</v>
      </c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29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29">
        <f t="shared" si="0"/>
        <v>0</v>
      </c>
    </row>
    <row r="44" spans="1:32" ht="12.5">
      <c r="A44" s="545">
        <v>6</v>
      </c>
      <c r="B44" s="546" t="s">
        <v>522</v>
      </c>
      <c r="C44" s="546" t="s">
        <v>523</v>
      </c>
      <c r="D44" s="547" t="s">
        <v>500</v>
      </c>
      <c r="E44" s="548">
        <v>511</v>
      </c>
      <c r="F44" s="549"/>
      <c r="G44" s="549"/>
      <c r="H44" s="549"/>
      <c r="I44" s="549"/>
      <c r="J44" s="549"/>
      <c r="K44" s="549"/>
      <c r="L44" s="549"/>
      <c r="M44" s="549"/>
      <c r="N44" s="549"/>
      <c r="O44" s="549"/>
      <c r="P44" s="549"/>
      <c r="Q44" s="549"/>
      <c r="R44" s="550"/>
      <c r="S44" s="549"/>
      <c r="T44" s="549"/>
      <c r="U44" s="549"/>
      <c r="V44" s="549"/>
      <c r="W44" s="549"/>
      <c r="X44" s="549"/>
      <c r="Y44" s="549"/>
      <c r="Z44" s="549"/>
      <c r="AA44" s="549"/>
      <c r="AB44" s="549"/>
      <c r="AC44" s="549"/>
      <c r="AD44" s="549"/>
      <c r="AE44" s="550">
        <f t="shared" si="0"/>
        <v>0</v>
      </c>
      <c r="AF44" s="456"/>
    </row>
    <row r="45" spans="1:32" ht="12.5">
      <c r="A45" s="423"/>
      <c r="B45" s="457"/>
      <c r="C45" s="457"/>
      <c r="D45" s="437" t="s">
        <v>510</v>
      </c>
      <c r="E45" s="433">
        <v>511</v>
      </c>
      <c r="F45" s="447"/>
      <c r="G45" s="447"/>
      <c r="H45" s="447"/>
      <c r="I45" s="447"/>
      <c r="J45" s="447"/>
      <c r="K45" s="447"/>
      <c r="L45" s="447"/>
      <c r="M45" s="447"/>
      <c r="N45" s="447"/>
      <c r="O45" s="447"/>
      <c r="P45" s="447"/>
      <c r="Q45" s="447"/>
      <c r="R45" s="429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447"/>
      <c r="AD45" s="447"/>
      <c r="AE45" s="429">
        <f t="shared" si="0"/>
        <v>0</v>
      </c>
    </row>
    <row r="46" spans="1:32" ht="12.5">
      <c r="A46" s="423"/>
      <c r="B46" s="457"/>
      <c r="C46" s="457"/>
      <c r="D46" s="437" t="s">
        <v>501</v>
      </c>
      <c r="E46" s="433">
        <v>511</v>
      </c>
      <c r="F46" s="446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29"/>
      <c r="S46" s="446"/>
      <c r="T46" s="447"/>
      <c r="U46" s="447"/>
      <c r="V46" s="447"/>
      <c r="W46" s="447"/>
      <c r="X46" s="447"/>
      <c r="Y46" s="447"/>
      <c r="Z46" s="447"/>
      <c r="AA46" s="447"/>
      <c r="AB46" s="447"/>
      <c r="AC46" s="447"/>
      <c r="AD46" s="447"/>
      <c r="AE46" s="429">
        <f t="shared" si="0"/>
        <v>0</v>
      </c>
    </row>
    <row r="47" spans="1:32" ht="12.5">
      <c r="A47" s="423"/>
      <c r="B47" s="457"/>
      <c r="C47" s="457"/>
      <c r="D47" s="437" t="s">
        <v>524</v>
      </c>
      <c r="E47" s="433">
        <v>511</v>
      </c>
      <c r="F47" s="447"/>
      <c r="G47" s="447"/>
      <c r="H47" s="447"/>
      <c r="I47" s="447"/>
      <c r="J47" s="447"/>
      <c r="K47" s="447"/>
      <c r="L47" s="447"/>
      <c r="M47" s="447"/>
      <c r="N47" s="447"/>
      <c r="O47" s="447"/>
      <c r="P47" s="447"/>
      <c r="Q47" s="447"/>
      <c r="R47" s="429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29">
        <f t="shared" si="0"/>
        <v>0</v>
      </c>
    </row>
    <row r="48" spans="1:32" ht="12.5">
      <c r="A48" s="423"/>
      <c r="B48" s="457"/>
      <c r="C48" s="457"/>
      <c r="D48" s="437" t="s">
        <v>511</v>
      </c>
      <c r="E48" s="438">
        <v>511</v>
      </c>
      <c r="F48" s="447"/>
      <c r="G48" s="447"/>
      <c r="H48" s="447"/>
      <c r="I48" s="447"/>
      <c r="J48" s="447"/>
      <c r="K48" s="447"/>
      <c r="L48" s="447"/>
      <c r="M48" s="447"/>
      <c r="N48" s="447"/>
      <c r="O48" s="447"/>
      <c r="P48" s="447"/>
      <c r="Q48" s="447"/>
      <c r="R48" s="429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29">
        <f t="shared" si="0"/>
        <v>0</v>
      </c>
    </row>
    <row r="49" spans="1:32" ht="12.5">
      <c r="A49" s="423"/>
      <c r="B49" s="457"/>
      <c r="C49" s="457"/>
      <c r="D49" s="437" t="s">
        <v>525</v>
      </c>
      <c r="E49" s="438">
        <v>511</v>
      </c>
      <c r="F49" s="447"/>
      <c r="G49" s="447"/>
      <c r="H49" s="447"/>
      <c r="I49" s="447"/>
      <c r="J49" s="447"/>
      <c r="K49" s="447"/>
      <c r="L49" s="447"/>
      <c r="M49" s="447"/>
      <c r="N49" s="447"/>
      <c r="O49" s="447"/>
      <c r="P49" s="447"/>
      <c r="Q49" s="447"/>
      <c r="R49" s="429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  <c r="AC49" s="447"/>
      <c r="AD49" s="447"/>
      <c r="AE49" s="429">
        <f t="shared" si="0"/>
        <v>0</v>
      </c>
    </row>
    <row r="50" spans="1:32" ht="12.5">
      <c r="A50" s="423"/>
      <c r="B50" s="457"/>
      <c r="C50" s="457"/>
      <c r="D50" s="437" t="s">
        <v>502</v>
      </c>
      <c r="E50" s="438">
        <v>711</v>
      </c>
      <c r="F50" s="447"/>
      <c r="G50" s="447"/>
      <c r="H50" s="447"/>
      <c r="I50" s="447"/>
      <c r="J50" s="447"/>
      <c r="K50" s="447"/>
      <c r="L50" s="447"/>
      <c r="M50" s="447"/>
      <c r="N50" s="447"/>
      <c r="O50" s="447"/>
      <c r="P50" s="447"/>
      <c r="Q50" s="447"/>
      <c r="R50" s="429"/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29">
        <f t="shared" si="0"/>
        <v>0</v>
      </c>
    </row>
    <row r="51" spans="1:32" ht="12.5">
      <c r="A51" s="458"/>
      <c r="B51" s="459"/>
      <c r="C51" s="459"/>
      <c r="D51" s="460" t="s">
        <v>506</v>
      </c>
      <c r="E51" s="442" t="s">
        <v>507</v>
      </c>
      <c r="F51" s="453"/>
      <c r="G51" s="453"/>
      <c r="H51" s="453"/>
      <c r="I51" s="453"/>
      <c r="J51" s="453"/>
      <c r="K51" s="453"/>
      <c r="L51" s="453"/>
      <c r="M51" s="453"/>
      <c r="N51" s="453"/>
      <c r="O51" s="453"/>
      <c r="P51" s="453"/>
      <c r="Q51" s="453"/>
      <c r="R51" s="454"/>
      <c r="S51" s="453"/>
      <c r="T51" s="453"/>
      <c r="U51" s="453"/>
      <c r="V51" s="453"/>
      <c r="W51" s="453"/>
      <c r="X51" s="453"/>
      <c r="Y51" s="453"/>
      <c r="Z51" s="453"/>
      <c r="AA51" s="453"/>
      <c r="AB51" s="453"/>
      <c r="AC51" s="453"/>
      <c r="AD51" s="453"/>
      <c r="AE51" s="454">
        <f t="shared" si="0"/>
        <v>0</v>
      </c>
    </row>
    <row r="52" spans="1:32" ht="12.5">
      <c r="A52" s="545">
        <v>7</v>
      </c>
      <c r="B52" s="546" t="s">
        <v>526</v>
      </c>
      <c r="C52" s="546" t="s">
        <v>527</v>
      </c>
      <c r="D52" s="547" t="s">
        <v>500</v>
      </c>
      <c r="E52" s="552">
        <v>511</v>
      </c>
      <c r="F52" s="549"/>
      <c r="G52" s="549"/>
      <c r="H52" s="549"/>
      <c r="I52" s="549"/>
      <c r="J52" s="549"/>
      <c r="K52" s="549"/>
      <c r="L52" s="549"/>
      <c r="M52" s="549"/>
      <c r="N52" s="549"/>
      <c r="O52" s="549"/>
      <c r="P52" s="549"/>
      <c r="Q52" s="549"/>
      <c r="R52" s="550"/>
      <c r="S52" s="549"/>
      <c r="T52" s="549"/>
      <c r="U52" s="549"/>
      <c r="V52" s="549"/>
      <c r="W52" s="549"/>
      <c r="X52" s="549"/>
      <c r="Y52" s="549"/>
      <c r="Z52" s="549"/>
      <c r="AA52" s="549"/>
      <c r="AB52" s="549"/>
      <c r="AC52" s="549"/>
      <c r="AD52" s="549"/>
      <c r="AE52" s="550">
        <f t="shared" si="0"/>
        <v>0</v>
      </c>
    </row>
    <row r="53" spans="1:32" ht="12.5">
      <c r="A53" s="423"/>
      <c r="B53" s="461"/>
      <c r="C53" s="461"/>
      <c r="D53" s="449" t="s">
        <v>510</v>
      </c>
      <c r="E53" s="462">
        <v>511</v>
      </c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9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9">
        <f t="shared" si="0"/>
        <v>0</v>
      </c>
    </row>
    <row r="54" spans="1:32" ht="12.5">
      <c r="A54" s="423"/>
      <c r="B54" s="461"/>
      <c r="C54" s="461"/>
      <c r="D54" s="449" t="s">
        <v>501</v>
      </c>
      <c r="E54" s="462">
        <v>511</v>
      </c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9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9">
        <f t="shared" si="0"/>
        <v>0</v>
      </c>
    </row>
    <row r="55" spans="1:32" ht="12.5">
      <c r="A55" s="423"/>
      <c r="B55" s="461"/>
      <c r="C55" s="461"/>
      <c r="D55" s="449" t="s">
        <v>524</v>
      </c>
      <c r="E55" s="462">
        <v>511</v>
      </c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9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9">
        <f t="shared" si="0"/>
        <v>0</v>
      </c>
    </row>
    <row r="56" spans="1:32" ht="12.5">
      <c r="A56" s="423"/>
      <c r="B56" s="461"/>
      <c r="C56" s="461"/>
      <c r="D56" s="449" t="s">
        <v>511</v>
      </c>
      <c r="E56" s="462">
        <v>511</v>
      </c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9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9">
        <f t="shared" si="0"/>
        <v>0</v>
      </c>
    </row>
    <row r="57" spans="1:32" ht="12.5">
      <c r="A57" s="423"/>
      <c r="B57" s="461"/>
      <c r="C57" s="461"/>
      <c r="D57" s="449" t="s">
        <v>525</v>
      </c>
      <c r="E57" s="462">
        <v>511</v>
      </c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9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9">
        <f t="shared" si="0"/>
        <v>0</v>
      </c>
    </row>
    <row r="58" spans="1:32" ht="12.5">
      <c r="A58" s="423"/>
      <c r="B58" s="461"/>
      <c r="C58" s="461"/>
      <c r="D58" s="449" t="s">
        <v>502</v>
      </c>
      <c r="E58" s="462">
        <v>711</v>
      </c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9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9">
        <f t="shared" si="0"/>
        <v>0</v>
      </c>
    </row>
    <row r="59" spans="1:32" ht="12.5">
      <c r="A59" s="423"/>
      <c r="B59" s="461"/>
      <c r="C59" s="461"/>
      <c r="D59" s="449" t="s">
        <v>506</v>
      </c>
      <c r="E59" s="462" t="s">
        <v>507</v>
      </c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9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9">
        <f t="shared" si="0"/>
        <v>0</v>
      </c>
    </row>
    <row r="60" spans="1:32" ht="12.5">
      <c r="A60" s="545">
        <v>8</v>
      </c>
      <c r="B60" s="546" t="s">
        <v>528</v>
      </c>
      <c r="C60" s="546" t="s">
        <v>529</v>
      </c>
      <c r="D60" s="547" t="s">
        <v>500</v>
      </c>
      <c r="E60" s="548">
        <v>511</v>
      </c>
      <c r="F60" s="549"/>
      <c r="G60" s="549"/>
      <c r="H60" s="549"/>
      <c r="I60" s="549"/>
      <c r="J60" s="549"/>
      <c r="K60" s="549"/>
      <c r="L60" s="549"/>
      <c r="M60" s="549"/>
      <c r="N60" s="549"/>
      <c r="O60" s="549"/>
      <c r="P60" s="549"/>
      <c r="Q60" s="549"/>
      <c r="R60" s="550"/>
      <c r="S60" s="549"/>
      <c r="T60" s="549"/>
      <c r="U60" s="549"/>
      <c r="V60" s="549"/>
      <c r="W60" s="549"/>
      <c r="X60" s="549"/>
      <c r="Y60" s="549"/>
      <c r="Z60" s="549"/>
      <c r="AA60" s="549"/>
      <c r="AB60" s="549"/>
      <c r="AC60" s="549"/>
      <c r="AD60" s="549"/>
      <c r="AE60" s="550">
        <f t="shared" si="0"/>
        <v>0</v>
      </c>
      <c r="AF60" s="456"/>
    </row>
    <row r="61" spans="1:32" ht="12.5">
      <c r="A61" s="423"/>
      <c r="B61" s="461"/>
      <c r="C61" s="461"/>
      <c r="D61" s="449" t="s">
        <v>530</v>
      </c>
      <c r="E61" s="433">
        <v>511</v>
      </c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29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29">
        <f t="shared" si="0"/>
        <v>0</v>
      </c>
    </row>
    <row r="62" spans="1:32" ht="12.5">
      <c r="A62" s="423"/>
      <c r="B62" s="461"/>
      <c r="C62" s="461"/>
      <c r="D62" s="437" t="s">
        <v>510</v>
      </c>
      <c r="E62" s="433">
        <v>511</v>
      </c>
      <c r="F62" s="446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29"/>
      <c r="S62" s="446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29">
        <f t="shared" si="0"/>
        <v>0</v>
      </c>
    </row>
    <row r="63" spans="1:32" ht="12.5">
      <c r="A63" s="423"/>
      <c r="B63" s="461"/>
      <c r="C63" s="461"/>
      <c r="D63" s="437" t="s">
        <v>501</v>
      </c>
      <c r="E63" s="433">
        <v>511</v>
      </c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29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29">
        <f t="shared" si="0"/>
        <v>0</v>
      </c>
    </row>
    <row r="64" spans="1:32" ht="12.5">
      <c r="A64" s="423"/>
      <c r="B64" s="461"/>
      <c r="C64" s="461"/>
      <c r="D64" s="437" t="s">
        <v>525</v>
      </c>
      <c r="E64" s="438">
        <v>511</v>
      </c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29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29">
        <f t="shared" si="0"/>
        <v>0</v>
      </c>
    </row>
    <row r="65" spans="1:31" ht="12.5">
      <c r="A65" s="423"/>
      <c r="B65" s="457"/>
      <c r="C65" s="457"/>
      <c r="D65" s="437" t="s">
        <v>502</v>
      </c>
      <c r="E65" s="438">
        <v>711</v>
      </c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29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29">
        <f t="shared" si="0"/>
        <v>0</v>
      </c>
    </row>
    <row r="66" spans="1:31" ht="12.5">
      <c r="A66" s="423"/>
      <c r="B66" s="457"/>
      <c r="C66" s="457"/>
      <c r="D66" s="437" t="s">
        <v>516</v>
      </c>
      <c r="E66" s="438">
        <v>511</v>
      </c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29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29">
        <f t="shared" si="0"/>
        <v>0</v>
      </c>
    </row>
    <row r="67" spans="1:31" ht="12.5">
      <c r="A67" s="423"/>
      <c r="B67" s="457"/>
      <c r="C67" s="461"/>
      <c r="D67" s="449" t="s">
        <v>506</v>
      </c>
      <c r="E67" s="438">
        <v>711</v>
      </c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29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29">
        <f t="shared" si="0"/>
        <v>0</v>
      </c>
    </row>
    <row r="68" spans="1:31" ht="12.5">
      <c r="A68" s="545">
        <v>9</v>
      </c>
      <c r="B68" s="546" t="s">
        <v>531</v>
      </c>
      <c r="C68" s="546" t="s">
        <v>532</v>
      </c>
      <c r="D68" s="547" t="s">
        <v>500</v>
      </c>
      <c r="E68" s="548">
        <v>511</v>
      </c>
      <c r="F68" s="549"/>
      <c r="G68" s="549"/>
      <c r="H68" s="549"/>
      <c r="I68" s="549"/>
      <c r="J68" s="549"/>
      <c r="K68" s="549"/>
      <c r="L68" s="549"/>
      <c r="M68" s="549"/>
      <c r="N68" s="549"/>
      <c r="O68" s="549"/>
      <c r="P68" s="549"/>
      <c r="Q68" s="549"/>
      <c r="R68" s="550"/>
      <c r="S68" s="549"/>
      <c r="T68" s="549"/>
      <c r="U68" s="549"/>
      <c r="V68" s="549"/>
      <c r="W68" s="549"/>
      <c r="X68" s="549"/>
      <c r="Y68" s="549"/>
      <c r="Z68" s="549"/>
      <c r="AA68" s="549"/>
      <c r="AB68" s="549"/>
      <c r="AC68" s="549"/>
      <c r="AD68" s="549"/>
      <c r="AE68" s="550">
        <f t="shared" si="0"/>
        <v>0</v>
      </c>
    </row>
    <row r="69" spans="1:31" ht="12.5">
      <c r="A69" s="423"/>
      <c r="B69" s="457"/>
      <c r="C69" s="457"/>
      <c r="D69" s="437" t="s">
        <v>510</v>
      </c>
      <c r="E69" s="433">
        <v>511</v>
      </c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29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29">
        <f t="shared" si="0"/>
        <v>0</v>
      </c>
    </row>
    <row r="70" spans="1:31" ht="12.5">
      <c r="A70" s="423"/>
      <c r="B70" s="457"/>
      <c r="C70" s="457"/>
      <c r="D70" s="437" t="s">
        <v>501</v>
      </c>
      <c r="E70" s="433">
        <v>511</v>
      </c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29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29">
        <f t="shared" si="0"/>
        <v>0</v>
      </c>
    </row>
    <row r="71" spans="1:31" ht="12.5">
      <c r="A71" s="423"/>
      <c r="B71" s="457"/>
      <c r="C71" s="457"/>
      <c r="D71" s="437" t="s">
        <v>525</v>
      </c>
      <c r="E71" s="438">
        <v>511</v>
      </c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29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29">
        <f t="shared" si="0"/>
        <v>0</v>
      </c>
    </row>
    <row r="72" spans="1:31" ht="12.5">
      <c r="A72" s="423"/>
      <c r="B72" s="457"/>
      <c r="C72" s="457"/>
      <c r="D72" s="437" t="s">
        <v>506</v>
      </c>
      <c r="E72" s="438">
        <v>711</v>
      </c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29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29">
        <f t="shared" si="0"/>
        <v>0</v>
      </c>
    </row>
    <row r="73" spans="1:31" ht="12.5">
      <c r="A73" s="545">
        <v>10</v>
      </c>
      <c r="B73" s="463" t="s">
        <v>533</v>
      </c>
      <c r="C73" s="546" t="s">
        <v>534</v>
      </c>
      <c r="D73" s="547" t="s">
        <v>500</v>
      </c>
      <c r="E73" s="548">
        <v>511</v>
      </c>
      <c r="F73" s="551"/>
      <c r="G73" s="549"/>
      <c r="H73" s="549"/>
      <c r="I73" s="549"/>
      <c r="J73" s="549"/>
      <c r="K73" s="549"/>
      <c r="L73" s="549"/>
      <c r="M73" s="549"/>
      <c r="N73" s="549"/>
      <c r="O73" s="549"/>
      <c r="P73" s="549"/>
      <c r="Q73" s="549"/>
      <c r="R73" s="550"/>
      <c r="S73" s="551"/>
      <c r="T73" s="549"/>
      <c r="U73" s="549"/>
      <c r="V73" s="549"/>
      <c r="W73" s="549"/>
      <c r="X73" s="549"/>
      <c r="Y73" s="549"/>
      <c r="Z73" s="549"/>
      <c r="AA73" s="549"/>
      <c r="AB73" s="549"/>
      <c r="AC73" s="549"/>
      <c r="AD73" s="549"/>
      <c r="AE73" s="550">
        <f t="shared" si="0"/>
        <v>0</v>
      </c>
    </row>
    <row r="74" spans="1:31" ht="12.5">
      <c r="A74" s="423"/>
      <c r="B74" s="457"/>
      <c r="C74" s="461"/>
      <c r="D74" s="449" t="s">
        <v>510</v>
      </c>
      <c r="E74" s="438">
        <v>511</v>
      </c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64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64">
        <f t="shared" si="0"/>
        <v>0</v>
      </c>
    </row>
    <row r="75" spans="1:31" ht="12.5">
      <c r="A75" s="448"/>
      <c r="B75" s="459"/>
      <c r="C75" s="459"/>
      <c r="D75" s="437" t="s">
        <v>501</v>
      </c>
      <c r="E75" s="438">
        <v>511</v>
      </c>
      <c r="F75" s="453"/>
      <c r="G75" s="453"/>
      <c r="H75" s="453"/>
      <c r="I75" s="453"/>
      <c r="J75" s="453"/>
      <c r="K75" s="453"/>
      <c r="L75" s="453"/>
      <c r="M75" s="453"/>
      <c r="N75" s="453"/>
      <c r="O75" s="453"/>
      <c r="P75" s="453"/>
      <c r="Q75" s="453"/>
      <c r="R75" s="464"/>
      <c r="S75" s="453"/>
      <c r="T75" s="453"/>
      <c r="U75" s="453"/>
      <c r="V75" s="453"/>
      <c r="W75" s="453"/>
      <c r="X75" s="453"/>
      <c r="Y75" s="453"/>
      <c r="Z75" s="453"/>
      <c r="AA75" s="453"/>
      <c r="AB75" s="453"/>
      <c r="AC75" s="453"/>
      <c r="AD75" s="453"/>
      <c r="AE75" s="464">
        <f t="shared" si="0"/>
        <v>0</v>
      </c>
    </row>
    <row r="76" spans="1:31" ht="12.5">
      <c r="A76" s="448"/>
      <c r="B76" s="459"/>
      <c r="C76" s="459"/>
      <c r="D76" s="437" t="s">
        <v>525</v>
      </c>
      <c r="E76" s="438">
        <v>511</v>
      </c>
      <c r="F76" s="453"/>
      <c r="G76" s="453"/>
      <c r="H76" s="453"/>
      <c r="I76" s="453"/>
      <c r="J76" s="453"/>
      <c r="K76" s="453"/>
      <c r="L76" s="453"/>
      <c r="M76" s="453"/>
      <c r="N76" s="453"/>
      <c r="O76" s="453"/>
      <c r="P76" s="453"/>
      <c r="Q76" s="453"/>
      <c r="R76" s="464"/>
      <c r="S76" s="453"/>
      <c r="T76" s="453"/>
      <c r="U76" s="453"/>
      <c r="V76" s="453"/>
      <c r="W76" s="453"/>
      <c r="X76" s="453"/>
      <c r="Y76" s="453"/>
      <c r="Z76" s="453"/>
      <c r="AA76" s="453"/>
      <c r="AB76" s="453"/>
      <c r="AC76" s="453"/>
      <c r="AD76" s="453"/>
      <c r="AE76" s="464">
        <f t="shared" si="0"/>
        <v>0</v>
      </c>
    </row>
    <row r="77" spans="1:31" ht="12.5">
      <c r="A77" s="439"/>
      <c r="B77" s="459"/>
      <c r="C77" s="459"/>
      <c r="D77" s="460" t="s">
        <v>506</v>
      </c>
      <c r="E77" s="465">
        <v>711</v>
      </c>
      <c r="F77" s="453"/>
      <c r="G77" s="453"/>
      <c r="H77" s="453"/>
      <c r="I77" s="453"/>
      <c r="J77" s="453"/>
      <c r="K77" s="453"/>
      <c r="L77" s="453"/>
      <c r="M77" s="453"/>
      <c r="N77" s="453"/>
      <c r="O77" s="453"/>
      <c r="P77" s="453"/>
      <c r="Q77" s="453"/>
      <c r="R77" s="444"/>
      <c r="S77" s="453"/>
      <c r="T77" s="453"/>
      <c r="U77" s="453"/>
      <c r="V77" s="453"/>
      <c r="W77" s="453"/>
      <c r="X77" s="453"/>
      <c r="Y77" s="453"/>
      <c r="Z77" s="453"/>
      <c r="AA77" s="453"/>
      <c r="AB77" s="453"/>
      <c r="AC77" s="453"/>
      <c r="AD77" s="453"/>
      <c r="AE77" s="444">
        <f t="shared" si="0"/>
        <v>0</v>
      </c>
    </row>
    <row r="78" spans="1:31" ht="12.5">
      <c r="A78" s="545">
        <v>11</v>
      </c>
      <c r="B78" s="546" t="s">
        <v>535</v>
      </c>
      <c r="C78" s="463" t="s">
        <v>536</v>
      </c>
      <c r="D78" s="466" t="s">
        <v>501</v>
      </c>
      <c r="E78" s="467">
        <v>511</v>
      </c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50"/>
      <c r="S78" s="549"/>
      <c r="T78" s="549"/>
      <c r="U78" s="549"/>
      <c r="V78" s="549"/>
      <c r="W78" s="549"/>
      <c r="X78" s="549"/>
      <c r="Y78" s="549"/>
      <c r="Z78" s="549"/>
      <c r="AA78" s="549"/>
      <c r="AB78" s="549"/>
      <c r="AC78" s="549"/>
      <c r="AD78" s="549"/>
      <c r="AE78" s="550">
        <f t="shared" si="0"/>
        <v>0</v>
      </c>
    </row>
    <row r="79" spans="1:31" ht="12.5">
      <c r="A79" s="448"/>
      <c r="B79" s="459"/>
      <c r="C79" s="459"/>
      <c r="D79" s="460" t="s">
        <v>500</v>
      </c>
      <c r="E79" s="465">
        <v>511</v>
      </c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29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29">
        <f t="shared" si="0"/>
        <v>0</v>
      </c>
    </row>
    <row r="80" spans="1:31" ht="12.5">
      <c r="A80" s="448"/>
      <c r="B80" s="459"/>
      <c r="C80" s="459"/>
      <c r="D80" s="460" t="s">
        <v>510</v>
      </c>
      <c r="E80" s="465">
        <v>511</v>
      </c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29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29">
        <f t="shared" si="0"/>
        <v>0</v>
      </c>
    </row>
    <row r="81" spans="1:32" ht="12.5">
      <c r="A81" s="448"/>
      <c r="B81" s="459"/>
      <c r="C81" s="459"/>
      <c r="D81" s="460" t="s">
        <v>502</v>
      </c>
      <c r="E81" s="465">
        <v>711</v>
      </c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29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29">
        <f t="shared" ref="AE81:AE126" si="1">SUM(S81:AD81)</f>
        <v>0</v>
      </c>
    </row>
    <row r="82" spans="1:32" ht="12.5">
      <c r="A82" s="448"/>
      <c r="B82" s="459"/>
      <c r="C82" s="457"/>
      <c r="D82" s="437" t="s">
        <v>503</v>
      </c>
      <c r="E82" s="438">
        <v>515</v>
      </c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29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29">
        <f t="shared" si="1"/>
        <v>0</v>
      </c>
    </row>
    <row r="83" spans="1:32" ht="12.5">
      <c r="A83" s="439"/>
      <c r="B83" s="459"/>
      <c r="C83" s="528"/>
      <c r="D83" s="452" t="s">
        <v>506</v>
      </c>
      <c r="E83" s="468">
        <v>7118</v>
      </c>
      <c r="F83" s="453"/>
      <c r="G83" s="453"/>
      <c r="H83" s="453"/>
      <c r="I83" s="453"/>
      <c r="J83" s="453"/>
      <c r="K83" s="453"/>
      <c r="L83" s="453"/>
      <c r="M83" s="453"/>
      <c r="N83" s="453"/>
      <c r="O83" s="453"/>
      <c r="P83" s="453"/>
      <c r="Q83" s="453"/>
      <c r="R83" s="454"/>
      <c r="S83" s="453"/>
      <c r="T83" s="453"/>
      <c r="U83" s="453"/>
      <c r="V83" s="453"/>
      <c r="W83" s="453"/>
      <c r="X83" s="453"/>
      <c r="Y83" s="453"/>
      <c r="Z83" s="453"/>
      <c r="AA83" s="453"/>
      <c r="AB83" s="453"/>
      <c r="AC83" s="453"/>
      <c r="AD83" s="453"/>
      <c r="AE83" s="454">
        <f t="shared" si="1"/>
        <v>0</v>
      </c>
    </row>
    <row r="84" spans="1:32" ht="12.5">
      <c r="A84" s="545">
        <v>12</v>
      </c>
      <c r="B84" s="546" t="s">
        <v>537</v>
      </c>
      <c r="C84" s="546" t="s">
        <v>538</v>
      </c>
      <c r="D84" s="547" t="s">
        <v>500</v>
      </c>
      <c r="E84" s="548">
        <v>511521</v>
      </c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50"/>
      <c r="S84" s="549"/>
      <c r="T84" s="549"/>
      <c r="U84" s="549"/>
      <c r="V84" s="549"/>
      <c r="W84" s="549"/>
      <c r="X84" s="549"/>
      <c r="Y84" s="549"/>
      <c r="Z84" s="549"/>
      <c r="AA84" s="549"/>
      <c r="AB84" s="549"/>
      <c r="AC84" s="549"/>
      <c r="AD84" s="549"/>
      <c r="AE84" s="550">
        <f t="shared" si="1"/>
        <v>0</v>
      </c>
    </row>
    <row r="85" spans="1:32" ht="12.5">
      <c r="A85" s="448"/>
      <c r="B85" s="457"/>
      <c r="C85" s="457"/>
      <c r="D85" s="437" t="s">
        <v>510</v>
      </c>
      <c r="E85" s="433">
        <v>511</v>
      </c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29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29">
        <f t="shared" si="1"/>
        <v>0</v>
      </c>
    </row>
    <row r="86" spans="1:32" ht="12.5">
      <c r="A86" s="448"/>
      <c r="B86" s="457"/>
      <c r="C86" s="457"/>
      <c r="D86" s="437" t="s">
        <v>501</v>
      </c>
      <c r="E86" s="433">
        <v>511</v>
      </c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29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29">
        <f t="shared" si="1"/>
        <v>0</v>
      </c>
    </row>
    <row r="87" spans="1:32" ht="12.5">
      <c r="A87" s="448"/>
      <c r="B87" s="457"/>
      <c r="C87" s="457"/>
      <c r="D87" s="437" t="s">
        <v>525</v>
      </c>
      <c r="E87" s="438">
        <v>511</v>
      </c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29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29">
        <f t="shared" si="1"/>
        <v>0</v>
      </c>
    </row>
    <row r="88" spans="1:32" ht="12.5">
      <c r="A88" s="448"/>
      <c r="B88" s="457"/>
      <c r="C88" s="457"/>
      <c r="D88" s="437" t="s">
        <v>502</v>
      </c>
      <c r="E88" s="438">
        <v>711</v>
      </c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29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29">
        <f t="shared" si="1"/>
        <v>0</v>
      </c>
    </row>
    <row r="89" spans="1:32" ht="12.5">
      <c r="A89" s="448"/>
      <c r="B89" s="457"/>
      <c r="C89" s="457"/>
      <c r="D89" s="437" t="s">
        <v>503</v>
      </c>
      <c r="E89" s="438">
        <v>515</v>
      </c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29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29">
        <f t="shared" si="1"/>
        <v>0</v>
      </c>
    </row>
    <row r="90" spans="1:32" ht="12.5">
      <c r="A90" s="450"/>
      <c r="B90" s="459"/>
      <c r="C90" s="459"/>
      <c r="D90" s="460" t="s">
        <v>506</v>
      </c>
      <c r="E90" s="468">
        <v>7118</v>
      </c>
      <c r="F90" s="453"/>
      <c r="G90" s="453"/>
      <c r="H90" s="453"/>
      <c r="I90" s="453"/>
      <c r="J90" s="453"/>
      <c r="K90" s="453"/>
      <c r="L90" s="453"/>
      <c r="M90" s="453"/>
      <c r="N90" s="453"/>
      <c r="O90" s="453"/>
      <c r="P90" s="453"/>
      <c r="Q90" s="453"/>
      <c r="R90" s="454"/>
      <c r="S90" s="453"/>
      <c r="T90" s="453"/>
      <c r="U90" s="453"/>
      <c r="V90" s="453"/>
      <c r="W90" s="453"/>
      <c r="X90" s="453"/>
      <c r="Y90" s="453"/>
      <c r="Z90" s="453"/>
      <c r="AA90" s="453"/>
      <c r="AB90" s="453"/>
      <c r="AC90" s="453"/>
      <c r="AD90" s="453"/>
      <c r="AE90" s="454">
        <f t="shared" si="1"/>
        <v>0</v>
      </c>
    </row>
    <row r="91" spans="1:32" ht="12.5">
      <c r="A91" s="469">
        <v>13</v>
      </c>
      <c r="B91" s="546" t="s">
        <v>539</v>
      </c>
      <c r="C91" s="546" t="s">
        <v>540</v>
      </c>
      <c r="D91" s="547" t="s">
        <v>501</v>
      </c>
      <c r="E91" s="467">
        <v>511</v>
      </c>
      <c r="F91" s="549"/>
      <c r="G91" s="549"/>
      <c r="H91" s="549"/>
      <c r="I91" s="549"/>
      <c r="J91" s="549"/>
      <c r="K91" s="549"/>
      <c r="L91" s="549"/>
      <c r="M91" s="549"/>
      <c r="N91" s="549"/>
      <c r="O91" s="549"/>
      <c r="P91" s="549"/>
      <c r="Q91" s="549"/>
      <c r="R91" s="550"/>
      <c r="S91" s="549"/>
      <c r="T91" s="549"/>
      <c r="U91" s="549"/>
      <c r="V91" s="549"/>
      <c r="W91" s="549"/>
      <c r="X91" s="549"/>
      <c r="Y91" s="549"/>
      <c r="Z91" s="549"/>
      <c r="AA91" s="549"/>
      <c r="AB91" s="549"/>
      <c r="AC91" s="549"/>
      <c r="AD91" s="549"/>
      <c r="AE91" s="550">
        <f t="shared" si="1"/>
        <v>0</v>
      </c>
      <c r="AF91" s="456"/>
    </row>
    <row r="92" spans="1:32" ht="12.5">
      <c r="A92" s="450"/>
      <c r="B92" s="459"/>
      <c r="C92" s="459"/>
      <c r="D92" s="437" t="s">
        <v>500</v>
      </c>
      <c r="E92" s="465">
        <v>511</v>
      </c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29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29">
        <f t="shared" si="1"/>
        <v>0</v>
      </c>
    </row>
    <row r="93" spans="1:32" ht="12.5">
      <c r="A93" s="450"/>
      <c r="B93" s="459"/>
      <c r="C93" s="459"/>
      <c r="D93" s="460" t="s">
        <v>510</v>
      </c>
      <c r="E93" s="465">
        <v>511</v>
      </c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29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29">
        <f t="shared" si="1"/>
        <v>0</v>
      </c>
    </row>
    <row r="94" spans="1:32" ht="12.5">
      <c r="A94" s="450"/>
      <c r="B94" s="459"/>
      <c r="C94" s="459"/>
      <c r="D94" s="460" t="s">
        <v>502</v>
      </c>
      <c r="E94" s="465">
        <v>711</v>
      </c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29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29">
        <f t="shared" si="1"/>
        <v>0</v>
      </c>
    </row>
    <row r="95" spans="1:32" ht="12.5">
      <c r="A95" s="450"/>
      <c r="B95" s="457"/>
      <c r="C95" s="457"/>
      <c r="D95" s="437" t="s">
        <v>503</v>
      </c>
      <c r="E95" s="438">
        <v>515</v>
      </c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29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29">
        <f t="shared" si="1"/>
        <v>0</v>
      </c>
    </row>
    <row r="96" spans="1:32" ht="12.5">
      <c r="A96" s="450"/>
      <c r="B96" s="470"/>
      <c r="C96" s="472"/>
      <c r="D96" s="452" t="s">
        <v>506</v>
      </c>
      <c r="E96" s="468">
        <v>7118</v>
      </c>
      <c r="F96" s="453"/>
      <c r="G96" s="453"/>
      <c r="H96" s="453"/>
      <c r="I96" s="453"/>
      <c r="J96" s="453"/>
      <c r="K96" s="453"/>
      <c r="L96" s="453"/>
      <c r="M96" s="453"/>
      <c r="N96" s="453"/>
      <c r="O96" s="453"/>
      <c r="P96" s="453"/>
      <c r="Q96" s="453"/>
      <c r="R96" s="454"/>
      <c r="S96" s="453"/>
      <c r="T96" s="453"/>
      <c r="U96" s="453"/>
      <c r="V96" s="453"/>
      <c r="W96" s="453"/>
      <c r="X96" s="453"/>
      <c r="Y96" s="453"/>
      <c r="Z96" s="453"/>
      <c r="AA96" s="453"/>
      <c r="AB96" s="453"/>
      <c r="AC96" s="453"/>
      <c r="AD96" s="453"/>
      <c r="AE96" s="454">
        <f t="shared" si="1"/>
        <v>0</v>
      </c>
    </row>
    <row r="97" spans="1:33" ht="12.5">
      <c r="A97" s="545">
        <v>14</v>
      </c>
      <c r="B97" s="546" t="s">
        <v>541</v>
      </c>
      <c r="C97" s="546" t="s">
        <v>542</v>
      </c>
      <c r="D97" s="547" t="s">
        <v>500</v>
      </c>
      <c r="E97" s="548">
        <v>511</v>
      </c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50"/>
      <c r="S97" s="549"/>
      <c r="T97" s="549"/>
      <c r="U97" s="549"/>
      <c r="V97" s="549"/>
      <c r="W97" s="549"/>
      <c r="X97" s="549"/>
      <c r="Y97" s="549"/>
      <c r="Z97" s="549"/>
      <c r="AA97" s="549"/>
      <c r="AB97" s="549"/>
      <c r="AC97" s="549"/>
      <c r="AD97" s="549"/>
      <c r="AE97" s="550">
        <f t="shared" si="1"/>
        <v>0</v>
      </c>
      <c r="AF97" s="471"/>
      <c r="AG97" s="471"/>
    </row>
    <row r="98" spans="1:33" ht="12.5">
      <c r="A98" s="450"/>
      <c r="B98" s="459"/>
      <c r="C98" s="459"/>
      <c r="D98" s="460" t="s">
        <v>510</v>
      </c>
      <c r="E98" s="465">
        <v>511</v>
      </c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29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29">
        <f t="shared" si="1"/>
        <v>0</v>
      </c>
    </row>
    <row r="99" spans="1:33" ht="12.5">
      <c r="A99" s="450"/>
      <c r="B99" s="459"/>
      <c r="C99" s="459"/>
      <c r="D99" s="437" t="s">
        <v>501</v>
      </c>
      <c r="E99" s="465">
        <v>511</v>
      </c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29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29">
        <f t="shared" si="1"/>
        <v>0</v>
      </c>
    </row>
    <row r="100" spans="1:33" ht="12.5">
      <c r="A100" s="450"/>
      <c r="B100" s="459"/>
      <c r="C100" s="459"/>
      <c r="D100" s="460" t="s">
        <v>506</v>
      </c>
      <c r="E100" s="468">
        <v>7118</v>
      </c>
      <c r="F100" s="453"/>
      <c r="G100" s="453"/>
      <c r="H100" s="453"/>
      <c r="I100" s="453"/>
      <c r="J100" s="453"/>
      <c r="K100" s="453"/>
      <c r="L100" s="453"/>
      <c r="M100" s="453"/>
      <c r="N100" s="453"/>
      <c r="O100" s="453"/>
      <c r="P100" s="453"/>
      <c r="Q100" s="453"/>
      <c r="R100" s="454"/>
      <c r="S100" s="453"/>
      <c r="T100" s="453"/>
      <c r="U100" s="453"/>
      <c r="V100" s="453"/>
      <c r="W100" s="453"/>
      <c r="X100" s="453"/>
      <c r="Y100" s="453"/>
      <c r="Z100" s="453"/>
      <c r="AA100" s="453"/>
      <c r="AB100" s="453"/>
      <c r="AC100" s="453"/>
      <c r="AD100" s="453"/>
      <c r="AE100" s="454">
        <f t="shared" si="1"/>
        <v>0</v>
      </c>
    </row>
    <row r="101" spans="1:33" ht="12.5">
      <c r="A101" s="545">
        <v>15</v>
      </c>
      <c r="B101" s="546" t="s">
        <v>543</v>
      </c>
      <c r="C101" s="546" t="s">
        <v>544</v>
      </c>
      <c r="D101" s="547" t="s">
        <v>500</v>
      </c>
      <c r="E101" s="548">
        <v>511</v>
      </c>
      <c r="F101" s="549"/>
      <c r="G101" s="549"/>
      <c r="H101" s="549"/>
      <c r="I101" s="549"/>
      <c r="J101" s="549"/>
      <c r="K101" s="549"/>
      <c r="L101" s="549"/>
      <c r="M101" s="549"/>
      <c r="N101" s="549"/>
      <c r="O101" s="549"/>
      <c r="P101" s="549"/>
      <c r="Q101" s="549"/>
      <c r="R101" s="550"/>
      <c r="S101" s="549"/>
      <c r="T101" s="549"/>
      <c r="U101" s="549"/>
      <c r="V101" s="549"/>
      <c r="W101" s="549"/>
      <c r="X101" s="549"/>
      <c r="Y101" s="549"/>
      <c r="Z101" s="549"/>
      <c r="AA101" s="549"/>
      <c r="AB101" s="549"/>
      <c r="AC101" s="549"/>
      <c r="AD101" s="549"/>
      <c r="AE101" s="550">
        <f t="shared" si="1"/>
        <v>0</v>
      </c>
    </row>
    <row r="102" spans="1:33" ht="12.5">
      <c r="A102" s="450"/>
      <c r="B102" s="459"/>
      <c r="C102" s="459"/>
      <c r="D102" s="460" t="s">
        <v>510</v>
      </c>
      <c r="E102" s="465">
        <v>511</v>
      </c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29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29">
        <f t="shared" si="1"/>
        <v>0</v>
      </c>
    </row>
    <row r="103" spans="1:33" ht="12.5">
      <c r="A103" s="450"/>
      <c r="B103" s="459"/>
      <c r="C103" s="459"/>
      <c r="D103" s="460" t="s">
        <v>506</v>
      </c>
      <c r="E103" s="465">
        <v>511</v>
      </c>
      <c r="F103" s="453"/>
      <c r="G103" s="453"/>
      <c r="H103" s="453"/>
      <c r="I103" s="453"/>
      <c r="J103" s="453"/>
      <c r="K103" s="453"/>
      <c r="L103" s="453"/>
      <c r="M103" s="453"/>
      <c r="N103" s="453"/>
      <c r="O103" s="453"/>
      <c r="P103" s="453"/>
      <c r="Q103" s="453"/>
      <c r="R103" s="454"/>
      <c r="S103" s="453"/>
      <c r="T103" s="453"/>
      <c r="U103" s="453"/>
      <c r="V103" s="453"/>
      <c r="W103" s="453"/>
      <c r="X103" s="453"/>
      <c r="Y103" s="453"/>
      <c r="Z103" s="453"/>
      <c r="AA103" s="453"/>
      <c r="AB103" s="453"/>
      <c r="AC103" s="453"/>
      <c r="AD103" s="453"/>
      <c r="AE103" s="454">
        <f t="shared" si="1"/>
        <v>0</v>
      </c>
    </row>
    <row r="104" spans="1:33" ht="12.5">
      <c r="A104" s="469">
        <v>16</v>
      </c>
      <c r="B104" s="546" t="s">
        <v>545</v>
      </c>
      <c r="C104" s="546" t="s">
        <v>546</v>
      </c>
      <c r="D104" s="547" t="s">
        <v>500</v>
      </c>
      <c r="E104" s="467">
        <v>511</v>
      </c>
      <c r="F104" s="549"/>
      <c r="G104" s="549"/>
      <c r="H104" s="549"/>
      <c r="I104" s="549"/>
      <c r="J104" s="549"/>
      <c r="K104" s="549"/>
      <c r="L104" s="549"/>
      <c r="M104" s="549"/>
      <c r="N104" s="549"/>
      <c r="O104" s="549"/>
      <c r="P104" s="549"/>
      <c r="Q104" s="549"/>
      <c r="R104" s="550"/>
      <c r="S104" s="549"/>
      <c r="T104" s="549"/>
      <c r="U104" s="549"/>
      <c r="V104" s="549"/>
      <c r="W104" s="549"/>
      <c r="X104" s="549"/>
      <c r="Y104" s="549"/>
      <c r="Z104" s="549"/>
      <c r="AA104" s="549"/>
      <c r="AB104" s="549"/>
      <c r="AC104" s="549"/>
      <c r="AD104" s="549"/>
      <c r="AE104" s="550">
        <f t="shared" si="1"/>
        <v>0</v>
      </c>
    </row>
    <row r="105" spans="1:33" ht="12.5">
      <c r="A105" s="450"/>
      <c r="B105" s="457"/>
      <c r="C105" s="461"/>
      <c r="D105" s="449" t="s">
        <v>510</v>
      </c>
      <c r="E105" s="465">
        <v>511</v>
      </c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29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29">
        <f t="shared" si="1"/>
        <v>0</v>
      </c>
    </row>
    <row r="106" spans="1:33" ht="12.5">
      <c r="A106" s="450"/>
      <c r="B106" s="472"/>
      <c r="C106" s="528"/>
      <c r="D106" s="452" t="s">
        <v>506</v>
      </c>
      <c r="E106" s="473">
        <v>7118</v>
      </c>
      <c r="F106" s="453"/>
      <c r="G106" s="453"/>
      <c r="H106" s="453"/>
      <c r="I106" s="453"/>
      <c r="J106" s="453"/>
      <c r="K106" s="453"/>
      <c r="L106" s="453"/>
      <c r="M106" s="453"/>
      <c r="N106" s="453"/>
      <c r="O106" s="453"/>
      <c r="P106" s="453"/>
      <c r="Q106" s="453"/>
      <c r="R106" s="454"/>
      <c r="S106" s="453"/>
      <c r="T106" s="453"/>
      <c r="U106" s="453"/>
      <c r="V106" s="453"/>
      <c r="W106" s="453"/>
      <c r="X106" s="453"/>
      <c r="Y106" s="453"/>
      <c r="Z106" s="453"/>
      <c r="AA106" s="453"/>
      <c r="AB106" s="453"/>
      <c r="AC106" s="453"/>
      <c r="AD106" s="453"/>
      <c r="AE106" s="454">
        <f t="shared" si="1"/>
        <v>0</v>
      </c>
    </row>
    <row r="107" spans="1:33" ht="12.5">
      <c r="A107" s="545">
        <v>17</v>
      </c>
      <c r="B107" s="546" t="s">
        <v>547</v>
      </c>
      <c r="C107" s="546" t="s">
        <v>548</v>
      </c>
      <c r="D107" s="547" t="s">
        <v>500</v>
      </c>
      <c r="E107" s="548">
        <v>511</v>
      </c>
      <c r="F107" s="549"/>
      <c r="G107" s="549"/>
      <c r="H107" s="549"/>
      <c r="I107" s="549"/>
      <c r="J107" s="549"/>
      <c r="K107" s="549"/>
      <c r="L107" s="549"/>
      <c r="M107" s="549"/>
      <c r="N107" s="549"/>
      <c r="O107" s="549"/>
      <c r="P107" s="549"/>
      <c r="Q107" s="549"/>
      <c r="R107" s="550"/>
      <c r="S107" s="549"/>
      <c r="T107" s="549"/>
      <c r="U107" s="549"/>
      <c r="V107" s="549"/>
      <c r="W107" s="549"/>
      <c r="X107" s="549"/>
      <c r="Y107" s="549"/>
      <c r="Z107" s="549"/>
      <c r="AA107" s="549"/>
      <c r="AB107" s="549"/>
      <c r="AC107" s="549"/>
      <c r="AD107" s="549"/>
      <c r="AE107" s="550">
        <f t="shared" si="1"/>
        <v>0</v>
      </c>
    </row>
    <row r="108" spans="1:33" ht="12.5">
      <c r="A108" s="450"/>
      <c r="B108" s="459"/>
      <c r="C108" s="459"/>
      <c r="D108" s="460" t="s">
        <v>510</v>
      </c>
      <c r="E108" s="465">
        <v>511</v>
      </c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29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29">
        <f t="shared" si="1"/>
        <v>0</v>
      </c>
    </row>
    <row r="109" spans="1:33" ht="12.5">
      <c r="A109" s="450"/>
      <c r="B109" s="459"/>
      <c r="C109" s="459"/>
      <c r="D109" s="437" t="s">
        <v>501</v>
      </c>
      <c r="E109" s="465">
        <v>511</v>
      </c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29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29">
        <f t="shared" si="1"/>
        <v>0</v>
      </c>
    </row>
    <row r="110" spans="1:33" ht="12.5">
      <c r="A110" s="450"/>
      <c r="B110" s="459"/>
      <c r="C110" s="459"/>
      <c r="D110" s="460" t="s">
        <v>506</v>
      </c>
      <c r="E110" s="473">
        <v>7118</v>
      </c>
      <c r="F110" s="453"/>
      <c r="G110" s="453"/>
      <c r="H110" s="453"/>
      <c r="I110" s="453"/>
      <c r="J110" s="453"/>
      <c r="K110" s="453"/>
      <c r="L110" s="453"/>
      <c r="M110" s="453"/>
      <c r="N110" s="453"/>
      <c r="O110" s="453"/>
      <c r="P110" s="453"/>
      <c r="Q110" s="453"/>
      <c r="R110" s="454"/>
      <c r="S110" s="453"/>
      <c r="T110" s="453"/>
      <c r="U110" s="453"/>
      <c r="V110" s="453"/>
      <c r="W110" s="453"/>
      <c r="X110" s="453"/>
      <c r="Y110" s="453"/>
      <c r="Z110" s="453"/>
      <c r="AA110" s="453"/>
      <c r="AB110" s="453"/>
      <c r="AC110" s="453"/>
      <c r="AD110" s="453"/>
      <c r="AE110" s="454">
        <f t="shared" si="1"/>
        <v>0</v>
      </c>
    </row>
    <row r="111" spans="1:33" ht="12.5">
      <c r="A111" s="545">
        <v>18</v>
      </c>
      <c r="B111" s="546" t="s">
        <v>549</v>
      </c>
      <c r="C111" s="546" t="s">
        <v>550</v>
      </c>
      <c r="D111" s="547" t="s">
        <v>500</v>
      </c>
      <c r="E111" s="548">
        <v>511</v>
      </c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50"/>
      <c r="S111" s="549"/>
      <c r="T111" s="549"/>
      <c r="U111" s="549"/>
      <c r="V111" s="549"/>
      <c r="W111" s="549"/>
      <c r="X111" s="549"/>
      <c r="Y111" s="549"/>
      <c r="Z111" s="549"/>
      <c r="AA111" s="549"/>
      <c r="AB111" s="549"/>
      <c r="AC111" s="549"/>
      <c r="AD111" s="549"/>
      <c r="AE111" s="550">
        <f t="shared" si="1"/>
        <v>0</v>
      </c>
    </row>
    <row r="112" spans="1:33" ht="12.5">
      <c r="A112" s="450"/>
      <c r="B112" s="459"/>
      <c r="C112" s="459"/>
      <c r="D112" s="460" t="s">
        <v>510</v>
      </c>
      <c r="E112" s="465">
        <v>511</v>
      </c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29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29">
        <f t="shared" si="1"/>
        <v>0</v>
      </c>
    </row>
    <row r="113" spans="1:32" ht="12.5">
      <c r="A113" s="450"/>
      <c r="B113" s="459"/>
      <c r="C113" s="459"/>
      <c r="D113" s="437" t="s">
        <v>501</v>
      </c>
      <c r="E113" s="465">
        <v>511</v>
      </c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29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29">
        <f t="shared" si="1"/>
        <v>0</v>
      </c>
    </row>
    <row r="114" spans="1:32" ht="12.5">
      <c r="A114" s="450"/>
      <c r="B114" s="459"/>
      <c r="C114" s="459"/>
      <c r="D114" s="460" t="s">
        <v>506</v>
      </c>
      <c r="E114" s="474">
        <v>7118</v>
      </c>
      <c r="F114" s="453"/>
      <c r="G114" s="453"/>
      <c r="H114" s="453"/>
      <c r="I114" s="453"/>
      <c r="J114" s="453"/>
      <c r="K114" s="453"/>
      <c r="L114" s="453"/>
      <c r="M114" s="453"/>
      <c r="N114" s="453"/>
      <c r="O114" s="453"/>
      <c r="P114" s="453"/>
      <c r="Q114" s="453"/>
      <c r="R114" s="454"/>
      <c r="S114" s="453"/>
      <c r="T114" s="453"/>
      <c r="U114" s="453"/>
      <c r="V114" s="453"/>
      <c r="W114" s="453"/>
      <c r="X114" s="453"/>
      <c r="Y114" s="453"/>
      <c r="Z114" s="453"/>
      <c r="AA114" s="453"/>
      <c r="AB114" s="453"/>
      <c r="AC114" s="453"/>
      <c r="AD114" s="453"/>
      <c r="AE114" s="454">
        <f t="shared" si="1"/>
        <v>0</v>
      </c>
    </row>
    <row r="115" spans="1:32" ht="12.5">
      <c r="A115" s="545">
        <v>19</v>
      </c>
      <c r="B115" s="546" t="s">
        <v>551</v>
      </c>
      <c r="C115" s="546" t="s">
        <v>552</v>
      </c>
      <c r="D115" s="547" t="s">
        <v>500</v>
      </c>
      <c r="E115" s="548">
        <v>511</v>
      </c>
      <c r="F115" s="549"/>
      <c r="G115" s="549"/>
      <c r="H115" s="549"/>
      <c r="I115" s="549"/>
      <c r="J115" s="549"/>
      <c r="K115" s="549"/>
      <c r="L115" s="549"/>
      <c r="M115" s="549"/>
      <c r="N115" s="549"/>
      <c r="O115" s="549"/>
      <c r="P115" s="549"/>
      <c r="Q115" s="549"/>
      <c r="R115" s="550"/>
      <c r="S115" s="549"/>
      <c r="T115" s="549"/>
      <c r="U115" s="549"/>
      <c r="V115" s="549"/>
      <c r="W115" s="549"/>
      <c r="X115" s="549"/>
      <c r="Y115" s="549"/>
      <c r="Z115" s="549"/>
      <c r="AA115" s="549"/>
      <c r="AB115" s="549"/>
      <c r="AC115" s="549"/>
      <c r="AD115" s="549"/>
      <c r="AE115" s="550">
        <f t="shared" si="1"/>
        <v>0</v>
      </c>
      <c r="AF115" s="456"/>
    </row>
    <row r="116" spans="1:32" ht="12.5">
      <c r="A116" s="450"/>
      <c r="B116" s="457"/>
      <c r="C116" s="457"/>
      <c r="D116" s="437" t="s">
        <v>510</v>
      </c>
      <c r="E116" s="465">
        <v>511</v>
      </c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29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29">
        <f t="shared" si="1"/>
        <v>0</v>
      </c>
    </row>
    <row r="117" spans="1:32" ht="12.5">
      <c r="A117" s="450"/>
      <c r="B117" s="472"/>
      <c r="C117" s="472"/>
      <c r="D117" s="475" t="s">
        <v>506</v>
      </c>
      <c r="E117" s="465">
        <v>511</v>
      </c>
      <c r="F117" s="476"/>
      <c r="G117" s="453"/>
      <c r="H117" s="453"/>
      <c r="I117" s="453"/>
      <c r="J117" s="453"/>
      <c r="K117" s="453"/>
      <c r="L117" s="453"/>
      <c r="M117" s="453"/>
      <c r="N117" s="453"/>
      <c r="O117" s="453"/>
      <c r="P117" s="453"/>
      <c r="Q117" s="453"/>
      <c r="R117" s="454"/>
      <c r="S117" s="476"/>
      <c r="T117" s="453"/>
      <c r="U117" s="453"/>
      <c r="V117" s="453"/>
      <c r="W117" s="453"/>
      <c r="X117" s="453"/>
      <c r="Y117" s="453"/>
      <c r="Z117" s="453"/>
      <c r="AA117" s="453"/>
      <c r="AB117" s="453"/>
      <c r="AC117" s="453"/>
      <c r="AD117" s="453"/>
      <c r="AE117" s="454">
        <f t="shared" si="1"/>
        <v>0</v>
      </c>
    </row>
    <row r="118" spans="1:32" ht="12.5">
      <c r="A118" s="469">
        <v>20</v>
      </c>
      <c r="B118" s="546" t="s">
        <v>553</v>
      </c>
      <c r="C118" s="546" t="s">
        <v>554</v>
      </c>
      <c r="D118" s="547" t="s">
        <v>500</v>
      </c>
      <c r="E118" s="477">
        <v>511</v>
      </c>
      <c r="F118" s="551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50"/>
      <c r="S118" s="551"/>
      <c r="T118" s="549"/>
      <c r="U118" s="549"/>
      <c r="V118" s="549"/>
      <c r="W118" s="549"/>
      <c r="X118" s="549"/>
      <c r="Y118" s="549"/>
      <c r="Z118" s="549"/>
      <c r="AA118" s="549"/>
      <c r="AB118" s="549"/>
      <c r="AC118" s="549"/>
      <c r="AD118" s="549"/>
      <c r="AE118" s="550">
        <f t="shared" si="1"/>
        <v>0</v>
      </c>
    </row>
    <row r="119" spans="1:32" ht="12.5">
      <c r="A119" s="450"/>
      <c r="B119" s="457"/>
      <c r="C119" s="457"/>
      <c r="D119" s="437" t="s">
        <v>510</v>
      </c>
      <c r="E119" s="474">
        <v>511</v>
      </c>
      <c r="F119" s="446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29"/>
      <c r="S119" s="446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29">
        <f t="shared" si="1"/>
        <v>0</v>
      </c>
    </row>
    <row r="120" spans="1:32" ht="12.5">
      <c r="A120" s="450"/>
      <c r="B120" s="472"/>
      <c r="C120" s="472"/>
      <c r="D120" s="475" t="s">
        <v>506</v>
      </c>
      <c r="E120" s="474">
        <v>7118</v>
      </c>
      <c r="F120" s="476"/>
      <c r="G120" s="453"/>
      <c r="H120" s="453"/>
      <c r="I120" s="453"/>
      <c r="J120" s="453"/>
      <c r="K120" s="453"/>
      <c r="L120" s="453"/>
      <c r="M120" s="453"/>
      <c r="N120" s="453"/>
      <c r="O120" s="453"/>
      <c r="P120" s="453"/>
      <c r="Q120" s="453"/>
      <c r="R120" s="454"/>
      <c r="S120" s="476"/>
      <c r="T120" s="453"/>
      <c r="U120" s="453"/>
      <c r="V120" s="453"/>
      <c r="W120" s="453"/>
      <c r="X120" s="453"/>
      <c r="Y120" s="453"/>
      <c r="Z120" s="453"/>
      <c r="AA120" s="453"/>
      <c r="AB120" s="453"/>
      <c r="AC120" s="453"/>
      <c r="AD120" s="453"/>
      <c r="AE120" s="454">
        <f t="shared" si="1"/>
        <v>0</v>
      </c>
    </row>
    <row r="121" spans="1:32" ht="12.5">
      <c r="A121" s="469">
        <v>21</v>
      </c>
      <c r="B121" s="546" t="s">
        <v>555</v>
      </c>
      <c r="C121" s="546" t="s">
        <v>556</v>
      </c>
      <c r="D121" s="547" t="s">
        <v>500</v>
      </c>
      <c r="E121" s="467">
        <v>511</v>
      </c>
      <c r="F121" s="549"/>
      <c r="G121" s="549"/>
      <c r="H121" s="549"/>
      <c r="I121" s="549"/>
      <c r="J121" s="549"/>
      <c r="K121" s="549"/>
      <c r="L121" s="549"/>
      <c r="M121" s="549"/>
      <c r="N121" s="549"/>
      <c r="O121" s="549"/>
      <c r="P121" s="549"/>
      <c r="Q121" s="549"/>
      <c r="R121" s="550"/>
      <c r="S121" s="549"/>
      <c r="T121" s="549"/>
      <c r="U121" s="549"/>
      <c r="V121" s="549"/>
      <c r="W121" s="549"/>
      <c r="X121" s="549"/>
      <c r="Y121" s="549"/>
      <c r="Z121" s="549"/>
      <c r="AA121" s="549"/>
      <c r="AB121" s="549"/>
      <c r="AC121" s="549"/>
      <c r="AD121" s="549"/>
      <c r="AE121" s="550">
        <f t="shared" si="1"/>
        <v>0</v>
      </c>
    </row>
    <row r="122" spans="1:32" ht="12.5">
      <c r="A122" s="448"/>
      <c r="B122" s="457"/>
      <c r="C122" s="457"/>
      <c r="D122" s="437" t="s">
        <v>510</v>
      </c>
      <c r="E122" s="438">
        <v>511</v>
      </c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64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64">
        <f t="shared" si="1"/>
        <v>0</v>
      </c>
    </row>
    <row r="123" spans="1:32" ht="12.5">
      <c r="A123" s="439"/>
      <c r="B123" s="472"/>
      <c r="C123" s="472"/>
      <c r="D123" s="475" t="s">
        <v>506</v>
      </c>
      <c r="E123" s="473">
        <v>7118</v>
      </c>
      <c r="F123" s="443"/>
      <c r="G123" s="443"/>
      <c r="H123" s="443"/>
      <c r="I123" s="443"/>
      <c r="J123" s="443"/>
      <c r="K123" s="443"/>
      <c r="L123" s="443"/>
      <c r="M123" s="443"/>
      <c r="N123" s="443"/>
      <c r="O123" s="443"/>
      <c r="P123" s="443"/>
      <c r="Q123" s="443"/>
      <c r="R123" s="444"/>
      <c r="S123" s="443"/>
      <c r="T123" s="443"/>
      <c r="U123" s="443"/>
      <c r="V123" s="443"/>
      <c r="W123" s="443"/>
      <c r="X123" s="443"/>
      <c r="Y123" s="443"/>
      <c r="Z123" s="443"/>
      <c r="AA123" s="443"/>
      <c r="AB123" s="443"/>
      <c r="AC123" s="443"/>
      <c r="AD123" s="443"/>
      <c r="AE123" s="444">
        <f t="shared" si="1"/>
        <v>0</v>
      </c>
    </row>
    <row r="124" spans="1:32" ht="12.5">
      <c r="A124" s="545">
        <v>22</v>
      </c>
      <c r="B124" s="546" t="s">
        <v>557</v>
      </c>
      <c r="C124" s="546" t="s">
        <v>558</v>
      </c>
      <c r="D124" s="547" t="s">
        <v>500</v>
      </c>
      <c r="E124" s="548">
        <v>511</v>
      </c>
      <c r="F124" s="549"/>
      <c r="G124" s="549"/>
      <c r="H124" s="549"/>
      <c r="I124" s="549"/>
      <c r="J124" s="549"/>
      <c r="K124" s="549"/>
      <c r="L124" s="549"/>
      <c r="M124" s="549"/>
      <c r="N124" s="549"/>
      <c r="O124" s="549"/>
      <c r="P124" s="549"/>
      <c r="Q124" s="549"/>
      <c r="R124" s="550"/>
      <c r="S124" s="549"/>
      <c r="T124" s="549"/>
      <c r="U124" s="549"/>
      <c r="V124" s="549"/>
      <c r="W124" s="549"/>
      <c r="X124" s="549"/>
      <c r="Y124" s="549"/>
      <c r="Z124" s="549"/>
      <c r="AA124" s="549"/>
      <c r="AB124" s="549"/>
      <c r="AC124" s="549"/>
      <c r="AD124" s="549"/>
      <c r="AE124" s="550">
        <f t="shared" si="1"/>
        <v>0</v>
      </c>
    </row>
    <row r="125" spans="1:32" ht="12.5">
      <c r="A125" s="448"/>
      <c r="B125" s="457"/>
      <c r="C125" s="457"/>
      <c r="D125" s="437" t="s">
        <v>510</v>
      </c>
      <c r="E125" s="465">
        <v>511</v>
      </c>
      <c r="F125" s="453"/>
      <c r="G125" s="453"/>
      <c r="H125" s="453"/>
      <c r="I125" s="453"/>
      <c r="J125" s="453"/>
      <c r="K125" s="453"/>
      <c r="L125" s="453"/>
      <c r="M125" s="453"/>
      <c r="N125" s="453"/>
      <c r="O125" s="453"/>
      <c r="P125" s="453"/>
      <c r="Q125" s="453"/>
      <c r="R125" s="464"/>
      <c r="S125" s="453"/>
      <c r="T125" s="453"/>
      <c r="U125" s="453"/>
      <c r="V125" s="453"/>
      <c r="W125" s="453"/>
      <c r="X125" s="453"/>
      <c r="Y125" s="453"/>
      <c r="Z125" s="453"/>
      <c r="AA125" s="453"/>
      <c r="AB125" s="453"/>
      <c r="AC125" s="453"/>
      <c r="AD125" s="453"/>
      <c r="AE125" s="464">
        <f t="shared" si="1"/>
        <v>0</v>
      </c>
    </row>
    <row r="126" spans="1:32" ht="12.5">
      <c r="A126" s="478"/>
      <c r="B126" s="479"/>
      <c r="C126" s="479"/>
      <c r="D126" s="479" t="s">
        <v>506</v>
      </c>
      <c r="E126" s="474">
        <v>7118</v>
      </c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4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4">
        <f t="shared" si="1"/>
        <v>0</v>
      </c>
    </row>
    <row r="127" spans="1:32">
      <c r="A127" s="553" t="s">
        <v>559</v>
      </c>
      <c r="B127" s="541" t="s">
        <v>560</v>
      </c>
      <c r="C127" s="541"/>
      <c r="D127" s="541"/>
      <c r="E127" s="541"/>
      <c r="F127" s="554"/>
      <c r="G127" s="555"/>
      <c r="H127" s="555"/>
      <c r="I127" s="555"/>
      <c r="J127" s="555"/>
      <c r="K127" s="555"/>
      <c r="L127" s="555"/>
      <c r="M127" s="555"/>
      <c r="N127" s="555"/>
      <c r="O127" s="555"/>
      <c r="P127" s="555"/>
      <c r="Q127" s="555"/>
      <c r="R127" s="555"/>
      <c r="S127" s="554"/>
      <c r="T127" s="555"/>
      <c r="U127" s="555"/>
      <c r="V127" s="555"/>
      <c r="W127" s="555"/>
      <c r="X127" s="555"/>
      <c r="Y127" s="555"/>
      <c r="Z127" s="555"/>
      <c r="AA127" s="555"/>
      <c r="AB127" s="555"/>
      <c r="AC127" s="555"/>
      <c r="AD127" s="555"/>
      <c r="AE127" s="555"/>
    </row>
    <row r="128" spans="1:32" ht="12.5">
      <c r="A128" s="423">
        <v>1</v>
      </c>
      <c r="B128" s="424" t="s">
        <v>498</v>
      </c>
      <c r="C128" s="424" t="s">
        <v>499</v>
      </c>
      <c r="D128" s="431" t="s">
        <v>561</v>
      </c>
      <c r="E128" s="426">
        <v>641</v>
      </c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29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29">
        <f t="shared" ref="AE128:AE199" si="2">SUM(S128:AD128)</f>
        <v>0</v>
      </c>
      <c r="AF128" s="456"/>
    </row>
    <row r="129" spans="1:31" ht="12.5">
      <c r="A129" s="448"/>
      <c r="B129" s="519"/>
      <c r="C129" s="531"/>
      <c r="D129" s="434"/>
      <c r="E129" s="426">
        <v>642</v>
      </c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>
        <v>41184711</v>
      </c>
      <c r="R129" s="429">
        <f t="shared" ref="R129" si="3">SUM(F129:Q129)</f>
        <v>41184711</v>
      </c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29">
        <f t="shared" si="2"/>
        <v>0</v>
      </c>
    </row>
    <row r="130" spans="1:31" ht="12.5">
      <c r="A130" s="448"/>
      <c r="B130" s="519"/>
      <c r="C130" s="531"/>
      <c r="D130" s="434"/>
      <c r="E130" s="426">
        <v>627</v>
      </c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29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29">
        <f t="shared" si="2"/>
        <v>0</v>
      </c>
    </row>
    <row r="131" spans="1:31" ht="12.5">
      <c r="A131" s="448"/>
      <c r="B131" s="519"/>
      <c r="C131" s="531"/>
      <c r="D131" s="434" t="s">
        <v>562</v>
      </c>
      <c r="E131" s="426">
        <v>211</v>
      </c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29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29">
        <f t="shared" si="2"/>
        <v>0</v>
      </c>
    </row>
    <row r="132" spans="1:31" ht="12.5">
      <c r="A132" s="448"/>
      <c r="B132" s="519"/>
      <c r="C132" s="531"/>
      <c r="D132" s="434" t="s">
        <v>563</v>
      </c>
      <c r="E132" s="426">
        <v>153</v>
      </c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29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29">
        <f t="shared" si="2"/>
        <v>0</v>
      </c>
    </row>
    <row r="133" spans="1:31" ht="12.5">
      <c r="A133" s="448"/>
      <c r="B133" s="519"/>
      <c r="C133" s="531"/>
      <c r="D133" s="434" t="s">
        <v>564</v>
      </c>
      <c r="E133" s="426">
        <v>642</v>
      </c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80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80">
        <f t="shared" si="2"/>
        <v>0</v>
      </c>
    </row>
    <row r="134" spans="1:31" ht="12.5">
      <c r="A134" s="439"/>
      <c r="B134" s="515"/>
      <c r="C134" s="515"/>
      <c r="D134" s="440" t="s">
        <v>565</v>
      </c>
      <c r="E134" s="481"/>
      <c r="F134" s="444"/>
      <c r="G134" s="440"/>
      <c r="H134" s="440"/>
      <c r="I134" s="440"/>
      <c r="J134" s="440"/>
      <c r="K134" s="440"/>
      <c r="L134" s="440"/>
      <c r="M134" s="440"/>
      <c r="N134" s="440"/>
      <c r="O134" s="440"/>
      <c r="P134" s="440"/>
      <c r="Q134" s="440"/>
      <c r="R134" s="482"/>
      <c r="S134" s="444"/>
      <c r="T134" s="440"/>
      <c r="U134" s="440"/>
      <c r="V134" s="440"/>
      <c r="W134" s="440"/>
      <c r="X134" s="440"/>
      <c r="Y134" s="440"/>
      <c r="Z134" s="440"/>
      <c r="AA134" s="440"/>
      <c r="AB134" s="440"/>
      <c r="AC134" s="440"/>
      <c r="AD134" s="440"/>
      <c r="AE134" s="482">
        <f t="shared" si="2"/>
        <v>0</v>
      </c>
    </row>
    <row r="135" spans="1:31" ht="12.5">
      <c r="A135" s="545">
        <v>2</v>
      </c>
      <c r="B135" s="546" t="s">
        <v>508</v>
      </c>
      <c r="C135" s="546" t="s">
        <v>509</v>
      </c>
      <c r="D135" s="547" t="s">
        <v>566</v>
      </c>
      <c r="E135" s="483">
        <v>1548</v>
      </c>
      <c r="F135" s="428"/>
      <c r="G135" s="428"/>
      <c r="H135" s="428"/>
      <c r="I135" s="428"/>
      <c r="J135" s="428"/>
      <c r="K135" s="428"/>
      <c r="L135" s="428"/>
      <c r="M135" s="428"/>
      <c r="N135" s="428"/>
      <c r="O135" s="428"/>
      <c r="P135" s="428"/>
      <c r="Q135" s="428"/>
      <c r="R135" s="429"/>
      <c r="S135" s="428"/>
      <c r="T135" s="428"/>
      <c r="U135" s="428"/>
      <c r="V135" s="428"/>
      <c r="W135" s="428"/>
      <c r="X135" s="428"/>
      <c r="Y135" s="428"/>
      <c r="Z135" s="428"/>
      <c r="AA135" s="428"/>
      <c r="AB135" s="428"/>
      <c r="AC135" s="428"/>
      <c r="AD135" s="428"/>
      <c r="AE135" s="429">
        <f t="shared" si="2"/>
        <v>0</v>
      </c>
    </row>
    <row r="136" spans="1:31" ht="12.5">
      <c r="A136" s="423"/>
      <c r="B136" s="457"/>
      <c r="C136" s="457"/>
      <c r="D136" s="437" t="s">
        <v>567</v>
      </c>
      <c r="E136" s="483">
        <v>152</v>
      </c>
      <c r="F136" s="428"/>
      <c r="G136" s="428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R136" s="429"/>
      <c r="S136" s="428"/>
      <c r="T136" s="428"/>
      <c r="U136" s="428"/>
      <c r="V136" s="428"/>
      <c r="W136" s="428"/>
      <c r="X136" s="428"/>
      <c r="Y136" s="428"/>
      <c r="Z136" s="428"/>
      <c r="AA136" s="428"/>
      <c r="AB136" s="428"/>
      <c r="AC136" s="428"/>
      <c r="AD136" s="428"/>
      <c r="AE136" s="429">
        <f t="shared" si="2"/>
        <v>0</v>
      </c>
    </row>
    <row r="137" spans="1:31" ht="12.5">
      <c r="A137" s="423"/>
      <c r="B137" s="457"/>
      <c r="C137" s="457"/>
      <c r="D137" s="437" t="s">
        <v>568</v>
      </c>
      <c r="E137" s="483" t="s">
        <v>569</v>
      </c>
      <c r="F137" s="428"/>
      <c r="G137" s="428"/>
      <c r="H137" s="428"/>
      <c r="I137" s="428"/>
      <c r="J137" s="428"/>
      <c r="K137" s="428"/>
      <c r="L137" s="428"/>
      <c r="M137" s="428"/>
      <c r="N137" s="428"/>
      <c r="O137" s="428"/>
      <c r="P137" s="428"/>
      <c r="Q137" s="428"/>
      <c r="R137" s="429"/>
      <c r="S137" s="428"/>
      <c r="T137" s="428"/>
      <c r="U137" s="428"/>
      <c r="V137" s="428"/>
      <c r="W137" s="428">
        <v>9960000</v>
      </c>
      <c r="X137" s="428"/>
      <c r="Y137" s="428"/>
      <c r="Z137" s="428"/>
      <c r="AA137" s="428"/>
      <c r="AB137" s="428"/>
      <c r="AC137" s="428"/>
      <c r="AD137" s="428"/>
      <c r="AE137" s="429">
        <f t="shared" si="2"/>
        <v>9960000</v>
      </c>
    </row>
    <row r="138" spans="1:31" ht="12.5">
      <c r="A138" s="448"/>
      <c r="B138" s="457"/>
      <c r="C138" s="457"/>
      <c r="D138" s="437" t="s">
        <v>570</v>
      </c>
      <c r="E138" s="484">
        <v>641</v>
      </c>
      <c r="F138" s="428"/>
      <c r="G138" s="428"/>
      <c r="H138" s="428"/>
      <c r="I138" s="428"/>
      <c r="J138" s="428"/>
      <c r="K138" s="428"/>
      <c r="L138" s="428"/>
      <c r="M138" s="428"/>
      <c r="N138" s="428"/>
      <c r="O138" s="428"/>
      <c r="P138" s="428"/>
      <c r="Q138" s="428"/>
      <c r="R138" s="429"/>
      <c r="S138" s="428"/>
      <c r="T138" s="428"/>
      <c r="U138" s="428"/>
      <c r="V138" s="428"/>
      <c r="W138" s="428"/>
      <c r="X138" s="428"/>
      <c r="Y138" s="428"/>
      <c r="Z138" s="428"/>
      <c r="AA138" s="428"/>
      <c r="AB138" s="428"/>
      <c r="AC138" s="428"/>
      <c r="AD138" s="428"/>
      <c r="AE138" s="429">
        <f t="shared" si="2"/>
        <v>0</v>
      </c>
    </row>
    <row r="139" spans="1:31" ht="12.5">
      <c r="A139" s="448"/>
      <c r="B139" s="457"/>
      <c r="C139" s="457"/>
      <c r="D139" s="437" t="s">
        <v>562</v>
      </c>
      <c r="E139" s="484">
        <v>211</v>
      </c>
      <c r="F139" s="428"/>
      <c r="G139" s="428"/>
      <c r="H139" s="428"/>
      <c r="I139" s="428"/>
      <c r="J139" s="428"/>
      <c r="K139" s="428">
        <v>226000000</v>
      </c>
      <c r="L139" s="428"/>
      <c r="M139" s="428">
        <v>226000000</v>
      </c>
      <c r="N139" s="428"/>
      <c r="O139" s="428"/>
      <c r="P139" s="428"/>
      <c r="Q139" s="428"/>
      <c r="R139" s="429">
        <f t="shared" ref="R139:R140" si="4">SUM(F139:Q139)</f>
        <v>452000000</v>
      </c>
      <c r="S139" s="428"/>
      <c r="T139" s="428"/>
      <c r="U139" s="428"/>
      <c r="V139" s="428"/>
      <c r="W139" s="428"/>
      <c r="X139" s="428"/>
      <c r="Y139" s="428"/>
      <c r="Z139" s="428"/>
      <c r="AA139" s="428"/>
      <c r="AB139" s="428"/>
      <c r="AC139" s="428"/>
      <c r="AD139" s="428"/>
      <c r="AE139" s="429">
        <f t="shared" si="2"/>
        <v>0</v>
      </c>
    </row>
    <row r="140" spans="1:31" ht="12.5">
      <c r="A140" s="450"/>
      <c r="B140" s="459"/>
      <c r="C140" s="459"/>
      <c r="D140" s="460" t="s">
        <v>565</v>
      </c>
      <c r="E140" s="474"/>
      <c r="F140" s="485"/>
      <c r="G140" s="485"/>
      <c r="H140" s="485">
        <v>4000000</v>
      </c>
      <c r="I140" s="485">
        <v>20000000</v>
      </c>
      <c r="J140" s="485">
        <v>12000000</v>
      </c>
      <c r="K140" s="485"/>
      <c r="L140" s="485">
        <v>16000000</v>
      </c>
      <c r="M140" s="485"/>
      <c r="N140" s="485"/>
      <c r="O140" s="485"/>
      <c r="P140" s="485"/>
      <c r="Q140" s="485"/>
      <c r="R140" s="454">
        <f t="shared" si="4"/>
        <v>52000000</v>
      </c>
      <c r="S140" s="485"/>
      <c r="T140" s="485"/>
      <c r="U140" s="485"/>
      <c r="V140" s="485"/>
      <c r="W140" s="485"/>
      <c r="X140" s="485"/>
      <c r="Y140" s="485"/>
      <c r="Z140" s="485"/>
      <c r="AA140" s="485"/>
      <c r="AB140" s="485"/>
      <c r="AC140" s="485"/>
      <c r="AD140" s="485"/>
      <c r="AE140" s="454">
        <f t="shared" si="2"/>
        <v>0</v>
      </c>
    </row>
    <row r="141" spans="1:31" ht="12.5">
      <c r="A141" s="545">
        <v>3</v>
      </c>
      <c r="B141" s="546" t="s">
        <v>514</v>
      </c>
      <c r="C141" s="546" t="s">
        <v>515</v>
      </c>
      <c r="D141" s="547" t="s">
        <v>571</v>
      </c>
      <c r="E141" s="556" t="s">
        <v>569</v>
      </c>
      <c r="F141" s="551"/>
      <c r="G141" s="551"/>
      <c r="H141" s="551"/>
      <c r="I141" s="551"/>
      <c r="J141" s="551"/>
      <c r="K141" s="551"/>
      <c r="L141" s="551"/>
      <c r="M141" s="551"/>
      <c r="N141" s="551"/>
      <c r="O141" s="551"/>
      <c r="P141" s="551"/>
      <c r="Q141" s="551"/>
      <c r="R141" s="550"/>
      <c r="S141" s="551"/>
      <c r="T141" s="551"/>
      <c r="U141" s="551"/>
      <c r="V141" s="551"/>
      <c r="W141" s="551"/>
      <c r="X141" s="551"/>
      <c r="Y141" s="551"/>
      <c r="Z141" s="551"/>
      <c r="AA141" s="551"/>
      <c r="AB141" s="551"/>
      <c r="AC141" s="551"/>
      <c r="AD141" s="551"/>
      <c r="AE141" s="550">
        <f t="shared" si="2"/>
        <v>0</v>
      </c>
    </row>
    <row r="142" spans="1:31" ht="12.5">
      <c r="A142" s="448"/>
      <c r="B142" s="457"/>
      <c r="C142" s="457"/>
      <c r="D142" s="437" t="s">
        <v>567</v>
      </c>
      <c r="E142" s="483">
        <v>152</v>
      </c>
      <c r="F142" s="428"/>
      <c r="G142" s="428"/>
      <c r="H142" s="428"/>
      <c r="I142" s="428"/>
      <c r="J142" s="428"/>
      <c r="K142" s="428"/>
      <c r="L142" s="428"/>
      <c r="M142" s="428"/>
      <c r="N142" s="428"/>
      <c r="O142" s="428"/>
      <c r="P142" s="428"/>
      <c r="Q142" s="428"/>
      <c r="R142" s="429"/>
      <c r="S142" s="428"/>
      <c r="T142" s="428"/>
      <c r="U142" s="428"/>
      <c r="V142" s="428"/>
      <c r="W142" s="428"/>
      <c r="X142" s="428"/>
      <c r="Y142" s="428"/>
      <c r="Z142" s="428"/>
      <c r="AA142" s="428"/>
      <c r="AB142" s="428"/>
      <c r="AC142" s="428"/>
      <c r="AD142" s="428"/>
      <c r="AE142" s="429">
        <f t="shared" si="2"/>
        <v>0</v>
      </c>
    </row>
    <row r="143" spans="1:31" ht="12.5">
      <c r="A143" s="448"/>
      <c r="B143" s="457"/>
      <c r="C143" s="457"/>
      <c r="D143" s="437" t="s">
        <v>568</v>
      </c>
      <c r="E143" s="483" t="s">
        <v>569</v>
      </c>
      <c r="F143" s="428"/>
      <c r="G143" s="428"/>
      <c r="H143" s="428"/>
      <c r="I143" s="428"/>
      <c r="J143" s="428"/>
      <c r="K143" s="428"/>
      <c r="L143" s="428"/>
      <c r="M143" s="428"/>
      <c r="N143" s="428"/>
      <c r="O143" s="428"/>
      <c r="P143" s="428"/>
      <c r="Q143" s="428"/>
      <c r="R143" s="429"/>
      <c r="S143" s="428"/>
      <c r="T143" s="428"/>
      <c r="U143" s="428"/>
      <c r="V143" s="428"/>
      <c r="W143" s="428"/>
      <c r="X143" s="428"/>
      <c r="Y143" s="428"/>
      <c r="Z143" s="428"/>
      <c r="AA143" s="428"/>
      <c r="AB143" s="428"/>
      <c r="AC143" s="428"/>
      <c r="AD143" s="428"/>
      <c r="AE143" s="429">
        <f t="shared" si="2"/>
        <v>0</v>
      </c>
    </row>
    <row r="144" spans="1:31" ht="12.5">
      <c r="A144" s="448"/>
      <c r="B144" s="457"/>
      <c r="C144" s="457"/>
      <c r="D144" s="437" t="s">
        <v>562</v>
      </c>
      <c r="E144" s="484">
        <v>211</v>
      </c>
      <c r="F144" s="428"/>
      <c r="G144" s="428"/>
      <c r="H144" s="428"/>
      <c r="I144" s="428"/>
      <c r="J144" s="428"/>
      <c r="K144" s="428"/>
      <c r="L144" s="428"/>
      <c r="M144" s="428"/>
      <c r="N144" s="428"/>
      <c r="O144" s="428"/>
      <c r="P144" s="428"/>
      <c r="Q144" s="428"/>
      <c r="R144" s="429"/>
      <c r="S144" s="428"/>
      <c r="T144" s="428"/>
      <c r="U144" s="428"/>
      <c r="V144" s="428"/>
      <c r="W144" s="428"/>
      <c r="X144" s="428"/>
      <c r="Y144" s="428"/>
      <c r="Z144" s="428"/>
      <c r="AA144" s="428"/>
      <c r="AB144" s="428"/>
      <c r="AC144" s="428"/>
      <c r="AD144" s="428"/>
      <c r="AE144" s="429">
        <f t="shared" si="2"/>
        <v>0</v>
      </c>
    </row>
    <row r="145" spans="1:31" ht="12.5">
      <c r="A145" s="450"/>
      <c r="B145" s="459"/>
      <c r="C145" s="459"/>
      <c r="D145" s="460" t="s">
        <v>565</v>
      </c>
      <c r="E145" s="474"/>
      <c r="F145" s="485"/>
      <c r="G145" s="485"/>
      <c r="H145" s="485"/>
      <c r="I145" s="485"/>
      <c r="J145" s="485"/>
      <c r="K145" s="485"/>
      <c r="L145" s="485"/>
      <c r="M145" s="485"/>
      <c r="N145" s="485"/>
      <c r="O145" s="485"/>
      <c r="P145" s="485"/>
      <c r="Q145" s="485"/>
      <c r="R145" s="454"/>
      <c r="S145" s="485"/>
      <c r="T145" s="485"/>
      <c r="U145" s="485"/>
      <c r="V145" s="485"/>
      <c r="W145" s="485"/>
      <c r="X145" s="485"/>
      <c r="Y145" s="485"/>
      <c r="Z145" s="485"/>
      <c r="AA145" s="485"/>
      <c r="AB145" s="485"/>
      <c r="AC145" s="485"/>
      <c r="AD145" s="485"/>
      <c r="AE145" s="454">
        <f t="shared" si="2"/>
        <v>0</v>
      </c>
    </row>
    <row r="146" spans="1:31" ht="12.5">
      <c r="A146" s="545">
        <v>4</v>
      </c>
      <c r="B146" s="546" t="s">
        <v>517</v>
      </c>
      <c r="C146" s="546" t="s">
        <v>518</v>
      </c>
      <c r="D146" s="547" t="s">
        <v>571</v>
      </c>
      <c r="E146" s="556" t="s">
        <v>569</v>
      </c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0"/>
      <c r="S146" s="551"/>
      <c r="T146" s="551"/>
      <c r="U146" s="551"/>
      <c r="V146" s="551"/>
      <c r="W146" s="551"/>
      <c r="X146" s="551"/>
      <c r="Y146" s="551"/>
      <c r="Z146" s="551"/>
      <c r="AA146" s="551"/>
      <c r="AB146" s="551"/>
      <c r="AC146" s="551"/>
      <c r="AD146" s="551"/>
      <c r="AE146" s="550">
        <f t="shared" si="2"/>
        <v>0</v>
      </c>
    </row>
    <row r="147" spans="1:31" ht="12.5">
      <c r="A147" s="448"/>
      <c r="B147" s="457"/>
      <c r="C147" s="457"/>
      <c r="D147" s="437" t="s">
        <v>567</v>
      </c>
      <c r="E147" s="483">
        <v>152</v>
      </c>
      <c r="F147" s="428"/>
      <c r="G147" s="428"/>
      <c r="H147" s="428"/>
      <c r="I147" s="428"/>
      <c r="J147" s="428"/>
      <c r="K147" s="428"/>
      <c r="L147" s="428"/>
      <c r="M147" s="428"/>
      <c r="N147" s="428"/>
      <c r="O147" s="428"/>
      <c r="P147" s="428"/>
      <c r="Q147" s="428"/>
      <c r="R147" s="429"/>
      <c r="S147" s="428"/>
      <c r="T147" s="428"/>
      <c r="U147" s="428"/>
      <c r="V147" s="428"/>
      <c r="W147" s="428"/>
      <c r="X147" s="428"/>
      <c r="Y147" s="428"/>
      <c r="Z147" s="428"/>
      <c r="AA147" s="428"/>
      <c r="AB147" s="428"/>
      <c r="AC147" s="428"/>
      <c r="AD147" s="428"/>
      <c r="AE147" s="429">
        <f t="shared" si="2"/>
        <v>0</v>
      </c>
    </row>
    <row r="148" spans="1:31" ht="12.5">
      <c r="A148" s="448"/>
      <c r="B148" s="457"/>
      <c r="C148" s="457"/>
      <c r="D148" s="437" t="s">
        <v>568</v>
      </c>
      <c r="E148" s="483" t="s">
        <v>569</v>
      </c>
      <c r="F148" s="428"/>
      <c r="G148" s="428"/>
      <c r="H148" s="428"/>
      <c r="I148" s="428"/>
      <c r="J148" s="428"/>
      <c r="K148" s="428"/>
      <c r="L148" s="428"/>
      <c r="M148" s="428"/>
      <c r="N148" s="428"/>
      <c r="O148" s="428"/>
      <c r="P148" s="428"/>
      <c r="Q148" s="428"/>
      <c r="R148" s="429"/>
      <c r="S148" s="428"/>
      <c r="T148" s="428"/>
      <c r="U148" s="428"/>
      <c r="V148" s="428"/>
      <c r="W148" s="428"/>
      <c r="X148" s="428"/>
      <c r="Y148" s="428"/>
      <c r="Z148" s="428"/>
      <c r="AA148" s="428"/>
      <c r="AB148" s="428"/>
      <c r="AC148" s="428"/>
      <c r="AD148" s="428"/>
      <c r="AE148" s="429">
        <f t="shared" si="2"/>
        <v>0</v>
      </c>
    </row>
    <row r="149" spans="1:31" ht="12.5">
      <c r="A149" s="448"/>
      <c r="B149" s="457"/>
      <c r="C149" s="457"/>
      <c r="D149" s="437" t="s">
        <v>562</v>
      </c>
      <c r="E149" s="484">
        <v>211</v>
      </c>
      <c r="F149" s="428"/>
      <c r="G149" s="428"/>
      <c r="H149" s="428"/>
      <c r="I149" s="428"/>
      <c r="J149" s="428"/>
      <c r="K149" s="428"/>
      <c r="L149" s="428"/>
      <c r="M149" s="428"/>
      <c r="N149" s="428"/>
      <c r="O149" s="428"/>
      <c r="P149" s="428"/>
      <c r="Q149" s="428"/>
      <c r="R149" s="429"/>
      <c r="S149" s="428"/>
      <c r="T149" s="428"/>
      <c r="U149" s="428"/>
      <c r="V149" s="428"/>
      <c r="W149" s="428"/>
      <c r="X149" s="428"/>
      <c r="Y149" s="428"/>
      <c r="Z149" s="428"/>
      <c r="AA149" s="428"/>
      <c r="AB149" s="428"/>
      <c r="AC149" s="428"/>
      <c r="AD149" s="428"/>
      <c r="AE149" s="429">
        <f t="shared" si="2"/>
        <v>0</v>
      </c>
    </row>
    <row r="150" spans="1:31" ht="12.5">
      <c r="A150" s="448"/>
      <c r="B150" s="457"/>
      <c r="C150" s="457"/>
      <c r="D150" s="437" t="s">
        <v>565</v>
      </c>
      <c r="E150" s="484"/>
      <c r="F150" s="428"/>
      <c r="G150" s="428"/>
      <c r="H150" s="428"/>
      <c r="I150" s="428"/>
      <c r="J150" s="428"/>
      <c r="K150" s="428"/>
      <c r="L150" s="428"/>
      <c r="M150" s="428"/>
      <c r="N150" s="428"/>
      <c r="O150" s="428"/>
      <c r="P150" s="428"/>
      <c r="Q150" s="428"/>
      <c r="R150" s="429"/>
      <c r="S150" s="428"/>
      <c r="T150" s="428"/>
      <c r="U150" s="428"/>
      <c r="V150" s="428"/>
      <c r="W150" s="428"/>
      <c r="X150" s="428"/>
      <c r="Y150" s="428"/>
      <c r="Z150" s="428"/>
      <c r="AA150" s="428"/>
      <c r="AB150" s="428"/>
      <c r="AC150" s="428"/>
      <c r="AD150" s="428"/>
      <c r="AE150" s="429">
        <f t="shared" si="2"/>
        <v>0</v>
      </c>
    </row>
    <row r="151" spans="1:31" ht="12.5">
      <c r="A151" s="545">
        <v>5</v>
      </c>
      <c r="B151" s="546" t="s">
        <v>519</v>
      </c>
      <c r="C151" s="546" t="s">
        <v>520</v>
      </c>
      <c r="D151" s="547" t="s">
        <v>566</v>
      </c>
      <c r="E151" s="556">
        <v>1548</v>
      </c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0"/>
      <c r="S151" s="551"/>
      <c r="T151" s="551"/>
      <c r="U151" s="551"/>
      <c r="V151" s="551"/>
      <c r="W151" s="551"/>
      <c r="X151" s="551"/>
      <c r="Y151" s="551"/>
      <c r="Z151" s="551"/>
      <c r="AA151" s="551"/>
      <c r="AB151" s="551"/>
      <c r="AC151" s="551"/>
      <c r="AD151" s="551"/>
      <c r="AE151" s="550">
        <f t="shared" si="2"/>
        <v>0</v>
      </c>
    </row>
    <row r="152" spans="1:31" ht="12.5">
      <c r="A152" s="450"/>
      <c r="B152" s="459"/>
      <c r="C152" s="459"/>
      <c r="D152" s="460" t="s">
        <v>567</v>
      </c>
      <c r="E152" s="484"/>
      <c r="F152" s="428"/>
      <c r="G152" s="428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R152" s="429"/>
      <c r="S152" s="428"/>
      <c r="T152" s="428"/>
      <c r="U152" s="428"/>
      <c r="V152" s="428"/>
      <c r="W152" s="428"/>
      <c r="X152" s="428"/>
      <c r="Y152" s="428"/>
      <c r="Z152" s="428"/>
      <c r="AA152" s="428"/>
      <c r="AB152" s="428"/>
      <c r="AC152" s="428"/>
      <c r="AD152" s="428"/>
      <c r="AE152" s="429">
        <f t="shared" si="2"/>
        <v>0</v>
      </c>
    </row>
    <row r="153" spans="1:31" ht="12.5">
      <c r="A153" s="450"/>
      <c r="B153" s="459"/>
      <c r="C153" s="459"/>
      <c r="D153" s="437" t="s">
        <v>572</v>
      </c>
      <c r="E153" s="484">
        <v>641</v>
      </c>
      <c r="F153" s="428"/>
      <c r="G153" s="428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R153" s="429"/>
      <c r="S153" s="428"/>
      <c r="T153" s="428"/>
      <c r="U153" s="428"/>
      <c r="V153" s="428"/>
      <c r="W153" s="428"/>
      <c r="X153" s="428"/>
      <c r="Y153" s="428"/>
      <c r="Z153" s="428"/>
      <c r="AA153" s="428"/>
      <c r="AB153" s="428"/>
      <c r="AC153" s="428"/>
      <c r="AD153" s="428"/>
      <c r="AE153" s="429">
        <f t="shared" si="2"/>
        <v>0</v>
      </c>
    </row>
    <row r="154" spans="1:31" ht="12.5">
      <c r="A154" s="450"/>
      <c r="B154" s="459"/>
      <c r="C154" s="459"/>
      <c r="D154" s="460" t="s">
        <v>573</v>
      </c>
      <c r="E154" s="484">
        <v>627</v>
      </c>
      <c r="F154" s="428"/>
      <c r="G154" s="428"/>
      <c r="H154" s="428"/>
      <c r="I154" s="428"/>
      <c r="J154" s="428"/>
      <c r="K154" s="428"/>
      <c r="L154" s="428"/>
      <c r="M154" s="428"/>
      <c r="N154" s="428"/>
      <c r="O154" s="428"/>
      <c r="P154" s="428"/>
      <c r="Q154" s="428"/>
      <c r="R154" s="429"/>
      <c r="S154" s="428"/>
      <c r="T154" s="428"/>
      <c r="U154" s="428"/>
      <c r="V154" s="428"/>
      <c r="W154" s="428"/>
      <c r="X154" s="428"/>
      <c r="Y154" s="428"/>
      <c r="Z154" s="428"/>
      <c r="AA154" s="428"/>
      <c r="AB154" s="428"/>
      <c r="AC154" s="428"/>
      <c r="AD154" s="428"/>
      <c r="AE154" s="429">
        <f t="shared" si="2"/>
        <v>0</v>
      </c>
    </row>
    <row r="155" spans="1:31" ht="12.5">
      <c r="A155" s="450"/>
      <c r="B155" s="459"/>
      <c r="C155" s="459"/>
      <c r="D155" s="460" t="s">
        <v>565</v>
      </c>
      <c r="E155" s="474"/>
      <c r="F155" s="485"/>
      <c r="G155" s="485"/>
      <c r="H155" s="485"/>
      <c r="I155" s="485"/>
      <c r="J155" s="485"/>
      <c r="K155" s="485"/>
      <c r="L155" s="485"/>
      <c r="M155" s="485"/>
      <c r="N155" s="485"/>
      <c r="O155" s="485"/>
      <c r="P155" s="485"/>
      <c r="Q155" s="485"/>
      <c r="R155" s="454"/>
      <c r="S155" s="485"/>
      <c r="T155" s="485"/>
      <c r="U155" s="485"/>
      <c r="V155" s="485"/>
      <c r="W155" s="485"/>
      <c r="X155" s="485"/>
      <c r="Y155" s="485"/>
      <c r="Z155" s="485"/>
      <c r="AA155" s="485"/>
      <c r="AB155" s="485"/>
      <c r="AC155" s="485"/>
      <c r="AD155" s="485"/>
      <c r="AE155" s="454">
        <f t="shared" si="2"/>
        <v>0</v>
      </c>
    </row>
    <row r="156" spans="1:31" ht="12.5">
      <c r="A156" s="545">
        <v>6</v>
      </c>
      <c r="B156" s="546" t="s">
        <v>522</v>
      </c>
      <c r="C156" s="546" t="s">
        <v>523</v>
      </c>
      <c r="D156" s="547" t="s">
        <v>566</v>
      </c>
      <c r="E156" s="556">
        <v>1548</v>
      </c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0"/>
      <c r="S156" s="551"/>
      <c r="T156" s="551"/>
      <c r="U156" s="551"/>
      <c r="V156" s="551"/>
      <c r="W156" s="551"/>
      <c r="X156" s="551"/>
      <c r="Y156" s="551"/>
      <c r="Z156" s="551"/>
      <c r="AA156" s="551"/>
      <c r="AB156" s="551"/>
      <c r="AC156" s="551"/>
      <c r="AD156" s="551"/>
      <c r="AE156" s="550">
        <f t="shared" si="2"/>
        <v>0</v>
      </c>
    </row>
    <row r="157" spans="1:31" ht="12.5">
      <c r="A157" s="423"/>
      <c r="B157" s="457"/>
      <c r="C157" s="457"/>
      <c r="D157" s="437" t="s">
        <v>567</v>
      </c>
      <c r="E157" s="484">
        <v>152</v>
      </c>
      <c r="F157" s="428"/>
      <c r="G157" s="428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R157" s="429"/>
      <c r="S157" s="428"/>
      <c r="T157" s="428"/>
      <c r="U157" s="428"/>
      <c r="V157" s="428"/>
      <c r="W157" s="428"/>
      <c r="X157" s="428"/>
      <c r="Y157" s="428"/>
      <c r="Z157" s="428"/>
      <c r="AA157" s="428"/>
      <c r="AB157" s="428"/>
      <c r="AC157" s="428"/>
      <c r="AD157" s="428"/>
      <c r="AE157" s="429">
        <f t="shared" si="2"/>
        <v>0</v>
      </c>
    </row>
    <row r="158" spans="1:31" ht="12.5">
      <c r="A158" s="423"/>
      <c r="B158" s="457"/>
      <c r="C158" s="457"/>
      <c r="D158" s="437" t="s">
        <v>568</v>
      </c>
      <c r="E158" s="483" t="s">
        <v>569</v>
      </c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9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9">
        <f t="shared" si="2"/>
        <v>0</v>
      </c>
    </row>
    <row r="159" spans="1:31" ht="12.5">
      <c r="A159" s="423"/>
      <c r="B159" s="457"/>
      <c r="C159" s="457"/>
      <c r="D159" s="437" t="s">
        <v>573</v>
      </c>
      <c r="E159" s="484">
        <v>627</v>
      </c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  <c r="P159" s="428"/>
      <c r="Q159" s="428"/>
      <c r="R159" s="429"/>
      <c r="S159" s="428"/>
      <c r="T159" s="428"/>
      <c r="U159" s="428"/>
      <c r="V159" s="428"/>
      <c r="W159" s="428"/>
      <c r="X159" s="428"/>
      <c r="Y159" s="428"/>
      <c r="Z159" s="428"/>
      <c r="AA159" s="428"/>
      <c r="AB159" s="428"/>
      <c r="AC159" s="428"/>
      <c r="AD159" s="428"/>
      <c r="AE159" s="429">
        <f t="shared" si="2"/>
        <v>0</v>
      </c>
    </row>
    <row r="160" spans="1:31" ht="12.5">
      <c r="A160" s="423"/>
      <c r="B160" s="457"/>
      <c r="C160" s="457"/>
      <c r="D160" s="437" t="s">
        <v>563</v>
      </c>
      <c r="E160" s="484">
        <v>153</v>
      </c>
      <c r="F160" s="428"/>
      <c r="G160" s="428"/>
      <c r="H160" s="428"/>
      <c r="I160" s="428"/>
      <c r="J160" s="428"/>
      <c r="K160" s="428"/>
      <c r="L160" s="428"/>
      <c r="M160" s="428"/>
      <c r="N160" s="428"/>
      <c r="O160" s="428"/>
      <c r="P160" s="428"/>
      <c r="Q160" s="428"/>
      <c r="R160" s="429"/>
      <c r="S160" s="428"/>
      <c r="T160" s="428"/>
      <c r="U160" s="428"/>
      <c r="V160" s="428"/>
      <c r="W160" s="428"/>
      <c r="X160" s="428"/>
      <c r="Y160" s="428"/>
      <c r="Z160" s="428"/>
      <c r="AA160" s="428"/>
      <c r="AB160" s="428"/>
      <c r="AC160" s="428"/>
      <c r="AD160" s="428"/>
      <c r="AE160" s="429">
        <f t="shared" si="2"/>
        <v>0</v>
      </c>
    </row>
    <row r="161" spans="1:31" ht="12.5">
      <c r="A161" s="423"/>
      <c r="B161" s="457"/>
      <c r="C161" s="457"/>
      <c r="D161" s="437" t="s">
        <v>562</v>
      </c>
      <c r="E161" s="484">
        <v>211</v>
      </c>
      <c r="F161" s="428"/>
      <c r="G161" s="428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R161" s="429"/>
      <c r="S161" s="428"/>
      <c r="T161" s="428"/>
      <c r="U161" s="428"/>
      <c r="V161" s="428"/>
      <c r="W161" s="428"/>
      <c r="X161" s="428"/>
      <c r="Y161" s="428"/>
      <c r="Z161" s="428"/>
      <c r="AA161" s="428"/>
      <c r="AB161" s="428"/>
      <c r="AC161" s="428"/>
      <c r="AD161" s="428"/>
      <c r="AE161" s="429">
        <f t="shared" si="2"/>
        <v>0</v>
      </c>
    </row>
    <row r="162" spans="1:31" ht="12.5">
      <c r="A162" s="423"/>
      <c r="B162" s="457"/>
      <c r="C162" s="461"/>
      <c r="D162" s="449" t="s">
        <v>503</v>
      </c>
      <c r="E162" s="483">
        <v>635</v>
      </c>
      <c r="F162" s="428"/>
      <c r="G162" s="428"/>
      <c r="H162" s="428"/>
      <c r="I162" s="428"/>
      <c r="J162" s="428"/>
      <c r="K162" s="428"/>
      <c r="L162" s="428"/>
      <c r="M162" s="428"/>
      <c r="N162" s="428"/>
      <c r="O162" s="428"/>
      <c r="P162" s="428"/>
      <c r="Q162" s="428"/>
      <c r="R162" s="429"/>
      <c r="S162" s="428"/>
      <c r="T162" s="428"/>
      <c r="U162" s="428"/>
      <c r="V162" s="428"/>
      <c r="W162" s="428"/>
      <c r="X162" s="428"/>
      <c r="Y162" s="428"/>
      <c r="Z162" s="428"/>
      <c r="AA162" s="428"/>
      <c r="AB162" s="428"/>
      <c r="AC162" s="428"/>
      <c r="AD162" s="428"/>
      <c r="AE162" s="429">
        <f t="shared" si="2"/>
        <v>0</v>
      </c>
    </row>
    <row r="163" spans="1:31" ht="12.5">
      <c r="A163" s="450"/>
      <c r="B163" s="531"/>
      <c r="C163" s="531"/>
      <c r="D163" s="434" t="s">
        <v>565</v>
      </c>
      <c r="E163" s="434"/>
      <c r="F163" s="485"/>
      <c r="G163" s="485"/>
      <c r="H163" s="485"/>
      <c r="I163" s="485"/>
      <c r="J163" s="485"/>
      <c r="K163" s="485"/>
      <c r="L163" s="485"/>
      <c r="M163" s="485"/>
      <c r="N163" s="485"/>
      <c r="O163" s="485"/>
      <c r="P163" s="485"/>
      <c r="Q163" s="485"/>
      <c r="R163" s="454"/>
      <c r="S163" s="485"/>
      <c r="T163" s="485"/>
      <c r="U163" s="485"/>
      <c r="V163" s="485"/>
      <c r="W163" s="485"/>
      <c r="X163" s="485"/>
      <c r="Y163" s="485"/>
      <c r="Z163" s="485"/>
      <c r="AA163" s="485"/>
      <c r="AB163" s="485"/>
      <c r="AC163" s="485"/>
      <c r="AD163" s="485"/>
      <c r="AE163" s="454">
        <f t="shared" si="2"/>
        <v>0</v>
      </c>
    </row>
    <row r="164" spans="1:31" ht="12.5">
      <c r="A164" s="545">
        <v>7</v>
      </c>
      <c r="B164" s="546" t="s">
        <v>526</v>
      </c>
      <c r="C164" s="546" t="s">
        <v>527</v>
      </c>
      <c r="D164" s="557" t="s">
        <v>566</v>
      </c>
      <c r="E164" s="558">
        <v>1548</v>
      </c>
      <c r="F164" s="551"/>
      <c r="G164" s="551"/>
      <c r="H164" s="551"/>
      <c r="I164" s="551"/>
      <c r="J164" s="551"/>
      <c r="K164" s="551"/>
      <c r="L164" s="551"/>
      <c r="M164" s="551"/>
      <c r="N164" s="551"/>
      <c r="O164" s="551"/>
      <c r="P164" s="551"/>
      <c r="Q164" s="551"/>
      <c r="R164" s="550"/>
      <c r="S164" s="551"/>
      <c r="T164" s="551"/>
      <c r="U164" s="551"/>
      <c r="V164" s="551"/>
      <c r="W164" s="551"/>
      <c r="X164" s="551"/>
      <c r="Y164" s="551"/>
      <c r="Z164" s="551"/>
      <c r="AA164" s="551"/>
      <c r="AB164" s="551"/>
      <c r="AC164" s="551"/>
      <c r="AD164" s="551"/>
      <c r="AE164" s="550">
        <f t="shared" si="2"/>
        <v>0</v>
      </c>
    </row>
    <row r="165" spans="1:31" ht="12.5">
      <c r="A165" s="448"/>
      <c r="B165" s="519"/>
      <c r="C165" s="519"/>
      <c r="D165" s="431" t="s">
        <v>567</v>
      </c>
      <c r="E165" s="435">
        <v>152</v>
      </c>
      <c r="F165" s="446"/>
      <c r="G165" s="446"/>
      <c r="H165" s="446"/>
      <c r="I165" s="446"/>
      <c r="J165" s="446"/>
      <c r="K165" s="446"/>
      <c r="L165" s="446"/>
      <c r="M165" s="446"/>
      <c r="N165" s="446"/>
      <c r="O165" s="446"/>
      <c r="P165" s="446"/>
      <c r="Q165" s="446"/>
      <c r="R165" s="464"/>
      <c r="S165" s="446"/>
      <c r="T165" s="446"/>
      <c r="U165" s="446"/>
      <c r="V165" s="446"/>
      <c r="W165" s="446"/>
      <c r="X165" s="446"/>
      <c r="Y165" s="446"/>
      <c r="Z165" s="446"/>
      <c r="AA165" s="446"/>
      <c r="AB165" s="446"/>
      <c r="AC165" s="446"/>
      <c r="AD165" s="446"/>
      <c r="AE165" s="464">
        <f t="shared" si="2"/>
        <v>0</v>
      </c>
    </row>
    <row r="166" spans="1:31" ht="12.5">
      <c r="A166" s="448"/>
      <c r="B166" s="519"/>
      <c r="C166" s="519"/>
      <c r="D166" s="431" t="s">
        <v>568</v>
      </c>
      <c r="E166" s="435" t="s">
        <v>569</v>
      </c>
      <c r="F166" s="446"/>
      <c r="G166" s="446"/>
      <c r="H166" s="446"/>
      <c r="I166" s="446"/>
      <c r="J166" s="446"/>
      <c r="K166" s="446"/>
      <c r="L166" s="446"/>
      <c r="M166" s="446"/>
      <c r="N166" s="446"/>
      <c r="O166" s="446"/>
      <c r="P166" s="446"/>
      <c r="Q166" s="446"/>
      <c r="R166" s="464"/>
      <c r="S166" s="446"/>
      <c r="T166" s="446"/>
      <c r="U166" s="446"/>
      <c r="V166" s="446"/>
      <c r="W166" s="446"/>
      <c r="X166" s="446"/>
      <c r="Y166" s="446"/>
      <c r="Z166" s="446"/>
      <c r="AA166" s="446"/>
      <c r="AB166" s="446"/>
      <c r="AC166" s="446"/>
      <c r="AD166" s="446"/>
      <c r="AE166" s="464">
        <f t="shared" si="2"/>
        <v>0</v>
      </c>
    </row>
    <row r="167" spans="1:31" ht="12.5">
      <c r="A167" s="448"/>
      <c r="B167" s="519"/>
      <c r="C167" s="519"/>
      <c r="D167" s="431" t="s">
        <v>573</v>
      </c>
      <c r="E167" s="435">
        <v>627</v>
      </c>
      <c r="F167" s="446"/>
      <c r="G167" s="446"/>
      <c r="H167" s="446"/>
      <c r="I167" s="446"/>
      <c r="J167" s="446"/>
      <c r="K167" s="446"/>
      <c r="L167" s="446"/>
      <c r="M167" s="446"/>
      <c r="N167" s="446"/>
      <c r="O167" s="446"/>
      <c r="P167" s="446"/>
      <c r="Q167" s="446"/>
      <c r="R167" s="464"/>
      <c r="S167" s="446"/>
      <c r="T167" s="446"/>
      <c r="U167" s="446"/>
      <c r="V167" s="446"/>
      <c r="W167" s="446"/>
      <c r="X167" s="446"/>
      <c r="Y167" s="446"/>
      <c r="Z167" s="446"/>
      <c r="AA167" s="446"/>
      <c r="AB167" s="446"/>
      <c r="AC167" s="446"/>
      <c r="AD167" s="446"/>
      <c r="AE167" s="464">
        <f t="shared" si="2"/>
        <v>0</v>
      </c>
    </row>
    <row r="168" spans="1:31" ht="12.5">
      <c r="A168" s="448"/>
      <c r="B168" s="519"/>
      <c r="C168" s="519"/>
      <c r="D168" s="431" t="s">
        <v>563</v>
      </c>
      <c r="E168" s="435">
        <v>153</v>
      </c>
      <c r="F168" s="446"/>
      <c r="G168" s="446"/>
      <c r="H168" s="446"/>
      <c r="I168" s="446"/>
      <c r="J168" s="446"/>
      <c r="K168" s="446"/>
      <c r="L168" s="446"/>
      <c r="M168" s="446"/>
      <c r="N168" s="446"/>
      <c r="O168" s="446"/>
      <c r="P168" s="446"/>
      <c r="Q168" s="446"/>
      <c r="R168" s="464"/>
      <c r="S168" s="446"/>
      <c r="T168" s="446"/>
      <c r="U168" s="446"/>
      <c r="V168" s="446"/>
      <c r="W168" s="446"/>
      <c r="X168" s="446"/>
      <c r="Y168" s="446"/>
      <c r="Z168" s="446"/>
      <c r="AA168" s="446"/>
      <c r="AB168" s="446"/>
      <c r="AC168" s="446"/>
      <c r="AD168" s="446"/>
      <c r="AE168" s="464">
        <f t="shared" si="2"/>
        <v>0</v>
      </c>
    </row>
    <row r="169" spans="1:31" ht="12.5">
      <c r="A169" s="448"/>
      <c r="B169" s="519"/>
      <c r="C169" s="519"/>
      <c r="D169" s="431" t="s">
        <v>562</v>
      </c>
      <c r="E169" s="435">
        <v>211</v>
      </c>
      <c r="F169" s="446"/>
      <c r="G169" s="446"/>
      <c r="H169" s="446"/>
      <c r="I169" s="446"/>
      <c r="J169" s="446"/>
      <c r="K169" s="446"/>
      <c r="L169" s="446"/>
      <c r="M169" s="446"/>
      <c r="N169" s="446"/>
      <c r="O169" s="446"/>
      <c r="P169" s="446"/>
      <c r="Q169" s="446"/>
      <c r="R169" s="464"/>
      <c r="S169" s="446"/>
      <c r="T169" s="446"/>
      <c r="U169" s="446"/>
      <c r="V169" s="446"/>
      <c r="W169" s="446"/>
      <c r="X169" s="446"/>
      <c r="Y169" s="446"/>
      <c r="Z169" s="446"/>
      <c r="AA169" s="446"/>
      <c r="AB169" s="446"/>
      <c r="AC169" s="446"/>
      <c r="AD169" s="446"/>
      <c r="AE169" s="464">
        <f t="shared" si="2"/>
        <v>0</v>
      </c>
    </row>
    <row r="170" spans="1:31" ht="12.5">
      <c r="A170" s="448"/>
      <c r="B170" s="519"/>
      <c r="C170" s="519"/>
      <c r="D170" s="431" t="s">
        <v>503</v>
      </c>
      <c r="E170" s="435">
        <v>635</v>
      </c>
      <c r="F170" s="446"/>
      <c r="G170" s="446"/>
      <c r="H170" s="446"/>
      <c r="I170" s="446"/>
      <c r="J170" s="446"/>
      <c r="K170" s="446"/>
      <c r="L170" s="446"/>
      <c r="M170" s="446"/>
      <c r="N170" s="446"/>
      <c r="O170" s="446"/>
      <c r="P170" s="446"/>
      <c r="Q170" s="446"/>
      <c r="R170" s="464"/>
      <c r="S170" s="446"/>
      <c r="T170" s="446"/>
      <c r="U170" s="446"/>
      <c r="V170" s="446"/>
      <c r="W170" s="446"/>
      <c r="X170" s="446"/>
      <c r="Y170" s="446"/>
      <c r="Z170" s="446"/>
      <c r="AA170" s="446"/>
      <c r="AB170" s="446"/>
      <c r="AC170" s="446"/>
      <c r="AD170" s="446"/>
      <c r="AE170" s="464">
        <f t="shared" si="2"/>
        <v>0</v>
      </c>
    </row>
    <row r="171" spans="1:31" ht="12.5">
      <c r="A171" s="439"/>
      <c r="B171" s="515"/>
      <c r="C171" s="515"/>
      <c r="D171" s="440" t="s">
        <v>565</v>
      </c>
      <c r="E171" s="481"/>
      <c r="F171" s="486"/>
      <c r="G171" s="486"/>
      <c r="H171" s="486"/>
      <c r="I171" s="486"/>
      <c r="J171" s="486"/>
      <c r="K171" s="486"/>
      <c r="L171" s="486"/>
      <c r="M171" s="486"/>
      <c r="N171" s="486"/>
      <c r="O171" s="486"/>
      <c r="P171" s="486"/>
      <c r="Q171" s="486"/>
      <c r="R171" s="444"/>
      <c r="S171" s="486"/>
      <c r="T171" s="486"/>
      <c r="U171" s="486"/>
      <c r="V171" s="486"/>
      <c r="W171" s="486"/>
      <c r="X171" s="486"/>
      <c r="Y171" s="486"/>
      <c r="Z171" s="486"/>
      <c r="AA171" s="486"/>
      <c r="AB171" s="486"/>
      <c r="AC171" s="486"/>
      <c r="AD171" s="486"/>
      <c r="AE171" s="444">
        <f t="shared" si="2"/>
        <v>0</v>
      </c>
    </row>
    <row r="172" spans="1:31" ht="12.5">
      <c r="A172" s="545">
        <v>8</v>
      </c>
      <c r="B172" s="546" t="s">
        <v>528</v>
      </c>
      <c r="C172" s="546" t="s">
        <v>529</v>
      </c>
      <c r="D172" s="547" t="s">
        <v>566</v>
      </c>
      <c r="E172" s="556">
        <v>1548</v>
      </c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0"/>
      <c r="S172" s="551"/>
      <c r="T172" s="551"/>
      <c r="U172" s="551"/>
      <c r="V172" s="551"/>
      <c r="W172" s="551"/>
      <c r="X172" s="551"/>
      <c r="Y172" s="551"/>
      <c r="Z172" s="551"/>
      <c r="AA172" s="551"/>
      <c r="AB172" s="551"/>
      <c r="AC172" s="551"/>
      <c r="AD172" s="551"/>
      <c r="AE172" s="550">
        <f t="shared" si="2"/>
        <v>0</v>
      </c>
    </row>
    <row r="173" spans="1:31" ht="12.5">
      <c r="A173" s="423"/>
      <c r="B173" s="461"/>
      <c r="C173" s="461"/>
      <c r="D173" s="437" t="s">
        <v>567</v>
      </c>
      <c r="E173" s="483">
        <v>152</v>
      </c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9"/>
      <c r="S173" s="428"/>
      <c r="T173" s="428"/>
      <c r="U173" s="428"/>
      <c r="V173" s="428"/>
      <c r="W173" s="428"/>
      <c r="X173" s="428"/>
      <c r="Y173" s="428"/>
      <c r="Z173" s="428"/>
      <c r="AA173" s="428"/>
      <c r="AB173" s="428"/>
      <c r="AC173" s="428"/>
      <c r="AD173" s="428"/>
      <c r="AE173" s="429">
        <f t="shared" si="2"/>
        <v>0</v>
      </c>
    </row>
    <row r="174" spans="1:31" ht="12.5">
      <c r="A174" s="423"/>
      <c r="B174" s="461"/>
      <c r="C174" s="461"/>
      <c r="D174" s="437" t="s">
        <v>568</v>
      </c>
      <c r="E174" s="483" t="s">
        <v>569</v>
      </c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9"/>
      <c r="S174" s="428"/>
      <c r="T174" s="428"/>
      <c r="U174" s="428"/>
      <c r="V174" s="428"/>
      <c r="W174" s="428"/>
      <c r="X174" s="428"/>
      <c r="Y174" s="428"/>
      <c r="Z174" s="428"/>
      <c r="AA174" s="428"/>
      <c r="AB174" s="428"/>
      <c r="AC174" s="428"/>
      <c r="AD174" s="428"/>
      <c r="AE174" s="429">
        <f t="shared" si="2"/>
        <v>0</v>
      </c>
    </row>
    <row r="175" spans="1:31" ht="12.5">
      <c r="A175" s="423"/>
      <c r="B175" s="461"/>
      <c r="C175" s="461"/>
      <c r="D175" s="437" t="s">
        <v>570</v>
      </c>
      <c r="E175" s="483">
        <v>627</v>
      </c>
      <c r="F175" s="428"/>
      <c r="G175" s="428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R175" s="429"/>
      <c r="S175" s="428"/>
      <c r="T175" s="428"/>
      <c r="U175" s="428"/>
      <c r="V175" s="428"/>
      <c r="W175" s="428"/>
      <c r="X175" s="428"/>
      <c r="Y175" s="428"/>
      <c r="Z175" s="428"/>
      <c r="AA175" s="428"/>
      <c r="AB175" s="428"/>
      <c r="AC175" s="428"/>
      <c r="AD175" s="428"/>
      <c r="AE175" s="429">
        <f t="shared" si="2"/>
        <v>0</v>
      </c>
    </row>
    <row r="176" spans="1:31" ht="12.5">
      <c r="A176" s="423"/>
      <c r="B176" s="461"/>
      <c r="C176" s="461"/>
      <c r="D176" s="437" t="s">
        <v>573</v>
      </c>
      <c r="E176" s="484">
        <v>627</v>
      </c>
      <c r="F176" s="428"/>
      <c r="G176" s="428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R176" s="429"/>
      <c r="S176" s="428"/>
      <c r="T176" s="428"/>
      <c r="U176" s="428"/>
      <c r="V176" s="428"/>
      <c r="W176" s="428"/>
      <c r="X176" s="428"/>
      <c r="Y176" s="428"/>
      <c r="Z176" s="428"/>
      <c r="AA176" s="428"/>
      <c r="AB176" s="428"/>
      <c r="AC176" s="428"/>
      <c r="AD176" s="428"/>
      <c r="AE176" s="429">
        <f t="shared" si="2"/>
        <v>0</v>
      </c>
    </row>
    <row r="177" spans="1:31" ht="12.5">
      <c r="A177" s="423"/>
      <c r="B177" s="461"/>
      <c r="C177" s="461"/>
      <c r="D177" s="437" t="s">
        <v>563</v>
      </c>
      <c r="E177" s="484">
        <v>153</v>
      </c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9"/>
      <c r="S177" s="428"/>
      <c r="T177" s="428"/>
      <c r="U177" s="428"/>
      <c r="V177" s="428"/>
      <c r="W177" s="428"/>
      <c r="X177" s="428"/>
      <c r="Y177" s="428"/>
      <c r="Z177" s="428"/>
      <c r="AA177" s="428"/>
      <c r="AB177" s="428"/>
      <c r="AC177" s="428"/>
      <c r="AD177" s="428"/>
      <c r="AE177" s="429">
        <f t="shared" si="2"/>
        <v>0</v>
      </c>
    </row>
    <row r="178" spans="1:31" ht="12.5">
      <c r="A178" s="423"/>
      <c r="B178" s="457"/>
      <c r="C178" s="457"/>
      <c r="D178" s="437" t="s">
        <v>562</v>
      </c>
      <c r="E178" s="484">
        <v>211</v>
      </c>
      <c r="F178" s="428"/>
      <c r="G178" s="428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R178" s="429"/>
      <c r="S178" s="428"/>
      <c r="T178" s="428"/>
      <c r="U178" s="428"/>
      <c r="V178" s="428"/>
      <c r="W178" s="428"/>
      <c r="X178" s="428"/>
      <c r="Y178" s="428"/>
      <c r="Z178" s="428"/>
      <c r="AA178" s="428"/>
      <c r="AB178" s="428"/>
      <c r="AC178" s="428"/>
      <c r="AD178" s="428"/>
      <c r="AE178" s="429">
        <f t="shared" si="2"/>
        <v>0</v>
      </c>
    </row>
    <row r="179" spans="1:31" ht="12.5">
      <c r="A179" s="423"/>
      <c r="B179" s="457"/>
      <c r="C179" s="457"/>
      <c r="D179" s="437" t="s">
        <v>574</v>
      </c>
      <c r="E179" s="483">
        <v>627</v>
      </c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9"/>
      <c r="S179" s="428"/>
      <c r="T179" s="428"/>
      <c r="U179" s="428"/>
      <c r="V179" s="428"/>
      <c r="W179" s="428"/>
      <c r="X179" s="428"/>
      <c r="Y179" s="428"/>
      <c r="Z179" s="428"/>
      <c r="AA179" s="428"/>
      <c r="AB179" s="428"/>
      <c r="AC179" s="428"/>
      <c r="AD179" s="428"/>
      <c r="AE179" s="429">
        <f t="shared" si="2"/>
        <v>0</v>
      </c>
    </row>
    <row r="180" spans="1:31" ht="12.5">
      <c r="A180" s="423"/>
      <c r="B180" s="457"/>
      <c r="C180" s="457"/>
      <c r="D180" s="437" t="s">
        <v>503</v>
      </c>
      <c r="E180" s="483">
        <v>635</v>
      </c>
      <c r="F180" s="428"/>
      <c r="G180" s="428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R180" s="429"/>
      <c r="S180" s="428"/>
      <c r="T180" s="428"/>
      <c r="U180" s="428"/>
      <c r="V180" s="428"/>
      <c r="W180" s="428"/>
      <c r="X180" s="428"/>
      <c r="Y180" s="428"/>
      <c r="Z180" s="428"/>
      <c r="AA180" s="428"/>
      <c r="AB180" s="428"/>
      <c r="AC180" s="428"/>
      <c r="AD180" s="428"/>
      <c r="AE180" s="429">
        <f t="shared" si="2"/>
        <v>0</v>
      </c>
    </row>
    <row r="181" spans="1:31" ht="12.5">
      <c r="A181" s="458"/>
      <c r="B181" s="459"/>
      <c r="C181" s="528"/>
      <c r="D181" s="452" t="s">
        <v>565</v>
      </c>
      <c r="E181" s="468">
        <v>156</v>
      </c>
      <c r="F181" s="485"/>
      <c r="G181" s="485"/>
      <c r="H181" s="485"/>
      <c r="I181" s="485"/>
      <c r="J181" s="485"/>
      <c r="K181" s="485"/>
      <c r="L181" s="485"/>
      <c r="M181" s="485"/>
      <c r="N181" s="485"/>
      <c r="O181" s="485"/>
      <c r="P181" s="485"/>
      <c r="Q181" s="485"/>
      <c r="R181" s="454"/>
      <c r="S181" s="485"/>
      <c r="T181" s="485"/>
      <c r="U181" s="485"/>
      <c r="V181" s="485"/>
      <c r="W181" s="485"/>
      <c r="X181" s="485"/>
      <c r="Y181" s="485"/>
      <c r="Z181" s="485"/>
      <c r="AA181" s="485"/>
      <c r="AB181" s="485"/>
      <c r="AC181" s="485"/>
      <c r="AD181" s="485"/>
      <c r="AE181" s="454">
        <f t="shared" si="2"/>
        <v>0</v>
      </c>
    </row>
    <row r="182" spans="1:31" ht="12.5">
      <c r="A182" s="545">
        <v>9</v>
      </c>
      <c r="B182" s="546" t="s">
        <v>531</v>
      </c>
      <c r="C182" s="546" t="s">
        <v>532</v>
      </c>
      <c r="D182" s="547" t="s">
        <v>571</v>
      </c>
      <c r="E182" s="556" t="s">
        <v>569</v>
      </c>
      <c r="F182" s="551"/>
      <c r="G182" s="551"/>
      <c r="H182" s="551"/>
      <c r="I182" s="551"/>
      <c r="J182" s="551"/>
      <c r="K182" s="551"/>
      <c r="L182" s="551"/>
      <c r="M182" s="551"/>
      <c r="N182" s="551"/>
      <c r="O182" s="551"/>
      <c r="P182" s="551"/>
      <c r="Q182" s="551"/>
      <c r="R182" s="550"/>
      <c r="S182" s="551"/>
      <c r="T182" s="551"/>
      <c r="U182" s="551"/>
      <c r="V182" s="551"/>
      <c r="W182" s="551"/>
      <c r="X182" s="551"/>
      <c r="Y182" s="551"/>
      <c r="Z182" s="551"/>
      <c r="AA182" s="551"/>
      <c r="AB182" s="551"/>
      <c r="AC182" s="551"/>
      <c r="AD182" s="551"/>
      <c r="AE182" s="550">
        <f t="shared" si="2"/>
        <v>0</v>
      </c>
    </row>
    <row r="183" spans="1:31" ht="12.5">
      <c r="A183" s="423"/>
      <c r="B183" s="457"/>
      <c r="C183" s="457"/>
      <c r="D183" s="437" t="s">
        <v>567</v>
      </c>
      <c r="E183" s="483">
        <v>152</v>
      </c>
      <c r="F183" s="428"/>
      <c r="G183" s="428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R183" s="429"/>
      <c r="S183" s="428"/>
      <c r="T183" s="428"/>
      <c r="U183" s="428"/>
      <c r="V183" s="428"/>
      <c r="W183" s="428"/>
      <c r="X183" s="428"/>
      <c r="Y183" s="428"/>
      <c r="Z183" s="428"/>
      <c r="AA183" s="428"/>
      <c r="AB183" s="428"/>
      <c r="AC183" s="428"/>
      <c r="AD183" s="428"/>
      <c r="AE183" s="429">
        <f t="shared" si="2"/>
        <v>0</v>
      </c>
    </row>
    <row r="184" spans="1:31" ht="12.5">
      <c r="A184" s="423"/>
      <c r="B184" s="457"/>
      <c r="C184" s="457"/>
      <c r="D184" s="437" t="s">
        <v>568</v>
      </c>
      <c r="E184" s="483" t="s">
        <v>569</v>
      </c>
      <c r="F184" s="428"/>
      <c r="G184" s="428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R184" s="429"/>
      <c r="S184" s="428"/>
      <c r="T184" s="428"/>
      <c r="U184" s="428"/>
      <c r="V184" s="428"/>
      <c r="W184" s="428"/>
      <c r="X184" s="428"/>
      <c r="Y184" s="428"/>
      <c r="Z184" s="428"/>
      <c r="AA184" s="428"/>
      <c r="AB184" s="428"/>
      <c r="AC184" s="428"/>
      <c r="AD184" s="428"/>
      <c r="AE184" s="429">
        <f t="shared" si="2"/>
        <v>0</v>
      </c>
    </row>
    <row r="185" spans="1:31" ht="12.5">
      <c r="A185" s="423"/>
      <c r="B185" s="457"/>
      <c r="C185" s="457"/>
      <c r="D185" s="437" t="s">
        <v>562</v>
      </c>
      <c r="E185" s="484">
        <v>211</v>
      </c>
      <c r="F185" s="428"/>
      <c r="G185" s="428"/>
      <c r="H185" s="428"/>
      <c r="I185" s="428"/>
      <c r="J185" s="428"/>
      <c r="K185" s="428"/>
      <c r="L185" s="428"/>
      <c r="M185" s="428"/>
      <c r="N185" s="428"/>
      <c r="O185" s="428"/>
      <c r="P185" s="428"/>
      <c r="Q185" s="428"/>
      <c r="R185" s="429"/>
      <c r="S185" s="428"/>
      <c r="T185" s="428"/>
      <c r="U185" s="428"/>
      <c r="V185" s="428"/>
      <c r="W185" s="428"/>
      <c r="X185" s="428"/>
      <c r="Y185" s="428"/>
      <c r="Z185" s="428"/>
      <c r="AA185" s="428"/>
      <c r="AB185" s="428"/>
      <c r="AC185" s="428"/>
      <c r="AD185" s="428"/>
      <c r="AE185" s="429">
        <f t="shared" si="2"/>
        <v>0</v>
      </c>
    </row>
    <row r="186" spans="1:31" ht="12.5">
      <c r="A186" s="458"/>
      <c r="B186" s="459"/>
      <c r="C186" s="459"/>
      <c r="D186" s="460" t="s">
        <v>565</v>
      </c>
      <c r="E186" s="474"/>
      <c r="F186" s="485"/>
      <c r="G186" s="485"/>
      <c r="H186" s="485"/>
      <c r="I186" s="485"/>
      <c r="J186" s="485"/>
      <c r="K186" s="485"/>
      <c r="L186" s="485"/>
      <c r="M186" s="485"/>
      <c r="N186" s="485"/>
      <c r="O186" s="485"/>
      <c r="P186" s="485"/>
      <c r="Q186" s="485"/>
      <c r="R186" s="454"/>
      <c r="S186" s="485"/>
      <c r="T186" s="485"/>
      <c r="U186" s="485"/>
      <c r="V186" s="485"/>
      <c r="W186" s="485"/>
      <c r="X186" s="485"/>
      <c r="Y186" s="485"/>
      <c r="Z186" s="485"/>
      <c r="AA186" s="485"/>
      <c r="AB186" s="485"/>
      <c r="AC186" s="485"/>
      <c r="AD186" s="485"/>
      <c r="AE186" s="454">
        <f t="shared" si="2"/>
        <v>0</v>
      </c>
    </row>
    <row r="187" spans="1:31" ht="12.5">
      <c r="A187" s="545">
        <v>10</v>
      </c>
      <c r="B187" s="559" t="s">
        <v>533</v>
      </c>
      <c r="C187" s="559" t="s">
        <v>534</v>
      </c>
      <c r="D187" s="547" t="s">
        <v>574</v>
      </c>
      <c r="E187" s="556">
        <v>627</v>
      </c>
      <c r="F187" s="551"/>
      <c r="G187" s="551"/>
      <c r="H187" s="551"/>
      <c r="I187" s="551"/>
      <c r="J187" s="551"/>
      <c r="K187" s="551"/>
      <c r="L187" s="551"/>
      <c r="M187" s="551"/>
      <c r="N187" s="551"/>
      <c r="O187" s="551"/>
      <c r="P187" s="551"/>
      <c r="Q187" s="551"/>
      <c r="R187" s="550"/>
      <c r="S187" s="551"/>
      <c r="T187" s="551"/>
      <c r="U187" s="551"/>
      <c r="V187" s="551"/>
      <c r="W187" s="551"/>
      <c r="X187" s="551"/>
      <c r="Y187" s="551"/>
      <c r="Z187" s="551"/>
      <c r="AA187" s="551"/>
      <c r="AB187" s="551"/>
      <c r="AC187" s="551"/>
      <c r="AD187" s="551"/>
      <c r="AE187" s="550">
        <f t="shared" si="2"/>
        <v>0</v>
      </c>
    </row>
    <row r="188" spans="1:31" ht="12.5">
      <c r="A188" s="450"/>
      <c r="B188" s="531"/>
      <c r="C188" s="531"/>
      <c r="D188" s="460" t="s">
        <v>562</v>
      </c>
      <c r="E188" s="474">
        <v>211</v>
      </c>
      <c r="F188" s="428"/>
      <c r="G188" s="428"/>
      <c r="H188" s="428"/>
      <c r="I188" s="428"/>
      <c r="J188" s="428"/>
      <c r="K188" s="428"/>
      <c r="L188" s="428"/>
      <c r="M188" s="428"/>
      <c r="N188" s="428"/>
      <c r="O188" s="428"/>
      <c r="P188" s="428"/>
      <c r="Q188" s="428"/>
      <c r="R188" s="429"/>
      <c r="S188" s="428"/>
      <c r="T188" s="428"/>
      <c r="U188" s="428"/>
      <c r="V188" s="428"/>
      <c r="W188" s="428"/>
      <c r="X188" s="428"/>
      <c r="Y188" s="428"/>
      <c r="Z188" s="428"/>
      <c r="AA188" s="428"/>
      <c r="AB188" s="428"/>
      <c r="AC188" s="428"/>
      <c r="AD188" s="428"/>
      <c r="AE188" s="429">
        <f t="shared" si="2"/>
        <v>0</v>
      </c>
    </row>
    <row r="189" spans="1:31" ht="12.5">
      <c r="A189" s="450"/>
      <c r="B189" s="531"/>
      <c r="C189" s="531"/>
      <c r="D189" s="460" t="s">
        <v>565</v>
      </c>
      <c r="E189" s="474">
        <v>156</v>
      </c>
      <c r="F189" s="485"/>
      <c r="G189" s="485"/>
      <c r="H189" s="485"/>
      <c r="I189" s="485"/>
      <c r="J189" s="485"/>
      <c r="K189" s="485"/>
      <c r="L189" s="485"/>
      <c r="M189" s="485"/>
      <c r="N189" s="485"/>
      <c r="O189" s="485"/>
      <c r="P189" s="485"/>
      <c r="Q189" s="485"/>
      <c r="R189" s="454"/>
      <c r="S189" s="485"/>
      <c r="T189" s="485"/>
      <c r="U189" s="485"/>
      <c r="V189" s="485"/>
      <c r="W189" s="485"/>
      <c r="X189" s="485"/>
      <c r="Y189" s="485"/>
      <c r="Z189" s="485"/>
      <c r="AA189" s="485"/>
      <c r="AB189" s="485"/>
      <c r="AC189" s="485"/>
      <c r="AD189" s="485"/>
      <c r="AE189" s="454">
        <f t="shared" si="2"/>
        <v>0</v>
      </c>
    </row>
    <row r="190" spans="1:31" ht="12.5">
      <c r="A190" s="545">
        <v>11</v>
      </c>
      <c r="B190" s="546" t="s">
        <v>535</v>
      </c>
      <c r="C190" s="546" t="s">
        <v>536</v>
      </c>
      <c r="D190" s="547" t="s">
        <v>566</v>
      </c>
      <c r="E190" s="556">
        <v>1548</v>
      </c>
      <c r="F190" s="551"/>
      <c r="G190" s="551"/>
      <c r="H190" s="551"/>
      <c r="I190" s="551"/>
      <c r="J190" s="551"/>
      <c r="K190" s="551"/>
      <c r="L190" s="551"/>
      <c r="M190" s="551"/>
      <c r="N190" s="551"/>
      <c r="O190" s="551"/>
      <c r="P190" s="551"/>
      <c r="Q190" s="551"/>
      <c r="R190" s="550"/>
      <c r="S190" s="551"/>
      <c r="T190" s="551"/>
      <c r="U190" s="551"/>
      <c r="V190" s="551"/>
      <c r="W190" s="551"/>
      <c r="X190" s="551"/>
      <c r="Y190" s="551"/>
      <c r="Z190" s="551"/>
      <c r="AA190" s="551"/>
      <c r="AB190" s="551"/>
      <c r="AC190" s="551"/>
      <c r="AD190" s="551"/>
      <c r="AE190" s="550">
        <f t="shared" si="2"/>
        <v>0</v>
      </c>
    </row>
    <row r="191" spans="1:31" ht="12.5">
      <c r="A191" s="448"/>
      <c r="B191" s="457"/>
      <c r="C191" s="461"/>
      <c r="D191" s="449" t="s">
        <v>571</v>
      </c>
      <c r="E191" s="483" t="s">
        <v>569</v>
      </c>
      <c r="F191" s="428"/>
      <c r="G191" s="428"/>
      <c r="H191" s="428"/>
      <c r="I191" s="428"/>
      <c r="J191" s="428"/>
      <c r="K191" s="428"/>
      <c r="L191" s="428"/>
      <c r="M191" s="428"/>
      <c r="N191" s="428"/>
      <c r="O191" s="428"/>
      <c r="P191" s="428"/>
      <c r="Q191" s="428"/>
      <c r="R191" s="429"/>
      <c r="S191" s="428"/>
      <c r="T191" s="428"/>
      <c r="U191" s="428"/>
      <c r="V191" s="428"/>
      <c r="W191" s="428"/>
      <c r="X191" s="428"/>
      <c r="Y191" s="428"/>
      <c r="Z191" s="428"/>
      <c r="AA191" s="428"/>
      <c r="AB191" s="428"/>
      <c r="AC191" s="428"/>
      <c r="AD191" s="428"/>
      <c r="AE191" s="429">
        <f t="shared" si="2"/>
        <v>0</v>
      </c>
    </row>
    <row r="192" spans="1:31" ht="12.5">
      <c r="A192" s="448"/>
      <c r="B192" s="457"/>
      <c r="C192" s="457"/>
      <c r="D192" s="437" t="s">
        <v>567</v>
      </c>
      <c r="E192" s="483">
        <v>152</v>
      </c>
      <c r="F192" s="428"/>
      <c r="G192" s="428"/>
      <c r="H192" s="428"/>
      <c r="I192" s="428"/>
      <c r="J192" s="428"/>
      <c r="K192" s="428"/>
      <c r="L192" s="428"/>
      <c r="M192" s="428"/>
      <c r="N192" s="428"/>
      <c r="O192" s="428"/>
      <c r="P192" s="428"/>
      <c r="Q192" s="428"/>
      <c r="R192" s="429"/>
      <c r="S192" s="428"/>
      <c r="T192" s="428"/>
      <c r="U192" s="428"/>
      <c r="V192" s="428"/>
      <c r="W192" s="428"/>
      <c r="X192" s="428"/>
      <c r="Y192" s="428"/>
      <c r="Z192" s="428"/>
      <c r="AA192" s="428"/>
      <c r="AB192" s="428"/>
      <c r="AC192" s="428"/>
      <c r="AD192" s="428"/>
      <c r="AE192" s="429">
        <f t="shared" si="2"/>
        <v>0</v>
      </c>
    </row>
    <row r="193" spans="1:31" ht="12.5">
      <c r="A193" s="448"/>
      <c r="B193" s="457"/>
      <c r="C193" s="457"/>
      <c r="D193" s="437" t="s">
        <v>568</v>
      </c>
      <c r="E193" s="483" t="s">
        <v>569</v>
      </c>
      <c r="F193" s="428"/>
      <c r="G193" s="428"/>
      <c r="H193" s="428"/>
      <c r="I193" s="428"/>
      <c r="J193" s="428"/>
      <c r="K193" s="428"/>
      <c r="L193" s="428"/>
      <c r="M193" s="428"/>
      <c r="N193" s="428"/>
      <c r="O193" s="428">
        <v>52000000</v>
      </c>
      <c r="P193" s="428"/>
      <c r="Q193" s="428"/>
      <c r="R193" s="429">
        <f t="shared" ref="R193:R195" si="5">SUM(F193:Q193)</f>
        <v>52000000</v>
      </c>
      <c r="S193" s="428"/>
      <c r="T193" s="428"/>
      <c r="U193" s="428">
        <v>316000000</v>
      </c>
      <c r="V193" s="428"/>
      <c r="W193" s="428"/>
      <c r="X193" s="428"/>
      <c r="Y193" s="428"/>
      <c r="Z193" s="428"/>
      <c r="AA193" s="428"/>
      <c r="AB193" s="428"/>
      <c r="AC193" s="428"/>
      <c r="AD193" s="428"/>
      <c r="AE193" s="429">
        <f t="shared" si="2"/>
        <v>316000000</v>
      </c>
    </row>
    <row r="194" spans="1:31" ht="12.5">
      <c r="A194" s="448"/>
      <c r="B194" s="457"/>
      <c r="C194" s="457"/>
      <c r="D194" s="437" t="s">
        <v>562</v>
      </c>
      <c r="E194" s="484">
        <v>211</v>
      </c>
      <c r="F194" s="428"/>
      <c r="G194" s="428"/>
      <c r="H194" s="428"/>
      <c r="I194" s="428"/>
      <c r="J194" s="428"/>
      <c r="K194" s="428"/>
      <c r="L194" s="428"/>
      <c r="M194" s="428"/>
      <c r="N194" s="428"/>
      <c r="O194" s="428"/>
      <c r="P194" s="428">
        <v>1089300000</v>
      </c>
      <c r="Q194" s="428"/>
      <c r="R194" s="429">
        <f t="shared" si="5"/>
        <v>1089300000</v>
      </c>
      <c r="S194" s="428"/>
      <c r="T194" s="428"/>
      <c r="U194" s="428"/>
      <c r="V194" s="428"/>
      <c r="W194" s="428"/>
      <c r="X194" s="428"/>
      <c r="Y194" s="428"/>
      <c r="Z194" s="428"/>
      <c r="AA194" s="428"/>
      <c r="AB194" s="428"/>
      <c r="AC194" s="428"/>
      <c r="AD194" s="428"/>
      <c r="AE194" s="429">
        <f t="shared" si="2"/>
        <v>0</v>
      </c>
    </row>
    <row r="195" spans="1:31" ht="12.5">
      <c r="A195" s="450"/>
      <c r="B195" s="459"/>
      <c r="C195" s="459"/>
      <c r="D195" s="460" t="s">
        <v>565</v>
      </c>
      <c r="E195" s="474">
        <v>211</v>
      </c>
      <c r="F195" s="485"/>
      <c r="G195" s="485"/>
      <c r="H195" s="485"/>
      <c r="I195" s="485"/>
      <c r="J195" s="485">
        <v>525000000</v>
      </c>
      <c r="K195" s="485"/>
      <c r="L195" s="485"/>
      <c r="M195" s="485"/>
      <c r="N195" s="485"/>
      <c r="O195" s="485"/>
      <c r="P195" s="485"/>
      <c r="Q195" s="485"/>
      <c r="R195" s="454">
        <f t="shared" si="5"/>
        <v>525000000</v>
      </c>
      <c r="S195" s="485"/>
      <c r="T195" s="485"/>
      <c r="U195" s="485"/>
      <c r="V195" s="485">
        <v>560000000</v>
      </c>
      <c r="W195" s="485"/>
      <c r="X195" s="485"/>
      <c r="Y195" s="485"/>
      <c r="Z195" s="485"/>
      <c r="AA195" s="485"/>
      <c r="AB195" s="485"/>
      <c r="AC195" s="485"/>
      <c r="AD195" s="485"/>
      <c r="AE195" s="454">
        <f t="shared" si="2"/>
        <v>560000000</v>
      </c>
    </row>
    <row r="196" spans="1:31" ht="12.5">
      <c r="A196" s="545">
        <v>12</v>
      </c>
      <c r="B196" s="546" t="s">
        <v>537</v>
      </c>
      <c r="C196" s="546" t="s">
        <v>538</v>
      </c>
      <c r="D196" s="547" t="s">
        <v>571</v>
      </c>
      <c r="E196" s="556" t="s">
        <v>569</v>
      </c>
      <c r="F196" s="551"/>
      <c r="G196" s="551"/>
      <c r="H196" s="551"/>
      <c r="I196" s="551"/>
      <c r="J196" s="551"/>
      <c r="K196" s="551"/>
      <c r="L196" s="551"/>
      <c r="M196" s="551"/>
      <c r="N196" s="551"/>
      <c r="O196" s="551"/>
      <c r="P196" s="551"/>
      <c r="Q196" s="551"/>
      <c r="R196" s="550"/>
      <c r="S196" s="551"/>
      <c r="T196" s="551"/>
      <c r="U196" s="551"/>
      <c r="V196" s="551"/>
      <c r="W196" s="551"/>
      <c r="X196" s="551"/>
      <c r="Y196" s="551"/>
      <c r="Z196" s="551"/>
      <c r="AA196" s="551"/>
      <c r="AB196" s="551"/>
      <c r="AC196" s="551"/>
      <c r="AD196" s="551"/>
      <c r="AE196" s="550">
        <f t="shared" si="2"/>
        <v>0</v>
      </c>
    </row>
    <row r="197" spans="1:31" ht="12.5">
      <c r="A197" s="450"/>
      <c r="B197" s="459"/>
      <c r="C197" s="459"/>
      <c r="D197" s="460" t="s">
        <v>562</v>
      </c>
      <c r="E197" s="474">
        <v>211</v>
      </c>
      <c r="F197" s="428"/>
      <c r="G197" s="428"/>
      <c r="H197" s="428"/>
      <c r="I197" s="428"/>
      <c r="J197" s="428"/>
      <c r="K197" s="428"/>
      <c r="L197" s="428"/>
      <c r="M197" s="428"/>
      <c r="N197" s="428"/>
      <c r="O197" s="428"/>
      <c r="P197" s="428"/>
      <c r="Q197" s="428"/>
      <c r="R197" s="429"/>
      <c r="S197" s="428"/>
      <c r="T197" s="428"/>
      <c r="U197" s="428"/>
      <c r="V197" s="428"/>
      <c r="W197" s="428"/>
      <c r="X197" s="428"/>
      <c r="Y197" s="428"/>
      <c r="Z197" s="428"/>
      <c r="AA197" s="428"/>
      <c r="AB197" s="428"/>
      <c r="AC197" s="428"/>
      <c r="AD197" s="428"/>
      <c r="AE197" s="429">
        <f t="shared" si="2"/>
        <v>0</v>
      </c>
    </row>
    <row r="198" spans="1:31" ht="12.5">
      <c r="A198" s="450"/>
      <c r="B198" s="459"/>
      <c r="C198" s="459"/>
      <c r="D198" s="460" t="s">
        <v>565</v>
      </c>
      <c r="E198" s="474">
        <v>152</v>
      </c>
      <c r="F198" s="485"/>
      <c r="G198" s="485"/>
      <c r="H198" s="485"/>
      <c r="I198" s="485"/>
      <c r="J198" s="485"/>
      <c r="K198" s="485"/>
      <c r="L198" s="485"/>
      <c r="M198" s="485"/>
      <c r="N198" s="485"/>
      <c r="O198" s="485"/>
      <c r="P198" s="485"/>
      <c r="Q198" s="485"/>
      <c r="R198" s="454"/>
      <c r="S198" s="485"/>
      <c r="T198" s="485"/>
      <c r="U198" s="485"/>
      <c r="V198" s="485"/>
      <c r="W198" s="485"/>
      <c r="X198" s="485"/>
      <c r="Y198" s="485"/>
      <c r="Z198" s="485"/>
      <c r="AA198" s="485"/>
      <c r="AB198" s="485"/>
      <c r="AC198" s="485"/>
      <c r="AD198" s="485"/>
      <c r="AE198" s="454">
        <f t="shared" si="2"/>
        <v>0</v>
      </c>
    </row>
    <row r="199" spans="1:31" ht="12.5">
      <c r="A199" s="545">
        <v>13</v>
      </c>
      <c r="B199" s="546" t="s">
        <v>539</v>
      </c>
      <c r="C199" s="546" t="s">
        <v>540</v>
      </c>
      <c r="D199" s="547" t="s">
        <v>575</v>
      </c>
      <c r="E199" s="556">
        <v>152</v>
      </c>
      <c r="F199" s="551"/>
      <c r="G199" s="551"/>
      <c r="H199" s="551"/>
      <c r="I199" s="551"/>
      <c r="J199" s="551"/>
      <c r="K199" s="551"/>
      <c r="L199" s="551"/>
      <c r="M199" s="551"/>
      <c r="N199" s="551"/>
      <c r="O199" s="551"/>
      <c r="P199" s="551"/>
      <c r="Q199" s="551"/>
      <c r="R199" s="550"/>
      <c r="S199" s="551"/>
      <c r="T199" s="551"/>
      <c r="U199" s="551"/>
      <c r="V199" s="551"/>
      <c r="W199" s="551"/>
      <c r="X199" s="551"/>
      <c r="Y199" s="551"/>
      <c r="Z199" s="551"/>
      <c r="AA199" s="551"/>
      <c r="AB199" s="551"/>
      <c r="AC199" s="551"/>
      <c r="AD199" s="551"/>
      <c r="AE199" s="550">
        <f t="shared" si="2"/>
        <v>0</v>
      </c>
    </row>
    <row r="200" spans="1:31" ht="12.5">
      <c r="A200" s="450"/>
      <c r="B200" s="457"/>
      <c r="C200" s="459"/>
      <c r="D200" s="460" t="s">
        <v>567</v>
      </c>
      <c r="E200" s="474" t="s">
        <v>576</v>
      </c>
      <c r="F200" s="428"/>
      <c r="G200" s="428"/>
      <c r="H200" s="428"/>
      <c r="I200" s="428"/>
      <c r="J200" s="428"/>
      <c r="K200" s="428"/>
      <c r="L200" s="428"/>
      <c r="M200" s="428"/>
      <c r="N200" s="428"/>
      <c r="O200" s="428"/>
      <c r="P200" s="428"/>
      <c r="Q200" s="428"/>
      <c r="R200" s="429"/>
      <c r="S200" s="428"/>
      <c r="T200" s="428"/>
      <c r="U200" s="428"/>
      <c r="V200" s="428"/>
      <c r="W200" s="428"/>
      <c r="X200" s="428"/>
      <c r="Y200" s="428"/>
      <c r="Z200" s="428"/>
      <c r="AA200" s="428"/>
      <c r="AB200" s="428"/>
      <c r="AC200" s="428"/>
      <c r="AD200" s="428"/>
      <c r="AE200" s="429">
        <f t="shared" ref="AE200:AE230" si="6">SUM(S200:AD200)</f>
        <v>0</v>
      </c>
    </row>
    <row r="201" spans="1:31" ht="12.5">
      <c r="A201" s="450"/>
      <c r="B201" s="457"/>
      <c r="C201" s="459"/>
      <c r="D201" s="460" t="s">
        <v>567</v>
      </c>
      <c r="E201" s="474" t="s">
        <v>576</v>
      </c>
      <c r="F201" s="428"/>
      <c r="G201" s="428"/>
      <c r="H201" s="428"/>
      <c r="I201" s="428"/>
      <c r="J201" s="428"/>
      <c r="K201" s="428"/>
      <c r="L201" s="428"/>
      <c r="M201" s="428"/>
      <c r="N201" s="428"/>
      <c r="O201" s="428"/>
      <c r="P201" s="428"/>
      <c r="Q201" s="428"/>
      <c r="R201" s="429"/>
      <c r="S201" s="428"/>
      <c r="T201" s="428"/>
      <c r="U201" s="428"/>
      <c r="V201" s="428"/>
      <c r="W201" s="428"/>
      <c r="X201" s="428"/>
      <c r="Y201" s="428"/>
      <c r="Z201" s="428"/>
      <c r="AA201" s="428"/>
      <c r="AB201" s="428"/>
      <c r="AC201" s="428"/>
      <c r="AD201" s="428"/>
      <c r="AE201" s="429">
        <f t="shared" si="6"/>
        <v>0</v>
      </c>
    </row>
    <row r="202" spans="1:31" ht="12.5">
      <c r="A202" s="450"/>
      <c r="B202" s="459"/>
      <c r="C202" s="459"/>
      <c r="D202" s="460" t="s">
        <v>565</v>
      </c>
      <c r="E202" s="474"/>
      <c r="F202" s="485"/>
      <c r="G202" s="485"/>
      <c r="H202" s="485"/>
      <c r="I202" s="485"/>
      <c r="J202" s="485"/>
      <c r="K202" s="485"/>
      <c r="L202" s="485"/>
      <c r="M202" s="485"/>
      <c r="N202" s="485"/>
      <c r="O202" s="485"/>
      <c r="P202" s="485"/>
      <c r="Q202" s="485"/>
      <c r="R202" s="454"/>
      <c r="S202" s="485"/>
      <c r="T202" s="485"/>
      <c r="U202" s="485"/>
      <c r="V202" s="485"/>
      <c r="W202" s="485"/>
      <c r="X202" s="485"/>
      <c r="Y202" s="485"/>
      <c r="Z202" s="485"/>
      <c r="AA202" s="485"/>
      <c r="AB202" s="485"/>
      <c r="AC202" s="485"/>
      <c r="AD202" s="485"/>
      <c r="AE202" s="454">
        <f t="shared" si="6"/>
        <v>0</v>
      </c>
    </row>
    <row r="203" spans="1:31" ht="12.5">
      <c r="A203" s="545">
        <v>14</v>
      </c>
      <c r="B203" s="546" t="s">
        <v>541</v>
      </c>
      <c r="C203" s="546" t="s">
        <v>542</v>
      </c>
      <c r="D203" s="547" t="s">
        <v>571</v>
      </c>
      <c r="E203" s="556" t="s">
        <v>569</v>
      </c>
      <c r="F203" s="551"/>
      <c r="G203" s="551"/>
      <c r="H203" s="551"/>
      <c r="I203" s="551"/>
      <c r="J203" s="551"/>
      <c r="K203" s="551"/>
      <c r="L203" s="551"/>
      <c r="M203" s="551"/>
      <c r="N203" s="551"/>
      <c r="O203" s="551"/>
      <c r="P203" s="551"/>
      <c r="Q203" s="551"/>
      <c r="R203" s="550"/>
      <c r="S203" s="551"/>
      <c r="T203" s="551"/>
      <c r="U203" s="551"/>
      <c r="V203" s="551"/>
      <c r="W203" s="551"/>
      <c r="X203" s="551"/>
      <c r="Y203" s="551"/>
      <c r="Z203" s="551"/>
      <c r="AA203" s="551"/>
      <c r="AB203" s="551"/>
      <c r="AC203" s="551"/>
      <c r="AD203" s="551"/>
      <c r="AE203" s="550">
        <f t="shared" si="6"/>
        <v>0</v>
      </c>
    </row>
    <row r="204" spans="1:31" ht="12.5">
      <c r="A204" s="450"/>
      <c r="B204" s="457"/>
      <c r="C204" s="459"/>
      <c r="D204" s="460" t="s">
        <v>562</v>
      </c>
      <c r="E204" s="474">
        <v>211</v>
      </c>
      <c r="F204" s="428"/>
      <c r="G204" s="428"/>
      <c r="H204" s="428"/>
      <c r="I204" s="428"/>
      <c r="J204" s="428"/>
      <c r="K204" s="428"/>
      <c r="L204" s="428"/>
      <c r="M204" s="428"/>
      <c r="N204" s="428"/>
      <c r="O204" s="428"/>
      <c r="P204" s="428"/>
      <c r="Q204" s="428"/>
      <c r="R204" s="429"/>
      <c r="S204" s="428"/>
      <c r="T204" s="428"/>
      <c r="U204" s="428"/>
      <c r="V204" s="428"/>
      <c r="W204" s="428"/>
      <c r="X204" s="428"/>
      <c r="Y204" s="428"/>
      <c r="Z204" s="428"/>
      <c r="AA204" s="428"/>
      <c r="AB204" s="428"/>
      <c r="AC204" s="428"/>
      <c r="AD204" s="428"/>
      <c r="AE204" s="429">
        <f t="shared" si="6"/>
        <v>0</v>
      </c>
    </row>
    <row r="205" spans="1:31" ht="12.5">
      <c r="A205" s="450"/>
      <c r="B205" s="459"/>
      <c r="C205" s="459"/>
      <c r="D205" s="460" t="s">
        <v>565</v>
      </c>
      <c r="E205" s="474">
        <v>152</v>
      </c>
      <c r="F205" s="485"/>
      <c r="G205" s="485"/>
      <c r="H205" s="485"/>
      <c r="I205" s="485"/>
      <c r="J205" s="485"/>
      <c r="K205" s="485"/>
      <c r="L205" s="485"/>
      <c r="M205" s="485"/>
      <c r="N205" s="485"/>
      <c r="O205" s="485"/>
      <c r="P205" s="485"/>
      <c r="Q205" s="485"/>
      <c r="R205" s="454"/>
      <c r="S205" s="485"/>
      <c r="T205" s="485"/>
      <c r="U205" s="485"/>
      <c r="V205" s="485"/>
      <c r="W205" s="485"/>
      <c r="X205" s="485"/>
      <c r="Y205" s="485"/>
      <c r="Z205" s="485"/>
      <c r="AA205" s="485"/>
      <c r="AB205" s="485"/>
      <c r="AC205" s="485"/>
      <c r="AD205" s="485"/>
      <c r="AE205" s="454">
        <f t="shared" si="6"/>
        <v>0</v>
      </c>
    </row>
    <row r="206" spans="1:31" ht="12.5">
      <c r="A206" s="545">
        <v>15</v>
      </c>
      <c r="B206" s="559" t="s">
        <v>543</v>
      </c>
      <c r="C206" s="559" t="s">
        <v>544</v>
      </c>
      <c r="D206" s="547" t="s">
        <v>571</v>
      </c>
      <c r="E206" s="556" t="s">
        <v>569</v>
      </c>
      <c r="F206" s="551"/>
      <c r="G206" s="551"/>
      <c r="H206" s="551"/>
      <c r="I206" s="551"/>
      <c r="J206" s="551"/>
      <c r="K206" s="551"/>
      <c r="L206" s="551"/>
      <c r="M206" s="551"/>
      <c r="N206" s="551"/>
      <c r="O206" s="551"/>
      <c r="P206" s="551"/>
      <c r="Q206" s="551"/>
      <c r="R206" s="550"/>
      <c r="S206" s="551"/>
      <c r="T206" s="551"/>
      <c r="U206" s="551"/>
      <c r="V206" s="551"/>
      <c r="W206" s="551"/>
      <c r="X206" s="551"/>
      <c r="Y206" s="551"/>
      <c r="Z206" s="551"/>
      <c r="AA206" s="551"/>
      <c r="AB206" s="551"/>
      <c r="AC206" s="551"/>
      <c r="AD206" s="551"/>
      <c r="AE206" s="550">
        <f t="shared" si="6"/>
        <v>0</v>
      </c>
    </row>
    <row r="207" spans="1:31" ht="12.5">
      <c r="A207" s="450"/>
      <c r="B207" s="519"/>
      <c r="C207" s="531"/>
      <c r="D207" s="460" t="s">
        <v>562</v>
      </c>
      <c r="E207" s="474">
        <v>211</v>
      </c>
      <c r="F207" s="428"/>
      <c r="G207" s="428"/>
      <c r="H207" s="428"/>
      <c r="I207" s="428"/>
      <c r="J207" s="428"/>
      <c r="K207" s="428"/>
      <c r="L207" s="428"/>
      <c r="M207" s="428"/>
      <c r="N207" s="428"/>
      <c r="O207" s="428"/>
      <c r="P207" s="428"/>
      <c r="Q207" s="428"/>
      <c r="R207" s="429"/>
      <c r="S207" s="428"/>
      <c r="T207" s="428"/>
      <c r="U207" s="428"/>
      <c r="V207" s="428"/>
      <c r="W207" s="428"/>
      <c r="X207" s="428"/>
      <c r="Y207" s="428"/>
      <c r="Z207" s="428"/>
      <c r="AA207" s="428"/>
      <c r="AB207" s="428"/>
      <c r="AC207" s="428"/>
      <c r="AD207" s="428"/>
      <c r="AE207" s="429">
        <f t="shared" si="6"/>
        <v>0</v>
      </c>
    </row>
    <row r="208" spans="1:31" ht="12.5">
      <c r="A208" s="450"/>
      <c r="B208" s="531"/>
      <c r="C208" s="531"/>
      <c r="D208" s="460" t="s">
        <v>565</v>
      </c>
      <c r="E208" s="474">
        <v>152</v>
      </c>
      <c r="F208" s="485"/>
      <c r="G208" s="485"/>
      <c r="H208" s="485"/>
      <c r="I208" s="485"/>
      <c r="J208" s="485"/>
      <c r="K208" s="485"/>
      <c r="L208" s="485"/>
      <c r="M208" s="485"/>
      <c r="N208" s="485"/>
      <c r="O208" s="485"/>
      <c r="P208" s="485"/>
      <c r="Q208" s="485"/>
      <c r="R208" s="454"/>
      <c r="S208" s="485"/>
      <c r="T208" s="485"/>
      <c r="U208" s="485"/>
      <c r="V208" s="485"/>
      <c r="W208" s="485"/>
      <c r="X208" s="485"/>
      <c r="Y208" s="485"/>
      <c r="Z208" s="485"/>
      <c r="AA208" s="485"/>
      <c r="AB208" s="485"/>
      <c r="AC208" s="485"/>
      <c r="AD208" s="485"/>
      <c r="AE208" s="454">
        <f t="shared" si="6"/>
        <v>0</v>
      </c>
    </row>
    <row r="209" spans="1:31" ht="12.5">
      <c r="A209" s="545">
        <v>16</v>
      </c>
      <c r="B209" s="559" t="s">
        <v>545</v>
      </c>
      <c r="C209" s="559" t="s">
        <v>546</v>
      </c>
      <c r="D209" s="547" t="s">
        <v>571</v>
      </c>
      <c r="E209" s="556" t="s">
        <v>569</v>
      </c>
      <c r="F209" s="551"/>
      <c r="G209" s="551"/>
      <c r="H209" s="551"/>
      <c r="I209" s="551"/>
      <c r="J209" s="551"/>
      <c r="K209" s="551"/>
      <c r="L209" s="551"/>
      <c r="M209" s="551"/>
      <c r="N209" s="551"/>
      <c r="O209" s="551"/>
      <c r="P209" s="551"/>
      <c r="Q209" s="551"/>
      <c r="R209" s="550"/>
      <c r="S209" s="551"/>
      <c r="T209" s="551"/>
      <c r="U209" s="551"/>
      <c r="V209" s="551"/>
      <c r="W209" s="551"/>
      <c r="X209" s="551"/>
      <c r="Y209" s="551"/>
      <c r="Z209" s="551"/>
      <c r="AA209" s="551"/>
      <c r="AB209" s="551"/>
      <c r="AC209" s="551"/>
      <c r="AD209" s="551"/>
      <c r="AE209" s="550">
        <f t="shared" si="6"/>
        <v>0</v>
      </c>
    </row>
    <row r="210" spans="1:31" ht="12.5">
      <c r="A210" s="450"/>
      <c r="B210" s="519"/>
      <c r="C210" s="531"/>
      <c r="D210" s="460" t="s">
        <v>562</v>
      </c>
      <c r="E210" s="474">
        <v>211</v>
      </c>
      <c r="F210" s="428"/>
      <c r="G210" s="428"/>
      <c r="H210" s="428"/>
      <c r="I210" s="428"/>
      <c r="J210" s="428"/>
      <c r="K210" s="428"/>
      <c r="L210" s="428"/>
      <c r="M210" s="428"/>
      <c r="N210" s="428"/>
      <c r="O210" s="428"/>
      <c r="P210" s="428"/>
      <c r="Q210" s="428"/>
      <c r="R210" s="429"/>
      <c r="S210" s="428"/>
      <c r="T210" s="428"/>
      <c r="U210" s="428"/>
      <c r="V210" s="428"/>
      <c r="W210" s="428"/>
      <c r="X210" s="428"/>
      <c r="Y210" s="428"/>
      <c r="Z210" s="428"/>
      <c r="AA210" s="428"/>
      <c r="AB210" s="428"/>
      <c r="AC210" s="428"/>
      <c r="AD210" s="428"/>
      <c r="AE210" s="429">
        <f t="shared" si="6"/>
        <v>0</v>
      </c>
    </row>
    <row r="211" spans="1:31" ht="12.5">
      <c r="A211" s="450"/>
      <c r="B211" s="531"/>
      <c r="C211" s="531"/>
      <c r="D211" s="460" t="s">
        <v>565</v>
      </c>
      <c r="E211" s="474">
        <v>152</v>
      </c>
      <c r="F211" s="485"/>
      <c r="G211" s="485"/>
      <c r="H211" s="485"/>
      <c r="I211" s="485"/>
      <c r="J211" s="485"/>
      <c r="K211" s="485"/>
      <c r="L211" s="485"/>
      <c r="M211" s="485"/>
      <c r="N211" s="485"/>
      <c r="O211" s="485"/>
      <c r="P211" s="485"/>
      <c r="Q211" s="485"/>
      <c r="R211" s="454"/>
      <c r="S211" s="485"/>
      <c r="T211" s="485"/>
      <c r="U211" s="485"/>
      <c r="V211" s="485"/>
      <c r="W211" s="485"/>
      <c r="X211" s="485"/>
      <c r="Y211" s="485"/>
      <c r="Z211" s="485"/>
      <c r="AA211" s="485"/>
      <c r="AB211" s="485"/>
      <c r="AC211" s="485"/>
      <c r="AD211" s="485"/>
      <c r="AE211" s="454">
        <f t="shared" si="6"/>
        <v>0</v>
      </c>
    </row>
    <row r="212" spans="1:31" ht="12.5">
      <c r="A212" s="545">
        <v>17</v>
      </c>
      <c r="B212" s="559" t="s">
        <v>547</v>
      </c>
      <c r="C212" s="559" t="s">
        <v>548</v>
      </c>
      <c r="D212" s="547" t="s">
        <v>571</v>
      </c>
      <c r="E212" s="556" t="s">
        <v>569</v>
      </c>
      <c r="F212" s="551"/>
      <c r="G212" s="551"/>
      <c r="H212" s="551"/>
      <c r="I212" s="551"/>
      <c r="J212" s="551"/>
      <c r="K212" s="551"/>
      <c r="L212" s="551"/>
      <c r="M212" s="551"/>
      <c r="N212" s="551"/>
      <c r="O212" s="551"/>
      <c r="P212" s="551"/>
      <c r="Q212" s="551"/>
      <c r="R212" s="550"/>
      <c r="S212" s="551"/>
      <c r="T212" s="551"/>
      <c r="U212" s="551"/>
      <c r="V212" s="551"/>
      <c r="W212" s="551"/>
      <c r="X212" s="551"/>
      <c r="Y212" s="551"/>
      <c r="Z212" s="551"/>
      <c r="AA212" s="551"/>
      <c r="AB212" s="551"/>
      <c r="AC212" s="551"/>
      <c r="AD212" s="551"/>
      <c r="AE212" s="550">
        <f t="shared" si="6"/>
        <v>0</v>
      </c>
    </row>
    <row r="213" spans="1:31" ht="12.5">
      <c r="A213" s="450"/>
      <c r="B213" s="519"/>
      <c r="C213" s="531"/>
      <c r="D213" s="460" t="s">
        <v>562</v>
      </c>
      <c r="E213" s="474">
        <v>211</v>
      </c>
      <c r="F213" s="428"/>
      <c r="G213" s="428"/>
      <c r="H213" s="428"/>
      <c r="I213" s="428"/>
      <c r="J213" s="428"/>
      <c r="K213" s="428"/>
      <c r="L213" s="428"/>
      <c r="M213" s="428"/>
      <c r="N213" s="428"/>
      <c r="O213" s="428"/>
      <c r="P213" s="428"/>
      <c r="Q213" s="428"/>
      <c r="R213" s="429"/>
      <c r="S213" s="428"/>
      <c r="T213" s="428"/>
      <c r="U213" s="428"/>
      <c r="V213" s="428"/>
      <c r="W213" s="428"/>
      <c r="X213" s="428"/>
      <c r="Y213" s="428"/>
      <c r="Z213" s="428"/>
      <c r="AA213" s="428"/>
      <c r="AB213" s="428"/>
      <c r="AC213" s="428"/>
      <c r="AD213" s="428"/>
      <c r="AE213" s="429">
        <f t="shared" si="6"/>
        <v>0</v>
      </c>
    </row>
    <row r="214" spans="1:31" ht="12.5">
      <c r="A214" s="450"/>
      <c r="B214" s="531"/>
      <c r="C214" s="531"/>
      <c r="D214" s="460" t="s">
        <v>565</v>
      </c>
      <c r="E214" s="474">
        <v>152</v>
      </c>
      <c r="F214" s="485"/>
      <c r="G214" s="485"/>
      <c r="H214" s="485"/>
      <c r="I214" s="485"/>
      <c r="J214" s="485"/>
      <c r="K214" s="485"/>
      <c r="L214" s="485"/>
      <c r="M214" s="485"/>
      <c r="N214" s="485"/>
      <c r="O214" s="485"/>
      <c r="P214" s="485"/>
      <c r="Q214" s="485"/>
      <c r="R214" s="454"/>
      <c r="S214" s="485"/>
      <c r="T214" s="485"/>
      <c r="U214" s="485"/>
      <c r="V214" s="485"/>
      <c r="W214" s="485"/>
      <c r="X214" s="485"/>
      <c r="Y214" s="485"/>
      <c r="Z214" s="485"/>
      <c r="AA214" s="485"/>
      <c r="AB214" s="485"/>
      <c r="AC214" s="485"/>
      <c r="AD214" s="485"/>
      <c r="AE214" s="454">
        <f t="shared" si="6"/>
        <v>0</v>
      </c>
    </row>
    <row r="215" spans="1:31" ht="12.5">
      <c r="A215" s="545">
        <v>18</v>
      </c>
      <c r="B215" s="546" t="s">
        <v>549</v>
      </c>
      <c r="C215" s="546" t="s">
        <v>550</v>
      </c>
      <c r="D215" s="547" t="s">
        <v>571</v>
      </c>
      <c r="E215" s="556" t="s">
        <v>569</v>
      </c>
      <c r="F215" s="551"/>
      <c r="G215" s="551"/>
      <c r="H215" s="551"/>
      <c r="I215" s="551"/>
      <c r="J215" s="551"/>
      <c r="K215" s="551"/>
      <c r="L215" s="551"/>
      <c r="M215" s="551"/>
      <c r="N215" s="551"/>
      <c r="O215" s="551"/>
      <c r="P215" s="551"/>
      <c r="Q215" s="551"/>
      <c r="R215" s="550"/>
      <c r="S215" s="551"/>
      <c r="T215" s="551"/>
      <c r="U215" s="551"/>
      <c r="V215" s="551"/>
      <c r="W215" s="551"/>
      <c r="X215" s="551"/>
      <c r="Y215" s="551"/>
      <c r="Z215" s="551"/>
      <c r="AA215" s="551"/>
      <c r="AB215" s="551"/>
      <c r="AC215" s="551"/>
      <c r="AD215" s="551"/>
      <c r="AE215" s="550">
        <f t="shared" si="6"/>
        <v>0</v>
      </c>
    </row>
    <row r="216" spans="1:31" ht="12.5">
      <c r="A216" s="450"/>
      <c r="B216" s="457"/>
      <c r="C216" s="457"/>
      <c r="D216" s="437" t="s">
        <v>562</v>
      </c>
      <c r="E216" s="484">
        <v>211</v>
      </c>
      <c r="F216" s="446"/>
      <c r="G216" s="446"/>
      <c r="H216" s="446"/>
      <c r="I216" s="446"/>
      <c r="J216" s="446"/>
      <c r="K216" s="446"/>
      <c r="L216" s="446"/>
      <c r="M216" s="446"/>
      <c r="N216" s="446"/>
      <c r="O216" s="446"/>
      <c r="P216" s="446"/>
      <c r="Q216" s="446"/>
      <c r="R216" s="464"/>
      <c r="S216" s="446"/>
      <c r="T216" s="446"/>
      <c r="U216" s="446"/>
      <c r="V216" s="446"/>
      <c r="W216" s="446"/>
      <c r="X216" s="446"/>
      <c r="Y216" s="446"/>
      <c r="Z216" s="446"/>
      <c r="AA216" s="446"/>
      <c r="AB216" s="446"/>
      <c r="AC216" s="446"/>
      <c r="AD216" s="446"/>
      <c r="AE216" s="464">
        <f t="shared" si="6"/>
        <v>0</v>
      </c>
    </row>
    <row r="217" spans="1:31" ht="12.5">
      <c r="A217" s="450"/>
      <c r="B217" s="531"/>
      <c r="C217" s="531"/>
      <c r="D217" s="460" t="s">
        <v>565</v>
      </c>
      <c r="E217" s="474">
        <v>152</v>
      </c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87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87">
        <f t="shared" si="6"/>
        <v>0</v>
      </c>
    </row>
    <row r="218" spans="1:31" ht="12.5">
      <c r="A218" s="545">
        <v>19</v>
      </c>
      <c r="B218" s="546" t="s">
        <v>551</v>
      </c>
      <c r="C218" s="546" t="s">
        <v>552</v>
      </c>
      <c r="D218" s="547" t="s">
        <v>571</v>
      </c>
      <c r="E218" s="556" t="s">
        <v>569</v>
      </c>
      <c r="F218" s="551"/>
      <c r="G218" s="551"/>
      <c r="H218" s="551"/>
      <c r="I218" s="551"/>
      <c r="J218" s="551"/>
      <c r="K218" s="551"/>
      <c r="L218" s="551"/>
      <c r="M218" s="551"/>
      <c r="N218" s="551"/>
      <c r="O218" s="551"/>
      <c r="P218" s="551"/>
      <c r="Q218" s="551"/>
      <c r="R218" s="550"/>
      <c r="S218" s="551"/>
      <c r="T218" s="551"/>
      <c r="U218" s="551"/>
      <c r="V218" s="551"/>
      <c r="W218" s="551"/>
      <c r="X218" s="551"/>
      <c r="Y218" s="551"/>
      <c r="Z218" s="551"/>
      <c r="AA218" s="551"/>
      <c r="AB218" s="551"/>
      <c r="AC218" s="551"/>
      <c r="AD218" s="551"/>
      <c r="AE218" s="550">
        <f t="shared" si="6"/>
        <v>0</v>
      </c>
    </row>
    <row r="219" spans="1:31" ht="12.5">
      <c r="A219" s="450"/>
      <c r="B219" s="519"/>
      <c r="C219" s="531"/>
      <c r="D219" s="460" t="s">
        <v>562</v>
      </c>
      <c r="E219" s="474">
        <v>211</v>
      </c>
      <c r="F219" s="428"/>
      <c r="G219" s="428"/>
      <c r="H219" s="428"/>
      <c r="I219" s="428"/>
      <c r="J219" s="428"/>
      <c r="K219" s="428"/>
      <c r="L219" s="428"/>
      <c r="M219" s="428"/>
      <c r="N219" s="428"/>
      <c r="O219" s="428"/>
      <c r="P219" s="428"/>
      <c r="Q219" s="428"/>
      <c r="R219" s="429"/>
      <c r="S219" s="428"/>
      <c r="T219" s="428"/>
      <c r="U219" s="428"/>
      <c r="V219" s="428"/>
      <c r="W219" s="428"/>
      <c r="X219" s="428"/>
      <c r="Y219" s="428"/>
      <c r="Z219" s="428"/>
      <c r="AA219" s="428"/>
      <c r="AB219" s="428"/>
      <c r="AC219" s="428"/>
      <c r="AD219" s="428"/>
      <c r="AE219" s="429">
        <f t="shared" si="6"/>
        <v>0</v>
      </c>
    </row>
    <row r="220" spans="1:31" ht="12.5">
      <c r="A220" s="450"/>
      <c r="B220" s="531"/>
      <c r="C220" s="531"/>
      <c r="D220" s="460" t="s">
        <v>565</v>
      </c>
      <c r="E220" s="474">
        <v>152</v>
      </c>
      <c r="F220" s="485"/>
      <c r="G220" s="485"/>
      <c r="H220" s="485"/>
      <c r="I220" s="485"/>
      <c r="J220" s="485"/>
      <c r="K220" s="485"/>
      <c r="L220" s="485"/>
      <c r="M220" s="485"/>
      <c r="N220" s="485"/>
      <c r="O220" s="485"/>
      <c r="P220" s="485"/>
      <c r="Q220" s="485"/>
      <c r="R220" s="454"/>
      <c r="S220" s="485"/>
      <c r="T220" s="485"/>
      <c r="U220" s="485"/>
      <c r="V220" s="485"/>
      <c r="W220" s="485"/>
      <c r="X220" s="485"/>
      <c r="Y220" s="485"/>
      <c r="Z220" s="485"/>
      <c r="AA220" s="485"/>
      <c r="AB220" s="485"/>
      <c r="AC220" s="485"/>
      <c r="AD220" s="485"/>
      <c r="AE220" s="454">
        <f t="shared" si="6"/>
        <v>0</v>
      </c>
    </row>
    <row r="221" spans="1:31" ht="12.5">
      <c r="A221" s="545">
        <v>20</v>
      </c>
      <c r="B221" s="559" t="s">
        <v>553</v>
      </c>
      <c r="C221" s="560" t="s">
        <v>554</v>
      </c>
      <c r="D221" s="561" t="s">
        <v>571</v>
      </c>
      <c r="E221" s="556" t="s">
        <v>569</v>
      </c>
      <c r="F221" s="551"/>
      <c r="G221" s="551"/>
      <c r="H221" s="551"/>
      <c r="I221" s="551"/>
      <c r="J221" s="551"/>
      <c r="K221" s="551"/>
      <c r="L221" s="551"/>
      <c r="M221" s="551"/>
      <c r="N221" s="551"/>
      <c r="O221" s="551"/>
      <c r="P221" s="551"/>
      <c r="Q221" s="551"/>
      <c r="R221" s="550"/>
      <c r="S221" s="551"/>
      <c r="T221" s="551"/>
      <c r="U221" s="551"/>
      <c r="V221" s="551"/>
      <c r="W221" s="551"/>
      <c r="X221" s="551"/>
      <c r="Y221" s="551"/>
      <c r="Z221" s="551"/>
      <c r="AA221" s="551"/>
      <c r="AB221" s="551"/>
      <c r="AC221" s="551"/>
      <c r="AD221" s="551"/>
      <c r="AE221" s="550">
        <f t="shared" si="6"/>
        <v>0</v>
      </c>
    </row>
    <row r="222" spans="1:31" ht="12.5">
      <c r="A222" s="450"/>
      <c r="B222" s="519"/>
      <c r="C222" s="531"/>
      <c r="D222" s="460" t="s">
        <v>562</v>
      </c>
      <c r="E222" s="474">
        <v>211</v>
      </c>
      <c r="F222" s="428"/>
      <c r="G222" s="428"/>
      <c r="H222" s="428"/>
      <c r="I222" s="428"/>
      <c r="J222" s="428"/>
      <c r="K222" s="428"/>
      <c r="L222" s="428"/>
      <c r="M222" s="428"/>
      <c r="N222" s="428"/>
      <c r="O222" s="428"/>
      <c r="P222" s="428"/>
      <c r="Q222" s="428"/>
      <c r="R222" s="429"/>
      <c r="S222" s="428"/>
      <c r="T222" s="428"/>
      <c r="U222" s="428"/>
      <c r="V222" s="428"/>
      <c r="W222" s="428"/>
      <c r="X222" s="428"/>
      <c r="Y222" s="428"/>
      <c r="Z222" s="428"/>
      <c r="AA222" s="428"/>
      <c r="AB222" s="428"/>
      <c r="AC222" s="428"/>
      <c r="AD222" s="428"/>
      <c r="AE222" s="429">
        <f t="shared" si="6"/>
        <v>0</v>
      </c>
    </row>
    <row r="223" spans="1:31" ht="12.5">
      <c r="A223" s="450"/>
      <c r="B223" s="531"/>
      <c r="C223" s="531"/>
      <c r="D223" s="460" t="s">
        <v>565</v>
      </c>
      <c r="E223" s="474">
        <v>152</v>
      </c>
      <c r="F223" s="485"/>
      <c r="G223" s="485"/>
      <c r="H223" s="485"/>
      <c r="I223" s="485"/>
      <c r="J223" s="485"/>
      <c r="K223" s="485"/>
      <c r="L223" s="485"/>
      <c r="M223" s="485"/>
      <c r="N223" s="485"/>
      <c r="O223" s="485"/>
      <c r="P223" s="485"/>
      <c r="Q223" s="485"/>
      <c r="R223" s="454"/>
      <c r="S223" s="485"/>
      <c r="T223" s="485"/>
      <c r="U223" s="485"/>
      <c r="V223" s="485"/>
      <c r="W223" s="485"/>
      <c r="X223" s="485"/>
      <c r="Y223" s="485"/>
      <c r="Z223" s="485"/>
      <c r="AA223" s="485"/>
      <c r="AB223" s="485"/>
      <c r="AC223" s="485"/>
      <c r="AD223" s="485"/>
      <c r="AE223" s="454">
        <f t="shared" si="6"/>
        <v>0</v>
      </c>
    </row>
    <row r="224" spans="1:31" ht="12.5">
      <c r="A224" s="545">
        <v>21</v>
      </c>
      <c r="B224" s="559" t="s">
        <v>555</v>
      </c>
      <c r="C224" s="559" t="s">
        <v>556</v>
      </c>
      <c r="D224" s="547" t="s">
        <v>571</v>
      </c>
      <c r="E224" s="556" t="s">
        <v>569</v>
      </c>
      <c r="F224" s="551"/>
      <c r="G224" s="551"/>
      <c r="H224" s="551"/>
      <c r="I224" s="551"/>
      <c r="J224" s="551"/>
      <c r="K224" s="551"/>
      <c r="L224" s="551"/>
      <c r="M224" s="551"/>
      <c r="N224" s="551"/>
      <c r="O224" s="551"/>
      <c r="P224" s="551"/>
      <c r="Q224" s="551"/>
      <c r="R224" s="550"/>
      <c r="S224" s="551"/>
      <c r="T224" s="551"/>
      <c r="U224" s="551"/>
      <c r="V224" s="551"/>
      <c r="W224" s="551"/>
      <c r="X224" s="551"/>
      <c r="Y224" s="551"/>
      <c r="Z224" s="551"/>
      <c r="AA224" s="551"/>
      <c r="AB224" s="551"/>
      <c r="AC224" s="551"/>
      <c r="AD224" s="551"/>
      <c r="AE224" s="550">
        <f t="shared" si="6"/>
        <v>0</v>
      </c>
    </row>
    <row r="225" spans="1:31" ht="12.5">
      <c r="A225" s="450"/>
      <c r="B225" s="519"/>
      <c r="C225" s="531"/>
      <c r="D225" s="460" t="s">
        <v>562</v>
      </c>
      <c r="E225" s="474">
        <v>211</v>
      </c>
      <c r="F225" s="428"/>
      <c r="G225" s="428"/>
      <c r="H225" s="428"/>
      <c r="I225" s="428"/>
      <c r="J225" s="428"/>
      <c r="K225" s="428"/>
      <c r="L225" s="428"/>
      <c r="M225" s="428"/>
      <c r="N225" s="428"/>
      <c r="O225" s="428"/>
      <c r="P225" s="428"/>
      <c r="Q225" s="428"/>
      <c r="R225" s="429"/>
      <c r="S225" s="428"/>
      <c r="T225" s="428"/>
      <c r="U225" s="428"/>
      <c r="V225" s="428"/>
      <c r="W225" s="428"/>
      <c r="X225" s="428"/>
      <c r="Y225" s="428"/>
      <c r="Z225" s="428"/>
      <c r="AA225" s="428"/>
      <c r="AB225" s="428"/>
      <c r="AC225" s="428"/>
      <c r="AD225" s="428"/>
      <c r="AE225" s="429">
        <f t="shared" si="6"/>
        <v>0</v>
      </c>
    </row>
    <row r="226" spans="1:31" ht="12.5">
      <c r="A226" s="450"/>
      <c r="B226" s="531"/>
      <c r="C226" s="531"/>
      <c r="D226" s="460" t="s">
        <v>565</v>
      </c>
      <c r="E226" s="474">
        <v>152</v>
      </c>
      <c r="F226" s="485"/>
      <c r="G226" s="485"/>
      <c r="H226" s="485"/>
      <c r="I226" s="485"/>
      <c r="J226" s="485"/>
      <c r="K226" s="485"/>
      <c r="L226" s="485"/>
      <c r="M226" s="485"/>
      <c r="N226" s="485"/>
      <c r="O226" s="485"/>
      <c r="P226" s="485"/>
      <c r="Q226" s="485"/>
      <c r="R226" s="454"/>
      <c r="S226" s="485"/>
      <c r="T226" s="485"/>
      <c r="U226" s="485"/>
      <c r="V226" s="485"/>
      <c r="W226" s="485"/>
      <c r="X226" s="485"/>
      <c r="Y226" s="485"/>
      <c r="Z226" s="485"/>
      <c r="AA226" s="485"/>
      <c r="AB226" s="485"/>
      <c r="AC226" s="485"/>
      <c r="AD226" s="485"/>
      <c r="AE226" s="454">
        <f t="shared" si="6"/>
        <v>0</v>
      </c>
    </row>
    <row r="227" spans="1:31" ht="12.5">
      <c r="A227" s="545">
        <v>22</v>
      </c>
      <c r="B227" s="559" t="s">
        <v>557</v>
      </c>
      <c r="C227" s="559" t="s">
        <v>558</v>
      </c>
      <c r="D227" s="547" t="s">
        <v>571</v>
      </c>
      <c r="E227" s="556" t="s">
        <v>569</v>
      </c>
      <c r="F227" s="551"/>
      <c r="G227" s="551"/>
      <c r="H227" s="551"/>
      <c r="I227" s="551"/>
      <c r="J227" s="551"/>
      <c r="K227" s="551"/>
      <c r="L227" s="551"/>
      <c r="M227" s="551"/>
      <c r="N227" s="551"/>
      <c r="O227" s="551"/>
      <c r="P227" s="551"/>
      <c r="Q227" s="551"/>
      <c r="R227" s="550"/>
      <c r="S227" s="551"/>
      <c r="T227" s="551"/>
      <c r="U227" s="551"/>
      <c r="V227" s="551"/>
      <c r="W227" s="551"/>
      <c r="X227" s="551"/>
      <c r="Y227" s="551"/>
      <c r="Z227" s="551"/>
      <c r="AA227" s="551"/>
      <c r="AB227" s="551"/>
      <c r="AC227" s="551"/>
      <c r="AD227" s="551"/>
      <c r="AE227" s="550">
        <f t="shared" si="6"/>
        <v>0</v>
      </c>
    </row>
    <row r="228" spans="1:31" ht="12.5">
      <c r="A228" s="450"/>
      <c r="B228" s="519"/>
      <c r="C228" s="531"/>
      <c r="D228" s="460" t="s">
        <v>562</v>
      </c>
      <c r="E228" s="474">
        <v>211</v>
      </c>
      <c r="F228" s="428"/>
      <c r="G228" s="428"/>
      <c r="H228" s="428"/>
      <c r="I228" s="428"/>
      <c r="J228" s="428"/>
      <c r="K228" s="428"/>
      <c r="L228" s="428"/>
      <c r="M228" s="428"/>
      <c r="N228" s="428"/>
      <c r="O228" s="428"/>
      <c r="P228" s="428"/>
      <c r="Q228" s="428"/>
      <c r="R228" s="429"/>
      <c r="S228" s="428"/>
      <c r="T228" s="428"/>
      <c r="U228" s="428"/>
      <c r="V228" s="428"/>
      <c r="W228" s="428"/>
      <c r="X228" s="428"/>
      <c r="Y228" s="428"/>
      <c r="Z228" s="428"/>
      <c r="AA228" s="428"/>
      <c r="AB228" s="428"/>
      <c r="AC228" s="428"/>
      <c r="AD228" s="428"/>
      <c r="AE228" s="429">
        <f t="shared" si="6"/>
        <v>0</v>
      </c>
    </row>
    <row r="229" spans="1:31" ht="12.5">
      <c r="A229" s="450"/>
      <c r="B229" s="519"/>
      <c r="C229" s="531"/>
      <c r="D229" s="460" t="s">
        <v>565</v>
      </c>
      <c r="E229" s="474">
        <v>152</v>
      </c>
      <c r="F229" s="428"/>
      <c r="G229" s="428"/>
      <c r="H229" s="428"/>
      <c r="I229" s="428"/>
      <c r="J229" s="428"/>
      <c r="K229" s="428"/>
      <c r="L229" s="428"/>
      <c r="M229" s="428"/>
      <c r="N229" s="428"/>
      <c r="O229" s="428"/>
      <c r="P229" s="428"/>
      <c r="Q229" s="428"/>
      <c r="R229" s="429"/>
      <c r="S229" s="428"/>
      <c r="T229" s="428"/>
      <c r="U229" s="428"/>
      <c r="V229" s="428"/>
      <c r="W229" s="428"/>
      <c r="X229" s="428"/>
      <c r="Y229" s="428"/>
      <c r="Z229" s="428"/>
      <c r="AA229" s="428"/>
      <c r="AB229" s="428"/>
      <c r="AC229" s="428"/>
      <c r="AD229" s="428"/>
      <c r="AE229" s="429">
        <f t="shared" si="6"/>
        <v>0</v>
      </c>
    </row>
    <row r="230" spans="1:31" ht="12.5">
      <c r="A230" s="450"/>
      <c r="B230" s="531"/>
      <c r="C230" s="531"/>
      <c r="D230" s="434"/>
      <c r="E230" s="434"/>
      <c r="F230" s="428"/>
      <c r="G230" s="428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R230" s="429"/>
      <c r="S230" s="428"/>
      <c r="T230" s="428"/>
      <c r="U230" s="428"/>
      <c r="V230" s="428"/>
      <c r="W230" s="428"/>
      <c r="X230" s="428"/>
      <c r="Y230" s="428"/>
      <c r="Z230" s="428"/>
      <c r="AA230" s="428"/>
      <c r="AB230" s="428"/>
      <c r="AC230" s="428"/>
      <c r="AD230" s="428"/>
      <c r="AE230" s="429">
        <f t="shared" si="6"/>
        <v>0</v>
      </c>
    </row>
    <row r="231" spans="1:31">
      <c r="A231" s="553" t="s">
        <v>577</v>
      </c>
      <c r="B231" s="541" t="s">
        <v>578</v>
      </c>
      <c r="C231" s="541"/>
      <c r="D231" s="562" t="s">
        <v>579</v>
      </c>
      <c r="E231" s="563" t="s">
        <v>580</v>
      </c>
      <c r="F231" s="554"/>
      <c r="G231" s="555"/>
      <c r="H231" s="555"/>
      <c r="I231" s="555"/>
      <c r="J231" s="555"/>
      <c r="K231" s="555"/>
      <c r="L231" s="555"/>
      <c r="M231" s="555"/>
      <c r="N231" s="555"/>
      <c r="O231" s="555"/>
      <c r="P231" s="555"/>
      <c r="Q231" s="555"/>
      <c r="R231" s="555"/>
      <c r="S231" s="554"/>
      <c r="T231" s="555"/>
      <c r="U231" s="555"/>
      <c r="V231" s="555"/>
      <c r="W231" s="555"/>
      <c r="X231" s="555"/>
      <c r="Y231" s="555"/>
      <c r="Z231" s="555"/>
      <c r="AA231" s="555"/>
      <c r="AB231" s="555"/>
      <c r="AC231" s="555"/>
      <c r="AD231" s="555"/>
      <c r="AE231" s="555"/>
    </row>
    <row r="232" spans="1:31">
      <c r="A232" s="488"/>
      <c r="B232" s="519" t="s">
        <v>498</v>
      </c>
      <c r="C232" s="424" t="s">
        <v>499</v>
      </c>
      <c r="D232" s="557" t="s">
        <v>581</v>
      </c>
      <c r="E232" s="489">
        <v>128</v>
      </c>
      <c r="F232" s="550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429"/>
      <c r="S232" s="550"/>
      <c r="T232" s="557"/>
      <c r="U232" s="557"/>
      <c r="V232" s="557"/>
      <c r="W232" s="557"/>
      <c r="X232" s="557"/>
      <c r="Y232" s="557"/>
      <c r="Z232" s="557"/>
      <c r="AA232" s="557"/>
      <c r="AB232" s="557"/>
      <c r="AC232" s="557"/>
      <c r="AD232" s="557"/>
      <c r="AE232" s="429">
        <f t="shared" ref="AE232:AE239" si="7">SUM(S232:AD232)</f>
        <v>0</v>
      </c>
    </row>
    <row r="233" spans="1:31">
      <c r="A233" s="488"/>
      <c r="B233" s="532"/>
      <c r="C233" s="484"/>
      <c r="D233" s="431"/>
      <c r="E233" s="489">
        <v>138</v>
      </c>
      <c r="F233" s="464"/>
      <c r="G233" s="431"/>
      <c r="H233" s="431"/>
      <c r="I233" s="431"/>
      <c r="J233" s="431"/>
      <c r="K233" s="431"/>
      <c r="L233" s="431"/>
      <c r="M233" s="431"/>
      <c r="N233" s="431"/>
      <c r="O233" s="431"/>
      <c r="P233" s="431"/>
      <c r="Q233" s="431"/>
      <c r="R233" s="429"/>
      <c r="S233" s="464"/>
      <c r="T233" s="431"/>
      <c r="U233" s="431"/>
      <c r="V233" s="431"/>
      <c r="W233" s="431"/>
      <c r="X233" s="431"/>
      <c r="Y233" s="431"/>
      <c r="Z233" s="431"/>
      <c r="AA233" s="431"/>
      <c r="AB233" s="431"/>
      <c r="AC233" s="431"/>
      <c r="AD233" s="431"/>
      <c r="AE233" s="429">
        <f t="shared" si="7"/>
        <v>0</v>
      </c>
    </row>
    <row r="234" spans="1:31">
      <c r="A234" s="488"/>
      <c r="B234" s="457" t="s">
        <v>545</v>
      </c>
      <c r="C234" s="457" t="s">
        <v>546</v>
      </c>
      <c r="D234" s="431" t="s">
        <v>479</v>
      </c>
      <c r="E234" s="489">
        <v>128</v>
      </c>
      <c r="F234" s="464"/>
      <c r="G234" s="431"/>
      <c r="H234" s="431"/>
      <c r="I234" s="431"/>
      <c r="J234" s="431"/>
      <c r="K234" s="431"/>
      <c r="L234" s="431"/>
      <c r="M234" s="431"/>
      <c r="N234" s="431"/>
      <c r="O234" s="431"/>
      <c r="P234" s="431"/>
      <c r="Q234" s="431"/>
      <c r="R234" s="429"/>
      <c r="S234" s="464"/>
      <c r="T234" s="431"/>
      <c r="U234" s="431"/>
      <c r="V234" s="431"/>
      <c r="W234" s="431"/>
      <c r="X234" s="431"/>
      <c r="Y234" s="431"/>
      <c r="Z234" s="431"/>
      <c r="AA234" s="431"/>
      <c r="AB234" s="431"/>
      <c r="AC234" s="431"/>
      <c r="AD234" s="431"/>
      <c r="AE234" s="429">
        <f t="shared" si="7"/>
        <v>0</v>
      </c>
    </row>
    <row r="235" spans="1:31">
      <c r="A235" s="488"/>
      <c r="B235" s="457"/>
      <c r="C235" s="461"/>
      <c r="D235" s="425"/>
      <c r="E235" s="491">
        <v>138</v>
      </c>
      <c r="F235" s="464"/>
      <c r="G235" s="431"/>
      <c r="H235" s="431"/>
      <c r="I235" s="431"/>
      <c r="J235" s="431"/>
      <c r="K235" s="431"/>
      <c r="L235" s="431"/>
      <c r="M235" s="431"/>
      <c r="N235" s="431"/>
      <c r="O235" s="431"/>
      <c r="P235" s="431"/>
      <c r="Q235" s="431"/>
      <c r="R235" s="429"/>
      <c r="S235" s="464"/>
      <c r="T235" s="431"/>
      <c r="U235" s="431"/>
      <c r="V235" s="431"/>
      <c r="W235" s="431"/>
      <c r="X235" s="431"/>
      <c r="Y235" s="431"/>
      <c r="Z235" s="431"/>
      <c r="AA235" s="431"/>
      <c r="AB235" s="431"/>
      <c r="AC235" s="431"/>
      <c r="AD235" s="431"/>
      <c r="AE235" s="429">
        <f t="shared" si="7"/>
        <v>0</v>
      </c>
    </row>
    <row r="236" spans="1:31">
      <c r="A236" s="488"/>
      <c r="B236" s="457" t="s">
        <v>533</v>
      </c>
      <c r="C236" s="457" t="s">
        <v>534</v>
      </c>
      <c r="D236" s="431" t="s">
        <v>479</v>
      </c>
      <c r="E236" s="491">
        <v>128</v>
      </c>
      <c r="F236" s="464"/>
      <c r="G236" s="431"/>
      <c r="H236" s="431"/>
      <c r="I236" s="431"/>
      <c r="J236" s="431"/>
      <c r="K236" s="431"/>
      <c r="L236" s="431"/>
      <c r="M236" s="431"/>
      <c r="N236" s="431"/>
      <c r="O236" s="431"/>
      <c r="P236" s="431"/>
      <c r="Q236" s="431"/>
      <c r="R236" s="429"/>
      <c r="S236" s="464"/>
      <c r="T236" s="431"/>
      <c r="U236" s="431"/>
      <c r="V236" s="431"/>
      <c r="W236" s="431"/>
      <c r="X236" s="431"/>
      <c r="Y236" s="431"/>
      <c r="Z236" s="431"/>
      <c r="AA236" s="431"/>
      <c r="AB236" s="431"/>
      <c r="AC236" s="431"/>
      <c r="AD236" s="431"/>
      <c r="AE236" s="429">
        <f t="shared" si="7"/>
        <v>0</v>
      </c>
    </row>
    <row r="237" spans="1:31">
      <c r="A237" s="488"/>
      <c r="B237" s="519" t="s">
        <v>582</v>
      </c>
      <c r="C237" s="424"/>
      <c r="D237" s="492" t="s">
        <v>583</v>
      </c>
      <c r="E237" s="491">
        <v>128</v>
      </c>
      <c r="F237" s="464"/>
      <c r="G237" s="431"/>
      <c r="H237" s="431"/>
      <c r="I237" s="431"/>
      <c r="J237" s="431"/>
      <c r="K237" s="431"/>
      <c r="L237" s="431"/>
      <c r="M237" s="431"/>
      <c r="N237" s="431"/>
      <c r="O237" s="431"/>
      <c r="P237" s="431"/>
      <c r="Q237" s="431"/>
      <c r="R237" s="429"/>
      <c r="S237" s="464"/>
      <c r="T237" s="431"/>
      <c r="U237" s="431"/>
      <c r="V237" s="431"/>
      <c r="W237" s="431"/>
      <c r="X237" s="431"/>
      <c r="Y237" s="431"/>
      <c r="Z237" s="431"/>
      <c r="AA237" s="431"/>
      <c r="AB237" s="431"/>
      <c r="AC237" s="431"/>
      <c r="AD237" s="431"/>
      <c r="AE237" s="429">
        <f t="shared" si="7"/>
        <v>0</v>
      </c>
    </row>
    <row r="238" spans="1:31">
      <c r="A238" s="488"/>
      <c r="B238" s="519" t="s">
        <v>584</v>
      </c>
      <c r="C238" s="519"/>
      <c r="D238" s="493"/>
      <c r="E238" s="489">
        <v>138</v>
      </c>
      <c r="F238" s="464"/>
      <c r="G238" s="431"/>
      <c r="H238" s="431"/>
      <c r="I238" s="431"/>
      <c r="J238" s="431"/>
      <c r="K238" s="431"/>
      <c r="L238" s="431"/>
      <c r="M238" s="431"/>
      <c r="N238" s="431"/>
      <c r="O238" s="431"/>
      <c r="P238" s="431"/>
      <c r="Q238" s="431"/>
      <c r="R238" s="429"/>
      <c r="S238" s="464"/>
      <c r="T238" s="431"/>
      <c r="U238" s="431"/>
      <c r="V238" s="431"/>
      <c r="W238" s="431"/>
      <c r="X238" s="431"/>
      <c r="Y238" s="431"/>
      <c r="Z238" s="431"/>
      <c r="AA238" s="431"/>
      <c r="AB238" s="431"/>
      <c r="AC238" s="431"/>
      <c r="AD238" s="431"/>
      <c r="AE238" s="429">
        <f t="shared" si="7"/>
        <v>0</v>
      </c>
    </row>
    <row r="239" spans="1:31">
      <c r="A239" s="494"/>
      <c r="B239" s="515" t="s">
        <v>585</v>
      </c>
      <c r="C239" s="515"/>
      <c r="D239" s="495"/>
      <c r="E239" s="496">
        <v>138</v>
      </c>
      <c r="F239" s="444"/>
      <c r="G239" s="440"/>
      <c r="H239" s="440"/>
      <c r="I239" s="440"/>
      <c r="J239" s="440"/>
      <c r="K239" s="440"/>
      <c r="L239" s="440"/>
      <c r="M239" s="440"/>
      <c r="N239" s="440"/>
      <c r="O239" s="440"/>
      <c r="P239" s="440"/>
      <c r="Q239" s="440"/>
      <c r="R239" s="429"/>
      <c r="S239" s="444"/>
      <c r="T239" s="440"/>
      <c r="U239" s="440"/>
      <c r="V239" s="440"/>
      <c r="W239" s="440"/>
      <c r="X239" s="440"/>
      <c r="Y239" s="440"/>
      <c r="Z239" s="440"/>
      <c r="AA239" s="440"/>
      <c r="AB239" s="440"/>
      <c r="AC239" s="440"/>
      <c r="AD239" s="440"/>
      <c r="AE239" s="429">
        <f t="shared" si="7"/>
        <v>0</v>
      </c>
    </row>
    <row r="240" spans="1:31">
      <c r="A240" s="553" t="s">
        <v>586</v>
      </c>
      <c r="B240" s="541" t="s">
        <v>587</v>
      </c>
      <c r="C240" s="541"/>
      <c r="D240" s="562" t="s">
        <v>579</v>
      </c>
      <c r="E240" s="563" t="s">
        <v>580</v>
      </c>
      <c r="F240" s="554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4"/>
      <c r="T240" s="555"/>
      <c r="U240" s="555"/>
      <c r="V240" s="555"/>
      <c r="W240" s="555"/>
      <c r="X240" s="555"/>
      <c r="Y240" s="555"/>
      <c r="Z240" s="555"/>
      <c r="AA240" s="555"/>
      <c r="AB240" s="555"/>
      <c r="AC240" s="555"/>
      <c r="AD240" s="555"/>
      <c r="AE240" s="555"/>
    </row>
    <row r="241" spans="1:31">
      <c r="A241" s="497"/>
      <c r="B241" s="431" t="s">
        <v>498</v>
      </c>
      <c r="C241" s="425" t="s">
        <v>499</v>
      </c>
      <c r="D241" s="557" t="s">
        <v>581</v>
      </c>
      <c r="E241" s="489">
        <v>128</v>
      </c>
      <c r="F241" s="550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429"/>
      <c r="S241" s="550"/>
      <c r="T241" s="557"/>
      <c r="U241" s="557"/>
      <c r="V241" s="557"/>
      <c r="W241" s="557"/>
      <c r="X241" s="557"/>
      <c r="Y241" s="557"/>
      <c r="Z241" s="557"/>
      <c r="AA241" s="557"/>
      <c r="AB241" s="557"/>
      <c r="AC241" s="557"/>
      <c r="AD241" s="557"/>
      <c r="AE241" s="429">
        <f t="shared" ref="AE241:AE246" si="8">SUM(S241:AD241)</f>
        <v>0</v>
      </c>
    </row>
    <row r="242" spans="1:31">
      <c r="A242" s="497"/>
      <c r="B242" s="490"/>
      <c r="C242" s="435"/>
      <c r="D242" s="431"/>
      <c r="E242" s="489">
        <v>138</v>
      </c>
      <c r="F242" s="464"/>
      <c r="G242" s="431"/>
      <c r="H242" s="431"/>
      <c r="I242" s="431"/>
      <c r="J242" s="431"/>
      <c r="K242" s="431"/>
      <c r="L242" s="431"/>
      <c r="M242" s="431"/>
      <c r="N242" s="431"/>
      <c r="O242" s="431"/>
      <c r="P242" s="431"/>
      <c r="Q242" s="431"/>
      <c r="R242" s="429"/>
      <c r="S242" s="464"/>
      <c r="T242" s="431"/>
      <c r="U242" s="431"/>
      <c r="V242" s="431"/>
      <c r="W242" s="431"/>
      <c r="X242" s="431"/>
      <c r="Y242" s="431"/>
      <c r="Z242" s="431"/>
      <c r="AA242" s="431"/>
      <c r="AB242" s="431"/>
      <c r="AC242" s="431"/>
      <c r="AD242" s="431"/>
      <c r="AE242" s="429">
        <f t="shared" si="8"/>
        <v>0</v>
      </c>
    </row>
    <row r="243" spans="1:31">
      <c r="A243" s="497"/>
      <c r="B243" s="457" t="s">
        <v>545</v>
      </c>
      <c r="C243" s="457" t="s">
        <v>546</v>
      </c>
      <c r="D243" s="431" t="s">
        <v>479</v>
      </c>
      <c r="E243" s="489">
        <v>128</v>
      </c>
      <c r="F243" s="464"/>
      <c r="G243" s="431"/>
      <c r="H243" s="431"/>
      <c r="I243" s="431"/>
      <c r="J243" s="431"/>
      <c r="K243" s="431"/>
      <c r="L243" s="431"/>
      <c r="M243" s="431"/>
      <c r="N243" s="431"/>
      <c r="O243" s="431"/>
      <c r="P243" s="431"/>
      <c r="Q243" s="431"/>
      <c r="R243" s="429"/>
      <c r="S243" s="464"/>
      <c r="T243" s="431"/>
      <c r="U243" s="431"/>
      <c r="V243" s="431"/>
      <c r="W243" s="431"/>
      <c r="X243" s="431"/>
      <c r="Y243" s="431"/>
      <c r="Z243" s="431"/>
      <c r="AA243" s="431"/>
      <c r="AB243" s="431"/>
      <c r="AC243" s="431"/>
      <c r="AD243" s="431"/>
      <c r="AE243" s="429">
        <f t="shared" si="8"/>
        <v>0</v>
      </c>
    </row>
    <row r="244" spans="1:31">
      <c r="A244" s="497"/>
      <c r="B244" s="457"/>
      <c r="C244" s="461"/>
      <c r="D244" s="425"/>
      <c r="E244" s="491">
        <v>138</v>
      </c>
      <c r="F244" s="464"/>
      <c r="G244" s="431"/>
      <c r="H244" s="431"/>
      <c r="I244" s="431"/>
      <c r="J244" s="431"/>
      <c r="K244" s="431"/>
      <c r="L244" s="431"/>
      <c r="M244" s="431"/>
      <c r="N244" s="431"/>
      <c r="O244" s="431"/>
      <c r="P244" s="431"/>
      <c r="Q244" s="431"/>
      <c r="R244" s="429"/>
      <c r="S244" s="464"/>
      <c r="T244" s="431"/>
      <c r="U244" s="431"/>
      <c r="V244" s="431"/>
      <c r="W244" s="431"/>
      <c r="X244" s="431"/>
      <c r="Y244" s="431"/>
      <c r="Z244" s="431"/>
      <c r="AA244" s="431"/>
      <c r="AB244" s="431"/>
      <c r="AC244" s="431"/>
      <c r="AD244" s="431"/>
      <c r="AE244" s="429">
        <f t="shared" si="8"/>
        <v>0</v>
      </c>
    </row>
    <row r="245" spans="1:31">
      <c r="A245" s="497"/>
      <c r="B245" s="457" t="s">
        <v>533</v>
      </c>
      <c r="C245" s="457" t="s">
        <v>534</v>
      </c>
      <c r="D245" s="431" t="s">
        <v>479</v>
      </c>
      <c r="E245" s="491">
        <v>128</v>
      </c>
      <c r="F245" s="464"/>
      <c r="G245" s="431"/>
      <c r="H245" s="431"/>
      <c r="I245" s="431"/>
      <c r="J245" s="431"/>
      <c r="K245" s="431"/>
      <c r="L245" s="431"/>
      <c r="M245" s="431"/>
      <c r="N245" s="431"/>
      <c r="O245" s="431"/>
      <c r="P245" s="431"/>
      <c r="Q245" s="431"/>
      <c r="R245" s="429"/>
      <c r="S245" s="464"/>
      <c r="T245" s="431"/>
      <c r="U245" s="431"/>
      <c r="V245" s="431"/>
      <c r="W245" s="431"/>
      <c r="X245" s="431"/>
      <c r="Y245" s="431"/>
      <c r="Z245" s="431"/>
      <c r="AA245" s="431"/>
      <c r="AB245" s="431"/>
      <c r="AC245" s="431"/>
      <c r="AD245" s="431"/>
      <c r="AE245" s="429">
        <f t="shared" si="8"/>
        <v>0</v>
      </c>
    </row>
    <row r="246" spans="1:31">
      <c r="A246" s="497"/>
      <c r="B246" s="431" t="s">
        <v>582</v>
      </c>
      <c r="C246" s="425"/>
      <c r="D246" s="492" t="s">
        <v>583</v>
      </c>
      <c r="E246" s="491">
        <v>128</v>
      </c>
      <c r="F246" s="444"/>
      <c r="G246" s="440"/>
      <c r="H246" s="440"/>
      <c r="I246" s="440"/>
      <c r="J246" s="440"/>
      <c r="K246" s="440"/>
      <c r="L246" s="440"/>
      <c r="M246" s="440"/>
      <c r="N246" s="440"/>
      <c r="O246" s="440"/>
      <c r="P246" s="440"/>
      <c r="Q246" s="440"/>
      <c r="R246" s="429"/>
      <c r="S246" s="444"/>
      <c r="T246" s="440"/>
      <c r="U246" s="440"/>
      <c r="V246" s="440"/>
      <c r="W246" s="440"/>
      <c r="X246" s="440"/>
      <c r="Y246" s="440"/>
      <c r="Z246" s="440"/>
      <c r="AA246" s="440"/>
      <c r="AB246" s="440"/>
      <c r="AC246" s="440"/>
      <c r="AD246" s="440"/>
      <c r="AE246" s="429">
        <f t="shared" si="8"/>
        <v>0</v>
      </c>
    </row>
    <row r="247" spans="1:31">
      <c r="A247" s="553" t="s">
        <v>588</v>
      </c>
      <c r="B247" s="541" t="s">
        <v>589</v>
      </c>
      <c r="C247" s="541"/>
      <c r="D247" s="562" t="s">
        <v>579</v>
      </c>
      <c r="E247" s="563" t="s">
        <v>580</v>
      </c>
      <c r="F247" s="554"/>
      <c r="G247" s="555"/>
      <c r="H247" s="555"/>
      <c r="I247" s="555"/>
      <c r="J247" s="555"/>
      <c r="K247" s="555"/>
      <c r="L247" s="555"/>
      <c r="M247" s="555"/>
      <c r="N247" s="555"/>
      <c r="O247" s="555"/>
      <c r="P247" s="555"/>
      <c r="Q247" s="555"/>
      <c r="R247" s="555"/>
      <c r="S247" s="554"/>
      <c r="T247" s="555"/>
      <c r="U247" s="555"/>
      <c r="V247" s="555"/>
      <c r="W247" s="555"/>
      <c r="X247" s="555"/>
      <c r="Y247" s="555"/>
      <c r="Z247" s="555"/>
      <c r="AA247" s="555"/>
      <c r="AB247" s="555"/>
      <c r="AC247" s="555"/>
      <c r="AD247" s="555"/>
      <c r="AE247" s="555"/>
    </row>
    <row r="248" spans="1:31">
      <c r="A248" s="488"/>
      <c r="B248" s="546" t="s">
        <v>528</v>
      </c>
      <c r="C248" s="546" t="s">
        <v>529</v>
      </c>
      <c r="D248" s="559" t="s">
        <v>479</v>
      </c>
      <c r="E248" s="489">
        <v>341</v>
      </c>
      <c r="F248" s="550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429"/>
      <c r="S248" s="550"/>
      <c r="T248" s="557"/>
      <c r="U248" s="557"/>
      <c r="V248" s="557"/>
      <c r="W248" s="557"/>
      <c r="X248" s="557"/>
      <c r="Y248" s="557"/>
      <c r="Z248" s="557"/>
      <c r="AA248" s="557"/>
      <c r="AB248" s="557"/>
      <c r="AC248" s="557"/>
      <c r="AD248" s="557"/>
      <c r="AE248" s="429">
        <f t="shared" ref="AE248:AE250" si="9">SUM(S248:AD248)</f>
        <v>0</v>
      </c>
    </row>
    <row r="249" spans="1:31">
      <c r="A249" s="488"/>
      <c r="B249" s="457" t="s">
        <v>508</v>
      </c>
      <c r="C249" s="461" t="s">
        <v>509</v>
      </c>
      <c r="D249" s="424" t="s">
        <v>479</v>
      </c>
      <c r="E249" s="489">
        <v>338</v>
      </c>
      <c r="F249" s="464"/>
      <c r="G249" s="431"/>
      <c r="H249" s="431"/>
      <c r="I249" s="431"/>
      <c r="J249" s="431"/>
      <c r="K249" s="431"/>
      <c r="L249" s="431"/>
      <c r="M249" s="431"/>
      <c r="N249" s="431"/>
      <c r="O249" s="431"/>
      <c r="P249" s="431"/>
      <c r="Q249" s="431"/>
      <c r="R249" s="429"/>
      <c r="S249" s="464"/>
      <c r="T249" s="431"/>
      <c r="U249" s="431"/>
      <c r="V249" s="431"/>
      <c r="W249" s="431"/>
      <c r="X249" s="431"/>
      <c r="Y249" s="431"/>
      <c r="Z249" s="431"/>
      <c r="AA249" s="431"/>
      <c r="AB249" s="431"/>
      <c r="AC249" s="431"/>
      <c r="AD249" s="431"/>
      <c r="AE249" s="429">
        <f t="shared" si="9"/>
        <v>0</v>
      </c>
    </row>
    <row r="250" spans="1:31">
      <c r="A250" s="497"/>
      <c r="B250" s="431" t="s">
        <v>582</v>
      </c>
      <c r="C250" s="498"/>
      <c r="D250" s="498"/>
      <c r="E250" s="489">
        <v>341</v>
      </c>
      <c r="F250" s="499"/>
      <c r="G250" s="440"/>
      <c r="H250" s="440"/>
      <c r="I250" s="440"/>
      <c r="J250" s="440"/>
      <c r="K250" s="440"/>
      <c r="L250" s="440"/>
      <c r="M250" s="440"/>
      <c r="N250" s="440"/>
      <c r="O250" s="440"/>
      <c r="P250" s="440"/>
      <c r="Q250" s="440"/>
      <c r="R250" s="500"/>
      <c r="S250" s="499"/>
      <c r="T250" s="440"/>
      <c r="U250" s="440"/>
      <c r="V250" s="440"/>
      <c r="W250" s="440"/>
      <c r="X250" s="440"/>
      <c r="Y250" s="440"/>
      <c r="Z250" s="440"/>
      <c r="AA250" s="440"/>
      <c r="AB250" s="440"/>
      <c r="AC250" s="440"/>
      <c r="AD250" s="440"/>
      <c r="AE250" s="500">
        <f t="shared" si="9"/>
        <v>0</v>
      </c>
    </row>
    <row r="251" spans="1:31">
      <c r="A251" s="553" t="s">
        <v>590</v>
      </c>
      <c r="B251" s="541" t="s">
        <v>591</v>
      </c>
      <c r="C251" s="541"/>
      <c r="D251" s="562" t="s">
        <v>579</v>
      </c>
      <c r="E251" s="563" t="s">
        <v>580</v>
      </c>
      <c r="F251" s="554"/>
      <c r="G251" s="555"/>
      <c r="H251" s="555"/>
      <c r="I251" s="555"/>
      <c r="J251" s="555"/>
      <c r="K251" s="555"/>
      <c r="L251" s="555"/>
      <c r="M251" s="555"/>
      <c r="N251" s="555"/>
      <c r="O251" s="555"/>
      <c r="P251" s="555"/>
      <c r="Q251" s="555"/>
      <c r="R251" s="555"/>
      <c r="S251" s="554"/>
      <c r="T251" s="555"/>
      <c r="U251" s="555"/>
      <c r="V251" s="555"/>
      <c r="W251" s="555"/>
      <c r="X251" s="555"/>
      <c r="Y251" s="555"/>
      <c r="Z251" s="555"/>
      <c r="AA251" s="555"/>
      <c r="AB251" s="555"/>
      <c r="AC251" s="555"/>
      <c r="AD251" s="555"/>
      <c r="AE251" s="555"/>
    </row>
    <row r="252" spans="1:31">
      <c r="A252" s="501"/>
      <c r="B252" s="546" t="s">
        <v>528</v>
      </c>
      <c r="C252" s="546" t="s">
        <v>529</v>
      </c>
      <c r="D252" s="559" t="s">
        <v>479</v>
      </c>
      <c r="E252" s="489">
        <v>341</v>
      </c>
      <c r="F252" s="550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429"/>
      <c r="S252" s="550"/>
      <c r="T252" s="557"/>
      <c r="U252" s="557"/>
      <c r="V252" s="557"/>
      <c r="W252" s="557"/>
      <c r="X252" s="557"/>
      <c r="Y252" s="557"/>
      <c r="Z252" s="557"/>
      <c r="AA252" s="557"/>
      <c r="AB252" s="557"/>
      <c r="AC252" s="557"/>
      <c r="AD252" s="557"/>
      <c r="AE252" s="429">
        <f t="shared" ref="AE252:AE254" si="10">SUM(S252:AD252)</f>
        <v>0</v>
      </c>
    </row>
    <row r="253" spans="1:31">
      <c r="A253" s="501"/>
      <c r="B253" s="519" t="s">
        <v>582</v>
      </c>
      <c r="C253" s="502"/>
      <c r="D253" s="502"/>
      <c r="E253" s="503"/>
      <c r="F253" s="504"/>
      <c r="G253" s="431"/>
      <c r="H253" s="431"/>
      <c r="I253" s="431"/>
      <c r="J253" s="431"/>
      <c r="K253" s="431"/>
      <c r="L253" s="431"/>
      <c r="M253" s="431"/>
      <c r="N253" s="431"/>
      <c r="O253" s="431"/>
      <c r="P253" s="431"/>
      <c r="Q253" s="431"/>
      <c r="R253" s="500"/>
      <c r="S253" s="504"/>
      <c r="T253" s="431"/>
      <c r="U253" s="431"/>
      <c r="V253" s="431"/>
      <c r="W253" s="431"/>
      <c r="X253" s="431"/>
      <c r="Y253" s="431"/>
      <c r="Z253" s="431"/>
      <c r="AA253" s="431"/>
      <c r="AB253" s="431"/>
      <c r="AC253" s="431"/>
      <c r="AD253" s="431"/>
      <c r="AE253" s="500">
        <f t="shared" si="10"/>
        <v>0</v>
      </c>
    </row>
    <row r="254" spans="1:31">
      <c r="A254" s="494"/>
      <c r="B254" s="457"/>
      <c r="C254" s="459"/>
      <c r="D254" s="440"/>
      <c r="E254" s="440"/>
      <c r="F254" s="444"/>
      <c r="G254" s="440"/>
      <c r="H254" s="440"/>
      <c r="I254" s="440"/>
      <c r="J254" s="440"/>
      <c r="K254" s="440"/>
      <c r="L254" s="440"/>
      <c r="M254" s="440"/>
      <c r="N254" s="440"/>
      <c r="O254" s="440"/>
      <c r="P254" s="440"/>
      <c r="Q254" s="440"/>
      <c r="R254" s="429"/>
      <c r="S254" s="444"/>
      <c r="T254" s="440"/>
      <c r="U254" s="440"/>
      <c r="V254" s="440"/>
      <c r="W254" s="440"/>
      <c r="X254" s="440"/>
      <c r="Y254" s="440"/>
      <c r="Z254" s="440"/>
      <c r="AA254" s="440"/>
      <c r="AB254" s="440"/>
      <c r="AC254" s="440"/>
      <c r="AD254" s="440"/>
      <c r="AE254" s="429">
        <f t="shared" si="10"/>
        <v>0</v>
      </c>
    </row>
    <row r="255" spans="1:31">
      <c r="A255" s="553" t="s">
        <v>592</v>
      </c>
      <c r="B255" s="541" t="s">
        <v>593</v>
      </c>
      <c r="C255" s="541"/>
      <c r="D255" s="562" t="s">
        <v>579</v>
      </c>
      <c r="E255" s="563" t="s">
        <v>580</v>
      </c>
      <c r="F255" s="554"/>
      <c r="G255" s="555"/>
      <c r="H255" s="555"/>
      <c r="I255" s="555"/>
      <c r="J255" s="555"/>
      <c r="K255" s="555"/>
      <c r="L255" s="555"/>
      <c r="M255" s="555"/>
      <c r="N255" s="555"/>
      <c r="O255" s="555"/>
      <c r="P255" s="555"/>
      <c r="Q255" s="555"/>
      <c r="R255" s="555"/>
      <c r="S255" s="554"/>
      <c r="T255" s="555"/>
      <c r="U255" s="555"/>
      <c r="V255" s="555"/>
      <c r="W255" s="555"/>
      <c r="X255" s="555"/>
      <c r="Y255" s="555"/>
      <c r="Z255" s="555"/>
      <c r="AA255" s="555"/>
      <c r="AB255" s="555"/>
      <c r="AC255" s="555"/>
      <c r="AD255" s="555"/>
      <c r="AE255" s="555"/>
    </row>
    <row r="256" spans="1:31">
      <c r="A256" s="564"/>
      <c r="B256" s="546"/>
      <c r="C256" s="546"/>
      <c r="D256" s="557" t="s">
        <v>594</v>
      </c>
      <c r="E256" s="565">
        <v>515</v>
      </c>
      <c r="F256" s="550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429"/>
      <c r="S256" s="550"/>
      <c r="T256" s="557"/>
      <c r="U256" s="557"/>
      <c r="V256" s="557"/>
      <c r="W256" s="557"/>
      <c r="X256" s="557"/>
      <c r="Y256" s="557"/>
      <c r="Z256" s="557"/>
      <c r="AA256" s="557"/>
      <c r="AB256" s="557"/>
      <c r="AC256" s="557"/>
      <c r="AD256" s="557"/>
      <c r="AE256" s="429">
        <f t="shared" ref="AE256:AE264" si="11">SUM(S256:AD256)</f>
        <v>0</v>
      </c>
    </row>
    <row r="257" spans="1:31">
      <c r="A257" s="488"/>
      <c r="B257" s="519"/>
      <c r="C257" s="519"/>
      <c r="D257" s="431"/>
      <c r="E257" s="435">
        <v>138</v>
      </c>
      <c r="F257" s="464"/>
      <c r="G257" s="431"/>
      <c r="H257" s="431"/>
      <c r="I257" s="431"/>
      <c r="J257" s="431"/>
      <c r="K257" s="431"/>
      <c r="L257" s="431"/>
      <c r="M257" s="431"/>
      <c r="N257" s="431"/>
      <c r="O257" s="431"/>
      <c r="P257" s="431"/>
      <c r="Q257" s="431"/>
      <c r="R257" s="429"/>
      <c r="S257" s="464"/>
      <c r="T257" s="431"/>
      <c r="U257" s="431"/>
      <c r="V257" s="431"/>
      <c r="W257" s="431"/>
      <c r="X257" s="431"/>
      <c r="Y257" s="431"/>
      <c r="Z257" s="431"/>
      <c r="AA257" s="431"/>
      <c r="AB257" s="431"/>
      <c r="AC257" s="431"/>
      <c r="AD257" s="431"/>
      <c r="AE257" s="429">
        <f t="shared" si="11"/>
        <v>0</v>
      </c>
    </row>
    <row r="258" spans="1:31">
      <c r="A258" s="488"/>
      <c r="B258" s="519"/>
      <c r="C258" s="519"/>
      <c r="D258" s="431" t="s">
        <v>594</v>
      </c>
      <c r="E258" s="489">
        <v>515</v>
      </c>
      <c r="F258" s="464"/>
      <c r="G258" s="431"/>
      <c r="H258" s="431"/>
      <c r="I258" s="431"/>
      <c r="J258" s="431"/>
      <c r="K258" s="431"/>
      <c r="L258" s="431"/>
      <c r="M258" s="431"/>
      <c r="N258" s="431"/>
      <c r="O258" s="431"/>
      <c r="P258" s="431"/>
      <c r="Q258" s="431"/>
      <c r="R258" s="429"/>
      <c r="S258" s="464"/>
      <c r="T258" s="431"/>
      <c r="U258" s="431"/>
      <c r="V258" s="431"/>
      <c r="W258" s="431"/>
      <c r="X258" s="431"/>
      <c r="Y258" s="431"/>
      <c r="Z258" s="431"/>
      <c r="AA258" s="431"/>
      <c r="AB258" s="431"/>
      <c r="AC258" s="431"/>
      <c r="AD258" s="431"/>
      <c r="AE258" s="429">
        <f t="shared" si="11"/>
        <v>0</v>
      </c>
    </row>
    <row r="259" spans="1:31">
      <c r="A259" s="488"/>
      <c r="B259" s="519"/>
      <c r="C259" s="519"/>
      <c r="D259" s="431"/>
      <c r="E259" s="435">
        <v>138</v>
      </c>
      <c r="F259" s="464"/>
      <c r="G259" s="431"/>
      <c r="H259" s="431"/>
      <c r="I259" s="431"/>
      <c r="J259" s="431"/>
      <c r="K259" s="431"/>
      <c r="L259" s="431"/>
      <c r="M259" s="431"/>
      <c r="N259" s="431"/>
      <c r="O259" s="431"/>
      <c r="P259" s="431"/>
      <c r="Q259" s="431"/>
      <c r="R259" s="429"/>
      <c r="S259" s="464"/>
      <c r="T259" s="431"/>
      <c r="U259" s="431"/>
      <c r="V259" s="431"/>
      <c r="W259" s="431"/>
      <c r="X259" s="431"/>
      <c r="Y259" s="431"/>
      <c r="Z259" s="431"/>
      <c r="AA259" s="431"/>
      <c r="AB259" s="431"/>
      <c r="AC259" s="431"/>
      <c r="AD259" s="431"/>
      <c r="AE259" s="429">
        <f t="shared" si="11"/>
        <v>0</v>
      </c>
    </row>
    <row r="260" spans="1:31">
      <c r="A260" s="488"/>
      <c r="B260" s="533"/>
      <c r="C260" s="484"/>
      <c r="D260" s="431" t="s">
        <v>594</v>
      </c>
      <c r="E260" s="489">
        <v>515</v>
      </c>
      <c r="F260" s="464"/>
      <c r="G260" s="431"/>
      <c r="H260" s="431"/>
      <c r="I260" s="431"/>
      <c r="J260" s="431"/>
      <c r="K260" s="431"/>
      <c r="L260" s="431"/>
      <c r="M260" s="431"/>
      <c r="N260" s="431"/>
      <c r="O260" s="431"/>
      <c r="P260" s="431"/>
      <c r="Q260" s="431"/>
      <c r="R260" s="429"/>
      <c r="S260" s="464"/>
      <c r="T260" s="431"/>
      <c r="U260" s="431"/>
      <c r="V260" s="431"/>
      <c r="W260" s="431"/>
      <c r="X260" s="431"/>
      <c r="Y260" s="431"/>
      <c r="Z260" s="431"/>
      <c r="AA260" s="431"/>
      <c r="AB260" s="431"/>
      <c r="AC260" s="431"/>
      <c r="AD260" s="431"/>
      <c r="AE260" s="429">
        <f t="shared" si="11"/>
        <v>0</v>
      </c>
    </row>
    <row r="261" spans="1:31">
      <c r="A261" s="488"/>
      <c r="B261" s="534"/>
      <c r="C261" s="519"/>
      <c r="D261" s="431"/>
      <c r="E261" s="435">
        <v>138</v>
      </c>
      <c r="F261" s="464"/>
      <c r="G261" s="431"/>
      <c r="H261" s="431"/>
      <c r="I261" s="431"/>
      <c r="J261" s="431"/>
      <c r="K261" s="431"/>
      <c r="L261" s="431"/>
      <c r="M261" s="431"/>
      <c r="N261" s="431"/>
      <c r="O261" s="431"/>
      <c r="P261" s="431"/>
      <c r="Q261" s="431"/>
      <c r="R261" s="429"/>
      <c r="S261" s="464"/>
      <c r="T261" s="431"/>
      <c r="U261" s="431"/>
      <c r="V261" s="431"/>
      <c r="W261" s="431"/>
      <c r="X261" s="431"/>
      <c r="Y261" s="431"/>
      <c r="Z261" s="431"/>
      <c r="AA261" s="431"/>
      <c r="AB261" s="431"/>
      <c r="AC261" s="431"/>
      <c r="AD261" s="431"/>
      <c r="AE261" s="429">
        <f t="shared" si="11"/>
        <v>0</v>
      </c>
    </row>
    <row r="262" spans="1:31">
      <c r="A262" s="488"/>
      <c r="B262" s="533"/>
      <c r="C262" s="484"/>
      <c r="D262" s="431" t="s">
        <v>594</v>
      </c>
      <c r="E262" s="489">
        <v>515</v>
      </c>
      <c r="F262" s="464"/>
      <c r="G262" s="431"/>
      <c r="H262" s="431"/>
      <c r="I262" s="431"/>
      <c r="J262" s="431"/>
      <c r="K262" s="431"/>
      <c r="L262" s="431"/>
      <c r="M262" s="431"/>
      <c r="N262" s="431"/>
      <c r="O262" s="431"/>
      <c r="P262" s="431"/>
      <c r="Q262" s="431"/>
      <c r="R262" s="429"/>
      <c r="S262" s="464"/>
      <c r="T262" s="431"/>
      <c r="U262" s="431"/>
      <c r="V262" s="431"/>
      <c r="W262" s="431"/>
      <c r="X262" s="431"/>
      <c r="Y262" s="431"/>
      <c r="Z262" s="431"/>
      <c r="AA262" s="431"/>
      <c r="AB262" s="431"/>
      <c r="AC262" s="431"/>
      <c r="AD262" s="431"/>
      <c r="AE262" s="429">
        <f t="shared" si="11"/>
        <v>0</v>
      </c>
    </row>
    <row r="263" spans="1:31">
      <c r="A263" s="488"/>
      <c r="B263" s="534"/>
      <c r="C263" s="519"/>
      <c r="D263" s="431"/>
      <c r="E263" s="435">
        <v>138</v>
      </c>
      <c r="F263" s="464"/>
      <c r="G263" s="431"/>
      <c r="H263" s="431"/>
      <c r="I263" s="431"/>
      <c r="J263" s="431"/>
      <c r="K263" s="431"/>
      <c r="L263" s="431"/>
      <c r="M263" s="431"/>
      <c r="N263" s="431"/>
      <c r="O263" s="431"/>
      <c r="P263" s="431"/>
      <c r="Q263" s="431"/>
      <c r="R263" s="429"/>
      <c r="S263" s="464"/>
      <c r="T263" s="431"/>
      <c r="U263" s="431"/>
      <c r="V263" s="431"/>
      <c r="W263" s="431"/>
      <c r="X263" s="431"/>
      <c r="Y263" s="431"/>
      <c r="Z263" s="431"/>
      <c r="AA263" s="431"/>
      <c r="AB263" s="431"/>
      <c r="AC263" s="431"/>
      <c r="AD263" s="431"/>
      <c r="AE263" s="429">
        <f t="shared" si="11"/>
        <v>0</v>
      </c>
    </row>
    <row r="264" spans="1:31">
      <c r="A264" s="494"/>
      <c r="B264" s="515"/>
      <c r="C264" s="515"/>
      <c r="D264" s="440"/>
      <c r="E264" s="439"/>
      <c r="F264" s="444"/>
      <c r="G264" s="440"/>
      <c r="H264" s="440"/>
      <c r="I264" s="440"/>
      <c r="J264" s="440"/>
      <c r="K264" s="440"/>
      <c r="L264" s="440"/>
      <c r="M264" s="440"/>
      <c r="N264" s="440"/>
      <c r="O264" s="440"/>
      <c r="P264" s="440"/>
      <c r="Q264" s="440"/>
      <c r="R264" s="429"/>
      <c r="S264" s="444"/>
      <c r="T264" s="440"/>
      <c r="U264" s="440"/>
      <c r="V264" s="440"/>
      <c r="W264" s="440"/>
      <c r="X264" s="440"/>
      <c r="Y264" s="440"/>
      <c r="Z264" s="440"/>
      <c r="AA264" s="440"/>
      <c r="AB264" s="440"/>
      <c r="AC264" s="440"/>
      <c r="AD264" s="440"/>
      <c r="AE264" s="429">
        <f t="shared" si="11"/>
        <v>0</v>
      </c>
    </row>
    <row r="265" spans="1:31">
      <c r="A265" s="553" t="s">
        <v>595</v>
      </c>
      <c r="B265" s="541" t="s">
        <v>596</v>
      </c>
      <c r="C265" s="541"/>
      <c r="D265" s="562" t="s">
        <v>579</v>
      </c>
      <c r="E265" s="563" t="s">
        <v>580</v>
      </c>
      <c r="F265" s="554"/>
      <c r="G265" s="555"/>
      <c r="H265" s="555"/>
      <c r="I265" s="555"/>
      <c r="J265" s="555"/>
      <c r="K265" s="555"/>
      <c r="L265" s="555"/>
      <c r="M265" s="555"/>
      <c r="N265" s="555"/>
      <c r="O265" s="555"/>
      <c r="P265" s="555"/>
      <c r="Q265" s="555"/>
      <c r="R265" s="555"/>
      <c r="S265" s="554"/>
      <c r="T265" s="555"/>
      <c r="U265" s="555"/>
      <c r="V265" s="555"/>
      <c r="W265" s="555"/>
      <c r="X265" s="555"/>
      <c r="Y265" s="555"/>
      <c r="Z265" s="555"/>
      <c r="AA265" s="555"/>
      <c r="AB265" s="555"/>
      <c r="AC265" s="555"/>
      <c r="AD265" s="555"/>
      <c r="AE265" s="555"/>
    </row>
    <row r="266" spans="1:31">
      <c r="A266" s="497"/>
      <c r="B266" s="519" t="s">
        <v>498</v>
      </c>
      <c r="C266" s="424" t="s">
        <v>499</v>
      </c>
      <c r="D266" s="557"/>
      <c r="E266" s="489" t="s">
        <v>597</v>
      </c>
      <c r="F266" s="550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429"/>
      <c r="S266" s="550"/>
      <c r="T266" s="557"/>
      <c r="U266" s="557"/>
      <c r="V266" s="557"/>
      <c r="W266" s="557"/>
      <c r="X266" s="557"/>
      <c r="Y266" s="557"/>
      <c r="Z266" s="557"/>
      <c r="AA266" s="557"/>
      <c r="AB266" s="557"/>
      <c r="AC266" s="557"/>
      <c r="AD266" s="557"/>
      <c r="AE266" s="429">
        <f t="shared" ref="AE266:AE270" si="12">SUM(S266:AD266)</f>
        <v>0</v>
      </c>
    </row>
    <row r="267" spans="1:31">
      <c r="A267" s="497"/>
      <c r="B267" s="519"/>
      <c r="C267" s="424"/>
      <c r="D267" s="425"/>
      <c r="E267" s="489" t="s">
        <v>598</v>
      </c>
      <c r="F267" s="464"/>
      <c r="G267" s="431"/>
      <c r="H267" s="431"/>
      <c r="I267" s="431"/>
      <c r="J267" s="431"/>
      <c r="K267" s="431"/>
      <c r="L267" s="431"/>
      <c r="M267" s="431"/>
      <c r="N267" s="431"/>
      <c r="O267" s="431"/>
      <c r="P267" s="431"/>
      <c r="Q267" s="431"/>
      <c r="R267" s="429"/>
      <c r="S267" s="464"/>
      <c r="T267" s="431"/>
      <c r="U267" s="431"/>
      <c r="V267" s="431"/>
      <c r="W267" s="431"/>
      <c r="X267" s="431"/>
      <c r="Y267" s="431"/>
      <c r="Z267" s="431"/>
      <c r="AA267" s="431"/>
      <c r="AB267" s="431"/>
      <c r="AC267" s="431"/>
      <c r="AD267" s="431"/>
      <c r="AE267" s="429">
        <f t="shared" si="12"/>
        <v>0</v>
      </c>
    </row>
    <row r="268" spans="1:31">
      <c r="A268" s="497"/>
      <c r="B268" s="519" t="s">
        <v>582</v>
      </c>
      <c r="C268" s="424"/>
      <c r="D268" s="492"/>
      <c r="E268" s="489" t="s">
        <v>598</v>
      </c>
      <c r="F268" s="464"/>
      <c r="G268" s="431"/>
      <c r="H268" s="431"/>
      <c r="I268" s="431"/>
      <c r="J268" s="431"/>
      <c r="K268" s="431"/>
      <c r="L268" s="431"/>
      <c r="M268" s="431"/>
      <c r="N268" s="431"/>
      <c r="O268" s="431"/>
      <c r="P268" s="431"/>
      <c r="Q268" s="431"/>
      <c r="R268" s="429"/>
      <c r="S268" s="464"/>
      <c r="T268" s="431"/>
      <c r="U268" s="431"/>
      <c r="V268" s="431"/>
      <c r="W268" s="431"/>
      <c r="X268" s="431"/>
      <c r="Y268" s="431"/>
      <c r="Z268" s="431"/>
      <c r="AA268" s="431"/>
      <c r="AB268" s="431"/>
      <c r="AC268" s="431"/>
      <c r="AD268" s="431"/>
      <c r="AE268" s="429">
        <f t="shared" si="12"/>
        <v>0</v>
      </c>
    </row>
    <row r="269" spans="1:31">
      <c r="A269" s="497"/>
      <c r="B269" s="457" t="s">
        <v>599</v>
      </c>
      <c r="C269" s="461"/>
      <c r="D269" s="492"/>
      <c r="E269" s="489" t="s">
        <v>598</v>
      </c>
      <c r="F269" s="464"/>
      <c r="G269" s="431"/>
      <c r="H269" s="431"/>
      <c r="I269" s="431"/>
      <c r="J269" s="431"/>
      <c r="K269" s="431"/>
      <c r="L269" s="431"/>
      <c r="M269" s="431"/>
      <c r="N269" s="431"/>
      <c r="O269" s="431"/>
      <c r="P269" s="431"/>
      <c r="Q269" s="431"/>
      <c r="R269" s="429"/>
      <c r="S269" s="464"/>
      <c r="T269" s="431"/>
      <c r="U269" s="431"/>
      <c r="V269" s="431"/>
      <c r="W269" s="431"/>
      <c r="X269" s="431"/>
      <c r="Y269" s="431"/>
      <c r="Z269" s="431"/>
      <c r="AA269" s="431"/>
      <c r="AB269" s="431"/>
      <c r="AC269" s="431"/>
      <c r="AD269" s="431"/>
      <c r="AE269" s="429">
        <f t="shared" si="12"/>
        <v>0</v>
      </c>
    </row>
    <row r="270" spans="1:31">
      <c r="A270" s="497"/>
      <c r="B270" s="457" t="s">
        <v>600</v>
      </c>
      <c r="C270" s="461"/>
      <c r="D270" s="492"/>
      <c r="E270" s="489" t="s">
        <v>598</v>
      </c>
      <c r="F270" s="444"/>
      <c r="G270" s="440"/>
      <c r="H270" s="440"/>
      <c r="I270" s="440"/>
      <c r="J270" s="440"/>
      <c r="K270" s="440"/>
      <c r="L270" s="440"/>
      <c r="M270" s="440"/>
      <c r="N270" s="440"/>
      <c r="O270" s="440"/>
      <c r="P270" s="440"/>
      <c r="Q270" s="440"/>
      <c r="R270" s="429"/>
      <c r="S270" s="444"/>
      <c r="T270" s="440"/>
      <c r="U270" s="440"/>
      <c r="V270" s="440"/>
      <c r="W270" s="440"/>
      <c r="X270" s="440"/>
      <c r="Y270" s="440"/>
      <c r="Z270" s="440"/>
      <c r="AA270" s="440"/>
      <c r="AB270" s="440"/>
      <c r="AC270" s="440"/>
      <c r="AD270" s="440"/>
      <c r="AE270" s="429">
        <f t="shared" si="12"/>
        <v>0</v>
      </c>
    </row>
    <row r="271" spans="1:31">
      <c r="A271" s="553" t="s">
        <v>601</v>
      </c>
      <c r="B271" s="541" t="s">
        <v>602</v>
      </c>
      <c r="C271" s="541"/>
      <c r="D271" s="562" t="s">
        <v>579</v>
      </c>
      <c r="E271" s="563" t="s">
        <v>580</v>
      </c>
      <c r="F271" s="554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4"/>
      <c r="T271" s="555"/>
      <c r="U271" s="555"/>
      <c r="V271" s="555"/>
      <c r="W271" s="555"/>
      <c r="X271" s="555"/>
      <c r="Y271" s="555"/>
      <c r="Z271" s="555"/>
      <c r="AA271" s="555"/>
      <c r="AB271" s="555"/>
      <c r="AC271" s="555"/>
      <c r="AD271" s="555"/>
      <c r="AE271" s="555"/>
    </row>
    <row r="272" spans="1:31">
      <c r="A272" s="497"/>
      <c r="B272" s="519" t="s">
        <v>498</v>
      </c>
      <c r="C272" s="424" t="s">
        <v>499</v>
      </c>
      <c r="D272" s="557"/>
      <c r="E272" s="489" t="s">
        <v>603</v>
      </c>
      <c r="F272" s="550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429"/>
      <c r="S272" s="550"/>
      <c r="T272" s="557"/>
      <c r="U272" s="557"/>
      <c r="V272" s="557"/>
      <c r="W272" s="557"/>
      <c r="X272" s="557"/>
      <c r="Y272" s="557"/>
      <c r="Z272" s="557"/>
      <c r="AA272" s="557"/>
      <c r="AB272" s="557"/>
      <c r="AC272" s="557"/>
      <c r="AD272" s="557"/>
      <c r="AE272" s="429">
        <f t="shared" ref="AE272:AE279" si="13">SUM(S272:AD272)</f>
        <v>0</v>
      </c>
    </row>
    <row r="273" spans="1:31">
      <c r="A273" s="497"/>
      <c r="B273" s="519"/>
      <c r="C273" s="424"/>
      <c r="D273" s="425"/>
      <c r="E273" s="489"/>
      <c r="F273" s="464"/>
      <c r="G273" s="431"/>
      <c r="H273" s="431"/>
      <c r="I273" s="431"/>
      <c r="J273" s="431"/>
      <c r="K273" s="431"/>
      <c r="L273" s="431"/>
      <c r="M273" s="431"/>
      <c r="N273" s="431"/>
      <c r="O273" s="431"/>
      <c r="P273" s="431"/>
      <c r="Q273" s="431"/>
      <c r="R273" s="429"/>
      <c r="S273" s="464"/>
      <c r="T273" s="431"/>
      <c r="U273" s="431"/>
      <c r="V273" s="431"/>
      <c r="W273" s="431"/>
      <c r="X273" s="431"/>
      <c r="Y273" s="431"/>
      <c r="Z273" s="431"/>
      <c r="AA273" s="431"/>
      <c r="AB273" s="431"/>
      <c r="AC273" s="431"/>
      <c r="AD273" s="431"/>
      <c r="AE273" s="429">
        <f t="shared" si="13"/>
        <v>0</v>
      </c>
    </row>
    <row r="274" spans="1:31">
      <c r="A274" s="497"/>
      <c r="B274" s="519" t="s">
        <v>582</v>
      </c>
      <c r="C274" s="424"/>
      <c r="D274" s="492"/>
      <c r="E274" s="489" t="s">
        <v>603</v>
      </c>
      <c r="F274" s="464"/>
      <c r="G274" s="431"/>
      <c r="H274" s="431"/>
      <c r="I274" s="431"/>
      <c r="J274" s="431"/>
      <c r="K274" s="431"/>
      <c r="L274" s="431"/>
      <c r="M274" s="431"/>
      <c r="N274" s="431"/>
      <c r="O274" s="431"/>
      <c r="P274" s="431"/>
      <c r="Q274" s="431"/>
      <c r="R274" s="429"/>
      <c r="S274" s="464"/>
      <c r="T274" s="431"/>
      <c r="U274" s="431"/>
      <c r="V274" s="431"/>
      <c r="W274" s="431"/>
      <c r="X274" s="431"/>
      <c r="Y274" s="431"/>
      <c r="Z274" s="431"/>
      <c r="AA274" s="431"/>
      <c r="AB274" s="431"/>
      <c r="AC274" s="431"/>
      <c r="AD274" s="431"/>
      <c r="AE274" s="429">
        <f t="shared" si="13"/>
        <v>0</v>
      </c>
    </row>
    <row r="275" spans="1:31">
      <c r="A275" s="497"/>
      <c r="B275" s="519"/>
      <c r="C275" s="424"/>
      <c r="D275" s="492"/>
      <c r="E275" s="489" t="s">
        <v>604</v>
      </c>
      <c r="F275" s="464"/>
      <c r="G275" s="431"/>
      <c r="H275" s="431"/>
      <c r="I275" s="431"/>
      <c r="J275" s="431"/>
      <c r="K275" s="431"/>
      <c r="L275" s="431"/>
      <c r="M275" s="431"/>
      <c r="N275" s="431"/>
      <c r="O275" s="431"/>
      <c r="P275" s="431"/>
      <c r="Q275" s="431"/>
      <c r="R275" s="429"/>
      <c r="S275" s="464"/>
      <c r="T275" s="431"/>
      <c r="U275" s="431"/>
      <c r="V275" s="431"/>
      <c r="W275" s="431"/>
      <c r="X275" s="431"/>
      <c r="Y275" s="431"/>
      <c r="Z275" s="431"/>
      <c r="AA275" s="431"/>
      <c r="AB275" s="431"/>
      <c r="AC275" s="431"/>
      <c r="AD275" s="431"/>
      <c r="AE275" s="429">
        <f t="shared" si="13"/>
        <v>0</v>
      </c>
    </row>
    <row r="276" spans="1:31">
      <c r="A276" s="497"/>
      <c r="B276" s="457" t="s">
        <v>599</v>
      </c>
      <c r="C276" s="461"/>
      <c r="D276" s="492"/>
      <c r="E276" s="489" t="s">
        <v>603</v>
      </c>
      <c r="F276" s="464"/>
      <c r="G276" s="431"/>
      <c r="H276" s="431"/>
      <c r="I276" s="431"/>
      <c r="J276" s="431"/>
      <c r="K276" s="431"/>
      <c r="L276" s="431"/>
      <c r="M276" s="431"/>
      <c r="N276" s="431"/>
      <c r="O276" s="431"/>
      <c r="P276" s="431"/>
      <c r="Q276" s="431"/>
      <c r="R276" s="429"/>
      <c r="S276" s="464"/>
      <c r="T276" s="431"/>
      <c r="U276" s="431"/>
      <c r="V276" s="431"/>
      <c r="W276" s="431"/>
      <c r="X276" s="431"/>
      <c r="Y276" s="431"/>
      <c r="Z276" s="431"/>
      <c r="AA276" s="431"/>
      <c r="AB276" s="431"/>
      <c r="AC276" s="431"/>
      <c r="AD276" s="431"/>
      <c r="AE276" s="429">
        <f t="shared" si="13"/>
        <v>0</v>
      </c>
    </row>
    <row r="277" spans="1:31">
      <c r="B277" s="457"/>
      <c r="C277" s="461"/>
      <c r="D277" s="492"/>
      <c r="E277" s="489" t="s">
        <v>604</v>
      </c>
      <c r="F277" s="464"/>
      <c r="G277" s="431"/>
      <c r="H277" s="431"/>
      <c r="I277" s="431"/>
      <c r="J277" s="431"/>
      <c r="K277" s="431"/>
      <c r="L277" s="431"/>
      <c r="M277" s="431"/>
      <c r="N277" s="431"/>
      <c r="O277" s="431"/>
      <c r="P277" s="431"/>
      <c r="Q277" s="431"/>
      <c r="R277" s="429"/>
      <c r="S277" s="464"/>
      <c r="T277" s="431"/>
      <c r="U277" s="431"/>
      <c r="V277" s="431"/>
      <c r="W277" s="431"/>
      <c r="X277" s="431"/>
      <c r="Y277" s="431"/>
      <c r="Z277" s="431"/>
      <c r="AA277" s="431"/>
      <c r="AB277" s="431"/>
      <c r="AC277" s="431"/>
      <c r="AD277" s="431"/>
      <c r="AE277" s="429">
        <f t="shared" si="13"/>
        <v>0</v>
      </c>
    </row>
    <row r="278" spans="1:31">
      <c r="A278" s="497"/>
      <c r="B278" s="457" t="s">
        <v>600</v>
      </c>
      <c r="C278" s="461"/>
      <c r="D278" s="492" t="s">
        <v>605</v>
      </c>
      <c r="E278" s="489" t="s">
        <v>603</v>
      </c>
      <c r="F278" s="464"/>
      <c r="G278" s="431"/>
      <c r="H278" s="431"/>
      <c r="I278" s="431"/>
      <c r="J278" s="431"/>
      <c r="K278" s="431"/>
      <c r="L278" s="431"/>
      <c r="M278" s="431"/>
      <c r="N278" s="431"/>
      <c r="O278" s="431"/>
      <c r="P278" s="431"/>
      <c r="Q278" s="431"/>
      <c r="R278" s="429"/>
      <c r="S278" s="464"/>
      <c r="T278" s="431"/>
      <c r="U278" s="431"/>
      <c r="V278" s="431"/>
      <c r="W278" s="431"/>
      <c r="X278" s="431"/>
      <c r="Y278" s="431"/>
      <c r="Z278" s="431"/>
      <c r="AA278" s="431"/>
      <c r="AB278" s="431"/>
      <c r="AC278" s="431"/>
      <c r="AD278" s="431"/>
      <c r="AE278" s="429">
        <f t="shared" si="13"/>
        <v>0</v>
      </c>
    </row>
    <row r="279" spans="1:31">
      <c r="A279" s="505"/>
      <c r="B279" s="472"/>
      <c r="C279" s="529"/>
      <c r="D279" s="506"/>
      <c r="E279" s="496" t="s">
        <v>604</v>
      </c>
      <c r="F279" s="444"/>
      <c r="G279" s="440"/>
      <c r="H279" s="440"/>
      <c r="I279" s="440"/>
      <c r="J279" s="440"/>
      <c r="K279" s="440"/>
      <c r="L279" s="440"/>
      <c r="M279" s="440"/>
      <c r="N279" s="440"/>
      <c r="O279" s="440"/>
      <c r="P279" s="440"/>
      <c r="Q279" s="440"/>
      <c r="R279" s="444"/>
      <c r="S279" s="444"/>
      <c r="T279" s="440"/>
      <c r="U279" s="440"/>
      <c r="V279" s="440"/>
      <c r="W279" s="440"/>
      <c r="X279" s="440"/>
      <c r="Y279" s="440"/>
      <c r="Z279" s="440"/>
      <c r="AA279" s="440"/>
      <c r="AB279" s="440"/>
      <c r="AC279" s="440"/>
      <c r="AD279" s="440"/>
      <c r="AE279" s="444">
        <f t="shared" si="13"/>
        <v>0</v>
      </c>
    </row>
    <row r="280" spans="1:31">
      <c r="B280" s="470"/>
      <c r="C280" s="470"/>
      <c r="D280" s="507"/>
      <c r="E280" s="508"/>
    </row>
    <row r="282" spans="1:31">
      <c r="A282" s="415" t="s">
        <v>606</v>
      </c>
      <c r="B282" s="416" t="s">
        <v>607</v>
      </c>
      <c r="C282" s="416"/>
      <c r="D282" s="417"/>
    </row>
    <row r="283" spans="1:31">
      <c r="F283" s="418" t="s">
        <v>608</v>
      </c>
      <c r="G283" s="419"/>
      <c r="H283" s="419"/>
      <c r="I283" s="419"/>
      <c r="J283" s="419"/>
      <c r="K283" s="419"/>
      <c r="L283" s="419"/>
      <c r="M283" s="419"/>
      <c r="N283" s="419"/>
      <c r="O283" s="419"/>
      <c r="P283" s="419"/>
      <c r="Q283" s="419"/>
      <c r="S283" s="418" t="s">
        <v>608</v>
      </c>
      <c r="T283" s="419"/>
      <c r="U283" s="419"/>
      <c r="V283" s="419"/>
      <c r="W283" s="419"/>
      <c r="X283" s="419"/>
      <c r="Y283" s="419"/>
      <c r="Z283" s="419"/>
      <c r="AA283" s="419"/>
      <c r="AB283" s="419"/>
      <c r="AC283" s="419"/>
      <c r="AD283" s="419"/>
    </row>
    <row r="284" spans="1:31">
      <c r="A284" s="566" t="s">
        <v>496</v>
      </c>
      <c r="B284" s="567" t="s">
        <v>609</v>
      </c>
      <c r="C284" s="567"/>
      <c r="D284" s="568" t="s">
        <v>580</v>
      </c>
      <c r="E284" s="557"/>
      <c r="F284" s="569" t="s">
        <v>624</v>
      </c>
      <c r="G284" s="569" t="s">
        <v>484</v>
      </c>
      <c r="H284" s="569" t="s">
        <v>485</v>
      </c>
      <c r="I284" s="569" t="s">
        <v>486</v>
      </c>
      <c r="J284" s="569" t="s">
        <v>487</v>
      </c>
      <c r="K284" s="569" t="s">
        <v>488</v>
      </c>
      <c r="L284" s="569" t="s">
        <v>489</v>
      </c>
      <c r="M284" s="569" t="s">
        <v>490</v>
      </c>
      <c r="N284" s="569" t="s">
        <v>491</v>
      </c>
      <c r="O284" s="569" t="s">
        <v>492</v>
      </c>
      <c r="P284" s="569" t="s">
        <v>493</v>
      </c>
      <c r="Q284" s="569" t="s">
        <v>494</v>
      </c>
      <c r="S284" s="569" t="s">
        <v>625</v>
      </c>
      <c r="T284" s="569" t="s">
        <v>484</v>
      </c>
      <c r="U284" s="569" t="s">
        <v>485</v>
      </c>
      <c r="V284" s="569" t="s">
        <v>486</v>
      </c>
      <c r="W284" s="569" t="s">
        <v>487</v>
      </c>
      <c r="X284" s="569" t="s">
        <v>488</v>
      </c>
      <c r="Y284" s="569" t="s">
        <v>489</v>
      </c>
      <c r="Z284" s="569" t="s">
        <v>490</v>
      </c>
      <c r="AA284" s="569" t="s">
        <v>491</v>
      </c>
      <c r="AB284" s="569" t="s">
        <v>492</v>
      </c>
      <c r="AC284" s="569" t="s">
        <v>493</v>
      </c>
      <c r="AD284" s="569" t="s">
        <v>494</v>
      </c>
    </row>
    <row r="285" spans="1:31" ht="12.5">
      <c r="A285" s="570">
        <v>1</v>
      </c>
      <c r="B285" s="559" t="s">
        <v>498</v>
      </c>
      <c r="C285" s="559" t="s">
        <v>499</v>
      </c>
      <c r="D285" s="558">
        <v>131</v>
      </c>
      <c r="E285" s="557"/>
      <c r="F285" s="571"/>
      <c r="G285" s="571"/>
      <c r="H285" s="571"/>
      <c r="I285" s="571"/>
      <c r="J285" s="571"/>
      <c r="K285" s="571"/>
      <c r="L285" s="571"/>
      <c r="M285" s="571"/>
      <c r="N285" s="571"/>
      <c r="O285" s="571"/>
      <c r="P285" s="571"/>
      <c r="Q285" s="551"/>
      <c r="S285" s="571"/>
      <c r="T285" s="571"/>
      <c r="U285" s="571"/>
      <c r="V285" s="571"/>
      <c r="W285" s="571"/>
      <c r="X285" s="571"/>
      <c r="Y285" s="571"/>
      <c r="Z285" s="571"/>
      <c r="AA285" s="571"/>
      <c r="AB285" s="571"/>
      <c r="AC285" s="571"/>
      <c r="AD285" s="551"/>
    </row>
    <row r="286" spans="1:31" ht="12.5">
      <c r="A286" s="509"/>
      <c r="B286" s="510"/>
      <c r="C286" s="510"/>
      <c r="D286" s="511">
        <v>138</v>
      </c>
      <c r="E286" s="479"/>
      <c r="F286" s="512"/>
      <c r="G286" s="512"/>
      <c r="H286" s="512"/>
      <c r="I286" s="512"/>
      <c r="J286" s="512"/>
      <c r="K286" s="512"/>
      <c r="L286" s="512"/>
      <c r="M286" s="512"/>
      <c r="N286" s="512"/>
      <c r="O286" s="512"/>
      <c r="P286" s="512"/>
      <c r="Q286" s="513"/>
      <c r="S286" s="512"/>
      <c r="T286" s="512"/>
      <c r="U286" s="512"/>
      <c r="V286" s="512"/>
      <c r="W286" s="512"/>
      <c r="X286" s="512"/>
      <c r="Y286" s="512"/>
      <c r="Z286" s="512"/>
      <c r="AA286" s="512"/>
      <c r="AB286" s="512"/>
      <c r="AC286" s="512"/>
      <c r="AD286" s="513"/>
    </row>
    <row r="287" spans="1:31" ht="12.5">
      <c r="A287" s="570">
        <v>2</v>
      </c>
      <c r="B287" s="559" t="s">
        <v>508</v>
      </c>
      <c r="C287" s="559" t="s">
        <v>509</v>
      </c>
      <c r="D287" s="558">
        <v>131</v>
      </c>
      <c r="E287" s="557"/>
      <c r="F287" s="571">
        <v>1352106540</v>
      </c>
      <c r="G287" s="571">
        <v>1676240017</v>
      </c>
      <c r="H287" s="571">
        <v>1733385828</v>
      </c>
      <c r="I287" s="571">
        <v>764426268</v>
      </c>
      <c r="J287" s="571">
        <v>911353978</v>
      </c>
      <c r="K287" s="571">
        <v>306779374</v>
      </c>
      <c r="L287" s="571">
        <v>581078060</v>
      </c>
      <c r="M287" s="571">
        <v>606329237</v>
      </c>
      <c r="N287" s="571">
        <v>637351429</v>
      </c>
      <c r="O287" s="571">
        <v>1426368852</v>
      </c>
      <c r="P287" s="571">
        <v>1705247640</v>
      </c>
      <c r="Q287" s="551">
        <v>1352106540</v>
      </c>
      <c r="S287" s="571">
        <v>913880092</v>
      </c>
      <c r="T287" s="571">
        <v>1881969789.6000001</v>
      </c>
      <c r="U287" s="571">
        <v>2972149886</v>
      </c>
      <c r="V287" s="571">
        <v>2367061764</v>
      </c>
      <c r="W287" s="579">
        <v>3593965000</v>
      </c>
      <c r="X287" s="571"/>
      <c r="Y287" s="571"/>
      <c r="Z287" s="571"/>
      <c r="AA287" s="571"/>
      <c r="AB287" s="571"/>
      <c r="AC287" s="571"/>
      <c r="AD287" s="551"/>
    </row>
    <row r="288" spans="1:31" ht="12.5">
      <c r="A288" s="509"/>
      <c r="B288" s="510"/>
      <c r="C288" s="510"/>
      <c r="D288" s="511">
        <v>138</v>
      </c>
      <c r="E288" s="479"/>
      <c r="F288" s="512"/>
      <c r="G288" s="512"/>
      <c r="H288" s="512"/>
      <c r="I288" s="512"/>
      <c r="J288" s="512"/>
      <c r="K288" s="512"/>
      <c r="L288" s="512"/>
      <c r="M288" s="512"/>
      <c r="N288" s="512"/>
      <c r="O288" s="512"/>
      <c r="P288" s="512"/>
      <c r="Q288" s="513"/>
      <c r="S288" s="512"/>
      <c r="T288" s="512"/>
      <c r="U288" s="512"/>
      <c r="V288" s="512"/>
      <c r="W288" s="512"/>
      <c r="X288" s="512"/>
      <c r="Y288" s="512"/>
      <c r="Z288" s="512"/>
      <c r="AA288" s="512"/>
      <c r="AB288" s="512"/>
      <c r="AC288" s="512"/>
      <c r="AD288" s="513"/>
    </row>
    <row r="289" spans="1:30" s="412" customFormat="1" ht="12.5">
      <c r="A289" s="570">
        <v>3</v>
      </c>
      <c r="B289" s="559" t="s">
        <v>514</v>
      </c>
      <c r="C289" s="559" t="s">
        <v>515</v>
      </c>
      <c r="D289" s="558">
        <v>131</v>
      </c>
      <c r="E289" s="557"/>
      <c r="F289" s="571">
        <v>1569335040</v>
      </c>
      <c r="G289" s="571">
        <v>1569335040</v>
      </c>
      <c r="H289" s="571">
        <v>1569335040</v>
      </c>
      <c r="I289" s="571">
        <v>1569335040</v>
      </c>
      <c r="J289" s="571">
        <v>1445024880</v>
      </c>
      <c r="K289" s="571">
        <v>1340146080</v>
      </c>
      <c r="L289" s="571">
        <v>1340146080</v>
      </c>
      <c r="M289" s="571">
        <v>982575360</v>
      </c>
      <c r="N289" s="571"/>
      <c r="O289" s="571"/>
      <c r="P289" s="571"/>
      <c r="Q289" s="551"/>
      <c r="S289" s="571"/>
      <c r="T289" s="571"/>
      <c r="U289" s="571"/>
      <c r="V289" s="571"/>
      <c r="W289" s="571"/>
      <c r="X289" s="571"/>
      <c r="Y289" s="571"/>
      <c r="Z289" s="571"/>
      <c r="AA289" s="571"/>
      <c r="AB289" s="571"/>
      <c r="AC289" s="571"/>
      <c r="AD289" s="551"/>
    </row>
    <row r="290" spans="1:30" s="412" customFormat="1" ht="12.5">
      <c r="A290" s="509"/>
      <c r="B290" s="510"/>
      <c r="C290" s="510"/>
      <c r="D290" s="511">
        <v>138</v>
      </c>
      <c r="E290" s="479"/>
      <c r="F290" s="512"/>
      <c r="G290" s="512"/>
      <c r="H290" s="512"/>
      <c r="I290" s="512"/>
      <c r="J290" s="512"/>
      <c r="K290" s="512"/>
      <c r="L290" s="512"/>
      <c r="M290" s="512"/>
      <c r="N290" s="512"/>
      <c r="O290" s="512"/>
      <c r="P290" s="512"/>
      <c r="Q290" s="513"/>
      <c r="S290" s="512"/>
      <c r="T290" s="512"/>
      <c r="U290" s="512"/>
      <c r="V290" s="512"/>
      <c r="W290" s="512"/>
      <c r="X290" s="512"/>
      <c r="Y290" s="512"/>
      <c r="Z290" s="512"/>
      <c r="AA290" s="512"/>
      <c r="AB290" s="512"/>
      <c r="AC290" s="512"/>
      <c r="AD290" s="513"/>
    </row>
    <row r="291" spans="1:30" s="412" customFormat="1" ht="12.5">
      <c r="A291" s="570">
        <v>4</v>
      </c>
      <c r="B291" s="559" t="s">
        <v>517</v>
      </c>
      <c r="C291" s="559" t="s">
        <v>518</v>
      </c>
      <c r="D291" s="558">
        <v>131</v>
      </c>
      <c r="E291" s="557"/>
      <c r="F291" s="571"/>
      <c r="G291" s="571"/>
      <c r="H291" s="571"/>
      <c r="I291" s="571"/>
      <c r="J291" s="571"/>
      <c r="K291" s="571"/>
      <c r="L291" s="571"/>
      <c r="M291" s="571"/>
      <c r="N291" s="571"/>
      <c r="O291" s="571"/>
      <c r="P291" s="571"/>
      <c r="Q291" s="551"/>
      <c r="S291" s="571"/>
      <c r="T291" s="571"/>
      <c r="U291" s="571"/>
      <c r="V291" s="571"/>
      <c r="W291" s="571"/>
      <c r="X291" s="571"/>
      <c r="Y291" s="571"/>
      <c r="Z291" s="571"/>
      <c r="AA291" s="571"/>
      <c r="AB291" s="571"/>
      <c r="AC291" s="571"/>
      <c r="AD291" s="551"/>
    </row>
    <row r="292" spans="1:30" s="412" customFormat="1" ht="12.5">
      <c r="A292" s="509"/>
      <c r="B292" s="510"/>
      <c r="C292" s="510"/>
      <c r="D292" s="511">
        <v>138</v>
      </c>
      <c r="E292" s="479"/>
      <c r="F292" s="512"/>
      <c r="G292" s="512"/>
      <c r="H292" s="512"/>
      <c r="I292" s="512"/>
      <c r="J292" s="512"/>
      <c r="K292" s="512"/>
      <c r="L292" s="512"/>
      <c r="M292" s="512"/>
      <c r="N292" s="512"/>
      <c r="O292" s="512"/>
      <c r="P292" s="512"/>
      <c r="Q292" s="513"/>
      <c r="S292" s="512"/>
      <c r="T292" s="512"/>
      <c r="U292" s="512"/>
      <c r="V292" s="512"/>
      <c r="W292" s="512"/>
      <c r="X292" s="512"/>
      <c r="Y292" s="512"/>
      <c r="Z292" s="512"/>
      <c r="AA292" s="512"/>
      <c r="AB292" s="512"/>
      <c r="AC292" s="512"/>
      <c r="AD292" s="513"/>
    </row>
    <row r="293" spans="1:30" s="412" customFormat="1" ht="12.5">
      <c r="A293" s="570">
        <v>5</v>
      </c>
      <c r="B293" s="559" t="s">
        <v>519</v>
      </c>
      <c r="C293" s="559" t="s">
        <v>520</v>
      </c>
      <c r="D293" s="558">
        <v>131</v>
      </c>
      <c r="E293" s="557"/>
      <c r="F293" s="571"/>
      <c r="G293" s="571"/>
      <c r="H293" s="571"/>
      <c r="I293" s="571"/>
      <c r="J293" s="571"/>
      <c r="K293" s="571"/>
      <c r="L293" s="571"/>
      <c r="M293" s="571"/>
      <c r="N293" s="571"/>
      <c r="O293" s="571"/>
      <c r="P293" s="571"/>
      <c r="Q293" s="551"/>
      <c r="S293" s="571"/>
      <c r="T293" s="571"/>
      <c r="U293" s="571"/>
      <c r="V293" s="571"/>
      <c r="W293" s="571"/>
      <c r="X293" s="571"/>
      <c r="Y293" s="571"/>
      <c r="Z293" s="571"/>
      <c r="AA293" s="571"/>
      <c r="AB293" s="571"/>
      <c r="AC293" s="571"/>
      <c r="AD293" s="551"/>
    </row>
    <row r="294" spans="1:30" s="412" customFormat="1" ht="12.5">
      <c r="A294" s="509"/>
      <c r="B294" s="510"/>
      <c r="C294" s="510"/>
      <c r="D294" s="511">
        <v>138</v>
      </c>
      <c r="E294" s="479"/>
      <c r="F294" s="512"/>
      <c r="G294" s="512"/>
      <c r="H294" s="512"/>
      <c r="I294" s="512"/>
      <c r="J294" s="512"/>
      <c r="K294" s="512"/>
      <c r="L294" s="512"/>
      <c r="M294" s="512"/>
      <c r="N294" s="512"/>
      <c r="O294" s="512"/>
      <c r="P294" s="512"/>
      <c r="Q294" s="513"/>
      <c r="S294" s="512"/>
      <c r="T294" s="512"/>
      <c r="U294" s="512"/>
      <c r="V294" s="512"/>
      <c r="W294" s="512"/>
      <c r="X294" s="512"/>
      <c r="Y294" s="512"/>
      <c r="Z294" s="512"/>
      <c r="AA294" s="512"/>
      <c r="AB294" s="512"/>
      <c r="AC294" s="512"/>
      <c r="AD294" s="513"/>
    </row>
    <row r="295" spans="1:30" s="412" customFormat="1" ht="12.5">
      <c r="A295" s="570">
        <v>6</v>
      </c>
      <c r="B295" s="559" t="s">
        <v>522</v>
      </c>
      <c r="C295" s="559" t="s">
        <v>523</v>
      </c>
      <c r="D295" s="558">
        <v>131</v>
      </c>
      <c r="E295" s="557"/>
      <c r="F295" s="571"/>
      <c r="G295" s="571"/>
      <c r="H295" s="571"/>
      <c r="I295" s="571"/>
      <c r="J295" s="571"/>
      <c r="K295" s="571"/>
      <c r="L295" s="571"/>
      <c r="M295" s="571"/>
      <c r="N295" s="571"/>
      <c r="O295" s="571"/>
      <c r="P295" s="571"/>
      <c r="Q295" s="551"/>
      <c r="S295" s="571"/>
      <c r="T295" s="571"/>
      <c r="U295" s="571"/>
      <c r="V295" s="571"/>
      <c r="W295" s="571"/>
      <c r="X295" s="571"/>
      <c r="Y295" s="571"/>
      <c r="Z295" s="571"/>
      <c r="AA295" s="571"/>
      <c r="AB295" s="571"/>
      <c r="AC295" s="571"/>
      <c r="AD295" s="551"/>
    </row>
    <row r="296" spans="1:30" s="412" customFormat="1" ht="12.5">
      <c r="A296" s="509"/>
      <c r="B296" s="510"/>
      <c r="C296" s="510"/>
      <c r="D296" s="511">
        <v>138</v>
      </c>
      <c r="E296" s="479"/>
      <c r="F296" s="512"/>
      <c r="G296" s="512"/>
      <c r="H296" s="512"/>
      <c r="I296" s="512"/>
      <c r="J296" s="512"/>
      <c r="K296" s="512"/>
      <c r="L296" s="512"/>
      <c r="M296" s="512"/>
      <c r="N296" s="512"/>
      <c r="O296" s="512"/>
      <c r="P296" s="512"/>
      <c r="Q296" s="513"/>
      <c r="S296" s="512"/>
      <c r="T296" s="512"/>
      <c r="U296" s="512"/>
      <c r="V296" s="512"/>
      <c r="W296" s="512"/>
      <c r="X296" s="512"/>
      <c r="Y296" s="512"/>
      <c r="Z296" s="512"/>
      <c r="AA296" s="512"/>
      <c r="AB296" s="512"/>
      <c r="AC296" s="512"/>
      <c r="AD296" s="513"/>
    </row>
    <row r="297" spans="1:30" s="412" customFormat="1" ht="12.5">
      <c r="A297" s="570">
        <v>7</v>
      </c>
      <c r="B297" s="546" t="s">
        <v>526</v>
      </c>
      <c r="C297" s="546" t="s">
        <v>527</v>
      </c>
      <c r="D297" s="558">
        <v>131</v>
      </c>
      <c r="E297" s="557"/>
      <c r="F297" s="571"/>
      <c r="G297" s="571"/>
      <c r="H297" s="571"/>
      <c r="I297" s="571"/>
      <c r="J297" s="571"/>
      <c r="K297" s="571"/>
      <c r="L297" s="571"/>
      <c r="M297" s="571"/>
      <c r="N297" s="571"/>
      <c r="O297" s="571"/>
      <c r="P297" s="571"/>
      <c r="Q297" s="551"/>
      <c r="S297" s="571"/>
      <c r="T297" s="571"/>
      <c r="U297" s="571"/>
      <c r="V297" s="571"/>
      <c r="W297" s="571"/>
      <c r="X297" s="571"/>
      <c r="Y297" s="571"/>
      <c r="Z297" s="571"/>
      <c r="AA297" s="571"/>
      <c r="AB297" s="571"/>
      <c r="AC297" s="571"/>
      <c r="AD297" s="551"/>
    </row>
    <row r="298" spans="1:30" s="412" customFormat="1" ht="12.5">
      <c r="A298" s="514"/>
      <c r="B298" s="515"/>
      <c r="C298" s="515"/>
      <c r="D298" s="481">
        <v>138</v>
      </c>
      <c r="E298" s="440"/>
      <c r="F298" s="516"/>
      <c r="G298" s="516"/>
      <c r="H298" s="516"/>
      <c r="I298" s="516"/>
      <c r="J298" s="516"/>
      <c r="K298" s="516"/>
      <c r="L298" s="516"/>
      <c r="M298" s="516"/>
      <c r="N298" s="516"/>
      <c r="O298" s="516"/>
      <c r="P298" s="516"/>
      <c r="Q298" s="486"/>
      <c r="S298" s="516"/>
      <c r="T298" s="516"/>
      <c r="U298" s="516"/>
      <c r="V298" s="516"/>
      <c r="W298" s="516"/>
      <c r="X298" s="516"/>
      <c r="Y298" s="516"/>
      <c r="Z298" s="516"/>
      <c r="AA298" s="516"/>
      <c r="AB298" s="516"/>
      <c r="AC298" s="516"/>
      <c r="AD298" s="486"/>
    </row>
    <row r="299" spans="1:30" s="412" customFormat="1" ht="12.5">
      <c r="A299" s="570">
        <v>8</v>
      </c>
      <c r="B299" s="559" t="s">
        <v>528</v>
      </c>
      <c r="C299" s="559" t="s">
        <v>529</v>
      </c>
      <c r="D299" s="558">
        <v>131</v>
      </c>
      <c r="E299" s="557"/>
      <c r="F299" s="571"/>
      <c r="G299" s="571"/>
      <c r="H299" s="571"/>
      <c r="I299" s="571"/>
      <c r="J299" s="571"/>
      <c r="K299" s="571"/>
      <c r="L299" s="571"/>
      <c r="M299" s="571"/>
      <c r="N299" s="571"/>
      <c r="O299" s="571"/>
      <c r="P299" s="571"/>
      <c r="Q299" s="551"/>
      <c r="S299" s="571"/>
      <c r="T299" s="571"/>
      <c r="U299" s="571"/>
      <c r="V299" s="571"/>
      <c r="W299" s="571"/>
      <c r="X299" s="571"/>
      <c r="Y299" s="571"/>
      <c r="Z299" s="571"/>
      <c r="AA299" s="571"/>
      <c r="AB299" s="571"/>
      <c r="AC299" s="571"/>
      <c r="AD299" s="551"/>
    </row>
    <row r="300" spans="1:30" s="412" customFormat="1" ht="12.5">
      <c r="A300" s="509"/>
      <c r="B300" s="510"/>
      <c r="C300" s="510"/>
      <c r="D300" s="511">
        <v>138</v>
      </c>
      <c r="E300" s="479"/>
      <c r="F300" s="512"/>
      <c r="G300" s="512"/>
      <c r="H300" s="512"/>
      <c r="I300" s="512"/>
      <c r="J300" s="512"/>
      <c r="K300" s="512"/>
      <c r="L300" s="512"/>
      <c r="M300" s="512"/>
      <c r="N300" s="512"/>
      <c r="O300" s="512"/>
      <c r="P300" s="512"/>
      <c r="Q300" s="513"/>
      <c r="S300" s="512"/>
      <c r="T300" s="512"/>
      <c r="U300" s="512"/>
      <c r="V300" s="512"/>
      <c r="W300" s="512"/>
      <c r="X300" s="512"/>
      <c r="Y300" s="512"/>
      <c r="Z300" s="512"/>
      <c r="AA300" s="512"/>
      <c r="AB300" s="512"/>
      <c r="AC300" s="512"/>
      <c r="AD300" s="513"/>
    </row>
    <row r="301" spans="1:30" s="412" customFormat="1" ht="12.5">
      <c r="A301" s="570">
        <v>9</v>
      </c>
      <c r="B301" s="559" t="s">
        <v>531</v>
      </c>
      <c r="C301" s="559" t="s">
        <v>532</v>
      </c>
      <c r="D301" s="558">
        <v>131</v>
      </c>
      <c r="E301" s="557"/>
      <c r="F301" s="571"/>
      <c r="G301" s="571"/>
      <c r="H301" s="571"/>
      <c r="I301" s="571"/>
      <c r="J301" s="571"/>
      <c r="K301" s="571"/>
      <c r="L301" s="571"/>
      <c r="M301" s="571"/>
      <c r="N301" s="571"/>
      <c r="O301" s="571"/>
      <c r="P301" s="571"/>
      <c r="Q301" s="551"/>
      <c r="S301" s="571"/>
      <c r="T301" s="571"/>
      <c r="U301" s="571"/>
      <c r="V301" s="571"/>
      <c r="W301" s="571"/>
      <c r="X301" s="571"/>
      <c r="Y301" s="571"/>
      <c r="Z301" s="571"/>
      <c r="AA301" s="571"/>
      <c r="AB301" s="571"/>
      <c r="AC301" s="571"/>
      <c r="AD301" s="551"/>
    </row>
    <row r="302" spans="1:30" s="412" customFormat="1" ht="12.5">
      <c r="A302" s="509"/>
      <c r="B302" s="510"/>
      <c r="C302" s="510"/>
      <c r="D302" s="511">
        <v>138</v>
      </c>
      <c r="E302" s="479"/>
      <c r="F302" s="512"/>
      <c r="G302" s="512"/>
      <c r="H302" s="512"/>
      <c r="I302" s="512"/>
      <c r="J302" s="512"/>
      <c r="K302" s="512"/>
      <c r="L302" s="512"/>
      <c r="M302" s="512"/>
      <c r="N302" s="512"/>
      <c r="O302" s="512"/>
      <c r="P302" s="512"/>
      <c r="Q302" s="513"/>
      <c r="S302" s="512"/>
      <c r="T302" s="512"/>
      <c r="U302" s="512"/>
      <c r="V302" s="512"/>
      <c r="W302" s="512"/>
      <c r="X302" s="512"/>
      <c r="Y302" s="512"/>
      <c r="Z302" s="512"/>
      <c r="AA302" s="512"/>
      <c r="AB302" s="512"/>
      <c r="AC302" s="512"/>
      <c r="AD302" s="513"/>
    </row>
    <row r="303" spans="1:30" s="412" customFormat="1" ht="12.5">
      <c r="A303" s="570">
        <v>10</v>
      </c>
      <c r="B303" s="559" t="s">
        <v>533</v>
      </c>
      <c r="C303" s="559" t="s">
        <v>534</v>
      </c>
      <c r="D303" s="558">
        <v>131</v>
      </c>
      <c r="E303" s="557"/>
      <c r="F303" s="571"/>
      <c r="G303" s="571"/>
      <c r="H303" s="571"/>
      <c r="I303" s="571"/>
      <c r="J303" s="571"/>
      <c r="K303" s="571"/>
      <c r="L303" s="571"/>
      <c r="M303" s="571"/>
      <c r="N303" s="571"/>
      <c r="O303" s="571"/>
      <c r="P303" s="571"/>
      <c r="Q303" s="551"/>
      <c r="S303" s="571"/>
      <c r="T303" s="571"/>
      <c r="U303" s="571"/>
      <c r="V303" s="571"/>
      <c r="W303" s="571"/>
      <c r="X303" s="571"/>
      <c r="Y303" s="571"/>
      <c r="Z303" s="571"/>
      <c r="AA303" s="571"/>
      <c r="AB303" s="571"/>
      <c r="AC303" s="571"/>
      <c r="AD303" s="551"/>
    </row>
    <row r="304" spans="1:30" s="412" customFormat="1" ht="12.5">
      <c r="A304" s="509"/>
      <c r="B304" s="510"/>
      <c r="C304" s="510"/>
      <c r="D304" s="511">
        <v>138</v>
      </c>
      <c r="E304" s="479"/>
      <c r="F304" s="512"/>
      <c r="G304" s="512"/>
      <c r="H304" s="512"/>
      <c r="I304" s="512"/>
      <c r="J304" s="512"/>
      <c r="K304" s="512"/>
      <c r="L304" s="512"/>
      <c r="M304" s="512"/>
      <c r="N304" s="512"/>
      <c r="O304" s="512"/>
      <c r="P304" s="512"/>
      <c r="Q304" s="513"/>
      <c r="S304" s="512"/>
      <c r="T304" s="512"/>
      <c r="U304" s="512"/>
      <c r="V304" s="512"/>
      <c r="W304" s="512"/>
      <c r="X304" s="512"/>
      <c r="Y304" s="512"/>
      <c r="Z304" s="512"/>
      <c r="AA304" s="512"/>
      <c r="AB304" s="512"/>
      <c r="AC304" s="512"/>
      <c r="AD304" s="513"/>
    </row>
    <row r="305" spans="1:30" s="412" customFormat="1" ht="12.5">
      <c r="A305" s="570">
        <v>11</v>
      </c>
      <c r="B305" s="559" t="s">
        <v>535</v>
      </c>
      <c r="C305" s="559" t="s">
        <v>536</v>
      </c>
      <c r="D305" s="558">
        <v>131</v>
      </c>
      <c r="E305" s="557"/>
      <c r="F305" s="571"/>
      <c r="G305" s="571"/>
      <c r="H305" s="571"/>
      <c r="I305" s="571"/>
      <c r="J305" s="571"/>
      <c r="K305" s="571"/>
      <c r="L305" s="571"/>
      <c r="M305" s="571"/>
      <c r="N305" s="571"/>
      <c r="O305" s="571"/>
      <c r="P305" s="571"/>
      <c r="Q305" s="551"/>
      <c r="S305" s="571"/>
      <c r="T305" s="571"/>
      <c r="U305" s="571"/>
      <c r="V305" s="571"/>
      <c r="W305" s="571"/>
      <c r="X305" s="571"/>
      <c r="Y305" s="571"/>
      <c r="Z305" s="571"/>
      <c r="AA305" s="571"/>
      <c r="AB305" s="571"/>
      <c r="AC305" s="571"/>
      <c r="AD305" s="551"/>
    </row>
    <row r="306" spans="1:30" s="412" customFormat="1" ht="12.5">
      <c r="A306" s="509"/>
      <c r="B306" s="510"/>
      <c r="C306" s="510"/>
      <c r="D306" s="511">
        <v>138</v>
      </c>
      <c r="E306" s="479"/>
      <c r="F306" s="512"/>
      <c r="G306" s="512"/>
      <c r="H306" s="512"/>
      <c r="I306" s="512"/>
      <c r="J306" s="512"/>
      <c r="K306" s="512"/>
      <c r="L306" s="512"/>
      <c r="M306" s="512"/>
      <c r="N306" s="512"/>
      <c r="O306" s="512"/>
      <c r="P306" s="512"/>
      <c r="Q306" s="513"/>
      <c r="S306" s="512"/>
      <c r="T306" s="512"/>
      <c r="U306" s="512"/>
      <c r="V306" s="512"/>
      <c r="W306" s="512"/>
      <c r="X306" s="512"/>
      <c r="Y306" s="512"/>
      <c r="Z306" s="512"/>
      <c r="AA306" s="512"/>
      <c r="AB306" s="512"/>
      <c r="AC306" s="512"/>
      <c r="AD306" s="513"/>
    </row>
    <row r="307" spans="1:30" s="412" customFormat="1" ht="12.5">
      <c r="A307" s="570">
        <v>12</v>
      </c>
      <c r="B307" s="559" t="s">
        <v>537</v>
      </c>
      <c r="C307" s="559" t="s">
        <v>538</v>
      </c>
      <c r="D307" s="558">
        <v>131</v>
      </c>
      <c r="E307" s="557"/>
      <c r="F307" s="571"/>
      <c r="G307" s="571"/>
      <c r="H307" s="571"/>
      <c r="I307" s="571"/>
      <c r="J307" s="571"/>
      <c r="K307" s="571"/>
      <c r="L307" s="571"/>
      <c r="M307" s="571"/>
      <c r="N307" s="571"/>
      <c r="O307" s="571"/>
      <c r="P307" s="571"/>
      <c r="Q307" s="551"/>
      <c r="S307" s="571"/>
      <c r="T307" s="571"/>
      <c r="U307" s="571"/>
      <c r="V307" s="571"/>
      <c r="W307" s="571"/>
      <c r="X307" s="571"/>
      <c r="Y307" s="571"/>
      <c r="Z307" s="571"/>
      <c r="AA307" s="571"/>
      <c r="AB307" s="571"/>
      <c r="AC307" s="571"/>
      <c r="AD307" s="551"/>
    </row>
    <row r="308" spans="1:30" s="412" customFormat="1" ht="12.5">
      <c r="A308" s="509"/>
      <c r="B308" s="510"/>
      <c r="C308" s="510"/>
      <c r="D308" s="511">
        <v>138</v>
      </c>
      <c r="E308" s="479"/>
      <c r="F308" s="512"/>
      <c r="G308" s="512"/>
      <c r="H308" s="512"/>
      <c r="I308" s="512"/>
      <c r="J308" s="512"/>
      <c r="K308" s="512"/>
      <c r="L308" s="512"/>
      <c r="M308" s="512"/>
      <c r="N308" s="512"/>
      <c r="O308" s="512"/>
      <c r="P308" s="512"/>
      <c r="Q308" s="513"/>
      <c r="S308" s="512"/>
      <c r="T308" s="512"/>
      <c r="U308" s="512"/>
      <c r="V308" s="512"/>
      <c r="W308" s="512"/>
      <c r="X308" s="512"/>
      <c r="Y308" s="512"/>
      <c r="Z308" s="512"/>
      <c r="AA308" s="512"/>
      <c r="AB308" s="512"/>
      <c r="AC308" s="512"/>
      <c r="AD308" s="513"/>
    </row>
    <row r="309" spans="1:30" s="412" customFormat="1" ht="12.5">
      <c r="A309" s="570">
        <v>13</v>
      </c>
      <c r="B309" s="559" t="s">
        <v>539</v>
      </c>
      <c r="C309" s="559" t="s">
        <v>540</v>
      </c>
      <c r="D309" s="558">
        <v>131</v>
      </c>
      <c r="E309" s="557"/>
      <c r="F309" s="571"/>
      <c r="G309" s="571"/>
      <c r="H309" s="571"/>
      <c r="I309" s="571"/>
      <c r="J309" s="571"/>
      <c r="K309" s="571"/>
      <c r="L309" s="571"/>
      <c r="M309" s="571"/>
      <c r="N309" s="571"/>
      <c r="O309" s="571"/>
      <c r="P309" s="571"/>
      <c r="Q309" s="551"/>
      <c r="S309" s="571"/>
      <c r="T309" s="571"/>
      <c r="U309" s="571"/>
      <c r="V309" s="571"/>
      <c r="W309" s="571"/>
      <c r="X309" s="571"/>
      <c r="Y309" s="571"/>
      <c r="Z309" s="571"/>
      <c r="AA309" s="571"/>
      <c r="AB309" s="571"/>
      <c r="AC309" s="571"/>
      <c r="AD309" s="551"/>
    </row>
    <row r="310" spans="1:30" s="412" customFormat="1" ht="12.5">
      <c r="A310" s="509"/>
      <c r="B310" s="510"/>
      <c r="C310" s="510"/>
      <c r="D310" s="511">
        <v>138</v>
      </c>
      <c r="E310" s="479"/>
      <c r="F310" s="512"/>
      <c r="G310" s="512"/>
      <c r="H310" s="512"/>
      <c r="I310" s="512"/>
      <c r="J310" s="512"/>
      <c r="K310" s="512"/>
      <c r="L310" s="512"/>
      <c r="M310" s="512"/>
      <c r="N310" s="512"/>
      <c r="O310" s="512"/>
      <c r="P310" s="512"/>
      <c r="Q310" s="513"/>
      <c r="S310" s="512"/>
      <c r="T310" s="512"/>
      <c r="U310" s="512"/>
      <c r="V310" s="512"/>
      <c r="W310" s="512"/>
      <c r="X310" s="512"/>
      <c r="Y310" s="512"/>
      <c r="Z310" s="512"/>
      <c r="AA310" s="512"/>
      <c r="AB310" s="512"/>
      <c r="AC310" s="512"/>
      <c r="AD310" s="513"/>
    </row>
    <row r="311" spans="1:30" s="412" customFormat="1" ht="12.5">
      <c r="A311" s="570">
        <v>14</v>
      </c>
      <c r="B311" s="559" t="s">
        <v>541</v>
      </c>
      <c r="C311" s="559" t="s">
        <v>542</v>
      </c>
      <c r="D311" s="558">
        <v>131</v>
      </c>
      <c r="E311" s="557"/>
      <c r="F311" s="571"/>
      <c r="G311" s="571"/>
      <c r="H311" s="571"/>
      <c r="I311" s="571"/>
      <c r="J311" s="571"/>
      <c r="K311" s="571"/>
      <c r="L311" s="571"/>
      <c r="M311" s="571"/>
      <c r="N311" s="571"/>
      <c r="O311" s="571"/>
      <c r="P311" s="571"/>
      <c r="Q311" s="551"/>
      <c r="S311" s="571"/>
      <c r="T311" s="571"/>
      <c r="U311" s="571"/>
      <c r="V311" s="571"/>
      <c r="W311" s="571"/>
      <c r="X311" s="571"/>
      <c r="Y311" s="571"/>
      <c r="Z311" s="571"/>
      <c r="AA311" s="571"/>
      <c r="AB311" s="571"/>
      <c r="AC311" s="571"/>
      <c r="AD311" s="551"/>
    </row>
    <row r="312" spans="1:30" s="412" customFormat="1" ht="12.5">
      <c r="A312" s="509"/>
      <c r="B312" s="510"/>
      <c r="C312" s="510"/>
      <c r="D312" s="511">
        <v>138</v>
      </c>
      <c r="E312" s="479"/>
      <c r="F312" s="512"/>
      <c r="G312" s="512"/>
      <c r="H312" s="512"/>
      <c r="I312" s="512"/>
      <c r="J312" s="512"/>
      <c r="K312" s="512"/>
      <c r="L312" s="512"/>
      <c r="M312" s="512"/>
      <c r="N312" s="512"/>
      <c r="O312" s="512"/>
      <c r="P312" s="512"/>
      <c r="Q312" s="513"/>
      <c r="S312" s="512"/>
      <c r="T312" s="512"/>
      <c r="U312" s="512"/>
      <c r="V312" s="512"/>
      <c r="W312" s="512"/>
      <c r="X312" s="512"/>
      <c r="Y312" s="512"/>
      <c r="Z312" s="512"/>
      <c r="AA312" s="512"/>
      <c r="AB312" s="512"/>
      <c r="AC312" s="512"/>
      <c r="AD312" s="513"/>
    </row>
    <row r="313" spans="1:30" s="412" customFormat="1" ht="12.5">
      <c r="A313" s="570">
        <v>15</v>
      </c>
      <c r="B313" s="559" t="s">
        <v>543</v>
      </c>
      <c r="C313" s="559" t="s">
        <v>544</v>
      </c>
      <c r="D313" s="558">
        <v>131</v>
      </c>
      <c r="E313" s="557"/>
      <c r="F313" s="571"/>
      <c r="G313" s="571"/>
      <c r="H313" s="571"/>
      <c r="I313" s="571"/>
      <c r="J313" s="571"/>
      <c r="K313" s="571"/>
      <c r="L313" s="571"/>
      <c r="M313" s="571"/>
      <c r="N313" s="571"/>
      <c r="O313" s="571"/>
      <c r="P313" s="571"/>
      <c r="Q313" s="551"/>
      <c r="S313" s="571"/>
      <c r="T313" s="571"/>
      <c r="U313" s="571"/>
      <c r="V313" s="571"/>
      <c r="W313" s="571"/>
      <c r="X313" s="571"/>
      <c r="Y313" s="571"/>
      <c r="Z313" s="571"/>
      <c r="AA313" s="571"/>
      <c r="AB313" s="571"/>
      <c r="AC313" s="571"/>
      <c r="AD313" s="551"/>
    </row>
    <row r="314" spans="1:30" s="412" customFormat="1" ht="12.5">
      <c r="A314" s="509"/>
      <c r="B314" s="510"/>
      <c r="C314" s="510"/>
      <c r="D314" s="511">
        <v>138</v>
      </c>
      <c r="E314" s="479"/>
      <c r="F314" s="512"/>
      <c r="G314" s="512"/>
      <c r="H314" s="512"/>
      <c r="I314" s="512"/>
      <c r="J314" s="512"/>
      <c r="K314" s="512"/>
      <c r="L314" s="512"/>
      <c r="M314" s="512"/>
      <c r="N314" s="512"/>
      <c r="O314" s="512"/>
      <c r="P314" s="512"/>
      <c r="Q314" s="513"/>
      <c r="S314" s="512"/>
      <c r="T314" s="512"/>
      <c r="U314" s="512"/>
      <c r="V314" s="512"/>
      <c r="W314" s="512"/>
      <c r="X314" s="512"/>
      <c r="Y314" s="512"/>
      <c r="Z314" s="512"/>
      <c r="AA314" s="512"/>
      <c r="AB314" s="512"/>
      <c r="AC314" s="512"/>
      <c r="AD314" s="513"/>
    </row>
    <row r="315" spans="1:30" s="412" customFormat="1" ht="12.5">
      <c r="A315" s="570">
        <v>16</v>
      </c>
      <c r="B315" s="559" t="s">
        <v>545</v>
      </c>
      <c r="C315" s="559" t="s">
        <v>546</v>
      </c>
      <c r="D315" s="558">
        <v>131</v>
      </c>
      <c r="E315" s="557"/>
      <c r="F315" s="571"/>
      <c r="G315" s="571"/>
      <c r="H315" s="571"/>
      <c r="I315" s="571"/>
      <c r="J315" s="571"/>
      <c r="K315" s="571"/>
      <c r="L315" s="571"/>
      <c r="M315" s="571"/>
      <c r="N315" s="571"/>
      <c r="O315" s="571"/>
      <c r="P315" s="571"/>
      <c r="Q315" s="551"/>
      <c r="S315" s="571"/>
      <c r="T315" s="571"/>
      <c r="U315" s="571"/>
      <c r="V315" s="571"/>
      <c r="W315" s="571"/>
      <c r="X315" s="571"/>
      <c r="Y315" s="571"/>
      <c r="Z315" s="571"/>
      <c r="AA315" s="571"/>
      <c r="AB315" s="571"/>
      <c r="AC315" s="571"/>
      <c r="AD315" s="551"/>
    </row>
    <row r="316" spans="1:30" s="412" customFormat="1" ht="12.5">
      <c r="A316" s="509"/>
      <c r="B316" s="510"/>
      <c r="C316" s="510"/>
      <c r="D316" s="511">
        <v>138</v>
      </c>
      <c r="E316" s="479"/>
      <c r="F316" s="512"/>
      <c r="G316" s="512"/>
      <c r="H316" s="512"/>
      <c r="I316" s="512"/>
      <c r="J316" s="512"/>
      <c r="K316" s="512"/>
      <c r="L316" s="512"/>
      <c r="M316" s="512"/>
      <c r="N316" s="512"/>
      <c r="O316" s="512"/>
      <c r="P316" s="512"/>
      <c r="Q316" s="513"/>
      <c r="S316" s="512"/>
      <c r="T316" s="512"/>
      <c r="U316" s="512"/>
      <c r="V316" s="512"/>
      <c r="W316" s="512"/>
      <c r="X316" s="512"/>
      <c r="Y316" s="512"/>
      <c r="Z316" s="512"/>
      <c r="AA316" s="512"/>
      <c r="AB316" s="512"/>
      <c r="AC316" s="512"/>
      <c r="AD316" s="513"/>
    </row>
    <row r="317" spans="1:30" s="412" customFormat="1" ht="12.5">
      <c r="A317" s="570">
        <v>17</v>
      </c>
      <c r="B317" s="559" t="s">
        <v>547</v>
      </c>
      <c r="C317" s="559" t="s">
        <v>548</v>
      </c>
      <c r="D317" s="558">
        <v>131</v>
      </c>
      <c r="E317" s="557"/>
      <c r="F317" s="571"/>
      <c r="G317" s="571"/>
      <c r="H317" s="571"/>
      <c r="I317" s="571"/>
      <c r="J317" s="571"/>
      <c r="K317" s="571"/>
      <c r="L317" s="571"/>
      <c r="M317" s="571"/>
      <c r="N317" s="571"/>
      <c r="O317" s="571"/>
      <c r="P317" s="571"/>
      <c r="Q317" s="551"/>
      <c r="S317" s="571"/>
      <c r="T317" s="571"/>
      <c r="U317" s="571"/>
      <c r="V317" s="571"/>
      <c r="W317" s="571"/>
      <c r="X317" s="571"/>
      <c r="Y317" s="571"/>
      <c r="Z317" s="571"/>
      <c r="AA317" s="571"/>
      <c r="AB317" s="571"/>
      <c r="AC317" s="571"/>
      <c r="AD317" s="551"/>
    </row>
    <row r="318" spans="1:30" s="412" customFormat="1" ht="12.5">
      <c r="A318" s="509"/>
      <c r="B318" s="510"/>
      <c r="C318" s="510"/>
      <c r="D318" s="511">
        <v>138</v>
      </c>
      <c r="E318" s="479"/>
      <c r="F318" s="512"/>
      <c r="G318" s="512"/>
      <c r="H318" s="512"/>
      <c r="I318" s="512"/>
      <c r="J318" s="512"/>
      <c r="K318" s="512"/>
      <c r="L318" s="512"/>
      <c r="M318" s="512"/>
      <c r="N318" s="512"/>
      <c r="O318" s="512"/>
      <c r="P318" s="512"/>
      <c r="Q318" s="513"/>
      <c r="S318" s="512"/>
      <c r="T318" s="512"/>
      <c r="U318" s="512"/>
      <c r="V318" s="512"/>
      <c r="W318" s="512"/>
      <c r="X318" s="512"/>
      <c r="Y318" s="512"/>
      <c r="Z318" s="512"/>
      <c r="AA318" s="512"/>
      <c r="AB318" s="512"/>
      <c r="AC318" s="512"/>
      <c r="AD318" s="513"/>
    </row>
    <row r="319" spans="1:30" s="412" customFormat="1" ht="12.5">
      <c r="A319" s="570">
        <v>18</v>
      </c>
      <c r="B319" s="559" t="s">
        <v>549</v>
      </c>
      <c r="C319" s="559" t="s">
        <v>550</v>
      </c>
      <c r="D319" s="558">
        <v>131</v>
      </c>
      <c r="E319" s="557"/>
      <c r="F319" s="571"/>
      <c r="G319" s="571"/>
      <c r="H319" s="571"/>
      <c r="I319" s="571"/>
      <c r="J319" s="571"/>
      <c r="K319" s="571"/>
      <c r="L319" s="571"/>
      <c r="M319" s="571"/>
      <c r="N319" s="571"/>
      <c r="O319" s="571"/>
      <c r="P319" s="571"/>
      <c r="Q319" s="551"/>
      <c r="S319" s="571"/>
      <c r="T319" s="571"/>
      <c r="U319" s="571"/>
      <c r="V319" s="571"/>
      <c r="W319" s="571"/>
      <c r="X319" s="571"/>
      <c r="Y319" s="571"/>
      <c r="Z319" s="571"/>
      <c r="AA319" s="571"/>
      <c r="AB319" s="571"/>
      <c r="AC319" s="571"/>
      <c r="AD319" s="551"/>
    </row>
    <row r="320" spans="1:30" s="412" customFormat="1" ht="12.5">
      <c r="A320" s="509"/>
      <c r="B320" s="510"/>
      <c r="C320" s="510"/>
      <c r="D320" s="511">
        <v>138</v>
      </c>
      <c r="E320" s="479"/>
      <c r="F320" s="512"/>
      <c r="G320" s="512"/>
      <c r="H320" s="512"/>
      <c r="I320" s="512"/>
      <c r="J320" s="512"/>
      <c r="K320" s="512"/>
      <c r="L320" s="512"/>
      <c r="M320" s="512"/>
      <c r="N320" s="512"/>
      <c r="O320" s="512"/>
      <c r="P320" s="512"/>
      <c r="Q320" s="513"/>
      <c r="S320" s="512"/>
      <c r="T320" s="512"/>
      <c r="U320" s="512"/>
      <c r="V320" s="512"/>
      <c r="W320" s="512"/>
      <c r="X320" s="512"/>
      <c r="Y320" s="512"/>
      <c r="Z320" s="512"/>
      <c r="AA320" s="512"/>
      <c r="AB320" s="512"/>
      <c r="AC320" s="512"/>
      <c r="AD320" s="513"/>
    </row>
    <row r="321" spans="1:30" s="412" customFormat="1" ht="12.5">
      <c r="A321" s="570">
        <v>19</v>
      </c>
      <c r="B321" s="546" t="s">
        <v>551</v>
      </c>
      <c r="C321" s="546" t="s">
        <v>552</v>
      </c>
      <c r="D321" s="558">
        <v>131</v>
      </c>
      <c r="E321" s="557"/>
      <c r="F321" s="571"/>
      <c r="G321" s="571"/>
      <c r="H321" s="571"/>
      <c r="I321" s="571"/>
      <c r="J321" s="571"/>
      <c r="K321" s="571"/>
      <c r="L321" s="571"/>
      <c r="M321" s="571"/>
      <c r="N321" s="571"/>
      <c r="O321" s="571"/>
      <c r="P321" s="571"/>
      <c r="Q321" s="551"/>
      <c r="S321" s="571"/>
      <c r="T321" s="571"/>
      <c r="U321" s="571"/>
      <c r="V321" s="571"/>
      <c r="W321" s="571"/>
      <c r="X321" s="571"/>
      <c r="Y321" s="571"/>
      <c r="Z321" s="571"/>
      <c r="AA321" s="571"/>
      <c r="AB321" s="571"/>
      <c r="AC321" s="571"/>
      <c r="AD321" s="551"/>
    </row>
    <row r="322" spans="1:30" s="412" customFormat="1" ht="12.5">
      <c r="A322" s="509"/>
      <c r="B322" s="510"/>
      <c r="C322" s="510"/>
      <c r="D322" s="511">
        <v>138</v>
      </c>
      <c r="E322" s="479"/>
      <c r="F322" s="512"/>
      <c r="G322" s="512"/>
      <c r="H322" s="512"/>
      <c r="I322" s="512"/>
      <c r="J322" s="512"/>
      <c r="K322" s="512"/>
      <c r="L322" s="512"/>
      <c r="M322" s="512"/>
      <c r="N322" s="512"/>
      <c r="O322" s="512"/>
      <c r="P322" s="512"/>
      <c r="Q322" s="513"/>
      <c r="S322" s="512"/>
      <c r="T322" s="512"/>
      <c r="U322" s="512"/>
      <c r="V322" s="512"/>
      <c r="W322" s="512"/>
      <c r="X322" s="512"/>
      <c r="Y322" s="512"/>
      <c r="Z322" s="512"/>
      <c r="AA322" s="512"/>
      <c r="AB322" s="512"/>
      <c r="AC322" s="512"/>
      <c r="AD322" s="513"/>
    </row>
    <row r="323" spans="1:30" s="412" customFormat="1" ht="12.5">
      <c r="A323" s="570">
        <v>20</v>
      </c>
      <c r="B323" s="559" t="s">
        <v>553</v>
      </c>
      <c r="C323" s="559" t="s">
        <v>554</v>
      </c>
      <c r="D323" s="558">
        <v>131</v>
      </c>
      <c r="E323" s="557"/>
      <c r="F323" s="571"/>
      <c r="G323" s="571"/>
      <c r="H323" s="571"/>
      <c r="I323" s="571"/>
      <c r="J323" s="571"/>
      <c r="K323" s="571"/>
      <c r="L323" s="571"/>
      <c r="M323" s="571"/>
      <c r="N323" s="571"/>
      <c r="O323" s="571"/>
      <c r="P323" s="571"/>
      <c r="Q323" s="551"/>
      <c r="S323" s="571"/>
      <c r="T323" s="571"/>
      <c r="U323" s="571"/>
      <c r="V323" s="571"/>
      <c r="W323" s="571"/>
      <c r="X323" s="571"/>
      <c r="Y323" s="571"/>
      <c r="Z323" s="571"/>
      <c r="AA323" s="571"/>
      <c r="AB323" s="571"/>
      <c r="AC323" s="571"/>
      <c r="AD323" s="551"/>
    </row>
    <row r="324" spans="1:30" s="412" customFormat="1" ht="12.5">
      <c r="A324" s="509"/>
      <c r="B324" s="510"/>
      <c r="C324" s="510"/>
      <c r="D324" s="511">
        <v>138</v>
      </c>
      <c r="E324" s="479"/>
      <c r="F324" s="512"/>
      <c r="G324" s="512"/>
      <c r="H324" s="512"/>
      <c r="I324" s="512"/>
      <c r="J324" s="512"/>
      <c r="K324" s="512"/>
      <c r="L324" s="512"/>
      <c r="M324" s="512"/>
      <c r="N324" s="512"/>
      <c r="O324" s="512"/>
      <c r="P324" s="512"/>
      <c r="Q324" s="513"/>
      <c r="S324" s="512"/>
      <c r="T324" s="512"/>
      <c r="U324" s="512"/>
      <c r="V324" s="512"/>
      <c r="W324" s="512"/>
      <c r="X324" s="512"/>
      <c r="Y324" s="512"/>
      <c r="Z324" s="512"/>
      <c r="AA324" s="512"/>
      <c r="AB324" s="512"/>
      <c r="AC324" s="512"/>
      <c r="AD324" s="513"/>
    </row>
    <row r="325" spans="1:30" s="412" customFormat="1" ht="12.5">
      <c r="A325" s="570">
        <v>21</v>
      </c>
      <c r="B325" s="559" t="s">
        <v>555</v>
      </c>
      <c r="C325" s="559" t="s">
        <v>556</v>
      </c>
      <c r="D325" s="558">
        <v>131</v>
      </c>
      <c r="E325" s="557"/>
      <c r="F325" s="571"/>
      <c r="G325" s="571"/>
      <c r="H325" s="571"/>
      <c r="I325" s="571"/>
      <c r="J325" s="571"/>
      <c r="K325" s="571"/>
      <c r="L325" s="571"/>
      <c r="M325" s="571"/>
      <c r="N325" s="571"/>
      <c r="O325" s="571"/>
      <c r="P325" s="571"/>
      <c r="Q325" s="551"/>
      <c r="S325" s="571"/>
      <c r="T325" s="571"/>
      <c r="U325" s="571"/>
      <c r="V325" s="571"/>
      <c r="W325" s="571"/>
      <c r="X325" s="571"/>
      <c r="Y325" s="571"/>
      <c r="Z325" s="571"/>
      <c r="AA325" s="571"/>
      <c r="AB325" s="571"/>
      <c r="AC325" s="571"/>
      <c r="AD325" s="551"/>
    </row>
    <row r="326" spans="1:30" s="412" customFormat="1" ht="12.5">
      <c r="A326" s="509"/>
      <c r="B326" s="510"/>
      <c r="C326" s="510"/>
      <c r="D326" s="511">
        <v>138</v>
      </c>
      <c r="E326" s="479"/>
      <c r="F326" s="512"/>
      <c r="G326" s="512"/>
      <c r="H326" s="512"/>
      <c r="I326" s="512"/>
      <c r="J326" s="512"/>
      <c r="K326" s="512"/>
      <c r="L326" s="512"/>
      <c r="M326" s="512"/>
      <c r="N326" s="512"/>
      <c r="O326" s="512"/>
      <c r="P326" s="512"/>
      <c r="Q326" s="513"/>
      <c r="S326" s="512"/>
      <c r="T326" s="512"/>
      <c r="U326" s="512"/>
      <c r="V326" s="512"/>
      <c r="W326" s="512"/>
      <c r="X326" s="512"/>
      <c r="Y326" s="512"/>
      <c r="Z326" s="512"/>
      <c r="AA326" s="512"/>
      <c r="AB326" s="512"/>
      <c r="AC326" s="512"/>
      <c r="AD326" s="513"/>
    </row>
    <row r="327" spans="1:30" s="412" customFormat="1" ht="12.5">
      <c r="A327" s="570">
        <v>22</v>
      </c>
      <c r="B327" s="559" t="s">
        <v>557</v>
      </c>
      <c r="C327" s="559" t="s">
        <v>558</v>
      </c>
      <c r="D327" s="558">
        <v>131</v>
      </c>
      <c r="E327" s="557"/>
      <c r="F327" s="571"/>
      <c r="G327" s="571"/>
      <c r="H327" s="571"/>
      <c r="I327" s="571"/>
      <c r="J327" s="571"/>
      <c r="K327" s="571"/>
      <c r="L327" s="571"/>
      <c r="M327" s="571"/>
      <c r="N327" s="571"/>
      <c r="O327" s="571"/>
      <c r="P327" s="571"/>
      <c r="Q327" s="551"/>
      <c r="S327" s="571"/>
      <c r="T327" s="571"/>
      <c r="U327" s="571"/>
      <c r="V327" s="571"/>
      <c r="W327" s="571"/>
      <c r="X327" s="571"/>
      <c r="Y327" s="571"/>
      <c r="Z327" s="571"/>
      <c r="AA327" s="571"/>
      <c r="AB327" s="571"/>
      <c r="AC327" s="571"/>
      <c r="AD327" s="551"/>
    </row>
    <row r="328" spans="1:30" s="412" customFormat="1">
      <c r="A328" s="501"/>
      <c r="B328" s="519"/>
      <c r="C328" s="531"/>
      <c r="D328" s="517">
        <v>138</v>
      </c>
      <c r="E328" s="498"/>
      <c r="F328" s="486"/>
      <c r="G328" s="486"/>
      <c r="H328" s="486"/>
      <c r="I328" s="486"/>
      <c r="J328" s="486"/>
      <c r="K328" s="486"/>
      <c r="L328" s="486"/>
      <c r="M328" s="486"/>
      <c r="N328" s="486"/>
      <c r="O328" s="486"/>
      <c r="P328" s="486"/>
      <c r="Q328" s="486"/>
      <c r="S328" s="486"/>
      <c r="T328" s="486"/>
      <c r="U328" s="486"/>
      <c r="V328" s="486"/>
      <c r="W328" s="486"/>
      <c r="X328" s="486"/>
      <c r="Y328" s="486"/>
      <c r="Z328" s="486"/>
      <c r="AA328" s="486"/>
      <c r="AB328" s="486"/>
      <c r="AC328" s="486"/>
      <c r="AD328" s="486"/>
    </row>
    <row r="329" spans="1:30" s="412" customFormat="1">
      <c r="A329" s="553" t="s">
        <v>559</v>
      </c>
      <c r="B329" s="541" t="s">
        <v>610</v>
      </c>
      <c r="C329" s="541"/>
      <c r="D329" s="555"/>
      <c r="E329" s="555"/>
      <c r="F329" s="569" t="s">
        <v>624</v>
      </c>
      <c r="G329" s="569" t="s">
        <v>484</v>
      </c>
      <c r="H329" s="569" t="s">
        <v>485</v>
      </c>
      <c r="I329" s="569" t="s">
        <v>486</v>
      </c>
      <c r="J329" s="569" t="s">
        <v>487</v>
      </c>
      <c r="K329" s="569" t="s">
        <v>488</v>
      </c>
      <c r="L329" s="569" t="s">
        <v>489</v>
      </c>
      <c r="M329" s="569" t="s">
        <v>490</v>
      </c>
      <c r="N329" s="569" t="s">
        <v>491</v>
      </c>
      <c r="O329" s="569" t="s">
        <v>492</v>
      </c>
      <c r="P329" s="569" t="s">
        <v>493</v>
      </c>
      <c r="Q329" s="569" t="s">
        <v>494</v>
      </c>
      <c r="S329" s="569" t="s">
        <v>483</v>
      </c>
      <c r="T329" s="569" t="s">
        <v>484</v>
      </c>
      <c r="U329" s="569" t="s">
        <v>485</v>
      </c>
      <c r="V329" s="569" t="s">
        <v>486</v>
      </c>
      <c r="W329" s="569" t="s">
        <v>487</v>
      </c>
      <c r="X329" s="569" t="s">
        <v>488</v>
      </c>
      <c r="Y329" s="569" t="s">
        <v>489</v>
      </c>
      <c r="Z329" s="569" t="s">
        <v>490</v>
      </c>
      <c r="AA329" s="569" t="s">
        <v>491</v>
      </c>
      <c r="AB329" s="569" t="s">
        <v>492</v>
      </c>
      <c r="AC329" s="569" t="s">
        <v>493</v>
      </c>
      <c r="AD329" s="569" t="s">
        <v>494</v>
      </c>
    </row>
    <row r="330" spans="1:30" s="412" customFormat="1" ht="12.5">
      <c r="A330" s="570">
        <v>1</v>
      </c>
      <c r="B330" s="559" t="s">
        <v>498</v>
      </c>
      <c r="C330" s="559" t="s">
        <v>499</v>
      </c>
      <c r="D330" s="558">
        <v>131</v>
      </c>
      <c r="E330" s="557"/>
      <c r="F330" s="550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S330" s="550"/>
      <c r="T330" s="557"/>
      <c r="U330" s="557"/>
      <c r="V330" s="557"/>
      <c r="W330" s="557"/>
      <c r="X330" s="557"/>
      <c r="Y330" s="557"/>
      <c r="Z330" s="557"/>
      <c r="AA330" s="557"/>
      <c r="AB330" s="557"/>
      <c r="AC330" s="557"/>
      <c r="AD330" s="557"/>
    </row>
    <row r="331" spans="1:30" s="412" customFormat="1" ht="12.5">
      <c r="A331" s="518">
        <v>2</v>
      </c>
      <c r="B331" s="519" t="s">
        <v>508</v>
      </c>
      <c r="C331" s="519" t="s">
        <v>509</v>
      </c>
      <c r="D331" s="435">
        <v>131</v>
      </c>
      <c r="E331" s="431"/>
      <c r="F331" s="464"/>
      <c r="G331" s="431"/>
      <c r="H331" s="431"/>
      <c r="I331" s="431"/>
      <c r="J331" s="431"/>
      <c r="K331" s="431"/>
      <c r="L331" s="431"/>
      <c r="M331" s="575">
        <v>384000000</v>
      </c>
      <c r="N331" s="575">
        <v>384000000</v>
      </c>
      <c r="O331" s="575">
        <v>384000000</v>
      </c>
      <c r="P331" s="431"/>
      <c r="Q331" s="431"/>
      <c r="S331" s="464"/>
      <c r="T331" s="431"/>
      <c r="U331" s="431"/>
      <c r="V331" s="431"/>
      <c r="W331" s="431"/>
      <c r="X331" s="431"/>
      <c r="Y331" s="431"/>
      <c r="Z331" s="431"/>
      <c r="AA331" s="431"/>
      <c r="AB331" s="431"/>
      <c r="AC331" s="431"/>
      <c r="AD331" s="431"/>
    </row>
    <row r="332" spans="1:30" s="412" customFormat="1" ht="12.5">
      <c r="A332" s="518">
        <v>3</v>
      </c>
      <c r="B332" s="457" t="s">
        <v>514</v>
      </c>
      <c r="C332" s="457" t="s">
        <v>515</v>
      </c>
      <c r="D332" s="435">
        <v>131</v>
      </c>
      <c r="E332" s="431"/>
      <c r="F332" s="464"/>
      <c r="G332" s="431"/>
      <c r="H332" s="431"/>
      <c r="I332" s="431"/>
      <c r="J332" s="431"/>
      <c r="K332" s="431"/>
      <c r="L332" s="431"/>
      <c r="M332" s="431"/>
      <c r="N332" s="431"/>
      <c r="O332" s="431"/>
      <c r="P332" s="431"/>
      <c r="Q332" s="431"/>
      <c r="S332" s="464"/>
      <c r="T332" s="431"/>
      <c r="U332" s="431"/>
      <c r="V332" s="431"/>
      <c r="W332" s="431"/>
      <c r="X332" s="431"/>
      <c r="Y332" s="431"/>
      <c r="Z332" s="431"/>
      <c r="AA332" s="431"/>
      <c r="AB332" s="431"/>
      <c r="AC332" s="431"/>
      <c r="AD332" s="431"/>
    </row>
    <row r="333" spans="1:30" s="412" customFormat="1" ht="12.5">
      <c r="A333" s="518">
        <v>4</v>
      </c>
      <c r="B333" s="457" t="s">
        <v>517</v>
      </c>
      <c r="C333" s="457" t="s">
        <v>518</v>
      </c>
      <c r="D333" s="435">
        <v>131</v>
      </c>
      <c r="E333" s="431"/>
      <c r="F333" s="464"/>
      <c r="G333" s="431"/>
      <c r="H333" s="431"/>
      <c r="I333" s="431"/>
      <c r="J333" s="431"/>
      <c r="K333" s="431"/>
      <c r="L333" s="431"/>
      <c r="M333" s="431"/>
      <c r="N333" s="431"/>
      <c r="O333" s="431"/>
      <c r="P333" s="431"/>
      <c r="Q333" s="431"/>
      <c r="S333" s="464"/>
      <c r="T333" s="431"/>
      <c r="U333" s="431"/>
      <c r="V333" s="431"/>
      <c r="W333" s="431"/>
      <c r="X333" s="431"/>
      <c r="Y333" s="431"/>
      <c r="Z333" s="431"/>
      <c r="AA333" s="431"/>
      <c r="AB333" s="431"/>
      <c r="AC333" s="431"/>
      <c r="AD333" s="431"/>
    </row>
    <row r="334" spans="1:30" s="412" customFormat="1" ht="12.5">
      <c r="A334" s="518">
        <v>5</v>
      </c>
      <c r="B334" s="457" t="s">
        <v>519</v>
      </c>
      <c r="C334" s="457" t="s">
        <v>520</v>
      </c>
      <c r="D334" s="435">
        <v>131</v>
      </c>
      <c r="E334" s="431"/>
      <c r="F334" s="464"/>
      <c r="G334" s="431"/>
      <c r="H334" s="431"/>
      <c r="I334" s="431"/>
      <c r="J334" s="431"/>
      <c r="K334" s="431"/>
      <c r="L334" s="431"/>
      <c r="M334" s="431"/>
      <c r="N334" s="431"/>
      <c r="O334" s="431"/>
      <c r="P334" s="431"/>
      <c r="Q334" s="431"/>
      <c r="S334" s="464"/>
      <c r="T334" s="431"/>
      <c r="U334" s="431"/>
      <c r="V334" s="431"/>
      <c r="W334" s="431"/>
      <c r="X334" s="431"/>
      <c r="Y334" s="431"/>
      <c r="Z334" s="431"/>
      <c r="AA334" s="431"/>
      <c r="AB334" s="431"/>
      <c r="AC334" s="431"/>
      <c r="AD334" s="431"/>
    </row>
    <row r="335" spans="1:30" s="412" customFormat="1" ht="12.5">
      <c r="A335" s="518">
        <v>6</v>
      </c>
      <c r="B335" s="457" t="s">
        <v>522</v>
      </c>
      <c r="C335" s="457" t="s">
        <v>523</v>
      </c>
      <c r="D335" s="435">
        <v>131</v>
      </c>
      <c r="E335" s="431"/>
      <c r="F335" s="464"/>
      <c r="G335" s="431"/>
      <c r="H335" s="431"/>
      <c r="I335" s="431"/>
      <c r="J335" s="431"/>
      <c r="K335" s="431"/>
      <c r="L335" s="431"/>
      <c r="M335" s="431"/>
      <c r="N335" s="431"/>
      <c r="O335" s="431"/>
      <c r="P335" s="431"/>
      <c r="Q335" s="431"/>
      <c r="S335" s="464"/>
      <c r="T335" s="431"/>
      <c r="U335" s="431"/>
      <c r="V335" s="431"/>
      <c r="W335" s="431"/>
      <c r="X335" s="431"/>
      <c r="Y335" s="431"/>
      <c r="Z335" s="431"/>
      <c r="AA335" s="431"/>
      <c r="AB335" s="431"/>
      <c r="AC335" s="431"/>
      <c r="AD335" s="431"/>
    </row>
    <row r="336" spans="1:30" s="412" customFormat="1" ht="12.5">
      <c r="A336" s="518">
        <v>7</v>
      </c>
      <c r="B336" s="461" t="s">
        <v>526</v>
      </c>
      <c r="C336" s="461" t="s">
        <v>527</v>
      </c>
      <c r="D336" s="435">
        <v>131</v>
      </c>
      <c r="E336" s="431"/>
      <c r="F336" s="464"/>
      <c r="G336" s="431"/>
      <c r="H336" s="431"/>
      <c r="I336" s="431"/>
      <c r="J336" s="431"/>
      <c r="K336" s="431"/>
      <c r="L336" s="431"/>
      <c r="M336" s="431"/>
      <c r="N336" s="431"/>
      <c r="O336" s="431"/>
      <c r="P336" s="431"/>
      <c r="Q336" s="431"/>
      <c r="S336" s="464"/>
      <c r="T336" s="431"/>
      <c r="U336" s="431"/>
      <c r="V336" s="431"/>
      <c r="W336" s="431"/>
      <c r="X336" s="431"/>
      <c r="Y336" s="431"/>
      <c r="Z336" s="431"/>
      <c r="AA336" s="431"/>
      <c r="AB336" s="431"/>
      <c r="AC336" s="431"/>
      <c r="AD336" s="431"/>
    </row>
    <row r="337" spans="1:30" s="412" customFormat="1" ht="12.5">
      <c r="A337" s="518">
        <v>8</v>
      </c>
      <c r="B337" s="457" t="s">
        <v>528</v>
      </c>
      <c r="C337" s="457" t="s">
        <v>529</v>
      </c>
      <c r="D337" s="435">
        <v>131</v>
      </c>
      <c r="E337" s="431"/>
      <c r="F337" s="464"/>
      <c r="G337" s="431"/>
      <c r="H337" s="431"/>
      <c r="I337" s="431"/>
      <c r="J337" s="431"/>
      <c r="K337" s="431"/>
      <c r="L337" s="431"/>
      <c r="M337" s="431"/>
      <c r="N337" s="431"/>
      <c r="O337" s="431"/>
      <c r="P337" s="431"/>
      <c r="Q337" s="431"/>
      <c r="S337" s="464"/>
      <c r="T337" s="431"/>
      <c r="U337" s="431"/>
      <c r="V337" s="431"/>
      <c r="W337" s="431"/>
      <c r="X337" s="431"/>
      <c r="Y337" s="431"/>
      <c r="Z337" s="431"/>
      <c r="AA337" s="431"/>
      <c r="AB337" s="431"/>
      <c r="AC337" s="431"/>
      <c r="AD337" s="431"/>
    </row>
    <row r="338" spans="1:30" s="412" customFormat="1" ht="12.5">
      <c r="A338" s="518">
        <v>9</v>
      </c>
      <c r="B338" s="457" t="s">
        <v>531</v>
      </c>
      <c r="C338" s="457" t="s">
        <v>532</v>
      </c>
      <c r="D338" s="435">
        <v>131</v>
      </c>
      <c r="E338" s="431"/>
      <c r="F338" s="464"/>
      <c r="G338" s="431"/>
      <c r="H338" s="431"/>
      <c r="I338" s="431"/>
      <c r="J338" s="431"/>
      <c r="K338" s="431"/>
      <c r="L338" s="431"/>
      <c r="M338" s="431"/>
      <c r="N338" s="431"/>
      <c r="O338" s="431"/>
      <c r="P338" s="431"/>
      <c r="Q338" s="431"/>
      <c r="S338" s="464"/>
      <c r="T338" s="431"/>
      <c r="U338" s="431"/>
      <c r="V338" s="431"/>
      <c r="W338" s="431"/>
      <c r="X338" s="431"/>
      <c r="Y338" s="431"/>
      <c r="Z338" s="431"/>
      <c r="AA338" s="431"/>
      <c r="AB338" s="431"/>
      <c r="AC338" s="431"/>
      <c r="AD338" s="431"/>
    </row>
    <row r="339" spans="1:30" s="412" customFormat="1" ht="12.5">
      <c r="A339" s="518">
        <v>10</v>
      </c>
      <c r="B339" s="457" t="s">
        <v>533</v>
      </c>
      <c r="C339" s="457" t="s">
        <v>534</v>
      </c>
      <c r="D339" s="435">
        <v>131</v>
      </c>
      <c r="E339" s="431"/>
      <c r="F339" s="464"/>
      <c r="G339" s="431"/>
      <c r="H339" s="431"/>
      <c r="I339" s="431"/>
      <c r="J339" s="431"/>
      <c r="K339" s="431"/>
      <c r="L339" s="431"/>
      <c r="M339" s="431"/>
      <c r="N339" s="431"/>
      <c r="O339" s="431"/>
      <c r="P339" s="431"/>
      <c r="Q339" s="431"/>
      <c r="S339" s="464"/>
      <c r="T339" s="431"/>
      <c r="U339" s="431"/>
      <c r="V339" s="431"/>
      <c r="W339" s="431"/>
      <c r="X339" s="431"/>
      <c r="Y339" s="431"/>
      <c r="Z339" s="431"/>
      <c r="AA339" s="431"/>
      <c r="AB339" s="431"/>
      <c r="AC339" s="431"/>
      <c r="AD339" s="431"/>
    </row>
    <row r="340" spans="1:30" s="412" customFormat="1" ht="12.5">
      <c r="A340" s="518">
        <v>11</v>
      </c>
      <c r="B340" s="457" t="s">
        <v>535</v>
      </c>
      <c r="C340" s="457" t="s">
        <v>536</v>
      </c>
      <c r="D340" s="435">
        <v>131</v>
      </c>
      <c r="E340" s="431"/>
      <c r="F340" s="464"/>
      <c r="G340" s="431"/>
      <c r="H340" s="431"/>
      <c r="I340" s="431"/>
      <c r="J340" s="431"/>
      <c r="K340" s="431"/>
      <c r="L340" s="431"/>
      <c r="M340" s="431"/>
      <c r="N340" s="431"/>
      <c r="O340" s="431"/>
      <c r="P340" s="431"/>
      <c r="Q340" s="431"/>
      <c r="S340" s="464"/>
      <c r="T340" s="431"/>
      <c r="U340" s="431"/>
      <c r="V340" s="431"/>
      <c r="W340" s="431"/>
      <c r="X340" s="431"/>
      <c r="Y340" s="431"/>
      <c r="Z340" s="431"/>
      <c r="AA340" s="431"/>
      <c r="AB340" s="431"/>
      <c r="AC340" s="431"/>
      <c r="AD340" s="431"/>
    </row>
    <row r="341" spans="1:30" s="412" customFormat="1" ht="12.5">
      <c r="A341" s="518">
        <v>12</v>
      </c>
      <c r="B341" s="457" t="s">
        <v>537</v>
      </c>
      <c r="C341" s="457" t="s">
        <v>538</v>
      </c>
      <c r="D341" s="435">
        <v>131</v>
      </c>
      <c r="E341" s="431"/>
      <c r="F341" s="464"/>
      <c r="G341" s="431"/>
      <c r="H341" s="431"/>
      <c r="I341" s="431"/>
      <c r="J341" s="431"/>
      <c r="K341" s="431"/>
      <c r="L341" s="431"/>
      <c r="M341" s="431"/>
      <c r="N341" s="431"/>
      <c r="O341" s="431"/>
      <c r="P341" s="431"/>
      <c r="Q341" s="431"/>
      <c r="S341" s="464"/>
      <c r="T341" s="431"/>
      <c r="U341" s="431"/>
      <c r="V341" s="431"/>
      <c r="W341" s="431"/>
      <c r="X341" s="431"/>
      <c r="Y341" s="431"/>
      <c r="Z341" s="431"/>
      <c r="AA341" s="431"/>
      <c r="AB341" s="431"/>
      <c r="AC341" s="431"/>
      <c r="AD341" s="431"/>
    </row>
    <row r="342" spans="1:30" s="412" customFormat="1" ht="12.5">
      <c r="A342" s="518">
        <v>13</v>
      </c>
      <c r="B342" s="457" t="s">
        <v>539</v>
      </c>
      <c r="C342" s="457" t="s">
        <v>540</v>
      </c>
      <c r="D342" s="435">
        <v>131</v>
      </c>
      <c r="E342" s="431"/>
      <c r="F342" s="464"/>
      <c r="G342" s="431"/>
      <c r="H342" s="431"/>
      <c r="I342" s="431"/>
      <c r="J342" s="431"/>
      <c r="K342" s="431"/>
      <c r="L342" s="446"/>
      <c r="M342" s="446"/>
      <c r="N342" s="431"/>
      <c r="O342" s="431"/>
      <c r="P342" s="431"/>
      <c r="Q342" s="431"/>
      <c r="S342" s="464"/>
      <c r="T342" s="431"/>
      <c r="U342" s="431"/>
      <c r="V342" s="431"/>
      <c r="W342" s="431"/>
      <c r="X342" s="431"/>
      <c r="Y342" s="446"/>
      <c r="Z342" s="446"/>
      <c r="AA342" s="431"/>
      <c r="AB342" s="431"/>
      <c r="AC342" s="431"/>
      <c r="AD342" s="431"/>
    </row>
    <row r="343" spans="1:30" s="412" customFormat="1" ht="12.5">
      <c r="A343" s="518">
        <v>14</v>
      </c>
      <c r="B343" s="459" t="s">
        <v>541</v>
      </c>
      <c r="C343" s="459" t="s">
        <v>542</v>
      </c>
      <c r="D343" s="435">
        <v>131</v>
      </c>
      <c r="E343" s="434"/>
      <c r="F343" s="487"/>
      <c r="G343" s="434"/>
      <c r="H343" s="434"/>
      <c r="I343" s="434"/>
      <c r="J343" s="434"/>
      <c r="K343" s="434"/>
      <c r="L343" s="476"/>
      <c r="M343" s="476"/>
      <c r="N343" s="434"/>
      <c r="O343" s="434"/>
      <c r="P343" s="434"/>
      <c r="Q343" s="434"/>
      <c r="S343" s="487"/>
      <c r="T343" s="434"/>
      <c r="U343" s="434"/>
      <c r="V343" s="434"/>
      <c r="W343" s="434"/>
      <c r="X343" s="434"/>
      <c r="Y343" s="476"/>
      <c r="Z343" s="476"/>
      <c r="AA343" s="434"/>
      <c r="AB343" s="434"/>
      <c r="AC343" s="434"/>
      <c r="AD343" s="434"/>
    </row>
    <row r="344" spans="1:30" s="412" customFormat="1" ht="12.5">
      <c r="A344" s="518">
        <v>15</v>
      </c>
      <c r="B344" s="459" t="s">
        <v>543</v>
      </c>
      <c r="C344" s="459" t="s">
        <v>544</v>
      </c>
      <c r="D344" s="435">
        <v>131</v>
      </c>
      <c r="E344" s="434"/>
      <c r="F344" s="487"/>
      <c r="G344" s="434"/>
      <c r="H344" s="434"/>
      <c r="I344" s="434"/>
      <c r="J344" s="434"/>
      <c r="K344" s="434"/>
      <c r="L344" s="476"/>
      <c r="M344" s="476"/>
      <c r="N344" s="434"/>
      <c r="O344" s="434"/>
      <c r="P344" s="434"/>
      <c r="Q344" s="434"/>
      <c r="S344" s="487"/>
      <c r="T344" s="434"/>
      <c r="U344" s="434"/>
      <c r="V344" s="434"/>
      <c r="W344" s="434"/>
      <c r="X344" s="434"/>
      <c r="Y344" s="476"/>
      <c r="Z344" s="476"/>
      <c r="AA344" s="434"/>
      <c r="AB344" s="434"/>
      <c r="AC344" s="434"/>
      <c r="AD344" s="434"/>
    </row>
    <row r="345" spans="1:30" s="412" customFormat="1" ht="12.5">
      <c r="A345" s="518">
        <v>16</v>
      </c>
      <c r="B345" s="459" t="s">
        <v>545</v>
      </c>
      <c r="C345" s="459" t="s">
        <v>546</v>
      </c>
      <c r="D345" s="435">
        <v>131</v>
      </c>
      <c r="E345" s="434"/>
      <c r="F345" s="487"/>
      <c r="G345" s="434"/>
      <c r="H345" s="434"/>
      <c r="I345" s="434"/>
      <c r="J345" s="434"/>
      <c r="K345" s="434"/>
      <c r="L345" s="476"/>
      <c r="M345" s="476"/>
      <c r="N345" s="434"/>
      <c r="O345" s="434"/>
      <c r="P345" s="434"/>
      <c r="Q345" s="434"/>
      <c r="S345" s="487"/>
      <c r="T345" s="434"/>
      <c r="U345" s="434"/>
      <c r="V345" s="434"/>
      <c r="W345" s="434"/>
      <c r="X345" s="434"/>
      <c r="Y345" s="476"/>
      <c r="Z345" s="476"/>
      <c r="AA345" s="434"/>
      <c r="AB345" s="434"/>
      <c r="AC345" s="434"/>
      <c r="AD345" s="434"/>
    </row>
    <row r="346" spans="1:30" s="412" customFormat="1" ht="12.5">
      <c r="A346" s="518">
        <v>17</v>
      </c>
      <c r="B346" s="459" t="s">
        <v>547</v>
      </c>
      <c r="C346" s="459" t="s">
        <v>548</v>
      </c>
      <c r="D346" s="435">
        <v>131</v>
      </c>
      <c r="E346" s="434"/>
      <c r="F346" s="487"/>
      <c r="G346" s="434"/>
      <c r="H346" s="434"/>
      <c r="I346" s="434"/>
      <c r="J346" s="434"/>
      <c r="K346" s="434"/>
      <c r="L346" s="476"/>
      <c r="M346" s="476"/>
      <c r="N346" s="434"/>
      <c r="O346" s="434"/>
      <c r="P346" s="434"/>
      <c r="Q346" s="434"/>
      <c r="S346" s="487"/>
      <c r="T346" s="434"/>
      <c r="U346" s="434"/>
      <c r="V346" s="434"/>
      <c r="W346" s="434"/>
      <c r="X346" s="434"/>
      <c r="Y346" s="476"/>
      <c r="Z346" s="476"/>
      <c r="AA346" s="434"/>
      <c r="AB346" s="434"/>
      <c r="AC346" s="434"/>
      <c r="AD346" s="434"/>
    </row>
    <row r="347" spans="1:30" s="412" customFormat="1" ht="12.5">
      <c r="A347" s="518">
        <v>18</v>
      </c>
      <c r="B347" s="457" t="s">
        <v>549</v>
      </c>
      <c r="C347" s="457" t="s">
        <v>550</v>
      </c>
      <c r="D347" s="435">
        <v>131</v>
      </c>
      <c r="E347" s="434"/>
      <c r="F347" s="487"/>
      <c r="G347" s="434"/>
      <c r="H347" s="434"/>
      <c r="I347" s="434"/>
      <c r="J347" s="434"/>
      <c r="K347" s="434"/>
      <c r="L347" s="476"/>
      <c r="M347" s="476"/>
      <c r="N347" s="434"/>
      <c r="O347" s="434"/>
      <c r="P347" s="434"/>
      <c r="Q347" s="434"/>
      <c r="S347" s="487"/>
      <c r="T347" s="434"/>
      <c r="U347" s="434"/>
      <c r="V347" s="434"/>
      <c r="W347" s="434"/>
      <c r="X347" s="434"/>
      <c r="Y347" s="476"/>
      <c r="Z347" s="476"/>
      <c r="AA347" s="434"/>
      <c r="AB347" s="434"/>
      <c r="AC347" s="434"/>
      <c r="AD347" s="434"/>
    </row>
    <row r="348" spans="1:30" s="412" customFormat="1" ht="12.5">
      <c r="A348" s="518">
        <v>19</v>
      </c>
      <c r="B348" s="461" t="s">
        <v>551</v>
      </c>
      <c r="C348" s="461" t="s">
        <v>552</v>
      </c>
      <c r="D348" s="435">
        <v>131</v>
      </c>
      <c r="E348" s="434"/>
      <c r="F348" s="487"/>
      <c r="G348" s="434"/>
      <c r="H348" s="434"/>
      <c r="I348" s="434"/>
      <c r="J348" s="434"/>
      <c r="K348" s="434"/>
      <c r="L348" s="476"/>
      <c r="M348" s="476"/>
      <c r="N348" s="434"/>
      <c r="O348" s="434"/>
      <c r="P348" s="434"/>
      <c r="Q348" s="434"/>
      <c r="S348" s="487"/>
      <c r="T348" s="434"/>
      <c r="U348" s="434"/>
      <c r="V348" s="434"/>
      <c r="W348" s="434"/>
      <c r="X348" s="434"/>
      <c r="Y348" s="476"/>
      <c r="Z348" s="476"/>
      <c r="AA348" s="434"/>
      <c r="AB348" s="434"/>
      <c r="AC348" s="434"/>
      <c r="AD348" s="434"/>
    </row>
    <row r="349" spans="1:30" s="412" customFormat="1" ht="12.5">
      <c r="A349" s="518">
        <v>20</v>
      </c>
      <c r="B349" s="459" t="s">
        <v>553</v>
      </c>
      <c r="C349" s="459" t="s">
        <v>554</v>
      </c>
      <c r="D349" s="435">
        <v>131</v>
      </c>
      <c r="E349" s="434"/>
      <c r="F349" s="487"/>
      <c r="G349" s="434"/>
      <c r="H349" s="434"/>
      <c r="I349" s="434"/>
      <c r="J349" s="434"/>
      <c r="K349" s="434"/>
      <c r="L349" s="476"/>
      <c r="M349" s="476"/>
      <c r="N349" s="434"/>
      <c r="O349" s="434"/>
      <c r="P349" s="434"/>
      <c r="Q349" s="434"/>
      <c r="S349" s="487"/>
      <c r="T349" s="434"/>
      <c r="U349" s="434"/>
      <c r="V349" s="434"/>
      <c r="W349" s="434"/>
      <c r="X349" s="434"/>
      <c r="Y349" s="476"/>
      <c r="Z349" s="476"/>
      <c r="AA349" s="434"/>
      <c r="AB349" s="434"/>
      <c r="AC349" s="434"/>
      <c r="AD349" s="434"/>
    </row>
    <row r="350" spans="1:30" s="412" customFormat="1" ht="12.5">
      <c r="A350" s="518">
        <v>21</v>
      </c>
      <c r="B350" s="459" t="s">
        <v>555</v>
      </c>
      <c r="C350" s="459" t="s">
        <v>556</v>
      </c>
      <c r="D350" s="435">
        <v>131</v>
      </c>
      <c r="E350" s="434"/>
      <c r="F350" s="487"/>
      <c r="G350" s="434"/>
      <c r="H350" s="434"/>
      <c r="I350" s="434"/>
      <c r="J350" s="434"/>
      <c r="K350" s="434"/>
      <c r="L350" s="476"/>
      <c r="M350" s="476"/>
      <c r="N350" s="434"/>
      <c r="O350" s="434"/>
      <c r="P350" s="434"/>
      <c r="Q350" s="434"/>
      <c r="S350" s="487"/>
      <c r="T350" s="434"/>
      <c r="U350" s="434"/>
      <c r="V350" s="434"/>
      <c r="W350" s="434"/>
      <c r="X350" s="434"/>
      <c r="Y350" s="476"/>
      <c r="Z350" s="476"/>
      <c r="AA350" s="434"/>
      <c r="AB350" s="434"/>
      <c r="AC350" s="434"/>
      <c r="AD350" s="434"/>
    </row>
    <row r="351" spans="1:30" s="412" customFormat="1" ht="12.5">
      <c r="A351" s="518">
        <v>22</v>
      </c>
      <c r="B351" s="459" t="s">
        <v>557</v>
      </c>
      <c r="C351" s="459" t="s">
        <v>558</v>
      </c>
      <c r="D351" s="435">
        <v>131</v>
      </c>
      <c r="E351" s="434"/>
      <c r="F351" s="487"/>
      <c r="G351" s="434"/>
      <c r="H351" s="434"/>
      <c r="I351" s="434"/>
      <c r="J351" s="434"/>
      <c r="K351" s="434"/>
      <c r="L351" s="476"/>
      <c r="M351" s="476"/>
      <c r="N351" s="434"/>
      <c r="O351" s="434"/>
      <c r="P351" s="434"/>
      <c r="Q351" s="434"/>
      <c r="S351" s="487"/>
      <c r="T351" s="434"/>
      <c r="U351" s="434"/>
      <c r="V351" s="434"/>
      <c r="W351" s="434"/>
      <c r="X351" s="434"/>
      <c r="Y351" s="476"/>
      <c r="Z351" s="476"/>
      <c r="AA351" s="434"/>
      <c r="AB351" s="434"/>
      <c r="AC351" s="434"/>
      <c r="AD351" s="434"/>
    </row>
    <row r="352" spans="1:30" s="412" customFormat="1" ht="12.5">
      <c r="A352" s="514"/>
      <c r="B352" s="515"/>
      <c r="C352" s="515"/>
      <c r="D352" s="440"/>
      <c r="E352" s="440"/>
      <c r="F352" s="444"/>
      <c r="G352" s="440"/>
      <c r="H352" s="440"/>
      <c r="I352" s="440"/>
      <c r="J352" s="440"/>
      <c r="K352" s="440"/>
      <c r="L352" s="440"/>
      <c r="M352" s="440"/>
      <c r="N352" s="440"/>
      <c r="O352" s="440"/>
      <c r="P352" s="440"/>
      <c r="Q352" s="440"/>
      <c r="S352" s="444"/>
      <c r="T352" s="440"/>
      <c r="U352" s="440"/>
      <c r="V352" s="440"/>
      <c r="W352" s="440"/>
      <c r="X352" s="440"/>
      <c r="Y352" s="440"/>
      <c r="Z352" s="440"/>
      <c r="AA352" s="440"/>
      <c r="AB352" s="440"/>
      <c r="AC352" s="440"/>
      <c r="AD352" s="440"/>
    </row>
    <row r="353" spans="1:30" s="412" customFormat="1">
      <c r="A353" s="553" t="s">
        <v>577</v>
      </c>
      <c r="B353" s="541" t="s">
        <v>611</v>
      </c>
      <c r="C353" s="530"/>
      <c r="D353" s="425"/>
      <c r="E353" s="425"/>
      <c r="F353" s="569" t="s">
        <v>624</v>
      </c>
      <c r="G353" s="569" t="s">
        <v>484</v>
      </c>
      <c r="H353" s="569" t="s">
        <v>485</v>
      </c>
      <c r="I353" s="569" t="s">
        <v>486</v>
      </c>
      <c r="J353" s="569" t="s">
        <v>487</v>
      </c>
      <c r="K353" s="569" t="s">
        <v>488</v>
      </c>
      <c r="L353" s="569" t="s">
        <v>489</v>
      </c>
      <c r="M353" s="569" t="s">
        <v>490</v>
      </c>
      <c r="N353" s="569" t="s">
        <v>491</v>
      </c>
      <c r="O353" s="569" t="s">
        <v>492</v>
      </c>
      <c r="P353" s="569" t="s">
        <v>493</v>
      </c>
      <c r="Q353" s="569" t="s">
        <v>494</v>
      </c>
      <c r="S353" s="569" t="s">
        <v>483</v>
      </c>
      <c r="T353" s="569" t="s">
        <v>484</v>
      </c>
      <c r="U353" s="569" t="s">
        <v>485</v>
      </c>
      <c r="V353" s="569" t="s">
        <v>486</v>
      </c>
      <c r="W353" s="569" t="s">
        <v>487</v>
      </c>
      <c r="X353" s="569" t="s">
        <v>488</v>
      </c>
      <c r="Y353" s="569" t="s">
        <v>489</v>
      </c>
      <c r="Z353" s="569" t="s">
        <v>490</v>
      </c>
      <c r="AA353" s="569" t="s">
        <v>491</v>
      </c>
      <c r="AB353" s="569" t="s">
        <v>492</v>
      </c>
      <c r="AC353" s="569" t="s">
        <v>493</v>
      </c>
      <c r="AD353" s="569" t="s">
        <v>494</v>
      </c>
    </row>
    <row r="354" spans="1:30" s="412" customFormat="1" ht="12.5">
      <c r="A354" s="545">
        <v>1</v>
      </c>
      <c r="B354" s="559" t="s">
        <v>498</v>
      </c>
      <c r="C354" s="559" t="s">
        <v>499</v>
      </c>
      <c r="D354" s="558">
        <v>331</v>
      </c>
      <c r="E354" s="557"/>
      <c r="F354" s="550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S354" s="550"/>
      <c r="T354" s="557"/>
      <c r="U354" s="557"/>
      <c r="V354" s="557"/>
      <c r="W354" s="557"/>
      <c r="X354" s="557"/>
      <c r="Y354" s="557"/>
      <c r="Z354" s="557"/>
      <c r="AA354" s="557"/>
      <c r="AB354" s="557"/>
      <c r="AC354" s="557"/>
      <c r="AD354" s="557"/>
    </row>
    <row r="355" spans="1:30" s="412" customFormat="1" ht="12.5">
      <c r="A355" s="439"/>
      <c r="B355" s="515"/>
      <c r="C355" s="515"/>
      <c r="D355" s="481">
        <v>338</v>
      </c>
      <c r="E355" s="520"/>
      <c r="F355" s="444"/>
      <c r="G355" s="440"/>
      <c r="H355" s="440"/>
      <c r="I355" s="440"/>
      <c r="J355" s="440"/>
      <c r="K355" s="440"/>
      <c r="L355" s="440"/>
      <c r="M355" s="440"/>
      <c r="N355" s="440"/>
      <c r="O355" s="440"/>
      <c r="P355" s="440"/>
      <c r="Q355" s="440"/>
      <c r="S355" s="444"/>
      <c r="T355" s="440"/>
      <c r="U355" s="440"/>
      <c r="V355" s="440"/>
      <c r="W355" s="440"/>
      <c r="X355" s="440"/>
      <c r="Y355" s="440"/>
      <c r="Z355" s="440"/>
      <c r="AA355" s="440"/>
      <c r="AB355" s="440"/>
      <c r="AC355" s="440"/>
      <c r="AD355" s="440"/>
    </row>
    <row r="356" spans="1:30" s="412" customFormat="1" ht="12.5">
      <c r="A356" s="545">
        <v>2</v>
      </c>
      <c r="B356" s="559" t="s">
        <v>508</v>
      </c>
      <c r="C356" s="559" t="s">
        <v>509</v>
      </c>
      <c r="D356" s="558">
        <v>331</v>
      </c>
      <c r="E356" s="557"/>
      <c r="F356" s="576"/>
      <c r="G356" s="577"/>
      <c r="H356" s="578">
        <v>4320000</v>
      </c>
      <c r="I356" s="578">
        <v>21600000</v>
      </c>
      <c r="J356" s="578">
        <v>12960000</v>
      </c>
      <c r="K356" s="578"/>
      <c r="L356" s="578">
        <v>2160000</v>
      </c>
      <c r="M356" s="577"/>
      <c r="N356" s="557"/>
      <c r="O356" s="557"/>
      <c r="P356" s="557"/>
      <c r="Q356" s="557"/>
      <c r="S356" s="550"/>
      <c r="T356" s="557"/>
      <c r="U356" s="557"/>
      <c r="V356" s="557"/>
      <c r="W356" s="580">
        <v>10756800</v>
      </c>
      <c r="X356" s="557"/>
      <c r="Y356" s="557"/>
      <c r="Z356" s="557"/>
      <c r="AA356" s="557"/>
      <c r="AB356" s="557"/>
      <c r="AC356" s="557"/>
      <c r="AD356" s="557"/>
    </row>
    <row r="357" spans="1:30" s="412" customFormat="1" ht="12.5">
      <c r="A357" s="439"/>
      <c r="B357" s="515"/>
      <c r="C357" s="515"/>
      <c r="D357" s="481">
        <v>338</v>
      </c>
      <c r="E357" s="520"/>
      <c r="F357" s="444"/>
      <c r="G357" s="440"/>
      <c r="H357" s="440"/>
      <c r="I357" s="440"/>
      <c r="J357" s="440"/>
      <c r="K357" s="440"/>
      <c r="L357" s="440"/>
      <c r="M357" s="440"/>
      <c r="N357" s="440"/>
      <c r="O357" s="440"/>
      <c r="P357" s="440"/>
      <c r="Q357" s="440"/>
      <c r="S357" s="444"/>
      <c r="T357" s="440"/>
      <c r="U357" s="440"/>
      <c r="V357" s="440"/>
      <c r="W357" s="440"/>
      <c r="X357" s="440"/>
      <c r="Y357" s="440"/>
      <c r="Z357" s="440"/>
      <c r="AA357" s="440"/>
      <c r="AB357" s="440"/>
      <c r="AC357" s="440"/>
      <c r="AD357" s="440"/>
    </row>
    <row r="358" spans="1:30" s="412" customFormat="1" ht="12.5">
      <c r="A358" s="545">
        <v>3</v>
      </c>
      <c r="B358" s="559" t="s">
        <v>514</v>
      </c>
      <c r="C358" s="559" t="s">
        <v>515</v>
      </c>
      <c r="D358" s="558">
        <v>331</v>
      </c>
      <c r="E358" s="557"/>
      <c r="F358" s="550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S358" s="550"/>
      <c r="T358" s="557"/>
      <c r="U358" s="557"/>
      <c r="V358" s="557"/>
      <c r="W358" s="557"/>
      <c r="X358" s="557"/>
      <c r="Y358" s="557"/>
      <c r="Z358" s="557"/>
      <c r="AA358" s="557"/>
      <c r="AB358" s="557"/>
      <c r="AC358" s="557"/>
      <c r="AD358" s="557"/>
    </row>
    <row r="359" spans="1:30" s="412" customFormat="1" ht="12.5">
      <c r="A359" s="439"/>
      <c r="B359" s="515"/>
      <c r="C359" s="515"/>
      <c r="D359" s="481">
        <v>338</v>
      </c>
      <c r="E359" s="520"/>
      <c r="F359" s="444"/>
      <c r="G359" s="440"/>
      <c r="H359" s="440"/>
      <c r="I359" s="440"/>
      <c r="J359" s="440"/>
      <c r="K359" s="440"/>
      <c r="L359" s="440"/>
      <c r="M359" s="440"/>
      <c r="N359" s="440"/>
      <c r="O359" s="440"/>
      <c r="P359" s="440"/>
      <c r="Q359" s="440"/>
      <c r="S359" s="444"/>
      <c r="T359" s="440"/>
      <c r="U359" s="440"/>
      <c r="V359" s="440"/>
      <c r="W359" s="440"/>
      <c r="X359" s="440"/>
      <c r="Y359" s="440"/>
      <c r="Z359" s="440"/>
      <c r="AA359" s="440"/>
      <c r="AB359" s="440"/>
      <c r="AC359" s="440"/>
      <c r="AD359" s="440"/>
    </row>
    <row r="360" spans="1:30" s="412" customFormat="1" ht="12.5">
      <c r="A360" s="545">
        <v>4</v>
      </c>
      <c r="B360" s="559" t="s">
        <v>517</v>
      </c>
      <c r="C360" s="559" t="s">
        <v>518</v>
      </c>
      <c r="D360" s="558">
        <v>331</v>
      </c>
      <c r="E360" s="557"/>
      <c r="F360" s="550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S360" s="550"/>
      <c r="T360" s="557"/>
      <c r="U360" s="557"/>
      <c r="V360" s="557"/>
      <c r="W360" s="557"/>
      <c r="X360" s="557"/>
      <c r="Y360" s="557"/>
      <c r="Z360" s="557"/>
      <c r="AA360" s="557"/>
      <c r="AB360" s="557"/>
      <c r="AC360" s="557"/>
      <c r="AD360" s="557"/>
    </row>
    <row r="361" spans="1:30" s="412" customFormat="1" ht="12.5">
      <c r="A361" s="439"/>
      <c r="B361" s="515"/>
      <c r="C361" s="515"/>
      <c r="D361" s="481">
        <v>338</v>
      </c>
      <c r="E361" s="520"/>
      <c r="F361" s="444"/>
      <c r="G361" s="440"/>
      <c r="H361" s="440"/>
      <c r="I361" s="440"/>
      <c r="J361" s="440"/>
      <c r="K361" s="440"/>
      <c r="L361" s="440"/>
      <c r="M361" s="440"/>
      <c r="N361" s="440"/>
      <c r="O361" s="440"/>
      <c r="P361" s="440"/>
      <c r="Q361" s="440"/>
      <c r="S361" s="444"/>
      <c r="T361" s="440"/>
      <c r="U361" s="440"/>
      <c r="V361" s="440"/>
      <c r="W361" s="440"/>
      <c r="X361" s="440"/>
      <c r="Y361" s="440"/>
      <c r="Z361" s="440"/>
      <c r="AA361" s="440"/>
      <c r="AB361" s="440"/>
      <c r="AC361" s="440"/>
      <c r="AD361" s="440"/>
    </row>
    <row r="362" spans="1:30" s="412" customFormat="1" ht="12.5">
      <c r="A362" s="545">
        <v>5</v>
      </c>
      <c r="B362" s="559" t="s">
        <v>519</v>
      </c>
      <c r="C362" s="559" t="s">
        <v>520</v>
      </c>
      <c r="D362" s="558">
        <v>331</v>
      </c>
      <c r="E362" s="557"/>
      <c r="F362" s="550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S362" s="550"/>
      <c r="T362" s="557"/>
      <c r="U362" s="557"/>
      <c r="V362" s="557"/>
      <c r="W362" s="557"/>
      <c r="X362" s="557"/>
      <c r="Y362" s="557"/>
      <c r="Z362" s="557"/>
      <c r="AA362" s="557"/>
      <c r="AB362" s="557"/>
      <c r="AC362" s="557"/>
      <c r="AD362" s="557"/>
    </row>
    <row r="363" spans="1:30" s="412" customFormat="1" ht="12.5">
      <c r="A363" s="439"/>
      <c r="B363" s="515"/>
      <c r="C363" s="515"/>
      <c r="D363" s="481">
        <v>338</v>
      </c>
      <c r="E363" s="520"/>
      <c r="F363" s="444"/>
      <c r="G363" s="440"/>
      <c r="H363" s="440"/>
      <c r="I363" s="440"/>
      <c r="J363" s="440"/>
      <c r="K363" s="440"/>
      <c r="L363" s="440"/>
      <c r="M363" s="440"/>
      <c r="N363" s="440"/>
      <c r="O363" s="440"/>
      <c r="P363" s="440"/>
      <c r="Q363" s="440"/>
      <c r="S363" s="444"/>
      <c r="T363" s="440"/>
      <c r="U363" s="440"/>
      <c r="V363" s="440"/>
      <c r="W363" s="440"/>
      <c r="X363" s="440"/>
      <c r="Y363" s="440"/>
      <c r="Z363" s="440"/>
      <c r="AA363" s="440"/>
      <c r="AB363" s="440"/>
      <c r="AC363" s="440"/>
      <c r="AD363" s="440"/>
    </row>
    <row r="364" spans="1:30" s="412" customFormat="1" ht="12.5">
      <c r="A364" s="545">
        <v>6</v>
      </c>
      <c r="B364" s="559" t="s">
        <v>522</v>
      </c>
      <c r="C364" s="559" t="s">
        <v>523</v>
      </c>
      <c r="D364" s="558">
        <v>331</v>
      </c>
      <c r="E364" s="557"/>
      <c r="F364" s="550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S364" s="550"/>
      <c r="T364" s="557"/>
      <c r="U364" s="557"/>
      <c r="V364" s="557"/>
      <c r="W364" s="557"/>
      <c r="X364" s="557"/>
      <c r="Y364" s="557"/>
      <c r="Z364" s="557"/>
      <c r="AA364" s="557"/>
      <c r="AB364" s="557"/>
      <c r="AC364" s="557"/>
      <c r="AD364" s="557"/>
    </row>
    <row r="365" spans="1:30" s="412" customFormat="1" ht="12.5">
      <c r="A365" s="439"/>
      <c r="B365" s="515"/>
      <c r="C365" s="515"/>
      <c r="D365" s="481">
        <v>338</v>
      </c>
      <c r="E365" s="440"/>
      <c r="F365" s="444"/>
      <c r="G365" s="440"/>
      <c r="H365" s="440"/>
      <c r="I365" s="440"/>
      <c r="J365" s="440"/>
      <c r="K365" s="440"/>
      <c r="L365" s="440"/>
      <c r="M365" s="440"/>
      <c r="N365" s="440"/>
      <c r="O365" s="440"/>
      <c r="P365" s="440"/>
      <c r="Q365" s="440"/>
      <c r="S365" s="444"/>
      <c r="T365" s="440"/>
      <c r="U365" s="440"/>
      <c r="V365" s="440"/>
      <c r="W365" s="440"/>
      <c r="X365" s="440"/>
      <c r="Y365" s="440"/>
      <c r="Z365" s="440"/>
      <c r="AA365" s="440"/>
      <c r="AB365" s="440"/>
      <c r="AC365" s="440"/>
      <c r="AD365" s="440"/>
    </row>
    <row r="366" spans="1:30" s="412" customFormat="1" ht="12.5">
      <c r="A366" s="545">
        <v>7</v>
      </c>
      <c r="B366" s="546" t="s">
        <v>526</v>
      </c>
      <c r="C366" s="546" t="s">
        <v>527</v>
      </c>
      <c r="D366" s="558">
        <v>331</v>
      </c>
      <c r="E366" s="572"/>
      <c r="F366" s="550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S366" s="550"/>
      <c r="T366" s="557"/>
      <c r="U366" s="557"/>
      <c r="V366" s="557"/>
      <c r="W366" s="557"/>
      <c r="X366" s="557"/>
      <c r="Y366" s="557"/>
      <c r="Z366" s="557"/>
      <c r="AA366" s="557"/>
      <c r="AB366" s="557"/>
      <c r="AC366" s="557"/>
      <c r="AD366" s="557"/>
    </row>
    <row r="367" spans="1:30" s="412" customFormat="1" ht="12.5">
      <c r="A367" s="439"/>
      <c r="B367" s="515"/>
      <c r="C367" s="515"/>
      <c r="D367" s="481">
        <v>338</v>
      </c>
      <c r="E367" s="521"/>
      <c r="F367" s="444"/>
      <c r="G367" s="440"/>
      <c r="H367" s="440"/>
      <c r="I367" s="440"/>
      <c r="J367" s="440"/>
      <c r="K367" s="440"/>
      <c r="L367" s="440"/>
      <c r="M367" s="440"/>
      <c r="N367" s="440"/>
      <c r="O367" s="440"/>
      <c r="P367" s="440"/>
      <c r="Q367" s="440"/>
      <c r="S367" s="444"/>
      <c r="T367" s="440"/>
      <c r="U367" s="440"/>
      <c r="V367" s="440"/>
      <c r="W367" s="440"/>
      <c r="X367" s="440"/>
      <c r="Y367" s="440"/>
      <c r="Z367" s="440"/>
      <c r="AA367" s="440"/>
      <c r="AB367" s="440"/>
      <c r="AC367" s="440"/>
      <c r="AD367" s="440"/>
    </row>
    <row r="368" spans="1:30" s="412" customFormat="1" ht="12.5">
      <c r="A368" s="545">
        <v>8</v>
      </c>
      <c r="B368" s="559" t="s">
        <v>528</v>
      </c>
      <c r="C368" s="559" t="s">
        <v>529</v>
      </c>
      <c r="D368" s="558">
        <v>331</v>
      </c>
      <c r="E368" s="557"/>
      <c r="F368" s="550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S368" s="550"/>
      <c r="T368" s="557"/>
      <c r="U368" s="557"/>
      <c r="V368" s="557"/>
      <c r="W368" s="557"/>
      <c r="X368" s="557"/>
      <c r="Y368" s="557"/>
      <c r="Z368" s="557"/>
      <c r="AA368" s="557"/>
      <c r="AB368" s="557"/>
      <c r="AC368" s="557"/>
      <c r="AD368" s="557"/>
    </row>
    <row r="369" spans="1:30" s="412" customFormat="1" ht="12.5">
      <c r="A369" s="439"/>
      <c r="B369" s="515"/>
      <c r="C369" s="515"/>
      <c r="D369" s="481">
        <v>338</v>
      </c>
      <c r="E369" s="520"/>
      <c r="F369" s="444"/>
      <c r="G369" s="440"/>
      <c r="H369" s="440"/>
      <c r="I369" s="440"/>
      <c r="J369" s="440"/>
      <c r="K369" s="440"/>
      <c r="L369" s="440"/>
      <c r="M369" s="440"/>
      <c r="N369" s="440"/>
      <c r="O369" s="440"/>
      <c r="P369" s="440"/>
      <c r="Q369" s="440"/>
      <c r="S369" s="444"/>
      <c r="T369" s="440"/>
      <c r="U369" s="440"/>
      <c r="V369" s="440"/>
      <c r="W369" s="440"/>
      <c r="X369" s="440"/>
      <c r="Y369" s="440"/>
      <c r="Z369" s="440"/>
      <c r="AA369" s="440"/>
      <c r="AB369" s="440"/>
      <c r="AC369" s="440"/>
      <c r="AD369" s="440"/>
    </row>
    <row r="370" spans="1:30" s="412" customFormat="1" ht="12.5">
      <c r="A370" s="545">
        <v>9</v>
      </c>
      <c r="B370" s="559" t="s">
        <v>531</v>
      </c>
      <c r="C370" s="559" t="s">
        <v>532</v>
      </c>
      <c r="D370" s="558">
        <v>331</v>
      </c>
      <c r="E370" s="557"/>
      <c r="F370" s="550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S370" s="550"/>
      <c r="T370" s="557"/>
      <c r="U370" s="557"/>
      <c r="V370" s="557"/>
      <c r="W370" s="557"/>
      <c r="X370" s="557"/>
      <c r="Y370" s="557"/>
      <c r="Z370" s="557"/>
      <c r="AA370" s="557"/>
      <c r="AB370" s="557"/>
      <c r="AC370" s="557"/>
      <c r="AD370" s="557"/>
    </row>
    <row r="371" spans="1:30" s="412" customFormat="1" ht="12.5">
      <c r="A371" s="439"/>
      <c r="B371" s="515"/>
      <c r="C371" s="515"/>
      <c r="D371" s="481">
        <v>338</v>
      </c>
      <c r="E371" s="520"/>
      <c r="F371" s="444"/>
      <c r="G371" s="440"/>
      <c r="H371" s="440"/>
      <c r="I371" s="440"/>
      <c r="J371" s="440"/>
      <c r="K371" s="440"/>
      <c r="L371" s="440"/>
      <c r="M371" s="440"/>
      <c r="N371" s="440"/>
      <c r="O371" s="440"/>
      <c r="P371" s="440"/>
      <c r="Q371" s="440"/>
      <c r="S371" s="444"/>
      <c r="T371" s="440"/>
      <c r="U371" s="440"/>
      <c r="V371" s="440"/>
      <c r="W371" s="440"/>
      <c r="X371" s="440"/>
      <c r="Y371" s="440"/>
      <c r="Z371" s="440"/>
      <c r="AA371" s="440"/>
      <c r="AB371" s="440"/>
      <c r="AC371" s="440"/>
      <c r="AD371" s="440"/>
    </row>
    <row r="372" spans="1:30" s="412" customFormat="1" ht="12.5">
      <c r="A372" s="545">
        <v>10</v>
      </c>
      <c r="B372" s="559" t="s">
        <v>533</v>
      </c>
      <c r="C372" s="559" t="s">
        <v>534</v>
      </c>
      <c r="D372" s="558">
        <v>331</v>
      </c>
      <c r="E372" s="557"/>
      <c r="F372" s="550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S372" s="550"/>
      <c r="T372" s="557"/>
      <c r="U372" s="557"/>
      <c r="V372" s="557"/>
      <c r="W372" s="557"/>
      <c r="X372" s="557"/>
      <c r="Y372" s="557"/>
      <c r="Z372" s="557"/>
      <c r="AA372" s="557"/>
      <c r="AB372" s="557"/>
      <c r="AC372" s="557"/>
      <c r="AD372" s="557"/>
    </row>
    <row r="373" spans="1:30" s="412" customFormat="1" ht="12.5">
      <c r="A373" s="439"/>
      <c r="B373" s="515"/>
      <c r="C373" s="515"/>
      <c r="D373" s="481">
        <v>338</v>
      </c>
      <c r="E373" s="520"/>
      <c r="F373" s="444"/>
      <c r="G373" s="440"/>
      <c r="H373" s="440"/>
      <c r="I373" s="440"/>
      <c r="J373" s="440"/>
      <c r="K373" s="440"/>
      <c r="L373" s="440"/>
      <c r="M373" s="440"/>
      <c r="N373" s="440"/>
      <c r="O373" s="440"/>
      <c r="P373" s="440"/>
      <c r="Q373" s="440"/>
      <c r="S373" s="444"/>
      <c r="T373" s="440"/>
      <c r="U373" s="440"/>
      <c r="V373" s="440"/>
      <c r="W373" s="440"/>
      <c r="X373" s="440"/>
      <c r="Y373" s="440"/>
      <c r="Z373" s="440"/>
      <c r="AA373" s="440"/>
      <c r="AB373" s="440"/>
      <c r="AC373" s="440"/>
      <c r="AD373" s="440"/>
    </row>
    <row r="374" spans="1:30" s="412" customFormat="1" ht="12.5">
      <c r="A374" s="545">
        <v>11</v>
      </c>
      <c r="B374" s="559" t="s">
        <v>535</v>
      </c>
      <c r="C374" s="559" t="s">
        <v>536</v>
      </c>
      <c r="D374" s="558">
        <v>331</v>
      </c>
      <c r="E374" s="557"/>
      <c r="F374" s="576"/>
      <c r="G374" s="577"/>
      <c r="H374" s="577"/>
      <c r="I374" s="577"/>
      <c r="J374" s="577"/>
      <c r="K374" s="577"/>
      <c r="L374" s="577"/>
      <c r="M374" s="578"/>
      <c r="N374" s="578"/>
      <c r="O374" s="578">
        <v>57200000</v>
      </c>
      <c r="P374" s="577" t="s">
        <v>626</v>
      </c>
      <c r="Q374" s="577"/>
      <c r="S374" s="576"/>
      <c r="T374" s="577"/>
      <c r="U374" s="577"/>
      <c r="V374" s="574">
        <v>369600000</v>
      </c>
      <c r="W374" s="557"/>
      <c r="X374" s="557"/>
      <c r="Y374" s="557"/>
      <c r="Z374" s="557"/>
      <c r="AA374" s="557"/>
      <c r="AB374" s="557"/>
      <c r="AC374" s="557"/>
      <c r="AD374" s="557"/>
    </row>
    <row r="375" spans="1:30" s="412" customFormat="1" ht="12.5">
      <c r="A375" s="439"/>
      <c r="B375" s="515"/>
      <c r="C375" s="515"/>
      <c r="D375" s="481">
        <v>338</v>
      </c>
      <c r="E375" s="520"/>
      <c r="F375" s="444"/>
      <c r="G375" s="440"/>
      <c r="H375" s="440"/>
      <c r="I375" s="440"/>
      <c r="J375" s="440"/>
      <c r="K375" s="440"/>
      <c r="L375" s="440"/>
      <c r="M375" s="440"/>
      <c r="N375" s="440"/>
      <c r="O375" s="440"/>
      <c r="P375" s="440"/>
      <c r="Q375" s="440"/>
      <c r="S375" s="444"/>
      <c r="T375" s="440"/>
      <c r="U375" s="440"/>
      <c r="V375" s="440"/>
      <c r="W375" s="440"/>
      <c r="X375" s="440"/>
      <c r="Y375" s="440"/>
      <c r="Z375" s="440"/>
      <c r="AA375" s="440"/>
      <c r="AB375" s="440"/>
      <c r="AC375" s="440"/>
      <c r="AD375" s="440"/>
    </row>
    <row r="376" spans="1:30" s="412" customFormat="1" ht="12.5">
      <c r="A376" s="545">
        <v>12</v>
      </c>
      <c r="B376" s="559" t="s">
        <v>537</v>
      </c>
      <c r="C376" s="559" t="s">
        <v>538</v>
      </c>
      <c r="D376" s="558">
        <v>331</v>
      </c>
      <c r="E376" s="557"/>
      <c r="F376" s="550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S376" s="550"/>
      <c r="T376" s="557"/>
      <c r="U376" s="557"/>
      <c r="V376" s="557"/>
      <c r="W376" s="557"/>
      <c r="X376" s="557"/>
      <c r="Y376" s="557"/>
      <c r="Z376" s="557"/>
      <c r="AA376" s="557"/>
      <c r="AB376" s="557"/>
      <c r="AC376" s="557"/>
      <c r="AD376" s="557"/>
    </row>
    <row r="377" spans="1:30" s="412" customFormat="1" ht="12.5">
      <c r="A377" s="439"/>
      <c r="B377" s="515"/>
      <c r="C377" s="515"/>
      <c r="D377" s="481">
        <v>338</v>
      </c>
      <c r="E377" s="520"/>
      <c r="F377" s="444"/>
      <c r="G377" s="440"/>
      <c r="H377" s="440"/>
      <c r="I377" s="440"/>
      <c r="J377" s="440"/>
      <c r="K377" s="440"/>
      <c r="L377" s="440"/>
      <c r="M377" s="440"/>
      <c r="N377" s="440"/>
      <c r="O377" s="440"/>
      <c r="P377" s="440"/>
      <c r="Q377" s="440"/>
      <c r="S377" s="444"/>
      <c r="T377" s="440"/>
      <c r="U377" s="440"/>
      <c r="V377" s="440"/>
      <c r="W377" s="440"/>
      <c r="X377" s="440"/>
      <c r="Y377" s="440"/>
      <c r="Z377" s="440"/>
      <c r="AA377" s="440"/>
      <c r="AB377" s="440"/>
      <c r="AC377" s="440"/>
      <c r="AD377" s="440"/>
    </row>
    <row r="378" spans="1:30" s="412" customFormat="1" ht="12.5">
      <c r="A378" s="545">
        <v>13</v>
      </c>
      <c r="B378" s="559" t="s">
        <v>539</v>
      </c>
      <c r="C378" s="559" t="s">
        <v>540</v>
      </c>
      <c r="D378" s="558">
        <v>331</v>
      </c>
      <c r="E378" s="557"/>
      <c r="F378" s="550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S378" s="550"/>
      <c r="T378" s="557"/>
      <c r="U378" s="557"/>
      <c r="V378" s="557"/>
      <c r="W378" s="557"/>
      <c r="X378" s="557"/>
      <c r="Y378" s="557"/>
      <c r="Z378" s="557"/>
      <c r="AA378" s="557"/>
      <c r="AB378" s="557"/>
      <c r="AC378" s="557"/>
      <c r="AD378" s="557"/>
    </row>
    <row r="379" spans="1:30" s="412" customFormat="1" ht="12.5">
      <c r="A379" s="439"/>
      <c r="B379" s="515"/>
      <c r="C379" s="515"/>
      <c r="D379" s="481">
        <v>338</v>
      </c>
      <c r="E379" s="520"/>
      <c r="F379" s="444"/>
      <c r="G379" s="440"/>
      <c r="H379" s="440"/>
      <c r="I379" s="440"/>
      <c r="J379" s="440"/>
      <c r="K379" s="440"/>
      <c r="L379" s="440"/>
      <c r="M379" s="440"/>
      <c r="N379" s="440"/>
      <c r="O379" s="440"/>
      <c r="P379" s="440"/>
      <c r="Q379" s="440"/>
      <c r="S379" s="444"/>
      <c r="T379" s="440"/>
      <c r="U379" s="440"/>
      <c r="V379" s="440"/>
      <c r="W379" s="440"/>
      <c r="X379" s="440"/>
      <c r="Y379" s="440"/>
      <c r="Z379" s="440"/>
      <c r="AA379" s="440"/>
      <c r="AB379" s="440"/>
      <c r="AC379" s="440"/>
      <c r="AD379" s="440"/>
    </row>
    <row r="380" spans="1:30" s="412" customFormat="1" ht="12.5">
      <c r="A380" s="545">
        <v>14</v>
      </c>
      <c r="B380" s="559" t="s">
        <v>541</v>
      </c>
      <c r="C380" s="559" t="s">
        <v>542</v>
      </c>
      <c r="D380" s="558">
        <v>331</v>
      </c>
      <c r="E380" s="557"/>
      <c r="F380" s="550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S380" s="550"/>
      <c r="T380" s="557"/>
      <c r="U380" s="557"/>
      <c r="V380" s="557"/>
      <c r="W380" s="557"/>
      <c r="X380" s="557"/>
      <c r="Y380" s="557"/>
      <c r="Z380" s="557"/>
      <c r="AA380" s="557"/>
      <c r="AB380" s="557"/>
      <c r="AC380" s="557"/>
      <c r="AD380" s="557"/>
    </row>
    <row r="381" spans="1:30" s="412" customFormat="1" ht="12.5">
      <c r="A381" s="439"/>
      <c r="B381" s="515"/>
      <c r="C381" s="515"/>
      <c r="D381" s="481">
        <v>338</v>
      </c>
      <c r="E381" s="520"/>
      <c r="F381" s="444"/>
      <c r="G381" s="440"/>
      <c r="H381" s="440"/>
      <c r="I381" s="440"/>
      <c r="J381" s="440"/>
      <c r="K381" s="440"/>
      <c r="L381" s="440"/>
      <c r="M381" s="440"/>
      <c r="N381" s="440"/>
      <c r="O381" s="440"/>
      <c r="P381" s="440"/>
      <c r="Q381" s="440"/>
      <c r="S381" s="444"/>
      <c r="T381" s="440"/>
      <c r="U381" s="440"/>
      <c r="V381" s="440"/>
      <c r="W381" s="440"/>
      <c r="X381" s="440"/>
      <c r="Y381" s="440"/>
      <c r="Z381" s="440"/>
      <c r="AA381" s="440"/>
      <c r="AB381" s="440"/>
      <c r="AC381" s="440"/>
      <c r="AD381" s="440"/>
    </row>
    <row r="382" spans="1:30" s="412" customFormat="1" ht="12.5">
      <c r="A382" s="545">
        <v>15</v>
      </c>
      <c r="B382" s="559" t="s">
        <v>543</v>
      </c>
      <c r="C382" s="559" t="s">
        <v>544</v>
      </c>
      <c r="D382" s="558">
        <v>331</v>
      </c>
      <c r="E382" s="557"/>
      <c r="F382" s="550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S382" s="550"/>
      <c r="T382" s="557"/>
      <c r="U382" s="557"/>
      <c r="V382" s="557"/>
      <c r="W382" s="557"/>
      <c r="X382" s="557"/>
      <c r="Y382" s="557"/>
      <c r="Z382" s="557"/>
      <c r="AA382" s="557"/>
      <c r="AB382" s="557"/>
      <c r="AC382" s="557"/>
      <c r="AD382" s="557"/>
    </row>
    <row r="383" spans="1:30" s="412" customFormat="1" ht="12.5">
      <c r="A383" s="439"/>
      <c r="B383" s="515"/>
      <c r="C383" s="515"/>
      <c r="D383" s="481">
        <v>338</v>
      </c>
      <c r="E383" s="520"/>
      <c r="F383" s="444"/>
      <c r="G383" s="440"/>
      <c r="H383" s="440"/>
      <c r="I383" s="440"/>
      <c r="J383" s="440"/>
      <c r="K383" s="440"/>
      <c r="L383" s="440"/>
      <c r="M383" s="440"/>
      <c r="N383" s="440"/>
      <c r="O383" s="440"/>
      <c r="P383" s="440"/>
      <c r="Q383" s="440"/>
      <c r="S383" s="444"/>
      <c r="T383" s="440"/>
      <c r="U383" s="440"/>
      <c r="V383" s="440"/>
      <c r="W383" s="440"/>
      <c r="X383" s="440"/>
      <c r="Y383" s="440"/>
      <c r="Z383" s="440"/>
      <c r="AA383" s="440"/>
      <c r="AB383" s="440"/>
      <c r="AC383" s="440"/>
      <c r="AD383" s="440"/>
    </row>
    <row r="384" spans="1:30" s="412" customFormat="1" ht="12.5">
      <c r="A384" s="545">
        <v>16</v>
      </c>
      <c r="B384" s="559" t="s">
        <v>545</v>
      </c>
      <c r="C384" s="559" t="s">
        <v>546</v>
      </c>
      <c r="D384" s="558">
        <v>331</v>
      </c>
      <c r="E384" s="557"/>
      <c r="F384" s="550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S384" s="550"/>
      <c r="T384" s="557"/>
      <c r="U384" s="557"/>
      <c r="V384" s="557"/>
      <c r="W384" s="557"/>
      <c r="X384" s="557"/>
      <c r="Y384" s="557"/>
      <c r="Z384" s="557"/>
      <c r="AA384" s="557"/>
      <c r="AB384" s="557"/>
      <c r="AC384" s="557"/>
      <c r="AD384" s="557"/>
    </row>
    <row r="385" spans="1:30" s="412" customFormat="1" ht="12.5">
      <c r="A385" s="439"/>
      <c r="B385" s="515"/>
      <c r="C385" s="515"/>
      <c r="D385" s="481">
        <v>338</v>
      </c>
      <c r="E385" s="520"/>
      <c r="F385" s="444"/>
      <c r="G385" s="440"/>
      <c r="H385" s="440"/>
      <c r="I385" s="440"/>
      <c r="J385" s="440"/>
      <c r="K385" s="440"/>
      <c r="L385" s="440"/>
      <c r="M385" s="440"/>
      <c r="N385" s="440"/>
      <c r="O385" s="440"/>
      <c r="P385" s="440"/>
      <c r="Q385" s="440"/>
      <c r="S385" s="444"/>
      <c r="T385" s="440"/>
      <c r="U385" s="440"/>
      <c r="V385" s="440"/>
      <c r="W385" s="440"/>
      <c r="X385" s="440"/>
      <c r="Y385" s="440"/>
      <c r="Z385" s="440"/>
      <c r="AA385" s="440"/>
      <c r="AB385" s="440"/>
      <c r="AC385" s="440"/>
      <c r="AD385" s="440"/>
    </row>
    <row r="386" spans="1:30" s="412" customFormat="1" ht="12.5">
      <c r="A386" s="545">
        <v>17</v>
      </c>
      <c r="B386" s="559" t="s">
        <v>547</v>
      </c>
      <c r="C386" s="559" t="s">
        <v>548</v>
      </c>
      <c r="D386" s="558">
        <v>331</v>
      </c>
      <c r="E386" s="557"/>
      <c r="F386" s="550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S386" s="550"/>
      <c r="T386" s="557"/>
      <c r="U386" s="557"/>
      <c r="V386" s="557"/>
      <c r="W386" s="557"/>
      <c r="X386" s="557"/>
      <c r="Y386" s="557"/>
      <c r="Z386" s="557"/>
      <c r="AA386" s="557"/>
      <c r="AB386" s="557"/>
      <c r="AC386" s="557"/>
      <c r="AD386" s="557"/>
    </row>
    <row r="387" spans="1:30" s="412" customFormat="1" ht="12.5">
      <c r="A387" s="439"/>
      <c r="B387" s="515"/>
      <c r="C387" s="515"/>
      <c r="D387" s="481">
        <v>338</v>
      </c>
      <c r="E387" s="520"/>
      <c r="F387" s="444"/>
      <c r="G387" s="440"/>
      <c r="H387" s="440"/>
      <c r="I387" s="440"/>
      <c r="J387" s="440"/>
      <c r="K387" s="440"/>
      <c r="L387" s="440"/>
      <c r="M387" s="440"/>
      <c r="N387" s="440"/>
      <c r="O387" s="440"/>
      <c r="P387" s="440"/>
      <c r="Q387" s="440"/>
      <c r="S387" s="444"/>
      <c r="T387" s="440"/>
      <c r="U387" s="440"/>
      <c r="V387" s="440"/>
      <c r="W387" s="440"/>
      <c r="X387" s="440"/>
      <c r="Y387" s="440"/>
      <c r="Z387" s="440"/>
      <c r="AA387" s="440"/>
      <c r="AB387" s="440"/>
      <c r="AC387" s="440"/>
      <c r="AD387" s="440"/>
    </row>
    <row r="388" spans="1:30" s="412" customFormat="1" ht="12.5">
      <c r="A388" s="545">
        <v>18</v>
      </c>
      <c r="B388" s="559" t="s">
        <v>549</v>
      </c>
      <c r="C388" s="559" t="s">
        <v>550</v>
      </c>
      <c r="D388" s="558">
        <v>331</v>
      </c>
      <c r="E388" s="557"/>
      <c r="F388" s="550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S388" s="550"/>
      <c r="T388" s="557"/>
      <c r="U388" s="557"/>
      <c r="V388" s="557"/>
      <c r="W388" s="557"/>
      <c r="X388" s="557"/>
      <c r="Y388" s="557"/>
      <c r="Z388" s="557"/>
      <c r="AA388" s="557"/>
      <c r="AB388" s="557"/>
      <c r="AC388" s="557"/>
      <c r="AD388" s="557"/>
    </row>
    <row r="389" spans="1:30" s="412" customFormat="1" ht="12.5">
      <c r="A389" s="439"/>
      <c r="B389" s="515"/>
      <c r="C389" s="515"/>
      <c r="D389" s="481">
        <v>338</v>
      </c>
      <c r="E389" s="520"/>
      <c r="F389" s="444"/>
      <c r="G389" s="440"/>
      <c r="H389" s="440"/>
      <c r="I389" s="440"/>
      <c r="J389" s="440"/>
      <c r="K389" s="440"/>
      <c r="L389" s="440"/>
      <c r="M389" s="440"/>
      <c r="N389" s="440"/>
      <c r="O389" s="440"/>
      <c r="P389" s="440"/>
      <c r="Q389" s="440"/>
      <c r="S389" s="444"/>
      <c r="T389" s="440"/>
      <c r="U389" s="440"/>
      <c r="V389" s="440"/>
      <c r="W389" s="440"/>
      <c r="X389" s="440"/>
      <c r="Y389" s="440"/>
      <c r="Z389" s="440"/>
      <c r="AA389" s="440"/>
      <c r="AB389" s="440"/>
      <c r="AC389" s="440"/>
      <c r="AD389" s="440"/>
    </row>
    <row r="390" spans="1:30" s="412" customFormat="1" ht="12.5">
      <c r="A390" s="545">
        <v>19</v>
      </c>
      <c r="B390" s="546" t="s">
        <v>551</v>
      </c>
      <c r="C390" s="546" t="s">
        <v>552</v>
      </c>
      <c r="D390" s="558">
        <v>331</v>
      </c>
      <c r="E390" s="557"/>
      <c r="F390" s="550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S390" s="550"/>
      <c r="T390" s="557"/>
      <c r="U390" s="557"/>
      <c r="V390" s="557"/>
      <c r="W390" s="557"/>
      <c r="X390" s="557"/>
      <c r="Y390" s="557"/>
      <c r="Z390" s="557"/>
      <c r="AA390" s="557"/>
      <c r="AB390" s="557"/>
      <c r="AC390" s="557"/>
      <c r="AD390" s="557"/>
    </row>
    <row r="391" spans="1:30" s="412" customFormat="1" ht="12.5">
      <c r="A391" s="439"/>
      <c r="B391" s="515"/>
      <c r="C391" s="515"/>
      <c r="D391" s="481">
        <v>338</v>
      </c>
      <c r="E391" s="520"/>
      <c r="F391" s="444"/>
      <c r="G391" s="440"/>
      <c r="H391" s="440"/>
      <c r="I391" s="440"/>
      <c r="J391" s="440"/>
      <c r="K391" s="440"/>
      <c r="L391" s="440"/>
      <c r="M391" s="440"/>
      <c r="N391" s="440"/>
      <c r="O391" s="440"/>
      <c r="P391" s="440"/>
      <c r="Q391" s="440"/>
      <c r="S391" s="444"/>
      <c r="T391" s="440"/>
      <c r="U391" s="440"/>
      <c r="V391" s="440"/>
      <c r="W391" s="440"/>
      <c r="X391" s="440"/>
      <c r="Y391" s="440"/>
      <c r="Z391" s="440"/>
      <c r="AA391" s="440"/>
      <c r="AB391" s="440"/>
      <c r="AC391" s="440"/>
      <c r="AD391" s="440"/>
    </row>
    <row r="392" spans="1:30" s="412" customFormat="1" ht="12.5">
      <c r="A392" s="545">
        <v>20</v>
      </c>
      <c r="B392" s="559" t="s">
        <v>553</v>
      </c>
      <c r="C392" s="559" t="s">
        <v>554</v>
      </c>
      <c r="D392" s="558">
        <v>331</v>
      </c>
      <c r="E392" s="557"/>
      <c r="F392" s="550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S392" s="550"/>
      <c r="T392" s="557"/>
      <c r="U392" s="557"/>
      <c r="V392" s="557"/>
      <c r="W392" s="557"/>
      <c r="X392" s="557"/>
      <c r="Y392" s="557"/>
      <c r="Z392" s="557"/>
      <c r="AA392" s="557"/>
      <c r="AB392" s="557"/>
      <c r="AC392" s="557"/>
      <c r="AD392" s="557"/>
    </row>
    <row r="393" spans="1:30" s="412" customFormat="1" ht="12.5">
      <c r="A393" s="439"/>
      <c r="B393" s="515"/>
      <c r="C393" s="515"/>
      <c r="D393" s="481">
        <v>338</v>
      </c>
      <c r="E393" s="440"/>
      <c r="F393" s="444"/>
      <c r="G393" s="440"/>
      <c r="H393" s="440"/>
      <c r="I393" s="440"/>
      <c r="J393" s="440"/>
      <c r="K393" s="486"/>
      <c r="L393" s="440"/>
      <c r="M393" s="440"/>
      <c r="N393" s="440"/>
      <c r="O393" s="440"/>
      <c r="P393" s="440"/>
      <c r="Q393" s="440"/>
      <c r="S393" s="444"/>
      <c r="T393" s="440"/>
      <c r="U393" s="440"/>
      <c r="V393" s="440"/>
      <c r="W393" s="440"/>
      <c r="X393" s="486"/>
      <c r="Y393" s="440"/>
      <c r="Z393" s="440"/>
      <c r="AA393" s="440"/>
      <c r="AB393" s="440"/>
      <c r="AC393" s="440"/>
      <c r="AD393" s="440"/>
    </row>
    <row r="394" spans="1:30" s="412" customFormat="1" ht="12.5">
      <c r="A394" s="545">
        <v>21</v>
      </c>
      <c r="B394" s="559" t="s">
        <v>555</v>
      </c>
      <c r="C394" s="559" t="s">
        <v>556</v>
      </c>
      <c r="D394" s="558">
        <v>331</v>
      </c>
      <c r="E394" s="557"/>
      <c r="F394" s="550"/>
      <c r="G394" s="557"/>
      <c r="H394" s="557"/>
      <c r="I394" s="557"/>
      <c r="J394" s="557"/>
      <c r="K394" s="551"/>
      <c r="L394" s="557"/>
      <c r="M394" s="557"/>
      <c r="N394" s="557"/>
      <c r="O394" s="557"/>
      <c r="P394" s="557"/>
      <c r="Q394" s="557"/>
      <c r="S394" s="550"/>
      <c r="T394" s="557"/>
      <c r="U394" s="557"/>
      <c r="V394" s="557"/>
      <c r="W394" s="557"/>
      <c r="X394" s="551"/>
      <c r="Y394" s="557"/>
      <c r="Z394" s="557"/>
      <c r="AA394" s="557"/>
      <c r="AB394" s="557"/>
      <c r="AC394" s="557"/>
      <c r="AD394" s="557"/>
    </row>
    <row r="395" spans="1:30" s="412" customFormat="1" ht="12.5">
      <c r="A395" s="439"/>
      <c r="B395" s="515"/>
      <c r="C395" s="515"/>
      <c r="D395" s="481">
        <v>338</v>
      </c>
      <c r="E395" s="440"/>
      <c r="F395" s="444"/>
      <c r="G395" s="440"/>
      <c r="H395" s="440"/>
      <c r="I395" s="440"/>
      <c r="J395" s="440"/>
      <c r="K395" s="486"/>
      <c r="L395" s="440"/>
      <c r="M395" s="440"/>
      <c r="N395" s="440"/>
      <c r="O395" s="440"/>
      <c r="P395" s="440"/>
      <c r="Q395" s="440"/>
      <c r="S395" s="444"/>
      <c r="T395" s="440"/>
      <c r="U395" s="440"/>
      <c r="V395" s="440"/>
      <c r="W395" s="440"/>
      <c r="X395" s="486"/>
      <c r="Y395" s="440"/>
      <c r="Z395" s="440"/>
      <c r="AA395" s="440"/>
      <c r="AB395" s="440"/>
      <c r="AC395" s="440"/>
      <c r="AD395" s="440"/>
    </row>
    <row r="396" spans="1:30" s="412" customFormat="1" ht="12.5">
      <c r="A396" s="423">
        <v>22</v>
      </c>
      <c r="B396" s="424" t="s">
        <v>557</v>
      </c>
      <c r="C396" s="424" t="s">
        <v>558</v>
      </c>
      <c r="D396" s="426">
        <v>331</v>
      </c>
      <c r="E396" s="425"/>
      <c r="F396" s="429"/>
      <c r="G396" s="425"/>
      <c r="H396" s="425"/>
      <c r="I396" s="425"/>
      <c r="J396" s="425"/>
      <c r="K396" s="428"/>
      <c r="L396" s="425"/>
      <c r="M396" s="425"/>
      <c r="N396" s="425"/>
      <c r="O396" s="425"/>
      <c r="P396" s="425"/>
      <c r="Q396" s="425"/>
      <c r="S396" s="429"/>
      <c r="T396" s="425"/>
      <c r="U396" s="425"/>
      <c r="V396" s="425"/>
      <c r="W396" s="425"/>
      <c r="X396" s="428"/>
      <c r="Y396" s="425"/>
      <c r="Z396" s="425"/>
      <c r="AA396" s="425"/>
      <c r="AB396" s="425"/>
      <c r="AC396" s="425"/>
      <c r="AD396" s="425"/>
    </row>
    <row r="397" spans="1:30" s="412" customFormat="1">
      <c r="A397" s="494"/>
      <c r="B397" s="515"/>
      <c r="C397" s="515"/>
      <c r="D397" s="481">
        <v>338</v>
      </c>
      <c r="E397" s="440"/>
      <c r="F397" s="444"/>
      <c r="G397" s="440"/>
      <c r="H397" s="440"/>
      <c r="I397" s="440"/>
      <c r="J397" s="440"/>
      <c r="K397" s="486"/>
      <c r="L397" s="440"/>
      <c r="M397" s="440"/>
      <c r="N397" s="440"/>
      <c r="O397" s="440"/>
      <c r="P397" s="440"/>
      <c r="Q397" s="440"/>
      <c r="S397" s="444"/>
      <c r="T397" s="440"/>
      <c r="U397" s="440"/>
      <c r="V397" s="440"/>
      <c r="W397" s="440"/>
      <c r="X397" s="486"/>
      <c r="Y397" s="440"/>
      <c r="Z397" s="440"/>
      <c r="AA397" s="440"/>
      <c r="AB397" s="440"/>
      <c r="AC397" s="440"/>
      <c r="AD397" s="440"/>
    </row>
    <row r="398" spans="1:30" s="412" customFormat="1">
      <c r="A398" s="553" t="s">
        <v>586</v>
      </c>
      <c r="B398" s="541" t="s">
        <v>612</v>
      </c>
      <c r="C398" s="541"/>
      <c r="D398" s="555"/>
      <c r="E398" s="425"/>
      <c r="F398" s="569" t="s">
        <v>624</v>
      </c>
      <c r="G398" s="569" t="s">
        <v>484</v>
      </c>
      <c r="H398" s="569" t="s">
        <v>485</v>
      </c>
      <c r="I398" s="569" t="s">
        <v>486</v>
      </c>
      <c r="J398" s="569" t="s">
        <v>487</v>
      </c>
      <c r="K398" s="569" t="s">
        <v>488</v>
      </c>
      <c r="L398" s="569" t="s">
        <v>489</v>
      </c>
      <c r="M398" s="569" t="s">
        <v>490</v>
      </c>
      <c r="N398" s="569" t="s">
        <v>491</v>
      </c>
      <c r="O398" s="569" t="s">
        <v>492</v>
      </c>
      <c r="P398" s="569" t="s">
        <v>493</v>
      </c>
      <c r="Q398" s="569" t="s">
        <v>494</v>
      </c>
      <c r="S398" s="569" t="s">
        <v>483</v>
      </c>
      <c r="T398" s="569" t="s">
        <v>484</v>
      </c>
      <c r="U398" s="569" t="s">
        <v>485</v>
      </c>
      <c r="V398" s="569" t="s">
        <v>486</v>
      </c>
      <c r="W398" s="569" t="s">
        <v>487</v>
      </c>
      <c r="X398" s="569" t="s">
        <v>488</v>
      </c>
      <c r="Y398" s="569" t="s">
        <v>489</v>
      </c>
      <c r="Z398" s="569" t="s">
        <v>490</v>
      </c>
      <c r="AA398" s="569" t="s">
        <v>491</v>
      </c>
      <c r="AB398" s="569" t="s">
        <v>492</v>
      </c>
      <c r="AC398" s="569" t="s">
        <v>493</v>
      </c>
      <c r="AD398" s="569" t="s">
        <v>494</v>
      </c>
    </row>
    <row r="399" spans="1:30" s="412" customFormat="1" ht="12.5">
      <c r="A399" s="545">
        <v>1</v>
      </c>
      <c r="B399" s="557" t="s">
        <v>498</v>
      </c>
      <c r="C399" s="557" t="s">
        <v>499</v>
      </c>
      <c r="D399" s="558">
        <v>331</v>
      </c>
      <c r="E399" s="557"/>
      <c r="F399" s="550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S399" s="550"/>
      <c r="T399" s="557"/>
      <c r="U399" s="557"/>
      <c r="V399" s="557"/>
      <c r="W399" s="557"/>
      <c r="X399" s="557"/>
      <c r="Y399" s="557"/>
      <c r="Z399" s="557"/>
      <c r="AA399" s="557"/>
      <c r="AB399" s="557"/>
      <c r="AC399" s="557"/>
      <c r="AD399" s="557"/>
    </row>
    <row r="400" spans="1:30" s="412" customFormat="1" ht="12.5">
      <c r="A400" s="448">
        <v>2</v>
      </c>
      <c r="B400" s="431" t="s">
        <v>508</v>
      </c>
      <c r="C400" s="431" t="s">
        <v>509</v>
      </c>
      <c r="D400" s="435">
        <v>331</v>
      </c>
      <c r="E400" s="431"/>
      <c r="F400" s="464"/>
      <c r="G400" s="431"/>
      <c r="H400" s="431"/>
      <c r="I400" s="431"/>
      <c r="J400" s="431"/>
      <c r="K400" s="431"/>
      <c r="L400" s="431"/>
      <c r="M400" s="431"/>
      <c r="N400" s="431"/>
      <c r="O400" s="431"/>
      <c r="P400" s="431"/>
      <c r="Q400" s="431"/>
      <c r="S400" s="464"/>
      <c r="T400" s="431"/>
      <c r="U400" s="431"/>
      <c r="V400" s="431"/>
      <c r="W400" s="431"/>
      <c r="X400" s="431"/>
      <c r="Y400" s="431"/>
      <c r="Z400" s="431"/>
      <c r="AA400" s="431"/>
      <c r="AB400" s="431"/>
      <c r="AC400" s="431"/>
      <c r="AD400" s="431"/>
    </row>
    <row r="401" spans="1:30" s="412" customFormat="1" ht="12.5">
      <c r="A401" s="448">
        <v>3</v>
      </c>
      <c r="B401" s="457" t="s">
        <v>514</v>
      </c>
      <c r="C401" s="457" t="s">
        <v>515</v>
      </c>
      <c r="D401" s="435">
        <v>331</v>
      </c>
      <c r="E401" s="431"/>
      <c r="F401" s="464"/>
      <c r="G401" s="431"/>
      <c r="H401" s="431"/>
      <c r="I401" s="431"/>
      <c r="J401" s="431"/>
      <c r="K401" s="431"/>
      <c r="L401" s="431"/>
      <c r="M401" s="431"/>
      <c r="N401" s="431"/>
      <c r="O401" s="431"/>
      <c r="P401" s="431"/>
      <c r="Q401" s="431"/>
      <c r="S401" s="464"/>
      <c r="T401" s="431"/>
      <c r="U401" s="431"/>
      <c r="V401" s="431"/>
      <c r="W401" s="431"/>
      <c r="X401" s="431"/>
      <c r="Y401" s="431"/>
      <c r="Z401" s="431"/>
      <c r="AA401" s="431"/>
      <c r="AB401" s="431"/>
      <c r="AC401" s="431"/>
      <c r="AD401" s="431"/>
    </row>
    <row r="402" spans="1:30" s="412" customFormat="1" ht="12.5">
      <c r="A402" s="448">
        <v>4</v>
      </c>
      <c r="B402" s="457" t="s">
        <v>517</v>
      </c>
      <c r="C402" s="457" t="s">
        <v>518</v>
      </c>
      <c r="D402" s="435">
        <v>331</v>
      </c>
      <c r="E402" s="431"/>
      <c r="F402" s="464"/>
      <c r="G402" s="431"/>
      <c r="H402" s="431"/>
      <c r="I402" s="431"/>
      <c r="J402" s="431"/>
      <c r="K402" s="431"/>
      <c r="L402" s="464"/>
      <c r="M402" s="431"/>
      <c r="N402" s="431"/>
      <c r="O402" s="431"/>
      <c r="P402" s="431"/>
      <c r="Q402" s="431"/>
      <c r="S402" s="464"/>
      <c r="T402" s="431"/>
      <c r="U402" s="431"/>
      <c r="V402" s="431"/>
      <c r="W402" s="431"/>
      <c r="X402" s="431"/>
      <c r="Y402" s="464"/>
      <c r="Z402" s="431"/>
      <c r="AA402" s="431"/>
      <c r="AB402" s="431"/>
      <c r="AC402" s="431"/>
      <c r="AD402" s="431"/>
    </row>
    <row r="403" spans="1:30" s="412" customFormat="1" ht="12.5">
      <c r="A403" s="430">
        <v>5</v>
      </c>
      <c r="B403" s="457" t="s">
        <v>519</v>
      </c>
      <c r="C403" s="457" t="s">
        <v>520</v>
      </c>
      <c r="D403" s="435">
        <v>331</v>
      </c>
      <c r="E403" s="431"/>
      <c r="F403" s="464"/>
      <c r="G403" s="431"/>
      <c r="H403" s="431"/>
      <c r="I403" s="431"/>
      <c r="J403" s="431"/>
      <c r="K403" s="431"/>
      <c r="L403" s="431"/>
      <c r="M403" s="431"/>
      <c r="N403" s="431"/>
      <c r="O403" s="431"/>
      <c r="P403" s="431"/>
      <c r="Q403" s="431"/>
      <c r="S403" s="464"/>
      <c r="T403" s="431"/>
      <c r="U403" s="431"/>
      <c r="V403" s="431"/>
      <c r="W403" s="431"/>
      <c r="X403" s="431"/>
      <c r="Y403" s="431"/>
      <c r="Z403" s="431"/>
      <c r="AA403" s="431"/>
      <c r="AB403" s="431"/>
      <c r="AC403" s="431"/>
      <c r="AD403" s="431"/>
    </row>
    <row r="404" spans="1:30" s="412" customFormat="1" ht="12.5">
      <c r="A404" s="448">
        <v>6</v>
      </c>
      <c r="B404" s="457" t="s">
        <v>522</v>
      </c>
      <c r="C404" s="457" t="s">
        <v>523</v>
      </c>
      <c r="D404" s="435">
        <v>331</v>
      </c>
      <c r="E404" s="431"/>
      <c r="F404" s="464"/>
      <c r="G404" s="431"/>
      <c r="H404" s="431"/>
      <c r="I404" s="431"/>
      <c r="J404" s="431"/>
      <c r="K404" s="431"/>
      <c r="L404" s="431"/>
      <c r="M404" s="431"/>
      <c r="N404" s="431"/>
      <c r="O404" s="431"/>
      <c r="P404" s="431"/>
      <c r="Q404" s="431"/>
      <c r="S404" s="464"/>
      <c r="T404" s="431"/>
      <c r="U404" s="431"/>
      <c r="V404" s="431"/>
      <c r="W404" s="431"/>
      <c r="X404" s="431"/>
      <c r="Y404" s="431"/>
      <c r="Z404" s="431"/>
      <c r="AA404" s="431"/>
      <c r="AB404" s="431"/>
      <c r="AC404" s="431"/>
      <c r="AD404" s="431"/>
    </row>
    <row r="405" spans="1:30" s="412" customFormat="1" ht="12.5">
      <c r="A405" s="448">
        <v>7</v>
      </c>
      <c r="B405" s="461" t="s">
        <v>526</v>
      </c>
      <c r="C405" s="461" t="s">
        <v>527</v>
      </c>
      <c r="D405" s="435">
        <v>331</v>
      </c>
      <c r="E405" s="431"/>
      <c r="F405" s="464"/>
      <c r="G405" s="431"/>
      <c r="H405" s="431"/>
      <c r="I405" s="431"/>
      <c r="J405" s="431"/>
      <c r="K405" s="431"/>
      <c r="L405" s="431"/>
      <c r="M405" s="431"/>
      <c r="N405" s="431"/>
      <c r="O405" s="431"/>
      <c r="P405" s="431"/>
      <c r="Q405" s="431"/>
      <c r="S405" s="464"/>
      <c r="T405" s="431"/>
      <c r="U405" s="431"/>
      <c r="V405" s="431"/>
      <c r="W405" s="431"/>
      <c r="X405" s="431"/>
      <c r="Y405" s="431"/>
      <c r="Z405" s="431"/>
      <c r="AA405" s="431"/>
      <c r="AB405" s="431"/>
      <c r="AC405" s="431"/>
      <c r="AD405" s="431"/>
    </row>
    <row r="406" spans="1:30" s="412" customFormat="1" ht="12.5">
      <c r="A406" s="448">
        <v>8</v>
      </c>
      <c r="B406" s="457" t="s">
        <v>528</v>
      </c>
      <c r="C406" s="457" t="s">
        <v>529</v>
      </c>
      <c r="D406" s="435">
        <v>331</v>
      </c>
      <c r="E406" s="431"/>
      <c r="F406" s="464"/>
      <c r="G406" s="431"/>
      <c r="H406" s="431"/>
      <c r="I406" s="431"/>
      <c r="J406" s="431"/>
      <c r="K406" s="431"/>
      <c r="L406" s="431"/>
      <c r="M406" s="431"/>
      <c r="N406" s="431"/>
      <c r="O406" s="431"/>
      <c r="P406" s="431"/>
      <c r="Q406" s="431"/>
      <c r="S406" s="464"/>
      <c r="T406" s="431"/>
      <c r="U406" s="431"/>
      <c r="V406" s="431"/>
      <c r="W406" s="431"/>
      <c r="X406" s="431"/>
      <c r="Y406" s="431"/>
      <c r="Z406" s="431"/>
      <c r="AA406" s="431"/>
      <c r="AB406" s="431"/>
      <c r="AC406" s="431"/>
      <c r="AD406" s="431"/>
    </row>
    <row r="407" spans="1:30" s="412" customFormat="1" ht="12.5">
      <c r="A407" s="448">
        <v>9</v>
      </c>
      <c r="B407" s="457" t="s">
        <v>531</v>
      </c>
      <c r="C407" s="457" t="s">
        <v>532</v>
      </c>
      <c r="D407" s="435">
        <v>331</v>
      </c>
      <c r="E407" s="431"/>
      <c r="F407" s="464"/>
      <c r="G407" s="431"/>
      <c r="H407" s="431"/>
      <c r="I407" s="431"/>
      <c r="J407" s="431"/>
      <c r="K407" s="431"/>
      <c r="L407" s="431"/>
      <c r="M407" s="431"/>
      <c r="N407" s="431"/>
      <c r="O407" s="431"/>
      <c r="P407" s="431"/>
      <c r="Q407" s="431"/>
      <c r="S407" s="464"/>
      <c r="T407" s="431"/>
      <c r="U407" s="431"/>
      <c r="V407" s="431"/>
      <c r="W407" s="431"/>
      <c r="X407" s="431"/>
      <c r="Y407" s="431"/>
      <c r="Z407" s="431"/>
      <c r="AA407" s="431"/>
      <c r="AB407" s="431"/>
      <c r="AC407" s="431"/>
      <c r="AD407" s="431"/>
    </row>
    <row r="408" spans="1:30" s="412" customFormat="1" ht="12.5">
      <c r="A408" s="448">
        <v>10</v>
      </c>
      <c r="B408" s="431" t="s">
        <v>533</v>
      </c>
      <c r="C408" s="431" t="s">
        <v>534</v>
      </c>
      <c r="D408" s="435">
        <v>331</v>
      </c>
      <c r="E408" s="431"/>
      <c r="F408" s="464"/>
      <c r="G408" s="431"/>
      <c r="H408" s="431"/>
      <c r="I408" s="431"/>
      <c r="J408" s="431"/>
      <c r="K408" s="431"/>
      <c r="L408" s="431"/>
      <c r="M408" s="431"/>
      <c r="N408" s="431"/>
      <c r="O408" s="431"/>
      <c r="P408" s="431"/>
      <c r="Q408" s="431"/>
      <c r="S408" s="464"/>
      <c r="T408" s="431"/>
      <c r="U408" s="431"/>
      <c r="V408" s="431"/>
      <c r="W408" s="431"/>
      <c r="X408" s="431"/>
      <c r="Y408" s="431"/>
      <c r="Z408" s="431"/>
      <c r="AA408" s="431"/>
      <c r="AB408" s="431"/>
      <c r="AC408" s="431"/>
      <c r="AD408" s="431"/>
    </row>
    <row r="409" spans="1:30" s="412" customFormat="1" ht="12.5">
      <c r="A409" s="448">
        <v>11</v>
      </c>
      <c r="B409" s="457" t="s">
        <v>535</v>
      </c>
      <c r="C409" s="457" t="s">
        <v>536</v>
      </c>
      <c r="D409" s="435">
        <v>331</v>
      </c>
      <c r="E409" s="431"/>
      <c r="F409" s="464"/>
      <c r="G409" s="431"/>
      <c r="H409" s="431"/>
      <c r="I409" s="431"/>
      <c r="J409" s="431"/>
      <c r="K409" s="431"/>
      <c r="L409" s="431"/>
      <c r="M409" s="575">
        <v>384000000</v>
      </c>
      <c r="N409" s="575">
        <v>384000000</v>
      </c>
      <c r="O409" s="575">
        <v>384000000</v>
      </c>
      <c r="P409" s="431"/>
      <c r="Q409" s="431"/>
      <c r="S409" s="464"/>
      <c r="T409" s="431"/>
      <c r="U409" s="446">
        <v>246400000</v>
      </c>
      <c r="V409" s="431"/>
      <c r="W409" s="431"/>
      <c r="X409" s="431"/>
      <c r="Y409" s="431"/>
      <c r="Z409" s="431"/>
      <c r="AA409" s="431"/>
      <c r="AB409" s="431"/>
      <c r="AC409" s="431"/>
      <c r="AD409" s="431"/>
    </row>
    <row r="410" spans="1:30" s="412" customFormat="1" ht="12.5">
      <c r="A410" s="448">
        <v>12</v>
      </c>
      <c r="B410" s="457" t="s">
        <v>537</v>
      </c>
      <c r="C410" s="457" t="s">
        <v>538</v>
      </c>
      <c r="D410" s="435">
        <v>331</v>
      </c>
      <c r="E410" s="431"/>
      <c r="F410" s="464"/>
      <c r="G410" s="431"/>
      <c r="H410" s="431"/>
      <c r="I410" s="431"/>
      <c r="J410" s="431"/>
      <c r="K410" s="431"/>
      <c r="L410" s="431"/>
      <c r="M410" s="431"/>
      <c r="N410" s="431"/>
      <c r="O410" s="431"/>
      <c r="P410" s="431"/>
      <c r="Q410" s="431"/>
      <c r="S410" s="464"/>
      <c r="T410" s="431"/>
      <c r="U410" s="431"/>
      <c r="V410" s="431"/>
      <c r="W410" s="431"/>
      <c r="X410" s="431"/>
      <c r="Y410" s="431"/>
      <c r="Z410" s="431"/>
      <c r="AA410" s="431"/>
      <c r="AB410" s="431"/>
      <c r="AC410" s="431"/>
      <c r="AD410" s="431"/>
    </row>
    <row r="411" spans="1:30" s="412" customFormat="1" ht="12.5">
      <c r="A411" s="448">
        <v>13</v>
      </c>
      <c r="B411" s="431" t="s">
        <v>539</v>
      </c>
      <c r="C411" s="431" t="s">
        <v>540</v>
      </c>
      <c r="D411" s="435">
        <v>331</v>
      </c>
      <c r="E411" s="431"/>
      <c r="F411" s="504"/>
      <c r="G411" s="431"/>
      <c r="H411" s="431"/>
      <c r="I411" s="431"/>
      <c r="J411" s="431"/>
      <c r="K411" s="431"/>
      <c r="L411" s="431"/>
      <c r="M411" s="431"/>
      <c r="N411" s="431"/>
      <c r="O411" s="431"/>
      <c r="P411" s="431"/>
      <c r="Q411" s="431"/>
      <c r="S411" s="504"/>
      <c r="T411" s="431"/>
      <c r="U411" s="431"/>
      <c r="V411" s="431"/>
      <c r="W411" s="431"/>
      <c r="X411" s="431"/>
      <c r="Y411" s="431"/>
      <c r="Z411" s="431"/>
      <c r="AA411" s="431"/>
      <c r="AB411" s="431"/>
      <c r="AC411" s="431"/>
      <c r="AD411" s="431"/>
    </row>
    <row r="412" spans="1:30" s="412" customFormat="1" ht="12.5">
      <c r="A412" s="448">
        <v>14</v>
      </c>
      <c r="B412" s="431" t="s">
        <v>541</v>
      </c>
      <c r="C412" s="431" t="s">
        <v>542</v>
      </c>
      <c r="D412" s="435">
        <v>331</v>
      </c>
      <c r="E412" s="431"/>
      <c r="F412" s="504"/>
      <c r="G412" s="431"/>
      <c r="H412" s="431"/>
      <c r="I412" s="431"/>
      <c r="J412" s="431"/>
      <c r="K412" s="431"/>
      <c r="L412" s="431"/>
      <c r="M412" s="431"/>
      <c r="N412" s="431"/>
      <c r="O412" s="431"/>
      <c r="P412" s="431"/>
      <c r="Q412" s="431"/>
      <c r="S412" s="504"/>
      <c r="T412" s="431"/>
      <c r="U412" s="431"/>
      <c r="V412" s="431"/>
      <c r="W412" s="431"/>
      <c r="X412" s="431"/>
      <c r="Y412" s="431"/>
      <c r="Z412" s="431"/>
      <c r="AA412" s="431"/>
      <c r="AB412" s="431"/>
      <c r="AC412" s="431"/>
      <c r="AD412" s="431"/>
    </row>
    <row r="413" spans="1:30" s="412" customFormat="1" ht="12.5">
      <c r="A413" s="448">
        <v>15</v>
      </c>
      <c r="B413" s="431" t="s">
        <v>543</v>
      </c>
      <c r="C413" s="431" t="s">
        <v>544</v>
      </c>
      <c r="D413" s="435">
        <v>331</v>
      </c>
      <c r="E413" s="431"/>
      <c r="F413" s="504"/>
      <c r="G413" s="431"/>
      <c r="H413" s="431"/>
      <c r="I413" s="431"/>
      <c r="J413" s="431"/>
      <c r="K413" s="431"/>
      <c r="L413" s="431"/>
      <c r="M413" s="431"/>
      <c r="N413" s="431"/>
      <c r="O413" s="431"/>
      <c r="P413" s="431"/>
      <c r="Q413" s="431"/>
      <c r="S413" s="504"/>
      <c r="T413" s="431"/>
      <c r="U413" s="431"/>
      <c r="V413" s="431"/>
      <c r="W413" s="431"/>
      <c r="X413" s="431"/>
      <c r="Y413" s="431"/>
      <c r="Z413" s="431"/>
      <c r="AA413" s="431"/>
      <c r="AB413" s="431"/>
      <c r="AC413" s="431"/>
      <c r="AD413" s="431"/>
    </row>
    <row r="414" spans="1:30" s="412" customFormat="1" ht="12.5">
      <c r="A414" s="448">
        <v>16</v>
      </c>
      <c r="B414" s="431" t="s">
        <v>545</v>
      </c>
      <c r="C414" s="431" t="s">
        <v>546</v>
      </c>
      <c r="D414" s="435">
        <v>331</v>
      </c>
      <c r="E414" s="431"/>
      <c r="F414" s="504"/>
      <c r="G414" s="431"/>
      <c r="H414" s="431"/>
      <c r="I414" s="431"/>
      <c r="J414" s="431"/>
      <c r="K414" s="431"/>
      <c r="L414" s="431"/>
      <c r="M414" s="431"/>
      <c r="N414" s="431"/>
      <c r="O414" s="431"/>
      <c r="P414" s="431"/>
      <c r="Q414" s="431"/>
      <c r="S414" s="504"/>
      <c r="T414" s="431"/>
      <c r="U414" s="431"/>
      <c r="V414" s="431"/>
      <c r="W414" s="431"/>
      <c r="X414" s="431"/>
      <c r="Y414" s="431"/>
      <c r="Z414" s="431"/>
      <c r="AA414" s="431"/>
      <c r="AB414" s="431"/>
      <c r="AC414" s="431"/>
      <c r="AD414" s="431"/>
    </row>
    <row r="415" spans="1:30" s="412" customFormat="1" ht="12.5">
      <c r="A415" s="448">
        <v>17</v>
      </c>
      <c r="B415" s="431" t="s">
        <v>547</v>
      </c>
      <c r="C415" s="431" t="s">
        <v>548</v>
      </c>
      <c r="D415" s="435">
        <v>331</v>
      </c>
      <c r="E415" s="431"/>
      <c r="F415" s="504"/>
      <c r="G415" s="431"/>
      <c r="H415" s="431"/>
      <c r="I415" s="431"/>
      <c r="J415" s="431"/>
      <c r="K415" s="431"/>
      <c r="L415" s="431"/>
      <c r="M415" s="431"/>
      <c r="N415" s="431"/>
      <c r="O415" s="431"/>
      <c r="P415" s="431"/>
      <c r="Q415" s="431"/>
      <c r="S415" s="504"/>
      <c r="T415" s="431"/>
      <c r="U415" s="431"/>
      <c r="V415" s="431"/>
      <c r="W415" s="431"/>
      <c r="X415" s="431"/>
      <c r="Y415" s="431"/>
      <c r="Z415" s="431"/>
      <c r="AA415" s="431"/>
      <c r="AB415" s="431"/>
      <c r="AC415" s="431"/>
      <c r="AD415" s="431"/>
    </row>
    <row r="416" spans="1:30" s="412" customFormat="1" ht="12.5">
      <c r="A416" s="448">
        <v>18</v>
      </c>
      <c r="B416" s="431" t="s">
        <v>549</v>
      </c>
      <c r="C416" s="431" t="s">
        <v>550</v>
      </c>
      <c r="D416" s="435">
        <v>331</v>
      </c>
      <c r="E416" s="431"/>
      <c r="F416" s="504"/>
      <c r="G416" s="431"/>
      <c r="H416" s="431"/>
      <c r="I416" s="431"/>
      <c r="J416" s="431"/>
      <c r="K416" s="431"/>
      <c r="L416" s="431"/>
      <c r="M416" s="431"/>
      <c r="N416" s="431"/>
      <c r="O416" s="431"/>
      <c r="P416" s="431"/>
      <c r="Q416" s="431"/>
      <c r="S416" s="504"/>
      <c r="T416" s="431"/>
      <c r="U416" s="431"/>
      <c r="V416" s="431"/>
      <c r="W416" s="431"/>
      <c r="X416" s="431"/>
      <c r="Y416" s="431"/>
      <c r="Z416" s="431"/>
      <c r="AA416" s="431"/>
      <c r="AB416" s="431"/>
      <c r="AC416" s="431"/>
      <c r="AD416" s="431"/>
    </row>
    <row r="417" spans="1:30" s="412" customFormat="1" ht="12.5">
      <c r="A417" s="448">
        <v>19</v>
      </c>
      <c r="B417" s="461" t="s">
        <v>551</v>
      </c>
      <c r="C417" s="461" t="s">
        <v>552</v>
      </c>
      <c r="D417" s="435">
        <v>331</v>
      </c>
      <c r="E417" s="431"/>
      <c r="F417" s="504"/>
      <c r="G417" s="431"/>
      <c r="H417" s="431"/>
      <c r="I417" s="431"/>
      <c r="J417" s="431"/>
      <c r="K417" s="431"/>
      <c r="L417" s="431"/>
      <c r="M417" s="431"/>
      <c r="N417" s="431"/>
      <c r="O417" s="431"/>
      <c r="P417" s="431"/>
      <c r="Q417" s="431"/>
      <c r="S417" s="504"/>
      <c r="T417" s="431"/>
      <c r="U417" s="431"/>
      <c r="V417" s="431"/>
      <c r="W417" s="431"/>
      <c r="X417" s="431"/>
      <c r="Y417" s="431"/>
      <c r="Z417" s="431"/>
      <c r="AA417" s="431"/>
      <c r="AB417" s="431"/>
      <c r="AC417" s="431"/>
      <c r="AD417" s="431"/>
    </row>
    <row r="418" spans="1:30" s="412" customFormat="1" ht="12.5">
      <c r="A418" s="448">
        <v>20</v>
      </c>
      <c r="B418" s="431" t="s">
        <v>553</v>
      </c>
      <c r="C418" s="431" t="s">
        <v>554</v>
      </c>
      <c r="D418" s="435">
        <v>331</v>
      </c>
      <c r="E418" s="431"/>
      <c r="F418" s="504"/>
      <c r="G418" s="431"/>
      <c r="H418" s="431"/>
      <c r="I418" s="431"/>
      <c r="J418" s="431"/>
      <c r="K418" s="431"/>
      <c r="L418" s="431"/>
      <c r="M418" s="431"/>
      <c r="N418" s="431"/>
      <c r="O418" s="431"/>
      <c r="P418" s="431"/>
      <c r="Q418" s="431"/>
      <c r="S418" s="504"/>
      <c r="T418" s="431"/>
      <c r="U418" s="431"/>
      <c r="V418" s="431"/>
      <c r="W418" s="431"/>
      <c r="X418" s="431"/>
      <c r="Y418" s="431"/>
      <c r="Z418" s="431"/>
      <c r="AA418" s="431"/>
      <c r="AB418" s="431"/>
      <c r="AC418" s="431"/>
      <c r="AD418" s="431"/>
    </row>
    <row r="419" spans="1:30" s="412" customFormat="1" ht="12.5">
      <c r="A419" s="448">
        <v>21</v>
      </c>
      <c r="B419" s="431" t="s">
        <v>555</v>
      </c>
      <c r="C419" s="431" t="s">
        <v>556</v>
      </c>
      <c r="D419" s="435">
        <v>331</v>
      </c>
      <c r="E419" s="431"/>
      <c r="F419" s="504"/>
      <c r="G419" s="431"/>
      <c r="H419" s="431"/>
      <c r="I419" s="431"/>
      <c r="J419" s="431"/>
      <c r="K419" s="431"/>
      <c r="L419" s="431"/>
      <c r="M419" s="431"/>
      <c r="N419" s="431"/>
      <c r="O419" s="431"/>
      <c r="P419" s="431"/>
      <c r="Q419" s="431"/>
      <c r="S419" s="504"/>
      <c r="T419" s="431"/>
      <c r="U419" s="431"/>
      <c r="V419" s="431"/>
      <c r="W419" s="431"/>
      <c r="X419" s="431"/>
      <c r="Y419" s="431"/>
      <c r="Z419" s="431"/>
      <c r="AA419" s="431"/>
      <c r="AB419" s="431"/>
      <c r="AC419" s="431"/>
      <c r="AD419" s="431"/>
    </row>
    <row r="420" spans="1:30" s="412" customFormat="1" ht="12.5">
      <c r="A420" s="448">
        <v>22</v>
      </c>
      <c r="B420" s="431" t="s">
        <v>557</v>
      </c>
      <c r="C420" s="431" t="s">
        <v>558</v>
      </c>
      <c r="D420" s="435">
        <v>331</v>
      </c>
      <c r="E420" s="431"/>
      <c r="F420" s="504"/>
      <c r="G420" s="431"/>
      <c r="H420" s="431"/>
      <c r="I420" s="431"/>
      <c r="J420" s="431"/>
      <c r="K420" s="431"/>
      <c r="L420" s="431"/>
      <c r="M420" s="431"/>
      <c r="N420" s="431"/>
      <c r="O420" s="431"/>
      <c r="P420" s="431"/>
      <c r="Q420" s="431"/>
      <c r="S420" s="504"/>
      <c r="T420" s="431"/>
      <c r="U420" s="431"/>
      <c r="V420" s="431"/>
      <c r="W420" s="431"/>
      <c r="X420" s="431"/>
      <c r="Y420" s="431"/>
      <c r="Z420" s="431"/>
      <c r="AA420" s="431"/>
      <c r="AB420" s="431"/>
      <c r="AC420" s="431"/>
      <c r="AD420" s="431"/>
    </row>
    <row r="421" spans="1:30" s="412" customFormat="1">
      <c r="A421" s="494"/>
      <c r="B421" s="440"/>
      <c r="C421" s="440"/>
      <c r="D421" s="440"/>
      <c r="E421" s="440"/>
      <c r="F421" s="444"/>
      <c r="G421" s="440"/>
      <c r="H421" s="440"/>
      <c r="I421" s="440"/>
      <c r="J421" s="440"/>
      <c r="K421" s="440"/>
      <c r="L421" s="440"/>
      <c r="M421" s="440"/>
      <c r="N421" s="440"/>
      <c r="O421" s="440"/>
      <c r="P421" s="440"/>
      <c r="Q421" s="440"/>
      <c r="S421" s="444"/>
      <c r="T421" s="440"/>
      <c r="U421" s="440"/>
      <c r="V421" s="440"/>
      <c r="W421" s="440"/>
      <c r="X421" s="440"/>
      <c r="Y421" s="440"/>
      <c r="Z421" s="440"/>
      <c r="AA421" s="440"/>
      <c r="AB421" s="440"/>
      <c r="AC421" s="440"/>
      <c r="AD421" s="440"/>
    </row>
    <row r="422" spans="1:30" s="412" customFormat="1">
      <c r="A422" s="553" t="s">
        <v>613</v>
      </c>
      <c r="B422" s="541" t="s">
        <v>614</v>
      </c>
      <c r="C422" s="541"/>
      <c r="D422" s="555"/>
      <c r="E422" s="555"/>
      <c r="F422" s="569" t="s">
        <v>624</v>
      </c>
      <c r="G422" s="569" t="s">
        <v>484</v>
      </c>
      <c r="H422" s="569" t="s">
        <v>485</v>
      </c>
      <c r="I422" s="569" t="s">
        <v>486</v>
      </c>
      <c r="J422" s="569" t="s">
        <v>487</v>
      </c>
      <c r="K422" s="569" t="s">
        <v>488</v>
      </c>
      <c r="L422" s="569" t="s">
        <v>489</v>
      </c>
      <c r="M422" s="569" t="s">
        <v>490</v>
      </c>
      <c r="N422" s="569" t="s">
        <v>491</v>
      </c>
      <c r="O422" s="569" t="s">
        <v>492</v>
      </c>
      <c r="P422" s="569" t="s">
        <v>493</v>
      </c>
      <c r="Q422" s="569" t="s">
        <v>494</v>
      </c>
      <c r="S422" s="569" t="s">
        <v>483</v>
      </c>
      <c r="T422" s="569" t="s">
        <v>484</v>
      </c>
      <c r="U422" s="569" t="s">
        <v>485</v>
      </c>
      <c r="V422" s="569" t="s">
        <v>486</v>
      </c>
      <c r="W422" s="569" t="s">
        <v>487</v>
      </c>
      <c r="X422" s="569" t="s">
        <v>488</v>
      </c>
      <c r="Y422" s="569" t="s">
        <v>489</v>
      </c>
      <c r="Z422" s="569" t="s">
        <v>490</v>
      </c>
      <c r="AA422" s="569" t="s">
        <v>491</v>
      </c>
      <c r="AB422" s="569" t="s">
        <v>492</v>
      </c>
      <c r="AC422" s="569" t="s">
        <v>493</v>
      </c>
      <c r="AD422" s="569" t="s">
        <v>494</v>
      </c>
    </row>
    <row r="423" spans="1:30" s="412" customFormat="1">
      <c r="A423" s="488"/>
      <c r="B423" s="522" t="s">
        <v>615</v>
      </c>
      <c r="C423" s="522"/>
      <c r="D423" s="523"/>
      <c r="E423" s="431"/>
      <c r="F423" s="549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S423" s="549"/>
      <c r="T423" s="557"/>
      <c r="U423" s="557"/>
      <c r="V423" s="557"/>
      <c r="W423" s="557"/>
      <c r="X423" s="557"/>
      <c r="Y423" s="557"/>
      <c r="Z423" s="557"/>
      <c r="AA423" s="557"/>
      <c r="AB423" s="557"/>
      <c r="AC423" s="557"/>
      <c r="AD423" s="557"/>
    </row>
    <row r="424" spans="1:30" s="412" customFormat="1" ht="12.5">
      <c r="A424" s="448">
        <v>1</v>
      </c>
      <c r="B424" s="519" t="s">
        <v>498</v>
      </c>
      <c r="C424" s="519" t="s">
        <v>499</v>
      </c>
      <c r="D424" s="435">
        <v>128</v>
      </c>
      <c r="E424" s="431"/>
      <c r="F424" s="464"/>
      <c r="G424" s="431"/>
      <c r="H424" s="431"/>
      <c r="I424" s="431"/>
      <c r="J424" s="431"/>
      <c r="K424" s="431"/>
      <c r="L424" s="431"/>
      <c r="M424" s="431"/>
      <c r="N424" s="431"/>
      <c r="O424" s="431"/>
      <c r="P424" s="431"/>
      <c r="Q424" s="431"/>
      <c r="S424" s="464"/>
      <c r="T424" s="431"/>
      <c r="U424" s="431"/>
      <c r="V424" s="431"/>
      <c r="W424" s="431"/>
      <c r="X424" s="431"/>
      <c r="Y424" s="431"/>
      <c r="Z424" s="431"/>
      <c r="AA424" s="431"/>
      <c r="AB424" s="431"/>
      <c r="AC424" s="431"/>
      <c r="AD424" s="431"/>
    </row>
    <row r="425" spans="1:30" s="412" customFormat="1" ht="12.5">
      <c r="A425" s="448">
        <v>2</v>
      </c>
      <c r="B425" s="457" t="s">
        <v>508</v>
      </c>
      <c r="C425" s="457" t="s">
        <v>509</v>
      </c>
      <c r="D425" s="435">
        <v>128</v>
      </c>
      <c r="E425" s="431"/>
      <c r="F425" s="464"/>
      <c r="G425" s="431"/>
      <c r="H425" s="431"/>
      <c r="I425" s="431"/>
      <c r="J425" s="431"/>
      <c r="K425" s="431"/>
      <c r="L425" s="431"/>
      <c r="M425" s="431"/>
      <c r="N425" s="431"/>
      <c r="O425" s="431"/>
      <c r="P425" s="431"/>
      <c r="Q425" s="431"/>
      <c r="S425" s="464"/>
      <c r="T425" s="431"/>
      <c r="U425" s="431"/>
      <c r="V425" s="431"/>
      <c r="W425" s="431"/>
      <c r="X425" s="431"/>
      <c r="Y425" s="431"/>
      <c r="Z425" s="431"/>
      <c r="AA425" s="431"/>
      <c r="AB425" s="431"/>
      <c r="AC425" s="431"/>
      <c r="AD425" s="431"/>
    </row>
    <row r="426" spans="1:30" s="412" customFormat="1" ht="12.5">
      <c r="A426" s="448">
        <v>3</v>
      </c>
      <c r="B426" s="519" t="s">
        <v>514</v>
      </c>
      <c r="C426" s="519" t="s">
        <v>515</v>
      </c>
      <c r="D426" s="435">
        <v>128</v>
      </c>
      <c r="E426" s="431"/>
      <c r="F426" s="464"/>
      <c r="G426" s="431"/>
      <c r="H426" s="431"/>
      <c r="I426" s="431"/>
      <c r="J426" s="431"/>
      <c r="K426" s="431"/>
      <c r="L426" s="431"/>
      <c r="M426" s="431"/>
      <c r="N426" s="431"/>
      <c r="O426" s="431"/>
      <c r="P426" s="431"/>
      <c r="Q426" s="431"/>
      <c r="S426" s="464"/>
      <c r="T426" s="431"/>
      <c r="U426" s="431"/>
      <c r="V426" s="431"/>
      <c r="W426" s="431"/>
      <c r="X426" s="431"/>
      <c r="Y426" s="431"/>
      <c r="Z426" s="431"/>
      <c r="AA426" s="431"/>
      <c r="AB426" s="431"/>
      <c r="AC426" s="431"/>
      <c r="AD426" s="431"/>
    </row>
    <row r="427" spans="1:30" s="412" customFormat="1" ht="12.5">
      <c r="A427" s="448">
        <v>4</v>
      </c>
      <c r="B427" s="519" t="s">
        <v>517</v>
      </c>
      <c r="C427" s="519" t="s">
        <v>518</v>
      </c>
      <c r="D427" s="435">
        <v>128</v>
      </c>
      <c r="E427" s="431"/>
      <c r="F427" s="464"/>
      <c r="G427" s="431"/>
      <c r="H427" s="431"/>
      <c r="I427" s="431"/>
      <c r="J427" s="431"/>
      <c r="K427" s="431"/>
      <c r="L427" s="431"/>
      <c r="M427" s="431"/>
      <c r="N427" s="431"/>
      <c r="O427" s="431"/>
      <c r="P427" s="431"/>
      <c r="Q427" s="431"/>
      <c r="S427" s="464"/>
      <c r="T427" s="431"/>
      <c r="U427" s="431"/>
      <c r="V427" s="431"/>
      <c r="W427" s="431"/>
      <c r="X427" s="431"/>
      <c r="Y427" s="431"/>
      <c r="Z427" s="431"/>
      <c r="AA427" s="431"/>
      <c r="AB427" s="431"/>
      <c r="AC427" s="431"/>
      <c r="AD427" s="431"/>
    </row>
    <row r="428" spans="1:30" s="412" customFormat="1" ht="12.5">
      <c r="A428" s="448">
        <v>5</v>
      </c>
      <c r="B428" s="519" t="s">
        <v>519</v>
      </c>
      <c r="C428" s="519" t="s">
        <v>520</v>
      </c>
      <c r="D428" s="435">
        <v>128</v>
      </c>
      <c r="E428" s="431"/>
      <c r="F428" s="464"/>
      <c r="G428" s="431"/>
      <c r="H428" s="431"/>
      <c r="I428" s="431"/>
      <c r="J428" s="431"/>
      <c r="K428" s="431"/>
      <c r="L428" s="431"/>
      <c r="M428" s="431"/>
      <c r="N428" s="431"/>
      <c r="O428" s="431"/>
      <c r="P428" s="431"/>
      <c r="Q428" s="431"/>
      <c r="S428" s="464"/>
      <c r="T428" s="431"/>
      <c r="U428" s="431"/>
      <c r="V428" s="431"/>
      <c r="W428" s="431"/>
      <c r="X428" s="431"/>
      <c r="Y428" s="431"/>
      <c r="Z428" s="431"/>
      <c r="AA428" s="431"/>
      <c r="AB428" s="431"/>
      <c r="AC428" s="431"/>
      <c r="AD428" s="431"/>
    </row>
    <row r="429" spans="1:30" s="412" customFormat="1" ht="12.5">
      <c r="A429" s="448">
        <v>6</v>
      </c>
      <c r="B429" s="519" t="s">
        <v>522</v>
      </c>
      <c r="C429" s="519" t="s">
        <v>523</v>
      </c>
      <c r="D429" s="435">
        <v>128</v>
      </c>
      <c r="E429" s="431"/>
      <c r="F429" s="464"/>
      <c r="G429" s="431"/>
      <c r="H429" s="431"/>
      <c r="I429" s="431"/>
      <c r="J429" s="431"/>
      <c r="K429" s="431"/>
      <c r="L429" s="431"/>
      <c r="M429" s="431"/>
      <c r="N429" s="431"/>
      <c r="O429" s="431"/>
      <c r="P429" s="431"/>
      <c r="Q429" s="431"/>
      <c r="S429" s="464"/>
      <c r="T429" s="431"/>
      <c r="U429" s="431"/>
      <c r="V429" s="431"/>
      <c r="W429" s="431"/>
      <c r="X429" s="431"/>
      <c r="Y429" s="431"/>
      <c r="Z429" s="431"/>
      <c r="AA429" s="431"/>
      <c r="AB429" s="431"/>
      <c r="AC429" s="431"/>
      <c r="AD429" s="431"/>
    </row>
    <row r="430" spans="1:30" s="412" customFormat="1" ht="12.5">
      <c r="A430" s="448">
        <v>7</v>
      </c>
      <c r="B430" s="461" t="s">
        <v>526</v>
      </c>
      <c r="C430" s="461" t="s">
        <v>527</v>
      </c>
      <c r="D430" s="435">
        <v>128</v>
      </c>
      <c r="E430" s="431"/>
      <c r="F430" s="464"/>
      <c r="G430" s="431"/>
      <c r="H430" s="431"/>
      <c r="I430" s="431"/>
      <c r="J430" s="431"/>
      <c r="K430" s="431"/>
      <c r="L430" s="431"/>
      <c r="M430" s="431"/>
      <c r="N430" s="431"/>
      <c r="O430" s="431"/>
      <c r="P430" s="431"/>
      <c r="Q430" s="431"/>
      <c r="S430" s="464"/>
      <c r="T430" s="431"/>
      <c r="U430" s="431"/>
      <c r="V430" s="431"/>
      <c r="W430" s="431"/>
      <c r="X430" s="431"/>
      <c r="Y430" s="431"/>
      <c r="Z430" s="431"/>
      <c r="AA430" s="431"/>
      <c r="AB430" s="431"/>
      <c r="AC430" s="431"/>
      <c r="AD430" s="431"/>
    </row>
    <row r="431" spans="1:30" s="412" customFormat="1" ht="12.5">
      <c r="A431" s="448">
        <v>8</v>
      </c>
      <c r="B431" s="519" t="s">
        <v>528</v>
      </c>
      <c r="C431" s="519" t="s">
        <v>529</v>
      </c>
      <c r="D431" s="435">
        <v>128</v>
      </c>
      <c r="E431" s="431"/>
      <c r="F431" s="464"/>
      <c r="G431" s="431"/>
      <c r="H431" s="431"/>
      <c r="I431" s="431"/>
      <c r="J431" s="431"/>
      <c r="K431" s="431"/>
      <c r="L431" s="431"/>
      <c r="M431" s="431"/>
      <c r="N431" s="431"/>
      <c r="O431" s="431"/>
      <c r="P431" s="431"/>
      <c r="Q431" s="431"/>
      <c r="S431" s="464"/>
      <c r="T431" s="431"/>
      <c r="U431" s="431"/>
      <c r="V431" s="431"/>
      <c r="W431" s="431"/>
      <c r="X431" s="431"/>
      <c r="Y431" s="431"/>
      <c r="Z431" s="431"/>
      <c r="AA431" s="431"/>
      <c r="AB431" s="431"/>
      <c r="AC431" s="431"/>
      <c r="AD431" s="431"/>
    </row>
    <row r="432" spans="1:30" s="412" customFormat="1" ht="12.5">
      <c r="A432" s="448">
        <v>9</v>
      </c>
      <c r="B432" s="519" t="s">
        <v>531</v>
      </c>
      <c r="C432" s="519" t="s">
        <v>532</v>
      </c>
      <c r="D432" s="435">
        <v>128</v>
      </c>
      <c r="E432" s="431"/>
      <c r="F432" s="464"/>
      <c r="G432" s="431"/>
      <c r="H432" s="431"/>
      <c r="I432" s="431"/>
      <c r="J432" s="431"/>
      <c r="K432" s="431"/>
      <c r="L432" s="431"/>
      <c r="M432" s="431"/>
      <c r="N432" s="431"/>
      <c r="O432" s="431"/>
      <c r="P432" s="431"/>
      <c r="Q432" s="431"/>
      <c r="S432" s="464"/>
      <c r="T432" s="431"/>
      <c r="U432" s="431"/>
      <c r="V432" s="431"/>
      <c r="W432" s="431"/>
      <c r="X432" s="431"/>
      <c r="Y432" s="431"/>
      <c r="Z432" s="431"/>
      <c r="AA432" s="431"/>
      <c r="AB432" s="431"/>
      <c r="AC432" s="431"/>
      <c r="AD432" s="431"/>
    </row>
    <row r="433" spans="1:30" s="412" customFormat="1" ht="12.5">
      <c r="A433" s="448">
        <v>10</v>
      </c>
      <c r="B433" s="519" t="s">
        <v>533</v>
      </c>
      <c r="C433" s="519" t="s">
        <v>534</v>
      </c>
      <c r="D433" s="435">
        <v>128</v>
      </c>
      <c r="E433" s="431"/>
      <c r="F433" s="464"/>
      <c r="G433" s="431"/>
      <c r="H433" s="431"/>
      <c r="I433" s="431"/>
      <c r="J433" s="431"/>
      <c r="K433" s="431"/>
      <c r="L433" s="431"/>
      <c r="M433" s="431"/>
      <c r="N433" s="431"/>
      <c r="O433" s="431"/>
      <c r="P433" s="431"/>
      <c r="Q433" s="431"/>
      <c r="S433" s="464"/>
      <c r="T433" s="431"/>
      <c r="U433" s="431"/>
      <c r="V433" s="431"/>
      <c r="W433" s="431"/>
      <c r="X433" s="431"/>
      <c r="Y433" s="431"/>
      <c r="Z433" s="431"/>
      <c r="AA433" s="431"/>
      <c r="AB433" s="431"/>
      <c r="AC433" s="431"/>
      <c r="AD433" s="431"/>
    </row>
    <row r="434" spans="1:30" s="412" customFormat="1" ht="12.5">
      <c r="A434" s="448">
        <v>11</v>
      </c>
      <c r="B434" s="519" t="s">
        <v>535</v>
      </c>
      <c r="C434" s="519" t="s">
        <v>536</v>
      </c>
      <c r="D434" s="435">
        <v>128</v>
      </c>
      <c r="E434" s="431"/>
      <c r="F434" s="464"/>
      <c r="G434" s="431"/>
      <c r="H434" s="431"/>
      <c r="I434" s="431"/>
      <c r="J434" s="431"/>
      <c r="K434" s="431"/>
      <c r="L434" s="431"/>
      <c r="M434" s="431"/>
      <c r="N434" s="431"/>
      <c r="O434" s="431"/>
      <c r="P434" s="431"/>
      <c r="Q434" s="431"/>
      <c r="S434" s="464"/>
      <c r="T434" s="431"/>
      <c r="U434" s="431"/>
      <c r="V434" s="431"/>
      <c r="W434" s="431"/>
      <c r="X434" s="431"/>
      <c r="Y434" s="431"/>
      <c r="Z434" s="431"/>
      <c r="AA434" s="431"/>
      <c r="AB434" s="431"/>
      <c r="AC434" s="431"/>
      <c r="AD434" s="431"/>
    </row>
    <row r="435" spans="1:30" s="412" customFormat="1" ht="12.5">
      <c r="A435" s="448">
        <v>12</v>
      </c>
      <c r="B435" s="519" t="s">
        <v>537</v>
      </c>
      <c r="C435" s="519" t="s">
        <v>538</v>
      </c>
      <c r="D435" s="435">
        <v>128</v>
      </c>
      <c r="E435" s="431"/>
      <c r="F435" s="464"/>
      <c r="G435" s="431"/>
      <c r="H435" s="431"/>
      <c r="I435" s="431"/>
      <c r="J435" s="431"/>
      <c r="K435" s="431"/>
      <c r="L435" s="431"/>
      <c r="M435" s="431"/>
      <c r="N435" s="431"/>
      <c r="O435" s="431"/>
      <c r="P435" s="431"/>
      <c r="Q435" s="431"/>
      <c r="S435" s="464"/>
      <c r="T435" s="431"/>
      <c r="U435" s="431"/>
      <c r="V435" s="431"/>
      <c r="W435" s="431"/>
      <c r="X435" s="431"/>
      <c r="Y435" s="431"/>
      <c r="Z435" s="431"/>
      <c r="AA435" s="431"/>
      <c r="AB435" s="431"/>
      <c r="AC435" s="431"/>
      <c r="AD435" s="431"/>
    </row>
    <row r="436" spans="1:30" s="412" customFormat="1" ht="12.5">
      <c r="A436" s="448">
        <v>13</v>
      </c>
      <c r="B436" s="519" t="s">
        <v>539</v>
      </c>
      <c r="C436" s="519" t="s">
        <v>540</v>
      </c>
      <c r="D436" s="435">
        <v>128</v>
      </c>
      <c r="E436" s="431"/>
      <c r="F436" s="464"/>
      <c r="G436" s="431"/>
      <c r="H436" s="431"/>
      <c r="I436" s="431"/>
      <c r="J436" s="431"/>
      <c r="K436" s="431"/>
      <c r="L436" s="431"/>
      <c r="M436" s="431"/>
      <c r="N436" s="431"/>
      <c r="O436" s="431"/>
      <c r="P436" s="431"/>
      <c r="Q436" s="431"/>
      <c r="S436" s="464"/>
      <c r="T436" s="431"/>
      <c r="U436" s="431"/>
      <c r="V436" s="431"/>
      <c r="W436" s="431"/>
      <c r="X436" s="431"/>
      <c r="Y436" s="431"/>
      <c r="Z436" s="431"/>
      <c r="AA436" s="431"/>
      <c r="AB436" s="431"/>
      <c r="AC436" s="431"/>
      <c r="AD436" s="431"/>
    </row>
    <row r="437" spans="1:30" s="412" customFormat="1" ht="12.5">
      <c r="A437" s="448">
        <v>14</v>
      </c>
      <c r="B437" s="519" t="s">
        <v>541</v>
      </c>
      <c r="C437" s="519" t="s">
        <v>542</v>
      </c>
      <c r="D437" s="435">
        <v>128</v>
      </c>
      <c r="E437" s="431"/>
      <c r="F437" s="464"/>
      <c r="G437" s="431"/>
      <c r="H437" s="431"/>
      <c r="I437" s="431"/>
      <c r="J437" s="431"/>
      <c r="K437" s="431"/>
      <c r="L437" s="431"/>
      <c r="M437" s="431"/>
      <c r="N437" s="431"/>
      <c r="O437" s="431"/>
      <c r="P437" s="431"/>
      <c r="Q437" s="431"/>
      <c r="S437" s="464"/>
      <c r="T437" s="431"/>
      <c r="U437" s="431"/>
      <c r="V437" s="431"/>
      <c r="W437" s="431"/>
      <c r="X437" s="431"/>
      <c r="Y437" s="431"/>
      <c r="Z437" s="431"/>
      <c r="AA437" s="431"/>
      <c r="AB437" s="431"/>
      <c r="AC437" s="431"/>
      <c r="AD437" s="431"/>
    </row>
    <row r="438" spans="1:30" s="412" customFormat="1" ht="12.5">
      <c r="A438" s="448">
        <v>15</v>
      </c>
      <c r="B438" s="519" t="s">
        <v>543</v>
      </c>
      <c r="C438" s="519" t="s">
        <v>544</v>
      </c>
      <c r="D438" s="435">
        <v>128</v>
      </c>
      <c r="E438" s="431"/>
      <c r="F438" s="464"/>
      <c r="G438" s="431"/>
      <c r="H438" s="431"/>
      <c r="I438" s="431"/>
      <c r="J438" s="431"/>
      <c r="K438" s="431"/>
      <c r="L438" s="431"/>
      <c r="M438" s="431"/>
      <c r="N438" s="431"/>
      <c r="O438" s="431"/>
      <c r="P438" s="431"/>
      <c r="Q438" s="431"/>
      <c r="S438" s="464"/>
      <c r="T438" s="431"/>
      <c r="U438" s="431"/>
      <c r="V438" s="431"/>
      <c r="W438" s="431"/>
      <c r="X438" s="431"/>
      <c r="Y438" s="431"/>
      <c r="Z438" s="431"/>
      <c r="AA438" s="431"/>
      <c r="AB438" s="431"/>
      <c r="AC438" s="431"/>
      <c r="AD438" s="431"/>
    </row>
    <row r="439" spans="1:30" s="412" customFormat="1" ht="12.5">
      <c r="A439" s="448">
        <v>16</v>
      </c>
      <c r="B439" s="519" t="s">
        <v>545</v>
      </c>
      <c r="C439" s="519" t="s">
        <v>546</v>
      </c>
      <c r="D439" s="435">
        <v>128</v>
      </c>
      <c r="E439" s="431"/>
      <c r="F439" s="464"/>
      <c r="G439" s="431"/>
      <c r="H439" s="431"/>
      <c r="I439" s="431"/>
      <c r="J439" s="431"/>
      <c r="K439" s="431"/>
      <c r="L439" s="431"/>
      <c r="M439" s="431"/>
      <c r="N439" s="431"/>
      <c r="O439" s="431"/>
      <c r="P439" s="431"/>
      <c r="Q439" s="431"/>
      <c r="S439" s="464"/>
      <c r="T439" s="431"/>
      <c r="U439" s="431"/>
      <c r="V439" s="431"/>
      <c r="W439" s="431"/>
      <c r="X439" s="431"/>
      <c r="Y439" s="431"/>
      <c r="Z439" s="431"/>
      <c r="AA439" s="431"/>
      <c r="AB439" s="431"/>
      <c r="AC439" s="431"/>
      <c r="AD439" s="431"/>
    </row>
    <row r="440" spans="1:30" s="412" customFormat="1" ht="12.5">
      <c r="A440" s="448">
        <v>17</v>
      </c>
      <c r="B440" s="519" t="s">
        <v>547</v>
      </c>
      <c r="C440" s="519" t="s">
        <v>548</v>
      </c>
      <c r="D440" s="435">
        <v>128</v>
      </c>
      <c r="E440" s="431"/>
      <c r="F440" s="464"/>
      <c r="G440" s="431"/>
      <c r="H440" s="431"/>
      <c r="I440" s="431"/>
      <c r="J440" s="431"/>
      <c r="K440" s="431"/>
      <c r="L440" s="431"/>
      <c r="M440" s="431"/>
      <c r="N440" s="431"/>
      <c r="O440" s="431"/>
      <c r="P440" s="431"/>
      <c r="Q440" s="431"/>
      <c r="S440" s="464"/>
      <c r="T440" s="431"/>
      <c r="U440" s="431"/>
      <c r="V440" s="431"/>
      <c r="W440" s="431"/>
      <c r="X440" s="431"/>
      <c r="Y440" s="431"/>
      <c r="Z440" s="431"/>
      <c r="AA440" s="431"/>
      <c r="AB440" s="431"/>
      <c r="AC440" s="431"/>
      <c r="AD440" s="431"/>
    </row>
    <row r="441" spans="1:30" s="412" customFormat="1" ht="12.5">
      <c r="A441" s="448">
        <v>18</v>
      </c>
      <c r="B441" s="519" t="s">
        <v>549</v>
      </c>
      <c r="C441" s="519" t="s">
        <v>550</v>
      </c>
      <c r="D441" s="435">
        <v>128</v>
      </c>
      <c r="E441" s="431"/>
      <c r="F441" s="464"/>
      <c r="G441" s="431"/>
      <c r="H441" s="431"/>
      <c r="I441" s="431"/>
      <c r="J441" s="431"/>
      <c r="K441" s="431"/>
      <c r="L441" s="431"/>
      <c r="M441" s="431"/>
      <c r="N441" s="431"/>
      <c r="O441" s="431"/>
      <c r="P441" s="431"/>
      <c r="Q441" s="431"/>
      <c r="S441" s="464"/>
      <c r="T441" s="431"/>
      <c r="U441" s="431"/>
      <c r="V441" s="431"/>
      <c r="W441" s="431"/>
      <c r="X441" s="431"/>
      <c r="Y441" s="431"/>
      <c r="Z441" s="431"/>
      <c r="AA441" s="431"/>
      <c r="AB441" s="431"/>
      <c r="AC441" s="431"/>
      <c r="AD441" s="431"/>
    </row>
    <row r="442" spans="1:30" s="412" customFormat="1" ht="12.5">
      <c r="A442" s="448">
        <v>19</v>
      </c>
      <c r="B442" s="461" t="s">
        <v>551</v>
      </c>
      <c r="C442" s="461" t="s">
        <v>552</v>
      </c>
      <c r="D442" s="435">
        <v>128</v>
      </c>
      <c r="E442" s="431"/>
      <c r="F442" s="464"/>
      <c r="G442" s="431"/>
      <c r="H442" s="431"/>
      <c r="I442" s="431"/>
      <c r="J442" s="431"/>
      <c r="K442" s="431"/>
      <c r="L442" s="431"/>
      <c r="M442" s="431"/>
      <c r="N442" s="431"/>
      <c r="O442" s="431"/>
      <c r="P442" s="431"/>
      <c r="Q442" s="431"/>
      <c r="S442" s="464"/>
      <c r="T442" s="431"/>
      <c r="U442" s="431"/>
      <c r="V442" s="431"/>
      <c r="W442" s="431"/>
      <c r="X442" s="431"/>
      <c r="Y442" s="431"/>
      <c r="Z442" s="431"/>
      <c r="AA442" s="431"/>
      <c r="AB442" s="431"/>
      <c r="AC442" s="431"/>
      <c r="AD442" s="431"/>
    </row>
    <row r="443" spans="1:30" s="412" customFormat="1" ht="12.5">
      <c r="A443" s="448">
        <v>20</v>
      </c>
      <c r="B443" s="519" t="s">
        <v>553</v>
      </c>
      <c r="C443" s="519" t="s">
        <v>554</v>
      </c>
      <c r="D443" s="435">
        <v>128</v>
      </c>
      <c r="E443" s="431"/>
      <c r="F443" s="464"/>
      <c r="G443" s="431"/>
      <c r="H443" s="431"/>
      <c r="I443" s="431"/>
      <c r="J443" s="431"/>
      <c r="K443" s="431"/>
      <c r="L443" s="431"/>
      <c r="M443" s="431"/>
      <c r="N443" s="431"/>
      <c r="O443" s="431"/>
      <c r="P443" s="431"/>
      <c r="Q443" s="431"/>
      <c r="S443" s="464"/>
      <c r="T443" s="431"/>
      <c r="U443" s="431"/>
      <c r="V443" s="431"/>
      <c r="W443" s="431"/>
      <c r="X443" s="431"/>
      <c r="Y443" s="431"/>
      <c r="Z443" s="431"/>
      <c r="AA443" s="431"/>
      <c r="AB443" s="431"/>
      <c r="AC443" s="431"/>
      <c r="AD443" s="431"/>
    </row>
    <row r="444" spans="1:30" s="412" customFormat="1" ht="12.5">
      <c r="A444" s="448">
        <v>21</v>
      </c>
      <c r="B444" s="519" t="s">
        <v>555</v>
      </c>
      <c r="C444" s="519" t="s">
        <v>556</v>
      </c>
      <c r="D444" s="435">
        <v>128</v>
      </c>
      <c r="E444" s="431"/>
      <c r="F444" s="464"/>
      <c r="G444" s="431"/>
      <c r="H444" s="431"/>
      <c r="I444" s="431"/>
      <c r="J444" s="431"/>
      <c r="K444" s="431"/>
      <c r="L444" s="431"/>
      <c r="M444" s="431"/>
      <c r="N444" s="431"/>
      <c r="O444" s="431"/>
      <c r="P444" s="431"/>
      <c r="Q444" s="431"/>
      <c r="S444" s="464"/>
      <c r="T444" s="431"/>
      <c r="U444" s="431"/>
      <c r="V444" s="431"/>
      <c r="W444" s="431"/>
      <c r="X444" s="431"/>
      <c r="Y444" s="431"/>
      <c r="Z444" s="431"/>
      <c r="AA444" s="431"/>
      <c r="AB444" s="431"/>
      <c r="AC444" s="431"/>
      <c r="AD444" s="431"/>
    </row>
    <row r="445" spans="1:30" s="412" customFormat="1" ht="12.5">
      <c r="A445" s="448">
        <v>22</v>
      </c>
      <c r="B445" s="519" t="s">
        <v>557</v>
      </c>
      <c r="C445" s="519" t="s">
        <v>558</v>
      </c>
      <c r="D445" s="435">
        <v>128</v>
      </c>
      <c r="E445" s="431"/>
      <c r="F445" s="464"/>
      <c r="G445" s="431"/>
      <c r="H445" s="431"/>
      <c r="I445" s="431"/>
      <c r="J445" s="431"/>
      <c r="K445" s="431"/>
      <c r="L445" s="431"/>
      <c r="M445" s="431"/>
      <c r="N445" s="431"/>
      <c r="O445" s="431"/>
      <c r="P445" s="431"/>
      <c r="Q445" s="431"/>
      <c r="S445" s="464"/>
      <c r="T445" s="431"/>
      <c r="U445" s="431"/>
      <c r="V445" s="431"/>
      <c r="W445" s="431"/>
      <c r="X445" s="431"/>
      <c r="Y445" s="431"/>
      <c r="Z445" s="431"/>
      <c r="AA445" s="431"/>
      <c r="AB445" s="431"/>
      <c r="AC445" s="431"/>
      <c r="AD445" s="431"/>
    </row>
    <row r="446" spans="1:30" s="412" customFormat="1" ht="12.5">
      <c r="A446" s="448"/>
      <c r="B446" s="519"/>
      <c r="C446" s="519"/>
      <c r="D446" s="435"/>
      <c r="E446" s="431"/>
      <c r="F446" s="464"/>
      <c r="G446" s="431"/>
      <c r="H446" s="431"/>
      <c r="I446" s="431"/>
      <c r="J446" s="431"/>
      <c r="K446" s="431"/>
      <c r="L446" s="431"/>
      <c r="M446" s="431"/>
      <c r="N446" s="431"/>
      <c r="O446" s="431"/>
      <c r="P446" s="431"/>
      <c r="Q446" s="431"/>
      <c r="S446" s="464"/>
      <c r="T446" s="431"/>
      <c r="U446" s="431"/>
      <c r="V446" s="431"/>
      <c r="W446" s="431"/>
      <c r="X446" s="431"/>
      <c r="Y446" s="431"/>
      <c r="Z446" s="431"/>
      <c r="AA446" s="431"/>
      <c r="AB446" s="431"/>
      <c r="AC446" s="431"/>
      <c r="AD446" s="431"/>
    </row>
    <row r="447" spans="1:30" s="412" customFormat="1">
      <c r="A447" s="488"/>
      <c r="B447" s="522" t="s">
        <v>616</v>
      </c>
      <c r="C447" s="522"/>
      <c r="D447" s="523"/>
      <c r="E447" s="431"/>
      <c r="F447" s="447"/>
      <c r="G447" s="431"/>
      <c r="H447" s="431"/>
      <c r="I447" s="431"/>
      <c r="J447" s="431"/>
      <c r="K447" s="431"/>
      <c r="L447" s="431"/>
      <c r="M447" s="431"/>
      <c r="N447" s="431"/>
      <c r="O447" s="431"/>
      <c r="P447" s="431"/>
      <c r="Q447" s="431"/>
      <c r="S447" s="447"/>
      <c r="T447" s="431"/>
      <c r="U447" s="431"/>
      <c r="V447" s="431"/>
      <c r="W447" s="431"/>
      <c r="X447" s="431"/>
      <c r="Y447" s="431"/>
      <c r="Z447" s="431"/>
      <c r="AA447" s="431"/>
      <c r="AB447" s="431"/>
      <c r="AC447" s="431"/>
      <c r="AD447" s="431"/>
    </row>
    <row r="448" spans="1:30" s="412" customFormat="1" ht="12.5">
      <c r="A448" s="450"/>
      <c r="B448" s="431" t="s">
        <v>582</v>
      </c>
      <c r="C448" s="431"/>
      <c r="D448" s="435">
        <v>128</v>
      </c>
      <c r="E448" s="434"/>
      <c r="F448" s="464"/>
      <c r="G448" s="431"/>
      <c r="H448" s="431"/>
      <c r="I448" s="431"/>
      <c r="J448" s="431"/>
      <c r="K448" s="431"/>
      <c r="L448" s="431"/>
      <c r="M448" s="431"/>
      <c r="N448" s="431"/>
      <c r="O448" s="431"/>
      <c r="P448" s="431"/>
      <c r="Q448" s="431"/>
      <c r="S448" s="464"/>
      <c r="T448" s="431"/>
      <c r="U448" s="431"/>
      <c r="V448" s="431"/>
      <c r="W448" s="431"/>
      <c r="X448" s="431"/>
      <c r="Y448" s="431"/>
      <c r="Z448" s="431"/>
      <c r="AA448" s="431"/>
      <c r="AB448" s="431"/>
      <c r="AC448" s="431"/>
      <c r="AD448" s="431"/>
    </row>
    <row r="449" spans="1:30" s="412" customFormat="1" ht="12.5">
      <c r="A449" s="450"/>
      <c r="B449" s="531"/>
      <c r="C449" s="531"/>
      <c r="D449" s="517"/>
      <c r="E449" s="434"/>
      <c r="F449" s="444"/>
      <c r="G449" s="440"/>
      <c r="H449" s="440"/>
      <c r="I449" s="440"/>
      <c r="J449" s="440"/>
      <c r="K449" s="440"/>
      <c r="L449" s="440"/>
      <c r="M449" s="440"/>
      <c r="N449" s="440"/>
      <c r="O449" s="440"/>
      <c r="P449" s="440"/>
      <c r="Q449" s="440"/>
      <c r="S449" s="444"/>
      <c r="T449" s="440"/>
      <c r="U449" s="440"/>
      <c r="V449" s="440"/>
      <c r="W449" s="440"/>
      <c r="X449" s="440"/>
      <c r="Y449" s="440"/>
      <c r="Z449" s="440"/>
      <c r="AA449" s="440"/>
      <c r="AB449" s="440"/>
      <c r="AC449" s="440"/>
      <c r="AD449" s="440"/>
    </row>
    <row r="450" spans="1:30" s="412" customFormat="1">
      <c r="A450" s="553" t="s">
        <v>617</v>
      </c>
      <c r="B450" s="541" t="s">
        <v>618</v>
      </c>
      <c r="C450" s="541"/>
      <c r="D450" s="555"/>
      <c r="E450" s="555"/>
      <c r="F450" s="569" t="s">
        <v>624</v>
      </c>
      <c r="G450" s="569" t="s">
        <v>484</v>
      </c>
      <c r="H450" s="569" t="s">
        <v>485</v>
      </c>
      <c r="I450" s="569" t="s">
        <v>486</v>
      </c>
      <c r="J450" s="569" t="s">
        <v>487</v>
      </c>
      <c r="K450" s="569" t="s">
        <v>488</v>
      </c>
      <c r="L450" s="569" t="s">
        <v>489</v>
      </c>
      <c r="M450" s="569" t="s">
        <v>490</v>
      </c>
      <c r="N450" s="569" t="s">
        <v>491</v>
      </c>
      <c r="O450" s="569" t="s">
        <v>492</v>
      </c>
      <c r="P450" s="569" t="s">
        <v>493</v>
      </c>
      <c r="Q450" s="569" t="s">
        <v>494</v>
      </c>
      <c r="S450" s="569" t="s">
        <v>483</v>
      </c>
      <c r="T450" s="569" t="s">
        <v>484</v>
      </c>
      <c r="U450" s="569" t="s">
        <v>485</v>
      </c>
      <c r="V450" s="569" t="s">
        <v>486</v>
      </c>
      <c r="W450" s="569" t="s">
        <v>487</v>
      </c>
      <c r="X450" s="569" t="s">
        <v>488</v>
      </c>
      <c r="Y450" s="569" t="s">
        <v>489</v>
      </c>
      <c r="Z450" s="569" t="s">
        <v>490</v>
      </c>
      <c r="AA450" s="569" t="s">
        <v>491</v>
      </c>
      <c r="AB450" s="569" t="s">
        <v>492</v>
      </c>
      <c r="AC450" s="569" t="s">
        <v>493</v>
      </c>
      <c r="AD450" s="569" t="s">
        <v>494</v>
      </c>
    </row>
    <row r="451" spans="1:30" s="412" customFormat="1">
      <c r="A451" s="488"/>
      <c r="B451" s="524" t="s">
        <v>615</v>
      </c>
      <c r="C451" s="524"/>
      <c r="D451" s="522"/>
      <c r="E451" s="431"/>
      <c r="F451" s="549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S451" s="549"/>
      <c r="T451" s="557"/>
      <c r="U451" s="557"/>
      <c r="V451" s="557"/>
      <c r="W451" s="557"/>
      <c r="X451" s="557"/>
      <c r="Y451" s="557"/>
      <c r="Z451" s="557"/>
      <c r="AA451" s="557"/>
      <c r="AB451" s="557"/>
      <c r="AC451" s="557"/>
      <c r="AD451" s="557"/>
    </row>
    <row r="452" spans="1:30" s="412" customFormat="1" ht="12.5">
      <c r="A452" s="448">
        <v>1</v>
      </c>
      <c r="B452" s="461" t="s">
        <v>498</v>
      </c>
      <c r="C452" s="461" t="s">
        <v>499</v>
      </c>
      <c r="D452" s="435">
        <v>341</v>
      </c>
      <c r="E452" s="431"/>
      <c r="F452" s="464"/>
      <c r="G452" s="431"/>
      <c r="H452" s="431"/>
      <c r="I452" s="431"/>
      <c r="J452" s="431"/>
      <c r="K452" s="431"/>
      <c r="L452" s="431"/>
      <c r="M452" s="431"/>
      <c r="N452" s="431"/>
      <c r="O452" s="431"/>
      <c r="P452" s="431"/>
      <c r="Q452" s="431"/>
      <c r="S452" s="464"/>
      <c r="T452" s="431"/>
      <c r="U452" s="431"/>
      <c r="V452" s="431"/>
      <c r="W452" s="431"/>
      <c r="X452" s="431"/>
      <c r="Y452" s="431"/>
      <c r="Z452" s="431"/>
      <c r="AA452" s="431"/>
      <c r="AB452" s="431"/>
      <c r="AC452" s="431"/>
      <c r="AD452" s="431"/>
    </row>
    <row r="453" spans="1:30" s="412" customFormat="1" ht="12.5">
      <c r="A453" s="448">
        <v>2</v>
      </c>
      <c r="B453" s="457" t="s">
        <v>508</v>
      </c>
      <c r="C453" s="457" t="s">
        <v>509</v>
      </c>
      <c r="D453" s="435">
        <v>341</v>
      </c>
      <c r="E453" s="431"/>
      <c r="F453" s="464"/>
      <c r="G453" s="431"/>
      <c r="H453" s="431"/>
      <c r="I453" s="431"/>
      <c r="J453" s="431"/>
      <c r="K453" s="431"/>
      <c r="L453" s="431"/>
      <c r="M453" s="431"/>
      <c r="N453" s="431"/>
      <c r="O453" s="431"/>
      <c r="P453" s="431"/>
      <c r="Q453" s="431"/>
      <c r="S453" s="464"/>
      <c r="T453" s="431"/>
      <c r="U453" s="431"/>
      <c r="V453" s="431"/>
      <c r="W453" s="431"/>
      <c r="X453" s="431"/>
      <c r="Y453" s="431"/>
      <c r="Z453" s="431"/>
      <c r="AA453" s="431"/>
      <c r="AB453" s="431"/>
      <c r="AC453" s="431"/>
      <c r="AD453" s="431"/>
    </row>
    <row r="454" spans="1:30" s="412" customFormat="1" ht="12.5">
      <c r="A454" s="448">
        <v>3</v>
      </c>
      <c r="B454" s="519" t="s">
        <v>514</v>
      </c>
      <c r="C454" s="519" t="s">
        <v>515</v>
      </c>
      <c r="D454" s="435">
        <v>341</v>
      </c>
      <c r="E454" s="431"/>
      <c r="F454" s="464"/>
      <c r="G454" s="431"/>
      <c r="H454" s="431"/>
      <c r="I454" s="431"/>
      <c r="J454" s="431"/>
      <c r="K454" s="431"/>
      <c r="L454" s="431"/>
      <c r="M454" s="431"/>
      <c r="N454" s="431"/>
      <c r="O454" s="431"/>
      <c r="P454" s="431"/>
      <c r="Q454" s="431"/>
      <c r="S454" s="464"/>
      <c r="T454" s="431"/>
      <c r="U454" s="431"/>
      <c r="V454" s="431"/>
      <c r="W454" s="431"/>
      <c r="X454" s="431"/>
      <c r="Y454" s="431"/>
      <c r="Z454" s="431"/>
      <c r="AA454" s="431"/>
      <c r="AB454" s="431"/>
      <c r="AC454" s="431"/>
      <c r="AD454" s="431"/>
    </row>
    <row r="455" spans="1:30" s="412" customFormat="1" ht="12.5">
      <c r="A455" s="448">
        <v>4</v>
      </c>
      <c r="B455" s="519" t="s">
        <v>517</v>
      </c>
      <c r="C455" s="519" t="s">
        <v>518</v>
      </c>
      <c r="D455" s="435">
        <v>341</v>
      </c>
      <c r="E455" s="431"/>
      <c r="F455" s="464"/>
      <c r="G455" s="431"/>
      <c r="H455" s="431"/>
      <c r="I455" s="431"/>
      <c r="J455" s="431"/>
      <c r="K455" s="431"/>
      <c r="L455" s="431"/>
      <c r="M455" s="431"/>
      <c r="N455" s="431"/>
      <c r="O455" s="431"/>
      <c r="P455" s="431"/>
      <c r="Q455" s="431"/>
      <c r="S455" s="464"/>
      <c r="T455" s="431"/>
      <c r="U455" s="431"/>
      <c r="V455" s="431"/>
      <c r="W455" s="431"/>
      <c r="X455" s="431"/>
      <c r="Y455" s="431"/>
      <c r="Z455" s="431"/>
      <c r="AA455" s="431"/>
      <c r="AB455" s="431"/>
      <c r="AC455" s="431"/>
      <c r="AD455" s="431"/>
    </row>
    <row r="456" spans="1:30" s="412" customFormat="1" ht="12.5">
      <c r="A456" s="448">
        <v>5</v>
      </c>
      <c r="B456" s="519" t="s">
        <v>519</v>
      </c>
      <c r="C456" s="519" t="s">
        <v>520</v>
      </c>
      <c r="D456" s="435">
        <v>341</v>
      </c>
      <c r="E456" s="431"/>
      <c r="F456" s="464"/>
      <c r="G456" s="431"/>
      <c r="H456" s="431"/>
      <c r="I456" s="431"/>
      <c r="J456" s="431"/>
      <c r="K456" s="431"/>
      <c r="L456" s="431"/>
      <c r="M456" s="431"/>
      <c r="N456" s="431"/>
      <c r="O456" s="431"/>
      <c r="P456" s="431"/>
      <c r="Q456" s="431"/>
      <c r="S456" s="464"/>
      <c r="T456" s="431"/>
      <c r="U456" s="431"/>
      <c r="V456" s="431"/>
      <c r="W456" s="431"/>
      <c r="X456" s="431"/>
      <c r="Y456" s="431"/>
      <c r="Z456" s="431"/>
      <c r="AA456" s="431"/>
      <c r="AB456" s="431"/>
      <c r="AC456" s="431"/>
      <c r="AD456" s="431"/>
    </row>
    <row r="457" spans="1:30" s="412" customFormat="1" ht="12.5">
      <c r="A457" s="448">
        <v>6</v>
      </c>
      <c r="B457" s="519" t="s">
        <v>522</v>
      </c>
      <c r="C457" s="519" t="s">
        <v>523</v>
      </c>
      <c r="D457" s="435">
        <v>341</v>
      </c>
      <c r="E457" s="431"/>
      <c r="F457" s="464"/>
      <c r="G457" s="431"/>
      <c r="H457" s="431"/>
      <c r="I457" s="431"/>
      <c r="J457" s="431"/>
      <c r="K457" s="431"/>
      <c r="L457" s="431"/>
      <c r="M457" s="431"/>
      <c r="N457" s="431"/>
      <c r="O457" s="431"/>
      <c r="P457" s="431"/>
      <c r="Q457" s="431"/>
      <c r="S457" s="464"/>
      <c r="T457" s="431"/>
      <c r="U457" s="431"/>
      <c r="V457" s="431"/>
      <c r="W457" s="431"/>
      <c r="X457" s="431"/>
      <c r="Y457" s="431"/>
      <c r="Z457" s="431"/>
      <c r="AA457" s="431"/>
      <c r="AB457" s="431"/>
      <c r="AC457" s="431"/>
      <c r="AD457" s="431"/>
    </row>
    <row r="458" spans="1:30" s="412" customFormat="1" ht="12.5">
      <c r="A458" s="448">
        <v>7</v>
      </c>
      <c r="B458" s="461" t="s">
        <v>526</v>
      </c>
      <c r="C458" s="461" t="s">
        <v>527</v>
      </c>
      <c r="D458" s="435">
        <v>341</v>
      </c>
      <c r="E458" s="431"/>
      <c r="F458" s="464"/>
      <c r="G458" s="431"/>
      <c r="H458" s="431"/>
      <c r="I458" s="431"/>
      <c r="J458" s="431"/>
      <c r="K458" s="431"/>
      <c r="L458" s="431"/>
      <c r="M458" s="431"/>
      <c r="N458" s="431"/>
      <c r="O458" s="431"/>
      <c r="P458" s="431"/>
      <c r="Q458" s="431"/>
      <c r="S458" s="464"/>
      <c r="T458" s="431"/>
      <c r="U458" s="431"/>
      <c r="V458" s="431"/>
      <c r="W458" s="431"/>
      <c r="X458" s="431"/>
      <c r="Y458" s="431"/>
      <c r="Z458" s="431"/>
      <c r="AA458" s="431"/>
      <c r="AB458" s="431"/>
      <c r="AC458" s="431"/>
      <c r="AD458" s="431"/>
    </row>
    <row r="459" spans="1:30" s="412" customFormat="1" ht="12.5">
      <c r="A459" s="448">
        <v>8</v>
      </c>
      <c r="B459" s="519" t="s">
        <v>528</v>
      </c>
      <c r="C459" s="519" t="s">
        <v>529</v>
      </c>
      <c r="D459" s="435">
        <v>341</v>
      </c>
      <c r="E459" s="431"/>
      <c r="F459" s="464"/>
      <c r="G459" s="431"/>
      <c r="H459" s="431"/>
      <c r="I459" s="431"/>
      <c r="J459" s="431"/>
      <c r="K459" s="431"/>
      <c r="L459" s="431"/>
      <c r="M459" s="431"/>
      <c r="N459" s="431"/>
      <c r="O459" s="431"/>
      <c r="P459" s="431"/>
      <c r="Q459" s="431"/>
      <c r="S459" s="464"/>
      <c r="T459" s="431"/>
      <c r="U459" s="431"/>
      <c r="V459" s="431"/>
      <c r="W459" s="431"/>
      <c r="X459" s="431"/>
      <c r="Y459" s="431"/>
      <c r="Z459" s="431"/>
      <c r="AA459" s="431"/>
      <c r="AB459" s="431"/>
      <c r="AC459" s="431"/>
      <c r="AD459" s="431"/>
    </row>
    <row r="460" spans="1:30" s="412" customFormat="1" ht="12.5">
      <c r="A460" s="448">
        <v>9</v>
      </c>
      <c r="B460" s="519" t="s">
        <v>531</v>
      </c>
      <c r="C460" s="519" t="s">
        <v>532</v>
      </c>
      <c r="D460" s="435">
        <v>341</v>
      </c>
      <c r="E460" s="431"/>
      <c r="F460" s="464"/>
      <c r="G460" s="431"/>
      <c r="H460" s="431"/>
      <c r="I460" s="431"/>
      <c r="J460" s="431"/>
      <c r="K460" s="431"/>
      <c r="L460" s="431"/>
      <c r="M460" s="431"/>
      <c r="N460" s="431"/>
      <c r="O460" s="431"/>
      <c r="P460" s="431"/>
      <c r="Q460" s="431"/>
      <c r="S460" s="464"/>
      <c r="T460" s="431"/>
      <c r="U460" s="431"/>
      <c r="V460" s="431"/>
      <c r="W460" s="431"/>
      <c r="X460" s="431"/>
      <c r="Y460" s="431"/>
      <c r="Z460" s="431"/>
      <c r="AA460" s="431"/>
      <c r="AB460" s="431"/>
      <c r="AC460" s="431"/>
      <c r="AD460" s="431"/>
    </row>
    <row r="461" spans="1:30" s="412" customFormat="1" ht="12.5">
      <c r="A461" s="448">
        <v>10</v>
      </c>
      <c r="B461" s="519" t="s">
        <v>533</v>
      </c>
      <c r="C461" s="519" t="s">
        <v>534</v>
      </c>
      <c r="D461" s="435">
        <v>341</v>
      </c>
      <c r="E461" s="431"/>
      <c r="F461" s="464"/>
      <c r="G461" s="431"/>
      <c r="H461" s="431"/>
      <c r="I461" s="431"/>
      <c r="J461" s="431"/>
      <c r="K461" s="431"/>
      <c r="L461" s="431"/>
      <c r="M461" s="431"/>
      <c r="N461" s="431"/>
      <c r="O461" s="431"/>
      <c r="P461" s="431"/>
      <c r="Q461" s="431"/>
      <c r="S461" s="464"/>
      <c r="T461" s="431"/>
      <c r="U461" s="431"/>
      <c r="V461" s="431"/>
      <c r="W461" s="431"/>
      <c r="X461" s="431"/>
      <c r="Y461" s="431"/>
      <c r="Z461" s="431"/>
      <c r="AA461" s="431"/>
      <c r="AB461" s="431"/>
      <c r="AC461" s="431"/>
      <c r="AD461" s="431"/>
    </row>
    <row r="462" spans="1:30" s="412" customFormat="1" ht="12.5">
      <c r="A462" s="448">
        <v>11</v>
      </c>
      <c r="B462" s="519" t="s">
        <v>535</v>
      </c>
      <c r="C462" s="519" t="s">
        <v>536</v>
      </c>
      <c r="D462" s="435">
        <v>341</v>
      </c>
      <c r="E462" s="431"/>
      <c r="F462" s="464"/>
      <c r="G462" s="431"/>
      <c r="H462" s="431"/>
      <c r="I462" s="431"/>
      <c r="J462" s="431"/>
      <c r="K462" s="431"/>
      <c r="L462" s="431"/>
      <c r="M462" s="431"/>
      <c r="N462" s="431"/>
      <c r="O462" s="431"/>
      <c r="P462" s="431"/>
      <c r="Q462" s="431"/>
      <c r="S462" s="464"/>
      <c r="T462" s="431"/>
      <c r="U462" s="431"/>
      <c r="V462" s="431"/>
      <c r="W462" s="431"/>
      <c r="X462" s="431"/>
      <c r="Y462" s="431"/>
      <c r="Z462" s="431"/>
      <c r="AA462" s="431"/>
      <c r="AB462" s="431"/>
      <c r="AC462" s="431"/>
      <c r="AD462" s="431"/>
    </row>
    <row r="463" spans="1:30" s="412" customFormat="1" ht="12.5">
      <c r="A463" s="448">
        <v>12</v>
      </c>
      <c r="B463" s="519" t="s">
        <v>537</v>
      </c>
      <c r="C463" s="519" t="s">
        <v>538</v>
      </c>
      <c r="D463" s="435">
        <v>341</v>
      </c>
      <c r="E463" s="431"/>
      <c r="F463" s="464"/>
      <c r="G463" s="431"/>
      <c r="H463" s="431"/>
      <c r="I463" s="431"/>
      <c r="J463" s="431"/>
      <c r="K463" s="431"/>
      <c r="L463" s="431"/>
      <c r="M463" s="431"/>
      <c r="N463" s="431"/>
      <c r="O463" s="431"/>
      <c r="P463" s="431"/>
      <c r="Q463" s="431"/>
      <c r="S463" s="464"/>
      <c r="T463" s="431"/>
      <c r="U463" s="431"/>
      <c r="V463" s="431"/>
      <c r="W463" s="431"/>
      <c r="X463" s="431"/>
      <c r="Y463" s="431"/>
      <c r="Z463" s="431"/>
      <c r="AA463" s="431"/>
      <c r="AB463" s="431"/>
      <c r="AC463" s="431"/>
      <c r="AD463" s="431"/>
    </row>
    <row r="464" spans="1:30" s="412" customFormat="1" ht="12.5">
      <c r="A464" s="448">
        <v>13</v>
      </c>
      <c r="B464" s="519" t="s">
        <v>539</v>
      </c>
      <c r="C464" s="519" t="s">
        <v>540</v>
      </c>
      <c r="D464" s="435">
        <v>341</v>
      </c>
      <c r="E464" s="431"/>
      <c r="F464" s="464"/>
      <c r="G464" s="431"/>
      <c r="H464" s="431"/>
      <c r="I464" s="431"/>
      <c r="J464" s="431"/>
      <c r="K464" s="431"/>
      <c r="L464" s="431"/>
      <c r="M464" s="431"/>
      <c r="N464" s="431"/>
      <c r="O464" s="431"/>
      <c r="P464" s="431"/>
      <c r="Q464" s="431"/>
      <c r="S464" s="464"/>
      <c r="T464" s="431"/>
      <c r="U464" s="431"/>
      <c r="V464" s="431"/>
      <c r="W464" s="431"/>
      <c r="X464" s="431"/>
      <c r="Y464" s="431"/>
      <c r="Z464" s="431"/>
      <c r="AA464" s="431"/>
      <c r="AB464" s="431"/>
      <c r="AC464" s="431"/>
      <c r="AD464" s="431"/>
    </row>
    <row r="465" spans="1:30" s="412" customFormat="1" ht="12.5">
      <c r="A465" s="448">
        <v>14</v>
      </c>
      <c r="B465" s="519" t="s">
        <v>541</v>
      </c>
      <c r="C465" s="519" t="s">
        <v>542</v>
      </c>
      <c r="D465" s="435">
        <v>341</v>
      </c>
      <c r="E465" s="431"/>
      <c r="F465" s="464"/>
      <c r="G465" s="431"/>
      <c r="H465" s="431"/>
      <c r="I465" s="431"/>
      <c r="J465" s="431"/>
      <c r="K465" s="431"/>
      <c r="L465" s="431"/>
      <c r="M465" s="431"/>
      <c r="N465" s="431"/>
      <c r="O465" s="431"/>
      <c r="P465" s="431"/>
      <c r="Q465" s="431"/>
      <c r="S465" s="464"/>
      <c r="T465" s="431"/>
      <c r="U465" s="431"/>
      <c r="V465" s="431"/>
      <c r="W465" s="431"/>
      <c r="X465" s="431"/>
      <c r="Y465" s="431"/>
      <c r="Z465" s="431"/>
      <c r="AA465" s="431"/>
      <c r="AB465" s="431"/>
      <c r="AC465" s="431"/>
      <c r="AD465" s="431"/>
    </row>
    <row r="466" spans="1:30" s="412" customFormat="1" ht="12.5">
      <c r="A466" s="448">
        <v>15</v>
      </c>
      <c r="B466" s="519" t="s">
        <v>543</v>
      </c>
      <c r="C466" s="519" t="s">
        <v>544</v>
      </c>
      <c r="D466" s="435">
        <v>341</v>
      </c>
      <c r="E466" s="431"/>
      <c r="F466" s="464"/>
      <c r="G466" s="431"/>
      <c r="H466" s="431"/>
      <c r="I466" s="431"/>
      <c r="J466" s="431"/>
      <c r="K466" s="431"/>
      <c r="L466" s="431"/>
      <c r="M466" s="431"/>
      <c r="N466" s="431"/>
      <c r="O466" s="431"/>
      <c r="P466" s="431"/>
      <c r="Q466" s="431"/>
      <c r="S466" s="464"/>
      <c r="T466" s="431"/>
      <c r="U466" s="431"/>
      <c r="V466" s="431"/>
      <c r="W466" s="431"/>
      <c r="X466" s="431"/>
      <c r="Y466" s="431"/>
      <c r="Z466" s="431"/>
      <c r="AA466" s="431"/>
      <c r="AB466" s="431"/>
      <c r="AC466" s="431"/>
      <c r="AD466" s="431"/>
    </row>
    <row r="467" spans="1:30" s="412" customFormat="1" ht="12.5">
      <c r="A467" s="448">
        <v>16</v>
      </c>
      <c r="B467" s="519" t="s">
        <v>545</v>
      </c>
      <c r="C467" s="519" t="s">
        <v>546</v>
      </c>
      <c r="D467" s="435">
        <v>341</v>
      </c>
      <c r="E467" s="431"/>
      <c r="F467" s="464"/>
      <c r="G467" s="431"/>
      <c r="H467" s="431"/>
      <c r="I467" s="431"/>
      <c r="J467" s="431"/>
      <c r="K467" s="431"/>
      <c r="L467" s="431"/>
      <c r="M467" s="431"/>
      <c r="N467" s="431"/>
      <c r="O467" s="431"/>
      <c r="P467" s="431"/>
      <c r="Q467" s="431"/>
      <c r="S467" s="464"/>
      <c r="T467" s="431"/>
      <c r="U467" s="431"/>
      <c r="V467" s="431"/>
      <c r="W467" s="431"/>
      <c r="X467" s="431"/>
      <c r="Y467" s="431"/>
      <c r="Z467" s="431"/>
      <c r="AA467" s="431"/>
      <c r="AB467" s="431"/>
      <c r="AC467" s="431"/>
      <c r="AD467" s="431"/>
    </row>
    <row r="468" spans="1:30" s="412" customFormat="1" ht="12.5">
      <c r="A468" s="448">
        <v>17</v>
      </c>
      <c r="B468" s="519" t="s">
        <v>547</v>
      </c>
      <c r="C468" s="519" t="s">
        <v>548</v>
      </c>
      <c r="D468" s="435">
        <v>341</v>
      </c>
      <c r="E468" s="431"/>
      <c r="F468" s="464"/>
      <c r="G468" s="431"/>
      <c r="H468" s="431"/>
      <c r="I468" s="431"/>
      <c r="J468" s="431"/>
      <c r="K468" s="431"/>
      <c r="L468" s="431"/>
      <c r="M468" s="431"/>
      <c r="N468" s="431"/>
      <c r="O468" s="431"/>
      <c r="P468" s="431"/>
      <c r="Q468" s="431"/>
      <c r="S468" s="464"/>
      <c r="T468" s="431"/>
      <c r="U468" s="431"/>
      <c r="V468" s="431"/>
      <c r="W468" s="431"/>
      <c r="X468" s="431"/>
      <c r="Y468" s="431"/>
      <c r="Z468" s="431"/>
      <c r="AA468" s="431"/>
      <c r="AB468" s="431"/>
      <c r="AC468" s="431"/>
      <c r="AD468" s="431"/>
    </row>
    <row r="469" spans="1:30" s="412" customFormat="1" ht="12.5">
      <c r="A469" s="448">
        <v>18</v>
      </c>
      <c r="B469" s="519" t="s">
        <v>549</v>
      </c>
      <c r="C469" s="519" t="s">
        <v>550</v>
      </c>
      <c r="D469" s="435">
        <v>341</v>
      </c>
      <c r="E469" s="431"/>
      <c r="F469" s="464"/>
      <c r="G469" s="431"/>
      <c r="H469" s="431"/>
      <c r="I469" s="431"/>
      <c r="J469" s="431"/>
      <c r="K469" s="431"/>
      <c r="L469" s="431"/>
      <c r="M469" s="431"/>
      <c r="N469" s="431"/>
      <c r="O469" s="431"/>
      <c r="P469" s="431"/>
      <c r="Q469" s="431"/>
      <c r="S469" s="464"/>
      <c r="T469" s="431"/>
      <c r="U469" s="431"/>
      <c r="V469" s="431"/>
      <c r="W469" s="431"/>
      <c r="X469" s="431"/>
      <c r="Y469" s="431"/>
      <c r="Z469" s="431"/>
      <c r="AA469" s="431"/>
      <c r="AB469" s="431"/>
      <c r="AC469" s="431"/>
      <c r="AD469" s="431"/>
    </row>
    <row r="470" spans="1:30" s="412" customFormat="1" ht="12.5">
      <c r="A470" s="448">
        <v>19</v>
      </c>
      <c r="B470" s="461" t="s">
        <v>551</v>
      </c>
      <c r="C470" s="461" t="s">
        <v>552</v>
      </c>
      <c r="D470" s="435">
        <v>341</v>
      </c>
      <c r="E470" s="431"/>
      <c r="F470" s="464"/>
      <c r="G470" s="431"/>
      <c r="H470" s="431"/>
      <c r="I470" s="431"/>
      <c r="J470" s="431"/>
      <c r="K470" s="431"/>
      <c r="L470" s="431"/>
      <c r="M470" s="431"/>
      <c r="N470" s="431"/>
      <c r="O470" s="431"/>
      <c r="P470" s="431"/>
      <c r="Q470" s="431"/>
      <c r="S470" s="464"/>
      <c r="T470" s="431"/>
      <c r="U470" s="431"/>
      <c r="V470" s="431"/>
      <c r="W470" s="431"/>
      <c r="X470" s="431"/>
      <c r="Y470" s="431"/>
      <c r="Z470" s="431"/>
      <c r="AA470" s="431"/>
      <c r="AB470" s="431"/>
      <c r="AC470" s="431"/>
      <c r="AD470" s="431"/>
    </row>
    <row r="471" spans="1:30" s="412" customFormat="1" ht="12.5">
      <c r="A471" s="448">
        <v>20</v>
      </c>
      <c r="B471" s="519" t="s">
        <v>553</v>
      </c>
      <c r="C471" s="519" t="s">
        <v>554</v>
      </c>
      <c r="D471" s="435">
        <v>341</v>
      </c>
      <c r="E471" s="431"/>
      <c r="F471" s="464"/>
      <c r="G471" s="431"/>
      <c r="H471" s="431"/>
      <c r="I471" s="431"/>
      <c r="J471" s="431"/>
      <c r="K471" s="431"/>
      <c r="L471" s="431"/>
      <c r="M471" s="431"/>
      <c r="N471" s="431"/>
      <c r="O471" s="431"/>
      <c r="P471" s="431"/>
      <c r="Q471" s="431"/>
      <c r="S471" s="464"/>
      <c r="T471" s="431"/>
      <c r="U471" s="431"/>
      <c r="V471" s="431"/>
      <c r="W471" s="431"/>
      <c r="X471" s="431"/>
      <c r="Y471" s="431"/>
      <c r="Z471" s="431"/>
      <c r="AA471" s="431"/>
      <c r="AB471" s="431"/>
      <c r="AC471" s="431"/>
      <c r="AD471" s="431"/>
    </row>
    <row r="472" spans="1:30" s="412" customFormat="1" ht="12.5">
      <c r="A472" s="448">
        <v>21</v>
      </c>
      <c r="B472" s="519" t="s">
        <v>555</v>
      </c>
      <c r="C472" s="519" t="s">
        <v>556</v>
      </c>
      <c r="D472" s="435">
        <v>341</v>
      </c>
      <c r="E472" s="431"/>
      <c r="F472" s="464"/>
      <c r="G472" s="431"/>
      <c r="H472" s="431"/>
      <c r="I472" s="431"/>
      <c r="J472" s="431"/>
      <c r="K472" s="431"/>
      <c r="L472" s="431"/>
      <c r="M472" s="431"/>
      <c r="N472" s="431"/>
      <c r="O472" s="431"/>
      <c r="P472" s="431"/>
      <c r="Q472" s="431"/>
      <c r="S472" s="464"/>
      <c r="T472" s="431"/>
      <c r="U472" s="431"/>
      <c r="V472" s="431"/>
      <c r="W472" s="431"/>
      <c r="X472" s="431"/>
      <c r="Y472" s="431"/>
      <c r="Z472" s="431"/>
      <c r="AA472" s="431"/>
      <c r="AB472" s="431"/>
      <c r="AC472" s="431"/>
      <c r="AD472" s="431"/>
    </row>
    <row r="473" spans="1:30" s="412" customFormat="1" ht="12.5">
      <c r="A473" s="448">
        <v>22</v>
      </c>
      <c r="B473" s="519" t="s">
        <v>557</v>
      </c>
      <c r="C473" s="519" t="s">
        <v>558</v>
      </c>
      <c r="D473" s="435">
        <v>341</v>
      </c>
      <c r="E473" s="431"/>
      <c r="F473" s="464"/>
      <c r="G473" s="431"/>
      <c r="H473" s="431"/>
      <c r="I473" s="431"/>
      <c r="J473" s="431"/>
      <c r="K473" s="431"/>
      <c r="L473" s="431"/>
      <c r="M473" s="431"/>
      <c r="N473" s="431"/>
      <c r="O473" s="431"/>
      <c r="P473" s="431"/>
      <c r="Q473" s="431"/>
      <c r="S473" s="464"/>
      <c r="T473" s="431"/>
      <c r="U473" s="431"/>
      <c r="V473" s="431"/>
      <c r="W473" s="431"/>
      <c r="X473" s="431"/>
      <c r="Y473" s="431"/>
      <c r="Z473" s="431"/>
      <c r="AA473" s="431"/>
      <c r="AB473" s="431"/>
      <c r="AC473" s="431"/>
      <c r="AD473" s="431"/>
    </row>
    <row r="474" spans="1:30" s="412" customFormat="1">
      <c r="A474" s="488"/>
      <c r="B474" s="519"/>
      <c r="C474" s="519"/>
      <c r="D474" s="435"/>
      <c r="E474" s="431"/>
      <c r="F474" s="464"/>
      <c r="G474" s="431"/>
      <c r="H474" s="431"/>
      <c r="I474" s="431"/>
      <c r="J474" s="431"/>
      <c r="K474" s="431"/>
      <c r="L474" s="431"/>
      <c r="M474" s="431"/>
      <c r="N474" s="431"/>
      <c r="O474" s="431"/>
      <c r="P474" s="431"/>
      <c r="Q474" s="431"/>
      <c r="S474" s="464"/>
      <c r="T474" s="431"/>
      <c r="U474" s="431"/>
      <c r="V474" s="431"/>
      <c r="W474" s="431"/>
      <c r="X474" s="431"/>
      <c r="Y474" s="431"/>
      <c r="Z474" s="431"/>
      <c r="AA474" s="431"/>
      <c r="AB474" s="431"/>
      <c r="AC474" s="431"/>
      <c r="AD474" s="431"/>
    </row>
    <row r="475" spans="1:30" s="412" customFormat="1">
      <c r="A475" s="488"/>
      <c r="B475" s="524" t="s">
        <v>616</v>
      </c>
      <c r="C475" s="524"/>
      <c r="D475" s="523"/>
      <c r="E475" s="431"/>
      <c r="F475" s="464"/>
      <c r="G475" s="431"/>
      <c r="H475" s="431"/>
      <c r="I475" s="431"/>
      <c r="J475" s="431"/>
      <c r="K475" s="431"/>
      <c r="L475" s="431"/>
      <c r="M475" s="431"/>
      <c r="N475" s="431"/>
      <c r="O475" s="431"/>
      <c r="P475" s="431"/>
      <c r="Q475" s="431"/>
      <c r="S475" s="464"/>
      <c r="T475" s="431"/>
      <c r="U475" s="431"/>
      <c r="V475" s="431"/>
      <c r="W475" s="431"/>
      <c r="X475" s="431"/>
      <c r="Y475" s="431"/>
      <c r="Z475" s="431"/>
      <c r="AA475" s="431"/>
      <c r="AB475" s="431"/>
      <c r="AC475" s="431"/>
      <c r="AD475" s="431"/>
    </row>
    <row r="476" spans="1:30" s="412" customFormat="1">
      <c r="A476" s="488"/>
      <c r="B476" s="519" t="s">
        <v>582</v>
      </c>
      <c r="C476" s="519"/>
      <c r="D476" s="435">
        <v>341</v>
      </c>
      <c r="E476" s="431"/>
      <c r="F476" s="464"/>
      <c r="G476" s="431"/>
      <c r="H476" s="431"/>
      <c r="I476" s="431"/>
      <c r="J476" s="431"/>
      <c r="K476" s="431"/>
      <c r="L476" s="431"/>
      <c r="M476" s="431"/>
      <c r="N476" s="431"/>
      <c r="O476" s="431"/>
      <c r="P476" s="431"/>
      <c r="Q476" s="431"/>
      <c r="S476" s="464"/>
      <c r="T476" s="431"/>
      <c r="U476" s="431"/>
      <c r="V476" s="431"/>
      <c r="W476" s="431"/>
      <c r="X476" s="431"/>
      <c r="Y476" s="431"/>
      <c r="Z476" s="431"/>
      <c r="AA476" s="431"/>
      <c r="AB476" s="431"/>
      <c r="AC476" s="431"/>
      <c r="AD476" s="431"/>
    </row>
    <row r="477" spans="1:30" s="412" customFormat="1">
      <c r="A477" s="488"/>
      <c r="B477" s="519" t="s">
        <v>619</v>
      </c>
      <c r="C477" s="519"/>
      <c r="D477" s="435">
        <v>341</v>
      </c>
      <c r="E477" s="431"/>
      <c r="F477" s="464"/>
      <c r="G477" s="431"/>
      <c r="H477" s="431"/>
      <c r="I477" s="431"/>
      <c r="J477" s="431"/>
      <c r="K477" s="431"/>
      <c r="L477" s="431"/>
      <c r="M477" s="431"/>
      <c r="N477" s="431"/>
      <c r="O477" s="431"/>
      <c r="P477" s="431"/>
      <c r="Q477" s="431"/>
      <c r="S477" s="464"/>
      <c r="T477" s="431"/>
      <c r="U477" s="431"/>
      <c r="V477" s="431"/>
      <c r="W477" s="431"/>
      <c r="X477" s="431"/>
      <c r="Y477" s="431"/>
      <c r="Z477" s="431"/>
      <c r="AA477" s="431"/>
      <c r="AB477" s="431"/>
      <c r="AC477" s="431"/>
      <c r="AD477" s="431"/>
    </row>
    <row r="478" spans="1:30" s="412" customFormat="1">
      <c r="A478" s="525"/>
      <c r="B478" s="515"/>
      <c r="C478" s="515"/>
      <c r="D478" s="440"/>
      <c r="E478" s="440"/>
      <c r="F478" s="444"/>
      <c r="G478" s="440"/>
      <c r="H478" s="440"/>
      <c r="I478" s="440"/>
      <c r="J478" s="440"/>
      <c r="K478" s="440"/>
      <c r="L478" s="440"/>
      <c r="M478" s="440"/>
      <c r="N478" s="440"/>
      <c r="O478" s="440"/>
      <c r="P478" s="440"/>
      <c r="Q478" s="440"/>
      <c r="S478" s="444"/>
      <c r="T478" s="440"/>
      <c r="U478" s="440"/>
      <c r="V478" s="440"/>
      <c r="W478" s="440"/>
      <c r="X478" s="440"/>
      <c r="Y478" s="440"/>
      <c r="Z478" s="440"/>
      <c r="AA478" s="440"/>
      <c r="AB478" s="440"/>
      <c r="AC478" s="440"/>
      <c r="AD478" s="440"/>
    </row>
    <row r="479" spans="1:30" s="412" customFormat="1">
      <c r="A479" s="553" t="s">
        <v>620</v>
      </c>
      <c r="B479" s="541" t="s">
        <v>621</v>
      </c>
      <c r="C479" s="541"/>
      <c r="D479" s="555"/>
      <c r="E479" s="555"/>
      <c r="F479" s="569" t="s">
        <v>624</v>
      </c>
      <c r="G479" s="569" t="s">
        <v>484</v>
      </c>
      <c r="H479" s="569" t="s">
        <v>485</v>
      </c>
      <c r="I479" s="569" t="s">
        <v>486</v>
      </c>
      <c r="J479" s="569" t="s">
        <v>487</v>
      </c>
      <c r="K479" s="569" t="s">
        <v>488</v>
      </c>
      <c r="L479" s="569" t="s">
        <v>489</v>
      </c>
      <c r="M479" s="569" t="s">
        <v>490</v>
      </c>
      <c r="N479" s="569" t="s">
        <v>491</v>
      </c>
      <c r="O479" s="569" t="s">
        <v>492</v>
      </c>
      <c r="P479" s="569" t="s">
        <v>493</v>
      </c>
      <c r="Q479" s="569" t="s">
        <v>494</v>
      </c>
      <c r="S479" s="539" t="s">
        <v>483</v>
      </c>
      <c r="T479" s="539" t="s">
        <v>484</v>
      </c>
      <c r="U479" s="539" t="s">
        <v>485</v>
      </c>
      <c r="V479" s="539" t="s">
        <v>486</v>
      </c>
      <c r="W479" s="539" t="s">
        <v>487</v>
      </c>
      <c r="X479" s="539" t="s">
        <v>488</v>
      </c>
      <c r="Y479" s="539" t="s">
        <v>489</v>
      </c>
      <c r="Z479" s="539" t="s">
        <v>490</v>
      </c>
      <c r="AA479" s="539" t="s">
        <v>491</v>
      </c>
      <c r="AB479" s="539" t="s">
        <v>492</v>
      </c>
      <c r="AC479" s="539" t="s">
        <v>493</v>
      </c>
      <c r="AD479" s="539" t="s">
        <v>494</v>
      </c>
    </row>
    <row r="480" spans="1:30" s="412" customFormat="1">
      <c r="A480" s="573"/>
      <c r="B480" s="557" t="s">
        <v>582</v>
      </c>
      <c r="C480" s="557"/>
      <c r="D480" s="557" t="s">
        <v>622</v>
      </c>
      <c r="E480" s="557"/>
      <c r="F480" s="550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S480" s="550"/>
      <c r="T480" s="557"/>
      <c r="U480" s="557"/>
      <c r="V480" s="557"/>
      <c r="W480" s="557"/>
      <c r="X480" s="557"/>
      <c r="Y480" s="557"/>
      <c r="Z480" s="557"/>
      <c r="AA480" s="557"/>
      <c r="AB480" s="557"/>
      <c r="AC480" s="557"/>
      <c r="AD480" s="557"/>
    </row>
    <row r="481" spans="1:30" s="412" customFormat="1">
      <c r="A481" s="525"/>
      <c r="B481" s="472"/>
      <c r="C481" s="472"/>
      <c r="D481" s="440"/>
      <c r="E481" s="440"/>
      <c r="F481" s="444"/>
      <c r="G481" s="440"/>
      <c r="H481" s="440"/>
      <c r="I481" s="440"/>
      <c r="J481" s="440"/>
      <c r="K481" s="440"/>
      <c r="L481" s="440"/>
      <c r="M481" s="440"/>
      <c r="N481" s="440"/>
      <c r="O481" s="440"/>
      <c r="P481" s="440"/>
      <c r="Q481" s="440"/>
      <c r="S481" s="444"/>
      <c r="T481" s="440"/>
      <c r="U481" s="440"/>
      <c r="V481" s="440"/>
      <c r="W481" s="440"/>
      <c r="X481" s="440"/>
      <c r="Y481" s="440"/>
      <c r="Z481" s="440"/>
      <c r="AA481" s="440"/>
      <c r="AB481" s="440"/>
      <c r="AC481" s="440"/>
      <c r="AD481" s="440"/>
    </row>
  </sheetData>
  <pageMargins left="0.7" right="0.7" top="0.75" bottom="0.75" header="0.3" footer="0.3"/>
  <pageSetup paperSize="9" orientation="portrait" r:id="rId1"/>
  <ignoredErrors>
    <ignoredError sqref="R194:R19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19A6-0A25-45F1-BCA0-1D7BDF1819B1}">
  <dimension ref="A1"/>
  <sheetViews>
    <sheetView workbookViewId="0">
      <selection activeCell="Q10" sqref="Q10"/>
    </sheetView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141178-5C6A-4397-8981-3105C653B1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69F7AB-D27D-472E-BBF6-66D358491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D8A7E0-E32D-4343-AC62-8CA6424FD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Phu luc SX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Cư, Lê Hoành</cp:lastModifiedBy>
  <cp:revision/>
  <dcterms:created xsi:type="dcterms:W3CDTF">2025-10-30T02:59:14Z</dcterms:created>
  <dcterms:modified xsi:type="dcterms:W3CDTF">2026-06-08T14:36:26Z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