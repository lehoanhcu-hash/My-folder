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ta\GĐ Tài chính\Trạm\Dự án phát triển Trạm\Trạm Tân Đại Phát\"/>
    </mc:Choice>
  </mc:AlternateContent>
  <xr:revisionPtr revIDLastSave="0" documentId="8_{B686D2A9-E595-42F3-87D7-6D4F6C7EAF2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Đầu tư" sheetId="1" r:id="rId1"/>
    <sheet name="Công suất" sheetId="2" r:id="rId2"/>
    <sheet name="Sơ đồ tổ chức" sheetId="4" state="hidden" r:id="rId3"/>
    <sheet name="Định biên nhân sự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3" i="3" l="1"/>
  <c r="H61" i="3"/>
  <c r="L6" i="2" l="1"/>
  <c r="L9" i="2"/>
  <c r="Q62" i="3"/>
  <c r="P61" i="3"/>
  <c r="O61" i="3"/>
  <c r="N61" i="3"/>
  <c r="M61" i="3"/>
  <c r="L61" i="3"/>
  <c r="K61" i="3"/>
  <c r="J61" i="3"/>
  <c r="I61" i="3"/>
  <c r="G61" i="3"/>
  <c r="F61" i="3"/>
  <c r="E61" i="3"/>
  <c r="Q60" i="3"/>
  <c r="P59" i="3"/>
  <c r="O59" i="3"/>
  <c r="N59" i="3"/>
  <c r="M59" i="3"/>
  <c r="L59" i="3"/>
  <c r="K59" i="3"/>
  <c r="J59" i="3"/>
  <c r="I59" i="3"/>
  <c r="H59" i="3"/>
  <c r="G59" i="3"/>
  <c r="F59" i="3"/>
  <c r="E59" i="3"/>
  <c r="Q59" i="3" l="1"/>
  <c r="Q61" i="3"/>
  <c r="H7" i="2"/>
  <c r="I7" i="2" s="1"/>
  <c r="J7" i="2" s="1"/>
  <c r="K8" i="2"/>
  <c r="J6" i="2"/>
  <c r="K6" i="2" s="1"/>
  <c r="L7" i="2" s="1"/>
  <c r="L8" i="2" s="1"/>
  <c r="Q37" i="3"/>
  <c r="Q38" i="3"/>
  <c r="Q39" i="3"/>
  <c r="Q41" i="3"/>
  <c r="Q42" i="3"/>
  <c r="Q45" i="3"/>
  <c r="Q46" i="3"/>
  <c r="Q47" i="3"/>
  <c r="Q49" i="3"/>
  <c r="Q51" i="3"/>
  <c r="Q52" i="3"/>
  <c r="Q53" i="3"/>
  <c r="Q54" i="3"/>
  <c r="Q21" i="3"/>
  <c r="Q23" i="3"/>
  <c r="Q25" i="3"/>
  <c r="Q27" i="3"/>
  <c r="Q29" i="3"/>
  <c r="Q31" i="3"/>
  <c r="Q33" i="3"/>
  <c r="Q35" i="3"/>
  <c r="Q16" i="3"/>
  <c r="Q17" i="3"/>
  <c r="Q18" i="3"/>
  <c r="Q19" i="3"/>
  <c r="Q9" i="3"/>
  <c r="Q10" i="3"/>
  <c r="Q11" i="3"/>
  <c r="Q12" i="3"/>
  <c r="Q13" i="3"/>
  <c r="Q14" i="3"/>
  <c r="Q6" i="3"/>
  <c r="Q7" i="3"/>
  <c r="Q5" i="3"/>
  <c r="E50" i="3"/>
  <c r="F48" i="3"/>
  <c r="G48" i="3"/>
  <c r="H48" i="3"/>
  <c r="E48" i="3"/>
  <c r="E36" i="3"/>
  <c r="G15" i="3"/>
  <c r="E15" i="3"/>
  <c r="E8" i="3"/>
  <c r="F4" i="3"/>
  <c r="G4" i="3"/>
  <c r="H4" i="3"/>
  <c r="I4" i="3"/>
  <c r="J4" i="3"/>
  <c r="K4" i="3"/>
  <c r="L4" i="3"/>
  <c r="M4" i="3"/>
  <c r="N4" i="3"/>
  <c r="O4" i="3"/>
  <c r="P4" i="3"/>
  <c r="E4" i="3"/>
  <c r="P50" i="3"/>
  <c r="O50" i="3"/>
  <c r="N50" i="3"/>
  <c r="M50" i="3"/>
  <c r="L50" i="3"/>
  <c r="K50" i="3"/>
  <c r="J50" i="3"/>
  <c r="I50" i="3"/>
  <c r="H50" i="3"/>
  <c r="G50" i="3"/>
  <c r="F50" i="3"/>
  <c r="P44" i="3"/>
  <c r="O44" i="3"/>
  <c r="N44" i="3"/>
  <c r="M44" i="3"/>
  <c r="L44" i="3"/>
  <c r="K44" i="3"/>
  <c r="J44" i="3"/>
  <c r="I44" i="3"/>
  <c r="H44" i="3"/>
  <c r="H43" i="3" s="1"/>
  <c r="G44" i="3"/>
  <c r="G43" i="3" s="1"/>
  <c r="F44" i="3"/>
  <c r="F43" i="3" s="1"/>
  <c r="E44" i="3"/>
  <c r="E43" i="3" s="1"/>
  <c r="P40" i="3"/>
  <c r="O40" i="3"/>
  <c r="N40" i="3"/>
  <c r="M40" i="3"/>
  <c r="L40" i="3"/>
  <c r="K40" i="3"/>
  <c r="J40" i="3"/>
  <c r="I40" i="3"/>
  <c r="H40" i="3"/>
  <c r="G40" i="3"/>
  <c r="F40" i="3"/>
  <c r="E40" i="3"/>
  <c r="P36" i="3"/>
  <c r="O36" i="3"/>
  <c r="N36" i="3"/>
  <c r="M36" i="3"/>
  <c r="L36" i="3"/>
  <c r="K36" i="3"/>
  <c r="J36" i="3"/>
  <c r="I36" i="3"/>
  <c r="H36" i="3"/>
  <c r="G36" i="3"/>
  <c r="F36" i="3"/>
  <c r="P34" i="3"/>
  <c r="O34" i="3"/>
  <c r="N34" i="3"/>
  <c r="M34" i="3"/>
  <c r="L34" i="3"/>
  <c r="K34" i="3"/>
  <c r="J34" i="3"/>
  <c r="I34" i="3"/>
  <c r="H34" i="3"/>
  <c r="G34" i="3"/>
  <c r="F34" i="3"/>
  <c r="E34" i="3"/>
  <c r="P32" i="3"/>
  <c r="O32" i="3"/>
  <c r="N32" i="3"/>
  <c r="M32" i="3"/>
  <c r="L32" i="3"/>
  <c r="K32" i="3"/>
  <c r="J32" i="3"/>
  <c r="I32" i="3"/>
  <c r="H32" i="3"/>
  <c r="G32" i="3"/>
  <c r="F32" i="3"/>
  <c r="E32" i="3"/>
  <c r="P30" i="3"/>
  <c r="O30" i="3"/>
  <c r="N30" i="3"/>
  <c r="M30" i="3"/>
  <c r="L30" i="3"/>
  <c r="K30" i="3"/>
  <c r="J30" i="3"/>
  <c r="I30" i="3"/>
  <c r="H30" i="3"/>
  <c r="G30" i="3"/>
  <c r="F30" i="3"/>
  <c r="E30" i="3"/>
  <c r="P28" i="3"/>
  <c r="O28" i="3"/>
  <c r="N28" i="3"/>
  <c r="M28" i="3"/>
  <c r="L28" i="3"/>
  <c r="K28" i="3"/>
  <c r="J28" i="3"/>
  <c r="I28" i="3"/>
  <c r="H28" i="3"/>
  <c r="G28" i="3"/>
  <c r="F28" i="3"/>
  <c r="E28" i="3"/>
  <c r="P26" i="3"/>
  <c r="O26" i="3"/>
  <c r="N26" i="3"/>
  <c r="M26" i="3"/>
  <c r="L26" i="3"/>
  <c r="K26" i="3"/>
  <c r="J26" i="3"/>
  <c r="I26" i="3"/>
  <c r="H26" i="3"/>
  <c r="G26" i="3"/>
  <c r="F26" i="3"/>
  <c r="E26" i="3"/>
  <c r="P24" i="3"/>
  <c r="O24" i="3"/>
  <c r="N24" i="3"/>
  <c r="M24" i="3"/>
  <c r="L24" i="3"/>
  <c r="K24" i="3"/>
  <c r="J24" i="3"/>
  <c r="I24" i="3"/>
  <c r="H24" i="3"/>
  <c r="G24" i="3"/>
  <c r="F24" i="3"/>
  <c r="E24" i="3"/>
  <c r="P22" i="3"/>
  <c r="O22" i="3"/>
  <c r="N22" i="3"/>
  <c r="M22" i="3"/>
  <c r="L22" i="3"/>
  <c r="K22" i="3"/>
  <c r="J22" i="3"/>
  <c r="I22" i="3"/>
  <c r="H22" i="3"/>
  <c r="G22" i="3"/>
  <c r="F22" i="3"/>
  <c r="E22" i="3"/>
  <c r="P20" i="3"/>
  <c r="O20" i="3"/>
  <c r="N20" i="3"/>
  <c r="M20" i="3"/>
  <c r="L20" i="3"/>
  <c r="K20" i="3"/>
  <c r="J20" i="3"/>
  <c r="I20" i="3"/>
  <c r="H20" i="3"/>
  <c r="G20" i="3"/>
  <c r="F20" i="3"/>
  <c r="E20" i="3"/>
  <c r="P15" i="3"/>
  <c r="O15" i="3"/>
  <c r="N15" i="3"/>
  <c r="M15" i="3"/>
  <c r="L15" i="3"/>
  <c r="K15" i="3"/>
  <c r="J15" i="3"/>
  <c r="I15" i="3"/>
  <c r="H15" i="3"/>
  <c r="F15" i="3"/>
  <c r="P8" i="3"/>
  <c r="O8" i="3"/>
  <c r="N8" i="3"/>
  <c r="M8" i="3"/>
  <c r="L8" i="3"/>
  <c r="K8" i="3"/>
  <c r="J8" i="3"/>
  <c r="I8" i="3"/>
  <c r="H8" i="3"/>
  <c r="G8" i="3"/>
  <c r="F8" i="3"/>
  <c r="M2" i="3" l="1"/>
  <c r="Q50" i="3"/>
  <c r="Q44" i="3"/>
  <c r="M9" i="2"/>
  <c r="M8" i="2"/>
  <c r="Q20" i="3"/>
  <c r="Q28" i="3"/>
  <c r="Q36" i="3"/>
  <c r="Q4" i="3"/>
  <c r="Q8" i="3"/>
  <c r="Q22" i="3"/>
  <c r="Q24" i="3"/>
  <c r="Q26" i="3"/>
  <c r="Q30" i="3"/>
  <c r="Q32" i="3"/>
  <c r="Q34" i="3"/>
  <c r="Q15" i="3"/>
  <c r="K7" i="2"/>
  <c r="Q40" i="3"/>
  <c r="F55" i="3"/>
  <c r="E55" i="3"/>
  <c r="G55" i="3"/>
  <c r="H55" i="3"/>
  <c r="J48" i="3"/>
  <c r="I48" i="3"/>
  <c r="P48" i="3"/>
  <c r="O48" i="3"/>
  <c r="N48" i="3"/>
  <c r="M48" i="3"/>
  <c r="L48" i="3"/>
  <c r="K48" i="3"/>
  <c r="K43" i="3" l="1"/>
  <c r="K55" i="3" s="1"/>
  <c r="K57" i="3"/>
  <c r="L43" i="3"/>
  <c r="L55" i="3" s="1"/>
  <c r="L57" i="3"/>
  <c r="M43" i="3"/>
  <c r="M55" i="3" s="1"/>
  <c r="M57" i="3"/>
  <c r="N43" i="3"/>
  <c r="N55" i="3" s="1"/>
  <c r="N57" i="3"/>
  <c r="O43" i="3"/>
  <c r="O55" i="3" s="1"/>
  <c r="O57" i="3"/>
  <c r="P43" i="3"/>
  <c r="P55" i="3" s="1"/>
  <c r="P58" i="3" s="1"/>
  <c r="P57" i="3"/>
  <c r="I43" i="3"/>
  <c r="Q48" i="3"/>
  <c r="Q57" i="3" s="1"/>
  <c r="I57" i="3"/>
  <c r="J43" i="3"/>
  <c r="J57" i="3"/>
  <c r="I55" i="3"/>
  <c r="I58" i="3" s="1"/>
  <c r="O58" i="3" l="1"/>
  <c r="N58" i="3"/>
  <c r="L58" i="3"/>
  <c r="J55" i="3"/>
  <c r="J58" i="3" s="1"/>
  <c r="Q43" i="3"/>
  <c r="K58" i="3"/>
  <c r="M58" i="3"/>
  <c r="Q55" i="3" l="1"/>
  <c r="Q58" i="3" s="1"/>
  <c r="Q1" i="3"/>
</calcChain>
</file>

<file path=xl/sharedStrings.xml><?xml version="1.0" encoding="utf-8"?>
<sst xmlns="http://schemas.openxmlformats.org/spreadsheetml/2006/main" count="202" uniqueCount="192">
  <si>
    <t>STT</t>
  </si>
  <si>
    <t>Bộ phận chuyên môn soát xét</t>
  </si>
  <si>
    <t>Thiết bị quản lý</t>
  </si>
  <si>
    <t xml:space="preserve">Hệ thống CNTT </t>
  </si>
  <si>
    <t>Phương tiện vận tải</t>
  </si>
  <si>
    <t>Xây dựng cơ bản</t>
  </si>
  <si>
    <t>- Bể chứa nước (xử lý nắp chai, tạp chất,....)</t>
  </si>
  <si>
    <t>- VP làm việc, phòng họp, nhà ăn, nhà vệ sinh</t>
  </si>
  <si>
    <t>- Hàng rào bảo vệ, nhà bảo vệ, kho chứa hàng</t>
  </si>
  <si>
    <t>- Cải tạo hệ thống điện nhà xưởng, tram biến thế</t>
  </si>
  <si>
    <t>- Cải tạo đường nội bộ, hệ thống thoát nước</t>
  </si>
  <si>
    <t>- Cải tạo nhà xưởng thuê</t>
  </si>
  <si>
    <t>Hạng mục đầu tư</t>
  </si>
  <si>
    <t>Hạn mục chi tiết</t>
  </si>
  <si>
    <t>P.HCNS</t>
  </si>
  <si>
    <t>P.IT</t>
  </si>
  <si>
    <t>P.XDCB</t>
  </si>
  <si>
    <t>Các phòng ban liên quan</t>
  </si>
  <si>
    <t>- Máy vi tính nhân viên</t>
  </si>
  <si>
    <t>- Máy photo, máy in, tivi phòng họp,…</t>
  </si>
  <si>
    <t>- Bàn, ghế phòng họp,…</t>
  </si>
  <si>
    <t>- SAP</t>
  </si>
  <si>
    <t>- Sales force</t>
  </si>
  <si>
    <t>- Hệ thống internet, wifi, server</t>
  </si>
  <si>
    <t>- Hệ thống camera giám sát,…</t>
  </si>
  <si>
    <t>- Xe nâng</t>
  </si>
  <si>
    <t>- Xe tải đi gom chai</t>
  </si>
  <si>
    <t>- Trạm cân xe tải</t>
  </si>
  <si>
    <t>Công suất thành phẩm cả chuyền</t>
  </si>
  <si>
    <t>1 - Cấp liệu</t>
  </si>
  <si>
    <t>Công sản xuất:</t>
  </si>
  <si>
    <t>Tên máy móc thiết bị:</t>
  </si>
  <si>
    <t>Chuyền phân loại</t>
  </si>
  <si>
    <t>Giả định hao hụt 10%</t>
  </si>
  <si>
    <t>KẾ HOẠCH GIÁ TRỊ ĐẦU TƯ TRẠM HỒ CHÍ MINH</t>
  </si>
  <si>
    <t>Phòng ban</t>
  </si>
  <si>
    <t>Tài khoản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</si>
  <si>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</si>
  <si>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</si>
  <si>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</si>
  <si>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</si>
  <si>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</si>
  <si>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</si>
  <si>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</si>
  <si>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</si>
  <si>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</si>
  <si>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</si>
  <si>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</si>
  <si>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</si>
  <si>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Ban giám đốc</t>
  </si>
  <si>
    <t>1.1</t>
  </si>
  <si>
    <t>Phòng Hành chánh nhân sự</t>
  </si>
  <si>
    <t>2.1</t>
  </si>
  <si>
    <t>Trưởng phòng nhân sự</t>
  </si>
  <si>
    <t>Nhân viên hành chính</t>
  </si>
  <si>
    <t>2.2</t>
  </si>
  <si>
    <t>Nhân viên nhân sự</t>
  </si>
  <si>
    <t>2.3</t>
  </si>
  <si>
    <t>2.4</t>
  </si>
  <si>
    <t>Nhân viên tạp vụ</t>
  </si>
  <si>
    <t>2.5</t>
  </si>
  <si>
    <t>Phòng Kế toán</t>
  </si>
  <si>
    <t>3.1</t>
  </si>
  <si>
    <t>Kế toán trưởng</t>
  </si>
  <si>
    <t>3.2</t>
  </si>
  <si>
    <t>Kế toán tổng hợp</t>
  </si>
  <si>
    <t>3.3</t>
  </si>
  <si>
    <t>Kế toán kho</t>
  </si>
  <si>
    <t>3.4</t>
  </si>
  <si>
    <t>Kế toán viên</t>
  </si>
  <si>
    <t>Phòng Mua hàng (Bao gồm NVL + Vật tư)</t>
  </si>
  <si>
    <t>4.1</t>
  </si>
  <si>
    <t>Ban dự án XDCB</t>
  </si>
  <si>
    <t>5.1</t>
  </si>
  <si>
    <t>Phòng Quản Trị Hệ Thống</t>
  </si>
  <si>
    <t>6.1</t>
  </si>
  <si>
    <t>Phòng 5S &amp; an toàn</t>
  </si>
  <si>
    <t>7.1</t>
  </si>
  <si>
    <t xml:space="preserve">Nhân viên 5S &amp; an toàn </t>
  </si>
  <si>
    <t>Phòng Cung ứng</t>
  </si>
  <si>
    <t>8.1</t>
  </si>
  <si>
    <t>Phòng mua XNK</t>
  </si>
  <si>
    <t>9.1</t>
  </si>
  <si>
    <t>Tư Vấn Dịch Vụ</t>
  </si>
  <si>
    <t>10.1</t>
  </si>
  <si>
    <t>Phòng Nghiên Cứu &amp; Phát Triển</t>
  </si>
  <si>
    <t>11.1</t>
  </si>
  <si>
    <t>Phòng Kiểm soát chất lượng</t>
  </si>
  <si>
    <t>12.1</t>
  </si>
  <si>
    <t>12.2</t>
  </si>
  <si>
    <t>12.3</t>
  </si>
  <si>
    <t>Phòng Kỹ thuật</t>
  </si>
  <si>
    <t>Phòng Sản xuất</t>
  </si>
  <si>
    <t>14.1</t>
  </si>
  <si>
    <t>Bộ phận quản lý sản xuất</t>
  </si>
  <si>
    <t>627</t>
  </si>
  <si>
    <t>14.1.1</t>
  </si>
  <si>
    <t>Quản lý sản xuất</t>
  </si>
  <si>
    <t>14.1.2</t>
  </si>
  <si>
    <t>14.1.3</t>
  </si>
  <si>
    <t>Tổ trưởng sản xuất - 2 ca</t>
  </si>
  <si>
    <t>Thống kê sản xuất</t>
  </si>
  <si>
    <t>14.2</t>
  </si>
  <si>
    <t>622</t>
  </si>
  <si>
    <t>14.2.1</t>
  </si>
  <si>
    <t>15.1</t>
  </si>
  <si>
    <t>15.2</t>
  </si>
  <si>
    <t>15.3</t>
  </si>
  <si>
    <t>15.4</t>
  </si>
  <si>
    <t>TỔNG NHÂN SỰ</t>
  </si>
  <si>
    <t>Thời điểm ký hợp đồng</t>
  </si>
  <si>
    <t>Thời điểm đưa vào sử dụng</t>
  </si>
  <si>
    <t>Năm 2026</t>
  </si>
  <si>
    <t>SƠ ĐỒ TỔ CHỨC TRẠM HỒ CHÍ MINH</t>
  </si>
  <si>
    <t>Phó giám đốc,…</t>
  </si>
  <si>
    <t>1.3</t>
  </si>
  <si>
    <t xml:space="preserve">Người đại diện pháp luật </t>
  </si>
  <si>
    <t>Nhân viên tuyển dụng</t>
  </si>
  <si>
    <t>Nhân viên bảo vệ</t>
  </si>
  <si>
    <t>Nhân viên mua hàng/ nhận hàng</t>
  </si>
  <si>
    <t>Nhân viên mua hàng (ngoại trừ mua chai)</t>
  </si>
  <si>
    <t>Nhân viên kiêm nhiệm (QL tập trung)</t>
  </si>
  <si>
    <t>Thuê ngoài (QL tập trung)</t>
  </si>
  <si>
    <t>Kiểm soát chất lượng NVL nhập - 1 ca hành chánh</t>
  </si>
  <si>
    <t>Kiểm soát chất lượng thành phẩm - 2 ca</t>
  </si>
  <si>
    <t>Kiêm nhiệm QL tập trung</t>
  </si>
  <si>
    <t>Tổ trưởng (Kiêm nhiệm QL tập trung)</t>
  </si>
  <si>
    <t>Tổ Trưởng Kho</t>
  </si>
  <si>
    <t>Phòng Kho vận (NVL+TP)</t>
  </si>
  <si>
    <t>Nhân viên nhập/xuất hàng (2 nhập NVL, 1 xuất TP)</t>
  </si>
  <si>
    <t>Công nhân trực tiếp sản xuất</t>
  </si>
  <si>
    <t>ĐVT: Người</t>
  </si>
  <si>
    <t>Số ca SX:</t>
  </si>
  <si>
    <t>Nhân viên phân loại (2 chuyền)</t>
  </si>
  <si>
    <t>Công suất THIẾT KẾ:
(Kg NVL đầu vào / giờ)</t>
  </si>
  <si>
    <t>Công suất ĐỊNH MỨC:
(Kg NVL đầu vào / giờ)</t>
  </si>
  <si>
    <t>Diễn giải:</t>
  </si>
  <si>
    <t>Nước sản xuất, model</t>
  </si>
  <si>
    <t>Công suất thiết kế (tấn/ 1 giờ)</t>
  </si>
  <si>
    <t>Số tiền đầu tư USD</t>
  </si>
  <si>
    <t>Số tiền đầu tư VND</t>
  </si>
  <si>
    <t>Dự phòng</t>
  </si>
  <si>
    <t>TỔNG:</t>
  </si>
  <si>
    <t>Số chuyền:</t>
  </si>
  <si>
    <t>Trong đó:</t>
  </si>
  <si>
    <t>Nhân viên gián tiếp:</t>
  </si>
  <si>
    <t>Nhân viên LĐ trực tiếp:</t>
  </si>
  <si>
    <t>- Hệ thống PCCC, thiết bị an toàn lao động, 5S</t>
  </si>
  <si>
    <t>- Máy lạnh phòng làm việc, phòng họp, nhà bảo vệ, bảng hiệu công ty</t>
  </si>
  <si>
    <t>Băng tải cấp liệu</t>
  </si>
  <si>
    <t>Lồng quay tách tạp chất</t>
  </si>
  <si>
    <t>Chuyền phân loại (5 loại)</t>
  </si>
  <si>
    <t>1 NV khuân hàng, 1NV cắt đổ bao</t>
  </si>
  <si>
    <t>Định mức công nhân sản xuất:
(Số NV / Ca8)</t>
  </si>
  <si>
    <t>NV lựa chai B4 và tạp bì</t>
  </si>
  <si>
    <t>NV kéo và thay các bao: nhãn, tạp bì trả, chai còn nhãn</t>
  </si>
  <si>
    <t>- 1 NV phân loại chai còn nhãn + nắp</t>
  </si>
  <si>
    <t>2 - Sàn tách tạp chất</t>
  </si>
  <si>
    <t xml:space="preserve">3 - Lựa phân loại chai </t>
  </si>
  <si>
    <t>4 - Tách nhãn</t>
  </si>
  <si>
    <t>5 - Lựa phân loại chai sau tách nhãn</t>
  </si>
  <si>
    <t>6 - Ép kiện</t>
  </si>
  <si>
    <t>7- Nhập/xuất kho</t>
  </si>
  <si>
    <t>Xe nâng</t>
  </si>
  <si>
    <t>Máy ép kiện + xe nâng tay</t>
  </si>
  <si>
    <t>- 1 NV ép kiện, ép: thành phẩm, phế liệu, phó sản.</t>
  </si>
  <si>
    <t>Định mức kỹ thuật vận hành:
(Số NV / Ca8)</t>
  </si>
  <si>
    <t>Máy tách nhãn 1</t>
  </si>
  <si>
    <t>- 1 NV ép kiện kiêm nhiệm</t>
  </si>
  <si>
    <t>1 kỹ thuật toàn chuyền</t>
  </si>
  <si>
    <t>1/ CHUYỀN PHÂN LOẠI CHAI GĐ 1:</t>
  </si>
  <si>
    <t>Nhân viên bảo trì (1 điện, 1 cơ) - 1 ca (taskforce)</t>
  </si>
  <si>
    <t>Nhân viên kỹ thuật (QL tập trung)</t>
  </si>
  <si>
    <t>Phòng HCNS</t>
  </si>
  <si>
    <t>Nhân viên HCNS+HSE+Cải tiến</t>
  </si>
  <si>
    <t>QC + xuất thành phẩm</t>
  </si>
  <si>
    <t>Kế toán</t>
  </si>
  <si>
    <t>Nhân niên lái xe nâng, ép kiện, kiêm nhập-xuất hàng</t>
  </si>
  <si>
    <t>2/ CHUYỀN PHÂN LOẠI CHAI GĐ 2:  Chưa chốt</t>
  </si>
  <si>
    <t>23/03/2026</t>
  </si>
  <si>
    <r>
      <t xml:space="preserve">KẾ HOẠCH CÔNG SUẤT THEO CÔNG ĐOẠN VÀ ĐỊNH BIÊN LAO ĐỘNG TRỰC TIẾP: </t>
    </r>
    <r>
      <rPr>
        <b/>
        <sz val="11"/>
        <color rgb="FFFF0000"/>
        <rFont val="Arial"/>
        <family val="2"/>
      </rPr>
      <t>TÂN ĐẠI PHÁT</t>
    </r>
  </si>
  <si>
    <r>
      <t xml:space="preserve">KẾ HOẠCH ĐỊNH BIÊN NHÂN SỰ TRẠM </t>
    </r>
    <r>
      <rPr>
        <b/>
        <sz val="11"/>
        <color rgb="FFFF0000"/>
        <rFont val="Arial"/>
        <family val="2"/>
      </rPr>
      <t>TÂN ĐẠI PHÁT</t>
    </r>
  </si>
  <si>
    <t>Test đầu vào và trên chuyền</t>
  </si>
  <si>
    <t>Trưởng trạm</t>
  </si>
  <si>
    <t>Nhiệm vụ</t>
  </si>
  <si>
    <t>- Lập kế hoạch, tổ chức và điều hành sản xuất tại trạm.
'- Quản lý và kiểm soát các tiến độ sản xuất và đảm bảo kế hoạch sản lượng và chất lượng
'- Quản lý xuất nhập hàng hóa, hàng tồn kho tại trạm.</t>
  </si>
  <si>
    <t>Kế toán thanh toán</t>
  </si>
  <si>
    <t xml:space="preserve">- Quản lý và kiểm soát các tiến độ sản xuất và đảm bảo kế hoạch sản lượng và chất lượng.
'- Biết lái xe nâng  </t>
  </si>
  <si>
    <t>- Tuyển dụng
- Hồ sơ nhân sự, hội nhập
- Chấm công
- Khai BHXH và thanh toán chế độ
- Phụ trách suất ăn, cấp phát đồng phục, công dụ dụng cụ
- Kiểm tra an toàn
- Công tác y tế
- Tiếp nhận ý tưởng cải tiến
- Kiểm soát nhà thầu phụ: Bảo vệ, thu gom rác thải...</t>
  </si>
  <si>
    <t>Phân chia theo bảng công suất
- Cấp liệu: 02 người
- Tách tạp chất: 02 người
- Phân loại chai: 02 người
- Tách nhãn 1 người
- Lựa chia sau tách nhãn: 02 người
- Ép kiện: 01 người</t>
  </si>
  <si>
    <t>Xem xét gộp nhân viên ép kiên và lái xe nâng</t>
  </si>
  <si>
    <t>Cần xem xét chỉ 1 người cho kế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</si>
</sst>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\ \ 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egoe UI"/>
      <family val="2"/>
      <charset val="163"/>
    </font>
    <font>
      <sz val="11"/>
      <color rgb="FFFF0000"/>
      <name val="Arial"/>
      <family val="2"/>
    </font>
    <font>
      <sz val="8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0020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3" fillId="0" borderId="1" xfId="1" applyNumberFormat="1" applyFont="1" applyBorder="1" applyAlignment="1">
      <alignment vertical="center"/>
    </xf>
    <xf numFmtId="164" fontId="3" fillId="0" borderId="1" xfId="1" applyNumberFormat="1" applyFont="1" applyBorder="1" applyAlignment="1">
      <alignment horizontal="right" vertical="center"/>
    </xf>
    <xf numFmtId="164" fontId="2" fillId="0" borderId="1" xfId="1" applyNumberFormat="1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1" quotePrefix="1" applyNumberFormat="1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2" xfId="0" quotePrefix="1" applyFont="1" applyBorder="1" applyAlignment="1">
      <alignment vertical="center" wrapText="1"/>
    </xf>
    <xf numFmtId="0" fontId="5" fillId="0" borderId="5" xfId="0" quotePrefix="1" applyFont="1" applyBorder="1" applyAlignment="1">
      <alignment vertical="center" wrapText="1"/>
    </xf>
    <xf numFmtId="0" fontId="5" fillId="0" borderId="3" xfId="0" quotePrefix="1" applyFont="1" applyBorder="1" applyAlignment="1">
      <alignment vertical="center" wrapText="1"/>
    </xf>
    <xf numFmtId="0" fontId="5" fillId="0" borderId="6" xfId="0" quotePrefix="1" applyFont="1" applyBorder="1" applyAlignment="1">
      <alignment vertical="center" wrapText="1"/>
    </xf>
    <xf numFmtId="0" fontId="5" fillId="0" borderId="4" xfId="0" quotePrefix="1" applyFont="1" applyBorder="1" applyAlignment="1">
      <alignment vertical="center" wrapText="1"/>
    </xf>
    <xf numFmtId="0" fontId="5" fillId="0" borderId="7" xfId="0" quotePrefix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quotePrefix="1" applyFont="1" applyBorder="1" applyAlignment="1">
      <alignment horizontal="left" vertical="center" wrapText="1"/>
    </xf>
    <xf numFmtId="0" fontId="5" fillId="0" borderId="5" xfId="0" quotePrefix="1" applyFont="1" applyBorder="1" applyAlignment="1">
      <alignment horizontal="left" vertical="center" wrapText="1"/>
    </xf>
    <xf numFmtId="0" fontId="5" fillId="0" borderId="3" xfId="0" quotePrefix="1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2" fillId="3" borderId="1" xfId="2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1" applyNumberFormat="1" applyFont="1" applyFill="1" applyBorder="1" applyAlignment="1" applyProtection="1">
      <alignment horizontal="left" vertical="center"/>
    </xf>
    <xf numFmtId="0" fontId="2" fillId="5" borderId="1" xfId="1" applyNumberFormat="1" applyFont="1" applyFill="1" applyBorder="1" applyAlignment="1" applyProtection="1">
      <alignment horizontal="center" vertical="center"/>
    </xf>
    <xf numFmtId="164" fontId="2" fillId="5" borderId="1" xfId="1" applyNumberFormat="1" applyFont="1" applyFill="1" applyBorder="1" applyAlignment="1" applyProtection="1">
      <alignment horizontal="center" vertical="center"/>
    </xf>
    <xf numFmtId="165" fontId="3" fillId="0" borderId="1" xfId="3" applyNumberFormat="1" applyFont="1" applyBorder="1" applyAlignment="1">
      <alignment vertical="center"/>
    </xf>
    <xf numFmtId="165" fontId="3" fillId="0" borderId="1" xfId="3" applyNumberFormat="1" applyFont="1" applyBorder="1" applyAlignment="1">
      <alignment horizontal="center" vertical="center"/>
    </xf>
    <xf numFmtId="165" fontId="2" fillId="0" borderId="1" xfId="3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5" fontId="3" fillId="0" borderId="1" xfId="3" applyNumberFormat="1" applyFont="1" applyBorder="1" applyAlignment="1">
      <alignment horizontal="left" vertical="center" wrapText="1" indent="1"/>
    </xf>
    <xf numFmtId="165" fontId="3" fillId="0" borderId="1" xfId="3" applyNumberFormat="1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65" fontId="2" fillId="6" borderId="1" xfId="3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165" fontId="2" fillId="6" borderId="1" xfId="3" applyNumberFormat="1" applyFont="1" applyFill="1" applyBorder="1" applyAlignment="1">
      <alignment vertical="center"/>
    </xf>
    <xf numFmtId="165" fontId="3" fillId="0" borderId="1" xfId="3" applyNumberFormat="1" applyFont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1" applyNumberFormat="1" applyFont="1" applyFill="1" applyBorder="1" applyAlignment="1" applyProtection="1">
      <alignment horizontal="center" vertical="center"/>
    </xf>
    <xf numFmtId="164" fontId="2" fillId="7" borderId="1" xfId="1" applyNumberFormat="1" applyFont="1" applyFill="1" applyBorder="1" applyAlignment="1" applyProtection="1">
      <alignment horizontal="center" vertical="center"/>
    </xf>
    <xf numFmtId="0" fontId="5" fillId="0" borderId="0" xfId="0" applyFont="1" applyAlignment="1">
      <alignment vertical="center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0" xfId="0" applyFill="1"/>
    <xf numFmtId="0" fontId="0" fillId="4" borderId="12" xfId="0" applyFill="1" applyBorder="1"/>
    <xf numFmtId="0" fontId="0" fillId="4" borderId="13" xfId="0" applyFill="1" applyBorder="1"/>
    <xf numFmtId="0" fontId="0" fillId="4" borderId="14" xfId="0" applyFill="1" applyBorder="1"/>
    <xf numFmtId="0" fontId="0" fillId="4" borderId="15" xfId="0" applyFill="1" applyBorder="1"/>
    <xf numFmtId="0" fontId="4" fillId="0" borderId="1" xfId="0" applyFont="1" applyBorder="1" applyAlignment="1">
      <alignment horizontal="center" vertical="center"/>
    </xf>
    <xf numFmtId="165" fontId="4" fillId="0" borderId="1" xfId="3" applyNumberFormat="1" applyFont="1" applyBorder="1" applyAlignment="1">
      <alignment vertical="center"/>
    </xf>
    <xf numFmtId="165" fontId="4" fillId="0" borderId="1" xfId="3" applyNumberFormat="1" applyFont="1" applyBorder="1" applyAlignment="1">
      <alignment horizontal="center" vertical="center"/>
    </xf>
    <xf numFmtId="0" fontId="8" fillId="0" borderId="0" xfId="0" applyFont="1"/>
    <xf numFmtId="0" fontId="10" fillId="3" borderId="1" xfId="0" applyFont="1" applyFill="1" applyBorder="1" applyAlignment="1">
      <alignment horizontal="center" vertical="center" wrapText="1"/>
    </xf>
    <xf numFmtId="164" fontId="2" fillId="5" borderId="1" xfId="1" applyNumberFormat="1" applyFont="1" applyFill="1" applyBorder="1" applyAlignment="1">
      <alignment vertical="center"/>
    </xf>
    <xf numFmtId="164" fontId="4" fillId="0" borderId="1" xfId="1" applyNumberFormat="1" applyFont="1" applyBorder="1" applyAlignment="1">
      <alignment vertical="center"/>
    </xf>
    <xf numFmtId="164" fontId="2" fillId="6" borderId="1" xfId="1" applyNumberFormat="1" applyFont="1" applyFill="1" applyBorder="1" applyAlignment="1">
      <alignment vertical="center"/>
    </xf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7" borderId="1" xfId="1" applyNumberFormat="1" applyFont="1" applyFill="1" applyBorder="1" applyAlignment="1" applyProtection="1">
      <alignment horizontal="left" vertical="center"/>
    </xf>
    <xf numFmtId="17" fontId="5" fillId="0" borderId="5" xfId="0" quotePrefix="1" applyNumberFormat="1" applyFont="1" applyBorder="1" applyAlignment="1">
      <alignment vertical="center" wrapText="1"/>
    </xf>
    <xf numFmtId="0" fontId="8" fillId="8" borderId="0" xfId="0" applyFont="1" applyFill="1"/>
    <xf numFmtId="0" fontId="2" fillId="0" borderId="1" xfId="0" applyFont="1" applyBorder="1" applyAlignment="1">
      <alignment horizontal="right" vertical="center" wrapText="1"/>
    </xf>
    <xf numFmtId="164" fontId="5" fillId="0" borderId="0" xfId="0" applyNumberFormat="1" applyFont="1"/>
    <xf numFmtId="17" fontId="5" fillId="0" borderId="7" xfId="0" quotePrefix="1" applyNumberFormat="1" applyFont="1" applyBorder="1" applyAlignment="1">
      <alignment vertical="center" wrapText="1"/>
    </xf>
    <xf numFmtId="17" fontId="5" fillId="0" borderId="3" xfId="0" quotePrefix="1" applyNumberFormat="1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164" fontId="5" fillId="0" borderId="5" xfId="1" quotePrefix="1" applyNumberFormat="1" applyFont="1" applyBorder="1" applyAlignment="1">
      <alignment vertical="center" wrapText="1"/>
    </xf>
    <xf numFmtId="164" fontId="5" fillId="0" borderId="3" xfId="1" quotePrefix="1" applyNumberFormat="1" applyFont="1" applyBorder="1" applyAlignment="1">
      <alignment vertical="center" wrapText="1"/>
    </xf>
    <xf numFmtId="164" fontId="5" fillId="0" borderId="7" xfId="1" quotePrefix="1" applyNumberFormat="1" applyFont="1" applyBorder="1" applyAlignment="1">
      <alignment vertical="center" wrapText="1"/>
    </xf>
    <xf numFmtId="165" fontId="4" fillId="0" borderId="1" xfId="3" applyNumberFormat="1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center"/>
    </xf>
    <xf numFmtId="0" fontId="12" fillId="0" borderId="0" xfId="0" applyFont="1"/>
    <xf numFmtId="164" fontId="12" fillId="0" borderId="0" xfId="0" applyNumberFormat="1" applyFont="1"/>
    <xf numFmtId="164" fontId="12" fillId="0" borderId="0" xfId="1" applyNumberFormat="1" applyFont="1"/>
    <xf numFmtId="9" fontId="12" fillId="0" borderId="0" xfId="4" applyFont="1"/>
    <xf numFmtId="164" fontId="12" fillId="0" borderId="0" xfId="0" applyNumberFormat="1" applyFont="1" applyAlignment="1">
      <alignment wrapText="1"/>
    </xf>
    <xf numFmtId="9" fontId="12" fillId="0" borderId="0" xfId="4" applyFont="1" applyAlignment="1">
      <alignment wrapText="1"/>
    </xf>
    <xf numFmtId="14" fontId="6" fillId="0" borderId="0" xfId="0" quotePrefix="1" applyNumberFormat="1" applyFont="1"/>
    <xf numFmtId="165" fontId="3" fillId="0" borderId="1" xfId="3" applyNumberFormat="1" applyFont="1" applyBorder="1" applyAlignment="1">
      <alignment horizontal="left" vertical="center" wrapText="1"/>
    </xf>
    <xf numFmtId="164" fontId="3" fillId="0" borderId="1" xfId="1" applyNumberFormat="1" applyFont="1" applyFill="1" applyBorder="1" applyAlignment="1" applyProtection="1">
      <alignment vertical="center"/>
    </xf>
    <xf numFmtId="0" fontId="5" fillId="0" borderId="1" xfId="0" applyFont="1" applyBorder="1"/>
    <xf numFmtId="0" fontId="5" fillId="0" borderId="1" xfId="0" quotePrefix="1" applyFont="1" applyBorder="1" applyAlignment="1">
      <alignment vertical="center" wrapText="1"/>
    </xf>
    <xf numFmtId="0" fontId="8" fillId="0" borderId="1" xfId="0" applyFont="1" applyBorder="1"/>
    <xf numFmtId="0" fontId="5" fillId="0" borderId="1" xfId="0" quotePrefix="1" applyFont="1" applyBorder="1" applyAlignment="1">
      <alignment wrapText="1"/>
    </xf>
    <xf numFmtId="164" fontId="5" fillId="6" borderId="0" xfId="0" applyNumberFormat="1" applyFont="1" applyFill="1"/>
    <xf numFmtId="0" fontId="5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6" xfId="1" quotePrefix="1" applyNumberFormat="1" applyFont="1" applyBorder="1" applyAlignment="1">
      <alignment horizontal="center" vertical="center" wrapText="1"/>
    </xf>
    <xf numFmtId="0" fontId="3" fillId="0" borderId="17" xfId="1" quotePrefix="1" applyNumberFormat="1" applyFont="1" applyBorder="1" applyAlignment="1">
      <alignment horizontal="center" vertical="center" wrapText="1"/>
    </xf>
    <xf numFmtId="0" fontId="3" fillId="0" borderId="18" xfId="1" quotePrefix="1" applyNumberFormat="1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3" xfId="2" xr:uid="{198313EF-B69C-4F76-884C-12E2E0C91E1B}"/>
    <cellStyle name="Normal 7" xfId="3" xr:uid="{C5B2EE47-2FA6-4EC7-9449-8CAE3A194FF3}"/>
    <cellStyle name="Percent" xfId="4" builtinId="5"/>
  </cellStyles>
  <dxfs count="28"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6"/>
  <sheetViews>
    <sheetView zoomScale="85" zoomScaleNormal="85" workbookViewId="0">
      <selection activeCell="F28" sqref="F28"/>
    </sheetView>
  </sheetViews>
  <sheetFormatPr defaultRowHeight="14" x14ac:dyDescent="0.35"/>
  <cols>
    <col min="1" max="1" width="1.08984375" style="19" customWidth="1"/>
    <col min="2" max="2" width="5.7265625" style="19" customWidth="1"/>
    <col min="3" max="3" width="19.7265625" style="18" customWidth="1"/>
    <col min="4" max="4" width="52.54296875" style="19" customWidth="1"/>
    <col min="5" max="5" width="12.453125" style="19" customWidth="1"/>
    <col min="6" max="6" width="15.90625" style="19" customWidth="1"/>
    <col min="7" max="8" width="12.90625" style="19" customWidth="1"/>
    <col min="9" max="10" width="15.1796875" style="19" customWidth="1"/>
    <col min="11" max="11" width="15.81640625" style="19" customWidth="1"/>
    <col min="12" max="12" width="19.08984375" style="19" customWidth="1"/>
    <col min="13" max="16384" width="8.7265625" style="19"/>
  </cols>
  <sheetData>
    <row r="2" spans="2:12" x14ac:dyDescent="0.35">
      <c r="B2" s="57" t="s">
        <v>34</v>
      </c>
      <c r="K2" s="20"/>
    </row>
    <row r="3" spans="2:12" s="18" customFormat="1" ht="45.5" customHeight="1" x14ac:dyDescent="0.35">
      <c r="B3" s="21" t="s">
        <v>0</v>
      </c>
      <c r="C3" s="21" t="s">
        <v>12</v>
      </c>
      <c r="D3" s="21" t="s">
        <v>13</v>
      </c>
      <c r="E3" s="21" t="s">
        <v>138</v>
      </c>
      <c r="F3" s="21" t="s">
        <v>137</v>
      </c>
      <c r="G3" s="21" t="s">
        <v>110</v>
      </c>
      <c r="H3" s="21" t="s">
        <v>111</v>
      </c>
      <c r="I3" s="21" t="s">
        <v>139</v>
      </c>
      <c r="J3" s="21" t="s">
        <v>140</v>
      </c>
      <c r="K3" s="21" t="s">
        <v>1</v>
      </c>
    </row>
    <row r="4" spans="2:12" ht="24.5" customHeight="1" x14ac:dyDescent="0.35">
      <c r="B4" s="111">
        <v>1</v>
      </c>
      <c r="C4" s="114"/>
      <c r="D4" s="22"/>
      <c r="E4" s="23"/>
      <c r="F4" s="23"/>
      <c r="G4" s="82"/>
      <c r="H4" s="82"/>
      <c r="I4" s="89"/>
      <c r="J4" s="89"/>
      <c r="K4" s="111"/>
      <c r="L4" s="18"/>
    </row>
    <row r="5" spans="2:12" ht="24.5" customHeight="1" x14ac:dyDescent="0.35">
      <c r="B5" s="112"/>
      <c r="C5" s="115"/>
      <c r="D5" s="24"/>
      <c r="E5" s="24"/>
      <c r="F5" s="24"/>
      <c r="G5" s="87"/>
      <c r="H5" s="87"/>
      <c r="I5" s="90"/>
      <c r="J5" s="90"/>
      <c r="K5" s="112"/>
      <c r="L5" s="18"/>
    </row>
    <row r="6" spans="2:12" ht="24.5" customHeight="1" x14ac:dyDescent="0.35">
      <c r="B6" s="113"/>
      <c r="C6" s="116"/>
      <c r="D6" s="26"/>
      <c r="E6" s="27"/>
      <c r="F6" s="26"/>
      <c r="G6" s="86"/>
      <c r="H6" s="86"/>
      <c r="I6" s="91"/>
      <c r="J6" s="91"/>
      <c r="K6" s="113"/>
      <c r="L6" s="18"/>
    </row>
    <row r="7" spans="2:12" hidden="1" x14ac:dyDescent="0.35">
      <c r="B7" s="108">
        <v>2</v>
      </c>
      <c r="C7" s="110" t="s">
        <v>2</v>
      </c>
      <c r="D7" s="22" t="s">
        <v>18</v>
      </c>
      <c r="E7" s="23"/>
      <c r="F7" s="23"/>
      <c r="G7" s="23"/>
      <c r="H7" s="23"/>
      <c r="I7" s="23"/>
      <c r="J7" s="23"/>
      <c r="K7" s="108" t="s">
        <v>14</v>
      </c>
    </row>
    <row r="8" spans="2:12" hidden="1" x14ac:dyDescent="0.35">
      <c r="B8" s="108"/>
      <c r="C8" s="110"/>
      <c r="D8" s="24" t="s">
        <v>19</v>
      </c>
      <c r="E8" s="25"/>
      <c r="F8" s="25"/>
      <c r="G8" s="25"/>
      <c r="H8" s="25"/>
      <c r="I8" s="25"/>
      <c r="J8" s="25"/>
      <c r="K8" s="108"/>
    </row>
    <row r="9" spans="2:12" hidden="1" x14ac:dyDescent="0.35">
      <c r="B9" s="108"/>
      <c r="C9" s="110"/>
      <c r="D9" s="24" t="s">
        <v>20</v>
      </c>
      <c r="E9" s="25"/>
      <c r="F9" s="25"/>
      <c r="G9" s="25"/>
      <c r="H9" s="25"/>
      <c r="I9" s="25"/>
      <c r="J9" s="25"/>
      <c r="K9" s="108"/>
    </row>
    <row r="10" spans="2:12" ht="28" hidden="1" x14ac:dyDescent="0.35">
      <c r="B10" s="108"/>
      <c r="C10" s="110"/>
      <c r="D10" s="26" t="s">
        <v>148</v>
      </c>
      <c r="E10" s="27"/>
      <c r="F10" s="27"/>
      <c r="G10" s="27"/>
      <c r="H10" s="27"/>
      <c r="I10" s="27"/>
      <c r="J10" s="27"/>
      <c r="K10" s="108"/>
    </row>
    <row r="11" spans="2:12" hidden="1" x14ac:dyDescent="0.35">
      <c r="B11" s="108">
        <v>3</v>
      </c>
      <c r="C11" s="110" t="s">
        <v>3</v>
      </c>
      <c r="D11" s="22" t="s">
        <v>21</v>
      </c>
      <c r="E11" s="23"/>
      <c r="F11" s="23"/>
      <c r="G11" s="23"/>
      <c r="H11" s="23"/>
      <c r="I11" s="23"/>
      <c r="J11" s="23"/>
      <c r="K11" s="108" t="s">
        <v>15</v>
      </c>
    </row>
    <row r="12" spans="2:12" hidden="1" x14ac:dyDescent="0.35">
      <c r="B12" s="108"/>
      <c r="C12" s="110"/>
      <c r="D12" s="24" t="s">
        <v>22</v>
      </c>
      <c r="E12" s="25"/>
      <c r="F12" s="25"/>
      <c r="G12" s="25"/>
      <c r="H12" s="25"/>
      <c r="I12" s="25"/>
      <c r="J12" s="25"/>
      <c r="K12" s="108"/>
    </row>
    <row r="13" spans="2:12" hidden="1" x14ac:dyDescent="0.35">
      <c r="B13" s="108"/>
      <c r="C13" s="110"/>
      <c r="D13" s="24" t="s">
        <v>23</v>
      </c>
      <c r="E13" s="25"/>
      <c r="F13" s="25"/>
      <c r="G13" s="25"/>
      <c r="H13" s="25"/>
      <c r="I13" s="25"/>
      <c r="J13" s="25"/>
      <c r="K13" s="108"/>
    </row>
    <row r="14" spans="2:12" hidden="1" x14ac:dyDescent="0.35">
      <c r="B14" s="108"/>
      <c r="C14" s="110"/>
      <c r="D14" s="26" t="s">
        <v>24</v>
      </c>
      <c r="E14" s="27"/>
      <c r="F14" s="27"/>
      <c r="G14" s="27"/>
      <c r="H14" s="27"/>
      <c r="I14" s="27"/>
      <c r="J14" s="27"/>
      <c r="K14" s="108"/>
    </row>
    <row r="15" spans="2:12" hidden="1" x14ac:dyDescent="0.35">
      <c r="B15" s="108">
        <v>4</v>
      </c>
      <c r="C15" s="110" t="s">
        <v>4</v>
      </c>
      <c r="D15" s="30" t="s">
        <v>25</v>
      </c>
      <c r="E15" s="31"/>
      <c r="F15" s="31"/>
      <c r="G15" s="31"/>
      <c r="H15" s="31"/>
      <c r="I15" s="31"/>
      <c r="J15" s="31"/>
      <c r="K15" s="108" t="s">
        <v>17</v>
      </c>
    </row>
    <row r="16" spans="2:12" hidden="1" x14ac:dyDescent="0.35">
      <c r="B16" s="108"/>
      <c r="C16" s="110"/>
      <c r="D16" s="32" t="s">
        <v>26</v>
      </c>
      <c r="E16" s="33"/>
      <c r="F16" s="33"/>
      <c r="G16" s="33"/>
      <c r="H16" s="33"/>
      <c r="I16" s="33"/>
      <c r="J16" s="33"/>
      <c r="K16" s="108"/>
    </row>
    <row r="17" spans="2:11" hidden="1" x14ac:dyDescent="0.35">
      <c r="B17" s="108"/>
      <c r="C17" s="110"/>
      <c r="D17" s="26" t="s">
        <v>27</v>
      </c>
      <c r="E17" s="27"/>
      <c r="F17" s="27"/>
      <c r="G17" s="27"/>
      <c r="H17" s="27"/>
      <c r="I17" s="27"/>
      <c r="J17" s="27"/>
      <c r="K17" s="108"/>
    </row>
    <row r="18" spans="2:11" hidden="1" x14ac:dyDescent="0.35">
      <c r="B18" s="108">
        <v>5</v>
      </c>
      <c r="C18" s="109" t="s">
        <v>5</v>
      </c>
      <c r="D18" s="22" t="s">
        <v>11</v>
      </c>
      <c r="E18" s="23"/>
      <c r="F18" s="23"/>
      <c r="G18" s="23"/>
      <c r="H18" s="23"/>
      <c r="I18" s="23"/>
      <c r="J18" s="23"/>
      <c r="K18" s="108" t="s">
        <v>16</v>
      </c>
    </row>
    <row r="19" spans="2:11" hidden="1" x14ac:dyDescent="0.35">
      <c r="B19" s="108"/>
      <c r="C19" s="109"/>
      <c r="D19" s="24" t="s">
        <v>10</v>
      </c>
      <c r="E19" s="25"/>
      <c r="F19" s="25"/>
      <c r="G19" s="25"/>
      <c r="H19" s="25"/>
      <c r="I19" s="25"/>
      <c r="J19" s="25"/>
      <c r="K19" s="108"/>
    </row>
    <row r="20" spans="2:11" hidden="1" x14ac:dyDescent="0.35">
      <c r="B20" s="108"/>
      <c r="C20" s="109"/>
      <c r="D20" s="24" t="s">
        <v>6</v>
      </c>
      <c r="E20" s="25"/>
      <c r="F20" s="25"/>
      <c r="G20" s="25"/>
      <c r="H20" s="25"/>
      <c r="I20" s="25"/>
      <c r="J20" s="25"/>
      <c r="K20" s="108"/>
    </row>
    <row r="21" spans="2:11" hidden="1" x14ac:dyDescent="0.35">
      <c r="B21" s="108"/>
      <c r="C21" s="109"/>
      <c r="D21" s="24" t="s">
        <v>9</v>
      </c>
      <c r="E21" s="25"/>
      <c r="F21" s="25"/>
      <c r="G21" s="25"/>
      <c r="H21" s="25"/>
      <c r="I21" s="25"/>
      <c r="J21" s="25"/>
      <c r="K21" s="108"/>
    </row>
    <row r="22" spans="2:11" hidden="1" x14ac:dyDescent="0.35">
      <c r="B22" s="108"/>
      <c r="C22" s="109"/>
      <c r="D22" s="24" t="s">
        <v>147</v>
      </c>
      <c r="E22" s="25"/>
      <c r="F22" s="25"/>
      <c r="G22" s="25"/>
      <c r="H22" s="25"/>
      <c r="I22" s="25"/>
      <c r="J22" s="25"/>
      <c r="K22" s="108"/>
    </row>
    <row r="23" spans="2:11" hidden="1" x14ac:dyDescent="0.35">
      <c r="B23" s="108"/>
      <c r="C23" s="109"/>
      <c r="D23" s="24" t="s">
        <v>7</v>
      </c>
      <c r="E23" s="25"/>
      <c r="F23" s="25"/>
      <c r="G23" s="25"/>
      <c r="H23" s="25"/>
      <c r="I23" s="25"/>
      <c r="J23" s="25"/>
      <c r="K23" s="108"/>
    </row>
    <row r="24" spans="2:11" hidden="1" x14ac:dyDescent="0.35">
      <c r="B24" s="108"/>
      <c r="C24" s="109"/>
      <c r="D24" s="26" t="s">
        <v>8</v>
      </c>
      <c r="E24" s="27"/>
      <c r="F24" s="27"/>
      <c r="G24" s="27"/>
      <c r="H24" s="27"/>
      <c r="I24" s="27"/>
      <c r="J24" s="27"/>
      <c r="K24" s="108"/>
    </row>
    <row r="25" spans="2:11" ht="26" hidden="1" customHeight="1" x14ac:dyDescent="0.35">
      <c r="B25" s="28">
        <v>6</v>
      </c>
      <c r="C25" s="29" t="s">
        <v>141</v>
      </c>
      <c r="D25" s="76"/>
      <c r="E25" s="76"/>
      <c r="F25" s="76"/>
      <c r="G25" s="76"/>
      <c r="H25" s="76"/>
      <c r="I25" s="76"/>
      <c r="J25" s="76"/>
      <c r="K25" s="76"/>
    </row>
    <row r="26" spans="2:11" s="80" customFormat="1" ht="22.5" hidden="1" customHeight="1" x14ac:dyDescent="0.3">
      <c r="B26" s="77"/>
      <c r="C26" s="78"/>
      <c r="D26" s="78" t="s">
        <v>142</v>
      </c>
      <c r="E26" s="79"/>
      <c r="F26" s="79"/>
      <c r="G26" s="79"/>
      <c r="H26" s="79"/>
      <c r="I26" s="79"/>
      <c r="J26" s="79"/>
      <c r="K26" s="79"/>
    </row>
  </sheetData>
  <mergeCells count="15">
    <mergeCell ref="B4:B6"/>
    <mergeCell ref="K4:K6"/>
    <mergeCell ref="K7:K10"/>
    <mergeCell ref="K11:K14"/>
    <mergeCell ref="K15:K17"/>
    <mergeCell ref="C4:C6"/>
    <mergeCell ref="K18:K24"/>
    <mergeCell ref="B7:B10"/>
    <mergeCell ref="B11:B14"/>
    <mergeCell ref="B15:B17"/>
    <mergeCell ref="B18:B24"/>
    <mergeCell ref="C18:C24"/>
    <mergeCell ref="C15:C17"/>
    <mergeCell ref="C11:C14"/>
    <mergeCell ref="C7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1E63-C147-432D-995A-D27ACC57C20A}">
  <dimension ref="B2:M12"/>
  <sheetViews>
    <sheetView tabSelected="1" topLeftCell="B1" zoomScale="85" zoomScaleNormal="85" workbookViewId="0">
      <selection activeCell="G7" sqref="G7"/>
    </sheetView>
  </sheetViews>
  <sheetFormatPr defaultRowHeight="14" x14ac:dyDescent="0.3"/>
  <cols>
    <col min="1" max="1" width="8.7265625" style="34"/>
    <col min="2" max="2" width="6" style="34" customWidth="1"/>
    <col min="3" max="3" width="28" style="34" customWidth="1"/>
    <col min="4" max="4" width="16.81640625" style="34" customWidth="1"/>
    <col min="5" max="5" width="16.90625" style="34" customWidth="1"/>
    <col min="6" max="6" width="13.36328125" style="34" customWidth="1"/>
    <col min="7" max="7" width="21.08984375" style="34" customWidth="1"/>
    <col min="8" max="8" width="14.54296875" style="34" customWidth="1"/>
    <col min="9" max="9" width="15.453125" style="34" customWidth="1"/>
    <col min="10" max="10" width="15.6328125" style="34" customWidth="1"/>
    <col min="11" max="11" width="14" style="34" customWidth="1"/>
    <col min="12" max="12" width="19.1796875" style="34" customWidth="1"/>
    <col min="13" max="13" width="17.08984375" style="34" customWidth="1"/>
    <col min="14" max="14" width="14.7265625" style="34" customWidth="1"/>
    <col min="15" max="16384" width="8.7265625" style="34"/>
  </cols>
  <sheetData>
    <row r="2" spans="2:13" x14ac:dyDescent="0.3">
      <c r="B2" s="34" t="s">
        <v>180</v>
      </c>
      <c r="J2" s="85"/>
      <c r="K2" s="100" t="s">
        <v>179</v>
      </c>
    </row>
    <row r="3" spans="2:13" x14ac:dyDescent="0.3">
      <c r="B3" s="36" t="s">
        <v>170</v>
      </c>
      <c r="D3" s="70"/>
      <c r="G3" s="70"/>
    </row>
    <row r="4" spans="2:13" ht="39" x14ac:dyDescent="0.3">
      <c r="B4" s="7" t="s">
        <v>0</v>
      </c>
      <c r="C4" s="7" t="s">
        <v>30</v>
      </c>
      <c r="D4" s="7" t="s">
        <v>29</v>
      </c>
      <c r="E4" s="7" t="s">
        <v>157</v>
      </c>
      <c r="F4" s="8" t="s">
        <v>158</v>
      </c>
      <c r="G4" s="7" t="s">
        <v>159</v>
      </c>
      <c r="H4" s="7" t="s">
        <v>160</v>
      </c>
      <c r="I4" s="7" t="s">
        <v>161</v>
      </c>
      <c r="J4" s="7" t="s">
        <v>162</v>
      </c>
      <c r="K4" s="1" t="s">
        <v>28</v>
      </c>
    </row>
    <row r="5" spans="2:13" ht="45" customHeight="1" x14ac:dyDescent="0.3">
      <c r="B5" s="10">
        <v>1</v>
      </c>
      <c r="C5" s="13" t="s">
        <v>31</v>
      </c>
      <c r="D5" s="10" t="s">
        <v>149</v>
      </c>
      <c r="E5" s="10" t="s">
        <v>150</v>
      </c>
      <c r="F5" s="11" t="s">
        <v>151</v>
      </c>
      <c r="G5" s="10" t="s">
        <v>167</v>
      </c>
      <c r="H5" s="10" t="s">
        <v>32</v>
      </c>
      <c r="I5" s="10" t="s">
        <v>164</v>
      </c>
      <c r="J5" s="10" t="s">
        <v>163</v>
      </c>
      <c r="K5" s="12" t="s">
        <v>33</v>
      </c>
      <c r="L5" s="94"/>
      <c r="M5" s="94"/>
    </row>
    <row r="6" spans="2:13" ht="33.5" customHeight="1" x14ac:dyDescent="0.3">
      <c r="B6" s="2">
        <v>2</v>
      </c>
      <c r="C6" s="3" t="s">
        <v>134</v>
      </c>
      <c r="D6" s="4">
        <v>3000</v>
      </c>
      <c r="E6" s="4">
        <v>3000</v>
      </c>
      <c r="F6" s="4">
        <v>3000</v>
      </c>
      <c r="G6" s="4">
        <v>1000</v>
      </c>
      <c r="H6" s="4">
        <v>3000</v>
      </c>
      <c r="I6" s="4">
        <v>1500</v>
      </c>
      <c r="J6" s="4">
        <f>I6</f>
        <v>1500</v>
      </c>
      <c r="K6" s="6">
        <f>MIN(D6:J6)</f>
        <v>1000</v>
      </c>
      <c r="L6" s="95">
        <f>K6*8</f>
        <v>8000</v>
      </c>
      <c r="M6" s="94"/>
    </row>
    <row r="7" spans="2:13" ht="33.5" customHeight="1" x14ac:dyDescent="0.3">
      <c r="B7" s="2">
        <v>3</v>
      </c>
      <c r="C7" s="3" t="s">
        <v>135</v>
      </c>
      <c r="D7" s="4">
        <v>3000</v>
      </c>
      <c r="E7" s="4">
        <v>3000</v>
      </c>
      <c r="F7" s="4">
        <v>3000</v>
      </c>
      <c r="G7" s="4">
        <v>800</v>
      </c>
      <c r="H7" s="4">
        <f>G7*90%</f>
        <v>720</v>
      </c>
      <c r="I7" s="4">
        <f>H7</f>
        <v>720</v>
      </c>
      <c r="J7" s="4">
        <f>I7</f>
        <v>720</v>
      </c>
      <c r="K7" s="6">
        <f>MIN(D7:J7)</f>
        <v>720</v>
      </c>
      <c r="L7" s="95">
        <f>L6*26</f>
        <v>208000</v>
      </c>
      <c r="M7" s="94"/>
    </row>
    <row r="8" spans="2:13" ht="39" customHeight="1" x14ac:dyDescent="0.3">
      <c r="B8" s="117">
        <v>4</v>
      </c>
      <c r="C8" s="3" t="s">
        <v>153</v>
      </c>
      <c r="D8" s="4">
        <v>2</v>
      </c>
      <c r="E8" s="4">
        <v>2</v>
      </c>
      <c r="F8" s="4">
        <v>2</v>
      </c>
      <c r="G8" s="5">
        <v>1</v>
      </c>
      <c r="H8" s="5">
        <v>2</v>
      </c>
      <c r="I8" s="4">
        <v>1</v>
      </c>
      <c r="J8" s="4">
        <v>0</v>
      </c>
      <c r="K8" s="6">
        <f>SUM(D8:J8)</f>
        <v>10</v>
      </c>
      <c r="L8" s="96">
        <f>L7*15000</f>
        <v>3120000000</v>
      </c>
      <c r="M8" s="95">
        <f>L8*12</f>
        <v>37440000000</v>
      </c>
    </row>
    <row r="9" spans="2:13" ht="39" customHeight="1" x14ac:dyDescent="0.3">
      <c r="B9" s="117"/>
      <c r="C9" s="3" t="s">
        <v>136</v>
      </c>
      <c r="D9" s="14" t="s">
        <v>152</v>
      </c>
      <c r="E9" s="14"/>
      <c r="F9" s="15" t="s">
        <v>154</v>
      </c>
      <c r="G9" s="16" t="s">
        <v>155</v>
      </c>
      <c r="H9" s="17" t="s">
        <v>156</v>
      </c>
      <c r="I9" s="17" t="s">
        <v>165</v>
      </c>
      <c r="J9" s="17" t="s">
        <v>168</v>
      </c>
      <c r="K9" s="6"/>
      <c r="L9" s="96">
        <f>21*18000000</f>
        <v>378000000</v>
      </c>
      <c r="M9" s="97">
        <f>L9/L8</f>
        <v>0.12115384615384615</v>
      </c>
    </row>
    <row r="10" spans="2:13" s="35" customFormat="1" ht="37.5" customHeight="1" x14ac:dyDescent="0.3">
      <c r="B10" s="117"/>
      <c r="C10" s="3" t="s">
        <v>166</v>
      </c>
      <c r="D10" s="14"/>
      <c r="E10" s="118" t="s">
        <v>169</v>
      </c>
      <c r="F10" s="119"/>
      <c r="G10" s="119"/>
      <c r="H10" s="119"/>
      <c r="I10" s="120"/>
      <c r="J10" s="17"/>
      <c r="K10" s="84">
        <v>1</v>
      </c>
      <c r="L10" s="98"/>
      <c r="M10" s="99"/>
    </row>
    <row r="11" spans="2:13" x14ac:dyDescent="0.3">
      <c r="L11" s="85"/>
    </row>
    <row r="12" spans="2:13" x14ac:dyDescent="0.3">
      <c r="B12" s="36" t="s">
        <v>178</v>
      </c>
    </row>
  </sheetData>
  <mergeCells count="2">
    <mergeCell ref="B8:B10"/>
    <mergeCell ref="E10:I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D8DE-46B1-43B1-853A-5593FAACF570}">
  <dimension ref="B2:M21"/>
  <sheetViews>
    <sheetView workbookViewId="0">
      <selection activeCell="D28" sqref="D28"/>
    </sheetView>
  </sheetViews>
  <sheetFormatPr defaultRowHeight="14.5" x14ac:dyDescent="0.35"/>
  <sheetData>
    <row r="2" spans="2:13" x14ac:dyDescent="0.35">
      <c r="B2" s="34" t="s">
        <v>113</v>
      </c>
    </row>
    <row r="3" spans="2:13" x14ac:dyDescent="0.3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60"/>
    </row>
    <row r="4" spans="2:13" x14ac:dyDescent="0.35">
      <c r="B4" s="61"/>
      <c r="C4" s="62"/>
      <c r="D4" s="62"/>
      <c r="E4" s="62"/>
      <c r="F4" s="62"/>
      <c r="G4" s="62"/>
      <c r="H4" s="62"/>
      <c r="I4" s="62"/>
      <c r="J4" s="62"/>
      <c r="K4" s="62"/>
      <c r="L4" s="62"/>
      <c r="M4" s="63"/>
    </row>
    <row r="5" spans="2:13" x14ac:dyDescent="0.35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3"/>
    </row>
    <row r="6" spans="2:13" x14ac:dyDescent="0.3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3"/>
    </row>
    <row r="7" spans="2:13" x14ac:dyDescent="0.35">
      <c r="B7" s="61"/>
      <c r="C7" s="62"/>
      <c r="D7" s="62"/>
      <c r="E7" s="62"/>
      <c r="F7" s="62"/>
      <c r="G7" s="62"/>
      <c r="H7" s="62"/>
      <c r="I7" s="62"/>
      <c r="J7" s="62"/>
      <c r="K7" s="62"/>
      <c r="L7" s="62"/>
      <c r="M7" s="63"/>
    </row>
    <row r="8" spans="2:13" x14ac:dyDescent="0.35">
      <c r="B8" s="61"/>
      <c r="C8" s="62"/>
      <c r="D8" s="62"/>
      <c r="E8" s="62"/>
      <c r="F8" s="62"/>
      <c r="G8" s="62"/>
      <c r="H8" s="62"/>
      <c r="I8" s="62"/>
      <c r="J8" s="62"/>
      <c r="K8" s="62"/>
      <c r="L8" s="62"/>
      <c r="M8" s="63"/>
    </row>
    <row r="9" spans="2:13" x14ac:dyDescent="0.35">
      <c r="B9" s="61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</row>
    <row r="10" spans="2:13" x14ac:dyDescent="0.35">
      <c r="B10" s="61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3"/>
    </row>
    <row r="11" spans="2:13" x14ac:dyDescent="0.35">
      <c r="B11" s="61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</row>
    <row r="12" spans="2:13" x14ac:dyDescent="0.35">
      <c r="B12" s="61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3"/>
    </row>
    <row r="13" spans="2:13" x14ac:dyDescent="0.35">
      <c r="B13" s="61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</row>
    <row r="14" spans="2:13" x14ac:dyDescent="0.35">
      <c r="B14" s="61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3"/>
    </row>
    <row r="15" spans="2:13" x14ac:dyDescent="0.35">
      <c r="B15" s="61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3"/>
    </row>
    <row r="16" spans="2:13" x14ac:dyDescent="0.35">
      <c r="B16" s="61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3"/>
    </row>
    <row r="17" spans="2:13" x14ac:dyDescent="0.35">
      <c r="B17" s="61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3"/>
    </row>
    <row r="18" spans="2:13" x14ac:dyDescent="0.35">
      <c r="B18" s="61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2:13" x14ac:dyDescent="0.35">
      <c r="B19" s="61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3"/>
    </row>
    <row r="20" spans="2:13" x14ac:dyDescent="0.35">
      <c r="B20" s="61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3"/>
    </row>
    <row r="21" spans="2:13" x14ac:dyDescent="0.35">
      <c r="B21" s="64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CADE-BC86-4280-9693-5298468AE60D}">
  <dimension ref="B1:R63"/>
  <sheetViews>
    <sheetView topLeftCell="A53" workbookViewId="0">
      <selection activeCell="G62" sqref="G62"/>
    </sheetView>
  </sheetViews>
  <sheetFormatPr defaultRowHeight="14" x14ac:dyDescent="0.3"/>
  <cols>
    <col min="1" max="1" width="1.81640625" style="34" customWidth="1"/>
    <col min="2" max="2" width="8.7265625" style="34"/>
    <col min="3" max="3" width="42.6328125" style="34" bestFit="1" customWidth="1"/>
    <col min="4" max="4" width="0" style="34" hidden="1" customWidth="1"/>
    <col min="5" max="7" width="4.6328125" style="34" customWidth="1"/>
    <col min="8" max="8" width="6.453125" style="34" customWidth="1"/>
    <col min="9" max="16" width="4.26953125" style="34" customWidth="1"/>
    <col min="17" max="17" width="8" style="34" customWidth="1"/>
    <col min="18" max="18" width="33.6328125" style="34" customWidth="1"/>
    <col min="19" max="16384" width="8.7265625" style="34"/>
  </cols>
  <sheetData>
    <row r="1" spans="2:18" x14ac:dyDescent="0.3">
      <c r="J1" s="34" t="s">
        <v>143</v>
      </c>
      <c r="L1" s="83">
        <v>1</v>
      </c>
      <c r="Q1" s="107">
        <f>Q4+Q40+Q43+Q50+Q59+Q61</f>
        <v>20</v>
      </c>
    </row>
    <row r="2" spans="2:18" x14ac:dyDescent="0.3">
      <c r="B2" s="34" t="s">
        <v>181</v>
      </c>
      <c r="J2" s="34" t="s">
        <v>132</v>
      </c>
      <c r="L2" s="83">
        <v>1</v>
      </c>
      <c r="M2" s="93">
        <f>H4+H40+H43+H50+H59+H61</f>
        <v>20</v>
      </c>
      <c r="Q2" s="75" t="s">
        <v>131</v>
      </c>
    </row>
    <row r="3" spans="2:18" ht="26" x14ac:dyDescent="0.3">
      <c r="B3" s="37" t="s">
        <v>0</v>
      </c>
      <c r="C3" s="37" t="s">
        <v>35</v>
      </c>
      <c r="D3" s="37" t="s">
        <v>36</v>
      </c>
      <c r="E3" s="71" t="s">
        <v>37</v>
      </c>
      <c r="F3" s="71" t="s">
        <v>38</v>
      </c>
      <c r="G3" s="71" t="s">
        <v>39</v>
      </c>
      <c r="H3" s="71" t="s">
        <v>40</v>
      </c>
      <c r="I3" s="9" t="s">
        <v>41</v>
      </c>
      <c r="J3" s="9" t="s">
        <v>42</v>
      </c>
      <c r="K3" s="9" t="s">
        <v>43</v>
      </c>
      <c r="L3" s="9" t="s">
        <v>44</v>
      </c>
      <c r="M3" s="9" t="s">
        <v>45</v>
      </c>
      <c r="N3" s="9" t="s">
        <v>46</v>
      </c>
      <c r="O3" s="9" t="s">
        <v>47</v>
      </c>
      <c r="P3" s="9" t="s">
        <v>48</v>
      </c>
      <c r="Q3" s="9" t="s">
        <v>112</v>
      </c>
      <c r="R3" s="71" t="s">
        <v>184</v>
      </c>
    </row>
    <row r="4" spans="2:18" x14ac:dyDescent="0.3">
      <c r="B4" s="38">
        <v>1</v>
      </c>
      <c r="C4" s="39" t="s">
        <v>49</v>
      </c>
      <c r="D4" s="40">
        <v>642</v>
      </c>
      <c r="E4" s="41">
        <f>SUM(E5:E7)</f>
        <v>0</v>
      </c>
      <c r="F4" s="41">
        <f t="shared" ref="F4:P4" si="0">SUM(F5:F7)</f>
        <v>0</v>
      </c>
      <c r="G4" s="41">
        <f t="shared" si="0"/>
        <v>0</v>
      </c>
      <c r="H4" s="41">
        <f t="shared" si="0"/>
        <v>2</v>
      </c>
      <c r="I4" s="41">
        <f t="shared" si="0"/>
        <v>0</v>
      </c>
      <c r="J4" s="41">
        <f t="shared" si="0"/>
        <v>0</v>
      </c>
      <c r="K4" s="41">
        <f t="shared" si="0"/>
        <v>0</v>
      </c>
      <c r="L4" s="41">
        <f t="shared" si="0"/>
        <v>0</v>
      </c>
      <c r="M4" s="41">
        <f t="shared" si="0"/>
        <v>0</v>
      </c>
      <c r="N4" s="41">
        <f t="shared" si="0"/>
        <v>0</v>
      </c>
      <c r="O4" s="41">
        <f t="shared" si="0"/>
        <v>0</v>
      </c>
      <c r="P4" s="41">
        <f t="shared" si="0"/>
        <v>0</v>
      </c>
      <c r="Q4" s="41">
        <f>MAX(E4:P4)</f>
        <v>2</v>
      </c>
      <c r="R4" s="103"/>
    </row>
    <row r="5" spans="2:18" ht="98" x14ac:dyDescent="0.3">
      <c r="B5" s="2" t="s">
        <v>50</v>
      </c>
      <c r="C5" s="42" t="s">
        <v>183</v>
      </c>
      <c r="D5" s="43"/>
      <c r="E5" s="4"/>
      <c r="F5" s="4"/>
      <c r="G5" s="4"/>
      <c r="H5" s="4">
        <v>1</v>
      </c>
      <c r="I5" s="4"/>
      <c r="J5" s="4"/>
      <c r="K5" s="4"/>
      <c r="L5" s="4"/>
      <c r="M5" s="4"/>
      <c r="N5" s="4"/>
      <c r="O5" s="4"/>
      <c r="P5" s="4"/>
      <c r="Q5" s="4">
        <f>MAX(E5:P5)</f>
        <v>1</v>
      </c>
      <c r="R5" s="104" t="s">
        <v>185</v>
      </c>
    </row>
    <row r="6" spans="2:18" x14ac:dyDescent="0.3">
      <c r="B6" s="2">
        <v>1.2</v>
      </c>
      <c r="C6" s="42" t="s">
        <v>116</v>
      </c>
      <c r="D6" s="43"/>
      <c r="E6" s="4"/>
      <c r="F6" s="4"/>
      <c r="G6" s="4"/>
      <c r="H6" s="4">
        <v>1</v>
      </c>
      <c r="I6" s="4"/>
      <c r="J6" s="4"/>
      <c r="K6" s="4"/>
      <c r="L6" s="4"/>
      <c r="M6" s="4"/>
      <c r="N6" s="4"/>
      <c r="O6" s="4"/>
      <c r="P6" s="4"/>
      <c r="Q6" s="4">
        <f t="shared" ref="Q6:Q54" si="1">MAX(E6:P6)</f>
        <v>1</v>
      </c>
      <c r="R6" s="103"/>
    </row>
    <row r="7" spans="2:18" x14ac:dyDescent="0.3">
      <c r="B7" s="2" t="s">
        <v>115</v>
      </c>
      <c r="C7" s="42" t="s">
        <v>114</v>
      </c>
      <c r="D7" s="43"/>
      <c r="E7" s="4"/>
      <c r="F7" s="4"/>
      <c r="G7" s="4"/>
      <c r="H7" s="4">
        <v>0</v>
      </c>
      <c r="I7" s="4"/>
      <c r="J7" s="4"/>
      <c r="K7" s="4"/>
      <c r="L7" s="4"/>
      <c r="M7" s="4"/>
      <c r="N7" s="4"/>
      <c r="O7" s="4"/>
      <c r="P7" s="4"/>
      <c r="Q7" s="4">
        <f t="shared" si="1"/>
        <v>0</v>
      </c>
      <c r="R7" s="103"/>
    </row>
    <row r="8" spans="2:18" hidden="1" x14ac:dyDescent="0.3">
      <c r="B8" s="38">
        <v>2</v>
      </c>
      <c r="C8" s="39" t="s">
        <v>51</v>
      </c>
      <c r="D8" s="40">
        <v>642</v>
      </c>
      <c r="E8" s="41">
        <f t="shared" ref="E8:P8" si="2">SUM(E9:E14)</f>
        <v>0</v>
      </c>
      <c r="F8" s="41">
        <f t="shared" si="2"/>
        <v>0</v>
      </c>
      <c r="G8" s="41">
        <f t="shared" si="2"/>
        <v>0</v>
      </c>
      <c r="H8" s="41">
        <f t="shared" si="2"/>
        <v>0</v>
      </c>
      <c r="I8" s="41">
        <f t="shared" si="2"/>
        <v>0</v>
      </c>
      <c r="J8" s="41">
        <f t="shared" si="2"/>
        <v>0</v>
      </c>
      <c r="K8" s="41">
        <f t="shared" si="2"/>
        <v>0</v>
      </c>
      <c r="L8" s="41">
        <f t="shared" si="2"/>
        <v>0</v>
      </c>
      <c r="M8" s="41">
        <f t="shared" si="2"/>
        <v>0</v>
      </c>
      <c r="N8" s="41">
        <f t="shared" si="2"/>
        <v>0</v>
      </c>
      <c r="O8" s="41">
        <f t="shared" si="2"/>
        <v>0</v>
      </c>
      <c r="P8" s="41">
        <f t="shared" si="2"/>
        <v>0</v>
      </c>
      <c r="Q8" s="41">
        <f t="shared" si="1"/>
        <v>0</v>
      </c>
      <c r="R8" s="103"/>
    </row>
    <row r="9" spans="2:18" hidden="1" x14ac:dyDescent="0.3">
      <c r="B9" s="2" t="s">
        <v>52</v>
      </c>
      <c r="C9" s="42" t="s">
        <v>53</v>
      </c>
      <c r="D9" s="43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>
        <f t="shared" si="1"/>
        <v>0</v>
      </c>
      <c r="R9" s="103"/>
    </row>
    <row r="10" spans="2:18" hidden="1" x14ac:dyDescent="0.3">
      <c r="B10" s="2" t="s">
        <v>52</v>
      </c>
      <c r="C10" s="42" t="s">
        <v>54</v>
      </c>
      <c r="D10" s="4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>
        <f t="shared" si="1"/>
        <v>0</v>
      </c>
      <c r="R10" s="103"/>
    </row>
    <row r="11" spans="2:18" hidden="1" x14ac:dyDescent="0.3">
      <c r="B11" s="2" t="s">
        <v>55</v>
      </c>
      <c r="C11" s="42" t="s">
        <v>56</v>
      </c>
      <c r="D11" s="4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>
        <f t="shared" si="1"/>
        <v>0</v>
      </c>
      <c r="R11" s="103"/>
    </row>
    <row r="12" spans="2:18" hidden="1" x14ac:dyDescent="0.3">
      <c r="B12" s="2" t="s">
        <v>57</v>
      </c>
      <c r="C12" s="42" t="s">
        <v>117</v>
      </c>
      <c r="D12" s="4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>
        <f t="shared" si="1"/>
        <v>0</v>
      </c>
      <c r="R12" s="103"/>
    </row>
    <row r="13" spans="2:18" hidden="1" x14ac:dyDescent="0.3">
      <c r="B13" s="2" t="s">
        <v>58</v>
      </c>
      <c r="C13" s="42" t="s">
        <v>59</v>
      </c>
      <c r="D13" s="4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>
        <f t="shared" si="1"/>
        <v>0</v>
      </c>
      <c r="R13" s="103"/>
    </row>
    <row r="14" spans="2:18" hidden="1" x14ac:dyDescent="0.3">
      <c r="B14" s="2" t="s">
        <v>60</v>
      </c>
      <c r="C14" s="42" t="s">
        <v>118</v>
      </c>
      <c r="D14" s="4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>
        <f t="shared" si="1"/>
        <v>0</v>
      </c>
      <c r="R14" s="103"/>
    </row>
    <row r="15" spans="2:18" hidden="1" x14ac:dyDescent="0.3">
      <c r="B15" s="38">
        <v>3</v>
      </c>
      <c r="C15" s="39" t="s">
        <v>61</v>
      </c>
      <c r="D15" s="40">
        <v>642</v>
      </c>
      <c r="E15" s="41">
        <f>SUM(E16:E19)</f>
        <v>0</v>
      </c>
      <c r="F15" s="41">
        <f t="shared" ref="F15:P15" si="3">SUM(F16:F19)</f>
        <v>0</v>
      </c>
      <c r="G15" s="41">
        <f>SUM(G16:G19)</f>
        <v>0</v>
      </c>
      <c r="H15" s="41">
        <f t="shared" si="3"/>
        <v>0</v>
      </c>
      <c r="I15" s="41">
        <f t="shared" si="3"/>
        <v>0</v>
      </c>
      <c r="J15" s="41">
        <f t="shared" si="3"/>
        <v>0</v>
      </c>
      <c r="K15" s="41">
        <f t="shared" si="3"/>
        <v>0</v>
      </c>
      <c r="L15" s="41">
        <f t="shared" si="3"/>
        <v>0</v>
      </c>
      <c r="M15" s="41">
        <f t="shared" si="3"/>
        <v>0</v>
      </c>
      <c r="N15" s="41">
        <f t="shared" si="3"/>
        <v>0</v>
      </c>
      <c r="O15" s="41">
        <f t="shared" si="3"/>
        <v>0</v>
      </c>
      <c r="P15" s="41">
        <f t="shared" si="3"/>
        <v>0</v>
      </c>
      <c r="Q15" s="72">
        <f t="shared" si="1"/>
        <v>0</v>
      </c>
      <c r="R15" s="103"/>
    </row>
    <row r="16" spans="2:18" hidden="1" x14ac:dyDescent="0.3">
      <c r="B16" s="2" t="s">
        <v>62</v>
      </c>
      <c r="C16" s="42" t="s">
        <v>63</v>
      </c>
      <c r="D16" s="4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>
        <f t="shared" si="1"/>
        <v>0</v>
      </c>
      <c r="R16" s="103"/>
    </row>
    <row r="17" spans="2:18" hidden="1" x14ac:dyDescent="0.3">
      <c r="B17" s="2" t="s">
        <v>64</v>
      </c>
      <c r="C17" s="42" t="s">
        <v>65</v>
      </c>
      <c r="D17" s="4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>
        <f t="shared" si="1"/>
        <v>0</v>
      </c>
      <c r="R17" s="103"/>
    </row>
    <row r="18" spans="2:18" hidden="1" x14ac:dyDescent="0.3">
      <c r="B18" s="2" t="s">
        <v>66</v>
      </c>
      <c r="C18" s="42" t="s">
        <v>69</v>
      </c>
      <c r="D18" s="4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>
        <f t="shared" si="1"/>
        <v>0</v>
      </c>
      <c r="R18" s="103"/>
    </row>
    <row r="19" spans="2:18" hidden="1" x14ac:dyDescent="0.3">
      <c r="B19" s="2" t="s">
        <v>68</v>
      </c>
      <c r="C19" s="42" t="s">
        <v>67</v>
      </c>
      <c r="D19" s="4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>
        <f t="shared" si="1"/>
        <v>0</v>
      </c>
      <c r="R19" s="103"/>
    </row>
    <row r="20" spans="2:18" hidden="1" x14ac:dyDescent="0.3">
      <c r="B20" s="38">
        <v>4</v>
      </c>
      <c r="C20" s="39" t="s">
        <v>70</v>
      </c>
      <c r="D20" s="40">
        <v>642</v>
      </c>
      <c r="E20" s="41">
        <f t="shared" ref="E20:P20" si="4">E21</f>
        <v>0</v>
      </c>
      <c r="F20" s="41">
        <f t="shared" si="4"/>
        <v>0</v>
      </c>
      <c r="G20" s="41">
        <f t="shared" si="4"/>
        <v>0</v>
      </c>
      <c r="H20" s="41">
        <f t="shared" si="4"/>
        <v>0</v>
      </c>
      <c r="I20" s="41">
        <f t="shared" si="4"/>
        <v>0</v>
      </c>
      <c r="J20" s="41">
        <f t="shared" si="4"/>
        <v>0</v>
      </c>
      <c r="K20" s="41">
        <f t="shared" si="4"/>
        <v>0</v>
      </c>
      <c r="L20" s="41">
        <f t="shared" si="4"/>
        <v>0</v>
      </c>
      <c r="M20" s="41">
        <f t="shared" si="4"/>
        <v>0</v>
      </c>
      <c r="N20" s="41">
        <f t="shared" si="4"/>
        <v>0</v>
      </c>
      <c r="O20" s="41">
        <f t="shared" si="4"/>
        <v>0</v>
      </c>
      <c r="P20" s="41">
        <f t="shared" si="4"/>
        <v>0</v>
      </c>
      <c r="Q20" s="72">
        <f t="shared" si="1"/>
        <v>0</v>
      </c>
      <c r="R20" s="103"/>
    </row>
    <row r="21" spans="2:18" hidden="1" x14ac:dyDescent="0.3">
      <c r="B21" s="2" t="s">
        <v>71</v>
      </c>
      <c r="C21" s="42" t="s">
        <v>120</v>
      </c>
      <c r="D21" s="4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>
        <f t="shared" si="1"/>
        <v>0</v>
      </c>
      <c r="R21" s="103"/>
    </row>
    <row r="22" spans="2:18" hidden="1" x14ac:dyDescent="0.3">
      <c r="B22" s="38">
        <v>5</v>
      </c>
      <c r="C22" s="39" t="s">
        <v>72</v>
      </c>
      <c r="D22" s="40">
        <v>642</v>
      </c>
      <c r="E22" s="41">
        <f t="shared" ref="E22:P22" si="5">E23</f>
        <v>0</v>
      </c>
      <c r="F22" s="41">
        <f t="shared" si="5"/>
        <v>0</v>
      </c>
      <c r="G22" s="41">
        <f t="shared" si="5"/>
        <v>0</v>
      </c>
      <c r="H22" s="41">
        <f t="shared" si="5"/>
        <v>0</v>
      </c>
      <c r="I22" s="41">
        <f t="shared" si="5"/>
        <v>0</v>
      </c>
      <c r="J22" s="41">
        <f t="shared" si="5"/>
        <v>0</v>
      </c>
      <c r="K22" s="41">
        <f t="shared" si="5"/>
        <v>0</v>
      </c>
      <c r="L22" s="41">
        <f t="shared" si="5"/>
        <v>0</v>
      </c>
      <c r="M22" s="41">
        <f t="shared" si="5"/>
        <v>0</v>
      </c>
      <c r="N22" s="41">
        <f t="shared" si="5"/>
        <v>0</v>
      </c>
      <c r="O22" s="41">
        <f t="shared" si="5"/>
        <v>0</v>
      </c>
      <c r="P22" s="41">
        <f t="shared" si="5"/>
        <v>0</v>
      </c>
      <c r="Q22" s="72">
        <f t="shared" si="1"/>
        <v>0</v>
      </c>
      <c r="R22" s="103"/>
    </row>
    <row r="23" spans="2:18" s="70" customFormat="1" hidden="1" x14ac:dyDescent="0.3">
      <c r="B23" s="67" t="s">
        <v>73</v>
      </c>
      <c r="C23" s="68" t="s">
        <v>121</v>
      </c>
      <c r="D23" s="69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>
        <f t="shared" si="1"/>
        <v>0</v>
      </c>
      <c r="R23" s="105"/>
    </row>
    <row r="24" spans="2:18" hidden="1" x14ac:dyDescent="0.3">
      <c r="B24" s="38">
        <v>6</v>
      </c>
      <c r="C24" s="39" t="s">
        <v>74</v>
      </c>
      <c r="D24" s="40">
        <v>642</v>
      </c>
      <c r="E24" s="41">
        <f>E25</f>
        <v>0</v>
      </c>
      <c r="F24" s="41">
        <f t="shared" ref="F24:P24" si="6">F25</f>
        <v>0</v>
      </c>
      <c r="G24" s="41">
        <f t="shared" si="6"/>
        <v>0</v>
      </c>
      <c r="H24" s="41">
        <f t="shared" si="6"/>
        <v>0</v>
      </c>
      <c r="I24" s="41">
        <f t="shared" si="6"/>
        <v>0</v>
      </c>
      <c r="J24" s="41">
        <f t="shared" si="6"/>
        <v>0</v>
      </c>
      <c r="K24" s="41">
        <f t="shared" si="6"/>
        <v>0</v>
      </c>
      <c r="L24" s="41">
        <f t="shared" si="6"/>
        <v>0</v>
      </c>
      <c r="M24" s="41">
        <f t="shared" si="6"/>
        <v>0</v>
      </c>
      <c r="N24" s="41">
        <f t="shared" si="6"/>
        <v>0</v>
      </c>
      <c r="O24" s="41">
        <f t="shared" si="6"/>
        <v>0</v>
      </c>
      <c r="P24" s="41">
        <f t="shared" si="6"/>
        <v>0</v>
      </c>
      <c r="Q24" s="72">
        <f t="shared" si="1"/>
        <v>0</v>
      </c>
      <c r="R24" s="103"/>
    </row>
    <row r="25" spans="2:18" s="70" customFormat="1" hidden="1" x14ac:dyDescent="0.3">
      <c r="B25" s="67" t="s">
        <v>75</v>
      </c>
      <c r="C25" s="68" t="s">
        <v>121</v>
      </c>
      <c r="D25" s="69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>
        <f t="shared" si="1"/>
        <v>0</v>
      </c>
      <c r="R25" s="105"/>
    </row>
    <row r="26" spans="2:18" hidden="1" x14ac:dyDescent="0.3">
      <c r="B26" s="38">
        <v>7</v>
      </c>
      <c r="C26" s="39" t="s">
        <v>76</v>
      </c>
      <c r="D26" s="40">
        <v>642</v>
      </c>
      <c r="E26" s="41">
        <f t="shared" ref="E26:P26" si="7">E27</f>
        <v>0</v>
      </c>
      <c r="F26" s="41">
        <f t="shared" si="7"/>
        <v>0</v>
      </c>
      <c r="G26" s="41">
        <f t="shared" si="7"/>
        <v>0</v>
      </c>
      <c r="H26" s="41">
        <f t="shared" si="7"/>
        <v>0</v>
      </c>
      <c r="I26" s="41">
        <f t="shared" si="7"/>
        <v>0</v>
      </c>
      <c r="J26" s="41">
        <f t="shared" si="7"/>
        <v>0</v>
      </c>
      <c r="K26" s="41">
        <f t="shared" si="7"/>
        <v>0</v>
      </c>
      <c r="L26" s="41">
        <f t="shared" si="7"/>
        <v>0</v>
      </c>
      <c r="M26" s="41">
        <f t="shared" si="7"/>
        <v>0</v>
      </c>
      <c r="N26" s="41">
        <f t="shared" si="7"/>
        <v>0</v>
      </c>
      <c r="O26" s="41">
        <f t="shared" si="7"/>
        <v>0</v>
      </c>
      <c r="P26" s="41">
        <f t="shared" si="7"/>
        <v>0</v>
      </c>
      <c r="Q26" s="72">
        <f t="shared" si="1"/>
        <v>0</v>
      </c>
      <c r="R26" s="103"/>
    </row>
    <row r="27" spans="2:18" hidden="1" x14ac:dyDescent="0.3">
      <c r="B27" s="2" t="s">
        <v>77</v>
      </c>
      <c r="C27" s="42" t="s">
        <v>78</v>
      </c>
      <c r="D27" s="4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>
        <f t="shared" si="1"/>
        <v>0</v>
      </c>
      <c r="R27" s="103"/>
    </row>
    <row r="28" spans="2:18" hidden="1" x14ac:dyDescent="0.3">
      <c r="B28" s="38">
        <v>8</v>
      </c>
      <c r="C28" s="39" t="s">
        <v>79</v>
      </c>
      <c r="D28" s="40">
        <v>642</v>
      </c>
      <c r="E28" s="41">
        <f t="shared" ref="E28:P28" si="8">E29</f>
        <v>0</v>
      </c>
      <c r="F28" s="41">
        <f t="shared" si="8"/>
        <v>0</v>
      </c>
      <c r="G28" s="41">
        <f t="shared" si="8"/>
        <v>0</v>
      </c>
      <c r="H28" s="41">
        <f t="shared" si="8"/>
        <v>0</v>
      </c>
      <c r="I28" s="41">
        <f t="shared" si="8"/>
        <v>0</v>
      </c>
      <c r="J28" s="41">
        <f t="shared" si="8"/>
        <v>0</v>
      </c>
      <c r="K28" s="41">
        <f t="shared" si="8"/>
        <v>0</v>
      </c>
      <c r="L28" s="41">
        <f t="shared" si="8"/>
        <v>0</v>
      </c>
      <c r="M28" s="41">
        <f t="shared" si="8"/>
        <v>0</v>
      </c>
      <c r="N28" s="41">
        <f t="shared" si="8"/>
        <v>0</v>
      </c>
      <c r="O28" s="41">
        <f t="shared" si="8"/>
        <v>0</v>
      </c>
      <c r="P28" s="41">
        <f t="shared" si="8"/>
        <v>0</v>
      </c>
      <c r="Q28" s="72">
        <f t="shared" si="1"/>
        <v>0</v>
      </c>
      <c r="R28" s="103"/>
    </row>
    <row r="29" spans="2:18" hidden="1" x14ac:dyDescent="0.3">
      <c r="B29" s="2" t="s">
        <v>80</v>
      </c>
      <c r="C29" s="42" t="s">
        <v>119</v>
      </c>
      <c r="D29" s="4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>
        <f t="shared" si="1"/>
        <v>0</v>
      </c>
      <c r="R29" s="103"/>
    </row>
    <row r="30" spans="2:18" hidden="1" x14ac:dyDescent="0.3">
      <c r="B30" s="38">
        <v>9</v>
      </c>
      <c r="C30" s="39" t="s">
        <v>81</v>
      </c>
      <c r="D30" s="40">
        <v>642</v>
      </c>
      <c r="E30" s="41">
        <f t="shared" ref="E30:P30" si="9">E31</f>
        <v>0</v>
      </c>
      <c r="F30" s="41">
        <f t="shared" si="9"/>
        <v>0</v>
      </c>
      <c r="G30" s="41">
        <f t="shared" si="9"/>
        <v>0</v>
      </c>
      <c r="H30" s="41">
        <f t="shared" si="9"/>
        <v>0</v>
      </c>
      <c r="I30" s="41">
        <f t="shared" si="9"/>
        <v>0</v>
      </c>
      <c r="J30" s="41">
        <f t="shared" si="9"/>
        <v>0</v>
      </c>
      <c r="K30" s="41">
        <f t="shared" si="9"/>
        <v>0</v>
      </c>
      <c r="L30" s="41">
        <f t="shared" si="9"/>
        <v>0</v>
      </c>
      <c r="M30" s="41">
        <f t="shared" si="9"/>
        <v>0</v>
      </c>
      <c r="N30" s="41">
        <f t="shared" si="9"/>
        <v>0</v>
      </c>
      <c r="O30" s="41">
        <f t="shared" si="9"/>
        <v>0</v>
      </c>
      <c r="P30" s="41">
        <f t="shared" si="9"/>
        <v>0</v>
      </c>
      <c r="Q30" s="72">
        <f t="shared" si="1"/>
        <v>0</v>
      </c>
      <c r="R30" s="103"/>
    </row>
    <row r="31" spans="2:18" s="70" customFormat="1" hidden="1" x14ac:dyDescent="0.3">
      <c r="B31" s="67" t="s">
        <v>82</v>
      </c>
      <c r="C31" s="68" t="s">
        <v>125</v>
      </c>
      <c r="D31" s="69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>
        <f t="shared" si="1"/>
        <v>0</v>
      </c>
      <c r="R31" s="105"/>
    </row>
    <row r="32" spans="2:18" hidden="1" x14ac:dyDescent="0.3">
      <c r="B32" s="38">
        <v>10</v>
      </c>
      <c r="C32" s="39" t="s">
        <v>83</v>
      </c>
      <c r="D32" s="40">
        <v>642</v>
      </c>
      <c r="E32" s="41">
        <f t="shared" ref="E32:P32" si="10">E33</f>
        <v>0</v>
      </c>
      <c r="F32" s="41">
        <f t="shared" si="10"/>
        <v>0</v>
      </c>
      <c r="G32" s="41">
        <f t="shared" si="10"/>
        <v>0</v>
      </c>
      <c r="H32" s="41">
        <f t="shared" si="10"/>
        <v>0</v>
      </c>
      <c r="I32" s="41">
        <f t="shared" si="10"/>
        <v>0</v>
      </c>
      <c r="J32" s="41">
        <f t="shared" si="10"/>
        <v>0</v>
      </c>
      <c r="K32" s="41">
        <f t="shared" si="10"/>
        <v>0</v>
      </c>
      <c r="L32" s="41">
        <f t="shared" si="10"/>
        <v>0</v>
      </c>
      <c r="M32" s="41">
        <f t="shared" si="10"/>
        <v>0</v>
      </c>
      <c r="N32" s="41">
        <f t="shared" si="10"/>
        <v>0</v>
      </c>
      <c r="O32" s="41">
        <f t="shared" si="10"/>
        <v>0</v>
      </c>
      <c r="P32" s="41">
        <f t="shared" si="10"/>
        <v>0</v>
      </c>
      <c r="Q32" s="72">
        <f t="shared" si="1"/>
        <v>0</v>
      </c>
      <c r="R32" s="103"/>
    </row>
    <row r="33" spans="2:18" s="70" customFormat="1" hidden="1" x14ac:dyDescent="0.3">
      <c r="B33" s="67" t="s">
        <v>84</v>
      </c>
      <c r="C33" s="68" t="s">
        <v>122</v>
      </c>
      <c r="D33" s="69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>
        <f t="shared" si="1"/>
        <v>0</v>
      </c>
      <c r="R33" s="105"/>
    </row>
    <row r="34" spans="2:18" hidden="1" x14ac:dyDescent="0.3">
      <c r="B34" s="38">
        <v>11</v>
      </c>
      <c r="C34" s="39" t="s">
        <v>85</v>
      </c>
      <c r="D34" s="40">
        <v>627</v>
      </c>
      <c r="E34" s="41">
        <f t="shared" ref="E34:P34" si="11">E35</f>
        <v>0</v>
      </c>
      <c r="F34" s="41">
        <f t="shared" si="11"/>
        <v>0</v>
      </c>
      <c r="G34" s="41">
        <f t="shared" si="11"/>
        <v>0</v>
      </c>
      <c r="H34" s="41">
        <f t="shared" si="11"/>
        <v>0</v>
      </c>
      <c r="I34" s="41">
        <f t="shared" si="11"/>
        <v>0</v>
      </c>
      <c r="J34" s="41">
        <f t="shared" si="11"/>
        <v>0</v>
      </c>
      <c r="K34" s="41">
        <f t="shared" si="11"/>
        <v>0</v>
      </c>
      <c r="L34" s="41">
        <f t="shared" si="11"/>
        <v>0</v>
      </c>
      <c r="M34" s="41">
        <f t="shared" si="11"/>
        <v>0</v>
      </c>
      <c r="N34" s="41">
        <f t="shared" si="11"/>
        <v>0</v>
      </c>
      <c r="O34" s="41">
        <f t="shared" si="11"/>
        <v>0</v>
      </c>
      <c r="P34" s="41">
        <f t="shared" si="11"/>
        <v>0</v>
      </c>
      <c r="Q34" s="72">
        <f t="shared" si="1"/>
        <v>0</v>
      </c>
      <c r="R34" s="103"/>
    </row>
    <row r="35" spans="2:18" s="70" customFormat="1" hidden="1" x14ac:dyDescent="0.3">
      <c r="B35" s="67" t="s">
        <v>86</v>
      </c>
      <c r="C35" s="68" t="s">
        <v>125</v>
      </c>
      <c r="D35" s="69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>
        <f t="shared" si="1"/>
        <v>0</v>
      </c>
      <c r="R35" s="105"/>
    </row>
    <row r="36" spans="2:18" hidden="1" x14ac:dyDescent="0.3">
      <c r="B36" s="38">
        <v>12</v>
      </c>
      <c r="C36" s="39" t="s">
        <v>87</v>
      </c>
      <c r="D36" s="40">
        <v>627</v>
      </c>
      <c r="E36" s="41">
        <f>SUM(E37:E39)</f>
        <v>0</v>
      </c>
      <c r="F36" s="41">
        <f t="shared" ref="F36:P36" si="12">SUM(F37:F39)</f>
        <v>0</v>
      </c>
      <c r="G36" s="41">
        <f t="shared" si="12"/>
        <v>0</v>
      </c>
      <c r="H36" s="41">
        <f t="shared" si="12"/>
        <v>0</v>
      </c>
      <c r="I36" s="41">
        <f t="shared" si="12"/>
        <v>0</v>
      </c>
      <c r="J36" s="41">
        <f t="shared" si="12"/>
        <v>0</v>
      </c>
      <c r="K36" s="41">
        <f t="shared" si="12"/>
        <v>0</v>
      </c>
      <c r="L36" s="41">
        <f t="shared" si="12"/>
        <v>0</v>
      </c>
      <c r="M36" s="41">
        <f t="shared" si="12"/>
        <v>0</v>
      </c>
      <c r="N36" s="41">
        <f t="shared" si="12"/>
        <v>0</v>
      </c>
      <c r="O36" s="41">
        <f t="shared" si="12"/>
        <v>0</v>
      </c>
      <c r="P36" s="41">
        <f t="shared" si="12"/>
        <v>0</v>
      </c>
      <c r="Q36" s="41">
        <f t="shared" si="1"/>
        <v>0</v>
      </c>
      <c r="R36" s="103"/>
    </row>
    <row r="37" spans="2:18" s="70" customFormat="1" hidden="1" x14ac:dyDescent="0.3">
      <c r="B37" s="67" t="s">
        <v>88</v>
      </c>
      <c r="C37" s="68" t="s">
        <v>126</v>
      </c>
      <c r="D37" s="69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>
        <f t="shared" si="1"/>
        <v>0</v>
      </c>
      <c r="R37" s="105"/>
    </row>
    <row r="38" spans="2:18" hidden="1" x14ac:dyDescent="0.3">
      <c r="B38" s="2" t="s">
        <v>89</v>
      </c>
      <c r="C38" s="42" t="s">
        <v>123</v>
      </c>
      <c r="D38" s="4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>
        <f t="shared" si="1"/>
        <v>0</v>
      </c>
      <c r="R38" s="103"/>
    </row>
    <row r="39" spans="2:18" hidden="1" x14ac:dyDescent="0.3">
      <c r="B39" s="2" t="s">
        <v>90</v>
      </c>
      <c r="C39" s="42" t="s">
        <v>124</v>
      </c>
      <c r="D39" s="4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>
        <f t="shared" si="1"/>
        <v>0</v>
      </c>
      <c r="R39" s="103"/>
    </row>
    <row r="40" spans="2:18" x14ac:dyDescent="0.3">
      <c r="B40" s="38">
        <v>13</v>
      </c>
      <c r="C40" s="39" t="s">
        <v>91</v>
      </c>
      <c r="D40" s="40">
        <v>627</v>
      </c>
      <c r="E40" s="41">
        <f t="shared" ref="E40:P40" si="13">SUM(E41:E42)</f>
        <v>0</v>
      </c>
      <c r="F40" s="41">
        <f t="shared" si="13"/>
        <v>0</v>
      </c>
      <c r="G40" s="41">
        <f t="shared" si="13"/>
        <v>0</v>
      </c>
      <c r="H40" s="41">
        <f t="shared" si="13"/>
        <v>1</v>
      </c>
      <c r="I40" s="41">
        <f t="shared" si="13"/>
        <v>0</v>
      </c>
      <c r="J40" s="41">
        <f t="shared" si="13"/>
        <v>0</v>
      </c>
      <c r="K40" s="41">
        <f t="shared" si="13"/>
        <v>0</v>
      </c>
      <c r="L40" s="41">
        <f t="shared" si="13"/>
        <v>0</v>
      </c>
      <c r="M40" s="41">
        <f t="shared" si="13"/>
        <v>0</v>
      </c>
      <c r="N40" s="41">
        <f t="shared" si="13"/>
        <v>0</v>
      </c>
      <c r="O40" s="41">
        <f t="shared" si="13"/>
        <v>0</v>
      </c>
      <c r="P40" s="41">
        <f t="shared" si="13"/>
        <v>0</v>
      </c>
      <c r="Q40" s="72">
        <f t="shared" si="1"/>
        <v>1</v>
      </c>
      <c r="R40" s="103"/>
    </row>
    <row r="41" spans="2:18" s="70" customFormat="1" x14ac:dyDescent="0.3">
      <c r="B41" s="67">
        <v>13.1</v>
      </c>
      <c r="C41" s="68" t="s">
        <v>172</v>
      </c>
      <c r="D41" s="69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>
        <f t="shared" si="1"/>
        <v>0</v>
      </c>
      <c r="R41" s="105"/>
    </row>
    <row r="42" spans="2:18" x14ac:dyDescent="0.3">
      <c r="B42" s="2">
        <v>13.2</v>
      </c>
      <c r="C42" s="42" t="s">
        <v>171</v>
      </c>
      <c r="D42" s="43"/>
      <c r="E42" s="4"/>
      <c r="F42" s="4"/>
      <c r="G42" s="4"/>
      <c r="H42" s="4">
        <v>1</v>
      </c>
      <c r="I42" s="73"/>
      <c r="J42" s="4"/>
      <c r="K42" s="4"/>
      <c r="L42" s="4"/>
      <c r="M42" s="4"/>
      <c r="N42" s="4"/>
      <c r="O42" s="4"/>
      <c r="P42" s="4"/>
      <c r="Q42" s="4">
        <f t="shared" si="1"/>
        <v>1</v>
      </c>
      <c r="R42" s="103"/>
    </row>
    <row r="43" spans="2:18" x14ac:dyDescent="0.3">
      <c r="B43" s="38">
        <v>14</v>
      </c>
      <c r="C43" s="39" t="s">
        <v>92</v>
      </c>
      <c r="D43" s="40"/>
      <c r="E43" s="41">
        <f>E44+E48</f>
        <v>0</v>
      </c>
      <c r="F43" s="41">
        <f t="shared" ref="F43:P43" si="14">F44+F48</f>
        <v>0</v>
      </c>
      <c r="G43" s="41">
        <f t="shared" si="14"/>
        <v>0</v>
      </c>
      <c r="H43" s="41">
        <f t="shared" si="14"/>
        <v>11</v>
      </c>
      <c r="I43" s="41">
        <f t="shared" si="14"/>
        <v>0</v>
      </c>
      <c r="J43" s="41">
        <f t="shared" si="14"/>
        <v>0</v>
      </c>
      <c r="K43" s="41">
        <f t="shared" si="14"/>
        <v>0</v>
      </c>
      <c r="L43" s="41">
        <f t="shared" si="14"/>
        <v>0</v>
      </c>
      <c r="M43" s="41">
        <f t="shared" si="14"/>
        <v>0</v>
      </c>
      <c r="N43" s="41">
        <f t="shared" si="14"/>
        <v>0</v>
      </c>
      <c r="O43" s="41">
        <f t="shared" si="14"/>
        <v>0</v>
      </c>
      <c r="P43" s="41">
        <f t="shared" si="14"/>
        <v>0</v>
      </c>
      <c r="Q43" s="41">
        <f t="shared" si="1"/>
        <v>11</v>
      </c>
      <c r="R43" s="103"/>
    </row>
    <row r="44" spans="2:18" x14ac:dyDescent="0.3">
      <c r="B44" s="48" t="s">
        <v>93</v>
      </c>
      <c r="C44" s="52" t="s">
        <v>94</v>
      </c>
      <c r="D44" s="49" t="s">
        <v>95</v>
      </c>
      <c r="E44" s="74">
        <f t="shared" ref="E44:P44" si="15">SUM(E45:E47)</f>
        <v>0</v>
      </c>
      <c r="F44" s="74">
        <f t="shared" si="15"/>
        <v>0</v>
      </c>
      <c r="G44" s="74">
        <f t="shared" si="15"/>
        <v>0</v>
      </c>
      <c r="H44" s="74">
        <f t="shared" si="15"/>
        <v>1</v>
      </c>
      <c r="I44" s="74">
        <f t="shared" si="15"/>
        <v>0</v>
      </c>
      <c r="J44" s="74">
        <f t="shared" si="15"/>
        <v>0</v>
      </c>
      <c r="K44" s="74">
        <f t="shared" si="15"/>
        <v>0</v>
      </c>
      <c r="L44" s="74">
        <f t="shared" si="15"/>
        <v>0</v>
      </c>
      <c r="M44" s="74">
        <f t="shared" si="15"/>
        <v>0</v>
      </c>
      <c r="N44" s="74">
        <f t="shared" si="15"/>
        <v>0</v>
      </c>
      <c r="O44" s="74">
        <f t="shared" si="15"/>
        <v>0</v>
      </c>
      <c r="P44" s="74">
        <f t="shared" si="15"/>
        <v>0</v>
      </c>
      <c r="Q44" s="74">
        <f t="shared" si="1"/>
        <v>1</v>
      </c>
      <c r="R44" s="103"/>
    </row>
    <row r="45" spans="2:18" x14ac:dyDescent="0.3">
      <c r="B45" s="45" t="s">
        <v>96</v>
      </c>
      <c r="C45" s="46" t="s">
        <v>97</v>
      </c>
      <c r="D45" s="47"/>
      <c r="E45" s="4"/>
      <c r="F45" s="4"/>
      <c r="G45" s="4"/>
      <c r="H45" s="4">
        <v>0</v>
      </c>
      <c r="I45" s="4"/>
      <c r="J45" s="4"/>
      <c r="K45" s="4"/>
      <c r="L45" s="4"/>
      <c r="M45" s="4"/>
      <c r="N45" s="4"/>
      <c r="O45" s="4"/>
      <c r="P45" s="4"/>
      <c r="Q45" s="4">
        <f t="shared" si="1"/>
        <v>0</v>
      </c>
      <c r="R45" s="103"/>
    </row>
    <row r="46" spans="2:18" ht="56" x14ac:dyDescent="0.3">
      <c r="B46" s="45" t="s">
        <v>98</v>
      </c>
      <c r="C46" s="46" t="s">
        <v>100</v>
      </c>
      <c r="D46" s="47"/>
      <c r="E46" s="4"/>
      <c r="F46" s="4"/>
      <c r="G46" s="4"/>
      <c r="H46" s="4">
        <v>1</v>
      </c>
      <c r="I46" s="4"/>
      <c r="J46" s="4"/>
      <c r="K46" s="4"/>
      <c r="L46" s="4"/>
      <c r="M46" s="4"/>
      <c r="N46" s="4"/>
      <c r="O46" s="4"/>
      <c r="P46" s="4"/>
      <c r="Q46" s="4">
        <f t="shared" si="1"/>
        <v>1</v>
      </c>
      <c r="R46" s="106" t="s">
        <v>187</v>
      </c>
    </row>
    <row r="47" spans="2:18" x14ac:dyDescent="0.3">
      <c r="B47" s="45" t="s">
        <v>99</v>
      </c>
      <c r="C47" s="46" t="s">
        <v>101</v>
      </c>
      <c r="D47" s="47"/>
      <c r="E47" s="4"/>
      <c r="F47" s="4"/>
      <c r="G47" s="4"/>
      <c r="H47" s="4">
        <v>0</v>
      </c>
      <c r="I47" s="4"/>
      <c r="J47" s="4"/>
      <c r="K47" s="4"/>
      <c r="L47" s="4"/>
      <c r="M47" s="4"/>
      <c r="N47" s="4"/>
      <c r="O47" s="4"/>
      <c r="P47" s="4"/>
      <c r="Q47" s="4">
        <f t="shared" si="1"/>
        <v>0</v>
      </c>
      <c r="R47" s="103"/>
    </row>
    <row r="48" spans="2:18" x14ac:dyDescent="0.3">
      <c r="B48" s="48" t="s">
        <v>102</v>
      </c>
      <c r="C48" s="52" t="s">
        <v>130</v>
      </c>
      <c r="D48" s="49" t="s">
        <v>103</v>
      </c>
      <c r="E48" s="74">
        <f>E49</f>
        <v>0</v>
      </c>
      <c r="F48" s="74">
        <f t="shared" ref="F48:P48" si="16">F49</f>
        <v>0</v>
      </c>
      <c r="G48" s="74">
        <f t="shared" si="16"/>
        <v>0</v>
      </c>
      <c r="H48" s="74">
        <f t="shared" si="16"/>
        <v>10</v>
      </c>
      <c r="I48" s="74">
        <f t="shared" si="16"/>
        <v>0</v>
      </c>
      <c r="J48" s="74">
        <f t="shared" si="16"/>
        <v>0</v>
      </c>
      <c r="K48" s="74">
        <f t="shared" si="16"/>
        <v>0</v>
      </c>
      <c r="L48" s="74">
        <f t="shared" si="16"/>
        <v>0</v>
      </c>
      <c r="M48" s="74">
        <f t="shared" si="16"/>
        <v>0</v>
      </c>
      <c r="N48" s="74">
        <f t="shared" si="16"/>
        <v>0</v>
      </c>
      <c r="O48" s="74">
        <f t="shared" si="16"/>
        <v>0</v>
      </c>
      <c r="P48" s="74">
        <f t="shared" si="16"/>
        <v>0</v>
      </c>
      <c r="Q48" s="74">
        <f t="shared" si="1"/>
        <v>10</v>
      </c>
      <c r="R48" s="103"/>
    </row>
    <row r="49" spans="2:18" ht="98" x14ac:dyDescent="0.3">
      <c r="B49" s="45" t="s">
        <v>104</v>
      </c>
      <c r="C49" s="46" t="s">
        <v>133</v>
      </c>
      <c r="D49" s="47"/>
      <c r="E49" s="51"/>
      <c r="F49" s="51"/>
      <c r="G49" s="51"/>
      <c r="H49" s="51">
        <v>10</v>
      </c>
      <c r="I49" s="50"/>
      <c r="J49" s="50"/>
      <c r="K49" s="50"/>
      <c r="L49" s="50"/>
      <c r="M49" s="50"/>
      <c r="N49" s="50"/>
      <c r="O49" s="50"/>
      <c r="P49" s="50"/>
      <c r="Q49" s="50">
        <f t="shared" si="1"/>
        <v>10</v>
      </c>
      <c r="R49" s="88" t="s">
        <v>189</v>
      </c>
    </row>
    <row r="50" spans="2:18" x14ac:dyDescent="0.3">
      <c r="B50" s="38">
        <v>15</v>
      </c>
      <c r="C50" s="39" t="s">
        <v>128</v>
      </c>
      <c r="D50" s="40" t="s">
        <v>95</v>
      </c>
      <c r="E50" s="41">
        <f>SUM(E51:E54)</f>
        <v>0</v>
      </c>
      <c r="F50" s="41">
        <f t="shared" ref="F50:P50" si="17">SUM(F51:F54)</f>
        <v>0</v>
      </c>
      <c r="G50" s="41">
        <f t="shared" si="17"/>
        <v>0</v>
      </c>
      <c r="H50" s="41">
        <f t="shared" si="17"/>
        <v>3</v>
      </c>
      <c r="I50" s="41">
        <f t="shared" si="17"/>
        <v>0</v>
      </c>
      <c r="J50" s="41">
        <f t="shared" si="17"/>
        <v>0</v>
      </c>
      <c r="K50" s="41">
        <f t="shared" si="17"/>
        <v>0</v>
      </c>
      <c r="L50" s="41">
        <f t="shared" si="17"/>
        <v>0</v>
      </c>
      <c r="M50" s="41">
        <f t="shared" si="17"/>
        <v>0</v>
      </c>
      <c r="N50" s="41">
        <f t="shared" si="17"/>
        <v>0</v>
      </c>
      <c r="O50" s="41">
        <f t="shared" si="17"/>
        <v>0</v>
      </c>
      <c r="P50" s="41">
        <f t="shared" si="17"/>
        <v>0</v>
      </c>
      <c r="Q50" s="41">
        <f t="shared" si="1"/>
        <v>3</v>
      </c>
      <c r="R50" s="103"/>
    </row>
    <row r="51" spans="2:18" x14ac:dyDescent="0.3">
      <c r="B51" s="2" t="s">
        <v>105</v>
      </c>
      <c r="C51" s="53" t="s">
        <v>127</v>
      </c>
      <c r="D51" s="44"/>
      <c r="E51" s="50"/>
      <c r="F51" s="50"/>
      <c r="G51" s="50"/>
      <c r="H51" s="50"/>
      <c r="I51" s="50"/>
      <c r="J51" s="50">
        <v>0</v>
      </c>
      <c r="K51" s="50"/>
      <c r="L51" s="50"/>
      <c r="M51" s="50"/>
      <c r="N51" s="50"/>
      <c r="O51" s="50"/>
      <c r="P51" s="50"/>
      <c r="Q51" s="6">
        <f t="shared" si="1"/>
        <v>0</v>
      </c>
      <c r="R51" s="103"/>
    </row>
    <row r="52" spans="2:18" x14ac:dyDescent="0.3">
      <c r="B52" s="2" t="s">
        <v>106</v>
      </c>
      <c r="C52" s="53" t="s">
        <v>129</v>
      </c>
      <c r="D52" s="47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6">
        <f t="shared" si="1"/>
        <v>0</v>
      </c>
      <c r="R52" s="103"/>
    </row>
    <row r="53" spans="2:18" ht="25.5" customHeight="1" x14ac:dyDescent="0.3">
      <c r="B53" s="2" t="s">
        <v>107</v>
      </c>
      <c r="C53" s="92" t="s">
        <v>177</v>
      </c>
      <c r="D53" s="47"/>
      <c r="E53" s="4"/>
      <c r="F53" s="4"/>
      <c r="G53" s="4"/>
      <c r="H53" s="4">
        <v>1</v>
      </c>
      <c r="I53" s="4"/>
      <c r="J53" s="4"/>
      <c r="K53" s="4"/>
      <c r="L53" s="4"/>
      <c r="M53" s="4"/>
      <c r="N53" s="4"/>
      <c r="O53" s="4"/>
      <c r="P53" s="4"/>
      <c r="Q53" s="6">
        <f t="shared" si="1"/>
        <v>1</v>
      </c>
      <c r="R53" s="88" t="s">
        <v>190</v>
      </c>
    </row>
    <row r="54" spans="2:18" x14ac:dyDescent="0.3">
      <c r="B54" s="2" t="s">
        <v>108</v>
      </c>
      <c r="C54" s="53" t="s">
        <v>175</v>
      </c>
      <c r="D54" s="47"/>
      <c r="E54" s="4"/>
      <c r="F54" s="4"/>
      <c r="G54" s="4"/>
      <c r="H54" s="4">
        <v>2</v>
      </c>
      <c r="I54" s="4"/>
      <c r="J54" s="4"/>
      <c r="K54" s="4"/>
      <c r="L54" s="4"/>
      <c r="M54" s="4"/>
      <c r="N54" s="4"/>
      <c r="O54" s="4"/>
      <c r="P54" s="4"/>
      <c r="Q54" s="6">
        <f t="shared" si="1"/>
        <v>2</v>
      </c>
      <c r="R54" s="103" t="s">
        <v>182</v>
      </c>
    </row>
    <row r="55" spans="2:18" hidden="1" x14ac:dyDescent="0.3">
      <c r="B55" s="54"/>
      <c r="C55" s="55" t="s">
        <v>109</v>
      </c>
      <c r="D55" s="55"/>
      <c r="E55" s="56">
        <f>E4+E8+E15+E20+E22+E24+E26+E28+E30+E32+E34+E36+E40+E43+E50</f>
        <v>0</v>
      </c>
      <c r="F55" s="56">
        <f t="shared" ref="F55:Q55" si="18">F4+F8+F15+F20+F22+F24+F26+F28+F30+F32+F34+F36+F40+F43+F50</f>
        <v>0</v>
      </c>
      <c r="G55" s="56">
        <f t="shared" si="18"/>
        <v>0</v>
      </c>
      <c r="H55" s="56">
        <f t="shared" si="18"/>
        <v>17</v>
      </c>
      <c r="I55" s="56">
        <f t="shared" si="18"/>
        <v>0</v>
      </c>
      <c r="J55" s="56">
        <f t="shared" si="18"/>
        <v>0</v>
      </c>
      <c r="K55" s="56">
        <f t="shared" si="18"/>
        <v>0</v>
      </c>
      <c r="L55" s="56">
        <f t="shared" si="18"/>
        <v>0</v>
      </c>
      <c r="M55" s="56">
        <f t="shared" si="18"/>
        <v>0</v>
      </c>
      <c r="N55" s="56">
        <f t="shared" si="18"/>
        <v>0</v>
      </c>
      <c r="O55" s="56">
        <f t="shared" si="18"/>
        <v>0</v>
      </c>
      <c r="P55" s="56">
        <f t="shared" si="18"/>
        <v>0</v>
      </c>
      <c r="Q55" s="56">
        <f t="shared" si="18"/>
        <v>17</v>
      </c>
      <c r="R55" s="103"/>
    </row>
    <row r="56" spans="2:18" hidden="1" x14ac:dyDescent="0.3">
      <c r="B56" s="54"/>
      <c r="C56" s="81" t="s">
        <v>144</v>
      </c>
      <c r="D56" s="55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103"/>
    </row>
    <row r="57" spans="2:18" hidden="1" x14ac:dyDescent="0.3">
      <c r="B57" s="2">
        <v>1</v>
      </c>
      <c r="C57" s="53" t="s">
        <v>146</v>
      </c>
      <c r="D57" s="44"/>
      <c r="E57" s="50"/>
      <c r="F57" s="50"/>
      <c r="G57" s="50"/>
      <c r="H57" s="50"/>
      <c r="I57" s="50">
        <f>I48</f>
        <v>0</v>
      </c>
      <c r="J57" s="50">
        <f t="shared" ref="J57:Q57" si="19">J48</f>
        <v>0</v>
      </c>
      <c r="K57" s="50">
        <f t="shared" si="19"/>
        <v>0</v>
      </c>
      <c r="L57" s="50">
        <f t="shared" si="19"/>
        <v>0</v>
      </c>
      <c r="M57" s="50">
        <f t="shared" si="19"/>
        <v>0</v>
      </c>
      <c r="N57" s="50">
        <f t="shared" si="19"/>
        <v>0</v>
      </c>
      <c r="O57" s="50">
        <f t="shared" si="19"/>
        <v>0</v>
      </c>
      <c r="P57" s="50">
        <f t="shared" si="19"/>
        <v>0</v>
      </c>
      <c r="Q57" s="51">
        <f t="shared" si="19"/>
        <v>10</v>
      </c>
      <c r="R57" s="103"/>
    </row>
    <row r="58" spans="2:18" hidden="1" x14ac:dyDescent="0.3">
      <c r="B58" s="2">
        <v>2</v>
      </c>
      <c r="C58" s="53" t="s">
        <v>145</v>
      </c>
      <c r="D58" s="47"/>
      <c r="E58" s="4"/>
      <c r="F58" s="4"/>
      <c r="G58" s="4"/>
      <c r="H58" s="4"/>
      <c r="I58" s="4">
        <f>I55-I57</f>
        <v>0</v>
      </c>
      <c r="J58" s="4">
        <f t="shared" ref="J58:Q58" si="20">J55-J57</f>
        <v>0</v>
      </c>
      <c r="K58" s="4">
        <f t="shared" si="20"/>
        <v>0</v>
      </c>
      <c r="L58" s="4">
        <f t="shared" si="20"/>
        <v>0</v>
      </c>
      <c r="M58" s="4">
        <f t="shared" si="20"/>
        <v>0</v>
      </c>
      <c r="N58" s="4">
        <f t="shared" si="20"/>
        <v>0</v>
      </c>
      <c r="O58" s="4">
        <f t="shared" si="20"/>
        <v>0</v>
      </c>
      <c r="P58" s="4">
        <f t="shared" si="20"/>
        <v>0</v>
      </c>
      <c r="Q58" s="6">
        <f t="shared" si="20"/>
        <v>7</v>
      </c>
      <c r="R58" s="103"/>
    </row>
    <row r="59" spans="2:18" x14ac:dyDescent="0.3">
      <c r="B59" s="48">
        <v>16</v>
      </c>
      <c r="C59" s="52" t="s">
        <v>173</v>
      </c>
      <c r="D59" s="49" t="s">
        <v>103</v>
      </c>
      <c r="E59" s="74">
        <f>E60</f>
        <v>0</v>
      </c>
      <c r="F59" s="74">
        <f t="shared" ref="F59:P61" si="21">F60</f>
        <v>0</v>
      </c>
      <c r="G59" s="74">
        <f t="shared" si="21"/>
        <v>0</v>
      </c>
      <c r="H59" s="74">
        <f t="shared" si="21"/>
        <v>1</v>
      </c>
      <c r="I59" s="74">
        <f t="shared" si="21"/>
        <v>0</v>
      </c>
      <c r="J59" s="74">
        <f t="shared" si="21"/>
        <v>0</v>
      </c>
      <c r="K59" s="74">
        <f t="shared" si="21"/>
        <v>0</v>
      </c>
      <c r="L59" s="74">
        <f t="shared" si="21"/>
        <v>0</v>
      </c>
      <c r="M59" s="74">
        <f t="shared" si="21"/>
        <v>0</v>
      </c>
      <c r="N59" s="74">
        <f t="shared" si="21"/>
        <v>0</v>
      </c>
      <c r="O59" s="74">
        <f t="shared" si="21"/>
        <v>0</v>
      </c>
      <c r="P59" s="74">
        <f t="shared" si="21"/>
        <v>0</v>
      </c>
      <c r="Q59" s="74">
        <f t="shared" ref="Q59:Q60" si="22">MAX(E59:P59)</f>
        <v>1</v>
      </c>
      <c r="R59" s="103"/>
    </row>
    <row r="60" spans="2:18" ht="154" x14ac:dyDescent="0.3">
      <c r="B60" s="2">
        <v>16.100000000000001</v>
      </c>
      <c r="C60" s="53" t="s">
        <v>174</v>
      </c>
      <c r="D60" s="44"/>
      <c r="E60" s="50"/>
      <c r="F60" s="50"/>
      <c r="G60" s="50"/>
      <c r="H60" s="50">
        <v>1</v>
      </c>
      <c r="I60" s="50"/>
      <c r="J60" s="50"/>
      <c r="K60" s="50"/>
      <c r="L60" s="50"/>
      <c r="M60" s="50"/>
      <c r="N60" s="50"/>
      <c r="O60" s="50"/>
      <c r="P60" s="50"/>
      <c r="Q60" s="6">
        <f t="shared" si="22"/>
        <v>1</v>
      </c>
      <c r="R60" s="106" t="s">
        <v>188</v>
      </c>
    </row>
    <row r="61" spans="2:18" x14ac:dyDescent="0.3">
      <c r="B61" s="48">
        <v>17</v>
      </c>
      <c r="C61" s="52" t="s">
        <v>176</v>
      </c>
      <c r="D61" s="49" t="s">
        <v>103</v>
      </c>
      <c r="E61" s="74">
        <f>E62</f>
        <v>0</v>
      </c>
      <c r="F61" s="74">
        <f t="shared" si="21"/>
        <v>0</v>
      </c>
      <c r="G61" s="74">
        <f t="shared" si="21"/>
        <v>0</v>
      </c>
      <c r="H61" s="74">
        <f>SUM(H62:H63)</f>
        <v>2</v>
      </c>
      <c r="I61" s="74">
        <f t="shared" si="21"/>
        <v>0</v>
      </c>
      <c r="J61" s="74">
        <f t="shared" si="21"/>
        <v>0</v>
      </c>
      <c r="K61" s="74">
        <f t="shared" si="21"/>
        <v>0</v>
      </c>
      <c r="L61" s="74">
        <f t="shared" si="21"/>
        <v>0</v>
      </c>
      <c r="M61" s="74">
        <f t="shared" si="21"/>
        <v>0</v>
      </c>
      <c r="N61" s="74">
        <f t="shared" si="21"/>
        <v>0</v>
      </c>
      <c r="O61" s="74">
        <f t="shared" si="21"/>
        <v>0</v>
      </c>
      <c r="P61" s="74">
        <f t="shared" si="21"/>
        <v>0</v>
      </c>
      <c r="Q61" s="74">
        <f t="shared" ref="Q61:Q63" si="23">MAX(E61:P61)</f>
        <v>2</v>
      </c>
      <c r="R61" s="103"/>
    </row>
    <row r="62" spans="2:18" x14ac:dyDescent="0.3">
      <c r="B62" s="2">
        <v>17</v>
      </c>
      <c r="C62" s="101" t="s">
        <v>65</v>
      </c>
      <c r="D62" s="44"/>
      <c r="E62" s="50"/>
      <c r="F62" s="50"/>
      <c r="G62" s="50"/>
      <c r="H62" s="102">
        <v>1</v>
      </c>
      <c r="I62" s="50"/>
      <c r="J62" s="50"/>
      <c r="K62" s="50"/>
      <c r="L62" s="50"/>
      <c r="M62" s="50"/>
      <c r="N62" s="50"/>
      <c r="O62" s="50"/>
      <c r="P62" s="50"/>
      <c r="Q62" s="6">
        <f t="shared" si="23"/>
        <v>1</v>
      </c>
      <c r="R62" s="103" t="s">
        <v>191</v>
      </c>
    </row>
    <row r="63" spans="2:18" x14ac:dyDescent="0.3">
      <c r="B63" s="2">
        <v>18</v>
      </c>
      <c r="C63" s="101" t="s">
        <v>186</v>
      </c>
      <c r="D63" s="44"/>
      <c r="E63" s="50"/>
      <c r="F63" s="50"/>
      <c r="G63" s="50"/>
      <c r="H63" s="102">
        <v>1</v>
      </c>
      <c r="I63" s="50"/>
      <c r="J63" s="50"/>
      <c r="K63" s="50"/>
      <c r="L63" s="50"/>
      <c r="M63" s="50"/>
      <c r="N63" s="50"/>
      <c r="O63" s="50"/>
      <c r="P63" s="50"/>
      <c r="Q63" s="6">
        <f t="shared" si="23"/>
        <v>1</v>
      </c>
      <c r="R63" s="103" t="s">
        <v>191</v>
      </c>
    </row>
  </sheetData>
  <phoneticPr fontId="9" type="noConversion"/>
  <conditionalFormatting sqref="C4:D63">
    <cfRule type="containsText" dxfId="27" priority="2" operator="containsText" text="xxx">
      <formula>NOT(ISERROR(SEARCH("xxx",C4)))</formula>
    </cfRule>
  </conditionalFormatting>
  <conditionalFormatting sqref="E20:P20 E26:P26 E28:P28 E30:P30 E32:P32 E34:P34 E36:Q36 E40:P40 E43:Q43">
    <cfRule type="cellIs" dxfId="26" priority="64" operator="equal">
      <formula>0</formula>
    </cfRule>
    <cfRule type="containsText" dxfId="25" priority="65" operator="containsText" text="xxx">
      <formula>NOT(ISERROR(SEARCH("xxx",E20)))</formula>
    </cfRule>
  </conditionalFormatting>
  <conditionalFormatting sqref="E51:P51 E52:Q54">
    <cfRule type="containsText" dxfId="24" priority="79" operator="containsText" text="xxx">
      <formula>NOT(ISERROR(SEARCH("xxx",E51)))</formula>
    </cfRule>
  </conditionalFormatting>
  <conditionalFormatting sqref="E51:P53 Q51:Q54 J54">
    <cfRule type="cellIs" dxfId="23" priority="80" operator="equal">
      <formula>0</formula>
    </cfRule>
    <cfRule type="containsText" dxfId="22" priority="81" operator="containsText" text="xxx">
      <formula>NOT(ISERROR(SEARCH("xxx",E51)))</formula>
    </cfRule>
  </conditionalFormatting>
  <conditionalFormatting sqref="E63:P63">
    <cfRule type="cellIs" dxfId="21" priority="3" operator="equal">
      <formula>0</formula>
    </cfRule>
    <cfRule type="containsText" dxfId="20" priority="4" operator="containsText" text="xxx">
      <formula>NOT(ISERROR(SEARCH("xxx",E63)))</formula>
    </cfRule>
  </conditionalFormatting>
  <conditionalFormatting sqref="E4:Q4 E8:Q8 E15:P15 E22:P22 E24:P24 E49:Q49">
    <cfRule type="containsText" dxfId="19" priority="70" operator="containsText" text="xxx">
      <formula>NOT(ISERROR(SEARCH("xxx",E4)))</formula>
    </cfRule>
  </conditionalFormatting>
  <conditionalFormatting sqref="E4:Q4 E8:Q8 E15:P15 E22:P22 E24:P24">
    <cfRule type="cellIs" dxfId="18" priority="78" operator="equal">
      <formula>0</formula>
    </cfRule>
  </conditionalFormatting>
  <conditionalFormatting sqref="E50:Q50">
    <cfRule type="containsText" dxfId="17" priority="76" operator="containsText" text="xxx">
      <formula>NOT(ISERROR(SEARCH("xxx",E50)))</formula>
    </cfRule>
  </conditionalFormatting>
  <conditionalFormatting sqref="E52:Q54 E49:Q50 E51:P51">
    <cfRule type="cellIs" dxfId="16" priority="74" operator="equal">
      <formula>0</formula>
    </cfRule>
  </conditionalFormatting>
  <conditionalFormatting sqref="E55:Q58">
    <cfRule type="cellIs" dxfId="15" priority="33" operator="equal">
      <formula>0</formula>
    </cfRule>
    <cfRule type="containsText" dxfId="14" priority="34" operator="containsText" text="xxx">
      <formula>NOT(ISERROR(SEARCH("xxx",E55)))</formula>
    </cfRule>
  </conditionalFormatting>
  <conditionalFormatting sqref="E57:Q58">
    <cfRule type="cellIs" dxfId="13" priority="31" operator="equal">
      <formula>0</formula>
    </cfRule>
    <cfRule type="containsText" dxfId="12" priority="32" operator="containsText" text="xxx">
      <formula>NOT(ISERROR(SEARCH("xxx",E57)))</formula>
    </cfRule>
  </conditionalFormatting>
  <conditionalFormatting sqref="E60:Q60">
    <cfRule type="cellIs" dxfId="11" priority="21" operator="equal">
      <formula>0</formula>
    </cfRule>
    <cfRule type="containsText" dxfId="10" priority="22" operator="containsText" text="xxx">
      <formula>NOT(ISERROR(SEARCH("xxx",E60)))</formula>
    </cfRule>
    <cfRule type="cellIs" dxfId="9" priority="25" operator="equal">
      <formula>0</formula>
    </cfRule>
    <cfRule type="containsText" dxfId="8" priority="26" operator="containsText" text="xxx">
      <formula>NOT(ISERROR(SEARCH("xxx",E60)))</formula>
    </cfRule>
  </conditionalFormatting>
  <conditionalFormatting sqref="E62:Q62 Q63">
    <cfRule type="cellIs" dxfId="7" priority="17" operator="equal">
      <formula>0</formula>
    </cfRule>
    <cfRule type="containsText" dxfId="6" priority="18" operator="containsText" text="xxx">
      <formula>NOT(ISERROR(SEARCH("xxx",E62)))</formula>
    </cfRule>
  </conditionalFormatting>
  <conditionalFormatting sqref="E62:Q63">
    <cfRule type="cellIs" dxfId="5" priority="5" operator="equal">
      <formula>0</formula>
    </cfRule>
    <cfRule type="containsText" dxfId="4" priority="6" operator="containsText" text="xxx">
      <formula>NOT(ISERROR(SEARCH("xxx",E62)))</formula>
    </cfRule>
  </conditionalFormatting>
  <conditionalFormatting sqref="Q51:Q54">
    <cfRule type="cellIs" dxfId="3" priority="71" operator="equal">
      <formula>0</formula>
    </cfRule>
    <cfRule type="containsText" dxfId="2" priority="72" operator="containsText" text="xxx">
      <formula>NOT(ISERROR(SEARCH("xxx",Q51)))</formula>
    </cfRule>
  </conditionalFormatting>
  <conditionalFormatting sqref="Q57:Q58">
    <cfRule type="cellIs" dxfId="1" priority="29" operator="equal">
      <formula>0</formula>
    </cfRule>
    <cfRule type="containsText" dxfId="0" priority="30" operator="containsText" text="xxx">
      <formula>NOT(ISERROR(SEARCH("xxx",Q57)))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Đầu tư</vt:lpstr>
      <vt:lpstr>Công suất</vt:lpstr>
      <vt:lpstr>Sơ đồ tổ chức</vt:lpstr>
      <vt:lpstr>Định biên nhân sự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Hoàng, Phạm Đình</dc:creator>
  <cp:lastModifiedBy>Cư, Lê Hoành</cp:lastModifiedBy>
  <dcterms:created xsi:type="dcterms:W3CDTF">2015-06-05T18:17:20Z</dcterms:created>
  <dcterms:modified xsi:type="dcterms:W3CDTF">2026-03-23T12:35:07Z</dcterms:modified>
</cp:coreProperties>
</file>